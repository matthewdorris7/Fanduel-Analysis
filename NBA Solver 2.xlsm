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 activeTab="2"/>
  </bookViews>
  <sheets>
    <sheet name="DraftKings Basketball  Solver" sheetId="2" r:id="rId1"/>
    <sheet name="RawData" sheetId="5" r:id="rId2"/>
    <sheet name="Sheet1" sheetId="4" r:id="rId3"/>
  </sheets>
  <definedNames>
    <definedName name="hstats.cgi?pos_0_sort_6_game_d_colA_0_daypt_0_xavg_5_show_0_fltr_00" localSheetId="1">RawData!$A$1:$P$120</definedName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Solver'!$O$8</definedName>
    <definedName name="solver_lhs4" localSheetId="0" hidden="1">'DraftKings Basketball  Solver'!$P$2</definedName>
    <definedName name="solver_lhs5" localSheetId="0" hidden="1">'DraftKings Basketball  Solver'!$P$3</definedName>
    <definedName name="solver_lhs6" localSheetId="0" hidden="1">'DraftKings Basketball  Solver'!$P$4</definedName>
    <definedName name="solver_lhs7" localSheetId="0" hidden="1">'DraftKings Basketball  Solver'!$P$5</definedName>
    <definedName name="solver_lhs8" localSheetId="0" hidden="1">'DraftKings Basketball  Solver'!$P$4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7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1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1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Solver'!$O$9</definedName>
    <definedName name="solver_rhs4" localSheetId="0" hidden="1">'DraftKings Basketball  Solver'!$O$2</definedName>
    <definedName name="solver_rhs5" localSheetId="0" hidden="1">'DraftKings Basketball  Solver'!$O$3</definedName>
    <definedName name="solver_rhs6" localSheetId="0" hidden="1">'DraftKings Basketball  Solver'!$O$4</definedName>
    <definedName name="solver_rhs7" localSheetId="0" hidden="1">'DraftKings Basketball  Solver'!$O$5</definedName>
    <definedName name="solver_rhs8" localSheetId="0" hidden="1">'DraftKings Basketball  Solver'!$O$4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G79" i="2" l="1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78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53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77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52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27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77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52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7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77" i="2"/>
  <c r="E76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52" i="2"/>
  <c r="E51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27" i="2"/>
  <c r="E26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" i="2"/>
  <c r="O11" i="2" l="1"/>
  <c r="D15" i="4" s="1"/>
  <c r="O8" i="2"/>
  <c r="D16" i="4" s="1"/>
  <c r="O9" i="2"/>
  <c r="O14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18" i="2"/>
  <c r="J18" i="2"/>
  <c r="K18" i="2"/>
  <c r="L18" i="2"/>
  <c r="I19" i="2"/>
  <c r="J19" i="2"/>
  <c r="K19" i="2"/>
  <c r="L19" i="2"/>
  <c r="I20" i="2"/>
  <c r="J20" i="2"/>
  <c r="K20" i="2"/>
  <c r="L20" i="2"/>
  <c r="I21" i="2"/>
  <c r="J21" i="2"/>
  <c r="K21" i="2"/>
  <c r="L21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/>
  <c r="J37" i="2"/>
  <c r="K37" i="2"/>
  <c r="L37" i="2"/>
  <c r="I38" i="2"/>
  <c r="J38" i="2"/>
  <c r="K38" i="2"/>
  <c r="L38" i="2"/>
  <c r="I39" i="2"/>
  <c r="J39" i="2"/>
  <c r="K39" i="2"/>
  <c r="L39" i="2"/>
  <c r="I40" i="2"/>
  <c r="J40" i="2"/>
  <c r="K40" i="2"/>
  <c r="L40" i="2"/>
  <c r="I41" i="2"/>
  <c r="J41" i="2"/>
  <c r="K41" i="2"/>
  <c r="L41" i="2"/>
  <c r="I42" i="2"/>
  <c r="J42" i="2"/>
  <c r="K42" i="2"/>
  <c r="L42" i="2"/>
  <c r="I43" i="2"/>
  <c r="J43" i="2"/>
  <c r="K43" i="2"/>
  <c r="L43" i="2"/>
  <c r="I44" i="2"/>
  <c r="J44" i="2"/>
  <c r="K44" i="2"/>
  <c r="L44" i="2"/>
  <c r="I45" i="2"/>
  <c r="J45" i="2"/>
  <c r="K45" i="2"/>
  <c r="L45" i="2"/>
  <c r="I46" i="2"/>
  <c r="J46" i="2"/>
  <c r="K46" i="2"/>
  <c r="L46" i="2"/>
  <c r="I47" i="2"/>
  <c r="J47" i="2"/>
  <c r="K47" i="2"/>
  <c r="L47" i="2"/>
  <c r="I48" i="2"/>
  <c r="J48" i="2"/>
  <c r="K48" i="2"/>
  <c r="L48" i="2"/>
  <c r="I49" i="2"/>
  <c r="J49" i="2"/>
  <c r="K49" i="2"/>
  <c r="L49" i="2"/>
  <c r="I50" i="2"/>
  <c r="J50" i="2"/>
  <c r="K50" i="2"/>
  <c r="L50" i="2"/>
  <c r="I51" i="2"/>
  <c r="J51" i="2"/>
  <c r="K51" i="2"/>
  <c r="L51" i="2"/>
  <c r="I52" i="2"/>
  <c r="J52" i="2"/>
  <c r="K52" i="2"/>
  <c r="L52" i="2"/>
  <c r="I53" i="2"/>
  <c r="J53" i="2"/>
  <c r="K53" i="2"/>
  <c r="L53" i="2"/>
  <c r="I54" i="2"/>
  <c r="J54" i="2"/>
  <c r="K54" i="2"/>
  <c r="L54" i="2"/>
  <c r="I55" i="2"/>
  <c r="J55" i="2"/>
  <c r="K55" i="2"/>
  <c r="L55" i="2"/>
  <c r="I56" i="2"/>
  <c r="J56" i="2"/>
  <c r="K56" i="2"/>
  <c r="L56" i="2"/>
  <c r="I57" i="2"/>
  <c r="J57" i="2"/>
  <c r="K57" i="2"/>
  <c r="L57" i="2"/>
  <c r="I58" i="2"/>
  <c r="J58" i="2"/>
  <c r="K58" i="2"/>
  <c r="L58" i="2"/>
  <c r="I59" i="2"/>
  <c r="J59" i="2"/>
  <c r="K59" i="2"/>
  <c r="L59" i="2"/>
  <c r="I60" i="2"/>
  <c r="J60" i="2"/>
  <c r="K60" i="2"/>
  <c r="L60" i="2"/>
  <c r="I61" i="2"/>
  <c r="J61" i="2"/>
  <c r="K61" i="2"/>
  <c r="L61" i="2"/>
  <c r="I62" i="2"/>
  <c r="J62" i="2"/>
  <c r="K62" i="2"/>
  <c r="L62" i="2"/>
  <c r="I63" i="2"/>
  <c r="J63" i="2"/>
  <c r="K63" i="2"/>
  <c r="L63" i="2"/>
  <c r="I64" i="2"/>
  <c r="J64" i="2"/>
  <c r="K64" i="2"/>
  <c r="L64" i="2"/>
  <c r="I65" i="2"/>
  <c r="J65" i="2"/>
  <c r="K65" i="2"/>
  <c r="L65" i="2"/>
  <c r="I66" i="2"/>
  <c r="J66" i="2"/>
  <c r="K66" i="2"/>
  <c r="L66" i="2"/>
  <c r="I67" i="2"/>
  <c r="J67" i="2"/>
  <c r="K67" i="2"/>
  <c r="L67" i="2"/>
  <c r="I68" i="2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I82" i="2"/>
  <c r="J82" i="2"/>
  <c r="K82" i="2"/>
  <c r="L82" i="2"/>
  <c r="I83" i="2"/>
  <c r="J83" i="2"/>
  <c r="K83" i="2"/>
  <c r="L83" i="2"/>
  <c r="I84" i="2"/>
  <c r="J84" i="2"/>
  <c r="K84" i="2"/>
  <c r="L84" i="2"/>
  <c r="I85" i="2"/>
  <c r="J85" i="2"/>
  <c r="K85" i="2"/>
  <c r="L85" i="2"/>
  <c r="I86" i="2"/>
  <c r="J86" i="2"/>
  <c r="K86" i="2"/>
  <c r="L86" i="2"/>
  <c r="I87" i="2"/>
  <c r="J87" i="2"/>
  <c r="K87" i="2"/>
  <c r="L87" i="2"/>
  <c r="I88" i="2"/>
  <c r="J88" i="2"/>
  <c r="K88" i="2"/>
  <c r="L88" i="2"/>
  <c r="I89" i="2"/>
  <c r="J89" i="2"/>
  <c r="K89" i="2"/>
  <c r="L89" i="2"/>
  <c r="I90" i="2"/>
  <c r="J90" i="2"/>
  <c r="K90" i="2"/>
  <c r="L90" i="2"/>
  <c r="I91" i="2"/>
  <c r="J91" i="2"/>
  <c r="K91" i="2"/>
  <c r="L91" i="2"/>
  <c r="I92" i="2"/>
  <c r="J92" i="2"/>
  <c r="K92" i="2"/>
  <c r="L92" i="2"/>
  <c r="I93" i="2"/>
  <c r="J93" i="2"/>
  <c r="K93" i="2"/>
  <c r="L93" i="2"/>
  <c r="I94" i="2"/>
  <c r="J94" i="2"/>
  <c r="K94" i="2"/>
  <c r="L94" i="2"/>
  <c r="I95" i="2"/>
  <c r="J95" i="2"/>
  <c r="K95" i="2"/>
  <c r="L95" i="2"/>
  <c r="I96" i="2"/>
  <c r="J96" i="2"/>
  <c r="K96" i="2"/>
  <c r="L96" i="2"/>
  <c r="I97" i="2"/>
  <c r="J97" i="2"/>
  <c r="K97" i="2"/>
  <c r="L97" i="2"/>
  <c r="I98" i="2"/>
  <c r="J98" i="2"/>
  <c r="K98" i="2"/>
  <c r="L98" i="2"/>
  <c r="I99" i="2"/>
  <c r="J99" i="2"/>
  <c r="K99" i="2"/>
  <c r="L99" i="2"/>
  <c r="I100" i="2"/>
  <c r="J100" i="2"/>
  <c r="K100" i="2"/>
  <c r="L100" i="2"/>
  <c r="I101" i="2"/>
  <c r="J101" i="2"/>
  <c r="K101" i="2"/>
  <c r="L101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2" i="2"/>
  <c r="B5" i="2" l="1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F15" i="4" s="1"/>
  <c r="O18" i="2"/>
  <c r="G15" i="4" s="1"/>
  <c r="O23" i="2"/>
  <c r="H17" i="4" s="1"/>
  <c r="O21" i="2"/>
  <c r="F17" i="4" s="1"/>
  <c r="O19" i="2"/>
  <c r="H15" i="4" s="1"/>
  <c r="O22" i="2"/>
  <c r="G17" i="4" s="1"/>
  <c r="O24" i="2"/>
  <c r="I17" i="4" s="1"/>
  <c r="O20" i="2"/>
  <c r="I15" i="4" s="1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://rotoguru1.com/cgi-bin/hstats.cgi?pos=0&amp;sort=6&amp;game=d&amp;colA=0&amp;daypt=0&amp;xavg=5&amp;show=0&amp;fltr=00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<sst xmlns="http://schemas.openxmlformats.org/spreadsheetml/2006/main" count="870" uniqueCount="218">
  <si>
    <t>Position</t>
  </si>
  <si>
    <t>Game</t>
  </si>
  <si>
    <t>Team</t>
  </si>
  <si>
    <t>PG</t>
  </si>
  <si>
    <t>OKC</t>
  </si>
  <si>
    <t>PF</t>
  </si>
  <si>
    <t>SF</t>
  </si>
  <si>
    <t>C</t>
  </si>
  <si>
    <t>SG</t>
  </si>
  <si>
    <t>LAC</t>
  </si>
  <si>
    <t>Price</t>
  </si>
  <si>
    <t>G</t>
  </si>
  <si>
    <t>Pos</t>
  </si>
  <si>
    <t>Player</t>
  </si>
  <si>
    <t>Points</t>
  </si>
  <si>
    <t>Cost</t>
  </si>
  <si>
    <t>Lineup Pos</t>
  </si>
  <si>
    <t>Play?</t>
  </si>
  <si>
    <t>Min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</si>
  <si>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</si>
  <si>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</si>
  <si>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</si>
  <si>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</si>
  <si>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</si>
  <si>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</si>
  <si>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</si>
  <si>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</si>
  <si>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</si>
  <si>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</si>
  <si>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[col B]</t>
  </si>
  <si>
    <t>Last</t>
  </si>
  <si>
    <t>|---</t>
  </si>
  <si>
    <t>Year</t>
  </si>
  <si>
    <t>to Date</t>
  </si>
  <si>
    <t>---|</t>
  </si>
  <si>
    <t>Total</t>
  </si>
  <si>
    <t>FDP</t>
  </si>
  <si>
    <t>FDP/</t>
  </si>
  <si>
    <t>30 day</t>
  </si>
  <si>
    <t>Schedule Outlook</t>
  </si>
  <si>
    <t>Name</t>
  </si>
  <si>
    <t>L</t>
  </si>
  <si>
    <t>in</t>
  </si>
  <si>
    <t>ks</t>
  </si>
  <si>
    <t>Change</t>
  </si>
  <si>
    <t>/G</t>
  </si>
  <si>
    <t>G/.$</t>
  </si>
  <si>
    <t>FDP/G</t>
  </si>
  <si>
    <t>Westbrook, Russell</t>
  </si>
  <si>
    <t>N</t>
  </si>
  <si>
    <t>D</t>
  </si>
  <si>
    <t>W</t>
  </si>
  <si>
    <t>Harden, James</t>
  </si>
  <si>
    <t>Hou</t>
  </si>
  <si>
    <t>Davis, Anthony</t>
  </si>
  <si>
    <t>Nor</t>
  </si>
  <si>
    <t>Cousins, DeMarcus</t>
  </si>
  <si>
    <t>Sac</t>
  </si>
  <si>
    <t>James, LeBron</t>
  </si>
  <si>
    <t>Cle</t>
  </si>
  <si>
    <t>Durant, Kevin</t>
  </si>
  <si>
    <t>GSW</t>
  </si>
  <si>
    <t>Antetokounmpo, Giannis</t>
  </si>
  <si>
    <t>Mil</t>
  </si>
  <si>
    <t>Wall, John</t>
  </si>
  <si>
    <t>Was</t>
  </si>
  <si>
    <t>Towns, Karl-Anthony</t>
  </si>
  <si>
    <t>Thomas, Isaiah</t>
  </si>
  <si>
    <t>Bos</t>
  </si>
  <si>
    <t>Butler, Jimmy</t>
  </si>
  <si>
    <t>Chi</t>
  </si>
  <si>
    <t>Paul, Chris</t>
  </si>
  <si>
    <t>DNP</t>
  </si>
  <si>
    <t>Curry, Stephen</t>
  </si>
  <si>
    <t>DeRozan, DeMar</t>
  </si>
  <si>
    <t>Tor</t>
  </si>
  <si>
    <t>Lowry, Kyle</t>
  </si>
  <si>
    <t>Leonard, Kawhi</t>
  </si>
  <si>
    <t>SAS</t>
  </si>
  <si>
    <t>Lillard, Damian</t>
  </si>
  <si>
    <t>Por</t>
  </si>
  <si>
    <t>Griffin, Blake</t>
  </si>
  <si>
    <t>Whiteside, Hassan</t>
  </si>
  <si>
    <t>Mia</t>
  </si>
  <si>
    <t>Bledsoe, Eric</t>
  </si>
  <si>
    <t>Pho</t>
  </si>
  <si>
    <t>Irving, Kyrie</t>
  </si>
  <si>
    <t>Gasol, Marc</t>
  </si>
  <si>
    <t>Mem</t>
  </si>
  <si>
    <t>Walker, Kemba</t>
  </si>
  <si>
    <t>Cha</t>
  </si>
  <si>
    <t>Drummond, Andre</t>
  </si>
  <si>
    <t>Det</t>
  </si>
  <si>
    <t>Love, Kevin</t>
  </si>
  <si>
    <t>Millsap, Paul</t>
  </si>
  <si>
    <t>Atl</t>
  </si>
  <si>
    <t>Green, Draymond</t>
  </si>
  <si>
    <t>George, Paul</t>
  </si>
  <si>
    <t>Ind</t>
  </si>
  <si>
    <t>Embiid, Joel</t>
  </si>
  <si>
    <t>Phi</t>
  </si>
  <si>
    <t>Anthony, Carmelo</t>
  </si>
  <si>
    <t>NYK</t>
  </si>
  <si>
    <t>McCollum, C.J.</t>
  </si>
  <si>
    <t>Hayward, Gordon</t>
  </si>
  <si>
    <t>Uta</t>
  </si>
  <si>
    <t>Conley, Mike</t>
  </si>
  <si>
    <t>Horford, Al</t>
  </si>
  <si>
    <t>Gobert, Rudy</t>
  </si>
  <si>
    <t>Teague, Jeff</t>
  </si>
  <si>
    <t>Dragic, Goran</t>
  </si>
  <si>
    <t>Howard, Dwight</t>
  </si>
  <si>
    <t>Jordan, DeAndre</t>
  </si>
  <si>
    <t>Batum, Nicolas</t>
  </si>
  <si>
    <t>Gay, Rudy</t>
  </si>
  <si>
    <t>Parker, Jabari</t>
  </si>
  <si>
    <t>Jokic, Nikola</t>
  </si>
  <si>
    <t>Den</t>
  </si>
  <si>
    <t>Porzingis, Kristaps</t>
  </si>
  <si>
    <t>Holiday, Jrue</t>
  </si>
  <si>
    <t>Lopez, Brook</t>
  </si>
  <si>
    <t>Bkn</t>
  </si>
  <si>
    <t>Vucevic, Nikola</t>
  </si>
  <si>
    <t>Orl</t>
  </si>
  <si>
    <t>Wade, Dwyane</t>
  </si>
  <si>
    <t>Aldridge, LaMarcus</t>
  </si>
  <si>
    <t>Beal, Bradley</t>
  </si>
  <si>
    <t>Turner, Myles</t>
  </si>
  <si>
    <t>Bradley, Avery</t>
  </si>
  <si>
    <t>Wiggins, Andrew</t>
  </si>
  <si>
    <t>Barnes, Harrison</t>
  </si>
  <si>
    <t>Dal</t>
  </si>
  <si>
    <t>Thompson, Klay</t>
  </si>
  <si>
    <t>Plumlee, Mason</t>
  </si>
  <si>
    <t>Gortat, Marcin</t>
  </si>
  <si>
    <t>Rose, Derrick</t>
  </si>
  <si>
    <t>Hill, George</t>
  </si>
  <si>
    <t>Schroder, Dennis</t>
  </si>
  <si>
    <t>Booker, Devin</t>
  </si>
  <si>
    <t>Ibaka, Serge</t>
  </si>
  <si>
    <t>Porter, Otto</t>
  </si>
  <si>
    <t>Randle, Julius</t>
  </si>
  <si>
    <t>LAL</t>
  </si>
  <si>
    <t>LaVine, Zach</t>
  </si>
  <si>
    <t>Lin, Jeremy</t>
  </si>
  <si>
    <t>Payton, Elfrid</t>
  </si>
  <si>
    <t>Gasol, Pau</t>
  </si>
  <si>
    <t>Chandler, Wilson</t>
  </si>
  <si>
    <t>Gallinari, Danilo</t>
  </si>
  <si>
    <t>Morris, Markieff</t>
  </si>
  <si>
    <t>Russell, D'Angelo</t>
  </si>
  <si>
    <t>Randolph, Zach</t>
  </si>
  <si>
    <t>Rubio, Ricky</t>
  </si>
  <si>
    <t>Jackson, Reggie</t>
  </si>
  <si>
    <t>Harris, Tobias</t>
  </si>
  <si>
    <t>Johnson, Tyler</t>
  </si>
  <si>
    <t>Oladipo, Victor</t>
  </si>
  <si>
    <t>Williams, Louis</t>
  </si>
  <si>
    <t>Williams, Deron</t>
  </si>
  <si>
    <t>Waiters, Dion</t>
  </si>
  <si>
    <t>Valanciunas, Jonas</t>
  </si>
  <si>
    <t>Crowder, Jae</t>
  </si>
  <si>
    <t>Adams, Steven</t>
  </si>
  <si>
    <t>Booker, Trevor</t>
  </si>
  <si>
    <t>Dieng, Gorgui</t>
  </si>
  <si>
    <t>Ilyasova, Ersan</t>
  </si>
  <si>
    <t>Gordon, Eric</t>
  </si>
  <si>
    <t>Beverley, Patrick</t>
  </si>
  <si>
    <t>Caldwell-Pope, Kentavi</t>
  </si>
  <si>
    <t>Ariza, Trevor</t>
  </si>
  <si>
    <t>Capela, Clint</t>
  </si>
  <si>
    <t>Chandler, Tyson</t>
  </si>
  <si>
    <t>Kanter, Enes</t>
  </si>
  <si>
    <t>Fournier, Evan</t>
  </si>
  <si>
    <t>Winslow, Justise</t>
  </si>
  <si>
    <t>Covington, Robert</t>
  </si>
  <si>
    <t>Monroe, Greg</t>
  </si>
  <si>
    <t>Young, Thaddeus</t>
  </si>
  <si>
    <t>Matthews, Wes</t>
  </si>
  <si>
    <t>PG 1</t>
  </si>
  <si>
    <t>PG 2</t>
  </si>
  <si>
    <t>SG 1</t>
  </si>
  <si>
    <t>SG 2</t>
  </si>
  <si>
    <t>SF 1</t>
  </si>
  <si>
    <t>SF 2</t>
  </si>
  <si>
    <t>PF 1</t>
  </si>
  <si>
    <t>PF 2</t>
  </si>
  <si>
    <t>Sat 2/4</t>
  </si>
  <si>
    <t>.23..6.8.0.2........1.3.5.78</t>
  </si>
  <si>
    <t>...4.6.8...2.......0.2.4.6..</t>
  </si>
  <si>
    <t>1.3.5.7.90.2.......0.23..6.8</t>
  </si>
  <si>
    <t>1.3.5.7.9.12.......0.2.4.6..</t>
  </si>
  <si>
    <t>1.3.56.8..12.......0.2.4.6.8</t>
  </si>
  <si>
    <t>1...5.78.0.2.......0.2.45.7.</t>
  </si>
  <si>
    <t>1...5.78.0.2........1.34.6.8</t>
  </si>
  <si>
    <t>1.3.5.7..0..3.......1.3.56.8</t>
  </si>
  <si>
    <t>1.3.5.7.9.12........12.4.6..</t>
  </si>
  <si>
    <t>.2..56.8.0.23.......1.34.6.8</t>
  </si>
  <si>
    <t>..3.5.7.9.1.3.......12..5.7.</t>
  </si>
  <si>
    <t>.23.5..8.0.2.......01.3..6.8</t>
  </si>
  <si>
    <t>.23.5...9.12........1.34.6.8</t>
  </si>
  <si>
    <t>1.3.5.7.90.2........1.3..6.8</t>
  </si>
  <si>
    <t>.2.4.6...0.2.......0..3.5.7.</t>
  </si>
  <si>
    <t>1.3.5.78.0.2........12.4.6.8</t>
  </si>
  <si>
    <t>1.3.5.78.0.2........1.3.5.78</t>
  </si>
  <si>
    <t>1.3.5.7..0.2........1.3.5..8</t>
  </si>
  <si>
    <t>1..4.6.8.0.2.......0.23.5.7.</t>
  </si>
  <si>
    <t>1.3.5.7.90.2.......0..3.56..</t>
  </si>
  <si>
    <t>1.3.5.7..0.2........12.4.6.8</t>
  </si>
  <si>
    <t>1.3.5.78.0.23.......12.4.6..</t>
  </si>
  <si>
    <t>1.3.56.8.0.2........12.4.6.8</t>
  </si>
  <si>
    <t>1.3.5.7.9..2.......0.2.4.6.8</t>
  </si>
  <si>
    <t>1.3.56.8.0.2........1.3.56.8</t>
  </si>
  <si>
    <t>1.3.5.78.0.2.......01.3.56..</t>
  </si>
  <si>
    <t>.2.45.7..0.2........12...6.8</t>
  </si>
  <si>
    <t>1..4.6.8.0.2.......0.2...6.8</t>
  </si>
  <si>
    <t>..34.6.8.0.2........12.4.6.8</t>
  </si>
  <si>
    <t>..3.5.7...12........1.3.5..8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</si>
</sst>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6">
    <xf numFmtId="0" fontId="0" fillId="0" borderId="0" xfId="0"/>
    <xf numFmtId="0" fontId="0" fillId="0" borderId="0" xfId="0" applyFont="1"/>
    <xf numFmtId="0" fontId="0" fillId="0" borderId="0" xfId="0"/>
    <xf numFmtId="6" fontId="0" fillId="0" borderId="0" xfId="0" applyNumberFormat="1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16" fontId="0" fillId="0" borderId="0" xfId="0" applyNumberFormat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552450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hstats.cgi?pos=0&amp;sort=6&amp;game=d&amp;colA=0&amp;daypt=0&amp;xavg=5&amp;show=0&amp;fltr=0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106" zoomScaleNormal="106" workbookViewId="0">
      <selection activeCell="C2" sqref="C2:C150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16</v>
      </c>
      <c r="C1" t="s">
        <v>17</v>
      </c>
      <c r="D1" t="s">
        <v>12</v>
      </c>
      <c r="E1" t="s">
        <v>13</v>
      </c>
      <c r="F1" t="s">
        <v>14</v>
      </c>
      <c r="G1" t="s">
        <v>15</v>
      </c>
      <c r="H1" t="s">
        <v>3</v>
      </c>
      <c r="I1" t="s">
        <v>8</v>
      </c>
      <c r="J1" t="s">
        <v>6</v>
      </c>
      <c r="K1" t="s">
        <v>5</v>
      </c>
      <c r="L1" t="s">
        <v>7</v>
      </c>
      <c r="N1" t="s">
        <v>0</v>
      </c>
      <c r="O1" t="s">
        <v>19</v>
      </c>
      <c r="P1" t="s">
        <v>20</v>
      </c>
      <c r="T1">
        <v>8</v>
      </c>
    </row>
    <row r="2" spans="1:20" x14ac:dyDescent="0.25">
      <c r="A2" s="1">
        <f t="shared" ref="A2:A65" si="0">IF(C2=1,D2,0)</f>
        <v>0</v>
      </c>
      <c r="B2" s="1">
        <f>IF(C2=0,0,A2&amp;" "&amp;COUNTIF($A$1:$A2,A2))</f>
        <v>0</v>
      </c>
      <c r="C2" s="1">
        <v>0</v>
      </c>
      <c r="D2" t="str">
        <f>RawData!B5</f>
        <v>PG</v>
      </c>
      <c r="E2" t="str">
        <f>RawData!C5</f>
        <v>Westbrook, Russell</v>
      </c>
      <c r="F2">
        <f>RawData!N5</f>
        <v>56.6</v>
      </c>
      <c r="G2" s="37">
        <f>RawData!H5</f>
        <v>12100</v>
      </c>
      <c r="H2">
        <f>IF($D2=H$1,$C2*1,0)</f>
        <v>0</v>
      </c>
      <c r="I2">
        <f t="shared" ref="I2:L2" si="1">IF($D2=I$1,$C2*1,0)</f>
        <v>0</v>
      </c>
      <c r="J2">
        <f t="shared" si="1"/>
        <v>0</v>
      </c>
      <c r="K2">
        <f t="shared" si="1"/>
        <v>0</v>
      </c>
      <c r="L2">
        <f t="shared" si="1"/>
        <v>0</v>
      </c>
      <c r="N2" t="s">
        <v>3</v>
      </c>
      <c r="O2">
        <v>2</v>
      </c>
      <c r="P2">
        <f>SUM(H2:H339)</f>
        <v>0</v>
      </c>
      <c r="T2">
        <f>SUM(C:C)</f>
        <v>0</v>
      </c>
    </row>
    <row r="3" spans="1:20" x14ac:dyDescent="0.25">
      <c r="A3">
        <f t="shared" si="0"/>
        <v>0</v>
      </c>
      <c r="B3">
        <f>IF(C3=0,0,A3&amp;" "&amp;COUNTIF($A$1:$A3,A3))</f>
        <v>0</v>
      </c>
      <c r="C3" s="1">
        <v>0</v>
      </c>
      <c r="D3" s="2" t="str">
        <f>RawData!B6</f>
        <v>SG</v>
      </c>
      <c r="E3" s="2" t="str">
        <f>RawData!C6</f>
        <v>Harden, James</v>
      </c>
      <c r="F3" s="2">
        <f>RawData!N6</f>
        <v>53.1</v>
      </c>
      <c r="G3" s="37">
        <f>RawData!H6</f>
        <v>12200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N3" t="s">
        <v>8</v>
      </c>
      <c r="O3">
        <v>2</v>
      </c>
      <c r="P3">
        <f>SUM(I2:I339)</f>
        <v>0</v>
      </c>
    </row>
    <row r="4" spans="1:20" x14ac:dyDescent="0.25">
      <c r="A4">
        <f t="shared" si="0"/>
        <v>0</v>
      </c>
      <c r="B4">
        <f>IF(C4=0,0,A4&amp;" "&amp;COUNTIF($A$1:$A4,A4))</f>
        <v>0</v>
      </c>
      <c r="C4" s="1">
        <v>0</v>
      </c>
      <c r="D4" s="2" t="str">
        <f>RawData!B7</f>
        <v>PF</v>
      </c>
      <c r="E4" s="2" t="str">
        <f>RawData!C7</f>
        <v>Davis, Anthony</v>
      </c>
      <c r="F4" s="2">
        <f>RawData!N7</f>
        <v>48</v>
      </c>
      <c r="G4" s="37">
        <f>RawData!H7</f>
        <v>11200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N4" t="s">
        <v>6</v>
      </c>
      <c r="O4">
        <v>2</v>
      </c>
      <c r="P4">
        <f>SUM(J2:J339)</f>
        <v>0</v>
      </c>
    </row>
    <row r="5" spans="1:20" x14ac:dyDescent="0.25">
      <c r="A5">
        <f t="shared" si="0"/>
        <v>0</v>
      </c>
      <c r="B5">
        <f>IF(C5=0,0,A5&amp;" "&amp;COUNTIF($A$1:$A5,A5))</f>
        <v>0</v>
      </c>
      <c r="C5" s="1">
        <v>0</v>
      </c>
      <c r="D5" s="2" t="str">
        <f>RawData!B8</f>
        <v>C</v>
      </c>
      <c r="E5" s="2" t="str">
        <f>RawData!C8</f>
        <v>Cousins, DeMarcus</v>
      </c>
      <c r="F5" s="2">
        <f>RawData!N8</f>
        <v>49.8</v>
      </c>
      <c r="G5" s="37">
        <f>RawData!H8</f>
        <v>11100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N5" t="s">
        <v>5</v>
      </c>
      <c r="O5">
        <v>2</v>
      </c>
      <c r="P5">
        <f>SUM(K2:K339)</f>
        <v>0</v>
      </c>
    </row>
    <row r="6" spans="1:20" x14ac:dyDescent="0.25">
      <c r="A6">
        <f t="shared" si="0"/>
        <v>0</v>
      </c>
      <c r="B6">
        <f>IF(C6=0,0,A6&amp;" "&amp;COUNTIF($A$1:$A6,A6))</f>
        <v>0</v>
      </c>
      <c r="C6" s="1">
        <v>0</v>
      </c>
      <c r="D6" s="2" t="str">
        <f>RawData!B9</f>
        <v>SF</v>
      </c>
      <c r="E6" s="2" t="str">
        <f>RawData!C9</f>
        <v>James, LeBron</v>
      </c>
      <c r="F6" s="2">
        <f>RawData!N9</f>
        <v>47.6</v>
      </c>
      <c r="G6" s="37">
        <f>RawData!H9</f>
        <v>11500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</row>
    <row r="7" spans="1:20" x14ac:dyDescent="0.25">
      <c r="A7">
        <f t="shared" si="0"/>
        <v>0</v>
      </c>
      <c r="B7">
        <f>IF(C7=0,0,A7&amp;" "&amp;COUNTIF($A$1:$A7,A7))</f>
        <v>0</v>
      </c>
      <c r="C7" s="1">
        <v>0</v>
      </c>
      <c r="D7" s="2" t="str">
        <f>RawData!B10</f>
        <v>SF</v>
      </c>
      <c r="E7" s="2" t="str">
        <f>RawData!C10</f>
        <v>Durant, Kevin</v>
      </c>
      <c r="F7" s="2">
        <f>RawData!N10</f>
        <v>47.8</v>
      </c>
      <c r="G7" s="37">
        <f>RawData!H10</f>
        <v>10700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</row>
    <row r="8" spans="1:20" x14ac:dyDescent="0.25">
      <c r="A8">
        <f t="shared" si="0"/>
        <v>0</v>
      </c>
      <c r="B8">
        <f>IF(C8=0,0,A8&amp;" "&amp;COUNTIF($A$1:$A8,A8))</f>
        <v>0</v>
      </c>
      <c r="C8" s="1">
        <v>0</v>
      </c>
      <c r="D8" s="2" t="str">
        <f>RawData!B11</f>
        <v>SG</v>
      </c>
      <c r="E8" s="2" t="str">
        <f>RawData!C11</f>
        <v>Antetokounmpo, Giannis</v>
      </c>
      <c r="F8" s="2">
        <f>RawData!N11</f>
        <v>40.9</v>
      </c>
      <c r="G8" s="37">
        <f>RawData!H11</f>
        <v>10500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N8" t="s">
        <v>21</v>
      </c>
      <c r="O8">
        <f>SUMPRODUCT(C2:C239,G2:G239)</f>
        <v>0</v>
      </c>
    </row>
    <row r="9" spans="1:20" x14ac:dyDescent="0.25">
      <c r="A9">
        <f t="shared" si="0"/>
        <v>0</v>
      </c>
      <c r="B9">
        <f>IF(C9=0,0,A9&amp;" "&amp;COUNTIF($A$1:$A9,A9))</f>
        <v>0</v>
      </c>
      <c r="C9" s="1">
        <v>0</v>
      </c>
      <c r="D9" s="2" t="str">
        <f>RawData!B12</f>
        <v>PG</v>
      </c>
      <c r="E9" s="2" t="str">
        <f>RawData!C12</f>
        <v>Wall, John</v>
      </c>
      <c r="F9" s="2">
        <f>RawData!N12</f>
        <v>44.7</v>
      </c>
      <c r="G9" s="37">
        <f>RawData!H12</f>
        <v>10600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N9" t="s">
        <v>22</v>
      </c>
      <c r="O9">
        <f>60000</f>
        <v>60000</v>
      </c>
    </row>
    <row r="10" spans="1:20" x14ac:dyDescent="0.25">
      <c r="A10">
        <f t="shared" si="0"/>
        <v>0</v>
      </c>
      <c r="B10">
        <f>IF(C10=0,0,A10&amp;" "&amp;COUNTIF($A$1:$A10,A10))</f>
        <v>0</v>
      </c>
      <c r="C10" s="1">
        <v>0</v>
      </c>
      <c r="D10" s="2" t="str">
        <f>RawData!B13</f>
        <v>C</v>
      </c>
      <c r="E10" s="2" t="str">
        <f>RawData!C13</f>
        <v>Towns, Karl-Anthony</v>
      </c>
      <c r="F10" s="2">
        <f>RawData!N13</f>
        <v>49.6</v>
      </c>
      <c r="G10" s="37">
        <f>RawData!H13</f>
        <v>10400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</row>
    <row r="11" spans="1:20" x14ac:dyDescent="0.25">
      <c r="A11">
        <f t="shared" si="0"/>
        <v>0</v>
      </c>
      <c r="B11">
        <f>IF(C11=0,0,A11&amp;" "&amp;COUNTIF($A$1:$A11,A11))</f>
        <v>0</v>
      </c>
      <c r="C11" s="1">
        <v>0</v>
      </c>
      <c r="D11" s="2" t="str">
        <f>RawData!B14</f>
        <v>PG</v>
      </c>
      <c r="E11" s="2" t="str">
        <f>RawData!C14</f>
        <v>Thomas, Isaiah</v>
      </c>
      <c r="F11" s="2">
        <f>RawData!N14</f>
        <v>45.8</v>
      </c>
      <c r="G11" s="37">
        <f>RawData!H14</f>
        <v>10500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N11" t="s">
        <v>23</v>
      </c>
      <c r="O11">
        <f>SUMPRODUCT(C2:C339,F2:F339)</f>
        <v>0</v>
      </c>
    </row>
    <row r="12" spans="1:20" x14ac:dyDescent="0.25">
      <c r="A12">
        <f t="shared" si="0"/>
        <v>0</v>
      </c>
      <c r="B12">
        <f>IF(C12=0,0,A12&amp;" "&amp;COUNTIF($A$1:$A12,A12))</f>
        <v>0</v>
      </c>
      <c r="C12" s="1">
        <v>0</v>
      </c>
      <c r="D12" s="2" t="str">
        <f>RawData!B15</f>
        <v>SF</v>
      </c>
      <c r="E12" s="2" t="str">
        <f>RawData!C15</f>
        <v>Butler, Jimmy</v>
      </c>
      <c r="F12" s="2">
        <f>RawData!N15</f>
        <v>40.4</v>
      </c>
      <c r="G12" s="37">
        <f>RawData!H15</f>
        <v>9400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</row>
    <row r="13" spans="1:20" x14ac:dyDescent="0.25">
      <c r="A13">
        <f t="shared" si="0"/>
        <v>0</v>
      </c>
      <c r="B13">
        <f>IF(C13=0,0,A13&amp;" "&amp;COUNTIF($A$1:$A13,A13))</f>
        <v>0</v>
      </c>
      <c r="C13" s="1">
        <v>0</v>
      </c>
      <c r="D13" s="2" t="str">
        <f>RawData!B16</f>
        <v>PG</v>
      </c>
      <c r="E13" s="2" t="str">
        <f>RawData!C16</f>
        <v>Paul, Chris</v>
      </c>
      <c r="F13" s="2">
        <f>RawData!N16</f>
        <v>40.4</v>
      </c>
      <c r="G13" s="37">
        <f>RawData!H16</f>
        <v>8800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N13" t="s">
        <v>24</v>
      </c>
      <c r="O13">
        <v>8</v>
      </c>
    </row>
    <row r="14" spans="1:20" x14ac:dyDescent="0.25">
      <c r="A14">
        <f t="shared" si="0"/>
        <v>0</v>
      </c>
      <c r="B14">
        <f>IF(C14=0,0,A14&amp;" "&amp;COUNTIF($A$1:$A14,A14))</f>
        <v>0</v>
      </c>
      <c r="C14" s="1">
        <v>0</v>
      </c>
      <c r="D14" s="2" t="str">
        <f>RawData!B17</f>
        <v>PG</v>
      </c>
      <c r="E14" s="2" t="str">
        <f>RawData!C17</f>
        <v>Curry, Stephen</v>
      </c>
      <c r="F14" s="2">
        <f>RawData!N17</f>
        <v>46.4</v>
      </c>
      <c r="G14" s="37">
        <f>RawData!H17</f>
        <v>9700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N14" t="s">
        <v>25</v>
      </c>
      <c r="O14">
        <f>SUM(C:C)</f>
        <v>0</v>
      </c>
    </row>
    <row r="15" spans="1:20" x14ac:dyDescent="0.25">
      <c r="A15">
        <f t="shared" si="0"/>
        <v>0</v>
      </c>
      <c r="B15">
        <f>IF(C15=0,0,A15&amp;" "&amp;COUNTIF($A$1:$A15,A15))</f>
        <v>0</v>
      </c>
      <c r="C15" s="1">
        <v>0</v>
      </c>
      <c r="D15" s="2" t="str">
        <f>RawData!B18</f>
        <v>SG</v>
      </c>
      <c r="E15" s="2" t="str">
        <f>RawData!C18</f>
        <v>DeRozan, DeMar</v>
      </c>
      <c r="F15" s="2">
        <f>RawData!N18</f>
        <v>41.9</v>
      </c>
      <c r="G15" s="37">
        <f>RawData!H18</f>
        <v>8900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</row>
    <row r="16" spans="1:20" x14ac:dyDescent="0.25">
      <c r="A16">
        <f t="shared" si="0"/>
        <v>0</v>
      </c>
      <c r="B16">
        <f>IF(C16=0,0,A16&amp;" "&amp;COUNTIF($A$1:$A16,A16))</f>
        <v>0</v>
      </c>
      <c r="C16" s="1">
        <v>0</v>
      </c>
      <c r="D16" s="2" t="str">
        <f>RawData!B19</f>
        <v>PG</v>
      </c>
      <c r="E16" s="2" t="str">
        <f>RawData!C19</f>
        <v>Lowry, Kyle</v>
      </c>
      <c r="F16" s="2">
        <f>RawData!N19</f>
        <v>42.7</v>
      </c>
      <c r="G16" s="37">
        <f>RawData!H19</f>
        <v>9500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N16" t="s">
        <v>27</v>
      </c>
    </row>
    <row r="17" spans="1:15" x14ac:dyDescent="0.25">
      <c r="A17">
        <f t="shared" si="0"/>
        <v>0</v>
      </c>
      <c r="B17">
        <f>IF(C17=0,0,A17&amp;" "&amp;COUNTIF($A$1:$A17,A17))</f>
        <v>0</v>
      </c>
      <c r="C17" s="1">
        <v>0</v>
      </c>
      <c r="D17" s="2" t="str">
        <f>RawData!B20</f>
        <v>SF</v>
      </c>
      <c r="E17" s="2" t="str">
        <f>RawData!C20</f>
        <v>Leonard, Kawhi</v>
      </c>
      <c r="F17" s="2">
        <f>RawData!N20</f>
        <v>43.8</v>
      </c>
      <c r="G17" s="37">
        <f>RawData!H20</f>
        <v>9700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N17" t="s">
        <v>179</v>
      </c>
      <c r="O17" t="e">
        <f>VLOOKUP(N17,B2:F101,4,FALSE)</f>
        <v>#N/A</v>
      </c>
    </row>
    <row r="18" spans="1:15" x14ac:dyDescent="0.25">
      <c r="A18">
        <f t="shared" si="0"/>
        <v>0</v>
      </c>
      <c r="B18">
        <f>IF(C18=0,0,A18&amp;" "&amp;COUNTIF($A$1:$A18,A18))</f>
        <v>0</v>
      </c>
      <c r="C18" s="1">
        <v>0</v>
      </c>
      <c r="D18" s="2" t="str">
        <f>RawData!B21</f>
        <v>PG</v>
      </c>
      <c r="E18" s="2" t="str">
        <f>RawData!C21</f>
        <v>Lillard, Damian</v>
      </c>
      <c r="F18" s="2">
        <f>RawData!N21</f>
        <v>36.5</v>
      </c>
      <c r="G18" s="37">
        <f>RawData!H21</f>
        <v>8400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N18" t="s">
        <v>180</v>
      </c>
      <c r="O18" s="2" t="e">
        <f t="shared" ref="O18:O24" si="3">VLOOKUP(N18,B3:F102,4,FALSE)</f>
        <v>#N/A</v>
      </c>
    </row>
    <row r="19" spans="1:15" x14ac:dyDescent="0.25">
      <c r="A19">
        <f t="shared" si="0"/>
        <v>0</v>
      </c>
      <c r="B19">
        <f>IF(C19=0,0,A19&amp;" "&amp;COUNTIF($A$1:$A19,A19))</f>
        <v>0</v>
      </c>
      <c r="C19" s="1">
        <v>0</v>
      </c>
      <c r="D19" s="2" t="str">
        <f>RawData!B22</f>
        <v>PF</v>
      </c>
      <c r="E19" s="2" t="str">
        <f>RawData!C22</f>
        <v>Griffin, Blake</v>
      </c>
      <c r="F19" s="2">
        <f>RawData!N22</f>
        <v>38.5</v>
      </c>
      <c r="G19" s="37">
        <f>RawData!H22</f>
        <v>9200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N19" t="s">
        <v>181</v>
      </c>
      <c r="O19" s="2" t="e">
        <f t="shared" si="3"/>
        <v>#N/A</v>
      </c>
    </row>
    <row r="20" spans="1:15" x14ac:dyDescent="0.25">
      <c r="A20">
        <f t="shared" si="0"/>
        <v>0</v>
      </c>
      <c r="B20">
        <f>IF(C20=0,0,A20&amp;" "&amp;COUNTIF($A$1:$A20,A20))</f>
        <v>0</v>
      </c>
      <c r="C20" s="1">
        <v>0</v>
      </c>
      <c r="D20" s="2" t="str">
        <f>RawData!B23</f>
        <v>C</v>
      </c>
      <c r="E20" s="2" t="str">
        <f>RawData!C23</f>
        <v>Whiteside, Hassan</v>
      </c>
      <c r="F20" s="2">
        <f>RawData!N23</f>
        <v>32.4</v>
      </c>
      <c r="G20" s="37">
        <f>RawData!H23</f>
        <v>8800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N20" t="s">
        <v>182</v>
      </c>
      <c r="O20" s="2" t="e">
        <f t="shared" si="3"/>
        <v>#N/A</v>
      </c>
    </row>
    <row r="21" spans="1:15" x14ac:dyDescent="0.25">
      <c r="A21">
        <f t="shared" si="0"/>
        <v>0</v>
      </c>
      <c r="B21">
        <f>IF(C21=0,0,A21&amp;" "&amp;COUNTIF($A$1:$A21,A21))</f>
        <v>0</v>
      </c>
      <c r="C21" s="1">
        <v>0</v>
      </c>
      <c r="D21" s="2" t="str">
        <f>RawData!B24</f>
        <v>PG</v>
      </c>
      <c r="E21" s="2" t="str">
        <f>RawData!C24</f>
        <v>Bledsoe, Eric</v>
      </c>
      <c r="F21" s="2">
        <f>RawData!N24</f>
        <v>43</v>
      </c>
      <c r="G21" s="37">
        <f>RawData!H24</f>
        <v>9500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N21" t="s">
        <v>183</v>
      </c>
      <c r="O21" s="2" t="e">
        <f t="shared" si="3"/>
        <v>#N/A</v>
      </c>
    </row>
    <row r="22" spans="1:15" x14ac:dyDescent="0.25">
      <c r="A22">
        <f t="shared" si="0"/>
        <v>0</v>
      </c>
      <c r="B22">
        <f>IF(C22=0,0,A22&amp;" "&amp;COUNTIF($A$1:$A22,A22))</f>
        <v>0</v>
      </c>
      <c r="C22" s="1">
        <v>0</v>
      </c>
      <c r="D22" s="2" t="str">
        <f>RawData!B25</f>
        <v>PG</v>
      </c>
      <c r="E22" s="2" t="str">
        <f>RawData!C25</f>
        <v>Irving, Kyrie</v>
      </c>
      <c r="F22" s="2">
        <f>RawData!N25</f>
        <v>37.4</v>
      </c>
      <c r="G22" s="37">
        <f>RawData!H25</f>
        <v>8600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N22" t="s">
        <v>184</v>
      </c>
      <c r="O22" s="2" t="e">
        <f t="shared" si="3"/>
        <v>#N/A</v>
      </c>
    </row>
    <row r="23" spans="1:15" x14ac:dyDescent="0.25">
      <c r="A23">
        <f t="shared" si="0"/>
        <v>0</v>
      </c>
      <c r="B23">
        <f>IF(C23=0,0,A23&amp;" "&amp;COUNTIF($A$1:$A23,A23))</f>
        <v>0</v>
      </c>
      <c r="C23" s="1">
        <v>0</v>
      </c>
      <c r="D23" s="2" t="str">
        <f>RawData!B26</f>
        <v>C</v>
      </c>
      <c r="E23" s="2" t="str">
        <f>RawData!C26</f>
        <v>Gasol, Marc</v>
      </c>
      <c r="F23" s="2">
        <f>RawData!N26</f>
        <v>39.4</v>
      </c>
      <c r="G23" s="37">
        <f>RawData!H26</f>
        <v>8700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N23" t="s">
        <v>185</v>
      </c>
      <c r="O23" s="2" t="e">
        <f t="shared" si="3"/>
        <v>#N/A</v>
      </c>
    </row>
    <row r="24" spans="1:15" x14ac:dyDescent="0.25">
      <c r="A24">
        <f t="shared" si="0"/>
        <v>0</v>
      </c>
      <c r="B24">
        <f>IF(C24=0,0,A24&amp;" "&amp;COUNTIF($A$1:$A24,A24))</f>
        <v>0</v>
      </c>
      <c r="C24" s="1">
        <v>0</v>
      </c>
      <c r="D24" s="2" t="str">
        <f>RawData!B27</f>
        <v>PG</v>
      </c>
      <c r="E24" s="2" t="str">
        <f>RawData!C27</f>
        <v>Walker, Kemba</v>
      </c>
      <c r="F24" s="2">
        <f>RawData!N27</f>
        <v>35.9</v>
      </c>
      <c r="G24" s="37">
        <f>RawData!H27</f>
        <v>7600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N24" t="s">
        <v>186</v>
      </c>
      <c r="O24" s="2" t="e">
        <f t="shared" si="3"/>
        <v>#N/A</v>
      </c>
    </row>
    <row r="25" spans="1:15" x14ac:dyDescent="0.25">
      <c r="A25">
        <f t="shared" si="0"/>
        <v>0</v>
      </c>
      <c r="B25">
        <f>IF(C25=0,0,A25&amp;" "&amp;COUNTIF($A$1:$A25,A25))</f>
        <v>0</v>
      </c>
      <c r="C25" s="1">
        <v>0</v>
      </c>
      <c r="D25" s="2" t="str">
        <f>RawData!B28</f>
        <v>C</v>
      </c>
      <c r="E25" s="2" t="str">
        <f>RawData!C28</f>
        <v>Drummond, Andre</v>
      </c>
      <c r="F25" s="2">
        <f>RawData!N28</f>
        <v>39.1</v>
      </c>
      <c r="G25" s="37">
        <f>RawData!H28</f>
        <v>8500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</row>
    <row r="26" spans="1:15" x14ac:dyDescent="0.25">
      <c r="A26">
        <f t="shared" si="0"/>
        <v>0</v>
      </c>
      <c r="B26">
        <f>IF(C26=0,0,A26&amp;" "&amp;COUNTIF($A$1:$A26,A26))</f>
        <v>0</v>
      </c>
      <c r="C26" s="1">
        <v>0</v>
      </c>
      <c r="D26" s="2" t="str">
        <f>RawData!B29</f>
        <v>PF</v>
      </c>
      <c r="E26" s="2" t="str">
        <f>RawData!C29</f>
        <v>Love, Kevin</v>
      </c>
      <c r="F26" s="2">
        <f>RawData!N29</f>
        <v>30.5</v>
      </c>
      <c r="G26" s="37">
        <f>RawData!H29</f>
        <v>7600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</row>
    <row r="27" spans="1:15" x14ac:dyDescent="0.25">
      <c r="A27">
        <f t="shared" si="0"/>
        <v>0</v>
      </c>
      <c r="B27">
        <f>IF(C27=0,0,A27&amp;" "&amp;COUNTIF($A$1:$A27,A27))</f>
        <v>0</v>
      </c>
      <c r="C27" s="1">
        <v>0</v>
      </c>
      <c r="D27" s="2" t="str">
        <f>RawData!B39</f>
        <v>PF</v>
      </c>
      <c r="E27" s="2" t="str">
        <f>RawData!C39</f>
        <v>Millsap, Paul</v>
      </c>
      <c r="F27" s="2">
        <f>RawData!N39</f>
        <v>36.1</v>
      </c>
      <c r="G27" s="37">
        <f>RawData!H39</f>
        <v>7900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</row>
    <row r="28" spans="1:15" x14ac:dyDescent="0.25">
      <c r="A28">
        <f t="shared" si="0"/>
        <v>0</v>
      </c>
      <c r="B28">
        <f>IF(C28=0,0,A28&amp;" "&amp;COUNTIF($A$1:$A28,A28))</f>
        <v>0</v>
      </c>
      <c r="C28" s="1">
        <v>0</v>
      </c>
      <c r="D28" s="2" t="str">
        <f>RawData!B40</f>
        <v>PF</v>
      </c>
      <c r="E28" s="2" t="str">
        <f>RawData!C40</f>
        <v>Green, Draymond</v>
      </c>
      <c r="F28" s="2">
        <f>RawData!N40</f>
        <v>33.9</v>
      </c>
      <c r="G28" s="37">
        <f>RawData!H40</f>
        <v>7800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</row>
    <row r="29" spans="1:15" x14ac:dyDescent="0.25">
      <c r="A29">
        <f t="shared" si="0"/>
        <v>0</v>
      </c>
      <c r="B29">
        <f>IF(C29=0,0,A29&amp;" "&amp;COUNTIF($A$1:$A29,A29))</f>
        <v>0</v>
      </c>
      <c r="C29" s="1">
        <v>0</v>
      </c>
      <c r="D29" s="2" t="str">
        <f>RawData!B41</f>
        <v>SF</v>
      </c>
      <c r="E29" s="2" t="str">
        <f>RawData!C41</f>
        <v>George, Paul</v>
      </c>
      <c r="F29" s="2">
        <f>RawData!N41</f>
        <v>34.6</v>
      </c>
      <c r="G29" s="37">
        <f>RawData!H41</f>
        <v>8700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</row>
    <row r="30" spans="1:15" x14ac:dyDescent="0.25">
      <c r="A30">
        <f t="shared" si="0"/>
        <v>0</v>
      </c>
      <c r="B30">
        <f>IF(C30=0,0,A30&amp;" "&amp;COUNTIF($A$1:$A30,A30))</f>
        <v>0</v>
      </c>
      <c r="C30" s="1">
        <v>0</v>
      </c>
      <c r="D30" s="2" t="str">
        <f>RawData!B42</f>
        <v>C</v>
      </c>
      <c r="E30" s="2" t="str">
        <f>RawData!C42</f>
        <v>Embiid, Joel</v>
      </c>
      <c r="F30" s="2">
        <f>RawData!N42</f>
        <v>42</v>
      </c>
      <c r="G30" s="37">
        <f>RawData!H42</f>
        <v>8700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</row>
    <row r="31" spans="1:15" x14ac:dyDescent="0.25">
      <c r="A31">
        <f t="shared" si="0"/>
        <v>0</v>
      </c>
      <c r="B31">
        <f>IF(C31=0,0,A31&amp;" "&amp;COUNTIF($A$1:$A31,A31))</f>
        <v>0</v>
      </c>
      <c r="C31" s="1">
        <v>0</v>
      </c>
      <c r="D31" s="2" t="str">
        <f>RawData!B43</f>
        <v>SF</v>
      </c>
      <c r="E31" s="2" t="str">
        <f>RawData!C43</f>
        <v>Anthony, Carmelo</v>
      </c>
      <c r="F31" s="2">
        <f>RawData!N43</f>
        <v>36.9</v>
      </c>
      <c r="G31" s="37">
        <f>RawData!H43</f>
        <v>8100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</row>
    <row r="32" spans="1:15" x14ac:dyDescent="0.25">
      <c r="A32">
        <f t="shared" si="0"/>
        <v>0</v>
      </c>
      <c r="B32">
        <f>IF(C32=0,0,A32&amp;" "&amp;COUNTIF($A$1:$A32,A32))</f>
        <v>0</v>
      </c>
      <c r="C32" s="1">
        <v>0</v>
      </c>
      <c r="D32" s="2" t="str">
        <f>RawData!B44</f>
        <v>SG</v>
      </c>
      <c r="E32" s="2" t="str">
        <f>RawData!C44</f>
        <v>McCollum, C.J.</v>
      </c>
      <c r="F32" s="2">
        <f>RawData!N44</f>
        <v>36.799999999999997</v>
      </c>
      <c r="G32" s="37">
        <f>RawData!H44</f>
        <v>7800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</row>
    <row r="33" spans="1:12" x14ac:dyDescent="0.25">
      <c r="A33">
        <f t="shared" si="0"/>
        <v>0</v>
      </c>
      <c r="B33">
        <f>IF(C33=0,0,A33&amp;" "&amp;COUNTIF($A$1:$A33,A33))</f>
        <v>0</v>
      </c>
      <c r="C33" s="1">
        <v>0</v>
      </c>
      <c r="D33" s="2" t="str">
        <f>RawData!B45</f>
        <v>SF</v>
      </c>
      <c r="E33" s="2" t="str">
        <f>RawData!C45</f>
        <v>Hayward, Gordon</v>
      </c>
      <c r="F33" s="2">
        <f>RawData!N45</f>
        <v>31.4</v>
      </c>
      <c r="G33" s="37">
        <f>RawData!H45</f>
        <v>7600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</row>
    <row r="34" spans="1:12" x14ac:dyDescent="0.25">
      <c r="A34">
        <f t="shared" si="0"/>
        <v>0</v>
      </c>
      <c r="B34">
        <f>IF(C34=0,0,A34&amp;" "&amp;COUNTIF($A$1:$A34,A34))</f>
        <v>0</v>
      </c>
      <c r="C34" s="1">
        <v>0</v>
      </c>
      <c r="D34" s="2" t="str">
        <f>RawData!B46</f>
        <v>PG</v>
      </c>
      <c r="E34" s="2" t="str">
        <f>RawData!C46</f>
        <v>Conley, Mike</v>
      </c>
      <c r="F34" s="2">
        <f>RawData!N46</f>
        <v>37.799999999999997</v>
      </c>
      <c r="G34" s="37">
        <f>RawData!H46</f>
        <v>7800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</row>
    <row r="35" spans="1:12" x14ac:dyDescent="0.25">
      <c r="A35">
        <f t="shared" si="0"/>
        <v>0</v>
      </c>
      <c r="B35">
        <f>IF(C35=0,0,A35&amp;" "&amp;COUNTIF($A$1:$A35,A35))</f>
        <v>0</v>
      </c>
      <c r="C35" s="1">
        <v>0</v>
      </c>
      <c r="D35" s="2" t="str">
        <f>RawData!B47</f>
        <v>C</v>
      </c>
      <c r="E35" s="2" t="str">
        <f>RawData!C47</f>
        <v>Horford, Al</v>
      </c>
      <c r="F35" s="2">
        <f>RawData!N47</f>
        <v>33.4</v>
      </c>
      <c r="G35" s="37">
        <f>RawData!H47</f>
        <v>7400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</row>
    <row r="36" spans="1:12" x14ac:dyDescent="0.25">
      <c r="A36">
        <f t="shared" si="0"/>
        <v>0</v>
      </c>
      <c r="B36">
        <f>IF(C36=0,0,A36&amp;" "&amp;COUNTIF($A$1:$A36,A36))</f>
        <v>0</v>
      </c>
      <c r="C36" s="1">
        <v>0</v>
      </c>
      <c r="D36" s="2" t="str">
        <f>RawData!B48</f>
        <v>C</v>
      </c>
      <c r="E36" s="2" t="str">
        <f>RawData!C48</f>
        <v>Gobert, Rudy</v>
      </c>
      <c r="F36" s="2">
        <f>RawData!N48</f>
        <v>37.299999999999997</v>
      </c>
      <c r="G36" s="37">
        <f>RawData!H48</f>
        <v>7900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</row>
    <row r="37" spans="1:12" x14ac:dyDescent="0.25">
      <c r="A37">
        <f t="shared" si="0"/>
        <v>0</v>
      </c>
      <c r="B37">
        <f>IF(C37=0,0,A37&amp;" "&amp;COUNTIF($A$1:$A37,A37))</f>
        <v>0</v>
      </c>
      <c r="C37" s="1">
        <v>0</v>
      </c>
      <c r="D37" s="2" t="str">
        <f>RawData!B49</f>
        <v>PG</v>
      </c>
      <c r="E37" s="2" t="str">
        <f>RawData!C49</f>
        <v>Teague, Jeff</v>
      </c>
      <c r="F37" s="2">
        <f>RawData!N49</f>
        <v>36</v>
      </c>
      <c r="G37" s="37">
        <f>RawData!H49</f>
        <v>7600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</row>
    <row r="38" spans="1:12" x14ac:dyDescent="0.25">
      <c r="A38">
        <f t="shared" si="0"/>
        <v>0</v>
      </c>
      <c r="B38">
        <f>IF(C38=0,0,A38&amp;" "&amp;COUNTIF($A$1:$A38,A38))</f>
        <v>0</v>
      </c>
      <c r="C38" s="1">
        <v>0</v>
      </c>
      <c r="D38" s="2" t="str">
        <f>RawData!B50</f>
        <v>PG</v>
      </c>
      <c r="E38" s="2" t="str">
        <f>RawData!C50</f>
        <v>Dragic, Goran</v>
      </c>
      <c r="F38" s="2">
        <f>RawData!N50</f>
        <v>35.1</v>
      </c>
      <c r="G38" s="37">
        <f>RawData!H50</f>
        <v>8100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</row>
    <row r="39" spans="1:12" x14ac:dyDescent="0.25">
      <c r="A39">
        <f t="shared" si="0"/>
        <v>0</v>
      </c>
      <c r="B39">
        <f>IF(C39=0,0,A39&amp;" "&amp;COUNTIF($A$1:$A39,A39))</f>
        <v>0</v>
      </c>
      <c r="C39" s="1">
        <v>0</v>
      </c>
      <c r="D39" s="2" t="str">
        <f>RawData!B51</f>
        <v>C</v>
      </c>
      <c r="E39" s="2" t="str">
        <f>RawData!C51</f>
        <v>Howard, Dwight</v>
      </c>
      <c r="F39" s="2">
        <f>RawData!N51</f>
        <v>32.299999999999997</v>
      </c>
      <c r="G39" s="37">
        <f>RawData!H51</f>
        <v>7400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</row>
    <row r="40" spans="1:12" x14ac:dyDescent="0.25">
      <c r="A40">
        <f t="shared" si="0"/>
        <v>0</v>
      </c>
      <c r="B40">
        <f>IF(C40=0,0,A40&amp;" "&amp;COUNTIF($A$1:$A40,A40))</f>
        <v>0</v>
      </c>
      <c r="C40" s="1">
        <v>0</v>
      </c>
      <c r="D40" s="2" t="str">
        <f>RawData!B52</f>
        <v>C</v>
      </c>
      <c r="E40" s="2" t="str">
        <f>RawData!C52</f>
        <v>Jordan, DeAndre</v>
      </c>
      <c r="F40" s="2">
        <f>RawData!N52</f>
        <v>37.9</v>
      </c>
      <c r="G40" s="37">
        <f>RawData!H52</f>
        <v>8000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</row>
    <row r="41" spans="1:12" x14ac:dyDescent="0.25">
      <c r="A41">
        <f t="shared" si="0"/>
        <v>0</v>
      </c>
      <c r="B41">
        <f>IF(C41=0,0,A41&amp;" "&amp;COUNTIF($A$1:$A41,A41))</f>
        <v>0</v>
      </c>
      <c r="C41" s="1">
        <v>0</v>
      </c>
      <c r="D41" s="2" t="str">
        <f>RawData!B53</f>
        <v>SG</v>
      </c>
      <c r="E41" s="2" t="str">
        <f>RawData!C53</f>
        <v>Batum, Nicolas</v>
      </c>
      <c r="F41" s="2">
        <f>RawData!N53</f>
        <v>31.4</v>
      </c>
      <c r="G41" s="37">
        <f>RawData!H53</f>
        <v>7100</v>
      </c>
      <c r="H41">
        <f t="shared" si="2"/>
        <v>0</v>
      </c>
      <c r="I41">
        <f t="shared" si="2"/>
        <v>0</v>
      </c>
      <c r="J41">
        <f t="shared" ref="I41:L56" si="4">IF($D41=J$1,$C41*1,0)</f>
        <v>0</v>
      </c>
      <c r="K41">
        <f t="shared" si="4"/>
        <v>0</v>
      </c>
      <c r="L41">
        <f t="shared" si="4"/>
        <v>0</v>
      </c>
    </row>
    <row r="42" spans="1:12" x14ac:dyDescent="0.25">
      <c r="A42">
        <f t="shared" si="0"/>
        <v>0</v>
      </c>
      <c r="B42">
        <f>IF(C42=0,0,A42&amp;" "&amp;COUNTIF($A$1:$A42,A42))</f>
        <v>0</v>
      </c>
      <c r="C42" s="1">
        <v>0</v>
      </c>
      <c r="D42" s="2" t="str">
        <f>RawData!B54</f>
        <v>SF</v>
      </c>
      <c r="E42" s="2" t="str">
        <f>RawData!C54</f>
        <v>Gay, Rudy</v>
      </c>
      <c r="F42" s="2">
        <f>RawData!N54</f>
        <v>33.6</v>
      </c>
      <c r="G42" s="37">
        <f>RawData!H54</f>
        <v>0</v>
      </c>
      <c r="H42">
        <f t="shared" si="2"/>
        <v>0</v>
      </c>
      <c r="I42">
        <f t="shared" si="4"/>
        <v>0</v>
      </c>
      <c r="J42">
        <f t="shared" si="4"/>
        <v>0</v>
      </c>
      <c r="K42">
        <f t="shared" si="4"/>
        <v>0</v>
      </c>
      <c r="L42">
        <f t="shared" si="4"/>
        <v>0</v>
      </c>
    </row>
    <row r="43" spans="1:12" x14ac:dyDescent="0.25">
      <c r="A43">
        <f t="shared" si="0"/>
        <v>0</v>
      </c>
      <c r="B43">
        <f>IF(C43=0,0,A43&amp;" "&amp;COUNTIF($A$1:$A43,A43))</f>
        <v>0</v>
      </c>
      <c r="C43" s="1">
        <v>0</v>
      </c>
      <c r="D43" s="2" t="str">
        <f>RawData!B55</f>
        <v>PF</v>
      </c>
      <c r="E43" s="2" t="str">
        <f>RawData!C55</f>
        <v>Parker, Jabari</v>
      </c>
      <c r="F43" s="2">
        <f>RawData!N55</f>
        <v>33.6</v>
      </c>
      <c r="G43" s="37">
        <f>RawData!H55</f>
        <v>7400</v>
      </c>
      <c r="H43">
        <f t="shared" si="2"/>
        <v>0</v>
      </c>
      <c r="I43">
        <f t="shared" si="4"/>
        <v>0</v>
      </c>
      <c r="J43">
        <f t="shared" si="4"/>
        <v>0</v>
      </c>
      <c r="K43">
        <f t="shared" si="4"/>
        <v>0</v>
      </c>
      <c r="L43">
        <f t="shared" si="4"/>
        <v>0</v>
      </c>
    </row>
    <row r="44" spans="1:12" x14ac:dyDescent="0.25">
      <c r="A44">
        <f t="shared" si="0"/>
        <v>0</v>
      </c>
      <c r="B44">
        <f>IF(C44=0,0,A44&amp;" "&amp;COUNTIF($A$1:$A44,A44))</f>
        <v>0</v>
      </c>
      <c r="C44" s="1">
        <v>0</v>
      </c>
      <c r="D44" s="2" t="str">
        <f>RawData!B56</f>
        <v>PF</v>
      </c>
      <c r="E44" s="2" t="str">
        <f>RawData!C56</f>
        <v>Jokic, Nikola</v>
      </c>
      <c r="F44" s="2">
        <f>RawData!N56</f>
        <v>47.8</v>
      </c>
      <c r="G44" s="37">
        <f>RawData!H56</f>
        <v>10300</v>
      </c>
      <c r="H44">
        <f t="shared" si="2"/>
        <v>0</v>
      </c>
      <c r="I44">
        <f t="shared" si="4"/>
        <v>0</v>
      </c>
      <c r="J44">
        <f t="shared" si="4"/>
        <v>0</v>
      </c>
      <c r="K44">
        <f t="shared" si="4"/>
        <v>0</v>
      </c>
      <c r="L44">
        <f t="shared" si="4"/>
        <v>0</v>
      </c>
    </row>
    <row r="45" spans="1:12" x14ac:dyDescent="0.25">
      <c r="A45">
        <f t="shared" si="0"/>
        <v>0</v>
      </c>
      <c r="B45">
        <f>IF(C45=0,0,A45&amp;" "&amp;COUNTIF($A$1:$A45,A45))</f>
        <v>0</v>
      </c>
      <c r="C45" s="1">
        <v>0</v>
      </c>
      <c r="D45" s="2" t="str">
        <f>RawData!B57</f>
        <v>PF</v>
      </c>
      <c r="E45" s="2" t="str">
        <f>RawData!C57</f>
        <v>Porzingis, Kristaps</v>
      </c>
      <c r="F45" s="2">
        <f>RawData!N57</f>
        <v>25</v>
      </c>
      <c r="G45" s="37">
        <f>RawData!H57</f>
        <v>6600</v>
      </c>
      <c r="H45">
        <f t="shared" si="2"/>
        <v>0</v>
      </c>
      <c r="I45">
        <f t="shared" si="4"/>
        <v>0</v>
      </c>
      <c r="J45">
        <f t="shared" si="4"/>
        <v>0</v>
      </c>
      <c r="K45">
        <f t="shared" si="4"/>
        <v>0</v>
      </c>
      <c r="L45">
        <f t="shared" si="4"/>
        <v>0</v>
      </c>
    </row>
    <row r="46" spans="1:12" x14ac:dyDescent="0.25">
      <c r="A46">
        <f t="shared" si="0"/>
        <v>0</v>
      </c>
      <c r="B46">
        <f>IF(C46=0,0,A46&amp;" "&amp;COUNTIF($A$1:$A46,A46))</f>
        <v>0</v>
      </c>
      <c r="C46" s="1">
        <v>0</v>
      </c>
      <c r="D46" s="2" t="str">
        <f>RawData!B58</f>
        <v>PG</v>
      </c>
      <c r="E46" s="2" t="str">
        <f>RawData!C58</f>
        <v>Holiday, Jrue</v>
      </c>
      <c r="F46" s="2">
        <f>RawData!N58</f>
        <v>34.700000000000003</v>
      </c>
      <c r="G46" s="37">
        <f>RawData!H58</f>
        <v>8000</v>
      </c>
      <c r="H46">
        <f t="shared" si="2"/>
        <v>0</v>
      </c>
      <c r="I46">
        <f t="shared" si="4"/>
        <v>0</v>
      </c>
      <c r="J46">
        <f t="shared" si="4"/>
        <v>0</v>
      </c>
      <c r="K46">
        <f t="shared" si="4"/>
        <v>0</v>
      </c>
      <c r="L46">
        <f t="shared" si="4"/>
        <v>0</v>
      </c>
    </row>
    <row r="47" spans="1:12" x14ac:dyDescent="0.25">
      <c r="A47">
        <f t="shared" si="0"/>
        <v>0</v>
      </c>
      <c r="B47">
        <f>IF(C47=0,0,A47&amp;" "&amp;COUNTIF($A$1:$A47,A47))</f>
        <v>0</v>
      </c>
      <c r="C47" s="1">
        <v>0</v>
      </c>
      <c r="D47" s="2" t="str">
        <f>RawData!B59</f>
        <v>C</v>
      </c>
      <c r="E47" s="2" t="str">
        <f>RawData!C59</f>
        <v>Lopez, Brook</v>
      </c>
      <c r="F47" s="2">
        <f>RawData!N59</f>
        <v>31</v>
      </c>
      <c r="G47" s="37">
        <f>RawData!H59</f>
        <v>7200</v>
      </c>
      <c r="H47">
        <f t="shared" si="2"/>
        <v>0</v>
      </c>
      <c r="I47">
        <f t="shared" si="4"/>
        <v>0</v>
      </c>
      <c r="J47">
        <f t="shared" si="4"/>
        <v>0</v>
      </c>
      <c r="K47">
        <f t="shared" si="4"/>
        <v>0</v>
      </c>
      <c r="L47">
        <f t="shared" si="4"/>
        <v>0</v>
      </c>
    </row>
    <row r="48" spans="1:12" x14ac:dyDescent="0.25">
      <c r="A48">
        <f t="shared" si="0"/>
        <v>0</v>
      </c>
      <c r="B48">
        <f>IF(C48=0,0,A48&amp;" "&amp;COUNTIF($A$1:$A48,A48))</f>
        <v>0</v>
      </c>
      <c r="C48" s="1">
        <v>0</v>
      </c>
      <c r="D48" s="2" t="str">
        <f>RawData!B60</f>
        <v>C</v>
      </c>
      <c r="E48" s="2" t="str">
        <f>RawData!C60</f>
        <v>Vucevic, Nikola</v>
      </c>
      <c r="F48" s="2">
        <f>RawData!N60</f>
        <v>33.5</v>
      </c>
      <c r="G48" s="37">
        <f>RawData!H60</f>
        <v>7200</v>
      </c>
      <c r="H48">
        <f t="shared" si="2"/>
        <v>0</v>
      </c>
      <c r="I48">
        <f t="shared" si="4"/>
        <v>0</v>
      </c>
      <c r="J48">
        <f t="shared" si="4"/>
        <v>0</v>
      </c>
      <c r="K48">
        <f t="shared" si="4"/>
        <v>0</v>
      </c>
      <c r="L48">
        <f t="shared" si="4"/>
        <v>0</v>
      </c>
    </row>
    <row r="49" spans="1:12" x14ac:dyDescent="0.25">
      <c r="A49">
        <f t="shared" si="0"/>
        <v>0</v>
      </c>
      <c r="B49">
        <f>IF(C49=0,0,A49&amp;" "&amp;COUNTIF($A$1:$A49,A49))</f>
        <v>0</v>
      </c>
      <c r="C49" s="1">
        <v>0</v>
      </c>
      <c r="D49" s="2" t="str">
        <f>RawData!B61</f>
        <v>SG</v>
      </c>
      <c r="E49" s="2" t="str">
        <f>RawData!C61</f>
        <v>Wade, Dwyane</v>
      </c>
      <c r="F49" s="2">
        <f>RawData!N61</f>
        <v>34.299999999999997</v>
      </c>
      <c r="G49" s="37">
        <f>RawData!H61</f>
        <v>7800</v>
      </c>
      <c r="H49">
        <f t="shared" si="2"/>
        <v>0</v>
      </c>
      <c r="I49">
        <f t="shared" si="4"/>
        <v>0</v>
      </c>
      <c r="J49">
        <f t="shared" si="4"/>
        <v>0</v>
      </c>
      <c r="K49">
        <f t="shared" si="4"/>
        <v>0</v>
      </c>
      <c r="L49">
        <f t="shared" si="4"/>
        <v>0</v>
      </c>
    </row>
    <row r="50" spans="1:12" x14ac:dyDescent="0.25">
      <c r="A50">
        <f t="shared" si="0"/>
        <v>0</v>
      </c>
      <c r="B50">
        <f>IF(C50=0,0,A50&amp;" "&amp;COUNTIF($A$1:$A50,A50))</f>
        <v>0</v>
      </c>
      <c r="C50" s="1">
        <v>0</v>
      </c>
      <c r="D50" s="2" t="str">
        <f>RawData!B62</f>
        <v>PF</v>
      </c>
      <c r="E50" s="2" t="str">
        <f>RawData!C62</f>
        <v>Aldridge, LaMarcus</v>
      </c>
      <c r="F50" s="2">
        <f>RawData!N62</f>
        <v>32.6</v>
      </c>
      <c r="G50" s="37">
        <f>RawData!H62</f>
        <v>7800</v>
      </c>
      <c r="H50">
        <f t="shared" si="2"/>
        <v>0</v>
      </c>
      <c r="I50">
        <f t="shared" si="4"/>
        <v>0</v>
      </c>
      <c r="J50">
        <f t="shared" si="4"/>
        <v>0</v>
      </c>
      <c r="K50">
        <f t="shared" si="4"/>
        <v>0</v>
      </c>
      <c r="L50">
        <f t="shared" si="4"/>
        <v>0</v>
      </c>
    </row>
    <row r="51" spans="1:12" x14ac:dyDescent="0.25">
      <c r="A51">
        <f t="shared" si="0"/>
        <v>0</v>
      </c>
      <c r="B51">
        <f>IF(C51=0,0,A51&amp;" "&amp;COUNTIF($A$1:$A51,A51))</f>
        <v>0</v>
      </c>
      <c r="C51" s="1">
        <v>0</v>
      </c>
      <c r="D51" s="2" t="str">
        <f>RawData!B63</f>
        <v>SG</v>
      </c>
      <c r="E51" s="2" t="str">
        <f>RawData!C63</f>
        <v>Beal, Bradley</v>
      </c>
      <c r="F51" s="2">
        <f>RawData!N63</f>
        <v>30.9</v>
      </c>
      <c r="G51" s="37">
        <f>RawData!H63</f>
        <v>7000</v>
      </c>
      <c r="H51">
        <f t="shared" si="2"/>
        <v>0</v>
      </c>
      <c r="I51">
        <f t="shared" si="4"/>
        <v>0</v>
      </c>
      <c r="J51">
        <f t="shared" si="4"/>
        <v>0</v>
      </c>
      <c r="K51">
        <f t="shared" si="4"/>
        <v>0</v>
      </c>
      <c r="L51">
        <f t="shared" si="4"/>
        <v>0</v>
      </c>
    </row>
    <row r="52" spans="1:12" x14ac:dyDescent="0.25">
      <c r="A52">
        <f t="shared" si="0"/>
        <v>0</v>
      </c>
      <c r="B52">
        <f>IF(C52=0,0,A52&amp;" "&amp;COUNTIF($A$1:$A52,A52))</f>
        <v>0</v>
      </c>
      <c r="C52" s="1">
        <v>0</v>
      </c>
      <c r="D52" s="2" t="str">
        <f>RawData!B67</f>
        <v>C</v>
      </c>
      <c r="E52" s="2" t="str">
        <f>RawData!C67</f>
        <v>Turner, Myles</v>
      </c>
      <c r="F52" s="2">
        <f>RawData!N67</f>
        <v>31.8</v>
      </c>
      <c r="G52" s="37">
        <f>RawData!H64</f>
        <v>42770</v>
      </c>
      <c r="H52">
        <f t="shared" si="2"/>
        <v>0</v>
      </c>
      <c r="I52">
        <f t="shared" si="4"/>
        <v>0</v>
      </c>
      <c r="J52">
        <f t="shared" si="4"/>
        <v>0</v>
      </c>
      <c r="K52">
        <f t="shared" si="4"/>
        <v>0</v>
      </c>
      <c r="L52">
        <f t="shared" si="4"/>
        <v>0</v>
      </c>
    </row>
    <row r="53" spans="1:12" x14ac:dyDescent="0.25">
      <c r="A53">
        <f t="shared" si="0"/>
        <v>0</v>
      </c>
      <c r="B53">
        <f>IF(C53=0,0,A53&amp;" "&amp;COUNTIF($A$1:$A53,A53))</f>
        <v>0</v>
      </c>
      <c r="C53" s="1">
        <v>0</v>
      </c>
      <c r="D53" s="2" t="str">
        <f>RawData!B68</f>
        <v>SG</v>
      </c>
      <c r="E53" s="2" t="str">
        <f>RawData!C68</f>
        <v>Bradley, Avery</v>
      </c>
      <c r="F53" s="2">
        <f>RawData!N68</f>
        <v>28.4</v>
      </c>
      <c r="G53" s="37">
        <f>RawData!H68</f>
        <v>6500</v>
      </c>
      <c r="H53">
        <f t="shared" si="2"/>
        <v>0</v>
      </c>
      <c r="I53">
        <f t="shared" si="4"/>
        <v>0</v>
      </c>
      <c r="J53">
        <f t="shared" si="4"/>
        <v>0</v>
      </c>
      <c r="K53">
        <f t="shared" si="4"/>
        <v>0</v>
      </c>
      <c r="L53">
        <f t="shared" si="4"/>
        <v>0</v>
      </c>
    </row>
    <row r="54" spans="1:12" x14ac:dyDescent="0.25">
      <c r="A54">
        <f t="shared" si="0"/>
        <v>0</v>
      </c>
      <c r="B54">
        <f>IF(C54=0,0,A54&amp;" "&amp;COUNTIF($A$1:$A54,A54))</f>
        <v>0</v>
      </c>
      <c r="C54" s="1">
        <v>0</v>
      </c>
      <c r="D54" s="2" t="str">
        <f>RawData!B69</f>
        <v>SF</v>
      </c>
      <c r="E54" s="2" t="str">
        <f>RawData!C69</f>
        <v>Wiggins, Andrew</v>
      </c>
      <c r="F54" s="2">
        <f>RawData!N69</f>
        <v>32</v>
      </c>
      <c r="G54" s="37">
        <f>RawData!H69</f>
        <v>7300</v>
      </c>
      <c r="H54">
        <f t="shared" si="2"/>
        <v>0</v>
      </c>
      <c r="I54">
        <f t="shared" si="4"/>
        <v>0</v>
      </c>
      <c r="J54">
        <f t="shared" si="4"/>
        <v>0</v>
      </c>
      <c r="K54">
        <f t="shared" si="4"/>
        <v>0</v>
      </c>
      <c r="L54">
        <f t="shared" si="4"/>
        <v>0</v>
      </c>
    </row>
    <row r="55" spans="1:12" x14ac:dyDescent="0.25">
      <c r="A55">
        <f t="shared" si="0"/>
        <v>0</v>
      </c>
      <c r="B55">
        <f>IF(C55=0,0,A55&amp;" "&amp;COUNTIF($A$1:$A55,A55))</f>
        <v>0</v>
      </c>
      <c r="C55" s="1">
        <v>0</v>
      </c>
      <c r="D55" s="2" t="str">
        <f>RawData!B70</f>
        <v>SF</v>
      </c>
      <c r="E55" s="2" t="str">
        <f>RawData!C70</f>
        <v>Barnes, Harrison</v>
      </c>
      <c r="F55" s="2">
        <f>RawData!N70</f>
        <v>29.5</v>
      </c>
      <c r="G55" s="37">
        <f>RawData!H70</f>
        <v>6600</v>
      </c>
      <c r="H55">
        <f t="shared" si="2"/>
        <v>0</v>
      </c>
      <c r="I55">
        <f t="shared" si="4"/>
        <v>0</v>
      </c>
      <c r="J55">
        <f t="shared" si="4"/>
        <v>0</v>
      </c>
      <c r="K55">
        <f t="shared" si="4"/>
        <v>0</v>
      </c>
      <c r="L55">
        <f t="shared" si="4"/>
        <v>0</v>
      </c>
    </row>
    <row r="56" spans="1:12" x14ac:dyDescent="0.25">
      <c r="A56">
        <f t="shared" si="0"/>
        <v>0</v>
      </c>
      <c r="B56">
        <f>IF(C56=0,0,A56&amp;" "&amp;COUNTIF($A$1:$A56,A56))</f>
        <v>0</v>
      </c>
      <c r="C56" s="1">
        <v>0</v>
      </c>
      <c r="D56" s="2" t="str">
        <f>RawData!B71</f>
        <v>SG</v>
      </c>
      <c r="E56" s="2" t="str">
        <f>RawData!C71</f>
        <v>Thompson, Klay</v>
      </c>
      <c r="F56" s="2">
        <f>RawData!N71</f>
        <v>29.7</v>
      </c>
      <c r="G56" s="37">
        <f>RawData!H71</f>
        <v>6700</v>
      </c>
      <c r="H56">
        <f t="shared" si="2"/>
        <v>0</v>
      </c>
      <c r="I56">
        <f t="shared" si="4"/>
        <v>0</v>
      </c>
      <c r="J56">
        <f t="shared" si="4"/>
        <v>0</v>
      </c>
      <c r="K56">
        <f t="shared" si="4"/>
        <v>0</v>
      </c>
      <c r="L56">
        <f t="shared" si="4"/>
        <v>0</v>
      </c>
    </row>
    <row r="57" spans="1:12" x14ac:dyDescent="0.25">
      <c r="A57">
        <f t="shared" si="0"/>
        <v>0</v>
      </c>
      <c r="B57">
        <f>IF(C57=0,0,A57&amp;" "&amp;COUNTIF($A$1:$A57,A57))</f>
        <v>0</v>
      </c>
      <c r="C57" s="1">
        <v>0</v>
      </c>
      <c r="D57" s="2" t="str">
        <f>RawData!B72</f>
        <v>C</v>
      </c>
      <c r="E57" s="2" t="str">
        <f>RawData!C72</f>
        <v>Plumlee, Mason</v>
      </c>
      <c r="F57" s="2">
        <f>RawData!N72</f>
        <v>32</v>
      </c>
      <c r="G57" s="37">
        <f>RawData!H72</f>
        <v>7200</v>
      </c>
      <c r="H57">
        <f t="shared" si="2"/>
        <v>0</v>
      </c>
      <c r="I57">
        <f t="shared" ref="I57:L66" si="5">IF($D57=I$1,$C57*1,0)</f>
        <v>0</v>
      </c>
      <c r="J57">
        <f t="shared" si="5"/>
        <v>0</v>
      </c>
      <c r="K57">
        <f t="shared" si="5"/>
        <v>0</v>
      </c>
      <c r="L57">
        <f t="shared" si="5"/>
        <v>0</v>
      </c>
    </row>
    <row r="58" spans="1:12" x14ac:dyDescent="0.25">
      <c r="A58">
        <f t="shared" si="0"/>
        <v>0</v>
      </c>
      <c r="B58">
        <f>IF(C58=0,0,A58&amp;" "&amp;COUNTIF($A$1:$A58,A58))</f>
        <v>0</v>
      </c>
      <c r="C58" s="1">
        <v>0</v>
      </c>
      <c r="D58" s="2" t="str">
        <f>RawData!B73</f>
        <v>C</v>
      </c>
      <c r="E58" s="2" t="str">
        <f>RawData!C73</f>
        <v>Gortat, Marcin</v>
      </c>
      <c r="F58" s="2">
        <f>RawData!N73</f>
        <v>27.8</v>
      </c>
      <c r="G58" s="37">
        <f>RawData!H73</f>
        <v>6700</v>
      </c>
      <c r="H58">
        <f t="shared" si="2"/>
        <v>0</v>
      </c>
      <c r="I58">
        <f t="shared" si="5"/>
        <v>0</v>
      </c>
      <c r="J58">
        <f t="shared" si="5"/>
        <v>0</v>
      </c>
      <c r="K58">
        <f t="shared" si="5"/>
        <v>0</v>
      </c>
      <c r="L58">
        <f t="shared" si="5"/>
        <v>0</v>
      </c>
    </row>
    <row r="59" spans="1:12" x14ac:dyDescent="0.25">
      <c r="A59">
        <f t="shared" si="0"/>
        <v>0</v>
      </c>
      <c r="B59">
        <f>IF(C59=0,0,A59&amp;" "&amp;COUNTIF($A$1:$A59,A59))</f>
        <v>0</v>
      </c>
      <c r="C59" s="1">
        <v>0</v>
      </c>
      <c r="D59" s="2" t="str">
        <f>RawData!B74</f>
        <v>PG</v>
      </c>
      <c r="E59" s="2" t="str">
        <f>RawData!C74</f>
        <v>Rose, Derrick</v>
      </c>
      <c r="F59" s="2">
        <f>RawData!N74</f>
        <v>28.7</v>
      </c>
      <c r="G59" s="37">
        <f>RawData!H74</f>
        <v>6500</v>
      </c>
      <c r="H59">
        <f t="shared" si="2"/>
        <v>0</v>
      </c>
      <c r="I59">
        <f t="shared" si="5"/>
        <v>0</v>
      </c>
      <c r="J59">
        <f t="shared" si="5"/>
        <v>0</v>
      </c>
      <c r="K59">
        <f t="shared" si="5"/>
        <v>0</v>
      </c>
      <c r="L59">
        <f t="shared" si="5"/>
        <v>0</v>
      </c>
    </row>
    <row r="60" spans="1:12" x14ac:dyDescent="0.25">
      <c r="A60">
        <f t="shared" si="0"/>
        <v>0</v>
      </c>
      <c r="B60">
        <f>IF(C60=0,0,A60&amp;" "&amp;COUNTIF($A$1:$A60,A60))</f>
        <v>0</v>
      </c>
      <c r="C60" s="1">
        <v>0</v>
      </c>
      <c r="D60" s="2" t="str">
        <f>RawData!B75</f>
        <v>PG</v>
      </c>
      <c r="E60" s="2" t="str">
        <f>RawData!C75</f>
        <v>Hill, George</v>
      </c>
      <c r="F60" s="2">
        <f>RawData!N75</f>
        <v>26.5</v>
      </c>
      <c r="G60" s="37">
        <f>RawData!H75</f>
        <v>5800</v>
      </c>
      <c r="H60">
        <f t="shared" si="2"/>
        <v>0</v>
      </c>
      <c r="I60">
        <f t="shared" si="5"/>
        <v>0</v>
      </c>
      <c r="J60">
        <f t="shared" si="5"/>
        <v>0</v>
      </c>
      <c r="K60">
        <f t="shared" si="5"/>
        <v>0</v>
      </c>
      <c r="L60">
        <f t="shared" si="5"/>
        <v>0</v>
      </c>
    </row>
    <row r="61" spans="1:12" x14ac:dyDescent="0.25">
      <c r="A61">
        <f t="shared" si="0"/>
        <v>0</v>
      </c>
      <c r="B61">
        <f>IF(C61=0,0,A61&amp;" "&amp;COUNTIF($A$1:$A61,A61))</f>
        <v>0</v>
      </c>
      <c r="C61" s="1">
        <v>0</v>
      </c>
      <c r="D61" s="2" t="str">
        <f>RawData!B76</f>
        <v>PG</v>
      </c>
      <c r="E61" s="2" t="str">
        <f>RawData!C76</f>
        <v>Schroder, Dennis</v>
      </c>
      <c r="F61" s="2">
        <f>RawData!N76</f>
        <v>27.5</v>
      </c>
      <c r="G61" s="37">
        <f>RawData!H76</f>
        <v>6100</v>
      </c>
      <c r="H61">
        <f t="shared" si="2"/>
        <v>0</v>
      </c>
      <c r="I61">
        <f t="shared" si="5"/>
        <v>0</v>
      </c>
      <c r="J61">
        <f t="shared" si="5"/>
        <v>0</v>
      </c>
      <c r="K61">
        <f t="shared" si="5"/>
        <v>0</v>
      </c>
      <c r="L61">
        <f t="shared" si="5"/>
        <v>0</v>
      </c>
    </row>
    <row r="62" spans="1:12" x14ac:dyDescent="0.25">
      <c r="A62">
        <f t="shared" si="0"/>
        <v>0</v>
      </c>
      <c r="B62">
        <f>IF(C62=0,0,A62&amp;" "&amp;COUNTIF($A$1:$A62,A62))</f>
        <v>0</v>
      </c>
      <c r="C62" s="1">
        <v>0</v>
      </c>
      <c r="D62" s="2" t="str">
        <f>RawData!B77</f>
        <v>SG</v>
      </c>
      <c r="E62" s="2" t="str">
        <f>RawData!C77</f>
        <v>Booker, Devin</v>
      </c>
      <c r="F62" s="2">
        <f>RawData!N77</f>
        <v>32.6</v>
      </c>
      <c r="G62" s="37">
        <f>RawData!H77</f>
        <v>6900</v>
      </c>
      <c r="H62">
        <f t="shared" si="2"/>
        <v>0</v>
      </c>
      <c r="I62">
        <f t="shared" si="5"/>
        <v>0</v>
      </c>
      <c r="J62">
        <f t="shared" si="5"/>
        <v>0</v>
      </c>
      <c r="K62">
        <f t="shared" si="5"/>
        <v>0</v>
      </c>
      <c r="L62">
        <f t="shared" si="5"/>
        <v>0</v>
      </c>
    </row>
    <row r="63" spans="1:12" x14ac:dyDescent="0.25">
      <c r="A63">
        <f t="shared" si="0"/>
        <v>0</v>
      </c>
      <c r="B63">
        <f>IF(C63=0,0,A63&amp;" "&amp;COUNTIF($A$1:$A63,A63))</f>
        <v>0</v>
      </c>
      <c r="C63" s="1">
        <v>0</v>
      </c>
      <c r="D63" s="2" t="str">
        <f>RawData!B78</f>
        <v>PF</v>
      </c>
      <c r="E63" s="2" t="str">
        <f>RawData!C78</f>
        <v>Ibaka, Serge</v>
      </c>
      <c r="F63" s="2">
        <f>RawData!N78</f>
        <v>26.3</v>
      </c>
      <c r="G63" s="37">
        <f>RawData!H78</f>
        <v>6200</v>
      </c>
      <c r="H63">
        <f t="shared" si="2"/>
        <v>0</v>
      </c>
      <c r="I63">
        <f t="shared" si="5"/>
        <v>0</v>
      </c>
      <c r="J63">
        <f t="shared" si="5"/>
        <v>0</v>
      </c>
      <c r="K63">
        <f t="shared" si="5"/>
        <v>0</v>
      </c>
      <c r="L63">
        <f t="shared" si="5"/>
        <v>0</v>
      </c>
    </row>
    <row r="64" spans="1:12" x14ac:dyDescent="0.25">
      <c r="A64">
        <f t="shared" si="0"/>
        <v>0</v>
      </c>
      <c r="B64">
        <f>IF(C64=0,0,A64&amp;" "&amp;COUNTIF($A$1:$A64,A64))</f>
        <v>0</v>
      </c>
      <c r="C64" s="1">
        <v>0</v>
      </c>
      <c r="D64" s="2" t="str">
        <f>RawData!B79</f>
        <v>SF</v>
      </c>
      <c r="E64" s="2" t="str">
        <f>RawData!C79</f>
        <v>Porter, Otto</v>
      </c>
      <c r="F64" s="2">
        <f>RawData!N79</f>
        <v>28.9</v>
      </c>
      <c r="G64" s="37">
        <f>RawData!H79</f>
        <v>6400</v>
      </c>
      <c r="H64">
        <f t="shared" si="2"/>
        <v>0</v>
      </c>
      <c r="I64">
        <f t="shared" si="5"/>
        <v>0</v>
      </c>
      <c r="J64">
        <f t="shared" si="5"/>
        <v>0</v>
      </c>
      <c r="K64">
        <f t="shared" si="5"/>
        <v>0</v>
      </c>
      <c r="L64">
        <f t="shared" si="5"/>
        <v>0</v>
      </c>
    </row>
    <row r="65" spans="1:12" x14ac:dyDescent="0.25">
      <c r="A65">
        <f t="shared" si="0"/>
        <v>0</v>
      </c>
      <c r="B65">
        <f>IF(C65=0,0,A65&amp;" "&amp;COUNTIF($A$1:$A65,A65))</f>
        <v>0</v>
      </c>
      <c r="C65" s="1">
        <v>0</v>
      </c>
      <c r="D65" s="2" t="str">
        <f>RawData!B80</f>
        <v>PF</v>
      </c>
      <c r="E65" s="2" t="str">
        <f>RawData!C80</f>
        <v>Randle, Julius</v>
      </c>
      <c r="F65" s="2">
        <f>RawData!N80</f>
        <v>23.8</v>
      </c>
      <c r="G65" s="37">
        <f>RawData!H80</f>
        <v>6300</v>
      </c>
      <c r="H65">
        <f t="shared" si="2"/>
        <v>0</v>
      </c>
      <c r="I65">
        <f t="shared" si="5"/>
        <v>0</v>
      </c>
      <c r="J65">
        <f t="shared" si="5"/>
        <v>0</v>
      </c>
      <c r="K65">
        <f t="shared" si="5"/>
        <v>0</v>
      </c>
      <c r="L65">
        <f t="shared" si="5"/>
        <v>0</v>
      </c>
    </row>
    <row r="66" spans="1:12" x14ac:dyDescent="0.25">
      <c r="A66">
        <f t="shared" ref="A66:A101" si="6">IF(C66=1,D66,0)</f>
        <v>0</v>
      </c>
      <c r="B66">
        <f>IF(C66=0,0,A66&amp;" "&amp;COUNTIF($A$1:$A66,A66))</f>
        <v>0</v>
      </c>
      <c r="C66" s="1">
        <v>0</v>
      </c>
      <c r="D66" s="2" t="str">
        <f>RawData!B81</f>
        <v>SG</v>
      </c>
      <c r="E66" s="2" t="str">
        <f>RawData!C81</f>
        <v>LaVine, Zach</v>
      </c>
      <c r="F66" s="2">
        <f>RawData!N81</f>
        <v>23.3</v>
      </c>
      <c r="G66" s="37">
        <f>RawData!H81</f>
        <v>6000</v>
      </c>
      <c r="H66">
        <f t="shared" si="2"/>
        <v>0</v>
      </c>
      <c r="I66">
        <f t="shared" si="5"/>
        <v>0</v>
      </c>
      <c r="J66">
        <f t="shared" si="5"/>
        <v>0</v>
      </c>
      <c r="K66">
        <f t="shared" si="5"/>
        <v>0</v>
      </c>
      <c r="L66">
        <f t="shared" si="5"/>
        <v>0</v>
      </c>
    </row>
    <row r="67" spans="1:12" x14ac:dyDescent="0.25">
      <c r="A67">
        <f t="shared" si="6"/>
        <v>0</v>
      </c>
      <c r="B67">
        <f>IF(C67=0,0,A67&amp;" "&amp;COUNTIF($A$1:$A67,A67))</f>
        <v>0</v>
      </c>
      <c r="C67" s="1">
        <v>0</v>
      </c>
      <c r="D67" s="2" t="str">
        <f>RawData!B82</f>
        <v>PG</v>
      </c>
      <c r="E67" s="2" t="str">
        <f>RawData!C82</f>
        <v>Lin, Jeremy</v>
      </c>
      <c r="F67" s="2">
        <f>RawData!N82</f>
        <v>0</v>
      </c>
      <c r="G67" s="37">
        <f>RawData!H82</f>
        <v>6400</v>
      </c>
      <c r="H67">
        <f t="shared" ref="H67:L101" si="7">IF($D67=H$1,$C67*1,0)</f>
        <v>0</v>
      </c>
      <c r="I67">
        <f t="shared" si="7"/>
        <v>0</v>
      </c>
      <c r="J67">
        <f t="shared" si="7"/>
        <v>0</v>
      </c>
      <c r="K67">
        <f t="shared" si="7"/>
        <v>0</v>
      </c>
      <c r="L67">
        <f t="shared" si="7"/>
        <v>0</v>
      </c>
    </row>
    <row r="68" spans="1:12" x14ac:dyDescent="0.25">
      <c r="A68">
        <f t="shared" si="6"/>
        <v>0</v>
      </c>
      <c r="B68">
        <f>IF(C68=0,0,A68&amp;" "&amp;COUNTIF($A$1:$A68,A68))</f>
        <v>0</v>
      </c>
      <c r="C68" s="1">
        <v>0</v>
      </c>
      <c r="D68" s="2" t="str">
        <f>RawData!B83</f>
        <v>PG</v>
      </c>
      <c r="E68" s="2" t="str">
        <f>RawData!C83</f>
        <v>Payton, Elfrid</v>
      </c>
      <c r="F68" s="2">
        <f>RawData!N83</f>
        <v>30.2</v>
      </c>
      <c r="G68" s="37">
        <f>RawData!H83</f>
        <v>6700</v>
      </c>
      <c r="H68">
        <f t="shared" si="7"/>
        <v>0</v>
      </c>
      <c r="I68">
        <f t="shared" si="7"/>
        <v>0</v>
      </c>
      <c r="J68">
        <f t="shared" si="7"/>
        <v>0</v>
      </c>
      <c r="K68">
        <f t="shared" si="7"/>
        <v>0</v>
      </c>
      <c r="L68">
        <f t="shared" si="7"/>
        <v>0</v>
      </c>
    </row>
    <row r="69" spans="1:12" x14ac:dyDescent="0.25">
      <c r="A69">
        <f t="shared" si="6"/>
        <v>0</v>
      </c>
      <c r="B69">
        <f>IF(C69=0,0,A69&amp;" "&amp;COUNTIF($A$1:$A69,A69))</f>
        <v>0</v>
      </c>
      <c r="C69" s="1">
        <v>0</v>
      </c>
      <c r="D69" s="2" t="str">
        <f>RawData!B84</f>
        <v>C</v>
      </c>
      <c r="E69" s="2" t="str">
        <f>RawData!C84</f>
        <v>Gasol, Pau</v>
      </c>
      <c r="F69" s="2">
        <f>RawData!N84</f>
        <v>25.3</v>
      </c>
      <c r="G69" s="37">
        <f>RawData!H84</f>
        <v>6200</v>
      </c>
      <c r="H69">
        <f t="shared" si="7"/>
        <v>0</v>
      </c>
      <c r="I69">
        <f t="shared" si="7"/>
        <v>0</v>
      </c>
      <c r="J69">
        <f t="shared" si="7"/>
        <v>0</v>
      </c>
      <c r="K69">
        <f t="shared" si="7"/>
        <v>0</v>
      </c>
      <c r="L69">
        <f t="shared" si="7"/>
        <v>0</v>
      </c>
    </row>
    <row r="70" spans="1:12" x14ac:dyDescent="0.25">
      <c r="A70">
        <f t="shared" si="6"/>
        <v>0</v>
      </c>
      <c r="B70">
        <f>IF(C70=0,0,A70&amp;" "&amp;COUNTIF($A$1:$A70,A70))</f>
        <v>0</v>
      </c>
      <c r="C70" s="1">
        <v>0</v>
      </c>
      <c r="D70" s="2" t="str">
        <f>RawData!B85</f>
        <v>SF</v>
      </c>
      <c r="E70" s="2" t="str">
        <f>RawData!C85</f>
        <v>Chandler, Wilson</v>
      </c>
      <c r="F70" s="2">
        <f>RawData!N85</f>
        <v>26.4</v>
      </c>
      <c r="G70" s="37">
        <f>RawData!H85</f>
        <v>5900</v>
      </c>
      <c r="H70">
        <f t="shared" si="7"/>
        <v>0</v>
      </c>
      <c r="I70">
        <f t="shared" si="7"/>
        <v>0</v>
      </c>
      <c r="J70">
        <f t="shared" si="7"/>
        <v>0</v>
      </c>
      <c r="K70">
        <f t="shared" si="7"/>
        <v>0</v>
      </c>
      <c r="L70">
        <f t="shared" si="7"/>
        <v>0</v>
      </c>
    </row>
    <row r="71" spans="1:12" x14ac:dyDescent="0.25">
      <c r="A71">
        <f t="shared" si="6"/>
        <v>0</v>
      </c>
      <c r="B71">
        <f>IF(C71=0,0,A71&amp;" "&amp;COUNTIF($A$1:$A71,A71))</f>
        <v>0</v>
      </c>
      <c r="C71" s="1">
        <v>0</v>
      </c>
      <c r="D71" s="2" t="str">
        <f>RawData!B86</f>
        <v>SF</v>
      </c>
      <c r="E71" s="2" t="str">
        <f>RawData!C86</f>
        <v>Gallinari, Danilo</v>
      </c>
      <c r="F71" s="2">
        <f>RawData!N86</f>
        <v>26.3</v>
      </c>
      <c r="G71" s="37">
        <f>RawData!H86</f>
        <v>6900</v>
      </c>
      <c r="H71">
        <f t="shared" si="7"/>
        <v>0</v>
      </c>
      <c r="I71">
        <f t="shared" si="7"/>
        <v>0</v>
      </c>
      <c r="J71">
        <f t="shared" si="7"/>
        <v>0</v>
      </c>
      <c r="K71">
        <f t="shared" si="7"/>
        <v>0</v>
      </c>
      <c r="L71">
        <f t="shared" si="7"/>
        <v>0</v>
      </c>
    </row>
    <row r="72" spans="1:12" x14ac:dyDescent="0.25">
      <c r="A72">
        <f t="shared" si="6"/>
        <v>0</v>
      </c>
      <c r="B72">
        <f>IF(C72=0,0,A72&amp;" "&amp;COUNTIF($A$1:$A72,A72))</f>
        <v>0</v>
      </c>
      <c r="C72" s="1">
        <v>0</v>
      </c>
      <c r="D72" s="2" t="str">
        <f>RawData!B87</f>
        <v>PF</v>
      </c>
      <c r="E72" s="2" t="str">
        <f>RawData!C87</f>
        <v>Morris, Markieff</v>
      </c>
      <c r="F72" s="2">
        <f>RawData!N87</f>
        <v>33.5</v>
      </c>
      <c r="G72" s="37">
        <f>RawData!H87</f>
        <v>7200</v>
      </c>
      <c r="H72">
        <f t="shared" si="7"/>
        <v>0</v>
      </c>
      <c r="I72">
        <f t="shared" si="7"/>
        <v>0</v>
      </c>
      <c r="J72">
        <f t="shared" si="7"/>
        <v>0</v>
      </c>
      <c r="K72">
        <f t="shared" si="7"/>
        <v>0</v>
      </c>
      <c r="L72">
        <f t="shared" si="7"/>
        <v>0</v>
      </c>
    </row>
    <row r="73" spans="1:12" x14ac:dyDescent="0.25">
      <c r="A73">
        <f t="shared" si="6"/>
        <v>0</v>
      </c>
      <c r="B73">
        <f>IF(C73=0,0,A73&amp;" "&amp;COUNTIF($A$1:$A73,A73))</f>
        <v>0</v>
      </c>
      <c r="C73" s="1">
        <v>0</v>
      </c>
      <c r="D73" s="2" t="str">
        <f>RawData!B88</f>
        <v>PG</v>
      </c>
      <c r="E73" s="2" t="str">
        <f>RawData!C88</f>
        <v>Russell, D'Angelo</v>
      </c>
      <c r="F73" s="2">
        <f>RawData!N88</f>
        <v>28.2</v>
      </c>
      <c r="G73" s="37">
        <f>RawData!H88</f>
        <v>6100</v>
      </c>
      <c r="H73">
        <f t="shared" si="7"/>
        <v>0</v>
      </c>
      <c r="I73">
        <f t="shared" si="7"/>
        <v>0</v>
      </c>
      <c r="J73">
        <f t="shared" si="7"/>
        <v>0</v>
      </c>
      <c r="K73">
        <f t="shared" si="7"/>
        <v>0</v>
      </c>
      <c r="L73">
        <f t="shared" si="7"/>
        <v>0</v>
      </c>
    </row>
    <row r="74" spans="1:12" x14ac:dyDescent="0.25">
      <c r="A74">
        <f t="shared" si="6"/>
        <v>0</v>
      </c>
      <c r="B74">
        <f>IF(C74=0,0,A74&amp;" "&amp;COUNTIF($A$1:$A74,A74))</f>
        <v>0</v>
      </c>
      <c r="C74" s="1">
        <v>0</v>
      </c>
      <c r="D74" s="2" t="str">
        <f>RawData!B89</f>
        <v>PF</v>
      </c>
      <c r="E74" s="2" t="str">
        <f>RawData!C89</f>
        <v>Randolph, Zach</v>
      </c>
      <c r="F74" s="2">
        <f>RawData!N89</f>
        <v>29.9</v>
      </c>
      <c r="G74" s="37">
        <f>RawData!H89</f>
        <v>6100</v>
      </c>
      <c r="H74">
        <f t="shared" si="7"/>
        <v>0</v>
      </c>
      <c r="I74">
        <f t="shared" si="7"/>
        <v>0</v>
      </c>
      <c r="J74">
        <f t="shared" si="7"/>
        <v>0</v>
      </c>
      <c r="K74">
        <f t="shared" si="7"/>
        <v>0</v>
      </c>
      <c r="L74">
        <f t="shared" si="7"/>
        <v>0</v>
      </c>
    </row>
    <row r="75" spans="1:12" x14ac:dyDescent="0.25">
      <c r="A75">
        <f t="shared" si="6"/>
        <v>0</v>
      </c>
      <c r="B75">
        <f>IF(C75=0,0,A75&amp;" "&amp;COUNTIF($A$1:$A75,A75))</f>
        <v>0</v>
      </c>
      <c r="C75" s="1">
        <v>0</v>
      </c>
      <c r="D75" s="2" t="str">
        <f>RawData!B90</f>
        <v>PG</v>
      </c>
      <c r="E75" s="2" t="str">
        <f>RawData!C90</f>
        <v>Rubio, Ricky</v>
      </c>
      <c r="F75" s="2">
        <f>RawData!N90</f>
        <v>33.1</v>
      </c>
      <c r="G75" s="37">
        <f>RawData!H90</f>
        <v>6900</v>
      </c>
      <c r="H75">
        <f t="shared" si="7"/>
        <v>0</v>
      </c>
      <c r="I75">
        <f t="shared" si="7"/>
        <v>0</v>
      </c>
      <c r="J75">
        <f t="shared" si="7"/>
        <v>0</v>
      </c>
      <c r="K75">
        <f t="shared" si="7"/>
        <v>0</v>
      </c>
      <c r="L75">
        <f t="shared" si="7"/>
        <v>0</v>
      </c>
    </row>
    <row r="76" spans="1:12" x14ac:dyDescent="0.25">
      <c r="A76">
        <f t="shared" si="6"/>
        <v>0</v>
      </c>
      <c r="B76">
        <f>IF(C76=0,0,A76&amp;" "&amp;COUNTIF($A$1:$A76,A76))</f>
        <v>0</v>
      </c>
      <c r="C76" s="1">
        <v>0</v>
      </c>
      <c r="D76" s="2" t="str">
        <f>RawData!B91</f>
        <v>PG</v>
      </c>
      <c r="E76" s="2" t="str">
        <f>RawData!C91</f>
        <v>Jackson, Reggie</v>
      </c>
      <c r="F76" s="2">
        <f>RawData!N91</f>
        <v>27.1</v>
      </c>
      <c r="G76" s="37">
        <f>RawData!H91</f>
        <v>6100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  <c r="L76">
        <f t="shared" si="7"/>
        <v>0</v>
      </c>
    </row>
    <row r="77" spans="1:12" x14ac:dyDescent="0.25">
      <c r="A77">
        <f t="shared" si="6"/>
        <v>0</v>
      </c>
      <c r="B77">
        <f>IF(C77=0,0,A77&amp;" "&amp;COUNTIF($A$1:$A77,A77))</f>
        <v>0</v>
      </c>
      <c r="C77" s="1">
        <v>0</v>
      </c>
      <c r="D77" s="2" t="str">
        <f>RawData!B95</f>
        <v>PF</v>
      </c>
      <c r="E77" s="2" t="str">
        <f>RawData!C95</f>
        <v>Harris, Tobias</v>
      </c>
      <c r="F77" s="2">
        <f>RawData!N95</f>
        <v>27.5</v>
      </c>
      <c r="G77" s="37">
        <f>RawData!H92</f>
        <v>42770</v>
      </c>
      <c r="H77">
        <f t="shared" si="7"/>
        <v>0</v>
      </c>
      <c r="I77">
        <f t="shared" si="7"/>
        <v>0</v>
      </c>
      <c r="J77">
        <f t="shared" si="7"/>
        <v>0</v>
      </c>
      <c r="K77">
        <f t="shared" si="7"/>
        <v>0</v>
      </c>
      <c r="L77">
        <f t="shared" si="7"/>
        <v>0</v>
      </c>
    </row>
    <row r="78" spans="1:12" x14ac:dyDescent="0.25">
      <c r="A78">
        <f t="shared" si="6"/>
        <v>0</v>
      </c>
      <c r="B78">
        <f>IF(C78=0,0,A78&amp;" "&amp;COUNTIF($A$1:$A78,A78))</f>
        <v>0</v>
      </c>
      <c r="C78" s="1">
        <v>0</v>
      </c>
      <c r="D78" s="2" t="str">
        <f>RawData!B96</f>
        <v>PG</v>
      </c>
      <c r="E78" s="2" t="str">
        <f>RawData!C96</f>
        <v>Johnson, Tyler</v>
      </c>
      <c r="F78" s="2">
        <f>RawData!N96</f>
        <v>26.8</v>
      </c>
      <c r="G78" s="37">
        <f>RawData!H96</f>
        <v>5800</v>
      </c>
      <c r="H78">
        <f t="shared" si="7"/>
        <v>0</v>
      </c>
      <c r="I78">
        <f t="shared" si="7"/>
        <v>0</v>
      </c>
      <c r="J78">
        <f t="shared" si="7"/>
        <v>0</v>
      </c>
      <c r="K78">
        <f t="shared" si="7"/>
        <v>0</v>
      </c>
      <c r="L78">
        <f t="shared" si="7"/>
        <v>0</v>
      </c>
    </row>
    <row r="79" spans="1:12" x14ac:dyDescent="0.25">
      <c r="A79">
        <f t="shared" si="6"/>
        <v>0</v>
      </c>
      <c r="B79">
        <f>IF(C79=0,0,A79&amp;" "&amp;COUNTIF($A$1:$A79,A79))</f>
        <v>0</v>
      </c>
      <c r="C79" s="1">
        <v>0</v>
      </c>
      <c r="D79" s="2" t="str">
        <f>RawData!B97</f>
        <v>SG</v>
      </c>
      <c r="E79" s="2" t="str">
        <f>RawData!C97</f>
        <v>Oladipo, Victor</v>
      </c>
      <c r="F79" s="2">
        <f>RawData!N97</f>
        <v>27.2</v>
      </c>
      <c r="G79" s="37">
        <f>RawData!H97</f>
        <v>5800</v>
      </c>
      <c r="H79">
        <f t="shared" si="7"/>
        <v>0</v>
      </c>
      <c r="I79">
        <f t="shared" si="7"/>
        <v>0</v>
      </c>
      <c r="J79">
        <f t="shared" si="7"/>
        <v>0</v>
      </c>
      <c r="K79">
        <f t="shared" si="7"/>
        <v>0</v>
      </c>
      <c r="L79">
        <f t="shared" si="7"/>
        <v>0</v>
      </c>
    </row>
    <row r="80" spans="1:12" x14ac:dyDescent="0.25">
      <c r="A80">
        <f t="shared" si="6"/>
        <v>0</v>
      </c>
      <c r="B80">
        <f>IF(C80=0,0,A80&amp;" "&amp;COUNTIF($A$1:$A80,A80))</f>
        <v>0</v>
      </c>
      <c r="C80" s="1">
        <v>0</v>
      </c>
      <c r="D80" s="2" t="str">
        <f>RawData!B98</f>
        <v>SG</v>
      </c>
      <c r="E80" s="2" t="str">
        <f>RawData!C98</f>
        <v>Williams, Louis</v>
      </c>
      <c r="F80" s="2">
        <f>RawData!N98</f>
        <v>26.1</v>
      </c>
      <c r="G80" s="37">
        <f>RawData!H98</f>
        <v>6400</v>
      </c>
      <c r="H80">
        <f t="shared" si="7"/>
        <v>0</v>
      </c>
      <c r="I80">
        <f t="shared" si="7"/>
        <v>0</v>
      </c>
      <c r="J80">
        <f t="shared" si="7"/>
        <v>0</v>
      </c>
      <c r="K80">
        <f t="shared" si="7"/>
        <v>0</v>
      </c>
      <c r="L80">
        <f t="shared" si="7"/>
        <v>0</v>
      </c>
    </row>
    <row r="81" spans="1:12" x14ac:dyDescent="0.25">
      <c r="A81">
        <f t="shared" si="6"/>
        <v>0</v>
      </c>
      <c r="B81">
        <f>IF(C81=0,0,A81&amp;" "&amp;COUNTIF($A$1:$A81,A81))</f>
        <v>0</v>
      </c>
      <c r="C81" s="1">
        <v>0</v>
      </c>
      <c r="D81" s="2" t="str">
        <f>RawData!B99</f>
        <v>PG</v>
      </c>
      <c r="E81" s="2" t="str">
        <f>RawData!C99</f>
        <v>Williams, Deron</v>
      </c>
      <c r="F81" s="2">
        <f>RawData!N99</f>
        <v>27.5</v>
      </c>
      <c r="G81" s="37">
        <f>RawData!H99</f>
        <v>6200</v>
      </c>
      <c r="H81">
        <f t="shared" si="7"/>
        <v>0</v>
      </c>
      <c r="I81">
        <f t="shared" si="7"/>
        <v>0</v>
      </c>
      <c r="J81">
        <f t="shared" si="7"/>
        <v>0</v>
      </c>
      <c r="K81">
        <f t="shared" si="7"/>
        <v>0</v>
      </c>
      <c r="L81">
        <f t="shared" si="7"/>
        <v>0</v>
      </c>
    </row>
    <row r="82" spans="1:12" x14ac:dyDescent="0.25">
      <c r="A82">
        <f t="shared" si="6"/>
        <v>0</v>
      </c>
      <c r="B82">
        <f>IF(C82=0,0,A82&amp;" "&amp;COUNTIF($A$1:$A82,A82))</f>
        <v>0</v>
      </c>
      <c r="C82" s="1">
        <v>0</v>
      </c>
      <c r="D82" s="2" t="str">
        <f>RawData!B100</f>
        <v>SG</v>
      </c>
      <c r="E82" s="2" t="str">
        <f>RawData!C100</f>
        <v>Waiters, Dion</v>
      </c>
      <c r="F82" s="2">
        <f>RawData!N100</f>
        <v>27.3</v>
      </c>
      <c r="G82" s="37">
        <f>RawData!H100</f>
        <v>7200</v>
      </c>
      <c r="H82">
        <f t="shared" si="7"/>
        <v>0</v>
      </c>
      <c r="I82">
        <f t="shared" si="7"/>
        <v>0</v>
      </c>
      <c r="J82">
        <f t="shared" si="7"/>
        <v>0</v>
      </c>
      <c r="K82">
        <f t="shared" si="7"/>
        <v>0</v>
      </c>
      <c r="L82">
        <f t="shared" si="7"/>
        <v>0</v>
      </c>
    </row>
    <row r="83" spans="1:12" x14ac:dyDescent="0.25">
      <c r="A83">
        <f t="shared" si="6"/>
        <v>0</v>
      </c>
      <c r="B83">
        <f>IF(C83=0,0,A83&amp;" "&amp;COUNTIF($A$1:$A83,A83))</f>
        <v>0</v>
      </c>
      <c r="C83" s="1">
        <v>0</v>
      </c>
      <c r="D83" s="2" t="str">
        <f>RawData!B101</f>
        <v>C</v>
      </c>
      <c r="E83" s="2" t="str">
        <f>RawData!C101</f>
        <v>Valanciunas, Jonas</v>
      </c>
      <c r="F83" s="2">
        <f>RawData!N101</f>
        <v>27.5</v>
      </c>
      <c r="G83" s="37">
        <f>RawData!H101</f>
        <v>5600</v>
      </c>
      <c r="H83">
        <f t="shared" si="7"/>
        <v>0</v>
      </c>
      <c r="I83">
        <f t="shared" si="7"/>
        <v>0</v>
      </c>
      <c r="J83">
        <f t="shared" si="7"/>
        <v>0</v>
      </c>
      <c r="K83">
        <f t="shared" si="7"/>
        <v>0</v>
      </c>
      <c r="L83">
        <f t="shared" si="7"/>
        <v>0</v>
      </c>
    </row>
    <row r="84" spans="1:12" x14ac:dyDescent="0.25">
      <c r="A84">
        <f t="shared" si="6"/>
        <v>0</v>
      </c>
      <c r="B84">
        <f>IF(C84=0,0,A84&amp;" "&amp;COUNTIF($A$1:$A84,A84))</f>
        <v>0</v>
      </c>
      <c r="C84" s="1">
        <v>0</v>
      </c>
      <c r="D84" s="2" t="str">
        <f>RawData!B102</f>
        <v>SF</v>
      </c>
      <c r="E84" s="2" t="str">
        <f>RawData!C102</f>
        <v>Crowder, Jae</v>
      </c>
      <c r="F84" s="2">
        <f>RawData!N102</f>
        <v>28</v>
      </c>
      <c r="G84" s="37">
        <f>RawData!H102</f>
        <v>6500</v>
      </c>
      <c r="H84">
        <f t="shared" si="7"/>
        <v>0</v>
      </c>
      <c r="I84">
        <f t="shared" si="7"/>
        <v>0</v>
      </c>
      <c r="J84">
        <f t="shared" si="7"/>
        <v>0</v>
      </c>
      <c r="K84">
        <f t="shared" si="7"/>
        <v>0</v>
      </c>
      <c r="L84">
        <f t="shared" si="7"/>
        <v>0</v>
      </c>
    </row>
    <row r="85" spans="1:12" x14ac:dyDescent="0.25">
      <c r="A85">
        <f t="shared" si="6"/>
        <v>0</v>
      </c>
      <c r="B85">
        <f>IF(C85=0,0,A85&amp;" "&amp;COUNTIF($A$1:$A85,A85))</f>
        <v>0</v>
      </c>
      <c r="C85" s="1">
        <v>0</v>
      </c>
      <c r="D85" s="2" t="str">
        <f>RawData!B103</f>
        <v>C</v>
      </c>
      <c r="E85" s="2" t="str">
        <f>RawData!C103</f>
        <v>Adams, Steven</v>
      </c>
      <c r="F85" s="2">
        <f>RawData!N103</f>
        <v>26.5</v>
      </c>
      <c r="G85" s="37">
        <f>RawData!H103</f>
        <v>5900</v>
      </c>
      <c r="H85">
        <f t="shared" si="7"/>
        <v>0</v>
      </c>
      <c r="I85">
        <f t="shared" si="7"/>
        <v>0</v>
      </c>
      <c r="J85">
        <f t="shared" si="7"/>
        <v>0</v>
      </c>
      <c r="K85">
        <f t="shared" si="7"/>
        <v>0</v>
      </c>
      <c r="L85">
        <f t="shared" si="7"/>
        <v>0</v>
      </c>
    </row>
    <row r="86" spans="1:12" x14ac:dyDescent="0.25">
      <c r="A86">
        <f t="shared" si="6"/>
        <v>0</v>
      </c>
      <c r="B86">
        <f>IF(C86=0,0,A86&amp;" "&amp;COUNTIF($A$1:$A86,A86))</f>
        <v>0</v>
      </c>
      <c r="C86" s="1">
        <v>0</v>
      </c>
      <c r="D86" s="2" t="str">
        <f>RawData!B104</f>
        <v>PF</v>
      </c>
      <c r="E86" s="2" t="str">
        <f>RawData!C104</f>
        <v>Booker, Trevor</v>
      </c>
      <c r="F86" s="2">
        <f>RawData!N104</f>
        <v>22.3</v>
      </c>
      <c r="G86" s="37">
        <f>RawData!H104</f>
        <v>5000</v>
      </c>
      <c r="H86">
        <f t="shared" si="7"/>
        <v>0</v>
      </c>
      <c r="I86">
        <f t="shared" si="7"/>
        <v>0</v>
      </c>
      <c r="J86">
        <f t="shared" si="7"/>
        <v>0</v>
      </c>
      <c r="K86">
        <f t="shared" si="7"/>
        <v>0</v>
      </c>
      <c r="L86">
        <f t="shared" si="7"/>
        <v>0</v>
      </c>
    </row>
    <row r="87" spans="1:12" x14ac:dyDescent="0.25">
      <c r="A87">
        <f t="shared" si="6"/>
        <v>0</v>
      </c>
      <c r="B87">
        <f>IF(C87=0,0,A87&amp;" "&amp;COUNTIF($A$1:$A87,A87))</f>
        <v>0</v>
      </c>
      <c r="C87" s="1">
        <v>0</v>
      </c>
      <c r="D87" s="2" t="str">
        <f>RawData!B105</f>
        <v>PF</v>
      </c>
      <c r="E87" s="2" t="str">
        <f>RawData!C105</f>
        <v>Dieng, Gorgui</v>
      </c>
      <c r="F87" s="2">
        <f>RawData!N105</f>
        <v>24.5</v>
      </c>
      <c r="G87" s="37">
        <f>RawData!H105</f>
        <v>5500</v>
      </c>
      <c r="H87">
        <f t="shared" si="7"/>
        <v>0</v>
      </c>
      <c r="I87">
        <f t="shared" si="7"/>
        <v>0</v>
      </c>
      <c r="J87">
        <f t="shared" si="7"/>
        <v>0</v>
      </c>
      <c r="K87">
        <f t="shared" si="7"/>
        <v>0</v>
      </c>
      <c r="L87">
        <f t="shared" si="7"/>
        <v>0</v>
      </c>
    </row>
    <row r="88" spans="1:12" x14ac:dyDescent="0.25">
      <c r="A88">
        <f t="shared" si="6"/>
        <v>0</v>
      </c>
      <c r="B88">
        <f>IF(C88=0,0,A88&amp;" "&amp;COUNTIF($A$1:$A88,A88))</f>
        <v>0</v>
      </c>
      <c r="C88" s="1">
        <v>0</v>
      </c>
      <c r="D88" s="2" t="str">
        <f>RawData!B106</f>
        <v>PF</v>
      </c>
      <c r="E88" s="2" t="str">
        <f>RawData!C106</f>
        <v>Ilyasova, Ersan</v>
      </c>
      <c r="F88" s="2">
        <f>RawData!N106</f>
        <v>27.4</v>
      </c>
      <c r="G88" s="37">
        <f>RawData!H106</f>
        <v>6100</v>
      </c>
      <c r="H88">
        <f t="shared" si="7"/>
        <v>0</v>
      </c>
      <c r="I88">
        <f t="shared" si="7"/>
        <v>0</v>
      </c>
      <c r="J88">
        <f t="shared" si="7"/>
        <v>0</v>
      </c>
      <c r="K88">
        <f t="shared" si="7"/>
        <v>0</v>
      </c>
      <c r="L88">
        <f t="shared" si="7"/>
        <v>0</v>
      </c>
    </row>
    <row r="89" spans="1:12" x14ac:dyDescent="0.25">
      <c r="A89">
        <f t="shared" si="6"/>
        <v>0</v>
      </c>
      <c r="B89">
        <f>IF(C89=0,0,A89&amp;" "&amp;COUNTIF($A$1:$A89,A89))</f>
        <v>0</v>
      </c>
      <c r="C89" s="1">
        <v>0</v>
      </c>
      <c r="D89" s="2" t="str">
        <f>RawData!B107</f>
        <v>SG</v>
      </c>
      <c r="E89" s="2" t="str">
        <f>RawData!C107</f>
        <v>Gordon, Eric</v>
      </c>
      <c r="F89" s="2">
        <f>RawData!N107</f>
        <v>23.2</v>
      </c>
      <c r="G89" s="37">
        <f>RawData!H107</f>
        <v>5600</v>
      </c>
      <c r="H89">
        <f t="shared" si="7"/>
        <v>0</v>
      </c>
      <c r="I89">
        <f t="shared" si="7"/>
        <v>0</v>
      </c>
      <c r="J89">
        <f t="shared" si="7"/>
        <v>0</v>
      </c>
      <c r="K89">
        <f t="shared" si="7"/>
        <v>0</v>
      </c>
      <c r="L89">
        <f t="shared" si="7"/>
        <v>0</v>
      </c>
    </row>
    <row r="90" spans="1:12" x14ac:dyDescent="0.25">
      <c r="A90">
        <f t="shared" si="6"/>
        <v>0</v>
      </c>
      <c r="B90">
        <f>IF(C90=0,0,A90&amp;" "&amp;COUNTIF($A$1:$A90,A90))</f>
        <v>0</v>
      </c>
      <c r="C90" s="1">
        <v>0</v>
      </c>
      <c r="D90" s="2" t="str">
        <f>RawData!B108</f>
        <v>PG</v>
      </c>
      <c r="E90" s="2" t="str">
        <f>RawData!C108</f>
        <v>Beverley, Patrick</v>
      </c>
      <c r="F90" s="2">
        <f>RawData!N108</f>
        <v>24.3</v>
      </c>
      <c r="G90" s="37">
        <f>RawData!H108</f>
        <v>5200</v>
      </c>
      <c r="H90">
        <f t="shared" si="7"/>
        <v>0</v>
      </c>
      <c r="I90">
        <f t="shared" si="7"/>
        <v>0</v>
      </c>
      <c r="J90">
        <f t="shared" si="7"/>
        <v>0</v>
      </c>
      <c r="K90">
        <f t="shared" si="7"/>
        <v>0</v>
      </c>
      <c r="L90">
        <f t="shared" si="7"/>
        <v>0</v>
      </c>
    </row>
    <row r="91" spans="1:12" x14ac:dyDescent="0.25">
      <c r="A91">
        <f t="shared" si="6"/>
        <v>0</v>
      </c>
      <c r="B91">
        <f>IF(C91=0,0,A91&amp;" "&amp;COUNTIF($A$1:$A91,A91))</f>
        <v>0</v>
      </c>
      <c r="C91" s="1">
        <v>0</v>
      </c>
      <c r="D91" s="2" t="str">
        <f>RawData!B109</f>
        <v>SG</v>
      </c>
      <c r="E91" s="2" t="str">
        <f>RawData!C109</f>
        <v>Caldwell-Pope, Kentavi</v>
      </c>
      <c r="F91" s="2">
        <f>RawData!N109</f>
        <v>25.7</v>
      </c>
      <c r="G91" s="37">
        <f>RawData!H109</f>
        <v>6000</v>
      </c>
      <c r="H91">
        <f t="shared" si="7"/>
        <v>0</v>
      </c>
      <c r="I91">
        <f t="shared" si="7"/>
        <v>0</v>
      </c>
      <c r="J91">
        <f t="shared" si="7"/>
        <v>0</v>
      </c>
      <c r="K91">
        <f t="shared" si="7"/>
        <v>0</v>
      </c>
      <c r="L91">
        <f t="shared" si="7"/>
        <v>0</v>
      </c>
    </row>
    <row r="92" spans="1:12" x14ac:dyDescent="0.25">
      <c r="A92">
        <f t="shared" si="6"/>
        <v>0</v>
      </c>
      <c r="B92">
        <f>IF(C92=0,0,A92&amp;" "&amp;COUNTIF($A$1:$A92,A92))</f>
        <v>0</v>
      </c>
      <c r="C92" s="1">
        <v>0</v>
      </c>
      <c r="D92" s="2" t="str">
        <f>RawData!B110</f>
        <v>SF</v>
      </c>
      <c r="E92" s="2" t="str">
        <f>RawData!C110</f>
        <v>Ariza, Trevor</v>
      </c>
      <c r="F92" s="2">
        <f>RawData!N110</f>
        <v>22.8</v>
      </c>
      <c r="G92" s="37">
        <f>RawData!H110</f>
        <v>5300</v>
      </c>
      <c r="H92">
        <f t="shared" si="7"/>
        <v>0</v>
      </c>
      <c r="I92">
        <f t="shared" si="7"/>
        <v>0</v>
      </c>
      <c r="J92">
        <f t="shared" si="7"/>
        <v>0</v>
      </c>
      <c r="K92">
        <f t="shared" si="7"/>
        <v>0</v>
      </c>
      <c r="L92">
        <f t="shared" si="7"/>
        <v>0</v>
      </c>
    </row>
    <row r="93" spans="1:12" x14ac:dyDescent="0.25">
      <c r="A93">
        <f t="shared" si="6"/>
        <v>0</v>
      </c>
      <c r="B93">
        <f>IF(C93=0,0,A93&amp;" "&amp;COUNTIF($A$1:$A93,A93))</f>
        <v>0</v>
      </c>
      <c r="C93" s="1">
        <v>0</v>
      </c>
      <c r="D93" s="2" t="str">
        <f>RawData!B111</f>
        <v>C</v>
      </c>
      <c r="E93" s="2" t="str">
        <f>RawData!C111</f>
        <v>Capela, Clint</v>
      </c>
      <c r="F93" s="2">
        <f>RawData!N111</f>
        <v>23.1</v>
      </c>
      <c r="G93" s="37">
        <f>RawData!H111</f>
        <v>4900</v>
      </c>
      <c r="H93">
        <f t="shared" si="7"/>
        <v>0</v>
      </c>
      <c r="I93">
        <f t="shared" si="7"/>
        <v>0</v>
      </c>
      <c r="J93">
        <f t="shared" si="7"/>
        <v>0</v>
      </c>
      <c r="K93">
        <f t="shared" si="7"/>
        <v>0</v>
      </c>
      <c r="L93">
        <f t="shared" si="7"/>
        <v>0</v>
      </c>
    </row>
    <row r="94" spans="1:12" x14ac:dyDescent="0.25">
      <c r="A94">
        <f t="shared" si="6"/>
        <v>0</v>
      </c>
      <c r="B94">
        <f>IF(C94=0,0,A94&amp;" "&amp;COUNTIF($A$1:$A94,A94))</f>
        <v>0</v>
      </c>
      <c r="C94" s="1">
        <v>0</v>
      </c>
      <c r="D94" s="2" t="str">
        <f>RawData!B112</f>
        <v>C</v>
      </c>
      <c r="E94" s="2" t="str">
        <f>RawData!C112</f>
        <v>Chandler, Tyson</v>
      </c>
      <c r="F94" s="2">
        <f>RawData!N112</f>
        <v>28.8</v>
      </c>
      <c r="G94" s="37">
        <f>RawData!H112</f>
        <v>5500</v>
      </c>
      <c r="H94">
        <f t="shared" si="7"/>
        <v>0</v>
      </c>
      <c r="I94">
        <f t="shared" si="7"/>
        <v>0</v>
      </c>
      <c r="J94">
        <f t="shared" si="7"/>
        <v>0</v>
      </c>
      <c r="K94">
        <f t="shared" si="7"/>
        <v>0</v>
      </c>
      <c r="L94">
        <f t="shared" si="7"/>
        <v>0</v>
      </c>
    </row>
    <row r="95" spans="1:12" x14ac:dyDescent="0.25">
      <c r="A95">
        <f t="shared" si="6"/>
        <v>0</v>
      </c>
      <c r="B95">
        <f>IF(C95=0,0,A95&amp;" "&amp;COUNTIF($A$1:$A95,A95))</f>
        <v>0</v>
      </c>
      <c r="C95" s="1">
        <v>0</v>
      </c>
      <c r="D95" s="2" t="str">
        <f>RawData!B113</f>
        <v>PF</v>
      </c>
      <c r="E95" s="2" t="str">
        <f>RawData!C113</f>
        <v>Kanter, Enes</v>
      </c>
      <c r="F95" s="2">
        <f>RawData!N113</f>
        <v>29.9</v>
      </c>
      <c r="G95" s="37">
        <f>RawData!H113</f>
        <v>6100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</row>
    <row r="96" spans="1:12" x14ac:dyDescent="0.25">
      <c r="A96">
        <f t="shared" si="6"/>
        <v>0</v>
      </c>
      <c r="B96">
        <f>IF(C96=0,0,A96&amp;" "&amp;COUNTIF($A$1:$A96,A96))</f>
        <v>0</v>
      </c>
      <c r="C96" s="1">
        <v>0</v>
      </c>
      <c r="D96" s="2" t="str">
        <f>RawData!B114</f>
        <v>SG</v>
      </c>
      <c r="E96" s="2" t="str">
        <f>RawData!C114</f>
        <v>Fournier, Evan</v>
      </c>
      <c r="F96" s="2">
        <f>RawData!N114</f>
        <v>16.2</v>
      </c>
      <c r="G96" s="37">
        <f>RawData!H114</f>
        <v>5000</v>
      </c>
      <c r="H96">
        <f t="shared" si="7"/>
        <v>0</v>
      </c>
      <c r="I96">
        <f t="shared" si="7"/>
        <v>0</v>
      </c>
      <c r="J96">
        <f t="shared" si="7"/>
        <v>0</v>
      </c>
      <c r="K96">
        <f t="shared" si="7"/>
        <v>0</v>
      </c>
      <c r="L96">
        <f t="shared" si="7"/>
        <v>0</v>
      </c>
    </row>
    <row r="97" spans="1:12" x14ac:dyDescent="0.25">
      <c r="A97">
        <f t="shared" si="6"/>
        <v>0</v>
      </c>
      <c r="B97">
        <f>IF(C97=0,0,A97&amp;" "&amp;COUNTIF($A$1:$A97,A97))</f>
        <v>0</v>
      </c>
      <c r="C97" s="1">
        <v>0</v>
      </c>
      <c r="D97" s="2" t="str">
        <f>RawData!B115</f>
        <v>SF</v>
      </c>
      <c r="E97" s="2" t="str">
        <f>RawData!C115</f>
        <v>Winslow, Justise</v>
      </c>
      <c r="F97" s="2">
        <f>RawData!N115</f>
        <v>0</v>
      </c>
      <c r="G97" s="37">
        <f>RawData!H115</f>
        <v>0</v>
      </c>
      <c r="H97">
        <f t="shared" si="7"/>
        <v>0</v>
      </c>
      <c r="I97">
        <f t="shared" si="7"/>
        <v>0</v>
      </c>
      <c r="J97">
        <f t="shared" si="7"/>
        <v>0</v>
      </c>
      <c r="K97">
        <f t="shared" si="7"/>
        <v>0</v>
      </c>
      <c r="L97">
        <f t="shared" si="7"/>
        <v>0</v>
      </c>
    </row>
    <row r="98" spans="1:12" x14ac:dyDescent="0.25">
      <c r="A98">
        <f t="shared" si="6"/>
        <v>0</v>
      </c>
      <c r="B98">
        <f>IF(C98=0,0,A98&amp;" "&amp;COUNTIF($A$1:$A98,A98))</f>
        <v>0</v>
      </c>
      <c r="C98" s="1">
        <v>0</v>
      </c>
      <c r="D98" s="2" t="str">
        <f>RawData!B116</f>
        <v>SF</v>
      </c>
      <c r="E98" s="2" t="str">
        <f>RawData!C116</f>
        <v>Covington, Robert</v>
      </c>
      <c r="F98" s="2">
        <f>RawData!N116</f>
        <v>29</v>
      </c>
      <c r="G98" s="37">
        <f>RawData!H116</f>
        <v>6400</v>
      </c>
      <c r="H98">
        <f t="shared" si="7"/>
        <v>0</v>
      </c>
      <c r="I98">
        <f t="shared" si="7"/>
        <v>0</v>
      </c>
      <c r="J98">
        <f t="shared" si="7"/>
        <v>0</v>
      </c>
      <c r="K98">
        <f t="shared" si="7"/>
        <v>0</v>
      </c>
      <c r="L98">
        <f t="shared" si="7"/>
        <v>0</v>
      </c>
    </row>
    <row r="99" spans="1:12" x14ac:dyDescent="0.25">
      <c r="A99">
        <f t="shared" si="6"/>
        <v>0</v>
      </c>
      <c r="B99">
        <f>IF(C99=0,0,A99&amp;" "&amp;COUNTIF($A$1:$A99,A99))</f>
        <v>0</v>
      </c>
      <c r="C99" s="1">
        <v>0</v>
      </c>
      <c r="D99" s="2" t="str">
        <f>RawData!B117</f>
        <v>C</v>
      </c>
      <c r="E99" s="2" t="str">
        <f>RawData!C117</f>
        <v>Monroe, Greg</v>
      </c>
      <c r="F99" s="2">
        <f>RawData!N117</f>
        <v>26.5</v>
      </c>
      <c r="G99" s="37">
        <f>RawData!H117</f>
        <v>5700</v>
      </c>
      <c r="H99">
        <f t="shared" si="7"/>
        <v>0</v>
      </c>
      <c r="I99">
        <f t="shared" si="7"/>
        <v>0</v>
      </c>
      <c r="J99">
        <f t="shared" si="7"/>
        <v>0</v>
      </c>
      <c r="K99">
        <f t="shared" si="7"/>
        <v>0</v>
      </c>
      <c r="L99">
        <f t="shared" si="7"/>
        <v>0</v>
      </c>
    </row>
    <row r="100" spans="1:12" x14ac:dyDescent="0.25">
      <c r="A100">
        <f t="shared" si="6"/>
        <v>0</v>
      </c>
      <c r="B100">
        <f>IF(C100=0,0,A100&amp;" "&amp;COUNTIF($A$1:$A100,A100))</f>
        <v>0</v>
      </c>
      <c r="C100" s="1">
        <v>0</v>
      </c>
      <c r="D100" s="2" t="str">
        <f>RawData!B118</f>
        <v>PF</v>
      </c>
      <c r="E100" s="2" t="str">
        <f>RawData!C118</f>
        <v>Young, Thaddeus</v>
      </c>
      <c r="F100" s="2">
        <f>RawData!N118</f>
        <v>25.8</v>
      </c>
      <c r="G100" s="37">
        <f>RawData!H118</f>
        <v>5500</v>
      </c>
      <c r="H100">
        <f t="shared" si="7"/>
        <v>0</v>
      </c>
      <c r="I100">
        <f t="shared" si="7"/>
        <v>0</v>
      </c>
      <c r="J100">
        <f t="shared" si="7"/>
        <v>0</v>
      </c>
      <c r="K100">
        <f t="shared" si="7"/>
        <v>0</v>
      </c>
      <c r="L100">
        <f t="shared" si="7"/>
        <v>0</v>
      </c>
    </row>
    <row r="101" spans="1:12" x14ac:dyDescent="0.25">
      <c r="A101">
        <f t="shared" si="6"/>
        <v>0</v>
      </c>
      <c r="B101">
        <f>IF(C101=0,0,A101&amp;" "&amp;COUNTIF($A$1:$A101,A101))</f>
        <v>0</v>
      </c>
      <c r="C101" s="1">
        <v>0</v>
      </c>
      <c r="D101" s="2" t="str">
        <f>RawData!B119</f>
        <v>SG</v>
      </c>
      <c r="E101" s="2" t="str">
        <f>RawData!C119</f>
        <v>Matthews, Wes</v>
      </c>
      <c r="F101" s="2">
        <f>RawData!N119</f>
        <v>22.8</v>
      </c>
      <c r="G101" s="37">
        <f>RawData!H119</f>
        <v>5400</v>
      </c>
      <c r="H101">
        <f t="shared" si="7"/>
        <v>0</v>
      </c>
      <c r="I101">
        <f t="shared" si="7"/>
        <v>0</v>
      </c>
      <c r="J101">
        <f t="shared" si="7"/>
        <v>0</v>
      </c>
      <c r="K101">
        <f t="shared" si="7"/>
        <v>0</v>
      </c>
      <c r="L101">
        <f t="shared" si="7"/>
        <v>0</v>
      </c>
    </row>
    <row r="102" spans="1:12" x14ac:dyDescent="0.25">
      <c r="C102" s="1">
        <v>0</v>
      </c>
      <c r="E102" s="2"/>
    </row>
    <row r="103" spans="1:12" x14ac:dyDescent="0.25">
      <c r="C103" s="1">
        <v>0</v>
      </c>
      <c r="E103" s="2"/>
    </row>
    <row r="104" spans="1:12" x14ac:dyDescent="0.25">
      <c r="C104" s="1">
        <v>0</v>
      </c>
      <c r="E104" s="2"/>
    </row>
    <row r="105" spans="1:12" x14ac:dyDescent="0.25">
      <c r="C105" s="1">
        <v>0</v>
      </c>
      <c r="E105" s="2"/>
    </row>
    <row r="106" spans="1:12" x14ac:dyDescent="0.25">
      <c r="C106" s="1">
        <v>0</v>
      </c>
      <c r="E106" s="2"/>
    </row>
    <row r="107" spans="1:12" x14ac:dyDescent="0.25">
      <c r="C107" s="1">
        <v>0</v>
      </c>
      <c r="E107" s="2"/>
    </row>
    <row r="108" spans="1:12" x14ac:dyDescent="0.25">
      <c r="C108" s="1">
        <v>0</v>
      </c>
      <c r="E108" s="2"/>
    </row>
    <row r="109" spans="1:12" x14ac:dyDescent="0.25">
      <c r="C109" s="1">
        <v>0</v>
      </c>
      <c r="E109" s="2"/>
    </row>
    <row r="110" spans="1:12" x14ac:dyDescent="0.25">
      <c r="C110" s="1">
        <v>0</v>
      </c>
      <c r="E110" s="2"/>
    </row>
    <row r="111" spans="1:12" x14ac:dyDescent="0.25">
      <c r="C111" s="1">
        <v>0</v>
      </c>
      <c r="E111" s="2"/>
    </row>
    <row r="112" spans="1:12" x14ac:dyDescent="0.25">
      <c r="C112" s="1">
        <v>0</v>
      </c>
      <c r="E112" s="2"/>
    </row>
    <row r="113" spans="3:5" x14ac:dyDescent="0.25">
      <c r="C113" s="1">
        <v>0</v>
      </c>
      <c r="E113" s="2"/>
    </row>
    <row r="114" spans="3:5" x14ac:dyDescent="0.25">
      <c r="C114" s="1">
        <v>0</v>
      </c>
      <c r="E114" s="2"/>
    </row>
    <row r="115" spans="3:5" x14ac:dyDescent="0.25">
      <c r="C115" s="1">
        <v>0</v>
      </c>
      <c r="E115" s="2"/>
    </row>
    <row r="116" spans="3:5" x14ac:dyDescent="0.25">
      <c r="C116" s="1">
        <v>0</v>
      </c>
      <c r="E116" s="2"/>
    </row>
    <row r="117" spans="3:5" x14ac:dyDescent="0.25">
      <c r="C117" s="1">
        <v>0</v>
      </c>
      <c r="E117" s="2"/>
    </row>
    <row r="118" spans="3:5" x14ac:dyDescent="0.25">
      <c r="C118" s="1">
        <v>0</v>
      </c>
      <c r="E118" s="2"/>
    </row>
    <row r="119" spans="3:5" x14ac:dyDescent="0.25">
      <c r="C119" s="1">
        <v>0</v>
      </c>
      <c r="E119" s="2"/>
    </row>
    <row r="120" spans="3:5" x14ac:dyDescent="0.25">
      <c r="C120" s="1">
        <v>0</v>
      </c>
      <c r="E120" s="2"/>
    </row>
    <row r="121" spans="3:5" x14ac:dyDescent="0.25">
      <c r="C121" s="1">
        <v>0</v>
      </c>
      <c r="E121" s="2"/>
    </row>
    <row r="122" spans="3:5" x14ac:dyDescent="0.25">
      <c r="C122" s="1">
        <v>0</v>
      </c>
      <c r="E122" s="2"/>
    </row>
    <row r="123" spans="3:5" x14ac:dyDescent="0.25">
      <c r="C123" s="1">
        <v>0</v>
      </c>
      <c r="E123" s="2"/>
    </row>
    <row r="124" spans="3:5" x14ac:dyDescent="0.25">
      <c r="C124" s="1">
        <v>0</v>
      </c>
      <c r="E124" s="2"/>
    </row>
    <row r="125" spans="3:5" x14ac:dyDescent="0.25">
      <c r="C125" s="1">
        <v>0</v>
      </c>
      <c r="E125" s="2"/>
    </row>
    <row r="126" spans="3:5" x14ac:dyDescent="0.25">
      <c r="C126" s="1">
        <v>0</v>
      </c>
      <c r="E126" s="2"/>
    </row>
    <row r="127" spans="3:5" x14ac:dyDescent="0.25">
      <c r="C127" s="1">
        <v>0</v>
      </c>
      <c r="E127" s="2"/>
    </row>
    <row r="128" spans="3:5" x14ac:dyDescent="0.25">
      <c r="C128" s="1">
        <v>0</v>
      </c>
      <c r="E128" s="2"/>
    </row>
    <row r="129" spans="3:5" x14ac:dyDescent="0.25">
      <c r="C129" s="1">
        <v>0</v>
      </c>
      <c r="E129" s="2"/>
    </row>
    <row r="130" spans="3:5" x14ac:dyDescent="0.25">
      <c r="C130" s="1">
        <v>0</v>
      </c>
      <c r="E130" s="2"/>
    </row>
    <row r="131" spans="3:5" x14ac:dyDescent="0.25">
      <c r="C131" s="1">
        <v>0</v>
      </c>
      <c r="E131" s="2"/>
    </row>
    <row r="132" spans="3:5" x14ac:dyDescent="0.25">
      <c r="C132" s="1">
        <v>0</v>
      </c>
      <c r="E132" s="2"/>
    </row>
    <row r="133" spans="3:5" x14ac:dyDescent="0.25">
      <c r="C133" s="1">
        <v>0</v>
      </c>
      <c r="E133" s="2"/>
    </row>
    <row r="134" spans="3:5" x14ac:dyDescent="0.25">
      <c r="C134" s="1">
        <v>0</v>
      </c>
      <c r="E134" s="2"/>
    </row>
    <row r="135" spans="3:5" x14ac:dyDescent="0.25">
      <c r="C135" s="1">
        <v>0</v>
      </c>
      <c r="E135" s="2"/>
    </row>
    <row r="136" spans="3:5" x14ac:dyDescent="0.25">
      <c r="C136" s="1">
        <v>0</v>
      </c>
      <c r="E136" s="2"/>
    </row>
    <row r="137" spans="3:5" x14ac:dyDescent="0.25">
      <c r="C137" s="1">
        <v>0</v>
      </c>
      <c r="E137" s="2"/>
    </row>
    <row r="138" spans="3:5" x14ac:dyDescent="0.25">
      <c r="C138" s="1">
        <v>0</v>
      </c>
      <c r="E138" s="2"/>
    </row>
    <row r="139" spans="3:5" x14ac:dyDescent="0.25">
      <c r="C139" s="1">
        <v>0</v>
      </c>
      <c r="E139" s="2"/>
    </row>
    <row r="140" spans="3:5" x14ac:dyDescent="0.25">
      <c r="C140" s="1">
        <v>0</v>
      </c>
      <c r="E140" s="2"/>
    </row>
    <row r="141" spans="3:5" x14ac:dyDescent="0.25">
      <c r="C141" s="1">
        <v>0</v>
      </c>
      <c r="E141" s="2"/>
    </row>
    <row r="142" spans="3:5" x14ac:dyDescent="0.25">
      <c r="C142" s="1">
        <v>0</v>
      </c>
      <c r="E142" s="2"/>
    </row>
    <row r="143" spans="3:5" x14ac:dyDescent="0.25">
      <c r="C143" s="1">
        <v>0</v>
      </c>
      <c r="E143" s="2"/>
    </row>
    <row r="144" spans="3:5" x14ac:dyDescent="0.25">
      <c r="C144" s="1">
        <v>0</v>
      </c>
      <c r="E144" s="2"/>
    </row>
    <row r="145" spans="3:5" x14ac:dyDescent="0.25">
      <c r="C145" s="1">
        <v>0</v>
      </c>
      <c r="E145" s="2"/>
    </row>
    <row r="146" spans="3:5" x14ac:dyDescent="0.25">
      <c r="C146" s="1">
        <v>0</v>
      </c>
      <c r="E146" s="2"/>
    </row>
    <row r="147" spans="3:5" x14ac:dyDescent="0.25">
      <c r="C147" s="1">
        <v>0</v>
      </c>
      <c r="E147" s="2"/>
    </row>
    <row r="148" spans="3:5" x14ac:dyDescent="0.25">
      <c r="C148" s="1">
        <v>0</v>
      </c>
      <c r="E148" s="2"/>
    </row>
    <row r="149" spans="3:5" x14ac:dyDescent="0.25">
      <c r="C149" s="1">
        <v>0</v>
      </c>
      <c r="E149" s="2"/>
    </row>
    <row r="150" spans="3:5" x14ac:dyDescent="0.25">
      <c r="C150" s="1">
        <v>0</v>
      </c>
      <c r="E150" s="2"/>
    </row>
    <row r="151" spans="3:5" x14ac:dyDescent="0.25">
      <c r="C151" s="1"/>
      <c r="E151" s="2"/>
    </row>
    <row r="152" spans="3:5" x14ac:dyDescent="0.25">
      <c r="C152" s="1"/>
      <c r="E152" s="2"/>
    </row>
    <row r="153" spans="3:5" x14ac:dyDescent="0.25">
      <c r="C153" s="1"/>
      <c r="E153" s="2"/>
    </row>
    <row r="154" spans="3:5" x14ac:dyDescent="0.25">
      <c r="C154" s="1"/>
      <c r="E154" s="2"/>
    </row>
    <row r="155" spans="3:5" x14ac:dyDescent="0.25">
      <c r="C155" s="1"/>
      <c r="E155" s="2"/>
    </row>
    <row r="156" spans="3:5" x14ac:dyDescent="0.25">
      <c r="C156" s="1"/>
      <c r="E156" s="2"/>
    </row>
    <row r="157" spans="3:5" x14ac:dyDescent="0.25">
      <c r="C157" s="1"/>
      <c r="E157" s="2"/>
    </row>
    <row r="158" spans="3:5" x14ac:dyDescent="0.25">
      <c r="C158" s="1"/>
      <c r="E158" s="2"/>
    </row>
    <row r="159" spans="3:5" x14ac:dyDescent="0.25">
      <c r="C159" s="1"/>
      <c r="E159" s="2"/>
    </row>
    <row r="160" spans="3:5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19"/>
  <sheetViews>
    <sheetView topLeftCell="A52" workbookViewId="0">
      <selection activeCell="R62" sqref="R62"/>
    </sheetView>
  </sheetViews>
  <sheetFormatPr defaultRowHeight="15" x14ac:dyDescent="0.25"/>
  <cols>
    <col min="1" max="1" width="3" customWidth="1"/>
    <col min="2" max="2" width="4.140625" customWidth="1"/>
    <col min="3" max="3" width="23.5703125" bestFit="1" customWidth="1"/>
    <col min="4" max="4" width="2.42578125" customWidth="1"/>
    <col min="5" max="5" width="2.7109375" customWidth="1"/>
    <col min="6" max="6" width="2.85546875" customWidth="1"/>
    <col min="7" max="7" width="5.85546875" customWidth="1"/>
    <col min="8" max="8" width="6.5703125" customWidth="1"/>
    <col min="9" max="9" width="7.5703125" customWidth="1"/>
    <col min="10" max="10" width="7" customWidth="1"/>
    <col min="11" max="11" width="4.85546875" customWidth="1"/>
    <col min="12" max="12" width="7.42578125" customWidth="1"/>
    <col min="13" max="13" width="5.28515625" customWidth="1"/>
    <col min="14" max="14" width="6.5703125" customWidth="1"/>
    <col min="15" max="15" width="6.140625" customWidth="1"/>
    <col min="16" max="16" width="22.5703125" customWidth="1"/>
  </cols>
  <sheetData>
    <row r="1" spans="1:16" x14ac:dyDescent="0.25">
      <c r="N1" t="s">
        <v>29</v>
      </c>
    </row>
    <row r="2" spans="1:16" x14ac:dyDescent="0.25">
      <c r="H2" s="36">
        <v>42770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  <c r="N2" t="s">
        <v>30</v>
      </c>
      <c r="O2" t="s">
        <v>30</v>
      </c>
      <c r="P2" t="s">
        <v>187</v>
      </c>
    </row>
    <row r="3" spans="1:16" x14ac:dyDescent="0.25">
      <c r="H3" t="s">
        <v>10</v>
      </c>
      <c r="I3" t="s">
        <v>10</v>
      </c>
      <c r="J3" t="s">
        <v>35</v>
      </c>
      <c r="L3" t="s">
        <v>36</v>
      </c>
      <c r="M3" t="s">
        <v>37</v>
      </c>
      <c r="N3" t="s">
        <v>38</v>
      </c>
      <c r="O3" t="s">
        <v>1</v>
      </c>
      <c r="P3" t="s">
        <v>39</v>
      </c>
    </row>
    <row r="4" spans="1:16" x14ac:dyDescent="0.25">
      <c r="B4" t="s">
        <v>12</v>
      </c>
      <c r="C4" t="s">
        <v>40</v>
      </c>
      <c r="D4" t="s">
        <v>41</v>
      </c>
      <c r="E4" t="s">
        <v>42</v>
      </c>
      <c r="F4" t="s">
        <v>43</v>
      </c>
      <c r="G4" t="s">
        <v>2</v>
      </c>
      <c r="H4" s="3">
        <v>0</v>
      </c>
      <c r="I4" t="s">
        <v>44</v>
      </c>
      <c r="J4" t="s">
        <v>36</v>
      </c>
      <c r="K4" t="s">
        <v>11</v>
      </c>
      <c r="L4" t="s">
        <v>45</v>
      </c>
      <c r="M4" t="s">
        <v>46</v>
      </c>
      <c r="N4" t="s">
        <v>47</v>
      </c>
      <c r="O4" t="s">
        <v>36</v>
      </c>
      <c r="P4">
        <v>1.23456789012345E+27</v>
      </c>
    </row>
    <row r="5" spans="1:16" x14ac:dyDescent="0.25">
      <c r="A5">
        <v>1</v>
      </c>
      <c r="B5" t="s">
        <v>3</v>
      </c>
      <c r="C5" t="s">
        <v>48</v>
      </c>
      <c r="D5" t="s">
        <v>49</v>
      </c>
      <c r="E5" t="s">
        <v>50</v>
      </c>
      <c r="F5" t="s">
        <v>51</v>
      </c>
      <c r="G5" t="s">
        <v>4</v>
      </c>
      <c r="H5" s="37">
        <v>12100</v>
      </c>
      <c r="I5">
        <v>0</v>
      </c>
      <c r="J5">
        <v>2856</v>
      </c>
      <c r="K5">
        <v>50</v>
      </c>
      <c r="L5">
        <v>57.1</v>
      </c>
      <c r="M5">
        <v>4.7</v>
      </c>
      <c r="N5">
        <v>56.6</v>
      </c>
      <c r="O5">
        <v>49</v>
      </c>
      <c r="P5" t="s">
        <v>188</v>
      </c>
    </row>
    <row r="6" spans="1:16" x14ac:dyDescent="0.25">
      <c r="A6">
        <v>2</v>
      </c>
      <c r="B6" t="s">
        <v>8</v>
      </c>
      <c r="C6" t="s">
        <v>52</v>
      </c>
      <c r="D6" t="s">
        <v>49</v>
      </c>
      <c r="E6" t="s">
        <v>50</v>
      </c>
      <c r="F6" t="s">
        <v>51</v>
      </c>
      <c r="G6" t="s">
        <v>53</v>
      </c>
      <c r="H6" s="37">
        <v>12200</v>
      </c>
      <c r="I6">
        <v>0</v>
      </c>
      <c r="J6">
        <v>2845</v>
      </c>
      <c r="K6">
        <v>53</v>
      </c>
      <c r="L6">
        <v>53.7</v>
      </c>
      <c r="M6">
        <v>4.4000000000000004</v>
      </c>
      <c r="N6">
        <v>53.1</v>
      </c>
      <c r="O6">
        <v>66.599999999999994</v>
      </c>
      <c r="P6" t="s">
        <v>189</v>
      </c>
    </row>
    <row r="7" spans="1:16" x14ac:dyDescent="0.25">
      <c r="A7">
        <v>3</v>
      </c>
      <c r="B7" t="s">
        <v>5</v>
      </c>
      <c r="C7" t="s">
        <v>54</v>
      </c>
      <c r="D7" t="s">
        <v>49</v>
      </c>
      <c r="E7" t="s">
        <v>50</v>
      </c>
      <c r="F7" t="s">
        <v>51</v>
      </c>
      <c r="G7" t="s">
        <v>55</v>
      </c>
      <c r="H7" s="37">
        <v>11200</v>
      </c>
      <c r="I7">
        <v>0</v>
      </c>
      <c r="J7">
        <v>2349.9</v>
      </c>
      <c r="K7">
        <v>46</v>
      </c>
      <c r="L7">
        <v>51.1</v>
      </c>
      <c r="M7">
        <v>4.5999999999999996</v>
      </c>
      <c r="N7">
        <v>48</v>
      </c>
      <c r="O7">
        <v>55.4</v>
      </c>
      <c r="P7" t="s">
        <v>190</v>
      </c>
    </row>
    <row r="8" spans="1:16" x14ac:dyDescent="0.25">
      <c r="A8">
        <v>4</v>
      </c>
      <c r="B8" t="s">
        <v>7</v>
      </c>
      <c r="C8" t="s">
        <v>56</v>
      </c>
      <c r="D8" t="s">
        <v>49</v>
      </c>
      <c r="E8" t="s">
        <v>50</v>
      </c>
      <c r="F8" t="s">
        <v>51</v>
      </c>
      <c r="G8" t="s">
        <v>57</v>
      </c>
      <c r="H8" s="37">
        <v>11100</v>
      </c>
      <c r="I8">
        <v>-200</v>
      </c>
      <c r="J8">
        <v>2370.5</v>
      </c>
      <c r="K8">
        <v>48</v>
      </c>
      <c r="L8">
        <v>49.4</v>
      </c>
      <c r="M8">
        <v>4.4000000000000004</v>
      </c>
      <c r="N8">
        <v>49.8</v>
      </c>
      <c r="O8">
        <v>29.9</v>
      </c>
      <c r="P8" t="s">
        <v>191</v>
      </c>
    </row>
    <row r="9" spans="1:16" x14ac:dyDescent="0.25">
      <c r="A9">
        <v>5</v>
      </c>
      <c r="B9" t="s">
        <v>6</v>
      </c>
      <c r="C9" t="s">
        <v>58</v>
      </c>
      <c r="D9" t="s">
        <v>49</v>
      </c>
      <c r="E9" t="s">
        <v>50</v>
      </c>
      <c r="F9" t="s">
        <v>51</v>
      </c>
      <c r="G9" t="s">
        <v>59</v>
      </c>
      <c r="H9" s="37">
        <v>11500</v>
      </c>
      <c r="I9">
        <v>500</v>
      </c>
      <c r="J9">
        <v>2153.1999999999998</v>
      </c>
      <c r="K9">
        <v>45</v>
      </c>
      <c r="L9">
        <v>47.8</v>
      </c>
      <c r="M9">
        <v>4.2</v>
      </c>
      <c r="N9">
        <v>47.6</v>
      </c>
      <c r="O9">
        <v>58.6</v>
      </c>
      <c r="P9" t="s">
        <v>192</v>
      </c>
    </row>
    <row r="10" spans="1:16" x14ac:dyDescent="0.25">
      <c r="A10">
        <v>6</v>
      </c>
      <c r="B10" t="s">
        <v>6</v>
      </c>
      <c r="C10" t="s">
        <v>60</v>
      </c>
      <c r="D10" t="s">
        <v>49</v>
      </c>
      <c r="E10" t="s">
        <v>50</v>
      </c>
      <c r="F10" t="s">
        <v>51</v>
      </c>
      <c r="G10" t="s">
        <v>61</v>
      </c>
      <c r="H10" s="37">
        <v>10700</v>
      </c>
      <c r="I10">
        <v>0</v>
      </c>
      <c r="J10">
        <v>2340.1</v>
      </c>
      <c r="K10">
        <v>50</v>
      </c>
      <c r="L10">
        <v>46.8</v>
      </c>
      <c r="M10">
        <v>4.4000000000000004</v>
      </c>
      <c r="N10">
        <v>47.8</v>
      </c>
      <c r="O10">
        <v>52.6</v>
      </c>
      <c r="P10" t="s">
        <v>193</v>
      </c>
    </row>
    <row r="11" spans="1:16" x14ac:dyDescent="0.25">
      <c r="A11">
        <v>7</v>
      </c>
      <c r="B11" t="s">
        <v>8</v>
      </c>
      <c r="C11" t="s">
        <v>62</v>
      </c>
      <c r="D11" t="s">
        <v>49</v>
      </c>
      <c r="E11" t="s">
        <v>50</v>
      </c>
      <c r="F11" t="s">
        <v>51</v>
      </c>
      <c r="G11" t="s">
        <v>63</v>
      </c>
      <c r="H11" s="37">
        <v>10500</v>
      </c>
      <c r="I11">
        <v>-300</v>
      </c>
      <c r="J11">
        <v>2165.4</v>
      </c>
      <c r="K11">
        <v>47</v>
      </c>
      <c r="L11">
        <v>46.1</v>
      </c>
      <c r="M11">
        <v>4.4000000000000004</v>
      </c>
      <c r="N11">
        <v>40.9</v>
      </c>
      <c r="O11">
        <v>21.2</v>
      </c>
      <c r="P11" t="s">
        <v>194</v>
      </c>
    </row>
    <row r="12" spans="1:16" x14ac:dyDescent="0.25">
      <c r="A12">
        <v>8</v>
      </c>
      <c r="B12" t="s">
        <v>3</v>
      </c>
      <c r="C12" t="s">
        <v>64</v>
      </c>
      <c r="D12" t="s">
        <v>49</v>
      </c>
      <c r="E12" t="s">
        <v>50</v>
      </c>
      <c r="F12" t="s">
        <v>51</v>
      </c>
      <c r="G12" t="s">
        <v>65</v>
      </c>
      <c r="H12" s="37">
        <v>10600</v>
      </c>
      <c r="I12">
        <v>-200</v>
      </c>
      <c r="J12">
        <v>2114.4</v>
      </c>
      <c r="K12">
        <v>47</v>
      </c>
      <c r="L12">
        <v>45</v>
      </c>
      <c r="M12">
        <v>4.2</v>
      </c>
      <c r="N12">
        <v>44.7</v>
      </c>
      <c r="O12">
        <v>58.1</v>
      </c>
      <c r="P12" t="s">
        <v>195</v>
      </c>
    </row>
    <row r="13" spans="1:16" x14ac:dyDescent="0.25">
      <c r="A13">
        <v>9</v>
      </c>
      <c r="B13" t="s">
        <v>7</v>
      </c>
      <c r="C13" t="s">
        <v>66</v>
      </c>
      <c r="D13" t="s">
        <v>49</v>
      </c>
      <c r="E13" t="s">
        <v>50</v>
      </c>
      <c r="F13" t="s">
        <v>51</v>
      </c>
      <c r="G13" t="s">
        <v>18</v>
      </c>
      <c r="H13" s="37">
        <v>10400</v>
      </c>
      <c r="I13">
        <v>-500</v>
      </c>
      <c r="J13">
        <v>2134.6999999999998</v>
      </c>
      <c r="K13">
        <v>49</v>
      </c>
      <c r="L13">
        <v>43.6</v>
      </c>
      <c r="M13">
        <v>4.2</v>
      </c>
      <c r="N13">
        <v>49.6</v>
      </c>
      <c r="O13">
        <v>51.4</v>
      </c>
      <c r="P13" t="s">
        <v>196</v>
      </c>
    </row>
    <row r="14" spans="1:16" x14ac:dyDescent="0.25">
      <c r="A14">
        <v>10</v>
      </c>
      <c r="B14" t="s">
        <v>3</v>
      </c>
      <c r="C14" t="s">
        <v>67</v>
      </c>
      <c r="D14" t="s">
        <v>49</v>
      </c>
      <c r="E14" t="s">
        <v>50</v>
      </c>
      <c r="F14" t="s">
        <v>51</v>
      </c>
      <c r="G14" t="s">
        <v>68</v>
      </c>
      <c r="H14" s="37">
        <v>10500</v>
      </c>
      <c r="I14">
        <v>0</v>
      </c>
      <c r="J14">
        <v>1887.8</v>
      </c>
      <c r="K14">
        <v>45</v>
      </c>
      <c r="L14">
        <v>42</v>
      </c>
      <c r="M14">
        <v>4</v>
      </c>
      <c r="N14">
        <v>45.8</v>
      </c>
      <c r="O14">
        <v>56.3</v>
      </c>
      <c r="P14" t="s">
        <v>197</v>
      </c>
    </row>
    <row r="15" spans="1:16" x14ac:dyDescent="0.25">
      <c r="A15">
        <v>11</v>
      </c>
      <c r="B15" t="s">
        <v>6</v>
      </c>
      <c r="C15" t="s">
        <v>69</v>
      </c>
      <c r="D15" t="s">
        <v>49</v>
      </c>
      <c r="E15" t="s">
        <v>50</v>
      </c>
      <c r="F15" t="s">
        <v>51</v>
      </c>
      <c r="G15" t="s">
        <v>70</v>
      </c>
      <c r="H15" s="37">
        <v>9400</v>
      </c>
      <c r="I15">
        <v>0</v>
      </c>
      <c r="J15">
        <v>1997.7</v>
      </c>
      <c r="K15">
        <v>48</v>
      </c>
      <c r="L15">
        <v>41.6</v>
      </c>
      <c r="M15">
        <v>4.4000000000000004</v>
      </c>
      <c r="N15">
        <v>40.4</v>
      </c>
      <c r="O15">
        <v>45.3</v>
      </c>
      <c r="P15" t="s">
        <v>198</v>
      </c>
    </row>
    <row r="16" spans="1:16" x14ac:dyDescent="0.25">
      <c r="A16">
        <v>12</v>
      </c>
      <c r="B16" t="s">
        <v>3</v>
      </c>
      <c r="C16" t="s">
        <v>71</v>
      </c>
      <c r="D16" t="s">
        <v>49</v>
      </c>
      <c r="E16" t="s">
        <v>50</v>
      </c>
      <c r="F16" t="s">
        <v>51</v>
      </c>
      <c r="G16" t="s">
        <v>9</v>
      </c>
      <c r="H16" s="37">
        <v>8800</v>
      </c>
      <c r="I16">
        <v>0</v>
      </c>
      <c r="J16">
        <v>1470.4</v>
      </c>
      <c r="K16">
        <v>36</v>
      </c>
      <c r="L16">
        <v>40.799999999999997</v>
      </c>
      <c r="M16">
        <v>4.5999999999999996</v>
      </c>
      <c r="N16">
        <v>40.4</v>
      </c>
      <c r="O16" t="s">
        <v>72</v>
      </c>
      <c r="P16" t="s">
        <v>199</v>
      </c>
    </row>
    <row r="17" spans="1:16" x14ac:dyDescent="0.25">
      <c r="A17">
        <v>13</v>
      </c>
      <c r="B17" t="s">
        <v>3</v>
      </c>
      <c r="C17" t="s">
        <v>73</v>
      </c>
      <c r="D17" t="s">
        <v>49</v>
      </c>
      <c r="E17" t="s">
        <v>50</v>
      </c>
      <c r="F17" t="s">
        <v>51</v>
      </c>
      <c r="G17" t="s">
        <v>61</v>
      </c>
      <c r="H17" s="37">
        <v>9700</v>
      </c>
      <c r="I17">
        <v>100</v>
      </c>
      <c r="J17">
        <v>2000.2</v>
      </c>
      <c r="K17">
        <v>49</v>
      </c>
      <c r="L17">
        <v>40.799999999999997</v>
      </c>
      <c r="M17">
        <v>4.2</v>
      </c>
      <c r="N17">
        <v>46.4</v>
      </c>
      <c r="O17">
        <v>51.1</v>
      </c>
      <c r="P17" t="s">
        <v>193</v>
      </c>
    </row>
    <row r="18" spans="1:16" x14ac:dyDescent="0.25">
      <c r="A18">
        <v>14</v>
      </c>
      <c r="B18" t="s">
        <v>8</v>
      </c>
      <c r="C18" t="s">
        <v>74</v>
      </c>
      <c r="D18" t="s">
        <v>49</v>
      </c>
      <c r="E18" t="s">
        <v>50</v>
      </c>
      <c r="F18" t="s">
        <v>51</v>
      </c>
      <c r="G18" t="s">
        <v>75</v>
      </c>
      <c r="H18" s="37">
        <v>8900</v>
      </c>
      <c r="I18">
        <v>0</v>
      </c>
      <c r="J18">
        <v>1815.7</v>
      </c>
      <c r="K18">
        <v>45</v>
      </c>
      <c r="L18">
        <v>40.299999999999997</v>
      </c>
      <c r="M18">
        <v>4.5</v>
      </c>
      <c r="N18">
        <v>41.9</v>
      </c>
      <c r="O18" t="s">
        <v>72</v>
      </c>
      <c r="P18" t="s">
        <v>200</v>
      </c>
    </row>
    <row r="19" spans="1:16" x14ac:dyDescent="0.25">
      <c r="A19">
        <v>15</v>
      </c>
      <c r="B19" t="s">
        <v>3</v>
      </c>
      <c r="C19" t="s">
        <v>76</v>
      </c>
      <c r="D19" t="s">
        <v>49</v>
      </c>
      <c r="E19" t="s">
        <v>50</v>
      </c>
      <c r="F19" t="s">
        <v>51</v>
      </c>
      <c r="G19" t="s">
        <v>75</v>
      </c>
      <c r="H19" s="37">
        <v>9500</v>
      </c>
      <c r="I19">
        <v>0</v>
      </c>
      <c r="J19">
        <v>1971.2</v>
      </c>
      <c r="K19">
        <v>49</v>
      </c>
      <c r="L19">
        <v>40.200000000000003</v>
      </c>
      <c r="M19">
        <v>4.2</v>
      </c>
      <c r="N19">
        <v>42.7</v>
      </c>
      <c r="O19">
        <v>42.9</v>
      </c>
      <c r="P19" t="s">
        <v>200</v>
      </c>
    </row>
    <row r="20" spans="1:16" x14ac:dyDescent="0.25">
      <c r="A20">
        <v>16</v>
      </c>
      <c r="B20" t="s">
        <v>6</v>
      </c>
      <c r="C20" t="s">
        <v>77</v>
      </c>
      <c r="D20" t="s">
        <v>49</v>
      </c>
      <c r="E20" t="s">
        <v>50</v>
      </c>
      <c r="F20" t="s">
        <v>51</v>
      </c>
      <c r="G20" t="s">
        <v>78</v>
      </c>
      <c r="H20" s="37">
        <v>9700</v>
      </c>
      <c r="I20">
        <v>-400</v>
      </c>
      <c r="J20">
        <v>1808.4</v>
      </c>
      <c r="K20">
        <v>45</v>
      </c>
      <c r="L20">
        <v>40.200000000000003</v>
      </c>
      <c r="M20">
        <v>4.0999999999999996</v>
      </c>
      <c r="N20">
        <v>43.8</v>
      </c>
      <c r="O20">
        <v>40.1</v>
      </c>
      <c r="P20" t="s">
        <v>201</v>
      </c>
    </row>
    <row r="21" spans="1:16" x14ac:dyDescent="0.25">
      <c r="A21">
        <v>17</v>
      </c>
      <c r="B21" t="s">
        <v>3</v>
      </c>
      <c r="C21" t="s">
        <v>79</v>
      </c>
      <c r="D21" t="s">
        <v>49</v>
      </c>
      <c r="E21" t="s">
        <v>50</v>
      </c>
      <c r="F21" t="s">
        <v>51</v>
      </c>
      <c r="G21" t="s">
        <v>80</v>
      </c>
      <c r="H21" s="37">
        <v>8400</v>
      </c>
      <c r="I21">
        <v>0</v>
      </c>
      <c r="J21">
        <v>1791.7</v>
      </c>
      <c r="K21">
        <v>45</v>
      </c>
      <c r="L21">
        <v>39.799999999999997</v>
      </c>
      <c r="M21">
        <v>4.7</v>
      </c>
      <c r="N21">
        <v>36.5</v>
      </c>
      <c r="O21">
        <v>38.799999999999997</v>
      </c>
      <c r="P21" t="s">
        <v>202</v>
      </c>
    </row>
    <row r="22" spans="1:16" x14ac:dyDescent="0.25">
      <c r="A22">
        <v>18</v>
      </c>
      <c r="B22" t="s">
        <v>5</v>
      </c>
      <c r="C22" t="s">
        <v>81</v>
      </c>
      <c r="D22" t="s">
        <v>49</v>
      </c>
      <c r="E22" t="s">
        <v>50</v>
      </c>
      <c r="F22" t="s">
        <v>51</v>
      </c>
      <c r="G22" t="s">
        <v>9</v>
      </c>
      <c r="H22" s="37">
        <v>9200</v>
      </c>
      <c r="I22">
        <v>0</v>
      </c>
      <c r="J22">
        <v>1187.4000000000001</v>
      </c>
      <c r="K22">
        <v>30</v>
      </c>
      <c r="L22">
        <v>39.6</v>
      </c>
      <c r="M22">
        <v>4.3</v>
      </c>
      <c r="N22">
        <v>38.5</v>
      </c>
      <c r="O22">
        <v>48.6</v>
      </c>
      <c r="P22" t="s">
        <v>199</v>
      </c>
    </row>
    <row r="23" spans="1:16" x14ac:dyDescent="0.25">
      <c r="A23">
        <v>19</v>
      </c>
      <c r="B23" t="s">
        <v>7</v>
      </c>
      <c r="C23" t="s">
        <v>82</v>
      </c>
      <c r="D23" t="s">
        <v>49</v>
      </c>
      <c r="E23" t="s">
        <v>50</v>
      </c>
      <c r="F23" t="s">
        <v>51</v>
      </c>
      <c r="G23" t="s">
        <v>83</v>
      </c>
      <c r="H23" s="37">
        <v>8800</v>
      </c>
      <c r="I23">
        <v>100</v>
      </c>
      <c r="J23">
        <v>1703.6</v>
      </c>
      <c r="K23">
        <v>45</v>
      </c>
      <c r="L23">
        <v>37.9</v>
      </c>
      <c r="M23">
        <v>4.3</v>
      </c>
      <c r="N23">
        <v>32.4</v>
      </c>
      <c r="O23">
        <v>43.6</v>
      </c>
      <c r="P23" t="s">
        <v>203</v>
      </c>
    </row>
    <row r="24" spans="1:16" x14ac:dyDescent="0.25">
      <c r="A24">
        <v>20</v>
      </c>
      <c r="B24" t="s">
        <v>3</v>
      </c>
      <c r="C24" t="s">
        <v>84</v>
      </c>
      <c r="D24" t="s">
        <v>49</v>
      </c>
      <c r="E24" t="s">
        <v>50</v>
      </c>
      <c r="F24" t="s">
        <v>51</v>
      </c>
      <c r="G24" t="s">
        <v>85</v>
      </c>
      <c r="H24" s="37">
        <v>9500</v>
      </c>
      <c r="I24">
        <v>0</v>
      </c>
      <c r="J24">
        <v>1836</v>
      </c>
      <c r="K24">
        <v>49</v>
      </c>
      <c r="L24">
        <v>37.5</v>
      </c>
      <c r="M24">
        <v>3.9</v>
      </c>
      <c r="N24">
        <v>43</v>
      </c>
      <c r="O24">
        <v>51.8</v>
      </c>
      <c r="P24" t="s">
        <v>204</v>
      </c>
    </row>
    <row r="25" spans="1:16" x14ac:dyDescent="0.25">
      <c r="A25">
        <v>21</v>
      </c>
      <c r="B25" t="s">
        <v>3</v>
      </c>
      <c r="C25" t="s">
        <v>86</v>
      </c>
      <c r="D25" t="s">
        <v>49</v>
      </c>
      <c r="E25" t="s">
        <v>50</v>
      </c>
      <c r="F25" t="s">
        <v>51</v>
      </c>
      <c r="G25" t="s">
        <v>59</v>
      </c>
      <c r="H25" s="37">
        <v>8600</v>
      </c>
      <c r="I25">
        <v>0</v>
      </c>
      <c r="J25">
        <v>1604.6</v>
      </c>
      <c r="K25">
        <v>43</v>
      </c>
      <c r="L25">
        <v>37.299999999999997</v>
      </c>
      <c r="M25">
        <v>4.3</v>
      </c>
      <c r="N25">
        <v>37.4</v>
      </c>
      <c r="O25">
        <v>38.4</v>
      </c>
      <c r="P25" t="s">
        <v>192</v>
      </c>
    </row>
    <row r="26" spans="1:16" x14ac:dyDescent="0.25">
      <c r="A26">
        <v>22</v>
      </c>
      <c r="B26" t="s">
        <v>7</v>
      </c>
      <c r="C26" t="s">
        <v>87</v>
      </c>
      <c r="D26" t="s">
        <v>49</v>
      </c>
      <c r="E26" t="s">
        <v>50</v>
      </c>
      <c r="F26" t="s">
        <v>51</v>
      </c>
      <c r="G26" t="s">
        <v>88</v>
      </c>
      <c r="H26" s="37">
        <v>8700</v>
      </c>
      <c r="I26">
        <v>0</v>
      </c>
      <c r="J26">
        <v>1814</v>
      </c>
      <c r="K26">
        <v>49</v>
      </c>
      <c r="L26">
        <v>37</v>
      </c>
      <c r="M26">
        <v>4.3</v>
      </c>
      <c r="N26">
        <v>39.4</v>
      </c>
      <c r="O26">
        <v>36.5</v>
      </c>
      <c r="P26" t="s">
        <v>205</v>
      </c>
    </row>
    <row r="27" spans="1:16" x14ac:dyDescent="0.25">
      <c r="A27">
        <v>23</v>
      </c>
      <c r="B27" t="s">
        <v>3</v>
      </c>
      <c r="C27" t="s">
        <v>89</v>
      </c>
      <c r="D27" t="s">
        <v>49</v>
      </c>
      <c r="E27" t="s">
        <v>50</v>
      </c>
      <c r="F27" t="s">
        <v>51</v>
      </c>
      <c r="G27" t="s">
        <v>90</v>
      </c>
      <c r="H27" s="37">
        <v>7600</v>
      </c>
      <c r="I27">
        <v>-700</v>
      </c>
      <c r="J27">
        <v>1798.3</v>
      </c>
      <c r="K27">
        <v>49</v>
      </c>
      <c r="L27">
        <v>36.700000000000003</v>
      </c>
      <c r="M27">
        <v>4.8</v>
      </c>
      <c r="N27">
        <v>35.9</v>
      </c>
      <c r="O27">
        <v>13.9</v>
      </c>
      <c r="P27" t="s">
        <v>206</v>
      </c>
    </row>
    <row r="28" spans="1:16" x14ac:dyDescent="0.25">
      <c r="A28">
        <v>24</v>
      </c>
      <c r="B28" t="s">
        <v>7</v>
      </c>
      <c r="C28" t="s">
        <v>91</v>
      </c>
      <c r="D28" t="s">
        <v>49</v>
      </c>
      <c r="E28" t="s">
        <v>50</v>
      </c>
      <c r="F28" t="s">
        <v>51</v>
      </c>
      <c r="G28" t="s">
        <v>92</v>
      </c>
      <c r="H28" s="37">
        <v>8500</v>
      </c>
      <c r="I28">
        <v>0</v>
      </c>
      <c r="J28">
        <v>1750.6</v>
      </c>
      <c r="K28">
        <v>48</v>
      </c>
      <c r="L28">
        <v>36.5</v>
      </c>
      <c r="M28">
        <v>4.3</v>
      </c>
      <c r="N28">
        <v>39.1</v>
      </c>
      <c r="O28">
        <v>28.2</v>
      </c>
      <c r="P28" t="s">
        <v>207</v>
      </c>
    </row>
    <row r="29" spans="1:16" x14ac:dyDescent="0.25">
      <c r="A29">
        <v>25</v>
      </c>
      <c r="B29" t="s">
        <v>5</v>
      </c>
      <c r="C29" t="s">
        <v>93</v>
      </c>
      <c r="D29" t="s">
        <v>49</v>
      </c>
      <c r="E29" t="s">
        <v>50</v>
      </c>
      <c r="F29" t="s">
        <v>51</v>
      </c>
      <c r="G29" t="s">
        <v>59</v>
      </c>
      <c r="H29" s="37">
        <v>7600</v>
      </c>
      <c r="I29">
        <v>0</v>
      </c>
      <c r="J29">
        <v>1488.6</v>
      </c>
      <c r="K29">
        <v>41</v>
      </c>
      <c r="L29">
        <v>36.299999999999997</v>
      </c>
      <c r="M29">
        <v>4.8</v>
      </c>
      <c r="N29">
        <v>30.5</v>
      </c>
      <c r="O29" t="s">
        <v>72</v>
      </c>
      <c r="P29" t="s">
        <v>192</v>
      </c>
    </row>
    <row r="36" spans="1:16" x14ac:dyDescent="0.25">
      <c r="H36" s="36">
        <v>42770</v>
      </c>
      <c r="I36" t="s">
        <v>30</v>
      </c>
      <c r="J36" t="s">
        <v>31</v>
      </c>
      <c r="K36" t="s">
        <v>32</v>
      </c>
      <c r="L36" t="s">
        <v>33</v>
      </c>
      <c r="M36" t="s">
        <v>34</v>
      </c>
      <c r="N36" t="s">
        <v>30</v>
      </c>
      <c r="O36" t="s">
        <v>30</v>
      </c>
      <c r="P36" t="s">
        <v>187</v>
      </c>
    </row>
    <row r="37" spans="1:16" x14ac:dyDescent="0.25">
      <c r="H37" t="s">
        <v>10</v>
      </c>
      <c r="I37" t="s">
        <v>10</v>
      </c>
      <c r="J37" t="s">
        <v>35</v>
      </c>
      <c r="L37" t="s">
        <v>36</v>
      </c>
      <c r="M37" t="s">
        <v>37</v>
      </c>
      <c r="N37" t="s">
        <v>38</v>
      </c>
      <c r="O37" t="s">
        <v>1</v>
      </c>
      <c r="P37" t="s">
        <v>39</v>
      </c>
    </row>
    <row r="38" spans="1:16" x14ac:dyDescent="0.25">
      <c r="B38" t="s">
        <v>12</v>
      </c>
      <c r="C38" t="s">
        <v>40</v>
      </c>
      <c r="D38" t="s">
        <v>41</v>
      </c>
      <c r="E38" t="s">
        <v>42</v>
      </c>
      <c r="F38" t="s">
        <v>43</v>
      </c>
      <c r="G38" t="s">
        <v>2</v>
      </c>
      <c r="H38" s="3">
        <v>0</v>
      </c>
      <c r="I38" t="s">
        <v>44</v>
      </c>
      <c r="J38" t="s">
        <v>36</v>
      </c>
      <c r="K38" t="s">
        <v>11</v>
      </c>
      <c r="L38" t="s">
        <v>45</v>
      </c>
      <c r="M38" t="s">
        <v>46</v>
      </c>
      <c r="N38" t="s">
        <v>47</v>
      </c>
      <c r="O38" t="s">
        <v>36</v>
      </c>
      <c r="P38">
        <v>1.23456789012345E+27</v>
      </c>
    </row>
    <row r="39" spans="1:16" x14ac:dyDescent="0.25">
      <c r="A39">
        <v>26</v>
      </c>
      <c r="B39" t="s">
        <v>5</v>
      </c>
      <c r="C39" t="s">
        <v>94</v>
      </c>
      <c r="D39" t="s">
        <v>49</v>
      </c>
      <c r="E39" t="s">
        <v>50</v>
      </c>
      <c r="F39" t="s">
        <v>51</v>
      </c>
      <c r="G39" t="s">
        <v>95</v>
      </c>
      <c r="H39" s="37">
        <v>7900</v>
      </c>
      <c r="I39">
        <v>-600</v>
      </c>
      <c r="J39">
        <v>1688.9</v>
      </c>
      <c r="K39">
        <v>47</v>
      </c>
      <c r="L39">
        <v>35.9</v>
      </c>
      <c r="M39">
        <v>4.5</v>
      </c>
      <c r="N39">
        <v>36.1</v>
      </c>
      <c r="O39">
        <v>25.3</v>
      </c>
      <c r="P39" t="s">
        <v>208</v>
      </c>
    </row>
    <row r="40" spans="1:16" x14ac:dyDescent="0.25">
      <c r="A40">
        <v>27</v>
      </c>
      <c r="B40" t="s">
        <v>5</v>
      </c>
      <c r="C40" t="s">
        <v>96</v>
      </c>
      <c r="D40" t="s">
        <v>49</v>
      </c>
      <c r="E40" t="s">
        <v>50</v>
      </c>
      <c r="F40" t="s">
        <v>51</v>
      </c>
      <c r="G40" t="s">
        <v>61</v>
      </c>
      <c r="H40" s="37">
        <v>7800</v>
      </c>
      <c r="I40">
        <v>200</v>
      </c>
      <c r="J40">
        <v>1688.1</v>
      </c>
      <c r="K40">
        <v>47</v>
      </c>
      <c r="L40">
        <v>35.9</v>
      </c>
      <c r="M40">
        <v>4.5999999999999996</v>
      </c>
      <c r="N40">
        <v>33.9</v>
      </c>
      <c r="O40" t="s">
        <v>72</v>
      </c>
      <c r="P40" t="s">
        <v>193</v>
      </c>
    </row>
    <row r="41" spans="1:16" x14ac:dyDescent="0.25">
      <c r="A41">
        <v>28</v>
      </c>
      <c r="B41" t="s">
        <v>6</v>
      </c>
      <c r="C41" t="s">
        <v>97</v>
      </c>
      <c r="D41" t="s">
        <v>49</v>
      </c>
      <c r="E41" t="s">
        <v>50</v>
      </c>
      <c r="F41" t="s">
        <v>51</v>
      </c>
      <c r="G41" t="s">
        <v>98</v>
      </c>
      <c r="H41" s="37">
        <v>8700</v>
      </c>
      <c r="I41">
        <v>0</v>
      </c>
      <c r="J41">
        <v>1468.8</v>
      </c>
      <c r="K41">
        <v>41</v>
      </c>
      <c r="L41">
        <v>35.799999999999997</v>
      </c>
      <c r="M41">
        <v>4.0999999999999996</v>
      </c>
      <c r="N41">
        <v>34.6</v>
      </c>
      <c r="O41">
        <v>15.9</v>
      </c>
      <c r="P41" t="s">
        <v>209</v>
      </c>
    </row>
    <row r="42" spans="1:16" x14ac:dyDescent="0.25">
      <c r="A42">
        <v>29</v>
      </c>
      <c r="B42" t="s">
        <v>7</v>
      </c>
      <c r="C42" t="s">
        <v>99</v>
      </c>
      <c r="D42" t="s">
        <v>49</v>
      </c>
      <c r="E42" t="s">
        <v>50</v>
      </c>
      <c r="F42" t="s">
        <v>51</v>
      </c>
      <c r="G42" t="s">
        <v>100</v>
      </c>
      <c r="H42" s="37">
        <v>8700</v>
      </c>
      <c r="I42">
        <v>0</v>
      </c>
      <c r="J42">
        <v>1103.4000000000001</v>
      </c>
      <c r="K42">
        <v>31</v>
      </c>
      <c r="L42">
        <v>35.6</v>
      </c>
      <c r="M42">
        <v>4.0999999999999996</v>
      </c>
      <c r="N42">
        <v>42</v>
      </c>
      <c r="O42" t="s">
        <v>72</v>
      </c>
      <c r="P42" t="s">
        <v>210</v>
      </c>
    </row>
    <row r="43" spans="1:16" x14ac:dyDescent="0.25">
      <c r="A43">
        <v>30</v>
      </c>
      <c r="B43" t="s">
        <v>6</v>
      </c>
      <c r="C43" t="s">
        <v>101</v>
      </c>
      <c r="D43" t="s">
        <v>49</v>
      </c>
      <c r="E43" t="s">
        <v>50</v>
      </c>
      <c r="F43" t="s">
        <v>51</v>
      </c>
      <c r="G43" t="s">
        <v>102</v>
      </c>
      <c r="H43" s="37">
        <v>8100</v>
      </c>
      <c r="I43">
        <v>-400</v>
      </c>
      <c r="J43">
        <v>1759.6</v>
      </c>
      <c r="K43">
        <v>50</v>
      </c>
      <c r="L43">
        <v>35.200000000000003</v>
      </c>
      <c r="M43">
        <v>4.3</v>
      </c>
      <c r="N43">
        <v>36.9</v>
      </c>
      <c r="O43">
        <v>17.600000000000001</v>
      </c>
      <c r="P43" t="s">
        <v>211</v>
      </c>
    </row>
    <row r="44" spans="1:16" x14ac:dyDescent="0.25">
      <c r="A44">
        <v>31</v>
      </c>
      <c r="B44" t="s">
        <v>8</v>
      </c>
      <c r="C44" t="s">
        <v>103</v>
      </c>
      <c r="D44" t="s">
        <v>49</v>
      </c>
      <c r="E44" t="s">
        <v>50</v>
      </c>
      <c r="F44" t="s">
        <v>51</v>
      </c>
      <c r="G44" t="s">
        <v>80</v>
      </c>
      <c r="H44" s="37">
        <v>7800</v>
      </c>
      <c r="I44">
        <v>0</v>
      </c>
      <c r="J44">
        <v>1727.8</v>
      </c>
      <c r="K44">
        <v>50</v>
      </c>
      <c r="L44">
        <v>34.6</v>
      </c>
      <c r="M44">
        <v>4.4000000000000004</v>
      </c>
      <c r="N44">
        <v>36.799999999999997</v>
      </c>
      <c r="O44">
        <v>31.4</v>
      </c>
      <c r="P44" t="s">
        <v>202</v>
      </c>
    </row>
    <row r="45" spans="1:16" x14ac:dyDescent="0.25">
      <c r="A45">
        <v>32</v>
      </c>
      <c r="B45" t="s">
        <v>6</v>
      </c>
      <c r="C45" t="s">
        <v>104</v>
      </c>
      <c r="D45" t="s">
        <v>49</v>
      </c>
      <c r="E45" t="s">
        <v>50</v>
      </c>
      <c r="F45" t="s">
        <v>51</v>
      </c>
      <c r="G45" t="s">
        <v>105</v>
      </c>
      <c r="H45" s="37">
        <v>7600</v>
      </c>
      <c r="I45">
        <v>200</v>
      </c>
      <c r="J45">
        <v>1479.8</v>
      </c>
      <c r="K45">
        <v>43</v>
      </c>
      <c r="L45">
        <v>34.4</v>
      </c>
      <c r="M45">
        <v>4.5</v>
      </c>
      <c r="N45">
        <v>31.4</v>
      </c>
      <c r="O45">
        <v>43.3</v>
      </c>
      <c r="P45" t="s">
        <v>212</v>
      </c>
    </row>
    <row r="46" spans="1:16" x14ac:dyDescent="0.25">
      <c r="A46">
        <v>33</v>
      </c>
      <c r="B46" t="s">
        <v>3</v>
      </c>
      <c r="C46" t="s">
        <v>106</v>
      </c>
      <c r="D46" t="s">
        <v>49</v>
      </c>
      <c r="E46" t="s">
        <v>50</v>
      </c>
      <c r="F46" t="s">
        <v>51</v>
      </c>
      <c r="G46" t="s">
        <v>88</v>
      </c>
      <c r="H46" s="37">
        <v>7800</v>
      </c>
      <c r="I46">
        <v>0</v>
      </c>
      <c r="J46">
        <v>1332.7</v>
      </c>
      <c r="K46">
        <v>39</v>
      </c>
      <c r="L46">
        <v>34.200000000000003</v>
      </c>
      <c r="M46">
        <v>4.4000000000000004</v>
      </c>
      <c r="N46">
        <v>37.799999999999997</v>
      </c>
      <c r="O46">
        <v>31.3</v>
      </c>
      <c r="P46" t="s">
        <v>205</v>
      </c>
    </row>
    <row r="47" spans="1:16" x14ac:dyDescent="0.25">
      <c r="A47">
        <v>34</v>
      </c>
      <c r="B47" t="s">
        <v>7</v>
      </c>
      <c r="C47" t="s">
        <v>107</v>
      </c>
      <c r="D47" t="s">
        <v>49</v>
      </c>
      <c r="E47" t="s">
        <v>50</v>
      </c>
      <c r="F47" t="s">
        <v>51</v>
      </c>
      <c r="G47" t="s">
        <v>68</v>
      </c>
      <c r="H47" s="37">
        <v>7400</v>
      </c>
      <c r="I47">
        <v>0</v>
      </c>
      <c r="J47">
        <v>1263.7</v>
      </c>
      <c r="K47">
        <v>37</v>
      </c>
      <c r="L47">
        <v>34.200000000000003</v>
      </c>
      <c r="M47">
        <v>4.5999999999999996</v>
      </c>
      <c r="N47">
        <v>33.4</v>
      </c>
      <c r="O47">
        <v>24.6</v>
      </c>
      <c r="P47" t="s">
        <v>197</v>
      </c>
    </row>
    <row r="48" spans="1:16" x14ac:dyDescent="0.25">
      <c r="A48">
        <v>35</v>
      </c>
      <c r="B48" t="s">
        <v>7</v>
      </c>
      <c r="C48" t="s">
        <v>108</v>
      </c>
      <c r="D48" t="s">
        <v>49</v>
      </c>
      <c r="E48" t="s">
        <v>50</v>
      </c>
      <c r="F48" t="s">
        <v>51</v>
      </c>
      <c r="G48" t="s">
        <v>105</v>
      </c>
      <c r="H48" s="37">
        <v>7900</v>
      </c>
      <c r="I48">
        <v>200</v>
      </c>
      <c r="J48">
        <v>1707.8</v>
      </c>
      <c r="K48">
        <v>50</v>
      </c>
      <c r="L48">
        <v>34.200000000000003</v>
      </c>
      <c r="M48">
        <v>4.3</v>
      </c>
      <c r="N48">
        <v>37.299999999999997</v>
      </c>
      <c r="O48">
        <v>47.5</v>
      </c>
      <c r="P48" t="s">
        <v>212</v>
      </c>
    </row>
    <row r="49" spans="1:16" x14ac:dyDescent="0.25">
      <c r="A49">
        <v>36</v>
      </c>
      <c r="B49" t="s">
        <v>3</v>
      </c>
      <c r="C49" t="s">
        <v>109</v>
      </c>
      <c r="D49" t="s">
        <v>49</v>
      </c>
      <c r="E49" t="s">
        <v>50</v>
      </c>
      <c r="F49" t="s">
        <v>51</v>
      </c>
      <c r="G49" t="s">
        <v>98</v>
      </c>
      <c r="H49" s="37">
        <v>7600</v>
      </c>
      <c r="I49">
        <v>0</v>
      </c>
      <c r="J49">
        <v>1632.9</v>
      </c>
      <c r="K49">
        <v>48</v>
      </c>
      <c r="L49">
        <v>34</v>
      </c>
      <c r="M49">
        <v>4.5</v>
      </c>
      <c r="N49">
        <v>36</v>
      </c>
      <c r="O49">
        <v>22.7</v>
      </c>
      <c r="P49" t="s">
        <v>209</v>
      </c>
    </row>
    <row r="50" spans="1:16" x14ac:dyDescent="0.25">
      <c r="A50">
        <v>37</v>
      </c>
      <c r="B50" t="s">
        <v>3</v>
      </c>
      <c r="C50" t="s">
        <v>110</v>
      </c>
      <c r="D50" t="s">
        <v>49</v>
      </c>
      <c r="E50" t="s">
        <v>50</v>
      </c>
      <c r="F50" t="s">
        <v>51</v>
      </c>
      <c r="G50" t="s">
        <v>83</v>
      </c>
      <c r="H50" s="37">
        <v>8100</v>
      </c>
      <c r="I50">
        <v>100</v>
      </c>
      <c r="J50">
        <v>1410.9</v>
      </c>
      <c r="K50">
        <v>42</v>
      </c>
      <c r="L50">
        <v>33.6</v>
      </c>
      <c r="M50">
        <v>4.0999999999999996</v>
      </c>
      <c r="N50">
        <v>35.1</v>
      </c>
      <c r="O50">
        <v>40.5</v>
      </c>
      <c r="P50" t="s">
        <v>203</v>
      </c>
    </row>
    <row r="51" spans="1:16" x14ac:dyDescent="0.25">
      <c r="A51">
        <v>38</v>
      </c>
      <c r="B51" t="s">
        <v>7</v>
      </c>
      <c r="C51" t="s">
        <v>111</v>
      </c>
      <c r="D51" t="s">
        <v>49</v>
      </c>
      <c r="E51" t="s">
        <v>50</v>
      </c>
      <c r="F51" t="s">
        <v>51</v>
      </c>
      <c r="G51" t="s">
        <v>95</v>
      </c>
      <c r="H51" s="37">
        <v>7400</v>
      </c>
      <c r="I51">
        <v>300</v>
      </c>
      <c r="J51">
        <v>1502.8</v>
      </c>
      <c r="K51">
        <v>45</v>
      </c>
      <c r="L51">
        <v>33.4</v>
      </c>
      <c r="M51">
        <v>4.5</v>
      </c>
      <c r="N51">
        <v>32.299999999999997</v>
      </c>
      <c r="O51">
        <v>57.1</v>
      </c>
      <c r="P51" t="s">
        <v>208</v>
      </c>
    </row>
    <row r="52" spans="1:16" x14ac:dyDescent="0.25">
      <c r="A52">
        <v>39</v>
      </c>
      <c r="B52" t="s">
        <v>7</v>
      </c>
      <c r="C52" t="s">
        <v>112</v>
      </c>
      <c r="D52" t="s">
        <v>49</v>
      </c>
      <c r="E52" t="s">
        <v>50</v>
      </c>
      <c r="F52" t="s">
        <v>51</v>
      </c>
      <c r="G52" t="s">
        <v>9</v>
      </c>
      <c r="H52" s="37">
        <v>8000</v>
      </c>
      <c r="I52">
        <v>0</v>
      </c>
      <c r="J52">
        <v>1672.2</v>
      </c>
      <c r="K52">
        <v>50</v>
      </c>
      <c r="L52">
        <v>33.4</v>
      </c>
      <c r="M52">
        <v>4.2</v>
      </c>
      <c r="N52">
        <v>37.9</v>
      </c>
      <c r="O52">
        <v>21.9</v>
      </c>
      <c r="P52" t="s">
        <v>199</v>
      </c>
    </row>
    <row r="53" spans="1:16" x14ac:dyDescent="0.25">
      <c r="A53">
        <v>40</v>
      </c>
      <c r="B53" t="s">
        <v>8</v>
      </c>
      <c r="C53" t="s">
        <v>113</v>
      </c>
      <c r="D53" t="s">
        <v>49</v>
      </c>
      <c r="E53" t="s">
        <v>50</v>
      </c>
      <c r="F53" t="s">
        <v>51</v>
      </c>
      <c r="G53" t="s">
        <v>90</v>
      </c>
      <c r="H53" s="37">
        <v>7100</v>
      </c>
      <c r="I53">
        <v>-200</v>
      </c>
      <c r="J53">
        <v>1554</v>
      </c>
      <c r="K53">
        <v>47</v>
      </c>
      <c r="L53">
        <v>33.1</v>
      </c>
      <c r="M53">
        <v>4.7</v>
      </c>
      <c r="N53">
        <v>31.4</v>
      </c>
      <c r="O53">
        <v>27.5</v>
      </c>
      <c r="P53" t="s">
        <v>206</v>
      </c>
    </row>
    <row r="54" spans="1:16" x14ac:dyDescent="0.25">
      <c r="A54">
        <v>41</v>
      </c>
      <c r="B54" t="s">
        <v>6</v>
      </c>
      <c r="C54" t="s">
        <v>114</v>
      </c>
      <c r="D54" t="s">
        <v>49</v>
      </c>
      <c r="E54" t="s">
        <v>50</v>
      </c>
      <c r="F54" t="s">
        <v>51</v>
      </c>
      <c r="G54" t="s">
        <v>57</v>
      </c>
      <c r="H54" s="37">
        <v>0</v>
      </c>
      <c r="I54">
        <v>0</v>
      </c>
      <c r="J54">
        <v>979.8</v>
      </c>
      <c r="K54">
        <v>30</v>
      </c>
      <c r="L54">
        <v>32.700000000000003</v>
      </c>
      <c r="M54">
        <v>0</v>
      </c>
      <c r="N54">
        <v>33.6</v>
      </c>
      <c r="O54" t="s">
        <v>72</v>
      </c>
      <c r="P54" t="s">
        <v>191</v>
      </c>
    </row>
    <row r="55" spans="1:16" x14ac:dyDescent="0.25">
      <c r="A55">
        <v>42</v>
      </c>
      <c r="B55" t="s">
        <v>5</v>
      </c>
      <c r="C55" t="s">
        <v>115</v>
      </c>
      <c r="D55" t="s">
        <v>49</v>
      </c>
      <c r="E55" t="s">
        <v>50</v>
      </c>
      <c r="F55" t="s">
        <v>51</v>
      </c>
      <c r="G55" t="s">
        <v>63</v>
      </c>
      <c r="H55" s="37">
        <v>7400</v>
      </c>
      <c r="I55">
        <v>0</v>
      </c>
      <c r="J55">
        <v>1564.6</v>
      </c>
      <c r="K55">
        <v>48</v>
      </c>
      <c r="L55">
        <v>32.6</v>
      </c>
      <c r="M55">
        <v>4.4000000000000004</v>
      </c>
      <c r="N55">
        <v>33.6</v>
      </c>
      <c r="O55">
        <v>26.4</v>
      </c>
      <c r="P55" t="s">
        <v>194</v>
      </c>
    </row>
    <row r="56" spans="1:16" x14ac:dyDescent="0.25">
      <c r="A56">
        <v>43</v>
      </c>
      <c r="B56" t="s">
        <v>5</v>
      </c>
      <c r="C56" t="s">
        <v>116</v>
      </c>
      <c r="D56" t="s">
        <v>49</v>
      </c>
      <c r="E56" t="s">
        <v>50</v>
      </c>
      <c r="F56" t="s">
        <v>51</v>
      </c>
      <c r="G56" t="s">
        <v>117</v>
      </c>
      <c r="H56" s="37">
        <v>10300</v>
      </c>
      <c r="I56">
        <v>0</v>
      </c>
      <c r="J56">
        <v>1337.6</v>
      </c>
      <c r="K56">
        <v>41</v>
      </c>
      <c r="L56">
        <v>32.6</v>
      </c>
      <c r="M56">
        <v>3.2</v>
      </c>
      <c r="N56">
        <v>47.8</v>
      </c>
      <c r="O56" t="s">
        <v>72</v>
      </c>
      <c r="P56" t="s">
        <v>213</v>
      </c>
    </row>
    <row r="57" spans="1:16" x14ac:dyDescent="0.25">
      <c r="A57">
        <v>44</v>
      </c>
      <c r="B57" t="s">
        <v>5</v>
      </c>
      <c r="C57" t="s">
        <v>118</v>
      </c>
      <c r="D57" t="s">
        <v>49</v>
      </c>
      <c r="E57" t="s">
        <v>50</v>
      </c>
      <c r="F57" t="s">
        <v>51</v>
      </c>
      <c r="G57" t="s">
        <v>102</v>
      </c>
      <c r="H57" s="37">
        <v>6600</v>
      </c>
      <c r="I57">
        <v>100</v>
      </c>
      <c r="J57">
        <v>1401</v>
      </c>
      <c r="K57">
        <v>43</v>
      </c>
      <c r="L57">
        <v>32.6</v>
      </c>
      <c r="M57">
        <v>4.9000000000000004</v>
      </c>
      <c r="N57">
        <v>25</v>
      </c>
      <c r="O57">
        <v>36.9</v>
      </c>
      <c r="P57" t="s">
        <v>211</v>
      </c>
    </row>
    <row r="58" spans="1:16" x14ac:dyDescent="0.25">
      <c r="A58">
        <v>45</v>
      </c>
      <c r="B58" t="s">
        <v>3</v>
      </c>
      <c r="C58" t="s">
        <v>119</v>
      </c>
      <c r="D58" t="s">
        <v>49</v>
      </c>
      <c r="E58" t="s">
        <v>50</v>
      </c>
      <c r="F58" t="s">
        <v>51</v>
      </c>
      <c r="G58" t="s">
        <v>55</v>
      </c>
      <c r="H58" s="37">
        <v>8000</v>
      </c>
      <c r="I58">
        <v>200</v>
      </c>
      <c r="J58">
        <v>1137</v>
      </c>
      <c r="K58">
        <v>35</v>
      </c>
      <c r="L58">
        <v>32.5</v>
      </c>
      <c r="M58">
        <v>4.0999999999999996</v>
      </c>
      <c r="N58">
        <v>34.700000000000003</v>
      </c>
      <c r="O58">
        <v>44.1</v>
      </c>
      <c r="P58" t="s">
        <v>190</v>
      </c>
    </row>
    <row r="59" spans="1:16" x14ac:dyDescent="0.25">
      <c r="A59">
        <v>46</v>
      </c>
      <c r="B59" t="s">
        <v>7</v>
      </c>
      <c r="C59" t="s">
        <v>120</v>
      </c>
      <c r="D59" t="s">
        <v>49</v>
      </c>
      <c r="E59" t="s">
        <v>50</v>
      </c>
      <c r="F59" t="s">
        <v>51</v>
      </c>
      <c r="G59" t="s">
        <v>121</v>
      </c>
      <c r="H59" s="37">
        <v>7200</v>
      </c>
      <c r="I59">
        <v>0</v>
      </c>
      <c r="J59">
        <v>1423.5</v>
      </c>
      <c r="K59">
        <v>44</v>
      </c>
      <c r="L59">
        <v>32.4</v>
      </c>
      <c r="M59">
        <v>4.5</v>
      </c>
      <c r="N59">
        <v>31</v>
      </c>
      <c r="O59">
        <v>22.7</v>
      </c>
      <c r="P59" t="s">
        <v>214</v>
      </c>
    </row>
    <row r="60" spans="1:16" x14ac:dyDescent="0.25">
      <c r="A60">
        <v>47</v>
      </c>
      <c r="B60" t="s">
        <v>7</v>
      </c>
      <c r="C60" t="s">
        <v>122</v>
      </c>
      <c r="D60" t="s">
        <v>49</v>
      </c>
      <c r="E60" t="s">
        <v>50</v>
      </c>
      <c r="F60" t="s">
        <v>51</v>
      </c>
      <c r="G60" t="s">
        <v>123</v>
      </c>
      <c r="H60" s="37">
        <v>7200</v>
      </c>
      <c r="I60">
        <v>0</v>
      </c>
      <c r="J60">
        <v>1553.4</v>
      </c>
      <c r="K60">
        <v>48</v>
      </c>
      <c r="L60">
        <v>32.4</v>
      </c>
      <c r="M60">
        <v>4.5</v>
      </c>
      <c r="N60">
        <v>33.5</v>
      </c>
      <c r="O60">
        <v>41.5</v>
      </c>
      <c r="P60" t="s">
        <v>215</v>
      </c>
    </row>
    <row r="61" spans="1:16" x14ac:dyDescent="0.25">
      <c r="A61">
        <v>48</v>
      </c>
      <c r="B61" t="s">
        <v>8</v>
      </c>
      <c r="C61" t="s">
        <v>124</v>
      </c>
      <c r="D61" t="s">
        <v>49</v>
      </c>
      <c r="E61" t="s">
        <v>50</v>
      </c>
      <c r="F61" t="s">
        <v>51</v>
      </c>
      <c r="G61" t="s">
        <v>70</v>
      </c>
      <c r="H61" s="37">
        <v>7800</v>
      </c>
      <c r="I61">
        <v>0</v>
      </c>
      <c r="J61">
        <v>1452.9</v>
      </c>
      <c r="K61">
        <v>45</v>
      </c>
      <c r="L61">
        <v>32.299999999999997</v>
      </c>
      <c r="M61">
        <v>4.0999999999999996</v>
      </c>
      <c r="N61">
        <v>34.299999999999997</v>
      </c>
      <c r="O61">
        <v>40.9</v>
      </c>
      <c r="P61" t="s">
        <v>198</v>
      </c>
    </row>
    <row r="62" spans="1:16" x14ac:dyDescent="0.25">
      <c r="A62">
        <v>49</v>
      </c>
      <c r="B62" t="s">
        <v>5</v>
      </c>
      <c r="C62" t="s">
        <v>125</v>
      </c>
      <c r="D62" t="s">
        <v>49</v>
      </c>
      <c r="E62" t="s">
        <v>50</v>
      </c>
      <c r="F62" t="s">
        <v>51</v>
      </c>
      <c r="G62" t="s">
        <v>78</v>
      </c>
      <c r="H62" s="37">
        <v>7800</v>
      </c>
      <c r="I62">
        <v>0</v>
      </c>
      <c r="J62">
        <v>1391.9</v>
      </c>
      <c r="K62">
        <v>44</v>
      </c>
      <c r="L62">
        <v>31.6</v>
      </c>
      <c r="M62">
        <v>4.0999999999999996</v>
      </c>
      <c r="N62">
        <v>32.6</v>
      </c>
      <c r="O62" t="s">
        <v>72</v>
      </c>
      <c r="P62" t="s">
        <v>201</v>
      </c>
    </row>
    <row r="63" spans="1:16" x14ac:dyDescent="0.25">
      <c r="A63">
        <v>50</v>
      </c>
      <c r="B63" t="s">
        <v>8</v>
      </c>
      <c r="C63" t="s">
        <v>126</v>
      </c>
      <c r="D63" t="s">
        <v>49</v>
      </c>
      <c r="E63" t="s">
        <v>50</v>
      </c>
      <c r="F63" t="s">
        <v>51</v>
      </c>
      <c r="G63" t="s">
        <v>65</v>
      </c>
      <c r="H63" s="37">
        <v>7000</v>
      </c>
      <c r="I63">
        <v>-200</v>
      </c>
      <c r="J63">
        <v>1408.3</v>
      </c>
      <c r="K63">
        <v>45</v>
      </c>
      <c r="L63">
        <v>31.3</v>
      </c>
      <c r="M63">
        <v>4.5</v>
      </c>
      <c r="N63">
        <v>30.9</v>
      </c>
      <c r="O63">
        <v>35.200000000000003</v>
      </c>
      <c r="P63" t="s">
        <v>195</v>
      </c>
    </row>
    <row r="64" spans="1:16" x14ac:dyDescent="0.25">
      <c r="H64" s="36">
        <v>42770</v>
      </c>
      <c r="I64" t="s">
        <v>30</v>
      </c>
      <c r="J64" t="s">
        <v>31</v>
      </c>
      <c r="K64" t="s">
        <v>32</v>
      </c>
      <c r="L64" t="s">
        <v>33</v>
      </c>
      <c r="M64" t="s">
        <v>34</v>
      </c>
      <c r="N64" t="s">
        <v>30</v>
      </c>
      <c r="O64" t="s">
        <v>30</v>
      </c>
      <c r="P64" t="s">
        <v>187</v>
      </c>
    </row>
    <row r="65" spans="1:16" x14ac:dyDescent="0.25">
      <c r="H65" t="s">
        <v>10</v>
      </c>
      <c r="I65" t="s">
        <v>10</v>
      </c>
      <c r="J65" t="s">
        <v>35</v>
      </c>
      <c r="L65" t="s">
        <v>36</v>
      </c>
      <c r="M65" t="s">
        <v>37</v>
      </c>
      <c r="N65" t="s">
        <v>38</v>
      </c>
      <c r="O65" t="s">
        <v>1</v>
      </c>
      <c r="P65" t="s">
        <v>39</v>
      </c>
    </row>
    <row r="66" spans="1:16" x14ac:dyDescent="0.25">
      <c r="B66" t="s">
        <v>12</v>
      </c>
      <c r="C66" t="s">
        <v>40</v>
      </c>
      <c r="D66" t="s">
        <v>41</v>
      </c>
      <c r="E66" t="s">
        <v>42</v>
      </c>
      <c r="F66" t="s">
        <v>43</v>
      </c>
      <c r="G66" t="s">
        <v>2</v>
      </c>
      <c r="H66" s="3">
        <v>0</v>
      </c>
      <c r="I66" t="s">
        <v>44</v>
      </c>
      <c r="J66" t="s">
        <v>36</v>
      </c>
      <c r="K66" t="s">
        <v>11</v>
      </c>
      <c r="L66" t="s">
        <v>45</v>
      </c>
      <c r="M66" t="s">
        <v>46</v>
      </c>
      <c r="N66" t="s">
        <v>47</v>
      </c>
      <c r="O66" t="s">
        <v>36</v>
      </c>
      <c r="P66">
        <v>1.23456789012345E+27</v>
      </c>
    </row>
    <row r="67" spans="1:16" x14ac:dyDescent="0.25">
      <c r="A67">
        <v>51</v>
      </c>
      <c r="B67" t="s">
        <v>7</v>
      </c>
      <c r="C67" t="s">
        <v>127</v>
      </c>
      <c r="D67" t="s">
        <v>49</v>
      </c>
      <c r="E67" t="s">
        <v>50</v>
      </c>
      <c r="F67" t="s">
        <v>51</v>
      </c>
      <c r="G67" t="s">
        <v>98</v>
      </c>
      <c r="H67" s="37">
        <v>6700</v>
      </c>
      <c r="I67">
        <v>0</v>
      </c>
      <c r="J67">
        <v>1454</v>
      </c>
      <c r="K67">
        <v>47</v>
      </c>
      <c r="L67">
        <v>30.9</v>
      </c>
      <c r="M67">
        <v>4.5999999999999996</v>
      </c>
      <c r="N67">
        <v>31.8</v>
      </c>
      <c r="O67">
        <v>23.1</v>
      </c>
      <c r="P67" t="s">
        <v>209</v>
      </c>
    </row>
    <row r="68" spans="1:16" x14ac:dyDescent="0.25">
      <c r="A68">
        <v>52</v>
      </c>
      <c r="B68" t="s">
        <v>8</v>
      </c>
      <c r="C68" t="s">
        <v>128</v>
      </c>
      <c r="D68" t="s">
        <v>49</v>
      </c>
      <c r="E68" t="s">
        <v>50</v>
      </c>
      <c r="F68" t="s">
        <v>51</v>
      </c>
      <c r="G68" t="s">
        <v>68</v>
      </c>
      <c r="H68" s="37">
        <v>6500</v>
      </c>
      <c r="I68">
        <v>0</v>
      </c>
      <c r="J68">
        <v>1109.3</v>
      </c>
      <c r="K68">
        <v>36</v>
      </c>
      <c r="L68">
        <v>30.8</v>
      </c>
      <c r="M68">
        <v>4.7</v>
      </c>
      <c r="N68">
        <v>28.4</v>
      </c>
      <c r="O68" t="s">
        <v>72</v>
      </c>
      <c r="P68" t="s">
        <v>197</v>
      </c>
    </row>
    <row r="69" spans="1:16" x14ac:dyDescent="0.25">
      <c r="A69">
        <v>53</v>
      </c>
      <c r="B69" t="s">
        <v>6</v>
      </c>
      <c r="C69" t="s">
        <v>129</v>
      </c>
      <c r="D69" t="s">
        <v>49</v>
      </c>
      <c r="E69" t="s">
        <v>50</v>
      </c>
      <c r="F69" t="s">
        <v>51</v>
      </c>
      <c r="G69" t="s">
        <v>18</v>
      </c>
      <c r="H69" s="37">
        <v>7300</v>
      </c>
      <c r="I69">
        <v>0</v>
      </c>
      <c r="J69">
        <v>1503.4</v>
      </c>
      <c r="K69">
        <v>49</v>
      </c>
      <c r="L69">
        <v>30.7</v>
      </c>
      <c r="M69">
        <v>4.2</v>
      </c>
      <c r="N69">
        <v>32</v>
      </c>
      <c r="O69">
        <v>23.4</v>
      </c>
      <c r="P69" t="s">
        <v>196</v>
      </c>
    </row>
    <row r="70" spans="1:16" x14ac:dyDescent="0.25">
      <c r="A70">
        <v>54</v>
      </c>
      <c r="B70" t="s">
        <v>6</v>
      </c>
      <c r="C70" t="s">
        <v>130</v>
      </c>
      <c r="D70" t="s">
        <v>49</v>
      </c>
      <c r="E70" t="s">
        <v>50</v>
      </c>
      <c r="F70" t="s">
        <v>51</v>
      </c>
      <c r="G70" t="s">
        <v>131</v>
      </c>
      <c r="H70" s="37">
        <v>6600</v>
      </c>
      <c r="I70">
        <v>0</v>
      </c>
      <c r="J70">
        <v>1471.3</v>
      </c>
      <c r="K70">
        <v>49</v>
      </c>
      <c r="L70">
        <v>30</v>
      </c>
      <c r="M70">
        <v>4.5</v>
      </c>
      <c r="N70">
        <v>29.5</v>
      </c>
      <c r="O70">
        <v>27.9</v>
      </c>
      <c r="P70" t="s">
        <v>216</v>
      </c>
    </row>
    <row r="71" spans="1:16" x14ac:dyDescent="0.25">
      <c r="A71">
        <v>55</v>
      </c>
      <c r="B71" t="s">
        <v>8</v>
      </c>
      <c r="C71" t="s">
        <v>132</v>
      </c>
      <c r="D71" t="s">
        <v>49</v>
      </c>
      <c r="E71" t="s">
        <v>50</v>
      </c>
      <c r="F71" t="s">
        <v>51</v>
      </c>
      <c r="G71" t="s">
        <v>61</v>
      </c>
      <c r="H71" s="37">
        <v>6700</v>
      </c>
      <c r="I71">
        <v>400</v>
      </c>
      <c r="J71">
        <v>1455.5</v>
      </c>
      <c r="K71">
        <v>49</v>
      </c>
      <c r="L71">
        <v>29.7</v>
      </c>
      <c r="M71">
        <v>4.4000000000000004</v>
      </c>
      <c r="N71">
        <v>29.7</v>
      </c>
      <c r="O71">
        <v>30.4</v>
      </c>
      <c r="P71" t="s">
        <v>193</v>
      </c>
    </row>
    <row r="72" spans="1:16" x14ac:dyDescent="0.25">
      <c r="A72">
        <v>56</v>
      </c>
      <c r="B72" t="s">
        <v>7</v>
      </c>
      <c r="C72" t="s">
        <v>133</v>
      </c>
      <c r="D72" t="s">
        <v>49</v>
      </c>
      <c r="E72" t="s">
        <v>50</v>
      </c>
      <c r="F72" t="s">
        <v>51</v>
      </c>
      <c r="G72" t="s">
        <v>80</v>
      </c>
      <c r="H72" s="37">
        <v>7200</v>
      </c>
      <c r="I72">
        <v>0</v>
      </c>
      <c r="J72">
        <v>1474.3</v>
      </c>
      <c r="K72">
        <v>50</v>
      </c>
      <c r="L72">
        <v>29.5</v>
      </c>
      <c r="M72">
        <v>4.0999999999999996</v>
      </c>
      <c r="N72">
        <v>32</v>
      </c>
      <c r="O72">
        <v>24.2</v>
      </c>
      <c r="P72" t="s">
        <v>202</v>
      </c>
    </row>
    <row r="73" spans="1:16" x14ac:dyDescent="0.25">
      <c r="A73">
        <v>57</v>
      </c>
      <c r="B73" t="s">
        <v>7</v>
      </c>
      <c r="C73" t="s">
        <v>134</v>
      </c>
      <c r="D73" t="s">
        <v>49</v>
      </c>
      <c r="E73" t="s">
        <v>50</v>
      </c>
      <c r="F73" t="s">
        <v>51</v>
      </c>
      <c r="G73" t="s">
        <v>65</v>
      </c>
      <c r="H73" s="37">
        <v>6700</v>
      </c>
      <c r="I73">
        <v>0</v>
      </c>
      <c r="J73">
        <v>1440.4</v>
      </c>
      <c r="K73">
        <v>49</v>
      </c>
      <c r="L73">
        <v>29.4</v>
      </c>
      <c r="M73">
        <v>4.4000000000000004</v>
      </c>
      <c r="N73">
        <v>27.8</v>
      </c>
      <c r="O73">
        <v>43.3</v>
      </c>
      <c r="P73" t="s">
        <v>195</v>
      </c>
    </row>
    <row r="74" spans="1:16" x14ac:dyDescent="0.25">
      <c r="A74">
        <v>58</v>
      </c>
      <c r="B74" t="s">
        <v>3</v>
      </c>
      <c r="C74" t="s">
        <v>135</v>
      </c>
      <c r="D74" t="s">
        <v>49</v>
      </c>
      <c r="E74" t="s">
        <v>50</v>
      </c>
      <c r="F74" t="s">
        <v>51</v>
      </c>
      <c r="G74" t="s">
        <v>102</v>
      </c>
      <c r="H74" s="37">
        <v>6500</v>
      </c>
      <c r="I74">
        <v>0</v>
      </c>
      <c r="J74">
        <v>1241.9000000000001</v>
      </c>
      <c r="K74">
        <v>43</v>
      </c>
      <c r="L74">
        <v>28.9</v>
      </c>
      <c r="M74">
        <v>4.4000000000000004</v>
      </c>
      <c r="N74">
        <v>28.7</v>
      </c>
      <c r="O74" t="s">
        <v>72</v>
      </c>
      <c r="P74" t="s">
        <v>211</v>
      </c>
    </row>
    <row r="75" spans="1:16" x14ac:dyDescent="0.25">
      <c r="A75">
        <v>59</v>
      </c>
      <c r="B75" t="s">
        <v>3</v>
      </c>
      <c r="C75" t="s">
        <v>136</v>
      </c>
      <c r="D75" t="s">
        <v>49</v>
      </c>
      <c r="E75" t="s">
        <v>50</v>
      </c>
      <c r="F75" t="s">
        <v>51</v>
      </c>
      <c r="G75" t="s">
        <v>105</v>
      </c>
      <c r="H75" s="37">
        <v>5800</v>
      </c>
      <c r="I75">
        <v>-200</v>
      </c>
      <c r="J75">
        <v>748.2</v>
      </c>
      <c r="K75">
        <v>26</v>
      </c>
      <c r="L75">
        <v>28.8</v>
      </c>
      <c r="M75">
        <v>5</v>
      </c>
      <c r="N75">
        <v>26.5</v>
      </c>
      <c r="O75">
        <v>16.399999999999999</v>
      </c>
      <c r="P75" t="s">
        <v>212</v>
      </c>
    </row>
    <row r="76" spans="1:16" x14ac:dyDescent="0.25">
      <c r="A76">
        <v>60</v>
      </c>
      <c r="B76" t="s">
        <v>3</v>
      </c>
      <c r="C76" t="s">
        <v>137</v>
      </c>
      <c r="D76" t="s">
        <v>49</v>
      </c>
      <c r="E76" t="s">
        <v>50</v>
      </c>
      <c r="F76" t="s">
        <v>51</v>
      </c>
      <c r="G76" t="s">
        <v>95</v>
      </c>
      <c r="H76" s="37">
        <v>6100</v>
      </c>
      <c r="I76">
        <v>-600</v>
      </c>
      <c r="J76">
        <v>1442.1</v>
      </c>
      <c r="K76">
        <v>50</v>
      </c>
      <c r="L76">
        <v>28.8</v>
      </c>
      <c r="M76">
        <v>4.7</v>
      </c>
      <c r="N76">
        <v>27.5</v>
      </c>
      <c r="O76">
        <v>8.9</v>
      </c>
      <c r="P76" t="s">
        <v>208</v>
      </c>
    </row>
    <row r="77" spans="1:16" x14ac:dyDescent="0.25">
      <c r="A77">
        <v>61</v>
      </c>
      <c r="B77" t="s">
        <v>8</v>
      </c>
      <c r="C77" t="s">
        <v>138</v>
      </c>
      <c r="D77" t="s">
        <v>49</v>
      </c>
      <c r="E77" t="s">
        <v>50</v>
      </c>
      <c r="F77" t="s">
        <v>51</v>
      </c>
      <c r="G77" t="s">
        <v>85</v>
      </c>
      <c r="H77" s="37">
        <v>6900</v>
      </c>
      <c r="I77">
        <v>0</v>
      </c>
      <c r="J77">
        <v>1367.6</v>
      </c>
      <c r="K77">
        <v>48</v>
      </c>
      <c r="L77">
        <v>28.5</v>
      </c>
      <c r="M77">
        <v>4.0999999999999996</v>
      </c>
      <c r="N77">
        <v>32.6</v>
      </c>
      <c r="O77">
        <v>34.799999999999997</v>
      </c>
      <c r="P77" t="s">
        <v>204</v>
      </c>
    </row>
    <row r="78" spans="1:16" x14ac:dyDescent="0.25">
      <c r="A78">
        <v>62</v>
      </c>
      <c r="B78" t="s">
        <v>5</v>
      </c>
      <c r="C78" t="s">
        <v>139</v>
      </c>
      <c r="D78" t="s">
        <v>49</v>
      </c>
      <c r="E78" t="s">
        <v>50</v>
      </c>
      <c r="F78" t="s">
        <v>51</v>
      </c>
      <c r="G78" t="s">
        <v>123</v>
      </c>
      <c r="H78" s="37">
        <v>6200</v>
      </c>
      <c r="I78">
        <v>200</v>
      </c>
      <c r="J78">
        <v>1413.5</v>
      </c>
      <c r="K78">
        <v>50</v>
      </c>
      <c r="L78">
        <v>28.3</v>
      </c>
      <c r="M78">
        <v>4.5999999999999996</v>
      </c>
      <c r="N78">
        <v>26.3</v>
      </c>
      <c r="O78">
        <v>40.299999999999997</v>
      </c>
      <c r="P78" t="s">
        <v>215</v>
      </c>
    </row>
    <row r="79" spans="1:16" x14ac:dyDescent="0.25">
      <c r="A79">
        <v>63</v>
      </c>
      <c r="B79" t="s">
        <v>6</v>
      </c>
      <c r="C79" t="s">
        <v>140</v>
      </c>
      <c r="D79" t="s">
        <v>49</v>
      </c>
      <c r="E79" t="s">
        <v>50</v>
      </c>
      <c r="F79" t="s">
        <v>51</v>
      </c>
      <c r="G79" t="s">
        <v>65</v>
      </c>
      <c r="H79" s="37">
        <v>6400</v>
      </c>
      <c r="I79">
        <v>-300</v>
      </c>
      <c r="J79">
        <v>1376.9</v>
      </c>
      <c r="K79">
        <v>49</v>
      </c>
      <c r="L79">
        <v>28.1</v>
      </c>
      <c r="M79">
        <v>4.4000000000000004</v>
      </c>
      <c r="N79">
        <v>28.9</v>
      </c>
      <c r="O79">
        <v>26.7</v>
      </c>
      <c r="P79" t="s">
        <v>195</v>
      </c>
    </row>
    <row r="80" spans="1:16" x14ac:dyDescent="0.25">
      <c r="A80">
        <v>64</v>
      </c>
      <c r="B80" t="s">
        <v>5</v>
      </c>
      <c r="C80" t="s">
        <v>141</v>
      </c>
      <c r="D80" t="s">
        <v>49</v>
      </c>
      <c r="E80" t="s">
        <v>50</v>
      </c>
      <c r="F80" t="s">
        <v>51</v>
      </c>
      <c r="G80" t="s">
        <v>142</v>
      </c>
      <c r="H80" s="37">
        <v>6300</v>
      </c>
      <c r="I80">
        <v>0</v>
      </c>
      <c r="J80">
        <v>1264.2</v>
      </c>
      <c r="K80">
        <v>45</v>
      </c>
      <c r="L80">
        <v>28.1</v>
      </c>
      <c r="M80">
        <v>4.5</v>
      </c>
      <c r="N80">
        <v>23.8</v>
      </c>
      <c r="O80">
        <v>3.4</v>
      </c>
      <c r="P80" t="s">
        <v>217</v>
      </c>
    </row>
    <row r="81" spans="1:16" x14ac:dyDescent="0.25">
      <c r="A81">
        <v>65</v>
      </c>
      <c r="B81" t="s">
        <v>8</v>
      </c>
      <c r="C81" t="s">
        <v>143</v>
      </c>
      <c r="D81" t="s">
        <v>49</v>
      </c>
      <c r="E81" t="s">
        <v>50</v>
      </c>
      <c r="F81" t="s">
        <v>51</v>
      </c>
      <c r="G81" t="s">
        <v>18</v>
      </c>
      <c r="H81" s="37">
        <v>6000</v>
      </c>
      <c r="I81">
        <v>0</v>
      </c>
      <c r="J81">
        <v>1279.2</v>
      </c>
      <c r="K81">
        <v>46</v>
      </c>
      <c r="L81">
        <v>27.8</v>
      </c>
      <c r="M81">
        <v>4.5999999999999996</v>
      </c>
      <c r="N81">
        <v>23.3</v>
      </c>
      <c r="O81">
        <v>19.600000000000001</v>
      </c>
      <c r="P81" t="s">
        <v>196</v>
      </c>
    </row>
    <row r="82" spans="1:16" x14ac:dyDescent="0.25">
      <c r="A82">
        <v>66</v>
      </c>
      <c r="B82" t="s">
        <v>3</v>
      </c>
      <c r="C82" t="s">
        <v>144</v>
      </c>
      <c r="D82" t="s">
        <v>49</v>
      </c>
      <c r="E82" t="s">
        <v>50</v>
      </c>
      <c r="F82" t="s">
        <v>51</v>
      </c>
      <c r="G82" t="s">
        <v>121</v>
      </c>
      <c r="H82" s="37">
        <v>6400</v>
      </c>
      <c r="I82">
        <v>0</v>
      </c>
      <c r="J82">
        <v>329.3</v>
      </c>
      <c r="K82">
        <v>12</v>
      </c>
      <c r="L82">
        <v>27.4</v>
      </c>
      <c r="M82">
        <v>4.3</v>
      </c>
      <c r="N82">
        <v>0</v>
      </c>
      <c r="O82" t="s">
        <v>72</v>
      </c>
      <c r="P82" t="s">
        <v>214</v>
      </c>
    </row>
    <row r="83" spans="1:16" x14ac:dyDescent="0.25">
      <c r="A83">
        <v>67</v>
      </c>
      <c r="B83" t="s">
        <v>3</v>
      </c>
      <c r="C83" t="s">
        <v>145</v>
      </c>
      <c r="D83" t="s">
        <v>49</v>
      </c>
      <c r="E83" t="s">
        <v>50</v>
      </c>
      <c r="F83" t="s">
        <v>51</v>
      </c>
      <c r="G83" t="s">
        <v>123</v>
      </c>
      <c r="H83" s="37">
        <v>6700</v>
      </c>
      <c r="I83">
        <v>0</v>
      </c>
      <c r="J83">
        <v>1399.2</v>
      </c>
      <c r="K83">
        <v>51</v>
      </c>
      <c r="L83">
        <v>27.4</v>
      </c>
      <c r="M83">
        <v>4.0999999999999996</v>
      </c>
      <c r="N83">
        <v>30.2</v>
      </c>
      <c r="O83">
        <v>21.7</v>
      </c>
      <c r="P83" t="s">
        <v>215</v>
      </c>
    </row>
    <row r="84" spans="1:16" x14ac:dyDescent="0.25">
      <c r="A84">
        <v>68</v>
      </c>
      <c r="B84" t="s">
        <v>7</v>
      </c>
      <c r="C84" t="s">
        <v>146</v>
      </c>
      <c r="D84" t="s">
        <v>49</v>
      </c>
      <c r="E84" t="s">
        <v>50</v>
      </c>
      <c r="F84" t="s">
        <v>51</v>
      </c>
      <c r="G84" t="s">
        <v>78</v>
      </c>
      <c r="H84" s="37">
        <v>6200</v>
      </c>
      <c r="I84">
        <v>0</v>
      </c>
      <c r="J84">
        <v>1064.9000000000001</v>
      </c>
      <c r="K84">
        <v>39</v>
      </c>
      <c r="L84">
        <v>27.3</v>
      </c>
      <c r="M84">
        <v>4.4000000000000004</v>
      </c>
      <c r="N84">
        <v>25.3</v>
      </c>
      <c r="O84" t="s">
        <v>72</v>
      </c>
      <c r="P84" t="s">
        <v>201</v>
      </c>
    </row>
    <row r="85" spans="1:16" x14ac:dyDescent="0.25">
      <c r="A85">
        <v>69</v>
      </c>
      <c r="B85" t="s">
        <v>6</v>
      </c>
      <c r="C85" t="s">
        <v>147</v>
      </c>
      <c r="D85" t="s">
        <v>49</v>
      </c>
      <c r="E85" t="s">
        <v>50</v>
      </c>
      <c r="F85" t="s">
        <v>51</v>
      </c>
      <c r="G85" t="s">
        <v>117</v>
      </c>
      <c r="H85" s="37">
        <v>5900</v>
      </c>
      <c r="I85">
        <v>-400</v>
      </c>
      <c r="J85">
        <v>1201.5</v>
      </c>
      <c r="K85">
        <v>44</v>
      </c>
      <c r="L85">
        <v>27.3</v>
      </c>
      <c r="M85">
        <v>4.5999999999999996</v>
      </c>
      <c r="N85">
        <v>26.4</v>
      </c>
      <c r="O85">
        <v>14.6</v>
      </c>
      <c r="P85" t="s">
        <v>213</v>
      </c>
    </row>
    <row r="86" spans="1:16" x14ac:dyDescent="0.25">
      <c r="A86">
        <v>70</v>
      </c>
      <c r="B86" t="s">
        <v>6</v>
      </c>
      <c r="C86" t="s">
        <v>148</v>
      </c>
      <c r="D86" t="s">
        <v>49</v>
      </c>
      <c r="E86" t="s">
        <v>50</v>
      </c>
      <c r="F86" t="s">
        <v>51</v>
      </c>
      <c r="G86" t="s">
        <v>117</v>
      </c>
      <c r="H86" s="37">
        <v>6900</v>
      </c>
      <c r="I86">
        <v>0</v>
      </c>
      <c r="J86">
        <v>1185.2</v>
      </c>
      <c r="K86">
        <v>44</v>
      </c>
      <c r="L86">
        <v>26.9</v>
      </c>
      <c r="M86">
        <v>3.9</v>
      </c>
      <c r="N86">
        <v>26.3</v>
      </c>
      <c r="O86">
        <v>18.600000000000001</v>
      </c>
      <c r="P86" t="s">
        <v>213</v>
      </c>
    </row>
    <row r="87" spans="1:16" x14ac:dyDescent="0.25">
      <c r="A87">
        <v>71</v>
      </c>
      <c r="B87" t="s">
        <v>5</v>
      </c>
      <c r="C87" t="s">
        <v>149</v>
      </c>
      <c r="D87" t="s">
        <v>49</v>
      </c>
      <c r="E87" t="s">
        <v>50</v>
      </c>
      <c r="F87" t="s">
        <v>51</v>
      </c>
      <c r="G87" t="s">
        <v>65</v>
      </c>
      <c r="H87" s="37">
        <v>7200</v>
      </c>
      <c r="I87">
        <v>-300</v>
      </c>
      <c r="J87">
        <v>1290.0999999999999</v>
      </c>
      <c r="K87">
        <v>48</v>
      </c>
      <c r="L87">
        <v>26.9</v>
      </c>
      <c r="M87">
        <v>3.7</v>
      </c>
      <c r="N87">
        <v>33.5</v>
      </c>
      <c r="O87">
        <v>36.200000000000003</v>
      </c>
      <c r="P87" t="s">
        <v>195</v>
      </c>
    </row>
    <row r="88" spans="1:16" x14ac:dyDescent="0.25">
      <c r="A88">
        <v>72</v>
      </c>
      <c r="B88" t="s">
        <v>3</v>
      </c>
      <c r="C88" t="s">
        <v>150</v>
      </c>
      <c r="D88" t="s">
        <v>49</v>
      </c>
      <c r="E88" t="s">
        <v>50</v>
      </c>
      <c r="F88" t="s">
        <v>51</v>
      </c>
      <c r="G88" t="s">
        <v>142</v>
      </c>
      <c r="H88" s="37">
        <v>6100</v>
      </c>
      <c r="I88">
        <v>0</v>
      </c>
      <c r="J88">
        <v>967.7</v>
      </c>
      <c r="K88">
        <v>36</v>
      </c>
      <c r="L88">
        <v>26.9</v>
      </c>
      <c r="M88">
        <v>4.4000000000000004</v>
      </c>
      <c r="N88">
        <v>28.2</v>
      </c>
      <c r="O88">
        <v>40.9</v>
      </c>
      <c r="P88" t="s">
        <v>217</v>
      </c>
    </row>
    <row r="89" spans="1:16" x14ac:dyDescent="0.25">
      <c r="A89">
        <v>73</v>
      </c>
      <c r="B89" t="s">
        <v>5</v>
      </c>
      <c r="C89" t="s">
        <v>151</v>
      </c>
      <c r="D89" t="s">
        <v>49</v>
      </c>
      <c r="E89" t="s">
        <v>50</v>
      </c>
      <c r="F89" t="s">
        <v>51</v>
      </c>
      <c r="G89" t="s">
        <v>88</v>
      </c>
      <c r="H89" s="37">
        <v>6100</v>
      </c>
      <c r="I89">
        <v>0</v>
      </c>
      <c r="J89">
        <v>1177.2</v>
      </c>
      <c r="K89">
        <v>44</v>
      </c>
      <c r="L89">
        <v>26.8</v>
      </c>
      <c r="M89">
        <v>4.4000000000000004</v>
      </c>
      <c r="N89">
        <v>29.9</v>
      </c>
      <c r="O89">
        <v>19</v>
      </c>
      <c r="P89" t="s">
        <v>205</v>
      </c>
    </row>
    <row r="90" spans="1:16" x14ac:dyDescent="0.25">
      <c r="A90">
        <v>74</v>
      </c>
      <c r="B90" t="s">
        <v>3</v>
      </c>
      <c r="C90" t="s">
        <v>152</v>
      </c>
      <c r="D90" t="s">
        <v>49</v>
      </c>
      <c r="E90" t="s">
        <v>50</v>
      </c>
      <c r="F90" t="s">
        <v>51</v>
      </c>
      <c r="G90" t="s">
        <v>18</v>
      </c>
      <c r="H90" s="37">
        <v>6900</v>
      </c>
      <c r="I90">
        <v>0</v>
      </c>
      <c r="J90">
        <v>1153.5</v>
      </c>
      <c r="K90">
        <v>43</v>
      </c>
      <c r="L90">
        <v>26.8</v>
      </c>
      <c r="M90">
        <v>3.9</v>
      </c>
      <c r="N90">
        <v>33.1</v>
      </c>
      <c r="O90">
        <v>33.9</v>
      </c>
      <c r="P90" t="s">
        <v>196</v>
      </c>
    </row>
    <row r="91" spans="1:16" x14ac:dyDescent="0.25">
      <c r="A91">
        <v>75</v>
      </c>
      <c r="B91" t="s">
        <v>3</v>
      </c>
      <c r="C91" t="s">
        <v>153</v>
      </c>
      <c r="D91" t="s">
        <v>49</v>
      </c>
      <c r="E91" t="s">
        <v>50</v>
      </c>
      <c r="F91" t="s">
        <v>51</v>
      </c>
      <c r="G91" t="s">
        <v>92</v>
      </c>
      <c r="H91" s="37">
        <v>6100</v>
      </c>
      <c r="I91">
        <v>0</v>
      </c>
      <c r="J91">
        <v>743.6</v>
      </c>
      <c r="K91">
        <v>28</v>
      </c>
      <c r="L91">
        <v>26.6</v>
      </c>
      <c r="M91">
        <v>4.4000000000000004</v>
      </c>
      <c r="N91">
        <v>27.1</v>
      </c>
      <c r="O91">
        <v>9.5</v>
      </c>
      <c r="P91" t="s">
        <v>207</v>
      </c>
    </row>
    <row r="92" spans="1:16" x14ac:dyDescent="0.25">
      <c r="H92" s="36">
        <v>42770</v>
      </c>
      <c r="I92" t="s">
        <v>30</v>
      </c>
      <c r="J92" t="s">
        <v>31</v>
      </c>
      <c r="K92" t="s">
        <v>32</v>
      </c>
      <c r="L92" t="s">
        <v>33</v>
      </c>
      <c r="M92" t="s">
        <v>34</v>
      </c>
      <c r="N92" t="s">
        <v>30</v>
      </c>
      <c r="O92" t="s">
        <v>30</v>
      </c>
      <c r="P92" t="s">
        <v>187</v>
      </c>
    </row>
    <row r="93" spans="1:16" x14ac:dyDescent="0.25">
      <c r="H93" t="s">
        <v>10</v>
      </c>
      <c r="I93" t="s">
        <v>10</v>
      </c>
      <c r="J93" t="s">
        <v>35</v>
      </c>
      <c r="L93" t="s">
        <v>36</v>
      </c>
      <c r="M93" t="s">
        <v>37</v>
      </c>
      <c r="N93" t="s">
        <v>38</v>
      </c>
      <c r="O93" t="s">
        <v>1</v>
      </c>
      <c r="P93" t="s">
        <v>39</v>
      </c>
    </row>
    <row r="94" spans="1:16" x14ac:dyDescent="0.25">
      <c r="B94" t="s">
        <v>12</v>
      </c>
      <c r="C94" t="s">
        <v>40</v>
      </c>
      <c r="D94" t="s">
        <v>41</v>
      </c>
      <c r="E94" t="s">
        <v>42</v>
      </c>
      <c r="F94" t="s">
        <v>43</v>
      </c>
      <c r="G94" t="s">
        <v>2</v>
      </c>
      <c r="H94" s="3">
        <v>0</v>
      </c>
      <c r="I94" t="s">
        <v>44</v>
      </c>
      <c r="J94" t="s">
        <v>36</v>
      </c>
      <c r="K94" t="s">
        <v>11</v>
      </c>
      <c r="L94" t="s">
        <v>45</v>
      </c>
      <c r="M94" t="s">
        <v>46</v>
      </c>
      <c r="N94" t="s">
        <v>47</v>
      </c>
      <c r="O94" t="s">
        <v>36</v>
      </c>
      <c r="P94">
        <v>1.23456789012345E+27</v>
      </c>
    </row>
    <row r="95" spans="1:16" x14ac:dyDescent="0.25">
      <c r="A95">
        <v>76</v>
      </c>
      <c r="B95" t="s">
        <v>5</v>
      </c>
      <c r="C95" t="s">
        <v>154</v>
      </c>
      <c r="D95" t="s">
        <v>49</v>
      </c>
      <c r="E95" t="s">
        <v>50</v>
      </c>
      <c r="F95" t="s">
        <v>51</v>
      </c>
      <c r="G95" t="s">
        <v>92</v>
      </c>
      <c r="H95" s="37">
        <v>5900</v>
      </c>
      <c r="I95">
        <v>0</v>
      </c>
      <c r="J95">
        <v>1301.7</v>
      </c>
      <c r="K95">
        <v>49</v>
      </c>
      <c r="L95">
        <v>26.6</v>
      </c>
      <c r="M95">
        <v>4.5</v>
      </c>
      <c r="N95">
        <v>27.5</v>
      </c>
      <c r="O95">
        <v>35.6</v>
      </c>
      <c r="P95" t="s">
        <v>207</v>
      </c>
    </row>
    <row r="96" spans="1:16" x14ac:dyDescent="0.25">
      <c r="A96">
        <v>77</v>
      </c>
      <c r="B96" t="s">
        <v>3</v>
      </c>
      <c r="C96" t="s">
        <v>155</v>
      </c>
      <c r="D96" t="s">
        <v>49</v>
      </c>
      <c r="E96" t="s">
        <v>50</v>
      </c>
      <c r="F96" t="s">
        <v>51</v>
      </c>
      <c r="G96" t="s">
        <v>83</v>
      </c>
      <c r="H96" s="37">
        <v>5800</v>
      </c>
      <c r="I96">
        <v>0</v>
      </c>
      <c r="J96">
        <v>1116.4000000000001</v>
      </c>
      <c r="K96">
        <v>42</v>
      </c>
      <c r="L96">
        <v>26.6</v>
      </c>
      <c r="M96">
        <v>4.5999999999999996</v>
      </c>
      <c r="N96">
        <v>26.8</v>
      </c>
      <c r="O96">
        <v>29.1</v>
      </c>
      <c r="P96" t="s">
        <v>203</v>
      </c>
    </row>
    <row r="97" spans="1:16" x14ac:dyDescent="0.25">
      <c r="A97">
        <v>78</v>
      </c>
      <c r="B97" t="s">
        <v>8</v>
      </c>
      <c r="C97" t="s">
        <v>156</v>
      </c>
      <c r="D97" t="s">
        <v>49</v>
      </c>
      <c r="E97" t="s">
        <v>50</v>
      </c>
      <c r="F97" t="s">
        <v>51</v>
      </c>
      <c r="G97" t="s">
        <v>4</v>
      </c>
      <c r="H97" s="37">
        <v>5800</v>
      </c>
      <c r="I97">
        <v>0</v>
      </c>
      <c r="J97">
        <v>1087.5999999999999</v>
      </c>
      <c r="K97">
        <v>41</v>
      </c>
      <c r="L97">
        <v>26.5</v>
      </c>
      <c r="M97">
        <v>4.5999999999999996</v>
      </c>
      <c r="N97">
        <v>27.2</v>
      </c>
      <c r="O97">
        <v>19</v>
      </c>
      <c r="P97" t="s">
        <v>188</v>
      </c>
    </row>
    <row r="98" spans="1:16" x14ac:dyDescent="0.25">
      <c r="A98">
        <v>79</v>
      </c>
      <c r="B98" t="s">
        <v>8</v>
      </c>
      <c r="C98" t="s">
        <v>157</v>
      </c>
      <c r="D98" t="s">
        <v>49</v>
      </c>
      <c r="E98" t="s">
        <v>50</v>
      </c>
      <c r="F98" t="s">
        <v>51</v>
      </c>
      <c r="G98" t="s">
        <v>142</v>
      </c>
      <c r="H98" s="37">
        <v>6400</v>
      </c>
      <c r="I98">
        <v>0</v>
      </c>
      <c r="J98">
        <v>1366.4</v>
      </c>
      <c r="K98">
        <v>52</v>
      </c>
      <c r="L98">
        <v>26.3</v>
      </c>
      <c r="M98">
        <v>4.0999999999999996</v>
      </c>
      <c r="N98">
        <v>26.1</v>
      </c>
      <c r="O98">
        <v>22.4</v>
      </c>
      <c r="P98" t="s">
        <v>217</v>
      </c>
    </row>
    <row r="99" spans="1:16" x14ac:dyDescent="0.25">
      <c r="A99">
        <v>80</v>
      </c>
      <c r="B99" t="s">
        <v>3</v>
      </c>
      <c r="C99" t="s">
        <v>158</v>
      </c>
      <c r="D99" t="s">
        <v>49</v>
      </c>
      <c r="E99" t="s">
        <v>50</v>
      </c>
      <c r="F99" t="s">
        <v>51</v>
      </c>
      <c r="G99" t="s">
        <v>131</v>
      </c>
      <c r="H99" s="37">
        <v>6200</v>
      </c>
      <c r="I99">
        <v>0</v>
      </c>
      <c r="J99">
        <v>968.8</v>
      </c>
      <c r="K99">
        <v>37</v>
      </c>
      <c r="L99">
        <v>26.2</v>
      </c>
      <c r="M99">
        <v>4.2</v>
      </c>
      <c r="N99">
        <v>27.5</v>
      </c>
      <c r="O99" t="s">
        <v>72</v>
      </c>
      <c r="P99" t="s">
        <v>216</v>
      </c>
    </row>
    <row r="100" spans="1:16" x14ac:dyDescent="0.25">
      <c r="A100">
        <v>81</v>
      </c>
      <c r="B100" t="s">
        <v>8</v>
      </c>
      <c r="C100" t="s">
        <v>159</v>
      </c>
      <c r="D100" t="s">
        <v>49</v>
      </c>
      <c r="E100" t="s">
        <v>50</v>
      </c>
      <c r="F100" t="s">
        <v>51</v>
      </c>
      <c r="G100" t="s">
        <v>83</v>
      </c>
      <c r="H100" s="37">
        <v>7200</v>
      </c>
      <c r="I100">
        <v>100</v>
      </c>
      <c r="J100">
        <v>784.2</v>
      </c>
      <c r="K100">
        <v>30</v>
      </c>
      <c r="L100">
        <v>26.1</v>
      </c>
      <c r="M100">
        <v>3.6</v>
      </c>
      <c r="N100">
        <v>27.3</v>
      </c>
      <c r="O100">
        <v>37.9</v>
      </c>
      <c r="P100" t="s">
        <v>203</v>
      </c>
    </row>
    <row r="101" spans="1:16" x14ac:dyDescent="0.25">
      <c r="A101">
        <v>82</v>
      </c>
      <c r="B101" t="s">
        <v>7</v>
      </c>
      <c r="C101" t="s">
        <v>160</v>
      </c>
      <c r="D101" t="s">
        <v>49</v>
      </c>
      <c r="E101" t="s">
        <v>50</v>
      </c>
      <c r="F101" t="s">
        <v>51</v>
      </c>
      <c r="G101" t="s">
        <v>75</v>
      </c>
      <c r="H101" s="37">
        <v>5600</v>
      </c>
      <c r="I101">
        <v>0</v>
      </c>
      <c r="J101">
        <v>1247.4000000000001</v>
      </c>
      <c r="K101">
        <v>48</v>
      </c>
      <c r="L101">
        <v>26</v>
      </c>
      <c r="M101">
        <v>4.5999999999999996</v>
      </c>
      <c r="N101">
        <v>27.5</v>
      </c>
      <c r="O101">
        <v>8.1</v>
      </c>
      <c r="P101" t="s">
        <v>200</v>
      </c>
    </row>
    <row r="102" spans="1:16" x14ac:dyDescent="0.25">
      <c r="A102">
        <v>83</v>
      </c>
      <c r="B102" t="s">
        <v>6</v>
      </c>
      <c r="C102" t="s">
        <v>161</v>
      </c>
      <c r="D102" t="s">
        <v>49</v>
      </c>
      <c r="E102" t="s">
        <v>50</v>
      </c>
      <c r="F102" t="s">
        <v>51</v>
      </c>
      <c r="G102" t="s">
        <v>68</v>
      </c>
      <c r="H102" s="37">
        <v>6500</v>
      </c>
      <c r="I102">
        <v>0</v>
      </c>
      <c r="J102">
        <v>1046.0999999999999</v>
      </c>
      <c r="K102">
        <v>41</v>
      </c>
      <c r="L102">
        <v>25.5</v>
      </c>
      <c r="M102">
        <v>3.9</v>
      </c>
      <c r="N102">
        <v>28</v>
      </c>
      <c r="O102">
        <v>26.1</v>
      </c>
      <c r="P102" t="s">
        <v>197</v>
      </c>
    </row>
    <row r="103" spans="1:16" x14ac:dyDescent="0.25">
      <c r="A103">
        <v>84</v>
      </c>
      <c r="B103" t="s">
        <v>7</v>
      </c>
      <c r="C103" t="s">
        <v>162</v>
      </c>
      <c r="D103" t="s">
        <v>49</v>
      </c>
      <c r="E103" t="s">
        <v>50</v>
      </c>
      <c r="F103" t="s">
        <v>51</v>
      </c>
      <c r="G103" t="s">
        <v>4</v>
      </c>
      <c r="H103" s="37">
        <v>5900</v>
      </c>
      <c r="I103">
        <v>0</v>
      </c>
      <c r="J103">
        <v>1223.4000000000001</v>
      </c>
      <c r="K103">
        <v>48</v>
      </c>
      <c r="L103">
        <v>25.5</v>
      </c>
      <c r="M103">
        <v>4.3</v>
      </c>
      <c r="N103">
        <v>26.5</v>
      </c>
      <c r="O103">
        <v>14.2</v>
      </c>
      <c r="P103" t="s">
        <v>188</v>
      </c>
    </row>
    <row r="104" spans="1:16" x14ac:dyDescent="0.25">
      <c r="A104">
        <v>85</v>
      </c>
      <c r="B104" t="s">
        <v>5</v>
      </c>
      <c r="C104" t="s">
        <v>163</v>
      </c>
      <c r="D104" t="s">
        <v>49</v>
      </c>
      <c r="E104" t="s">
        <v>50</v>
      </c>
      <c r="F104" t="s">
        <v>51</v>
      </c>
      <c r="G104" t="s">
        <v>121</v>
      </c>
      <c r="H104" s="37">
        <v>5000</v>
      </c>
      <c r="I104">
        <v>0</v>
      </c>
      <c r="J104">
        <v>1117.5</v>
      </c>
      <c r="K104">
        <v>44</v>
      </c>
      <c r="L104">
        <v>25.4</v>
      </c>
      <c r="M104">
        <v>5.0999999999999996</v>
      </c>
      <c r="N104">
        <v>22.3</v>
      </c>
      <c r="O104">
        <v>27.1</v>
      </c>
      <c r="P104" t="s">
        <v>214</v>
      </c>
    </row>
    <row r="105" spans="1:16" x14ac:dyDescent="0.25">
      <c r="A105">
        <v>86</v>
      </c>
      <c r="B105" t="s">
        <v>5</v>
      </c>
      <c r="C105" t="s">
        <v>164</v>
      </c>
      <c r="D105" t="s">
        <v>49</v>
      </c>
      <c r="E105" t="s">
        <v>50</v>
      </c>
      <c r="F105" t="s">
        <v>51</v>
      </c>
      <c r="G105" t="s">
        <v>18</v>
      </c>
      <c r="H105" s="37">
        <v>5500</v>
      </c>
      <c r="I105">
        <v>0</v>
      </c>
      <c r="J105">
        <v>1245.3</v>
      </c>
      <c r="K105">
        <v>49</v>
      </c>
      <c r="L105">
        <v>25.4</v>
      </c>
      <c r="M105">
        <v>4.5999999999999996</v>
      </c>
      <c r="N105">
        <v>24.5</v>
      </c>
      <c r="O105">
        <v>12.2</v>
      </c>
      <c r="P105" t="s">
        <v>196</v>
      </c>
    </row>
    <row r="106" spans="1:16" x14ac:dyDescent="0.25">
      <c r="A106">
        <v>87</v>
      </c>
      <c r="B106" t="s">
        <v>5</v>
      </c>
      <c r="C106" t="s">
        <v>165</v>
      </c>
      <c r="D106" t="s">
        <v>49</v>
      </c>
      <c r="E106" t="s">
        <v>50</v>
      </c>
      <c r="F106" t="s">
        <v>51</v>
      </c>
      <c r="G106" t="s">
        <v>100</v>
      </c>
      <c r="H106" s="37">
        <v>6100</v>
      </c>
      <c r="I106">
        <v>400</v>
      </c>
      <c r="J106">
        <v>1236.0999999999999</v>
      </c>
      <c r="K106">
        <v>49</v>
      </c>
      <c r="L106">
        <v>25.2</v>
      </c>
      <c r="M106">
        <v>4.0999999999999996</v>
      </c>
      <c r="N106">
        <v>27.4</v>
      </c>
      <c r="O106">
        <v>46</v>
      </c>
      <c r="P106" t="s">
        <v>210</v>
      </c>
    </row>
    <row r="107" spans="1:16" x14ac:dyDescent="0.25">
      <c r="A107">
        <v>88</v>
      </c>
      <c r="B107" t="s">
        <v>8</v>
      </c>
      <c r="C107" t="s">
        <v>166</v>
      </c>
      <c r="D107" t="s">
        <v>49</v>
      </c>
      <c r="E107" t="s">
        <v>50</v>
      </c>
      <c r="F107" t="s">
        <v>51</v>
      </c>
      <c r="G107" t="s">
        <v>53</v>
      </c>
      <c r="H107" s="37">
        <v>5600</v>
      </c>
      <c r="I107">
        <v>0</v>
      </c>
      <c r="J107">
        <v>1227.5</v>
      </c>
      <c r="K107">
        <v>49</v>
      </c>
      <c r="L107">
        <v>25.1</v>
      </c>
      <c r="M107">
        <v>4.5</v>
      </c>
      <c r="N107">
        <v>23.2</v>
      </c>
      <c r="O107">
        <v>22.1</v>
      </c>
      <c r="P107" t="s">
        <v>189</v>
      </c>
    </row>
    <row r="108" spans="1:16" x14ac:dyDescent="0.25">
      <c r="A108">
        <v>89</v>
      </c>
      <c r="B108" t="s">
        <v>3</v>
      </c>
      <c r="C108" t="s">
        <v>167</v>
      </c>
      <c r="D108" t="s">
        <v>49</v>
      </c>
      <c r="E108" t="s">
        <v>50</v>
      </c>
      <c r="F108" t="s">
        <v>51</v>
      </c>
      <c r="G108" t="s">
        <v>53</v>
      </c>
      <c r="H108" s="37">
        <v>5200</v>
      </c>
      <c r="I108">
        <v>0</v>
      </c>
      <c r="J108">
        <v>979.3</v>
      </c>
      <c r="K108">
        <v>39</v>
      </c>
      <c r="L108">
        <v>25.1</v>
      </c>
      <c r="M108">
        <v>4.8</v>
      </c>
      <c r="N108">
        <v>24.3</v>
      </c>
      <c r="O108">
        <v>19.7</v>
      </c>
      <c r="P108" t="s">
        <v>189</v>
      </c>
    </row>
    <row r="109" spans="1:16" x14ac:dyDescent="0.25">
      <c r="A109">
        <v>90</v>
      </c>
      <c r="B109" t="s">
        <v>8</v>
      </c>
      <c r="C109" t="s">
        <v>168</v>
      </c>
      <c r="D109" t="s">
        <v>49</v>
      </c>
      <c r="E109" t="s">
        <v>50</v>
      </c>
      <c r="F109" t="s">
        <v>51</v>
      </c>
      <c r="G109" t="s">
        <v>92</v>
      </c>
      <c r="H109" s="37">
        <v>6000</v>
      </c>
      <c r="I109">
        <v>0</v>
      </c>
      <c r="J109">
        <v>1105.9000000000001</v>
      </c>
      <c r="K109">
        <v>44</v>
      </c>
      <c r="L109">
        <v>25.1</v>
      </c>
      <c r="M109">
        <v>4.2</v>
      </c>
      <c r="N109">
        <v>25.7</v>
      </c>
      <c r="O109">
        <v>50.3</v>
      </c>
      <c r="P109" t="s">
        <v>207</v>
      </c>
    </row>
    <row r="110" spans="1:16" x14ac:dyDescent="0.25">
      <c r="A110">
        <v>91</v>
      </c>
      <c r="B110" t="s">
        <v>6</v>
      </c>
      <c r="C110" t="s">
        <v>169</v>
      </c>
      <c r="D110" t="s">
        <v>49</v>
      </c>
      <c r="E110" t="s">
        <v>50</v>
      </c>
      <c r="F110" t="s">
        <v>51</v>
      </c>
      <c r="G110" t="s">
        <v>53</v>
      </c>
      <c r="H110" s="37">
        <v>5300</v>
      </c>
      <c r="I110">
        <v>0</v>
      </c>
      <c r="J110">
        <v>1323.8</v>
      </c>
      <c r="K110">
        <v>53</v>
      </c>
      <c r="L110">
        <v>25</v>
      </c>
      <c r="M110">
        <v>4.7</v>
      </c>
      <c r="N110">
        <v>22.8</v>
      </c>
      <c r="O110">
        <v>17.5</v>
      </c>
      <c r="P110" t="s">
        <v>189</v>
      </c>
    </row>
    <row r="111" spans="1:16" x14ac:dyDescent="0.25">
      <c r="A111">
        <v>92</v>
      </c>
      <c r="B111" t="s">
        <v>7</v>
      </c>
      <c r="C111" t="s">
        <v>170</v>
      </c>
      <c r="D111" t="s">
        <v>49</v>
      </c>
      <c r="E111" t="s">
        <v>50</v>
      </c>
      <c r="F111" t="s">
        <v>51</v>
      </c>
      <c r="G111" t="s">
        <v>53</v>
      </c>
      <c r="H111" s="37">
        <v>4900</v>
      </c>
      <c r="I111">
        <v>0</v>
      </c>
      <c r="J111">
        <v>940.8</v>
      </c>
      <c r="K111">
        <v>38</v>
      </c>
      <c r="L111">
        <v>24.8</v>
      </c>
      <c r="M111">
        <v>5.0999999999999996</v>
      </c>
      <c r="N111">
        <v>23.1</v>
      </c>
      <c r="O111">
        <v>36.799999999999997</v>
      </c>
      <c r="P111" t="s">
        <v>189</v>
      </c>
    </row>
    <row r="112" spans="1:16" x14ac:dyDescent="0.25">
      <c r="A112">
        <v>93</v>
      </c>
      <c r="B112" t="s">
        <v>7</v>
      </c>
      <c r="C112" t="s">
        <v>171</v>
      </c>
      <c r="D112" t="s">
        <v>49</v>
      </c>
      <c r="E112" t="s">
        <v>50</v>
      </c>
      <c r="F112" t="s">
        <v>51</v>
      </c>
      <c r="G112" t="s">
        <v>85</v>
      </c>
      <c r="H112" s="37">
        <v>5500</v>
      </c>
      <c r="I112">
        <v>0</v>
      </c>
      <c r="J112">
        <v>985.5</v>
      </c>
      <c r="K112">
        <v>40</v>
      </c>
      <c r="L112">
        <v>24.6</v>
      </c>
      <c r="M112">
        <v>4.5</v>
      </c>
      <c r="N112">
        <v>28.8</v>
      </c>
      <c r="O112">
        <v>11.8</v>
      </c>
      <c r="P112" t="s">
        <v>204</v>
      </c>
    </row>
    <row r="113" spans="1:16" x14ac:dyDescent="0.25">
      <c r="A113">
        <v>94</v>
      </c>
      <c r="B113" t="s">
        <v>5</v>
      </c>
      <c r="C113" t="s">
        <v>172</v>
      </c>
      <c r="D113" t="s">
        <v>49</v>
      </c>
      <c r="E113" t="s">
        <v>50</v>
      </c>
      <c r="F113" t="s">
        <v>51</v>
      </c>
      <c r="G113" t="s">
        <v>4</v>
      </c>
      <c r="H113" s="37">
        <v>6100</v>
      </c>
      <c r="I113">
        <v>0</v>
      </c>
      <c r="J113">
        <v>1158.2</v>
      </c>
      <c r="K113">
        <v>47</v>
      </c>
      <c r="L113">
        <v>24.6</v>
      </c>
      <c r="M113">
        <v>4</v>
      </c>
      <c r="N113">
        <v>29.9</v>
      </c>
      <c r="O113" t="s">
        <v>72</v>
      </c>
      <c r="P113" t="s">
        <v>188</v>
      </c>
    </row>
    <row r="114" spans="1:16" x14ac:dyDescent="0.25">
      <c r="A114">
        <v>95</v>
      </c>
      <c r="B114" t="s">
        <v>8</v>
      </c>
      <c r="C114" t="s">
        <v>173</v>
      </c>
      <c r="D114" t="s">
        <v>49</v>
      </c>
      <c r="E114" t="s">
        <v>50</v>
      </c>
      <c r="F114" t="s">
        <v>51</v>
      </c>
      <c r="G114" t="s">
        <v>123</v>
      </c>
      <c r="H114" s="37">
        <v>5000</v>
      </c>
      <c r="I114">
        <v>0</v>
      </c>
      <c r="J114">
        <v>956.9</v>
      </c>
      <c r="K114">
        <v>39</v>
      </c>
      <c r="L114">
        <v>24.5</v>
      </c>
      <c r="M114">
        <v>4.9000000000000004</v>
      </c>
      <c r="N114">
        <v>16.2</v>
      </c>
      <c r="O114">
        <v>19.2</v>
      </c>
      <c r="P114" t="s">
        <v>215</v>
      </c>
    </row>
    <row r="115" spans="1:16" x14ac:dyDescent="0.25">
      <c r="A115">
        <v>96</v>
      </c>
      <c r="B115" t="s">
        <v>6</v>
      </c>
      <c r="C115" t="s">
        <v>174</v>
      </c>
      <c r="D115" t="s">
        <v>49</v>
      </c>
      <c r="E115" t="s">
        <v>50</v>
      </c>
      <c r="F115" t="s">
        <v>51</v>
      </c>
      <c r="G115" t="s">
        <v>83</v>
      </c>
      <c r="H115">
        <v>0</v>
      </c>
      <c r="I115">
        <v>0</v>
      </c>
      <c r="J115">
        <v>439.3</v>
      </c>
      <c r="K115">
        <v>18</v>
      </c>
      <c r="L115">
        <v>24.4</v>
      </c>
      <c r="M115">
        <v>0</v>
      </c>
      <c r="N115">
        <v>0</v>
      </c>
      <c r="O115" t="s">
        <v>72</v>
      </c>
      <c r="P115" t="s">
        <v>203</v>
      </c>
    </row>
    <row r="116" spans="1:16" x14ac:dyDescent="0.25">
      <c r="A116">
        <v>97</v>
      </c>
      <c r="B116" t="s">
        <v>6</v>
      </c>
      <c r="C116" t="s">
        <v>175</v>
      </c>
      <c r="D116" t="s">
        <v>49</v>
      </c>
      <c r="E116" t="s">
        <v>50</v>
      </c>
      <c r="F116" t="s">
        <v>51</v>
      </c>
      <c r="G116" t="s">
        <v>100</v>
      </c>
      <c r="H116" s="37">
        <v>6400</v>
      </c>
      <c r="I116">
        <v>0</v>
      </c>
      <c r="J116">
        <v>1069.7</v>
      </c>
      <c r="K116">
        <v>44</v>
      </c>
      <c r="L116">
        <v>24.3</v>
      </c>
      <c r="M116">
        <v>3.8</v>
      </c>
      <c r="N116">
        <v>29</v>
      </c>
      <c r="O116" t="s">
        <v>72</v>
      </c>
      <c r="P116" t="s">
        <v>210</v>
      </c>
    </row>
    <row r="117" spans="1:16" x14ac:dyDescent="0.25">
      <c r="A117">
        <v>98</v>
      </c>
      <c r="B117" t="s">
        <v>7</v>
      </c>
      <c r="C117" t="s">
        <v>176</v>
      </c>
      <c r="D117" t="s">
        <v>49</v>
      </c>
      <c r="E117" t="s">
        <v>50</v>
      </c>
      <c r="F117" t="s">
        <v>51</v>
      </c>
      <c r="G117" t="s">
        <v>63</v>
      </c>
      <c r="H117" s="37">
        <v>5700</v>
      </c>
      <c r="I117">
        <v>0</v>
      </c>
      <c r="J117">
        <v>1138.3</v>
      </c>
      <c r="K117">
        <v>47</v>
      </c>
      <c r="L117">
        <v>24.2</v>
      </c>
      <c r="M117">
        <v>4.2</v>
      </c>
      <c r="N117">
        <v>26.5</v>
      </c>
      <c r="O117">
        <v>22.1</v>
      </c>
      <c r="P117" t="s">
        <v>194</v>
      </c>
    </row>
    <row r="118" spans="1:16" x14ac:dyDescent="0.25">
      <c r="A118">
        <v>99</v>
      </c>
      <c r="B118" t="s">
        <v>5</v>
      </c>
      <c r="C118" t="s">
        <v>177</v>
      </c>
      <c r="D118" t="s">
        <v>49</v>
      </c>
      <c r="E118" t="s">
        <v>50</v>
      </c>
      <c r="F118" t="s">
        <v>51</v>
      </c>
      <c r="G118" t="s">
        <v>98</v>
      </c>
      <c r="H118" s="37">
        <v>5500</v>
      </c>
      <c r="I118">
        <v>0</v>
      </c>
      <c r="J118">
        <v>1158.4000000000001</v>
      </c>
      <c r="K118">
        <v>48</v>
      </c>
      <c r="L118">
        <v>24.1</v>
      </c>
      <c r="M118">
        <v>4.4000000000000004</v>
      </c>
      <c r="N118">
        <v>25.8</v>
      </c>
      <c r="O118">
        <v>24.5</v>
      </c>
      <c r="P118" t="s">
        <v>209</v>
      </c>
    </row>
    <row r="119" spans="1:16" x14ac:dyDescent="0.25">
      <c r="B119" t="s">
        <v>8</v>
      </c>
      <c r="C119" t="s">
        <v>178</v>
      </c>
      <c r="D119" t="s">
        <v>49</v>
      </c>
      <c r="E119" t="s">
        <v>50</v>
      </c>
      <c r="F119" t="s">
        <v>51</v>
      </c>
      <c r="G119" t="s">
        <v>131</v>
      </c>
      <c r="H119" s="37">
        <v>5400</v>
      </c>
      <c r="I119">
        <v>0</v>
      </c>
      <c r="J119">
        <v>1102.8</v>
      </c>
      <c r="K119">
        <v>46</v>
      </c>
      <c r="L119">
        <v>24</v>
      </c>
      <c r="M119">
        <v>4.4000000000000004</v>
      </c>
      <c r="N119">
        <v>22.8</v>
      </c>
      <c r="O119">
        <v>16.7</v>
      </c>
      <c r="P119" t="s">
        <v>216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E14" sqref="E14"/>
    </sheetView>
  </sheetViews>
  <sheetFormatPr defaultRowHeight="15" x14ac:dyDescent="0.25"/>
  <cols>
    <col min="1" max="1" width="9.140625" style="21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20"/>
      <c r="B1" s="4"/>
      <c r="C1" s="5"/>
      <c r="D1" s="5"/>
      <c r="E1" s="5"/>
      <c r="F1" s="5"/>
      <c r="G1" s="5"/>
      <c r="H1" s="5"/>
      <c r="I1" s="5"/>
      <c r="J1" s="5"/>
      <c r="K1" s="6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</row>
    <row r="2" spans="1:46" ht="20.25" x14ac:dyDescent="0.3">
      <c r="A2" s="20"/>
      <c r="B2" s="7"/>
      <c r="C2" s="8"/>
      <c r="D2" s="44" t="s">
        <v>26</v>
      </c>
      <c r="E2" s="44"/>
      <c r="F2" s="44"/>
      <c r="G2" s="44"/>
      <c r="H2" s="44"/>
      <c r="I2" s="44"/>
      <c r="J2" s="8"/>
      <c r="K2" s="9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</row>
    <row r="3" spans="1:46" ht="20.25" x14ac:dyDescent="0.3">
      <c r="A3" s="20"/>
      <c r="B3" s="7"/>
      <c r="C3" s="8"/>
      <c r="D3" s="45" t="s">
        <v>28</v>
      </c>
      <c r="E3" s="45"/>
      <c r="F3" s="45"/>
      <c r="G3" s="45"/>
      <c r="H3" s="45"/>
      <c r="I3" s="45"/>
      <c r="J3" s="8"/>
      <c r="K3" s="9"/>
      <c r="L3" s="22"/>
      <c r="M3" s="24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</row>
    <row r="4" spans="1:46" ht="15.75" thickBot="1" x14ac:dyDescent="0.3">
      <c r="A4" s="20"/>
      <c r="B4" s="10"/>
      <c r="C4" s="11"/>
      <c r="D4" s="11"/>
      <c r="E4" s="11"/>
      <c r="F4" s="11"/>
      <c r="G4" s="11"/>
      <c r="H4" s="11"/>
      <c r="I4" s="11"/>
      <c r="J4" s="11"/>
      <c r="K4" s="1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</row>
    <row r="5" spans="1:46" ht="15.75" thickTop="1" x14ac:dyDescent="0.25">
      <c r="A5" s="20"/>
      <c r="B5" s="25"/>
      <c r="C5" s="19"/>
      <c r="D5" s="19"/>
      <c r="E5" s="19"/>
      <c r="F5" s="19"/>
      <c r="G5" s="19"/>
      <c r="H5" s="19"/>
      <c r="I5" s="19"/>
      <c r="J5" s="19"/>
      <c r="K5" s="26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</row>
    <row r="6" spans="1:46" x14ac:dyDescent="0.25">
      <c r="A6" s="20"/>
      <c r="B6" s="27"/>
      <c r="C6" s="28"/>
      <c r="D6" s="28"/>
      <c r="E6" s="28"/>
      <c r="F6" s="29"/>
      <c r="G6" s="28"/>
      <c r="H6" s="29"/>
      <c r="I6" s="29"/>
      <c r="J6" s="28"/>
      <c r="K6" s="30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</row>
    <row r="7" spans="1:46" x14ac:dyDescent="0.25">
      <c r="A7" s="20"/>
      <c r="B7" s="27"/>
      <c r="C7" s="28"/>
      <c r="D7" s="28"/>
      <c r="E7" s="28"/>
      <c r="F7" s="28"/>
      <c r="G7" s="31"/>
      <c r="H7" s="28"/>
      <c r="I7" s="32"/>
      <c r="J7" s="28"/>
      <c r="K7" s="30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</row>
    <row r="8" spans="1:46" x14ac:dyDescent="0.25">
      <c r="A8" s="20"/>
      <c r="B8" s="27"/>
      <c r="C8" s="28"/>
      <c r="D8" s="28"/>
      <c r="E8" s="28"/>
      <c r="F8" s="28"/>
      <c r="G8" s="28"/>
      <c r="H8" s="28"/>
      <c r="I8" s="28"/>
      <c r="J8" s="28"/>
      <c r="K8" s="30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</row>
    <row r="9" spans="1:46" x14ac:dyDescent="0.25">
      <c r="A9" s="20"/>
      <c r="B9" s="27"/>
      <c r="C9" s="28"/>
      <c r="D9" s="28"/>
      <c r="E9" s="28"/>
      <c r="F9" s="28"/>
      <c r="G9" s="28"/>
      <c r="H9" s="28"/>
      <c r="I9" s="29"/>
      <c r="J9" s="28"/>
      <c r="K9" s="30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</row>
    <row r="10" spans="1:46" x14ac:dyDescent="0.25">
      <c r="A10" s="20"/>
      <c r="B10" s="27"/>
      <c r="C10" s="28"/>
      <c r="D10" s="28"/>
      <c r="E10" s="28"/>
      <c r="F10" s="28"/>
      <c r="G10" s="28"/>
      <c r="H10" s="28"/>
      <c r="I10" s="29"/>
      <c r="J10" s="28"/>
      <c r="K10" s="30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</row>
    <row r="11" spans="1:46" x14ac:dyDescent="0.25">
      <c r="A11" s="20"/>
      <c r="B11" s="27"/>
      <c r="C11" s="28"/>
      <c r="D11" s="28"/>
      <c r="E11" s="28"/>
      <c r="F11" s="28"/>
      <c r="G11" s="28"/>
      <c r="H11" s="28"/>
      <c r="I11" s="28"/>
      <c r="J11" s="28"/>
      <c r="K11" s="30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</row>
    <row r="12" spans="1:46" ht="15.75" thickBot="1" x14ac:dyDescent="0.3">
      <c r="A12" s="20"/>
      <c r="B12" s="33"/>
      <c r="C12" s="34"/>
      <c r="D12" s="34"/>
      <c r="E12" s="34"/>
      <c r="F12" s="34"/>
      <c r="G12" s="34"/>
      <c r="H12" s="34"/>
      <c r="I12" s="34"/>
      <c r="J12" s="34"/>
      <c r="K12" s="35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</row>
    <row r="13" spans="1:46" ht="15.75" thickTop="1" x14ac:dyDescent="0.25">
      <c r="A13" s="20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</row>
    <row r="14" spans="1:46" x14ac:dyDescent="0.25">
      <c r="A14" s="20"/>
      <c r="B14" s="13"/>
      <c r="C14" s="13"/>
      <c r="D14" s="13"/>
      <c r="E14" s="38"/>
      <c r="F14" s="13"/>
      <c r="G14" s="13"/>
      <c r="H14" s="13"/>
      <c r="I14" s="13"/>
      <c r="J14" s="13"/>
      <c r="K14" s="1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</row>
    <row r="15" spans="1:46" ht="34.5" x14ac:dyDescent="0.45">
      <c r="A15" s="20"/>
      <c r="B15" s="14" t="s">
        <v>14</v>
      </c>
      <c r="C15" s="16"/>
      <c r="D15" s="40">
        <f>'DraftKings Basketball  Solver'!O11</f>
        <v>0</v>
      </c>
      <c r="E15" s="38"/>
      <c r="F15" s="43" t="e">
        <f>'DraftKings Basketball  Solver'!O17</f>
        <v>#N/A</v>
      </c>
      <c r="G15" s="42" t="e">
        <f>'DraftKings Basketball  Solver'!O18</f>
        <v>#N/A</v>
      </c>
      <c r="H15" s="43" t="e">
        <f>'DraftKings Basketball  Solver'!O19</f>
        <v>#N/A</v>
      </c>
      <c r="I15" s="42" t="e">
        <f>'DraftKings Basketball  Solver'!O20</f>
        <v>#N/A</v>
      </c>
      <c r="J15" s="42"/>
      <c r="K15" s="1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</row>
    <row r="16" spans="1:46" ht="27" x14ac:dyDescent="0.35">
      <c r="A16" s="20"/>
      <c r="B16" s="14" t="s">
        <v>15</v>
      </c>
      <c r="C16" s="16"/>
      <c r="D16" s="41">
        <f>'DraftKings Basketball  Solver'!O8</f>
        <v>0</v>
      </c>
      <c r="E16" s="38"/>
      <c r="F16" s="42"/>
      <c r="G16" s="42"/>
      <c r="H16" s="42"/>
      <c r="I16" s="42"/>
      <c r="J16" s="42"/>
      <c r="K16" s="13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</row>
    <row r="17" spans="1:46" ht="27" x14ac:dyDescent="0.35">
      <c r="A17" s="20"/>
      <c r="B17" s="14"/>
      <c r="C17" s="17"/>
      <c r="D17" s="15"/>
      <c r="E17" s="39"/>
      <c r="F17" s="42" t="e">
        <f>'DraftKings Basketball  Solver'!O21</f>
        <v>#N/A</v>
      </c>
      <c r="G17" s="43" t="e">
        <f>'DraftKings Basketball  Solver'!O22</f>
        <v>#N/A</v>
      </c>
      <c r="H17" s="42" t="e">
        <f>'DraftKings Basketball  Solver'!O23</f>
        <v>#N/A</v>
      </c>
      <c r="I17" s="43" t="e">
        <f>'DraftKings Basketball  Solver'!O24</f>
        <v>#N/A</v>
      </c>
      <c r="J17" s="42"/>
      <c r="K17" s="18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</row>
    <row r="18" spans="1:46" x14ac:dyDescent="0.25">
      <c r="A18" s="20"/>
      <c r="B18" s="13"/>
      <c r="C18" s="18"/>
      <c r="D18" s="18"/>
      <c r="E18" s="39"/>
      <c r="F18" s="13"/>
      <c r="G18" s="18"/>
      <c r="H18" s="18"/>
      <c r="I18" s="18"/>
      <c r="J18" s="18"/>
      <c r="K18" s="18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</row>
    <row r="19" spans="1:46" x14ac:dyDescent="0.25">
      <c r="A19" s="20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</row>
    <row r="20" spans="1:46" x14ac:dyDescent="0.25">
      <c r="A20" s="20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</row>
    <row r="21" spans="1:46" x14ac:dyDescent="0.25">
      <c r="A21" s="20"/>
      <c r="B21" s="23"/>
      <c r="C21" s="24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2"/>
      <c r="W21" s="22"/>
      <c r="X21" s="22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</row>
    <row r="22" spans="1:46" x14ac:dyDescent="0.25">
      <c r="A22" s="20"/>
      <c r="B22" s="23"/>
      <c r="C22" s="24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2"/>
      <c r="W22" s="22"/>
      <c r="X22" s="22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</row>
    <row r="23" spans="1:46" x14ac:dyDescent="0.25">
      <c r="A23" s="20"/>
      <c r="B23" s="23"/>
      <c r="C23" s="24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2"/>
      <c r="W23" s="22"/>
      <c r="X23" s="22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</row>
    <row r="24" spans="1:46" x14ac:dyDescent="0.25">
      <c r="A24" s="20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2"/>
      <c r="W24" s="22"/>
      <c r="X24" s="22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</row>
    <row r="25" spans="1:46" x14ac:dyDescent="0.25">
      <c r="A25" s="20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2"/>
      <c r="W25" s="22"/>
      <c r="X25" s="22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</row>
    <row r="26" spans="1:46" x14ac:dyDescent="0.25">
      <c r="A26" s="20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2"/>
      <c r="W26" s="22"/>
      <c r="X26" s="22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</row>
    <row r="27" spans="1:46" x14ac:dyDescent="0.25">
      <c r="A27" s="20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</row>
    <row r="28" spans="1:46" x14ac:dyDescent="0.25">
      <c r="A28" s="20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</row>
    <row r="29" spans="1:46" x14ac:dyDescent="0.25">
      <c r="A29" s="20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</row>
    <row r="30" spans="1:46" x14ac:dyDescent="0.25">
      <c r="A30" s="20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</row>
    <row r="31" spans="1:46" x14ac:dyDescent="0.25">
      <c r="A31" s="20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</row>
    <row r="32" spans="1:46" x14ac:dyDescent="0.25">
      <c r="A32" s="20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</row>
    <row r="33" spans="1:46" x14ac:dyDescent="0.25">
      <c r="A33" s="20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</row>
    <row r="34" spans="1:46" x14ac:dyDescent="0.25">
      <c r="A34" s="20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</row>
    <row r="35" spans="1:46" x14ac:dyDescent="0.25">
      <c r="A35" s="20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</row>
    <row r="36" spans="1:46" x14ac:dyDescent="0.25">
      <c r="A36" s="20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</row>
    <row r="37" spans="1:46" x14ac:dyDescent="0.25">
      <c r="A37" s="20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</row>
    <row r="38" spans="1:46" x14ac:dyDescent="0.25">
      <c r="A38" s="20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</row>
    <row r="39" spans="1:46" x14ac:dyDescent="0.25">
      <c r="A39" s="20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</row>
    <row r="40" spans="1:46" x14ac:dyDescent="0.25">
      <c r="A40" s="20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</row>
    <row r="41" spans="1:46" x14ac:dyDescent="0.25">
      <c r="A41" s="20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</row>
    <row r="42" spans="1:46" x14ac:dyDescent="0.25">
      <c r="A42" s="20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</row>
    <row r="43" spans="1:46" x14ac:dyDescent="0.25">
      <c r="A43" s="20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</row>
    <row r="44" spans="1:46" x14ac:dyDescent="0.25">
      <c r="A44" s="20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</row>
    <row r="45" spans="1:46" x14ac:dyDescent="0.25">
      <c r="A45" s="20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</row>
    <row r="46" spans="1:46" x14ac:dyDescent="0.25">
      <c r="A46" s="20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</row>
    <row r="47" spans="1:46" x14ac:dyDescent="0.25">
      <c r="A47" s="20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</row>
    <row r="48" spans="1:46" x14ac:dyDescent="0.25">
      <c r="A48" s="20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</row>
    <row r="49" spans="1:46" x14ac:dyDescent="0.25">
      <c r="A49" s="20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</row>
    <row r="50" spans="1:46" x14ac:dyDescent="0.25">
      <c r="A50" s="20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</row>
    <row r="51" spans="1:46" x14ac:dyDescent="0.25">
      <c r="A51" s="20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</row>
    <row r="52" spans="1:46" x14ac:dyDescent="0.25">
      <c r="A52" s="20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</row>
    <row r="53" spans="1:46" x14ac:dyDescent="0.25">
      <c r="A53" s="20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</row>
    <row r="54" spans="1:46" x14ac:dyDescent="0.25">
      <c r="A54" s="20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</row>
    <row r="55" spans="1:46" x14ac:dyDescent="0.25">
      <c r="A55" s="20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</row>
    <row r="56" spans="1:46" x14ac:dyDescent="0.25">
      <c r="A56" s="20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</row>
    <row r="57" spans="1:46" x14ac:dyDescent="0.25">
      <c r="A57" s="20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</row>
    <row r="58" spans="1:46" x14ac:dyDescent="0.25">
      <c r="A58" s="20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</row>
    <row r="59" spans="1:46" x14ac:dyDescent="0.25">
      <c r="A59" s="20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</row>
    <row r="60" spans="1:46" x14ac:dyDescent="0.25">
      <c r="A60" s="20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</row>
    <row r="61" spans="1:46" x14ac:dyDescent="0.25">
      <c r="A61" s="20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</row>
    <row r="62" spans="1:46" x14ac:dyDescent="0.25">
      <c r="A62" s="20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</row>
    <row r="63" spans="1:46" x14ac:dyDescent="0.25">
      <c r="A63" s="20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</row>
    <row r="64" spans="1:46" x14ac:dyDescent="0.25">
      <c r="A64" s="20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</row>
    <row r="65" spans="1:46" x14ac:dyDescent="0.25">
      <c r="A65" s="20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</row>
    <row r="66" spans="1:46" x14ac:dyDescent="0.25">
      <c r="A66" s="20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</row>
    <row r="67" spans="1:46" x14ac:dyDescent="0.25">
      <c r="A67" s="20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</row>
    <row r="68" spans="1:46" x14ac:dyDescent="0.25">
      <c r="A68" s="20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</row>
    <row r="69" spans="1:46" x14ac:dyDescent="0.25">
      <c r="A69" s="20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</row>
    <row r="70" spans="1:46" x14ac:dyDescent="0.25">
      <c r="A70" s="20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</row>
    <row r="71" spans="1:46" x14ac:dyDescent="0.25">
      <c r="A71" s="20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</row>
    <row r="72" spans="1:46" x14ac:dyDescent="0.25">
      <c r="A72" s="20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</row>
    <row r="73" spans="1:46" x14ac:dyDescent="0.25">
      <c r="A73" s="20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</row>
    <row r="74" spans="1:46" x14ac:dyDescent="0.25">
      <c r="A74" s="20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</row>
    <row r="75" spans="1:46" x14ac:dyDescent="0.25">
      <c r="A75" s="20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</row>
    <row r="76" spans="1:46" x14ac:dyDescent="0.25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</row>
    <row r="77" spans="1:46" x14ac:dyDescent="0.25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</row>
    <row r="78" spans="1:46" x14ac:dyDescent="0.25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</row>
    <row r="79" spans="1:46" x14ac:dyDescent="0.25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</row>
    <row r="80" spans="1:46" x14ac:dyDescent="0.25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</row>
    <row r="81" spans="1:46" x14ac:dyDescent="0.25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</row>
    <row r="82" spans="1:46" x14ac:dyDescent="0.25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</row>
    <row r="83" spans="1:46" x14ac:dyDescent="0.25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</row>
    <row r="84" spans="1:46" x14ac:dyDescent="0.25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</row>
    <row r="85" spans="1:46" x14ac:dyDescent="0.25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</row>
    <row r="86" spans="1:46" x14ac:dyDescent="0.25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</row>
    <row r="87" spans="1:46" x14ac:dyDescent="0.25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</row>
    <row r="88" spans="1:46" x14ac:dyDescent="0.25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</row>
    <row r="89" spans="1:46" x14ac:dyDescent="0.25"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</row>
    <row r="90" spans="1:46" x14ac:dyDescent="0.25"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</row>
    <row r="91" spans="1:46" x14ac:dyDescent="0.25"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</row>
    <row r="92" spans="1:46" x14ac:dyDescent="0.25"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</row>
    <row r="93" spans="1:46" x14ac:dyDescent="0.25"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</row>
    <row r="94" spans="1:46" x14ac:dyDescent="0.25"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</row>
    <row r="95" spans="1:46" x14ac:dyDescent="0.25"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</row>
    <row r="96" spans="1:46" x14ac:dyDescent="0.25"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</row>
    <row r="97" spans="2:46" x14ac:dyDescent="0.25"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</row>
    <row r="98" spans="2:46" x14ac:dyDescent="0.25"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</row>
    <row r="99" spans="2:46" x14ac:dyDescent="0.25"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</row>
    <row r="100" spans="2:46" x14ac:dyDescent="0.25"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</row>
    <row r="101" spans="2:46" x14ac:dyDescent="0.25"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</row>
    <row r="102" spans="2:46" x14ac:dyDescent="0.25"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</row>
    <row r="103" spans="2:46" x14ac:dyDescent="0.25"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</row>
    <row r="104" spans="2:46" x14ac:dyDescent="0.25"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</row>
    <row r="105" spans="2:46" x14ac:dyDescent="0.25"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</row>
    <row r="106" spans="2:46" x14ac:dyDescent="0.25"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</row>
    <row r="107" spans="2:46" x14ac:dyDescent="0.25"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</row>
    <row r="108" spans="2:46" x14ac:dyDescent="0.25"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</row>
    <row r="109" spans="2:46" x14ac:dyDescent="0.25"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</row>
    <row r="110" spans="2:46" x14ac:dyDescent="0.25"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</row>
    <row r="111" spans="2:46" x14ac:dyDescent="0.25"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</row>
    <row r="112" spans="2:46" x14ac:dyDescent="0.25"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</row>
    <row r="113" spans="2:46" x14ac:dyDescent="0.25"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</row>
    <row r="114" spans="2:46" x14ac:dyDescent="0.25"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</row>
    <row r="115" spans="2:46" x14ac:dyDescent="0.25"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</row>
    <row r="116" spans="2:46" x14ac:dyDescent="0.25"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</row>
    <row r="117" spans="2:46" x14ac:dyDescent="0.25"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</row>
    <row r="118" spans="2:46" x14ac:dyDescent="0.25"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</row>
    <row r="119" spans="2:46" x14ac:dyDescent="0.25"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</row>
    <row r="120" spans="2:46" x14ac:dyDescent="0.25"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</row>
    <row r="121" spans="2:46" x14ac:dyDescent="0.25"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</row>
    <row r="122" spans="2:46" x14ac:dyDescent="0.25"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</row>
    <row r="123" spans="2:46" x14ac:dyDescent="0.25"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DraftKings Basketball  Solver</vt:lpstr>
      <vt:lpstr>RawData</vt:lpstr>
      <vt:lpstr>Sheet1</vt:lpstr>
      <vt:lpstr>RawData!hstats.cgi?pos_0_sort_6_game_d_colA_0_daypt_0_xavg_5_show_0_fltr_00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2017-02-04T06:21:13Z</dcterms:modified>
</cp:coreProperties>
</file>