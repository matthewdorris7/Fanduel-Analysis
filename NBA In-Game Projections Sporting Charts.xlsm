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 firstSheet="1" activeTab="4"/>
  </bookViews>
  <sheets>
    <sheet name="Fanduel Basketball Solver" sheetId="2" r:id="rId1"/>
    <sheet name="RawData" sheetId="5" r:id="rId2"/>
    <sheet name="Fanduel" sheetId="10" r:id="rId3"/>
    <sheet name="Stats" sheetId="11" r:id="rId4"/>
    <sheet name="Check" sheetId="12" r:id="rId5"/>
    <sheet name="CheckData" sheetId="13" r:id="rId6"/>
    <sheet name="Sheet1" sheetId="4" r:id="rId7"/>
    <sheet name="Instructions" sheetId="14" r:id="rId8"/>
  </sheets>
  <definedNames>
    <definedName name="solver_adj" localSheetId="0" hidden="1">'Fanduel Basketball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6" hidden="1">1</definedName>
    <definedName name="solver_est" localSheetId="0" hidden="1">1</definedName>
    <definedName name="solver_itr" localSheetId="0" hidden="1">2147483647</definedName>
    <definedName name="solver_lhs0" localSheetId="0" hidden="1">'Fanduel Basketball Solver'!$P$4</definedName>
    <definedName name="solver_lhs1" localSheetId="0" hidden="1">'Fanduel Basketball Solver'!$C$2:$C$150</definedName>
    <definedName name="solver_lhs10" localSheetId="0" hidden="1">'Fanduel Basketball Solver'!$P$4</definedName>
    <definedName name="solver_lhs11" localSheetId="0" hidden="1">'Fanduel Basketball Solver'!$P$7</definedName>
    <definedName name="solver_lhs12" localSheetId="0" hidden="1">'Fanduel Basketball Solver'!$P$6</definedName>
    <definedName name="solver_lhs13" localSheetId="0" hidden="1">'Fanduel Basketball Solver'!$P$7</definedName>
    <definedName name="solver_lhs14" localSheetId="0" hidden="1">'Fanduel Basketball Solver'!#REF!</definedName>
    <definedName name="solver_lhs15" localSheetId="0" hidden="1">'Fanduel Basketball Solver'!$P$7</definedName>
    <definedName name="solver_lhs16" localSheetId="0" hidden="1">'Fanduel Basketball Solver'!$P$5</definedName>
    <definedName name="solver_lhs17" localSheetId="0" hidden="1">'Fanduel Basketball Solver'!#REF!</definedName>
    <definedName name="solver_lhs2" localSheetId="0" hidden="1">'Fanduel Basketball Solver'!$O$14</definedName>
    <definedName name="solver_lhs3" localSheetId="0" hidden="1">'Fanduel Basketball Solver'!$O$6</definedName>
    <definedName name="solver_lhs4" localSheetId="0" hidden="1">'Fanduel Basketball Solver'!$O$8</definedName>
    <definedName name="solver_lhs5" localSheetId="0" hidden="1">'Fanduel Basketball Solver'!$P$2</definedName>
    <definedName name="solver_lhs6" localSheetId="0" hidden="1">'Fanduel Basketball Solver'!$P$3</definedName>
    <definedName name="solver_lhs7" localSheetId="0" hidden="1">'Fanduel Basketball Solver'!$P$4</definedName>
    <definedName name="solver_lhs8" localSheetId="0" hidden="1">'Fanduel Basketball Solver'!$P$5</definedName>
    <definedName name="solver_lhs9" localSheetId="0" hidden="1">'Fanduel Basketball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6" hidden="1">1</definedName>
    <definedName name="solver_nod" localSheetId="0" hidden="1">2147483647</definedName>
    <definedName name="solver_num" localSheetId="0" hidden="1">8</definedName>
    <definedName name="solver_num" localSheetId="6" hidden="1">0</definedName>
    <definedName name="solver_nwt" localSheetId="0" hidden="1">1</definedName>
    <definedName name="solver_opt" localSheetId="0" hidden="1">'Fanduel Basketball Solver'!$O$11</definedName>
    <definedName name="solver_opt" localSheetId="6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'Fanduel Basketball Solver'!$O$4</definedName>
    <definedName name="solver_rhs1" localSheetId="0" hidden="1">binary</definedName>
    <definedName name="solver_rhs10" localSheetId="0" hidden="1">'Fanduel Basketball Solver'!$O$4</definedName>
    <definedName name="solver_rhs11" localSheetId="0" hidden="1">'Fanduel Basketball Solver'!$O$7</definedName>
    <definedName name="solver_rhs12" localSheetId="0" hidden="1">'Fanduel Basketball Solver'!$O$6</definedName>
    <definedName name="solver_rhs13" localSheetId="0" hidden="1">'Fanduel Basketball Solver'!#REF!</definedName>
    <definedName name="solver_rhs14" localSheetId="0" hidden="1">'Fanduel Basketball Solver'!#REF!</definedName>
    <definedName name="solver_rhs15" localSheetId="0" hidden="1">'Fanduel Basketball Solver'!#REF!</definedName>
    <definedName name="solver_rhs16" localSheetId="0" hidden="1">'Fanduel Basketball Solver'!$O$5</definedName>
    <definedName name="solver_rhs17" localSheetId="0" hidden="1">'Fanduel Basketball Solver'!#REF!</definedName>
    <definedName name="solver_rhs2" localSheetId="0" hidden="1">'Fanduel Basketball Solver'!$O$13</definedName>
    <definedName name="solver_rhs3" localSheetId="0" hidden="1">'Fanduel Basketball Solver'!$P$6</definedName>
    <definedName name="solver_rhs4" localSheetId="0" hidden="1">'Fanduel Basketball Solver'!$O$9</definedName>
    <definedName name="solver_rhs5" localSheetId="0" hidden="1">'Fanduel Basketball Solver'!$O$2</definedName>
    <definedName name="solver_rhs6" localSheetId="0" hidden="1">'Fanduel Basketball Solver'!$O$3</definedName>
    <definedName name="solver_rhs7" localSheetId="0" hidden="1">'Fanduel Basketball Solver'!$O$4</definedName>
    <definedName name="solver_rhs8" localSheetId="0" hidden="1">'Fanduel Basketball Solver'!$O$5</definedName>
    <definedName name="solver_rhs9" localSheetId="0" hidden="1">'Fanduel Basketball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6" hidden="1">1</definedName>
    <definedName name="solver_val" localSheetId="0" hidden="1">0</definedName>
    <definedName name="solver_val" localSheetId="6" hidden="1">0</definedName>
    <definedName name="solver_ver" localSheetId="0" hidden="1">3</definedName>
    <definedName name="solver_ver" localSheetId="6" hidden="1">3</definedName>
  </definedNames>
  <calcPr calcId="171027"/>
</workbook>
</file>

<file path=xl/calcChain.xml><?xml version="1.0" encoding="utf-8"?>
<calcChain xmlns="http://schemas.openxmlformats.org/spreadsheetml/2006/main">
  <c r="C11" i="12" l="1"/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2" i="1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2" i="2"/>
  <c r="F2" i="2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2" i="11"/>
  <c r="D2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" i="11"/>
  <c r="E8" i="2"/>
  <c r="G8" i="2" s="1"/>
  <c r="E24" i="2"/>
  <c r="G24" i="2" s="1"/>
  <c r="E40" i="2"/>
  <c r="G40" i="2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2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2" i="11"/>
  <c r="D2" i="10"/>
  <c r="A3" i="11"/>
  <c r="A4" i="11"/>
  <c r="A5" i="11"/>
  <c r="E5" i="2" s="1"/>
  <c r="G5" i="2" s="1"/>
  <c r="A6" i="11"/>
  <c r="E6" i="2" s="1"/>
  <c r="G6" i="2" s="1"/>
  <c r="A7" i="11"/>
  <c r="A8" i="11"/>
  <c r="A9" i="11"/>
  <c r="E9" i="2" s="1"/>
  <c r="G9" i="2" s="1"/>
  <c r="A10" i="11"/>
  <c r="E10" i="2" s="1"/>
  <c r="G10" i="2" s="1"/>
  <c r="A11" i="11"/>
  <c r="A12" i="11"/>
  <c r="A13" i="11"/>
  <c r="E13" i="2" s="1"/>
  <c r="G13" i="2" s="1"/>
  <c r="A14" i="11"/>
  <c r="A15" i="11"/>
  <c r="A16" i="11"/>
  <c r="A17" i="11"/>
  <c r="E17" i="2" s="1"/>
  <c r="G17" i="2" s="1"/>
  <c r="A18" i="11"/>
  <c r="E18" i="2" s="1"/>
  <c r="G18" i="2" s="1"/>
  <c r="A19" i="11"/>
  <c r="A20" i="11"/>
  <c r="A21" i="11"/>
  <c r="E21" i="2" s="1"/>
  <c r="G21" i="2" s="1"/>
  <c r="A22" i="11"/>
  <c r="E22" i="2" s="1"/>
  <c r="G22" i="2" s="1"/>
  <c r="A23" i="11"/>
  <c r="A24" i="11"/>
  <c r="A25" i="11"/>
  <c r="E25" i="2" s="1"/>
  <c r="G25" i="2" s="1"/>
  <c r="A26" i="11"/>
  <c r="E26" i="2" s="1"/>
  <c r="G26" i="2" s="1"/>
  <c r="A27" i="11"/>
  <c r="A28" i="11"/>
  <c r="A29" i="11"/>
  <c r="E29" i="2" s="1"/>
  <c r="G29" i="2" s="1"/>
  <c r="A30" i="11"/>
  <c r="E30" i="2" s="1"/>
  <c r="G30" i="2" s="1"/>
  <c r="A31" i="11"/>
  <c r="A32" i="11"/>
  <c r="A33" i="11"/>
  <c r="E33" i="2" s="1"/>
  <c r="G33" i="2" s="1"/>
  <c r="A34" i="11"/>
  <c r="E34" i="2" s="1"/>
  <c r="G34" i="2" s="1"/>
  <c r="A35" i="11"/>
  <c r="A36" i="11"/>
  <c r="A37" i="11"/>
  <c r="E37" i="2" s="1"/>
  <c r="G37" i="2" s="1"/>
  <c r="A38" i="11"/>
  <c r="E38" i="2" s="1"/>
  <c r="G38" i="2" s="1"/>
  <c r="A39" i="11"/>
  <c r="A40" i="11"/>
  <c r="A41" i="11"/>
  <c r="E41" i="2" s="1"/>
  <c r="G41" i="2" s="1"/>
  <c r="A42" i="11"/>
  <c r="E42" i="2" s="1"/>
  <c r="G42" i="2" s="1"/>
  <c r="A43" i="11"/>
  <c r="A44" i="11"/>
  <c r="A45" i="11"/>
  <c r="E45" i="2" s="1"/>
  <c r="G45" i="2" s="1"/>
  <c r="A46" i="11"/>
  <c r="E46" i="2" s="1"/>
  <c r="G46" i="2" s="1"/>
  <c r="A47" i="11"/>
  <c r="A48" i="11"/>
  <c r="A49" i="11"/>
  <c r="E49" i="2" s="1"/>
  <c r="G49" i="2" s="1"/>
  <c r="A50" i="11"/>
  <c r="E50" i="2" s="1"/>
  <c r="G50" i="2" s="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2" i="11"/>
  <c r="E2" i="2" s="1"/>
  <c r="G2" i="2" s="1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E36" i="2" l="1"/>
  <c r="G36" i="2" s="1"/>
  <c r="E20" i="2"/>
  <c r="G20" i="2" s="1"/>
  <c r="E4" i="2"/>
  <c r="G4" i="2" s="1"/>
  <c r="E48" i="2"/>
  <c r="G48" i="2" s="1"/>
  <c r="E32" i="2"/>
  <c r="G32" i="2" s="1"/>
  <c r="E16" i="2"/>
  <c r="G16" i="2" s="1"/>
  <c r="E44" i="2"/>
  <c r="G44" i="2" s="1"/>
  <c r="E28" i="2"/>
  <c r="G28" i="2" s="1"/>
  <c r="E12" i="2"/>
  <c r="G12" i="2" s="1"/>
  <c r="E47" i="2"/>
  <c r="G47" i="2" s="1"/>
  <c r="E43" i="2"/>
  <c r="G43" i="2" s="1"/>
  <c r="E39" i="2"/>
  <c r="G39" i="2" s="1"/>
  <c r="E35" i="2"/>
  <c r="G35" i="2" s="1"/>
  <c r="E31" i="2"/>
  <c r="G31" i="2" s="1"/>
  <c r="E27" i="2"/>
  <c r="G27" i="2" s="1"/>
  <c r="E23" i="2"/>
  <c r="G23" i="2" s="1"/>
  <c r="E19" i="2"/>
  <c r="G19" i="2" s="1"/>
  <c r="E15" i="2"/>
  <c r="G15" i="2" s="1"/>
  <c r="E11" i="2"/>
  <c r="G11" i="2" s="1"/>
  <c r="E7" i="2"/>
  <c r="G7" i="2" s="1"/>
  <c r="E3" i="2"/>
  <c r="G3" i="2" s="1"/>
  <c r="E14" i="2"/>
  <c r="G14" i="2" s="1"/>
  <c r="O14" i="2" l="1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O11" i="2" l="1"/>
  <c r="D15" i="4" s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P5" i="2" l="1"/>
  <c r="P6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25" i="2" l="1"/>
  <c r="O20" i="2"/>
  <c r="O19" i="2"/>
  <c r="O24" i="2"/>
  <c r="O18" i="2"/>
  <c r="O23" i="2"/>
  <c r="O22" i="2"/>
  <c r="O17" i="2"/>
  <c r="O21" i="2"/>
  <c r="G15" i="4" l="1"/>
  <c r="A3" i="12"/>
  <c r="B3" i="12" s="1"/>
  <c r="F15" i="4"/>
  <c r="A2" i="12"/>
  <c r="B2" i="12" s="1"/>
  <c r="I17" i="4"/>
  <c r="A9" i="12"/>
  <c r="B9" i="12" s="1"/>
  <c r="G17" i="4"/>
  <c r="A7" i="12"/>
  <c r="B7" i="12" s="1"/>
  <c r="H15" i="4"/>
  <c r="A4" i="12"/>
  <c r="B4" i="12" s="1"/>
  <c r="F17" i="4"/>
  <c r="A6" i="12"/>
  <c r="B6" i="12" s="1"/>
  <c r="H17" i="4"/>
  <c r="A8" i="12"/>
  <c r="B8" i="12" s="1"/>
  <c r="I15" i="4"/>
  <c r="A5" i="12"/>
  <c r="B5" i="12" s="1"/>
  <c r="J15" i="4"/>
  <c r="A10" i="12"/>
  <c r="B10" i="12" s="1"/>
  <c r="B11" i="12" l="1"/>
</calcChain>
</file>

<file path=xl/sharedStrings.xml><?xml version="1.0" encoding="utf-8"?>
<sst xmlns="http://schemas.openxmlformats.org/spreadsheetml/2006/main" count="1807" uniqueCount="723">
  <si>
    <t>Position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</si>
  <si>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</si>
  <si>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</si>
  <si>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</si>
  <si>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</si>
  <si>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</si>
  <si>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</si>
  <si>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</si>
  <si>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</si>
  <si>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</si>
  <si>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</si>
  <si>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</si>
  <si>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</si>
  <si>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</si>
  <si>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</si>
  <si>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</si>
  <si>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</si>
  <si>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</si>
  <si>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</si>
  <si>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</si>
  <si>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</si>
  <si>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</si>
  <si>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</si>
  <si>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</si>
  <si>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</si>
  <si>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</si>
  <si>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</si>
  <si>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</si>
  <si>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</si>
  <si>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</si>
  <si>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James</t>
  </si>
  <si>
    <t>CLE</t>
  </si>
  <si>
    <t>Thomas</t>
  </si>
  <si>
    <t>O</t>
  </si>
  <si>
    <t>Knee</t>
  </si>
  <si>
    <t>GTD</t>
  </si>
  <si>
    <t>Hill</t>
  </si>
  <si>
    <t>Patrick</t>
  </si>
  <si>
    <t>Ankle</t>
  </si>
  <si>
    <t>Thumb</t>
  </si>
  <si>
    <t>Illness</t>
  </si>
  <si>
    <t>J.R.</t>
  </si>
  <si>
    <t>Smith</t>
  </si>
  <si>
    <t>Kay</t>
  </si>
  <si>
    <t>Felder</t>
  </si>
  <si>
    <t>Jones</t>
  </si>
  <si>
    <t>Jordan</t>
  </si>
  <si>
    <t>McRae</t>
  </si>
  <si>
    <t>Bobby</t>
  </si>
  <si>
    <t>Injury?</t>
  </si>
  <si>
    <t>C 1</t>
  </si>
  <si>
    <t>SAC</t>
  </si>
  <si>
    <t>Paul</t>
  </si>
  <si>
    <t>Richardson</t>
  </si>
  <si>
    <t>Brandon</t>
  </si>
  <si>
    <t>Lance</t>
  </si>
  <si>
    <t>Arron</t>
  </si>
  <si>
    <t>Afflalo</t>
  </si>
  <si>
    <t>Terrence</t>
  </si>
  <si>
    <t>TOR</t>
  </si>
  <si>
    <t>Omri</t>
  </si>
  <si>
    <t>Casspi</t>
  </si>
  <si>
    <t>Kosta</t>
  </si>
  <si>
    <t>Koufos</t>
  </si>
  <si>
    <t>Ross</t>
  </si>
  <si>
    <t>Malachi</t>
  </si>
  <si>
    <t>Georgios</t>
  </si>
  <si>
    <t>Papagiannis</t>
  </si>
  <si>
    <t>Skal</t>
  </si>
  <si>
    <t>Labissiere</t>
  </si>
  <si>
    <t>Name</t>
  </si>
  <si>
    <t>Game</t>
  </si>
  <si>
    <t>Salary</t>
  </si>
  <si>
    <t>Anthony Davis</t>
  </si>
  <si>
    <t>James Harden</t>
  </si>
  <si>
    <t>Nikola Jokic</t>
  </si>
  <si>
    <t>DeMarcus Cousins</t>
  </si>
  <si>
    <t>LeBron James</t>
  </si>
  <si>
    <t>Kemba Walker</t>
  </si>
  <si>
    <t>Damian Lillard</t>
  </si>
  <si>
    <t>Kevin Durant</t>
  </si>
  <si>
    <t>Blake Griffin</t>
  </si>
  <si>
    <t>Carmelo Anthony</t>
  </si>
  <si>
    <t>Kevin Love</t>
  </si>
  <si>
    <t>Jrue Holiday</t>
  </si>
  <si>
    <t>Kyrie Irving</t>
  </si>
  <si>
    <t>Stephen Curry</t>
  </si>
  <si>
    <t>Chris Paul</t>
  </si>
  <si>
    <t>C.J. McCollum</t>
  </si>
  <si>
    <t>Kristaps Porzingis</t>
  </si>
  <si>
    <t>Nicolas Batum</t>
  </si>
  <si>
    <t>Nikola Vucevic</t>
  </si>
  <si>
    <t>Andre Drummond</t>
  </si>
  <si>
    <t>Wilson Chandler</t>
  </si>
  <si>
    <t>Mason Plumlee</t>
  </si>
  <si>
    <t>DeAndre Jordan</t>
  </si>
  <si>
    <t>Frank Kaminsky</t>
  </si>
  <si>
    <t>Klay Thompson</t>
  </si>
  <si>
    <t>Will Barton</t>
  </si>
  <si>
    <t>Derrick Rose</t>
  </si>
  <si>
    <t>Tristan Thompson</t>
  </si>
  <si>
    <t>Terrence Jones</t>
  </si>
  <si>
    <t>Darren Collison</t>
  </si>
  <si>
    <t>Danilo Gallinari</t>
  </si>
  <si>
    <t>Marvin Williams</t>
  </si>
  <si>
    <t>Trevor Ariza</t>
  </si>
  <si>
    <t>Draymond Green</t>
  </si>
  <si>
    <t>Kentavious Caldwell-Pope</t>
  </si>
  <si>
    <t>Eric Gordon</t>
  </si>
  <si>
    <t>Marcus Morris</t>
  </si>
  <si>
    <t>Jameer Nelson</t>
  </si>
  <si>
    <t>Gary Harris</t>
  </si>
  <si>
    <t>Michael Kidd-Gilchrist</t>
  </si>
  <si>
    <t>Evan Fournier</t>
  </si>
  <si>
    <t>Cody Zeller</t>
  </si>
  <si>
    <t>Al-Farouq Aminu</t>
  </si>
  <si>
    <t>Elfrid Payton</t>
  </si>
  <si>
    <t>Tyreke Evans</t>
  </si>
  <si>
    <t>Ryan Anderson</t>
  </si>
  <si>
    <t>Matt Barnes</t>
  </si>
  <si>
    <t>Jon Leuer</t>
  </si>
  <si>
    <t>Reggie Jackson</t>
  </si>
  <si>
    <t>Austin Rivers</t>
  </si>
  <si>
    <t>JaVale McGee</t>
  </si>
  <si>
    <t>Clint Capela</t>
  </si>
  <si>
    <t>Channing Frye</t>
  </si>
  <si>
    <t>Courtney Lee</t>
  </si>
  <si>
    <t>Jodie Meeks</t>
  </si>
  <si>
    <t>Evan Turner</t>
  </si>
  <si>
    <t>Kyle O'Quinn</t>
  </si>
  <si>
    <t>Tobias Harris</t>
  </si>
  <si>
    <t>Aaron Gordon</t>
  </si>
  <si>
    <t>Patrick Beverley</t>
  </si>
  <si>
    <t>Brandon Jennings</t>
  </si>
  <si>
    <t>Maurice Harkless</t>
  </si>
  <si>
    <t>Ishmael Smith</t>
  </si>
  <si>
    <t>Raymond Felton</t>
  </si>
  <si>
    <t>Solomon Hill</t>
  </si>
  <si>
    <t>Jordan Farmar</t>
  </si>
  <si>
    <t>Dante Cunningham</t>
  </si>
  <si>
    <t>Ty Lawson</t>
  </si>
  <si>
    <t>Jamal Crawford</t>
  </si>
  <si>
    <t>Marco Belinelli</t>
  </si>
  <si>
    <t>Ben McLemore</t>
  </si>
  <si>
    <t>J.J. Redick</t>
  </si>
  <si>
    <t>Sam Dekker</t>
  </si>
  <si>
    <t>Derrick Williams</t>
  </si>
  <si>
    <t>Kenneth Faried</t>
  </si>
  <si>
    <t>Emmanuel Mudiay</t>
  </si>
  <si>
    <t>Allen Crabbe</t>
  </si>
  <si>
    <t>Darrell Arthur</t>
  </si>
  <si>
    <t>Kyle Korver</t>
  </si>
  <si>
    <t>Willie Cauley-Stein</t>
  </si>
  <si>
    <t>Mario Hezonja</t>
  </si>
  <si>
    <t>Andre Iguodala</t>
  </si>
  <si>
    <t>Zaza Pachulia</t>
  </si>
  <si>
    <t>Garrett Temple</t>
  </si>
  <si>
    <t>Ed Davis</t>
  </si>
  <si>
    <t>Nene Hilario</t>
  </si>
  <si>
    <t>Tim Frazier</t>
  </si>
  <si>
    <t>Jeff Green</t>
  </si>
  <si>
    <t>Corey Brewer</t>
  </si>
  <si>
    <t>Iman Shumpert</t>
  </si>
  <si>
    <t>Alexis Ajinca</t>
  </si>
  <si>
    <t>Donatas Motiejunas</t>
  </si>
  <si>
    <t>Marreese Speights</t>
  </si>
  <si>
    <t>Meyers Leonard</t>
  </si>
  <si>
    <t>Ian Clark</t>
  </si>
  <si>
    <t>Anthony Tolliver</t>
  </si>
  <si>
    <t>D.J. Augustin</t>
  </si>
  <si>
    <t>E'Twaun Moore</t>
  </si>
  <si>
    <t>Bismack Biyombo</t>
  </si>
  <si>
    <t>Jeremy Lamb</t>
  </si>
  <si>
    <t>Langston Galloway</t>
  </si>
  <si>
    <t>Arron Afflalo</t>
  </si>
  <si>
    <t>Kosta Koufos</t>
  </si>
  <si>
    <t>Luc Richard Mbah a Moute</t>
  </si>
  <si>
    <t>J.R. Smith</t>
  </si>
  <si>
    <t>Montrezl Harrell</t>
  </si>
  <si>
    <t>Terrence Ross</t>
  </si>
  <si>
    <t>Noah Vonleh</t>
  </si>
  <si>
    <t>Jusuf Nurkic</t>
  </si>
  <si>
    <t>Kevon Looney</t>
  </si>
  <si>
    <t>David West</t>
  </si>
  <si>
    <t>Aron Baynes</t>
  </si>
  <si>
    <t>Justin Holiday</t>
  </si>
  <si>
    <t>C.J. Watson</t>
  </si>
  <si>
    <t>Stanley Johnson</t>
  </si>
  <si>
    <t>Joakim Noah</t>
  </si>
  <si>
    <t>Ramon Sessions</t>
  </si>
  <si>
    <t>Omri Casspi</t>
  </si>
  <si>
    <t>Wesley Johnson</t>
  </si>
  <si>
    <t>Pat Connaughton</t>
  </si>
  <si>
    <t>James Michael McAdoo</t>
  </si>
  <si>
    <t>Shaun Livingston</t>
  </si>
  <si>
    <t>Richard Jefferson</t>
  </si>
  <si>
    <t>Boban Marjanovic</t>
  </si>
  <si>
    <t>Miles Plumlee</t>
  </si>
  <si>
    <t>Anthony Brown</t>
  </si>
  <si>
    <t>Sasha Vujacic</t>
  </si>
  <si>
    <t>Alan Anderson</t>
  </si>
  <si>
    <t>Archie Goodwin</t>
  </si>
  <si>
    <t>Shabazz Napier</t>
  </si>
  <si>
    <t>Brandon Bass</t>
  </si>
  <si>
    <t>Mike Miller</t>
  </si>
  <si>
    <t>Paul Pierce</t>
  </si>
  <si>
    <t>Lance Thomas</t>
  </si>
  <si>
    <t>Brian Roberts</t>
  </si>
  <si>
    <t>Anderson Varejao</t>
  </si>
  <si>
    <t>Reggie Bullock</t>
  </si>
  <si>
    <t>Damjan Rudez</t>
  </si>
  <si>
    <t>Omer Asik</t>
  </si>
  <si>
    <t>Tyler Ennis</t>
  </si>
  <si>
    <t>Darrun Hilliard</t>
  </si>
  <si>
    <t>James Jones</t>
  </si>
  <si>
    <t>K.J. McDaniels</t>
  </si>
  <si>
    <t>Aaron Harrison</t>
  </si>
  <si>
    <t>Beno Udrih</t>
  </si>
  <si>
    <t>C.J. Wilcox</t>
  </si>
  <si>
    <t>Team</t>
  </si>
  <si>
    <t>NO</t>
  </si>
  <si>
    <t>HOU</t>
  </si>
  <si>
    <t>DEN</t>
  </si>
  <si>
    <t>CHA</t>
  </si>
  <si>
    <t>POR</t>
  </si>
  <si>
    <t>GS</t>
  </si>
  <si>
    <t>LAC</t>
  </si>
  <si>
    <t>NY</t>
  </si>
  <si>
    <t>ORL</t>
  </si>
  <si>
    <t>DET</t>
  </si>
  <si>
    <t>MIA</t>
  </si>
  <si>
    <t>ATL</t>
  </si>
  <si>
    <t>MIL</t>
  </si>
  <si>
    <t>Id</t>
  </si>
  <si>
    <t>First Name</t>
  </si>
  <si>
    <t>Nickname</t>
  </si>
  <si>
    <t>Last Name</t>
  </si>
  <si>
    <t>FPPG</t>
  </si>
  <si>
    <t>Played</t>
  </si>
  <si>
    <t>Opponent</t>
  </si>
  <si>
    <t>Injury Indicator</t>
  </si>
  <si>
    <t>Injury Details</t>
  </si>
  <si>
    <t>18027-9644</t>
  </si>
  <si>
    <t>Harden</t>
  </si>
  <si>
    <t>HOU@NO</t>
  </si>
  <si>
    <t>18027-9488</t>
  </si>
  <si>
    <t>LeBron</t>
  </si>
  <si>
    <t>NY@CLE</t>
  </si>
  <si>
    <t>18027-12362</t>
  </si>
  <si>
    <t>DeMarcus</t>
  </si>
  <si>
    <t>Cousins</t>
  </si>
  <si>
    <t>18027-55062</t>
  </si>
  <si>
    <t>Nikola</t>
  </si>
  <si>
    <t>Jokic</t>
  </si>
  <si>
    <t>DEN@SAC</t>
  </si>
  <si>
    <t>18027-15755</t>
  </si>
  <si>
    <t>Anthony</t>
  </si>
  <si>
    <t>Davis</t>
  </si>
  <si>
    <t>18027-9646</t>
  </si>
  <si>
    <t>Kevin</t>
  </si>
  <si>
    <t>Durant</t>
  </si>
  <si>
    <t>LAC@GS</t>
  </si>
  <si>
    <t>18027-9560</t>
  </si>
  <si>
    <t>Blake</t>
  </si>
  <si>
    <t>Griffin</t>
  </si>
  <si>
    <t>18027-9524</t>
  </si>
  <si>
    <t>Stephen</t>
  </si>
  <si>
    <t>Curry</t>
  </si>
  <si>
    <t>18027-14498</t>
  </si>
  <si>
    <t>Kyrie</t>
  </si>
  <si>
    <t>Irving</t>
  </si>
  <si>
    <t>18027-9623</t>
  </si>
  <si>
    <t>Chris</t>
  </si>
  <si>
    <t>18027-9508</t>
  </si>
  <si>
    <t>Carmelo</t>
  </si>
  <si>
    <t>18027-20848</t>
  </si>
  <si>
    <t>Damian</t>
  </si>
  <si>
    <t>Lillard</t>
  </si>
  <si>
    <t>POR@ORL</t>
  </si>
  <si>
    <t>18027-15557</t>
  </si>
  <si>
    <t>Andre</t>
  </si>
  <si>
    <t>Drummond</t>
  </si>
  <si>
    <t>CHA@DET</t>
  </si>
  <si>
    <t>18027-9874</t>
  </si>
  <si>
    <t>Love</t>
  </si>
  <si>
    <t>18027-9663</t>
  </si>
  <si>
    <t>Jrue</t>
  </si>
  <si>
    <t>Holiday</t>
  </si>
  <si>
    <t>18027-15860</t>
  </si>
  <si>
    <t>Draymond</t>
  </si>
  <si>
    <t>Green</t>
  </si>
  <si>
    <t>18027-14507</t>
  </si>
  <si>
    <t>Kemba</t>
  </si>
  <si>
    <t>Walker</t>
  </si>
  <si>
    <t>18027-9561</t>
  </si>
  <si>
    <t>DeAndre</t>
  </si>
  <si>
    <t>18027-19067</t>
  </si>
  <si>
    <t>C.J.</t>
  </si>
  <si>
    <t>McCollum</t>
  </si>
  <si>
    <t>18027-9809</t>
  </si>
  <si>
    <t>Nicolas</t>
  </si>
  <si>
    <t>Batum</t>
  </si>
  <si>
    <t>18027-14509</t>
  </si>
  <si>
    <t>Klay</t>
  </si>
  <si>
    <t>Thompson</t>
  </si>
  <si>
    <t>18027-14514</t>
  </si>
  <si>
    <t>Vucevic</t>
  </si>
  <si>
    <t>18027-9637</t>
  </si>
  <si>
    <t>Danilo</t>
  </si>
  <si>
    <t>Gallinari</t>
  </si>
  <si>
    <t>Groin</t>
  </si>
  <si>
    <t>18027-63122</t>
  </si>
  <si>
    <t>Kristaps</t>
  </si>
  <si>
    <t>Porzingis</t>
  </si>
  <si>
    <t>18027-9636</t>
  </si>
  <si>
    <t>Wilson</t>
  </si>
  <si>
    <t>Chandler</t>
  </si>
  <si>
    <t>18027-17333</t>
  </si>
  <si>
    <t>Will</t>
  </si>
  <si>
    <t>Barton</t>
  </si>
  <si>
    <t>18027-14501</t>
  </si>
  <si>
    <t>Tristan</t>
  </si>
  <si>
    <t>18027-9475</t>
  </si>
  <si>
    <t>Derrick</t>
  </si>
  <si>
    <t>Rose</t>
  </si>
  <si>
    <t>18027-14521</t>
  </si>
  <si>
    <t>Kenneth</t>
  </si>
  <si>
    <t>Faried</t>
  </si>
  <si>
    <t>18027-16448</t>
  </si>
  <si>
    <t>Frank</t>
  </si>
  <si>
    <t>Kaminsky</t>
  </si>
  <si>
    <t>18027-15590</t>
  </si>
  <si>
    <t>Mason</t>
  </si>
  <si>
    <t>Plumlee</t>
  </si>
  <si>
    <t>18027-63127</t>
  </si>
  <si>
    <t>Guillermo</t>
  </si>
  <si>
    <t>Hernangomez</t>
  </si>
  <si>
    <t>18027-14512</t>
  </si>
  <si>
    <t>Marcus</t>
  </si>
  <si>
    <t>Morris</t>
  </si>
  <si>
    <t>18027-12342</t>
  </si>
  <si>
    <t>Al-Farouq</t>
  </si>
  <si>
    <t>Aminu</t>
  </si>
  <si>
    <t>18027-15758</t>
  </si>
  <si>
    <t>Michael</t>
  </si>
  <si>
    <t>Kidd-Gilchrist</t>
  </si>
  <si>
    <t>18027-9652</t>
  </si>
  <si>
    <t>Jameer</t>
  </si>
  <si>
    <t>Nelson</t>
  </si>
  <si>
    <t>18027-19138</t>
  </si>
  <si>
    <t>Elfrid</t>
  </si>
  <si>
    <t>Payton</t>
  </si>
  <si>
    <t>18027-15592</t>
  </si>
  <si>
    <t>Austin</t>
  </si>
  <si>
    <t>Rivers</t>
  </si>
  <si>
    <t>18027-15757</t>
  </si>
  <si>
    <t>18027-9624</t>
  </si>
  <si>
    <t>Darren</t>
  </si>
  <si>
    <t>Collison</t>
  </si>
  <si>
    <t>18027-14523</t>
  </si>
  <si>
    <t>Reggie</t>
  </si>
  <si>
    <t>Jackson</t>
  </si>
  <si>
    <t>18027-23096</t>
  </si>
  <si>
    <t>Evan</t>
  </si>
  <si>
    <t>Fournier</t>
  </si>
  <si>
    <t>18027-9556</t>
  </si>
  <si>
    <t>Eric</t>
  </si>
  <si>
    <t>Gordon</t>
  </si>
  <si>
    <t>18027-14518</t>
  </si>
  <si>
    <t>Tobias</t>
  </si>
  <si>
    <t>Harris</t>
  </si>
  <si>
    <t>18027-9678</t>
  </si>
  <si>
    <t>Channing</t>
  </si>
  <si>
    <t>Frye</t>
  </si>
  <si>
    <t>18027-9538</t>
  </si>
  <si>
    <t>Trevor</t>
  </si>
  <si>
    <t>Ariza</t>
  </si>
  <si>
    <t>18027-12474</t>
  </si>
  <si>
    <t>Beverley</t>
  </si>
  <si>
    <t>18027-15691</t>
  </si>
  <si>
    <t>Cody</t>
  </si>
  <si>
    <t>Zeller</t>
  </si>
  <si>
    <t>Quadriceps</t>
  </si>
  <si>
    <t>18027-9657</t>
  </si>
  <si>
    <t>Matt</t>
  </si>
  <si>
    <t>Barnes</t>
  </si>
  <si>
    <t>18027-24544</t>
  </si>
  <si>
    <t>Gary</t>
  </si>
  <si>
    <t>18027-9451</t>
  </si>
  <si>
    <t>Marvin</t>
  </si>
  <si>
    <t>Williams</t>
  </si>
  <si>
    <t>18027-55059</t>
  </si>
  <si>
    <t>Clint</t>
  </si>
  <si>
    <t>Capela</t>
  </si>
  <si>
    <t>18027-9593</t>
  </si>
  <si>
    <t>Jennings</t>
  </si>
  <si>
    <t>Achilles</t>
  </si>
  <si>
    <t>18027-15636</t>
  </si>
  <si>
    <t>Kentavious</t>
  </si>
  <si>
    <t>Caldwell-Pope</t>
  </si>
  <si>
    <t>18027-63124</t>
  </si>
  <si>
    <t>Emmanuel</t>
  </si>
  <si>
    <t>Mudiay</t>
  </si>
  <si>
    <t>18027-9772</t>
  </si>
  <si>
    <t>Ryan</t>
  </si>
  <si>
    <t>Anderson</t>
  </si>
  <si>
    <t>18027-9448</t>
  </si>
  <si>
    <t>Jamal</t>
  </si>
  <si>
    <t>Crawford</t>
  </si>
  <si>
    <t>18027-12359</t>
  </si>
  <si>
    <t>Turner</t>
  </si>
  <si>
    <t>Hand</t>
  </si>
  <si>
    <t>18027-14539</t>
  </si>
  <si>
    <t>Jon</t>
  </si>
  <si>
    <t>Leuer</t>
  </si>
  <si>
    <t>18027-16178</t>
  </si>
  <si>
    <t>Maurice</t>
  </si>
  <si>
    <t>Harkless</t>
  </si>
  <si>
    <t>18027-9964</t>
  </si>
  <si>
    <t>Ty</t>
  </si>
  <si>
    <t>Lawson</t>
  </si>
  <si>
    <t>18027-41594</t>
  </si>
  <si>
    <t>Aaron</t>
  </si>
  <si>
    <t>18027-9615</t>
  </si>
  <si>
    <t>Courtney</t>
  </si>
  <si>
    <t>Lee</t>
  </si>
  <si>
    <t>18027-9655</t>
  </si>
  <si>
    <t>J.J.</t>
  </si>
  <si>
    <t>Redick</t>
  </si>
  <si>
    <t>18027-9692</t>
  </si>
  <si>
    <t>Tyreke</t>
  </si>
  <si>
    <t>Evans</t>
  </si>
  <si>
    <t>18027-9465</t>
  </si>
  <si>
    <t>Raymond</t>
  </si>
  <si>
    <t>Felton</t>
  </si>
  <si>
    <t>18027-9664</t>
  </si>
  <si>
    <t>Iguodala</t>
  </si>
  <si>
    <t>18027-9454</t>
  </si>
  <si>
    <t>Zaza</t>
  </si>
  <si>
    <t>Pachulia</t>
  </si>
  <si>
    <t>Shoulder</t>
  </si>
  <si>
    <t>18027-9512</t>
  </si>
  <si>
    <t>Nene</t>
  </si>
  <si>
    <t>Hilario</t>
  </si>
  <si>
    <t>18027-9870</t>
  </si>
  <si>
    <t>Kyle</t>
  </si>
  <si>
    <t>Korver</t>
  </si>
  <si>
    <t>18027-17384</t>
  </si>
  <si>
    <t>O'Quinn</t>
  </si>
  <si>
    <t>18027-15417</t>
  </si>
  <si>
    <t>Solomon</t>
  </si>
  <si>
    <t>18027-12511</t>
  </si>
  <si>
    <t>Ish</t>
  </si>
  <si>
    <t>18027-11074</t>
  </si>
  <si>
    <t>Garrett</t>
  </si>
  <si>
    <t>Temple</t>
  </si>
  <si>
    <t>Hamstring</t>
  </si>
  <si>
    <t>18027-9580</t>
  </si>
  <si>
    <t>Darrell</t>
  </si>
  <si>
    <t>Arthur</t>
  </si>
  <si>
    <t>18027-14500</t>
  </si>
  <si>
    <t>18027-15559</t>
  </si>
  <si>
    <t>Jeremy</t>
  </si>
  <si>
    <t>Lamb</t>
  </si>
  <si>
    <t>18027-15727</t>
  </si>
  <si>
    <t>Ben</t>
  </si>
  <si>
    <t>McLemore</t>
  </si>
  <si>
    <t>18027-70822</t>
  </si>
  <si>
    <t>Juancho</t>
  </si>
  <si>
    <t>18027-23776</t>
  </si>
  <si>
    <t>Montrezl</t>
  </si>
  <si>
    <t>Harrell</t>
  </si>
  <si>
    <t>18027-9483</t>
  </si>
  <si>
    <t>Joakim</t>
  </si>
  <si>
    <t>Noah</t>
  </si>
  <si>
    <t>18027-23823</t>
  </si>
  <si>
    <t>Willie</t>
  </si>
  <si>
    <t>Cauley-Stein</t>
  </si>
  <si>
    <t>18027-9804</t>
  </si>
  <si>
    <t>Alexis</t>
  </si>
  <si>
    <t>Ajinca</t>
  </si>
  <si>
    <t>18027-9739</t>
  </si>
  <si>
    <t>JaVale</t>
  </si>
  <si>
    <t>McGee</t>
  </si>
  <si>
    <t>18027-55057</t>
  </si>
  <si>
    <t>Jusuf</t>
  </si>
  <si>
    <t>Nurkic</t>
  </si>
  <si>
    <t>18027-9525</t>
  </si>
  <si>
    <t>Watson</t>
  </si>
  <si>
    <t>18027-66108</t>
  </si>
  <si>
    <t>Murray</t>
  </si>
  <si>
    <t>18027-12365</t>
  </si>
  <si>
    <t>Ed</t>
  </si>
  <si>
    <t>18027-9565</t>
  </si>
  <si>
    <t>Farmar</t>
  </si>
  <si>
    <t>18027-14505</t>
  </si>
  <si>
    <t>Bismack</t>
  </si>
  <si>
    <t>Biyombo</t>
  </si>
  <si>
    <t>18027-14515</t>
  </si>
  <si>
    <t>Iman</t>
  </si>
  <si>
    <t>Shumpert</t>
  </si>
  <si>
    <t>18027-9940</t>
  </si>
  <si>
    <t>Dante</t>
  </si>
  <si>
    <t>Cunningham</t>
  </si>
  <si>
    <t>18027-9968</t>
  </si>
  <si>
    <t>Jodie</t>
  </si>
  <si>
    <t>Meeks</t>
  </si>
  <si>
    <t>18027-9715</t>
  </si>
  <si>
    <t>Marco</t>
  </si>
  <si>
    <t>Belinelli</t>
  </si>
  <si>
    <t>18027-66091</t>
  </si>
  <si>
    <t>Cheick</t>
  </si>
  <si>
    <t>Diallo</t>
  </si>
  <si>
    <t>18027-12348</t>
  </si>
  <si>
    <t>Wesley</t>
  </si>
  <si>
    <t>Johnson</t>
  </si>
  <si>
    <t>18027-63123</t>
  </si>
  <si>
    <t>Mario</t>
  </si>
  <si>
    <t>Hezonja</t>
  </si>
  <si>
    <t>18027-66203</t>
  </si>
  <si>
    <t>18027-9643</t>
  </si>
  <si>
    <t>Shaun</t>
  </si>
  <si>
    <t>Livingston</t>
  </si>
  <si>
    <t>18027-9648</t>
  </si>
  <si>
    <t>Jeff</t>
  </si>
  <si>
    <t>18027-9920</t>
  </si>
  <si>
    <t>Tolliver</t>
  </si>
  <si>
    <t>18027-9671</t>
  </si>
  <si>
    <t>Marreese</t>
  </si>
  <si>
    <t>Speights</t>
  </si>
  <si>
    <t>18027-14554</t>
  </si>
  <si>
    <t>E'Twaun</t>
  </si>
  <si>
    <t>Moore</t>
  </si>
  <si>
    <t>18027-9960</t>
  </si>
  <si>
    <t>18027-9731</t>
  </si>
  <si>
    <t>18027-9734</t>
  </si>
  <si>
    <t>Mike</t>
  </si>
  <si>
    <t>Miller</t>
  </si>
  <si>
    <t>18027-23824</t>
  </si>
  <si>
    <t>Archie</t>
  </si>
  <si>
    <t>Goodwin</t>
  </si>
  <si>
    <t>18027-66064</t>
  </si>
  <si>
    <t>Malik</t>
  </si>
  <si>
    <t>Beasley</t>
  </si>
  <si>
    <t>18027-9490</t>
  </si>
  <si>
    <t>Varejao</t>
  </si>
  <si>
    <t>18027-16405</t>
  </si>
  <si>
    <t>18027-16411</t>
  </si>
  <si>
    <t>Wilcox</t>
  </si>
  <si>
    <t>18027-9506</t>
  </si>
  <si>
    <t>18027-58658</t>
  </si>
  <si>
    <t>McCaw</t>
  </si>
  <si>
    <t>18027-9507</t>
  </si>
  <si>
    <t>18027-37931</t>
  </si>
  <si>
    <t>Aron</t>
  </si>
  <si>
    <t>Baynes</t>
  </si>
  <si>
    <t>18027-15669</t>
  </si>
  <si>
    <t>Meyers</t>
  </si>
  <si>
    <t>Leonard</t>
  </si>
  <si>
    <t>18027-43064</t>
  </si>
  <si>
    <t>18027-9785</t>
  </si>
  <si>
    <t>18027-16188</t>
  </si>
  <si>
    <t>Brown</t>
  </si>
  <si>
    <t>18027-66109</t>
  </si>
  <si>
    <t>18027-9796</t>
  </si>
  <si>
    <t>Luc Richard</t>
  </si>
  <si>
    <t>Mbah a Moute</t>
  </si>
  <si>
    <t>18027-66117</t>
  </si>
  <si>
    <t>Diamond</t>
  </si>
  <si>
    <t>Stone</t>
  </si>
  <si>
    <t>18027-20806</t>
  </si>
  <si>
    <t>Treveon</t>
  </si>
  <si>
    <t>Graham</t>
  </si>
  <si>
    <t>18027-15947</t>
  </si>
  <si>
    <t>Bullock</t>
  </si>
  <si>
    <t>18027-17230</t>
  </si>
  <si>
    <t>Langston</t>
  </si>
  <si>
    <t>Galloway</t>
  </si>
  <si>
    <t>18027-55376</t>
  </si>
  <si>
    <t>Damjan</t>
  </si>
  <si>
    <t>Rudez</t>
  </si>
  <si>
    <t>18027-63826</t>
  </si>
  <si>
    <t>Boban</t>
  </si>
  <si>
    <t>Marjanovic</t>
  </si>
  <si>
    <t>18027-15955</t>
  </si>
  <si>
    <t>James Michael</t>
  </si>
  <si>
    <t>McAdoo</t>
  </si>
  <si>
    <t>18027-17747</t>
  </si>
  <si>
    <t>Ian</t>
  </si>
  <si>
    <t>Clark</t>
  </si>
  <si>
    <t>18027-9567</t>
  </si>
  <si>
    <t>Sasha</t>
  </si>
  <si>
    <t>Vujacic</t>
  </si>
  <si>
    <t>18027-16230</t>
  </si>
  <si>
    <t>18027-23654</t>
  </si>
  <si>
    <t>Brice</t>
  </si>
  <si>
    <t>Back</t>
  </si>
  <si>
    <t>18027-41065</t>
  </si>
  <si>
    <t>Tim</t>
  </si>
  <si>
    <t>Quarterman</t>
  </si>
  <si>
    <t>18027-23665</t>
  </si>
  <si>
    <t>Buddy</t>
  </si>
  <si>
    <t>Hield</t>
  </si>
  <si>
    <t>18027-74101</t>
  </si>
  <si>
    <t>18027-15993</t>
  </si>
  <si>
    <t>Pat</t>
  </si>
  <si>
    <t>Connaughton</t>
  </si>
  <si>
    <t>18027-41082</t>
  </si>
  <si>
    <t>18027-9605</t>
  </si>
  <si>
    <t>Ramon</t>
  </si>
  <si>
    <t>Sessions</t>
  </si>
  <si>
    <t>18027-9606</t>
  </si>
  <si>
    <t>Corey</t>
  </si>
  <si>
    <t>Brewer</t>
  </si>
  <si>
    <t>18027-12423</t>
  </si>
  <si>
    <t>Omer</t>
  </si>
  <si>
    <t>Asik</t>
  </si>
  <si>
    <t>18027-58505</t>
  </si>
  <si>
    <t>Chinanu</t>
  </si>
  <si>
    <t>Onuaku</t>
  </si>
  <si>
    <t>18027-15501</t>
  </si>
  <si>
    <t>Allen</t>
  </si>
  <si>
    <t>Crabbe</t>
  </si>
  <si>
    <t>18027-66455</t>
  </si>
  <si>
    <t>Henry</t>
  </si>
  <si>
    <t>Ellenson</t>
  </si>
  <si>
    <t>18027-15767</t>
  </si>
  <si>
    <t>Wiltjer</t>
  </si>
  <si>
    <t>18027-66966</t>
  </si>
  <si>
    <t>Zimmerman Jr.</t>
  </si>
  <si>
    <t>18027-9629</t>
  </si>
  <si>
    <t>David</t>
  </si>
  <si>
    <t>West</t>
  </si>
  <si>
    <t>18027-48799</t>
  </si>
  <si>
    <t>Ndour</t>
  </si>
  <si>
    <t>18027-21665</t>
  </si>
  <si>
    <t>Alan</t>
  </si>
  <si>
    <t>18027-70821</t>
  </si>
  <si>
    <t>18027-42661</t>
  </si>
  <si>
    <t>Vonleh</t>
  </si>
  <si>
    <t>18027-42664</t>
  </si>
  <si>
    <t>Harrison</t>
  </si>
  <si>
    <t>18027-15532</t>
  </si>
  <si>
    <t>K.J.</t>
  </si>
  <si>
    <t>McDaniels</t>
  </si>
  <si>
    <t>18027-18352</t>
  </si>
  <si>
    <t>Ray</t>
  </si>
  <si>
    <t>McCallum</t>
  </si>
  <si>
    <t>18027-71345</t>
  </si>
  <si>
    <t>Mindaugas</t>
  </si>
  <si>
    <t>Kuzminskas</t>
  </si>
  <si>
    <t>18027-14519</t>
  </si>
  <si>
    <t>Donatas</t>
  </si>
  <si>
    <t>Motiejunas</t>
  </si>
  <si>
    <t>18027-9659</t>
  </si>
  <si>
    <t>Bass</t>
  </si>
  <si>
    <t>18027-42689</t>
  </si>
  <si>
    <t>Tyler</t>
  </si>
  <si>
    <t>Ennis</t>
  </si>
  <si>
    <t>18027-23750</t>
  </si>
  <si>
    <t>Tobey</t>
  </si>
  <si>
    <t>18027-16071</t>
  </si>
  <si>
    <t>Frazier</t>
  </si>
  <si>
    <t>18027-22727</t>
  </si>
  <si>
    <t>Ron</t>
  </si>
  <si>
    <t>Baker</t>
  </si>
  <si>
    <t>18027-15560</t>
  </si>
  <si>
    <t>Shabazz</t>
  </si>
  <si>
    <t>Napier</t>
  </si>
  <si>
    <t>18027-16331</t>
  </si>
  <si>
    <t>Festus</t>
  </si>
  <si>
    <t>Ezeli</t>
  </si>
  <si>
    <t>18027-23757</t>
  </si>
  <si>
    <t>Brian</t>
  </si>
  <si>
    <t>Roberts</t>
  </si>
  <si>
    <t>18027-58576</t>
  </si>
  <si>
    <t>Kevon</t>
  </si>
  <si>
    <t>Looney</t>
  </si>
  <si>
    <t>18027-14552</t>
  </si>
  <si>
    <t>Liggins</t>
  </si>
  <si>
    <t>18027-16859</t>
  </si>
  <si>
    <t>18027-16348</t>
  </si>
  <si>
    <t>Darrun</t>
  </si>
  <si>
    <t>Hilliard</t>
  </si>
  <si>
    <t>18027-16604</t>
  </si>
  <si>
    <t>Justin</t>
  </si>
  <si>
    <t>18027-9693</t>
  </si>
  <si>
    <t>Beno</t>
  </si>
  <si>
    <t>Udrih</t>
  </si>
  <si>
    <t>18027-15585</t>
  </si>
  <si>
    <t>Gbinije</t>
  </si>
  <si>
    <t>18027-23780</t>
  </si>
  <si>
    <t>Jake</t>
  </si>
  <si>
    <t>Layman</t>
  </si>
  <si>
    <t>18027-15589</t>
  </si>
  <si>
    <t>Marshall</t>
  </si>
  <si>
    <t>18027-15591</t>
  </si>
  <si>
    <t>Miles</t>
  </si>
  <si>
    <t>Calf</t>
  </si>
  <si>
    <t>18027-9706</t>
  </si>
  <si>
    <t>Richard</t>
  </si>
  <si>
    <t>Jefferson</t>
  </si>
  <si>
    <t>18027-58350</t>
  </si>
  <si>
    <t>Stanley</t>
  </si>
  <si>
    <t>18027-23282</t>
  </si>
  <si>
    <t>Sam</t>
  </si>
  <si>
    <t>Dekker</t>
  </si>
  <si>
    <t>18027-9459</t>
  </si>
  <si>
    <t>Pierce</t>
  </si>
  <si>
    <t>18027-9466</t>
  </si>
  <si>
    <t>D.J.</t>
  </si>
  <si>
    <t>Augustin</t>
  </si>
  <si>
    <t>Max Points</t>
  </si>
  <si>
    <t>Fanduel Stats</t>
  </si>
  <si>
    <t xml:space="preserve">Play </t>
  </si>
  <si>
    <t>Positon</t>
  </si>
  <si>
    <t>Game Proj</t>
  </si>
  <si>
    <t>Actual Pts</t>
  </si>
  <si>
    <t xml:space="preserve"> Import Lineup to Raw data</t>
  </si>
  <si>
    <t>https://www.sportingcharts.com/nba/dfs-projections/</t>
  </si>
  <si>
    <t>Import Fanduel Data</t>
  </si>
  <si>
    <t>Import Check Data</t>
  </si>
  <si>
    <t>http://crushdaily.com/nba/research/top-values.aspx?Date=2%2f16%2f2017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</si>
</sst>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35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6" fontId="0" fillId="0" borderId="0" xfId="0" applyNumberFormat="1"/>
    <xf numFmtId="0" fontId="35" fillId="0" borderId="0" xfId="43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://crushdaily.com/nba/research/top-values.aspx?Date=2%2f16%2f2017" TargetMode="External"/><Relationship Id="rId1" Type="http://schemas.openxmlformats.org/officeDocument/2006/relationships/hyperlink" Target="https://www.sportingcharts.com/nba/dfs-projection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zoomScale="106" zoomScaleNormal="106" workbookViewId="0">
      <selection activeCell="I3" sqref="I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10</v>
      </c>
      <c r="C1" t="s">
        <v>11</v>
      </c>
      <c r="D1" t="s">
        <v>6</v>
      </c>
      <c r="E1" t="s">
        <v>7</v>
      </c>
      <c r="F1" t="s">
        <v>8</v>
      </c>
      <c r="G1" t="s">
        <v>9</v>
      </c>
      <c r="H1" t="s">
        <v>1</v>
      </c>
      <c r="I1" t="s">
        <v>5</v>
      </c>
      <c r="J1" t="s">
        <v>3</v>
      </c>
      <c r="K1" t="s">
        <v>2</v>
      </c>
      <c r="L1" t="s">
        <v>4</v>
      </c>
      <c r="N1" t="s">
        <v>0</v>
      </c>
      <c r="O1" t="s">
        <v>12</v>
      </c>
      <c r="P1" t="s">
        <v>13</v>
      </c>
      <c r="T1">
        <v>8</v>
      </c>
    </row>
    <row r="2" spans="1:20" x14ac:dyDescent="0.25">
      <c r="A2" s="1" t="str">
        <f>IF(C2=1,D2,0)</f>
        <v>PF</v>
      </c>
      <c r="B2" s="1" t="str">
        <f>IF(C2=0,0,A2&amp;" "&amp;COUNTIF($A$1:$A2,A2))</f>
        <v>PF 1</v>
      </c>
      <c r="C2" s="1">
        <v>1</v>
      </c>
      <c r="D2" s="42" t="str">
        <f>Stats!B2</f>
        <v>PF</v>
      </c>
      <c r="E2" t="str">
        <f>Stats!A2</f>
        <v>Anthony Davis</v>
      </c>
      <c r="F2">
        <f>Stats!C2*Stats!I2</f>
        <v>54.75</v>
      </c>
      <c r="G2" s="35">
        <f>VLOOKUP('Fanduel Basketball Solver'!E2,Stats!$F$2:$H$337,3,FALSE)</f>
        <v>10600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1</v>
      </c>
      <c r="L2">
        <f t="shared" si="0"/>
        <v>0</v>
      </c>
      <c r="N2" t="s">
        <v>1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42" t="str">
        <f>Stats!B3</f>
        <v>SG</v>
      </c>
      <c r="E3" s="2" t="str">
        <f>Stats!A3</f>
        <v>James Harden</v>
      </c>
      <c r="F3" s="2">
        <f>Stats!C3*Stats!I3</f>
        <v>54.12</v>
      </c>
      <c r="G3" s="35">
        <f>VLOOKUP('Fanduel Basketball Solver'!E3,Stats!$F$2:$H$337,3,FALSE)</f>
        <v>12600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/>
      <c r="N3" t="s">
        <v>5</v>
      </c>
      <c r="O3">
        <v>2</v>
      </c>
      <c r="P3">
        <f>SUM(I2:I339)</f>
        <v>2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42" t="str">
        <f>Stats!B4</f>
        <v>PF</v>
      </c>
      <c r="E4" s="2" t="str">
        <f>Stats!A4</f>
        <v>Nikola Jokic</v>
      </c>
      <c r="F4" s="2">
        <f>Stats!C4*Stats!I4</f>
        <v>46.38</v>
      </c>
      <c r="G4" s="35">
        <f>VLOOKUP('Fanduel Basketball Solver'!E4,Stats!$F$2:$H$337,3,FALSE)</f>
        <v>10900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/>
      <c r="N4" t="s">
        <v>3</v>
      </c>
      <c r="O4">
        <v>2</v>
      </c>
      <c r="P4">
        <f>SUM(J2:J339)</f>
        <v>2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42" t="str">
        <f>Stats!B5</f>
        <v>C</v>
      </c>
      <c r="E5" s="2" t="str">
        <f>Stats!A5</f>
        <v>DeMarcus Cousins</v>
      </c>
      <c r="F5" s="2">
        <f>Stats!C5*Stats!I5</f>
        <v>45.5</v>
      </c>
      <c r="G5" s="35">
        <f>VLOOKUP('Fanduel Basketball Solver'!E5,Stats!$F$2:$H$337,3,FALSE)</f>
        <v>11000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/>
      <c r="N5" t="s">
        <v>2</v>
      </c>
      <c r="O5">
        <v>2</v>
      </c>
      <c r="P5">
        <f>SUM(K2:K339)</f>
        <v>2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42" t="str">
        <f>Stats!B6</f>
        <v>SF</v>
      </c>
      <c r="E6" s="2" t="str">
        <f>Stats!A6</f>
        <v>LeBron James</v>
      </c>
      <c r="F6" s="2">
        <f>Stats!C6*Stats!I6</f>
        <v>45.2</v>
      </c>
      <c r="G6" s="35">
        <f>VLOOKUP('Fanduel Basketball Solver'!E6,Stats!$F$2:$H$337,3,FALSE)</f>
        <v>11200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/>
      <c r="N6" t="s">
        <v>4</v>
      </c>
      <c r="O6">
        <v>1</v>
      </c>
      <c r="P6">
        <f>SUM(L2:L339)</f>
        <v>1</v>
      </c>
    </row>
    <row r="7" spans="1:20" x14ac:dyDescent="0.25">
      <c r="A7" t="str">
        <f t="shared" si="1"/>
        <v>PG</v>
      </c>
      <c r="B7" t="str">
        <f>IF(C7=0,0,A7&amp;" "&amp;COUNTIF($A$1:$A7,A7))</f>
        <v>PG 1</v>
      </c>
      <c r="C7" s="1">
        <v>1</v>
      </c>
      <c r="D7" s="42" t="str">
        <f>Stats!B7</f>
        <v>PG</v>
      </c>
      <c r="E7" s="2" t="str">
        <f>Stats!A7</f>
        <v>Kemba Walker</v>
      </c>
      <c r="F7" s="2">
        <f>Stats!C7*Stats!I7</f>
        <v>43.24</v>
      </c>
      <c r="G7" s="35">
        <f>VLOOKUP('Fanduel Basketball Solver'!E7,Stats!$F$2:$H$337,3,FALSE)</f>
        <v>7700</v>
      </c>
      <c r="H7">
        <f t="shared" si="2"/>
        <v>1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/>
    </row>
    <row r="8" spans="1:20" x14ac:dyDescent="0.25">
      <c r="A8" t="str">
        <f t="shared" si="1"/>
        <v>PG</v>
      </c>
      <c r="B8" t="str">
        <f>IF(C8=0,0,A8&amp;" "&amp;COUNTIF($A$1:$A8,A8))</f>
        <v>PG 2</v>
      </c>
      <c r="C8" s="1">
        <v>1</v>
      </c>
      <c r="D8" s="42" t="str">
        <f>Stats!B8</f>
        <v>PG</v>
      </c>
      <c r="E8" s="2" t="str">
        <f>Stats!A8</f>
        <v>Damian Lillard</v>
      </c>
      <c r="F8" s="2">
        <f>Stats!C8*Stats!I8</f>
        <v>42.78</v>
      </c>
      <c r="G8" s="35">
        <f>VLOOKUP('Fanduel Basketball Solver'!E8,Stats!$F$2:$H$337,3,FALSE)</f>
        <v>8300</v>
      </c>
      <c r="H8">
        <f t="shared" si="2"/>
        <v>1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/>
      <c r="N8" t="s">
        <v>14</v>
      </c>
      <c r="O8">
        <f>SUMPRODUCT(C2:C239,G2:G239)</f>
        <v>59800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42" t="str">
        <f>Stats!B9</f>
        <v>SF</v>
      </c>
      <c r="E9" s="2" t="str">
        <f>Stats!A9</f>
        <v>Kevin Durant</v>
      </c>
      <c r="F9" s="2">
        <f>Stats!C9*Stats!I9</f>
        <v>41.56</v>
      </c>
      <c r="G9" s="35">
        <f>VLOOKUP('Fanduel Basketball Solver'!E9,Stats!$F$2:$H$337,3,FALSE)</f>
        <v>10300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/>
      <c r="N9" t="s">
        <v>15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42" t="str">
        <f>Stats!B10</f>
        <v>PF</v>
      </c>
      <c r="E10" s="2" t="str">
        <f>Stats!A10</f>
        <v>Blake Griffin</v>
      </c>
      <c r="F10" s="2">
        <f>Stats!C10*Stats!I10</f>
        <v>39.979999999999997</v>
      </c>
      <c r="G10" s="35">
        <f>VLOOKUP('Fanduel Basketball Solver'!E10,Stats!$F$2:$H$337,3,FALSE)</f>
        <v>9700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/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42" t="str">
        <f>Stats!B11</f>
        <v>SF</v>
      </c>
      <c r="E11" s="2" t="str">
        <f>Stats!A11</f>
        <v>Carmelo Anthony</v>
      </c>
      <c r="F11" s="2">
        <f>Stats!C11*Stats!I11</f>
        <v>0</v>
      </c>
      <c r="G11" s="35">
        <f>VLOOKUP('Fanduel Basketball Solver'!E11,Stats!$F$2:$H$337,3,FALSE)</f>
        <v>8600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/>
      <c r="N11" t="s">
        <v>16</v>
      </c>
      <c r="O11">
        <f>SUMPRODUCT(C2:C339,F2:F339)</f>
        <v>311.44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42" t="str">
        <f>Stats!B12</f>
        <v>PF</v>
      </c>
      <c r="E12" s="2" t="str">
        <f>Stats!A12</f>
        <v>Kevin Love</v>
      </c>
      <c r="F12" s="2">
        <f>Stats!C12*Stats!I12</f>
        <v>38.270000000000003</v>
      </c>
      <c r="G12" s="35">
        <f>VLOOKUP('Fanduel Basketball Solver'!E12,Stats!$F$2:$H$337,3,FALSE)</f>
        <v>8100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/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42" t="str">
        <f>Stats!B13</f>
        <v>PG</v>
      </c>
      <c r="E13" s="2" t="str">
        <f>Stats!A13</f>
        <v>Jrue Holiday</v>
      </c>
      <c r="F13" s="2">
        <f>Stats!C13*Stats!I13</f>
        <v>37.79</v>
      </c>
      <c r="G13" s="35">
        <f>VLOOKUP('Fanduel Basketball Solver'!E13,Stats!$F$2:$H$337,3,FALSE)</f>
        <v>8100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/>
      <c r="N13" t="s">
        <v>17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42" t="str">
        <f>Stats!B14</f>
        <v>PG</v>
      </c>
      <c r="E14" s="2" t="str">
        <f>Stats!A14</f>
        <v>Kyrie Irving</v>
      </c>
      <c r="F14" s="2">
        <f>Stats!C14*Stats!I14</f>
        <v>37.53</v>
      </c>
      <c r="G14" s="35">
        <f>VLOOKUP('Fanduel Basketball Solver'!E14,Stats!$F$2:$H$337,3,FALSE)</f>
        <v>9000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/>
      <c r="N14" t="s">
        <v>18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42" t="str">
        <f>Stats!B15</f>
        <v>PG</v>
      </c>
      <c r="E15" s="2" t="str">
        <f>Stats!A15</f>
        <v>Stephen Curry</v>
      </c>
      <c r="F15" s="2">
        <f>Stats!C15*Stats!I15</f>
        <v>0</v>
      </c>
      <c r="G15" s="35">
        <f>VLOOKUP('Fanduel Basketball Solver'!E15,Stats!$F$2:$H$337,3,FALSE)</f>
        <v>9100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/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42" t="str">
        <f>Stats!B16</f>
        <v>PG</v>
      </c>
      <c r="E16" s="2" t="str">
        <f>Stats!A16</f>
        <v>Chris Paul</v>
      </c>
      <c r="F16" s="2">
        <f>Stats!C16*Stats!I16</f>
        <v>34.29</v>
      </c>
      <c r="G16" s="35">
        <f>VLOOKUP('Fanduel Basketball Solver'!E16,Stats!$F$2:$H$337,3,FALSE)</f>
        <v>8800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/>
      <c r="N16" t="s">
        <v>20</v>
      </c>
    </row>
    <row r="17" spans="1:15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42" t="str">
        <f>Stats!B17</f>
        <v>SG</v>
      </c>
      <c r="E17" s="2" t="str">
        <f>Stats!A17</f>
        <v>C.J. McCollum</v>
      </c>
      <c r="F17" s="2">
        <f>Stats!C17*Stats!I17</f>
        <v>33.99</v>
      </c>
      <c r="G17" s="35">
        <f>VLOOKUP('Fanduel Basketball Solver'!E17,Stats!$F$2:$H$337,3,FALSE)</f>
        <v>7600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/>
      <c r="N17" t="s">
        <v>22</v>
      </c>
      <c r="O17" t="str">
        <f>VLOOKUP(N17,B2:F101,4,FALSE)</f>
        <v>Kemba Walker</v>
      </c>
    </row>
    <row r="18" spans="1:15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42" t="str">
        <f>Stats!B18</f>
        <v>PF</v>
      </c>
      <c r="E18" s="2" t="str">
        <f>Stats!A18</f>
        <v>Kristaps Porzingis</v>
      </c>
      <c r="F18" s="2">
        <f>Stats!C18*Stats!I18</f>
        <v>33.659999999999997</v>
      </c>
      <c r="G18" s="35">
        <f>VLOOKUP('Fanduel Basketball Solver'!E18,Stats!$F$2:$H$337,3,FALSE)</f>
        <v>6600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/>
      <c r="N18" t="s">
        <v>23</v>
      </c>
      <c r="O18" s="2" t="str">
        <f>VLOOKUP(N18,B2:F102,4,FALSE)</f>
        <v>Damian Lillard</v>
      </c>
    </row>
    <row r="19" spans="1:15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42" t="str">
        <f>Stats!B19</f>
        <v>SG</v>
      </c>
      <c r="E19" s="2" t="str">
        <f>Stats!A19</f>
        <v>Nicolas Batum</v>
      </c>
      <c r="F19" s="2">
        <f>Stats!C19*Stats!I19</f>
        <v>33.51</v>
      </c>
      <c r="G19" s="35">
        <f>VLOOKUP('Fanduel Basketball Solver'!E19,Stats!$F$2:$H$337,3,FALSE)</f>
        <v>7200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/>
      <c r="N19" t="s">
        <v>24</v>
      </c>
      <c r="O19" s="2" t="str">
        <f>VLOOKUP(N19,B2:F103,4,FALSE)</f>
        <v>Kentavious Caldwell-Pope</v>
      </c>
    </row>
    <row r="20" spans="1:15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42" t="str">
        <f>Stats!B20</f>
        <v>C</v>
      </c>
      <c r="E20" s="2" t="str">
        <f>Stats!A20</f>
        <v>Nikola Vucevic</v>
      </c>
      <c r="F20" s="2">
        <f>Stats!C20*Stats!I20</f>
        <v>32.53</v>
      </c>
      <c r="G20" s="35">
        <f>VLOOKUP('Fanduel Basketball Solver'!E20,Stats!$F$2:$H$337,3,FALSE)</f>
        <v>7200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/>
      <c r="N20" t="s">
        <v>25</v>
      </c>
      <c r="O20" s="2" t="str">
        <f>VLOOKUP(N20,B2:F104,4,FALSE)</f>
        <v>Tyreke Evans</v>
      </c>
    </row>
    <row r="21" spans="1:15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42" t="str">
        <f>Stats!B21</f>
        <v>C</v>
      </c>
      <c r="E21" s="2" t="str">
        <f>Stats!A21</f>
        <v>Andre Drummond</v>
      </c>
      <c r="F21" s="2">
        <f>Stats!C21*Stats!I21</f>
        <v>32</v>
      </c>
      <c r="G21" s="35">
        <f>VLOOKUP('Fanduel Basketball Solver'!E21,Stats!$F$2:$H$337,3,FALSE)</f>
        <v>8300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/>
      <c r="N21" t="s">
        <v>26</v>
      </c>
      <c r="O21" s="2" t="str">
        <f>VLOOKUP(N21,B2:F105,4,FALSE)</f>
        <v>Wilson Chandler</v>
      </c>
    </row>
    <row r="22" spans="1:15" x14ac:dyDescent="0.25">
      <c r="A22" t="str">
        <f t="shared" si="1"/>
        <v>SF</v>
      </c>
      <c r="B22" t="str">
        <f>IF(C22=0,0,A22&amp;" "&amp;COUNTIF($A$1:$A22,A22))</f>
        <v>SF 1</v>
      </c>
      <c r="C22" s="1">
        <v>1</v>
      </c>
      <c r="D22" s="42" t="str">
        <f>Stats!B22</f>
        <v>SF</v>
      </c>
      <c r="E22" s="2" t="str">
        <f>Stats!A22</f>
        <v>Wilson Chandler</v>
      </c>
      <c r="F22" s="2">
        <f>Stats!C22*Stats!I22</f>
        <v>31.86</v>
      </c>
      <c r="G22" s="35">
        <f>VLOOKUP('Fanduel Basketball Solver'!E22,Stats!$F$2:$H$337,3,FALSE)</f>
        <v>6600</v>
      </c>
      <c r="H22">
        <f t="shared" si="2"/>
        <v>0</v>
      </c>
      <c r="I22">
        <f t="shared" si="2"/>
        <v>0</v>
      </c>
      <c r="J22">
        <f t="shared" si="2"/>
        <v>1</v>
      </c>
      <c r="K22">
        <f t="shared" si="2"/>
        <v>0</v>
      </c>
      <c r="L22">
        <f t="shared" si="2"/>
        <v>0</v>
      </c>
      <c r="M22" s="2"/>
      <c r="N22" t="s">
        <v>27</v>
      </c>
      <c r="O22" s="2" t="str">
        <f>VLOOKUP(N22,B2:F106,4,FALSE)</f>
        <v>Trevor Ariza</v>
      </c>
    </row>
    <row r="23" spans="1:15" x14ac:dyDescent="0.25">
      <c r="A23" t="str">
        <f t="shared" si="1"/>
        <v>C</v>
      </c>
      <c r="B23" t="str">
        <f>IF(C23=0,0,A23&amp;" "&amp;COUNTIF($A$1:$A23,A23))</f>
        <v>C 1</v>
      </c>
      <c r="C23" s="1">
        <v>1</v>
      </c>
      <c r="D23" s="42" t="str">
        <f>Stats!B23</f>
        <v>C</v>
      </c>
      <c r="E23" s="2" t="str">
        <f>Stats!A23</f>
        <v>Mason Plumlee</v>
      </c>
      <c r="F23" s="2">
        <f>Stats!C23*Stats!I23</f>
        <v>31.53</v>
      </c>
      <c r="G23" s="35">
        <f>VLOOKUP('Fanduel Basketball Solver'!E23,Stats!$F$2:$H$337,3,FALSE)</f>
        <v>5900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1</v>
      </c>
      <c r="M23" s="2"/>
      <c r="N23" t="s">
        <v>28</v>
      </c>
      <c r="O23" s="2" t="str">
        <f>VLOOKUP(N23,B2:F107,4,FALSE)</f>
        <v>Anthony Davis</v>
      </c>
    </row>
    <row r="24" spans="1:15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42" t="str">
        <f>Stats!B24</f>
        <v>C</v>
      </c>
      <c r="E24" s="2" t="str">
        <f>Stats!A24</f>
        <v>DeAndre Jordan</v>
      </c>
      <c r="F24" s="2">
        <f>Stats!C24*Stats!I24</f>
        <v>0</v>
      </c>
      <c r="G24" s="35">
        <f>VLOOKUP('Fanduel Basketball Solver'!E24,Stats!$F$2:$H$337,3,FALSE)</f>
        <v>7600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/>
      <c r="N24" t="s">
        <v>29</v>
      </c>
      <c r="O24" s="2" t="str">
        <f>VLOOKUP(N24,B2:F108,4,FALSE)</f>
        <v>Frank Kaminsky</v>
      </c>
    </row>
    <row r="25" spans="1:15" x14ac:dyDescent="0.25">
      <c r="A25" t="str">
        <f t="shared" si="1"/>
        <v>PF</v>
      </c>
      <c r="B25" t="str">
        <f>IF(C25=0,0,A25&amp;" "&amp;COUNTIF($A$1:$A25,A25))</f>
        <v>PF 2</v>
      </c>
      <c r="C25" s="1">
        <v>1</v>
      </c>
      <c r="D25" s="42" t="str">
        <f>Stats!B25</f>
        <v>PF</v>
      </c>
      <c r="E25" s="2" t="str">
        <f>Stats!A25</f>
        <v>Frank Kaminsky</v>
      </c>
      <c r="F25" s="2">
        <f>Stats!C25*Stats!I25</f>
        <v>30.73</v>
      </c>
      <c r="G25" s="35">
        <f>VLOOKUP('Fanduel Basketball Solver'!E25,Stats!$F$2:$H$337,3,FALSE)</f>
        <v>6000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1</v>
      </c>
      <c r="L25">
        <f t="shared" si="2"/>
        <v>0</v>
      </c>
      <c r="M25" s="2"/>
      <c r="N25" t="s">
        <v>50</v>
      </c>
      <c r="O25" s="2" t="str">
        <f>VLOOKUP(N25,B3:F109,4,FALSE)</f>
        <v>Mason Plumlee</v>
      </c>
    </row>
    <row r="26" spans="1:15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42" t="str">
        <f>Stats!B26</f>
        <v>SG</v>
      </c>
      <c r="E26" s="2" t="str">
        <f>Stats!A26</f>
        <v>Klay Thompson</v>
      </c>
      <c r="F26" s="2">
        <f>Stats!C26*Stats!I26</f>
        <v>0</v>
      </c>
      <c r="G26" s="35">
        <f>VLOOKUP('Fanduel Basketball Solver'!E26,Stats!$F$2:$H$337,3,FALSE)</f>
        <v>7200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/>
    </row>
    <row r="27" spans="1:15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42" t="str">
        <f>Stats!B27</f>
        <v>SG</v>
      </c>
      <c r="E27" s="2" t="str">
        <f>Stats!A27</f>
        <v>Will Barton</v>
      </c>
      <c r="F27" s="2">
        <f>Stats!C27*Stats!I27</f>
        <v>29.95</v>
      </c>
      <c r="G27" s="35">
        <f>VLOOKUP('Fanduel Basketball Solver'!E27,Stats!$F$2:$H$337,3,FALSE)</f>
        <v>6400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/>
    </row>
    <row r="28" spans="1:15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42" t="str">
        <f>Stats!B28</f>
        <v>PG</v>
      </c>
      <c r="E28" s="2" t="str">
        <f>Stats!A28</f>
        <v>Derrick Rose</v>
      </c>
      <c r="F28" s="2">
        <f>Stats!C28*Stats!I28</f>
        <v>28.65</v>
      </c>
      <c r="G28" s="35">
        <f>VLOOKUP('Fanduel Basketball Solver'!E28,Stats!$F$2:$H$337,3,FALSE)</f>
        <v>6200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/>
    </row>
    <row r="29" spans="1:15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42" t="str">
        <f>Stats!B29</f>
        <v>C</v>
      </c>
      <c r="E29" s="2" t="str">
        <f>Stats!A29</f>
        <v>Tristan Thompson</v>
      </c>
      <c r="F29" s="2">
        <f>Stats!C29*Stats!I29</f>
        <v>28.42</v>
      </c>
      <c r="G29" s="35">
        <f>VLOOKUP('Fanduel Basketball Solver'!E29,Stats!$F$2:$H$337,3,FALSE)</f>
        <v>6300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/>
    </row>
    <row r="30" spans="1:15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42" t="str">
        <f>Stats!B30</f>
        <v>PF</v>
      </c>
      <c r="E30" s="2" t="str">
        <f>Stats!A30</f>
        <v>Terrence Jones</v>
      </c>
      <c r="F30" s="2">
        <f>Stats!C30*Stats!I30</f>
        <v>0</v>
      </c>
      <c r="G30" s="35">
        <f>VLOOKUP('Fanduel Basketball Solver'!E30,Stats!$F$2:$H$337,3,FALSE)</f>
        <v>5500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/>
    </row>
    <row r="31" spans="1:15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42" t="str">
        <f>Stats!B31</f>
        <v>PG</v>
      </c>
      <c r="E31" s="2" t="str">
        <f>Stats!A31</f>
        <v>Darren Collison</v>
      </c>
      <c r="F31" s="2">
        <f>Stats!C31*Stats!I31</f>
        <v>27.16</v>
      </c>
      <c r="G31" s="35">
        <f>VLOOKUP('Fanduel Basketball Solver'!E31,Stats!$F$2:$H$337,3,FALSE)</f>
        <v>5500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/>
    </row>
    <row r="32" spans="1:15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42" t="str">
        <f>Stats!B32</f>
        <v>SF</v>
      </c>
      <c r="E32" s="2" t="str">
        <f>Stats!A32</f>
        <v>Danilo Gallinari</v>
      </c>
      <c r="F32" s="2">
        <f>Stats!C32*Stats!I32</f>
        <v>26.97</v>
      </c>
      <c r="G32" s="35">
        <f>VLOOKUP('Fanduel Basketball Solver'!E32,Stats!$F$2:$H$337,3,FALSE)</f>
        <v>6900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/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42" t="str">
        <f>Stats!B33</f>
        <v>PF</v>
      </c>
      <c r="E33" s="2" t="str">
        <f>Stats!A33</f>
        <v>Marvin Williams</v>
      </c>
      <c r="F33" s="2">
        <f>Stats!C33*Stats!I33</f>
        <v>26.67</v>
      </c>
      <c r="G33" s="35">
        <f>VLOOKUP('Fanduel Basketball Solver'!E33,Stats!$F$2:$H$337,3,FALSE)</f>
        <v>5100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/>
    </row>
    <row r="34" spans="1:13" x14ac:dyDescent="0.25">
      <c r="A34" t="str">
        <f t="shared" si="1"/>
        <v>SF</v>
      </c>
      <c r="B34" t="str">
        <f>IF(C34=0,0,A34&amp;" "&amp;COUNTIF($A$1:$A34,A34))</f>
        <v>SF 2</v>
      </c>
      <c r="C34" s="1">
        <v>1</v>
      </c>
      <c r="D34" s="42" t="str">
        <f>Stats!B34</f>
        <v>SF</v>
      </c>
      <c r="E34" s="2" t="str">
        <f>Stats!A34</f>
        <v>Trevor Ariza</v>
      </c>
      <c r="F34" s="2">
        <f>Stats!C34*Stats!I34</f>
        <v>26.5</v>
      </c>
      <c r="G34" s="35">
        <f>VLOOKUP('Fanduel Basketball Solver'!E34,Stats!$F$2:$H$337,3,FALSE)</f>
        <v>5300</v>
      </c>
      <c r="H34">
        <f t="shared" si="2"/>
        <v>0</v>
      </c>
      <c r="I34">
        <f t="shared" si="2"/>
        <v>0</v>
      </c>
      <c r="J34">
        <f t="shared" si="2"/>
        <v>1</v>
      </c>
      <c r="K34">
        <f t="shared" si="2"/>
        <v>0</v>
      </c>
      <c r="L34">
        <f t="shared" si="2"/>
        <v>0</v>
      </c>
      <c r="M34" s="2"/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42" t="str">
        <f>Stats!B35</f>
        <v>PF</v>
      </c>
      <c r="E35" s="2" t="str">
        <f>Stats!A35</f>
        <v>Draymond Green</v>
      </c>
      <c r="F35" s="2">
        <f>Stats!C35*Stats!I35</f>
        <v>0</v>
      </c>
      <c r="G35" s="35">
        <f>VLOOKUP('Fanduel Basketball Solver'!E35,Stats!$F$2:$H$337,3,FALSE)</f>
        <v>7800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/>
    </row>
    <row r="36" spans="1:13" x14ac:dyDescent="0.25">
      <c r="A36" t="str">
        <f t="shared" si="1"/>
        <v>SG</v>
      </c>
      <c r="B36" t="str">
        <f>IF(C36=0,0,A36&amp;" "&amp;COUNTIF($A$1:$A36,A36))</f>
        <v>SG 1</v>
      </c>
      <c r="C36" s="1">
        <v>1</v>
      </c>
      <c r="D36" s="42" t="str">
        <f>Stats!B36</f>
        <v>SG</v>
      </c>
      <c r="E36" s="2" t="str">
        <f>Stats!A36</f>
        <v>Kentavious Caldwell-Pope</v>
      </c>
      <c r="F36" s="2">
        <f>Stats!C36*Stats!I36</f>
        <v>26.36</v>
      </c>
      <c r="G36" s="35">
        <f>VLOOKUP('Fanduel Basketball Solver'!E36,Stats!$F$2:$H$337,3,FALSE)</f>
        <v>4900</v>
      </c>
      <c r="H36">
        <f t="shared" si="2"/>
        <v>0</v>
      </c>
      <c r="I36">
        <f t="shared" si="2"/>
        <v>1</v>
      </c>
      <c r="J36">
        <f t="shared" si="2"/>
        <v>0</v>
      </c>
      <c r="K36">
        <f t="shared" si="2"/>
        <v>0</v>
      </c>
      <c r="L36">
        <f t="shared" si="2"/>
        <v>0</v>
      </c>
      <c r="M36" s="2"/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42" t="str">
        <f>Stats!B37</f>
        <v>SG</v>
      </c>
      <c r="E37" s="2" t="str">
        <f>Stats!A37</f>
        <v>Eric Gordon</v>
      </c>
      <c r="F37" s="2">
        <f>Stats!C37*Stats!I37</f>
        <v>26.31</v>
      </c>
      <c r="G37" s="35">
        <f>VLOOKUP('Fanduel Basketball Solver'!E37,Stats!$F$2:$H$337,3,FALSE)</f>
        <v>5400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/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42" t="str">
        <f>Stats!B38</f>
        <v>SF</v>
      </c>
      <c r="E38" s="2" t="str">
        <f>Stats!A38</f>
        <v>Marcus Morris</v>
      </c>
      <c r="F38" s="2">
        <f>Stats!C38*Stats!I38</f>
        <v>26.08</v>
      </c>
      <c r="G38" s="35">
        <f>VLOOKUP('Fanduel Basketball Solver'!E38,Stats!$F$2:$H$337,3,FALSE)</f>
        <v>5800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/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42" t="str">
        <f>Stats!B39</f>
        <v>PG</v>
      </c>
      <c r="E39" s="2" t="str">
        <f>Stats!A39</f>
        <v>Jameer Nelson</v>
      </c>
      <c r="F39" s="2">
        <f>Stats!C39*Stats!I39</f>
        <v>25.74</v>
      </c>
      <c r="G39" s="35">
        <f>VLOOKUP('Fanduel Basketball Solver'!E39,Stats!$F$2:$H$337,3,FALSE)</f>
        <v>5600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/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42" t="str">
        <f>Stats!B40</f>
        <v>SG</v>
      </c>
      <c r="E40" s="2" t="str">
        <f>Stats!A40</f>
        <v>Gary Harris</v>
      </c>
      <c r="F40" s="2">
        <f>Stats!C40*Stats!I40</f>
        <v>25.71</v>
      </c>
      <c r="G40" s="35">
        <f>VLOOKUP('Fanduel Basketball Solver'!E40,Stats!$F$2:$H$337,3,FALSE)</f>
        <v>5200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/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42" t="str">
        <f>Stats!B41</f>
        <v>SF</v>
      </c>
      <c r="E41" s="2" t="str">
        <f>Stats!A41</f>
        <v>Michael Kidd-Gilchrist</v>
      </c>
      <c r="F41" s="2">
        <f>Stats!C41*Stats!I41</f>
        <v>25.61</v>
      </c>
      <c r="G41" s="35">
        <f>VLOOKUP('Fanduel Basketball Solver'!E41,Stats!$F$2:$H$337,3,FALSE)</f>
        <v>5600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/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42" t="str">
        <f>Stats!B42</f>
        <v>SG</v>
      </c>
      <c r="E42" s="2" t="str">
        <f>Stats!A42</f>
        <v>Evan Fournier</v>
      </c>
      <c r="F42" s="2">
        <f>Stats!C42*Stats!I42</f>
        <v>25.54</v>
      </c>
      <c r="G42" s="35">
        <f>VLOOKUP('Fanduel Basketball Solver'!E42,Stats!$F$2:$H$337,3,FALSE)</f>
        <v>5400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/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42" t="str">
        <f>Stats!B43</f>
        <v>C</v>
      </c>
      <c r="E43" s="2" t="str">
        <f>Stats!A43</f>
        <v>Cody Zeller</v>
      </c>
      <c r="F43" s="2">
        <f>Stats!C43*Stats!I43</f>
        <v>25.36</v>
      </c>
      <c r="G43" s="35">
        <f>VLOOKUP('Fanduel Basketball Solver'!E43,Stats!$F$2:$H$337,3,FALSE)</f>
        <v>5200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/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42" t="str">
        <f>Stats!B44</f>
        <v>PF</v>
      </c>
      <c r="E44" s="2" t="str">
        <f>Stats!A44</f>
        <v>Al-Farouq Aminu</v>
      </c>
      <c r="F44" s="2">
        <f>Stats!C44*Stats!I44</f>
        <v>24.83</v>
      </c>
      <c r="G44" s="35">
        <f>VLOOKUP('Fanduel Basketball Solver'!E44,Stats!$F$2:$H$337,3,FALSE)</f>
        <v>5700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/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42" t="str">
        <f>Stats!B45</f>
        <v>PG</v>
      </c>
      <c r="E45" s="2" t="str">
        <f>Stats!A45</f>
        <v>Elfrid Payton</v>
      </c>
      <c r="F45" s="2">
        <f>Stats!C45*Stats!I45</f>
        <v>24.6</v>
      </c>
      <c r="G45" s="35">
        <f>VLOOKUP('Fanduel Basketball Solver'!E45,Stats!$F$2:$H$337,3,FALSE)</f>
        <v>5600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/>
    </row>
    <row r="46" spans="1:13" x14ac:dyDescent="0.25">
      <c r="A46" t="str">
        <f t="shared" si="1"/>
        <v>SG</v>
      </c>
      <c r="B46" t="str">
        <f>IF(C46=0,0,A46&amp;" "&amp;COUNTIF($A$1:$A46,A46))</f>
        <v>SG 2</v>
      </c>
      <c r="C46" s="1">
        <v>1</v>
      </c>
      <c r="D46" s="42" t="str">
        <f>Stats!B46</f>
        <v>SG</v>
      </c>
      <c r="E46" s="2" t="str">
        <f>Stats!A46</f>
        <v>Tyreke Evans</v>
      </c>
      <c r="F46" s="2">
        <f>Stats!C46*Stats!I46</f>
        <v>23.69</v>
      </c>
      <c r="G46" s="35">
        <f>VLOOKUP('Fanduel Basketball Solver'!E46,Stats!$F$2:$H$337,3,FALSE)</f>
        <v>4500</v>
      </c>
      <c r="H46">
        <f t="shared" si="2"/>
        <v>0</v>
      </c>
      <c r="I46">
        <f t="shared" si="3"/>
        <v>1</v>
      </c>
      <c r="J46">
        <f t="shared" si="3"/>
        <v>0</v>
      </c>
      <c r="K46">
        <f t="shared" si="3"/>
        <v>0</v>
      </c>
      <c r="L46">
        <f t="shared" si="3"/>
        <v>0</v>
      </c>
      <c r="M46" s="2"/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42" t="str">
        <f>Stats!B47</f>
        <v>PF</v>
      </c>
      <c r="E47" s="2" t="str">
        <f>Stats!A47</f>
        <v>Ryan Anderson</v>
      </c>
      <c r="F47" s="2">
        <f>Stats!C47*Stats!I47</f>
        <v>23.4</v>
      </c>
      <c r="G47" s="35">
        <f>VLOOKUP('Fanduel Basketball Solver'!E47,Stats!$F$2:$H$337,3,FALSE)</f>
        <v>4800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/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42" t="str">
        <f>Stats!B48</f>
        <v>SF</v>
      </c>
      <c r="E48" s="2" t="str">
        <f>Stats!A48</f>
        <v>Matt Barnes</v>
      </c>
      <c r="F48" s="2">
        <f>Stats!C48*Stats!I48</f>
        <v>22.98</v>
      </c>
      <c r="G48" s="35">
        <f>VLOOKUP('Fanduel Basketball Solver'!E48,Stats!$F$2:$H$337,3,FALSE)</f>
        <v>5200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/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42" t="str">
        <f>Stats!B49</f>
        <v>PF</v>
      </c>
      <c r="E49" s="2" t="str">
        <f>Stats!A49</f>
        <v>Jon Leuer</v>
      </c>
      <c r="F49" s="2">
        <f>Stats!C49*Stats!I49</f>
        <v>0</v>
      </c>
      <c r="G49" s="35">
        <f>VLOOKUP('Fanduel Basketball Solver'!E49,Stats!$F$2:$H$337,3,FALSE)</f>
        <v>4700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/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42" t="str">
        <f>Stats!B50</f>
        <v>PG</v>
      </c>
      <c r="E50" s="2" t="str">
        <f>Stats!A50</f>
        <v>Reggie Jackson</v>
      </c>
      <c r="F50" s="2">
        <f>Stats!C50*Stats!I50</f>
        <v>22.79</v>
      </c>
      <c r="G50" s="35">
        <f>VLOOKUP('Fanduel Basketball Solver'!E50,Stats!$F$2:$H$337,3,FALSE)</f>
        <v>5500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/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2"/>
      <c r="E51" s="2"/>
      <c r="F51" s="2"/>
      <c r="G51" s="35"/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/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2"/>
      <c r="E52" s="2"/>
      <c r="F52" s="2"/>
      <c r="G52" s="35"/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/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2"/>
      <c r="E53" s="2"/>
      <c r="F53" s="2"/>
      <c r="G53" s="35"/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/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2"/>
      <c r="E54" s="2"/>
      <c r="F54" s="2"/>
      <c r="G54" s="35"/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/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2"/>
      <c r="E55" s="2"/>
      <c r="F55" s="2"/>
      <c r="G55" s="35"/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/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2"/>
      <c r="E56" s="2"/>
      <c r="F56" s="2"/>
      <c r="G56" s="35"/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/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2"/>
      <c r="E57" s="2"/>
      <c r="F57" s="2"/>
      <c r="G57" s="35"/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/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2"/>
      <c r="E58" s="2"/>
      <c r="F58" s="2"/>
      <c r="G58" s="35"/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/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2"/>
      <c r="E59" s="2"/>
      <c r="F59" s="2"/>
      <c r="G59" s="35"/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/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2"/>
      <c r="E60" s="2"/>
      <c r="F60" s="2"/>
      <c r="G60" s="35"/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/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2"/>
      <c r="E61" s="2"/>
      <c r="F61" s="2"/>
      <c r="G61" s="35"/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/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2"/>
      <c r="E62" s="2"/>
      <c r="F62" s="2"/>
      <c r="G62" s="35"/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/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2"/>
      <c r="E63" s="2"/>
      <c r="F63" s="2"/>
      <c r="G63" s="35"/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/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2"/>
      <c r="E64" s="2"/>
      <c r="F64" s="2"/>
      <c r="G64" s="35"/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/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2"/>
      <c r="E65" s="2"/>
      <c r="F65" s="2"/>
      <c r="G65" s="35"/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/>
    </row>
    <row r="66" spans="1:13" x14ac:dyDescent="0.25">
      <c r="A66">
        <f t="shared" ref="A66:A101" si="5">IF(C66=1,D66,0)</f>
        <v>0</v>
      </c>
      <c r="B66">
        <f>IF(C66=0,0,A66&amp;" "&amp;COUNTIF($A$1:$A66,A66))</f>
        <v>0</v>
      </c>
      <c r="C66" s="1">
        <v>0</v>
      </c>
      <c r="D66" s="2"/>
      <c r="E66" s="2"/>
      <c r="F66" s="2"/>
      <c r="G66" s="35"/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/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2"/>
      <c r="E67" s="2"/>
      <c r="F67" s="2"/>
      <c r="G67" s="35"/>
      <c r="H67">
        <f t="shared" ref="H67:L101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/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2"/>
      <c r="E68" s="2"/>
      <c r="F68" s="2"/>
      <c r="G68" s="35"/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/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2"/>
      <c r="E69" s="2"/>
      <c r="F69" s="2"/>
      <c r="G69" s="35"/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/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2"/>
      <c r="E70" s="2"/>
      <c r="F70" s="2"/>
      <c r="G70" s="35"/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/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2"/>
      <c r="E71" s="2"/>
      <c r="F71" s="2"/>
      <c r="G71" s="35"/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/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2"/>
      <c r="E72" s="2"/>
      <c r="F72" s="2"/>
      <c r="G72" s="35"/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/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2"/>
      <c r="E73" s="2"/>
      <c r="F73" s="2"/>
      <c r="G73" s="35"/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/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2"/>
      <c r="E74" s="2"/>
      <c r="F74" s="2"/>
      <c r="G74" s="35"/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/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2"/>
      <c r="E75" s="2"/>
      <c r="F75" s="2"/>
      <c r="G75" s="35"/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/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2"/>
      <c r="E76" s="2"/>
      <c r="F76" s="2"/>
      <c r="G76" s="35"/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/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2"/>
      <c r="E77" s="2"/>
      <c r="F77" s="2"/>
      <c r="G77" s="35"/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/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2"/>
      <c r="E78" s="2"/>
      <c r="F78" s="2"/>
      <c r="G78" s="35"/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/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2"/>
      <c r="E79" s="2"/>
      <c r="F79" s="2"/>
      <c r="G79" s="35"/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/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2"/>
      <c r="E80" s="2"/>
      <c r="F80" s="2"/>
      <c r="G80" s="35"/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/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2"/>
      <c r="E81" s="2"/>
      <c r="F81" s="2"/>
      <c r="G81" s="35"/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/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2"/>
      <c r="E82" s="2"/>
      <c r="F82" s="2"/>
      <c r="G82" s="35"/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/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2"/>
      <c r="E83" s="2"/>
      <c r="F83" s="2"/>
      <c r="G83" s="35"/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/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2"/>
      <c r="E84" s="2"/>
      <c r="F84" s="2"/>
      <c r="G84" s="35"/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/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2"/>
      <c r="E85" s="2"/>
      <c r="F85" s="2"/>
      <c r="G85" s="35"/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/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2"/>
      <c r="E86" s="2"/>
      <c r="F86" s="2"/>
      <c r="G86" s="35"/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/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2"/>
      <c r="E87" s="2"/>
      <c r="F87" s="2"/>
      <c r="G87" s="35"/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/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2"/>
      <c r="E88" s="2"/>
      <c r="F88" s="2"/>
      <c r="G88" s="35"/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/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2"/>
      <c r="E89" s="2"/>
      <c r="F89" s="2"/>
      <c r="G89" s="35"/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/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2"/>
      <c r="E90" s="2"/>
      <c r="F90" s="2"/>
      <c r="G90" s="35"/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/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2"/>
      <c r="E91" s="2"/>
      <c r="F91" s="2"/>
      <c r="G91" s="35"/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/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2"/>
      <c r="E92" s="2"/>
      <c r="F92" s="2"/>
      <c r="G92" s="35"/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/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2"/>
      <c r="E93" s="2"/>
      <c r="F93" s="2"/>
      <c r="G93" s="35"/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/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2"/>
      <c r="E94" s="2"/>
      <c r="F94" s="2"/>
      <c r="G94" s="35"/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/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2"/>
      <c r="E95" s="2"/>
      <c r="F95" s="2"/>
      <c r="G95" s="35"/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/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2"/>
      <c r="E96" s="2"/>
      <c r="F96" s="2"/>
      <c r="G96" s="35"/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/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2"/>
      <c r="E97" s="2"/>
      <c r="F97" s="2"/>
      <c r="G97" s="35"/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/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2"/>
      <c r="E98" s="2"/>
      <c r="F98" s="2"/>
      <c r="G98" s="35"/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/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2"/>
      <c r="E99" s="2"/>
      <c r="F99" s="2"/>
      <c r="G99" s="35"/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/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2"/>
      <c r="E100" s="2"/>
      <c r="F100" s="2"/>
      <c r="G100" s="35"/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/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2"/>
      <c r="E101" s="2"/>
      <c r="F101" s="2"/>
      <c r="G101" s="35"/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/>
    </row>
    <row r="102" spans="1:13" x14ac:dyDescent="0.25">
      <c r="C102" s="1">
        <v>0</v>
      </c>
      <c r="E102" s="2"/>
      <c r="M102" s="2"/>
    </row>
    <row r="103" spans="1:13" x14ac:dyDescent="0.25">
      <c r="C103" s="1">
        <v>0</v>
      </c>
      <c r="E103" s="2"/>
      <c r="M103" s="2"/>
    </row>
    <row r="104" spans="1:13" x14ac:dyDescent="0.25">
      <c r="C104" s="1">
        <v>0</v>
      </c>
      <c r="E104" s="2"/>
      <c r="M104" s="2"/>
    </row>
    <row r="105" spans="1:13" x14ac:dyDescent="0.25">
      <c r="C105" s="1">
        <v>0</v>
      </c>
      <c r="E105" s="2"/>
      <c r="M105" s="2"/>
    </row>
    <row r="106" spans="1:13" x14ac:dyDescent="0.25">
      <c r="C106" s="1">
        <v>0</v>
      </c>
      <c r="E106" s="2"/>
      <c r="M106" s="2"/>
    </row>
    <row r="107" spans="1:13" x14ac:dyDescent="0.25">
      <c r="C107" s="1">
        <v>0</v>
      </c>
      <c r="E107" s="2"/>
      <c r="M107" s="2"/>
    </row>
    <row r="108" spans="1:13" x14ac:dyDescent="0.25">
      <c r="C108" s="1">
        <v>0</v>
      </c>
      <c r="E108" s="2"/>
      <c r="M108" s="2"/>
    </row>
    <row r="109" spans="1:13" x14ac:dyDescent="0.25">
      <c r="C109" s="1">
        <v>0</v>
      </c>
      <c r="E109" s="2"/>
      <c r="M109" s="2"/>
    </row>
    <row r="110" spans="1:13" x14ac:dyDescent="0.25">
      <c r="C110" s="1">
        <v>0</v>
      </c>
      <c r="E110" s="2"/>
      <c r="M110" s="2"/>
    </row>
    <row r="111" spans="1:13" x14ac:dyDescent="0.25">
      <c r="C111" s="1">
        <v>0</v>
      </c>
      <c r="E111" s="2"/>
      <c r="M111" s="2"/>
    </row>
    <row r="112" spans="1:13" x14ac:dyDescent="0.25">
      <c r="C112" s="1">
        <v>0</v>
      </c>
      <c r="E112" s="2"/>
      <c r="M112" s="2"/>
    </row>
    <row r="113" spans="3:13" x14ac:dyDescent="0.25">
      <c r="C113" s="1">
        <v>0</v>
      </c>
      <c r="E113" s="2"/>
      <c r="M113" s="2"/>
    </row>
    <row r="114" spans="3:13" x14ac:dyDescent="0.25">
      <c r="C114" s="1">
        <v>0</v>
      </c>
      <c r="E114" s="2"/>
      <c r="M114" s="2"/>
    </row>
    <row r="115" spans="3:13" x14ac:dyDescent="0.25">
      <c r="C115" s="1">
        <v>0</v>
      </c>
      <c r="E115" s="2"/>
      <c r="M115" s="2"/>
    </row>
    <row r="116" spans="3:13" x14ac:dyDescent="0.25">
      <c r="C116" s="1">
        <v>0</v>
      </c>
      <c r="E116" s="2"/>
      <c r="M116" s="2"/>
    </row>
    <row r="117" spans="3:13" x14ac:dyDescent="0.25">
      <c r="C117" s="1">
        <v>0</v>
      </c>
      <c r="E117" s="2"/>
      <c r="M117" s="2"/>
    </row>
    <row r="118" spans="3:13" x14ac:dyDescent="0.25">
      <c r="C118" s="1">
        <v>0</v>
      </c>
      <c r="E118" s="2"/>
      <c r="M118" s="2"/>
    </row>
    <row r="119" spans="3:13" x14ac:dyDescent="0.25">
      <c r="C119" s="1">
        <v>0</v>
      </c>
      <c r="E119" s="2"/>
      <c r="M119" s="2"/>
    </row>
    <row r="120" spans="3:13" x14ac:dyDescent="0.25">
      <c r="C120" s="1">
        <v>0</v>
      </c>
      <c r="E120" s="2"/>
      <c r="M120" s="2"/>
    </row>
    <row r="121" spans="3:13" x14ac:dyDescent="0.25">
      <c r="C121" s="1">
        <v>0</v>
      </c>
      <c r="E121" s="2"/>
      <c r="M121" s="2"/>
    </row>
    <row r="122" spans="3:13" x14ac:dyDescent="0.25">
      <c r="C122" s="1">
        <v>0</v>
      </c>
      <c r="E122" s="2"/>
      <c r="M122" s="2"/>
    </row>
    <row r="123" spans="3:13" x14ac:dyDescent="0.25">
      <c r="C123" s="1">
        <v>0</v>
      </c>
      <c r="E123" s="2"/>
      <c r="M123" s="2"/>
    </row>
    <row r="124" spans="3:13" x14ac:dyDescent="0.25">
      <c r="C124" s="1">
        <v>0</v>
      </c>
      <c r="E124" s="2"/>
      <c r="M124" s="2"/>
    </row>
    <row r="125" spans="3:13" x14ac:dyDescent="0.25">
      <c r="C125" s="1">
        <v>0</v>
      </c>
      <c r="E125" s="2"/>
      <c r="M125" s="2"/>
    </row>
    <row r="126" spans="3:13" x14ac:dyDescent="0.25">
      <c r="C126" s="1">
        <v>0</v>
      </c>
      <c r="E126" s="2"/>
      <c r="M126" s="2"/>
    </row>
    <row r="127" spans="3:13" x14ac:dyDescent="0.25">
      <c r="C127" s="1">
        <v>0</v>
      </c>
      <c r="E127" s="2"/>
      <c r="M127" s="2"/>
    </row>
    <row r="128" spans="3:13" x14ac:dyDescent="0.25">
      <c r="C128" s="1">
        <v>0</v>
      </c>
      <c r="E128" s="2"/>
      <c r="M128" s="2"/>
    </row>
    <row r="129" spans="3:13" x14ac:dyDescent="0.25">
      <c r="C129" s="1">
        <v>0</v>
      </c>
      <c r="E129" s="2"/>
      <c r="M129" s="2"/>
    </row>
    <row r="130" spans="3:13" x14ac:dyDescent="0.25">
      <c r="C130" s="1">
        <v>0</v>
      </c>
      <c r="E130" s="2"/>
      <c r="M130" s="2"/>
    </row>
    <row r="131" spans="3:13" x14ac:dyDescent="0.25">
      <c r="C131" s="1">
        <v>0</v>
      </c>
      <c r="E131" s="2"/>
      <c r="M131" s="2"/>
    </row>
    <row r="132" spans="3:13" x14ac:dyDescent="0.25">
      <c r="C132" s="1">
        <v>0</v>
      </c>
      <c r="E132" s="2"/>
      <c r="M132" s="2"/>
    </row>
    <row r="133" spans="3:13" x14ac:dyDescent="0.25">
      <c r="C133" s="1">
        <v>0</v>
      </c>
      <c r="E133" s="2"/>
      <c r="M133" s="2"/>
    </row>
    <row r="134" spans="3:13" x14ac:dyDescent="0.25">
      <c r="C134" s="1">
        <v>0</v>
      </c>
      <c r="E134" s="2"/>
      <c r="M134" s="2"/>
    </row>
    <row r="135" spans="3:13" x14ac:dyDescent="0.25">
      <c r="C135" s="1">
        <v>0</v>
      </c>
      <c r="E135" s="2"/>
      <c r="M135" s="2"/>
    </row>
    <row r="136" spans="3:13" x14ac:dyDescent="0.25">
      <c r="C136" s="1">
        <v>0</v>
      </c>
      <c r="E136" s="2"/>
      <c r="M136" s="2"/>
    </row>
    <row r="137" spans="3:13" x14ac:dyDescent="0.25">
      <c r="C137" s="1">
        <v>0</v>
      </c>
      <c r="E137" s="2"/>
      <c r="M137" s="2"/>
    </row>
    <row r="138" spans="3:13" x14ac:dyDescent="0.25">
      <c r="C138" s="1">
        <v>0</v>
      </c>
      <c r="E138" s="2"/>
      <c r="M138" s="2"/>
    </row>
    <row r="139" spans="3:13" x14ac:dyDescent="0.25">
      <c r="C139" s="1">
        <v>0</v>
      </c>
      <c r="E139" s="2"/>
      <c r="M139" s="2"/>
    </row>
    <row r="140" spans="3:13" x14ac:dyDescent="0.25">
      <c r="C140" s="1">
        <v>0</v>
      </c>
      <c r="E140" s="2"/>
      <c r="M140" s="2"/>
    </row>
    <row r="141" spans="3:13" x14ac:dyDescent="0.25">
      <c r="C141" s="1">
        <v>0</v>
      </c>
      <c r="E141" s="2"/>
      <c r="M141" s="2"/>
    </row>
    <row r="142" spans="3:13" x14ac:dyDescent="0.25">
      <c r="C142" s="1">
        <v>0</v>
      </c>
      <c r="E142" s="2"/>
      <c r="M142" s="2"/>
    </row>
    <row r="143" spans="3:13" x14ac:dyDescent="0.25">
      <c r="C143" s="1">
        <v>0</v>
      </c>
      <c r="E143" s="2"/>
      <c r="M143" s="2"/>
    </row>
    <row r="144" spans="3:13" x14ac:dyDescent="0.25">
      <c r="C144" s="1">
        <v>0</v>
      </c>
      <c r="E144" s="2"/>
      <c r="M144" s="2"/>
    </row>
    <row r="145" spans="3:13" x14ac:dyDescent="0.25">
      <c r="C145" s="1">
        <v>0</v>
      </c>
      <c r="E145" s="2"/>
      <c r="M145" s="2"/>
    </row>
    <row r="146" spans="3:13" x14ac:dyDescent="0.25">
      <c r="C146" s="1">
        <v>0</v>
      </c>
      <c r="E146" s="2"/>
      <c r="M146" s="2"/>
    </row>
    <row r="147" spans="3:13" x14ac:dyDescent="0.25">
      <c r="C147" s="1">
        <v>0</v>
      </c>
      <c r="E147" s="2"/>
      <c r="M147" s="2"/>
    </row>
    <row r="148" spans="3:13" x14ac:dyDescent="0.25">
      <c r="C148" s="1">
        <v>0</v>
      </c>
      <c r="E148" s="2"/>
      <c r="M148" s="2"/>
    </row>
    <row r="149" spans="3:13" x14ac:dyDescent="0.25">
      <c r="C149" s="1">
        <v>0</v>
      </c>
      <c r="E149" s="2"/>
      <c r="M149" s="2"/>
    </row>
    <row r="150" spans="3:13" x14ac:dyDescent="0.25">
      <c r="C150" s="1">
        <v>0</v>
      </c>
      <c r="E150" s="2"/>
      <c r="M150" s="2"/>
    </row>
    <row r="151" spans="3:13" x14ac:dyDescent="0.25">
      <c r="C151" s="1"/>
      <c r="E151" s="2"/>
    </row>
    <row r="152" spans="3:13" x14ac:dyDescent="0.25">
      <c r="C152" s="1"/>
      <c r="E152" s="2"/>
    </row>
    <row r="153" spans="3:13" x14ac:dyDescent="0.25">
      <c r="C153" s="1"/>
      <c r="E153" s="2"/>
    </row>
    <row r="154" spans="3:13" x14ac:dyDescent="0.25">
      <c r="C154" s="1"/>
      <c r="E154" s="2"/>
    </row>
    <row r="155" spans="3:13" x14ac:dyDescent="0.25">
      <c r="C155" s="1"/>
      <c r="E155" s="2"/>
    </row>
    <row r="156" spans="3:13" x14ac:dyDescent="0.25">
      <c r="C156" s="1"/>
      <c r="E156" s="2"/>
    </row>
    <row r="157" spans="3:13" x14ac:dyDescent="0.25">
      <c r="C157" s="1"/>
      <c r="E157" s="2"/>
    </row>
    <row r="158" spans="3:13" x14ac:dyDescent="0.25">
      <c r="C158" s="1"/>
      <c r="E158" s="2"/>
    </row>
    <row r="159" spans="3:13" x14ac:dyDescent="0.25">
      <c r="C159" s="1"/>
      <c r="E159" s="2"/>
    </row>
    <row r="160" spans="3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46"/>
  <sheetViews>
    <sheetView workbookViewId="0">
      <selection activeCell="L1" sqref="L1"/>
    </sheetView>
  </sheetViews>
  <sheetFormatPr defaultRowHeight="15" x14ac:dyDescent="0.25"/>
  <cols>
    <col min="1" max="1" width="22.7109375" style="2" bestFit="1" customWidth="1"/>
    <col min="2" max="16384" width="9.140625" style="2"/>
  </cols>
  <sheetData>
    <row r="1" spans="1:15" x14ac:dyDescent="0.25">
      <c r="A1" s="2" t="s">
        <v>73</v>
      </c>
      <c r="B1" s="2" t="s">
        <v>220</v>
      </c>
      <c r="C1" s="2" t="s">
        <v>2</v>
      </c>
      <c r="D1" s="2">
        <v>39.700000000000003</v>
      </c>
      <c r="E1" s="2">
        <v>30.2</v>
      </c>
      <c r="F1" s="2">
        <v>13</v>
      </c>
      <c r="G1" s="2">
        <v>2.4</v>
      </c>
      <c r="H1" s="2">
        <v>2.7</v>
      </c>
      <c r="I1" s="2">
        <v>1.4</v>
      </c>
      <c r="J1" s="2">
        <v>2.9</v>
      </c>
      <c r="K1" s="2">
        <v>35.83</v>
      </c>
      <c r="L1" s="2">
        <v>54.75</v>
      </c>
      <c r="M1" s="2">
        <v>73.67</v>
      </c>
      <c r="N1" s="42">
        <v>10600</v>
      </c>
      <c r="O1" s="2">
        <v>5.17</v>
      </c>
    </row>
    <row r="2" spans="1:15" x14ac:dyDescent="0.25">
      <c r="A2" s="2" t="s">
        <v>74</v>
      </c>
      <c r="B2" s="2" t="s">
        <v>221</v>
      </c>
      <c r="C2" s="2" t="s">
        <v>5</v>
      </c>
      <c r="D2" s="2">
        <v>36.700000000000003</v>
      </c>
      <c r="E2" s="2">
        <v>29.3</v>
      </c>
      <c r="F2" s="2">
        <v>8.3000000000000007</v>
      </c>
      <c r="G2" s="2">
        <v>11.3</v>
      </c>
      <c r="H2" s="2">
        <v>0.5</v>
      </c>
      <c r="I2" s="2">
        <v>1.5</v>
      </c>
      <c r="J2" s="2">
        <v>5.8</v>
      </c>
      <c r="K2" s="2">
        <v>33.880000000000003</v>
      </c>
      <c r="L2" s="2">
        <v>54.12</v>
      </c>
      <c r="M2" s="2">
        <v>74.36</v>
      </c>
      <c r="N2" s="42">
        <v>12600</v>
      </c>
      <c r="O2" s="2">
        <v>4.29</v>
      </c>
    </row>
    <row r="3" spans="1:15" x14ac:dyDescent="0.25">
      <c r="A3" s="2" t="s">
        <v>75</v>
      </c>
      <c r="B3" s="2" t="s">
        <v>222</v>
      </c>
      <c r="C3" s="2" t="s">
        <v>2</v>
      </c>
      <c r="D3" s="2">
        <v>36</v>
      </c>
      <c r="E3" s="2">
        <v>21.8</v>
      </c>
      <c r="F3" s="2">
        <v>12</v>
      </c>
      <c r="G3" s="2">
        <v>5.8</v>
      </c>
      <c r="H3" s="2">
        <v>1.1000000000000001</v>
      </c>
      <c r="I3" s="2">
        <v>1</v>
      </c>
      <c r="J3" s="2">
        <v>2.8</v>
      </c>
      <c r="K3" s="2">
        <v>25.86</v>
      </c>
      <c r="L3" s="2">
        <v>46.38</v>
      </c>
      <c r="M3" s="2">
        <v>66.900000000000006</v>
      </c>
      <c r="N3" s="42">
        <v>10900</v>
      </c>
      <c r="O3" s="2">
        <v>4.26</v>
      </c>
    </row>
    <row r="4" spans="1:15" x14ac:dyDescent="0.25">
      <c r="A4" s="2" t="s">
        <v>76</v>
      </c>
      <c r="B4" s="2" t="s">
        <v>51</v>
      </c>
      <c r="C4" s="2" t="s">
        <v>4</v>
      </c>
      <c r="D4" s="2">
        <v>31.7</v>
      </c>
      <c r="E4" s="2">
        <v>25.6</v>
      </c>
      <c r="F4" s="2">
        <v>9.8000000000000007</v>
      </c>
      <c r="G4" s="2">
        <v>4.5</v>
      </c>
      <c r="H4" s="2">
        <v>1.2</v>
      </c>
      <c r="I4" s="2">
        <v>1.3</v>
      </c>
      <c r="J4" s="2">
        <v>3.5</v>
      </c>
      <c r="K4" s="2">
        <v>30.25</v>
      </c>
      <c r="L4" s="2">
        <v>45.5</v>
      </c>
      <c r="M4" s="2">
        <v>60.74</v>
      </c>
      <c r="N4" s="42">
        <v>11000</v>
      </c>
      <c r="O4" s="2">
        <v>4.1399999999999997</v>
      </c>
    </row>
    <row r="5" spans="1:15" x14ac:dyDescent="0.25">
      <c r="A5" s="2" t="s">
        <v>77</v>
      </c>
      <c r="B5" s="2" t="s">
        <v>31</v>
      </c>
      <c r="C5" s="2" t="s">
        <v>3</v>
      </c>
      <c r="D5" s="2">
        <v>35.299999999999997</v>
      </c>
      <c r="E5" s="2">
        <v>24.3</v>
      </c>
      <c r="F5" s="2">
        <v>7.3</v>
      </c>
      <c r="G5" s="2">
        <v>8.3000000000000007</v>
      </c>
      <c r="H5" s="2">
        <v>0.5</v>
      </c>
      <c r="I5" s="2">
        <v>1.3</v>
      </c>
      <c r="J5" s="2">
        <v>4</v>
      </c>
      <c r="K5" s="2">
        <v>31.47</v>
      </c>
      <c r="L5" s="2">
        <v>45.2</v>
      </c>
      <c r="M5" s="2">
        <v>58.93</v>
      </c>
      <c r="N5" s="42">
        <v>11200</v>
      </c>
      <c r="O5" s="2">
        <v>4.04</v>
      </c>
    </row>
    <row r="6" spans="1:15" x14ac:dyDescent="0.25">
      <c r="A6" s="2" t="s">
        <v>78</v>
      </c>
      <c r="B6" s="2" t="s">
        <v>223</v>
      </c>
      <c r="C6" s="2" t="s">
        <v>1</v>
      </c>
      <c r="D6" s="2">
        <v>41</v>
      </c>
      <c r="E6" s="2">
        <v>26.9</v>
      </c>
      <c r="F6" s="2">
        <v>4.9000000000000004</v>
      </c>
      <c r="G6" s="2">
        <v>6.5</v>
      </c>
      <c r="H6" s="2">
        <v>0.3</v>
      </c>
      <c r="I6" s="2">
        <v>1.4</v>
      </c>
      <c r="J6" s="2">
        <v>2.7</v>
      </c>
      <c r="K6" s="2">
        <v>26.7</v>
      </c>
      <c r="L6" s="2">
        <v>43.24</v>
      </c>
      <c r="M6" s="2">
        <v>59.79</v>
      </c>
      <c r="N6" s="42">
        <v>7700</v>
      </c>
      <c r="O6" s="2">
        <v>5.62</v>
      </c>
    </row>
    <row r="7" spans="1:15" x14ac:dyDescent="0.25">
      <c r="A7" s="2" t="s">
        <v>79</v>
      </c>
      <c r="B7" s="2" t="s">
        <v>224</v>
      </c>
      <c r="C7" s="2" t="s">
        <v>1</v>
      </c>
      <c r="D7" s="2">
        <v>38.700000000000003</v>
      </c>
      <c r="E7" s="2">
        <v>27.7</v>
      </c>
      <c r="F7" s="2">
        <v>5.3</v>
      </c>
      <c r="G7" s="2">
        <v>6.2</v>
      </c>
      <c r="H7" s="2">
        <v>0.3</v>
      </c>
      <c r="I7" s="2">
        <v>0.8</v>
      </c>
      <c r="J7" s="2">
        <v>2.8</v>
      </c>
      <c r="K7" s="2">
        <v>26.95</v>
      </c>
      <c r="L7" s="2">
        <v>42.78</v>
      </c>
      <c r="M7" s="2">
        <v>58.62</v>
      </c>
      <c r="N7" s="42">
        <v>8300</v>
      </c>
      <c r="O7" s="2">
        <v>5.15</v>
      </c>
    </row>
    <row r="8" spans="1:15" x14ac:dyDescent="0.25">
      <c r="A8" s="2" t="s">
        <v>80</v>
      </c>
      <c r="B8" s="2" t="s">
        <v>225</v>
      </c>
      <c r="C8" s="2" t="s">
        <v>3</v>
      </c>
      <c r="D8" s="2">
        <v>30.7</v>
      </c>
      <c r="E8" s="2">
        <v>23.1</v>
      </c>
      <c r="F8" s="2">
        <v>7.4</v>
      </c>
      <c r="G8" s="2">
        <v>4.4000000000000004</v>
      </c>
      <c r="H8" s="2">
        <v>1.5</v>
      </c>
      <c r="I8" s="2">
        <v>1</v>
      </c>
      <c r="J8" s="2">
        <v>2.1</v>
      </c>
      <c r="K8" s="2">
        <v>28.45</v>
      </c>
      <c r="L8" s="2">
        <v>41.56</v>
      </c>
      <c r="M8" s="2">
        <v>54.67</v>
      </c>
      <c r="N8" s="42">
        <v>10300</v>
      </c>
      <c r="O8" s="2">
        <v>4.04</v>
      </c>
    </row>
    <row r="9" spans="1:15" x14ac:dyDescent="0.25">
      <c r="A9" s="2" t="s">
        <v>81</v>
      </c>
      <c r="B9" s="2" t="s">
        <v>226</v>
      </c>
      <c r="C9" s="2" t="s">
        <v>2</v>
      </c>
      <c r="D9" s="2">
        <v>32.700000000000003</v>
      </c>
      <c r="E9" s="2">
        <v>21.5</v>
      </c>
      <c r="F9" s="2">
        <v>8.6</v>
      </c>
      <c r="G9" s="2">
        <v>4.9000000000000004</v>
      </c>
      <c r="H9" s="2">
        <v>0.5</v>
      </c>
      <c r="I9" s="2">
        <v>1</v>
      </c>
      <c r="J9" s="2">
        <v>2.2999999999999998</v>
      </c>
      <c r="K9" s="2">
        <v>26.51</v>
      </c>
      <c r="L9" s="2">
        <v>39.979999999999997</v>
      </c>
      <c r="M9" s="2">
        <v>53.46</v>
      </c>
      <c r="N9" s="42">
        <v>9700</v>
      </c>
      <c r="O9" s="2">
        <v>4.12</v>
      </c>
    </row>
    <row r="10" spans="1:15" x14ac:dyDescent="0.25">
      <c r="A10" s="2" t="s">
        <v>82</v>
      </c>
      <c r="B10" s="2" t="s">
        <v>227</v>
      </c>
      <c r="C10" s="2" t="s">
        <v>3</v>
      </c>
      <c r="D10" s="2">
        <v>38</v>
      </c>
      <c r="E10" s="2">
        <v>26.1</v>
      </c>
      <c r="F10" s="2">
        <v>6.8</v>
      </c>
      <c r="G10" s="2">
        <v>3.3</v>
      </c>
      <c r="H10" s="2">
        <v>0.5</v>
      </c>
      <c r="I10" s="2">
        <v>1</v>
      </c>
      <c r="J10" s="2">
        <v>2.2999999999999998</v>
      </c>
      <c r="K10" s="2">
        <v>25.12</v>
      </c>
      <c r="L10" s="2">
        <v>39.770000000000003</v>
      </c>
      <c r="M10" s="2">
        <v>54.42</v>
      </c>
      <c r="N10" s="42">
        <v>8600</v>
      </c>
      <c r="O10" s="2">
        <v>4.62</v>
      </c>
    </row>
    <row r="11" spans="1:15" x14ac:dyDescent="0.25">
      <c r="A11" s="2" t="s">
        <v>83</v>
      </c>
      <c r="B11" s="2" t="s">
        <v>31</v>
      </c>
      <c r="C11" s="2" t="s">
        <v>2</v>
      </c>
      <c r="D11" s="2">
        <v>33.299999999999997</v>
      </c>
      <c r="E11" s="2">
        <v>20.9</v>
      </c>
      <c r="F11" s="2">
        <v>11.6</v>
      </c>
      <c r="G11" s="2">
        <v>2</v>
      </c>
      <c r="H11" s="2">
        <v>0.4</v>
      </c>
      <c r="I11" s="2">
        <v>1</v>
      </c>
      <c r="J11" s="2">
        <v>2.2000000000000002</v>
      </c>
      <c r="K11" s="2">
        <v>23.27</v>
      </c>
      <c r="L11" s="2">
        <v>38.270000000000003</v>
      </c>
      <c r="M11" s="2">
        <v>53.27</v>
      </c>
      <c r="N11" s="42">
        <v>8100</v>
      </c>
      <c r="O11" s="2">
        <v>4.72</v>
      </c>
    </row>
    <row r="12" spans="1:15" x14ac:dyDescent="0.25">
      <c r="A12" s="2" t="s">
        <v>84</v>
      </c>
      <c r="B12" s="2" t="s">
        <v>220</v>
      </c>
      <c r="C12" s="2" t="s">
        <v>1</v>
      </c>
      <c r="D12" s="2">
        <v>36.299999999999997</v>
      </c>
      <c r="E12" s="2">
        <v>18.3</v>
      </c>
      <c r="F12" s="2">
        <v>4.5</v>
      </c>
      <c r="G12" s="2">
        <v>8.4</v>
      </c>
      <c r="H12" s="2">
        <v>0.6</v>
      </c>
      <c r="I12" s="2">
        <v>1.8</v>
      </c>
      <c r="J12" s="2">
        <v>3.4</v>
      </c>
      <c r="K12" s="2">
        <v>21.39</v>
      </c>
      <c r="L12" s="2">
        <v>37.79</v>
      </c>
      <c r="M12" s="2">
        <v>54.19</v>
      </c>
      <c r="N12" s="42">
        <v>8100</v>
      </c>
      <c r="O12" s="2">
        <v>4.67</v>
      </c>
    </row>
    <row r="13" spans="1:15" x14ac:dyDescent="0.25">
      <c r="A13" s="2" t="s">
        <v>85</v>
      </c>
      <c r="B13" s="2" t="s">
        <v>31</v>
      </c>
      <c r="C13" s="2" t="s">
        <v>1</v>
      </c>
      <c r="D13" s="2">
        <v>35.299999999999997</v>
      </c>
      <c r="E13" s="2">
        <v>24.6</v>
      </c>
      <c r="F13" s="2">
        <v>3.2</v>
      </c>
      <c r="G13" s="2">
        <v>5.9</v>
      </c>
      <c r="H13" s="2">
        <v>0.2</v>
      </c>
      <c r="I13" s="2">
        <v>1.3</v>
      </c>
      <c r="J13" s="2">
        <v>2.7</v>
      </c>
      <c r="K13" s="2">
        <v>24.02</v>
      </c>
      <c r="L13" s="2">
        <v>37.53</v>
      </c>
      <c r="M13" s="2">
        <v>51.05</v>
      </c>
      <c r="N13" s="42">
        <v>9000</v>
      </c>
      <c r="O13" s="2">
        <v>4.17</v>
      </c>
    </row>
    <row r="14" spans="1:15" x14ac:dyDescent="0.25">
      <c r="A14" s="2" t="s">
        <v>86</v>
      </c>
      <c r="B14" s="2" t="s">
        <v>225</v>
      </c>
      <c r="C14" s="2" t="s">
        <v>1</v>
      </c>
      <c r="D14" s="2">
        <v>30.3</v>
      </c>
      <c r="E14" s="2">
        <v>22.4</v>
      </c>
      <c r="F14" s="2">
        <v>3.9</v>
      </c>
      <c r="G14" s="2">
        <v>5.8</v>
      </c>
      <c r="H14" s="2">
        <v>0.2</v>
      </c>
      <c r="I14" s="2">
        <v>1.5</v>
      </c>
      <c r="J14" s="2">
        <v>2.6</v>
      </c>
      <c r="K14" s="2">
        <v>21.53</v>
      </c>
      <c r="L14" s="2">
        <v>36.590000000000003</v>
      </c>
      <c r="M14" s="2">
        <v>51.65</v>
      </c>
      <c r="N14" s="42">
        <v>9100</v>
      </c>
      <c r="O14" s="2">
        <v>4.0199999999999996</v>
      </c>
    </row>
    <row r="15" spans="1:15" x14ac:dyDescent="0.25">
      <c r="A15" s="2" t="s">
        <v>87</v>
      </c>
      <c r="B15" s="2" t="s">
        <v>226</v>
      </c>
      <c r="C15" s="2" t="s">
        <v>1</v>
      </c>
      <c r="D15" s="2">
        <v>26</v>
      </c>
      <c r="E15" s="2">
        <v>14.7</v>
      </c>
      <c r="F15" s="2">
        <v>4.4000000000000004</v>
      </c>
      <c r="G15" s="2">
        <v>8.1999999999999993</v>
      </c>
      <c r="H15" s="2">
        <v>0.1</v>
      </c>
      <c r="I15" s="2">
        <v>1.9</v>
      </c>
      <c r="J15" s="2">
        <v>2</v>
      </c>
      <c r="K15" s="2">
        <v>23.06</v>
      </c>
      <c r="L15" s="2">
        <v>34.29</v>
      </c>
      <c r="M15" s="2">
        <v>45.52</v>
      </c>
      <c r="N15" s="42">
        <v>8800</v>
      </c>
      <c r="O15" s="2">
        <v>3.9</v>
      </c>
    </row>
    <row r="16" spans="1:15" x14ac:dyDescent="0.25">
      <c r="A16" s="2" t="s">
        <v>88</v>
      </c>
      <c r="B16" s="2" t="s">
        <v>224</v>
      </c>
      <c r="C16" s="2" t="s">
        <v>5</v>
      </c>
      <c r="D16" s="2">
        <v>34.299999999999997</v>
      </c>
      <c r="E16" s="2">
        <v>23.3</v>
      </c>
      <c r="F16" s="2">
        <v>3.7</v>
      </c>
      <c r="G16" s="2">
        <v>3.6</v>
      </c>
      <c r="H16" s="2">
        <v>0.6</v>
      </c>
      <c r="I16" s="2">
        <v>1</v>
      </c>
      <c r="J16" s="2">
        <v>2.2999999999999998</v>
      </c>
      <c r="K16" s="2">
        <v>10.6</v>
      </c>
      <c r="L16" s="2">
        <v>33.99</v>
      </c>
      <c r="M16" s="2">
        <v>57.37</v>
      </c>
      <c r="N16" s="42">
        <v>7600</v>
      </c>
      <c r="O16" s="2">
        <v>4.47</v>
      </c>
    </row>
    <row r="17" spans="1:15" x14ac:dyDescent="0.25">
      <c r="A17" s="2" t="s">
        <v>89</v>
      </c>
      <c r="B17" s="2" t="s">
        <v>227</v>
      </c>
      <c r="C17" s="2" t="s">
        <v>2</v>
      </c>
      <c r="D17" s="2">
        <v>34.299999999999997</v>
      </c>
      <c r="E17" s="2">
        <v>19</v>
      </c>
      <c r="F17" s="2">
        <v>7.4</v>
      </c>
      <c r="G17" s="2">
        <v>1.4</v>
      </c>
      <c r="H17" s="2">
        <v>2</v>
      </c>
      <c r="I17" s="2">
        <v>0.8</v>
      </c>
      <c r="J17" s="2">
        <v>1.9</v>
      </c>
      <c r="K17" s="2">
        <v>20.11</v>
      </c>
      <c r="L17" s="2">
        <v>33.659999999999997</v>
      </c>
      <c r="M17" s="2">
        <v>47.2</v>
      </c>
      <c r="N17" s="42">
        <v>6600</v>
      </c>
      <c r="O17" s="2">
        <v>5.0999999999999996</v>
      </c>
    </row>
    <row r="18" spans="1:15" x14ac:dyDescent="0.25">
      <c r="A18" s="2" t="s">
        <v>90</v>
      </c>
      <c r="B18" s="2" t="s">
        <v>223</v>
      </c>
      <c r="C18" s="2" t="s">
        <v>5</v>
      </c>
      <c r="D18" s="2">
        <v>35.299999999999997</v>
      </c>
      <c r="E18" s="2">
        <v>15.3</v>
      </c>
      <c r="F18" s="2">
        <v>7.2</v>
      </c>
      <c r="G18" s="2">
        <v>6.2</v>
      </c>
      <c r="H18" s="2">
        <v>0.4</v>
      </c>
      <c r="I18" s="2">
        <v>1.1000000000000001</v>
      </c>
      <c r="J18" s="2">
        <v>2.8</v>
      </c>
      <c r="K18" s="2">
        <v>18.77</v>
      </c>
      <c r="L18" s="2">
        <v>33.51</v>
      </c>
      <c r="M18" s="2">
        <v>48.24</v>
      </c>
      <c r="N18" s="42">
        <v>7200</v>
      </c>
      <c r="O18" s="2">
        <v>4.6500000000000004</v>
      </c>
    </row>
    <row r="19" spans="1:15" x14ac:dyDescent="0.25">
      <c r="A19" s="2" t="s">
        <v>91</v>
      </c>
      <c r="B19" s="2" t="s">
        <v>228</v>
      </c>
      <c r="C19" s="2" t="s">
        <v>4</v>
      </c>
      <c r="D19" s="2">
        <v>28.7</v>
      </c>
      <c r="E19" s="2">
        <v>14</v>
      </c>
      <c r="F19" s="2">
        <v>10.1</v>
      </c>
      <c r="G19" s="2">
        <v>2.8</v>
      </c>
      <c r="H19" s="2">
        <v>1</v>
      </c>
      <c r="I19" s="2">
        <v>1</v>
      </c>
      <c r="J19" s="2">
        <v>1.7</v>
      </c>
      <c r="K19" s="2">
        <v>21.7</v>
      </c>
      <c r="L19" s="2">
        <v>32.53</v>
      </c>
      <c r="M19" s="2">
        <v>43.37</v>
      </c>
      <c r="N19" s="42">
        <v>7200</v>
      </c>
      <c r="O19" s="2">
        <v>4.5199999999999996</v>
      </c>
    </row>
    <row r="20" spans="1:15" x14ac:dyDescent="0.25">
      <c r="A20" s="2" t="s">
        <v>92</v>
      </c>
      <c r="B20" s="2" t="s">
        <v>229</v>
      </c>
      <c r="C20" s="2" t="s">
        <v>4</v>
      </c>
      <c r="D20" s="2">
        <v>26.7</v>
      </c>
      <c r="E20" s="2">
        <v>12.8</v>
      </c>
      <c r="F20" s="2">
        <v>12.1</v>
      </c>
      <c r="G20" s="2">
        <v>0.9</v>
      </c>
      <c r="H20" s="2">
        <v>1.1000000000000001</v>
      </c>
      <c r="I20" s="2">
        <v>1.5</v>
      </c>
      <c r="J20" s="2">
        <v>1.8</v>
      </c>
      <c r="K20" s="2">
        <v>19.68</v>
      </c>
      <c r="L20" s="2">
        <v>32</v>
      </c>
      <c r="M20" s="2">
        <v>44.32</v>
      </c>
      <c r="N20" s="42">
        <v>8300</v>
      </c>
      <c r="O20" s="2">
        <v>3.86</v>
      </c>
    </row>
    <row r="21" spans="1:15" x14ac:dyDescent="0.25">
      <c r="A21" s="2" t="s">
        <v>93</v>
      </c>
      <c r="B21" s="2" t="s">
        <v>222</v>
      </c>
      <c r="C21" s="2" t="s">
        <v>3</v>
      </c>
      <c r="D21" s="2">
        <v>35.700000000000003</v>
      </c>
      <c r="E21" s="2">
        <v>18.100000000000001</v>
      </c>
      <c r="F21" s="2">
        <v>7.7</v>
      </c>
      <c r="G21" s="2">
        <v>2.4</v>
      </c>
      <c r="H21" s="2">
        <v>0.5</v>
      </c>
      <c r="I21" s="2">
        <v>1</v>
      </c>
      <c r="J21" s="2">
        <v>2</v>
      </c>
      <c r="K21" s="2">
        <v>15.87</v>
      </c>
      <c r="L21" s="2">
        <v>31.86</v>
      </c>
      <c r="M21" s="2">
        <v>47.86</v>
      </c>
      <c r="N21" s="42">
        <v>6600</v>
      </c>
      <c r="O21" s="2">
        <v>4.83</v>
      </c>
    </row>
    <row r="22" spans="1:15" x14ac:dyDescent="0.25">
      <c r="A22" s="2" t="s">
        <v>94</v>
      </c>
      <c r="B22" s="2" t="s">
        <v>224</v>
      </c>
      <c r="C22" s="2" t="s">
        <v>4</v>
      </c>
      <c r="D22" s="2">
        <v>30.3</v>
      </c>
      <c r="E22" s="2">
        <v>11.9</v>
      </c>
      <c r="F22" s="2">
        <v>8.6999999999999993</v>
      </c>
      <c r="G22" s="2">
        <v>4.3</v>
      </c>
      <c r="H22" s="2">
        <v>1.3</v>
      </c>
      <c r="I22" s="2">
        <v>1</v>
      </c>
      <c r="J22" s="2">
        <v>1.8</v>
      </c>
      <c r="K22" s="2">
        <v>17.690000000000001</v>
      </c>
      <c r="L22" s="2">
        <v>31.53</v>
      </c>
      <c r="M22" s="2">
        <v>45.36</v>
      </c>
      <c r="N22" s="42">
        <v>5900</v>
      </c>
      <c r="O22" s="2">
        <v>5.34</v>
      </c>
    </row>
    <row r="23" spans="1:15" x14ac:dyDescent="0.25">
      <c r="A23" s="2" t="s">
        <v>95</v>
      </c>
      <c r="B23" s="2" t="s">
        <v>226</v>
      </c>
      <c r="C23" s="2" t="s">
        <v>4</v>
      </c>
      <c r="D23" s="2">
        <v>29.3</v>
      </c>
      <c r="E23" s="2">
        <v>11.3</v>
      </c>
      <c r="F23" s="2">
        <v>12.9</v>
      </c>
      <c r="G23" s="2">
        <v>1.1000000000000001</v>
      </c>
      <c r="H23" s="2">
        <v>1.6</v>
      </c>
      <c r="I23" s="2">
        <v>0.5</v>
      </c>
      <c r="J23" s="2">
        <v>1.5</v>
      </c>
      <c r="K23" s="2">
        <v>16.55</v>
      </c>
      <c r="L23" s="2">
        <v>31.2</v>
      </c>
      <c r="M23" s="2">
        <v>45.85</v>
      </c>
      <c r="N23" s="42">
        <v>7600</v>
      </c>
      <c r="O23" s="2">
        <v>4.1100000000000003</v>
      </c>
    </row>
    <row r="24" spans="1:15" x14ac:dyDescent="0.25">
      <c r="A24" s="2" t="s">
        <v>96</v>
      </c>
      <c r="B24" s="2" t="s">
        <v>223</v>
      </c>
      <c r="C24" s="2" t="s">
        <v>2</v>
      </c>
      <c r="D24" s="2">
        <v>37</v>
      </c>
      <c r="E24" s="2">
        <v>16</v>
      </c>
      <c r="F24" s="2">
        <v>6.7</v>
      </c>
      <c r="G24" s="2">
        <v>3.1</v>
      </c>
      <c r="H24" s="2">
        <v>0.7</v>
      </c>
      <c r="I24" s="2">
        <v>1.1000000000000001</v>
      </c>
      <c r="J24" s="2">
        <v>1.5</v>
      </c>
      <c r="K24" s="2">
        <v>13.47</v>
      </c>
      <c r="L24" s="2">
        <v>30.73</v>
      </c>
      <c r="M24" s="2">
        <v>47.99</v>
      </c>
      <c r="N24" s="42">
        <v>6000</v>
      </c>
      <c r="O24" s="2">
        <v>5.12</v>
      </c>
    </row>
    <row r="25" spans="1:15" x14ac:dyDescent="0.25">
      <c r="A25" s="2" t="s">
        <v>97</v>
      </c>
      <c r="B25" s="2" t="s">
        <v>225</v>
      </c>
      <c r="C25" s="2" t="s">
        <v>5</v>
      </c>
      <c r="D25" s="2">
        <v>34</v>
      </c>
      <c r="E25" s="2">
        <v>22</v>
      </c>
      <c r="F25" s="2">
        <v>3.8</v>
      </c>
      <c r="G25" s="2">
        <v>2</v>
      </c>
      <c r="H25" s="2">
        <v>0.5</v>
      </c>
      <c r="I25" s="2">
        <v>0.8</v>
      </c>
      <c r="J25" s="2">
        <v>1.8</v>
      </c>
      <c r="K25" s="2">
        <v>15.44</v>
      </c>
      <c r="L25" s="2">
        <v>30.33</v>
      </c>
      <c r="M25" s="2">
        <v>45.22</v>
      </c>
      <c r="N25" s="42">
        <v>7200</v>
      </c>
      <c r="O25" s="2">
        <v>4.21</v>
      </c>
    </row>
    <row r="26" spans="1:15" x14ac:dyDescent="0.25">
      <c r="A26" s="2" t="s">
        <v>98</v>
      </c>
      <c r="B26" s="2" t="s">
        <v>222</v>
      </c>
      <c r="C26" s="2" t="s">
        <v>5</v>
      </c>
      <c r="D26" s="2">
        <v>34</v>
      </c>
      <c r="E26" s="2">
        <v>16.2</v>
      </c>
      <c r="F26" s="2">
        <v>5.5</v>
      </c>
      <c r="G26" s="2">
        <v>3.9</v>
      </c>
      <c r="H26" s="2">
        <v>0.6</v>
      </c>
      <c r="I26" s="2">
        <v>1</v>
      </c>
      <c r="J26" s="2">
        <v>1.9</v>
      </c>
      <c r="K26" s="2">
        <v>8.2200000000000006</v>
      </c>
      <c r="L26" s="2">
        <v>29.95</v>
      </c>
      <c r="M26" s="2">
        <v>51.67</v>
      </c>
      <c r="N26" s="42">
        <v>6400</v>
      </c>
      <c r="O26" s="2">
        <v>4.68</v>
      </c>
    </row>
    <row r="27" spans="1:15" x14ac:dyDescent="0.25">
      <c r="A27" s="2" t="s">
        <v>99</v>
      </c>
      <c r="B27" s="2" t="s">
        <v>227</v>
      </c>
      <c r="C27" s="2" t="s">
        <v>1</v>
      </c>
      <c r="D27" s="2">
        <v>32</v>
      </c>
      <c r="E27" s="2">
        <v>17.600000000000001</v>
      </c>
      <c r="F27" s="2">
        <v>3.9</v>
      </c>
      <c r="G27" s="2">
        <v>4.5</v>
      </c>
      <c r="H27" s="2">
        <v>0.4</v>
      </c>
      <c r="I27" s="2">
        <v>0.7</v>
      </c>
      <c r="J27" s="2">
        <v>2.5</v>
      </c>
      <c r="K27" s="2">
        <v>15.98</v>
      </c>
      <c r="L27" s="2">
        <v>28.65</v>
      </c>
      <c r="M27" s="2">
        <v>41.32</v>
      </c>
      <c r="N27" s="42">
        <v>6200</v>
      </c>
      <c r="O27" s="2">
        <v>4.62</v>
      </c>
    </row>
    <row r="28" spans="1:15" x14ac:dyDescent="0.25">
      <c r="A28" s="2" t="s">
        <v>100</v>
      </c>
      <c r="B28" s="2" t="s">
        <v>31</v>
      </c>
      <c r="C28" s="2" t="s">
        <v>4</v>
      </c>
      <c r="D28" s="2">
        <v>36</v>
      </c>
      <c r="E28" s="2">
        <v>9.8000000000000007</v>
      </c>
      <c r="F28" s="2">
        <v>11.6</v>
      </c>
      <c r="G28" s="2">
        <v>1</v>
      </c>
      <c r="H28" s="2">
        <v>1.4</v>
      </c>
      <c r="I28" s="2">
        <v>0.7</v>
      </c>
      <c r="J28" s="2">
        <v>0.9</v>
      </c>
      <c r="K28" s="2">
        <v>14.38</v>
      </c>
      <c r="L28" s="2">
        <v>28.42</v>
      </c>
      <c r="M28" s="2">
        <v>42.46</v>
      </c>
      <c r="N28" s="42">
        <v>6300</v>
      </c>
      <c r="O28" s="2">
        <v>4.51</v>
      </c>
    </row>
    <row r="29" spans="1:15" x14ac:dyDescent="0.25">
      <c r="A29" s="2" t="s">
        <v>101</v>
      </c>
      <c r="B29" s="2" t="s">
        <v>220</v>
      </c>
      <c r="C29" s="2" t="s">
        <v>2</v>
      </c>
      <c r="D29" s="2">
        <v>29.7</v>
      </c>
      <c r="E29" s="2">
        <v>13.7</v>
      </c>
      <c r="F29" s="2">
        <v>7.1</v>
      </c>
      <c r="G29" s="2">
        <v>1.4</v>
      </c>
      <c r="H29" s="2">
        <v>1.2</v>
      </c>
      <c r="I29" s="2">
        <v>0.9</v>
      </c>
      <c r="J29" s="2">
        <v>1.1000000000000001</v>
      </c>
      <c r="K29" s="2">
        <v>12.11</v>
      </c>
      <c r="L29" s="2">
        <v>27.51</v>
      </c>
      <c r="M29" s="2">
        <v>42.91</v>
      </c>
      <c r="N29" s="42">
        <v>5500</v>
      </c>
      <c r="O29" s="2">
        <v>5</v>
      </c>
    </row>
    <row r="30" spans="1:15" x14ac:dyDescent="0.25">
      <c r="A30" s="2" t="s">
        <v>102</v>
      </c>
      <c r="B30" s="2" t="s">
        <v>51</v>
      </c>
      <c r="C30" s="2" t="s">
        <v>1</v>
      </c>
      <c r="D30" s="2">
        <v>36.299999999999997</v>
      </c>
      <c r="E30" s="2">
        <v>16.100000000000001</v>
      </c>
      <c r="F30" s="2">
        <v>2.5</v>
      </c>
      <c r="G30" s="2">
        <v>4.9000000000000004</v>
      </c>
      <c r="H30" s="2">
        <v>0.1</v>
      </c>
      <c r="I30" s="2">
        <v>1.2</v>
      </c>
      <c r="J30" s="2">
        <v>2</v>
      </c>
      <c r="K30" s="2">
        <v>14.02</v>
      </c>
      <c r="L30" s="2">
        <v>27.16</v>
      </c>
      <c r="M30" s="2">
        <v>40.29</v>
      </c>
      <c r="N30" s="42">
        <v>5500</v>
      </c>
      <c r="O30" s="2">
        <v>4.9400000000000004</v>
      </c>
    </row>
    <row r="31" spans="1:15" x14ac:dyDescent="0.25">
      <c r="A31" s="2" t="s">
        <v>103</v>
      </c>
      <c r="B31" s="2" t="s">
        <v>222</v>
      </c>
      <c r="C31" s="2" t="s">
        <v>3</v>
      </c>
      <c r="D31" s="2">
        <v>34.299999999999997</v>
      </c>
      <c r="E31" s="2">
        <v>17.3</v>
      </c>
      <c r="F31" s="2">
        <v>5</v>
      </c>
      <c r="G31" s="2">
        <v>2.2000000000000002</v>
      </c>
      <c r="H31" s="2">
        <v>0.3</v>
      </c>
      <c r="I31" s="2">
        <v>0.6</v>
      </c>
      <c r="J31" s="2">
        <v>1.4</v>
      </c>
      <c r="K31" s="2">
        <v>14.15</v>
      </c>
      <c r="L31" s="2">
        <v>26.97</v>
      </c>
      <c r="M31" s="2">
        <v>39.79</v>
      </c>
      <c r="N31" s="42">
        <v>6900</v>
      </c>
      <c r="O31" s="2">
        <v>3.91</v>
      </c>
    </row>
    <row r="32" spans="1:15" x14ac:dyDescent="0.25">
      <c r="A32" s="2" t="s">
        <v>104</v>
      </c>
      <c r="B32" s="2" t="s">
        <v>223</v>
      </c>
      <c r="C32" s="2" t="s">
        <v>2</v>
      </c>
      <c r="D32" s="2">
        <v>35.700000000000003</v>
      </c>
      <c r="E32" s="2">
        <v>13.7</v>
      </c>
      <c r="F32" s="2">
        <v>7</v>
      </c>
      <c r="G32" s="2">
        <v>1.5</v>
      </c>
      <c r="H32" s="2">
        <v>0.7</v>
      </c>
      <c r="I32" s="2">
        <v>0.9</v>
      </c>
      <c r="J32" s="2">
        <v>0.9</v>
      </c>
      <c r="K32" s="2">
        <v>13.73</v>
      </c>
      <c r="L32" s="2">
        <v>26.67</v>
      </c>
      <c r="M32" s="2">
        <v>39.619999999999997</v>
      </c>
      <c r="N32" s="42">
        <v>5100</v>
      </c>
      <c r="O32" s="2">
        <v>5.23</v>
      </c>
    </row>
    <row r="33" spans="1:15" x14ac:dyDescent="0.25">
      <c r="A33" s="2" t="s">
        <v>105</v>
      </c>
      <c r="B33" s="2" t="s">
        <v>221</v>
      </c>
      <c r="C33" s="2" t="s">
        <v>3</v>
      </c>
      <c r="D33" s="2">
        <v>36.299999999999997</v>
      </c>
      <c r="E33" s="2">
        <v>12.3</v>
      </c>
      <c r="F33" s="2">
        <v>5.8</v>
      </c>
      <c r="G33" s="2">
        <v>2.4</v>
      </c>
      <c r="H33" s="2">
        <v>0.3</v>
      </c>
      <c r="I33" s="2">
        <v>2</v>
      </c>
      <c r="J33" s="2">
        <v>0.9</v>
      </c>
      <c r="K33" s="2">
        <v>12.28</v>
      </c>
      <c r="L33" s="2">
        <v>26.5</v>
      </c>
      <c r="M33" s="2">
        <v>40.729999999999997</v>
      </c>
      <c r="N33" s="42">
        <v>5300</v>
      </c>
      <c r="O33" s="2">
        <v>5</v>
      </c>
    </row>
    <row r="34" spans="1:15" x14ac:dyDescent="0.25">
      <c r="A34" s="2" t="s">
        <v>106</v>
      </c>
      <c r="B34" s="2" t="s">
        <v>225</v>
      </c>
      <c r="C34" s="2" t="s">
        <v>2</v>
      </c>
      <c r="D34" s="2">
        <v>24.3</v>
      </c>
      <c r="E34" s="2">
        <v>7.5</v>
      </c>
      <c r="F34" s="2">
        <v>6.1</v>
      </c>
      <c r="G34" s="2">
        <v>5.4</v>
      </c>
      <c r="H34" s="2">
        <v>1.1000000000000001</v>
      </c>
      <c r="I34" s="2">
        <v>1.5</v>
      </c>
      <c r="J34" s="2">
        <v>1.7</v>
      </c>
      <c r="K34" s="2">
        <v>13.57</v>
      </c>
      <c r="L34" s="2">
        <v>26.49</v>
      </c>
      <c r="M34" s="2">
        <v>39.409999999999997</v>
      </c>
      <c r="N34" s="42">
        <v>7800</v>
      </c>
      <c r="O34" s="2">
        <v>3.4</v>
      </c>
    </row>
    <row r="35" spans="1:15" x14ac:dyDescent="0.25">
      <c r="A35" s="2" t="s">
        <v>107</v>
      </c>
      <c r="B35" s="2" t="s">
        <v>229</v>
      </c>
      <c r="C35" s="2" t="s">
        <v>5</v>
      </c>
      <c r="D35" s="2">
        <v>37</v>
      </c>
      <c r="E35" s="2">
        <v>15.5</v>
      </c>
      <c r="F35" s="2">
        <v>3.7</v>
      </c>
      <c r="G35" s="2">
        <v>3.1</v>
      </c>
      <c r="H35" s="2">
        <v>0.2</v>
      </c>
      <c r="I35" s="2">
        <v>1.4</v>
      </c>
      <c r="J35" s="2">
        <v>1.4</v>
      </c>
      <c r="K35" s="2">
        <v>10.99</v>
      </c>
      <c r="L35" s="2">
        <v>26.36</v>
      </c>
      <c r="M35" s="2">
        <v>41.74</v>
      </c>
      <c r="N35" s="42">
        <v>4900</v>
      </c>
      <c r="O35" s="2">
        <v>5.38</v>
      </c>
    </row>
    <row r="36" spans="1:15" x14ac:dyDescent="0.25">
      <c r="A36" s="2" t="s">
        <v>108</v>
      </c>
      <c r="B36" s="2" t="s">
        <v>221</v>
      </c>
      <c r="C36" s="2" t="s">
        <v>5</v>
      </c>
      <c r="D36" s="2">
        <v>32</v>
      </c>
      <c r="E36" s="2">
        <v>18.100000000000001</v>
      </c>
      <c r="F36" s="2">
        <v>2.8</v>
      </c>
      <c r="G36" s="2">
        <v>2.9</v>
      </c>
      <c r="H36" s="2">
        <v>0.6</v>
      </c>
      <c r="I36" s="2">
        <v>0.6</v>
      </c>
      <c r="J36" s="2">
        <v>1.8</v>
      </c>
      <c r="K36" s="2">
        <v>14.55</v>
      </c>
      <c r="L36" s="2">
        <v>26.31</v>
      </c>
      <c r="M36" s="2">
        <v>38.07</v>
      </c>
      <c r="N36" s="42">
        <v>5400</v>
      </c>
      <c r="O36" s="2">
        <v>4.87</v>
      </c>
    </row>
    <row r="37" spans="1:15" x14ac:dyDescent="0.25">
      <c r="A37" s="2" t="s">
        <v>109</v>
      </c>
      <c r="B37" s="2" t="s">
        <v>229</v>
      </c>
      <c r="C37" s="2" t="s">
        <v>3</v>
      </c>
      <c r="D37" s="2">
        <v>36</v>
      </c>
      <c r="E37" s="2">
        <v>15.4</v>
      </c>
      <c r="F37" s="2">
        <v>5.0999999999999996</v>
      </c>
      <c r="G37" s="2">
        <v>2.2999999999999998</v>
      </c>
      <c r="H37" s="2">
        <v>0.3</v>
      </c>
      <c r="I37" s="2">
        <v>0.8</v>
      </c>
      <c r="J37" s="2">
        <v>1.2</v>
      </c>
      <c r="K37" s="2">
        <v>11.44</v>
      </c>
      <c r="L37" s="2">
        <v>26.08</v>
      </c>
      <c r="M37" s="2">
        <v>40.71</v>
      </c>
      <c r="N37" s="42">
        <v>5800</v>
      </c>
      <c r="O37" s="2">
        <v>4.5</v>
      </c>
    </row>
    <row r="38" spans="1:15" x14ac:dyDescent="0.25">
      <c r="A38" s="2" t="s">
        <v>110</v>
      </c>
      <c r="B38" s="2" t="s">
        <v>222</v>
      </c>
      <c r="C38" s="2" t="s">
        <v>1</v>
      </c>
      <c r="D38" s="2">
        <v>35.299999999999997</v>
      </c>
      <c r="E38" s="2">
        <v>12.3</v>
      </c>
      <c r="F38" s="2">
        <v>3.3</v>
      </c>
      <c r="G38" s="2">
        <v>6.7</v>
      </c>
      <c r="H38" s="2">
        <v>0.1</v>
      </c>
      <c r="I38" s="2">
        <v>0.9</v>
      </c>
      <c r="J38" s="2">
        <v>2.4</v>
      </c>
      <c r="K38" s="2">
        <v>11.33</v>
      </c>
      <c r="L38" s="2">
        <v>25.74</v>
      </c>
      <c r="M38" s="2">
        <v>40.159999999999997</v>
      </c>
      <c r="N38" s="42">
        <v>5600</v>
      </c>
      <c r="O38" s="2">
        <v>4.5999999999999996</v>
      </c>
    </row>
    <row r="39" spans="1:15" x14ac:dyDescent="0.25">
      <c r="A39" s="2" t="s">
        <v>111</v>
      </c>
      <c r="B39" s="2" t="s">
        <v>222</v>
      </c>
      <c r="C39" s="2" t="s">
        <v>5</v>
      </c>
      <c r="D39" s="2">
        <v>33</v>
      </c>
      <c r="E39" s="2">
        <v>15.5</v>
      </c>
      <c r="F39" s="2">
        <v>3.6</v>
      </c>
      <c r="G39" s="2">
        <v>2.9</v>
      </c>
      <c r="H39" s="2">
        <v>0.2</v>
      </c>
      <c r="I39" s="2">
        <v>1.3</v>
      </c>
      <c r="J39" s="2">
        <v>1.5</v>
      </c>
      <c r="K39" s="2">
        <v>11.56</v>
      </c>
      <c r="L39" s="2">
        <v>25.71</v>
      </c>
      <c r="M39" s="2">
        <v>39.869999999999997</v>
      </c>
      <c r="N39" s="42">
        <v>5200</v>
      </c>
      <c r="O39" s="2">
        <v>4.9400000000000004</v>
      </c>
    </row>
    <row r="40" spans="1:15" x14ac:dyDescent="0.25">
      <c r="A40" s="2" t="s">
        <v>112</v>
      </c>
      <c r="B40" s="2" t="s">
        <v>223</v>
      </c>
      <c r="C40" s="2" t="s">
        <v>3</v>
      </c>
      <c r="D40" s="2">
        <v>33</v>
      </c>
      <c r="E40" s="2">
        <v>10</v>
      </c>
      <c r="F40" s="2">
        <v>8.4</v>
      </c>
      <c r="G40" s="2">
        <v>1.5</v>
      </c>
      <c r="H40" s="2">
        <v>1.1000000000000001</v>
      </c>
      <c r="I40" s="2">
        <v>0.9</v>
      </c>
      <c r="J40" s="2">
        <v>0.8</v>
      </c>
      <c r="K40" s="2">
        <v>13.29</v>
      </c>
      <c r="L40" s="2">
        <v>25.61</v>
      </c>
      <c r="M40" s="2">
        <v>37.94</v>
      </c>
      <c r="N40" s="42">
        <v>5600</v>
      </c>
      <c r="O40" s="2">
        <v>4.57</v>
      </c>
    </row>
    <row r="41" spans="1:15" x14ac:dyDescent="0.25">
      <c r="A41" s="2" t="s">
        <v>113</v>
      </c>
      <c r="B41" s="2" t="s">
        <v>228</v>
      </c>
      <c r="C41" s="2" t="s">
        <v>5</v>
      </c>
      <c r="D41" s="2">
        <v>33</v>
      </c>
      <c r="E41" s="2">
        <v>16.7</v>
      </c>
      <c r="F41" s="2">
        <v>3.3</v>
      </c>
      <c r="G41" s="2">
        <v>3.4</v>
      </c>
      <c r="H41" s="2">
        <v>0.1</v>
      </c>
      <c r="I41" s="2">
        <v>1</v>
      </c>
      <c r="J41" s="2">
        <v>2.2999999999999998</v>
      </c>
      <c r="K41" s="2">
        <v>10.64</v>
      </c>
      <c r="L41" s="2">
        <v>25.54</v>
      </c>
      <c r="M41" s="2">
        <v>40.43</v>
      </c>
      <c r="N41" s="42">
        <v>5400</v>
      </c>
      <c r="O41" s="2">
        <v>4.7300000000000004</v>
      </c>
    </row>
    <row r="42" spans="1:15" x14ac:dyDescent="0.25">
      <c r="A42" s="2" t="s">
        <v>114</v>
      </c>
      <c r="B42" s="2" t="s">
        <v>223</v>
      </c>
      <c r="C42" s="2" t="s">
        <v>4</v>
      </c>
      <c r="D42" s="2">
        <v>29.3</v>
      </c>
      <c r="E42" s="2">
        <v>11.9</v>
      </c>
      <c r="F42" s="2">
        <v>7.1</v>
      </c>
      <c r="G42" s="2">
        <v>1.6</v>
      </c>
      <c r="H42" s="2">
        <v>1.2</v>
      </c>
      <c r="I42" s="2">
        <v>0.8</v>
      </c>
      <c r="J42" s="2">
        <v>1.4</v>
      </c>
      <c r="K42" s="2">
        <v>12.91</v>
      </c>
      <c r="L42" s="2">
        <v>25.36</v>
      </c>
      <c r="M42" s="2">
        <v>37.81</v>
      </c>
      <c r="N42" s="42">
        <v>5200</v>
      </c>
      <c r="O42" s="2">
        <v>4.88</v>
      </c>
    </row>
    <row r="43" spans="1:15" x14ac:dyDescent="0.25">
      <c r="A43" s="2" t="s">
        <v>115</v>
      </c>
      <c r="B43" s="2" t="s">
        <v>224</v>
      </c>
      <c r="C43" s="2" t="s">
        <v>2</v>
      </c>
      <c r="D43" s="2">
        <v>32.700000000000003</v>
      </c>
      <c r="E43" s="2">
        <v>9.4</v>
      </c>
      <c r="F43" s="2">
        <v>8.3000000000000007</v>
      </c>
      <c r="G43" s="2">
        <v>2.2999999999999998</v>
      </c>
      <c r="H43" s="2">
        <v>0.7</v>
      </c>
      <c r="I43" s="2">
        <v>1.1000000000000001</v>
      </c>
      <c r="J43" s="2">
        <v>1.7</v>
      </c>
      <c r="K43" s="2">
        <v>9.7899999999999991</v>
      </c>
      <c r="L43" s="2">
        <v>24.83</v>
      </c>
      <c r="M43" s="2">
        <v>39.869999999999997</v>
      </c>
      <c r="N43" s="42">
        <v>5700</v>
      </c>
      <c r="O43" s="2">
        <v>4.3600000000000003</v>
      </c>
    </row>
    <row r="44" spans="1:15" x14ac:dyDescent="0.25">
      <c r="A44" s="2" t="s">
        <v>116</v>
      </c>
      <c r="B44" s="2" t="s">
        <v>228</v>
      </c>
      <c r="C44" s="2" t="s">
        <v>1</v>
      </c>
      <c r="D44" s="2">
        <v>27</v>
      </c>
      <c r="E44" s="2">
        <v>11.6</v>
      </c>
      <c r="F44" s="2">
        <v>3.5</v>
      </c>
      <c r="G44" s="2">
        <v>5.2</v>
      </c>
      <c r="H44" s="2">
        <v>0.4</v>
      </c>
      <c r="I44" s="2">
        <v>1</v>
      </c>
      <c r="J44" s="2">
        <v>1.9</v>
      </c>
      <c r="K44" s="2">
        <v>13.51</v>
      </c>
      <c r="L44" s="2">
        <v>24.6</v>
      </c>
      <c r="M44" s="2">
        <v>35.700000000000003</v>
      </c>
      <c r="N44" s="42">
        <v>5600</v>
      </c>
      <c r="O44" s="2">
        <v>4.3899999999999997</v>
      </c>
    </row>
    <row r="45" spans="1:15" x14ac:dyDescent="0.25">
      <c r="A45" s="2" t="s">
        <v>117</v>
      </c>
      <c r="B45" s="2" t="s">
        <v>220</v>
      </c>
      <c r="C45" s="2" t="s">
        <v>5</v>
      </c>
      <c r="D45" s="2">
        <v>22.3</v>
      </c>
      <c r="E45" s="2">
        <v>11.7</v>
      </c>
      <c r="F45" s="2">
        <v>4.0999999999999996</v>
      </c>
      <c r="G45" s="2">
        <v>4.3</v>
      </c>
      <c r="H45" s="2">
        <v>0.2</v>
      </c>
      <c r="I45" s="2">
        <v>1.1000000000000001</v>
      </c>
      <c r="J45" s="2">
        <v>1.8</v>
      </c>
      <c r="K45" s="2">
        <v>14.44</v>
      </c>
      <c r="L45" s="2">
        <v>23.69</v>
      </c>
      <c r="M45" s="2">
        <v>32.93</v>
      </c>
      <c r="N45" s="42">
        <v>4500</v>
      </c>
      <c r="O45" s="2">
        <v>5.26</v>
      </c>
    </row>
    <row r="46" spans="1:15" x14ac:dyDescent="0.25">
      <c r="A46" s="2" t="s">
        <v>118</v>
      </c>
      <c r="B46" s="2" t="s">
        <v>221</v>
      </c>
      <c r="C46" s="2" t="s">
        <v>2</v>
      </c>
      <c r="D46" s="2">
        <v>33</v>
      </c>
      <c r="E46" s="2">
        <v>14.8</v>
      </c>
      <c r="F46" s="2">
        <v>5.4</v>
      </c>
      <c r="G46" s="2">
        <v>1</v>
      </c>
      <c r="H46" s="2">
        <v>0.2</v>
      </c>
      <c r="I46" s="2">
        <v>0.5</v>
      </c>
      <c r="J46" s="2">
        <v>1</v>
      </c>
      <c r="K46" s="2">
        <v>7.91</v>
      </c>
      <c r="L46" s="2">
        <v>23.4</v>
      </c>
      <c r="M46" s="2">
        <v>38.89</v>
      </c>
      <c r="N46" s="42">
        <v>4800</v>
      </c>
      <c r="O46" s="2">
        <v>4.87</v>
      </c>
    </row>
    <row r="47" spans="1:15" x14ac:dyDescent="0.25">
      <c r="A47" s="2" t="s">
        <v>119</v>
      </c>
      <c r="B47" s="2" t="s">
        <v>51</v>
      </c>
      <c r="C47" s="2" t="s">
        <v>3</v>
      </c>
      <c r="D47" s="2">
        <v>31</v>
      </c>
      <c r="E47" s="2">
        <v>9.4</v>
      </c>
      <c r="F47" s="2">
        <v>6.6</v>
      </c>
      <c r="G47" s="2">
        <v>3.4</v>
      </c>
      <c r="H47" s="2">
        <v>0.4</v>
      </c>
      <c r="I47" s="2">
        <v>0.8</v>
      </c>
      <c r="J47" s="2">
        <v>1.9</v>
      </c>
      <c r="K47" s="2">
        <v>8.84</v>
      </c>
      <c r="L47" s="2">
        <v>22.98</v>
      </c>
      <c r="M47" s="2">
        <v>37.119999999999997</v>
      </c>
      <c r="N47" s="42">
        <v>5200</v>
      </c>
      <c r="O47" s="2">
        <v>4.42</v>
      </c>
    </row>
    <row r="48" spans="1:15" x14ac:dyDescent="0.25">
      <c r="A48" s="2" t="s">
        <v>120</v>
      </c>
      <c r="B48" s="2" t="s">
        <v>229</v>
      </c>
      <c r="C48" s="2" t="s">
        <v>2</v>
      </c>
      <c r="D48" s="2">
        <v>29</v>
      </c>
      <c r="E48" s="2">
        <v>12</v>
      </c>
      <c r="F48" s="2">
        <v>6.1</v>
      </c>
      <c r="G48" s="2">
        <v>1.8</v>
      </c>
      <c r="H48" s="2">
        <v>0.4</v>
      </c>
      <c r="I48" s="2">
        <v>0.5</v>
      </c>
      <c r="J48" s="2">
        <v>1</v>
      </c>
      <c r="K48" s="2">
        <v>6.84</v>
      </c>
      <c r="L48" s="2">
        <v>22.84</v>
      </c>
      <c r="M48" s="2">
        <v>38.85</v>
      </c>
      <c r="N48" s="42">
        <v>4700</v>
      </c>
      <c r="O48" s="2">
        <v>4.8600000000000003</v>
      </c>
    </row>
    <row r="49" spans="1:15" x14ac:dyDescent="0.25">
      <c r="A49" s="2" t="s">
        <v>121</v>
      </c>
      <c r="B49" s="2" t="s">
        <v>229</v>
      </c>
      <c r="C49" s="2" t="s">
        <v>1</v>
      </c>
      <c r="D49" s="2">
        <v>25.3</v>
      </c>
      <c r="E49" s="2">
        <v>13.6</v>
      </c>
      <c r="F49" s="2">
        <v>2</v>
      </c>
      <c r="G49" s="2">
        <v>5</v>
      </c>
      <c r="H49" s="2">
        <v>0</v>
      </c>
      <c r="I49" s="2">
        <v>0.7</v>
      </c>
      <c r="J49" s="2">
        <v>2.1</v>
      </c>
      <c r="K49" s="2">
        <v>11.01</v>
      </c>
      <c r="L49" s="2">
        <v>22.79</v>
      </c>
      <c r="M49" s="2">
        <v>34.57</v>
      </c>
      <c r="N49" s="42">
        <v>5500</v>
      </c>
      <c r="O49" s="2">
        <v>4.1399999999999997</v>
      </c>
    </row>
    <row r="50" spans="1:15" x14ac:dyDescent="0.25">
      <c r="A50" s="2" t="s">
        <v>122</v>
      </c>
      <c r="B50" s="2" t="s">
        <v>226</v>
      </c>
      <c r="C50" s="2" t="s">
        <v>1</v>
      </c>
      <c r="D50" s="2">
        <v>32.299999999999997</v>
      </c>
      <c r="E50" s="2">
        <v>13.9</v>
      </c>
      <c r="F50" s="2">
        <v>2.4</v>
      </c>
      <c r="G50" s="2">
        <v>3.4</v>
      </c>
      <c r="H50" s="2">
        <v>0.2</v>
      </c>
      <c r="I50" s="2">
        <v>0.8</v>
      </c>
      <c r="J50" s="2">
        <v>1.8</v>
      </c>
      <c r="K50" s="2">
        <v>7.66</v>
      </c>
      <c r="L50" s="2">
        <v>22.26</v>
      </c>
      <c r="M50" s="2">
        <v>36.86</v>
      </c>
      <c r="N50" s="42">
        <v>5600</v>
      </c>
      <c r="O50" s="2">
        <v>3.98</v>
      </c>
    </row>
    <row r="51" spans="1:15" x14ac:dyDescent="0.25">
      <c r="A51" s="2" t="s">
        <v>123</v>
      </c>
      <c r="B51" s="2" t="s">
        <v>225</v>
      </c>
      <c r="C51" s="2" t="s">
        <v>4</v>
      </c>
      <c r="D51" s="2">
        <v>18</v>
      </c>
      <c r="E51" s="2">
        <v>11.6</v>
      </c>
      <c r="F51" s="2">
        <v>5.7</v>
      </c>
      <c r="G51" s="2">
        <v>0.4</v>
      </c>
      <c r="H51" s="2">
        <v>1.3</v>
      </c>
      <c r="I51" s="2">
        <v>0.4</v>
      </c>
      <c r="J51" s="2">
        <v>1.1000000000000001</v>
      </c>
      <c r="K51" s="2">
        <v>9.98</v>
      </c>
      <c r="L51" s="2">
        <v>21.43</v>
      </c>
      <c r="M51" s="2">
        <v>32.880000000000003</v>
      </c>
      <c r="N51" s="42">
        <v>3700</v>
      </c>
      <c r="O51" s="2">
        <v>5.79</v>
      </c>
    </row>
    <row r="52" spans="1:15" x14ac:dyDescent="0.25">
      <c r="A52" s="2" t="s">
        <v>124</v>
      </c>
      <c r="B52" s="2" t="s">
        <v>221</v>
      </c>
      <c r="C52" s="2" t="s">
        <v>4</v>
      </c>
      <c r="D52" s="2">
        <v>20</v>
      </c>
      <c r="E52" s="2">
        <v>10.3</v>
      </c>
      <c r="F52" s="2">
        <v>6.4</v>
      </c>
      <c r="G52" s="2">
        <v>0.8</v>
      </c>
      <c r="H52" s="2">
        <v>1.2</v>
      </c>
      <c r="I52" s="2">
        <v>0.4</v>
      </c>
      <c r="J52" s="2">
        <v>1.1000000000000001</v>
      </c>
      <c r="K52" s="2">
        <v>11.82</v>
      </c>
      <c r="L52" s="2">
        <v>21.24</v>
      </c>
      <c r="M52" s="2">
        <v>30.66</v>
      </c>
      <c r="N52" s="42">
        <v>5000</v>
      </c>
      <c r="O52" s="2">
        <v>4.25</v>
      </c>
    </row>
    <row r="53" spans="1:15" x14ac:dyDescent="0.25">
      <c r="A53" s="2" t="s">
        <v>125</v>
      </c>
      <c r="B53" s="2" t="s">
        <v>31</v>
      </c>
      <c r="C53" s="2" t="s">
        <v>2</v>
      </c>
      <c r="D53" s="2">
        <v>24.7</v>
      </c>
      <c r="E53" s="2">
        <v>12.3</v>
      </c>
      <c r="F53" s="2">
        <v>5</v>
      </c>
      <c r="G53" s="2">
        <v>0.9</v>
      </c>
      <c r="H53" s="2">
        <v>0.7</v>
      </c>
      <c r="I53" s="2">
        <v>0.5</v>
      </c>
      <c r="J53" s="2">
        <v>0.9</v>
      </c>
      <c r="K53" s="2">
        <v>9.99</v>
      </c>
      <c r="L53" s="2">
        <v>20.98</v>
      </c>
      <c r="M53" s="2">
        <v>31.97</v>
      </c>
      <c r="N53" s="42">
        <v>5400</v>
      </c>
      <c r="O53" s="2">
        <v>3.89</v>
      </c>
    </row>
    <row r="54" spans="1:15" x14ac:dyDescent="0.25">
      <c r="A54" s="2" t="s">
        <v>126</v>
      </c>
      <c r="B54" s="2" t="s">
        <v>227</v>
      </c>
      <c r="C54" s="2" t="s">
        <v>5</v>
      </c>
      <c r="D54" s="2">
        <v>35</v>
      </c>
      <c r="E54" s="2">
        <v>11.4</v>
      </c>
      <c r="F54" s="2">
        <v>3.6</v>
      </c>
      <c r="G54" s="2">
        <v>2.2999999999999998</v>
      </c>
      <c r="H54" s="2">
        <v>0.3</v>
      </c>
      <c r="I54" s="2">
        <v>1</v>
      </c>
      <c r="J54" s="2">
        <v>0.8</v>
      </c>
      <c r="K54" s="2">
        <v>8.06</v>
      </c>
      <c r="L54" s="2">
        <v>20.98</v>
      </c>
      <c r="M54" s="2">
        <v>33.89</v>
      </c>
      <c r="N54" s="42">
        <v>4500</v>
      </c>
      <c r="O54" s="2">
        <v>4.66</v>
      </c>
    </row>
    <row r="55" spans="1:15" x14ac:dyDescent="0.25">
      <c r="A55" s="2" t="s">
        <v>127</v>
      </c>
      <c r="B55" s="2" t="s">
        <v>228</v>
      </c>
      <c r="C55" s="2" t="s">
        <v>5</v>
      </c>
      <c r="D55" s="2">
        <v>29.3</v>
      </c>
      <c r="E55" s="2">
        <v>12</v>
      </c>
      <c r="F55" s="2">
        <v>3</v>
      </c>
      <c r="G55" s="2">
        <v>2.1</v>
      </c>
      <c r="H55" s="2">
        <v>0.1</v>
      </c>
      <c r="I55" s="2">
        <v>1.6</v>
      </c>
      <c r="J55" s="2">
        <v>1.4</v>
      </c>
      <c r="K55" s="2">
        <v>7.52</v>
      </c>
      <c r="L55" s="2">
        <v>20.85</v>
      </c>
      <c r="M55" s="2">
        <v>34.18</v>
      </c>
      <c r="N55" s="42">
        <v>3700</v>
      </c>
      <c r="O55" s="2">
        <v>5.63</v>
      </c>
    </row>
    <row r="56" spans="1:15" x14ac:dyDescent="0.25">
      <c r="A56" s="2" t="s">
        <v>128</v>
      </c>
      <c r="B56" s="2" t="s">
        <v>224</v>
      </c>
      <c r="C56" s="2" t="s">
        <v>3</v>
      </c>
      <c r="D56" s="2">
        <v>27</v>
      </c>
      <c r="E56" s="2">
        <v>10</v>
      </c>
      <c r="F56" s="2">
        <v>3.9</v>
      </c>
      <c r="G56" s="2">
        <v>3.5</v>
      </c>
      <c r="H56" s="2">
        <v>0.4</v>
      </c>
      <c r="I56" s="2">
        <v>0.9</v>
      </c>
      <c r="J56" s="2">
        <v>1.6</v>
      </c>
      <c r="K56" s="2">
        <v>10.199999999999999</v>
      </c>
      <c r="L56" s="2">
        <v>20.73</v>
      </c>
      <c r="M56" s="2">
        <v>31.26</v>
      </c>
      <c r="N56" s="42">
        <v>4700</v>
      </c>
      <c r="O56" s="2">
        <v>4.41</v>
      </c>
    </row>
    <row r="57" spans="1:15" x14ac:dyDescent="0.25">
      <c r="A57" s="2" t="s">
        <v>129</v>
      </c>
      <c r="B57" s="2" t="s">
        <v>227</v>
      </c>
      <c r="C57" s="2" t="s">
        <v>4</v>
      </c>
      <c r="D57" s="2">
        <v>18</v>
      </c>
      <c r="E57" s="2">
        <v>7.5</v>
      </c>
      <c r="F57" s="2">
        <v>6.6</v>
      </c>
      <c r="G57" s="2">
        <v>1.5</v>
      </c>
      <c r="H57" s="2">
        <v>1.6</v>
      </c>
      <c r="I57" s="2">
        <v>0.5</v>
      </c>
      <c r="J57" s="2">
        <v>1.1000000000000001</v>
      </c>
      <c r="K57" s="2">
        <v>7.27</v>
      </c>
      <c r="L57" s="2">
        <v>20.66</v>
      </c>
      <c r="M57" s="2">
        <v>34.049999999999997</v>
      </c>
      <c r="N57" s="42">
        <v>4300</v>
      </c>
      <c r="O57" s="2">
        <v>4.8</v>
      </c>
    </row>
    <row r="58" spans="1:15" x14ac:dyDescent="0.25">
      <c r="A58" s="2" t="s">
        <v>130</v>
      </c>
      <c r="B58" s="2" t="s">
        <v>229</v>
      </c>
      <c r="C58" s="2" t="s">
        <v>2</v>
      </c>
      <c r="D58" s="2">
        <v>25</v>
      </c>
      <c r="E58" s="2">
        <v>12.9</v>
      </c>
      <c r="F58" s="2">
        <v>4</v>
      </c>
      <c r="G58" s="2">
        <v>1.3</v>
      </c>
      <c r="H58" s="2">
        <v>0.4</v>
      </c>
      <c r="I58" s="2">
        <v>0.5</v>
      </c>
      <c r="J58" s="2">
        <v>1</v>
      </c>
      <c r="K58" s="2">
        <v>9.6</v>
      </c>
      <c r="L58" s="2">
        <v>20.399999999999999</v>
      </c>
      <c r="M58" s="2">
        <v>31.2</v>
      </c>
      <c r="N58" s="42">
        <v>5400</v>
      </c>
      <c r="O58" s="2">
        <v>3.78</v>
      </c>
    </row>
    <row r="59" spans="1:15" x14ac:dyDescent="0.25">
      <c r="A59" s="2" t="s">
        <v>131</v>
      </c>
      <c r="B59" s="2" t="s">
        <v>228</v>
      </c>
      <c r="C59" s="2" t="s">
        <v>3</v>
      </c>
      <c r="D59" s="2">
        <v>27</v>
      </c>
      <c r="E59" s="2">
        <v>10.9</v>
      </c>
      <c r="F59" s="2">
        <v>4.5</v>
      </c>
      <c r="G59" s="2">
        <v>1.9</v>
      </c>
      <c r="H59" s="2">
        <v>0.4</v>
      </c>
      <c r="I59" s="2">
        <v>0.7</v>
      </c>
      <c r="J59" s="2">
        <v>1.1000000000000001</v>
      </c>
      <c r="K59" s="2">
        <v>8.36</v>
      </c>
      <c r="L59" s="2">
        <v>20.350000000000001</v>
      </c>
      <c r="M59" s="2">
        <v>32.340000000000003</v>
      </c>
      <c r="N59" s="42">
        <v>4500</v>
      </c>
      <c r="O59" s="2">
        <v>4.5199999999999996</v>
      </c>
    </row>
    <row r="60" spans="1:15" x14ac:dyDescent="0.25">
      <c r="A60" s="2" t="s">
        <v>132</v>
      </c>
      <c r="B60" s="2" t="s">
        <v>221</v>
      </c>
      <c r="C60" s="2" t="s">
        <v>1</v>
      </c>
      <c r="D60" s="2">
        <v>23.3</v>
      </c>
      <c r="E60" s="2">
        <v>7.4</v>
      </c>
      <c r="F60" s="2">
        <v>4.3</v>
      </c>
      <c r="G60" s="2">
        <v>3.4</v>
      </c>
      <c r="H60" s="2">
        <v>0.3</v>
      </c>
      <c r="I60" s="2">
        <v>1.1000000000000001</v>
      </c>
      <c r="J60" s="2">
        <v>1.1000000000000001</v>
      </c>
      <c r="K60" s="2">
        <v>8.11</v>
      </c>
      <c r="L60" s="2">
        <v>19.38</v>
      </c>
      <c r="M60" s="2">
        <v>30.65</v>
      </c>
      <c r="N60" s="42">
        <v>5300</v>
      </c>
      <c r="O60" s="2">
        <v>3.66</v>
      </c>
    </row>
    <row r="61" spans="1:15" x14ac:dyDescent="0.25">
      <c r="A61" s="2" t="s">
        <v>133</v>
      </c>
      <c r="B61" s="2" t="s">
        <v>227</v>
      </c>
      <c r="C61" s="2" t="s">
        <v>1</v>
      </c>
      <c r="D61" s="2">
        <v>24.7</v>
      </c>
      <c r="E61" s="2">
        <v>8.6</v>
      </c>
      <c r="F61" s="2">
        <v>2.6</v>
      </c>
      <c r="G61" s="2">
        <v>4.9000000000000004</v>
      </c>
      <c r="H61" s="2">
        <v>0.1</v>
      </c>
      <c r="I61" s="2">
        <v>1</v>
      </c>
      <c r="J61" s="2">
        <v>1.8</v>
      </c>
      <c r="K61" s="2">
        <v>8.3699999999999992</v>
      </c>
      <c r="L61" s="2">
        <v>19.28</v>
      </c>
      <c r="M61" s="2">
        <v>30.2</v>
      </c>
      <c r="N61" s="42">
        <v>5000</v>
      </c>
      <c r="O61" s="2">
        <v>3.86</v>
      </c>
    </row>
    <row r="62" spans="1:15" x14ac:dyDescent="0.25">
      <c r="A62" s="2" t="s">
        <v>134</v>
      </c>
      <c r="B62" s="2" t="s">
        <v>224</v>
      </c>
      <c r="C62" s="2" t="s">
        <v>3</v>
      </c>
      <c r="D62" s="2">
        <v>26.7</v>
      </c>
      <c r="E62" s="2">
        <v>9.6999999999999993</v>
      </c>
      <c r="F62" s="2">
        <v>4.3</v>
      </c>
      <c r="G62" s="2">
        <v>0.9</v>
      </c>
      <c r="H62" s="2">
        <v>0.8</v>
      </c>
      <c r="I62" s="2">
        <v>1.1000000000000001</v>
      </c>
      <c r="J62" s="2">
        <v>1.1000000000000001</v>
      </c>
      <c r="K62" s="2">
        <v>7.61</v>
      </c>
      <c r="L62" s="2">
        <v>19.010000000000002</v>
      </c>
      <c r="M62" s="2">
        <v>30.41</v>
      </c>
      <c r="N62" s="42">
        <v>4600</v>
      </c>
      <c r="O62" s="2">
        <v>4.13</v>
      </c>
    </row>
    <row r="63" spans="1:15" x14ac:dyDescent="0.25">
      <c r="A63" s="2" t="s">
        <v>135</v>
      </c>
      <c r="B63" s="2" t="s">
        <v>229</v>
      </c>
      <c r="C63" s="2" t="s">
        <v>1</v>
      </c>
      <c r="D63" s="2">
        <v>22.7</v>
      </c>
      <c r="E63" s="2">
        <v>8.1</v>
      </c>
      <c r="F63" s="2">
        <v>2.6</v>
      </c>
      <c r="G63" s="2">
        <v>4.7</v>
      </c>
      <c r="H63" s="2">
        <v>0.4</v>
      </c>
      <c r="I63" s="2">
        <v>0.7</v>
      </c>
      <c r="J63" s="2">
        <v>1.4</v>
      </c>
      <c r="K63" s="2">
        <v>4.83</v>
      </c>
      <c r="L63" s="2">
        <v>18.940000000000001</v>
      </c>
      <c r="M63" s="2">
        <v>33.049999999999997</v>
      </c>
      <c r="N63" s="42">
        <v>4200</v>
      </c>
      <c r="O63" s="2">
        <v>4.51</v>
      </c>
    </row>
    <row r="64" spans="1:15" x14ac:dyDescent="0.25">
      <c r="A64" s="2" t="s">
        <v>136</v>
      </c>
      <c r="B64" s="2" t="s">
        <v>226</v>
      </c>
      <c r="C64" s="2" t="s">
        <v>1</v>
      </c>
      <c r="D64" s="2">
        <v>25.3</v>
      </c>
      <c r="E64" s="2">
        <v>8.6</v>
      </c>
      <c r="F64" s="2">
        <v>3.3</v>
      </c>
      <c r="G64" s="2">
        <v>3</v>
      </c>
      <c r="H64" s="2">
        <v>0.4</v>
      </c>
      <c r="I64" s="2">
        <v>0.9</v>
      </c>
      <c r="J64" s="2">
        <v>1.3</v>
      </c>
      <c r="K64" s="2">
        <v>8.59</v>
      </c>
      <c r="L64" s="2">
        <v>18.47</v>
      </c>
      <c r="M64" s="2">
        <v>28.35</v>
      </c>
      <c r="N64" s="42">
        <v>4500</v>
      </c>
      <c r="O64" s="2">
        <v>4.1100000000000003</v>
      </c>
    </row>
    <row r="65" spans="1:15" x14ac:dyDescent="0.25">
      <c r="A65" s="2" t="s">
        <v>137</v>
      </c>
      <c r="B65" s="2" t="s">
        <v>220</v>
      </c>
      <c r="C65" s="2" t="s">
        <v>3</v>
      </c>
      <c r="D65" s="2">
        <v>34</v>
      </c>
      <c r="E65" s="2">
        <v>8</v>
      </c>
      <c r="F65" s="2">
        <v>4.4000000000000004</v>
      </c>
      <c r="G65" s="2">
        <v>2.1</v>
      </c>
      <c r="H65" s="2">
        <v>0.5</v>
      </c>
      <c r="I65" s="2">
        <v>1.1000000000000001</v>
      </c>
      <c r="J65" s="2">
        <v>1.1000000000000001</v>
      </c>
      <c r="K65" s="2">
        <v>1.66</v>
      </c>
      <c r="L65" s="2">
        <v>18.440000000000001</v>
      </c>
      <c r="M65" s="2">
        <v>35.22</v>
      </c>
      <c r="N65" s="42">
        <v>4200</v>
      </c>
      <c r="O65" s="2">
        <v>4.3899999999999997</v>
      </c>
    </row>
    <row r="66" spans="1:15" x14ac:dyDescent="0.25">
      <c r="A66" s="2" t="s">
        <v>138</v>
      </c>
      <c r="B66" s="2" t="s">
        <v>51</v>
      </c>
      <c r="C66" s="2" t="s">
        <v>1</v>
      </c>
      <c r="D66" s="2">
        <v>21.3</v>
      </c>
      <c r="E66" s="2">
        <v>7.3</v>
      </c>
      <c r="F66" s="2">
        <v>1.8</v>
      </c>
      <c r="G66" s="2">
        <v>5.5</v>
      </c>
      <c r="H66" s="2">
        <v>0</v>
      </c>
      <c r="I66" s="2">
        <v>1.2</v>
      </c>
      <c r="J66" s="2">
        <v>1.8</v>
      </c>
      <c r="K66" s="2">
        <v>6.28</v>
      </c>
      <c r="L66" s="2">
        <v>18.350000000000001</v>
      </c>
      <c r="M66" s="2">
        <v>30.41</v>
      </c>
      <c r="N66" s="42">
        <v>3700</v>
      </c>
      <c r="O66" s="2">
        <v>4.96</v>
      </c>
    </row>
    <row r="67" spans="1:15" x14ac:dyDescent="0.25">
      <c r="A67" s="2" t="s">
        <v>139</v>
      </c>
      <c r="B67" s="2" t="s">
        <v>220</v>
      </c>
      <c r="C67" s="2" t="s">
        <v>3</v>
      </c>
      <c r="D67" s="2">
        <v>33.299999999999997</v>
      </c>
      <c r="E67" s="2">
        <v>8.1999999999999993</v>
      </c>
      <c r="F67" s="2">
        <v>5.5</v>
      </c>
      <c r="G67" s="2">
        <v>0.9</v>
      </c>
      <c r="H67" s="2">
        <v>0.7</v>
      </c>
      <c r="I67" s="2">
        <v>0.7</v>
      </c>
      <c r="J67" s="2">
        <v>0.6</v>
      </c>
      <c r="K67" s="2">
        <v>3.49</v>
      </c>
      <c r="L67" s="2">
        <v>18.34</v>
      </c>
      <c r="M67" s="2">
        <v>33.19</v>
      </c>
      <c r="N67" s="42">
        <v>3700</v>
      </c>
      <c r="O67" s="2">
        <v>4.96</v>
      </c>
    </row>
    <row r="68" spans="1:15" x14ac:dyDescent="0.25">
      <c r="A68" s="2" t="s">
        <v>140</v>
      </c>
      <c r="B68" s="2" t="s">
        <v>51</v>
      </c>
      <c r="C68" s="2" t="s">
        <v>1</v>
      </c>
      <c r="D68" s="2">
        <v>23</v>
      </c>
      <c r="E68" s="2">
        <v>8.4</v>
      </c>
      <c r="F68" s="2">
        <v>2.5</v>
      </c>
      <c r="G68" s="2">
        <v>4.2</v>
      </c>
      <c r="H68" s="2">
        <v>0.1</v>
      </c>
      <c r="I68" s="2">
        <v>1</v>
      </c>
      <c r="J68" s="2">
        <v>1.7</v>
      </c>
      <c r="K68" s="2">
        <v>7.75</v>
      </c>
      <c r="L68" s="2">
        <v>18.21</v>
      </c>
      <c r="M68" s="2">
        <v>28.66</v>
      </c>
      <c r="N68" s="42">
        <v>4600</v>
      </c>
      <c r="O68" s="2">
        <v>3.96</v>
      </c>
    </row>
    <row r="69" spans="1:15" x14ac:dyDescent="0.25">
      <c r="A69" s="2" t="s">
        <v>141</v>
      </c>
      <c r="B69" s="2" t="s">
        <v>226</v>
      </c>
      <c r="C69" s="2" t="s">
        <v>5</v>
      </c>
      <c r="D69" s="2">
        <v>25.3</v>
      </c>
      <c r="E69" s="2">
        <v>11.7</v>
      </c>
      <c r="F69" s="2">
        <v>1.6</v>
      </c>
      <c r="G69" s="2">
        <v>2.7</v>
      </c>
      <c r="H69" s="2">
        <v>0.2</v>
      </c>
      <c r="I69" s="2">
        <v>0.7</v>
      </c>
      <c r="J69" s="2">
        <v>1.7</v>
      </c>
      <c r="K69" s="2">
        <v>7.75</v>
      </c>
      <c r="L69" s="2">
        <v>17.82</v>
      </c>
      <c r="M69" s="2">
        <v>27.89</v>
      </c>
      <c r="N69" s="42">
        <v>4800</v>
      </c>
      <c r="O69" s="2">
        <v>3.71</v>
      </c>
    </row>
    <row r="70" spans="1:15" x14ac:dyDescent="0.25">
      <c r="A70" s="2" t="s">
        <v>142</v>
      </c>
      <c r="B70" s="2" t="s">
        <v>223</v>
      </c>
      <c r="C70" s="2" t="s">
        <v>3</v>
      </c>
      <c r="D70" s="2">
        <v>25.3</v>
      </c>
      <c r="E70" s="2">
        <v>11.1</v>
      </c>
      <c r="F70" s="2">
        <v>2.6</v>
      </c>
      <c r="G70" s="2">
        <v>1.9</v>
      </c>
      <c r="H70" s="2">
        <v>0.2</v>
      </c>
      <c r="I70" s="2">
        <v>0.7</v>
      </c>
      <c r="J70" s="2">
        <v>1</v>
      </c>
      <c r="K70" s="2">
        <v>6.15</v>
      </c>
      <c r="L70" s="2">
        <v>17.78</v>
      </c>
      <c r="M70" s="2">
        <v>29.41</v>
      </c>
      <c r="N70" s="42">
        <v>3700</v>
      </c>
      <c r="O70" s="2">
        <v>4.8099999999999996</v>
      </c>
    </row>
    <row r="71" spans="1:15" x14ac:dyDescent="0.25">
      <c r="A71" s="2" t="s">
        <v>143</v>
      </c>
      <c r="B71" s="2" t="s">
        <v>51</v>
      </c>
      <c r="C71" s="2" t="s">
        <v>5</v>
      </c>
      <c r="D71" s="2">
        <v>31.7</v>
      </c>
      <c r="E71" s="2">
        <v>11.6</v>
      </c>
      <c r="F71" s="2">
        <v>2.6</v>
      </c>
      <c r="G71" s="2">
        <v>1.5</v>
      </c>
      <c r="H71" s="2">
        <v>0.2</v>
      </c>
      <c r="I71" s="2">
        <v>0.9</v>
      </c>
      <c r="J71" s="2">
        <v>1.5</v>
      </c>
      <c r="K71" s="2">
        <v>5.85</v>
      </c>
      <c r="L71" s="2">
        <v>17.77</v>
      </c>
      <c r="M71" s="2">
        <v>29.69</v>
      </c>
      <c r="N71" s="42">
        <v>4000</v>
      </c>
      <c r="O71" s="2">
        <v>4.4400000000000004</v>
      </c>
    </row>
    <row r="72" spans="1:15" x14ac:dyDescent="0.25">
      <c r="A72" s="2" t="s">
        <v>144</v>
      </c>
      <c r="B72" s="2" t="s">
        <v>226</v>
      </c>
      <c r="C72" s="2" t="s">
        <v>5</v>
      </c>
      <c r="D72" s="2">
        <v>24.7</v>
      </c>
      <c r="E72" s="2">
        <v>13.2</v>
      </c>
      <c r="F72" s="2">
        <v>1.9</v>
      </c>
      <c r="G72" s="2">
        <v>1.2</v>
      </c>
      <c r="H72" s="2">
        <v>0.1</v>
      </c>
      <c r="I72" s="2">
        <v>0.6</v>
      </c>
      <c r="J72" s="2">
        <v>1.1000000000000001</v>
      </c>
      <c r="K72" s="2">
        <v>6.09</v>
      </c>
      <c r="L72" s="2">
        <v>17.59</v>
      </c>
      <c r="M72" s="2">
        <v>29.1</v>
      </c>
      <c r="N72" s="42">
        <v>4500</v>
      </c>
      <c r="O72" s="2">
        <v>3.91</v>
      </c>
    </row>
    <row r="73" spans="1:15" x14ac:dyDescent="0.25">
      <c r="A73" s="2" t="s">
        <v>145</v>
      </c>
      <c r="B73" s="2" t="s">
        <v>221</v>
      </c>
      <c r="C73" s="2" t="s">
        <v>3</v>
      </c>
      <c r="D73" s="2">
        <v>23</v>
      </c>
      <c r="E73" s="2">
        <v>8.6999999999999993</v>
      </c>
      <c r="F73" s="2">
        <v>4.5</v>
      </c>
      <c r="G73" s="2">
        <v>1.3</v>
      </c>
      <c r="H73" s="2">
        <v>0.4</v>
      </c>
      <c r="I73" s="2">
        <v>0.7</v>
      </c>
      <c r="J73" s="2">
        <v>0.7</v>
      </c>
      <c r="K73" s="2">
        <v>8.0299999999999994</v>
      </c>
      <c r="L73" s="2">
        <v>17.309999999999999</v>
      </c>
      <c r="M73" s="2">
        <v>26.59</v>
      </c>
      <c r="N73" s="42">
        <v>3500</v>
      </c>
      <c r="O73" s="2">
        <v>4.95</v>
      </c>
    </row>
    <row r="74" spans="1:15" x14ac:dyDescent="0.25">
      <c r="A74" s="2" t="s">
        <v>146</v>
      </c>
      <c r="B74" s="2" t="s">
        <v>230</v>
      </c>
      <c r="C74" s="2" t="s">
        <v>2</v>
      </c>
      <c r="D74" s="2">
        <v>23.7</v>
      </c>
      <c r="E74" s="2">
        <v>9.3000000000000007</v>
      </c>
      <c r="F74" s="2">
        <v>4.5999999999999996</v>
      </c>
      <c r="G74" s="2">
        <v>0.9</v>
      </c>
      <c r="H74" s="2">
        <v>0.3</v>
      </c>
      <c r="I74" s="2">
        <v>0.6</v>
      </c>
      <c r="J74" s="2">
        <v>0.9</v>
      </c>
      <c r="K74" s="2">
        <v>5.63</v>
      </c>
      <c r="L74" s="2">
        <v>16.989999999999998</v>
      </c>
      <c r="M74" s="2">
        <v>28.35</v>
      </c>
      <c r="N74" s="42">
        <v>4100</v>
      </c>
      <c r="O74" s="2">
        <v>4.1399999999999997</v>
      </c>
    </row>
    <row r="75" spans="1:15" x14ac:dyDescent="0.25">
      <c r="A75" s="2" t="s">
        <v>147</v>
      </c>
      <c r="B75" s="2" t="s">
        <v>222</v>
      </c>
      <c r="C75" s="2" t="s">
        <v>2</v>
      </c>
      <c r="D75" s="2">
        <v>16.3</v>
      </c>
      <c r="E75" s="2">
        <v>7.2</v>
      </c>
      <c r="F75" s="2">
        <v>5.8</v>
      </c>
      <c r="G75" s="2">
        <v>0.7</v>
      </c>
      <c r="H75" s="2">
        <v>0.5</v>
      </c>
      <c r="I75" s="2">
        <v>0.5</v>
      </c>
      <c r="J75" s="2">
        <v>0.7</v>
      </c>
      <c r="K75" s="2">
        <v>9.0500000000000007</v>
      </c>
      <c r="L75" s="2">
        <v>16.690000000000001</v>
      </c>
      <c r="M75" s="2">
        <v>24.34</v>
      </c>
      <c r="N75" s="42">
        <v>6100</v>
      </c>
      <c r="O75" s="2">
        <v>2.74</v>
      </c>
    </row>
    <row r="76" spans="1:15" x14ac:dyDescent="0.25">
      <c r="A76" s="2" t="s">
        <v>148</v>
      </c>
      <c r="B76" s="2" t="s">
        <v>222</v>
      </c>
      <c r="C76" s="2" t="s">
        <v>1</v>
      </c>
      <c r="D76" s="2">
        <v>21.3</v>
      </c>
      <c r="E76" s="2">
        <v>8.9</v>
      </c>
      <c r="F76" s="2">
        <v>2.7</v>
      </c>
      <c r="G76" s="2">
        <v>3.2</v>
      </c>
      <c r="H76" s="2">
        <v>0.2</v>
      </c>
      <c r="I76" s="2">
        <v>0.6</v>
      </c>
      <c r="J76" s="2">
        <v>1.9</v>
      </c>
      <c r="K76" s="2">
        <v>8.81</v>
      </c>
      <c r="L76" s="2">
        <v>16.690000000000001</v>
      </c>
      <c r="M76" s="2">
        <v>24.56</v>
      </c>
      <c r="N76" s="42">
        <v>4900</v>
      </c>
      <c r="O76" s="2">
        <v>3.41</v>
      </c>
    </row>
    <row r="77" spans="1:15" x14ac:dyDescent="0.25">
      <c r="A77" s="2" t="s">
        <v>149</v>
      </c>
      <c r="B77" s="2" t="s">
        <v>224</v>
      </c>
      <c r="C77" s="2" t="s">
        <v>5</v>
      </c>
      <c r="D77" s="2">
        <v>29</v>
      </c>
      <c r="E77" s="2">
        <v>10.6</v>
      </c>
      <c r="F77" s="2">
        <v>2.8</v>
      </c>
      <c r="G77" s="2">
        <v>1.3</v>
      </c>
      <c r="H77" s="2">
        <v>0.2</v>
      </c>
      <c r="I77" s="2">
        <v>0.6</v>
      </c>
      <c r="J77" s="2">
        <v>0.9</v>
      </c>
      <c r="K77" s="2">
        <v>-0.39</v>
      </c>
      <c r="L77" s="2">
        <v>16.53</v>
      </c>
      <c r="M77" s="2">
        <v>33.450000000000003</v>
      </c>
      <c r="N77" s="42">
        <v>3500</v>
      </c>
      <c r="O77" s="2">
        <v>4.72</v>
      </c>
    </row>
    <row r="78" spans="1:15" x14ac:dyDescent="0.25">
      <c r="A78" s="2" t="s">
        <v>150</v>
      </c>
      <c r="B78" s="2" t="s">
        <v>222</v>
      </c>
      <c r="C78" s="2" t="s">
        <v>2</v>
      </c>
      <c r="D78" s="2">
        <v>20.7</v>
      </c>
      <c r="E78" s="2">
        <v>9.1999999999999993</v>
      </c>
      <c r="F78" s="2">
        <v>3.6</v>
      </c>
      <c r="G78" s="2">
        <v>1.4</v>
      </c>
      <c r="H78" s="2">
        <v>0.7</v>
      </c>
      <c r="I78" s="2">
        <v>0.3</v>
      </c>
      <c r="J78" s="2">
        <v>1.3</v>
      </c>
      <c r="K78" s="2">
        <v>6.79</v>
      </c>
      <c r="L78" s="2">
        <v>16.399999999999999</v>
      </c>
      <c r="M78" s="2">
        <v>26.01</v>
      </c>
      <c r="N78" s="42">
        <v>4100</v>
      </c>
      <c r="O78" s="2">
        <v>4</v>
      </c>
    </row>
    <row r="79" spans="1:15" x14ac:dyDescent="0.25">
      <c r="A79" s="2" t="s">
        <v>151</v>
      </c>
      <c r="B79" s="2" t="s">
        <v>231</v>
      </c>
      <c r="C79" s="2" t="s">
        <v>5</v>
      </c>
      <c r="D79" s="2">
        <v>26.3</v>
      </c>
      <c r="E79" s="2">
        <v>9</v>
      </c>
      <c r="F79" s="2">
        <v>2.7</v>
      </c>
      <c r="G79" s="2">
        <v>2.2000000000000002</v>
      </c>
      <c r="H79" s="2">
        <v>0.4</v>
      </c>
      <c r="I79" s="2">
        <v>0.6</v>
      </c>
      <c r="J79" s="2">
        <v>1.2</v>
      </c>
      <c r="K79" s="2">
        <v>5.46</v>
      </c>
      <c r="L79" s="2">
        <v>16.36</v>
      </c>
      <c r="M79" s="2">
        <v>27.26</v>
      </c>
      <c r="N79" s="42">
        <v>4300</v>
      </c>
      <c r="O79" s="2">
        <v>3.81</v>
      </c>
    </row>
    <row r="80" spans="1:15" x14ac:dyDescent="0.25">
      <c r="A80" s="2" t="s">
        <v>152</v>
      </c>
      <c r="B80" s="2" t="s">
        <v>51</v>
      </c>
      <c r="C80" s="2" t="s">
        <v>2</v>
      </c>
      <c r="D80" s="2">
        <v>19</v>
      </c>
      <c r="E80" s="2">
        <v>8.4</v>
      </c>
      <c r="F80" s="2">
        <v>4</v>
      </c>
      <c r="G80" s="2">
        <v>0.8</v>
      </c>
      <c r="H80" s="2">
        <v>0.7</v>
      </c>
      <c r="I80" s="2">
        <v>0.7</v>
      </c>
      <c r="J80" s="2">
        <v>0.8</v>
      </c>
      <c r="K80" s="2">
        <v>4.68</v>
      </c>
      <c r="L80" s="2">
        <v>16.28</v>
      </c>
      <c r="M80" s="2">
        <v>27.88</v>
      </c>
      <c r="N80" s="42">
        <v>3800</v>
      </c>
      <c r="O80" s="2">
        <v>4.28</v>
      </c>
    </row>
    <row r="81" spans="1:15" x14ac:dyDescent="0.25">
      <c r="A81" s="2" t="s">
        <v>153</v>
      </c>
      <c r="B81" s="2" t="s">
        <v>228</v>
      </c>
      <c r="C81" s="2" t="s">
        <v>5</v>
      </c>
      <c r="D81" s="2">
        <v>25.3</v>
      </c>
      <c r="E81" s="2">
        <v>8.8000000000000007</v>
      </c>
      <c r="F81" s="2">
        <v>3.7</v>
      </c>
      <c r="G81" s="2">
        <v>1.6</v>
      </c>
      <c r="H81" s="2">
        <v>0.4</v>
      </c>
      <c r="I81" s="2">
        <v>0.8</v>
      </c>
      <c r="J81" s="2">
        <v>2</v>
      </c>
      <c r="K81" s="2">
        <v>-1.69</v>
      </c>
      <c r="L81" s="2">
        <v>16.21</v>
      </c>
      <c r="M81" s="2">
        <v>34.11</v>
      </c>
      <c r="N81" s="42">
        <v>3600</v>
      </c>
      <c r="O81" s="2">
        <v>4.5</v>
      </c>
    </row>
    <row r="82" spans="1:15" x14ac:dyDescent="0.25">
      <c r="A82" s="2" t="s">
        <v>154</v>
      </c>
      <c r="B82" s="2" t="s">
        <v>225</v>
      </c>
      <c r="C82" s="2" t="s">
        <v>3</v>
      </c>
      <c r="D82" s="2">
        <v>22.7</v>
      </c>
      <c r="E82" s="2">
        <v>5.7</v>
      </c>
      <c r="F82" s="2">
        <v>3.4</v>
      </c>
      <c r="G82" s="2">
        <v>3</v>
      </c>
      <c r="H82" s="2">
        <v>0.3</v>
      </c>
      <c r="I82" s="2">
        <v>0.8</v>
      </c>
      <c r="J82" s="2">
        <v>0.6</v>
      </c>
      <c r="K82" s="2">
        <v>7.96</v>
      </c>
      <c r="L82" s="2">
        <v>16.05</v>
      </c>
      <c r="M82" s="2">
        <v>24.14</v>
      </c>
      <c r="N82" s="42">
        <v>4400</v>
      </c>
      <c r="O82" s="2">
        <v>3.65</v>
      </c>
    </row>
    <row r="83" spans="1:15" x14ac:dyDescent="0.25">
      <c r="A83" s="2" t="s">
        <v>155</v>
      </c>
      <c r="B83" s="2" t="s">
        <v>225</v>
      </c>
      <c r="C83" s="2" t="s">
        <v>4</v>
      </c>
      <c r="D83" s="2">
        <v>17</v>
      </c>
      <c r="E83" s="2">
        <v>5.4</v>
      </c>
      <c r="F83" s="2">
        <v>5.5</v>
      </c>
      <c r="G83" s="2">
        <v>1.8</v>
      </c>
      <c r="H83" s="2">
        <v>0.4</v>
      </c>
      <c r="I83" s="2">
        <v>0.9</v>
      </c>
      <c r="J83" s="2">
        <v>1.2</v>
      </c>
      <c r="K83" s="2">
        <v>7.23</v>
      </c>
      <c r="L83" s="2">
        <v>15.95</v>
      </c>
      <c r="M83" s="2">
        <v>24.68</v>
      </c>
      <c r="N83" s="42">
        <v>4400</v>
      </c>
      <c r="O83" s="2">
        <v>3.63</v>
      </c>
    </row>
    <row r="84" spans="1:15" x14ac:dyDescent="0.25">
      <c r="A84" s="2" t="s">
        <v>156</v>
      </c>
      <c r="B84" s="2" t="s">
        <v>51</v>
      </c>
      <c r="C84" s="2" t="s">
        <v>5</v>
      </c>
      <c r="D84" s="2">
        <v>25.7</v>
      </c>
      <c r="E84" s="2">
        <v>7.4</v>
      </c>
      <c r="F84" s="2">
        <v>2.6</v>
      </c>
      <c r="G84" s="2">
        <v>2.2000000000000002</v>
      </c>
      <c r="H84" s="2">
        <v>0.4</v>
      </c>
      <c r="I84" s="2">
        <v>1.1000000000000001</v>
      </c>
      <c r="J84" s="2">
        <v>1</v>
      </c>
      <c r="K84" s="2">
        <v>-2.0699999999999998</v>
      </c>
      <c r="L84" s="2">
        <v>15.95</v>
      </c>
      <c r="M84" s="2">
        <v>33.97</v>
      </c>
      <c r="N84" s="42">
        <v>4100</v>
      </c>
      <c r="O84" s="2">
        <v>3.89</v>
      </c>
    </row>
    <row r="85" spans="1:15" x14ac:dyDescent="0.25">
      <c r="A85" s="2" t="s">
        <v>157</v>
      </c>
      <c r="B85" s="2" t="s">
        <v>224</v>
      </c>
      <c r="C85" s="2" t="s">
        <v>2</v>
      </c>
      <c r="D85" s="2">
        <v>21.3</v>
      </c>
      <c r="E85" s="2">
        <v>5.4</v>
      </c>
      <c r="F85" s="2">
        <v>6.5</v>
      </c>
      <c r="G85" s="2">
        <v>0.7</v>
      </c>
      <c r="H85" s="2">
        <v>0.6</v>
      </c>
      <c r="I85" s="2">
        <v>0.4</v>
      </c>
      <c r="J85" s="2">
        <v>1</v>
      </c>
      <c r="K85" s="2">
        <v>4.67</v>
      </c>
      <c r="L85" s="2">
        <v>15.33</v>
      </c>
      <c r="M85" s="2">
        <v>25.98</v>
      </c>
      <c r="N85" s="42">
        <v>3700</v>
      </c>
      <c r="O85" s="2">
        <v>4.1399999999999997</v>
      </c>
    </row>
    <row r="86" spans="1:15" x14ac:dyDescent="0.25">
      <c r="A86" s="2" t="s">
        <v>158</v>
      </c>
      <c r="B86" s="2" t="s">
        <v>221</v>
      </c>
      <c r="C86" s="2" t="s">
        <v>4</v>
      </c>
      <c r="D86" s="2">
        <v>16.7</v>
      </c>
      <c r="E86" s="2">
        <v>7.9</v>
      </c>
      <c r="F86" s="2">
        <v>3.8</v>
      </c>
      <c r="G86" s="2">
        <v>0.9</v>
      </c>
      <c r="H86" s="2">
        <v>0.6</v>
      </c>
      <c r="I86" s="2">
        <v>0.8</v>
      </c>
      <c r="J86" s="2">
        <v>1.1000000000000001</v>
      </c>
      <c r="K86" s="2">
        <v>8.02</v>
      </c>
      <c r="L86" s="2">
        <v>15.32</v>
      </c>
      <c r="M86" s="2">
        <v>22.62</v>
      </c>
      <c r="N86" s="42">
        <v>4300</v>
      </c>
      <c r="O86" s="2">
        <v>3.56</v>
      </c>
    </row>
    <row r="87" spans="1:15" x14ac:dyDescent="0.25">
      <c r="A87" s="2" t="s">
        <v>159</v>
      </c>
      <c r="B87" s="2" t="s">
        <v>220</v>
      </c>
      <c r="C87" s="2" t="s">
        <v>1</v>
      </c>
      <c r="D87" s="2">
        <v>18.3</v>
      </c>
      <c r="E87" s="2">
        <v>6.4</v>
      </c>
      <c r="F87" s="2">
        <v>2.1</v>
      </c>
      <c r="G87" s="2">
        <v>4.2</v>
      </c>
      <c r="H87" s="2">
        <v>0.1</v>
      </c>
      <c r="I87" s="2">
        <v>0.7</v>
      </c>
      <c r="J87" s="2">
        <v>1.4</v>
      </c>
      <c r="K87" s="2">
        <v>2.5099999999999998</v>
      </c>
      <c r="L87" s="2">
        <v>15.3</v>
      </c>
      <c r="M87" s="2">
        <v>28.09</v>
      </c>
      <c r="N87" s="42">
        <v>3500</v>
      </c>
      <c r="O87" s="2">
        <v>4.37</v>
      </c>
    </row>
    <row r="88" spans="1:15" x14ac:dyDescent="0.25">
      <c r="A88" s="2" t="s">
        <v>160</v>
      </c>
      <c r="B88" s="2" t="s">
        <v>228</v>
      </c>
      <c r="C88" s="2" t="s">
        <v>3</v>
      </c>
      <c r="D88" s="2">
        <v>23.3</v>
      </c>
      <c r="E88" s="2">
        <v>9.5</v>
      </c>
      <c r="F88" s="2">
        <v>3.1</v>
      </c>
      <c r="G88" s="2">
        <v>1.2</v>
      </c>
      <c r="H88" s="2">
        <v>0.2</v>
      </c>
      <c r="I88" s="2">
        <v>0.5</v>
      </c>
      <c r="J88" s="2">
        <v>1.2</v>
      </c>
      <c r="K88" s="2">
        <v>6.98</v>
      </c>
      <c r="L88" s="2">
        <v>15.21</v>
      </c>
      <c r="M88" s="2">
        <v>23.43</v>
      </c>
      <c r="N88" s="42">
        <v>3600</v>
      </c>
      <c r="O88" s="2">
        <v>4.22</v>
      </c>
    </row>
    <row r="89" spans="1:15" x14ac:dyDescent="0.25">
      <c r="A89" s="2" t="s">
        <v>161</v>
      </c>
      <c r="B89" s="2" t="s">
        <v>221</v>
      </c>
      <c r="C89" s="2" t="s">
        <v>3</v>
      </c>
      <c r="D89" s="2">
        <v>26.3</v>
      </c>
      <c r="E89" s="2">
        <v>6.9</v>
      </c>
      <c r="F89" s="2">
        <v>3.3</v>
      </c>
      <c r="G89" s="2">
        <v>1.7</v>
      </c>
      <c r="H89" s="2">
        <v>0.3</v>
      </c>
      <c r="I89" s="2">
        <v>1.1000000000000001</v>
      </c>
      <c r="J89" s="2">
        <v>1</v>
      </c>
      <c r="K89" s="2">
        <v>3.42</v>
      </c>
      <c r="L89" s="2">
        <v>15.19</v>
      </c>
      <c r="M89" s="2">
        <v>26.96</v>
      </c>
      <c r="N89" s="42">
        <v>3500</v>
      </c>
      <c r="O89" s="2">
        <v>4.34</v>
      </c>
    </row>
    <row r="90" spans="1:15" x14ac:dyDescent="0.25">
      <c r="A90" s="2" t="s">
        <v>162</v>
      </c>
      <c r="B90" s="2" t="s">
        <v>31</v>
      </c>
      <c r="C90" s="2" t="s">
        <v>5</v>
      </c>
      <c r="D90" s="2">
        <v>25.3</v>
      </c>
      <c r="E90" s="2">
        <v>7.8</v>
      </c>
      <c r="F90" s="2">
        <v>2.9</v>
      </c>
      <c r="G90" s="2">
        <v>1.5</v>
      </c>
      <c r="H90" s="2">
        <v>0.3</v>
      </c>
      <c r="I90" s="2">
        <v>1</v>
      </c>
      <c r="J90" s="2">
        <v>1</v>
      </c>
      <c r="K90" s="2">
        <v>4.92</v>
      </c>
      <c r="L90" s="2">
        <v>15.1</v>
      </c>
      <c r="M90" s="2">
        <v>25.29</v>
      </c>
      <c r="N90" s="42">
        <v>3700</v>
      </c>
      <c r="O90" s="2">
        <v>4.08</v>
      </c>
    </row>
    <row r="91" spans="1:15" x14ac:dyDescent="0.25">
      <c r="A91" s="2" t="s">
        <v>163</v>
      </c>
      <c r="B91" s="2" t="s">
        <v>220</v>
      </c>
      <c r="C91" s="2" t="s">
        <v>4</v>
      </c>
      <c r="D91" s="2">
        <v>19</v>
      </c>
      <c r="E91" s="2">
        <v>5.8</v>
      </c>
      <c r="F91" s="2">
        <v>5.6</v>
      </c>
      <c r="G91" s="2">
        <v>0.4</v>
      </c>
      <c r="H91" s="2">
        <v>0.9</v>
      </c>
      <c r="I91" s="2">
        <v>0.6</v>
      </c>
      <c r="J91" s="2">
        <v>1.1000000000000001</v>
      </c>
      <c r="K91" s="2">
        <v>0.63</v>
      </c>
      <c r="L91" s="2">
        <v>15.08</v>
      </c>
      <c r="M91" s="2">
        <v>29.53</v>
      </c>
      <c r="N91" s="42">
        <v>3800</v>
      </c>
      <c r="O91" s="2">
        <v>3.97</v>
      </c>
    </row>
    <row r="92" spans="1:15" x14ac:dyDescent="0.25">
      <c r="A92" s="2" t="s">
        <v>164</v>
      </c>
      <c r="B92" s="2" t="s">
        <v>220</v>
      </c>
      <c r="C92" s="2" t="s">
        <v>2</v>
      </c>
      <c r="D92" s="2">
        <v>20.7</v>
      </c>
      <c r="E92" s="2">
        <v>6.2</v>
      </c>
      <c r="F92" s="2">
        <v>4.5</v>
      </c>
      <c r="G92" s="2">
        <v>1.7</v>
      </c>
      <c r="H92" s="2">
        <v>0.5</v>
      </c>
      <c r="I92" s="2">
        <v>0.8</v>
      </c>
      <c r="J92" s="2">
        <v>1.5</v>
      </c>
      <c r="K92" s="2">
        <v>3.78</v>
      </c>
      <c r="L92" s="2">
        <v>15.06</v>
      </c>
      <c r="M92" s="2">
        <v>26.35</v>
      </c>
      <c r="N92" s="42">
        <v>3500</v>
      </c>
      <c r="O92" s="2">
        <v>4.3</v>
      </c>
    </row>
    <row r="93" spans="1:15" x14ac:dyDescent="0.25">
      <c r="A93" s="2" t="s">
        <v>165</v>
      </c>
      <c r="B93" s="2" t="s">
        <v>226</v>
      </c>
      <c r="C93" s="2" t="s">
        <v>2</v>
      </c>
      <c r="D93" s="2">
        <v>14</v>
      </c>
      <c r="E93" s="2">
        <v>8.4</v>
      </c>
      <c r="F93" s="2">
        <v>4</v>
      </c>
      <c r="G93" s="2">
        <v>0.7</v>
      </c>
      <c r="H93" s="2">
        <v>0.4</v>
      </c>
      <c r="I93" s="2">
        <v>0.3</v>
      </c>
      <c r="J93" s="2">
        <v>0.7</v>
      </c>
      <c r="K93" s="2">
        <v>5.93</v>
      </c>
      <c r="L93" s="2">
        <v>15.03</v>
      </c>
      <c r="M93" s="2">
        <v>24.12</v>
      </c>
      <c r="N93" s="42">
        <v>3600</v>
      </c>
      <c r="O93" s="2">
        <v>4.17</v>
      </c>
    </row>
    <row r="94" spans="1:15" x14ac:dyDescent="0.25">
      <c r="A94" s="2" t="s">
        <v>166</v>
      </c>
      <c r="B94" s="2" t="s">
        <v>224</v>
      </c>
      <c r="C94" s="2" t="s">
        <v>2</v>
      </c>
      <c r="D94" s="2">
        <v>21.7</v>
      </c>
      <c r="E94" s="2">
        <v>7.4</v>
      </c>
      <c r="F94" s="2">
        <v>4.3</v>
      </c>
      <c r="G94" s="2">
        <v>1.2</v>
      </c>
      <c r="H94" s="2">
        <v>0.6</v>
      </c>
      <c r="I94" s="2">
        <v>0.2</v>
      </c>
      <c r="J94" s="2">
        <v>0.7</v>
      </c>
      <c r="K94" s="2">
        <v>3.61</v>
      </c>
      <c r="L94" s="2">
        <v>14.92</v>
      </c>
      <c r="M94" s="2">
        <v>26.23</v>
      </c>
      <c r="N94" s="42">
        <v>3500</v>
      </c>
      <c r="O94" s="2">
        <v>4.26</v>
      </c>
    </row>
    <row r="95" spans="1:15" x14ac:dyDescent="0.25">
      <c r="A95" s="2" t="s">
        <v>167</v>
      </c>
      <c r="B95" s="2" t="s">
        <v>225</v>
      </c>
      <c r="C95" s="2" t="s">
        <v>5</v>
      </c>
      <c r="D95" s="2">
        <v>19.7</v>
      </c>
      <c r="E95" s="2">
        <v>8.9</v>
      </c>
      <c r="F95" s="2">
        <v>2</v>
      </c>
      <c r="G95" s="2">
        <v>1.7</v>
      </c>
      <c r="H95" s="2">
        <v>0.2</v>
      </c>
      <c r="I95" s="2">
        <v>0.8</v>
      </c>
      <c r="J95" s="2">
        <v>0.9</v>
      </c>
      <c r="K95" s="2">
        <v>-3.42</v>
      </c>
      <c r="L95" s="2">
        <v>14.84</v>
      </c>
      <c r="M95" s="2">
        <v>33.1</v>
      </c>
      <c r="N95" s="42">
        <v>3500</v>
      </c>
      <c r="O95" s="2">
        <v>4.24</v>
      </c>
    </row>
    <row r="96" spans="1:15" x14ac:dyDescent="0.25">
      <c r="A96" s="2" t="s">
        <v>168</v>
      </c>
      <c r="B96" s="2" t="s">
        <v>51</v>
      </c>
      <c r="C96" s="2" t="s">
        <v>2</v>
      </c>
      <c r="D96" s="2">
        <v>24</v>
      </c>
      <c r="E96" s="2">
        <v>7.4</v>
      </c>
      <c r="F96" s="2">
        <v>3.9</v>
      </c>
      <c r="G96" s="2">
        <v>1</v>
      </c>
      <c r="H96" s="2">
        <v>0.2</v>
      </c>
      <c r="I96" s="2">
        <v>0.6</v>
      </c>
      <c r="J96" s="2">
        <v>0.9</v>
      </c>
      <c r="K96" s="2">
        <v>3.74</v>
      </c>
      <c r="L96" s="2">
        <v>14.5</v>
      </c>
      <c r="M96" s="2">
        <v>25.26</v>
      </c>
      <c r="N96" s="42">
        <v>3600</v>
      </c>
      <c r="O96" s="2">
        <v>4.03</v>
      </c>
    </row>
    <row r="97" spans="1:15" x14ac:dyDescent="0.25">
      <c r="A97" s="2" t="s">
        <v>169</v>
      </c>
      <c r="B97" s="2" t="s">
        <v>228</v>
      </c>
      <c r="C97" s="2" t="s">
        <v>1</v>
      </c>
      <c r="D97" s="2">
        <v>20.3</v>
      </c>
      <c r="E97" s="2">
        <v>8.3000000000000007</v>
      </c>
      <c r="F97" s="2">
        <v>1.5</v>
      </c>
      <c r="G97" s="2">
        <v>3</v>
      </c>
      <c r="H97" s="2">
        <v>0</v>
      </c>
      <c r="I97" s="2">
        <v>0.4</v>
      </c>
      <c r="J97" s="2">
        <v>1.1000000000000001</v>
      </c>
      <c r="K97" s="2">
        <v>5.05</v>
      </c>
      <c r="L97" s="2">
        <v>14.23</v>
      </c>
      <c r="M97" s="2">
        <v>23.41</v>
      </c>
      <c r="N97" s="42">
        <v>3500</v>
      </c>
      <c r="O97" s="2">
        <v>4.0599999999999996</v>
      </c>
    </row>
    <row r="98" spans="1:15" x14ac:dyDescent="0.25">
      <c r="A98" s="2" t="s">
        <v>170</v>
      </c>
      <c r="B98" s="2" t="s">
        <v>220</v>
      </c>
      <c r="C98" s="2" t="s">
        <v>5</v>
      </c>
      <c r="D98" s="2">
        <v>20.3</v>
      </c>
      <c r="E98" s="2">
        <v>8</v>
      </c>
      <c r="F98" s="2">
        <v>1.8</v>
      </c>
      <c r="G98" s="2">
        <v>1.8</v>
      </c>
      <c r="H98" s="2">
        <v>0.4</v>
      </c>
      <c r="I98" s="2">
        <v>0.6</v>
      </c>
      <c r="J98" s="2">
        <v>0.8</v>
      </c>
      <c r="K98" s="2">
        <v>3.32</v>
      </c>
      <c r="L98" s="2">
        <v>14.05</v>
      </c>
      <c r="M98" s="2">
        <v>24.79</v>
      </c>
      <c r="N98" s="42">
        <v>3600</v>
      </c>
      <c r="O98" s="2">
        <v>3.9</v>
      </c>
    </row>
    <row r="99" spans="1:15" x14ac:dyDescent="0.25">
      <c r="A99" s="2" t="s">
        <v>171</v>
      </c>
      <c r="B99" s="2" t="s">
        <v>228</v>
      </c>
      <c r="C99" s="2" t="s">
        <v>4</v>
      </c>
      <c r="D99" s="2">
        <v>17.7</v>
      </c>
      <c r="E99" s="2">
        <v>4.5999999999999996</v>
      </c>
      <c r="F99" s="2">
        <v>5.5</v>
      </c>
      <c r="G99" s="2">
        <v>0.8</v>
      </c>
      <c r="H99" s="2">
        <v>1</v>
      </c>
      <c r="I99" s="2">
        <v>0.2</v>
      </c>
      <c r="J99" s="2">
        <v>0.9</v>
      </c>
      <c r="K99" s="2">
        <v>5.16</v>
      </c>
      <c r="L99" s="2">
        <v>13.85</v>
      </c>
      <c r="M99" s="2">
        <v>22.54</v>
      </c>
      <c r="N99" s="42">
        <v>3700</v>
      </c>
      <c r="O99" s="2">
        <v>3.74</v>
      </c>
    </row>
    <row r="100" spans="1:15" x14ac:dyDescent="0.25">
      <c r="A100" s="2" t="s">
        <v>172</v>
      </c>
      <c r="B100" s="2" t="s">
        <v>223</v>
      </c>
      <c r="C100" s="2" t="s">
        <v>5</v>
      </c>
      <c r="D100" s="2">
        <v>14</v>
      </c>
      <c r="E100" s="2">
        <v>7.6</v>
      </c>
      <c r="F100" s="2">
        <v>3.6</v>
      </c>
      <c r="G100" s="2">
        <v>0.9</v>
      </c>
      <c r="H100" s="2">
        <v>0.3</v>
      </c>
      <c r="I100" s="2">
        <v>0.3</v>
      </c>
      <c r="J100" s="2">
        <v>0.5</v>
      </c>
      <c r="K100" s="2">
        <v>3.41</v>
      </c>
      <c r="L100" s="2">
        <v>13.83</v>
      </c>
      <c r="M100" s="2">
        <v>24.24</v>
      </c>
      <c r="N100" s="42">
        <v>4100</v>
      </c>
      <c r="O100" s="2">
        <v>3.37</v>
      </c>
    </row>
    <row r="101" spans="1:15" x14ac:dyDescent="0.25">
      <c r="A101" s="2" t="s">
        <v>173</v>
      </c>
      <c r="B101" s="2" t="s">
        <v>220</v>
      </c>
      <c r="C101" s="2" t="s">
        <v>5</v>
      </c>
      <c r="D101" s="2">
        <v>19.7</v>
      </c>
      <c r="E101" s="2">
        <v>8.3000000000000007</v>
      </c>
      <c r="F101" s="2">
        <v>2.1</v>
      </c>
      <c r="G101" s="2">
        <v>1.1000000000000001</v>
      </c>
      <c r="H101" s="2">
        <v>0.1</v>
      </c>
      <c r="I101" s="2">
        <v>0.7</v>
      </c>
      <c r="J101" s="2">
        <v>0.5</v>
      </c>
      <c r="K101" s="2">
        <v>5.92</v>
      </c>
      <c r="L101" s="2">
        <v>13.62</v>
      </c>
      <c r="M101" s="2">
        <v>21.32</v>
      </c>
      <c r="N101" s="42">
        <v>3500</v>
      </c>
      <c r="O101" s="2">
        <v>3.89</v>
      </c>
    </row>
    <row r="102" spans="1:15" x14ac:dyDescent="0.25">
      <c r="A102" s="2" t="s">
        <v>174</v>
      </c>
      <c r="B102" s="2" t="s">
        <v>51</v>
      </c>
      <c r="C102" s="2" t="s">
        <v>5</v>
      </c>
      <c r="D102" s="2">
        <v>28.3</v>
      </c>
      <c r="E102" s="2">
        <v>8.6999999999999993</v>
      </c>
      <c r="F102" s="2">
        <v>2.1</v>
      </c>
      <c r="G102" s="2">
        <v>1.4</v>
      </c>
      <c r="H102" s="2">
        <v>0.1</v>
      </c>
      <c r="I102" s="2">
        <v>0.4</v>
      </c>
      <c r="J102" s="2">
        <v>0.7</v>
      </c>
      <c r="K102" s="2">
        <v>2.0699999999999998</v>
      </c>
      <c r="L102" s="2">
        <v>13.59</v>
      </c>
      <c r="M102" s="2">
        <v>25.11</v>
      </c>
      <c r="N102" s="42">
        <v>3500</v>
      </c>
      <c r="O102" s="2">
        <v>3.88</v>
      </c>
    </row>
    <row r="103" spans="1:15" x14ac:dyDescent="0.25">
      <c r="A103" s="2" t="s">
        <v>175</v>
      </c>
      <c r="B103" s="2" t="s">
        <v>51</v>
      </c>
      <c r="C103" s="2" t="s">
        <v>4</v>
      </c>
      <c r="D103" s="2">
        <v>17.3</v>
      </c>
      <c r="E103" s="2">
        <v>5.5</v>
      </c>
      <c r="F103" s="2">
        <v>4.9000000000000004</v>
      </c>
      <c r="G103" s="2">
        <v>0.6</v>
      </c>
      <c r="H103" s="2">
        <v>0.6</v>
      </c>
      <c r="I103" s="2">
        <v>0.5</v>
      </c>
      <c r="J103" s="2">
        <v>0.8</v>
      </c>
      <c r="K103" s="2">
        <v>3</v>
      </c>
      <c r="L103" s="2">
        <v>13.56</v>
      </c>
      <c r="M103" s="2">
        <v>24.11</v>
      </c>
      <c r="N103" s="42">
        <v>3500</v>
      </c>
      <c r="O103" s="2">
        <v>3.87</v>
      </c>
    </row>
    <row r="104" spans="1:15" x14ac:dyDescent="0.25">
      <c r="A104" s="2" t="s">
        <v>176</v>
      </c>
      <c r="B104" s="2" t="s">
        <v>226</v>
      </c>
      <c r="C104" s="2" t="s">
        <v>3</v>
      </c>
      <c r="D104" s="2">
        <v>25</v>
      </c>
      <c r="E104" s="2">
        <v>6.8</v>
      </c>
      <c r="F104" s="2">
        <v>2.6</v>
      </c>
      <c r="G104" s="2">
        <v>0.5</v>
      </c>
      <c r="H104" s="2">
        <v>0.6</v>
      </c>
      <c r="I104" s="2">
        <v>1.2</v>
      </c>
      <c r="J104" s="2">
        <v>0.7</v>
      </c>
      <c r="K104" s="2">
        <v>3.23</v>
      </c>
      <c r="L104" s="2">
        <v>13.36</v>
      </c>
      <c r="M104" s="2">
        <v>23.48</v>
      </c>
      <c r="N104" s="42">
        <v>3500</v>
      </c>
      <c r="O104" s="2">
        <v>3.82</v>
      </c>
    </row>
    <row r="105" spans="1:15" x14ac:dyDescent="0.25">
      <c r="A105" s="2" t="s">
        <v>177</v>
      </c>
      <c r="B105" s="2" t="s">
        <v>31</v>
      </c>
      <c r="C105" s="2" t="s">
        <v>5</v>
      </c>
      <c r="D105" s="2">
        <v>24.3</v>
      </c>
      <c r="E105" s="2">
        <v>7.3</v>
      </c>
      <c r="F105" s="2">
        <v>1.8</v>
      </c>
      <c r="G105" s="2">
        <v>1</v>
      </c>
      <c r="H105" s="2">
        <v>0.4</v>
      </c>
      <c r="I105" s="2">
        <v>1</v>
      </c>
      <c r="J105" s="2">
        <v>0.6</v>
      </c>
      <c r="K105" s="2">
        <v>0.05</v>
      </c>
      <c r="L105" s="2">
        <v>13.19</v>
      </c>
      <c r="M105" s="2">
        <v>26.33</v>
      </c>
      <c r="N105" s="42">
        <v>3500</v>
      </c>
      <c r="O105" s="2">
        <v>3.77</v>
      </c>
    </row>
    <row r="106" spans="1:15" x14ac:dyDescent="0.25">
      <c r="A106" s="2" t="s">
        <v>178</v>
      </c>
      <c r="B106" s="2" t="s">
        <v>221</v>
      </c>
      <c r="C106" s="2" t="s">
        <v>2</v>
      </c>
      <c r="D106" s="2">
        <v>14.3</v>
      </c>
      <c r="E106" s="2">
        <v>7.1</v>
      </c>
      <c r="F106" s="2">
        <v>2.9</v>
      </c>
      <c r="G106" s="2">
        <v>0.9</v>
      </c>
      <c r="H106" s="2">
        <v>0.6</v>
      </c>
      <c r="I106" s="2">
        <v>0.3</v>
      </c>
      <c r="J106" s="2">
        <v>0.7</v>
      </c>
      <c r="K106" s="2">
        <v>4.83</v>
      </c>
      <c r="L106" s="2">
        <v>12.92</v>
      </c>
      <c r="M106" s="2">
        <v>21</v>
      </c>
      <c r="N106" s="42">
        <v>3900</v>
      </c>
      <c r="O106" s="2">
        <v>3.31</v>
      </c>
    </row>
    <row r="107" spans="1:15" x14ac:dyDescent="0.25">
      <c r="A107" s="2" t="s">
        <v>179</v>
      </c>
      <c r="B107" s="2" t="s">
        <v>59</v>
      </c>
      <c r="C107" s="2" t="s">
        <v>3</v>
      </c>
      <c r="D107" s="2">
        <v>17</v>
      </c>
      <c r="E107" s="2">
        <v>7.9</v>
      </c>
      <c r="F107" s="2">
        <v>1.9</v>
      </c>
      <c r="G107" s="2">
        <v>0.6</v>
      </c>
      <c r="H107" s="2">
        <v>0.3</v>
      </c>
      <c r="I107" s="2">
        <v>0.7</v>
      </c>
      <c r="J107" s="2">
        <v>0.5</v>
      </c>
      <c r="K107" s="2">
        <v>5.25</v>
      </c>
      <c r="L107" s="2">
        <v>12.75</v>
      </c>
      <c r="M107" s="2">
        <v>20.239999999999998</v>
      </c>
      <c r="N107" s="42">
        <v>3500</v>
      </c>
      <c r="O107" s="2">
        <v>3.64</v>
      </c>
    </row>
    <row r="108" spans="1:15" x14ac:dyDescent="0.25">
      <c r="A108" s="2" t="s">
        <v>180</v>
      </c>
      <c r="B108" s="2" t="s">
        <v>224</v>
      </c>
      <c r="C108" s="2" t="s">
        <v>2</v>
      </c>
      <c r="D108" s="2">
        <v>18</v>
      </c>
      <c r="E108" s="2">
        <v>4.3</v>
      </c>
      <c r="F108" s="2">
        <v>5.7</v>
      </c>
      <c r="G108" s="2">
        <v>0.3</v>
      </c>
      <c r="H108" s="2">
        <v>0.5</v>
      </c>
      <c r="I108" s="2">
        <v>0.5</v>
      </c>
      <c r="J108" s="2">
        <v>1.1000000000000001</v>
      </c>
      <c r="K108" s="2">
        <v>-0.24</v>
      </c>
      <c r="L108" s="2">
        <v>12.4</v>
      </c>
      <c r="M108" s="2">
        <v>25.03</v>
      </c>
      <c r="N108" s="42">
        <v>3500</v>
      </c>
      <c r="O108" s="2">
        <v>3.54</v>
      </c>
    </row>
    <row r="109" spans="1:15" x14ac:dyDescent="0.25">
      <c r="A109" s="2" t="s">
        <v>181</v>
      </c>
      <c r="B109" s="2" t="s">
        <v>222</v>
      </c>
      <c r="C109" s="2" t="s">
        <v>4</v>
      </c>
      <c r="D109" s="2">
        <v>12.3</v>
      </c>
      <c r="E109" s="2">
        <v>5.5</v>
      </c>
      <c r="F109" s="2">
        <v>4</v>
      </c>
      <c r="G109" s="2">
        <v>0.9</v>
      </c>
      <c r="H109" s="2">
        <v>0.5</v>
      </c>
      <c r="I109" s="2">
        <v>0.4</v>
      </c>
      <c r="J109" s="2">
        <v>1.2</v>
      </c>
      <c r="K109" s="2">
        <v>5.23</v>
      </c>
      <c r="L109" s="2">
        <v>12.19</v>
      </c>
      <c r="M109" s="2">
        <v>19.14</v>
      </c>
      <c r="N109" s="42">
        <v>3700</v>
      </c>
      <c r="O109" s="2">
        <v>3.29</v>
      </c>
    </row>
    <row r="110" spans="1:15" x14ac:dyDescent="0.25">
      <c r="A110" s="2" t="s">
        <v>182</v>
      </c>
      <c r="B110" s="2" t="s">
        <v>225</v>
      </c>
      <c r="C110" s="2" t="s">
        <v>2</v>
      </c>
      <c r="D110" s="2">
        <v>14.3</v>
      </c>
      <c r="E110" s="2">
        <v>4.5</v>
      </c>
      <c r="F110" s="2">
        <v>3.9</v>
      </c>
      <c r="G110" s="2">
        <v>0.9</v>
      </c>
      <c r="H110" s="2">
        <v>0.6</v>
      </c>
      <c r="I110" s="2">
        <v>0.5</v>
      </c>
      <c r="J110" s="2">
        <v>0.5</v>
      </c>
      <c r="K110" s="2">
        <v>0.68</v>
      </c>
      <c r="L110" s="2">
        <v>12.13</v>
      </c>
      <c r="M110" s="2">
        <v>23.59</v>
      </c>
      <c r="N110" s="42">
        <v>3500</v>
      </c>
      <c r="O110" s="2">
        <v>3.47</v>
      </c>
    </row>
    <row r="111" spans="1:15" x14ac:dyDescent="0.25">
      <c r="A111" s="2" t="s">
        <v>183</v>
      </c>
      <c r="B111" s="2" t="s">
        <v>225</v>
      </c>
      <c r="C111" s="2" t="s">
        <v>2</v>
      </c>
      <c r="D111" s="2">
        <v>11.7</v>
      </c>
      <c r="E111" s="2">
        <v>4.2</v>
      </c>
      <c r="F111" s="2">
        <v>2.7</v>
      </c>
      <c r="G111" s="2">
        <v>2.1</v>
      </c>
      <c r="H111" s="2">
        <v>0.5</v>
      </c>
      <c r="I111" s="2">
        <v>0.7</v>
      </c>
      <c r="J111" s="2">
        <v>1</v>
      </c>
      <c r="K111" s="2">
        <v>6.87</v>
      </c>
      <c r="L111" s="2">
        <v>11.89</v>
      </c>
      <c r="M111" s="2">
        <v>16.91</v>
      </c>
      <c r="N111" s="42">
        <v>3500</v>
      </c>
      <c r="O111" s="2">
        <v>3.4</v>
      </c>
    </row>
    <row r="112" spans="1:15" x14ac:dyDescent="0.25">
      <c r="A112" s="2" t="s">
        <v>184</v>
      </c>
      <c r="B112" s="2" t="s">
        <v>229</v>
      </c>
      <c r="C112" s="2" t="s">
        <v>4</v>
      </c>
      <c r="D112" s="2">
        <v>17.3</v>
      </c>
      <c r="E112" s="2">
        <v>5.0999999999999996</v>
      </c>
      <c r="F112" s="2">
        <v>4.5</v>
      </c>
      <c r="G112" s="2">
        <v>0.4</v>
      </c>
      <c r="H112" s="2">
        <v>0.5</v>
      </c>
      <c r="I112" s="2">
        <v>0.3</v>
      </c>
      <c r="J112" s="2">
        <v>0.8</v>
      </c>
      <c r="K112" s="2">
        <v>-0.22</v>
      </c>
      <c r="L112" s="2">
        <v>11.82</v>
      </c>
      <c r="M112" s="2">
        <v>23.86</v>
      </c>
      <c r="N112" s="42">
        <v>3500</v>
      </c>
      <c r="O112" s="2">
        <v>3.38</v>
      </c>
    </row>
    <row r="113" spans="1:15" x14ac:dyDescent="0.25">
      <c r="A113" s="2" t="s">
        <v>185</v>
      </c>
      <c r="B113" s="2" t="s">
        <v>227</v>
      </c>
      <c r="C113" s="2" t="s">
        <v>5</v>
      </c>
      <c r="D113" s="2">
        <v>16.3</v>
      </c>
      <c r="E113" s="2">
        <v>6.1</v>
      </c>
      <c r="F113" s="2">
        <v>2.4</v>
      </c>
      <c r="G113" s="2">
        <v>1</v>
      </c>
      <c r="H113" s="2">
        <v>0.3</v>
      </c>
      <c r="I113" s="2">
        <v>0.7</v>
      </c>
      <c r="J113" s="2">
        <v>0.7</v>
      </c>
      <c r="K113" s="2">
        <v>2.6</v>
      </c>
      <c r="L113" s="2">
        <v>11.72</v>
      </c>
      <c r="M113" s="2">
        <v>20.83</v>
      </c>
      <c r="N113" s="42">
        <v>3500</v>
      </c>
      <c r="O113" s="2">
        <v>3.35</v>
      </c>
    </row>
    <row r="114" spans="1:15" x14ac:dyDescent="0.25">
      <c r="A114" s="2" t="s">
        <v>186</v>
      </c>
      <c r="B114" s="2" t="s">
        <v>228</v>
      </c>
      <c r="C114" s="2" t="s">
        <v>5</v>
      </c>
      <c r="D114" s="2">
        <v>19.3</v>
      </c>
      <c r="E114" s="2">
        <v>5.3</v>
      </c>
      <c r="F114" s="2">
        <v>1.7</v>
      </c>
      <c r="G114" s="2">
        <v>2.1</v>
      </c>
      <c r="H114" s="2">
        <v>0</v>
      </c>
      <c r="I114" s="2">
        <v>0.8</v>
      </c>
      <c r="J114" s="2">
        <v>0.9</v>
      </c>
      <c r="K114" s="2">
        <v>1.5</v>
      </c>
      <c r="L114" s="2">
        <v>11.33</v>
      </c>
      <c r="M114" s="2">
        <v>21.16</v>
      </c>
      <c r="N114" s="42">
        <v>3700</v>
      </c>
      <c r="O114" s="2">
        <v>3.06</v>
      </c>
    </row>
    <row r="115" spans="1:15" x14ac:dyDescent="0.25">
      <c r="A115" s="2" t="s">
        <v>187</v>
      </c>
      <c r="B115" s="2" t="s">
        <v>229</v>
      </c>
      <c r="C115" s="2" t="s">
        <v>3</v>
      </c>
      <c r="D115" s="2">
        <v>18.7</v>
      </c>
      <c r="E115" s="2">
        <v>4.7</v>
      </c>
      <c r="F115" s="2">
        <v>2.5</v>
      </c>
      <c r="G115" s="2">
        <v>1.5</v>
      </c>
      <c r="H115" s="2">
        <v>0.4</v>
      </c>
      <c r="I115" s="2">
        <v>0.7</v>
      </c>
      <c r="J115" s="2">
        <v>1</v>
      </c>
      <c r="K115" s="2">
        <v>2.97</v>
      </c>
      <c r="L115" s="2">
        <v>11.17</v>
      </c>
      <c r="M115" s="2">
        <v>19.38</v>
      </c>
      <c r="N115" s="42">
        <v>3500</v>
      </c>
      <c r="O115" s="2">
        <v>3.19</v>
      </c>
    </row>
    <row r="116" spans="1:15" x14ac:dyDescent="0.25">
      <c r="A116" s="2" t="s">
        <v>188</v>
      </c>
      <c r="B116" s="2" t="s">
        <v>227</v>
      </c>
      <c r="C116" s="2" t="s">
        <v>4</v>
      </c>
      <c r="D116" s="2">
        <v>11.3</v>
      </c>
      <c r="E116" s="2">
        <v>2.6</v>
      </c>
      <c r="F116" s="2">
        <v>4.5</v>
      </c>
      <c r="G116" s="2">
        <v>1.2</v>
      </c>
      <c r="H116" s="2">
        <v>0.4</v>
      </c>
      <c r="I116" s="2">
        <v>0.3</v>
      </c>
      <c r="J116" s="2">
        <v>0.6</v>
      </c>
      <c r="K116" s="2">
        <v>5.6</v>
      </c>
      <c r="L116" s="2">
        <v>10.55</v>
      </c>
      <c r="M116" s="2">
        <v>15.5</v>
      </c>
      <c r="N116" s="42">
        <v>3800</v>
      </c>
      <c r="O116" s="2">
        <v>2.78</v>
      </c>
    </row>
    <row r="117" spans="1:15" x14ac:dyDescent="0.25">
      <c r="A117" s="2" t="s">
        <v>189</v>
      </c>
      <c r="B117" s="2" t="s">
        <v>223</v>
      </c>
      <c r="C117" s="2" t="s">
        <v>1</v>
      </c>
      <c r="D117" s="2">
        <v>14</v>
      </c>
      <c r="E117" s="2">
        <v>5.4</v>
      </c>
      <c r="F117" s="2">
        <v>1.3</v>
      </c>
      <c r="G117" s="2">
        <v>2.2000000000000002</v>
      </c>
      <c r="H117" s="2">
        <v>0.1</v>
      </c>
      <c r="I117" s="2">
        <v>0.4</v>
      </c>
      <c r="J117" s="2">
        <v>0.8</v>
      </c>
      <c r="K117" s="2">
        <v>4.72</v>
      </c>
      <c r="L117" s="2">
        <v>10.41</v>
      </c>
      <c r="M117" s="2">
        <v>16.100000000000001</v>
      </c>
      <c r="N117" s="42">
        <v>3500</v>
      </c>
      <c r="O117" s="2">
        <v>2.97</v>
      </c>
    </row>
    <row r="118" spans="1:15" x14ac:dyDescent="0.25">
      <c r="A118" s="2" t="s">
        <v>190</v>
      </c>
      <c r="B118" s="2" t="s">
        <v>51</v>
      </c>
      <c r="C118" s="2" t="s">
        <v>2</v>
      </c>
      <c r="D118" s="2">
        <v>13.7</v>
      </c>
      <c r="E118" s="2">
        <v>4.4000000000000004</v>
      </c>
      <c r="F118" s="2">
        <v>3.1</v>
      </c>
      <c r="G118" s="2">
        <v>0.9</v>
      </c>
      <c r="H118" s="2">
        <v>0</v>
      </c>
      <c r="I118" s="2">
        <v>0.3</v>
      </c>
      <c r="J118" s="2">
        <v>0.6</v>
      </c>
      <c r="K118" s="2">
        <v>3.61</v>
      </c>
      <c r="L118" s="2">
        <v>9.67</v>
      </c>
      <c r="M118" s="2">
        <v>15.74</v>
      </c>
      <c r="N118" s="42">
        <v>3600</v>
      </c>
      <c r="O118" s="2">
        <v>2.69</v>
      </c>
    </row>
    <row r="119" spans="1:15" x14ac:dyDescent="0.25">
      <c r="A119" s="2" t="s">
        <v>191</v>
      </c>
      <c r="B119" s="2" t="s">
        <v>226</v>
      </c>
      <c r="C119" s="2" t="s">
        <v>3</v>
      </c>
      <c r="D119" s="2">
        <v>13</v>
      </c>
      <c r="E119" s="2">
        <v>3.2</v>
      </c>
      <c r="F119" s="2">
        <v>3.1</v>
      </c>
      <c r="G119" s="2">
        <v>0.4</v>
      </c>
      <c r="H119" s="2">
        <v>0.5</v>
      </c>
      <c r="I119" s="2">
        <v>0.6</v>
      </c>
      <c r="J119" s="2">
        <v>0.3</v>
      </c>
      <c r="K119" s="2">
        <v>4.24</v>
      </c>
      <c r="L119" s="2">
        <v>9.41</v>
      </c>
      <c r="M119" s="2">
        <v>14.58</v>
      </c>
      <c r="N119" s="42">
        <v>3600</v>
      </c>
      <c r="O119" s="2">
        <v>2.61</v>
      </c>
    </row>
    <row r="120" spans="1:15" x14ac:dyDescent="0.25">
      <c r="A120" s="2" t="s">
        <v>192</v>
      </c>
      <c r="B120" s="2" t="s">
        <v>224</v>
      </c>
      <c r="C120" s="2" t="s">
        <v>5</v>
      </c>
      <c r="D120" s="2">
        <v>15</v>
      </c>
      <c r="E120" s="2">
        <v>4</v>
      </c>
      <c r="F120" s="2">
        <v>2.4</v>
      </c>
      <c r="G120" s="2">
        <v>1.2</v>
      </c>
      <c r="H120" s="2">
        <v>0.2</v>
      </c>
      <c r="I120" s="2">
        <v>0.3</v>
      </c>
      <c r="J120" s="2">
        <v>0.5</v>
      </c>
      <c r="K120" s="2">
        <v>-4</v>
      </c>
      <c r="L120" s="2">
        <v>9.0500000000000007</v>
      </c>
      <c r="M120" s="2">
        <v>22.1</v>
      </c>
      <c r="N120" s="42">
        <v>3500</v>
      </c>
      <c r="O120" s="2">
        <v>2.59</v>
      </c>
    </row>
    <row r="121" spans="1:15" x14ac:dyDescent="0.25">
      <c r="A121" s="2" t="s">
        <v>193</v>
      </c>
      <c r="B121" s="2" t="s">
        <v>225</v>
      </c>
      <c r="C121" s="2" t="s">
        <v>2</v>
      </c>
      <c r="D121" s="2">
        <v>12.7</v>
      </c>
      <c r="E121" s="2">
        <v>3.9</v>
      </c>
      <c r="F121" s="2">
        <v>2.1</v>
      </c>
      <c r="G121" s="2">
        <v>0.6</v>
      </c>
      <c r="H121" s="2">
        <v>0.7</v>
      </c>
      <c r="I121" s="2">
        <v>0.3</v>
      </c>
      <c r="J121" s="2">
        <v>0.6</v>
      </c>
      <c r="K121" s="2">
        <v>-1.56</v>
      </c>
      <c r="L121" s="2">
        <v>8.83</v>
      </c>
      <c r="M121" s="2">
        <v>19.23</v>
      </c>
      <c r="N121" s="42">
        <v>3500</v>
      </c>
      <c r="O121" s="2">
        <v>2.52</v>
      </c>
    </row>
    <row r="122" spans="1:15" x14ac:dyDescent="0.25">
      <c r="A122" s="2" t="s">
        <v>194</v>
      </c>
      <c r="B122" s="2" t="s">
        <v>225</v>
      </c>
      <c r="C122" s="2" t="s">
        <v>1</v>
      </c>
      <c r="D122" s="2">
        <v>14.3</v>
      </c>
      <c r="E122" s="2">
        <v>4.3</v>
      </c>
      <c r="F122" s="2">
        <v>1.6</v>
      </c>
      <c r="G122" s="2">
        <v>1.4</v>
      </c>
      <c r="H122" s="2">
        <v>0.2</v>
      </c>
      <c r="I122" s="2">
        <v>0.4</v>
      </c>
      <c r="J122" s="2">
        <v>0.7</v>
      </c>
      <c r="K122" s="2">
        <v>2.84</v>
      </c>
      <c r="L122" s="2">
        <v>8.82</v>
      </c>
      <c r="M122" s="2">
        <v>14.79</v>
      </c>
      <c r="N122" s="42">
        <v>3600</v>
      </c>
      <c r="O122" s="2">
        <v>2.4500000000000002</v>
      </c>
    </row>
    <row r="123" spans="1:15" x14ac:dyDescent="0.25">
      <c r="A123" s="2" t="s">
        <v>195</v>
      </c>
      <c r="B123" s="2" t="s">
        <v>31</v>
      </c>
      <c r="C123" s="2" t="s">
        <v>3</v>
      </c>
      <c r="D123" s="2">
        <v>15.7</v>
      </c>
      <c r="E123" s="2">
        <v>4.0999999999999996</v>
      </c>
      <c r="F123" s="2">
        <v>1.9</v>
      </c>
      <c r="G123" s="2">
        <v>0.8</v>
      </c>
      <c r="H123" s="2">
        <v>0.1</v>
      </c>
      <c r="I123" s="2">
        <v>0.2</v>
      </c>
      <c r="J123" s="2">
        <v>0.5</v>
      </c>
      <c r="K123" s="2">
        <v>0.63</v>
      </c>
      <c r="L123" s="2">
        <v>7.66</v>
      </c>
      <c r="M123" s="2">
        <v>14.68</v>
      </c>
      <c r="N123" s="42">
        <v>3500</v>
      </c>
      <c r="O123" s="2">
        <v>2.19</v>
      </c>
    </row>
    <row r="124" spans="1:15" x14ac:dyDescent="0.25">
      <c r="A124" s="2" t="s">
        <v>196</v>
      </c>
      <c r="B124" s="2" t="s">
        <v>229</v>
      </c>
      <c r="C124" s="2" t="s">
        <v>4</v>
      </c>
      <c r="D124" s="2">
        <v>6</v>
      </c>
      <c r="E124" s="2">
        <v>3.2</v>
      </c>
      <c r="F124" s="2">
        <v>2.8</v>
      </c>
      <c r="G124" s="2">
        <v>0.2</v>
      </c>
      <c r="H124" s="2">
        <v>0.3</v>
      </c>
      <c r="I124" s="2">
        <v>0.1</v>
      </c>
      <c r="J124" s="2">
        <v>0.3</v>
      </c>
      <c r="K124" s="2">
        <v>1.51</v>
      </c>
      <c r="L124" s="2">
        <v>7.38</v>
      </c>
      <c r="M124" s="2">
        <v>13.25</v>
      </c>
      <c r="N124" s="42">
        <v>3500</v>
      </c>
      <c r="O124" s="2">
        <v>2.11</v>
      </c>
    </row>
    <row r="125" spans="1:15" x14ac:dyDescent="0.25">
      <c r="A125" s="2" t="s">
        <v>197</v>
      </c>
      <c r="B125" s="2" t="s">
        <v>232</v>
      </c>
      <c r="C125" s="2" t="s">
        <v>4</v>
      </c>
      <c r="D125" s="2">
        <v>11.3</v>
      </c>
      <c r="E125" s="2">
        <v>3</v>
      </c>
      <c r="F125" s="2">
        <v>1.9</v>
      </c>
      <c r="G125" s="2">
        <v>0.7</v>
      </c>
      <c r="H125" s="2">
        <v>0.3</v>
      </c>
      <c r="I125" s="2">
        <v>0.4</v>
      </c>
      <c r="J125" s="2">
        <v>0.8</v>
      </c>
      <c r="K125" s="2">
        <v>0.87</v>
      </c>
      <c r="L125" s="2">
        <v>6.97</v>
      </c>
      <c r="M125" s="2">
        <v>13.07</v>
      </c>
      <c r="N125" s="42">
        <v>3500</v>
      </c>
      <c r="O125" s="2">
        <v>1.99</v>
      </c>
    </row>
    <row r="126" spans="1:15" x14ac:dyDescent="0.25">
      <c r="A126" s="2" t="s">
        <v>198</v>
      </c>
      <c r="B126" s="2" t="s">
        <v>220</v>
      </c>
      <c r="C126" s="2" t="s">
        <v>3</v>
      </c>
      <c r="D126" s="2">
        <v>11.3</v>
      </c>
      <c r="E126" s="2">
        <v>2.7</v>
      </c>
      <c r="F126" s="2">
        <v>2.1</v>
      </c>
      <c r="G126" s="2">
        <v>0.5</v>
      </c>
      <c r="H126" s="2">
        <v>0.1</v>
      </c>
      <c r="I126" s="2">
        <v>0.4</v>
      </c>
      <c r="J126" s="2">
        <v>0.4</v>
      </c>
      <c r="K126" s="2">
        <v>-0.65</v>
      </c>
      <c r="L126" s="2">
        <v>6.44</v>
      </c>
      <c r="M126" s="2">
        <v>13.52</v>
      </c>
      <c r="N126" s="42">
        <v>3500</v>
      </c>
      <c r="O126" s="2">
        <v>1.84</v>
      </c>
    </row>
    <row r="127" spans="1:15" x14ac:dyDescent="0.25">
      <c r="A127" s="2" t="s">
        <v>199</v>
      </c>
      <c r="B127" s="2" t="s">
        <v>227</v>
      </c>
      <c r="C127" s="2" t="s">
        <v>5</v>
      </c>
      <c r="D127" s="2">
        <v>9.6999999999999993</v>
      </c>
      <c r="E127" s="2">
        <v>2.7</v>
      </c>
      <c r="F127" s="2">
        <v>1.4</v>
      </c>
      <c r="G127" s="2">
        <v>1</v>
      </c>
      <c r="H127" s="2">
        <v>0.1</v>
      </c>
      <c r="I127" s="2">
        <v>0.4</v>
      </c>
      <c r="J127" s="2">
        <v>0.4</v>
      </c>
      <c r="K127" s="2">
        <v>0.23</v>
      </c>
      <c r="L127" s="2">
        <v>6.35</v>
      </c>
      <c r="M127" s="2">
        <v>12.47</v>
      </c>
      <c r="N127" s="42">
        <v>3500</v>
      </c>
      <c r="O127" s="2">
        <v>1.81</v>
      </c>
    </row>
    <row r="128" spans="1:15" x14ac:dyDescent="0.25">
      <c r="A128" s="2" t="s">
        <v>200</v>
      </c>
      <c r="B128" s="2" t="s">
        <v>226</v>
      </c>
      <c r="C128" s="2" t="s">
        <v>5</v>
      </c>
      <c r="D128" s="2">
        <v>14.3</v>
      </c>
      <c r="E128" s="2">
        <v>3.8</v>
      </c>
      <c r="F128" s="2">
        <v>1.2</v>
      </c>
      <c r="G128" s="2">
        <v>0.6</v>
      </c>
      <c r="H128" s="2">
        <v>0</v>
      </c>
      <c r="I128" s="2">
        <v>0.2</v>
      </c>
      <c r="J128" s="2">
        <v>0.4</v>
      </c>
      <c r="K128" s="2">
        <v>-0.57999999999999996</v>
      </c>
      <c r="L128" s="2">
        <v>6.15</v>
      </c>
      <c r="M128" s="2">
        <v>12.88</v>
      </c>
      <c r="N128" s="42">
        <v>3500</v>
      </c>
      <c r="O128" s="2">
        <v>1.76</v>
      </c>
    </row>
    <row r="129" spans="1:15" x14ac:dyDescent="0.25">
      <c r="A129" s="2" t="s">
        <v>201</v>
      </c>
      <c r="B129" s="2" t="s">
        <v>220</v>
      </c>
      <c r="C129" s="2" t="s">
        <v>1</v>
      </c>
      <c r="D129" s="2">
        <v>9.6999999999999993</v>
      </c>
      <c r="E129" s="2">
        <v>4.8</v>
      </c>
      <c r="F129" s="2">
        <v>0</v>
      </c>
      <c r="G129" s="2">
        <v>0.3</v>
      </c>
      <c r="H129" s="2">
        <v>0.3</v>
      </c>
      <c r="I129" s="2">
        <v>0</v>
      </c>
      <c r="J129" s="2">
        <v>0</v>
      </c>
      <c r="K129" s="2">
        <v>-0.81</v>
      </c>
      <c r="L129" s="2">
        <v>5.96</v>
      </c>
      <c r="M129" s="2">
        <v>12.73</v>
      </c>
      <c r="N129" s="42">
        <v>3500</v>
      </c>
      <c r="O129" s="2">
        <v>1.7</v>
      </c>
    </row>
    <row r="130" spans="1:15" x14ac:dyDescent="0.25">
      <c r="A130" s="2" t="s">
        <v>202</v>
      </c>
      <c r="B130" s="2" t="s">
        <v>224</v>
      </c>
      <c r="C130" s="2" t="s">
        <v>1</v>
      </c>
      <c r="D130" s="2">
        <v>7.3</v>
      </c>
      <c r="E130" s="2">
        <v>3.3</v>
      </c>
      <c r="F130" s="2">
        <v>0.7</v>
      </c>
      <c r="G130" s="2">
        <v>0.9</v>
      </c>
      <c r="H130" s="2">
        <v>0</v>
      </c>
      <c r="I130" s="2">
        <v>0.5</v>
      </c>
      <c r="J130" s="2">
        <v>0.6</v>
      </c>
      <c r="K130" s="2">
        <v>0.89</v>
      </c>
      <c r="L130" s="2">
        <v>5.88</v>
      </c>
      <c r="M130" s="2">
        <v>10.86</v>
      </c>
      <c r="N130" s="42">
        <v>3500</v>
      </c>
      <c r="O130" s="2">
        <v>1.68</v>
      </c>
    </row>
    <row r="131" spans="1:15" x14ac:dyDescent="0.25">
      <c r="A131" s="2" t="s">
        <v>203</v>
      </c>
      <c r="B131" s="2" t="s">
        <v>226</v>
      </c>
      <c r="C131" s="2" t="s">
        <v>2</v>
      </c>
      <c r="D131" s="2">
        <v>7</v>
      </c>
      <c r="E131" s="2">
        <v>3.4</v>
      </c>
      <c r="F131" s="2">
        <v>1.4</v>
      </c>
      <c r="G131" s="2">
        <v>0.3</v>
      </c>
      <c r="H131" s="2">
        <v>0.1</v>
      </c>
      <c r="I131" s="2">
        <v>0.1</v>
      </c>
      <c r="J131" s="2">
        <v>0.4</v>
      </c>
      <c r="K131" s="2">
        <v>2.42</v>
      </c>
      <c r="L131" s="2">
        <v>5.56</v>
      </c>
      <c r="M131" s="2">
        <v>8.6999999999999993</v>
      </c>
      <c r="N131" s="42">
        <v>3500</v>
      </c>
      <c r="O131" s="2">
        <v>1.59</v>
      </c>
    </row>
    <row r="132" spans="1:15" x14ac:dyDescent="0.25">
      <c r="A132" s="2" t="s">
        <v>204</v>
      </c>
      <c r="B132" s="2" t="s">
        <v>222</v>
      </c>
      <c r="C132" s="2" t="s">
        <v>3</v>
      </c>
      <c r="D132" s="2">
        <v>8.3000000000000007</v>
      </c>
      <c r="E132" s="2">
        <v>2.1</v>
      </c>
      <c r="F132" s="2">
        <v>1.9</v>
      </c>
      <c r="G132" s="2">
        <v>1.3</v>
      </c>
      <c r="H132" s="2">
        <v>0</v>
      </c>
      <c r="I132" s="2">
        <v>0.1</v>
      </c>
      <c r="J132" s="2">
        <v>0.9</v>
      </c>
      <c r="K132" s="2">
        <v>1.61</v>
      </c>
      <c r="L132" s="2">
        <v>5.55</v>
      </c>
      <c r="M132" s="2">
        <v>9.49</v>
      </c>
      <c r="N132" s="42">
        <v>3500</v>
      </c>
      <c r="O132" s="2">
        <v>1.59</v>
      </c>
    </row>
    <row r="133" spans="1:15" x14ac:dyDescent="0.25">
      <c r="A133" s="2" t="s">
        <v>205</v>
      </c>
      <c r="B133" s="2" t="s">
        <v>226</v>
      </c>
      <c r="C133" s="2" t="s">
        <v>3</v>
      </c>
      <c r="D133" s="2">
        <v>11</v>
      </c>
      <c r="E133" s="2">
        <v>3.5</v>
      </c>
      <c r="F133" s="2">
        <v>1.3</v>
      </c>
      <c r="G133" s="2">
        <v>0.1</v>
      </c>
      <c r="H133" s="2">
        <v>0.2</v>
      </c>
      <c r="I133" s="2">
        <v>0.2</v>
      </c>
      <c r="J133" s="2">
        <v>0.6</v>
      </c>
      <c r="K133" s="2">
        <v>0.66</v>
      </c>
      <c r="L133" s="2">
        <v>5.51</v>
      </c>
      <c r="M133" s="2">
        <v>10.36</v>
      </c>
      <c r="N133" s="42">
        <v>3500</v>
      </c>
      <c r="O133" s="2">
        <v>1.57</v>
      </c>
    </row>
    <row r="134" spans="1:15" x14ac:dyDescent="0.25">
      <c r="A134" s="2" t="s">
        <v>206</v>
      </c>
      <c r="B134" s="2" t="s">
        <v>227</v>
      </c>
      <c r="C134" s="2" t="s">
        <v>3</v>
      </c>
      <c r="D134" s="2">
        <v>11.3</v>
      </c>
      <c r="E134" s="2">
        <v>3</v>
      </c>
      <c r="F134" s="2">
        <v>1.3</v>
      </c>
      <c r="G134" s="2">
        <v>0.3</v>
      </c>
      <c r="H134" s="2">
        <v>0.1</v>
      </c>
      <c r="I134" s="2">
        <v>0.3</v>
      </c>
      <c r="J134" s="2">
        <v>0.3</v>
      </c>
      <c r="K134" s="2">
        <v>-0.16</v>
      </c>
      <c r="L134" s="2">
        <v>5.42</v>
      </c>
      <c r="M134" s="2">
        <v>11</v>
      </c>
      <c r="N134" s="42">
        <v>3500</v>
      </c>
      <c r="O134" s="2">
        <v>1.55</v>
      </c>
    </row>
    <row r="135" spans="1:15" x14ac:dyDescent="0.25">
      <c r="A135" s="2" t="s">
        <v>207</v>
      </c>
      <c r="B135" s="2" t="s">
        <v>223</v>
      </c>
      <c r="C135" s="2" t="s">
        <v>1</v>
      </c>
      <c r="D135" s="2">
        <v>7</v>
      </c>
      <c r="E135" s="2">
        <v>2.4</v>
      </c>
      <c r="F135" s="2">
        <v>0.8</v>
      </c>
      <c r="G135" s="2">
        <v>1.2</v>
      </c>
      <c r="H135" s="2">
        <v>0</v>
      </c>
      <c r="I135" s="2">
        <v>0.1</v>
      </c>
      <c r="J135" s="2">
        <v>0.5</v>
      </c>
      <c r="K135" s="2">
        <v>0.89</v>
      </c>
      <c r="L135" s="2">
        <v>4.8</v>
      </c>
      <c r="M135" s="2">
        <v>8.7200000000000006</v>
      </c>
      <c r="N135" s="42">
        <v>3500</v>
      </c>
      <c r="O135" s="2">
        <v>1.37</v>
      </c>
    </row>
    <row r="136" spans="1:15" x14ac:dyDescent="0.25">
      <c r="A136" s="2" t="s">
        <v>208</v>
      </c>
      <c r="B136" s="2" t="s">
        <v>225</v>
      </c>
      <c r="C136" s="2" t="s">
        <v>4</v>
      </c>
      <c r="D136" s="2">
        <v>6.3</v>
      </c>
      <c r="E136" s="2">
        <v>1.2</v>
      </c>
      <c r="F136" s="2">
        <v>1.9</v>
      </c>
      <c r="G136" s="2">
        <v>0.7</v>
      </c>
      <c r="H136" s="2">
        <v>0.2</v>
      </c>
      <c r="I136" s="2">
        <v>0.2</v>
      </c>
      <c r="J136" s="2">
        <v>0.6</v>
      </c>
      <c r="K136" s="2">
        <v>1.79</v>
      </c>
      <c r="L136" s="2">
        <v>4.78</v>
      </c>
      <c r="M136" s="2">
        <v>7.76</v>
      </c>
      <c r="N136" s="42">
        <v>3500</v>
      </c>
      <c r="O136" s="2">
        <v>1.36</v>
      </c>
    </row>
    <row r="137" spans="1:15" x14ac:dyDescent="0.25">
      <c r="A137" s="2" t="s">
        <v>209</v>
      </c>
      <c r="B137" s="2" t="s">
        <v>229</v>
      </c>
      <c r="C137" s="2" t="s">
        <v>5</v>
      </c>
      <c r="D137" s="2">
        <v>7.7</v>
      </c>
      <c r="E137" s="2">
        <v>2.4</v>
      </c>
      <c r="F137" s="2">
        <v>1</v>
      </c>
      <c r="G137" s="2">
        <v>0.4</v>
      </c>
      <c r="H137" s="2">
        <v>0.1</v>
      </c>
      <c r="I137" s="2">
        <v>0.2</v>
      </c>
      <c r="J137" s="2">
        <v>0.2</v>
      </c>
      <c r="K137" s="2">
        <v>-0.53</v>
      </c>
      <c r="L137" s="2">
        <v>4.6100000000000003</v>
      </c>
      <c r="M137" s="2">
        <v>9.75</v>
      </c>
      <c r="N137" s="42">
        <v>3500</v>
      </c>
      <c r="O137" s="2">
        <v>1.32</v>
      </c>
    </row>
    <row r="138" spans="1:15" x14ac:dyDescent="0.25">
      <c r="A138" s="2" t="s">
        <v>210</v>
      </c>
      <c r="B138" s="2" t="s">
        <v>228</v>
      </c>
      <c r="C138" s="2" t="s">
        <v>3</v>
      </c>
      <c r="D138" s="2">
        <v>7.7</v>
      </c>
      <c r="E138" s="2">
        <v>2</v>
      </c>
      <c r="F138" s="2">
        <v>0.7</v>
      </c>
      <c r="G138" s="2">
        <v>0.5</v>
      </c>
      <c r="H138" s="2">
        <v>0</v>
      </c>
      <c r="I138" s="2">
        <v>0.3</v>
      </c>
      <c r="J138" s="2">
        <v>0.2</v>
      </c>
      <c r="K138" s="2">
        <v>-0.22</v>
      </c>
      <c r="L138" s="2">
        <v>3.98</v>
      </c>
      <c r="M138" s="2">
        <v>8.18</v>
      </c>
      <c r="N138" s="42">
        <v>3500</v>
      </c>
      <c r="O138" s="2">
        <v>1.1399999999999999</v>
      </c>
    </row>
    <row r="139" spans="1:15" x14ac:dyDescent="0.25">
      <c r="A139" s="2" t="s">
        <v>211</v>
      </c>
      <c r="B139" s="2" t="s">
        <v>220</v>
      </c>
      <c r="C139" s="2" t="s">
        <v>4</v>
      </c>
      <c r="D139" s="2">
        <v>4.7</v>
      </c>
      <c r="E139" s="2">
        <v>0.8</v>
      </c>
      <c r="F139" s="2">
        <v>1.6</v>
      </c>
      <c r="G139" s="2">
        <v>0.1</v>
      </c>
      <c r="H139" s="2">
        <v>0.1</v>
      </c>
      <c r="I139" s="2">
        <v>0</v>
      </c>
      <c r="J139" s="2">
        <v>0.1</v>
      </c>
      <c r="K139" s="2">
        <v>0.75</v>
      </c>
      <c r="L139" s="2">
        <v>3.09</v>
      </c>
      <c r="M139" s="2">
        <v>5.43</v>
      </c>
      <c r="N139" s="42">
        <v>3500</v>
      </c>
      <c r="O139" s="2">
        <v>0.88</v>
      </c>
    </row>
    <row r="140" spans="1:15" x14ac:dyDescent="0.25">
      <c r="A140" s="2" t="s">
        <v>212</v>
      </c>
      <c r="B140" s="2" t="s">
        <v>221</v>
      </c>
      <c r="C140" s="2" t="s">
        <v>1</v>
      </c>
      <c r="D140" s="2">
        <v>5</v>
      </c>
      <c r="E140" s="2">
        <v>1.5</v>
      </c>
      <c r="F140" s="2">
        <v>0.5</v>
      </c>
      <c r="G140" s="2">
        <v>0.9</v>
      </c>
      <c r="H140" s="2">
        <v>0</v>
      </c>
      <c r="I140" s="2">
        <v>0.2</v>
      </c>
      <c r="J140" s="2">
        <v>0.6</v>
      </c>
      <c r="K140" s="2">
        <v>-0.55000000000000004</v>
      </c>
      <c r="L140" s="2">
        <v>3.06</v>
      </c>
      <c r="M140" s="2">
        <v>6.66</v>
      </c>
      <c r="N140" s="42">
        <v>3500</v>
      </c>
      <c r="O140" s="2">
        <v>0.87</v>
      </c>
    </row>
    <row r="141" spans="1:15" x14ac:dyDescent="0.25">
      <c r="A141" s="2" t="s">
        <v>213</v>
      </c>
      <c r="B141" s="2" t="s">
        <v>229</v>
      </c>
      <c r="C141" s="2" t="s">
        <v>5</v>
      </c>
      <c r="D141" s="2">
        <v>5.3</v>
      </c>
      <c r="E141" s="2">
        <v>1.6</v>
      </c>
      <c r="F141" s="2">
        <v>0.5</v>
      </c>
      <c r="G141" s="2">
        <v>0.4</v>
      </c>
      <c r="H141" s="2">
        <v>0</v>
      </c>
      <c r="I141" s="2">
        <v>0.1</v>
      </c>
      <c r="J141" s="2">
        <v>0.4</v>
      </c>
      <c r="K141" s="2">
        <v>-1.28</v>
      </c>
      <c r="L141" s="2">
        <v>2.77</v>
      </c>
      <c r="M141" s="2">
        <v>6.83</v>
      </c>
      <c r="N141" s="42">
        <v>3500</v>
      </c>
      <c r="O141" s="2">
        <v>0.79</v>
      </c>
    </row>
    <row r="142" spans="1:15" x14ac:dyDescent="0.25">
      <c r="A142" s="2" t="s">
        <v>214</v>
      </c>
      <c r="B142" s="2" t="s">
        <v>31</v>
      </c>
      <c r="C142" s="2" t="s">
        <v>5</v>
      </c>
      <c r="D142" s="2">
        <v>4.3</v>
      </c>
      <c r="E142" s="2">
        <v>1.7</v>
      </c>
      <c r="F142" s="2">
        <v>0.4</v>
      </c>
      <c r="G142" s="2">
        <v>0.1</v>
      </c>
      <c r="H142" s="2">
        <v>0.1</v>
      </c>
      <c r="I142" s="2">
        <v>0</v>
      </c>
      <c r="J142" s="2">
        <v>0.1</v>
      </c>
      <c r="K142" s="2">
        <v>-0.31</v>
      </c>
      <c r="L142" s="2">
        <v>2.59</v>
      </c>
      <c r="M142" s="2">
        <v>5.48</v>
      </c>
      <c r="N142" s="42">
        <v>3500</v>
      </c>
      <c r="O142" s="2">
        <v>0.74</v>
      </c>
    </row>
    <row r="143" spans="1:15" x14ac:dyDescent="0.25">
      <c r="A143" s="2" t="s">
        <v>215</v>
      </c>
      <c r="B143" s="2" t="s">
        <v>221</v>
      </c>
      <c r="C143" s="2" t="s">
        <v>5</v>
      </c>
      <c r="D143" s="2">
        <v>3.7</v>
      </c>
      <c r="E143" s="2">
        <v>1.4</v>
      </c>
      <c r="F143" s="2">
        <v>0.5</v>
      </c>
      <c r="G143" s="2">
        <v>0.1</v>
      </c>
      <c r="H143" s="2">
        <v>0.1</v>
      </c>
      <c r="I143" s="2">
        <v>0.1</v>
      </c>
      <c r="J143" s="2">
        <v>0.2</v>
      </c>
      <c r="K143" s="2">
        <v>-0.85</v>
      </c>
      <c r="L143" s="2">
        <v>2.41</v>
      </c>
      <c r="M143" s="2">
        <v>5.67</v>
      </c>
      <c r="N143" s="42">
        <v>3500</v>
      </c>
      <c r="O143" s="2">
        <v>0.69</v>
      </c>
    </row>
    <row r="144" spans="1:15" x14ac:dyDescent="0.25">
      <c r="A144" s="2" t="s">
        <v>216</v>
      </c>
      <c r="B144" s="2" t="s">
        <v>223</v>
      </c>
      <c r="C144" s="2" t="s">
        <v>5</v>
      </c>
      <c r="D144" s="2">
        <v>3.3</v>
      </c>
      <c r="E144" s="2">
        <v>0.2</v>
      </c>
      <c r="F144" s="2">
        <v>0.6</v>
      </c>
      <c r="G144" s="2">
        <v>0.6</v>
      </c>
      <c r="H144" s="2">
        <v>0</v>
      </c>
      <c r="I144" s="2">
        <v>0</v>
      </c>
      <c r="J144" s="2">
        <v>0</v>
      </c>
      <c r="K144" s="2">
        <v>-1.05</v>
      </c>
      <c r="L144" s="2">
        <v>1.78</v>
      </c>
      <c r="M144" s="2">
        <v>4.6100000000000003</v>
      </c>
      <c r="N144" s="42">
        <v>3500</v>
      </c>
      <c r="O144" s="2">
        <v>0.51</v>
      </c>
    </row>
    <row r="145" spans="1:15" x14ac:dyDescent="0.25">
      <c r="A145" s="2" t="s">
        <v>217</v>
      </c>
      <c r="B145" s="2" t="s">
        <v>229</v>
      </c>
      <c r="C145" s="2" t="s">
        <v>1</v>
      </c>
      <c r="D145" s="2">
        <v>2</v>
      </c>
      <c r="E145" s="2">
        <v>0.8</v>
      </c>
      <c r="F145" s="2">
        <v>0.2</v>
      </c>
      <c r="G145" s="2">
        <v>0.4</v>
      </c>
      <c r="H145" s="2">
        <v>0</v>
      </c>
      <c r="I145" s="2">
        <v>0</v>
      </c>
      <c r="J145" s="2">
        <v>0.1</v>
      </c>
      <c r="K145" s="2">
        <v>0.63</v>
      </c>
      <c r="L145" s="2">
        <v>1.63</v>
      </c>
      <c r="M145" s="2">
        <v>2.63</v>
      </c>
      <c r="N145" s="42">
        <v>3500</v>
      </c>
      <c r="O145" s="2">
        <v>0.47</v>
      </c>
    </row>
    <row r="146" spans="1:15" x14ac:dyDescent="0.25">
      <c r="A146" s="2" t="s">
        <v>218</v>
      </c>
      <c r="B146" s="2" t="s">
        <v>228</v>
      </c>
      <c r="C146" s="2" t="s">
        <v>5</v>
      </c>
      <c r="D146" s="2">
        <v>2.2999999999999998</v>
      </c>
      <c r="E146" s="2">
        <v>0.4</v>
      </c>
      <c r="F146" s="2">
        <v>0.3</v>
      </c>
      <c r="G146" s="2">
        <v>0.3</v>
      </c>
      <c r="H146" s="2">
        <v>0</v>
      </c>
      <c r="I146" s="2">
        <v>0</v>
      </c>
      <c r="J146" s="2">
        <v>0.1</v>
      </c>
      <c r="K146" s="2">
        <v>-1.07</v>
      </c>
      <c r="L146" s="2">
        <v>1.19</v>
      </c>
      <c r="M146" s="2">
        <v>3.45</v>
      </c>
      <c r="N146" s="42">
        <v>3500</v>
      </c>
      <c r="O146" s="2">
        <v>0.34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79"/>
  <sheetViews>
    <sheetView workbookViewId="0">
      <selection activeCell="F20" sqref="F20"/>
    </sheetView>
  </sheetViews>
  <sheetFormatPr defaultRowHeight="15" x14ac:dyDescent="0.25"/>
  <cols>
    <col min="1" max="1" width="11.7109375" bestFit="1" customWidth="1"/>
    <col min="4" max="4" width="13.42578125" bestFit="1" customWidth="1"/>
    <col min="13" max="13" width="13.42578125" bestFit="1" customWidth="1"/>
  </cols>
  <sheetData>
    <row r="1" spans="1:13" x14ac:dyDescent="0.25">
      <c r="A1" t="s">
        <v>233</v>
      </c>
      <c r="B1" t="s">
        <v>0</v>
      </c>
      <c r="C1" t="s">
        <v>234</v>
      </c>
      <c r="D1" t="s">
        <v>235</v>
      </c>
      <c r="E1" t="s">
        <v>236</v>
      </c>
      <c r="F1" t="s">
        <v>237</v>
      </c>
      <c r="G1" t="s">
        <v>238</v>
      </c>
      <c r="H1" t="s">
        <v>72</v>
      </c>
      <c r="I1" t="s">
        <v>71</v>
      </c>
      <c r="J1" t="s">
        <v>219</v>
      </c>
      <c r="K1" t="s">
        <v>239</v>
      </c>
      <c r="L1" t="s">
        <v>240</v>
      </c>
      <c r="M1" t="s">
        <v>241</v>
      </c>
    </row>
    <row r="2" spans="1:13" x14ac:dyDescent="0.25">
      <c r="A2" t="s">
        <v>242</v>
      </c>
      <c r="B2" t="s">
        <v>5</v>
      </c>
      <c r="C2" t="s">
        <v>30</v>
      </c>
      <c r="D2" s="2" t="str">
        <f t="shared" ref="D2:D66" si="0">C2&amp;" "&amp;E2</f>
        <v>James Harden</v>
      </c>
      <c r="E2" t="s">
        <v>243</v>
      </c>
      <c r="F2">
        <v>54.048276703933098</v>
      </c>
      <c r="G2">
        <v>58</v>
      </c>
      <c r="H2">
        <v>12600</v>
      </c>
      <c r="I2" t="s">
        <v>244</v>
      </c>
      <c r="J2" t="s">
        <v>221</v>
      </c>
      <c r="K2" t="s">
        <v>220</v>
      </c>
    </row>
    <row r="3" spans="1:13" x14ac:dyDescent="0.25">
      <c r="A3" t="s">
        <v>245</v>
      </c>
      <c r="B3" t="s">
        <v>3</v>
      </c>
      <c r="C3" t="s">
        <v>246</v>
      </c>
      <c r="D3" s="2" t="str">
        <f t="shared" si="0"/>
        <v>LeBron James</v>
      </c>
      <c r="E3" t="s">
        <v>30</v>
      </c>
      <c r="F3">
        <v>48.023075984074502</v>
      </c>
      <c r="G3">
        <v>52</v>
      </c>
      <c r="H3">
        <v>11200</v>
      </c>
      <c r="I3" t="s">
        <v>247</v>
      </c>
      <c r="J3" t="s">
        <v>31</v>
      </c>
      <c r="K3" t="s">
        <v>227</v>
      </c>
    </row>
    <row r="4" spans="1:13" x14ac:dyDescent="0.25">
      <c r="A4" t="s">
        <v>248</v>
      </c>
      <c r="B4" t="s">
        <v>4</v>
      </c>
      <c r="C4" t="s">
        <v>249</v>
      </c>
      <c r="D4" s="2" t="str">
        <f t="shared" si="0"/>
        <v>DeMarcus Cousins</v>
      </c>
      <c r="E4" t="s">
        <v>250</v>
      </c>
      <c r="F4">
        <v>49.3963645241477</v>
      </c>
      <c r="G4">
        <v>55</v>
      </c>
      <c r="H4">
        <v>11000</v>
      </c>
      <c r="I4" t="s">
        <v>244</v>
      </c>
      <c r="J4" t="s">
        <v>220</v>
      </c>
      <c r="K4" t="s">
        <v>221</v>
      </c>
    </row>
    <row r="5" spans="1:13" x14ac:dyDescent="0.25">
      <c r="A5" t="s">
        <v>251</v>
      </c>
      <c r="B5" t="s">
        <v>2</v>
      </c>
      <c r="C5" t="s">
        <v>252</v>
      </c>
      <c r="D5" s="2" t="str">
        <f t="shared" si="0"/>
        <v>Nikola Jokic</v>
      </c>
      <c r="E5" t="s">
        <v>253</v>
      </c>
      <c r="F5">
        <v>34.679592833226998</v>
      </c>
      <c r="G5">
        <v>49</v>
      </c>
      <c r="H5">
        <v>10900</v>
      </c>
      <c r="I5" t="s">
        <v>254</v>
      </c>
      <c r="J5" t="s">
        <v>222</v>
      </c>
      <c r="K5" t="s">
        <v>51</v>
      </c>
    </row>
    <row r="6" spans="1:13" x14ac:dyDescent="0.25">
      <c r="A6" t="s">
        <v>255</v>
      </c>
      <c r="B6" t="s">
        <v>2</v>
      </c>
      <c r="C6" t="s">
        <v>256</v>
      </c>
      <c r="D6" s="2" t="str">
        <f t="shared" si="0"/>
        <v>Anthony Davis</v>
      </c>
      <c r="E6" t="s">
        <v>257</v>
      </c>
      <c r="F6">
        <v>50.186790610259401</v>
      </c>
      <c r="G6">
        <v>53</v>
      </c>
      <c r="H6">
        <v>10600</v>
      </c>
      <c r="I6" t="s">
        <v>244</v>
      </c>
      <c r="J6" t="s">
        <v>220</v>
      </c>
      <c r="K6" t="s">
        <v>221</v>
      </c>
    </row>
    <row r="7" spans="1:13" x14ac:dyDescent="0.25">
      <c r="A7" t="s">
        <v>258</v>
      </c>
      <c r="B7" t="s">
        <v>3</v>
      </c>
      <c r="C7" t="s">
        <v>259</v>
      </c>
      <c r="D7" s="2" t="str">
        <f t="shared" si="0"/>
        <v>Kevin Durant</v>
      </c>
      <c r="E7" t="s">
        <v>260</v>
      </c>
      <c r="F7">
        <v>46.274998256138304</v>
      </c>
      <c r="G7">
        <v>56</v>
      </c>
      <c r="H7">
        <v>10300</v>
      </c>
      <c r="I7" t="s">
        <v>261</v>
      </c>
      <c r="J7" t="s">
        <v>225</v>
      </c>
      <c r="K7" t="s">
        <v>226</v>
      </c>
    </row>
    <row r="8" spans="1:13" x14ac:dyDescent="0.25">
      <c r="A8" t="s">
        <v>262</v>
      </c>
      <c r="B8" t="s">
        <v>2</v>
      </c>
      <c r="C8" t="s">
        <v>263</v>
      </c>
      <c r="D8" s="2" t="str">
        <f t="shared" si="0"/>
        <v>Blake Griffin</v>
      </c>
      <c r="E8" t="s">
        <v>264</v>
      </c>
      <c r="F8">
        <v>40.7277764214409</v>
      </c>
      <c r="G8">
        <v>36</v>
      </c>
      <c r="H8">
        <v>9700</v>
      </c>
      <c r="I8" t="s">
        <v>261</v>
      </c>
      <c r="J8" t="s">
        <v>226</v>
      </c>
      <c r="K8" t="s">
        <v>225</v>
      </c>
    </row>
    <row r="9" spans="1:13" x14ac:dyDescent="0.25">
      <c r="A9" t="s">
        <v>265</v>
      </c>
      <c r="B9" t="s">
        <v>1</v>
      </c>
      <c r="C9" t="s">
        <v>266</v>
      </c>
      <c r="D9" s="2" t="str">
        <f t="shared" si="0"/>
        <v>Stephen Curry</v>
      </c>
      <c r="E9" t="s">
        <v>267</v>
      </c>
      <c r="F9">
        <v>40.309090909090898</v>
      </c>
      <c r="G9">
        <v>55</v>
      </c>
      <c r="H9">
        <v>9100</v>
      </c>
      <c r="I9" t="s">
        <v>261</v>
      </c>
      <c r="J9" t="s">
        <v>225</v>
      </c>
      <c r="K9" t="s">
        <v>226</v>
      </c>
    </row>
    <row r="10" spans="1:13" x14ac:dyDescent="0.25">
      <c r="A10" t="s">
        <v>268</v>
      </c>
      <c r="B10" t="s">
        <v>1</v>
      </c>
      <c r="C10" t="s">
        <v>269</v>
      </c>
      <c r="D10" s="2" t="str">
        <f t="shared" si="0"/>
        <v>Kyrie Irving</v>
      </c>
      <c r="E10" t="s">
        <v>270</v>
      </c>
      <c r="F10">
        <v>37.373470384247398</v>
      </c>
      <c r="G10">
        <v>49</v>
      </c>
      <c r="H10">
        <v>9000</v>
      </c>
      <c r="I10" t="s">
        <v>247</v>
      </c>
      <c r="J10" t="s">
        <v>31</v>
      </c>
      <c r="K10" t="s">
        <v>227</v>
      </c>
    </row>
    <row r="11" spans="1:13" x14ac:dyDescent="0.25">
      <c r="A11" t="s">
        <v>271</v>
      </c>
      <c r="B11" t="s">
        <v>1</v>
      </c>
      <c r="C11" t="s">
        <v>272</v>
      </c>
      <c r="D11" s="2" t="str">
        <f t="shared" si="0"/>
        <v>Chris Paul</v>
      </c>
      <c r="E11" t="s">
        <v>52</v>
      </c>
      <c r="F11">
        <v>40.7361111111111</v>
      </c>
      <c r="G11">
        <v>36</v>
      </c>
      <c r="H11">
        <v>8800</v>
      </c>
      <c r="I11" t="s">
        <v>261</v>
      </c>
      <c r="J11" t="s">
        <v>226</v>
      </c>
      <c r="K11" t="s">
        <v>225</v>
      </c>
      <c r="L11" t="s">
        <v>35</v>
      </c>
      <c r="M11" t="s">
        <v>39</v>
      </c>
    </row>
    <row r="12" spans="1:13" x14ac:dyDescent="0.25">
      <c r="A12" t="s">
        <v>273</v>
      </c>
      <c r="B12" t="s">
        <v>3</v>
      </c>
      <c r="C12" t="s">
        <v>274</v>
      </c>
      <c r="D12" s="2" t="str">
        <f t="shared" si="0"/>
        <v>Carmelo Anthony</v>
      </c>
      <c r="E12" t="s">
        <v>256</v>
      </c>
      <c r="F12">
        <v>35.621429443359297</v>
      </c>
      <c r="G12">
        <v>56</v>
      </c>
      <c r="H12">
        <v>8600</v>
      </c>
      <c r="I12" t="s">
        <v>247</v>
      </c>
      <c r="J12" t="s">
        <v>227</v>
      </c>
      <c r="K12" t="s">
        <v>31</v>
      </c>
    </row>
    <row r="13" spans="1:13" x14ac:dyDescent="0.25">
      <c r="A13" t="s">
        <v>275</v>
      </c>
      <c r="B13" t="s">
        <v>1</v>
      </c>
      <c r="C13" t="s">
        <v>276</v>
      </c>
      <c r="D13" s="2" t="str">
        <f t="shared" si="0"/>
        <v>Damian Lillard</v>
      </c>
      <c r="E13" t="s">
        <v>277</v>
      </c>
      <c r="F13">
        <v>39.745098039215598</v>
      </c>
      <c r="G13">
        <v>51</v>
      </c>
      <c r="H13">
        <v>8300</v>
      </c>
      <c r="I13" t="s">
        <v>278</v>
      </c>
      <c r="J13" t="s">
        <v>224</v>
      </c>
      <c r="K13" t="s">
        <v>228</v>
      </c>
    </row>
    <row r="14" spans="1:13" x14ac:dyDescent="0.25">
      <c r="A14" t="s">
        <v>279</v>
      </c>
      <c r="B14" t="s">
        <v>4</v>
      </c>
      <c r="C14" t="s">
        <v>280</v>
      </c>
      <c r="D14" s="2" t="str">
        <f t="shared" si="0"/>
        <v>Andre Drummond</v>
      </c>
      <c r="E14" t="s">
        <v>281</v>
      </c>
      <c r="F14">
        <v>36.533929007393901</v>
      </c>
      <c r="G14">
        <v>56</v>
      </c>
      <c r="H14">
        <v>8300</v>
      </c>
      <c r="I14" t="s">
        <v>282</v>
      </c>
      <c r="J14" t="s">
        <v>229</v>
      </c>
      <c r="K14" t="s">
        <v>223</v>
      </c>
    </row>
    <row r="15" spans="1:13" x14ac:dyDescent="0.25">
      <c r="A15" t="s">
        <v>283</v>
      </c>
      <c r="B15" t="s">
        <v>2</v>
      </c>
      <c r="C15" t="s">
        <v>259</v>
      </c>
      <c r="D15" s="2" t="str">
        <f t="shared" si="0"/>
        <v>Kevin Love</v>
      </c>
      <c r="E15" t="s">
        <v>284</v>
      </c>
      <c r="F15">
        <v>36.586956521739097</v>
      </c>
      <c r="G15">
        <v>46</v>
      </c>
      <c r="H15">
        <v>8100</v>
      </c>
      <c r="I15" t="s">
        <v>247</v>
      </c>
      <c r="J15" t="s">
        <v>31</v>
      </c>
      <c r="K15" t="s">
        <v>227</v>
      </c>
      <c r="L15" t="s">
        <v>33</v>
      </c>
      <c r="M15" t="s">
        <v>34</v>
      </c>
    </row>
    <row r="16" spans="1:13" x14ac:dyDescent="0.25">
      <c r="A16" t="s">
        <v>285</v>
      </c>
      <c r="B16" t="s">
        <v>1</v>
      </c>
      <c r="C16" t="s">
        <v>286</v>
      </c>
      <c r="D16" s="2" t="str">
        <f t="shared" si="0"/>
        <v>Jrue Holiday</v>
      </c>
      <c r="E16" t="s">
        <v>287</v>
      </c>
      <c r="F16">
        <v>33.654761904761898</v>
      </c>
      <c r="G16">
        <v>42</v>
      </c>
      <c r="H16">
        <v>8100</v>
      </c>
      <c r="I16" t="s">
        <v>244</v>
      </c>
      <c r="J16" t="s">
        <v>220</v>
      </c>
      <c r="K16" t="s">
        <v>221</v>
      </c>
    </row>
    <row r="17" spans="1:13" x14ac:dyDescent="0.25">
      <c r="A17" t="s">
        <v>288</v>
      </c>
      <c r="B17" t="s">
        <v>2</v>
      </c>
      <c r="C17" t="s">
        <v>289</v>
      </c>
      <c r="D17" s="2" t="str">
        <f t="shared" si="0"/>
        <v>Draymond Green</v>
      </c>
      <c r="E17" t="s">
        <v>290</v>
      </c>
      <c r="F17">
        <v>35.826416015625</v>
      </c>
      <c r="G17">
        <v>53</v>
      </c>
      <c r="H17">
        <v>7800</v>
      </c>
      <c r="I17" t="s">
        <v>261</v>
      </c>
      <c r="J17" t="s">
        <v>225</v>
      </c>
      <c r="K17" t="s">
        <v>226</v>
      </c>
    </row>
    <row r="18" spans="1:13" x14ac:dyDescent="0.25">
      <c r="A18" t="s">
        <v>291</v>
      </c>
      <c r="B18" t="s">
        <v>1</v>
      </c>
      <c r="C18" t="s">
        <v>292</v>
      </c>
      <c r="D18" s="2" t="str">
        <f t="shared" si="0"/>
        <v>Kemba Walker</v>
      </c>
      <c r="E18" t="s">
        <v>293</v>
      </c>
      <c r="F18">
        <v>36.127272727272697</v>
      </c>
      <c r="G18">
        <v>55</v>
      </c>
      <c r="H18">
        <v>7700</v>
      </c>
      <c r="I18" t="s">
        <v>282</v>
      </c>
      <c r="J18" t="s">
        <v>223</v>
      </c>
      <c r="K18" t="s">
        <v>229</v>
      </c>
    </row>
    <row r="19" spans="1:13" x14ac:dyDescent="0.25">
      <c r="A19" t="s">
        <v>294</v>
      </c>
      <c r="B19" t="s">
        <v>4</v>
      </c>
      <c r="C19" t="s">
        <v>295</v>
      </c>
      <c r="D19" s="2" t="str">
        <f t="shared" si="0"/>
        <v>DeAndre Jordan</v>
      </c>
      <c r="E19" t="s">
        <v>46</v>
      </c>
      <c r="F19">
        <v>33.258928571428498</v>
      </c>
      <c r="G19">
        <v>56</v>
      </c>
      <c r="H19">
        <v>7600</v>
      </c>
      <c r="I19" t="s">
        <v>261</v>
      </c>
      <c r="J19" t="s">
        <v>226</v>
      </c>
      <c r="K19" t="s">
        <v>225</v>
      </c>
    </row>
    <row r="20" spans="1:13" x14ac:dyDescent="0.25">
      <c r="A20" t="s">
        <v>296</v>
      </c>
      <c r="B20" t="s">
        <v>5</v>
      </c>
      <c r="C20" t="s">
        <v>297</v>
      </c>
      <c r="D20" s="2" t="str">
        <f t="shared" si="0"/>
        <v>C.J. McCollum</v>
      </c>
      <c r="E20" t="s">
        <v>298</v>
      </c>
      <c r="F20">
        <v>34.185714721679602</v>
      </c>
      <c r="G20">
        <v>56</v>
      </c>
      <c r="H20">
        <v>7600</v>
      </c>
      <c r="I20" t="s">
        <v>278</v>
      </c>
      <c r="J20" t="s">
        <v>224</v>
      </c>
      <c r="K20" t="s">
        <v>228</v>
      </c>
    </row>
    <row r="21" spans="1:13" x14ac:dyDescent="0.25">
      <c r="A21" t="s">
        <v>299</v>
      </c>
      <c r="B21" t="s">
        <v>5</v>
      </c>
      <c r="C21" t="s">
        <v>300</v>
      </c>
      <c r="D21" s="2" t="str">
        <f t="shared" si="0"/>
        <v>Nicolas Batum</v>
      </c>
      <c r="E21" t="s">
        <v>301</v>
      </c>
      <c r="F21">
        <v>32.816982053360803</v>
      </c>
      <c r="G21">
        <v>53</v>
      </c>
      <c r="H21">
        <v>7200</v>
      </c>
      <c r="I21" t="s">
        <v>282</v>
      </c>
      <c r="J21" t="s">
        <v>223</v>
      </c>
      <c r="K21" t="s">
        <v>229</v>
      </c>
    </row>
    <row r="22" spans="1:13" x14ac:dyDescent="0.25">
      <c r="A22" t="s">
        <v>302</v>
      </c>
      <c r="B22" t="s">
        <v>5</v>
      </c>
      <c r="C22" t="s">
        <v>303</v>
      </c>
      <c r="D22" s="2" t="str">
        <f t="shared" si="0"/>
        <v>Klay Thompson</v>
      </c>
      <c r="E22" t="s">
        <v>304</v>
      </c>
      <c r="F22">
        <v>30.462962962962902</v>
      </c>
      <c r="G22">
        <v>54</v>
      </c>
      <c r="H22">
        <v>7200</v>
      </c>
      <c r="I22" t="s">
        <v>261</v>
      </c>
      <c r="J22" t="s">
        <v>225</v>
      </c>
      <c r="K22" t="s">
        <v>226</v>
      </c>
    </row>
    <row r="23" spans="1:13" x14ac:dyDescent="0.25">
      <c r="A23" t="s">
        <v>305</v>
      </c>
      <c r="B23" t="s">
        <v>4</v>
      </c>
      <c r="C23" t="s">
        <v>252</v>
      </c>
      <c r="D23" s="2" t="str">
        <f t="shared" si="0"/>
        <v>Nikola Vucevic</v>
      </c>
      <c r="E23" t="s">
        <v>306</v>
      </c>
      <c r="F23">
        <v>32.376362748579503</v>
      </c>
      <c r="G23">
        <v>55</v>
      </c>
      <c r="H23">
        <v>7200</v>
      </c>
      <c r="I23" t="s">
        <v>278</v>
      </c>
      <c r="J23" t="s">
        <v>228</v>
      </c>
      <c r="K23" t="s">
        <v>224</v>
      </c>
    </row>
    <row r="24" spans="1:13" x14ac:dyDescent="0.25">
      <c r="A24" t="s">
        <v>307</v>
      </c>
      <c r="B24" t="s">
        <v>3</v>
      </c>
      <c r="C24" t="s">
        <v>308</v>
      </c>
      <c r="D24" s="2" t="str">
        <f t="shared" si="0"/>
        <v>Danilo Gallinari</v>
      </c>
      <c r="E24" t="s">
        <v>309</v>
      </c>
      <c r="F24">
        <v>26.850000554865002</v>
      </c>
      <c r="G24">
        <v>44</v>
      </c>
      <c r="H24">
        <v>6900</v>
      </c>
      <c r="I24" t="s">
        <v>254</v>
      </c>
      <c r="J24" t="s">
        <v>222</v>
      </c>
      <c r="K24" t="s">
        <v>51</v>
      </c>
      <c r="L24" t="s">
        <v>35</v>
      </c>
      <c r="M24" t="s">
        <v>310</v>
      </c>
    </row>
    <row r="25" spans="1:13" x14ac:dyDescent="0.25">
      <c r="A25" t="s">
        <v>311</v>
      </c>
      <c r="B25" t="s">
        <v>2</v>
      </c>
      <c r="C25" t="s">
        <v>312</v>
      </c>
      <c r="D25" s="2" t="str">
        <f t="shared" si="0"/>
        <v>Kristaps Porzingis</v>
      </c>
      <c r="E25" t="s">
        <v>313</v>
      </c>
      <c r="F25">
        <v>32.410203583386398</v>
      </c>
      <c r="G25">
        <v>49</v>
      </c>
      <c r="H25">
        <v>6600</v>
      </c>
      <c r="I25" t="s">
        <v>247</v>
      </c>
      <c r="J25" t="s">
        <v>227</v>
      </c>
      <c r="K25" t="s">
        <v>31</v>
      </c>
    </row>
    <row r="26" spans="1:13" x14ac:dyDescent="0.25">
      <c r="A26" t="s">
        <v>314</v>
      </c>
      <c r="B26" t="s">
        <v>3</v>
      </c>
      <c r="C26" t="s">
        <v>315</v>
      </c>
      <c r="D26" s="2" t="str">
        <f t="shared" si="0"/>
        <v>Wilson Chandler</v>
      </c>
      <c r="E26" t="s">
        <v>316</v>
      </c>
      <c r="F26">
        <v>27.586000976562499</v>
      </c>
      <c r="G26">
        <v>50</v>
      </c>
      <c r="H26">
        <v>6600</v>
      </c>
      <c r="I26" t="s">
        <v>254</v>
      </c>
      <c r="J26" t="s">
        <v>222</v>
      </c>
      <c r="K26" t="s">
        <v>51</v>
      </c>
      <c r="L26" t="s">
        <v>35</v>
      </c>
      <c r="M26" t="s">
        <v>40</v>
      </c>
    </row>
    <row r="27" spans="1:13" x14ac:dyDescent="0.25">
      <c r="A27" t="s">
        <v>317</v>
      </c>
      <c r="B27" t="s">
        <v>5</v>
      </c>
      <c r="C27" t="s">
        <v>318</v>
      </c>
      <c r="D27" s="2" t="str">
        <f t="shared" si="0"/>
        <v>Will Barton</v>
      </c>
      <c r="E27" t="s">
        <v>319</v>
      </c>
      <c r="F27">
        <v>25.626191638764801</v>
      </c>
      <c r="G27">
        <v>42</v>
      </c>
      <c r="H27">
        <v>6400</v>
      </c>
      <c r="I27" t="s">
        <v>254</v>
      </c>
      <c r="J27" t="s">
        <v>222</v>
      </c>
      <c r="K27" t="s">
        <v>51</v>
      </c>
    </row>
    <row r="28" spans="1:13" x14ac:dyDescent="0.25">
      <c r="A28" t="s">
        <v>320</v>
      </c>
      <c r="B28" t="s">
        <v>4</v>
      </c>
      <c r="C28" t="s">
        <v>321</v>
      </c>
      <c r="D28" s="2" t="str">
        <f t="shared" si="0"/>
        <v>Tristan Thompson</v>
      </c>
      <c r="E28" t="s">
        <v>304</v>
      </c>
      <c r="F28">
        <v>23.701817737926099</v>
      </c>
      <c r="G28">
        <v>55</v>
      </c>
      <c r="H28">
        <v>6300</v>
      </c>
      <c r="I28" t="s">
        <v>247</v>
      </c>
      <c r="J28" t="s">
        <v>31</v>
      </c>
      <c r="K28" t="s">
        <v>227</v>
      </c>
    </row>
    <row r="29" spans="1:13" x14ac:dyDescent="0.25">
      <c r="A29" t="s">
        <v>322</v>
      </c>
      <c r="B29" t="s">
        <v>1</v>
      </c>
      <c r="C29" t="s">
        <v>323</v>
      </c>
      <c r="D29" s="2" t="str">
        <f t="shared" si="0"/>
        <v>Derrick Rose</v>
      </c>
      <c r="E29" t="s">
        <v>324</v>
      </c>
      <c r="F29">
        <v>28.797917683919199</v>
      </c>
      <c r="G29">
        <v>48</v>
      </c>
      <c r="H29">
        <v>6200</v>
      </c>
      <c r="I29" t="s">
        <v>247</v>
      </c>
      <c r="J29" t="s">
        <v>227</v>
      </c>
      <c r="K29" t="s">
        <v>31</v>
      </c>
    </row>
    <row r="30" spans="1:13" x14ac:dyDescent="0.25">
      <c r="A30" t="s">
        <v>325</v>
      </c>
      <c r="B30" t="s">
        <v>2</v>
      </c>
      <c r="C30" t="s">
        <v>326</v>
      </c>
      <c r="D30" s="2" t="str">
        <f t="shared" si="0"/>
        <v>Kenneth Faried</v>
      </c>
      <c r="E30" t="s">
        <v>327</v>
      </c>
      <c r="F30">
        <v>22.787234042553099</v>
      </c>
      <c r="G30">
        <v>47</v>
      </c>
      <c r="H30">
        <v>6100</v>
      </c>
      <c r="I30" t="s">
        <v>254</v>
      </c>
      <c r="J30" t="s">
        <v>222</v>
      </c>
      <c r="K30" t="s">
        <v>51</v>
      </c>
      <c r="L30" t="s">
        <v>35</v>
      </c>
      <c r="M30" t="s">
        <v>38</v>
      </c>
    </row>
    <row r="31" spans="1:13" x14ac:dyDescent="0.25">
      <c r="A31" t="s">
        <v>328</v>
      </c>
      <c r="B31" t="s">
        <v>2</v>
      </c>
      <c r="C31" t="s">
        <v>329</v>
      </c>
      <c r="D31" s="2" t="str">
        <f t="shared" si="0"/>
        <v>Frank Kaminsky</v>
      </c>
      <c r="E31" t="s">
        <v>330</v>
      </c>
      <c r="F31">
        <v>20.7814805772569</v>
      </c>
      <c r="G31">
        <v>54</v>
      </c>
      <c r="H31">
        <v>6000</v>
      </c>
      <c r="I31" t="s">
        <v>282</v>
      </c>
      <c r="J31" t="s">
        <v>223</v>
      </c>
      <c r="K31" t="s">
        <v>229</v>
      </c>
    </row>
    <row r="32" spans="1:13" x14ac:dyDescent="0.25">
      <c r="A32" t="s">
        <v>331</v>
      </c>
      <c r="B32" t="s">
        <v>4</v>
      </c>
      <c r="C32" t="s">
        <v>332</v>
      </c>
      <c r="D32" s="2" t="str">
        <f t="shared" si="0"/>
        <v>Mason Plumlee</v>
      </c>
      <c r="E32" t="s">
        <v>333</v>
      </c>
      <c r="F32">
        <v>29.143636807528399</v>
      </c>
      <c r="G32">
        <v>55</v>
      </c>
      <c r="H32">
        <v>5900</v>
      </c>
      <c r="I32" t="s">
        <v>254</v>
      </c>
      <c r="J32" t="s">
        <v>222</v>
      </c>
      <c r="K32" t="s">
        <v>51</v>
      </c>
    </row>
    <row r="33" spans="1:13" x14ac:dyDescent="0.25">
      <c r="A33" t="s">
        <v>334</v>
      </c>
      <c r="B33" t="s">
        <v>4</v>
      </c>
      <c r="C33" t="s">
        <v>335</v>
      </c>
      <c r="D33" s="2" t="str">
        <f t="shared" si="0"/>
        <v>Guillermo Hernangomez</v>
      </c>
      <c r="E33" t="s">
        <v>336</v>
      </c>
      <c r="F33">
        <v>16.030612244897899</v>
      </c>
      <c r="G33">
        <v>49</v>
      </c>
      <c r="H33">
        <v>5800</v>
      </c>
      <c r="I33" t="s">
        <v>247</v>
      </c>
      <c r="J33" t="s">
        <v>227</v>
      </c>
      <c r="K33" t="s">
        <v>31</v>
      </c>
    </row>
    <row r="34" spans="1:13" x14ac:dyDescent="0.25">
      <c r="A34" t="s">
        <v>337</v>
      </c>
      <c r="B34" t="s">
        <v>3</v>
      </c>
      <c r="C34" t="s">
        <v>338</v>
      </c>
      <c r="D34" s="2" t="str">
        <f t="shared" si="0"/>
        <v>Marcus Morris</v>
      </c>
      <c r="E34" t="s">
        <v>339</v>
      </c>
      <c r="F34">
        <v>23.917857578822499</v>
      </c>
      <c r="G34">
        <v>56</v>
      </c>
      <c r="H34">
        <v>5800</v>
      </c>
      <c r="I34" t="s">
        <v>282</v>
      </c>
      <c r="J34" t="s">
        <v>229</v>
      </c>
      <c r="K34" t="s">
        <v>223</v>
      </c>
    </row>
    <row r="35" spans="1:13" x14ac:dyDescent="0.25">
      <c r="A35" t="s">
        <v>340</v>
      </c>
      <c r="B35" t="s">
        <v>2</v>
      </c>
      <c r="C35" t="s">
        <v>341</v>
      </c>
      <c r="D35" s="2" t="str">
        <f t="shared" si="0"/>
        <v>Al-Farouq Aminu</v>
      </c>
      <c r="E35" t="s">
        <v>342</v>
      </c>
      <c r="F35">
        <v>22.083783123944201</v>
      </c>
      <c r="G35">
        <v>37</v>
      </c>
      <c r="H35">
        <v>5700</v>
      </c>
      <c r="I35" t="s">
        <v>278</v>
      </c>
      <c r="J35" t="s">
        <v>224</v>
      </c>
      <c r="K35" t="s">
        <v>228</v>
      </c>
      <c r="L35" t="s">
        <v>33</v>
      </c>
      <c r="M35" t="s">
        <v>34</v>
      </c>
    </row>
    <row r="36" spans="1:13" x14ac:dyDescent="0.25">
      <c r="A36" t="s">
        <v>343</v>
      </c>
      <c r="B36" t="s">
        <v>3</v>
      </c>
      <c r="C36" t="s">
        <v>344</v>
      </c>
      <c r="D36" s="2" t="str">
        <f t="shared" si="0"/>
        <v>Michael Kidd-Gilchrist</v>
      </c>
      <c r="E36" t="s">
        <v>345</v>
      </c>
      <c r="F36">
        <v>23.060000887784</v>
      </c>
      <c r="G36">
        <v>55</v>
      </c>
      <c r="H36">
        <v>5600</v>
      </c>
      <c r="I36" t="s">
        <v>282</v>
      </c>
      <c r="J36" t="s">
        <v>223</v>
      </c>
      <c r="K36" t="s">
        <v>229</v>
      </c>
    </row>
    <row r="37" spans="1:13" x14ac:dyDescent="0.25">
      <c r="A37" t="s">
        <v>346</v>
      </c>
      <c r="B37" t="s">
        <v>1</v>
      </c>
      <c r="C37" t="s">
        <v>347</v>
      </c>
      <c r="D37" s="2" t="str">
        <f t="shared" si="0"/>
        <v>Jameer Nelson</v>
      </c>
      <c r="E37" t="s">
        <v>348</v>
      </c>
      <c r="F37">
        <v>19.164284842354899</v>
      </c>
      <c r="G37">
        <v>56</v>
      </c>
      <c r="H37">
        <v>5600</v>
      </c>
      <c r="I37" t="s">
        <v>254</v>
      </c>
      <c r="J37" t="s">
        <v>222</v>
      </c>
      <c r="K37" t="s">
        <v>51</v>
      </c>
    </row>
    <row r="38" spans="1:13" x14ac:dyDescent="0.25">
      <c r="A38" t="s">
        <v>349</v>
      </c>
      <c r="B38" t="s">
        <v>1</v>
      </c>
      <c r="C38" t="s">
        <v>350</v>
      </c>
      <c r="D38" s="2" t="str">
        <f t="shared" si="0"/>
        <v>Elfrid Payton</v>
      </c>
      <c r="E38" t="s">
        <v>351</v>
      </c>
      <c r="F38">
        <v>26.551724137931</v>
      </c>
      <c r="G38">
        <v>58</v>
      </c>
      <c r="H38">
        <v>5600</v>
      </c>
      <c r="I38" t="s">
        <v>278</v>
      </c>
      <c r="J38" t="s">
        <v>228</v>
      </c>
      <c r="K38" t="s">
        <v>224</v>
      </c>
    </row>
    <row r="39" spans="1:13" x14ac:dyDescent="0.25">
      <c r="A39" t="s">
        <v>352</v>
      </c>
      <c r="B39" t="s">
        <v>1</v>
      </c>
      <c r="C39" t="s">
        <v>353</v>
      </c>
      <c r="D39" s="2" t="str">
        <f t="shared" si="0"/>
        <v>Austin Rivers</v>
      </c>
      <c r="E39" t="s">
        <v>354</v>
      </c>
      <c r="F39">
        <v>19.481481481481399</v>
      </c>
      <c r="G39">
        <v>54</v>
      </c>
      <c r="H39">
        <v>5600</v>
      </c>
      <c r="I39" t="s">
        <v>261</v>
      </c>
      <c r="J39" t="s">
        <v>226</v>
      </c>
      <c r="K39" t="s">
        <v>225</v>
      </c>
    </row>
    <row r="40" spans="1:13" x14ac:dyDescent="0.25">
      <c r="A40" t="s">
        <v>355</v>
      </c>
      <c r="B40" t="s">
        <v>2</v>
      </c>
      <c r="C40" t="s">
        <v>58</v>
      </c>
      <c r="D40" s="2" t="str">
        <f t="shared" si="0"/>
        <v>Terrence Jones</v>
      </c>
      <c r="E40" t="s">
        <v>45</v>
      </c>
      <c r="F40">
        <v>22.982352462469301</v>
      </c>
      <c r="G40">
        <v>51</v>
      </c>
      <c r="H40">
        <v>5500</v>
      </c>
      <c r="I40" t="s">
        <v>244</v>
      </c>
      <c r="J40" t="s">
        <v>220</v>
      </c>
      <c r="K40" t="s">
        <v>221</v>
      </c>
    </row>
    <row r="41" spans="1:13" x14ac:dyDescent="0.25">
      <c r="A41" t="s">
        <v>356</v>
      </c>
      <c r="B41" t="s">
        <v>1</v>
      </c>
      <c r="C41" t="s">
        <v>357</v>
      </c>
      <c r="D41" s="2" t="str">
        <f t="shared" si="0"/>
        <v>Darren Collison</v>
      </c>
      <c r="E41" t="s">
        <v>358</v>
      </c>
      <c r="F41">
        <v>23.124489297672099</v>
      </c>
      <c r="G41">
        <v>49</v>
      </c>
      <c r="H41">
        <v>5500</v>
      </c>
      <c r="I41" t="s">
        <v>254</v>
      </c>
      <c r="J41" t="s">
        <v>51</v>
      </c>
      <c r="K41" t="s">
        <v>222</v>
      </c>
    </row>
    <row r="42" spans="1:13" x14ac:dyDescent="0.25">
      <c r="A42" t="s">
        <v>359</v>
      </c>
      <c r="B42" t="s">
        <v>1</v>
      </c>
      <c r="C42" t="s">
        <v>360</v>
      </c>
      <c r="D42" s="2" t="str">
        <f t="shared" si="0"/>
        <v>Reggie Jackson</v>
      </c>
      <c r="E42" t="s">
        <v>361</v>
      </c>
      <c r="F42">
        <v>25.561111450195298</v>
      </c>
      <c r="G42">
        <v>36</v>
      </c>
      <c r="H42">
        <v>5500</v>
      </c>
      <c r="I42" t="s">
        <v>282</v>
      </c>
      <c r="J42" t="s">
        <v>229</v>
      </c>
      <c r="K42" t="s">
        <v>223</v>
      </c>
    </row>
    <row r="43" spans="1:13" x14ac:dyDescent="0.25">
      <c r="A43" t="s">
        <v>362</v>
      </c>
      <c r="B43" t="s">
        <v>5</v>
      </c>
      <c r="C43" t="s">
        <v>363</v>
      </c>
      <c r="D43" s="2" t="str">
        <f t="shared" si="0"/>
        <v>Evan Fournier</v>
      </c>
      <c r="E43" t="s">
        <v>364</v>
      </c>
      <c r="F43">
        <v>25.586667209201298</v>
      </c>
      <c r="G43">
        <v>45</v>
      </c>
      <c r="H43">
        <v>5400</v>
      </c>
      <c r="I43" t="s">
        <v>278</v>
      </c>
      <c r="J43" t="s">
        <v>228</v>
      </c>
      <c r="K43" t="s">
        <v>224</v>
      </c>
    </row>
    <row r="44" spans="1:13" x14ac:dyDescent="0.25">
      <c r="A44" t="s">
        <v>365</v>
      </c>
      <c r="B44" t="s">
        <v>5</v>
      </c>
      <c r="C44" t="s">
        <v>366</v>
      </c>
      <c r="D44" s="2" t="str">
        <f t="shared" si="0"/>
        <v>Eric Gordon</v>
      </c>
      <c r="E44" t="s">
        <v>367</v>
      </c>
      <c r="F44">
        <v>25.073077862079298</v>
      </c>
      <c r="G44">
        <v>52</v>
      </c>
      <c r="H44">
        <v>5400</v>
      </c>
      <c r="I44" t="s">
        <v>244</v>
      </c>
      <c r="J44" t="s">
        <v>221</v>
      </c>
      <c r="K44" t="s">
        <v>220</v>
      </c>
    </row>
    <row r="45" spans="1:13" x14ac:dyDescent="0.25">
      <c r="A45" t="s">
        <v>368</v>
      </c>
      <c r="B45" t="s">
        <v>2</v>
      </c>
      <c r="C45" t="s">
        <v>369</v>
      </c>
      <c r="D45" s="2" t="str">
        <f t="shared" si="0"/>
        <v>Tobias Harris</v>
      </c>
      <c r="E45" t="s">
        <v>370</v>
      </c>
      <c r="F45">
        <v>25.810525459155699</v>
      </c>
      <c r="G45">
        <v>57</v>
      </c>
      <c r="H45">
        <v>5400</v>
      </c>
      <c r="I45" t="s">
        <v>282</v>
      </c>
      <c r="J45" t="s">
        <v>229</v>
      </c>
      <c r="K45" t="s">
        <v>223</v>
      </c>
    </row>
    <row r="46" spans="1:13" x14ac:dyDescent="0.25">
      <c r="A46" t="s">
        <v>371</v>
      </c>
      <c r="B46" t="s">
        <v>2</v>
      </c>
      <c r="C46" t="s">
        <v>372</v>
      </c>
      <c r="D46" s="2" t="str">
        <f t="shared" si="0"/>
        <v>Channing Frye</v>
      </c>
      <c r="E46" t="s">
        <v>373</v>
      </c>
      <c r="F46">
        <v>15.7708333333333</v>
      </c>
      <c r="G46">
        <v>48</v>
      </c>
      <c r="H46">
        <v>5400</v>
      </c>
      <c r="I46" t="s">
        <v>247</v>
      </c>
      <c r="J46" t="s">
        <v>31</v>
      </c>
      <c r="K46" t="s">
        <v>227</v>
      </c>
    </row>
    <row r="47" spans="1:13" x14ac:dyDescent="0.25">
      <c r="A47" t="s">
        <v>374</v>
      </c>
      <c r="B47" t="s">
        <v>3</v>
      </c>
      <c r="C47" t="s">
        <v>375</v>
      </c>
      <c r="D47" s="2" t="str">
        <f t="shared" si="0"/>
        <v>Trevor Ariza</v>
      </c>
      <c r="E47" t="s">
        <v>376</v>
      </c>
      <c r="F47">
        <v>25.2655176623114</v>
      </c>
      <c r="G47">
        <v>58</v>
      </c>
      <c r="H47">
        <v>5300</v>
      </c>
      <c r="I47" t="s">
        <v>244</v>
      </c>
      <c r="J47" t="s">
        <v>221</v>
      </c>
      <c r="K47" t="s">
        <v>220</v>
      </c>
    </row>
    <row r="48" spans="1:13" x14ac:dyDescent="0.25">
      <c r="A48" t="s">
        <v>377</v>
      </c>
      <c r="B48" t="s">
        <v>1</v>
      </c>
      <c r="C48" t="s">
        <v>37</v>
      </c>
      <c r="D48" s="2" t="str">
        <f t="shared" si="0"/>
        <v>Patrick Beverley</v>
      </c>
      <c r="E48" t="s">
        <v>378</v>
      </c>
      <c r="F48">
        <v>25.354544899680398</v>
      </c>
      <c r="G48">
        <v>44</v>
      </c>
      <c r="H48">
        <v>5300</v>
      </c>
      <c r="I48" t="s">
        <v>244</v>
      </c>
      <c r="J48" t="s">
        <v>221</v>
      </c>
      <c r="K48" t="s">
        <v>220</v>
      </c>
    </row>
    <row r="49" spans="1:13" x14ac:dyDescent="0.25">
      <c r="A49" t="s">
        <v>379</v>
      </c>
      <c r="B49" t="s">
        <v>4</v>
      </c>
      <c r="C49" t="s">
        <v>380</v>
      </c>
      <c r="D49" s="2" t="str">
        <f t="shared" si="0"/>
        <v>Cody Zeller</v>
      </c>
      <c r="E49" t="s">
        <v>381</v>
      </c>
      <c r="F49">
        <v>23.1435891175881</v>
      </c>
      <c r="G49">
        <v>39</v>
      </c>
      <c r="H49">
        <v>5200</v>
      </c>
      <c r="I49" t="s">
        <v>282</v>
      </c>
      <c r="J49" t="s">
        <v>223</v>
      </c>
      <c r="K49" t="s">
        <v>229</v>
      </c>
      <c r="L49" t="s">
        <v>33</v>
      </c>
      <c r="M49" t="s">
        <v>382</v>
      </c>
    </row>
    <row r="50" spans="1:13" x14ac:dyDescent="0.25">
      <c r="A50" t="s">
        <v>383</v>
      </c>
      <c r="B50" t="s">
        <v>3</v>
      </c>
      <c r="C50" t="s">
        <v>384</v>
      </c>
      <c r="D50" s="2" t="str">
        <f t="shared" si="0"/>
        <v>Matt Barnes</v>
      </c>
      <c r="E50" t="s">
        <v>385</v>
      </c>
      <c r="F50">
        <v>18.7518513997395</v>
      </c>
      <c r="G50">
        <v>54</v>
      </c>
      <c r="H50">
        <v>5200</v>
      </c>
      <c r="I50" t="s">
        <v>254</v>
      </c>
      <c r="J50" t="s">
        <v>51</v>
      </c>
      <c r="K50" t="s">
        <v>222</v>
      </c>
    </row>
    <row r="51" spans="1:13" x14ac:dyDescent="0.25">
      <c r="A51" t="s">
        <v>386</v>
      </c>
      <c r="B51" t="s">
        <v>5</v>
      </c>
      <c r="C51" t="s">
        <v>387</v>
      </c>
      <c r="D51" s="2" t="str">
        <f t="shared" si="0"/>
        <v>Gary Harris</v>
      </c>
      <c r="E51" t="s">
        <v>370</v>
      </c>
      <c r="F51">
        <v>22.328125</v>
      </c>
      <c r="G51">
        <v>32</v>
      </c>
      <c r="H51">
        <v>5200</v>
      </c>
      <c r="I51" t="s">
        <v>254</v>
      </c>
      <c r="J51" t="s">
        <v>222</v>
      </c>
      <c r="K51" t="s">
        <v>51</v>
      </c>
    </row>
    <row r="52" spans="1:13" x14ac:dyDescent="0.25">
      <c r="A52" t="s">
        <v>388</v>
      </c>
      <c r="B52" t="s">
        <v>2</v>
      </c>
      <c r="C52" t="s">
        <v>389</v>
      </c>
      <c r="D52" s="2" t="str">
        <f t="shared" si="0"/>
        <v>Marvin Williams</v>
      </c>
      <c r="E52" t="s">
        <v>390</v>
      </c>
      <c r="F52">
        <v>21.283999023437499</v>
      </c>
      <c r="G52">
        <v>50</v>
      </c>
      <c r="H52">
        <v>5100</v>
      </c>
      <c r="I52" t="s">
        <v>282</v>
      </c>
      <c r="J52" t="s">
        <v>223</v>
      </c>
      <c r="K52" t="s">
        <v>229</v>
      </c>
    </row>
    <row r="53" spans="1:13" x14ac:dyDescent="0.25">
      <c r="A53" t="s">
        <v>391</v>
      </c>
      <c r="B53" t="s">
        <v>4</v>
      </c>
      <c r="C53" t="s">
        <v>392</v>
      </c>
      <c r="D53" s="2" t="str">
        <f t="shared" si="0"/>
        <v>Clint Capela</v>
      </c>
      <c r="E53" t="s">
        <v>393</v>
      </c>
      <c r="F53">
        <v>24.702324445857499</v>
      </c>
      <c r="G53">
        <v>43</v>
      </c>
      <c r="H53">
        <v>5000</v>
      </c>
      <c r="I53" t="s">
        <v>244</v>
      </c>
      <c r="J53" t="s">
        <v>221</v>
      </c>
      <c r="K53" t="s">
        <v>220</v>
      </c>
    </row>
    <row r="54" spans="1:13" x14ac:dyDescent="0.25">
      <c r="A54" t="s">
        <v>394</v>
      </c>
      <c r="B54" t="s">
        <v>1</v>
      </c>
      <c r="C54" t="s">
        <v>54</v>
      </c>
      <c r="D54" s="2" t="str">
        <f t="shared" si="0"/>
        <v>Brandon Jennings</v>
      </c>
      <c r="E54" t="s">
        <v>395</v>
      </c>
      <c r="F54">
        <v>19.5732138497488</v>
      </c>
      <c r="G54">
        <v>56</v>
      </c>
      <c r="H54">
        <v>5000</v>
      </c>
      <c r="I54" t="s">
        <v>247</v>
      </c>
      <c r="J54" t="s">
        <v>227</v>
      </c>
      <c r="K54" t="s">
        <v>31</v>
      </c>
      <c r="L54" t="s">
        <v>35</v>
      </c>
      <c r="M54" t="s">
        <v>396</v>
      </c>
    </row>
    <row r="55" spans="1:13" x14ac:dyDescent="0.25">
      <c r="A55" t="s">
        <v>397</v>
      </c>
      <c r="B55" t="s">
        <v>5</v>
      </c>
      <c r="C55" t="s">
        <v>398</v>
      </c>
      <c r="D55" s="2" t="str">
        <f t="shared" si="0"/>
        <v>Kentavious Caldwell-Pope</v>
      </c>
      <c r="E55" t="s">
        <v>399</v>
      </c>
      <c r="F55">
        <v>24.101924015925398</v>
      </c>
      <c r="G55">
        <v>52</v>
      </c>
      <c r="H55">
        <v>4900</v>
      </c>
      <c r="I55" t="s">
        <v>282</v>
      </c>
      <c r="J55" t="s">
        <v>229</v>
      </c>
      <c r="K55" t="s">
        <v>223</v>
      </c>
    </row>
    <row r="56" spans="1:13" x14ac:dyDescent="0.25">
      <c r="A56" t="s">
        <v>400</v>
      </c>
      <c r="B56" t="s">
        <v>1</v>
      </c>
      <c r="C56" t="s">
        <v>401</v>
      </c>
      <c r="D56" s="2" t="str">
        <f t="shared" si="0"/>
        <v>Emmanuel Mudiay</v>
      </c>
      <c r="E56" t="s">
        <v>402</v>
      </c>
      <c r="F56">
        <v>21.988636363636299</v>
      </c>
      <c r="G56">
        <v>44</v>
      </c>
      <c r="H56">
        <v>4900</v>
      </c>
      <c r="I56" t="s">
        <v>254</v>
      </c>
      <c r="J56" t="s">
        <v>222</v>
      </c>
      <c r="K56" t="s">
        <v>51</v>
      </c>
    </row>
    <row r="57" spans="1:13" x14ac:dyDescent="0.25">
      <c r="A57" t="s">
        <v>403</v>
      </c>
      <c r="B57" t="s">
        <v>2</v>
      </c>
      <c r="C57" t="s">
        <v>404</v>
      </c>
      <c r="D57" s="2" t="str">
        <f t="shared" si="0"/>
        <v>Ryan Anderson</v>
      </c>
      <c r="E57" t="s">
        <v>405</v>
      </c>
      <c r="F57">
        <v>21.852727716619299</v>
      </c>
      <c r="G57">
        <v>55</v>
      </c>
      <c r="H57">
        <v>4800</v>
      </c>
      <c r="I57" t="s">
        <v>244</v>
      </c>
      <c r="J57" t="s">
        <v>221</v>
      </c>
      <c r="K57" t="s">
        <v>220</v>
      </c>
    </row>
    <row r="58" spans="1:13" x14ac:dyDescent="0.25">
      <c r="A58" t="s">
        <v>406</v>
      </c>
      <c r="B58" t="s">
        <v>5</v>
      </c>
      <c r="C58" t="s">
        <v>407</v>
      </c>
      <c r="D58" s="2" t="str">
        <f t="shared" si="0"/>
        <v>Jamal Crawford</v>
      </c>
      <c r="E58" t="s">
        <v>408</v>
      </c>
      <c r="F58">
        <v>18.8964276994977</v>
      </c>
      <c r="G58">
        <v>56</v>
      </c>
      <c r="H58">
        <v>4800</v>
      </c>
      <c r="I58" t="s">
        <v>261</v>
      </c>
      <c r="J58" t="s">
        <v>226</v>
      </c>
      <c r="K58" t="s">
        <v>225</v>
      </c>
    </row>
    <row r="59" spans="1:13" x14ac:dyDescent="0.25">
      <c r="A59" t="s">
        <v>409</v>
      </c>
      <c r="B59" t="s">
        <v>3</v>
      </c>
      <c r="C59" t="s">
        <v>363</v>
      </c>
      <c r="D59" s="2" t="str">
        <f t="shared" si="0"/>
        <v>Evan Turner</v>
      </c>
      <c r="E59" t="s">
        <v>410</v>
      </c>
      <c r="F59">
        <v>20.134000244140601</v>
      </c>
      <c r="G59">
        <v>50</v>
      </c>
      <c r="H59">
        <v>4700</v>
      </c>
      <c r="I59" t="s">
        <v>278</v>
      </c>
      <c r="J59" t="s">
        <v>224</v>
      </c>
      <c r="K59" t="s">
        <v>228</v>
      </c>
      <c r="L59" t="s">
        <v>33</v>
      </c>
      <c r="M59" t="s">
        <v>411</v>
      </c>
    </row>
    <row r="60" spans="1:13" x14ac:dyDescent="0.25">
      <c r="A60" t="s">
        <v>412</v>
      </c>
      <c r="B60" t="s">
        <v>2</v>
      </c>
      <c r="C60" t="s">
        <v>413</v>
      </c>
      <c r="D60" s="2" t="str">
        <f t="shared" si="0"/>
        <v>Jon Leuer</v>
      </c>
      <c r="E60" t="s">
        <v>414</v>
      </c>
      <c r="F60">
        <v>21.300000957414198</v>
      </c>
      <c r="G60">
        <v>51</v>
      </c>
      <c r="H60">
        <v>4700</v>
      </c>
      <c r="I60" t="s">
        <v>282</v>
      </c>
      <c r="J60" t="s">
        <v>229</v>
      </c>
      <c r="K60" t="s">
        <v>223</v>
      </c>
    </row>
    <row r="61" spans="1:13" x14ac:dyDescent="0.25">
      <c r="A61" t="s">
        <v>415</v>
      </c>
      <c r="B61" t="s">
        <v>3</v>
      </c>
      <c r="C61" t="s">
        <v>416</v>
      </c>
      <c r="D61" s="2" t="str">
        <f t="shared" si="0"/>
        <v>Maurice Harkless</v>
      </c>
      <c r="E61" t="s">
        <v>417</v>
      </c>
      <c r="F61">
        <v>20.6211547851562</v>
      </c>
      <c r="G61">
        <v>52</v>
      </c>
      <c r="H61">
        <v>4600</v>
      </c>
      <c r="I61" t="s">
        <v>278</v>
      </c>
      <c r="J61" t="s">
        <v>224</v>
      </c>
      <c r="K61" t="s">
        <v>228</v>
      </c>
    </row>
    <row r="62" spans="1:13" x14ac:dyDescent="0.25">
      <c r="A62" t="s">
        <v>418</v>
      </c>
      <c r="B62" t="s">
        <v>1</v>
      </c>
      <c r="C62" t="s">
        <v>419</v>
      </c>
      <c r="D62" s="2" t="str">
        <f t="shared" si="0"/>
        <v>Ty Lawson</v>
      </c>
      <c r="E62" t="s">
        <v>420</v>
      </c>
      <c r="F62">
        <v>19.447058584175799</v>
      </c>
      <c r="G62">
        <v>51</v>
      </c>
      <c r="H62">
        <v>4600</v>
      </c>
      <c r="I62" t="s">
        <v>254</v>
      </c>
      <c r="J62" t="s">
        <v>51</v>
      </c>
      <c r="K62" t="s">
        <v>222</v>
      </c>
    </row>
    <row r="63" spans="1:13" x14ac:dyDescent="0.25">
      <c r="A63" t="s">
        <v>421</v>
      </c>
      <c r="B63" t="s">
        <v>3</v>
      </c>
      <c r="C63" t="s">
        <v>422</v>
      </c>
      <c r="D63" s="2" t="str">
        <f t="shared" si="0"/>
        <v>Aaron Gordon</v>
      </c>
      <c r="E63" t="s">
        <v>367</v>
      </c>
      <c r="F63">
        <v>20.837500435965399</v>
      </c>
      <c r="G63">
        <v>56</v>
      </c>
      <c r="H63">
        <v>4500</v>
      </c>
      <c r="I63" t="s">
        <v>278</v>
      </c>
      <c r="J63" t="s">
        <v>228</v>
      </c>
      <c r="K63" t="s">
        <v>224</v>
      </c>
    </row>
    <row r="64" spans="1:13" x14ac:dyDescent="0.25">
      <c r="A64" t="s">
        <v>423</v>
      </c>
      <c r="B64" t="s">
        <v>5</v>
      </c>
      <c r="C64" t="s">
        <v>424</v>
      </c>
      <c r="D64" s="2" t="str">
        <f t="shared" si="0"/>
        <v>Courtney Lee</v>
      </c>
      <c r="E64" t="s">
        <v>425</v>
      </c>
      <c r="F64">
        <v>18.786538931039601</v>
      </c>
      <c r="G64">
        <v>52</v>
      </c>
      <c r="H64">
        <v>4500</v>
      </c>
      <c r="I64" t="s">
        <v>247</v>
      </c>
      <c r="J64" t="s">
        <v>227</v>
      </c>
      <c r="K64" t="s">
        <v>31</v>
      </c>
      <c r="L64" t="s">
        <v>35</v>
      </c>
      <c r="M64" t="s">
        <v>40</v>
      </c>
    </row>
    <row r="65" spans="1:13" x14ac:dyDescent="0.25">
      <c r="A65" t="s">
        <v>426</v>
      </c>
      <c r="B65" t="s">
        <v>5</v>
      </c>
      <c r="C65" t="s">
        <v>427</v>
      </c>
      <c r="D65" s="2" t="str">
        <f t="shared" si="0"/>
        <v>J.J. Redick</v>
      </c>
      <c r="E65" t="s">
        <v>428</v>
      </c>
      <c r="F65">
        <v>20.158491026680402</v>
      </c>
      <c r="G65">
        <v>53</v>
      </c>
      <c r="H65">
        <v>4500</v>
      </c>
      <c r="I65" t="s">
        <v>261</v>
      </c>
      <c r="J65" t="s">
        <v>226</v>
      </c>
      <c r="K65" t="s">
        <v>225</v>
      </c>
    </row>
    <row r="66" spans="1:13" x14ac:dyDescent="0.25">
      <c r="A66" t="s">
        <v>429</v>
      </c>
      <c r="B66" t="s">
        <v>5</v>
      </c>
      <c r="C66" t="s">
        <v>430</v>
      </c>
      <c r="D66" s="2" t="str">
        <f t="shared" si="0"/>
        <v>Tyreke Evans</v>
      </c>
      <c r="E66" t="s">
        <v>431</v>
      </c>
      <c r="F66">
        <v>19.3346158541165</v>
      </c>
      <c r="G66">
        <v>26</v>
      </c>
      <c r="H66">
        <v>4500</v>
      </c>
      <c r="I66" t="s">
        <v>254</v>
      </c>
      <c r="J66" t="s">
        <v>51</v>
      </c>
      <c r="K66" t="s">
        <v>222</v>
      </c>
    </row>
    <row r="67" spans="1:13" x14ac:dyDescent="0.25">
      <c r="A67" t="s">
        <v>432</v>
      </c>
      <c r="B67" t="s">
        <v>1</v>
      </c>
      <c r="C67" t="s">
        <v>433</v>
      </c>
      <c r="D67" s="2" t="str">
        <f t="shared" ref="D67:D130" si="1">C67&amp;" "&amp;E67</f>
        <v>Raymond Felton</v>
      </c>
      <c r="E67" t="s">
        <v>434</v>
      </c>
      <c r="F67">
        <v>16.649999547887699</v>
      </c>
      <c r="G67">
        <v>54</v>
      </c>
      <c r="H67">
        <v>4500</v>
      </c>
      <c r="I67" t="s">
        <v>261</v>
      </c>
      <c r="J67" t="s">
        <v>226</v>
      </c>
      <c r="K67" t="s">
        <v>225</v>
      </c>
    </row>
    <row r="68" spans="1:13" x14ac:dyDescent="0.25">
      <c r="A68" t="s">
        <v>435</v>
      </c>
      <c r="B68" t="s">
        <v>3</v>
      </c>
      <c r="C68" t="s">
        <v>280</v>
      </c>
      <c r="D68" s="2" t="str">
        <f t="shared" si="1"/>
        <v>Andre Iguodala</v>
      </c>
      <c r="E68" t="s">
        <v>436</v>
      </c>
      <c r="F68">
        <v>18.1111111111111</v>
      </c>
      <c r="G68">
        <v>54</v>
      </c>
      <c r="H68">
        <v>4400</v>
      </c>
      <c r="I68" t="s">
        <v>261</v>
      </c>
      <c r="J68" t="s">
        <v>225</v>
      </c>
      <c r="K68" t="s">
        <v>226</v>
      </c>
    </row>
    <row r="69" spans="1:13" x14ac:dyDescent="0.25">
      <c r="A69" t="s">
        <v>437</v>
      </c>
      <c r="B69" t="s">
        <v>4</v>
      </c>
      <c r="C69" t="s">
        <v>438</v>
      </c>
      <c r="D69" s="2" t="str">
        <f t="shared" si="1"/>
        <v>Zaza Pachulia</v>
      </c>
      <c r="E69" t="s">
        <v>439</v>
      </c>
      <c r="F69">
        <v>17.618182095614301</v>
      </c>
      <c r="G69">
        <v>44</v>
      </c>
      <c r="H69">
        <v>4400</v>
      </c>
      <c r="I69" t="s">
        <v>261</v>
      </c>
      <c r="J69" t="s">
        <v>225</v>
      </c>
      <c r="K69" t="s">
        <v>226</v>
      </c>
      <c r="L69" t="s">
        <v>35</v>
      </c>
      <c r="M69" t="s">
        <v>440</v>
      </c>
    </row>
    <row r="70" spans="1:13" x14ac:dyDescent="0.25">
      <c r="A70" t="s">
        <v>441</v>
      </c>
      <c r="B70" t="s">
        <v>4</v>
      </c>
      <c r="C70" t="s">
        <v>442</v>
      </c>
      <c r="D70" s="2" t="str">
        <f t="shared" si="1"/>
        <v>Nene Hilario</v>
      </c>
      <c r="E70" t="s">
        <v>443</v>
      </c>
      <c r="F70">
        <v>15.722916920979801</v>
      </c>
      <c r="G70">
        <v>48</v>
      </c>
      <c r="H70">
        <v>4300</v>
      </c>
      <c r="I70" t="s">
        <v>244</v>
      </c>
      <c r="J70" t="s">
        <v>221</v>
      </c>
      <c r="K70" t="s">
        <v>220</v>
      </c>
    </row>
    <row r="71" spans="1:13" x14ac:dyDescent="0.25">
      <c r="A71" t="s">
        <v>444</v>
      </c>
      <c r="B71" t="s">
        <v>5</v>
      </c>
      <c r="C71" t="s">
        <v>445</v>
      </c>
      <c r="D71" s="2" t="str">
        <f t="shared" si="1"/>
        <v>Kyle Korver</v>
      </c>
      <c r="E71" t="s">
        <v>446</v>
      </c>
      <c r="F71">
        <v>17.045097799862098</v>
      </c>
      <c r="G71">
        <v>51</v>
      </c>
      <c r="H71">
        <v>4300</v>
      </c>
      <c r="I71" t="s">
        <v>247</v>
      </c>
      <c r="J71" t="s">
        <v>31</v>
      </c>
      <c r="K71" t="s">
        <v>227</v>
      </c>
    </row>
    <row r="72" spans="1:13" x14ac:dyDescent="0.25">
      <c r="A72" t="s">
        <v>447</v>
      </c>
      <c r="B72" t="s">
        <v>4</v>
      </c>
      <c r="C72" t="s">
        <v>445</v>
      </c>
      <c r="D72" s="2" t="str">
        <f t="shared" si="1"/>
        <v>Kyle O'Quinn</v>
      </c>
      <c r="E72" t="s">
        <v>448</v>
      </c>
      <c r="F72">
        <v>17.530909312855101</v>
      </c>
      <c r="G72">
        <v>55</v>
      </c>
      <c r="H72">
        <v>4300</v>
      </c>
      <c r="I72" t="s">
        <v>247</v>
      </c>
      <c r="J72" t="s">
        <v>227</v>
      </c>
      <c r="K72" t="s">
        <v>31</v>
      </c>
    </row>
    <row r="73" spans="1:13" x14ac:dyDescent="0.25">
      <c r="A73" t="s">
        <v>449</v>
      </c>
      <c r="B73" t="s">
        <v>3</v>
      </c>
      <c r="C73" t="s">
        <v>450</v>
      </c>
      <c r="D73" s="2" t="str">
        <f t="shared" si="1"/>
        <v>Solomon Hill</v>
      </c>
      <c r="E73" t="s">
        <v>36</v>
      </c>
      <c r="F73">
        <v>15.4345458984375</v>
      </c>
      <c r="G73">
        <v>55</v>
      </c>
      <c r="H73">
        <v>4200</v>
      </c>
      <c r="I73" t="s">
        <v>244</v>
      </c>
      <c r="J73" t="s">
        <v>220</v>
      </c>
      <c r="K73" t="s">
        <v>221</v>
      </c>
    </row>
    <row r="74" spans="1:13" x14ac:dyDescent="0.25">
      <c r="A74" t="s">
        <v>451</v>
      </c>
      <c r="B74" t="s">
        <v>1</v>
      </c>
      <c r="C74" t="s">
        <v>452</v>
      </c>
      <c r="D74" s="2" t="str">
        <f t="shared" si="1"/>
        <v>Ish Smith</v>
      </c>
      <c r="E74" t="s">
        <v>42</v>
      </c>
      <c r="F74">
        <v>19.655356270926301</v>
      </c>
      <c r="G74">
        <v>56</v>
      </c>
      <c r="H74">
        <v>4200</v>
      </c>
      <c r="I74" t="s">
        <v>282</v>
      </c>
      <c r="J74" t="s">
        <v>229</v>
      </c>
      <c r="K74" t="s">
        <v>223</v>
      </c>
    </row>
    <row r="75" spans="1:13" x14ac:dyDescent="0.25">
      <c r="A75" t="s">
        <v>453</v>
      </c>
      <c r="B75" t="s">
        <v>5</v>
      </c>
      <c r="C75" t="s">
        <v>454</v>
      </c>
      <c r="D75" s="2" t="str">
        <f t="shared" si="1"/>
        <v>Garrett Temple</v>
      </c>
      <c r="E75" t="s">
        <v>455</v>
      </c>
      <c r="F75">
        <v>16.4979596819196</v>
      </c>
      <c r="G75">
        <v>49</v>
      </c>
      <c r="H75">
        <v>4100</v>
      </c>
      <c r="I75" t="s">
        <v>254</v>
      </c>
      <c r="J75" t="s">
        <v>51</v>
      </c>
      <c r="K75" t="s">
        <v>222</v>
      </c>
      <c r="L75" t="s">
        <v>33</v>
      </c>
      <c r="M75" t="s">
        <v>456</v>
      </c>
    </row>
    <row r="76" spans="1:13" x14ac:dyDescent="0.25">
      <c r="A76" t="s">
        <v>457</v>
      </c>
      <c r="B76" t="s">
        <v>2</v>
      </c>
      <c r="C76" t="s">
        <v>458</v>
      </c>
      <c r="D76" s="2" t="str">
        <f t="shared" si="1"/>
        <v>Darrell Arthur</v>
      </c>
      <c r="E76" t="s">
        <v>459</v>
      </c>
      <c r="F76">
        <v>12.9448273757408</v>
      </c>
      <c r="G76">
        <v>29</v>
      </c>
      <c r="H76">
        <v>4100</v>
      </c>
      <c r="I76" t="s">
        <v>254</v>
      </c>
      <c r="J76" t="s">
        <v>222</v>
      </c>
      <c r="K76" t="s">
        <v>51</v>
      </c>
      <c r="L76" t="s">
        <v>35</v>
      </c>
      <c r="M76" t="s">
        <v>40</v>
      </c>
    </row>
    <row r="77" spans="1:13" x14ac:dyDescent="0.25">
      <c r="A77" t="s">
        <v>460</v>
      </c>
      <c r="B77" t="s">
        <v>2</v>
      </c>
      <c r="C77" t="s">
        <v>323</v>
      </c>
      <c r="D77" s="2" t="str">
        <f t="shared" si="1"/>
        <v>Derrick Williams</v>
      </c>
      <c r="E77" t="s">
        <v>390</v>
      </c>
      <c r="F77">
        <v>11.3275862068965</v>
      </c>
      <c r="G77">
        <v>29</v>
      </c>
      <c r="H77">
        <v>4100</v>
      </c>
      <c r="I77" t="s">
        <v>247</v>
      </c>
      <c r="J77" t="s">
        <v>31</v>
      </c>
      <c r="K77" t="s">
        <v>227</v>
      </c>
    </row>
    <row r="78" spans="1:13" x14ac:dyDescent="0.25">
      <c r="A78" t="s">
        <v>461</v>
      </c>
      <c r="B78" t="s">
        <v>5</v>
      </c>
      <c r="C78" t="s">
        <v>462</v>
      </c>
      <c r="D78" s="2" t="str">
        <f t="shared" si="1"/>
        <v>Jeremy Lamb</v>
      </c>
      <c r="E78" t="s">
        <v>463</v>
      </c>
      <c r="F78">
        <v>16.9277784559461</v>
      </c>
      <c r="G78">
        <v>36</v>
      </c>
      <c r="H78">
        <v>4100</v>
      </c>
      <c r="I78" t="s">
        <v>282</v>
      </c>
      <c r="J78" t="s">
        <v>223</v>
      </c>
      <c r="K78" t="s">
        <v>229</v>
      </c>
    </row>
    <row r="79" spans="1:13" x14ac:dyDescent="0.25">
      <c r="A79" t="s">
        <v>464</v>
      </c>
      <c r="B79" t="s">
        <v>5</v>
      </c>
      <c r="C79" t="s">
        <v>465</v>
      </c>
      <c r="D79" s="2" t="str">
        <f t="shared" si="1"/>
        <v>Ben McLemore</v>
      </c>
      <c r="E79" t="s">
        <v>466</v>
      </c>
      <c r="F79">
        <v>10.0738096691313</v>
      </c>
      <c r="G79">
        <v>42</v>
      </c>
      <c r="H79">
        <v>4000</v>
      </c>
      <c r="I79" t="s">
        <v>254</v>
      </c>
      <c r="J79" t="s">
        <v>51</v>
      </c>
      <c r="K79" t="s">
        <v>222</v>
      </c>
    </row>
    <row r="80" spans="1:13" x14ac:dyDescent="0.25">
      <c r="A80" t="s">
        <v>467</v>
      </c>
      <c r="B80" t="s">
        <v>2</v>
      </c>
      <c r="C80" t="s">
        <v>468</v>
      </c>
      <c r="D80" s="2" t="str">
        <f t="shared" si="1"/>
        <v>Juancho Hernangomez</v>
      </c>
      <c r="E80" t="s">
        <v>336</v>
      </c>
      <c r="F80">
        <v>9.7550003051757805</v>
      </c>
      <c r="G80">
        <v>40</v>
      </c>
      <c r="H80">
        <v>3900</v>
      </c>
      <c r="I80" t="s">
        <v>254</v>
      </c>
      <c r="J80" t="s">
        <v>222</v>
      </c>
      <c r="K80" t="s">
        <v>51</v>
      </c>
    </row>
    <row r="81" spans="1:13" x14ac:dyDescent="0.25">
      <c r="A81" t="s">
        <v>469</v>
      </c>
      <c r="B81" t="s">
        <v>2</v>
      </c>
      <c r="C81" t="s">
        <v>470</v>
      </c>
      <c r="D81" s="2" t="str">
        <f t="shared" si="1"/>
        <v>Montrezl Harrell</v>
      </c>
      <c r="E81" t="s">
        <v>471</v>
      </c>
      <c r="F81">
        <v>17.2000002653702</v>
      </c>
      <c r="G81">
        <v>46</v>
      </c>
      <c r="H81">
        <v>3900</v>
      </c>
      <c r="I81" t="s">
        <v>244</v>
      </c>
      <c r="J81" t="s">
        <v>221</v>
      </c>
      <c r="K81" t="s">
        <v>220</v>
      </c>
    </row>
    <row r="82" spans="1:13" x14ac:dyDescent="0.25">
      <c r="A82" t="s">
        <v>472</v>
      </c>
      <c r="B82" t="s">
        <v>4</v>
      </c>
      <c r="C82" t="s">
        <v>473</v>
      </c>
      <c r="D82" s="2" t="str">
        <f t="shared" si="1"/>
        <v>Joakim Noah</v>
      </c>
      <c r="E82" t="s">
        <v>474</v>
      </c>
      <c r="F82">
        <v>20.5413048785665</v>
      </c>
      <c r="G82">
        <v>46</v>
      </c>
      <c r="H82">
        <v>3800</v>
      </c>
      <c r="I82" t="s">
        <v>247</v>
      </c>
      <c r="J82" t="s">
        <v>227</v>
      </c>
      <c r="K82" t="s">
        <v>31</v>
      </c>
      <c r="L82" t="s">
        <v>33</v>
      </c>
      <c r="M82" t="s">
        <v>456</v>
      </c>
    </row>
    <row r="83" spans="1:13" x14ac:dyDescent="0.25">
      <c r="A83" t="s">
        <v>475</v>
      </c>
      <c r="B83" t="s">
        <v>2</v>
      </c>
      <c r="C83" t="s">
        <v>476</v>
      </c>
      <c r="D83" s="2" t="str">
        <f t="shared" si="1"/>
        <v>Willie Cauley-Stein</v>
      </c>
      <c r="E83" t="s">
        <v>477</v>
      </c>
      <c r="F83">
        <v>11.12</v>
      </c>
      <c r="G83">
        <v>50</v>
      </c>
      <c r="H83">
        <v>3800</v>
      </c>
      <c r="I83" t="s">
        <v>254</v>
      </c>
      <c r="J83" t="s">
        <v>51</v>
      </c>
      <c r="K83" t="s">
        <v>222</v>
      </c>
    </row>
    <row r="84" spans="1:13" x14ac:dyDescent="0.25">
      <c r="A84" t="s">
        <v>478</v>
      </c>
      <c r="B84" t="s">
        <v>4</v>
      </c>
      <c r="C84" t="s">
        <v>479</v>
      </c>
      <c r="D84" s="2" t="str">
        <f t="shared" si="1"/>
        <v>Alexis Ajinca</v>
      </c>
      <c r="E84" t="s">
        <v>480</v>
      </c>
      <c r="F84">
        <v>12.143477730129</v>
      </c>
      <c r="G84">
        <v>23</v>
      </c>
      <c r="H84">
        <v>3800</v>
      </c>
      <c r="I84" t="s">
        <v>244</v>
      </c>
      <c r="J84" t="s">
        <v>220</v>
      </c>
      <c r="K84" t="s">
        <v>221</v>
      </c>
    </row>
    <row r="85" spans="1:13" x14ac:dyDescent="0.25">
      <c r="A85" t="s">
        <v>481</v>
      </c>
      <c r="B85" t="s">
        <v>4</v>
      </c>
      <c r="C85" t="s">
        <v>482</v>
      </c>
      <c r="D85" s="2" t="str">
        <f t="shared" si="1"/>
        <v>JaVale McGee</v>
      </c>
      <c r="E85" t="s">
        <v>483</v>
      </c>
      <c r="F85">
        <v>11.3686272116268</v>
      </c>
      <c r="G85">
        <v>51</v>
      </c>
      <c r="H85">
        <v>3700</v>
      </c>
      <c r="I85" t="s">
        <v>261</v>
      </c>
      <c r="J85" t="s">
        <v>225</v>
      </c>
      <c r="K85" t="s">
        <v>226</v>
      </c>
    </row>
    <row r="86" spans="1:13" x14ac:dyDescent="0.25">
      <c r="A86" t="s">
        <v>484</v>
      </c>
      <c r="B86" t="s">
        <v>4</v>
      </c>
      <c r="C86" t="s">
        <v>485</v>
      </c>
      <c r="D86" s="2" t="str">
        <f t="shared" si="1"/>
        <v>Jusuf Nurkic</v>
      </c>
      <c r="E86" t="s">
        <v>486</v>
      </c>
      <c r="F86">
        <v>17.921739661175199</v>
      </c>
      <c r="G86">
        <v>46</v>
      </c>
      <c r="H86">
        <v>3700</v>
      </c>
      <c r="I86" t="s">
        <v>278</v>
      </c>
      <c r="J86" t="s">
        <v>224</v>
      </c>
      <c r="K86" t="s">
        <v>228</v>
      </c>
    </row>
    <row r="87" spans="1:13" x14ac:dyDescent="0.25">
      <c r="A87" t="s">
        <v>487</v>
      </c>
      <c r="B87" t="s">
        <v>5</v>
      </c>
      <c r="C87" t="s">
        <v>297</v>
      </c>
      <c r="D87" s="2" t="str">
        <f t="shared" si="1"/>
        <v>C.J. Watson</v>
      </c>
      <c r="E87" t="s">
        <v>488</v>
      </c>
      <c r="F87">
        <v>9.8608696979025101</v>
      </c>
      <c r="G87">
        <v>46</v>
      </c>
      <c r="H87">
        <v>3700</v>
      </c>
      <c r="I87" t="s">
        <v>278</v>
      </c>
      <c r="J87" t="s">
        <v>228</v>
      </c>
      <c r="K87" t="s">
        <v>224</v>
      </c>
      <c r="L87" t="s">
        <v>33</v>
      </c>
      <c r="M87" t="s">
        <v>396</v>
      </c>
    </row>
    <row r="88" spans="1:13" x14ac:dyDescent="0.25">
      <c r="A88" t="s">
        <v>489</v>
      </c>
      <c r="B88" t="s">
        <v>1</v>
      </c>
      <c r="C88" t="s">
        <v>407</v>
      </c>
      <c r="D88" s="2" t="str">
        <f t="shared" si="1"/>
        <v>Jamal Murray</v>
      </c>
      <c r="E88" t="s">
        <v>490</v>
      </c>
      <c r="F88">
        <v>14.846429007393899</v>
      </c>
      <c r="G88">
        <v>56</v>
      </c>
      <c r="H88">
        <v>3700</v>
      </c>
      <c r="I88" t="s">
        <v>254</v>
      </c>
      <c r="J88" t="s">
        <v>222</v>
      </c>
      <c r="K88" t="s">
        <v>51</v>
      </c>
    </row>
    <row r="89" spans="1:13" x14ac:dyDescent="0.25">
      <c r="A89" t="s">
        <v>491</v>
      </c>
      <c r="B89" t="s">
        <v>2</v>
      </c>
      <c r="C89" t="s">
        <v>492</v>
      </c>
      <c r="D89" s="2" t="str">
        <f t="shared" si="1"/>
        <v>Ed Davis</v>
      </c>
      <c r="E89" t="s">
        <v>257</v>
      </c>
      <c r="F89">
        <v>12.3911105685763</v>
      </c>
      <c r="G89">
        <v>45</v>
      </c>
      <c r="H89">
        <v>3700</v>
      </c>
      <c r="I89" t="s">
        <v>278</v>
      </c>
      <c r="J89" t="s">
        <v>224</v>
      </c>
      <c r="K89" t="s">
        <v>228</v>
      </c>
    </row>
    <row r="90" spans="1:13" x14ac:dyDescent="0.25">
      <c r="A90" t="s">
        <v>493</v>
      </c>
      <c r="B90" t="s">
        <v>1</v>
      </c>
      <c r="C90" t="s">
        <v>46</v>
      </c>
      <c r="D90" s="2" t="str">
        <f t="shared" si="1"/>
        <v>Jordan Farmar</v>
      </c>
      <c r="E90" t="s">
        <v>494</v>
      </c>
      <c r="F90">
        <v>15.050000190734799</v>
      </c>
      <c r="G90">
        <v>2</v>
      </c>
      <c r="H90">
        <v>3700</v>
      </c>
      <c r="I90" t="s">
        <v>254</v>
      </c>
      <c r="J90" t="s">
        <v>51</v>
      </c>
      <c r="K90" t="s">
        <v>222</v>
      </c>
    </row>
    <row r="91" spans="1:13" x14ac:dyDescent="0.25">
      <c r="A91" t="s">
        <v>495</v>
      </c>
      <c r="B91" t="s">
        <v>4</v>
      </c>
      <c r="C91" t="s">
        <v>496</v>
      </c>
      <c r="D91" s="2" t="str">
        <f t="shared" si="1"/>
        <v>Bismack Biyombo</v>
      </c>
      <c r="E91" t="s">
        <v>497</v>
      </c>
      <c r="F91">
        <v>18.250878049616201</v>
      </c>
      <c r="G91">
        <v>57</v>
      </c>
      <c r="H91">
        <v>3700</v>
      </c>
      <c r="I91" t="s">
        <v>278</v>
      </c>
      <c r="J91" t="s">
        <v>228</v>
      </c>
      <c r="K91" t="s">
        <v>224</v>
      </c>
    </row>
    <row r="92" spans="1:13" x14ac:dyDescent="0.25">
      <c r="A92" t="s">
        <v>498</v>
      </c>
      <c r="B92" t="s">
        <v>5</v>
      </c>
      <c r="C92" t="s">
        <v>499</v>
      </c>
      <c r="D92" s="2" t="str">
        <f t="shared" si="1"/>
        <v>Iman Shumpert</v>
      </c>
      <c r="E92" t="s">
        <v>500</v>
      </c>
      <c r="F92">
        <v>15.162744858685601</v>
      </c>
      <c r="G92">
        <v>51</v>
      </c>
      <c r="H92">
        <v>3700</v>
      </c>
      <c r="I92" t="s">
        <v>247</v>
      </c>
      <c r="J92" t="s">
        <v>31</v>
      </c>
      <c r="K92" t="s">
        <v>227</v>
      </c>
    </row>
    <row r="93" spans="1:13" x14ac:dyDescent="0.25">
      <c r="A93" t="s">
        <v>501</v>
      </c>
      <c r="B93" t="s">
        <v>3</v>
      </c>
      <c r="C93" t="s">
        <v>502</v>
      </c>
      <c r="D93" s="2" t="str">
        <f t="shared" si="1"/>
        <v>Dante Cunningham</v>
      </c>
      <c r="E93" t="s">
        <v>503</v>
      </c>
      <c r="F93">
        <v>13.8333333333333</v>
      </c>
      <c r="G93">
        <v>42</v>
      </c>
      <c r="H93">
        <v>3700</v>
      </c>
      <c r="I93" t="s">
        <v>244</v>
      </c>
      <c r="J93" t="s">
        <v>220</v>
      </c>
      <c r="K93" t="s">
        <v>221</v>
      </c>
    </row>
    <row r="94" spans="1:13" x14ac:dyDescent="0.25">
      <c r="A94" t="s">
        <v>504</v>
      </c>
      <c r="B94" t="s">
        <v>5</v>
      </c>
      <c r="C94" t="s">
        <v>505</v>
      </c>
      <c r="D94" s="2" t="str">
        <f t="shared" si="1"/>
        <v>Jodie Meeks</v>
      </c>
      <c r="E94" t="s">
        <v>506</v>
      </c>
      <c r="F94">
        <v>15.429166158040299</v>
      </c>
      <c r="G94">
        <v>24</v>
      </c>
      <c r="H94">
        <v>3700</v>
      </c>
      <c r="I94" t="s">
        <v>278</v>
      </c>
      <c r="J94" t="s">
        <v>228</v>
      </c>
      <c r="K94" t="s">
        <v>224</v>
      </c>
      <c r="L94" t="s">
        <v>33</v>
      </c>
      <c r="M94" t="s">
        <v>39</v>
      </c>
    </row>
    <row r="95" spans="1:13" x14ac:dyDescent="0.25">
      <c r="A95" t="s">
        <v>507</v>
      </c>
      <c r="B95" t="s">
        <v>3</v>
      </c>
      <c r="C95" t="s">
        <v>508</v>
      </c>
      <c r="D95" s="2" t="str">
        <f t="shared" si="1"/>
        <v>Marco Belinelli</v>
      </c>
      <c r="E95" t="s">
        <v>509</v>
      </c>
      <c r="F95">
        <v>17.299999760646401</v>
      </c>
      <c r="G95">
        <v>51</v>
      </c>
      <c r="H95">
        <v>3700</v>
      </c>
      <c r="I95" t="s">
        <v>282</v>
      </c>
      <c r="J95" t="s">
        <v>223</v>
      </c>
      <c r="K95" t="s">
        <v>229</v>
      </c>
    </row>
    <row r="96" spans="1:13" x14ac:dyDescent="0.25">
      <c r="A96" t="s">
        <v>510</v>
      </c>
      <c r="B96" t="s">
        <v>2</v>
      </c>
      <c r="C96" t="s">
        <v>511</v>
      </c>
      <c r="D96" s="2" t="str">
        <f t="shared" si="1"/>
        <v>Cheick Diallo</v>
      </c>
      <c r="E96" t="s">
        <v>512</v>
      </c>
      <c r="F96">
        <v>10.433333502875399</v>
      </c>
      <c r="G96">
        <v>9</v>
      </c>
      <c r="H96">
        <v>3600</v>
      </c>
      <c r="I96" t="s">
        <v>244</v>
      </c>
      <c r="J96" t="s">
        <v>220</v>
      </c>
      <c r="K96" t="s">
        <v>221</v>
      </c>
    </row>
    <row r="97" spans="1:13" x14ac:dyDescent="0.25">
      <c r="A97" t="s">
        <v>513</v>
      </c>
      <c r="B97" t="s">
        <v>3</v>
      </c>
      <c r="C97" t="s">
        <v>514</v>
      </c>
      <c r="D97" s="2" t="str">
        <f t="shared" si="1"/>
        <v>Wesley Johnson</v>
      </c>
      <c r="E97" t="s">
        <v>515</v>
      </c>
      <c r="F97">
        <v>9.5408163265306101</v>
      </c>
      <c r="G97">
        <v>49</v>
      </c>
      <c r="H97">
        <v>3600</v>
      </c>
      <c r="I97" t="s">
        <v>261</v>
      </c>
      <c r="J97" t="s">
        <v>226</v>
      </c>
      <c r="K97" t="s">
        <v>225</v>
      </c>
    </row>
    <row r="98" spans="1:13" x14ac:dyDescent="0.25">
      <c r="A98" t="s">
        <v>516</v>
      </c>
      <c r="B98" t="s">
        <v>5</v>
      </c>
      <c r="C98" t="s">
        <v>517</v>
      </c>
      <c r="D98" s="2" t="str">
        <f t="shared" si="1"/>
        <v>Mario Hezonja</v>
      </c>
      <c r="E98" t="s">
        <v>518</v>
      </c>
      <c r="F98">
        <v>7.2878045803163101</v>
      </c>
      <c r="G98">
        <v>41</v>
      </c>
      <c r="H98">
        <v>3600</v>
      </c>
      <c r="I98" t="s">
        <v>278</v>
      </c>
      <c r="J98" t="s">
        <v>228</v>
      </c>
      <c r="K98" t="s">
        <v>224</v>
      </c>
    </row>
    <row r="99" spans="1:13" x14ac:dyDescent="0.25">
      <c r="A99" t="s">
        <v>519</v>
      </c>
      <c r="B99" t="s">
        <v>5</v>
      </c>
      <c r="C99" t="s">
        <v>65</v>
      </c>
      <c r="D99" s="2" t="str">
        <f t="shared" si="1"/>
        <v>Malachi Richardson</v>
      </c>
      <c r="E99" t="s">
        <v>53</v>
      </c>
      <c r="F99">
        <v>5.7772726579145903</v>
      </c>
      <c r="G99">
        <v>22</v>
      </c>
      <c r="H99">
        <v>3600</v>
      </c>
      <c r="I99" t="s">
        <v>254</v>
      </c>
      <c r="J99" t="s">
        <v>51</v>
      </c>
      <c r="K99" t="s">
        <v>222</v>
      </c>
      <c r="L99" t="s">
        <v>33</v>
      </c>
      <c r="M99" t="s">
        <v>456</v>
      </c>
    </row>
    <row r="100" spans="1:13" x14ac:dyDescent="0.25">
      <c r="A100" t="s">
        <v>520</v>
      </c>
      <c r="B100" t="s">
        <v>1</v>
      </c>
      <c r="C100" t="s">
        <v>521</v>
      </c>
      <c r="D100" s="2" t="str">
        <f t="shared" si="1"/>
        <v>Shaun Livingston</v>
      </c>
      <c r="E100" t="s">
        <v>522</v>
      </c>
      <c r="F100">
        <v>10.662744858685601</v>
      </c>
      <c r="G100">
        <v>51</v>
      </c>
      <c r="H100">
        <v>3600</v>
      </c>
      <c r="I100" t="s">
        <v>261</v>
      </c>
      <c r="J100" t="s">
        <v>225</v>
      </c>
      <c r="K100" t="s">
        <v>226</v>
      </c>
    </row>
    <row r="101" spans="1:13" x14ac:dyDescent="0.25">
      <c r="A101" t="s">
        <v>523</v>
      </c>
      <c r="B101" t="s">
        <v>3</v>
      </c>
      <c r="C101" t="s">
        <v>524</v>
      </c>
      <c r="D101" s="2" t="str">
        <f t="shared" si="1"/>
        <v>Jeff Green</v>
      </c>
      <c r="E101" t="s">
        <v>290</v>
      </c>
      <c r="F101">
        <v>15.1410718645368</v>
      </c>
      <c r="G101">
        <v>56</v>
      </c>
      <c r="H101">
        <v>3600</v>
      </c>
      <c r="I101" t="s">
        <v>278</v>
      </c>
      <c r="J101" t="s">
        <v>228</v>
      </c>
      <c r="K101" t="s">
        <v>224</v>
      </c>
    </row>
    <row r="102" spans="1:13" x14ac:dyDescent="0.25">
      <c r="A102" t="s">
        <v>525</v>
      </c>
      <c r="B102" t="s">
        <v>2</v>
      </c>
      <c r="C102" t="s">
        <v>256</v>
      </c>
      <c r="D102" s="2" t="str">
        <f t="shared" si="1"/>
        <v>Anthony Tolliver</v>
      </c>
      <c r="E102" t="s">
        <v>526</v>
      </c>
      <c r="F102">
        <v>13.9888888888888</v>
      </c>
      <c r="G102">
        <v>45</v>
      </c>
      <c r="H102">
        <v>3600</v>
      </c>
      <c r="I102" t="s">
        <v>254</v>
      </c>
      <c r="J102" t="s">
        <v>51</v>
      </c>
      <c r="K102" t="s">
        <v>222</v>
      </c>
    </row>
    <row r="103" spans="1:13" x14ac:dyDescent="0.25">
      <c r="A103" t="s">
        <v>527</v>
      </c>
      <c r="B103" t="s">
        <v>2</v>
      </c>
      <c r="C103" t="s">
        <v>528</v>
      </c>
      <c r="D103" s="2" t="str">
        <f t="shared" si="1"/>
        <v>Marreese Speights</v>
      </c>
      <c r="E103" t="s">
        <v>529</v>
      </c>
      <c r="F103">
        <v>17.7089287894112</v>
      </c>
      <c r="G103">
        <v>56</v>
      </c>
      <c r="H103">
        <v>3600</v>
      </c>
      <c r="I103" t="s">
        <v>261</v>
      </c>
      <c r="J103" t="s">
        <v>226</v>
      </c>
      <c r="K103" t="s">
        <v>225</v>
      </c>
    </row>
    <row r="104" spans="1:13" x14ac:dyDescent="0.25">
      <c r="A104" t="s">
        <v>530</v>
      </c>
      <c r="B104" t="s">
        <v>5</v>
      </c>
      <c r="C104" t="s">
        <v>531</v>
      </c>
      <c r="D104" s="2" t="str">
        <f t="shared" si="1"/>
        <v>E'Twaun Moore</v>
      </c>
      <c r="E104" t="s">
        <v>532</v>
      </c>
      <c r="F104">
        <v>17.062745337392698</v>
      </c>
      <c r="G104">
        <v>51</v>
      </c>
      <c r="H104">
        <v>3600</v>
      </c>
      <c r="I104" t="s">
        <v>244</v>
      </c>
      <c r="J104" t="s">
        <v>220</v>
      </c>
      <c r="K104" t="s">
        <v>221</v>
      </c>
    </row>
    <row r="105" spans="1:13" x14ac:dyDescent="0.25">
      <c r="A105" t="s">
        <v>533</v>
      </c>
      <c r="B105" t="s">
        <v>2</v>
      </c>
      <c r="C105" t="s">
        <v>60</v>
      </c>
      <c r="D105" s="2" t="str">
        <f t="shared" si="1"/>
        <v>Omri Casspi</v>
      </c>
      <c r="E105" t="s">
        <v>61</v>
      </c>
      <c r="F105">
        <v>12.772727272727201</v>
      </c>
      <c r="G105">
        <v>22</v>
      </c>
      <c r="H105">
        <v>3600</v>
      </c>
      <c r="I105" t="s">
        <v>244</v>
      </c>
      <c r="J105" t="s">
        <v>220</v>
      </c>
      <c r="K105" t="s">
        <v>221</v>
      </c>
    </row>
    <row r="106" spans="1:13" x14ac:dyDescent="0.25">
      <c r="A106" t="s">
        <v>534</v>
      </c>
      <c r="B106" t="s">
        <v>4</v>
      </c>
      <c r="C106" t="s">
        <v>62</v>
      </c>
      <c r="D106" s="2" t="str">
        <f t="shared" si="1"/>
        <v>Kosta Koufos</v>
      </c>
      <c r="E106" t="s">
        <v>63</v>
      </c>
      <c r="F106">
        <v>14.971930252878201</v>
      </c>
      <c r="G106">
        <v>57</v>
      </c>
      <c r="H106">
        <v>3500</v>
      </c>
      <c r="I106" t="s">
        <v>254</v>
      </c>
      <c r="J106" t="s">
        <v>51</v>
      </c>
      <c r="K106" t="s">
        <v>222</v>
      </c>
    </row>
    <row r="107" spans="1:13" x14ac:dyDescent="0.25">
      <c r="A107" t="s">
        <v>535</v>
      </c>
      <c r="B107" t="s">
        <v>3</v>
      </c>
      <c r="C107" t="s">
        <v>536</v>
      </c>
      <c r="D107" s="2" t="str">
        <f t="shared" si="1"/>
        <v>Mike Miller</v>
      </c>
      <c r="E107" t="s">
        <v>537</v>
      </c>
      <c r="F107">
        <v>4.0461537287785401</v>
      </c>
      <c r="G107">
        <v>13</v>
      </c>
      <c r="H107">
        <v>3500</v>
      </c>
      <c r="I107" t="s">
        <v>254</v>
      </c>
      <c r="J107" t="s">
        <v>222</v>
      </c>
      <c r="K107" t="s">
        <v>51</v>
      </c>
    </row>
    <row r="108" spans="1:13" x14ac:dyDescent="0.25">
      <c r="A108" t="s">
        <v>538</v>
      </c>
      <c r="B108" t="s">
        <v>1</v>
      </c>
      <c r="C108" t="s">
        <v>539</v>
      </c>
      <c r="D108" s="2" t="str">
        <f t="shared" si="1"/>
        <v>Archie Goodwin</v>
      </c>
      <c r="E108" t="s">
        <v>540</v>
      </c>
      <c r="F108">
        <v>6.1666666666666599</v>
      </c>
      <c r="G108">
        <v>3</v>
      </c>
      <c r="H108">
        <v>3500</v>
      </c>
      <c r="I108" t="s">
        <v>244</v>
      </c>
      <c r="J108" t="s">
        <v>220</v>
      </c>
      <c r="K108" t="s">
        <v>221</v>
      </c>
    </row>
    <row r="109" spans="1:13" x14ac:dyDescent="0.25">
      <c r="A109" t="s">
        <v>541</v>
      </c>
      <c r="B109" t="s">
        <v>5</v>
      </c>
      <c r="C109" t="s">
        <v>542</v>
      </c>
      <c r="D109" s="2" t="str">
        <f t="shared" si="1"/>
        <v>Malik Beasley</v>
      </c>
      <c r="E109" t="s">
        <v>543</v>
      </c>
      <c r="F109">
        <v>3.8555556403266</v>
      </c>
      <c r="G109">
        <v>18</v>
      </c>
      <c r="H109">
        <v>3500</v>
      </c>
      <c r="I109" t="s">
        <v>254</v>
      </c>
      <c r="J109" t="s">
        <v>222</v>
      </c>
      <c r="K109" t="s">
        <v>51</v>
      </c>
    </row>
    <row r="110" spans="1:13" x14ac:dyDescent="0.25">
      <c r="A110" t="s">
        <v>544</v>
      </c>
      <c r="B110" t="s">
        <v>4</v>
      </c>
      <c r="C110" t="s">
        <v>405</v>
      </c>
      <c r="D110" s="2" t="str">
        <f t="shared" si="1"/>
        <v>Anderson Varejao</v>
      </c>
      <c r="E110" t="s">
        <v>545</v>
      </c>
      <c r="F110">
        <v>4.9571429661342004</v>
      </c>
      <c r="G110">
        <v>14</v>
      </c>
      <c r="H110">
        <v>3500</v>
      </c>
      <c r="I110" t="s">
        <v>261</v>
      </c>
      <c r="J110" t="s">
        <v>225</v>
      </c>
      <c r="K110" t="s">
        <v>226</v>
      </c>
    </row>
    <row r="111" spans="1:13" x14ac:dyDescent="0.25">
      <c r="A111" t="s">
        <v>546</v>
      </c>
      <c r="B111" t="s">
        <v>3</v>
      </c>
      <c r="C111" t="s">
        <v>58</v>
      </c>
      <c r="D111" s="2" t="str">
        <f t="shared" si="1"/>
        <v>Terrence Ross</v>
      </c>
      <c r="E111" t="s">
        <v>64</v>
      </c>
      <c r="F111">
        <v>16.761110658998799</v>
      </c>
      <c r="G111">
        <v>54</v>
      </c>
      <c r="H111">
        <v>3500</v>
      </c>
      <c r="I111" t="s">
        <v>278</v>
      </c>
      <c r="J111" t="s">
        <v>228</v>
      </c>
      <c r="K111" t="s">
        <v>224</v>
      </c>
    </row>
    <row r="112" spans="1:13" x14ac:dyDescent="0.25">
      <c r="A112" t="s">
        <v>547</v>
      </c>
      <c r="B112" t="s">
        <v>5</v>
      </c>
      <c r="C112" t="s">
        <v>297</v>
      </c>
      <c r="D112" s="2" t="str">
        <f t="shared" si="1"/>
        <v>C.J. Wilcox</v>
      </c>
      <c r="E112" t="s">
        <v>548</v>
      </c>
      <c r="F112">
        <v>2.3937499523162802</v>
      </c>
      <c r="G112">
        <v>16</v>
      </c>
      <c r="H112">
        <v>3500</v>
      </c>
      <c r="I112" t="s">
        <v>278</v>
      </c>
      <c r="J112" t="s">
        <v>228</v>
      </c>
      <c r="K112" t="s">
        <v>224</v>
      </c>
      <c r="L112" t="s">
        <v>33</v>
      </c>
      <c r="M112" t="s">
        <v>396</v>
      </c>
    </row>
    <row r="113" spans="1:13" x14ac:dyDescent="0.25">
      <c r="A113" t="s">
        <v>549</v>
      </c>
      <c r="B113" t="s">
        <v>5</v>
      </c>
      <c r="C113" t="s">
        <v>41</v>
      </c>
      <c r="D113" s="2" t="str">
        <f t="shared" si="1"/>
        <v>J.R. Smith</v>
      </c>
      <c r="E113" t="s">
        <v>42</v>
      </c>
      <c r="F113">
        <v>15.6666666666666</v>
      </c>
      <c r="G113">
        <v>21</v>
      </c>
      <c r="H113">
        <v>3500</v>
      </c>
      <c r="I113" t="s">
        <v>247</v>
      </c>
      <c r="J113" t="s">
        <v>31</v>
      </c>
      <c r="K113" t="s">
        <v>227</v>
      </c>
      <c r="L113" t="s">
        <v>33</v>
      </c>
      <c r="M113" t="s">
        <v>39</v>
      </c>
    </row>
    <row r="114" spans="1:13" x14ac:dyDescent="0.25">
      <c r="A114" t="s">
        <v>550</v>
      </c>
      <c r="B114" t="s">
        <v>5</v>
      </c>
      <c r="C114" t="s">
        <v>37</v>
      </c>
      <c r="D114" s="2" t="str">
        <f t="shared" si="1"/>
        <v>Patrick McCaw</v>
      </c>
      <c r="E114" t="s">
        <v>551</v>
      </c>
      <c r="F114">
        <v>6.6130437436311098</v>
      </c>
      <c r="G114">
        <v>46</v>
      </c>
      <c r="H114">
        <v>3500</v>
      </c>
      <c r="I114" t="s">
        <v>261</v>
      </c>
      <c r="J114" t="s">
        <v>225</v>
      </c>
      <c r="K114" t="s">
        <v>226</v>
      </c>
    </row>
    <row r="115" spans="1:13" x14ac:dyDescent="0.25">
      <c r="A115" t="s">
        <v>552</v>
      </c>
      <c r="B115" t="s">
        <v>5</v>
      </c>
      <c r="C115" t="s">
        <v>56</v>
      </c>
      <c r="D115" s="2" t="str">
        <f t="shared" si="1"/>
        <v>Arron Afflalo</v>
      </c>
      <c r="E115" t="s">
        <v>57</v>
      </c>
      <c r="F115">
        <v>12.2673464405293</v>
      </c>
      <c r="G115">
        <v>49</v>
      </c>
      <c r="H115">
        <v>3500</v>
      </c>
      <c r="I115" t="s">
        <v>254</v>
      </c>
      <c r="J115" t="s">
        <v>51</v>
      </c>
      <c r="K115" t="s">
        <v>222</v>
      </c>
      <c r="L115" t="s">
        <v>35</v>
      </c>
      <c r="M115" t="s">
        <v>456</v>
      </c>
    </row>
    <row r="116" spans="1:13" x14ac:dyDescent="0.25">
      <c r="A116" t="s">
        <v>553</v>
      </c>
      <c r="B116" t="s">
        <v>4</v>
      </c>
      <c r="C116" t="s">
        <v>554</v>
      </c>
      <c r="D116" s="2" t="str">
        <f t="shared" si="1"/>
        <v>Aron Baynes</v>
      </c>
      <c r="E116" t="s">
        <v>555</v>
      </c>
      <c r="F116">
        <v>10.544444896556699</v>
      </c>
      <c r="G116">
        <v>54</v>
      </c>
      <c r="H116">
        <v>3500</v>
      </c>
      <c r="I116" t="s">
        <v>282</v>
      </c>
      <c r="J116" t="s">
        <v>229</v>
      </c>
      <c r="K116" t="s">
        <v>223</v>
      </c>
    </row>
    <row r="117" spans="1:13" x14ac:dyDescent="0.25">
      <c r="A117" t="s">
        <v>556</v>
      </c>
      <c r="B117" t="s">
        <v>2</v>
      </c>
      <c r="C117" t="s">
        <v>557</v>
      </c>
      <c r="D117" s="2" t="str">
        <f t="shared" si="1"/>
        <v>Meyers Leonard</v>
      </c>
      <c r="E117" t="s">
        <v>558</v>
      </c>
      <c r="F117">
        <v>11.2458330790201</v>
      </c>
      <c r="G117">
        <v>48</v>
      </c>
      <c r="H117">
        <v>3500</v>
      </c>
      <c r="I117" t="s">
        <v>278</v>
      </c>
      <c r="J117" t="s">
        <v>224</v>
      </c>
      <c r="K117" t="s">
        <v>228</v>
      </c>
    </row>
    <row r="118" spans="1:13" x14ac:dyDescent="0.25">
      <c r="A118" t="s">
        <v>559</v>
      </c>
      <c r="B118" t="s">
        <v>1</v>
      </c>
      <c r="C118" t="s">
        <v>43</v>
      </c>
      <c r="D118" s="2" t="str">
        <f t="shared" si="1"/>
        <v>Kay Felder</v>
      </c>
      <c r="E118" t="s">
        <v>44</v>
      </c>
      <c r="F118">
        <v>7.8714285714285701</v>
      </c>
      <c r="G118">
        <v>35</v>
      </c>
      <c r="H118">
        <v>3500</v>
      </c>
      <c r="I118" t="s">
        <v>247</v>
      </c>
      <c r="J118" t="s">
        <v>31</v>
      </c>
      <c r="K118" t="s">
        <v>227</v>
      </c>
    </row>
    <row r="119" spans="1:13" x14ac:dyDescent="0.25">
      <c r="A119" t="s">
        <v>560</v>
      </c>
      <c r="B119" t="s">
        <v>5</v>
      </c>
      <c r="C119" t="s">
        <v>30</v>
      </c>
      <c r="D119" s="2" t="str">
        <f t="shared" si="1"/>
        <v>James Jones</v>
      </c>
      <c r="E119" t="s">
        <v>45</v>
      </c>
      <c r="F119">
        <v>4.07714276994977</v>
      </c>
      <c r="G119">
        <v>35</v>
      </c>
      <c r="H119">
        <v>3500</v>
      </c>
      <c r="I119" t="s">
        <v>247</v>
      </c>
      <c r="J119" t="s">
        <v>31</v>
      </c>
      <c r="K119" t="s">
        <v>227</v>
      </c>
    </row>
    <row r="120" spans="1:13" x14ac:dyDescent="0.25">
      <c r="A120" t="s">
        <v>561</v>
      </c>
      <c r="B120" t="s">
        <v>3</v>
      </c>
      <c r="C120" t="s">
        <v>256</v>
      </c>
      <c r="D120" s="2" t="str">
        <f t="shared" si="1"/>
        <v>Anthony Brown</v>
      </c>
      <c r="E120" t="s">
        <v>562</v>
      </c>
      <c r="F120">
        <v>9.1454544067382795</v>
      </c>
      <c r="G120">
        <v>11</v>
      </c>
      <c r="H120">
        <v>3500</v>
      </c>
      <c r="I120" t="s">
        <v>278</v>
      </c>
      <c r="J120" t="s">
        <v>228</v>
      </c>
      <c r="K120" t="s">
        <v>224</v>
      </c>
    </row>
    <row r="121" spans="1:13" x14ac:dyDescent="0.25">
      <c r="A121" t="s">
        <v>563</v>
      </c>
      <c r="B121" t="s">
        <v>2</v>
      </c>
      <c r="C121" t="s">
        <v>68</v>
      </c>
      <c r="D121" s="2" t="str">
        <f t="shared" si="1"/>
        <v>Skal Labissiere</v>
      </c>
      <c r="E121" t="s">
        <v>69</v>
      </c>
      <c r="F121">
        <v>4.6125001907348597</v>
      </c>
      <c r="G121">
        <v>8</v>
      </c>
      <c r="H121">
        <v>3500</v>
      </c>
      <c r="I121" t="s">
        <v>254</v>
      </c>
      <c r="J121" t="s">
        <v>51</v>
      </c>
      <c r="K121" t="s">
        <v>222</v>
      </c>
    </row>
    <row r="122" spans="1:13" x14ac:dyDescent="0.25">
      <c r="A122" t="s">
        <v>564</v>
      </c>
      <c r="B122" t="s">
        <v>3</v>
      </c>
      <c r="C122" t="s">
        <v>565</v>
      </c>
      <c r="D122" s="2" t="str">
        <f t="shared" si="1"/>
        <v>Luc Richard Mbah a Moute</v>
      </c>
      <c r="E122" t="s">
        <v>566</v>
      </c>
      <c r="F122">
        <v>12.0296291775173</v>
      </c>
      <c r="G122">
        <v>54</v>
      </c>
      <c r="H122">
        <v>3500</v>
      </c>
      <c r="I122" t="s">
        <v>261</v>
      </c>
      <c r="J122" t="s">
        <v>226</v>
      </c>
      <c r="K122" t="s">
        <v>225</v>
      </c>
    </row>
    <row r="123" spans="1:13" x14ac:dyDescent="0.25">
      <c r="A123" t="s">
        <v>567</v>
      </c>
      <c r="B123" t="s">
        <v>4</v>
      </c>
      <c r="C123" t="s">
        <v>568</v>
      </c>
      <c r="D123" s="2" t="str">
        <f t="shared" si="1"/>
        <v>Diamond Stone</v>
      </c>
      <c r="E123" t="s">
        <v>569</v>
      </c>
      <c r="F123">
        <v>2.4571429661341999</v>
      </c>
      <c r="G123">
        <v>7</v>
      </c>
      <c r="H123">
        <v>3500</v>
      </c>
      <c r="I123" t="s">
        <v>261</v>
      </c>
      <c r="J123" t="s">
        <v>226</v>
      </c>
      <c r="K123" t="s">
        <v>225</v>
      </c>
    </row>
    <row r="124" spans="1:13" x14ac:dyDescent="0.25">
      <c r="A124" t="s">
        <v>570</v>
      </c>
      <c r="B124" t="s">
        <v>3</v>
      </c>
      <c r="C124" t="s">
        <v>571</v>
      </c>
      <c r="D124" s="2" t="str">
        <f t="shared" si="1"/>
        <v>Treveon Graham</v>
      </c>
      <c r="E124" t="s">
        <v>572</v>
      </c>
      <c r="F124">
        <v>2.9055555131700301</v>
      </c>
      <c r="G124">
        <v>18</v>
      </c>
      <c r="H124">
        <v>3500</v>
      </c>
      <c r="I124" t="s">
        <v>282</v>
      </c>
      <c r="J124" t="s">
        <v>223</v>
      </c>
      <c r="K124" t="s">
        <v>229</v>
      </c>
    </row>
    <row r="125" spans="1:13" x14ac:dyDescent="0.25">
      <c r="A125" t="s">
        <v>573</v>
      </c>
      <c r="B125" t="s">
        <v>5</v>
      </c>
      <c r="C125" t="s">
        <v>360</v>
      </c>
      <c r="D125" s="2" t="str">
        <f t="shared" si="1"/>
        <v>Reggie Bullock</v>
      </c>
      <c r="E125" t="s">
        <v>574</v>
      </c>
      <c r="F125">
        <v>9.3142852783203107</v>
      </c>
      <c r="G125">
        <v>14</v>
      </c>
      <c r="H125">
        <v>3500</v>
      </c>
      <c r="I125" t="s">
        <v>282</v>
      </c>
      <c r="J125" t="s">
        <v>229</v>
      </c>
      <c r="K125" t="s">
        <v>223</v>
      </c>
    </row>
    <row r="126" spans="1:13" x14ac:dyDescent="0.25">
      <c r="A126" t="s">
        <v>575</v>
      </c>
      <c r="B126" t="s">
        <v>5</v>
      </c>
      <c r="C126" t="s">
        <v>576</v>
      </c>
      <c r="D126" s="2" t="str">
        <f t="shared" si="1"/>
        <v>Langston Galloway</v>
      </c>
      <c r="E126" t="s">
        <v>577</v>
      </c>
      <c r="F126">
        <v>14.103636585582301</v>
      </c>
      <c r="G126">
        <v>55</v>
      </c>
      <c r="H126">
        <v>3500</v>
      </c>
      <c r="I126" t="s">
        <v>254</v>
      </c>
      <c r="J126" t="s">
        <v>51</v>
      </c>
      <c r="K126" t="s">
        <v>222</v>
      </c>
    </row>
    <row r="127" spans="1:13" x14ac:dyDescent="0.25">
      <c r="A127" t="s">
        <v>578</v>
      </c>
      <c r="B127" t="s">
        <v>3</v>
      </c>
      <c r="C127" t="s">
        <v>579</v>
      </c>
      <c r="D127" s="2" t="str">
        <f t="shared" si="1"/>
        <v>Damjan Rudez</v>
      </c>
      <c r="E127" t="s">
        <v>580</v>
      </c>
      <c r="F127">
        <v>3.9600001743861601</v>
      </c>
      <c r="G127">
        <v>35</v>
      </c>
      <c r="H127">
        <v>3500</v>
      </c>
      <c r="I127" t="s">
        <v>278</v>
      </c>
      <c r="J127" t="s">
        <v>228</v>
      </c>
      <c r="K127" t="s">
        <v>224</v>
      </c>
    </row>
    <row r="128" spans="1:13" x14ac:dyDescent="0.25">
      <c r="A128" t="s">
        <v>581</v>
      </c>
      <c r="B128" t="s">
        <v>4</v>
      </c>
      <c r="C128" t="s">
        <v>582</v>
      </c>
      <c r="D128" s="2" t="str">
        <f t="shared" si="1"/>
        <v>Boban Marjanovic</v>
      </c>
      <c r="E128" t="s">
        <v>583</v>
      </c>
      <c r="F128">
        <v>8.5</v>
      </c>
      <c r="G128">
        <v>23</v>
      </c>
      <c r="H128">
        <v>3500</v>
      </c>
      <c r="I128" t="s">
        <v>282</v>
      </c>
      <c r="J128" t="s">
        <v>229</v>
      </c>
      <c r="K128" t="s">
        <v>223</v>
      </c>
    </row>
    <row r="129" spans="1:13" x14ac:dyDescent="0.25">
      <c r="A129" t="s">
        <v>584</v>
      </c>
      <c r="B129" t="s">
        <v>2</v>
      </c>
      <c r="C129" t="s">
        <v>585</v>
      </c>
      <c r="D129" s="2" t="str">
        <f t="shared" si="1"/>
        <v>James Michael McAdoo</v>
      </c>
      <c r="E129" t="s">
        <v>586</v>
      </c>
      <c r="F129">
        <v>6.37241389833647</v>
      </c>
      <c r="G129">
        <v>29</v>
      </c>
      <c r="H129">
        <v>3500</v>
      </c>
      <c r="I129" t="s">
        <v>261</v>
      </c>
      <c r="J129" t="s">
        <v>225</v>
      </c>
      <c r="K129" t="s">
        <v>226</v>
      </c>
    </row>
    <row r="130" spans="1:13" x14ac:dyDescent="0.25">
      <c r="A130" t="s">
        <v>587</v>
      </c>
      <c r="B130" t="s">
        <v>5</v>
      </c>
      <c r="C130" t="s">
        <v>588</v>
      </c>
      <c r="D130" s="2" t="str">
        <f t="shared" si="1"/>
        <v>Ian Clark</v>
      </c>
      <c r="E130" t="s">
        <v>589</v>
      </c>
      <c r="F130">
        <v>10.7568622663909</v>
      </c>
      <c r="G130">
        <v>51</v>
      </c>
      <c r="H130">
        <v>3500</v>
      </c>
      <c r="I130" t="s">
        <v>261</v>
      </c>
      <c r="J130" t="s">
        <v>225</v>
      </c>
      <c r="K130" t="s">
        <v>226</v>
      </c>
    </row>
    <row r="131" spans="1:13" x14ac:dyDescent="0.25">
      <c r="A131" t="s">
        <v>590</v>
      </c>
      <c r="B131" t="s">
        <v>5</v>
      </c>
      <c r="C131" t="s">
        <v>591</v>
      </c>
      <c r="D131" s="2" t="str">
        <f t="shared" ref="D131:D179" si="2">C131&amp;" "&amp;E131</f>
        <v>Sasha Vujacic</v>
      </c>
      <c r="E131" t="s">
        <v>592</v>
      </c>
      <c r="F131">
        <v>5.3964287894112699</v>
      </c>
      <c r="G131">
        <v>28</v>
      </c>
      <c r="H131">
        <v>3500</v>
      </c>
      <c r="I131" t="s">
        <v>247</v>
      </c>
      <c r="J131" t="s">
        <v>227</v>
      </c>
      <c r="K131" t="s">
        <v>31</v>
      </c>
    </row>
    <row r="132" spans="1:13" x14ac:dyDescent="0.25">
      <c r="A132" t="s">
        <v>593</v>
      </c>
      <c r="B132" t="s">
        <v>5</v>
      </c>
      <c r="C132" t="s">
        <v>46</v>
      </c>
      <c r="D132" s="2" t="str">
        <f t="shared" si="2"/>
        <v>Jordan McRae</v>
      </c>
      <c r="E132" t="s">
        <v>47</v>
      </c>
      <c r="F132">
        <v>6.9361110263400603</v>
      </c>
      <c r="G132">
        <v>36</v>
      </c>
      <c r="H132">
        <v>3500</v>
      </c>
      <c r="I132" t="s">
        <v>247</v>
      </c>
      <c r="J132" t="s">
        <v>31</v>
      </c>
      <c r="K132" t="s">
        <v>227</v>
      </c>
    </row>
    <row r="133" spans="1:13" x14ac:dyDescent="0.25">
      <c r="A133" t="s">
        <v>594</v>
      </c>
      <c r="B133" t="s">
        <v>2</v>
      </c>
      <c r="C133" t="s">
        <v>595</v>
      </c>
      <c r="D133" s="2" t="str">
        <f t="shared" si="2"/>
        <v>Brice Johnson</v>
      </c>
      <c r="E133" t="s">
        <v>515</v>
      </c>
      <c r="F133">
        <v>0</v>
      </c>
      <c r="G133">
        <v>0</v>
      </c>
      <c r="H133">
        <v>3500</v>
      </c>
      <c r="I133" t="s">
        <v>261</v>
      </c>
      <c r="J133" t="s">
        <v>226</v>
      </c>
      <c r="K133" t="s">
        <v>225</v>
      </c>
      <c r="L133" t="s">
        <v>33</v>
      </c>
      <c r="M133" t="s">
        <v>596</v>
      </c>
    </row>
    <row r="134" spans="1:13" x14ac:dyDescent="0.25">
      <c r="A134" t="s">
        <v>597</v>
      </c>
      <c r="B134" t="s">
        <v>1</v>
      </c>
      <c r="C134" t="s">
        <v>598</v>
      </c>
      <c r="D134" s="2" t="str">
        <f t="shared" si="2"/>
        <v>Tim Quarterman</v>
      </c>
      <c r="E134" t="s">
        <v>599</v>
      </c>
      <c r="F134">
        <v>3.0923077509953401</v>
      </c>
      <c r="G134">
        <v>13</v>
      </c>
      <c r="H134">
        <v>3500</v>
      </c>
      <c r="I134" t="s">
        <v>278</v>
      </c>
      <c r="J134" t="s">
        <v>224</v>
      </c>
      <c r="K134" t="s">
        <v>228</v>
      </c>
    </row>
    <row r="135" spans="1:13" x14ac:dyDescent="0.25">
      <c r="A135" t="s">
        <v>600</v>
      </c>
      <c r="B135" t="s">
        <v>5</v>
      </c>
      <c r="C135" t="s">
        <v>601</v>
      </c>
      <c r="D135" s="2" t="str">
        <f t="shared" si="2"/>
        <v>Buddy Hield</v>
      </c>
      <c r="E135" t="s">
        <v>602</v>
      </c>
      <c r="F135">
        <v>14.0964912280701</v>
      </c>
      <c r="G135">
        <v>57</v>
      </c>
      <c r="H135">
        <v>3500</v>
      </c>
      <c r="I135" t="s">
        <v>254</v>
      </c>
      <c r="J135" t="s">
        <v>51</v>
      </c>
      <c r="K135" t="s">
        <v>222</v>
      </c>
    </row>
    <row r="136" spans="1:13" x14ac:dyDescent="0.25">
      <c r="A136" t="s">
        <v>603</v>
      </c>
      <c r="B136" t="s">
        <v>1</v>
      </c>
      <c r="C136" t="s">
        <v>48</v>
      </c>
      <c r="D136" s="2" t="str">
        <f t="shared" si="2"/>
        <v>Bobby Brown</v>
      </c>
      <c r="E136" t="s">
        <v>562</v>
      </c>
      <c r="F136">
        <v>1.5</v>
      </c>
      <c r="G136">
        <v>17</v>
      </c>
      <c r="H136">
        <v>3500</v>
      </c>
      <c r="I136" t="s">
        <v>244</v>
      </c>
      <c r="J136" t="s">
        <v>221</v>
      </c>
      <c r="K136" t="s">
        <v>220</v>
      </c>
    </row>
    <row r="137" spans="1:13" x14ac:dyDescent="0.25">
      <c r="A137" t="s">
        <v>604</v>
      </c>
      <c r="B137" t="s">
        <v>5</v>
      </c>
      <c r="C137" t="s">
        <v>605</v>
      </c>
      <c r="D137" s="2" t="str">
        <f t="shared" si="2"/>
        <v>Pat Connaughton</v>
      </c>
      <c r="E137" t="s">
        <v>606</v>
      </c>
      <c r="F137">
        <v>4.3592591462311896</v>
      </c>
      <c r="G137">
        <v>27</v>
      </c>
      <c r="H137">
        <v>3500</v>
      </c>
      <c r="I137" t="s">
        <v>278</v>
      </c>
      <c r="J137" t="s">
        <v>224</v>
      </c>
      <c r="K137" t="s">
        <v>228</v>
      </c>
    </row>
    <row r="138" spans="1:13" x14ac:dyDescent="0.25">
      <c r="A138" t="s">
        <v>607</v>
      </c>
      <c r="B138" t="s">
        <v>4</v>
      </c>
      <c r="C138" t="s">
        <v>276</v>
      </c>
      <c r="D138" s="2" t="str">
        <f t="shared" si="2"/>
        <v>Damian Jones</v>
      </c>
      <c r="E138" t="s">
        <v>45</v>
      </c>
      <c r="F138">
        <v>3.1500000953674299</v>
      </c>
      <c r="G138">
        <v>8</v>
      </c>
      <c r="H138">
        <v>3500</v>
      </c>
      <c r="I138" t="s">
        <v>261</v>
      </c>
      <c r="J138" t="s">
        <v>225</v>
      </c>
      <c r="K138" t="s">
        <v>226</v>
      </c>
    </row>
    <row r="139" spans="1:13" x14ac:dyDescent="0.25">
      <c r="A139" t="s">
        <v>608</v>
      </c>
      <c r="B139" t="s">
        <v>1</v>
      </c>
      <c r="C139" t="s">
        <v>609</v>
      </c>
      <c r="D139" s="2" t="str">
        <f t="shared" si="2"/>
        <v>Ramon Sessions</v>
      </c>
      <c r="E139" t="s">
        <v>610</v>
      </c>
      <c r="F139">
        <v>12.0619995117187</v>
      </c>
      <c r="G139">
        <v>50</v>
      </c>
      <c r="H139">
        <v>3500</v>
      </c>
      <c r="I139" t="s">
        <v>282</v>
      </c>
      <c r="J139" t="s">
        <v>223</v>
      </c>
      <c r="K139" t="s">
        <v>229</v>
      </c>
      <c r="L139" t="s">
        <v>33</v>
      </c>
      <c r="M139" t="s">
        <v>34</v>
      </c>
    </row>
    <row r="140" spans="1:13" x14ac:dyDescent="0.25">
      <c r="A140" t="s">
        <v>611</v>
      </c>
      <c r="B140" t="s">
        <v>3</v>
      </c>
      <c r="C140" t="s">
        <v>612</v>
      </c>
      <c r="D140" s="2" t="str">
        <f t="shared" si="2"/>
        <v>Corey Brewer</v>
      </c>
      <c r="E140" t="s">
        <v>613</v>
      </c>
      <c r="F140">
        <v>9.1775859964304907</v>
      </c>
      <c r="G140">
        <v>58</v>
      </c>
      <c r="H140">
        <v>3500</v>
      </c>
      <c r="I140" t="s">
        <v>244</v>
      </c>
      <c r="J140" t="s">
        <v>221</v>
      </c>
      <c r="K140" t="s">
        <v>220</v>
      </c>
    </row>
    <row r="141" spans="1:13" x14ac:dyDescent="0.25">
      <c r="A141" t="s">
        <v>614</v>
      </c>
      <c r="B141" t="s">
        <v>4</v>
      </c>
      <c r="C141" t="s">
        <v>615</v>
      </c>
      <c r="D141" s="2" t="str">
        <f t="shared" si="2"/>
        <v>Omer Asik</v>
      </c>
      <c r="E141" t="s">
        <v>616</v>
      </c>
      <c r="F141">
        <v>10.2935485839843</v>
      </c>
      <c r="G141">
        <v>31</v>
      </c>
      <c r="H141">
        <v>3500</v>
      </c>
      <c r="I141" t="s">
        <v>244</v>
      </c>
      <c r="J141" t="s">
        <v>220</v>
      </c>
      <c r="K141" t="s">
        <v>221</v>
      </c>
      <c r="L141" t="s">
        <v>35</v>
      </c>
      <c r="M141" t="s">
        <v>40</v>
      </c>
    </row>
    <row r="142" spans="1:13" x14ac:dyDescent="0.25">
      <c r="A142" t="s">
        <v>617</v>
      </c>
      <c r="B142" t="s">
        <v>4</v>
      </c>
      <c r="C142" t="s">
        <v>618</v>
      </c>
      <c r="D142" s="2" t="str">
        <f t="shared" si="2"/>
        <v>Chinanu Onuaku</v>
      </c>
      <c r="E142" t="s">
        <v>619</v>
      </c>
      <c r="F142">
        <v>6.5500001907348597</v>
      </c>
      <c r="G142">
        <v>2</v>
      </c>
      <c r="H142">
        <v>3500</v>
      </c>
      <c r="I142" t="s">
        <v>244</v>
      </c>
      <c r="J142" t="s">
        <v>221</v>
      </c>
      <c r="K142" t="s">
        <v>220</v>
      </c>
    </row>
    <row r="143" spans="1:13" x14ac:dyDescent="0.25">
      <c r="A143" t="s">
        <v>620</v>
      </c>
      <c r="B143" t="s">
        <v>5</v>
      </c>
      <c r="C143" t="s">
        <v>621</v>
      </c>
      <c r="D143" s="2" t="str">
        <f t="shared" si="2"/>
        <v>Allen Crabbe</v>
      </c>
      <c r="E143" t="s">
        <v>622</v>
      </c>
      <c r="F143">
        <v>16.237499782017299</v>
      </c>
      <c r="G143">
        <v>56</v>
      </c>
      <c r="H143">
        <v>3500</v>
      </c>
      <c r="I143" t="s">
        <v>278</v>
      </c>
      <c r="J143" t="s">
        <v>224</v>
      </c>
      <c r="K143" t="s">
        <v>228</v>
      </c>
    </row>
    <row r="144" spans="1:13" x14ac:dyDescent="0.25">
      <c r="A144" t="s">
        <v>623</v>
      </c>
      <c r="B144" t="s">
        <v>2</v>
      </c>
      <c r="C144" t="s">
        <v>624</v>
      </c>
      <c r="D144" s="2" t="str">
        <f t="shared" si="2"/>
        <v>Henry Ellenson</v>
      </c>
      <c r="E144" t="s">
        <v>625</v>
      </c>
      <c r="F144">
        <v>2.6000001089913498</v>
      </c>
      <c r="G144">
        <v>14</v>
      </c>
      <c r="H144">
        <v>3500</v>
      </c>
      <c r="I144" t="s">
        <v>282</v>
      </c>
      <c r="J144" t="s">
        <v>229</v>
      </c>
      <c r="K144" t="s">
        <v>223</v>
      </c>
    </row>
    <row r="145" spans="1:13" x14ac:dyDescent="0.25">
      <c r="A145" t="s">
        <v>626</v>
      </c>
      <c r="B145" t="s">
        <v>2</v>
      </c>
      <c r="C145" t="s">
        <v>445</v>
      </c>
      <c r="D145" s="2" t="str">
        <f t="shared" si="2"/>
        <v>Kyle Wiltjer</v>
      </c>
      <c r="E145" t="s">
        <v>627</v>
      </c>
      <c r="F145">
        <v>1.9333332909478</v>
      </c>
      <c r="G145">
        <v>9</v>
      </c>
      <c r="H145">
        <v>3500</v>
      </c>
      <c r="I145" t="s">
        <v>244</v>
      </c>
      <c r="J145" t="s">
        <v>221</v>
      </c>
      <c r="K145" t="s">
        <v>220</v>
      </c>
    </row>
    <row r="146" spans="1:13" x14ac:dyDescent="0.25">
      <c r="A146" t="s">
        <v>628</v>
      </c>
      <c r="B146" t="s">
        <v>4</v>
      </c>
      <c r="C146" t="s">
        <v>266</v>
      </c>
      <c r="D146" s="2" t="str">
        <f t="shared" si="2"/>
        <v>Stephen Zimmerman Jr.</v>
      </c>
      <c r="E146" t="s">
        <v>629</v>
      </c>
      <c r="F146">
        <v>3.88888888888888</v>
      </c>
      <c r="G146">
        <v>9</v>
      </c>
      <c r="H146">
        <v>3500</v>
      </c>
      <c r="I146" t="s">
        <v>278</v>
      </c>
      <c r="J146" t="s">
        <v>228</v>
      </c>
      <c r="K146" t="s">
        <v>224</v>
      </c>
    </row>
    <row r="147" spans="1:13" x14ac:dyDescent="0.25">
      <c r="A147" t="s">
        <v>630</v>
      </c>
      <c r="B147" t="s">
        <v>2</v>
      </c>
      <c r="C147" t="s">
        <v>631</v>
      </c>
      <c r="D147" s="2" t="str">
        <f t="shared" si="2"/>
        <v>David West</v>
      </c>
      <c r="E147" t="s">
        <v>632</v>
      </c>
      <c r="F147">
        <v>11.745237804594399</v>
      </c>
      <c r="G147">
        <v>42</v>
      </c>
      <c r="H147">
        <v>3500</v>
      </c>
      <c r="I147" t="s">
        <v>261</v>
      </c>
      <c r="J147" t="s">
        <v>225</v>
      </c>
      <c r="K147" t="s">
        <v>226</v>
      </c>
      <c r="L147" t="s">
        <v>35</v>
      </c>
      <c r="M147" t="s">
        <v>39</v>
      </c>
    </row>
    <row r="148" spans="1:13" x14ac:dyDescent="0.25">
      <c r="A148" t="s">
        <v>633</v>
      </c>
      <c r="B148" t="s">
        <v>2</v>
      </c>
      <c r="C148" t="s">
        <v>416</v>
      </c>
      <c r="D148" s="2" t="str">
        <f t="shared" si="2"/>
        <v>Maurice Ndour</v>
      </c>
      <c r="E148" t="s">
        <v>634</v>
      </c>
      <c r="F148">
        <v>4.8049999237060499</v>
      </c>
      <c r="G148">
        <v>20</v>
      </c>
      <c r="H148">
        <v>3500</v>
      </c>
      <c r="I148" t="s">
        <v>247</v>
      </c>
      <c r="J148" t="s">
        <v>227</v>
      </c>
      <c r="K148" t="s">
        <v>31</v>
      </c>
    </row>
    <row r="149" spans="1:13" x14ac:dyDescent="0.25">
      <c r="A149" t="s">
        <v>635</v>
      </c>
      <c r="B149" t="s">
        <v>5</v>
      </c>
      <c r="C149" t="s">
        <v>636</v>
      </c>
      <c r="D149" s="2" t="str">
        <f t="shared" si="2"/>
        <v>Alan Anderson</v>
      </c>
      <c r="E149" t="s">
        <v>405</v>
      </c>
      <c r="F149">
        <v>4.9608694988748301</v>
      </c>
      <c r="G149">
        <v>23</v>
      </c>
      <c r="H149">
        <v>3500</v>
      </c>
      <c r="I149" t="s">
        <v>261</v>
      </c>
      <c r="J149" t="s">
        <v>226</v>
      </c>
      <c r="K149" t="s">
        <v>225</v>
      </c>
    </row>
    <row r="150" spans="1:13" x14ac:dyDescent="0.25">
      <c r="A150" t="s">
        <v>637</v>
      </c>
      <c r="B150" t="s">
        <v>4</v>
      </c>
      <c r="C150" t="s">
        <v>66</v>
      </c>
      <c r="D150" s="2" t="str">
        <f t="shared" si="2"/>
        <v>Georgios Papagiannis</v>
      </c>
      <c r="E150" t="s">
        <v>67</v>
      </c>
      <c r="F150">
        <v>3.25</v>
      </c>
      <c r="G150">
        <v>4</v>
      </c>
      <c r="H150">
        <v>3500</v>
      </c>
      <c r="I150" t="s">
        <v>254</v>
      </c>
      <c r="J150" t="s">
        <v>51</v>
      </c>
      <c r="K150" t="s">
        <v>222</v>
      </c>
    </row>
    <row r="151" spans="1:13" x14ac:dyDescent="0.25">
      <c r="A151" t="s">
        <v>638</v>
      </c>
      <c r="B151" t="s">
        <v>2</v>
      </c>
      <c r="C151" t="s">
        <v>474</v>
      </c>
      <c r="D151" s="2" t="str">
        <f t="shared" si="2"/>
        <v>Noah Vonleh</v>
      </c>
      <c r="E151" t="s">
        <v>639</v>
      </c>
      <c r="F151">
        <v>9.0979169209798094</v>
      </c>
      <c r="G151">
        <v>48</v>
      </c>
      <c r="H151">
        <v>3500</v>
      </c>
      <c r="I151" t="s">
        <v>278</v>
      </c>
      <c r="J151" t="s">
        <v>224</v>
      </c>
      <c r="K151" t="s">
        <v>228</v>
      </c>
    </row>
    <row r="152" spans="1:13" x14ac:dyDescent="0.25">
      <c r="A152" t="s">
        <v>640</v>
      </c>
      <c r="B152" t="s">
        <v>5</v>
      </c>
      <c r="C152" t="s">
        <v>422</v>
      </c>
      <c r="D152" s="2" t="str">
        <f t="shared" si="2"/>
        <v>Aaron Harrison</v>
      </c>
      <c r="E152" t="s">
        <v>641</v>
      </c>
      <c r="F152">
        <v>1.8200000762939399</v>
      </c>
      <c r="G152">
        <v>5</v>
      </c>
      <c r="H152">
        <v>3500</v>
      </c>
      <c r="I152" t="s">
        <v>282</v>
      </c>
      <c r="J152" t="s">
        <v>223</v>
      </c>
      <c r="K152" t="s">
        <v>229</v>
      </c>
    </row>
    <row r="153" spans="1:13" x14ac:dyDescent="0.25">
      <c r="A153" t="s">
        <v>642</v>
      </c>
      <c r="B153" t="s">
        <v>5</v>
      </c>
      <c r="C153" t="s">
        <v>643</v>
      </c>
      <c r="D153" s="2" t="str">
        <f t="shared" si="2"/>
        <v>K.J. McDaniels</v>
      </c>
      <c r="E153" t="s">
        <v>644</v>
      </c>
      <c r="F153">
        <v>4.8275862068965498</v>
      </c>
      <c r="G153">
        <v>29</v>
      </c>
      <c r="H153">
        <v>3500</v>
      </c>
      <c r="I153" t="s">
        <v>244</v>
      </c>
      <c r="J153" t="s">
        <v>221</v>
      </c>
      <c r="K153" t="s">
        <v>220</v>
      </c>
    </row>
    <row r="154" spans="1:13" x14ac:dyDescent="0.25">
      <c r="A154" t="s">
        <v>645</v>
      </c>
      <c r="B154" t="s">
        <v>1</v>
      </c>
      <c r="C154" t="s">
        <v>646</v>
      </c>
      <c r="D154" s="2" t="str">
        <f t="shared" si="2"/>
        <v>Ray McCallum</v>
      </c>
      <c r="E154" t="s">
        <v>647</v>
      </c>
      <c r="F154">
        <v>7.2536583877191303</v>
      </c>
      <c r="G154">
        <v>41</v>
      </c>
      <c r="H154">
        <v>3500</v>
      </c>
      <c r="I154" t="s">
        <v>282</v>
      </c>
      <c r="J154" t="s">
        <v>223</v>
      </c>
      <c r="K154" t="s">
        <v>229</v>
      </c>
    </row>
    <row r="155" spans="1:13" x14ac:dyDescent="0.25">
      <c r="A155" t="s">
        <v>648</v>
      </c>
      <c r="B155" t="s">
        <v>3</v>
      </c>
      <c r="C155" t="s">
        <v>649</v>
      </c>
      <c r="D155" s="2" t="str">
        <f t="shared" si="2"/>
        <v>Mindaugas Kuzminskas</v>
      </c>
      <c r="E155" t="s">
        <v>650</v>
      </c>
      <c r="F155">
        <v>10.442552931765199</v>
      </c>
      <c r="G155">
        <v>47</v>
      </c>
      <c r="H155">
        <v>3500</v>
      </c>
      <c r="I155" t="s">
        <v>247</v>
      </c>
      <c r="J155" t="s">
        <v>227</v>
      </c>
      <c r="K155" t="s">
        <v>31</v>
      </c>
    </row>
    <row r="156" spans="1:13" x14ac:dyDescent="0.25">
      <c r="A156" t="s">
        <v>651</v>
      </c>
      <c r="B156" t="s">
        <v>2</v>
      </c>
      <c r="C156" t="s">
        <v>652</v>
      </c>
      <c r="D156" s="2" t="str">
        <f t="shared" si="2"/>
        <v>Donatas Motiejunas</v>
      </c>
      <c r="E156" t="s">
        <v>653</v>
      </c>
      <c r="F156">
        <v>11.5900001525878</v>
      </c>
      <c r="G156">
        <v>20</v>
      </c>
      <c r="H156">
        <v>3500</v>
      </c>
      <c r="I156" t="s">
        <v>244</v>
      </c>
      <c r="J156" t="s">
        <v>220</v>
      </c>
      <c r="K156" t="s">
        <v>221</v>
      </c>
    </row>
    <row r="157" spans="1:13" x14ac:dyDescent="0.25">
      <c r="A157" t="s">
        <v>654</v>
      </c>
      <c r="B157" t="s">
        <v>2</v>
      </c>
      <c r="C157" t="s">
        <v>54</v>
      </c>
      <c r="D157" s="2" t="str">
        <f t="shared" si="2"/>
        <v>Brandon Bass</v>
      </c>
      <c r="E157" t="s">
        <v>655</v>
      </c>
      <c r="F157">
        <v>9.3648648648648596</v>
      </c>
      <c r="G157">
        <v>37</v>
      </c>
      <c r="H157">
        <v>3500</v>
      </c>
      <c r="I157" t="s">
        <v>261</v>
      </c>
      <c r="J157" t="s">
        <v>226</v>
      </c>
      <c r="K157" t="s">
        <v>225</v>
      </c>
    </row>
    <row r="158" spans="1:13" x14ac:dyDescent="0.25">
      <c r="A158" t="s">
        <v>656</v>
      </c>
      <c r="B158" t="s">
        <v>1</v>
      </c>
      <c r="C158" t="s">
        <v>657</v>
      </c>
      <c r="D158" s="2" t="str">
        <f t="shared" si="2"/>
        <v>Tyler Ennis</v>
      </c>
      <c r="E158" t="s">
        <v>658</v>
      </c>
      <c r="F158">
        <v>3.8645162274760501</v>
      </c>
      <c r="G158">
        <v>31</v>
      </c>
      <c r="H158">
        <v>3500</v>
      </c>
      <c r="I158" t="s">
        <v>244</v>
      </c>
      <c r="J158" t="s">
        <v>221</v>
      </c>
      <c r="K158" t="s">
        <v>220</v>
      </c>
    </row>
    <row r="159" spans="1:13" x14ac:dyDescent="0.25">
      <c r="A159" t="s">
        <v>659</v>
      </c>
      <c r="B159" t="s">
        <v>4</v>
      </c>
      <c r="C159" t="s">
        <v>536</v>
      </c>
      <c r="D159" s="2" t="str">
        <f t="shared" si="2"/>
        <v>Mike Tobey</v>
      </c>
      <c r="E159" t="s">
        <v>660</v>
      </c>
      <c r="F159">
        <v>5.5999999046325604</v>
      </c>
      <c r="G159">
        <v>1</v>
      </c>
      <c r="H159">
        <v>3500</v>
      </c>
      <c r="I159" t="s">
        <v>282</v>
      </c>
      <c r="J159" t="s">
        <v>223</v>
      </c>
      <c r="K159" t="s">
        <v>229</v>
      </c>
    </row>
    <row r="160" spans="1:13" x14ac:dyDescent="0.25">
      <c r="A160" t="s">
        <v>661</v>
      </c>
      <c r="B160" t="s">
        <v>1</v>
      </c>
      <c r="C160" t="s">
        <v>598</v>
      </c>
      <c r="D160" s="2" t="str">
        <f t="shared" si="2"/>
        <v>Tim Frazier</v>
      </c>
      <c r="E160" t="s">
        <v>662</v>
      </c>
      <c r="F160">
        <v>20.924390839367302</v>
      </c>
      <c r="G160">
        <v>41</v>
      </c>
      <c r="H160">
        <v>3500</v>
      </c>
      <c r="I160" t="s">
        <v>244</v>
      </c>
      <c r="J160" t="s">
        <v>220</v>
      </c>
      <c r="K160" t="s">
        <v>221</v>
      </c>
    </row>
    <row r="161" spans="1:13" x14ac:dyDescent="0.25">
      <c r="A161" t="s">
        <v>663</v>
      </c>
      <c r="B161" t="s">
        <v>1</v>
      </c>
      <c r="C161" t="s">
        <v>664</v>
      </c>
      <c r="D161" s="2" t="str">
        <f t="shared" si="2"/>
        <v>Ron Baker</v>
      </c>
      <c r="E161" t="s">
        <v>665</v>
      </c>
      <c r="F161">
        <v>7.4892856052943602</v>
      </c>
      <c r="G161">
        <v>28</v>
      </c>
      <c r="H161">
        <v>3500</v>
      </c>
      <c r="I161" t="s">
        <v>247</v>
      </c>
      <c r="J161" t="s">
        <v>227</v>
      </c>
      <c r="K161" t="s">
        <v>31</v>
      </c>
    </row>
    <row r="162" spans="1:13" x14ac:dyDescent="0.25">
      <c r="A162" t="s">
        <v>666</v>
      </c>
      <c r="B162" t="s">
        <v>1</v>
      </c>
      <c r="C162" t="s">
        <v>667</v>
      </c>
      <c r="D162" s="2" t="str">
        <f t="shared" si="2"/>
        <v>Shabazz Napier</v>
      </c>
      <c r="E162" t="s">
        <v>668</v>
      </c>
      <c r="F162">
        <v>6.1593751907348597</v>
      </c>
      <c r="G162">
        <v>32</v>
      </c>
      <c r="H162">
        <v>3500</v>
      </c>
      <c r="I162" t="s">
        <v>278</v>
      </c>
      <c r="J162" t="s">
        <v>224</v>
      </c>
      <c r="K162" t="s">
        <v>228</v>
      </c>
    </row>
    <row r="163" spans="1:13" x14ac:dyDescent="0.25">
      <c r="A163" t="s">
        <v>669</v>
      </c>
      <c r="B163" t="s">
        <v>4</v>
      </c>
      <c r="C163" t="s">
        <v>670</v>
      </c>
      <c r="D163" s="2" t="str">
        <f t="shared" si="2"/>
        <v>Festus Ezeli</v>
      </c>
      <c r="E163" t="s">
        <v>671</v>
      </c>
      <c r="F163">
        <v>16.9130434782608</v>
      </c>
      <c r="G163">
        <v>46</v>
      </c>
      <c r="H163">
        <v>3500</v>
      </c>
      <c r="I163" t="s">
        <v>278</v>
      </c>
      <c r="J163" t="s">
        <v>224</v>
      </c>
      <c r="K163" t="s">
        <v>228</v>
      </c>
      <c r="L163" t="s">
        <v>33</v>
      </c>
      <c r="M163" t="s">
        <v>34</v>
      </c>
    </row>
    <row r="164" spans="1:13" x14ac:dyDescent="0.25">
      <c r="A164" t="s">
        <v>672</v>
      </c>
      <c r="B164" t="s">
        <v>1</v>
      </c>
      <c r="C164" t="s">
        <v>673</v>
      </c>
      <c r="D164" s="2" t="str">
        <f t="shared" si="2"/>
        <v>Brian Roberts</v>
      </c>
      <c r="E164" t="s">
        <v>674</v>
      </c>
      <c r="F164">
        <v>5.0099998474121001</v>
      </c>
      <c r="G164">
        <v>20</v>
      </c>
      <c r="H164">
        <v>3500</v>
      </c>
      <c r="I164" t="s">
        <v>282</v>
      </c>
      <c r="J164" t="s">
        <v>223</v>
      </c>
      <c r="K164" t="s">
        <v>229</v>
      </c>
    </row>
    <row r="165" spans="1:13" x14ac:dyDescent="0.25">
      <c r="A165" t="s">
        <v>675</v>
      </c>
      <c r="B165" t="s">
        <v>2</v>
      </c>
      <c r="C165" t="s">
        <v>676</v>
      </c>
      <c r="D165" s="2" t="str">
        <f t="shared" si="2"/>
        <v>Kevon Looney</v>
      </c>
      <c r="E165" t="s">
        <v>677</v>
      </c>
      <c r="F165">
        <v>7.8953488372093004</v>
      </c>
      <c r="G165">
        <v>43</v>
      </c>
      <c r="H165">
        <v>3500</v>
      </c>
      <c r="I165" t="s">
        <v>261</v>
      </c>
      <c r="J165" t="s">
        <v>225</v>
      </c>
      <c r="K165" t="s">
        <v>226</v>
      </c>
    </row>
    <row r="166" spans="1:13" x14ac:dyDescent="0.25">
      <c r="A166" t="s">
        <v>678</v>
      </c>
      <c r="B166" t="s">
        <v>5</v>
      </c>
      <c r="C166" t="s">
        <v>295</v>
      </c>
      <c r="D166" s="2" t="str">
        <f t="shared" si="2"/>
        <v>DeAndre Liggins</v>
      </c>
      <c r="E166" t="s">
        <v>679</v>
      </c>
      <c r="F166">
        <v>8.0288886176215204</v>
      </c>
      <c r="G166">
        <v>45</v>
      </c>
      <c r="H166">
        <v>3500</v>
      </c>
      <c r="I166" t="s">
        <v>247</v>
      </c>
      <c r="J166" t="s">
        <v>31</v>
      </c>
      <c r="K166" t="s">
        <v>227</v>
      </c>
    </row>
    <row r="167" spans="1:13" x14ac:dyDescent="0.25">
      <c r="A167" t="s">
        <v>680</v>
      </c>
      <c r="B167" t="s">
        <v>3</v>
      </c>
      <c r="C167" t="s">
        <v>55</v>
      </c>
      <c r="D167" s="2" t="str">
        <f t="shared" si="2"/>
        <v>Lance Thomas</v>
      </c>
      <c r="E167" t="s">
        <v>32</v>
      </c>
      <c r="F167">
        <v>8.3406248092651296</v>
      </c>
      <c r="G167">
        <v>32</v>
      </c>
      <c r="H167">
        <v>3500</v>
      </c>
      <c r="I167" t="s">
        <v>247</v>
      </c>
      <c r="J167" t="s">
        <v>227</v>
      </c>
      <c r="K167" t="s">
        <v>31</v>
      </c>
    </row>
    <row r="168" spans="1:13" x14ac:dyDescent="0.25">
      <c r="A168" t="s">
        <v>681</v>
      </c>
      <c r="B168" t="s">
        <v>5</v>
      </c>
      <c r="C168" t="s">
        <v>682</v>
      </c>
      <c r="D168" s="2" t="str">
        <f t="shared" si="2"/>
        <v>Darrun Hilliard</v>
      </c>
      <c r="E168" t="s">
        <v>683</v>
      </c>
      <c r="F168">
        <v>5.5888886628327503</v>
      </c>
      <c r="G168">
        <v>27</v>
      </c>
      <c r="H168">
        <v>3500</v>
      </c>
      <c r="I168" t="s">
        <v>282</v>
      </c>
      <c r="J168" t="s">
        <v>229</v>
      </c>
      <c r="K168" t="s">
        <v>223</v>
      </c>
    </row>
    <row r="169" spans="1:13" x14ac:dyDescent="0.25">
      <c r="A169" t="s">
        <v>684</v>
      </c>
      <c r="B169" t="s">
        <v>5</v>
      </c>
      <c r="C169" t="s">
        <v>685</v>
      </c>
      <c r="D169" s="2" t="str">
        <f t="shared" si="2"/>
        <v>Justin Holiday</v>
      </c>
      <c r="E169" t="s">
        <v>287</v>
      </c>
      <c r="F169">
        <v>14.094737270422099</v>
      </c>
      <c r="G169">
        <v>57</v>
      </c>
      <c r="H169">
        <v>3500</v>
      </c>
      <c r="I169" t="s">
        <v>247</v>
      </c>
      <c r="J169" t="s">
        <v>227</v>
      </c>
      <c r="K169" t="s">
        <v>31</v>
      </c>
    </row>
    <row r="170" spans="1:13" x14ac:dyDescent="0.25">
      <c r="A170" t="s">
        <v>686</v>
      </c>
      <c r="B170" t="s">
        <v>1</v>
      </c>
      <c r="C170" t="s">
        <v>687</v>
      </c>
      <c r="D170" s="2" t="str">
        <f t="shared" si="2"/>
        <v>Beno Udrih</v>
      </c>
      <c r="E170" t="s">
        <v>688</v>
      </c>
      <c r="F170">
        <v>11.4033335367838</v>
      </c>
      <c r="G170">
        <v>30</v>
      </c>
      <c r="H170">
        <v>3500</v>
      </c>
      <c r="I170" t="s">
        <v>282</v>
      </c>
      <c r="J170" t="s">
        <v>229</v>
      </c>
      <c r="K170" t="s">
        <v>223</v>
      </c>
      <c r="L170" t="s">
        <v>35</v>
      </c>
      <c r="M170" t="s">
        <v>38</v>
      </c>
    </row>
    <row r="171" spans="1:13" x14ac:dyDescent="0.25">
      <c r="A171" t="s">
        <v>689</v>
      </c>
      <c r="B171" t="s">
        <v>5</v>
      </c>
      <c r="C171" t="s">
        <v>344</v>
      </c>
      <c r="D171" s="2" t="str">
        <f t="shared" si="2"/>
        <v>Michael Gbinije</v>
      </c>
      <c r="E171" t="s">
        <v>690</v>
      </c>
      <c r="F171">
        <v>1.1777778201633</v>
      </c>
      <c r="G171">
        <v>9</v>
      </c>
      <c r="H171">
        <v>3500</v>
      </c>
      <c r="I171" t="s">
        <v>282</v>
      </c>
      <c r="J171" t="s">
        <v>229</v>
      </c>
      <c r="K171" t="s">
        <v>223</v>
      </c>
    </row>
    <row r="172" spans="1:13" x14ac:dyDescent="0.25">
      <c r="A172" t="s">
        <v>691</v>
      </c>
      <c r="B172" t="s">
        <v>2</v>
      </c>
      <c r="C172" t="s">
        <v>692</v>
      </c>
      <c r="D172" s="2" t="str">
        <f t="shared" si="2"/>
        <v>Jake Layman</v>
      </c>
      <c r="E172" t="s">
        <v>693</v>
      </c>
      <c r="F172">
        <v>3.8458334604898998</v>
      </c>
      <c r="G172">
        <v>24</v>
      </c>
      <c r="H172">
        <v>3500</v>
      </c>
      <c r="I172" t="s">
        <v>278</v>
      </c>
      <c r="J172" t="s">
        <v>224</v>
      </c>
      <c r="K172" t="s">
        <v>228</v>
      </c>
    </row>
    <row r="173" spans="1:13" x14ac:dyDescent="0.25">
      <c r="A173" t="s">
        <v>694</v>
      </c>
      <c r="B173" t="s">
        <v>4</v>
      </c>
      <c r="C173" t="s">
        <v>695</v>
      </c>
      <c r="D173" s="2" t="str">
        <f t="shared" si="2"/>
        <v>Marshall Plumlee</v>
      </c>
      <c r="E173" t="s">
        <v>333</v>
      </c>
      <c r="F173">
        <v>4.6750001907348597</v>
      </c>
      <c r="G173">
        <v>8</v>
      </c>
      <c r="H173">
        <v>3500</v>
      </c>
      <c r="I173" t="s">
        <v>247</v>
      </c>
      <c r="J173" t="s">
        <v>227</v>
      </c>
      <c r="K173" t="s">
        <v>31</v>
      </c>
    </row>
    <row r="174" spans="1:13" x14ac:dyDescent="0.25">
      <c r="A174" t="s">
        <v>696</v>
      </c>
      <c r="B174" t="s">
        <v>4</v>
      </c>
      <c r="C174" t="s">
        <v>697</v>
      </c>
      <c r="D174" s="2" t="str">
        <f t="shared" si="2"/>
        <v>Miles Plumlee</v>
      </c>
      <c r="E174" t="s">
        <v>333</v>
      </c>
      <c r="F174">
        <v>6.4486488136085303</v>
      </c>
      <c r="G174">
        <v>37</v>
      </c>
      <c r="H174">
        <v>3500</v>
      </c>
      <c r="I174" t="s">
        <v>282</v>
      </c>
      <c r="J174" t="s">
        <v>223</v>
      </c>
      <c r="K174" t="s">
        <v>229</v>
      </c>
      <c r="L174" t="s">
        <v>33</v>
      </c>
      <c r="M174" t="s">
        <v>698</v>
      </c>
    </row>
    <row r="175" spans="1:13" x14ac:dyDescent="0.25">
      <c r="A175" t="s">
        <v>699</v>
      </c>
      <c r="B175" t="s">
        <v>3</v>
      </c>
      <c r="C175" t="s">
        <v>700</v>
      </c>
      <c r="D175" s="2" t="str">
        <f t="shared" si="2"/>
        <v>Richard Jefferson</v>
      </c>
      <c r="E175" t="s">
        <v>701</v>
      </c>
      <c r="F175">
        <v>9.5203699182580994</v>
      </c>
      <c r="G175">
        <v>54</v>
      </c>
      <c r="H175">
        <v>3500</v>
      </c>
      <c r="I175" t="s">
        <v>247</v>
      </c>
      <c r="J175" t="s">
        <v>31</v>
      </c>
      <c r="K175" t="s">
        <v>227</v>
      </c>
    </row>
    <row r="176" spans="1:13" x14ac:dyDescent="0.25">
      <c r="A176" t="s">
        <v>702</v>
      </c>
      <c r="B176" t="s">
        <v>3</v>
      </c>
      <c r="C176" t="s">
        <v>703</v>
      </c>
      <c r="D176" s="2" t="str">
        <f t="shared" si="2"/>
        <v>Stanley Johnson</v>
      </c>
      <c r="E176" t="s">
        <v>515</v>
      </c>
      <c r="F176">
        <v>10.018867924528299</v>
      </c>
      <c r="G176">
        <v>53</v>
      </c>
      <c r="H176">
        <v>3500</v>
      </c>
      <c r="I176" t="s">
        <v>282</v>
      </c>
      <c r="J176" t="s">
        <v>229</v>
      </c>
      <c r="K176" t="s">
        <v>223</v>
      </c>
    </row>
    <row r="177" spans="1:11" x14ac:dyDescent="0.25">
      <c r="A177" t="s">
        <v>704</v>
      </c>
      <c r="B177" t="s">
        <v>3</v>
      </c>
      <c r="C177" t="s">
        <v>705</v>
      </c>
      <c r="D177" s="2" t="str">
        <f t="shared" si="2"/>
        <v>Sam Dekker</v>
      </c>
      <c r="E177" t="s">
        <v>706</v>
      </c>
      <c r="F177">
        <v>14.832758410223599</v>
      </c>
      <c r="G177">
        <v>58</v>
      </c>
      <c r="H177">
        <v>3500</v>
      </c>
      <c r="I177" t="s">
        <v>244</v>
      </c>
      <c r="J177" t="s">
        <v>221</v>
      </c>
      <c r="K177" t="s">
        <v>220</v>
      </c>
    </row>
    <row r="178" spans="1:11" x14ac:dyDescent="0.25">
      <c r="A178" t="s">
        <v>707</v>
      </c>
      <c r="B178" t="s">
        <v>3</v>
      </c>
      <c r="C178" t="s">
        <v>52</v>
      </c>
      <c r="D178" s="2" t="str">
        <f t="shared" si="2"/>
        <v>Paul Pierce</v>
      </c>
      <c r="E178" t="s">
        <v>708</v>
      </c>
      <c r="F178">
        <v>5.8923075749323903</v>
      </c>
      <c r="G178">
        <v>13</v>
      </c>
      <c r="H178">
        <v>3500</v>
      </c>
      <c r="I178" t="s">
        <v>261</v>
      </c>
      <c r="J178" t="s">
        <v>226</v>
      </c>
      <c r="K178" t="s">
        <v>225</v>
      </c>
    </row>
    <row r="179" spans="1:11" x14ac:dyDescent="0.25">
      <c r="A179" t="s">
        <v>709</v>
      </c>
      <c r="B179" t="s">
        <v>1</v>
      </c>
      <c r="C179" t="s">
        <v>710</v>
      </c>
      <c r="D179" s="2" t="str">
        <f t="shared" si="2"/>
        <v>D.J. Augustin</v>
      </c>
      <c r="E179" t="s">
        <v>711</v>
      </c>
      <c r="F179">
        <v>14.4473684210526</v>
      </c>
      <c r="G179">
        <v>57</v>
      </c>
      <c r="H179">
        <v>3500</v>
      </c>
      <c r="I179" t="s">
        <v>278</v>
      </c>
      <c r="J179" t="s">
        <v>228</v>
      </c>
      <c r="K179" t="s">
        <v>224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337"/>
  <sheetViews>
    <sheetView workbookViewId="0">
      <selection activeCell="G2" sqref="G2"/>
    </sheetView>
  </sheetViews>
  <sheetFormatPr defaultRowHeight="15" x14ac:dyDescent="0.25"/>
  <cols>
    <col min="1" max="1" width="22.7109375" bestFit="1" customWidth="1"/>
    <col min="3" max="3" width="10.7109375" bestFit="1" customWidth="1"/>
    <col min="6" max="6" width="24.7109375" bestFit="1" customWidth="1"/>
  </cols>
  <sheetData>
    <row r="1" spans="1:10" x14ac:dyDescent="0.25">
      <c r="A1" t="s">
        <v>70</v>
      </c>
      <c r="B1" t="s">
        <v>715</v>
      </c>
      <c r="C1" t="s">
        <v>712</v>
      </c>
      <c r="D1" t="s">
        <v>9</v>
      </c>
      <c r="F1" t="s">
        <v>713</v>
      </c>
      <c r="G1" t="s">
        <v>49</v>
      </c>
      <c r="H1" t="s">
        <v>9</v>
      </c>
      <c r="I1" t="s">
        <v>714</v>
      </c>
      <c r="J1" t="s">
        <v>0</v>
      </c>
    </row>
    <row r="2" spans="1:10" x14ac:dyDescent="0.25">
      <c r="A2" t="str">
        <f>RawData!A1</f>
        <v>Anthony Davis</v>
      </c>
      <c r="B2" s="42" t="str">
        <f>RawData!C1</f>
        <v>PF</v>
      </c>
      <c r="C2">
        <f>RawData!L1</f>
        <v>54.75</v>
      </c>
      <c r="D2" s="2">
        <f>VLOOKUP(A2,$F$2:$I$337,3,FALSE)</f>
        <v>10600</v>
      </c>
      <c r="E2">
        <f>VLOOKUP(A2,$F$2:$I$337,4,FALSE)</f>
        <v>1</v>
      </c>
      <c r="F2" t="str">
        <f>Fanduel!C2&amp;" "&amp;Fanduel!E2</f>
        <v>James Harden</v>
      </c>
      <c r="G2">
        <f>Fanduel!L2</f>
        <v>0</v>
      </c>
      <c r="H2">
        <f>Fanduel!H2</f>
        <v>12600</v>
      </c>
      <c r="I2">
        <f>IF(G2=0,1,0)</f>
        <v>1</v>
      </c>
    </row>
    <row r="3" spans="1:10" x14ac:dyDescent="0.25">
      <c r="A3" s="2" t="str">
        <f>RawData!A2</f>
        <v>James Harden</v>
      </c>
      <c r="B3" s="42" t="str">
        <f>RawData!C2</f>
        <v>SG</v>
      </c>
      <c r="C3" s="2">
        <f>RawData!L2</f>
        <v>54.12</v>
      </c>
      <c r="D3" s="2">
        <f>VLOOKUP(A3,$F$2:$I$337,3,FALSE)</f>
        <v>12600</v>
      </c>
      <c r="E3" s="2">
        <f t="shared" ref="E3:E66" si="0">VLOOKUP(A3,$F$2:$I$337,4,FALSE)</f>
        <v>1</v>
      </c>
      <c r="F3" s="2" t="str">
        <f>Fanduel!C3&amp;" "&amp;Fanduel!E3</f>
        <v>LeBron James</v>
      </c>
      <c r="G3" s="2">
        <f>Fanduel!L3</f>
        <v>0</v>
      </c>
      <c r="H3" s="2">
        <f>Fanduel!H3</f>
        <v>11200</v>
      </c>
      <c r="I3" s="2">
        <f t="shared" ref="I3:I66" si="1">IF(G3=0,1,0)</f>
        <v>1</v>
      </c>
    </row>
    <row r="4" spans="1:10" x14ac:dyDescent="0.25">
      <c r="A4" s="2" t="str">
        <f>RawData!A3</f>
        <v>Nikola Jokic</v>
      </c>
      <c r="B4" s="42" t="str">
        <f>RawData!C3</f>
        <v>PF</v>
      </c>
      <c r="C4" s="2">
        <f>RawData!L3</f>
        <v>46.38</v>
      </c>
      <c r="D4" s="2">
        <f t="shared" ref="D4:D67" si="2">VLOOKUP(A4,$F$2:$I$337,3,FALSE)</f>
        <v>10900</v>
      </c>
      <c r="E4" s="2">
        <f t="shared" si="0"/>
        <v>1</v>
      </c>
      <c r="F4" s="2" t="str">
        <f>Fanduel!C4&amp;" "&amp;Fanduel!E4</f>
        <v>DeMarcus Cousins</v>
      </c>
      <c r="G4" s="2">
        <f>Fanduel!L4</f>
        <v>0</v>
      </c>
      <c r="H4" s="2">
        <f>Fanduel!H4</f>
        <v>11000</v>
      </c>
      <c r="I4" s="2">
        <f t="shared" si="1"/>
        <v>1</v>
      </c>
    </row>
    <row r="5" spans="1:10" x14ac:dyDescent="0.25">
      <c r="A5" s="2" t="str">
        <f>RawData!A4</f>
        <v>DeMarcus Cousins</v>
      </c>
      <c r="B5" s="42" t="str">
        <f>RawData!C4</f>
        <v>C</v>
      </c>
      <c r="C5" s="2">
        <f>RawData!L4</f>
        <v>45.5</v>
      </c>
      <c r="D5" s="2">
        <f t="shared" si="2"/>
        <v>11000</v>
      </c>
      <c r="E5" s="2">
        <f t="shared" si="0"/>
        <v>1</v>
      </c>
      <c r="F5" s="2" t="str">
        <f>Fanduel!C5&amp;" "&amp;Fanduel!E5</f>
        <v>Nikola Jokic</v>
      </c>
      <c r="G5" s="2">
        <f>Fanduel!L5</f>
        <v>0</v>
      </c>
      <c r="H5" s="2">
        <f>Fanduel!H5</f>
        <v>10900</v>
      </c>
      <c r="I5" s="2">
        <f t="shared" si="1"/>
        <v>1</v>
      </c>
    </row>
    <row r="6" spans="1:10" x14ac:dyDescent="0.25">
      <c r="A6" s="2" t="str">
        <f>RawData!A5</f>
        <v>LeBron James</v>
      </c>
      <c r="B6" s="42" t="str">
        <f>RawData!C5</f>
        <v>SF</v>
      </c>
      <c r="C6" s="2">
        <f>RawData!L5</f>
        <v>45.2</v>
      </c>
      <c r="D6" s="2">
        <f t="shared" si="2"/>
        <v>11200</v>
      </c>
      <c r="E6" s="2">
        <f t="shared" si="0"/>
        <v>1</v>
      </c>
      <c r="F6" s="2" t="str">
        <f>Fanduel!C6&amp;" "&amp;Fanduel!E6</f>
        <v>Anthony Davis</v>
      </c>
      <c r="G6" s="2">
        <f>Fanduel!L6</f>
        <v>0</v>
      </c>
      <c r="H6" s="2">
        <f>Fanduel!H6</f>
        <v>10600</v>
      </c>
      <c r="I6" s="2">
        <f t="shared" si="1"/>
        <v>1</v>
      </c>
    </row>
    <row r="7" spans="1:10" x14ac:dyDescent="0.25">
      <c r="A7" s="2" t="str">
        <f>RawData!A6</f>
        <v>Kemba Walker</v>
      </c>
      <c r="B7" s="42" t="str">
        <f>RawData!C6</f>
        <v>PG</v>
      </c>
      <c r="C7" s="2">
        <f>RawData!L6</f>
        <v>43.24</v>
      </c>
      <c r="D7" s="2">
        <f t="shared" si="2"/>
        <v>7700</v>
      </c>
      <c r="E7" s="2">
        <f t="shared" si="0"/>
        <v>1</v>
      </c>
      <c r="F7" s="2" t="str">
        <f>Fanduel!C7&amp;" "&amp;Fanduel!E7</f>
        <v>Kevin Durant</v>
      </c>
      <c r="G7" s="2">
        <f>Fanduel!L7</f>
        <v>0</v>
      </c>
      <c r="H7" s="2">
        <f>Fanduel!H7</f>
        <v>10300</v>
      </c>
      <c r="I7" s="2">
        <f t="shared" si="1"/>
        <v>1</v>
      </c>
    </row>
    <row r="8" spans="1:10" x14ac:dyDescent="0.25">
      <c r="A8" s="2" t="str">
        <f>RawData!A7</f>
        <v>Damian Lillard</v>
      </c>
      <c r="B8" s="42" t="str">
        <f>RawData!C7</f>
        <v>PG</v>
      </c>
      <c r="C8" s="2">
        <f>RawData!L7</f>
        <v>42.78</v>
      </c>
      <c r="D8" s="2">
        <f t="shared" si="2"/>
        <v>8300</v>
      </c>
      <c r="E8" s="2">
        <f t="shared" si="0"/>
        <v>1</v>
      </c>
      <c r="F8" s="2" t="str">
        <f>Fanduel!C8&amp;" "&amp;Fanduel!E8</f>
        <v>Blake Griffin</v>
      </c>
      <c r="G8" s="2">
        <f>Fanduel!L8</f>
        <v>0</v>
      </c>
      <c r="H8" s="2">
        <f>Fanduel!H8</f>
        <v>9700</v>
      </c>
      <c r="I8" s="2">
        <f t="shared" si="1"/>
        <v>1</v>
      </c>
    </row>
    <row r="9" spans="1:10" x14ac:dyDescent="0.25">
      <c r="A9" s="2" t="str">
        <f>RawData!A8</f>
        <v>Kevin Durant</v>
      </c>
      <c r="B9" s="42" t="str">
        <f>RawData!C8</f>
        <v>SF</v>
      </c>
      <c r="C9" s="2">
        <f>RawData!L8</f>
        <v>41.56</v>
      </c>
      <c r="D9" s="2">
        <f t="shared" si="2"/>
        <v>10300</v>
      </c>
      <c r="E9" s="2">
        <f t="shared" si="0"/>
        <v>1</v>
      </c>
      <c r="F9" s="2" t="str">
        <f>Fanduel!C9&amp;" "&amp;Fanduel!E9</f>
        <v>Stephen Curry</v>
      </c>
      <c r="G9" s="2">
        <f>Fanduel!L9</f>
        <v>0</v>
      </c>
      <c r="H9" s="2">
        <f>Fanduel!H9</f>
        <v>9100</v>
      </c>
      <c r="I9" s="2">
        <f t="shared" si="1"/>
        <v>1</v>
      </c>
    </row>
    <row r="10" spans="1:10" x14ac:dyDescent="0.25">
      <c r="A10" s="2" t="str">
        <f>RawData!A9</f>
        <v>Blake Griffin</v>
      </c>
      <c r="B10" s="42" t="str">
        <f>RawData!C9</f>
        <v>PF</v>
      </c>
      <c r="C10" s="2">
        <f>RawData!L9</f>
        <v>39.979999999999997</v>
      </c>
      <c r="D10" s="2">
        <f t="shared" si="2"/>
        <v>9700</v>
      </c>
      <c r="E10" s="2">
        <f t="shared" si="0"/>
        <v>1</v>
      </c>
      <c r="F10" s="2" t="str">
        <f>Fanduel!C10&amp;" "&amp;Fanduel!E10</f>
        <v>Kyrie Irving</v>
      </c>
      <c r="G10" s="2">
        <f>Fanduel!L10</f>
        <v>0</v>
      </c>
      <c r="H10" s="2">
        <f>Fanduel!H10</f>
        <v>9000</v>
      </c>
      <c r="I10" s="2">
        <f t="shared" si="1"/>
        <v>1</v>
      </c>
    </row>
    <row r="11" spans="1:10" x14ac:dyDescent="0.25">
      <c r="A11" s="2" t="str">
        <f>RawData!A10</f>
        <v>Carmelo Anthony</v>
      </c>
      <c r="B11" s="42" t="str">
        <f>RawData!C10</f>
        <v>SF</v>
      </c>
      <c r="C11" s="2">
        <f>RawData!L10</f>
        <v>39.770000000000003</v>
      </c>
      <c r="D11" s="2">
        <f t="shared" si="2"/>
        <v>8600</v>
      </c>
      <c r="E11" s="2">
        <f t="shared" si="0"/>
        <v>1</v>
      </c>
      <c r="F11" s="2" t="str">
        <f>Fanduel!C11&amp;" "&amp;Fanduel!E11</f>
        <v>Chris Paul</v>
      </c>
      <c r="G11" s="2" t="str">
        <f>Fanduel!L11</f>
        <v>GTD</v>
      </c>
      <c r="H11" s="2">
        <f>Fanduel!H11</f>
        <v>8800</v>
      </c>
      <c r="I11" s="2">
        <f t="shared" si="1"/>
        <v>0</v>
      </c>
    </row>
    <row r="12" spans="1:10" x14ac:dyDescent="0.25">
      <c r="A12" s="2" t="str">
        <f>RawData!A11</f>
        <v>Kevin Love</v>
      </c>
      <c r="B12" s="42" t="str">
        <f>RawData!C11</f>
        <v>PF</v>
      </c>
      <c r="C12" s="2">
        <f>RawData!L11</f>
        <v>38.270000000000003</v>
      </c>
      <c r="D12" s="2">
        <f t="shared" si="2"/>
        <v>8100</v>
      </c>
      <c r="E12" s="2">
        <f t="shared" si="0"/>
        <v>0</v>
      </c>
      <c r="F12" s="2" t="str">
        <f>Fanduel!C12&amp;" "&amp;Fanduel!E12</f>
        <v>Carmelo Anthony</v>
      </c>
      <c r="G12" s="2">
        <f>Fanduel!L12</f>
        <v>0</v>
      </c>
      <c r="H12" s="2">
        <f>Fanduel!H12</f>
        <v>8600</v>
      </c>
      <c r="I12" s="2">
        <f t="shared" si="1"/>
        <v>1</v>
      </c>
    </row>
    <row r="13" spans="1:10" x14ac:dyDescent="0.25">
      <c r="A13" s="2" t="str">
        <f>RawData!A12</f>
        <v>Jrue Holiday</v>
      </c>
      <c r="B13" s="42" t="str">
        <f>RawData!C12</f>
        <v>PG</v>
      </c>
      <c r="C13" s="2">
        <f>RawData!L12</f>
        <v>37.79</v>
      </c>
      <c r="D13" s="2">
        <f t="shared" si="2"/>
        <v>8100</v>
      </c>
      <c r="E13" s="2">
        <f t="shared" si="0"/>
        <v>1</v>
      </c>
      <c r="F13" s="2" t="str">
        <f>Fanduel!C13&amp;" "&amp;Fanduel!E13</f>
        <v>Damian Lillard</v>
      </c>
      <c r="G13" s="2">
        <f>Fanduel!L13</f>
        <v>0</v>
      </c>
      <c r="H13" s="2">
        <f>Fanduel!H13</f>
        <v>8300</v>
      </c>
      <c r="I13" s="2">
        <f t="shared" si="1"/>
        <v>1</v>
      </c>
    </row>
    <row r="14" spans="1:10" x14ac:dyDescent="0.25">
      <c r="A14" s="2" t="str">
        <f>RawData!A13</f>
        <v>Kyrie Irving</v>
      </c>
      <c r="B14" s="42" t="str">
        <f>RawData!C13</f>
        <v>PG</v>
      </c>
      <c r="C14" s="2">
        <f>RawData!L13</f>
        <v>37.53</v>
      </c>
      <c r="D14" s="2">
        <f t="shared" si="2"/>
        <v>9000</v>
      </c>
      <c r="E14" s="2">
        <f t="shared" si="0"/>
        <v>1</v>
      </c>
      <c r="F14" s="2" t="str">
        <f>Fanduel!C14&amp;" "&amp;Fanduel!E14</f>
        <v>Andre Drummond</v>
      </c>
      <c r="G14" s="2">
        <f>Fanduel!L14</f>
        <v>0</v>
      </c>
      <c r="H14" s="2">
        <f>Fanduel!H14</f>
        <v>8300</v>
      </c>
      <c r="I14" s="2">
        <f t="shared" si="1"/>
        <v>1</v>
      </c>
    </row>
    <row r="15" spans="1:10" x14ac:dyDescent="0.25">
      <c r="A15" s="2" t="str">
        <f>RawData!A14</f>
        <v>Stephen Curry</v>
      </c>
      <c r="B15" s="42" t="str">
        <f>RawData!C14</f>
        <v>PG</v>
      </c>
      <c r="C15" s="2">
        <f>RawData!L14</f>
        <v>36.590000000000003</v>
      </c>
      <c r="D15" s="2">
        <f t="shared" si="2"/>
        <v>9100</v>
      </c>
      <c r="E15" s="2">
        <f t="shared" si="0"/>
        <v>1</v>
      </c>
      <c r="F15" s="2" t="str">
        <f>Fanduel!C15&amp;" "&amp;Fanduel!E15</f>
        <v>Kevin Love</v>
      </c>
      <c r="G15" s="2" t="str">
        <f>Fanduel!L15</f>
        <v>O</v>
      </c>
      <c r="H15" s="2">
        <f>Fanduel!H15</f>
        <v>8100</v>
      </c>
      <c r="I15" s="2">
        <f t="shared" si="1"/>
        <v>0</v>
      </c>
    </row>
    <row r="16" spans="1:10" x14ac:dyDescent="0.25">
      <c r="A16" s="2" t="str">
        <f>RawData!A15</f>
        <v>Chris Paul</v>
      </c>
      <c r="B16" s="42" t="str">
        <f>RawData!C15</f>
        <v>PG</v>
      </c>
      <c r="C16" s="2">
        <f>RawData!L15</f>
        <v>34.29</v>
      </c>
      <c r="D16" s="2">
        <f t="shared" si="2"/>
        <v>8800</v>
      </c>
      <c r="E16" s="2">
        <f t="shared" si="0"/>
        <v>0</v>
      </c>
      <c r="F16" s="2" t="str">
        <f>Fanduel!C16&amp;" "&amp;Fanduel!E16</f>
        <v>Jrue Holiday</v>
      </c>
      <c r="G16" s="2">
        <f>Fanduel!L16</f>
        <v>0</v>
      </c>
      <c r="H16" s="2">
        <f>Fanduel!H16</f>
        <v>8100</v>
      </c>
      <c r="I16" s="2">
        <f t="shared" si="1"/>
        <v>1</v>
      </c>
    </row>
    <row r="17" spans="1:9" x14ac:dyDescent="0.25">
      <c r="A17" s="2" t="str">
        <f>RawData!A16</f>
        <v>C.J. McCollum</v>
      </c>
      <c r="B17" s="42" t="str">
        <f>RawData!C16</f>
        <v>SG</v>
      </c>
      <c r="C17" s="2">
        <f>RawData!L16</f>
        <v>33.99</v>
      </c>
      <c r="D17" s="2">
        <f t="shared" si="2"/>
        <v>7600</v>
      </c>
      <c r="E17" s="2">
        <f t="shared" si="0"/>
        <v>1</v>
      </c>
      <c r="F17" s="2" t="str">
        <f>Fanduel!C17&amp;" "&amp;Fanduel!E17</f>
        <v>Draymond Green</v>
      </c>
      <c r="G17" s="2">
        <f>Fanduel!L17</f>
        <v>0</v>
      </c>
      <c r="H17" s="2">
        <f>Fanduel!H17</f>
        <v>7800</v>
      </c>
      <c r="I17" s="2">
        <f t="shared" si="1"/>
        <v>1</v>
      </c>
    </row>
    <row r="18" spans="1:9" x14ac:dyDescent="0.25">
      <c r="A18" s="2" t="str">
        <f>RawData!A17</f>
        <v>Kristaps Porzingis</v>
      </c>
      <c r="B18" s="42" t="str">
        <f>RawData!C17</f>
        <v>PF</v>
      </c>
      <c r="C18" s="2">
        <f>RawData!L17</f>
        <v>33.659999999999997</v>
      </c>
      <c r="D18" s="2">
        <f t="shared" si="2"/>
        <v>6600</v>
      </c>
      <c r="E18" s="2">
        <f t="shared" si="0"/>
        <v>1</v>
      </c>
      <c r="F18" s="2" t="str">
        <f>Fanduel!C18&amp;" "&amp;Fanduel!E18</f>
        <v>Kemba Walker</v>
      </c>
      <c r="G18" s="2">
        <f>Fanduel!L18</f>
        <v>0</v>
      </c>
      <c r="H18" s="2">
        <f>Fanduel!H18</f>
        <v>7700</v>
      </c>
      <c r="I18" s="2">
        <f t="shared" si="1"/>
        <v>1</v>
      </c>
    </row>
    <row r="19" spans="1:9" x14ac:dyDescent="0.25">
      <c r="A19" s="2" t="str">
        <f>RawData!A18</f>
        <v>Nicolas Batum</v>
      </c>
      <c r="B19" s="42" t="str">
        <f>RawData!C18</f>
        <v>SG</v>
      </c>
      <c r="C19" s="2">
        <f>RawData!L18</f>
        <v>33.51</v>
      </c>
      <c r="D19" s="2">
        <f t="shared" si="2"/>
        <v>7200</v>
      </c>
      <c r="E19" s="2">
        <f t="shared" si="0"/>
        <v>1</v>
      </c>
      <c r="F19" s="2" t="str">
        <f>Fanduel!C19&amp;" "&amp;Fanduel!E19</f>
        <v>DeAndre Jordan</v>
      </c>
      <c r="G19" s="2">
        <f>Fanduel!L19</f>
        <v>0</v>
      </c>
      <c r="H19" s="2">
        <f>Fanduel!H19</f>
        <v>7600</v>
      </c>
      <c r="I19" s="2">
        <f t="shared" si="1"/>
        <v>1</v>
      </c>
    </row>
    <row r="20" spans="1:9" x14ac:dyDescent="0.25">
      <c r="A20" s="2" t="str">
        <f>RawData!A19</f>
        <v>Nikola Vucevic</v>
      </c>
      <c r="B20" s="42" t="str">
        <f>RawData!C19</f>
        <v>C</v>
      </c>
      <c r="C20" s="2">
        <f>RawData!L19</f>
        <v>32.53</v>
      </c>
      <c r="D20" s="2">
        <f t="shared" si="2"/>
        <v>7200</v>
      </c>
      <c r="E20" s="2">
        <f t="shared" si="0"/>
        <v>1</v>
      </c>
      <c r="F20" s="2" t="str">
        <f>Fanduel!C20&amp;" "&amp;Fanduel!E20</f>
        <v>C.J. McCollum</v>
      </c>
      <c r="G20" s="2">
        <f>Fanduel!L20</f>
        <v>0</v>
      </c>
      <c r="H20" s="2">
        <f>Fanduel!H20</f>
        <v>7600</v>
      </c>
      <c r="I20" s="2">
        <f t="shared" si="1"/>
        <v>1</v>
      </c>
    </row>
    <row r="21" spans="1:9" x14ac:dyDescent="0.25">
      <c r="A21" s="2" t="str">
        <f>RawData!A20</f>
        <v>Andre Drummond</v>
      </c>
      <c r="B21" s="42" t="str">
        <f>RawData!C20</f>
        <v>C</v>
      </c>
      <c r="C21" s="2">
        <f>RawData!L20</f>
        <v>32</v>
      </c>
      <c r="D21" s="2">
        <f t="shared" si="2"/>
        <v>8300</v>
      </c>
      <c r="E21" s="2">
        <f t="shared" si="0"/>
        <v>1</v>
      </c>
      <c r="F21" s="2" t="str">
        <f>Fanduel!C21&amp;" "&amp;Fanduel!E21</f>
        <v>Nicolas Batum</v>
      </c>
      <c r="G21" s="2">
        <f>Fanduel!L21</f>
        <v>0</v>
      </c>
      <c r="H21" s="2">
        <f>Fanduel!H21</f>
        <v>7200</v>
      </c>
      <c r="I21" s="2">
        <f t="shared" si="1"/>
        <v>1</v>
      </c>
    </row>
    <row r="22" spans="1:9" x14ac:dyDescent="0.25">
      <c r="A22" s="2" t="str">
        <f>RawData!A21</f>
        <v>Wilson Chandler</v>
      </c>
      <c r="B22" s="42" t="str">
        <f>RawData!C21</f>
        <v>SF</v>
      </c>
      <c r="C22" s="2">
        <f>RawData!L21</f>
        <v>31.86</v>
      </c>
      <c r="D22" s="2">
        <f t="shared" si="2"/>
        <v>6600</v>
      </c>
      <c r="E22" s="2">
        <f t="shared" si="0"/>
        <v>0</v>
      </c>
      <c r="F22" s="2" t="str">
        <f>Fanduel!C22&amp;" "&amp;Fanduel!E22</f>
        <v>Klay Thompson</v>
      </c>
      <c r="G22" s="2">
        <f>Fanduel!L22</f>
        <v>0</v>
      </c>
      <c r="H22" s="2">
        <f>Fanduel!H22</f>
        <v>7200</v>
      </c>
      <c r="I22" s="2">
        <f t="shared" si="1"/>
        <v>1</v>
      </c>
    </row>
    <row r="23" spans="1:9" x14ac:dyDescent="0.25">
      <c r="A23" s="2" t="str">
        <f>RawData!A22</f>
        <v>Mason Plumlee</v>
      </c>
      <c r="B23" s="42" t="str">
        <f>RawData!C22</f>
        <v>C</v>
      </c>
      <c r="C23" s="2">
        <f>RawData!L22</f>
        <v>31.53</v>
      </c>
      <c r="D23" s="2">
        <f t="shared" si="2"/>
        <v>5900</v>
      </c>
      <c r="E23" s="2">
        <f t="shared" si="0"/>
        <v>1</v>
      </c>
      <c r="F23" s="2" t="str">
        <f>Fanduel!C23&amp;" "&amp;Fanduel!E23</f>
        <v>Nikola Vucevic</v>
      </c>
      <c r="G23" s="2">
        <f>Fanduel!L23</f>
        <v>0</v>
      </c>
      <c r="H23" s="2">
        <f>Fanduel!H23</f>
        <v>7200</v>
      </c>
      <c r="I23" s="2">
        <f t="shared" si="1"/>
        <v>1</v>
      </c>
    </row>
    <row r="24" spans="1:9" x14ac:dyDescent="0.25">
      <c r="A24" s="2" t="str">
        <f>RawData!A23</f>
        <v>DeAndre Jordan</v>
      </c>
      <c r="B24" s="42" t="str">
        <f>RawData!C23</f>
        <v>C</v>
      </c>
      <c r="C24" s="2">
        <f>RawData!L23</f>
        <v>31.2</v>
      </c>
      <c r="D24" s="2">
        <f t="shared" si="2"/>
        <v>7600</v>
      </c>
      <c r="E24" s="2">
        <f t="shared" si="0"/>
        <v>1</v>
      </c>
      <c r="F24" s="2" t="str">
        <f>Fanduel!C24&amp;" "&amp;Fanduel!E24</f>
        <v>Danilo Gallinari</v>
      </c>
      <c r="G24" s="2" t="str">
        <f>Fanduel!L24</f>
        <v>GTD</v>
      </c>
      <c r="H24" s="2">
        <f>Fanduel!H24</f>
        <v>6900</v>
      </c>
      <c r="I24" s="2">
        <f t="shared" si="1"/>
        <v>0</v>
      </c>
    </row>
    <row r="25" spans="1:9" x14ac:dyDescent="0.25">
      <c r="A25" s="2" t="str">
        <f>RawData!A24</f>
        <v>Frank Kaminsky</v>
      </c>
      <c r="B25" s="42" t="str">
        <f>RawData!C24</f>
        <v>PF</v>
      </c>
      <c r="C25" s="2">
        <f>RawData!L24</f>
        <v>30.73</v>
      </c>
      <c r="D25" s="2">
        <f t="shared" si="2"/>
        <v>6000</v>
      </c>
      <c r="E25" s="2">
        <f t="shared" si="0"/>
        <v>1</v>
      </c>
      <c r="F25" s="2" t="str">
        <f>Fanduel!C25&amp;" "&amp;Fanduel!E25</f>
        <v>Kristaps Porzingis</v>
      </c>
      <c r="G25" s="2">
        <f>Fanduel!L25</f>
        <v>0</v>
      </c>
      <c r="H25" s="2">
        <f>Fanduel!H25</f>
        <v>6600</v>
      </c>
      <c r="I25" s="2">
        <f t="shared" si="1"/>
        <v>1</v>
      </c>
    </row>
    <row r="26" spans="1:9" x14ac:dyDescent="0.25">
      <c r="A26" s="2" t="str">
        <f>RawData!A25</f>
        <v>Klay Thompson</v>
      </c>
      <c r="B26" s="42" t="str">
        <f>RawData!C25</f>
        <v>SG</v>
      </c>
      <c r="C26" s="2">
        <f>RawData!L25</f>
        <v>30.33</v>
      </c>
      <c r="D26" s="2">
        <f t="shared" si="2"/>
        <v>7200</v>
      </c>
      <c r="E26" s="2">
        <f t="shared" si="0"/>
        <v>1</v>
      </c>
      <c r="F26" s="2" t="str">
        <f>Fanduel!C26&amp;" "&amp;Fanduel!E26</f>
        <v>Wilson Chandler</v>
      </c>
      <c r="G26" s="2" t="str">
        <f>Fanduel!L26</f>
        <v>GTD</v>
      </c>
      <c r="H26" s="2">
        <f>Fanduel!H26</f>
        <v>6600</v>
      </c>
      <c r="I26" s="2">
        <f t="shared" si="1"/>
        <v>0</v>
      </c>
    </row>
    <row r="27" spans="1:9" x14ac:dyDescent="0.25">
      <c r="A27" s="2" t="str">
        <f>RawData!A26</f>
        <v>Will Barton</v>
      </c>
      <c r="B27" s="42" t="str">
        <f>RawData!C26</f>
        <v>SG</v>
      </c>
      <c r="C27" s="2">
        <f>RawData!L26</f>
        <v>29.95</v>
      </c>
      <c r="D27" s="2">
        <f t="shared" si="2"/>
        <v>6400</v>
      </c>
      <c r="E27" s="2">
        <f t="shared" si="0"/>
        <v>1</v>
      </c>
      <c r="F27" s="2" t="str">
        <f>Fanduel!C27&amp;" "&amp;Fanduel!E27</f>
        <v>Will Barton</v>
      </c>
      <c r="G27" s="2">
        <f>Fanduel!L27</f>
        <v>0</v>
      </c>
      <c r="H27" s="2">
        <f>Fanduel!H27</f>
        <v>6400</v>
      </c>
      <c r="I27" s="2">
        <f t="shared" si="1"/>
        <v>1</v>
      </c>
    </row>
    <row r="28" spans="1:9" x14ac:dyDescent="0.25">
      <c r="A28" s="2" t="str">
        <f>RawData!A27</f>
        <v>Derrick Rose</v>
      </c>
      <c r="B28" s="42" t="str">
        <f>RawData!C27</f>
        <v>PG</v>
      </c>
      <c r="C28" s="2">
        <f>RawData!L27</f>
        <v>28.65</v>
      </c>
      <c r="D28" s="2">
        <f t="shared" si="2"/>
        <v>6200</v>
      </c>
      <c r="E28" s="2">
        <f t="shared" si="0"/>
        <v>1</v>
      </c>
      <c r="F28" s="2" t="str">
        <f>Fanduel!C28&amp;" "&amp;Fanduel!E28</f>
        <v>Tristan Thompson</v>
      </c>
      <c r="G28" s="2">
        <f>Fanduel!L28</f>
        <v>0</v>
      </c>
      <c r="H28" s="2">
        <f>Fanduel!H28</f>
        <v>6300</v>
      </c>
      <c r="I28" s="2">
        <f t="shared" si="1"/>
        <v>1</v>
      </c>
    </row>
    <row r="29" spans="1:9" x14ac:dyDescent="0.25">
      <c r="A29" s="2" t="str">
        <f>RawData!A28</f>
        <v>Tristan Thompson</v>
      </c>
      <c r="B29" s="42" t="str">
        <f>RawData!C28</f>
        <v>C</v>
      </c>
      <c r="C29" s="2">
        <f>RawData!L28</f>
        <v>28.42</v>
      </c>
      <c r="D29" s="2">
        <f t="shared" si="2"/>
        <v>6300</v>
      </c>
      <c r="E29" s="2">
        <f t="shared" si="0"/>
        <v>1</v>
      </c>
      <c r="F29" s="2" t="str">
        <f>Fanduel!C29&amp;" "&amp;Fanduel!E29</f>
        <v>Derrick Rose</v>
      </c>
      <c r="G29" s="2">
        <f>Fanduel!L29</f>
        <v>0</v>
      </c>
      <c r="H29" s="2">
        <f>Fanduel!H29</f>
        <v>6200</v>
      </c>
      <c r="I29" s="2">
        <f t="shared" si="1"/>
        <v>1</v>
      </c>
    </row>
    <row r="30" spans="1:9" x14ac:dyDescent="0.25">
      <c r="A30" s="2" t="str">
        <f>RawData!A29</f>
        <v>Terrence Jones</v>
      </c>
      <c r="B30" s="42" t="str">
        <f>RawData!C29</f>
        <v>PF</v>
      </c>
      <c r="C30" s="2">
        <f>RawData!L29</f>
        <v>27.51</v>
      </c>
      <c r="D30" s="2">
        <f t="shared" si="2"/>
        <v>5500</v>
      </c>
      <c r="E30" s="2">
        <f t="shared" si="0"/>
        <v>1</v>
      </c>
      <c r="F30" s="2" t="str">
        <f>Fanduel!C30&amp;" "&amp;Fanduel!E30</f>
        <v>Kenneth Faried</v>
      </c>
      <c r="G30" s="2" t="str">
        <f>Fanduel!L30</f>
        <v>GTD</v>
      </c>
      <c r="H30" s="2">
        <f>Fanduel!H30</f>
        <v>6100</v>
      </c>
      <c r="I30" s="2">
        <f t="shared" si="1"/>
        <v>0</v>
      </c>
    </row>
    <row r="31" spans="1:9" x14ac:dyDescent="0.25">
      <c r="A31" s="2" t="str">
        <f>RawData!A30</f>
        <v>Darren Collison</v>
      </c>
      <c r="B31" s="42" t="str">
        <f>RawData!C30</f>
        <v>PG</v>
      </c>
      <c r="C31" s="2">
        <f>RawData!L30</f>
        <v>27.16</v>
      </c>
      <c r="D31" s="2">
        <f t="shared" si="2"/>
        <v>5500</v>
      </c>
      <c r="E31" s="2">
        <f t="shared" si="0"/>
        <v>1</v>
      </c>
      <c r="F31" s="2" t="str">
        <f>Fanduel!C31&amp;" "&amp;Fanduel!E31</f>
        <v>Frank Kaminsky</v>
      </c>
      <c r="G31" s="2">
        <f>Fanduel!L31</f>
        <v>0</v>
      </c>
      <c r="H31" s="2">
        <f>Fanduel!H31</f>
        <v>6000</v>
      </c>
      <c r="I31" s="2">
        <f t="shared" si="1"/>
        <v>1</v>
      </c>
    </row>
    <row r="32" spans="1:9" x14ac:dyDescent="0.25">
      <c r="A32" s="2" t="str">
        <f>RawData!A31</f>
        <v>Danilo Gallinari</v>
      </c>
      <c r="B32" s="42" t="str">
        <f>RawData!C31</f>
        <v>SF</v>
      </c>
      <c r="C32" s="2">
        <f>RawData!L31</f>
        <v>26.97</v>
      </c>
      <c r="D32" s="2">
        <f t="shared" si="2"/>
        <v>6900</v>
      </c>
      <c r="E32" s="2">
        <f t="shared" si="0"/>
        <v>0</v>
      </c>
      <c r="F32" s="2" t="str">
        <f>Fanduel!C32&amp;" "&amp;Fanduel!E32</f>
        <v>Mason Plumlee</v>
      </c>
      <c r="G32" s="2">
        <f>Fanduel!L32</f>
        <v>0</v>
      </c>
      <c r="H32" s="2">
        <f>Fanduel!H32</f>
        <v>5900</v>
      </c>
      <c r="I32" s="2">
        <f t="shared" si="1"/>
        <v>1</v>
      </c>
    </row>
    <row r="33" spans="1:9" x14ac:dyDescent="0.25">
      <c r="A33" s="2" t="str">
        <f>RawData!A32</f>
        <v>Marvin Williams</v>
      </c>
      <c r="B33" s="42" t="str">
        <f>RawData!C32</f>
        <v>PF</v>
      </c>
      <c r="C33" s="2">
        <f>RawData!L32</f>
        <v>26.67</v>
      </c>
      <c r="D33" s="2">
        <f t="shared" si="2"/>
        <v>5100</v>
      </c>
      <c r="E33" s="2">
        <f t="shared" si="0"/>
        <v>1</v>
      </c>
      <c r="F33" s="2" t="str">
        <f>Fanduel!C33&amp;" "&amp;Fanduel!E33</f>
        <v>Guillermo Hernangomez</v>
      </c>
      <c r="G33" s="2">
        <f>Fanduel!L33</f>
        <v>0</v>
      </c>
      <c r="H33" s="2">
        <f>Fanduel!H33</f>
        <v>5800</v>
      </c>
      <c r="I33" s="2">
        <f t="shared" si="1"/>
        <v>1</v>
      </c>
    </row>
    <row r="34" spans="1:9" x14ac:dyDescent="0.25">
      <c r="A34" s="2" t="str">
        <f>RawData!A33</f>
        <v>Trevor Ariza</v>
      </c>
      <c r="B34" s="42" t="str">
        <f>RawData!C33</f>
        <v>SF</v>
      </c>
      <c r="C34" s="2">
        <f>RawData!L33</f>
        <v>26.5</v>
      </c>
      <c r="D34" s="2">
        <f t="shared" si="2"/>
        <v>5300</v>
      </c>
      <c r="E34" s="2">
        <f t="shared" si="0"/>
        <v>1</v>
      </c>
      <c r="F34" s="2" t="str">
        <f>Fanduel!C34&amp;" "&amp;Fanduel!E34</f>
        <v>Marcus Morris</v>
      </c>
      <c r="G34" s="2">
        <f>Fanduel!L34</f>
        <v>0</v>
      </c>
      <c r="H34" s="2">
        <f>Fanduel!H34</f>
        <v>5800</v>
      </c>
      <c r="I34" s="2">
        <f t="shared" si="1"/>
        <v>1</v>
      </c>
    </row>
    <row r="35" spans="1:9" x14ac:dyDescent="0.25">
      <c r="A35" s="2" t="str">
        <f>RawData!A34</f>
        <v>Draymond Green</v>
      </c>
      <c r="B35" s="42" t="str">
        <f>RawData!C34</f>
        <v>PF</v>
      </c>
      <c r="C35" s="2">
        <f>RawData!L34</f>
        <v>26.49</v>
      </c>
      <c r="D35" s="2">
        <f t="shared" si="2"/>
        <v>7800</v>
      </c>
      <c r="E35" s="2">
        <f t="shared" si="0"/>
        <v>1</v>
      </c>
      <c r="F35" s="2" t="str">
        <f>Fanduel!C35&amp;" "&amp;Fanduel!E35</f>
        <v>Al-Farouq Aminu</v>
      </c>
      <c r="G35" s="2" t="str">
        <f>Fanduel!L35</f>
        <v>O</v>
      </c>
      <c r="H35" s="2">
        <f>Fanduel!H35</f>
        <v>5700</v>
      </c>
      <c r="I35" s="2">
        <f t="shared" si="1"/>
        <v>0</v>
      </c>
    </row>
    <row r="36" spans="1:9" x14ac:dyDescent="0.25">
      <c r="A36" s="2" t="str">
        <f>RawData!A35</f>
        <v>Kentavious Caldwell-Pope</v>
      </c>
      <c r="B36" s="42" t="str">
        <f>RawData!C35</f>
        <v>SG</v>
      </c>
      <c r="C36" s="2">
        <f>RawData!L35</f>
        <v>26.36</v>
      </c>
      <c r="D36" s="2">
        <f t="shared" si="2"/>
        <v>4900</v>
      </c>
      <c r="E36" s="2">
        <f t="shared" si="0"/>
        <v>1</v>
      </c>
      <c r="F36" s="2" t="str">
        <f>Fanduel!C36&amp;" "&amp;Fanduel!E36</f>
        <v>Michael Kidd-Gilchrist</v>
      </c>
      <c r="G36" s="2">
        <f>Fanduel!L36</f>
        <v>0</v>
      </c>
      <c r="H36" s="2">
        <f>Fanduel!H36</f>
        <v>5600</v>
      </c>
      <c r="I36" s="2">
        <f t="shared" si="1"/>
        <v>1</v>
      </c>
    </row>
    <row r="37" spans="1:9" x14ac:dyDescent="0.25">
      <c r="A37" s="2" t="str">
        <f>RawData!A36</f>
        <v>Eric Gordon</v>
      </c>
      <c r="B37" s="42" t="str">
        <f>RawData!C36</f>
        <v>SG</v>
      </c>
      <c r="C37" s="2">
        <f>RawData!L36</f>
        <v>26.31</v>
      </c>
      <c r="D37" s="2">
        <f t="shared" si="2"/>
        <v>5400</v>
      </c>
      <c r="E37" s="2">
        <f t="shared" si="0"/>
        <v>1</v>
      </c>
      <c r="F37" s="2" t="str">
        <f>Fanduel!C37&amp;" "&amp;Fanduel!E37</f>
        <v>Jameer Nelson</v>
      </c>
      <c r="G37" s="2">
        <f>Fanduel!L37</f>
        <v>0</v>
      </c>
      <c r="H37" s="2">
        <f>Fanduel!H37</f>
        <v>5600</v>
      </c>
      <c r="I37" s="2">
        <f t="shared" si="1"/>
        <v>1</v>
      </c>
    </row>
    <row r="38" spans="1:9" x14ac:dyDescent="0.25">
      <c r="A38" s="2" t="str">
        <f>RawData!A37</f>
        <v>Marcus Morris</v>
      </c>
      <c r="B38" s="42" t="str">
        <f>RawData!C37</f>
        <v>SF</v>
      </c>
      <c r="C38" s="2">
        <f>RawData!L37</f>
        <v>26.08</v>
      </c>
      <c r="D38" s="2">
        <f t="shared" si="2"/>
        <v>5800</v>
      </c>
      <c r="E38" s="2">
        <f t="shared" si="0"/>
        <v>1</v>
      </c>
      <c r="F38" s="2" t="str">
        <f>Fanduel!C38&amp;" "&amp;Fanduel!E38</f>
        <v>Elfrid Payton</v>
      </c>
      <c r="G38" s="2">
        <f>Fanduel!L38</f>
        <v>0</v>
      </c>
      <c r="H38" s="2">
        <f>Fanduel!H38</f>
        <v>5600</v>
      </c>
      <c r="I38" s="2">
        <f t="shared" si="1"/>
        <v>1</v>
      </c>
    </row>
    <row r="39" spans="1:9" x14ac:dyDescent="0.25">
      <c r="A39" s="2" t="str">
        <f>RawData!A38</f>
        <v>Jameer Nelson</v>
      </c>
      <c r="B39" s="42" t="str">
        <f>RawData!C38</f>
        <v>PG</v>
      </c>
      <c r="C39" s="2">
        <f>RawData!L38</f>
        <v>25.74</v>
      </c>
      <c r="D39" s="2">
        <f t="shared" si="2"/>
        <v>5600</v>
      </c>
      <c r="E39" s="2">
        <f t="shared" si="0"/>
        <v>1</v>
      </c>
      <c r="F39" s="2" t="str">
        <f>Fanduel!C39&amp;" "&amp;Fanduel!E39</f>
        <v>Austin Rivers</v>
      </c>
      <c r="G39" s="2">
        <f>Fanduel!L39</f>
        <v>0</v>
      </c>
      <c r="H39" s="2">
        <f>Fanduel!H39</f>
        <v>5600</v>
      </c>
      <c r="I39" s="2">
        <f t="shared" si="1"/>
        <v>1</v>
      </c>
    </row>
    <row r="40" spans="1:9" x14ac:dyDescent="0.25">
      <c r="A40" s="2" t="str">
        <f>RawData!A39</f>
        <v>Gary Harris</v>
      </c>
      <c r="B40" s="42" t="str">
        <f>RawData!C39</f>
        <v>SG</v>
      </c>
      <c r="C40" s="2">
        <f>RawData!L39</f>
        <v>25.71</v>
      </c>
      <c r="D40" s="2">
        <f t="shared" si="2"/>
        <v>5200</v>
      </c>
      <c r="E40" s="2">
        <f t="shared" si="0"/>
        <v>1</v>
      </c>
      <c r="F40" s="2" t="str">
        <f>Fanduel!C40&amp;" "&amp;Fanduel!E40</f>
        <v>Terrence Jones</v>
      </c>
      <c r="G40" s="2">
        <f>Fanduel!L40</f>
        <v>0</v>
      </c>
      <c r="H40" s="2">
        <f>Fanduel!H40</f>
        <v>5500</v>
      </c>
      <c r="I40" s="2">
        <f t="shared" si="1"/>
        <v>1</v>
      </c>
    </row>
    <row r="41" spans="1:9" x14ac:dyDescent="0.25">
      <c r="A41" s="2" t="str">
        <f>RawData!A40</f>
        <v>Michael Kidd-Gilchrist</v>
      </c>
      <c r="B41" s="42" t="str">
        <f>RawData!C40</f>
        <v>SF</v>
      </c>
      <c r="C41" s="2">
        <f>RawData!L40</f>
        <v>25.61</v>
      </c>
      <c r="D41" s="2">
        <f t="shared" si="2"/>
        <v>5600</v>
      </c>
      <c r="E41" s="2">
        <f t="shared" si="0"/>
        <v>1</v>
      </c>
      <c r="F41" s="2" t="str">
        <f>Fanduel!C41&amp;" "&amp;Fanduel!E41</f>
        <v>Darren Collison</v>
      </c>
      <c r="G41" s="2">
        <f>Fanduel!L41</f>
        <v>0</v>
      </c>
      <c r="H41" s="2">
        <f>Fanduel!H41</f>
        <v>5500</v>
      </c>
      <c r="I41" s="2">
        <f t="shared" si="1"/>
        <v>1</v>
      </c>
    </row>
    <row r="42" spans="1:9" x14ac:dyDescent="0.25">
      <c r="A42" s="2" t="str">
        <f>RawData!A41</f>
        <v>Evan Fournier</v>
      </c>
      <c r="B42" s="42" t="str">
        <f>RawData!C41</f>
        <v>SG</v>
      </c>
      <c r="C42" s="2">
        <f>RawData!L41</f>
        <v>25.54</v>
      </c>
      <c r="D42" s="2">
        <f t="shared" si="2"/>
        <v>5400</v>
      </c>
      <c r="E42" s="2">
        <f t="shared" si="0"/>
        <v>1</v>
      </c>
      <c r="F42" s="2" t="str">
        <f>Fanduel!C42&amp;" "&amp;Fanduel!E42</f>
        <v>Reggie Jackson</v>
      </c>
      <c r="G42" s="2">
        <f>Fanduel!L42</f>
        <v>0</v>
      </c>
      <c r="H42" s="2">
        <f>Fanduel!H42</f>
        <v>5500</v>
      </c>
      <c r="I42" s="2">
        <f t="shared" si="1"/>
        <v>1</v>
      </c>
    </row>
    <row r="43" spans="1:9" x14ac:dyDescent="0.25">
      <c r="A43" s="2" t="str">
        <f>RawData!A42</f>
        <v>Cody Zeller</v>
      </c>
      <c r="B43" s="42" t="str">
        <f>RawData!C42</f>
        <v>C</v>
      </c>
      <c r="C43" s="2">
        <f>RawData!L42</f>
        <v>25.36</v>
      </c>
      <c r="D43" s="2">
        <f t="shared" si="2"/>
        <v>5200</v>
      </c>
      <c r="E43" s="2">
        <f t="shared" si="0"/>
        <v>0</v>
      </c>
      <c r="F43" s="2" t="str">
        <f>Fanduel!C43&amp;" "&amp;Fanduel!E43</f>
        <v>Evan Fournier</v>
      </c>
      <c r="G43" s="2">
        <f>Fanduel!L43</f>
        <v>0</v>
      </c>
      <c r="H43" s="2">
        <f>Fanduel!H43</f>
        <v>5400</v>
      </c>
      <c r="I43" s="2">
        <f t="shared" si="1"/>
        <v>1</v>
      </c>
    </row>
    <row r="44" spans="1:9" x14ac:dyDescent="0.25">
      <c r="A44" s="2" t="str">
        <f>RawData!A43</f>
        <v>Al-Farouq Aminu</v>
      </c>
      <c r="B44" s="42" t="str">
        <f>RawData!C43</f>
        <v>PF</v>
      </c>
      <c r="C44" s="2">
        <f>RawData!L43</f>
        <v>24.83</v>
      </c>
      <c r="D44" s="2">
        <f t="shared" si="2"/>
        <v>5700</v>
      </c>
      <c r="E44" s="2">
        <f t="shared" si="0"/>
        <v>0</v>
      </c>
      <c r="F44" s="2" t="str">
        <f>Fanduel!C44&amp;" "&amp;Fanduel!E44</f>
        <v>Eric Gordon</v>
      </c>
      <c r="G44" s="2">
        <f>Fanduel!L44</f>
        <v>0</v>
      </c>
      <c r="H44" s="2">
        <f>Fanduel!H44</f>
        <v>5400</v>
      </c>
      <c r="I44" s="2">
        <f t="shared" si="1"/>
        <v>1</v>
      </c>
    </row>
    <row r="45" spans="1:9" x14ac:dyDescent="0.25">
      <c r="A45" s="2" t="str">
        <f>RawData!A44</f>
        <v>Elfrid Payton</v>
      </c>
      <c r="B45" s="42" t="str">
        <f>RawData!C44</f>
        <v>PG</v>
      </c>
      <c r="C45" s="2">
        <f>RawData!L44</f>
        <v>24.6</v>
      </c>
      <c r="D45" s="2">
        <f t="shared" si="2"/>
        <v>5600</v>
      </c>
      <c r="E45" s="2">
        <f t="shared" si="0"/>
        <v>1</v>
      </c>
      <c r="F45" s="2" t="str">
        <f>Fanduel!C45&amp;" "&amp;Fanduel!E45</f>
        <v>Tobias Harris</v>
      </c>
      <c r="G45" s="2">
        <f>Fanduel!L45</f>
        <v>0</v>
      </c>
      <c r="H45" s="2">
        <f>Fanduel!H45</f>
        <v>5400</v>
      </c>
      <c r="I45" s="2">
        <f t="shared" si="1"/>
        <v>1</v>
      </c>
    </row>
    <row r="46" spans="1:9" x14ac:dyDescent="0.25">
      <c r="A46" s="2" t="str">
        <f>RawData!A45</f>
        <v>Tyreke Evans</v>
      </c>
      <c r="B46" s="42" t="str">
        <f>RawData!C45</f>
        <v>SG</v>
      </c>
      <c r="C46" s="2">
        <f>RawData!L45</f>
        <v>23.69</v>
      </c>
      <c r="D46" s="2">
        <f t="shared" si="2"/>
        <v>4500</v>
      </c>
      <c r="E46" s="2">
        <f t="shared" si="0"/>
        <v>1</v>
      </c>
      <c r="F46" s="2" t="str">
        <f>Fanduel!C46&amp;" "&amp;Fanduel!E46</f>
        <v>Channing Frye</v>
      </c>
      <c r="G46" s="2">
        <f>Fanduel!L46</f>
        <v>0</v>
      </c>
      <c r="H46" s="2">
        <f>Fanduel!H46</f>
        <v>5400</v>
      </c>
      <c r="I46" s="2">
        <f t="shared" si="1"/>
        <v>1</v>
      </c>
    </row>
    <row r="47" spans="1:9" x14ac:dyDescent="0.25">
      <c r="A47" s="2" t="str">
        <f>RawData!A46</f>
        <v>Ryan Anderson</v>
      </c>
      <c r="B47" s="42" t="str">
        <f>RawData!C46</f>
        <v>PF</v>
      </c>
      <c r="C47" s="2">
        <f>RawData!L46</f>
        <v>23.4</v>
      </c>
      <c r="D47" s="2">
        <f t="shared" si="2"/>
        <v>4800</v>
      </c>
      <c r="E47" s="2">
        <f t="shared" si="0"/>
        <v>1</v>
      </c>
      <c r="F47" s="2" t="str">
        <f>Fanduel!C47&amp;" "&amp;Fanduel!E47</f>
        <v>Trevor Ariza</v>
      </c>
      <c r="G47" s="2">
        <f>Fanduel!L47</f>
        <v>0</v>
      </c>
      <c r="H47" s="2">
        <f>Fanduel!H47</f>
        <v>5300</v>
      </c>
      <c r="I47" s="2">
        <f t="shared" si="1"/>
        <v>1</v>
      </c>
    </row>
    <row r="48" spans="1:9" x14ac:dyDescent="0.25">
      <c r="A48" s="2" t="str">
        <f>RawData!A47</f>
        <v>Matt Barnes</v>
      </c>
      <c r="B48" s="42" t="str">
        <f>RawData!C47</f>
        <v>SF</v>
      </c>
      <c r="C48" s="2">
        <f>RawData!L47</f>
        <v>22.98</v>
      </c>
      <c r="D48" s="2">
        <f t="shared" si="2"/>
        <v>5200</v>
      </c>
      <c r="E48" s="2">
        <f t="shared" si="0"/>
        <v>1</v>
      </c>
      <c r="F48" s="2" t="str">
        <f>Fanduel!C48&amp;" "&amp;Fanduel!E48</f>
        <v>Patrick Beverley</v>
      </c>
      <c r="G48" s="2">
        <f>Fanduel!L48</f>
        <v>0</v>
      </c>
      <c r="H48" s="2">
        <f>Fanduel!H48</f>
        <v>5300</v>
      </c>
      <c r="I48" s="2">
        <f t="shared" si="1"/>
        <v>1</v>
      </c>
    </row>
    <row r="49" spans="1:9" x14ac:dyDescent="0.25">
      <c r="A49" s="2" t="str">
        <f>RawData!A48</f>
        <v>Jon Leuer</v>
      </c>
      <c r="B49" s="42" t="str">
        <f>RawData!C48</f>
        <v>PF</v>
      </c>
      <c r="C49" s="2">
        <f>RawData!L48</f>
        <v>22.84</v>
      </c>
      <c r="D49" s="2">
        <f t="shared" si="2"/>
        <v>4700</v>
      </c>
      <c r="E49" s="2">
        <f t="shared" si="0"/>
        <v>1</v>
      </c>
      <c r="F49" s="2" t="str">
        <f>Fanduel!C49&amp;" "&amp;Fanduel!E49</f>
        <v>Cody Zeller</v>
      </c>
      <c r="G49" s="2" t="str">
        <f>Fanduel!L49</f>
        <v>O</v>
      </c>
      <c r="H49" s="2">
        <f>Fanduel!H49</f>
        <v>5200</v>
      </c>
      <c r="I49" s="2">
        <f t="shared" si="1"/>
        <v>0</v>
      </c>
    </row>
    <row r="50" spans="1:9" x14ac:dyDescent="0.25">
      <c r="A50" s="2" t="str">
        <f>RawData!A49</f>
        <v>Reggie Jackson</v>
      </c>
      <c r="B50" s="42" t="str">
        <f>RawData!C49</f>
        <v>PG</v>
      </c>
      <c r="C50" s="2">
        <f>RawData!L49</f>
        <v>22.79</v>
      </c>
      <c r="D50" s="2">
        <f t="shared" si="2"/>
        <v>5500</v>
      </c>
      <c r="E50" s="2">
        <f t="shared" si="0"/>
        <v>1</v>
      </c>
      <c r="F50" s="2" t="str">
        <f>Fanduel!C50&amp;" "&amp;Fanduel!E50</f>
        <v>Matt Barnes</v>
      </c>
      <c r="G50" s="2">
        <f>Fanduel!L50</f>
        <v>0</v>
      </c>
      <c r="H50" s="2">
        <f>Fanduel!H50</f>
        <v>5200</v>
      </c>
      <c r="I50" s="2">
        <f t="shared" si="1"/>
        <v>1</v>
      </c>
    </row>
    <row r="51" spans="1:9" x14ac:dyDescent="0.25">
      <c r="A51" s="2" t="str">
        <f>RawData!A50</f>
        <v>Austin Rivers</v>
      </c>
      <c r="B51" s="42" t="str">
        <f>RawData!C50</f>
        <v>PG</v>
      </c>
      <c r="C51" s="2">
        <f>RawData!L50</f>
        <v>22.26</v>
      </c>
      <c r="D51" s="2">
        <f t="shared" si="2"/>
        <v>5600</v>
      </c>
      <c r="E51" s="2">
        <f t="shared" si="0"/>
        <v>1</v>
      </c>
      <c r="F51" s="2" t="str">
        <f>Fanduel!C51&amp;" "&amp;Fanduel!E51</f>
        <v>Gary Harris</v>
      </c>
      <c r="G51" s="2">
        <f>Fanduel!L51</f>
        <v>0</v>
      </c>
      <c r="H51" s="2">
        <f>Fanduel!H51</f>
        <v>5200</v>
      </c>
      <c r="I51" s="2">
        <f t="shared" si="1"/>
        <v>1</v>
      </c>
    </row>
    <row r="52" spans="1:9" x14ac:dyDescent="0.25">
      <c r="A52" s="2" t="str">
        <f>RawData!A51</f>
        <v>JaVale McGee</v>
      </c>
      <c r="B52" s="42" t="str">
        <f>RawData!C51</f>
        <v>C</v>
      </c>
      <c r="C52" s="2">
        <f>RawData!L51</f>
        <v>21.43</v>
      </c>
      <c r="D52" s="2">
        <f t="shared" si="2"/>
        <v>3700</v>
      </c>
      <c r="E52" s="2">
        <f t="shared" si="0"/>
        <v>1</v>
      </c>
      <c r="F52" s="2" t="str">
        <f>Fanduel!C52&amp;" "&amp;Fanduel!E52</f>
        <v>Marvin Williams</v>
      </c>
      <c r="G52" s="2">
        <f>Fanduel!L52</f>
        <v>0</v>
      </c>
      <c r="H52" s="2">
        <f>Fanduel!H52</f>
        <v>5100</v>
      </c>
      <c r="I52" s="2">
        <f t="shared" si="1"/>
        <v>1</v>
      </c>
    </row>
    <row r="53" spans="1:9" x14ac:dyDescent="0.25">
      <c r="A53" s="2" t="str">
        <f>RawData!A52</f>
        <v>Clint Capela</v>
      </c>
      <c r="B53" s="42" t="str">
        <f>RawData!C52</f>
        <v>C</v>
      </c>
      <c r="C53" s="2">
        <f>RawData!L52</f>
        <v>21.24</v>
      </c>
      <c r="D53" s="2">
        <f t="shared" si="2"/>
        <v>5000</v>
      </c>
      <c r="E53" s="2">
        <f t="shared" si="0"/>
        <v>1</v>
      </c>
      <c r="F53" s="2" t="str">
        <f>Fanduel!C53&amp;" "&amp;Fanduel!E53</f>
        <v>Clint Capela</v>
      </c>
      <c r="G53" s="2">
        <f>Fanduel!L53</f>
        <v>0</v>
      </c>
      <c r="H53" s="2">
        <f>Fanduel!H53</f>
        <v>5000</v>
      </c>
      <c r="I53" s="2">
        <f t="shared" si="1"/>
        <v>1</v>
      </c>
    </row>
    <row r="54" spans="1:9" x14ac:dyDescent="0.25">
      <c r="A54" s="2" t="str">
        <f>RawData!A53</f>
        <v>Channing Frye</v>
      </c>
      <c r="B54" s="42" t="str">
        <f>RawData!C53</f>
        <v>PF</v>
      </c>
      <c r="C54" s="2">
        <f>RawData!L53</f>
        <v>20.98</v>
      </c>
      <c r="D54" s="2">
        <f t="shared" si="2"/>
        <v>5400</v>
      </c>
      <c r="E54" s="2">
        <f t="shared" si="0"/>
        <v>1</v>
      </c>
      <c r="F54" s="2" t="str">
        <f>Fanduel!C54&amp;" "&amp;Fanduel!E54</f>
        <v>Brandon Jennings</v>
      </c>
      <c r="G54" s="2" t="str">
        <f>Fanduel!L54</f>
        <v>GTD</v>
      </c>
      <c r="H54" s="2">
        <f>Fanduel!H54</f>
        <v>5000</v>
      </c>
      <c r="I54" s="2">
        <f t="shared" si="1"/>
        <v>0</v>
      </c>
    </row>
    <row r="55" spans="1:9" x14ac:dyDescent="0.25">
      <c r="A55" s="2" t="str">
        <f>RawData!A54</f>
        <v>Courtney Lee</v>
      </c>
      <c r="B55" s="42" t="str">
        <f>RawData!C54</f>
        <v>SG</v>
      </c>
      <c r="C55" s="2">
        <f>RawData!L54</f>
        <v>20.98</v>
      </c>
      <c r="D55" s="2">
        <f t="shared" si="2"/>
        <v>4500</v>
      </c>
      <c r="E55" s="2">
        <f t="shared" si="0"/>
        <v>0</v>
      </c>
      <c r="F55" s="2" t="str">
        <f>Fanduel!C55&amp;" "&amp;Fanduel!E55</f>
        <v>Kentavious Caldwell-Pope</v>
      </c>
      <c r="G55" s="2">
        <f>Fanduel!L55</f>
        <v>0</v>
      </c>
      <c r="H55" s="2">
        <f>Fanduel!H55</f>
        <v>4900</v>
      </c>
      <c r="I55" s="2">
        <f t="shared" si="1"/>
        <v>1</v>
      </c>
    </row>
    <row r="56" spans="1:9" x14ac:dyDescent="0.25">
      <c r="A56" s="2" t="str">
        <f>RawData!A55</f>
        <v>Jodie Meeks</v>
      </c>
      <c r="B56" s="42" t="str">
        <f>RawData!C55</f>
        <v>SG</v>
      </c>
      <c r="C56" s="2">
        <f>RawData!L55</f>
        <v>20.85</v>
      </c>
      <c r="D56" s="2">
        <f t="shared" si="2"/>
        <v>3700</v>
      </c>
      <c r="E56" s="2">
        <f t="shared" si="0"/>
        <v>0</v>
      </c>
      <c r="F56" s="2" t="str">
        <f>Fanduel!C56&amp;" "&amp;Fanduel!E56</f>
        <v>Emmanuel Mudiay</v>
      </c>
      <c r="G56" s="2">
        <f>Fanduel!L56</f>
        <v>0</v>
      </c>
      <c r="H56" s="2">
        <f>Fanduel!H56</f>
        <v>4900</v>
      </c>
      <c r="I56" s="2">
        <f t="shared" si="1"/>
        <v>1</v>
      </c>
    </row>
    <row r="57" spans="1:9" x14ac:dyDescent="0.25">
      <c r="A57" s="2" t="str">
        <f>RawData!A56</f>
        <v>Evan Turner</v>
      </c>
      <c r="B57" s="42" t="str">
        <f>RawData!C56</f>
        <v>SF</v>
      </c>
      <c r="C57" s="2">
        <f>RawData!L56</f>
        <v>20.73</v>
      </c>
      <c r="D57" s="2">
        <f t="shared" si="2"/>
        <v>4700</v>
      </c>
      <c r="E57" s="2">
        <f t="shared" si="0"/>
        <v>0</v>
      </c>
      <c r="F57" s="2" t="str">
        <f>Fanduel!C57&amp;" "&amp;Fanduel!E57</f>
        <v>Ryan Anderson</v>
      </c>
      <c r="G57" s="2">
        <f>Fanduel!L57</f>
        <v>0</v>
      </c>
      <c r="H57" s="2">
        <f>Fanduel!H57</f>
        <v>4800</v>
      </c>
      <c r="I57" s="2">
        <f t="shared" si="1"/>
        <v>1</v>
      </c>
    </row>
    <row r="58" spans="1:9" x14ac:dyDescent="0.25">
      <c r="A58" s="2" t="str">
        <f>RawData!A57</f>
        <v>Kyle O'Quinn</v>
      </c>
      <c r="B58" s="42" t="str">
        <f>RawData!C57</f>
        <v>C</v>
      </c>
      <c r="C58" s="2">
        <f>RawData!L57</f>
        <v>20.66</v>
      </c>
      <c r="D58" s="2">
        <f t="shared" si="2"/>
        <v>4300</v>
      </c>
      <c r="E58" s="2">
        <f t="shared" si="0"/>
        <v>1</v>
      </c>
      <c r="F58" s="2" t="str">
        <f>Fanduel!C58&amp;" "&amp;Fanduel!E58</f>
        <v>Jamal Crawford</v>
      </c>
      <c r="G58" s="2">
        <f>Fanduel!L58</f>
        <v>0</v>
      </c>
      <c r="H58" s="2">
        <f>Fanduel!H58</f>
        <v>4800</v>
      </c>
      <c r="I58" s="2">
        <f t="shared" si="1"/>
        <v>1</v>
      </c>
    </row>
    <row r="59" spans="1:9" x14ac:dyDescent="0.25">
      <c r="A59" s="2" t="str">
        <f>RawData!A58</f>
        <v>Tobias Harris</v>
      </c>
      <c r="B59" s="42" t="str">
        <f>RawData!C58</f>
        <v>PF</v>
      </c>
      <c r="C59" s="2">
        <f>RawData!L58</f>
        <v>20.399999999999999</v>
      </c>
      <c r="D59" s="2">
        <f t="shared" si="2"/>
        <v>5400</v>
      </c>
      <c r="E59" s="2">
        <f t="shared" si="0"/>
        <v>1</v>
      </c>
      <c r="F59" s="2" t="str">
        <f>Fanduel!C59&amp;" "&amp;Fanduel!E59</f>
        <v>Evan Turner</v>
      </c>
      <c r="G59" s="2" t="str">
        <f>Fanduel!L59</f>
        <v>O</v>
      </c>
      <c r="H59" s="2">
        <f>Fanduel!H59</f>
        <v>4700</v>
      </c>
      <c r="I59" s="2">
        <f t="shared" si="1"/>
        <v>0</v>
      </c>
    </row>
    <row r="60" spans="1:9" x14ac:dyDescent="0.25">
      <c r="A60" s="2" t="str">
        <f>RawData!A59</f>
        <v>Aaron Gordon</v>
      </c>
      <c r="B60" s="42" t="str">
        <f>RawData!C59</f>
        <v>SF</v>
      </c>
      <c r="C60" s="2">
        <f>RawData!L59</f>
        <v>20.350000000000001</v>
      </c>
      <c r="D60" s="2">
        <f t="shared" si="2"/>
        <v>4500</v>
      </c>
      <c r="E60" s="2">
        <f t="shared" si="0"/>
        <v>1</v>
      </c>
      <c r="F60" s="2" t="str">
        <f>Fanduel!C60&amp;" "&amp;Fanduel!E60</f>
        <v>Jon Leuer</v>
      </c>
      <c r="G60" s="2">
        <f>Fanduel!L60</f>
        <v>0</v>
      </c>
      <c r="H60" s="2">
        <f>Fanduel!H60</f>
        <v>4700</v>
      </c>
      <c r="I60" s="2">
        <f t="shared" si="1"/>
        <v>1</v>
      </c>
    </row>
    <row r="61" spans="1:9" x14ac:dyDescent="0.25">
      <c r="A61" s="2" t="str">
        <f>RawData!A60</f>
        <v>Patrick Beverley</v>
      </c>
      <c r="B61" s="42" t="str">
        <f>RawData!C60</f>
        <v>PG</v>
      </c>
      <c r="C61" s="2">
        <f>RawData!L60</f>
        <v>19.38</v>
      </c>
      <c r="D61" s="2">
        <f t="shared" si="2"/>
        <v>5300</v>
      </c>
      <c r="E61" s="2">
        <f t="shared" si="0"/>
        <v>1</v>
      </c>
      <c r="F61" s="2" t="str">
        <f>Fanduel!C61&amp;" "&amp;Fanduel!E61</f>
        <v>Maurice Harkless</v>
      </c>
      <c r="G61" s="2">
        <f>Fanduel!L61</f>
        <v>0</v>
      </c>
      <c r="H61" s="2">
        <f>Fanduel!H61</f>
        <v>4600</v>
      </c>
      <c r="I61" s="2">
        <f t="shared" si="1"/>
        <v>1</v>
      </c>
    </row>
    <row r="62" spans="1:9" x14ac:dyDescent="0.25">
      <c r="A62" s="2" t="str">
        <f>RawData!A61</f>
        <v>Brandon Jennings</v>
      </c>
      <c r="B62" s="42" t="str">
        <f>RawData!C61</f>
        <v>PG</v>
      </c>
      <c r="C62" s="2">
        <f>RawData!L61</f>
        <v>19.28</v>
      </c>
      <c r="D62" s="2">
        <f t="shared" si="2"/>
        <v>5000</v>
      </c>
      <c r="E62" s="2">
        <f t="shared" si="0"/>
        <v>0</v>
      </c>
      <c r="F62" s="2" t="str">
        <f>Fanduel!C62&amp;" "&amp;Fanduel!E62</f>
        <v>Ty Lawson</v>
      </c>
      <c r="G62" s="2">
        <f>Fanduel!L62</f>
        <v>0</v>
      </c>
      <c r="H62" s="2">
        <f>Fanduel!H62</f>
        <v>4600</v>
      </c>
      <c r="I62" s="2">
        <f t="shared" si="1"/>
        <v>1</v>
      </c>
    </row>
    <row r="63" spans="1:9" x14ac:dyDescent="0.25">
      <c r="A63" s="2" t="str">
        <f>RawData!A62</f>
        <v>Maurice Harkless</v>
      </c>
      <c r="B63" s="42" t="str">
        <f>RawData!C62</f>
        <v>SF</v>
      </c>
      <c r="C63" s="2">
        <f>RawData!L62</f>
        <v>19.010000000000002</v>
      </c>
      <c r="D63" s="2">
        <f t="shared" si="2"/>
        <v>4600</v>
      </c>
      <c r="E63" s="2">
        <f t="shared" si="0"/>
        <v>1</v>
      </c>
      <c r="F63" s="2" t="str">
        <f>Fanduel!C63&amp;" "&amp;Fanduel!E63</f>
        <v>Aaron Gordon</v>
      </c>
      <c r="G63" s="2">
        <f>Fanduel!L63</f>
        <v>0</v>
      </c>
      <c r="H63" s="2">
        <f>Fanduel!H63</f>
        <v>4500</v>
      </c>
      <c r="I63" s="2">
        <f t="shared" si="1"/>
        <v>1</v>
      </c>
    </row>
    <row r="64" spans="1:9" x14ac:dyDescent="0.25">
      <c r="A64" s="2" t="str">
        <f>RawData!A63</f>
        <v>Ishmael Smith</v>
      </c>
      <c r="B64" s="42" t="str">
        <f>RawData!C63</f>
        <v>PG</v>
      </c>
      <c r="C64" s="2">
        <f>RawData!L63</f>
        <v>18.940000000000001</v>
      </c>
      <c r="D64" s="2">
        <v>0</v>
      </c>
      <c r="E64" s="2">
        <v>0</v>
      </c>
      <c r="F64" s="2" t="str">
        <f>Fanduel!C64&amp;" "&amp;Fanduel!E64</f>
        <v>Courtney Lee</v>
      </c>
      <c r="G64" s="2" t="str">
        <f>Fanduel!L64</f>
        <v>GTD</v>
      </c>
      <c r="H64" s="2">
        <f>Fanduel!H64</f>
        <v>4500</v>
      </c>
      <c r="I64" s="2">
        <f t="shared" si="1"/>
        <v>0</v>
      </c>
    </row>
    <row r="65" spans="1:9" x14ac:dyDescent="0.25">
      <c r="A65" s="2" t="str">
        <f>RawData!A64</f>
        <v>Raymond Felton</v>
      </c>
      <c r="B65" s="42" t="str">
        <f>RawData!C64</f>
        <v>PG</v>
      </c>
      <c r="C65" s="2">
        <f>RawData!L64</f>
        <v>18.47</v>
      </c>
      <c r="D65" s="2">
        <f t="shared" si="2"/>
        <v>4500</v>
      </c>
      <c r="E65" s="2">
        <f t="shared" si="0"/>
        <v>1</v>
      </c>
      <c r="F65" s="2" t="str">
        <f>Fanduel!C65&amp;" "&amp;Fanduel!E65</f>
        <v>J.J. Redick</v>
      </c>
      <c r="G65" s="2">
        <f>Fanduel!L65</f>
        <v>0</v>
      </c>
      <c r="H65" s="2">
        <f>Fanduel!H65</f>
        <v>4500</v>
      </c>
      <c r="I65" s="2">
        <f t="shared" si="1"/>
        <v>1</v>
      </c>
    </row>
    <row r="66" spans="1:9" x14ac:dyDescent="0.25">
      <c r="A66" s="2" t="str">
        <f>RawData!A65</f>
        <v>Solomon Hill</v>
      </c>
      <c r="B66" s="42" t="str">
        <f>RawData!C65</f>
        <v>SF</v>
      </c>
      <c r="C66" s="2">
        <f>RawData!L65</f>
        <v>18.440000000000001</v>
      </c>
      <c r="D66" s="2">
        <f t="shared" si="2"/>
        <v>4200</v>
      </c>
      <c r="E66" s="2">
        <f t="shared" si="0"/>
        <v>1</v>
      </c>
      <c r="F66" s="2" t="str">
        <f>Fanduel!C66&amp;" "&amp;Fanduel!E66</f>
        <v>Tyreke Evans</v>
      </c>
      <c r="G66" s="2">
        <f>Fanduel!L66</f>
        <v>0</v>
      </c>
      <c r="H66" s="2">
        <f>Fanduel!H66</f>
        <v>4500</v>
      </c>
      <c r="I66" s="2">
        <f t="shared" si="1"/>
        <v>1</v>
      </c>
    </row>
    <row r="67" spans="1:9" x14ac:dyDescent="0.25">
      <c r="A67" s="2" t="str">
        <f>RawData!A66</f>
        <v>Jordan Farmar</v>
      </c>
      <c r="B67" s="42" t="str">
        <f>RawData!C66</f>
        <v>PG</v>
      </c>
      <c r="C67" s="2">
        <f>RawData!L66</f>
        <v>18.350000000000001</v>
      </c>
      <c r="D67" s="2">
        <f t="shared" si="2"/>
        <v>3700</v>
      </c>
      <c r="E67" s="2">
        <f t="shared" ref="E67:E130" si="3">VLOOKUP(A67,$F$2:$I$337,4,FALSE)</f>
        <v>1</v>
      </c>
      <c r="F67" s="2" t="str">
        <f>Fanduel!C67&amp;" "&amp;Fanduel!E67</f>
        <v>Raymond Felton</v>
      </c>
      <c r="G67" s="2">
        <f>Fanduel!L67</f>
        <v>0</v>
      </c>
      <c r="H67" s="2">
        <f>Fanduel!H67</f>
        <v>4500</v>
      </c>
      <c r="I67" s="2">
        <f t="shared" ref="I67:I130" si="4">IF(G67=0,1,0)</f>
        <v>1</v>
      </c>
    </row>
    <row r="68" spans="1:9" x14ac:dyDescent="0.25">
      <c r="A68" s="2" t="str">
        <f>RawData!A67</f>
        <v>Dante Cunningham</v>
      </c>
      <c r="B68" s="42" t="str">
        <f>RawData!C67</f>
        <v>SF</v>
      </c>
      <c r="C68" s="2">
        <f>RawData!L67</f>
        <v>18.34</v>
      </c>
      <c r="D68" s="2">
        <f t="shared" ref="D68:D131" si="5">VLOOKUP(A68,$F$2:$I$337,3,FALSE)</f>
        <v>3700</v>
      </c>
      <c r="E68" s="2">
        <f t="shared" si="3"/>
        <v>1</v>
      </c>
      <c r="F68" s="2" t="str">
        <f>Fanduel!C68&amp;" "&amp;Fanduel!E68</f>
        <v>Andre Iguodala</v>
      </c>
      <c r="G68" s="2">
        <f>Fanduel!L68</f>
        <v>0</v>
      </c>
      <c r="H68" s="2">
        <f>Fanduel!H68</f>
        <v>4400</v>
      </c>
      <c r="I68" s="2">
        <f t="shared" si="4"/>
        <v>1</v>
      </c>
    </row>
    <row r="69" spans="1:9" x14ac:dyDescent="0.25">
      <c r="A69" s="2" t="str">
        <f>RawData!A68</f>
        <v>Ty Lawson</v>
      </c>
      <c r="B69" s="42" t="str">
        <f>RawData!C68</f>
        <v>PG</v>
      </c>
      <c r="C69" s="2">
        <f>RawData!L68</f>
        <v>18.21</v>
      </c>
      <c r="D69" s="2">
        <f t="shared" si="5"/>
        <v>4600</v>
      </c>
      <c r="E69" s="2">
        <f t="shared" si="3"/>
        <v>1</v>
      </c>
      <c r="F69" s="2" t="str">
        <f>Fanduel!C69&amp;" "&amp;Fanduel!E69</f>
        <v>Zaza Pachulia</v>
      </c>
      <c r="G69" s="2" t="str">
        <f>Fanduel!L69</f>
        <v>GTD</v>
      </c>
      <c r="H69" s="2">
        <f>Fanduel!H69</f>
        <v>4400</v>
      </c>
      <c r="I69" s="2">
        <f t="shared" si="4"/>
        <v>0</v>
      </c>
    </row>
    <row r="70" spans="1:9" x14ac:dyDescent="0.25">
      <c r="A70" s="2" t="str">
        <f>RawData!A69</f>
        <v>Jamal Crawford</v>
      </c>
      <c r="B70" s="42" t="str">
        <f>RawData!C69</f>
        <v>SG</v>
      </c>
      <c r="C70" s="2">
        <f>RawData!L69</f>
        <v>17.82</v>
      </c>
      <c r="D70" s="2">
        <f t="shared" si="5"/>
        <v>4800</v>
      </c>
      <c r="E70" s="2">
        <f t="shared" si="3"/>
        <v>1</v>
      </c>
      <c r="F70" s="2" t="str">
        <f>Fanduel!C70&amp;" "&amp;Fanduel!E70</f>
        <v>Nene Hilario</v>
      </c>
      <c r="G70" s="2">
        <f>Fanduel!L70</f>
        <v>0</v>
      </c>
      <c r="H70" s="2">
        <f>Fanduel!H70</f>
        <v>4300</v>
      </c>
      <c r="I70" s="2">
        <f t="shared" si="4"/>
        <v>1</v>
      </c>
    </row>
    <row r="71" spans="1:9" x14ac:dyDescent="0.25">
      <c r="A71" s="2" t="str">
        <f>RawData!A70</f>
        <v>Marco Belinelli</v>
      </c>
      <c r="B71" s="42" t="str">
        <f>RawData!C70</f>
        <v>SF</v>
      </c>
      <c r="C71" s="2">
        <f>RawData!L70</f>
        <v>17.78</v>
      </c>
      <c r="D71" s="2">
        <f t="shared" si="5"/>
        <v>3700</v>
      </c>
      <c r="E71" s="2">
        <f t="shared" si="3"/>
        <v>1</v>
      </c>
      <c r="F71" s="2" t="str">
        <f>Fanduel!C71&amp;" "&amp;Fanduel!E71</f>
        <v>Kyle Korver</v>
      </c>
      <c r="G71" s="2">
        <f>Fanduel!L71</f>
        <v>0</v>
      </c>
      <c r="H71" s="2">
        <f>Fanduel!H71</f>
        <v>4300</v>
      </c>
      <c r="I71" s="2">
        <f t="shared" si="4"/>
        <v>1</v>
      </c>
    </row>
    <row r="72" spans="1:9" x14ac:dyDescent="0.25">
      <c r="A72" s="2" t="str">
        <f>RawData!A71</f>
        <v>Ben McLemore</v>
      </c>
      <c r="B72" s="42" t="str">
        <f>RawData!C71</f>
        <v>SG</v>
      </c>
      <c r="C72" s="2">
        <f>RawData!L71</f>
        <v>17.77</v>
      </c>
      <c r="D72" s="2">
        <f t="shared" si="5"/>
        <v>4000</v>
      </c>
      <c r="E72" s="2">
        <f t="shared" si="3"/>
        <v>1</v>
      </c>
      <c r="F72" s="2" t="str">
        <f>Fanduel!C72&amp;" "&amp;Fanduel!E72</f>
        <v>Kyle O'Quinn</v>
      </c>
      <c r="G72" s="2">
        <f>Fanduel!L72</f>
        <v>0</v>
      </c>
      <c r="H72" s="2">
        <f>Fanduel!H72</f>
        <v>4300</v>
      </c>
      <c r="I72" s="2">
        <f t="shared" si="4"/>
        <v>1</v>
      </c>
    </row>
    <row r="73" spans="1:9" x14ac:dyDescent="0.25">
      <c r="A73" s="2" t="str">
        <f>RawData!A72</f>
        <v>J.J. Redick</v>
      </c>
      <c r="B73" s="42" t="str">
        <f>RawData!C72</f>
        <v>SG</v>
      </c>
      <c r="C73" s="2">
        <f>RawData!L72</f>
        <v>17.59</v>
      </c>
      <c r="D73" s="2">
        <f t="shared" si="5"/>
        <v>4500</v>
      </c>
      <c r="E73" s="2">
        <f t="shared" si="3"/>
        <v>1</v>
      </c>
      <c r="F73" s="2" t="str">
        <f>Fanduel!C73&amp;" "&amp;Fanduel!E73</f>
        <v>Solomon Hill</v>
      </c>
      <c r="G73" s="2">
        <f>Fanduel!L73</f>
        <v>0</v>
      </c>
      <c r="H73" s="2">
        <f>Fanduel!H73</f>
        <v>4200</v>
      </c>
      <c r="I73" s="2">
        <f t="shared" si="4"/>
        <v>1</v>
      </c>
    </row>
    <row r="74" spans="1:9" x14ac:dyDescent="0.25">
      <c r="A74" s="2" t="str">
        <f>RawData!A73</f>
        <v>Sam Dekker</v>
      </c>
      <c r="B74" s="42" t="str">
        <f>RawData!C73</f>
        <v>SF</v>
      </c>
      <c r="C74" s="2">
        <f>RawData!L73</f>
        <v>17.309999999999999</v>
      </c>
      <c r="D74" s="2">
        <f t="shared" si="5"/>
        <v>3500</v>
      </c>
      <c r="E74" s="2">
        <f t="shared" si="3"/>
        <v>1</v>
      </c>
      <c r="F74" s="2" t="str">
        <f>Fanduel!C74&amp;" "&amp;Fanduel!E74</f>
        <v>Ish Smith</v>
      </c>
      <c r="G74" s="2">
        <f>Fanduel!L74</f>
        <v>0</v>
      </c>
      <c r="H74" s="2">
        <f>Fanduel!H74</f>
        <v>4200</v>
      </c>
      <c r="I74" s="2">
        <f t="shared" si="4"/>
        <v>1</v>
      </c>
    </row>
    <row r="75" spans="1:9" x14ac:dyDescent="0.25">
      <c r="A75" s="2" t="str">
        <f>RawData!A74</f>
        <v>Derrick Williams</v>
      </c>
      <c r="B75" s="42" t="str">
        <f>RawData!C74</f>
        <v>PF</v>
      </c>
      <c r="C75" s="2">
        <f>RawData!L74</f>
        <v>16.989999999999998</v>
      </c>
      <c r="D75" s="2">
        <f t="shared" si="5"/>
        <v>4100</v>
      </c>
      <c r="E75" s="2">
        <f t="shared" si="3"/>
        <v>1</v>
      </c>
      <c r="F75" s="2" t="str">
        <f>Fanduel!C75&amp;" "&amp;Fanduel!E75</f>
        <v>Garrett Temple</v>
      </c>
      <c r="G75" s="2" t="str">
        <f>Fanduel!L75</f>
        <v>O</v>
      </c>
      <c r="H75" s="2">
        <f>Fanduel!H75</f>
        <v>4100</v>
      </c>
      <c r="I75" s="2">
        <f t="shared" si="4"/>
        <v>0</v>
      </c>
    </row>
    <row r="76" spans="1:9" x14ac:dyDescent="0.25">
      <c r="A76" s="2" t="str">
        <f>RawData!A75</f>
        <v>Kenneth Faried</v>
      </c>
      <c r="B76" s="42" t="str">
        <f>RawData!C75</f>
        <v>PF</v>
      </c>
      <c r="C76" s="2">
        <f>RawData!L75</f>
        <v>16.690000000000001</v>
      </c>
      <c r="D76" s="2">
        <f t="shared" si="5"/>
        <v>6100</v>
      </c>
      <c r="E76" s="2">
        <f t="shared" si="3"/>
        <v>0</v>
      </c>
      <c r="F76" s="2" t="str">
        <f>Fanduel!C76&amp;" "&amp;Fanduel!E76</f>
        <v>Darrell Arthur</v>
      </c>
      <c r="G76" s="2" t="str">
        <f>Fanduel!L76</f>
        <v>GTD</v>
      </c>
      <c r="H76" s="2">
        <f>Fanduel!H76</f>
        <v>4100</v>
      </c>
      <c r="I76" s="2">
        <f t="shared" si="4"/>
        <v>0</v>
      </c>
    </row>
    <row r="77" spans="1:9" x14ac:dyDescent="0.25">
      <c r="A77" s="2" t="str">
        <f>RawData!A76</f>
        <v>Emmanuel Mudiay</v>
      </c>
      <c r="B77" s="42" t="str">
        <f>RawData!C76</f>
        <v>PG</v>
      </c>
      <c r="C77" s="2">
        <f>RawData!L76</f>
        <v>16.690000000000001</v>
      </c>
      <c r="D77" s="2">
        <f t="shared" si="5"/>
        <v>4900</v>
      </c>
      <c r="E77" s="2">
        <f t="shared" si="3"/>
        <v>1</v>
      </c>
      <c r="F77" s="2" t="str">
        <f>Fanduel!C77&amp;" "&amp;Fanduel!E77</f>
        <v>Derrick Williams</v>
      </c>
      <c r="G77" s="2">
        <f>Fanduel!L77</f>
        <v>0</v>
      </c>
      <c r="H77" s="2">
        <f>Fanduel!H77</f>
        <v>4100</v>
      </c>
      <c r="I77" s="2">
        <f t="shared" si="4"/>
        <v>1</v>
      </c>
    </row>
    <row r="78" spans="1:9" x14ac:dyDescent="0.25">
      <c r="A78" s="2" t="str">
        <f>RawData!A77</f>
        <v>Allen Crabbe</v>
      </c>
      <c r="B78" s="42" t="str">
        <f>RawData!C77</f>
        <v>SG</v>
      </c>
      <c r="C78" s="2">
        <f>RawData!L77</f>
        <v>16.53</v>
      </c>
      <c r="D78" s="2">
        <f t="shared" si="5"/>
        <v>3500</v>
      </c>
      <c r="E78" s="2">
        <f t="shared" si="3"/>
        <v>1</v>
      </c>
      <c r="F78" s="2" t="str">
        <f>Fanduel!C78&amp;" "&amp;Fanduel!E78</f>
        <v>Jeremy Lamb</v>
      </c>
      <c r="G78" s="2">
        <f>Fanduel!L78</f>
        <v>0</v>
      </c>
      <c r="H78" s="2">
        <f>Fanduel!H78</f>
        <v>4100</v>
      </c>
      <c r="I78" s="2">
        <f t="shared" si="4"/>
        <v>1</v>
      </c>
    </row>
    <row r="79" spans="1:9" x14ac:dyDescent="0.25">
      <c r="A79" s="2" t="str">
        <f>RawData!A78</f>
        <v>Darrell Arthur</v>
      </c>
      <c r="B79" s="42" t="str">
        <f>RawData!C78</f>
        <v>PF</v>
      </c>
      <c r="C79" s="2">
        <f>RawData!L78</f>
        <v>16.399999999999999</v>
      </c>
      <c r="D79" s="2">
        <f t="shared" si="5"/>
        <v>4100</v>
      </c>
      <c r="E79" s="2">
        <f t="shared" si="3"/>
        <v>0</v>
      </c>
      <c r="F79" s="2" t="str">
        <f>Fanduel!C79&amp;" "&amp;Fanduel!E79</f>
        <v>Ben McLemore</v>
      </c>
      <c r="G79" s="2">
        <f>Fanduel!L79</f>
        <v>0</v>
      </c>
      <c r="H79" s="2">
        <f>Fanduel!H79</f>
        <v>4000</v>
      </c>
      <c r="I79" s="2">
        <f t="shared" si="4"/>
        <v>1</v>
      </c>
    </row>
    <row r="80" spans="1:9" x14ac:dyDescent="0.25">
      <c r="A80" s="2" t="str">
        <f>RawData!A79</f>
        <v>Kyle Korver</v>
      </c>
      <c r="B80" s="42" t="str">
        <f>RawData!C79</f>
        <v>SG</v>
      </c>
      <c r="C80" s="2">
        <f>RawData!L79</f>
        <v>16.36</v>
      </c>
      <c r="D80" s="2">
        <f t="shared" si="5"/>
        <v>4300</v>
      </c>
      <c r="E80" s="2">
        <f t="shared" si="3"/>
        <v>1</v>
      </c>
      <c r="F80" s="2" t="str">
        <f>Fanduel!C80&amp;" "&amp;Fanduel!E80</f>
        <v>Juancho Hernangomez</v>
      </c>
      <c r="G80" s="2">
        <f>Fanduel!L80</f>
        <v>0</v>
      </c>
      <c r="H80" s="2">
        <f>Fanduel!H80</f>
        <v>3900</v>
      </c>
      <c r="I80" s="2">
        <f t="shared" si="4"/>
        <v>1</v>
      </c>
    </row>
    <row r="81" spans="1:9" x14ac:dyDescent="0.25">
      <c r="A81" s="2" t="str">
        <f>RawData!A80</f>
        <v>Willie Cauley-Stein</v>
      </c>
      <c r="B81" s="42" t="str">
        <f>RawData!C80</f>
        <v>PF</v>
      </c>
      <c r="C81" s="2">
        <f>RawData!L80</f>
        <v>16.28</v>
      </c>
      <c r="D81" s="2">
        <f t="shared" si="5"/>
        <v>3800</v>
      </c>
      <c r="E81" s="2">
        <f t="shared" si="3"/>
        <v>1</v>
      </c>
      <c r="F81" s="2" t="str">
        <f>Fanduel!C81&amp;" "&amp;Fanduel!E81</f>
        <v>Montrezl Harrell</v>
      </c>
      <c r="G81" s="2">
        <f>Fanduel!L81</f>
        <v>0</v>
      </c>
      <c r="H81" s="2">
        <f>Fanduel!H81</f>
        <v>3900</v>
      </c>
      <c r="I81" s="2">
        <f t="shared" si="4"/>
        <v>1</v>
      </c>
    </row>
    <row r="82" spans="1:9" x14ac:dyDescent="0.25">
      <c r="A82" s="2" t="str">
        <f>RawData!A81</f>
        <v>Mario Hezonja</v>
      </c>
      <c r="B82" s="42" t="str">
        <f>RawData!C81</f>
        <v>SG</v>
      </c>
      <c r="C82" s="2">
        <f>RawData!L81</f>
        <v>16.21</v>
      </c>
      <c r="D82" s="2">
        <f t="shared" si="5"/>
        <v>3600</v>
      </c>
      <c r="E82" s="2">
        <f t="shared" si="3"/>
        <v>1</v>
      </c>
      <c r="F82" s="2" t="str">
        <f>Fanduel!C82&amp;" "&amp;Fanduel!E82</f>
        <v>Joakim Noah</v>
      </c>
      <c r="G82" s="2" t="str">
        <f>Fanduel!L82</f>
        <v>O</v>
      </c>
      <c r="H82" s="2">
        <f>Fanduel!H82</f>
        <v>3800</v>
      </c>
      <c r="I82" s="2">
        <f t="shared" si="4"/>
        <v>0</v>
      </c>
    </row>
    <row r="83" spans="1:9" x14ac:dyDescent="0.25">
      <c r="A83" s="2" t="str">
        <f>RawData!A82</f>
        <v>Andre Iguodala</v>
      </c>
      <c r="B83" s="42" t="str">
        <f>RawData!C82</f>
        <v>SF</v>
      </c>
      <c r="C83" s="2">
        <f>RawData!L82</f>
        <v>16.05</v>
      </c>
      <c r="D83" s="2">
        <f t="shared" si="5"/>
        <v>4400</v>
      </c>
      <c r="E83" s="2">
        <f t="shared" si="3"/>
        <v>1</v>
      </c>
      <c r="F83" s="2" t="str">
        <f>Fanduel!C83&amp;" "&amp;Fanduel!E83</f>
        <v>Willie Cauley-Stein</v>
      </c>
      <c r="G83" s="2">
        <f>Fanduel!L83</f>
        <v>0</v>
      </c>
      <c r="H83" s="2">
        <f>Fanduel!H83</f>
        <v>3800</v>
      </c>
      <c r="I83" s="2">
        <f t="shared" si="4"/>
        <v>1</v>
      </c>
    </row>
    <row r="84" spans="1:9" x14ac:dyDescent="0.25">
      <c r="A84" s="2" t="str">
        <f>RawData!A83</f>
        <v>Zaza Pachulia</v>
      </c>
      <c r="B84" s="42" t="str">
        <f>RawData!C83</f>
        <v>C</v>
      </c>
      <c r="C84" s="2">
        <f>RawData!L83</f>
        <v>15.95</v>
      </c>
      <c r="D84" s="2">
        <f t="shared" si="5"/>
        <v>4400</v>
      </c>
      <c r="E84" s="2">
        <f t="shared" si="3"/>
        <v>0</v>
      </c>
      <c r="F84" s="2" t="str">
        <f>Fanduel!C84&amp;" "&amp;Fanduel!E84</f>
        <v>Alexis Ajinca</v>
      </c>
      <c r="G84" s="2">
        <f>Fanduel!L84</f>
        <v>0</v>
      </c>
      <c r="H84" s="2">
        <f>Fanduel!H84</f>
        <v>3800</v>
      </c>
      <c r="I84" s="2">
        <f t="shared" si="4"/>
        <v>1</v>
      </c>
    </row>
    <row r="85" spans="1:9" x14ac:dyDescent="0.25">
      <c r="A85" s="2" t="str">
        <f>RawData!A84</f>
        <v>Garrett Temple</v>
      </c>
      <c r="B85" s="42" t="str">
        <f>RawData!C84</f>
        <v>SG</v>
      </c>
      <c r="C85" s="2">
        <f>RawData!L84</f>
        <v>15.95</v>
      </c>
      <c r="D85" s="2">
        <f t="shared" si="5"/>
        <v>4100</v>
      </c>
      <c r="E85" s="2">
        <f t="shared" si="3"/>
        <v>0</v>
      </c>
      <c r="F85" s="2" t="str">
        <f>Fanduel!C85&amp;" "&amp;Fanduel!E85</f>
        <v>JaVale McGee</v>
      </c>
      <c r="G85" s="2">
        <f>Fanduel!L85</f>
        <v>0</v>
      </c>
      <c r="H85" s="2">
        <f>Fanduel!H85</f>
        <v>3700</v>
      </c>
      <c r="I85" s="2">
        <f t="shared" si="4"/>
        <v>1</v>
      </c>
    </row>
    <row r="86" spans="1:9" x14ac:dyDescent="0.25">
      <c r="A86" s="2" t="str">
        <f>RawData!A85</f>
        <v>Ed Davis</v>
      </c>
      <c r="B86" s="42" t="str">
        <f>RawData!C85</f>
        <v>PF</v>
      </c>
      <c r="C86" s="2">
        <f>RawData!L85</f>
        <v>15.33</v>
      </c>
      <c r="D86" s="2">
        <f t="shared" si="5"/>
        <v>3700</v>
      </c>
      <c r="E86" s="2">
        <f t="shared" si="3"/>
        <v>1</v>
      </c>
      <c r="F86" s="2" t="str">
        <f>Fanduel!C86&amp;" "&amp;Fanduel!E86</f>
        <v>Jusuf Nurkic</v>
      </c>
      <c r="G86" s="2">
        <f>Fanduel!L86</f>
        <v>0</v>
      </c>
      <c r="H86" s="2">
        <f>Fanduel!H86</f>
        <v>3700</v>
      </c>
      <c r="I86" s="2">
        <f t="shared" si="4"/>
        <v>1</v>
      </c>
    </row>
    <row r="87" spans="1:9" x14ac:dyDescent="0.25">
      <c r="A87" s="2" t="str">
        <f>RawData!A86</f>
        <v>Nene Hilario</v>
      </c>
      <c r="B87" s="42" t="str">
        <f>RawData!C86</f>
        <v>C</v>
      </c>
      <c r="C87" s="2">
        <f>RawData!L86</f>
        <v>15.32</v>
      </c>
      <c r="D87" s="2">
        <f t="shared" si="5"/>
        <v>4300</v>
      </c>
      <c r="E87" s="2">
        <f t="shared" si="3"/>
        <v>1</v>
      </c>
      <c r="F87" s="2" t="str">
        <f>Fanduel!C87&amp;" "&amp;Fanduel!E87</f>
        <v>C.J. Watson</v>
      </c>
      <c r="G87" s="2" t="str">
        <f>Fanduel!L87</f>
        <v>O</v>
      </c>
      <c r="H87" s="2">
        <f>Fanduel!H87</f>
        <v>3700</v>
      </c>
      <c r="I87" s="2">
        <f t="shared" si="4"/>
        <v>0</v>
      </c>
    </row>
    <row r="88" spans="1:9" x14ac:dyDescent="0.25">
      <c r="A88" s="2" t="str">
        <f>RawData!A87</f>
        <v>Tim Frazier</v>
      </c>
      <c r="B88" s="42" t="str">
        <f>RawData!C87</f>
        <v>PG</v>
      </c>
      <c r="C88" s="2">
        <f>RawData!L87</f>
        <v>15.3</v>
      </c>
      <c r="D88" s="2">
        <f t="shared" si="5"/>
        <v>3500</v>
      </c>
      <c r="E88" s="2">
        <f t="shared" si="3"/>
        <v>1</v>
      </c>
      <c r="F88" s="2" t="str">
        <f>Fanduel!C88&amp;" "&amp;Fanduel!E88</f>
        <v>Jamal Murray</v>
      </c>
      <c r="G88" s="2">
        <f>Fanduel!L88</f>
        <v>0</v>
      </c>
      <c r="H88" s="2">
        <f>Fanduel!H88</f>
        <v>3700</v>
      </c>
      <c r="I88" s="2">
        <f t="shared" si="4"/>
        <v>1</v>
      </c>
    </row>
    <row r="89" spans="1:9" x14ac:dyDescent="0.25">
      <c r="A89" s="2" t="str">
        <f>RawData!A88</f>
        <v>Jeff Green</v>
      </c>
      <c r="B89" s="42" t="str">
        <f>RawData!C88</f>
        <v>SF</v>
      </c>
      <c r="C89" s="2">
        <f>RawData!L88</f>
        <v>15.21</v>
      </c>
      <c r="D89" s="2">
        <f t="shared" si="5"/>
        <v>3600</v>
      </c>
      <c r="E89" s="2">
        <f t="shared" si="3"/>
        <v>1</v>
      </c>
      <c r="F89" s="2" t="str">
        <f>Fanduel!C89&amp;" "&amp;Fanduel!E89</f>
        <v>Ed Davis</v>
      </c>
      <c r="G89" s="2">
        <f>Fanduel!L89</f>
        <v>0</v>
      </c>
      <c r="H89" s="2">
        <f>Fanduel!H89</f>
        <v>3700</v>
      </c>
      <c r="I89" s="2">
        <f t="shared" si="4"/>
        <v>1</v>
      </c>
    </row>
    <row r="90" spans="1:9" x14ac:dyDescent="0.25">
      <c r="A90" s="2" t="str">
        <f>RawData!A89</f>
        <v>Corey Brewer</v>
      </c>
      <c r="B90" s="42" t="str">
        <f>RawData!C89</f>
        <v>SF</v>
      </c>
      <c r="C90" s="2">
        <f>RawData!L89</f>
        <v>15.19</v>
      </c>
      <c r="D90" s="2">
        <f t="shared" si="5"/>
        <v>3500</v>
      </c>
      <c r="E90" s="2">
        <f t="shared" si="3"/>
        <v>1</v>
      </c>
      <c r="F90" s="2" t="str">
        <f>Fanduel!C90&amp;" "&amp;Fanduel!E90</f>
        <v>Jordan Farmar</v>
      </c>
      <c r="G90" s="2">
        <f>Fanduel!L90</f>
        <v>0</v>
      </c>
      <c r="H90" s="2">
        <f>Fanduel!H90</f>
        <v>3700</v>
      </c>
      <c r="I90" s="2">
        <f t="shared" si="4"/>
        <v>1</v>
      </c>
    </row>
    <row r="91" spans="1:9" x14ac:dyDescent="0.25">
      <c r="A91" s="2" t="str">
        <f>RawData!A90</f>
        <v>Iman Shumpert</v>
      </c>
      <c r="B91" s="42" t="str">
        <f>RawData!C90</f>
        <v>SG</v>
      </c>
      <c r="C91" s="2">
        <f>RawData!L90</f>
        <v>15.1</v>
      </c>
      <c r="D91" s="2">
        <f t="shared" si="5"/>
        <v>3700</v>
      </c>
      <c r="E91" s="2">
        <f t="shared" si="3"/>
        <v>1</v>
      </c>
      <c r="F91" s="2" t="str">
        <f>Fanduel!C91&amp;" "&amp;Fanduel!E91</f>
        <v>Bismack Biyombo</v>
      </c>
      <c r="G91" s="2">
        <f>Fanduel!L91</f>
        <v>0</v>
      </c>
      <c r="H91" s="2">
        <f>Fanduel!H91</f>
        <v>3700</v>
      </c>
      <c r="I91" s="2">
        <f t="shared" si="4"/>
        <v>1</v>
      </c>
    </row>
    <row r="92" spans="1:9" x14ac:dyDescent="0.25">
      <c r="A92" s="2" t="str">
        <f>RawData!A91</f>
        <v>Alexis Ajinca</v>
      </c>
      <c r="B92" s="42" t="str">
        <f>RawData!C91</f>
        <v>C</v>
      </c>
      <c r="C92" s="2">
        <f>RawData!L91</f>
        <v>15.08</v>
      </c>
      <c r="D92" s="2">
        <f t="shared" si="5"/>
        <v>3800</v>
      </c>
      <c r="E92" s="2">
        <f t="shared" si="3"/>
        <v>1</v>
      </c>
      <c r="F92" s="2" t="str">
        <f>Fanduel!C92&amp;" "&amp;Fanduel!E92</f>
        <v>Iman Shumpert</v>
      </c>
      <c r="G92" s="2">
        <f>Fanduel!L92</f>
        <v>0</v>
      </c>
      <c r="H92" s="2">
        <f>Fanduel!H92</f>
        <v>3700</v>
      </c>
      <c r="I92" s="2">
        <f t="shared" si="4"/>
        <v>1</v>
      </c>
    </row>
    <row r="93" spans="1:9" x14ac:dyDescent="0.25">
      <c r="A93" s="2" t="str">
        <f>RawData!A92</f>
        <v>Donatas Motiejunas</v>
      </c>
      <c r="B93" s="42" t="str">
        <f>RawData!C92</f>
        <v>PF</v>
      </c>
      <c r="C93" s="2">
        <f>RawData!L92</f>
        <v>15.06</v>
      </c>
      <c r="D93" s="2">
        <f t="shared" si="5"/>
        <v>3500</v>
      </c>
      <c r="E93" s="2">
        <f t="shared" si="3"/>
        <v>1</v>
      </c>
      <c r="F93" s="2" t="str">
        <f>Fanduel!C93&amp;" "&amp;Fanduel!E93</f>
        <v>Dante Cunningham</v>
      </c>
      <c r="G93" s="2">
        <f>Fanduel!L93</f>
        <v>0</v>
      </c>
      <c r="H93" s="2">
        <f>Fanduel!H93</f>
        <v>3700</v>
      </c>
      <c r="I93" s="2">
        <f t="shared" si="4"/>
        <v>1</v>
      </c>
    </row>
    <row r="94" spans="1:9" x14ac:dyDescent="0.25">
      <c r="A94" s="2" t="str">
        <f>RawData!A93</f>
        <v>Marreese Speights</v>
      </c>
      <c r="B94" s="42" t="str">
        <f>RawData!C93</f>
        <v>PF</v>
      </c>
      <c r="C94" s="2">
        <f>RawData!L93</f>
        <v>15.03</v>
      </c>
      <c r="D94" s="2">
        <f t="shared" si="5"/>
        <v>3600</v>
      </c>
      <c r="E94" s="2">
        <f t="shared" si="3"/>
        <v>1</v>
      </c>
      <c r="F94" s="2" t="str">
        <f>Fanduel!C94&amp;" "&amp;Fanduel!E94</f>
        <v>Jodie Meeks</v>
      </c>
      <c r="G94" s="2" t="str">
        <f>Fanduel!L94</f>
        <v>O</v>
      </c>
      <c r="H94" s="2">
        <f>Fanduel!H94</f>
        <v>3700</v>
      </c>
      <c r="I94" s="2">
        <f t="shared" si="4"/>
        <v>0</v>
      </c>
    </row>
    <row r="95" spans="1:9" x14ac:dyDescent="0.25">
      <c r="A95" s="2" t="str">
        <f>RawData!A94</f>
        <v>Meyers Leonard</v>
      </c>
      <c r="B95" s="42" t="str">
        <f>RawData!C94</f>
        <v>PF</v>
      </c>
      <c r="C95" s="2">
        <f>RawData!L94</f>
        <v>14.92</v>
      </c>
      <c r="D95" s="2">
        <f t="shared" si="5"/>
        <v>3500</v>
      </c>
      <c r="E95" s="2">
        <f t="shared" si="3"/>
        <v>1</v>
      </c>
      <c r="F95" s="2" t="str">
        <f>Fanduel!C95&amp;" "&amp;Fanduel!E95</f>
        <v>Marco Belinelli</v>
      </c>
      <c r="G95" s="2">
        <f>Fanduel!L95</f>
        <v>0</v>
      </c>
      <c r="H95" s="2">
        <f>Fanduel!H95</f>
        <v>3700</v>
      </c>
      <c r="I95" s="2">
        <f t="shared" si="4"/>
        <v>1</v>
      </c>
    </row>
    <row r="96" spans="1:9" x14ac:dyDescent="0.25">
      <c r="A96" s="2" t="str">
        <f>RawData!A95</f>
        <v>Ian Clark</v>
      </c>
      <c r="B96" s="42" t="str">
        <f>RawData!C95</f>
        <v>SG</v>
      </c>
      <c r="C96" s="2">
        <f>RawData!L95</f>
        <v>14.84</v>
      </c>
      <c r="D96" s="2">
        <f t="shared" si="5"/>
        <v>3500</v>
      </c>
      <c r="E96" s="2">
        <f t="shared" si="3"/>
        <v>1</v>
      </c>
      <c r="F96" s="2" t="str">
        <f>Fanduel!C96&amp;" "&amp;Fanduel!E96</f>
        <v>Cheick Diallo</v>
      </c>
      <c r="G96" s="2">
        <f>Fanduel!L96</f>
        <v>0</v>
      </c>
      <c r="H96" s="2">
        <f>Fanduel!H96</f>
        <v>3600</v>
      </c>
      <c r="I96" s="2">
        <f t="shared" si="4"/>
        <v>1</v>
      </c>
    </row>
    <row r="97" spans="1:9" x14ac:dyDescent="0.25">
      <c r="A97" s="2" t="str">
        <f>RawData!A96</f>
        <v>Anthony Tolliver</v>
      </c>
      <c r="B97" s="42" t="str">
        <f>RawData!C96</f>
        <v>PF</v>
      </c>
      <c r="C97" s="2">
        <f>RawData!L96</f>
        <v>14.5</v>
      </c>
      <c r="D97" s="2">
        <f t="shared" si="5"/>
        <v>3600</v>
      </c>
      <c r="E97" s="2">
        <f t="shared" si="3"/>
        <v>1</v>
      </c>
      <c r="F97" s="2" t="str">
        <f>Fanduel!C97&amp;" "&amp;Fanduel!E97</f>
        <v>Wesley Johnson</v>
      </c>
      <c r="G97" s="2">
        <f>Fanduel!L97</f>
        <v>0</v>
      </c>
      <c r="H97" s="2">
        <f>Fanduel!H97</f>
        <v>3600</v>
      </c>
      <c r="I97" s="2">
        <f t="shared" si="4"/>
        <v>1</v>
      </c>
    </row>
    <row r="98" spans="1:9" x14ac:dyDescent="0.25">
      <c r="A98" s="2" t="str">
        <f>RawData!A97</f>
        <v>D.J. Augustin</v>
      </c>
      <c r="B98" s="42" t="str">
        <f>RawData!C97</f>
        <v>PG</v>
      </c>
      <c r="C98" s="2">
        <f>RawData!L97</f>
        <v>14.23</v>
      </c>
      <c r="D98" s="2">
        <f t="shared" si="5"/>
        <v>3500</v>
      </c>
      <c r="E98" s="2">
        <f t="shared" si="3"/>
        <v>1</v>
      </c>
      <c r="F98" s="2" t="str">
        <f>Fanduel!C98&amp;" "&amp;Fanduel!E98</f>
        <v>Mario Hezonja</v>
      </c>
      <c r="G98" s="2">
        <f>Fanduel!L98</f>
        <v>0</v>
      </c>
      <c r="H98" s="2">
        <f>Fanduel!H98</f>
        <v>3600</v>
      </c>
      <c r="I98" s="2">
        <f t="shared" si="4"/>
        <v>1</v>
      </c>
    </row>
    <row r="99" spans="1:9" x14ac:dyDescent="0.25">
      <c r="A99" s="2" t="str">
        <f>RawData!A98</f>
        <v>E'Twaun Moore</v>
      </c>
      <c r="B99" s="42" t="str">
        <f>RawData!C98</f>
        <v>SG</v>
      </c>
      <c r="C99" s="2">
        <f>RawData!L98</f>
        <v>14.05</v>
      </c>
      <c r="D99" s="2">
        <f t="shared" si="5"/>
        <v>3600</v>
      </c>
      <c r="E99" s="2">
        <f t="shared" si="3"/>
        <v>1</v>
      </c>
      <c r="F99" s="2" t="str">
        <f>Fanduel!C99&amp;" "&amp;Fanduel!E99</f>
        <v>Malachi Richardson</v>
      </c>
      <c r="G99" s="2" t="str">
        <f>Fanduel!L99</f>
        <v>O</v>
      </c>
      <c r="H99" s="2">
        <f>Fanduel!H99</f>
        <v>3600</v>
      </c>
      <c r="I99" s="2">
        <f t="shared" si="4"/>
        <v>0</v>
      </c>
    </row>
    <row r="100" spans="1:9" x14ac:dyDescent="0.25">
      <c r="A100" s="2" t="str">
        <f>RawData!A99</f>
        <v>Bismack Biyombo</v>
      </c>
      <c r="B100" s="42" t="str">
        <f>RawData!C99</f>
        <v>C</v>
      </c>
      <c r="C100" s="2">
        <f>RawData!L99</f>
        <v>13.85</v>
      </c>
      <c r="D100" s="2">
        <f t="shared" si="5"/>
        <v>3700</v>
      </c>
      <c r="E100" s="2">
        <f t="shared" si="3"/>
        <v>1</v>
      </c>
      <c r="F100" s="2" t="str">
        <f>Fanduel!C100&amp;" "&amp;Fanduel!E100</f>
        <v>Shaun Livingston</v>
      </c>
      <c r="G100" s="2">
        <f>Fanduel!L100</f>
        <v>0</v>
      </c>
      <c r="H100" s="2">
        <f>Fanduel!H100</f>
        <v>3600</v>
      </c>
      <c r="I100" s="2">
        <f t="shared" si="4"/>
        <v>1</v>
      </c>
    </row>
    <row r="101" spans="1:9" x14ac:dyDescent="0.25">
      <c r="A101" s="2" t="str">
        <f>RawData!A100</f>
        <v>Jeremy Lamb</v>
      </c>
      <c r="B101" s="42" t="str">
        <f>RawData!C100</f>
        <v>SG</v>
      </c>
      <c r="C101" s="2">
        <f>RawData!L100</f>
        <v>13.83</v>
      </c>
      <c r="D101" s="2">
        <f t="shared" si="5"/>
        <v>4100</v>
      </c>
      <c r="E101" s="2">
        <f t="shared" si="3"/>
        <v>1</v>
      </c>
      <c r="F101" s="2" t="str">
        <f>Fanduel!C101&amp;" "&amp;Fanduel!E101</f>
        <v>Jeff Green</v>
      </c>
      <c r="G101" s="2">
        <f>Fanduel!L101</f>
        <v>0</v>
      </c>
      <c r="H101" s="2">
        <f>Fanduel!H101</f>
        <v>3600</v>
      </c>
      <c r="I101" s="2">
        <f t="shared" si="4"/>
        <v>1</v>
      </c>
    </row>
    <row r="102" spans="1:9" x14ac:dyDescent="0.25">
      <c r="A102" s="2" t="str">
        <f>RawData!A101</f>
        <v>Langston Galloway</v>
      </c>
      <c r="B102" s="42" t="str">
        <f>RawData!C101</f>
        <v>SG</v>
      </c>
      <c r="C102" s="2">
        <f>RawData!L101</f>
        <v>13.62</v>
      </c>
      <c r="D102" s="2">
        <f t="shared" si="5"/>
        <v>3500</v>
      </c>
      <c r="E102" s="2">
        <f t="shared" si="3"/>
        <v>1</v>
      </c>
      <c r="F102" s="2" t="str">
        <f>Fanduel!C102&amp;" "&amp;Fanduel!E102</f>
        <v>Anthony Tolliver</v>
      </c>
      <c r="G102" s="2">
        <f>Fanduel!L102</f>
        <v>0</v>
      </c>
      <c r="H102" s="2">
        <f>Fanduel!H102</f>
        <v>3600</v>
      </c>
      <c r="I102" s="2">
        <f t="shared" si="4"/>
        <v>1</v>
      </c>
    </row>
    <row r="103" spans="1:9" x14ac:dyDescent="0.25">
      <c r="A103" s="2" t="str">
        <f>RawData!A102</f>
        <v>Arron Afflalo</v>
      </c>
      <c r="B103" s="42" t="str">
        <f>RawData!C102</f>
        <v>SG</v>
      </c>
      <c r="C103" s="2">
        <f>RawData!L102</f>
        <v>13.59</v>
      </c>
      <c r="D103" s="2">
        <f t="shared" si="5"/>
        <v>3500</v>
      </c>
      <c r="E103" s="2">
        <f t="shared" si="3"/>
        <v>0</v>
      </c>
      <c r="F103" s="2" t="str">
        <f>Fanduel!C103&amp;" "&amp;Fanduel!E103</f>
        <v>Marreese Speights</v>
      </c>
      <c r="G103" s="2">
        <f>Fanduel!L103</f>
        <v>0</v>
      </c>
      <c r="H103" s="2">
        <f>Fanduel!H103</f>
        <v>3600</v>
      </c>
      <c r="I103" s="2">
        <f t="shared" si="4"/>
        <v>1</v>
      </c>
    </row>
    <row r="104" spans="1:9" x14ac:dyDescent="0.25">
      <c r="A104" s="2" t="str">
        <f>RawData!A103</f>
        <v>Kosta Koufos</v>
      </c>
      <c r="B104" s="42" t="str">
        <f>RawData!C103</f>
        <v>C</v>
      </c>
      <c r="C104" s="2">
        <f>RawData!L103</f>
        <v>13.56</v>
      </c>
      <c r="D104" s="2">
        <f t="shared" si="5"/>
        <v>3500</v>
      </c>
      <c r="E104" s="2">
        <f t="shared" si="3"/>
        <v>1</v>
      </c>
      <c r="F104" s="2" t="str">
        <f>Fanduel!C104&amp;" "&amp;Fanduel!E104</f>
        <v>E'Twaun Moore</v>
      </c>
      <c r="G104" s="2">
        <f>Fanduel!L104</f>
        <v>0</v>
      </c>
      <c r="H104" s="2">
        <f>Fanduel!H104</f>
        <v>3600</v>
      </c>
      <c r="I104" s="2">
        <f t="shared" si="4"/>
        <v>1</v>
      </c>
    </row>
    <row r="105" spans="1:9" x14ac:dyDescent="0.25">
      <c r="A105" s="2" t="str">
        <f>RawData!A104</f>
        <v>Luc Richard Mbah a Moute</v>
      </c>
      <c r="B105" s="42" t="str">
        <f>RawData!C104</f>
        <v>SF</v>
      </c>
      <c r="C105" s="2">
        <f>RawData!L104</f>
        <v>13.36</v>
      </c>
      <c r="D105" s="2">
        <f t="shared" si="5"/>
        <v>3500</v>
      </c>
      <c r="E105" s="2">
        <f t="shared" si="3"/>
        <v>1</v>
      </c>
      <c r="F105" s="2" t="str">
        <f>Fanduel!C105&amp;" "&amp;Fanduel!E105</f>
        <v>Omri Casspi</v>
      </c>
      <c r="G105" s="2">
        <f>Fanduel!L105</f>
        <v>0</v>
      </c>
      <c r="H105" s="2">
        <f>Fanduel!H105</f>
        <v>3600</v>
      </c>
      <c r="I105" s="2">
        <f t="shared" si="4"/>
        <v>1</v>
      </c>
    </row>
    <row r="106" spans="1:9" x14ac:dyDescent="0.25">
      <c r="A106" s="2" t="str">
        <f>RawData!A105</f>
        <v>J.R. Smith</v>
      </c>
      <c r="B106" s="42" t="str">
        <f>RawData!C105</f>
        <v>SG</v>
      </c>
      <c r="C106" s="2">
        <f>RawData!L105</f>
        <v>13.19</v>
      </c>
      <c r="D106" s="2">
        <f t="shared" si="5"/>
        <v>3500</v>
      </c>
      <c r="E106" s="2">
        <f t="shared" si="3"/>
        <v>0</v>
      </c>
      <c r="F106" s="2" t="str">
        <f>Fanduel!C106&amp;" "&amp;Fanduel!E106</f>
        <v>Kosta Koufos</v>
      </c>
      <c r="G106" s="2">
        <f>Fanduel!L106</f>
        <v>0</v>
      </c>
      <c r="H106" s="2">
        <f>Fanduel!H106</f>
        <v>3500</v>
      </c>
      <c r="I106" s="2">
        <f t="shared" si="4"/>
        <v>1</v>
      </c>
    </row>
    <row r="107" spans="1:9" x14ac:dyDescent="0.25">
      <c r="A107" s="2" t="str">
        <f>RawData!A106</f>
        <v>Montrezl Harrell</v>
      </c>
      <c r="B107" s="42" t="str">
        <f>RawData!C106</f>
        <v>PF</v>
      </c>
      <c r="C107" s="2">
        <f>RawData!L106</f>
        <v>12.92</v>
      </c>
      <c r="D107" s="2">
        <f t="shared" si="5"/>
        <v>3900</v>
      </c>
      <c r="E107" s="2">
        <f t="shared" si="3"/>
        <v>1</v>
      </c>
      <c r="F107" s="2" t="str">
        <f>Fanduel!C107&amp;" "&amp;Fanduel!E107</f>
        <v>Mike Miller</v>
      </c>
      <c r="G107" s="2">
        <f>Fanduel!L107</f>
        <v>0</v>
      </c>
      <c r="H107" s="2">
        <f>Fanduel!H107</f>
        <v>3500</v>
      </c>
      <c r="I107" s="2">
        <f t="shared" si="4"/>
        <v>1</v>
      </c>
    </row>
    <row r="108" spans="1:9" x14ac:dyDescent="0.25">
      <c r="A108" s="2" t="str">
        <f>RawData!A107</f>
        <v>Terrence Ross</v>
      </c>
      <c r="B108" s="42" t="str">
        <f>RawData!C107</f>
        <v>SF</v>
      </c>
      <c r="C108" s="2">
        <f>RawData!L107</f>
        <v>12.75</v>
      </c>
      <c r="D108" s="2">
        <f t="shared" si="5"/>
        <v>3500</v>
      </c>
      <c r="E108" s="2">
        <f t="shared" si="3"/>
        <v>1</v>
      </c>
      <c r="F108" s="2" t="str">
        <f>Fanduel!C108&amp;" "&amp;Fanduel!E108</f>
        <v>Archie Goodwin</v>
      </c>
      <c r="G108" s="2">
        <f>Fanduel!L108</f>
        <v>0</v>
      </c>
      <c r="H108" s="2">
        <f>Fanduel!H108</f>
        <v>3500</v>
      </c>
      <c r="I108" s="2">
        <f t="shared" si="4"/>
        <v>1</v>
      </c>
    </row>
    <row r="109" spans="1:9" x14ac:dyDescent="0.25">
      <c r="A109" s="2" t="str">
        <f>RawData!A108</f>
        <v>Noah Vonleh</v>
      </c>
      <c r="B109" s="42" t="str">
        <f>RawData!C108</f>
        <v>PF</v>
      </c>
      <c r="C109" s="2">
        <f>RawData!L108</f>
        <v>12.4</v>
      </c>
      <c r="D109" s="2">
        <f t="shared" si="5"/>
        <v>3500</v>
      </c>
      <c r="E109" s="2">
        <f t="shared" si="3"/>
        <v>1</v>
      </c>
      <c r="F109" s="2" t="str">
        <f>Fanduel!C109&amp;" "&amp;Fanduel!E109</f>
        <v>Malik Beasley</v>
      </c>
      <c r="G109" s="2">
        <f>Fanduel!L109</f>
        <v>0</v>
      </c>
      <c r="H109" s="2">
        <f>Fanduel!H109</f>
        <v>3500</v>
      </c>
      <c r="I109" s="2">
        <f t="shared" si="4"/>
        <v>1</v>
      </c>
    </row>
    <row r="110" spans="1:9" x14ac:dyDescent="0.25">
      <c r="A110" s="2" t="str">
        <f>RawData!A109</f>
        <v>Jusuf Nurkic</v>
      </c>
      <c r="B110" s="42" t="str">
        <f>RawData!C109</f>
        <v>C</v>
      </c>
      <c r="C110" s="2">
        <f>RawData!L109</f>
        <v>12.19</v>
      </c>
      <c r="D110" s="2">
        <f t="shared" si="5"/>
        <v>3700</v>
      </c>
      <c r="E110" s="2">
        <f t="shared" si="3"/>
        <v>1</v>
      </c>
      <c r="F110" s="2" t="str">
        <f>Fanduel!C110&amp;" "&amp;Fanduel!E110</f>
        <v>Anderson Varejao</v>
      </c>
      <c r="G110" s="2">
        <f>Fanduel!L110</f>
        <v>0</v>
      </c>
      <c r="H110" s="2">
        <f>Fanduel!H110</f>
        <v>3500</v>
      </c>
      <c r="I110" s="2">
        <f t="shared" si="4"/>
        <v>1</v>
      </c>
    </row>
    <row r="111" spans="1:9" x14ac:dyDescent="0.25">
      <c r="A111" s="2" t="str">
        <f>RawData!A110</f>
        <v>Kevon Looney</v>
      </c>
      <c r="B111" s="42" t="str">
        <f>RawData!C110</f>
        <v>PF</v>
      </c>
      <c r="C111" s="2">
        <f>RawData!L110</f>
        <v>12.13</v>
      </c>
      <c r="D111" s="2">
        <f t="shared" si="5"/>
        <v>3500</v>
      </c>
      <c r="E111" s="2">
        <f t="shared" si="3"/>
        <v>1</v>
      </c>
      <c r="F111" s="2" t="str">
        <f>Fanduel!C111&amp;" "&amp;Fanduel!E111</f>
        <v>Terrence Ross</v>
      </c>
      <c r="G111" s="2">
        <f>Fanduel!L111</f>
        <v>0</v>
      </c>
      <c r="H111" s="2">
        <f>Fanduel!H111</f>
        <v>3500</v>
      </c>
      <c r="I111" s="2">
        <f t="shared" si="4"/>
        <v>1</v>
      </c>
    </row>
    <row r="112" spans="1:9" x14ac:dyDescent="0.25">
      <c r="A112" s="2" t="str">
        <f>RawData!A111</f>
        <v>David West</v>
      </c>
      <c r="B112" s="42" t="str">
        <f>RawData!C111</f>
        <v>PF</v>
      </c>
      <c r="C112" s="2">
        <f>RawData!L111</f>
        <v>11.89</v>
      </c>
      <c r="D112" s="2">
        <f t="shared" si="5"/>
        <v>3500</v>
      </c>
      <c r="E112" s="2">
        <f t="shared" si="3"/>
        <v>0</v>
      </c>
      <c r="F112" s="2" t="str">
        <f>Fanduel!C112&amp;" "&amp;Fanduel!E112</f>
        <v>C.J. Wilcox</v>
      </c>
      <c r="G112" s="2" t="str">
        <f>Fanduel!L112</f>
        <v>O</v>
      </c>
      <c r="H112" s="2">
        <f>Fanduel!H112</f>
        <v>3500</v>
      </c>
      <c r="I112" s="2">
        <f t="shared" si="4"/>
        <v>0</v>
      </c>
    </row>
    <row r="113" spans="1:9" x14ac:dyDescent="0.25">
      <c r="A113" s="2" t="str">
        <f>RawData!A112</f>
        <v>Aron Baynes</v>
      </c>
      <c r="B113" s="42" t="str">
        <f>RawData!C112</f>
        <v>C</v>
      </c>
      <c r="C113" s="2">
        <f>RawData!L112</f>
        <v>11.82</v>
      </c>
      <c r="D113" s="2">
        <f t="shared" si="5"/>
        <v>3500</v>
      </c>
      <c r="E113" s="2">
        <f t="shared" si="3"/>
        <v>1</v>
      </c>
      <c r="F113" s="2" t="str">
        <f>Fanduel!C113&amp;" "&amp;Fanduel!E113</f>
        <v>J.R. Smith</v>
      </c>
      <c r="G113" s="2" t="str">
        <f>Fanduel!L113</f>
        <v>O</v>
      </c>
      <c r="H113" s="2">
        <f>Fanduel!H113</f>
        <v>3500</v>
      </c>
      <c r="I113" s="2">
        <f t="shared" si="4"/>
        <v>0</v>
      </c>
    </row>
    <row r="114" spans="1:9" x14ac:dyDescent="0.25">
      <c r="A114" s="2" t="str">
        <f>RawData!A113</f>
        <v>Justin Holiday</v>
      </c>
      <c r="B114" s="42" t="str">
        <f>RawData!C113</f>
        <v>SG</v>
      </c>
      <c r="C114" s="2">
        <f>RawData!L113</f>
        <v>11.72</v>
      </c>
      <c r="D114" s="2">
        <f t="shared" si="5"/>
        <v>3500</v>
      </c>
      <c r="E114" s="2">
        <f t="shared" si="3"/>
        <v>1</v>
      </c>
      <c r="F114" s="2" t="str">
        <f>Fanduel!C114&amp;" "&amp;Fanduel!E114</f>
        <v>Patrick McCaw</v>
      </c>
      <c r="G114" s="2">
        <f>Fanduel!L114</f>
        <v>0</v>
      </c>
      <c r="H114" s="2">
        <f>Fanduel!H114</f>
        <v>3500</v>
      </c>
      <c r="I114" s="2">
        <f t="shared" si="4"/>
        <v>1</v>
      </c>
    </row>
    <row r="115" spans="1:9" x14ac:dyDescent="0.25">
      <c r="A115" s="2" t="str">
        <f>RawData!A114</f>
        <v>C.J. Watson</v>
      </c>
      <c r="B115" s="42" t="str">
        <f>RawData!C114</f>
        <v>SG</v>
      </c>
      <c r="C115" s="2">
        <f>RawData!L114</f>
        <v>11.33</v>
      </c>
      <c r="D115" s="2">
        <f t="shared" si="5"/>
        <v>3700</v>
      </c>
      <c r="E115" s="2">
        <f t="shared" si="3"/>
        <v>0</v>
      </c>
      <c r="F115" s="2" t="str">
        <f>Fanduel!C115&amp;" "&amp;Fanduel!E115</f>
        <v>Arron Afflalo</v>
      </c>
      <c r="G115" s="2" t="str">
        <f>Fanduel!L115</f>
        <v>GTD</v>
      </c>
      <c r="H115" s="2">
        <f>Fanduel!H115</f>
        <v>3500</v>
      </c>
      <c r="I115" s="2">
        <f t="shared" si="4"/>
        <v>0</v>
      </c>
    </row>
    <row r="116" spans="1:9" x14ac:dyDescent="0.25">
      <c r="A116" s="2" t="str">
        <f>RawData!A115</f>
        <v>Stanley Johnson</v>
      </c>
      <c r="B116" s="42" t="str">
        <f>RawData!C115</f>
        <v>SF</v>
      </c>
      <c r="C116" s="2">
        <f>RawData!L115</f>
        <v>11.17</v>
      </c>
      <c r="D116" s="2">
        <f t="shared" si="5"/>
        <v>3500</v>
      </c>
      <c r="E116" s="2">
        <f t="shared" si="3"/>
        <v>1</v>
      </c>
      <c r="F116" s="2" t="str">
        <f>Fanduel!C116&amp;" "&amp;Fanduel!E116</f>
        <v>Aron Baynes</v>
      </c>
      <c r="G116" s="2">
        <f>Fanduel!L116</f>
        <v>0</v>
      </c>
      <c r="H116" s="2">
        <f>Fanduel!H116</f>
        <v>3500</v>
      </c>
      <c r="I116" s="2">
        <f t="shared" si="4"/>
        <v>1</v>
      </c>
    </row>
    <row r="117" spans="1:9" x14ac:dyDescent="0.25">
      <c r="A117" s="2" t="str">
        <f>RawData!A116</f>
        <v>Joakim Noah</v>
      </c>
      <c r="B117" s="42" t="str">
        <f>RawData!C116</f>
        <v>C</v>
      </c>
      <c r="C117" s="2">
        <f>RawData!L116</f>
        <v>10.55</v>
      </c>
      <c r="D117" s="2">
        <f t="shared" si="5"/>
        <v>3800</v>
      </c>
      <c r="E117" s="2">
        <f t="shared" si="3"/>
        <v>0</v>
      </c>
      <c r="F117" s="2" t="str">
        <f>Fanduel!C117&amp;" "&amp;Fanduel!E117</f>
        <v>Meyers Leonard</v>
      </c>
      <c r="G117" s="2">
        <f>Fanduel!L117</f>
        <v>0</v>
      </c>
      <c r="H117" s="2">
        <f>Fanduel!H117</f>
        <v>3500</v>
      </c>
      <c r="I117" s="2">
        <f t="shared" si="4"/>
        <v>1</v>
      </c>
    </row>
    <row r="118" spans="1:9" x14ac:dyDescent="0.25">
      <c r="A118" s="2" t="str">
        <f>RawData!A117</f>
        <v>Ramon Sessions</v>
      </c>
      <c r="B118" s="42" t="str">
        <f>RawData!C117</f>
        <v>PG</v>
      </c>
      <c r="C118" s="2">
        <f>RawData!L117</f>
        <v>10.41</v>
      </c>
      <c r="D118" s="2">
        <f t="shared" si="5"/>
        <v>3500</v>
      </c>
      <c r="E118" s="2">
        <f t="shared" si="3"/>
        <v>0</v>
      </c>
      <c r="F118" s="2" t="str">
        <f>Fanduel!C118&amp;" "&amp;Fanduel!E118</f>
        <v>Kay Felder</v>
      </c>
      <c r="G118" s="2">
        <f>Fanduel!L118</f>
        <v>0</v>
      </c>
      <c r="H118" s="2">
        <f>Fanduel!H118</f>
        <v>3500</v>
      </c>
      <c r="I118" s="2">
        <f t="shared" si="4"/>
        <v>1</v>
      </c>
    </row>
    <row r="119" spans="1:9" x14ac:dyDescent="0.25">
      <c r="A119" s="2" t="str">
        <f>RawData!A118</f>
        <v>Omri Casspi</v>
      </c>
      <c r="B119" s="42" t="str">
        <f>RawData!C118</f>
        <v>PF</v>
      </c>
      <c r="C119" s="2">
        <f>RawData!L118</f>
        <v>9.67</v>
      </c>
      <c r="D119" s="2">
        <f t="shared" si="5"/>
        <v>3600</v>
      </c>
      <c r="E119" s="2">
        <f t="shared" si="3"/>
        <v>1</v>
      </c>
      <c r="F119" s="2" t="str">
        <f>Fanduel!C119&amp;" "&amp;Fanduel!E119</f>
        <v>James Jones</v>
      </c>
      <c r="G119" s="2">
        <f>Fanduel!L119</f>
        <v>0</v>
      </c>
      <c r="H119" s="2">
        <f>Fanduel!H119</f>
        <v>3500</v>
      </c>
      <c r="I119" s="2">
        <f t="shared" si="4"/>
        <v>1</v>
      </c>
    </row>
    <row r="120" spans="1:9" x14ac:dyDescent="0.25">
      <c r="A120" s="2" t="str">
        <f>RawData!A119</f>
        <v>Wesley Johnson</v>
      </c>
      <c r="B120" s="42" t="str">
        <f>RawData!C119</f>
        <v>SF</v>
      </c>
      <c r="C120" s="2">
        <f>RawData!L119</f>
        <v>9.41</v>
      </c>
      <c r="D120" s="2">
        <f t="shared" si="5"/>
        <v>3600</v>
      </c>
      <c r="E120" s="2">
        <f t="shared" si="3"/>
        <v>1</v>
      </c>
      <c r="F120" s="2" t="str">
        <f>Fanduel!C120&amp;" "&amp;Fanduel!E120</f>
        <v>Anthony Brown</v>
      </c>
      <c r="G120" s="2">
        <f>Fanduel!L120</f>
        <v>0</v>
      </c>
      <c r="H120" s="2">
        <f>Fanduel!H120</f>
        <v>3500</v>
      </c>
      <c r="I120" s="2">
        <f t="shared" si="4"/>
        <v>1</v>
      </c>
    </row>
    <row r="121" spans="1:9" x14ac:dyDescent="0.25">
      <c r="A121" s="2" t="str">
        <f>RawData!A120</f>
        <v>Pat Connaughton</v>
      </c>
      <c r="B121" s="42" t="str">
        <f>RawData!C120</f>
        <v>SG</v>
      </c>
      <c r="C121" s="2">
        <f>RawData!L120</f>
        <v>9.0500000000000007</v>
      </c>
      <c r="D121" s="2">
        <f t="shared" si="5"/>
        <v>3500</v>
      </c>
      <c r="E121" s="2">
        <f t="shared" si="3"/>
        <v>1</v>
      </c>
      <c r="F121" s="2" t="str">
        <f>Fanduel!C121&amp;" "&amp;Fanduel!E121</f>
        <v>Skal Labissiere</v>
      </c>
      <c r="G121" s="2">
        <f>Fanduel!L121</f>
        <v>0</v>
      </c>
      <c r="H121" s="2">
        <f>Fanduel!H121</f>
        <v>3500</v>
      </c>
      <c r="I121" s="2">
        <f t="shared" si="4"/>
        <v>1</v>
      </c>
    </row>
    <row r="122" spans="1:9" x14ac:dyDescent="0.25">
      <c r="A122" s="2" t="str">
        <f>RawData!A121</f>
        <v>James Michael McAdoo</v>
      </c>
      <c r="B122" s="42" t="str">
        <f>RawData!C121</f>
        <v>PF</v>
      </c>
      <c r="C122" s="2">
        <f>RawData!L121</f>
        <v>8.83</v>
      </c>
      <c r="D122" s="2">
        <f t="shared" si="5"/>
        <v>3500</v>
      </c>
      <c r="E122" s="2">
        <f t="shared" si="3"/>
        <v>1</v>
      </c>
      <c r="F122" s="2" t="str">
        <f>Fanduel!C122&amp;" "&amp;Fanduel!E122</f>
        <v>Luc Richard Mbah a Moute</v>
      </c>
      <c r="G122" s="2">
        <f>Fanduel!L122</f>
        <v>0</v>
      </c>
      <c r="H122" s="2">
        <f>Fanduel!H122</f>
        <v>3500</v>
      </c>
      <c r="I122" s="2">
        <f t="shared" si="4"/>
        <v>1</v>
      </c>
    </row>
    <row r="123" spans="1:9" x14ac:dyDescent="0.25">
      <c r="A123" s="2" t="str">
        <f>RawData!A122</f>
        <v>Shaun Livingston</v>
      </c>
      <c r="B123" s="42" t="str">
        <f>RawData!C122</f>
        <v>PG</v>
      </c>
      <c r="C123" s="2">
        <f>RawData!L122</f>
        <v>8.82</v>
      </c>
      <c r="D123" s="2">
        <f t="shared" si="5"/>
        <v>3600</v>
      </c>
      <c r="E123" s="2">
        <f t="shared" si="3"/>
        <v>1</v>
      </c>
      <c r="F123" s="2" t="str">
        <f>Fanduel!C123&amp;" "&amp;Fanduel!E123</f>
        <v>Diamond Stone</v>
      </c>
      <c r="G123" s="2">
        <f>Fanduel!L123</f>
        <v>0</v>
      </c>
      <c r="H123" s="2">
        <f>Fanduel!H123</f>
        <v>3500</v>
      </c>
      <c r="I123" s="2">
        <f t="shared" si="4"/>
        <v>1</v>
      </c>
    </row>
    <row r="124" spans="1:9" x14ac:dyDescent="0.25">
      <c r="A124" s="2" t="str">
        <f>RawData!A123</f>
        <v>Richard Jefferson</v>
      </c>
      <c r="B124" s="42" t="str">
        <f>RawData!C123</f>
        <v>SF</v>
      </c>
      <c r="C124" s="2">
        <f>RawData!L123</f>
        <v>7.66</v>
      </c>
      <c r="D124" s="2">
        <f t="shared" si="5"/>
        <v>3500</v>
      </c>
      <c r="E124" s="2">
        <f t="shared" si="3"/>
        <v>1</v>
      </c>
      <c r="F124" s="2" t="str">
        <f>Fanduel!C124&amp;" "&amp;Fanduel!E124</f>
        <v>Treveon Graham</v>
      </c>
      <c r="G124" s="2">
        <f>Fanduel!L124</f>
        <v>0</v>
      </c>
      <c r="H124" s="2">
        <f>Fanduel!H124</f>
        <v>3500</v>
      </c>
      <c r="I124" s="2">
        <f t="shared" si="4"/>
        <v>1</v>
      </c>
    </row>
    <row r="125" spans="1:9" x14ac:dyDescent="0.25">
      <c r="A125" s="2" t="str">
        <f>RawData!A124</f>
        <v>Boban Marjanovic</v>
      </c>
      <c r="B125" s="42" t="str">
        <f>RawData!C124</f>
        <v>C</v>
      </c>
      <c r="C125" s="2">
        <f>RawData!L124</f>
        <v>7.38</v>
      </c>
      <c r="D125" s="2">
        <f t="shared" si="5"/>
        <v>3500</v>
      </c>
      <c r="E125" s="2">
        <f t="shared" si="3"/>
        <v>1</v>
      </c>
      <c r="F125" s="2" t="str">
        <f>Fanduel!C125&amp;" "&amp;Fanduel!E125</f>
        <v>Reggie Bullock</v>
      </c>
      <c r="G125" s="2">
        <f>Fanduel!L125</f>
        <v>0</v>
      </c>
      <c r="H125" s="2">
        <f>Fanduel!H125</f>
        <v>3500</v>
      </c>
      <c r="I125" s="2">
        <f t="shared" si="4"/>
        <v>1</v>
      </c>
    </row>
    <row r="126" spans="1:9" x14ac:dyDescent="0.25">
      <c r="A126" s="2" t="str">
        <f>RawData!A125</f>
        <v>Miles Plumlee</v>
      </c>
      <c r="B126" s="42" t="str">
        <f>RawData!C125</f>
        <v>C</v>
      </c>
      <c r="C126" s="2">
        <f>RawData!L125</f>
        <v>6.97</v>
      </c>
      <c r="D126" s="2">
        <f t="shared" si="5"/>
        <v>3500</v>
      </c>
      <c r="E126" s="2">
        <f t="shared" si="3"/>
        <v>0</v>
      </c>
      <c r="F126" s="2" t="str">
        <f>Fanduel!C126&amp;" "&amp;Fanduel!E126</f>
        <v>Langston Galloway</v>
      </c>
      <c r="G126" s="2">
        <f>Fanduel!L126</f>
        <v>0</v>
      </c>
      <c r="H126" s="2">
        <f>Fanduel!H126</f>
        <v>3500</v>
      </c>
      <c r="I126" s="2">
        <f t="shared" si="4"/>
        <v>1</v>
      </c>
    </row>
    <row r="127" spans="1:9" x14ac:dyDescent="0.25">
      <c r="A127" s="2" t="str">
        <f>RawData!A126</f>
        <v>Anthony Brown</v>
      </c>
      <c r="B127" s="42" t="str">
        <f>RawData!C126</f>
        <v>SF</v>
      </c>
      <c r="C127" s="2">
        <f>RawData!L126</f>
        <v>6.44</v>
      </c>
      <c r="D127" s="2">
        <f t="shared" si="5"/>
        <v>3500</v>
      </c>
      <c r="E127" s="2">
        <f t="shared" si="3"/>
        <v>1</v>
      </c>
      <c r="F127" s="2" t="str">
        <f>Fanduel!C127&amp;" "&amp;Fanduel!E127</f>
        <v>Damjan Rudez</v>
      </c>
      <c r="G127" s="2">
        <f>Fanduel!L127</f>
        <v>0</v>
      </c>
      <c r="H127" s="2">
        <f>Fanduel!H127</f>
        <v>3500</v>
      </c>
      <c r="I127" s="2">
        <f t="shared" si="4"/>
        <v>1</v>
      </c>
    </row>
    <row r="128" spans="1:9" x14ac:dyDescent="0.25">
      <c r="A128" s="2" t="str">
        <f>RawData!A127</f>
        <v>Sasha Vujacic</v>
      </c>
      <c r="B128" s="42" t="str">
        <f>RawData!C127</f>
        <v>SG</v>
      </c>
      <c r="C128" s="2">
        <f>RawData!L127</f>
        <v>6.35</v>
      </c>
      <c r="D128" s="2">
        <f t="shared" si="5"/>
        <v>3500</v>
      </c>
      <c r="E128" s="2">
        <f t="shared" si="3"/>
        <v>1</v>
      </c>
      <c r="F128" s="2" t="str">
        <f>Fanduel!C128&amp;" "&amp;Fanduel!E128</f>
        <v>Boban Marjanovic</v>
      </c>
      <c r="G128" s="2">
        <f>Fanduel!L128</f>
        <v>0</v>
      </c>
      <c r="H128" s="2">
        <f>Fanduel!H128</f>
        <v>3500</v>
      </c>
      <c r="I128" s="2">
        <f t="shared" si="4"/>
        <v>1</v>
      </c>
    </row>
    <row r="129" spans="1:9" x14ac:dyDescent="0.25">
      <c r="A129" s="2" t="str">
        <f>RawData!A128</f>
        <v>Alan Anderson</v>
      </c>
      <c r="B129" s="42" t="str">
        <f>RawData!C128</f>
        <v>SG</v>
      </c>
      <c r="C129" s="2">
        <f>RawData!L128</f>
        <v>6.15</v>
      </c>
      <c r="D129" s="2">
        <f t="shared" si="5"/>
        <v>3500</v>
      </c>
      <c r="E129" s="2">
        <f t="shared" si="3"/>
        <v>1</v>
      </c>
      <c r="F129" s="2" t="str">
        <f>Fanduel!C129&amp;" "&amp;Fanduel!E129</f>
        <v>James Michael McAdoo</v>
      </c>
      <c r="G129" s="2">
        <f>Fanduel!L129</f>
        <v>0</v>
      </c>
      <c r="H129" s="2">
        <f>Fanduel!H129</f>
        <v>3500</v>
      </c>
      <c r="I129" s="2">
        <f t="shared" si="4"/>
        <v>1</v>
      </c>
    </row>
    <row r="130" spans="1:9" x14ac:dyDescent="0.25">
      <c r="A130" s="2" t="str">
        <f>RawData!A129</f>
        <v>Archie Goodwin</v>
      </c>
      <c r="B130" s="42" t="str">
        <f>RawData!C129</f>
        <v>PG</v>
      </c>
      <c r="C130" s="2">
        <f>RawData!L129</f>
        <v>5.96</v>
      </c>
      <c r="D130" s="2">
        <f t="shared" si="5"/>
        <v>3500</v>
      </c>
      <c r="E130" s="2">
        <f t="shared" si="3"/>
        <v>1</v>
      </c>
      <c r="F130" s="2" t="str">
        <f>Fanduel!C130&amp;" "&amp;Fanduel!E130</f>
        <v>Ian Clark</v>
      </c>
      <c r="G130" s="2">
        <f>Fanduel!L130</f>
        <v>0</v>
      </c>
      <c r="H130" s="2">
        <f>Fanduel!H130</f>
        <v>3500</v>
      </c>
      <c r="I130" s="2">
        <f t="shared" si="4"/>
        <v>1</v>
      </c>
    </row>
    <row r="131" spans="1:9" x14ac:dyDescent="0.25">
      <c r="A131" s="2" t="str">
        <f>RawData!A130</f>
        <v>Shabazz Napier</v>
      </c>
      <c r="B131" s="42" t="str">
        <f>RawData!C130</f>
        <v>PG</v>
      </c>
      <c r="C131" s="2">
        <f>RawData!L130</f>
        <v>5.88</v>
      </c>
      <c r="D131" s="2">
        <f t="shared" si="5"/>
        <v>3500</v>
      </c>
      <c r="E131" s="2">
        <f t="shared" ref="E131:E194" si="6">VLOOKUP(A131,$F$2:$I$337,4,FALSE)</f>
        <v>1</v>
      </c>
      <c r="F131" s="2" t="str">
        <f>Fanduel!C131&amp;" "&amp;Fanduel!E131</f>
        <v>Sasha Vujacic</v>
      </c>
      <c r="G131" s="2">
        <f>Fanduel!L131</f>
        <v>0</v>
      </c>
      <c r="H131" s="2">
        <f>Fanduel!H131</f>
        <v>3500</v>
      </c>
      <c r="I131" s="2">
        <f t="shared" ref="I131:I194" si="7">IF(G131=0,1,0)</f>
        <v>1</v>
      </c>
    </row>
    <row r="132" spans="1:9" x14ac:dyDescent="0.25">
      <c r="A132" s="2" t="str">
        <f>RawData!A131</f>
        <v>Brandon Bass</v>
      </c>
      <c r="B132" s="42" t="str">
        <f>RawData!C131</f>
        <v>PF</v>
      </c>
      <c r="C132" s="2">
        <f>RawData!L131</f>
        <v>5.56</v>
      </c>
      <c r="D132" s="2">
        <f t="shared" ref="D132:D195" si="8">VLOOKUP(A132,$F$2:$I$337,3,FALSE)</f>
        <v>3500</v>
      </c>
      <c r="E132" s="2">
        <f t="shared" si="6"/>
        <v>1</v>
      </c>
      <c r="F132" s="2" t="str">
        <f>Fanduel!C132&amp;" "&amp;Fanduel!E132</f>
        <v>Jordan McRae</v>
      </c>
      <c r="G132" s="2">
        <f>Fanduel!L132</f>
        <v>0</v>
      </c>
      <c r="H132" s="2">
        <f>Fanduel!H132</f>
        <v>3500</v>
      </c>
      <c r="I132" s="2">
        <f t="shared" si="7"/>
        <v>1</v>
      </c>
    </row>
    <row r="133" spans="1:9" x14ac:dyDescent="0.25">
      <c r="A133" s="2" t="str">
        <f>RawData!A132</f>
        <v>Mike Miller</v>
      </c>
      <c r="B133" s="42" t="str">
        <f>RawData!C132</f>
        <v>SF</v>
      </c>
      <c r="C133" s="2">
        <f>RawData!L132</f>
        <v>5.55</v>
      </c>
      <c r="D133" s="2">
        <f t="shared" si="8"/>
        <v>3500</v>
      </c>
      <c r="E133" s="2">
        <f t="shared" si="6"/>
        <v>1</v>
      </c>
      <c r="F133" s="2" t="str">
        <f>Fanduel!C133&amp;" "&amp;Fanduel!E133</f>
        <v>Brice Johnson</v>
      </c>
      <c r="G133" s="2" t="str">
        <f>Fanduel!L133</f>
        <v>O</v>
      </c>
      <c r="H133" s="2">
        <f>Fanduel!H133</f>
        <v>3500</v>
      </c>
      <c r="I133" s="2">
        <f t="shared" si="7"/>
        <v>0</v>
      </c>
    </row>
    <row r="134" spans="1:9" x14ac:dyDescent="0.25">
      <c r="A134" s="2" t="str">
        <f>RawData!A133</f>
        <v>Paul Pierce</v>
      </c>
      <c r="B134" s="42" t="str">
        <f>RawData!C133</f>
        <v>SF</v>
      </c>
      <c r="C134" s="2">
        <f>RawData!L133</f>
        <v>5.51</v>
      </c>
      <c r="D134" s="2">
        <f t="shared" si="8"/>
        <v>3500</v>
      </c>
      <c r="E134" s="2">
        <f t="shared" si="6"/>
        <v>1</v>
      </c>
      <c r="F134" s="2" t="str">
        <f>Fanduel!C134&amp;" "&amp;Fanduel!E134</f>
        <v>Tim Quarterman</v>
      </c>
      <c r="G134" s="2">
        <f>Fanduel!L134</f>
        <v>0</v>
      </c>
      <c r="H134" s="2">
        <f>Fanduel!H134</f>
        <v>3500</v>
      </c>
      <c r="I134" s="2">
        <f t="shared" si="7"/>
        <v>1</v>
      </c>
    </row>
    <row r="135" spans="1:9" x14ac:dyDescent="0.25">
      <c r="A135" s="2" t="str">
        <f>RawData!A134</f>
        <v>Lance Thomas</v>
      </c>
      <c r="B135" s="42" t="str">
        <f>RawData!C134</f>
        <v>SF</v>
      </c>
      <c r="C135" s="2">
        <f>RawData!L134</f>
        <v>5.42</v>
      </c>
      <c r="D135" s="2">
        <f t="shared" si="8"/>
        <v>3500</v>
      </c>
      <c r="E135" s="2">
        <f t="shared" si="6"/>
        <v>1</v>
      </c>
      <c r="F135" s="2" t="str">
        <f>Fanduel!C135&amp;" "&amp;Fanduel!E135</f>
        <v>Buddy Hield</v>
      </c>
      <c r="G135" s="2">
        <f>Fanduel!L135</f>
        <v>0</v>
      </c>
      <c r="H135" s="2">
        <f>Fanduel!H135</f>
        <v>3500</v>
      </c>
      <c r="I135" s="2">
        <f t="shared" si="7"/>
        <v>1</v>
      </c>
    </row>
    <row r="136" spans="1:9" x14ac:dyDescent="0.25">
      <c r="A136" s="2" t="str">
        <f>RawData!A135</f>
        <v>Brian Roberts</v>
      </c>
      <c r="B136" s="42" t="str">
        <f>RawData!C135</f>
        <v>PG</v>
      </c>
      <c r="C136" s="2">
        <f>RawData!L135</f>
        <v>4.8</v>
      </c>
      <c r="D136" s="2">
        <f t="shared" si="8"/>
        <v>3500</v>
      </c>
      <c r="E136" s="2">
        <f t="shared" si="6"/>
        <v>1</v>
      </c>
      <c r="F136" s="2" t="str">
        <f>Fanduel!C136&amp;" "&amp;Fanduel!E136</f>
        <v>Bobby Brown</v>
      </c>
      <c r="G136" s="2">
        <f>Fanduel!L136</f>
        <v>0</v>
      </c>
      <c r="H136" s="2">
        <f>Fanduel!H136</f>
        <v>3500</v>
      </c>
      <c r="I136" s="2">
        <f t="shared" si="7"/>
        <v>1</v>
      </c>
    </row>
    <row r="137" spans="1:9" x14ac:dyDescent="0.25">
      <c r="A137" s="2" t="str">
        <f>RawData!A136</f>
        <v>Anderson Varejao</v>
      </c>
      <c r="B137" s="42" t="str">
        <f>RawData!C136</f>
        <v>C</v>
      </c>
      <c r="C137" s="2">
        <f>RawData!L136</f>
        <v>4.78</v>
      </c>
      <c r="D137" s="2">
        <f t="shared" si="8"/>
        <v>3500</v>
      </c>
      <c r="E137" s="2">
        <f t="shared" si="6"/>
        <v>1</v>
      </c>
      <c r="F137" s="2" t="str">
        <f>Fanduel!C137&amp;" "&amp;Fanduel!E137</f>
        <v>Pat Connaughton</v>
      </c>
      <c r="G137" s="2">
        <f>Fanduel!L137</f>
        <v>0</v>
      </c>
      <c r="H137" s="2">
        <f>Fanduel!H137</f>
        <v>3500</v>
      </c>
      <c r="I137" s="2">
        <f t="shared" si="7"/>
        <v>1</v>
      </c>
    </row>
    <row r="138" spans="1:9" x14ac:dyDescent="0.25">
      <c r="A138" s="2" t="str">
        <f>RawData!A137</f>
        <v>Reggie Bullock</v>
      </c>
      <c r="B138" s="42" t="str">
        <f>RawData!C137</f>
        <v>SG</v>
      </c>
      <c r="C138" s="2">
        <f>RawData!L137</f>
        <v>4.6100000000000003</v>
      </c>
      <c r="D138" s="2">
        <f t="shared" si="8"/>
        <v>3500</v>
      </c>
      <c r="E138" s="2">
        <f t="shared" si="6"/>
        <v>1</v>
      </c>
      <c r="F138" s="2" t="str">
        <f>Fanduel!C138&amp;" "&amp;Fanduel!E138</f>
        <v>Damian Jones</v>
      </c>
      <c r="G138" s="2">
        <f>Fanduel!L138</f>
        <v>0</v>
      </c>
      <c r="H138" s="2">
        <f>Fanduel!H138</f>
        <v>3500</v>
      </c>
      <c r="I138" s="2">
        <f t="shared" si="7"/>
        <v>1</v>
      </c>
    </row>
    <row r="139" spans="1:9" x14ac:dyDescent="0.25">
      <c r="A139" s="2" t="str">
        <f>RawData!A138</f>
        <v>Damjan Rudez</v>
      </c>
      <c r="B139" s="42" t="str">
        <f>RawData!C138</f>
        <v>SF</v>
      </c>
      <c r="C139" s="2">
        <f>RawData!L138</f>
        <v>3.98</v>
      </c>
      <c r="D139" s="2">
        <f t="shared" si="8"/>
        <v>3500</v>
      </c>
      <c r="E139" s="2">
        <f t="shared" si="6"/>
        <v>1</v>
      </c>
      <c r="F139" s="2" t="str">
        <f>Fanduel!C139&amp;" "&amp;Fanduel!E139</f>
        <v>Ramon Sessions</v>
      </c>
      <c r="G139" s="2" t="str">
        <f>Fanduel!L139</f>
        <v>O</v>
      </c>
      <c r="H139" s="2">
        <f>Fanduel!H139</f>
        <v>3500</v>
      </c>
      <c r="I139" s="2">
        <f t="shared" si="7"/>
        <v>0</v>
      </c>
    </row>
    <row r="140" spans="1:9" x14ac:dyDescent="0.25">
      <c r="A140" s="2" t="str">
        <f>RawData!A139</f>
        <v>Omer Asik</v>
      </c>
      <c r="B140" s="42" t="str">
        <f>RawData!C139</f>
        <v>C</v>
      </c>
      <c r="C140" s="2">
        <f>RawData!L139</f>
        <v>3.09</v>
      </c>
      <c r="D140" s="2">
        <f t="shared" si="8"/>
        <v>3500</v>
      </c>
      <c r="E140" s="2">
        <f t="shared" si="6"/>
        <v>0</v>
      </c>
      <c r="F140" s="2" t="str">
        <f>Fanduel!C140&amp;" "&amp;Fanduel!E140</f>
        <v>Corey Brewer</v>
      </c>
      <c r="G140" s="2">
        <f>Fanduel!L140</f>
        <v>0</v>
      </c>
      <c r="H140" s="2">
        <f>Fanduel!H140</f>
        <v>3500</v>
      </c>
      <c r="I140" s="2">
        <f t="shared" si="7"/>
        <v>1</v>
      </c>
    </row>
    <row r="141" spans="1:9" x14ac:dyDescent="0.25">
      <c r="A141" s="2" t="str">
        <f>RawData!A140</f>
        <v>Tyler Ennis</v>
      </c>
      <c r="B141" s="42" t="str">
        <f>RawData!C140</f>
        <v>PG</v>
      </c>
      <c r="C141" s="2">
        <f>RawData!L140</f>
        <v>3.06</v>
      </c>
      <c r="D141" s="2">
        <f t="shared" si="8"/>
        <v>3500</v>
      </c>
      <c r="E141" s="2">
        <f t="shared" si="6"/>
        <v>1</v>
      </c>
      <c r="F141" s="2" t="str">
        <f>Fanduel!C141&amp;" "&amp;Fanduel!E141</f>
        <v>Omer Asik</v>
      </c>
      <c r="G141" s="2" t="str">
        <f>Fanduel!L141</f>
        <v>GTD</v>
      </c>
      <c r="H141" s="2">
        <f>Fanduel!H141</f>
        <v>3500</v>
      </c>
      <c r="I141" s="2">
        <f t="shared" si="7"/>
        <v>0</v>
      </c>
    </row>
    <row r="142" spans="1:9" x14ac:dyDescent="0.25">
      <c r="A142" s="2" t="str">
        <f>RawData!A141</f>
        <v>Darrun Hilliard</v>
      </c>
      <c r="B142" s="42" t="str">
        <f>RawData!C141</f>
        <v>SG</v>
      </c>
      <c r="C142" s="2">
        <f>RawData!L141</f>
        <v>2.77</v>
      </c>
      <c r="D142" s="2">
        <f t="shared" si="8"/>
        <v>3500</v>
      </c>
      <c r="E142" s="2">
        <f t="shared" si="6"/>
        <v>1</v>
      </c>
      <c r="F142" s="2" t="str">
        <f>Fanduel!C142&amp;" "&amp;Fanduel!E142</f>
        <v>Chinanu Onuaku</v>
      </c>
      <c r="G142" s="2">
        <f>Fanduel!L142</f>
        <v>0</v>
      </c>
      <c r="H142" s="2">
        <f>Fanduel!H142</f>
        <v>3500</v>
      </c>
      <c r="I142" s="2">
        <f t="shared" si="7"/>
        <v>1</v>
      </c>
    </row>
    <row r="143" spans="1:9" x14ac:dyDescent="0.25">
      <c r="A143" s="2" t="str">
        <f>RawData!A142</f>
        <v>James Jones</v>
      </c>
      <c r="B143" s="42" t="str">
        <f>RawData!C142</f>
        <v>SG</v>
      </c>
      <c r="C143" s="2">
        <f>RawData!L142</f>
        <v>2.59</v>
      </c>
      <c r="D143" s="2">
        <f t="shared" si="8"/>
        <v>3500</v>
      </c>
      <c r="E143" s="2">
        <f t="shared" si="6"/>
        <v>1</v>
      </c>
      <c r="F143" s="2" t="str">
        <f>Fanduel!C143&amp;" "&amp;Fanduel!E143</f>
        <v>Allen Crabbe</v>
      </c>
      <c r="G143" s="2">
        <f>Fanduel!L143</f>
        <v>0</v>
      </c>
      <c r="H143" s="2">
        <f>Fanduel!H143</f>
        <v>3500</v>
      </c>
      <c r="I143" s="2">
        <f t="shared" si="7"/>
        <v>1</v>
      </c>
    </row>
    <row r="144" spans="1:9" x14ac:dyDescent="0.25">
      <c r="A144" s="2" t="str">
        <f>RawData!A143</f>
        <v>K.J. McDaniels</v>
      </c>
      <c r="B144" s="42" t="str">
        <f>RawData!C143</f>
        <v>SG</v>
      </c>
      <c r="C144" s="2">
        <f>RawData!L143</f>
        <v>2.41</v>
      </c>
      <c r="D144" s="2">
        <f t="shared" si="8"/>
        <v>3500</v>
      </c>
      <c r="E144" s="2">
        <f t="shared" si="6"/>
        <v>1</v>
      </c>
      <c r="F144" s="2" t="str">
        <f>Fanduel!C144&amp;" "&amp;Fanduel!E144</f>
        <v>Henry Ellenson</v>
      </c>
      <c r="G144" s="2">
        <f>Fanduel!L144</f>
        <v>0</v>
      </c>
      <c r="H144" s="2">
        <f>Fanduel!H144</f>
        <v>3500</v>
      </c>
      <c r="I144" s="2">
        <f t="shared" si="7"/>
        <v>1</v>
      </c>
    </row>
    <row r="145" spans="1:9" x14ac:dyDescent="0.25">
      <c r="A145" s="2" t="str">
        <f>RawData!A144</f>
        <v>Aaron Harrison</v>
      </c>
      <c r="B145" s="42" t="str">
        <f>RawData!C144</f>
        <v>SG</v>
      </c>
      <c r="C145" s="2">
        <f>RawData!L144</f>
        <v>1.78</v>
      </c>
      <c r="D145" s="2">
        <f t="shared" si="8"/>
        <v>3500</v>
      </c>
      <c r="E145" s="2">
        <f t="shared" si="6"/>
        <v>1</v>
      </c>
      <c r="F145" s="2" t="str">
        <f>Fanduel!C145&amp;" "&amp;Fanduel!E145</f>
        <v>Kyle Wiltjer</v>
      </c>
      <c r="G145" s="2">
        <f>Fanduel!L145</f>
        <v>0</v>
      </c>
      <c r="H145" s="2">
        <f>Fanduel!H145</f>
        <v>3500</v>
      </c>
      <c r="I145" s="2">
        <f t="shared" si="7"/>
        <v>1</v>
      </c>
    </row>
    <row r="146" spans="1:9" x14ac:dyDescent="0.25">
      <c r="A146" s="2" t="str">
        <f>RawData!A145</f>
        <v>Beno Udrih</v>
      </c>
      <c r="B146" s="42" t="str">
        <f>RawData!C145</f>
        <v>PG</v>
      </c>
      <c r="C146" s="2">
        <f>RawData!L145</f>
        <v>1.63</v>
      </c>
      <c r="D146" s="2">
        <f t="shared" si="8"/>
        <v>3500</v>
      </c>
      <c r="E146" s="2">
        <f t="shared" si="6"/>
        <v>0</v>
      </c>
      <c r="F146" s="2" t="str">
        <f>Fanduel!C146&amp;" "&amp;Fanduel!E146</f>
        <v>Stephen Zimmerman Jr.</v>
      </c>
      <c r="G146" s="2">
        <f>Fanduel!L146</f>
        <v>0</v>
      </c>
      <c r="H146" s="2">
        <f>Fanduel!H146</f>
        <v>3500</v>
      </c>
      <c r="I146" s="2">
        <f t="shared" si="7"/>
        <v>1</v>
      </c>
    </row>
    <row r="147" spans="1:9" x14ac:dyDescent="0.25">
      <c r="A147" s="2" t="str">
        <f>RawData!A146</f>
        <v>C.J. Wilcox</v>
      </c>
      <c r="B147" s="42" t="str">
        <f>RawData!C146</f>
        <v>SG</v>
      </c>
      <c r="C147" s="2">
        <f>RawData!L146</f>
        <v>1.19</v>
      </c>
      <c r="D147" s="2">
        <f t="shared" si="8"/>
        <v>3500</v>
      </c>
      <c r="E147" s="2">
        <f t="shared" si="6"/>
        <v>0</v>
      </c>
      <c r="F147" s="2" t="str">
        <f>Fanduel!C147&amp;" "&amp;Fanduel!E147</f>
        <v>David West</v>
      </c>
      <c r="G147" s="2" t="str">
        <f>Fanduel!L147</f>
        <v>GTD</v>
      </c>
      <c r="H147" s="2">
        <f>Fanduel!H147</f>
        <v>3500</v>
      </c>
      <c r="I147" s="2">
        <f t="shared" si="7"/>
        <v>0</v>
      </c>
    </row>
    <row r="148" spans="1:9" x14ac:dyDescent="0.25">
      <c r="A148" s="2">
        <f>RawData!A147</f>
        <v>0</v>
      </c>
      <c r="B148" s="42">
        <f>RawData!C147</f>
        <v>0</v>
      </c>
      <c r="C148" s="2">
        <f>RawData!L147</f>
        <v>0</v>
      </c>
      <c r="D148" s="2" t="e">
        <f t="shared" si="8"/>
        <v>#N/A</v>
      </c>
      <c r="E148" s="2" t="e">
        <f t="shared" si="6"/>
        <v>#N/A</v>
      </c>
      <c r="F148" s="2" t="str">
        <f>Fanduel!C148&amp;" "&amp;Fanduel!E148</f>
        <v>Maurice Ndour</v>
      </c>
      <c r="G148" s="2">
        <f>Fanduel!L148</f>
        <v>0</v>
      </c>
      <c r="H148" s="2">
        <f>Fanduel!H148</f>
        <v>3500</v>
      </c>
      <c r="I148" s="2">
        <f t="shared" si="7"/>
        <v>1</v>
      </c>
    </row>
    <row r="149" spans="1:9" x14ac:dyDescent="0.25">
      <c r="A149" s="2">
        <f>RawData!A148</f>
        <v>0</v>
      </c>
      <c r="B149" s="42">
        <f>RawData!C148</f>
        <v>0</v>
      </c>
      <c r="C149" s="2">
        <f>RawData!L148</f>
        <v>0</v>
      </c>
      <c r="D149" s="2" t="e">
        <f t="shared" si="8"/>
        <v>#N/A</v>
      </c>
      <c r="E149" s="2" t="e">
        <f t="shared" si="6"/>
        <v>#N/A</v>
      </c>
      <c r="F149" s="2" t="str">
        <f>Fanduel!C149&amp;" "&amp;Fanduel!E149</f>
        <v>Alan Anderson</v>
      </c>
      <c r="G149" s="2">
        <f>Fanduel!L149</f>
        <v>0</v>
      </c>
      <c r="H149" s="2">
        <f>Fanduel!H149</f>
        <v>3500</v>
      </c>
      <c r="I149" s="2">
        <f t="shared" si="7"/>
        <v>1</v>
      </c>
    </row>
    <row r="150" spans="1:9" x14ac:dyDescent="0.25">
      <c r="A150" s="2">
        <f>RawData!A149</f>
        <v>0</v>
      </c>
      <c r="B150" s="42">
        <f>RawData!C149</f>
        <v>0</v>
      </c>
      <c r="C150" s="2">
        <f>RawData!L149</f>
        <v>0</v>
      </c>
      <c r="D150" s="2" t="e">
        <f t="shared" si="8"/>
        <v>#N/A</v>
      </c>
      <c r="E150" s="2" t="e">
        <f t="shared" si="6"/>
        <v>#N/A</v>
      </c>
      <c r="F150" s="2" t="str">
        <f>Fanduel!C150&amp;" "&amp;Fanduel!E150</f>
        <v>Georgios Papagiannis</v>
      </c>
      <c r="G150" s="2">
        <f>Fanduel!L150</f>
        <v>0</v>
      </c>
      <c r="H150" s="2">
        <f>Fanduel!H150</f>
        <v>3500</v>
      </c>
      <c r="I150" s="2">
        <f t="shared" si="7"/>
        <v>1</v>
      </c>
    </row>
    <row r="151" spans="1:9" x14ac:dyDescent="0.25">
      <c r="A151" s="2">
        <f>RawData!A150</f>
        <v>0</v>
      </c>
      <c r="B151" s="42">
        <f>RawData!C150</f>
        <v>0</v>
      </c>
      <c r="C151" s="2">
        <f>RawData!L150</f>
        <v>0</v>
      </c>
      <c r="D151" s="2" t="e">
        <f t="shared" si="8"/>
        <v>#N/A</v>
      </c>
      <c r="E151" s="2" t="e">
        <f t="shared" si="6"/>
        <v>#N/A</v>
      </c>
      <c r="F151" s="2" t="str">
        <f>Fanduel!C151&amp;" "&amp;Fanduel!E151</f>
        <v>Noah Vonleh</v>
      </c>
      <c r="G151" s="2">
        <f>Fanduel!L151</f>
        <v>0</v>
      </c>
      <c r="H151" s="2">
        <f>Fanduel!H151</f>
        <v>3500</v>
      </c>
      <c r="I151" s="2">
        <f t="shared" si="7"/>
        <v>1</v>
      </c>
    </row>
    <row r="152" spans="1:9" x14ac:dyDescent="0.25">
      <c r="A152" s="2">
        <f>RawData!A151</f>
        <v>0</v>
      </c>
      <c r="B152" s="42">
        <f>RawData!C151</f>
        <v>0</v>
      </c>
      <c r="C152" s="2">
        <f>RawData!L151</f>
        <v>0</v>
      </c>
      <c r="D152" s="2" t="e">
        <f t="shared" si="8"/>
        <v>#N/A</v>
      </c>
      <c r="E152" s="2" t="e">
        <f t="shared" si="6"/>
        <v>#N/A</v>
      </c>
      <c r="F152" s="2" t="str">
        <f>Fanduel!C152&amp;" "&amp;Fanduel!E152</f>
        <v>Aaron Harrison</v>
      </c>
      <c r="G152" s="2">
        <f>Fanduel!L152</f>
        <v>0</v>
      </c>
      <c r="H152" s="2">
        <f>Fanduel!H152</f>
        <v>3500</v>
      </c>
      <c r="I152" s="2">
        <f t="shared" si="7"/>
        <v>1</v>
      </c>
    </row>
    <row r="153" spans="1:9" x14ac:dyDescent="0.25">
      <c r="A153" s="2">
        <f>RawData!A152</f>
        <v>0</v>
      </c>
      <c r="B153" s="42">
        <f>RawData!C152</f>
        <v>0</v>
      </c>
      <c r="C153" s="2">
        <f>RawData!L152</f>
        <v>0</v>
      </c>
      <c r="D153" s="2" t="e">
        <f t="shared" si="8"/>
        <v>#N/A</v>
      </c>
      <c r="E153" s="2" t="e">
        <f t="shared" si="6"/>
        <v>#N/A</v>
      </c>
      <c r="F153" s="2" t="str">
        <f>Fanduel!C153&amp;" "&amp;Fanduel!E153</f>
        <v>K.J. McDaniels</v>
      </c>
      <c r="G153" s="2">
        <f>Fanduel!L153</f>
        <v>0</v>
      </c>
      <c r="H153" s="2">
        <f>Fanduel!H153</f>
        <v>3500</v>
      </c>
      <c r="I153" s="2">
        <f t="shared" si="7"/>
        <v>1</v>
      </c>
    </row>
    <row r="154" spans="1:9" x14ac:dyDescent="0.25">
      <c r="A154" s="2">
        <f>RawData!A153</f>
        <v>0</v>
      </c>
      <c r="B154" s="42">
        <f>RawData!C153</f>
        <v>0</v>
      </c>
      <c r="C154" s="2">
        <f>RawData!L153</f>
        <v>0</v>
      </c>
      <c r="D154" s="2" t="e">
        <f t="shared" si="8"/>
        <v>#N/A</v>
      </c>
      <c r="E154" s="2" t="e">
        <f t="shared" si="6"/>
        <v>#N/A</v>
      </c>
      <c r="F154" s="2" t="str">
        <f>Fanduel!C154&amp;" "&amp;Fanduel!E154</f>
        <v>Ray McCallum</v>
      </c>
      <c r="G154" s="2">
        <f>Fanduel!L154</f>
        <v>0</v>
      </c>
      <c r="H154" s="2">
        <f>Fanduel!H154</f>
        <v>3500</v>
      </c>
      <c r="I154" s="2">
        <f t="shared" si="7"/>
        <v>1</v>
      </c>
    </row>
    <row r="155" spans="1:9" x14ac:dyDescent="0.25">
      <c r="A155" s="2">
        <f>RawData!A154</f>
        <v>0</v>
      </c>
      <c r="B155" s="42">
        <f>RawData!C154</f>
        <v>0</v>
      </c>
      <c r="C155" s="2">
        <f>RawData!L154</f>
        <v>0</v>
      </c>
      <c r="D155" s="2" t="e">
        <f t="shared" si="8"/>
        <v>#N/A</v>
      </c>
      <c r="E155" s="2" t="e">
        <f t="shared" si="6"/>
        <v>#N/A</v>
      </c>
      <c r="F155" s="2" t="str">
        <f>Fanduel!C155&amp;" "&amp;Fanduel!E155</f>
        <v>Mindaugas Kuzminskas</v>
      </c>
      <c r="G155" s="2">
        <f>Fanduel!L155</f>
        <v>0</v>
      </c>
      <c r="H155" s="2">
        <f>Fanduel!H155</f>
        <v>3500</v>
      </c>
      <c r="I155" s="2">
        <f t="shared" si="7"/>
        <v>1</v>
      </c>
    </row>
    <row r="156" spans="1:9" x14ac:dyDescent="0.25">
      <c r="A156" s="2">
        <f>RawData!A155</f>
        <v>0</v>
      </c>
      <c r="B156" s="42">
        <f>RawData!C155</f>
        <v>0</v>
      </c>
      <c r="C156" s="2">
        <f>RawData!L155</f>
        <v>0</v>
      </c>
      <c r="D156" s="2" t="e">
        <f t="shared" si="8"/>
        <v>#N/A</v>
      </c>
      <c r="E156" s="2" t="e">
        <f t="shared" si="6"/>
        <v>#N/A</v>
      </c>
      <c r="F156" s="2" t="str">
        <f>Fanduel!C156&amp;" "&amp;Fanduel!E156</f>
        <v>Donatas Motiejunas</v>
      </c>
      <c r="G156" s="2">
        <f>Fanduel!L156</f>
        <v>0</v>
      </c>
      <c r="H156" s="2">
        <f>Fanduel!H156</f>
        <v>3500</v>
      </c>
      <c r="I156" s="2">
        <f t="shared" si="7"/>
        <v>1</v>
      </c>
    </row>
    <row r="157" spans="1:9" x14ac:dyDescent="0.25">
      <c r="A157" s="2">
        <f>RawData!A156</f>
        <v>0</v>
      </c>
      <c r="B157" s="42">
        <f>RawData!C156</f>
        <v>0</v>
      </c>
      <c r="C157" s="2">
        <f>RawData!L156</f>
        <v>0</v>
      </c>
      <c r="D157" s="2" t="e">
        <f t="shared" si="8"/>
        <v>#N/A</v>
      </c>
      <c r="E157" s="2" t="e">
        <f t="shared" si="6"/>
        <v>#N/A</v>
      </c>
      <c r="F157" s="2" t="str">
        <f>Fanduel!C157&amp;" "&amp;Fanduel!E157</f>
        <v>Brandon Bass</v>
      </c>
      <c r="G157" s="2">
        <f>Fanduel!L157</f>
        <v>0</v>
      </c>
      <c r="H157" s="2">
        <f>Fanduel!H157</f>
        <v>3500</v>
      </c>
      <c r="I157" s="2">
        <f t="shared" si="7"/>
        <v>1</v>
      </c>
    </row>
    <row r="158" spans="1:9" x14ac:dyDescent="0.25">
      <c r="A158" s="2">
        <f>RawData!A157</f>
        <v>0</v>
      </c>
      <c r="B158" s="42">
        <f>RawData!C157</f>
        <v>0</v>
      </c>
      <c r="C158" s="2">
        <f>RawData!L157</f>
        <v>0</v>
      </c>
      <c r="D158" s="2" t="e">
        <f t="shared" si="8"/>
        <v>#N/A</v>
      </c>
      <c r="E158" s="2" t="e">
        <f t="shared" si="6"/>
        <v>#N/A</v>
      </c>
      <c r="F158" s="2" t="str">
        <f>Fanduel!C158&amp;" "&amp;Fanduel!E158</f>
        <v>Tyler Ennis</v>
      </c>
      <c r="G158" s="2">
        <f>Fanduel!L158</f>
        <v>0</v>
      </c>
      <c r="H158" s="2">
        <f>Fanduel!H158</f>
        <v>3500</v>
      </c>
      <c r="I158" s="2">
        <f t="shared" si="7"/>
        <v>1</v>
      </c>
    </row>
    <row r="159" spans="1:9" x14ac:dyDescent="0.25">
      <c r="A159" s="2">
        <f>RawData!A158</f>
        <v>0</v>
      </c>
      <c r="B159" s="42">
        <f>RawData!C158</f>
        <v>0</v>
      </c>
      <c r="C159" s="2">
        <f>RawData!L158</f>
        <v>0</v>
      </c>
      <c r="D159" s="2" t="e">
        <f t="shared" si="8"/>
        <v>#N/A</v>
      </c>
      <c r="E159" s="2" t="e">
        <f t="shared" si="6"/>
        <v>#N/A</v>
      </c>
      <c r="F159" s="2" t="str">
        <f>Fanduel!C159&amp;" "&amp;Fanduel!E159</f>
        <v>Mike Tobey</v>
      </c>
      <c r="G159" s="2">
        <f>Fanduel!L159</f>
        <v>0</v>
      </c>
      <c r="H159" s="2">
        <f>Fanduel!H159</f>
        <v>3500</v>
      </c>
      <c r="I159" s="2">
        <f t="shared" si="7"/>
        <v>1</v>
      </c>
    </row>
    <row r="160" spans="1:9" x14ac:dyDescent="0.25">
      <c r="A160" s="2">
        <f>RawData!A159</f>
        <v>0</v>
      </c>
      <c r="B160" s="42">
        <f>RawData!C159</f>
        <v>0</v>
      </c>
      <c r="C160" s="2">
        <f>RawData!L159</f>
        <v>0</v>
      </c>
      <c r="D160" s="2" t="e">
        <f t="shared" si="8"/>
        <v>#N/A</v>
      </c>
      <c r="E160" s="2" t="e">
        <f t="shared" si="6"/>
        <v>#N/A</v>
      </c>
      <c r="F160" s="2" t="str">
        <f>Fanduel!C160&amp;" "&amp;Fanduel!E160</f>
        <v>Tim Frazier</v>
      </c>
      <c r="G160" s="2">
        <f>Fanduel!L160</f>
        <v>0</v>
      </c>
      <c r="H160" s="2">
        <f>Fanduel!H160</f>
        <v>3500</v>
      </c>
      <c r="I160" s="2">
        <f t="shared" si="7"/>
        <v>1</v>
      </c>
    </row>
    <row r="161" spans="1:9" x14ac:dyDescent="0.25">
      <c r="A161" s="2">
        <f>RawData!A160</f>
        <v>0</v>
      </c>
      <c r="B161" s="42">
        <f>RawData!C160</f>
        <v>0</v>
      </c>
      <c r="C161" s="2">
        <f>RawData!L160</f>
        <v>0</v>
      </c>
      <c r="D161" s="2" t="e">
        <f t="shared" si="8"/>
        <v>#N/A</v>
      </c>
      <c r="E161" s="2" t="e">
        <f t="shared" si="6"/>
        <v>#N/A</v>
      </c>
      <c r="F161" s="2" t="str">
        <f>Fanduel!C161&amp;" "&amp;Fanduel!E161</f>
        <v>Ron Baker</v>
      </c>
      <c r="G161" s="2">
        <f>Fanduel!L161</f>
        <v>0</v>
      </c>
      <c r="H161" s="2">
        <f>Fanduel!H161</f>
        <v>3500</v>
      </c>
      <c r="I161" s="2">
        <f t="shared" si="7"/>
        <v>1</v>
      </c>
    </row>
    <row r="162" spans="1:9" x14ac:dyDescent="0.25">
      <c r="A162" s="2">
        <f>RawData!A161</f>
        <v>0</v>
      </c>
      <c r="B162" s="42">
        <f>RawData!C161</f>
        <v>0</v>
      </c>
      <c r="C162" s="2">
        <f>RawData!L161</f>
        <v>0</v>
      </c>
      <c r="D162" s="2" t="e">
        <f t="shared" si="8"/>
        <v>#N/A</v>
      </c>
      <c r="E162" s="2" t="e">
        <f t="shared" si="6"/>
        <v>#N/A</v>
      </c>
      <c r="F162" s="2" t="str">
        <f>Fanduel!C162&amp;" "&amp;Fanduel!E162</f>
        <v>Shabazz Napier</v>
      </c>
      <c r="G162" s="2">
        <f>Fanduel!L162</f>
        <v>0</v>
      </c>
      <c r="H162" s="2">
        <f>Fanduel!H162</f>
        <v>3500</v>
      </c>
      <c r="I162" s="2">
        <f t="shared" si="7"/>
        <v>1</v>
      </c>
    </row>
    <row r="163" spans="1:9" x14ac:dyDescent="0.25">
      <c r="A163" s="2">
        <f>RawData!A162</f>
        <v>0</v>
      </c>
      <c r="B163" s="42">
        <f>RawData!C162</f>
        <v>0</v>
      </c>
      <c r="C163" s="2">
        <f>RawData!L162</f>
        <v>0</v>
      </c>
      <c r="D163" s="2" t="e">
        <f t="shared" si="8"/>
        <v>#N/A</v>
      </c>
      <c r="E163" s="2" t="e">
        <f t="shared" si="6"/>
        <v>#N/A</v>
      </c>
      <c r="F163" s="2" t="str">
        <f>Fanduel!C163&amp;" "&amp;Fanduel!E163</f>
        <v>Festus Ezeli</v>
      </c>
      <c r="G163" s="2" t="str">
        <f>Fanduel!L163</f>
        <v>O</v>
      </c>
      <c r="H163" s="2">
        <f>Fanduel!H163</f>
        <v>3500</v>
      </c>
      <c r="I163" s="2">
        <f t="shared" si="7"/>
        <v>0</v>
      </c>
    </row>
    <row r="164" spans="1:9" x14ac:dyDescent="0.25">
      <c r="A164" s="2">
        <f>RawData!A163</f>
        <v>0</v>
      </c>
      <c r="B164" s="42">
        <f>RawData!C163</f>
        <v>0</v>
      </c>
      <c r="C164" s="2">
        <f>RawData!L163</f>
        <v>0</v>
      </c>
      <c r="D164" s="2" t="e">
        <f t="shared" si="8"/>
        <v>#N/A</v>
      </c>
      <c r="E164" s="2" t="e">
        <f t="shared" si="6"/>
        <v>#N/A</v>
      </c>
      <c r="F164" s="2" t="str">
        <f>Fanduel!C164&amp;" "&amp;Fanduel!E164</f>
        <v>Brian Roberts</v>
      </c>
      <c r="G164" s="2">
        <f>Fanduel!L164</f>
        <v>0</v>
      </c>
      <c r="H164" s="2">
        <f>Fanduel!H164</f>
        <v>3500</v>
      </c>
      <c r="I164" s="2">
        <f t="shared" si="7"/>
        <v>1</v>
      </c>
    </row>
    <row r="165" spans="1:9" x14ac:dyDescent="0.25">
      <c r="A165" s="2">
        <f>RawData!A164</f>
        <v>0</v>
      </c>
      <c r="B165" s="42">
        <f>RawData!C164</f>
        <v>0</v>
      </c>
      <c r="C165" s="2">
        <f>RawData!L164</f>
        <v>0</v>
      </c>
      <c r="D165" s="2" t="e">
        <f t="shared" si="8"/>
        <v>#N/A</v>
      </c>
      <c r="E165" s="2" t="e">
        <f t="shared" si="6"/>
        <v>#N/A</v>
      </c>
      <c r="F165" s="2" t="str">
        <f>Fanduel!C165&amp;" "&amp;Fanduel!E165</f>
        <v>Kevon Looney</v>
      </c>
      <c r="G165" s="2">
        <f>Fanduel!L165</f>
        <v>0</v>
      </c>
      <c r="H165" s="2">
        <f>Fanduel!H165</f>
        <v>3500</v>
      </c>
      <c r="I165" s="2">
        <f t="shared" si="7"/>
        <v>1</v>
      </c>
    </row>
    <row r="166" spans="1:9" x14ac:dyDescent="0.25">
      <c r="A166" s="2">
        <f>RawData!A165</f>
        <v>0</v>
      </c>
      <c r="B166" s="42">
        <f>RawData!C165</f>
        <v>0</v>
      </c>
      <c r="C166" s="2">
        <f>RawData!L165</f>
        <v>0</v>
      </c>
      <c r="D166" s="2" t="e">
        <f t="shared" si="8"/>
        <v>#N/A</v>
      </c>
      <c r="E166" s="2" t="e">
        <f t="shared" si="6"/>
        <v>#N/A</v>
      </c>
      <c r="F166" s="2" t="str">
        <f>Fanduel!C166&amp;" "&amp;Fanduel!E166</f>
        <v>DeAndre Liggins</v>
      </c>
      <c r="G166" s="2">
        <f>Fanduel!L166</f>
        <v>0</v>
      </c>
      <c r="H166" s="2">
        <f>Fanduel!H166</f>
        <v>3500</v>
      </c>
      <c r="I166" s="2">
        <f t="shared" si="7"/>
        <v>1</v>
      </c>
    </row>
    <row r="167" spans="1:9" x14ac:dyDescent="0.25">
      <c r="A167" s="2">
        <f>RawData!A166</f>
        <v>0</v>
      </c>
      <c r="B167" s="42">
        <f>RawData!C166</f>
        <v>0</v>
      </c>
      <c r="C167" s="2">
        <f>RawData!L166</f>
        <v>0</v>
      </c>
      <c r="D167" s="2" t="e">
        <f t="shared" si="8"/>
        <v>#N/A</v>
      </c>
      <c r="E167" s="2" t="e">
        <f t="shared" si="6"/>
        <v>#N/A</v>
      </c>
      <c r="F167" s="2" t="str">
        <f>Fanduel!C167&amp;" "&amp;Fanduel!E167</f>
        <v>Lance Thomas</v>
      </c>
      <c r="G167" s="2">
        <f>Fanduel!L167</f>
        <v>0</v>
      </c>
      <c r="H167" s="2">
        <f>Fanduel!H167</f>
        <v>3500</v>
      </c>
      <c r="I167" s="2">
        <f t="shared" si="7"/>
        <v>1</v>
      </c>
    </row>
    <row r="168" spans="1:9" x14ac:dyDescent="0.25">
      <c r="A168" s="2">
        <f>RawData!A167</f>
        <v>0</v>
      </c>
      <c r="B168" s="42">
        <f>RawData!C167</f>
        <v>0</v>
      </c>
      <c r="C168" s="2">
        <f>RawData!L167</f>
        <v>0</v>
      </c>
      <c r="D168" s="2" t="e">
        <f t="shared" si="8"/>
        <v>#N/A</v>
      </c>
      <c r="E168" s="2" t="e">
        <f t="shared" si="6"/>
        <v>#N/A</v>
      </c>
      <c r="F168" s="2" t="str">
        <f>Fanduel!C168&amp;" "&amp;Fanduel!E168</f>
        <v>Darrun Hilliard</v>
      </c>
      <c r="G168" s="2">
        <f>Fanduel!L168</f>
        <v>0</v>
      </c>
      <c r="H168" s="2">
        <f>Fanduel!H168</f>
        <v>3500</v>
      </c>
      <c r="I168" s="2">
        <f t="shared" si="7"/>
        <v>1</v>
      </c>
    </row>
    <row r="169" spans="1:9" x14ac:dyDescent="0.25">
      <c r="A169" s="2">
        <f>RawData!A168</f>
        <v>0</v>
      </c>
      <c r="B169" s="42">
        <f>RawData!C168</f>
        <v>0</v>
      </c>
      <c r="C169" s="2">
        <f>RawData!L168</f>
        <v>0</v>
      </c>
      <c r="D169" s="2" t="e">
        <f t="shared" si="8"/>
        <v>#N/A</v>
      </c>
      <c r="E169" s="2" t="e">
        <f t="shared" si="6"/>
        <v>#N/A</v>
      </c>
      <c r="F169" s="2" t="str">
        <f>Fanduel!C169&amp;" "&amp;Fanduel!E169</f>
        <v>Justin Holiday</v>
      </c>
      <c r="G169" s="2">
        <f>Fanduel!L169</f>
        <v>0</v>
      </c>
      <c r="H169" s="2">
        <f>Fanduel!H169</f>
        <v>3500</v>
      </c>
      <c r="I169" s="2">
        <f t="shared" si="7"/>
        <v>1</v>
      </c>
    </row>
    <row r="170" spans="1:9" x14ac:dyDescent="0.25">
      <c r="A170" s="2">
        <f>RawData!A169</f>
        <v>0</v>
      </c>
      <c r="B170" s="42">
        <f>RawData!C169</f>
        <v>0</v>
      </c>
      <c r="C170" s="2">
        <f>RawData!L169</f>
        <v>0</v>
      </c>
      <c r="D170" s="2" t="e">
        <f t="shared" si="8"/>
        <v>#N/A</v>
      </c>
      <c r="E170" s="2" t="e">
        <f t="shared" si="6"/>
        <v>#N/A</v>
      </c>
      <c r="F170" s="2" t="str">
        <f>Fanduel!C170&amp;" "&amp;Fanduel!E170</f>
        <v>Beno Udrih</v>
      </c>
      <c r="G170" s="2" t="str">
        <f>Fanduel!L170</f>
        <v>GTD</v>
      </c>
      <c r="H170" s="2">
        <f>Fanduel!H170</f>
        <v>3500</v>
      </c>
      <c r="I170" s="2">
        <f t="shared" si="7"/>
        <v>0</v>
      </c>
    </row>
    <row r="171" spans="1:9" x14ac:dyDescent="0.25">
      <c r="A171" s="2">
        <f>RawData!A170</f>
        <v>0</v>
      </c>
      <c r="B171" s="42">
        <f>RawData!C170</f>
        <v>0</v>
      </c>
      <c r="C171" s="2">
        <f>RawData!L170</f>
        <v>0</v>
      </c>
      <c r="D171" s="2" t="e">
        <f t="shared" si="8"/>
        <v>#N/A</v>
      </c>
      <c r="E171" s="2" t="e">
        <f t="shared" si="6"/>
        <v>#N/A</v>
      </c>
      <c r="F171" s="2" t="str">
        <f>Fanduel!C171&amp;" "&amp;Fanduel!E171</f>
        <v>Michael Gbinije</v>
      </c>
      <c r="G171" s="2">
        <f>Fanduel!L171</f>
        <v>0</v>
      </c>
      <c r="H171" s="2">
        <f>Fanduel!H171</f>
        <v>3500</v>
      </c>
      <c r="I171" s="2">
        <f t="shared" si="7"/>
        <v>1</v>
      </c>
    </row>
    <row r="172" spans="1:9" x14ac:dyDescent="0.25">
      <c r="A172" s="2">
        <f>RawData!A171</f>
        <v>0</v>
      </c>
      <c r="B172" s="42">
        <f>RawData!C171</f>
        <v>0</v>
      </c>
      <c r="C172" s="2">
        <f>RawData!L171</f>
        <v>0</v>
      </c>
      <c r="D172" s="2" t="e">
        <f t="shared" si="8"/>
        <v>#N/A</v>
      </c>
      <c r="E172" s="2" t="e">
        <f t="shared" si="6"/>
        <v>#N/A</v>
      </c>
      <c r="F172" s="2" t="str">
        <f>Fanduel!C172&amp;" "&amp;Fanduel!E172</f>
        <v>Jake Layman</v>
      </c>
      <c r="G172" s="2">
        <f>Fanduel!L172</f>
        <v>0</v>
      </c>
      <c r="H172" s="2">
        <f>Fanduel!H172</f>
        <v>3500</v>
      </c>
      <c r="I172" s="2">
        <f t="shared" si="7"/>
        <v>1</v>
      </c>
    </row>
    <row r="173" spans="1:9" x14ac:dyDescent="0.25">
      <c r="A173" s="2">
        <f>RawData!A172</f>
        <v>0</v>
      </c>
      <c r="B173" s="42">
        <f>RawData!C172</f>
        <v>0</v>
      </c>
      <c r="C173" s="2">
        <f>RawData!L172</f>
        <v>0</v>
      </c>
      <c r="D173" s="2" t="e">
        <f t="shared" si="8"/>
        <v>#N/A</v>
      </c>
      <c r="E173" s="2" t="e">
        <f t="shared" si="6"/>
        <v>#N/A</v>
      </c>
      <c r="F173" s="2" t="str">
        <f>Fanduel!C173&amp;" "&amp;Fanduel!E173</f>
        <v>Marshall Plumlee</v>
      </c>
      <c r="G173" s="2">
        <f>Fanduel!L173</f>
        <v>0</v>
      </c>
      <c r="H173" s="2">
        <f>Fanduel!H173</f>
        <v>3500</v>
      </c>
      <c r="I173" s="2">
        <f t="shared" si="7"/>
        <v>1</v>
      </c>
    </row>
    <row r="174" spans="1:9" x14ac:dyDescent="0.25">
      <c r="A174" s="2">
        <f>RawData!A173</f>
        <v>0</v>
      </c>
      <c r="B174" s="42">
        <f>RawData!C173</f>
        <v>0</v>
      </c>
      <c r="C174" s="2">
        <f>RawData!L173</f>
        <v>0</v>
      </c>
      <c r="D174" s="2" t="e">
        <f t="shared" si="8"/>
        <v>#N/A</v>
      </c>
      <c r="E174" s="2" t="e">
        <f t="shared" si="6"/>
        <v>#N/A</v>
      </c>
      <c r="F174" s="2" t="str">
        <f>Fanduel!C174&amp;" "&amp;Fanduel!E174</f>
        <v>Miles Plumlee</v>
      </c>
      <c r="G174" s="2" t="str">
        <f>Fanduel!L174</f>
        <v>O</v>
      </c>
      <c r="H174" s="2">
        <f>Fanduel!H174</f>
        <v>3500</v>
      </c>
      <c r="I174" s="2">
        <f t="shared" si="7"/>
        <v>0</v>
      </c>
    </row>
    <row r="175" spans="1:9" x14ac:dyDescent="0.25">
      <c r="A175" s="2">
        <f>RawData!A174</f>
        <v>0</v>
      </c>
      <c r="B175" s="42">
        <f>RawData!C174</f>
        <v>0</v>
      </c>
      <c r="C175" s="2">
        <f>RawData!L174</f>
        <v>0</v>
      </c>
      <c r="D175" s="2" t="e">
        <f t="shared" si="8"/>
        <v>#N/A</v>
      </c>
      <c r="E175" s="2" t="e">
        <f t="shared" si="6"/>
        <v>#N/A</v>
      </c>
      <c r="F175" s="2" t="str">
        <f>Fanduel!C175&amp;" "&amp;Fanduel!E175</f>
        <v>Richard Jefferson</v>
      </c>
      <c r="G175" s="2">
        <f>Fanduel!L175</f>
        <v>0</v>
      </c>
      <c r="H175" s="2">
        <f>Fanduel!H175</f>
        <v>3500</v>
      </c>
      <c r="I175" s="2">
        <f t="shared" si="7"/>
        <v>1</v>
      </c>
    </row>
    <row r="176" spans="1:9" x14ac:dyDescent="0.25">
      <c r="A176" s="2">
        <f>RawData!A175</f>
        <v>0</v>
      </c>
      <c r="B176" s="42">
        <f>RawData!C175</f>
        <v>0</v>
      </c>
      <c r="C176" s="2">
        <f>RawData!L175</f>
        <v>0</v>
      </c>
      <c r="D176" s="2" t="e">
        <f t="shared" si="8"/>
        <v>#N/A</v>
      </c>
      <c r="E176" s="2" t="e">
        <f t="shared" si="6"/>
        <v>#N/A</v>
      </c>
      <c r="F176" s="2" t="str">
        <f>Fanduel!C176&amp;" "&amp;Fanduel!E176</f>
        <v>Stanley Johnson</v>
      </c>
      <c r="G176" s="2">
        <f>Fanduel!L176</f>
        <v>0</v>
      </c>
      <c r="H176" s="2">
        <f>Fanduel!H176</f>
        <v>3500</v>
      </c>
      <c r="I176" s="2">
        <f t="shared" si="7"/>
        <v>1</v>
      </c>
    </row>
    <row r="177" spans="1:9" x14ac:dyDescent="0.25">
      <c r="A177" s="2">
        <f>RawData!A176</f>
        <v>0</v>
      </c>
      <c r="B177" s="42">
        <f>RawData!C176</f>
        <v>0</v>
      </c>
      <c r="C177" s="2">
        <f>RawData!L176</f>
        <v>0</v>
      </c>
      <c r="D177" s="2" t="e">
        <f t="shared" si="8"/>
        <v>#N/A</v>
      </c>
      <c r="E177" s="2" t="e">
        <f t="shared" si="6"/>
        <v>#N/A</v>
      </c>
      <c r="F177" s="2" t="str">
        <f>Fanduel!C177&amp;" "&amp;Fanduel!E177</f>
        <v>Sam Dekker</v>
      </c>
      <c r="G177" s="2">
        <f>Fanduel!L177</f>
        <v>0</v>
      </c>
      <c r="H177" s="2">
        <f>Fanduel!H177</f>
        <v>3500</v>
      </c>
      <c r="I177" s="2">
        <f t="shared" si="7"/>
        <v>1</v>
      </c>
    </row>
    <row r="178" spans="1:9" x14ac:dyDescent="0.25">
      <c r="A178" s="2">
        <f>RawData!A177</f>
        <v>0</v>
      </c>
      <c r="B178" s="42">
        <f>RawData!C177</f>
        <v>0</v>
      </c>
      <c r="C178" s="2">
        <f>RawData!L177</f>
        <v>0</v>
      </c>
      <c r="D178" s="2" t="e">
        <f t="shared" si="8"/>
        <v>#N/A</v>
      </c>
      <c r="E178" s="2" t="e">
        <f t="shared" si="6"/>
        <v>#N/A</v>
      </c>
      <c r="F178" s="2" t="str">
        <f>Fanduel!C178&amp;" "&amp;Fanduel!E178</f>
        <v>Paul Pierce</v>
      </c>
      <c r="G178" s="2">
        <f>Fanduel!L178</f>
        <v>0</v>
      </c>
      <c r="H178" s="2">
        <f>Fanduel!H178</f>
        <v>3500</v>
      </c>
      <c r="I178" s="2">
        <f t="shared" si="7"/>
        <v>1</v>
      </c>
    </row>
    <row r="179" spans="1:9" x14ac:dyDescent="0.25">
      <c r="A179" s="2">
        <f>RawData!A178</f>
        <v>0</v>
      </c>
      <c r="B179" s="42">
        <f>RawData!C178</f>
        <v>0</v>
      </c>
      <c r="C179" s="2">
        <f>RawData!L178</f>
        <v>0</v>
      </c>
      <c r="D179" s="2" t="e">
        <f t="shared" si="8"/>
        <v>#N/A</v>
      </c>
      <c r="E179" s="2" t="e">
        <f t="shared" si="6"/>
        <v>#N/A</v>
      </c>
      <c r="F179" s="2" t="str">
        <f>Fanduel!C179&amp;" "&amp;Fanduel!E179</f>
        <v>D.J. Augustin</v>
      </c>
      <c r="G179" s="2">
        <f>Fanduel!L179</f>
        <v>0</v>
      </c>
      <c r="H179" s="2">
        <f>Fanduel!H179</f>
        <v>3500</v>
      </c>
      <c r="I179" s="2">
        <f t="shared" si="7"/>
        <v>1</v>
      </c>
    </row>
    <row r="180" spans="1:9" x14ac:dyDescent="0.25">
      <c r="A180" s="2">
        <f>RawData!A179</f>
        <v>0</v>
      </c>
      <c r="B180" s="42">
        <f>RawData!C179</f>
        <v>0</v>
      </c>
      <c r="C180" s="2">
        <f>RawData!L179</f>
        <v>0</v>
      </c>
      <c r="D180" s="2" t="e">
        <f t="shared" si="8"/>
        <v>#N/A</v>
      </c>
      <c r="E180" s="2" t="e">
        <f t="shared" si="6"/>
        <v>#N/A</v>
      </c>
      <c r="F180" s="2" t="str">
        <f>Fanduel!C180&amp;" "&amp;Fanduel!E180</f>
        <v xml:space="preserve"> </v>
      </c>
      <c r="G180" s="2">
        <f>Fanduel!L180</f>
        <v>0</v>
      </c>
      <c r="H180" s="2">
        <f>Fanduel!H180</f>
        <v>0</v>
      </c>
      <c r="I180" s="2">
        <f t="shared" si="7"/>
        <v>1</v>
      </c>
    </row>
    <row r="181" spans="1:9" x14ac:dyDescent="0.25">
      <c r="A181" s="2">
        <f>RawData!A180</f>
        <v>0</v>
      </c>
      <c r="B181" s="42">
        <f>RawData!C180</f>
        <v>0</v>
      </c>
      <c r="C181" s="2">
        <f>RawData!L180</f>
        <v>0</v>
      </c>
      <c r="D181" s="2" t="e">
        <f t="shared" si="8"/>
        <v>#N/A</v>
      </c>
      <c r="E181" s="2" t="e">
        <f t="shared" si="6"/>
        <v>#N/A</v>
      </c>
      <c r="F181" s="2" t="str">
        <f>Fanduel!C181&amp;" "&amp;Fanduel!E181</f>
        <v xml:space="preserve"> </v>
      </c>
      <c r="G181" s="2">
        <f>Fanduel!L181</f>
        <v>0</v>
      </c>
      <c r="H181" s="2">
        <f>Fanduel!H181</f>
        <v>0</v>
      </c>
      <c r="I181" s="2">
        <f t="shared" si="7"/>
        <v>1</v>
      </c>
    </row>
    <row r="182" spans="1:9" x14ac:dyDescent="0.25">
      <c r="A182" s="2">
        <f>RawData!A181</f>
        <v>0</v>
      </c>
      <c r="B182" s="42">
        <f>RawData!C181</f>
        <v>0</v>
      </c>
      <c r="C182" s="2">
        <f>RawData!L181</f>
        <v>0</v>
      </c>
      <c r="D182" s="2" t="e">
        <f t="shared" si="8"/>
        <v>#N/A</v>
      </c>
      <c r="E182" s="2" t="e">
        <f t="shared" si="6"/>
        <v>#N/A</v>
      </c>
      <c r="F182" s="2" t="str">
        <f>Fanduel!C182&amp;" "&amp;Fanduel!E182</f>
        <v xml:space="preserve"> </v>
      </c>
      <c r="G182" s="2">
        <f>Fanduel!L182</f>
        <v>0</v>
      </c>
      <c r="H182" s="2">
        <f>Fanduel!H182</f>
        <v>0</v>
      </c>
      <c r="I182" s="2">
        <f t="shared" si="7"/>
        <v>1</v>
      </c>
    </row>
    <row r="183" spans="1:9" x14ac:dyDescent="0.25">
      <c r="A183" s="2">
        <f>RawData!A182</f>
        <v>0</v>
      </c>
      <c r="B183" s="42">
        <f>RawData!C182</f>
        <v>0</v>
      </c>
      <c r="C183" s="2">
        <f>RawData!L182</f>
        <v>0</v>
      </c>
      <c r="D183" s="2" t="e">
        <f t="shared" si="8"/>
        <v>#N/A</v>
      </c>
      <c r="E183" s="2" t="e">
        <f t="shared" si="6"/>
        <v>#N/A</v>
      </c>
      <c r="F183" s="2" t="str">
        <f>Fanduel!C183&amp;" "&amp;Fanduel!E183</f>
        <v xml:space="preserve"> </v>
      </c>
      <c r="G183" s="2">
        <f>Fanduel!L183</f>
        <v>0</v>
      </c>
      <c r="H183" s="2">
        <f>Fanduel!H183</f>
        <v>0</v>
      </c>
      <c r="I183" s="2">
        <f t="shared" si="7"/>
        <v>1</v>
      </c>
    </row>
    <row r="184" spans="1:9" x14ac:dyDescent="0.25">
      <c r="A184" s="2">
        <f>RawData!A183</f>
        <v>0</v>
      </c>
      <c r="B184" s="42">
        <f>RawData!C183</f>
        <v>0</v>
      </c>
      <c r="C184" s="2">
        <f>RawData!L183</f>
        <v>0</v>
      </c>
      <c r="D184" s="2" t="e">
        <f t="shared" si="8"/>
        <v>#N/A</v>
      </c>
      <c r="E184" s="2" t="e">
        <f t="shared" si="6"/>
        <v>#N/A</v>
      </c>
      <c r="F184" s="2" t="str">
        <f>Fanduel!C184&amp;" "&amp;Fanduel!E184</f>
        <v xml:space="preserve"> </v>
      </c>
      <c r="G184" s="2">
        <f>Fanduel!L184</f>
        <v>0</v>
      </c>
      <c r="H184" s="2">
        <f>Fanduel!H184</f>
        <v>0</v>
      </c>
      <c r="I184" s="2">
        <f t="shared" si="7"/>
        <v>1</v>
      </c>
    </row>
    <row r="185" spans="1:9" x14ac:dyDescent="0.25">
      <c r="A185" s="2">
        <f>RawData!A184</f>
        <v>0</v>
      </c>
      <c r="B185" s="42">
        <f>RawData!C184</f>
        <v>0</v>
      </c>
      <c r="C185" s="2">
        <f>RawData!L184</f>
        <v>0</v>
      </c>
      <c r="D185" s="2" t="e">
        <f t="shared" si="8"/>
        <v>#N/A</v>
      </c>
      <c r="E185" s="2" t="e">
        <f t="shared" si="6"/>
        <v>#N/A</v>
      </c>
      <c r="F185" s="2" t="str">
        <f>Fanduel!C185&amp;" "&amp;Fanduel!E185</f>
        <v xml:space="preserve"> </v>
      </c>
      <c r="G185" s="2">
        <f>Fanduel!L185</f>
        <v>0</v>
      </c>
      <c r="H185" s="2">
        <f>Fanduel!H185</f>
        <v>0</v>
      </c>
      <c r="I185" s="2">
        <f t="shared" si="7"/>
        <v>1</v>
      </c>
    </row>
    <row r="186" spans="1:9" x14ac:dyDescent="0.25">
      <c r="A186" s="2">
        <f>RawData!A185</f>
        <v>0</v>
      </c>
      <c r="B186" s="42">
        <f>RawData!C185</f>
        <v>0</v>
      </c>
      <c r="C186" s="2">
        <f>RawData!L185</f>
        <v>0</v>
      </c>
      <c r="D186" s="2" t="e">
        <f t="shared" si="8"/>
        <v>#N/A</v>
      </c>
      <c r="E186" s="2" t="e">
        <f t="shared" si="6"/>
        <v>#N/A</v>
      </c>
      <c r="F186" s="2" t="str">
        <f>Fanduel!C186&amp;" "&amp;Fanduel!E186</f>
        <v xml:space="preserve"> </v>
      </c>
      <c r="G186" s="2">
        <f>Fanduel!L186</f>
        <v>0</v>
      </c>
      <c r="H186" s="2">
        <f>Fanduel!H186</f>
        <v>0</v>
      </c>
      <c r="I186" s="2">
        <f t="shared" si="7"/>
        <v>1</v>
      </c>
    </row>
    <row r="187" spans="1:9" x14ac:dyDescent="0.25">
      <c r="A187" s="2">
        <f>RawData!A186</f>
        <v>0</v>
      </c>
      <c r="B187" s="42">
        <f>RawData!C186</f>
        <v>0</v>
      </c>
      <c r="C187" s="2">
        <f>RawData!L186</f>
        <v>0</v>
      </c>
      <c r="D187" s="2" t="e">
        <f t="shared" si="8"/>
        <v>#N/A</v>
      </c>
      <c r="E187" s="2" t="e">
        <f t="shared" si="6"/>
        <v>#N/A</v>
      </c>
      <c r="F187" s="2" t="str">
        <f>Fanduel!C187&amp;" "&amp;Fanduel!E187</f>
        <v xml:space="preserve"> </v>
      </c>
      <c r="G187" s="2">
        <f>Fanduel!L187</f>
        <v>0</v>
      </c>
      <c r="H187" s="2">
        <f>Fanduel!H187</f>
        <v>0</v>
      </c>
      <c r="I187" s="2">
        <f t="shared" si="7"/>
        <v>1</v>
      </c>
    </row>
    <row r="188" spans="1:9" x14ac:dyDescent="0.25">
      <c r="A188" s="2">
        <f>RawData!A187</f>
        <v>0</v>
      </c>
      <c r="B188" s="42">
        <f>RawData!C187</f>
        <v>0</v>
      </c>
      <c r="C188" s="2">
        <f>RawData!L187</f>
        <v>0</v>
      </c>
      <c r="D188" s="2" t="e">
        <f t="shared" si="8"/>
        <v>#N/A</v>
      </c>
      <c r="E188" s="2" t="e">
        <f t="shared" si="6"/>
        <v>#N/A</v>
      </c>
      <c r="F188" s="2" t="str">
        <f>Fanduel!C188&amp;" "&amp;Fanduel!E188</f>
        <v xml:space="preserve"> </v>
      </c>
      <c r="G188" s="2">
        <f>Fanduel!L188</f>
        <v>0</v>
      </c>
      <c r="H188" s="2">
        <f>Fanduel!H188</f>
        <v>0</v>
      </c>
      <c r="I188" s="2">
        <f t="shared" si="7"/>
        <v>1</v>
      </c>
    </row>
    <row r="189" spans="1:9" x14ac:dyDescent="0.25">
      <c r="A189" s="2">
        <f>RawData!A188</f>
        <v>0</v>
      </c>
      <c r="B189" s="42">
        <f>RawData!C188</f>
        <v>0</v>
      </c>
      <c r="C189" s="2">
        <f>RawData!L188</f>
        <v>0</v>
      </c>
      <c r="D189" s="2" t="e">
        <f t="shared" si="8"/>
        <v>#N/A</v>
      </c>
      <c r="E189" s="2" t="e">
        <f t="shared" si="6"/>
        <v>#N/A</v>
      </c>
      <c r="F189" s="2" t="str">
        <f>Fanduel!C189&amp;" "&amp;Fanduel!E189</f>
        <v xml:space="preserve"> </v>
      </c>
      <c r="G189" s="2">
        <f>Fanduel!L189</f>
        <v>0</v>
      </c>
      <c r="H189" s="2">
        <f>Fanduel!H189</f>
        <v>0</v>
      </c>
      <c r="I189" s="2">
        <f t="shared" si="7"/>
        <v>1</v>
      </c>
    </row>
    <row r="190" spans="1:9" x14ac:dyDescent="0.25">
      <c r="A190" s="2">
        <f>RawData!A189</f>
        <v>0</v>
      </c>
      <c r="B190" s="42">
        <f>RawData!C189</f>
        <v>0</v>
      </c>
      <c r="C190" s="2">
        <f>RawData!L189</f>
        <v>0</v>
      </c>
      <c r="D190" s="2" t="e">
        <f t="shared" si="8"/>
        <v>#N/A</v>
      </c>
      <c r="E190" s="2" t="e">
        <f t="shared" si="6"/>
        <v>#N/A</v>
      </c>
      <c r="F190" s="2" t="str">
        <f>Fanduel!C190&amp;" "&amp;Fanduel!E190</f>
        <v xml:space="preserve"> </v>
      </c>
      <c r="G190" s="2">
        <f>Fanduel!L190</f>
        <v>0</v>
      </c>
      <c r="H190" s="2">
        <f>Fanduel!H190</f>
        <v>0</v>
      </c>
      <c r="I190" s="2">
        <f t="shared" si="7"/>
        <v>1</v>
      </c>
    </row>
    <row r="191" spans="1:9" x14ac:dyDescent="0.25">
      <c r="A191" s="2">
        <f>RawData!A190</f>
        <v>0</v>
      </c>
      <c r="B191" s="42">
        <f>RawData!C190</f>
        <v>0</v>
      </c>
      <c r="C191" s="2">
        <f>RawData!L190</f>
        <v>0</v>
      </c>
      <c r="D191" s="2" t="e">
        <f t="shared" si="8"/>
        <v>#N/A</v>
      </c>
      <c r="E191" s="2" t="e">
        <f t="shared" si="6"/>
        <v>#N/A</v>
      </c>
      <c r="F191" s="2" t="str">
        <f>Fanduel!C191&amp;" "&amp;Fanduel!E191</f>
        <v xml:space="preserve"> </v>
      </c>
      <c r="G191" s="2">
        <f>Fanduel!L191</f>
        <v>0</v>
      </c>
      <c r="H191" s="2">
        <f>Fanduel!H191</f>
        <v>0</v>
      </c>
      <c r="I191" s="2">
        <f t="shared" si="7"/>
        <v>1</v>
      </c>
    </row>
    <row r="192" spans="1:9" x14ac:dyDescent="0.25">
      <c r="A192" s="2">
        <f>RawData!A191</f>
        <v>0</v>
      </c>
      <c r="B192" s="42">
        <f>RawData!C191</f>
        <v>0</v>
      </c>
      <c r="C192" s="2">
        <f>RawData!L191</f>
        <v>0</v>
      </c>
      <c r="D192" s="2" t="e">
        <f t="shared" si="8"/>
        <v>#N/A</v>
      </c>
      <c r="E192" s="2" t="e">
        <f t="shared" si="6"/>
        <v>#N/A</v>
      </c>
      <c r="F192" s="2" t="str">
        <f>Fanduel!C192&amp;" "&amp;Fanduel!E192</f>
        <v xml:space="preserve"> </v>
      </c>
      <c r="G192" s="2">
        <f>Fanduel!L192</f>
        <v>0</v>
      </c>
      <c r="H192" s="2">
        <f>Fanduel!H192</f>
        <v>0</v>
      </c>
      <c r="I192" s="2">
        <f t="shared" si="7"/>
        <v>1</v>
      </c>
    </row>
    <row r="193" spans="1:9" x14ac:dyDescent="0.25">
      <c r="A193" s="2">
        <f>RawData!A192</f>
        <v>0</v>
      </c>
      <c r="B193" s="42">
        <f>RawData!C192</f>
        <v>0</v>
      </c>
      <c r="C193" s="2">
        <f>RawData!L192</f>
        <v>0</v>
      </c>
      <c r="D193" s="2" t="e">
        <f t="shared" si="8"/>
        <v>#N/A</v>
      </c>
      <c r="E193" s="2" t="e">
        <f t="shared" si="6"/>
        <v>#N/A</v>
      </c>
      <c r="F193" s="2" t="str">
        <f>Fanduel!C193&amp;" "&amp;Fanduel!E193</f>
        <v xml:space="preserve"> </v>
      </c>
      <c r="G193" s="2">
        <f>Fanduel!L193</f>
        <v>0</v>
      </c>
      <c r="H193" s="2">
        <f>Fanduel!H193</f>
        <v>0</v>
      </c>
      <c r="I193" s="2">
        <f t="shared" si="7"/>
        <v>1</v>
      </c>
    </row>
    <row r="194" spans="1:9" x14ac:dyDescent="0.25">
      <c r="A194" s="2">
        <f>RawData!A193</f>
        <v>0</v>
      </c>
      <c r="B194" s="42">
        <f>RawData!C193</f>
        <v>0</v>
      </c>
      <c r="C194" s="2">
        <f>RawData!L193</f>
        <v>0</v>
      </c>
      <c r="D194" s="2" t="e">
        <f t="shared" si="8"/>
        <v>#N/A</v>
      </c>
      <c r="E194" s="2" t="e">
        <f t="shared" si="6"/>
        <v>#N/A</v>
      </c>
      <c r="F194" s="2" t="str">
        <f>Fanduel!C194&amp;" "&amp;Fanduel!E194</f>
        <v xml:space="preserve"> </v>
      </c>
      <c r="G194" s="2">
        <f>Fanduel!L194</f>
        <v>0</v>
      </c>
      <c r="H194" s="2">
        <f>Fanduel!H194</f>
        <v>0</v>
      </c>
      <c r="I194" s="2">
        <f t="shared" si="7"/>
        <v>1</v>
      </c>
    </row>
    <row r="195" spans="1:9" x14ac:dyDescent="0.25">
      <c r="A195" s="2">
        <f>RawData!A194</f>
        <v>0</v>
      </c>
      <c r="B195" s="42">
        <f>RawData!C194</f>
        <v>0</v>
      </c>
      <c r="C195" s="2">
        <f>RawData!L194</f>
        <v>0</v>
      </c>
      <c r="D195" s="2" t="e">
        <f t="shared" si="8"/>
        <v>#N/A</v>
      </c>
      <c r="E195" s="2" t="e">
        <f t="shared" ref="E195:E258" si="9">VLOOKUP(A195,$F$2:$I$337,4,FALSE)</f>
        <v>#N/A</v>
      </c>
      <c r="F195" s="2" t="str">
        <f>Fanduel!C195&amp;" "&amp;Fanduel!E195</f>
        <v xml:space="preserve"> </v>
      </c>
      <c r="G195" s="2">
        <f>Fanduel!L195</f>
        <v>0</v>
      </c>
      <c r="H195" s="2">
        <f>Fanduel!H195</f>
        <v>0</v>
      </c>
      <c r="I195" s="2">
        <f t="shared" ref="I195:I258" si="10">IF(G195=0,1,0)</f>
        <v>1</v>
      </c>
    </row>
    <row r="196" spans="1:9" x14ac:dyDescent="0.25">
      <c r="A196" s="2">
        <f>RawData!A195</f>
        <v>0</v>
      </c>
      <c r="B196" s="42">
        <f>RawData!C195</f>
        <v>0</v>
      </c>
      <c r="C196" s="2">
        <f>RawData!L195</f>
        <v>0</v>
      </c>
      <c r="D196" s="2" t="e">
        <f t="shared" ref="D196:D259" si="11">VLOOKUP(A196,$F$2:$I$337,3,FALSE)</f>
        <v>#N/A</v>
      </c>
      <c r="E196" s="2" t="e">
        <f t="shared" si="9"/>
        <v>#N/A</v>
      </c>
      <c r="F196" s="2" t="str">
        <f>Fanduel!C196&amp;" "&amp;Fanduel!E196</f>
        <v xml:space="preserve"> </v>
      </c>
      <c r="G196" s="2">
        <f>Fanduel!L196</f>
        <v>0</v>
      </c>
      <c r="H196" s="2">
        <f>Fanduel!H196</f>
        <v>0</v>
      </c>
      <c r="I196" s="2">
        <f t="shared" si="10"/>
        <v>1</v>
      </c>
    </row>
    <row r="197" spans="1:9" x14ac:dyDescent="0.25">
      <c r="A197" s="2">
        <f>RawData!A196</f>
        <v>0</v>
      </c>
      <c r="B197" s="42">
        <f>RawData!C196</f>
        <v>0</v>
      </c>
      <c r="C197" s="2">
        <f>RawData!L196</f>
        <v>0</v>
      </c>
      <c r="D197" s="2" t="e">
        <f t="shared" si="11"/>
        <v>#N/A</v>
      </c>
      <c r="E197" s="2" t="e">
        <f t="shared" si="9"/>
        <v>#N/A</v>
      </c>
      <c r="F197" s="2" t="str">
        <f>Fanduel!C197&amp;" "&amp;Fanduel!E197</f>
        <v xml:space="preserve"> </v>
      </c>
      <c r="G197" s="2">
        <f>Fanduel!L197</f>
        <v>0</v>
      </c>
      <c r="H197" s="2">
        <f>Fanduel!H197</f>
        <v>0</v>
      </c>
      <c r="I197" s="2">
        <f t="shared" si="10"/>
        <v>1</v>
      </c>
    </row>
    <row r="198" spans="1:9" x14ac:dyDescent="0.25">
      <c r="A198" s="2">
        <f>RawData!A197</f>
        <v>0</v>
      </c>
      <c r="B198" s="42">
        <f>RawData!C197</f>
        <v>0</v>
      </c>
      <c r="C198" s="2">
        <f>RawData!L197</f>
        <v>0</v>
      </c>
      <c r="D198" s="2" t="e">
        <f t="shared" si="11"/>
        <v>#N/A</v>
      </c>
      <c r="E198" s="2" t="e">
        <f t="shared" si="9"/>
        <v>#N/A</v>
      </c>
      <c r="F198" s="2" t="str">
        <f>Fanduel!C198&amp;" "&amp;Fanduel!E198</f>
        <v xml:space="preserve"> </v>
      </c>
      <c r="G198" s="2">
        <f>Fanduel!L198</f>
        <v>0</v>
      </c>
      <c r="H198" s="2">
        <f>Fanduel!H198</f>
        <v>0</v>
      </c>
      <c r="I198" s="2">
        <f t="shared" si="10"/>
        <v>1</v>
      </c>
    </row>
    <row r="199" spans="1:9" x14ac:dyDescent="0.25">
      <c r="A199" s="2">
        <f>RawData!A198</f>
        <v>0</v>
      </c>
      <c r="B199" s="42">
        <f>RawData!C198</f>
        <v>0</v>
      </c>
      <c r="C199" s="2">
        <f>RawData!L198</f>
        <v>0</v>
      </c>
      <c r="D199" s="2" t="e">
        <f t="shared" si="11"/>
        <v>#N/A</v>
      </c>
      <c r="E199" s="2" t="e">
        <f t="shared" si="9"/>
        <v>#N/A</v>
      </c>
      <c r="F199" s="2" t="str">
        <f>Fanduel!C199&amp;" "&amp;Fanduel!E199</f>
        <v xml:space="preserve"> </v>
      </c>
      <c r="G199" s="2">
        <f>Fanduel!L199</f>
        <v>0</v>
      </c>
      <c r="H199" s="2">
        <f>Fanduel!H199</f>
        <v>0</v>
      </c>
      <c r="I199" s="2">
        <f t="shared" si="10"/>
        <v>1</v>
      </c>
    </row>
    <row r="200" spans="1:9" x14ac:dyDescent="0.25">
      <c r="A200" s="2">
        <f>RawData!A199</f>
        <v>0</v>
      </c>
      <c r="B200" s="42">
        <f>RawData!C199</f>
        <v>0</v>
      </c>
      <c r="C200" s="2">
        <f>RawData!L199</f>
        <v>0</v>
      </c>
      <c r="D200" s="2" t="e">
        <f t="shared" si="11"/>
        <v>#N/A</v>
      </c>
      <c r="E200" s="2" t="e">
        <f t="shared" si="9"/>
        <v>#N/A</v>
      </c>
      <c r="F200" s="2" t="str">
        <f>Fanduel!C200&amp;" "&amp;Fanduel!E200</f>
        <v xml:space="preserve"> </v>
      </c>
      <c r="G200" s="2">
        <f>Fanduel!L200</f>
        <v>0</v>
      </c>
      <c r="H200" s="2">
        <f>Fanduel!H200</f>
        <v>0</v>
      </c>
      <c r="I200" s="2">
        <f t="shared" si="10"/>
        <v>1</v>
      </c>
    </row>
    <row r="201" spans="1:9" x14ac:dyDescent="0.25">
      <c r="A201" s="2">
        <f>RawData!A200</f>
        <v>0</v>
      </c>
      <c r="B201" s="42">
        <f>RawData!C200</f>
        <v>0</v>
      </c>
      <c r="C201" s="2">
        <f>RawData!L200</f>
        <v>0</v>
      </c>
      <c r="D201" s="2" t="e">
        <f t="shared" si="11"/>
        <v>#N/A</v>
      </c>
      <c r="E201" s="2" t="e">
        <f t="shared" si="9"/>
        <v>#N/A</v>
      </c>
      <c r="F201" s="2" t="str">
        <f>Fanduel!C201&amp;" "&amp;Fanduel!E201</f>
        <v xml:space="preserve"> </v>
      </c>
      <c r="G201" s="2">
        <f>Fanduel!L201</f>
        <v>0</v>
      </c>
      <c r="H201" s="2">
        <f>Fanduel!H201</f>
        <v>0</v>
      </c>
      <c r="I201" s="2">
        <f t="shared" si="10"/>
        <v>1</v>
      </c>
    </row>
    <row r="202" spans="1:9" x14ac:dyDescent="0.25">
      <c r="A202" s="2">
        <f>RawData!A201</f>
        <v>0</v>
      </c>
      <c r="B202" s="42">
        <f>RawData!C201</f>
        <v>0</v>
      </c>
      <c r="C202" s="2">
        <f>RawData!L201</f>
        <v>0</v>
      </c>
      <c r="D202" s="2" t="e">
        <f t="shared" si="11"/>
        <v>#N/A</v>
      </c>
      <c r="E202" s="2" t="e">
        <f t="shared" si="9"/>
        <v>#N/A</v>
      </c>
      <c r="F202" s="2" t="str">
        <f>Fanduel!C202&amp;" "&amp;Fanduel!E202</f>
        <v xml:space="preserve"> </v>
      </c>
      <c r="G202" s="2">
        <f>Fanduel!L202</f>
        <v>0</v>
      </c>
      <c r="H202" s="2">
        <f>Fanduel!H202</f>
        <v>0</v>
      </c>
      <c r="I202" s="2">
        <f t="shared" si="10"/>
        <v>1</v>
      </c>
    </row>
    <row r="203" spans="1:9" x14ac:dyDescent="0.25">
      <c r="A203" s="2">
        <f>RawData!A202</f>
        <v>0</v>
      </c>
      <c r="B203" s="42">
        <f>RawData!C202</f>
        <v>0</v>
      </c>
      <c r="C203" s="2">
        <f>RawData!L202</f>
        <v>0</v>
      </c>
      <c r="D203" s="2" t="e">
        <f t="shared" si="11"/>
        <v>#N/A</v>
      </c>
      <c r="E203" s="2" t="e">
        <f t="shared" si="9"/>
        <v>#N/A</v>
      </c>
      <c r="F203" s="2" t="str">
        <f>Fanduel!C203&amp;" "&amp;Fanduel!E203</f>
        <v xml:space="preserve"> </v>
      </c>
      <c r="G203" s="2">
        <f>Fanduel!L203</f>
        <v>0</v>
      </c>
      <c r="H203" s="2">
        <f>Fanduel!H203</f>
        <v>0</v>
      </c>
      <c r="I203" s="2">
        <f t="shared" si="10"/>
        <v>1</v>
      </c>
    </row>
    <row r="204" spans="1:9" x14ac:dyDescent="0.25">
      <c r="A204" s="2">
        <f>RawData!A203</f>
        <v>0</v>
      </c>
      <c r="B204" s="42">
        <f>RawData!C203</f>
        <v>0</v>
      </c>
      <c r="C204" s="2">
        <f>RawData!L203</f>
        <v>0</v>
      </c>
      <c r="D204" s="2" t="e">
        <f t="shared" si="11"/>
        <v>#N/A</v>
      </c>
      <c r="E204" s="2" t="e">
        <f t="shared" si="9"/>
        <v>#N/A</v>
      </c>
      <c r="F204" s="2" t="str">
        <f>Fanduel!C204&amp;" "&amp;Fanduel!E204</f>
        <v xml:space="preserve"> </v>
      </c>
      <c r="G204" s="2">
        <f>Fanduel!L204</f>
        <v>0</v>
      </c>
      <c r="H204" s="2">
        <f>Fanduel!H204</f>
        <v>0</v>
      </c>
      <c r="I204" s="2">
        <f t="shared" si="10"/>
        <v>1</v>
      </c>
    </row>
    <row r="205" spans="1:9" x14ac:dyDescent="0.25">
      <c r="A205" s="2">
        <f>RawData!A204</f>
        <v>0</v>
      </c>
      <c r="B205" s="42">
        <f>RawData!C204</f>
        <v>0</v>
      </c>
      <c r="C205" s="2">
        <f>RawData!L204</f>
        <v>0</v>
      </c>
      <c r="D205" s="2" t="e">
        <f t="shared" si="11"/>
        <v>#N/A</v>
      </c>
      <c r="E205" s="2" t="e">
        <f t="shared" si="9"/>
        <v>#N/A</v>
      </c>
      <c r="F205" s="2" t="str">
        <f>Fanduel!C205&amp;" "&amp;Fanduel!E205</f>
        <v xml:space="preserve"> </v>
      </c>
      <c r="G205" s="2">
        <f>Fanduel!L205</f>
        <v>0</v>
      </c>
      <c r="H205" s="2">
        <f>Fanduel!H205</f>
        <v>0</v>
      </c>
      <c r="I205" s="2">
        <f t="shared" si="10"/>
        <v>1</v>
      </c>
    </row>
    <row r="206" spans="1:9" x14ac:dyDescent="0.25">
      <c r="A206" s="2">
        <f>RawData!A205</f>
        <v>0</v>
      </c>
      <c r="B206" s="42">
        <f>RawData!C205</f>
        <v>0</v>
      </c>
      <c r="C206" s="2">
        <f>RawData!L205</f>
        <v>0</v>
      </c>
      <c r="D206" s="2" t="e">
        <f t="shared" si="11"/>
        <v>#N/A</v>
      </c>
      <c r="E206" s="2" t="e">
        <f t="shared" si="9"/>
        <v>#N/A</v>
      </c>
      <c r="F206" s="2" t="str">
        <f>Fanduel!C206&amp;" "&amp;Fanduel!E206</f>
        <v xml:space="preserve"> </v>
      </c>
      <c r="G206" s="2">
        <f>Fanduel!L206</f>
        <v>0</v>
      </c>
      <c r="H206" s="2">
        <f>Fanduel!H206</f>
        <v>0</v>
      </c>
      <c r="I206" s="2">
        <f t="shared" si="10"/>
        <v>1</v>
      </c>
    </row>
    <row r="207" spans="1:9" x14ac:dyDescent="0.25">
      <c r="A207" s="2">
        <f>RawData!A206</f>
        <v>0</v>
      </c>
      <c r="B207" s="42">
        <f>RawData!C206</f>
        <v>0</v>
      </c>
      <c r="C207" s="2">
        <f>RawData!L206</f>
        <v>0</v>
      </c>
      <c r="D207" s="2" t="e">
        <f t="shared" si="11"/>
        <v>#N/A</v>
      </c>
      <c r="E207" s="2" t="e">
        <f t="shared" si="9"/>
        <v>#N/A</v>
      </c>
      <c r="F207" s="2" t="str">
        <f>Fanduel!C207&amp;" "&amp;Fanduel!E207</f>
        <v xml:space="preserve"> </v>
      </c>
      <c r="G207" s="2">
        <f>Fanduel!L207</f>
        <v>0</v>
      </c>
      <c r="H207" s="2">
        <f>Fanduel!H207</f>
        <v>0</v>
      </c>
      <c r="I207" s="2">
        <f t="shared" si="10"/>
        <v>1</v>
      </c>
    </row>
    <row r="208" spans="1:9" x14ac:dyDescent="0.25">
      <c r="A208" s="2">
        <f>RawData!A207</f>
        <v>0</v>
      </c>
      <c r="B208" s="42">
        <f>RawData!C207</f>
        <v>0</v>
      </c>
      <c r="C208" s="2">
        <f>RawData!L207</f>
        <v>0</v>
      </c>
      <c r="D208" s="2" t="e">
        <f t="shared" si="11"/>
        <v>#N/A</v>
      </c>
      <c r="E208" s="2" t="e">
        <f t="shared" si="9"/>
        <v>#N/A</v>
      </c>
      <c r="F208" s="2" t="str">
        <f>Fanduel!C208&amp;" "&amp;Fanduel!E208</f>
        <v xml:space="preserve"> </v>
      </c>
      <c r="G208" s="2">
        <f>Fanduel!L208</f>
        <v>0</v>
      </c>
      <c r="H208" s="2">
        <f>Fanduel!H208</f>
        <v>0</v>
      </c>
      <c r="I208" s="2">
        <f t="shared" si="10"/>
        <v>1</v>
      </c>
    </row>
    <row r="209" spans="1:9" x14ac:dyDescent="0.25">
      <c r="A209" s="2">
        <f>RawData!A208</f>
        <v>0</v>
      </c>
      <c r="B209" s="42">
        <f>RawData!C208</f>
        <v>0</v>
      </c>
      <c r="C209" s="2">
        <f>RawData!L208</f>
        <v>0</v>
      </c>
      <c r="D209" s="2" t="e">
        <f t="shared" si="11"/>
        <v>#N/A</v>
      </c>
      <c r="E209" s="2" t="e">
        <f t="shared" si="9"/>
        <v>#N/A</v>
      </c>
      <c r="F209" s="2" t="str">
        <f>Fanduel!C209&amp;" "&amp;Fanduel!E209</f>
        <v xml:space="preserve"> </v>
      </c>
      <c r="G209" s="2">
        <f>Fanduel!L209</f>
        <v>0</v>
      </c>
      <c r="H209" s="2">
        <f>Fanduel!H209</f>
        <v>0</v>
      </c>
      <c r="I209" s="2">
        <f t="shared" si="10"/>
        <v>1</v>
      </c>
    </row>
    <row r="210" spans="1:9" x14ac:dyDescent="0.25">
      <c r="A210" s="2">
        <f>RawData!A209</f>
        <v>0</v>
      </c>
      <c r="B210" s="42">
        <f>RawData!C209</f>
        <v>0</v>
      </c>
      <c r="C210" s="2">
        <f>RawData!L209</f>
        <v>0</v>
      </c>
      <c r="D210" s="2" t="e">
        <f t="shared" si="11"/>
        <v>#N/A</v>
      </c>
      <c r="E210" s="2" t="e">
        <f t="shared" si="9"/>
        <v>#N/A</v>
      </c>
      <c r="F210" s="2" t="str">
        <f>Fanduel!C210&amp;" "&amp;Fanduel!E210</f>
        <v xml:space="preserve"> </v>
      </c>
      <c r="G210" s="2">
        <f>Fanduel!L210</f>
        <v>0</v>
      </c>
      <c r="H210" s="2">
        <f>Fanduel!H210</f>
        <v>0</v>
      </c>
      <c r="I210" s="2">
        <f t="shared" si="10"/>
        <v>1</v>
      </c>
    </row>
    <row r="211" spans="1:9" x14ac:dyDescent="0.25">
      <c r="A211" s="2">
        <f>RawData!A210</f>
        <v>0</v>
      </c>
      <c r="B211" s="42">
        <f>RawData!C210</f>
        <v>0</v>
      </c>
      <c r="C211" s="2">
        <f>RawData!L210</f>
        <v>0</v>
      </c>
      <c r="D211" s="2" t="e">
        <f t="shared" si="11"/>
        <v>#N/A</v>
      </c>
      <c r="E211" s="2" t="e">
        <f t="shared" si="9"/>
        <v>#N/A</v>
      </c>
      <c r="F211" s="2" t="str">
        <f>Fanduel!C211&amp;" "&amp;Fanduel!E211</f>
        <v xml:space="preserve"> </v>
      </c>
      <c r="G211" s="2">
        <f>Fanduel!L211</f>
        <v>0</v>
      </c>
      <c r="H211" s="2">
        <f>Fanduel!H211</f>
        <v>0</v>
      </c>
      <c r="I211" s="2">
        <f t="shared" si="10"/>
        <v>1</v>
      </c>
    </row>
    <row r="212" spans="1:9" x14ac:dyDescent="0.25">
      <c r="A212" s="2">
        <f>RawData!A211</f>
        <v>0</v>
      </c>
      <c r="B212" s="42">
        <f>RawData!C211</f>
        <v>0</v>
      </c>
      <c r="C212" s="2">
        <f>RawData!L211</f>
        <v>0</v>
      </c>
      <c r="D212" s="2" t="e">
        <f t="shared" si="11"/>
        <v>#N/A</v>
      </c>
      <c r="E212" s="2" t="e">
        <f t="shared" si="9"/>
        <v>#N/A</v>
      </c>
      <c r="F212" s="2" t="str">
        <f>Fanduel!C212&amp;" "&amp;Fanduel!E212</f>
        <v xml:space="preserve"> </v>
      </c>
      <c r="G212" s="2">
        <f>Fanduel!L212</f>
        <v>0</v>
      </c>
      <c r="H212" s="2">
        <f>Fanduel!H212</f>
        <v>0</v>
      </c>
      <c r="I212" s="2">
        <f t="shared" si="10"/>
        <v>1</v>
      </c>
    </row>
    <row r="213" spans="1:9" x14ac:dyDescent="0.25">
      <c r="A213" s="2">
        <f>RawData!A212</f>
        <v>0</v>
      </c>
      <c r="B213" s="42">
        <f>RawData!C212</f>
        <v>0</v>
      </c>
      <c r="C213" s="2">
        <f>RawData!L212</f>
        <v>0</v>
      </c>
      <c r="D213" s="2" t="e">
        <f t="shared" si="11"/>
        <v>#N/A</v>
      </c>
      <c r="E213" s="2" t="e">
        <f t="shared" si="9"/>
        <v>#N/A</v>
      </c>
      <c r="F213" s="2" t="str">
        <f>Fanduel!C213&amp;" "&amp;Fanduel!E213</f>
        <v xml:space="preserve"> </v>
      </c>
      <c r="G213" s="2">
        <f>Fanduel!L213</f>
        <v>0</v>
      </c>
      <c r="H213" s="2">
        <f>Fanduel!H213</f>
        <v>0</v>
      </c>
      <c r="I213" s="2">
        <f t="shared" si="10"/>
        <v>1</v>
      </c>
    </row>
    <row r="214" spans="1:9" x14ac:dyDescent="0.25">
      <c r="A214" s="2">
        <f>RawData!A213</f>
        <v>0</v>
      </c>
      <c r="B214" s="42">
        <f>RawData!C213</f>
        <v>0</v>
      </c>
      <c r="C214" s="2">
        <f>RawData!L213</f>
        <v>0</v>
      </c>
      <c r="D214" s="2" t="e">
        <f t="shared" si="11"/>
        <v>#N/A</v>
      </c>
      <c r="E214" s="2" t="e">
        <f t="shared" si="9"/>
        <v>#N/A</v>
      </c>
      <c r="F214" s="2" t="str">
        <f>Fanduel!C214&amp;" "&amp;Fanduel!E214</f>
        <v xml:space="preserve"> </v>
      </c>
      <c r="G214" s="2">
        <f>Fanduel!L214</f>
        <v>0</v>
      </c>
      <c r="H214" s="2">
        <f>Fanduel!H214</f>
        <v>0</v>
      </c>
      <c r="I214" s="2">
        <f t="shared" si="10"/>
        <v>1</v>
      </c>
    </row>
    <row r="215" spans="1:9" x14ac:dyDescent="0.25">
      <c r="A215" s="2">
        <f>RawData!A214</f>
        <v>0</v>
      </c>
      <c r="B215" s="42">
        <f>RawData!C214</f>
        <v>0</v>
      </c>
      <c r="C215" s="2">
        <f>RawData!L214</f>
        <v>0</v>
      </c>
      <c r="D215" s="2" t="e">
        <f t="shared" si="11"/>
        <v>#N/A</v>
      </c>
      <c r="E215" s="2" t="e">
        <f t="shared" si="9"/>
        <v>#N/A</v>
      </c>
      <c r="F215" s="2" t="str">
        <f>Fanduel!C215&amp;" "&amp;Fanduel!E215</f>
        <v xml:space="preserve"> </v>
      </c>
      <c r="G215" s="2">
        <f>Fanduel!L215</f>
        <v>0</v>
      </c>
      <c r="H215" s="2">
        <f>Fanduel!H215</f>
        <v>0</v>
      </c>
      <c r="I215" s="2">
        <f t="shared" si="10"/>
        <v>1</v>
      </c>
    </row>
    <row r="216" spans="1:9" x14ac:dyDescent="0.25">
      <c r="A216" s="2">
        <f>RawData!A215</f>
        <v>0</v>
      </c>
      <c r="B216" s="42">
        <f>RawData!C215</f>
        <v>0</v>
      </c>
      <c r="C216" s="2">
        <f>RawData!L215</f>
        <v>0</v>
      </c>
      <c r="D216" s="2" t="e">
        <f t="shared" si="11"/>
        <v>#N/A</v>
      </c>
      <c r="E216" s="2" t="e">
        <f t="shared" si="9"/>
        <v>#N/A</v>
      </c>
      <c r="F216" s="2" t="str">
        <f>Fanduel!C216&amp;" "&amp;Fanduel!E216</f>
        <v xml:space="preserve"> </v>
      </c>
      <c r="G216" s="2">
        <f>Fanduel!L216</f>
        <v>0</v>
      </c>
      <c r="H216" s="2">
        <f>Fanduel!H216</f>
        <v>0</v>
      </c>
      <c r="I216" s="2">
        <f t="shared" si="10"/>
        <v>1</v>
      </c>
    </row>
    <row r="217" spans="1:9" x14ac:dyDescent="0.25">
      <c r="A217" s="2">
        <f>RawData!A216</f>
        <v>0</v>
      </c>
      <c r="B217" s="42">
        <f>RawData!C216</f>
        <v>0</v>
      </c>
      <c r="C217" s="2">
        <f>RawData!L216</f>
        <v>0</v>
      </c>
      <c r="D217" s="2" t="e">
        <f t="shared" si="11"/>
        <v>#N/A</v>
      </c>
      <c r="E217" s="2" t="e">
        <f t="shared" si="9"/>
        <v>#N/A</v>
      </c>
      <c r="F217" s="2" t="str">
        <f>Fanduel!C217&amp;" "&amp;Fanduel!E217</f>
        <v xml:space="preserve"> </v>
      </c>
      <c r="G217" s="2">
        <f>Fanduel!L217</f>
        <v>0</v>
      </c>
      <c r="H217" s="2">
        <f>Fanduel!H217</f>
        <v>0</v>
      </c>
      <c r="I217" s="2">
        <f t="shared" si="10"/>
        <v>1</v>
      </c>
    </row>
    <row r="218" spans="1:9" x14ac:dyDescent="0.25">
      <c r="A218" s="2">
        <f>RawData!A217</f>
        <v>0</v>
      </c>
      <c r="B218" s="42">
        <f>RawData!C217</f>
        <v>0</v>
      </c>
      <c r="C218" s="2">
        <f>RawData!L217</f>
        <v>0</v>
      </c>
      <c r="D218" s="2" t="e">
        <f t="shared" si="11"/>
        <v>#N/A</v>
      </c>
      <c r="E218" s="2" t="e">
        <f t="shared" si="9"/>
        <v>#N/A</v>
      </c>
      <c r="F218" s="2" t="str">
        <f>Fanduel!C218&amp;" "&amp;Fanduel!E218</f>
        <v xml:space="preserve"> </v>
      </c>
      <c r="G218" s="2">
        <f>Fanduel!L218</f>
        <v>0</v>
      </c>
      <c r="H218" s="2">
        <f>Fanduel!H218</f>
        <v>0</v>
      </c>
      <c r="I218" s="2">
        <f t="shared" si="10"/>
        <v>1</v>
      </c>
    </row>
    <row r="219" spans="1:9" x14ac:dyDescent="0.25">
      <c r="A219" s="2">
        <f>RawData!A218</f>
        <v>0</v>
      </c>
      <c r="B219" s="42">
        <f>RawData!C218</f>
        <v>0</v>
      </c>
      <c r="C219" s="2">
        <f>RawData!L218</f>
        <v>0</v>
      </c>
      <c r="D219" s="2" t="e">
        <f t="shared" si="11"/>
        <v>#N/A</v>
      </c>
      <c r="E219" s="2" t="e">
        <f t="shared" si="9"/>
        <v>#N/A</v>
      </c>
      <c r="F219" s="2" t="str">
        <f>Fanduel!C219&amp;" "&amp;Fanduel!E219</f>
        <v xml:space="preserve"> </v>
      </c>
      <c r="G219" s="2">
        <f>Fanduel!L219</f>
        <v>0</v>
      </c>
      <c r="H219" s="2">
        <f>Fanduel!H219</f>
        <v>0</v>
      </c>
      <c r="I219" s="2">
        <f t="shared" si="10"/>
        <v>1</v>
      </c>
    </row>
    <row r="220" spans="1:9" x14ac:dyDescent="0.25">
      <c r="A220" s="2">
        <f>RawData!A219</f>
        <v>0</v>
      </c>
      <c r="B220" s="42">
        <f>RawData!C219</f>
        <v>0</v>
      </c>
      <c r="C220" s="2">
        <f>RawData!L219</f>
        <v>0</v>
      </c>
      <c r="D220" s="2" t="e">
        <f t="shared" si="11"/>
        <v>#N/A</v>
      </c>
      <c r="E220" s="2" t="e">
        <f t="shared" si="9"/>
        <v>#N/A</v>
      </c>
      <c r="F220" s="2" t="str">
        <f>Fanduel!C220&amp;" "&amp;Fanduel!E220</f>
        <v xml:space="preserve"> </v>
      </c>
      <c r="G220" s="2">
        <f>Fanduel!L220</f>
        <v>0</v>
      </c>
      <c r="H220" s="2">
        <f>Fanduel!H220</f>
        <v>0</v>
      </c>
      <c r="I220" s="2">
        <f t="shared" si="10"/>
        <v>1</v>
      </c>
    </row>
    <row r="221" spans="1:9" x14ac:dyDescent="0.25">
      <c r="A221" s="2">
        <f>RawData!A220</f>
        <v>0</v>
      </c>
      <c r="B221" s="42">
        <f>RawData!C220</f>
        <v>0</v>
      </c>
      <c r="C221" s="2">
        <f>RawData!L220</f>
        <v>0</v>
      </c>
      <c r="D221" s="2" t="e">
        <f t="shared" si="11"/>
        <v>#N/A</v>
      </c>
      <c r="E221" s="2" t="e">
        <f t="shared" si="9"/>
        <v>#N/A</v>
      </c>
      <c r="F221" s="2" t="str">
        <f>Fanduel!C221&amp;" "&amp;Fanduel!E221</f>
        <v xml:space="preserve"> </v>
      </c>
      <c r="G221" s="2">
        <f>Fanduel!L221</f>
        <v>0</v>
      </c>
      <c r="H221" s="2">
        <f>Fanduel!H221</f>
        <v>0</v>
      </c>
      <c r="I221" s="2">
        <f t="shared" si="10"/>
        <v>1</v>
      </c>
    </row>
    <row r="222" spans="1:9" x14ac:dyDescent="0.25">
      <c r="A222" s="2">
        <f>RawData!A221</f>
        <v>0</v>
      </c>
      <c r="B222" s="42">
        <f>RawData!C221</f>
        <v>0</v>
      </c>
      <c r="C222" s="2">
        <f>RawData!L221</f>
        <v>0</v>
      </c>
      <c r="D222" s="2" t="e">
        <f t="shared" si="11"/>
        <v>#N/A</v>
      </c>
      <c r="E222" s="2" t="e">
        <f t="shared" si="9"/>
        <v>#N/A</v>
      </c>
      <c r="F222" s="2" t="str">
        <f>Fanduel!C222&amp;" "&amp;Fanduel!E222</f>
        <v xml:space="preserve"> </v>
      </c>
      <c r="G222" s="2">
        <f>Fanduel!L222</f>
        <v>0</v>
      </c>
      <c r="H222" s="2">
        <f>Fanduel!H222</f>
        <v>0</v>
      </c>
      <c r="I222" s="2">
        <f t="shared" si="10"/>
        <v>1</v>
      </c>
    </row>
    <row r="223" spans="1:9" x14ac:dyDescent="0.25">
      <c r="A223" s="2">
        <f>RawData!A222</f>
        <v>0</v>
      </c>
      <c r="B223" s="42">
        <f>RawData!C222</f>
        <v>0</v>
      </c>
      <c r="C223" s="2">
        <f>RawData!L222</f>
        <v>0</v>
      </c>
      <c r="D223" s="2" t="e">
        <f t="shared" si="11"/>
        <v>#N/A</v>
      </c>
      <c r="E223" s="2" t="e">
        <f t="shared" si="9"/>
        <v>#N/A</v>
      </c>
      <c r="F223" s="2" t="str">
        <f>Fanduel!C223&amp;" "&amp;Fanduel!E223</f>
        <v xml:space="preserve"> </v>
      </c>
      <c r="G223" s="2">
        <f>Fanduel!L223</f>
        <v>0</v>
      </c>
      <c r="H223" s="2">
        <f>Fanduel!H223</f>
        <v>0</v>
      </c>
      <c r="I223" s="2">
        <f t="shared" si="10"/>
        <v>1</v>
      </c>
    </row>
    <row r="224" spans="1:9" x14ac:dyDescent="0.25">
      <c r="A224" s="2">
        <f>RawData!A223</f>
        <v>0</v>
      </c>
      <c r="B224" s="42">
        <f>RawData!C223</f>
        <v>0</v>
      </c>
      <c r="C224" s="2">
        <f>RawData!L223</f>
        <v>0</v>
      </c>
      <c r="D224" s="2" t="e">
        <f t="shared" si="11"/>
        <v>#N/A</v>
      </c>
      <c r="E224" s="2" t="e">
        <f t="shared" si="9"/>
        <v>#N/A</v>
      </c>
      <c r="F224" s="2" t="str">
        <f>Fanduel!C224&amp;" "&amp;Fanduel!E224</f>
        <v xml:space="preserve"> </v>
      </c>
      <c r="G224" s="2">
        <f>Fanduel!L224</f>
        <v>0</v>
      </c>
      <c r="H224" s="2">
        <f>Fanduel!H224</f>
        <v>0</v>
      </c>
      <c r="I224" s="2">
        <f t="shared" si="10"/>
        <v>1</v>
      </c>
    </row>
    <row r="225" spans="1:9" x14ac:dyDescent="0.25">
      <c r="A225" s="2">
        <f>RawData!A224</f>
        <v>0</v>
      </c>
      <c r="B225" s="42">
        <f>RawData!C224</f>
        <v>0</v>
      </c>
      <c r="C225" s="2">
        <f>RawData!L224</f>
        <v>0</v>
      </c>
      <c r="D225" s="2" t="e">
        <f t="shared" si="11"/>
        <v>#N/A</v>
      </c>
      <c r="E225" s="2" t="e">
        <f t="shared" si="9"/>
        <v>#N/A</v>
      </c>
      <c r="F225" s="2" t="str">
        <f>Fanduel!C225&amp;" "&amp;Fanduel!E225</f>
        <v xml:space="preserve"> </v>
      </c>
      <c r="G225" s="2">
        <f>Fanduel!L225</f>
        <v>0</v>
      </c>
      <c r="H225" s="2">
        <f>Fanduel!H225</f>
        <v>0</v>
      </c>
      <c r="I225" s="2">
        <f t="shared" si="10"/>
        <v>1</v>
      </c>
    </row>
    <row r="226" spans="1:9" x14ac:dyDescent="0.25">
      <c r="A226" s="2">
        <f>RawData!A225</f>
        <v>0</v>
      </c>
      <c r="B226" s="42">
        <f>RawData!C225</f>
        <v>0</v>
      </c>
      <c r="C226" s="2">
        <f>RawData!L225</f>
        <v>0</v>
      </c>
      <c r="D226" s="2" t="e">
        <f t="shared" si="11"/>
        <v>#N/A</v>
      </c>
      <c r="E226" s="2" t="e">
        <f t="shared" si="9"/>
        <v>#N/A</v>
      </c>
      <c r="F226" s="2" t="str">
        <f>Fanduel!C226&amp;" "&amp;Fanduel!E226</f>
        <v xml:space="preserve"> </v>
      </c>
      <c r="G226" s="2">
        <f>Fanduel!L226</f>
        <v>0</v>
      </c>
      <c r="H226" s="2">
        <f>Fanduel!H226</f>
        <v>0</v>
      </c>
      <c r="I226" s="2">
        <f t="shared" si="10"/>
        <v>1</v>
      </c>
    </row>
    <row r="227" spans="1:9" x14ac:dyDescent="0.25">
      <c r="A227" s="2">
        <f>RawData!A226</f>
        <v>0</v>
      </c>
      <c r="B227" s="42">
        <f>RawData!C226</f>
        <v>0</v>
      </c>
      <c r="C227" s="2">
        <f>RawData!L226</f>
        <v>0</v>
      </c>
      <c r="D227" s="2" t="e">
        <f t="shared" si="11"/>
        <v>#N/A</v>
      </c>
      <c r="E227" s="2" t="e">
        <f t="shared" si="9"/>
        <v>#N/A</v>
      </c>
      <c r="F227" s="2" t="str">
        <f>Fanduel!C227&amp;" "&amp;Fanduel!E227</f>
        <v xml:space="preserve"> </v>
      </c>
      <c r="G227" s="2">
        <f>Fanduel!L227</f>
        <v>0</v>
      </c>
      <c r="H227" s="2">
        <f>Fanduel!H227</f>
        <v>0</v>
      </c>
      <c r="I227" s="2">
        <f t="shared" si="10"/>
        <v>1</v>
      </c>
    </row>
    <row r="228" spans="1:9" x14ac:dyDescent="0.25">
      <c r="A228" s="2">
        <f>RawData!A227</f>
        <v>0</v>
      </c>
      <c r="B228" s="42">
        <f>RawData!C227</f>
        <v>0</v>
      </c>
      <c r="C228" s="2">
        <f>RawData!L227</f>
        <v>0</v>
      </c>
      <c r="D228" s="2" t="e">
        <f t="shared" si="11"/>
        <v>#N/A</v>
      </c>
      <c r="E228" s="2" t="e">
        <f t="shared" si="9"/>
        <v>#N/A</v>
      </c>
      <c r="F228" s="2" t="str">
        <f>Fanduel!C228&amp;" "&amp;Fanduel!E228</f>
        <v xml:space="preserve"> </v>
      </c>
      <c r="G228" s="2">
        <f>Fanduel!L228</f>
        <v>0</v>
      </c>
      <c r="H228" s="2">
        <f>Fanduel!H228</f>
        <v>0</v>
      </c>
      <c r="I228" s="2">
        <f t="shared" si="10"/>
        <v>1</v>
      </c>
    </row>
    <row r="229" spans="1:9" x14ac:dyDescent="0.25">
      <c r="A229" s="2">
        <f>RawData!A228</f>
        <v>0</v>
      </c>
      <c r="B229" s="42">
        <f>RawData!C228</f>
        <v>0</v>
      </c>
      <c r="C229" s="2">
        <f>RawData!L228</f>
        <v>0</v>
      </c>
      <c r="D229" s="2" t="e">
        <f t="shared" si="11"/>
        <v>#N/A</v>
      </c>
      <c r="E229" s="2" t="e">
        <f t="shared" si="9"/>
        <v>#N/A</v>
      </c>
      <c r="F229" s="2" t="str">
        <f>Fanduel!C229&amp;" "&amp;Fanduel!E229</f>
        <v xml:space="preserve"> </v>
      </c>
      <c r="G229" s="2">
        <f>Fanduel!L229</f>
        <v>0</v>
      </c>
      <c r="H229" s="2">
        <f>Fanduel!H229</f>
        <v>0</v>
      </c>
      <c r="I229" s="2">
        <f t="shared" si="10"/>
        <v>1</v>
      </c>
    </row>
    <row r="230" spans="1:9" x14ac:dyDescent="0.25">
      <c r="A230" s="2">
        <f>RawData!A229</f>
        <v>0</v>
      </c>
      <c r="B230" s="42">
        <f>RawData!C229</f>
        <v>0</v>
      </c>
      <c r="C230" s="2">
        <f>RawData!L229</f>
        <v>0</v>
      </c>
      <c r="D230" s="2" t="e">
        <f t="shared" si="11"/>
        <v>#N/A</v>
      </c>
      <c r="E230" s="2" t="e">
        <f t="shared" si="9"/>
        <v>#N/A</v>
      </c>
      <c r="F230" s="2" t="str">
        <f>Fanduel!C230&amp;" "&amp;Fanduel!E230</f>
        <v xml:space="preserve"> </v>
      </c>
      <c r="G230" s="2">
        <f>Fanduel!L230</f>
        <v>0</v>
      </c>
      <c r="H230" s="2">
        <f>Fanduel!H230</f>
        <v>0</v>
      </c>
      <c r="I230" s="2">
        <f t="shared" si="10"/>
        <v>1</v>
      </c>
    </row>
    <row r="231" spans="1:9" x14ac:dyDescent="0.25">
      <c r="A231" s="2">
        <f>RawData!A230</f>
        <v>0</v>
      </c>
      <c r="B231" s="42">
        <f>RawData!C230</f>
        <v>0</v>
      </c>
      <c r="C231" s="2">
        <f>RawData!L230</f>
        <v>0</v>
      </c>
      <c r="D231" s="2" t="e">
        <f t="shared" si="11"/>
        <v>#N/A</v>
      </c>
      <c r="E231" s="2" t="e">
        <f t="shared" si="9"/>
        <v>#N/A</v>
      </c>
      <c r="F231" s="2" t="str">
        <f>Fanduel!C231&amp;" "&amp;Fanduel!E231</f>
        <v xml:space="preserve"> </v>
      </c>
      <c r="G231" s="2">
        <f>Fanduel!L231</f>
        <v>0</v>
      </c>
      <c r="H231" s="2">
        <f>Fanduel!H231</f>
        <v>0</v>
      </c>
      <c r="I231" s="2">
        <f t="shared" si="10"/>
        <v>1</v>
      </c>
    </row>
    <row r="232" spans="1:9" x14ac:dyDescent="0.25">
      <c r="A232" s="2">
        <f>RawData!A231</f>
        <v>0</v>
      </c>
      <c r="B232" s="42">
        <f>RawData!C231</f>
        <v>0</v>
      </c>
      <c r="C232" s="2">
        <f>RawData!L231</f>
        <v>0</v>
      </c>
      <c r="D232" s="2" t="e">
        <f t="shared" si="11"/>
        <v>#N/A</v>
      </c>
      <c r="E232" s="2" t="e">
        <f t="shared" si="9"/>
        <v>#N/A</v>
      </c>
      <c r="F232" s="2" t="str">
        <f>Fanduel!C232&amp;" "&amp;Fanduel!E232</f>
        <v xml:space="preserve"> </v>
      </c>
      <c r="G232" s="2">
        <f>Fanduel!L232</f>
        <v>0</v>
      </c>
      <c r="H232" s="2">
        <f>Fanduel!H232</f>
        <v>0</v>
      </c>
      <c r="I232" s="2">
        <f t="shared" si="10"/>
        <v>1</v>
      </c>
    </row>
    <row r="233" spans="1:9" x14ac:dyDescent="0.25">
      <c r="A233" s="2">
        <f>RawData!A232</f>
        <v>0</v>
      </c>
      <c r="B233" s="42">
        <f>RawData!C232</f>
        <v>0</v>
      </c>
      <c r="C233" s="2">
        <f>RawData!L232</f>
        <v>0</v>
      </c>
      <c r="D233" s="2" t="e">
        <f t="shared" si="11"/>
        <v>#N/A</v>
      </c>
      <c r="E233" s="2" t="e">
        <f t="shared" si="9"/>
        <v>#N/A</v>
      </c>
      <c r="F233" s="2" t="str">
        <f>Fanduel!C233&amp;" "&amp;Fanduel!E233</f>
        <v xml:space="preserve"> </v>
      </c>
      <c r="G233" s="2">
        <f>Fanduel!L233</f>
        <v>0</v>
      </c>
      <c r="H233" s="2">
        <f>Fanduel!H233</f>
        <v>0</v>
      </c>
      <c r="I233" s="2">
        <f t="shared" si="10"/>
        <v>1</v>
      </c>
    </row>
    <row r="234" spans="1:9" x14ac:dyDescent="0.25">
      <c r="A234" s="2">
        <f>RawData!A233</f>
        <v>0</v>
      </c>
      <c r="B234" s="42">
        <f>RawData!C233</f>
        <v>0</v>
      </c>
      <c r="C234" s="2">
        <f>RawData!L233</f>
        <v>0</v>
      </c>
      <c r="D234" s="2" t="e">
        <f t="shared" si="11"/>
        <v>#N/A</v>
      </c>
      <c r="E234" s="2" t="e">
        <f t="shared" si="9"/>
        <v>#N/A</v>
      </c>
      <c r="F234" s="2" t="str">
        <f>Fanduel!C234&amp;" "&amp;Fanduel!E234</f>
        <v xml:space="preserve"> </v>
      </c>
      <c r="G234" s="2">
        <f>Fanduel!L234</f>
        <v>0</v>
      </c>
      <c r="H234" s="2">
        <f>Fanduel!H234</f>
        <v>0</v>
      </c>
      <c r="I234" s="2">
        <f t="shared" si="10"/>
        <v>1</v>
      </c>
    </row>
    <row r="235" spans="1:9" x14ac:dyDescent="0.25">
      <c r="A235" s="2">
        <f>RawData!A234</f>
        <v>0</v>
      </c>
      <c r="B235" s="42">
        <f>RawData!C234</f>
        <v>0</v>
      </c>
      <c r="C235" s="2">
        <f>RawData!L234</f>
        <v>0</v>
      </c>
      <c r="D235" s="2" t="e">
        <f t="shared" si="11"/>
        <v>#N/A</v>
      </c>
      <c r="E235" s="2" t="e">
        <f t="shared" si="9"/>
        <v>#N/A</v>
      </c>
      <c r="F235" s="2" t="str">
        <f>Fanduel!C235&amp;" "&amp;Fanduel!E235</f>
        <v xml:space="preserve"> </v>
      </c>
      <c r="G235" s="2">
        <f>Fanduel!L235</f>
        <v>0</v>
      </c>
      <c r="H235" s="2">
        <f>Fanduel!H235</f>
        <v>0</v>
      </c>
      <c r="I235" s="2">
        <f t="shared" si="10"/>
        <v>1</v>
      </c>
    </row>
    <row r="236" spans="1:9" x14ac:dyDescent="0.25">
      <c r="A236" s="2">
        <f>RawData!A235</f>
        <v>0</v>
      </c>
      <c r="B236" s="42">
        <f>RawData!C235</f>
        <v>0</v>
      </c>
      <c r="C236" s="2">
        <f>RawData!L235</f>
        <v>0</v>
      </c>
      <c r="D236" s="2" t="e">
        <f t="shared" si="11"/>
        <v>#N/A</v>
      </c>
      <c r="E236" s="2" t="e">
        <f t="shared" si="9"/>
        <v>#N/A</v>
      </c>
      <c r="F236" s="2" t="str">
        <f>Fanduel!C236&amp;" "&amp;Fanduel!E236</f>
        <v xml:space="preserve"> </v>
      </c>
      <c r="G236" s="2">
        <f>Fanduel!L236</f>
        <v>0</v>
      </c>
      <c r="H236" s="2">
        <f>Fanduel!H236</f>
        <v>0</v>
      </c>
      <c r="I236" s="2">
        <f t="shared" si="10"/>
        <v>1</v>
      </c>
    </row>
    <row r="237" spans="1:9" x14ac:dyDescent="0.25">
      <c r="A237" s="2">
        <f>RawData!A236</f>
        <v>0</v>
      </c>
      <c r="B237" s="42">
        <f>RawData!C236</f>
        <v>0</v>
      </c>
      <c r="C237" s="2">
        <f>RawData!L236</f>
        <v>0</v>
      </c>
      <c r="D237" s="2" t="e">
        <f t="shared" si="11"/>
        <v>#N/A</v>
      </c>
      <c r="E237" s="2" t="e">
        <f t="shared" si="9"/>
        <v>#N/A</v>
      </c>
      <c r="F237" s="2" t="str">
        <f>Fanduel!C237&amp;" "&amp;Fanduel!E237</f>
        <v xml:space="preserve"> </v>
      </c>
      <c r="G237" s="2">
        <f>Fanduel!L237</f>
        <v>0</v>
      </c>
      <c r="H237" s="2">
        <f>Fanduel!H237</f>
        <v>0</v>
      </c>
      <c r="I237" s="2">
        <f t="shared" si="10"/>
        <v>1</v>
      </c>
    </row>
    <row r="238" spans="1:9" x14ac:dyDescent="0.25">
      <c r="A238" s="2">
        <f>RawData!A237</f>
        <v>0</v>
      </c>
      <c r="B238" s="42">
        <f>RawData!C237</f>
        <v>0</v>
      </c>
      <c r="C238" s="2">
        <f>RawData!L237</f>
        <v>0</v>
      </c>
      <c r="D238" s="2" t="e">
        <f t="shared" si="11"/>
        <v>#N/A</v>
      </c>
      <c r="E238" s="2" t="e">
        <f t="shared" si="9"/>
        <v>#N/A</v>
      </c>
      <c r="F238" s="2" t="str">
        <f>Fanduel!C238&amp;" "&amp;Fanduel!E238</f>
        <v xml:space="preserve"> </v>
      </c>
      <c r="G238" s="2">
        <f>Fanduel!L238</f>
        <v>0</v>
      </c>
      <c r="H238" s="2">
        <f>Fanduel!H238</f>
        <v>0</v>
      </c>
      <c r="I238" s="2">
        <f t="shared" si="10"/>
        <v>1</v>
      </c>
    </row>
    <row r="239" spans="1:9" x14ac:dyDescent="0.25">
      <c r="A239" s="2">
        <f>RawData!A238</f>
        <v>0</v>
      </c>
      <c r="B239" s="42">
        <f>RawData!C238</f>
        <v>0</v>
      </c>
      <c r="C239" s="2">
        <f>RawData!L238</f>
        <v>0</v>
      </c>
      <c r="D239" s="2" t="e">
        <f t="shared" si="11"/>
        <v>#N/A</v>
      </c>
      <c r="E239" s="2" t="e">
        <f t="shared" si="9"/>
        <v>#N/A</v>
      </c>
      <c r="F239" s="2" t="str">
        <f>Fanduel!C239&amp;" "&amp;Fanduel!E239</f>
        <v xml:space="preserve"> </v>
      </c>
      <c r="G239" s="2">
        <f>Fanduel!L239</f>
        <v>0</v>
      </c>
      <c r="H239" s="2">
        <f>Fanduel!H239</f>
        <v>0</v>
      </c>
      <c r="I239" s="2">
        <f t="shared" si="10"/>
        <v>1</v>
      </c>
    </row>
    <row r="240" spans="1:9" x14ac:dyDescent="0.25">
      <c r="A240" s="2">
        <f>RawData!A239</f>
        <v>0</v>
      </c>
      <c r="B240" s="42">
        <f>RawData!C239</f>
        <v>0</v>
      </c>
      <c r="C240" s="2">
        <f>RawData!L239</f>
        <v>0</v>
      </c>
      <c r="D240" s="2" t="e">
        <f t="shared" si="11"/>
        <v>#N/A</v>
      </c>
      <c r="E240" s="2" t="e">
        <f t="shared" si="9"/>
        <v>#N/A</v>
      </c>
      <c r="F240" s="2" t="str">
        <f>Fanduel!C240&amp;" "&amp;Fanduel!E240</f>
        <v xml:space="preserve"> </v>
      </c>
      <c r="G240" s="2">
        <f>Fanduel!L240</f>
        <v>0</v>
      </c>
      <c r="H240" s="2">
        <f>Fanduel!H240</f>
        <v>0</v>
      </c>
      <c r="I240" s="2">
        <f t="shared" si="10"/>
        <v>1</v>
      </c>
    </row>
    <row r="241" spans="1:9" x14ac:dyDescent="0.25">
      <c r="A241" s="2">
        <f>RawData!A240</f>
        <v>0</v>
      </c>
      <c r="B241" s="42">
        <f>RawData!C240</f>
        <v>0</v>
      </c>
      <c r="C241" s="2">
        <f>RawData!L240</f>
        <v>0</v>
      </c>
      <c r="D241" s="2" t="e">
        <f t="shared" si="11"/>
        <v>#N/A</v>
      </c>
      <c r="E241" s="2" t="e">
        <f t="shared" si="9"/>
        <v>#N/A</v>
      </c>
      <c r="F241" s="2" t="str">
        <f>Fanduel!C241&amp;" "&amp;Fanduel!E241</f>
        <v xml:space="preserve"> </v>
      </c>
      <c r="G241" s="2">
        <f>Fanduel!L241</f>
        <v>0</v>
      </c>
      <c r="H241" s="2">
        <f>Fanduel!H241</f>
        <v>0</v>
      </c>
      <c r="I241" s="2">
        <f t="shared" si="10"/>
        <v>1</v>
      </c>
    </row>
    <row r="242" spans="1:9" x14ac:dyDescent="0.25">
      <c r="A242" s="2">
        <f>RawData!A241</f>
        <v>0</v>
      </c>
      <c r="B242" s="42">
        <f>RawData!C241</f>
        <v>0</v>
      </c>
      <c r="C242" s="2">
        <f>RawData!L241</f>
        <v>0</v>
      </c>
      <c r="D242" s="2" t="e">
        <f t="shared" si="11"/>
        <v>#N/A</v>
      </c>
      <c r="E242" s="2" t="e">
        <f t="shared" si="9"/>
        <v>#N/A</v>
      </c>
      <c r="F242" s="2" t="str">
        <f>Fanduel!C242&amp;" "&amp;Fanduel!E242</f>
        <v xml:space="preserve"> </v>
      </c>
      <c r="G242" s="2">
        <f>Fanduel!L242</f>
        <v>0</v>
      </c>
      <c r="H242" s="2">
        <f>Fanduel!H242</f>
        <v>0</v>
      </c>
      <c r="I242" s="2">
        <f t="shared" si="10"/>
        <v>1</v>
      </c>
    </row>
    <row r="243" spans="1:9" x14ac:dyDescent="0.25">
      <c r="A243" s="2">
        <f>RawData!A242</f>
        <v>0</v>
      </c>
      <c r="B243" s="42">
        <f>RawData!C242</f>
        <v>0</v>
      </c>
      <c r="C243" s="2">
        <f>RawData!L242</f>
        <v>0</v>
      </c>
      <c r="D243" s="2" t="e">
        <f t="shared" si="11"/>
        <v>#N/A</v>
      </c>
      <c r="E243" s="2" t="e">
        <f t="shared" si="9"/>
        <v>#N/A</v>
      </c>
      <c r="F243" s="2" t="str">
        <f>Fanduel!C243&amp;" "&amp;Fanduel!E243</f>
        <v xml:space="preserve"> </v>
      </c>
      <c r="G243" s="2">
        <f>Fanduel!L243</f>
        <v>0</v>
      </c>
      <c r="H243" s="2">
        <f>Fanduel!H243</f>
        <v>0</v>
      </c>
      <c r="I243" s="2">
        <f t="shared" si="10"/>
        <v>1</v>
      </c>
    </row>
    <row r="244" spans="1:9" x14ac:dyDescent="0.25">
      <c r="A244" s="2">
        <f>RawData!A243</f>
        <v>0</v>
      </c>
      <c r="B244" s="42">
        <f>RawData!C243</f>
        <v>0</v>
      </c>
      <c r="C244" s="2">
        <f>RawData!L243</f>
        <v>0</v>
      </c>
      <c r="D244" s="2" t="e">
        <f t="shared" si="11"/>
        <v>#N/A</v>
      </c>
      <c r="E244" s="2" t="e">
        <f t="shared" si="9"/>
        <v>#N/A</v>
      </c>
      <c r="F244" s="2" t="str">
        <f>Fanduel!C244&amp;" "&amp;Fanduel!E244</f>
        <v xml:space="preserve"> </v>
      </c>
      <c r="G244" s="2">
        <f>Fanduel!L244</f>
        <v>0</v>
      </c>
      <c r="H244" s="2">
        <f>Fanduel!H244</f>
        <v>0</v>
      </c>
      <c r="I244" s="2">
        <f t="shared" si="10"/>
        <v>1</v>
      </c>
    </row>
    <row r="245" spans="1:9" x14ac:dyDescent="0.25">
      <c r="A245" s="2">
        <f>RawData!A244</f>
        <v>0</v>
      </c>
      <c r="B245" s="42">
        <f>RawData!C244</f>
        <v>0</v>
      </c>
      <c r="C245" s="2">
        <f>RawData!L244</f>
        <v>0</v>
      </c>
      <c r="D245" s="2" t="e">
        <f t="shared" si="11"/>
        <v>#N/A</v>
      </c>
      <c r="E245" s="2" t="e">
        <f t="shared" si="9"/>
        <v>#N/A</v>
      </c>
      <c r="F245" s="2" t="str">
        <f>Fanduel!C245&amp;" "&amp;Fanduel!E245</f>
        <v xml:space="preserve"> </v>
      </c>
      <c r="G245" s="2">
        <f>Fanduel!L245</f>
        <v>0</v>
      </c>
      <c r="H245" s="2">
        <f>Fanduel!H245</f>
        <v>0</v>
      </c>
      <c r="I245" s="2">
        <f t="shared" si="10"/>
        <v>1</v>
      </c>
    </row>
    <row r="246" spans="1:9" x14ac:dyDescent="0.25">
      <c r="A246" s="2">
        <f>RawData!A245</f>
        <v>0</v>
      </c>
      <c r="B246" s="42">
        <f>RawData!C245</f>
        <v>0</v>
      </c>
      <c r="C246" s="2">
        <f>RawData!L245</f>
        <v>0</v>
      </c>
      <c r="D246" s="2" t="e">
        <f t="shared" si="11"/>
        <v>#N/A</v>
      </c>
      <c r="E246" s="2" t="e">
        <f t="shared" si="9"/>
        <v>#N/A</v>
      </c>
      <c r="F246" s="2" t="str">
        <f>Fanduel!C246&amp;" "&amp;Fanduel!E246</f>
        <v xml:space="preserve"> </v>
      </c>
      <c r="G246" s="2">
        <f>Fanduel!L246</f>
        <v>0</v>
      </c>
      <c r="H246" s="2">
        <f>Fanduel!H246</f>
        <v>0</v>
      </c>
      <c r="I246" s="2">
        <f t="shared" si="10"/>
        <v>1</v>
      </c>
    </row>
    <row r="247" spans="1:9" x14ac:dyDescent="0.25">
      <c r="A247" s="2">
        <f>RawData!A246</f>
        <v>0</v>
      </c>
      <c r="B247" s="42">
        <f>RawData!C246</f>
        <v>0</v>
      </c>
      <c r="C247" s="2">
        <f>RawData!L246</f>
        <v>0</v>
      </c>
      <c r="D247" s="2" t="e">
        <f t="shared" si="11"/>
        <v>#N/A</v>
      </c>
      <c r="E247" s="2" t="e">
        <f t="shared" si="9"/>
        <v>#N/A</v>
      </c>
      <c r="F247" s="2" t="str">
        <f>Fanduel!C247&amp;" "&amp;Fanduel!E247</f>
        <v xml:space="preserve"> </v>
      </c>
      <c r="G247" s="2">
        <f>Fanduel!L247</f>
        <v>0</v>
      </c>
      <c r="H247" s="2">
        <f>Fanduel!H247</f>
        <v>0</v>
      </c>
      <c r="I247" s="2">
        <f t="shared" si="10"/>
        <v>1</v>
      </c>
    </row>
    <row r="248" spans="1:9" x14ac:dyDescent="0.25">
      <c r="A248" s="2">
        <f>RawData!A247</f>
        <v>0</v>
      </c>
      <c r="B248" s="42">
        <f>RawData!C247</f>
        <v>0</v>
      </c>
      <c r="C248" s="2">
        <f>RawData!L247</f>
        <v>0</v>
      </c>
      <c r="D248" s="2" t="e">
        <f t="shared" si="11"/>
        <v>#N/A</v>
      </c>
      <c r="E248" s="2" t="e">
        <f t="shared" si="9"/>
        <v>#N/A</v>
      </c>
      <c r="F248" s="2" t="str">
        <f>Fanduel!C248&amp;" "&amp;Fanduel!E248</f>
        <v xml:space="preserve"> </v>
      </c>
      <c r="G248" s="2">
        <f>Fanduel!L248</f>
        <v>0</v>
      </c>
      <c r="H248" s="2">
        <f>Fanduel!H248</f>
        <v>0</v>
      </c>
      <c r="I248" s="2">
        <f t="shared" si="10"/>
        <v>1</v>
      </c>
    </row>
    <row r="249" spans="1:9" x14ac:dyDescent="0.25">
      <c r="A249" s="2">
        <f>RawData!A248</f>
        <v>0</v>
      </c>
      <c r="B249" s="42">
        <f>RawData!C248</f>
        <v>0</v>
      </c>
      <c r="C249" s="2">
        <f>RawData!L248</f>
        <v>0</v>
      </c>
      <c r="D249" s="2" t="e">
        <f t="shared" si="11"/>
        <v>#N/A</v>
      </c>
      <c r="E249" s="2" t="e">
        <f t="shared" si="9"/>
        <v>#N/A</v>
      </c>
      <c r="F249" s="2" t="str">
        <f>Fanduel!C249&amp;" "&amp;Fanduel!E249</f>
        <v xml:space="preserve"> </v>
      </c>
      <c r="G249" s="2">
        <f>Fanduel!L249</f>
        <v>0</v>
      </c>
      <c r="H249" s="2">
        <f>Fanduel!H249</f>
        <v>0</v>
      </c>
      <c r="I249" s="2">
        <f t="shared" si="10"/>
        <v>1</v>
      </c>
    </row>
    <row r="250" spans="1:9" x14ac:dyDescent="0.25">
      <c r="A250" s="2">
        <f>RawData!A249</f>
        <v>0</v>
      </c>
      <c r="B250" s="42">
        <f>RawData!C249</f>
        <v>0</v>
      </c>
      <c r="C250" s="2">
        <f>RawData!L249</f>
        <v>0</v>
      </c>
      <c r="D250" s="2" t="e">
        <f t="shared" si="11"/>
        <v>#N/A</v>
      </c>
      <c r="E250" s="2" t="e">
        <f t="shared" si="9"/>
        <v>#N/A</v>
      </c>
      <c r="F250" s="2" t="str">
        <f>Fanduel!C250&amp;" "&amp;Fanduel!E250</f>
        <v xml:space="preserve"> </v>
      </c>
      <c r="G250" s="2">
        <f>Fanduel!L250</f>
        <v>0</v>
      </c>
      <c r="H250" s="2">
        <f>Fanduel!H250</f>
        <v>0</v>
      </c>
      <c r="I250" s="2">
        <f t="shared" si="10"/>
        <v>1</v>
      </c>
    </row>
    <row r="251" spans="1:9" x14ac:dyDescent="0.25">
      <c r="A251" s="2">
        <f>RawData!A250</f>
        <v>0</v>
      </c>
      <c r="B251" s="42">
        <f>RawData!C250</f>
        <v>0</v>
      </c>
      <c r="C251" s="2">
        <f>RawData!L250</f>
        <v>0</v>
      </c>
      <c r="D251" s="2" t="e">
        <f t="shared" si="11"/>
        <v>#N/A</v>
      </c>
      <c r="E251" s="2" t="e">
        <f t="shared" si="9"/>
        <v>#N/A</v>
      </c>
      <c r="F251" s="2" t="str">
        <f>Fanduel!C251&amp;" "&amp;Fanduel!E251</f>
        <v xml:space="preserve"> </v>
      </c>
      <c r="G251" s="2">
        <f>Fanduel!L251</f>
        <v>0</v>
      </c>
      <c r="H251" s="2">
        <f>Fanduel!H251</f>
        <v>0</v>
      </c>
      <c r="I251" s="2">
        <f t="shared" si="10"/>
        <v>1</v>
      </c>
    </row>
    <row r="252" spans="1:9" x14ac:dyDescent="0.25">
      <c r="A252" s="2">
        <f>RawData!A251</f>
        <v>0</v>
      </c>
      <c r="B252" s="42">
        <f>RawData!C251</f>
        <v>0</v>
      </c>
      <c r="C252" s="2">
        <f>RawData!L251</f>
        <v>0</v>
      </c>
      <c r="D252" s="2" t="e">
        <f t="shared" si="11"/>
        <v>#N/A</v>
      </c>
      <c r="E252" s="2" t="e">
        <f t="shared" si="9"/>
        <v>#N/A</v>
      </c>
      <c r="F252" s="2" t="str">
        <f>Fanduel!C252&amp;" "&amp;Fanduel!E252</f>
        <v xml:space="preserve"> </v>
      </c>
      <c r="G252" s="2">
        <f>Fanduel!L252</f>
        <v>0</v>
      </c>
      <c r="H252" s="2">
        <f>Fanduel!H252</f>
        <v>0</v>
      </c>
      <c r="I252" s="2">
        <f t="shared" si="10"/>
        <v>1</v>
      </c>
    </row>
    <row r="253" spans="1:9" x14ac:dyDescent="0.25">
      <c r="A253" s="2">
        <f>RawData!A252</f>
        <v>0</v>
      </c>
      <c r="B253" s="42">
        <f>RawData!C252</f>
        <v>0</v>
      </c>
      <c r="C253" s="2">
        <f>RawData!L252</f>
        <v>0</v>
      </c>
      <c r="D253" s="2" t="e">
        <f t="shared" si="11"/>
        <v>#N/A</v>
      </c>
      <c r="E253" s="2" t="e">
        <f t="shared" si="9"/>
        <v>#N/A</v>
      </c>
      <c r="F253" s="2" t="str">
        <f>Fanduel!C253&amp;" "&amp;Fanduel!E253</f>
        <v xml:space="preserve"> </v>
      </c>
      <c r="G253" s="2">
        <f>Fanduel!L253</f>
        <v>0</v>
      </c>
      <c r="H253" s="2">
        <f>Fanduel!H253</f>
        <v>0</v>
      </c>
      <c r="I253" s="2">
        <f t="shared" si="10"/>
        <v>1</v>
      </c>
    </row>
    <row r="254" spans="1:9" x14ac:dyDescent="0.25">
      <c r="A254" s="2">
        <f>RawData!A253</f>
        <v>0</v>
      </c>
      <c r="B254" s="42">
        <f>RawData!C253</f>
        <v>0</v>
      </c>
      <c r="C254" s="2">
        <f>RawData!L253</f>
        <v>0</v>
      </c>
      <c r="D254" s="2" t="e">
        <f t="shared" si="11"/>
        <v>#N/A</v>
      </c>
      <c r="E254" s="2" t="e">
        <f t="shared" si="9"/>
        <v>#N/A</v>
      </c>
      <c r="F254" s="2" t="str">
        <f>Fanduel!C254&amp;" "&amp;Fanduel!E254</f>
        <v xml:space="preserve"> </v>
      </c>
      <c r="G254" s="2">
        <f>Fanduel!L254</f>
        <v>0</v>
      </c>
      <c r="H254" s="2">
        <f>Fanduel!H254</f>
        <v>0</v>
      </c>
      <c r="I254" s="2">
        <f t="shared" si="10"/>
        <v>1</v>
      </c>
    </row>
    <row r="255" spans="1:9" x14ac:dyDescent="0.25">
      <c r="A255" s="2">
        <f>RawData!A254</f>
        <v>0</v>
      </c>
      <c r="B255" s="42">
        <f>RawData!C254</f>
        <v>0</v>
      </c>
      <c r="C255" s="2">
        <f>RawData!L254</f>
        <v>0</v>
      </c>
      <c r="D255" s="2" t="e">
        <f t="shared" si="11"/>
        <v>#N/A</v>
      </c>
      <c r="E255" s="2" t="e">
        <f t="shared" si="9"/>
        <v>#N/A</v>
      </c>
      <c r="F255" s="2" t="str">
        <f>Fanduel!C255&amp;" "&amp;Fanduel!E255</f>
        <v xml:space="preserve"> </v>
      </c>
      <c r="G255" s="2">
        <f>Fanduel!L255</f>
        <v>0</v>
      </c>
      <c r="H255" s="2">
        <f>Fanduel!H255</f>
        <v>0</v>
      </c>
      <c r="I255" s="2">
        <f t="shared" si="10"/>
        <v>1</v>
      </c>
    </row>
    <row r="256" spans="1:9" x14ac:dyDescent="0.25">
      <c r="A256" s="2">
        <f>RawData!A255</f>
        <v>0</v>
      </c>
      <c r="B256" s="42">
        <f>RawData!C255</f>
        <v>0</v>
      </c>
      <c r="C256" s="2">
        <f>RawData!L255</f>
        <v>0</v>
      </c>
      <c r="D256" s="2" t="e">
        <f t="shared" si="11"/>
        <v>#N/A</v>
      </c>
      <c r="E256" s="2" t="e">
        <f t="shared" si="9"/>
        <v>#N/A</v>
      </c>
      <c r="F256" s="2" t="str">
        <f>Fanduel!C256&amp;" "&amp;Fanduel!E256</f>
        <v xml:space="preserve"> </v>
      </c>
      <c r="G256" s="2">
        <f>Fanduel!L256</f>
        <v>0</v>
      </c>
      <c r="H256" s="2">
        <f>Fanduel!H256</f>
        <v>0</v>
      </c>
      <c r="I256" s="2">
        <f t="shared" si="10"/>
        <v>1</v>
      </c>
    </row>
    <row r="257" spans="1:9" x14ac:dyDescent="0.25">
      <c r="A257" s="2">
        <f>RawData!A256</f>
        <v>0</v>
      </c>
      <c r="B257" s="42">
        <f>RawData!C256</f>
        <v>0</v>
      </c>
      <c r="C257" s="2">
        <f>RawData!L256</f>
        <v>0</v>
      </c>
      <c r="D257" s="2" t="e">
        <f t="shared" si="11"/>
        <v>#N/A</v>
      </c>
      <c r="E257" s="2" t="e">
        <f t="shared" si="9"/>
        <v>#N/A</v>
      </c>
      <c r="F257" s="2" t="str">
        <f>Fanduel!C257&amp;" "&amp;Fanduel!E257</f>
        <v xml:space="preserve"> </v>
      </c>
      <c r="G257" s="2">
        <f>Fanduel!L257</f>
        <v>0</v>
      </c>
      <c r="H257" s="2">
        <f>Fanduel!H257</f>
        <v>0</v>
      </c>
      <c r="I257" s="2">
        <f t="shared" si="10"/>
        <v>1</v>
      </c>
    </row>
    <row r="258" spans="1:9" x14ac:dyDescent="0.25">
      <c r="A258" s="2">
        <f>RawData!A257</f>
        <v>0</v>
      </c>
      <c r="B258" s="42">
        <f>RawData!C257</f>
        <v>0</v>
      </c>
      <c r="C258" s="2">
        <f>RawData!L257</f>
        <v>0</v>
      </c>
      <c r="D258" s="2" t="e">
        <f t="shared" si="11"/>
        <v>#N/A</v>
      </c>
      <c r="E258" s="2" t="e">
        <f t="shared" si="9"/>
        <v>#N/A</v>
      </c>
      <c r="F258" s="2" t="str">
        <f>Fanduel!C258&amp;" "&amp;Fanduel!E258</f>
        <v xml:space="preserve"> </v>
      </c>
      <c r="G258" s="2">
        <f>Fanduel!L258</f>
        <v>0</v>
      </c>
      <c r="H258" s="2">
        <f>Fanduel!H258</f>
        <v>0</v>
      </c>
      <c r="I258" s="2">
        <f t="shared" si="10"/>
        <v>1</v>
      </c>
    </row>
    <row r="259" spans="1:9" x14ac:dyDescent="0.25">
      <c r="A259" s="2">
        <f>RawData!A258</f>
        <v>0</v>
      </c>
      <c r="B259" s="42">
        <f>RawData!C258</f>
        <v>0</v>
      </c>
      <c r="C259" s="2">
        <f>RawData!L258</f>
        <v>0</v>
      </c>
      <c r="D259" s="2" t="e">
        <f t="shared" si="11"/>
        <v>#N/A</v>
      </c>
      <c r="E259" s="2" t="e">
        <f t="shared" ref="E259:E322" si="12">VLOOKUP(A259,$F$2:$I$337,4,FALSE)</f>
        <v>#N/A</v>
      </c>
      <c r="F259" s="2" t="str">
        <f>Fanduel!C259&amp;" "&amp;Fanduel!E259</f>
        <v xml:space="preserve"> </v>
      </c>
      <c r="G259" s="2">
        <f>Fanduel!L259</f>
        <v>0</v>
      </c>
      <c r="H259" s="2">
        <f>Fanduel!H259</f>
        <v>0</v>
      </c>
      <c r="I259" s="2">
        <f t="shared" ref="I259:I322" si="13">IF(G259=0,1,0)</f>
        <v>1</v>
      </c>
    </row>
    <row r="260" spans="1:9" x14ac:dyDescent="0.25">
      <c r="A260" s="2">
        <f>RawData!A259</f>
        <v>0</v>
      </c>
      <c r="B260" s="42">
        <f>RawData!C259</f>
        <v>0</v>
      </c>
      <c r="C260" s="2">
        <f>RawData!L259</f>
        <v>0</v>
      </c>
      <c r="D260" s="2" t="e">
        <f t="shared" ref="D260:D323" si="14">VLOOKUP(A260,$F$2:$I$337,3,FALSE)</f>
        <v>#N/A</v>
      </c>
      <c r="E260" s="2" t="e">
        <f t="shared" si="12"/>
        <v>#N/A</v>
      </c>
      <c r="F260" s="2" t="str">
        <f>Fanduel!C260&amp;" "&amp;Fanduel!E260</f>
        <v xml:space="preserve"> </v>
      </c>
      <c r="G260" s="2">
        <f>Fanduel!L260</f>
        <v>0</v>
      </c>
      <c r="H260" s="2">
        <f>Fanduel!H260</f>
        <v>0</v>
      </c>
      <c r="I260" s="2">
        <f t="shared" si="13"/>
        <v>1</v>
      </c>
    </row>
    <row r="261" spans="1:9" x14ac:dyDescent="0.25">
      <c r="A261" s="2">
        <f>RawData!A260</f>
        <v>0</v>
      </c>
      <c r="B261" s="42">
        <f>RawData!C260</f>
        <v>0</v>
      </c>
      <c r="C261" s="2">
        <f>RawData!L260</f>
        <v>0</v>
      </c>
      <c r="D261" s="2" t="e">
        <f t="shared" si="14"/>
        <v>#N/A</v>
      </c>
      <c r="E261" s="2" t="e">
        <f t="shared" si="12"/>
        <v>#N/A</v>
      </c>
      <c r="F261" s="2" t="str">
        <f>Fanduel!C261&amp;" "&amp;Fanduel!E261</f>
        <v xml:space="preserve"> </v>
      </c>
      <c r="G261" s="2">
        <f>Fanduel!L261</f>
        <v>0</v>
      </c>
      <c r="H261" s="2">
        <f>Fanduel!H261</f>
        <v>0</v>
      </c>
      <c r="I261" s="2">
        <f t="shared" si="13"/>
        <v>1</v>
      </c>
    </row>
    <row r="262" spans="1:9" x14ac:dyDescent="0.25">
      <c r="A262" s="2">
        <f>RawData!A261</f>
        <v>0</v>
      </c>
      <c r="B262" s="42">
        <f>RawData!C261</f>
        <v>0</v>
      </c>
      <c r="C262" s="2">
        <f>RawData!L261</f>
        <v>0</v>
      </c>
      <c r="D262" s="2" t="e">
        <f t="shared" si="14"/>
        <v>#N/A</v>
      </c>
      <c r="E262" s="2" t="e">
        <f t="shared" si="12"/>
        <v>#N/A</v>
      </c>
      <c r="F262" s="2" t="str">
        <f>Fanduel!C262&amp;" "&amp;Fanduel!E262</f>
        <v xml:space="preserve"> </v>
      </c>
      <c r="G262" s="2">
        <f>Fanduel!L262</f>
        <v>0</v>
      </c>
      <c r="H262" s="2">
        <f>Fanduel!H262</f>
        <v>0</v>
      </c>
      <c r="I262" s="2">
        <f t="shared" si="13"/>
        <v>1</v>
      </c>
    </row>
    <row r="263" spans="1:9" x14ac:dyDescent="0.25">
      <c r="A263" s="2">
        <f>RawData!A262</f>
        <v>0</v>
      </c>
      <c r="B263" s="42">
        <f>RawData!C262</f>
        <v>0</v>
      </c>
      <c r="C263" s="2">
        <f>RawData!L262</f>
        <v>0</v>
      </c>
      <c r="D263" s="2" t="e">
        <f t="shared" si="14"/>
        <v>#N/A</v>
      </c>
      <c r="E263" s="2" t="e">
        <f t="shared" si="12"/>
        <v>#N/A</v>
      </c>
      <c r="F263" s="2" t="str">
        <f>Fanduel!C263&amp;" "&amp;Fanduel!E263</f>
        <v xml:space="preserve"> </v>
      </c>
      <c r="G263" s="2">
        <f>Fanduel!L263</f>
        <v>0</v>
      </c>
      <c r="H263" s="2">
        <f>Fanduel!H263</f>
        <v>0</v>
      </c>
      <c r="I263" s="2">
        <f t="shared" si="13"/>
        <v>1</v>
      </c>
    </row>
    <row r="264" spans="1:9" x14ac:dyDescent="0.25">
      <c r="A264" s="2">
        <f>RawData!A263</f>
        <v>0</v>
      </c>
      <c r="B264" s="42">
        <f>RawData!C263</f>
        <v>0</v>
      </c>
      <c r="C264" s="2">
        <f>RawData!L263</f>
        <v>0</v>
      </c>
      <c r="D264" s="2" t="e">
        <f t="shared" si="14"/>
        <v>#N/A</v>
      </c>
      <c r="E264" s="2" t="e">
        <f t="shared" si="12"/>
        <v>#N/A</v>
      </c>
      <c r="F264" s="2" t="str">
        <f>Fanduel!C264&amp;" "&amp;Fanduel!E264</f>
        <v xml:space="preserve"> </v>
      </c>
      <c r="G264" s="2">
        <f>Fanduel!L264</f>
        <v>0</v>
      </c>
      <c r="H264" s="2">
        <f>Fanduel!H264</f>
        <v>0</v>
      </c>
      <c r="I264" s="2">
        <f t="shared" si="13"/>
        <v>1</v>
      </c>
    </row>
    <row r="265" spans="1:9" x14ac:dyDescent="0.25">
      <c r="A265" s="2">
        <f>RawData!A264</f>
        <v>0</v>
      </c>
      <c r="B265" s="42">
        <f>RawData!C264</f>
        <v>0</v>
      </c>
      <c r="C265" s="2">
        <f>RawData!L264</f>
        <v>0</v>
      </c>
      <c r="D265" s="2" t="e">
        <f t="shared" si="14"/>
        <v>#N/A</v>
      </c>
      <c r="E265" s="2" t="e">
        <f t="shared" si="12"/>
        <v>#N/A</v>
      </c>
      <c r="F265" s="2" t="str">
        <f>Fanduel!C265&amp;" "&amp;Fanduel!E265</f>
        <v xml:space="preserve"> </v>
      </c>
      <c r="G265" s="2">
        <f>Fanduel!L265</f>
        <v>0</v>
      </c>
      <c r="H265" s="2">
        <f>Fanduel!H265</f>
        <v>0</v>
      </c>
      <c r="I265" s="2">
        <f t="shared" si="13"/>
        <v>1</v>
      </c>
    </row>
    <row r="266" spans="1:9" x14ac:dyDescent="0.25">
      <c r="A266" s="2">
        <f>RawData!A265</f>
        <v>0</v>
      </c>
      <c r="B266" s="42">
        <f>RawData!C265</f>
        <v>0</v>
      </c>
      <c r="C266" s="2">
        <f>RawData!L265</f>
        <v>0</v>
      </c>
      <c r="D266" s="2" t="e">
        <f t="shared" si="14"/>
        <v>#N/A</v>
      </c>
      <c r="E266" s="2" t="e">
        <f t="shared" si="12"/>
        <v>#N/A</v>
      </c>
      <c r="F266" s="2" t="str">
        <f>Fanduel!C266&amp;" "&amp;Fanduel!E266</f>
        <v xml:space="preserve"> </v>
      </c>
      <c r="G266" s="2">
        <f>Fanduel!L266</f>
        <v>0</v>
      </c>
      <c r="H266" s="2">
        <f>Fanduel!H266</f>
        <v>0</v>
      </c>
      <c r="I266" s="2">
        <f t="shared" si="13"/>
        <v>1</v>
      </c>
    </row>
    <row r="267" spans="1:9" x14ac:dyDescent="0.25">
      <c r="A267" s="2">
        <f>RawData!A266</f>
        <v>0</v>
      </c>
      <c r="B267" s="42">
        <f>RawData!C266</f>
        <v>0</v>
      </c>
      <c r="C267" s="2">
        <f>RawData!L266</f>
        <v>0</v>
      </c>
      <c r="D267" s="2" t="e">
        <f t="shared" si="14"/>
        <v>#N/A</v>
      </c>
      <c r="E267" s="2" t="e">
        <f t="shared" si="12"/>
        <v>#N/A</v>
      </c>
      <c r="F267" s="2" t="str">
        <f>Fanduel!C267&amp;" "&amp;Fanduel!E267</f>
        <v xml:space="preserve"> </v>
      </c>
      <c r="G267" s="2">
        <f>Fanduel!L267</f>
        <v>0</v>
      </c>
      <c r="H267" s="2">
        <f>Fanduel!H267</f>
        <v>0</v>
      </c>
      <c r="I267" s="2">
        <f t="shared" si="13"/>
        <v>1</v>
      </c>
    </row>
    <row r="268" spans="1:9" x14ac:dyDescent="0.25">
      <c r="A268" s="2">
        <f>RawData!A267</f>
        <v>0</v>
      </c>
      <c r="B268" s="42">
        <f>RawData!C267</f>
        <v>0</v>
      </c>
      <c r="C268" s="2">
        <f>RawData!L267</f>
        <v>0</v>
      </c>
      <c r="D268" s="2" t="e">
        <f t="shared" si="14"/>
        <v>#N/A</v>
      </c>
      <c r="E268" s="2" t="e">
        <f t="shared" si="12"/>
        <v>#N/A</v>
      </c>
      <c r="F268" s="2" t="str">
        <f>Fanduel!C268&amp;" "&amp;Fanduel!E268</f>
        <v xml:space="preserve"> </v>
      </c>
      <c r="G268" s="2">
        <f>Fanduel!L268</f>
        <v>0</v>
      </c>
      <c r="H268" s="2">
        <f>Fanduel!H268</f>
        <v>0</v>
      </c>
      <c r="I268" s="2">
        <f t="shared" si="13"/>
        <v>1</v>
      </c>
    </row>
    <row r="269" spans="1:9" x14ac:dyDescent="0.25">
      <c r="A269" s="2">
        <f>RawData!A268</f>
        <v>0</v>
      </c>
      <c r="B269" s="42">
        <f>RawData!C268</f>
        <v>0</v>
      </c>
      <c r="C269" s="2">
        <f>RawData!L268</f>
        <v>0</v>
      </c>
      <c r="D269" s="2" t="e">
        <f t="shared" si="14"/>
        <v>#N/A</v>
      </c>
      <c r="E269" s="2" t="e">
        <f t="shared" si="12"/>
        <v>#N/A</v>
      </c>
      <c r="F269" s="2" t="str">
        <f>Fanduel!C269&amp;" "&amp;Fanduel!E269</f>
        <v xml:space="preserve"> </v>
      </c>
      <c r="G269" s="2">
        <f>Fanduel!L269</f>
        <v>0</v>
      </c>
      <c r="H269" s="2">
        <f>Fanduel!H269</f>
        <v>0</v>
      </c>
      <c r="I269" s="2">
        <f t="shared" si="13"/>
        <v>1</v>
      </c>
    </row>
    <row r="270" spans="1:9" x14ac:dyDescent="0.25">
      <c r="A270" s="2">
        <f>RawData!A269</f>
        <v>0</v>
      </c>
      <c r="B270" s="42">
        <f>RawData!C269</f>
        <v>0</v>
      </c>
      <c r="C270" s="2">
        <f>RawData!L269</f>
        <v>0</v>
      </c>
      <c r="D270" s="2" t="e">
        <f t="shared" si="14"/>
        <v>#N/A</v>
      </c>
      <c r="E270" s="2" t="e">
        <f t="shared" si="12"/>
        <v>#N/A</v>
      </c>
      <c r="F270" s="2" t="str">
        <f>Fanduel!C270&amp;" "&amp;Fanduel!E270</f>
        <v xml:space="preserve"> </v>
      </c>
      <c r="G270" s="2">
        <f>Fanduel!L270</f>
        <v>0</v>
      </c>
      <c r="H270" s="2">
        <f>Fanduel!H270</f>
        <v>0</v>
      </c>
      <c r="I270" s="2">
        <f t="shared" si="13"/>
        <v>1</v>
      </c>
    </row>
    <row r="271" spans="1:9" x14ac:dyDescent="0.25">
      <c r="A271" s="2">
        <f>RawData!A270</f>
        <v>0</v>
      </c>
      <c r="B271" s="42">
        <f>RawData!C270</f>
        <v>0</v>
      </c>
      <c r="C271" s="2">
        <f>RawData!L270</f>
        <v>0</v>
      </c>
      <c r="D271" s="2" t="e">
        <f t="shared" si="14"/>
        <v>#N/A</v>
      </c>
      <c r="E271" s="2" t="e">
        <f t="shared" si="12"/>
        <v>#N/A</v>
      </c>
      <c r="F271" s="2" t="str">
        <f>Fanduel!C271&amp;" "&amp;Fanduel!E271</f>
        <v xml:space="preserve"> </v>
      </c>
      <c r="G271" s="2">
        <f>Fanduel!L271</f>
        <v>0</v>
      </c>
      <c r="H271" s="2">
        <f>Fanduel!H271</f>
        <v>0</v>
      </c>
      <c r="I271" s="2">
        <f t="shared" si="13"/>
        <v>1</v>
      </c>
    </row>
    <row r="272" spans="1:9" x14ac:dyDescent="0.25">
      <c r="A272" s="2">
        <f>RawData!A271</f>
        <v>0</v>
      </c>
      <c r="B272" s="42">
        <f>RawData!C271</f>
        <v>0</v>
      </c>
      <c r="C272" s="2">
        <f>RawData!L271</f>
        <v>0</v>
      </c>
      <c r="D272" s="2" t="e">
        <f t="shared" si="14"/>
        <v>#N/A</v>
      </c>
      <c r="E272" s="2" t="e">
        <f t="shared" si="12"/>
        <v>#N/A</v>
      </c>
      <c r="F272" s="2" t="str">
        <f>Fanduel!C272&amp;" "&amp;Fanduel!E272</f>
        <v xml:space="preserve"> </v>
      </c>
      <c r="G272" s="2">
        <f>Fanduel!L272</f>
        <v>0</v>
      </c>
      <c r="H272" s="2">
        <f>Fanduel!H272</f>
        <v>0</v>
      </c>
      <c r="I272" s="2">
        <f t="shared" si="13"/>
        <v>1</v>
      </c>
    </row>
    <row r="273" spans="1:9" x14ac:dyDescent="0.25">
      <c r="A273" s="2">
        <f>RawData!A272</f>
        <v>0</v>
      </c>
      <c r="B273" s="42">
        <f>RawData!C272</f>
        <v>0</v>
      </c>
      <c r="C273" s="2">
        <f>RawData!L272</f>
        <v>0</v>
      </c>
      <c r="D273" s="2" t="e">
        <f t="shared" si="14"/>
        <v>#N/A</v>
      </c>
      <c r="E273" s="2" t="e">
        <f t="shared" si="12"/>
        <v>#N/A</v>
      </c>
      <c r="F273" s="2" t="str">
        <f>Fanduel!C273&amp;" "&amp;Fanduel!E273</f>
        <v xml:space="preserve"> </v>
      </c>
      <c r="G273" s="2">
        <f>Fanduel!L273</f>
        <v>0</v>
      </c>
      <c r="H273" s="2">
        <f>Fanduel!H273</f>
        <v>0</v>
      </c>
      <c r="I273" s="2">
        <f t="shared" si="13"/>
        <v>1</v>
      </c>
    </row>
    <row r="274" spans="1:9" x14ac:dyDescent="0.25">
      <c r="A274" s="2">
        <f>RawData!A273</f>
        <v>0</v>
      </c>
      <c r="B274" s="42">
        <f>RawData!C273</f>
        <v>0</v>
      </c>
      <c r="C274" s="2">
        <f>RawData!L273</f>
        <v>0</v>
      </c>
      <c r="D274" s="2" t="e">
        <f t="shared" si="14"/>
        <v>#N/A</v>
      </c>
      <c r="E274" s="2" t="e">
        <f t="shared" si="12"/>
        <v>#N/A</v>
      </c>
      <c r="F274" s="2" t="str">
        <f>Fanduel!C274&amp;" "&amp;Fanduel!E274</f>
        <v xml:space="preserve"> </v>
      </c>
      <c r="G274" s="2">
        <f>Fanduel!L274</f>
        <v>0</v>
      </c>
      <c r="H274" s="2">
        <f>Fanduel!H274</f>
        <v>0</v>
      </c>
      <c r="I274" s="2">
        <f t="shared" si="13"/>
        <v>1</v>
      </c>
    </row>
    <row r="275" spans="1:9" x14ac:dyDescent="0.25">
      <c r="A275" s="2">
        <f>RawData!A274</f>
        <v>0</v>
      </c>
      <c r="B275" s="42">
        <f>RawData!C274</f>
        <v>0</v>
      </c>
      <c r="C275" s="2">
        <f>RawData!L274</f>
        <v>0</v>
      </c>
      <c r="D275" s="2" t="e">
        <f t="shared" si="14"/>
        <v>#N/A</v>
      </c>
      <c r="E275" s="2" t="e">
        <f t="shared" si="12"/>
        <v>#N/A</v>
      </c>
      <c r="F275" s="2" t="str">
        <f>Fanduel!C275&amp;" "&amp;Fanduel!E275</f>
        <v xml:space="preserve"> </v>
      </c>
      <c r="G275" s="2">
        <f>Fanduel!L275</f>
        <v>0</v>
      </c>
      <c r="H275" s="2">
        <f>Fanduel!H275</f>
        <v>0</v>
      </c>
      <c r="I275" s="2">
        <f t="shared" si="13"/>
        <v>1</v>
      </c>
    </row>
    <row r="276" spans="1:9" x14ac:dyDescent="0.25">
      <c r="A276" s="2">
        <f>RawData!A275</f>
        <v>0</v>
      </c>
      <c r="B276" s="42">
        <f>RawData!C275</f>
        <v>0</v>
      </c>
      <c r="C276" s="2">
        <f>RawData!L275</f>
        <v>0</v>
      </c>
      <c r="D276" s="2" t="e">
        <f t="shared" si="14"/>
        <v>#N/A</v>
      </c>
      <c r="E276" s="2" t="e">
        <f t="shared" si="12"/>
        <v>#N/A</v>
      </c>
      <c r="F276" s="2" t="str">
        <f>Fanduel!C276&amp;" "&amp;Fanduel!E276</f>
        <v xml:space="preserve"> </v>
      </c>
      <c r="G276" s="2">
        <f>Fanduel!L276</f>
        <v>0</v>
      </c>
      <c r="H276" s="2">
        <f>Fanduel!H276</f>
        <v>0</v>
      </c>
      <c r="I276" s="2">
        <f t="shared" si="13"/>
        <v>1</v>
      </c>
    </row>
    <row r="277" spans="1:9" x14ac:dyDescent="0.25">
      <c r="A277" s="2">
        <f>RawData!A276</f>
        <v>0</v>
      </c>
      <c r="B277" s="42">
        <f>RawData!C276</f>
        <v>0</v>
      </c>
      <c r="C277" s="2">
        <f>RawData!L276</f>
        <v>0</v>
      </c>
      <c r="D277" s="2" t="e">
        <f t="shared" si="14"/>
        <v>#N/A</v>
      </c>
      <c r="E277" s="2" t="e">
        <f t="shared" si="12"/>
        <v>#N/A</v>
      </c>
      <c r="F277" s="2" t="str">
        <f>Fanduel!C277&amp;" "&amp;Fanduel!E277</f>
        <v xml:space="preserve"> </v>
      </c>
      <c r="G277" s="2">
        <f>Fanduel!L277</f>
        <v>0</v>
      </c>
      <c r="H277" s="2">
        <f>Fanduel!H277</f>
        <v>0</v>
      </c>
      <c r="I277" s="2">
        <f t="shared" si="13"/>
        <v>1</v>
      </c>
    </row>
    <row r="278" spans="1:9" x14ac:dyDescent="0.25">
      <c r="A278" s="2">
        <f>RawData!A277</f>
        <v>0</v>
      </c>
      <c r="B278" s="42">
        <f>RawData!C277</f>
        <v>0</v>
      </c>
      <c r="C278" s="2">
        <f>RawData!L277</f>
        <v>0</v>
      </c>
      <c r="D278" s="2" t="e">
        <f t="shared" si="14"/>
        <v>#N/A</v>
      </c>
      <c r="E278" s="2" t="e">
        <f t="shared" si="12"/>
        <v>#N/A</v>
      </c>
      <c r="F278" s="2" t="str">
        <f>Fanduel!C278&amp;" "&amp;Fanduel!E278</f>
        <v xml:space="preserve"> </v>
      </c>
      <c r="G278" s="2">
        <f>Fanduel!L278</f>
        <v>0</v>
      </c>
      <c r="H278" s="2">
        <f>Fanduel!H278</f>
        <v>0</v>
      </c>
      <c r="I278" s="2">
        <f t="shared" si="13"/>
        <v>1</v>
      </c>
    </row>
    <row r="279" spans="1:9" x14ac:dyDescent="0.25">
      <c r="A279" s="2">
        <f>RawData!A278</f>
        <v>0</v>
      </c>
      <c r="B279" s="42">
        <f>RawData!C278</f>
        <v>0</v>
      </c>
      <c r="C279" s="2">
        <f>RawData!L278</f>
        <v>0</v>
      </c>
      <c r="D279" s="2" t="e">
        <f t="shared" si="14"/>
        <v>#N/A</v>
      </c>
      <c r="E279" s="2" t="e">
        <f t="shared" si="12"/>
        <v>#N/A</v>
      </c>
      <c r="F279" s="2" t="str">
        <f>Fanduel!C279&amp;" "&amp;Fanduel!E279</f>
        <v xml:space="preserve"> </v>
      </c>
      <c r="G279" s="2">
        <f>Fanduel!L279</f>
        <v>0</v>
      </c>
      <c r="H279" s="2">
        <f>Fanduel!H279</f>
        <v>0</v>
      </c>
      <c r="I279" s="2">
        <f t="shared" si="13"/>
        <v>1</v>
      </c>
    </row>
    <row r="280" spans="1:9" x14ac:dyDescent="0.25">
      <c r="A280" s="2">
        <f>RawData!A279</f>
        <v>0</v>
      </c>
      <c r="B280" s="42">
        <f>RawData!C279</f>
        <v>0</v>
      </c>
      <c r="C280" s="2">
        <f>RawData!L279</f>
        <v>0</v>
      </c>
      <c r="D280" s="2" t="e">
        <f t="shared" si="14"/>
        <v>#N/A</v>
      </c>
      <c r="E280" s="2" t="e">
        <f t="shared" si="12"/>
        <v>#N/A</v>
      </c>
      <c r="F280" s="2" t="str">
        <f>Fanduel!C280&amp;" "&amp;Fanduel!E280</f>
        <v xml:space="preserve"> </v>
      </c>
      <c r="G280" s="2">
        <f>Fanduel!L280</f>
        <v>0</v>
      </c>
      <c r="H280" s="2">
        <f>Fanduel!H280</f>
        <v>0</v>
      </c>
      <c r="I280" s="2">
        <f t="shared" si="13"/>
        <v>1</v>
      </c>
    </row>
    <row r="281" spans="1:9" x14ac:dyDescent="0.25">
      <c r="A281" s="2">
        <f>RawData!A280</f>
        <v>0</v>
      </c>
      <c r="B281" s="42">
        <f>RawData!C280</f>
        <v>0</v>
      </c>
      <c r="C281" s="2">
        <f>RawData!L280</f>
        <v>0</v>
      </c>
      <c r="D281" s="2" t="e">
        <f t="shared" si="14"/>
        <v>#N/A</v>
      </c>
      <c r="E281" s="2" t="e">
        <f t="shared" si="12"/>
        <v>#N/A</v>
      </c>
      <c r="F281" s="2" t="str">
        <f>Fanduel!C281&amp;" "&amp;Fanduel!E281</f>
        <v xml:space="preserve"> </v>
      </c>
      <c r="G281" s="2">
        <f>Fanduel!L281</f>
        <v>0</v>
      </c>
      <c r="H281" s="2">
        <f>Fanduel!H281</f>
        <v>0</v>
      </c>
      <c r="I281" s="2">
        <f t="shared" si="13"/>
        <v>1</v>
      </c>
    </row>
    <row r="282" spans="1:9" x14ac:dyDescent="0.25">
      <c r="A282" s="2">
        <f>RawData!A281</f>
        <v>0</v>
      </c>
      <c r="B282" s="42">
        <f>RawData!C281</f>
        <v>0</v>
      </c>
      <c r="C282" s="2">
        <f>RawData!L281</f>
        <v>0</v>
      </c>
      <c r="D282" s="2" t="e">
        <f t="shared" si="14"/>
        <v>#N/A</v>
      </c>
      <c r="E282" s="2" t="e">
        <f t="shared" si="12"/>
        <v>#N/A</v>
      </c>
      <c r="F282" s="2" t="str">
        <f>Fanduel!C282&amp;" "&amp;Fanduel!E282</f>
        <v xml:space="preserve"> </v>
      </c>
      <c r="G282" s="2">
        <f>Fanduel!L282</f>
        <v>0</v>
      </c>
      <c r="H282" s="2">
        <f>Fanduel!H282</f>
        <v>0</v>
      </c>
      <c r="I282" s="2">
        <f t="shared" si="13"/>
        <v>1</v>
      </c>
    </row>
    <row r="283" spans="1:9" x14ac:dyDescent="0.25">
      <c r="A283" s="2">
        <f>RawData!A282</f>
        <v>0</v>
      </c>
      <c r="B283" s="42">
        <f>RawData!C282</f>
        <v>0</v>
      </c>
      <c r="C283" s="2">
        <f>RawData!L282</f>
        <v>0</v>
      </c>
      <c r="D283" s="2" t="e">
        <f t="shared" si="14"/>
        <v>#N/A</v>
      </c>
      <c r="E283" s="2" t="e">
        <f t="shared" si="12"/>
        <v>#N/A</v>
      </c>
      <c r="F283" s="2" t="str">
        <f>Fanduel!C283&amp;" "&amp;Fanduel!E283</f>
        <v xml:space="preserve"> </v>
      </c>
      <c r="G283" s="2">
        <f>Fanduel!L283</f>
        <v>0</v>
      </c>
      <c r="H283" s="2">
        <f>Fanduel!H283</f>
        <v>0</v>
      </c>
      <c r="I283" s="2">
        <f t="shared" si="13"/>
        <v>1</v>
      </c>
    </row>
    <row r="284" spans="1:9" x14ac:dyDescent="0.25">
      <c r="A284" s="2">
        <f>RawData!A283</f>
        <v>0</v>
      </c>
      <c r="B284" s="42">
        <f>RawData!C283</f>
        <v>0</v>
      </c>
      <c r="C284" s="2">
        <f>RawData!L283</f>
        <v>0</v>
      </c>
      <c r="D284" s="2" t="e">
        <f t="shared" si="14"/>
        <v>#N/A</v>
      </c>
      <c r="E284" s="2" t="e">
        <f t="shared" si="12"/>
        <v>#N/A</v>
      </c>
      <c r="F284" s="2" t="str">
        <f>Fanduel!C284&amp;" "&amp;Fanduel!E284</f>
        <v xml:space="preserve"> </v>
      </c>
      <c r="G284" s="2">
        <f>Fanduel!L284</f>
        <v>0</v>
      </c>
      <c r="H284" s="2">
        <f>Fanduel!H284</f>
        <v>0</v>
      </c>
      <c r="I284" s="2">
        <f t="shared" si="13"/>
        <v>1</v>
      </c>
    </row>
    <row r="285" spans="1:9" x14ac:dyDescent="0.25">
      <c r="A285" s="2">
        <f>RawData!A284</f>
        <v>0</v>
      </c>
      <c r="B285" s="42">
        <f>RawData!C284</f>
        <v>0</v>
      </c>
      <c r="C285" s="2">
        <f>RawData!L284</f>
        <v>0</v>
      </c>
      <c r="D285" s="2" t="e">
        <f t="shared" si="14"/>
        <v>#N/A</v>
      </c>
      <c r="E285" s="2" t="e">
        <f t="shared" si="12"/>
        <v>#N/A</v>
      </c>
      <c r="F285" s="2" t="str">
        <f>Fanduel!C285&amp;" "&amp;Fanduel!E285</f>
        <v xml:space="preserve"> </v>
      </c>
      <c r="G285" s="2">
        <f>Fanduel!L285</f>
        <v>0</v>
      </c>
      <c r="H285" s="2">
        <f>Fanduel!H285</f>
        <v>0</v>
      </c>
      <c r="I285" s="2">
        <f t="shared" si="13"/>
        <v>1</v>
      </c>
    </row>
    <row r="286" spans="1:9" x14ac:dyDescent="0.25">
      <c r="A286" s="2">
        <f>RawData!A285</f>
        <v>0</v>
      </c>
      <c r="B286" s="42">
        <f>RawData!C285</f>
        <v>0</v>
      </c>
      <c r="C286" s="2">
        <f>RawData!L285</f>
        <v>0</v>
      </c>
      <c r="D286" s="2" t="e">
        <f t="shared" si="14"/>
        <v>#N/A</v>
      </c>
      <c r="E286" s="2" t="e">
        <f t="shared" si="12"/>
        <v>#N/A</v>
      </c>
      <c r="F286" s="2" t="str">
        <f>Fanduel!C286&amp;" "&amp;Fanduel!E286</f>
        <v xml:space="preserve"> </v>
      </c>
      <c r="G286" s="2">
        <f>Fanduel!L286</f>
        <v>0</v>
      </c>
      <c r="H286" s="2">
        <f>Fanduel!H286</f>
        <v>0</v>
      </c>
      <c r="I286" s="2">
        <f t="shared" si="13"/>
        <v>1</v>
      </c>
    </row>
    <row r="287" spans="1:9" x14ac:dyDescent="0.25">
      <c r="A287" s="2">
        <f>RawData!A286</f>
        <v>0</v>
      </c>
      <c r="B287" s="42">
        <f>RawData!C286</f>
        <v>0</v>
      </c>
      <c r="C287" s="2">
        <f>RawData!L286</f>
        <v>0</v>
      </c>
      <c r="D287" s="2" t="e">
        <f t="shared" si="14"/>
        <v>#N/A</v>
      </c>
      <c r="E287" s="2" t="e">
        <f t="shared" si="12"/>
        <v>#N/A</v>
      </c>
      <c r="F287" s="2" t="str">
        <f>Fanduel!C287&amp;" "&amp;Fanduel!E287</f>
        <v xml:space="preserve"> </v>
      </c>
      <c r="G287" s="2">
        <f>Fanduel!L287</f>
        <v>0</v>
      </c>
      <c r="H287" s="2">
        <f>Fanduel!H287</f>
        <v>0</v>
      </c>
      <c r="I287" s="2">
        <f t="shared" si="13"/>
        <v>1</v>
      </c>
    </row>
    <row r="288" spans="1:9" x14ac:dyDescent="0.25">
      <c r="A288" s="2">
        <f>RawData!A287</f>
        <v>0</v>
      </c>
      <c r="B288" s="42">
        <f>RawData!C287</f>
        <v>0</v>
      </c>
      <c r="C288" s="2">
        <f>RawData!L287</f>
        <v>0</v>
      </c>
      <c r="D288" s="2" t="e">
        <f t="shared" si="14"/>
        <v>#N/A</v>
      </c>
      <c r="E288" s="2" t="e">
        <f t="shared" si="12"/>
        <v>#N/A</v>
      </c>
      <c r="F288" s="2" t="str">
        <f>Fanduel!C288&amp;" "&amp;Fanduel!E288</f>
        <v xml:space="preserve"> </v>
      </c>
      <c r="G288" s="2">
        <f>Fanduel!L288</f>
        <v>0</v>
      </c>
      <c r="H288" s="2">
        <f>Fanduel!H288</f>
        <v>0</v>
      </c>
      <c r="I288" s="2">
        <f t="shared" si="13"/>
        <v>1</v>
      </c>
    </row>
    <row r="289" spans="1:9" x14ac:dyDescent="0.25">
      <c r="A289" s="2">
        <f>RawData!A288</f>
        <v>0</v>
      </c>
      <c r="B289" s="42">
        <f>RawData!C288</f>
        <v>0</v>
      </c>
      <c r="C289" s="2">
        <f>RawData!L288</f>
        <v>0</v>
      </c>
      <c r="D289" s="2" t="e">
        <f t="shared" si="14"/>
        <v>#N/A</v>
      </c>
      <c r="E289" s="2" t="e">
        <f t="shared" si="12"/>
        <v>#N/A</v>
      </c>
      <c r="F289" s="2" t="str">
        <f>Fanduel!C289&amp;" "&amp;Fanduel!E289</f>
        <v xml:space="preserve"> </v>
      </c>
      <c r="G289" s="2">
        <f>Fanduel!L289</f>
        <v>0</v>
      </c>
      <c r="H289" s="2">
        <f>Fanduel!H289</f>
        <v>0</v>
      </c>
      <c r="I289" s="2">
        <f t="shared" si="13"/>
        <v>1</v>
      </c>
    </row>
    <row r="290" spans="1:9" x14ac:dyDescent="0.25">
      <c r="A290" s="2">
        <f>RawData!A289</f>
        <v>0</v>
      </c>
      <c r="B290" s="42">
        <f>RawData!C289</f>
        <v>0</v>
      </c>
      <c r="C290" s="2">
        <f>RawData!L289</f>
        <v>0</v>
      </c>
      <c r="D290" s="2" t="e">
        <f t="shared" si="14"/>
        <v>#N/A</v>
      </c>
      <c r="E290" s="2" t="e">
        <f t="shared" si="12"/>
        <v>#N/A</v>
      </c>
      <c r="F290" s="2" t="str">
        <f>Fanduel!C290&amp;" "&amp;Fanduel!E290</f>
        <v xml:space="preserve"> </v>
      </c>
      <c r="G290" s="2">
        <f>Fanduel!L290</f>
        <v>0</v>
      </c>
      <c r="H290" s="2">
        <f>Fanduel!H290</f>
        <v>0</v>
      </c>
      <c r="I290" s="2">
        <f t="shared" si="13"/>
        <v>1</v>
      </c>
    </row>
    <row r="291" spans="1:9" x14ac:dyDescent="0.25">
      <c r="A291" s="2">
        <f>RawData!A290</f>
        <v>0</v>
      </c>
      <c r="B291" s="42">
        <f>RawData!C290</f>
        <v>0</v>
      </c>
      <c r="C291" s="2">
        <f>RawData!L290</f>
        <v>0</v>
      </c>
      <c r="D291" s="2" t="e">
        <f t="shared" si="14"/>
        <v>#N/A</v>
      </c>
      <c r="E291" s="2" t="e">
        <f t="shared" si="12"/>
        <v>#N/A</v>
      </c>
      <c r="F291" s="2" t="str">
        <f>Fanduel!C291&amp;" "&amp;Fanduel!E291</f>
        <v xml:space="preserve"> </v>
      </c>
      <c r="G291" s="2">
        <f>Fanduel!L291</f>
        <v>0</v>
      </c>
      <c r="H291" s="2">
        <f>Fanduel!H291</f>
        <v>0</v>
      </c>
      <c r="I291" s="2">
        <f t="shared" si="13"/>
        <v>1</v>
      </c>
    </row>
    <row r="292" spans="1:9" x14ac:dyDescent="0.25">
      <c r="A292" s="2">
        <f>RawData!A291</f>
        <v>0</v>
      </c>
      <c r="B292" s="42">
        <f>RawData!C291</f>
        <v>0</v>
      </c>
      <c r="C292" s="2">
        <f>RawData!L291</f>
        <v>0</v>
      </c>
      <c r="D292" s="2" t="e">
        <f t="shared" si="14"/>
        <v>#N/A</v>
      </c>
      <c r="E292" s="2" t="e">
        <f t="shared" si="12"/>
        <v>#N/A</v>
      </c>
      <c r="F292" s="2" t="str">
        <f>Fanduel!C292&amp;" "&amp;Fanduel!E292</f>
        <v xml:space="preserve"> </v>
      </c>
      <c r="G292" s="2">
        <f>Fanduel!L292</f>
        <v>0</v>
      </c>
      <c r="H292" s="2">
        <f>Fanduel!H292</f>
        <v>0</v>
      </c>
      <c r="I292" s="2">
        <f t="shared" si="13"/>
        <v>1</v>
      </c>
    </row>
    <row r="293" spans="1:9" x14ac:dyDescent="0.25">
      <c r="A293" s="2">
        <f>RawData!A292</f>
        <v>0</v>
      </c>
      <c r="B293" s="42">
        <f>RawData!C292</f>
        <v>0</v>
      </c>
      <c r="C293" s="2">
        <f>RawData!L292</f>
        <v>0</v>
      </c>
      <c r="D293" s="2" t="e">
        <f t="shared" si="14"/>
        <v>#N/A</v>
      </c>
      <c r="E293" s="2" t="e">
        <f t="shared" si="12"/>
        <v>#N/A</v>
      </c>
      <c r="F293" s="2" t="str">
        <f>Fanduel!C293&amp;" "&amp;Fanduel!E293</f>
        <v xml:space="preserve"> </v>
      </c>
      <c r="G293" s="2">
        <f>Fanduel!L293</f>
        <v>0</v>
      </c>
      <c r="H293" s="2">
        <f>Fanduel!H293</f>
        <v>0</v>
      </c>
      <c r="I293" s="2">
        <f t="shared" si="13"/>
        <v>1</v>
      </c>
    </row>
    <row r="294" spans="1:9" x14ac:dyDescent="0.25">
      <c r="A294" s="2">
        <f>RawData!A293</f>
        <v>0</v>
      </c>
      <c r="B294" s="42">
        <f>RawData!C293</f>
        <v>0</v>
      </c>
      <c r="C294" s="2">
        <f>RawData!L293</f>
        <v>0</v>
      </c>
      <c r="D294" s="2" t="e">
        <f t="shared" si="14"/>
        <v>#N/A</v>
      </c>
      <c r="E294" s="2" t="e">
        <f t="shared" si="12"/>
        <v>#N/A</v>
      </c>
      <c r="F294" s="2" t="str">
        <f>Fanduel!C294&amp;" "&amp;Fanduel!E294</f>
        <v xml:space="preserve"> </v>
      </c>
      <c r="G294" s="2">
        <f>Fanduel!L294</f>
        <v>0</v>
      </c>
      <c r="H294" s="2">
        <f>Fanduel!H294</f>
        <v>0</v>
      </c>
      <c r="I294" s="2">
        <f t="shared" si="13"/>
        <v>1</v>
      </c>
    </row>
    <row r="295" spans="1:9" x14ac:dyDescent="0.25">
      <c r="A295" s="2">
        <f>RawData!A294</f>
        <v>0</v>
      </c>
      <c r="B295" s="42">
        <f>RawData!C294</f>
        <v>0</v>
      </c>
      <c r="C295" s="2">
        <f>RawData!L294</f>
        <v>0</v>
      </c>
      <c r="D295" s="2" t="e">
        <f t="shared" si="14"/>
        <v>#N/A</v>
      </c>
      <c r="E295" s="2" t="e">
        <f t="shared" si="12"/>
        <v>#N/A</v>
      </c>
      <c r="F295" s="2" t="str">
        <f>Fanduel!C295&amp;" "&amp;Fanduel!E295</f>
        <v xml:space="preserve"> </v>
      </c>
      <c r="G295" s="2">
        <f>Fanduel!L295</f>
        <v>0</v>
      </c>
      <c r="H295" s="2">
        <f>Fanduel!H295</f>
        <v>0</v>
      </c>
      <c r="I295" s="2">
        <f t="shared" si="13"/>
        <v>1</v>
      </c>
    </row>
    <row r="296" spans="1:9" x14ac:dyDescent="0.25">
      <c r="A296" s="2">
        <f>RawData!A295</f>
        <v>0</v>
      </c>
      <c r="B296" s="42">
        <f>RawData!C295</f>
        <v>0</v>
      </c>
      <c r="C296" s="2">
        <f>RawData!L295</f>
        <v>0</v>
      </c>
      <c r="D296" s="2" t="e">
        <f t="shared" si="14"/>
        <v>#N/A</v>
      </c>
      <c r="E296" s="2" t="e">
        <f t="shared" si="12"/>
        <v>#N/A</v>
      </c>
      <c r="F296" s="2" t="str">
        <f>Fanduel!C296&amp;" "&amp;Fanduel!E296</f>
        <v xml:space="preserve"> </v>
      </c>
      <c r="G296" s="2">
        <f>Fanduel!L296</f>
        <v>0</v>
      </c>
      <c r="H296" s="2">
        <f>Fanduel!H296</f>
        <v>0</v>
      </c>
      <c r="I296" s="2">
        <f t="shared" si="13"/>
        <v>1</v>
      </c>
    </row>
    <row r="297" spans="1:9" x14ac:dyDescent="0.25">
      <c r="A297" s="2">
        <f>RawData!A296</f>
        <v>0</v>
      </c>
      <c r="B297" s="42">
        <f>RawData!C296</f>
        <v>0</v>
      </c>
      <c r="C297" s="2">
        <f>RawData!L296</f>
        <v>0</v>
      </c>
      <c r="D297" s="2" t="e">
        <f t="shared" si="14"/>
        <v>#N/A</v>
      </c>
      <c r="E297" s="2" t="e">
        <f t="shared" si="12"/>
        <v>#N/A</v>
      </c>
      <c r="F297" s="2" t="str">
        <f>Fanduel!C297&amp;" "&amp;Fanduel!E297</f>
        <v xml:space="preserve"> </v>
      </c>
      <c r="G297" s="2">
        <f>Fanduel!L297</f>
        <v>0</v>
      </c>
      <c r="H297" s="2">
        <f>Fanduel!H297</f>
        <v>0</v>
      </c>
      <c r="I297" s="2">
        <f t="shared" si="13"/>
        <v>1</v>
      </c>
    </row>
    <row r="298" spans="1:9" x14ac:dyDescent="0.25">
      <c r="A298" s="2">
        <f>RawData!A297</f>
        <v>0</v>
      </c>
      <c r="B298" s="42">
        <f>RawData!C297</f>
        <v>0</v>
      </c>
      <c r="C298" s="2">
        <f>RawData!L297</f>
        <v>0</v>
      </c>
      <c r="D298" s="2" t="e">
        <f t="shared" si="14"/>
        <v>#N/A</v>
      </c>
      <c r="E298" s="2" t="e">
        <f t="shared" si="12"/>
        <v>#N/A</v>
      </c>
      <c r="F298" s="2" t="str">
        <f>Fanduel!C298&amp;" "&amp;Fanduel!E298</f>
        <v xml:space="preserve"> </v>
      </c>
      <c r="G298" s="2">
        <f>Fanduel!L298</f>
        <v>0</v>
      </c>
      <c r="H298" s="2">
        <f>Fanduel!H298</f>
        <v>0</v>
      </c>
      <c r="I298" s="2">
        <f t="shared" si="13"/>
        <v>1</v>
      </c>
    </row>
    <row r="299" spans="1:9" x14ac:dyDescent="0.25">
      <c r="A299" s="2">
        <f>RawData!A298</f>
        <v>0</v>
      </c>
      <c r="B299" s="42">
        <f>RawData!C298</f>
        <v>0</v>
      </c>
      <c r="C299" s="2">
        <f>RawData!L298</f>
        <v>0</v>
      </c>
      <c r="D299" s="2" t="e">
        <f t="shared" si="14"/>
        <v>#N/A</v>
      </c>
      <c r="E299" s="2" t="e">
        <f t="shared" si="12"/>
        <v>#N/A</v>
      </c>
      <c r="F299" s="2" t="str">
        <f>Fanduel!C299&amp;" "&amp;Fanduel!E299</f>
        <v xml:space="preserve"> </v>
      </c>
      <c r="G299" s="2">
        <f>Fanduel!L299</f>
        <v>0</v>
      </c>
      <c r="H299" s="2">
        <f>Fanduel!H299</f>
        <v>0</v>
      </c>
      <c r="I299" s="2">
        <f t="shared" si="13"/>
        <v>1</v>
      </c>
    </row>
    <row r="300" spans="1:9" x14ac:dyDescent="0.25">
      <c r="A300" s="2">
        <f>RawData!A299</f>
        <v>0</v>
      </c>
      <c r="B300" s="42">
        <f>RawData!C299</f>
        <v>0</v>
      </c>
      <c r="C300" s="2">
        <f>RawData!L299</f>
        <v>0</v>
      </c>
      <c r="D300" s="2" t="e">
        <f t="shared" si="14"/>
        <v>#N/A</v>
      </c>
      <c r="E300" s="2" t="e">
        <f t="shared" si="12"/>
        <v>#N/A</v>
      </c>
      <c r="F300" s="2" t="str">
        <f>Fanduel!C300&amp;" "&amp;Fanduel!E300</f>
        <v xml:space="preserve"> </v>
      </c>
      <c r="G300" s="2">
        <f>Fanduel!L300</f>
        <v>0</v>
      </c>
      <c r="H300" s="2">
        <f>Fanduel!H300</f>
        <v>0</v>
      </c>
      <c r="I300" s="2">
        <f t="shared" si="13"/>
        <v>1</v>
      </c>
    </row>
    <row r="301" spans="1:9" x14ac:dyDescent="0.25">
      <c r="A301" s="2">
        <f>RawData!A300</f>
        <v>0</v>
      </c>
      <c r="B301" s="42">
        <f>RawData!C300</f>
        <v>0</v>
      </c>
      <c r="C301" s="2">
        <f>RawData!L300</f>
        <v>0</v>
      </c>
      <c r="D301" s="2" t="e">
        <f t="shared" si="14"/>
        <v>#N/A</v>
      </c>
      <c r="E301" s="2" t="e">
        <f t="shared" si="12"/>
        <v>#N/A</v>
      </c>
      <c r="F301" s="2" t="str">
        <f>Fanduel!C301&amp;" "&amp;Fanduel!E301</f>
        <v xml:space="preserve"> </v>
      </c>
      <c r="G301" s="2">
        <f>Fanduel!L301</f>
        <v>0</v>
      </c>
      <c r="H301" s="2">
        <f>Fanduel!H301</f>
        <v>0</v>
      </c>
      <c r="I301" s="2">
        <f t="shared" si="13"/>
        <v>1</v>
      </c>
    </row>
    <row r="302" spans="1:9" x14ac:dyDescent="0.25">
      <c r="A302" s="2">
        <f>RawData!A301</f>
        <v>0</v>
      </c>
      <c r="B302" s="42">
        <f>RawData!C301</f>
        <v>0</v>
      </c>
      <c r="C302" s="2">
        <f>RawData!L301</f>
        <v>0</v>
      </c>
      <c r="D302" s="2" t="e">
        <f t="shared" si="14"/>
        <v>#N/A</v>
      </c>
      <c r="E302" s="2" t="e">
        <f t="shared" si="12"/>
        <v>#N/A</v>
      </c>
      <c r="F302" s="2" t="str">
        <f>Fanduel!C302&amp;" "&amp;Fanduel!E302</f>
        <v xml:space="preserve"> </v>
      </c>
      <c r="G302" s="2">
        <f>Fanduel!L302</f>
        <v>0</v>
      </c>
      <c r="H302" s="2">
        <f>Fanduel!H302</f>
        <v>0</v>
      </c>
      <c r="I302" s="2">
        <f t="shared" si="13"/>
        <v>1</v>
      </c>
    </row>
    <row r="303" spans="1:9" x14ac:dyDescent="0.25">
      <c r="A303" s="2">
        <f>RawData!A302</f>
        <v>0</v>
      </c>
      <c r="B303" s="42">
        <f>RawData!C302</f>
        <v>0</v>
      </c>
      <c r="C303" s="2">
        <f>RawData!L302</f>
        <v>0</v>
      </c>
      <c r="D303" s="2" t="e">
        <f t="shared" si="14"/>
        <v>#N/A</v>
      </c>
      <c r="E303" s="2" t="e">
        <f t="shared" si="12"/>
        <v>#N/A</v>
      </c>
      <c r="F303" s="2" t="str">
        <f>Fanduel!C303&amp;" "&amp;Fanduel!E303</f>
        <v xml:space="preserve"> </v>
      </c>
      <c r="G303" s="2">
        <f>Fanduel!L303</f>
        <v>0</v>
      </c>
      <c r="H303" s="2">
        <f>Fanduel!H303</f>
        <v>0</v>
      </c>
      <c r="I303" s="2">
        <f t="shared" si="13"/>
        <v>1</v>
      </c>
    </row>
    <row r="304" spans="1:9" x14ac:dyDescent="0.25">
      <c r="A304" s="2">
        <f>RawData!A303</f>
        <v>0</v>
      </c>
      <c r="B304" s="42">
        <f>RawData!C303</f>
        <v>0</v>
      </c>
      <c r="C304" s="2">
        <f>RawData!L303</f>
        <v>0</v>
      </c>
      <c r="D304" s="2" t="e">
        <f t="shared" si="14"/>
        <v>#N/A</v>
      </c>
      <c r="E304" s="2" t="e">
        <f t="shared" si="12"/>
        <v>#N/A</v>
      </c>
      <c r="F304" s="2" t="str">
        <f>Fanduel!C304&amp;" "&amp;Fanduel!E304</f>
        <v xml:space="preserve"> </v>
      </c>
      <c r="G304" s="2">
        <f>Fanduel!L304</f>
        <v>0</v>
      </c>
      <c r="H304" s="2">
        <f>Fanduel!H304</f>
        <v>0</v>
      </c>
      <c r="I304" s="2">
        <f t="shared" si="13"/>
        <v>1</v>
      </c>
    </row>
    <row r="305" spans="1:9" x14ac:dyDescent="0.25">
      <c r="A305" s="2">
        <f>RawData!A304</f>
        <v>0</v>
      </c>
      <c r="B305" s="42">
        <f>RawData!C304</f>
        <v>0</v>
      </c>
      <c r="C305" s="2">
        <f>RawData!L304</f>
        <v>0</v>
      </c>
      <c r="D305" s="2" t="e">
        <f t="shared" si="14"/>
        <v>#N/A</v>
      </c>
      <c r="E305" s="2" t="e">
        <f t="shared" si="12"/>
        <v>#N/A</v>
      </c>
      <c r="F305" s="2" t="str">
        <f>Fanduel!C305&amp;" "&amp;Fanduel!E305</f>
        <v xml:space="preserve"> </v>
      </c>
      <c r="G305" s="2">
        <f>Fanduel!L305</f>
        <v>0</v>
      </c>
      <c r="H305" s="2">
        <f>Fanduel!H305</f>
        <v>0</v>
      </c>
      <c r="I305" s="2">
        <f t="shared" si="13"/>
        <v>1</v>
      </c>
    </row>
    <row r="306" spans="1:9" x14ac:dyDescent="0.25">
      <c r="A306" s="2">
        <f>RawData!A305</f>
        <v>0</v>
      </c>
      <c r="B306" s="42">
        <f>RawData!C305</f>
        <v>0</v>
      </c>
      <c r="C306" s="2">
        <f>RawData!L305</f>
        <v>0</v>
      </c>
      <c r="D306" s="2" t="e">
        <f t="shared" si="14"/>
        <v>#N/A</v>
      </c>
      <c r="E306" s="2" t="e">
        <f t="shared" si="12"/>
        <v>#N/A</v>
      </c>
      <c r="F306" s="2" t="str">
        <f>Fanduel!C306&amp;" "&amp;Fanduel!E306</f>
        <v xml:space="preserve"> </v>
      </c>
      <c r="G306" s="2">
        <f>Fanduel!L306</f>
        <v>0</v>
      </c>
      <c r="H306" s="2">
        <f>Fanduel!H306</f>
        <v>0</v>
      </c>
      <c r="I306" s="2">
        <f t="shared" si="13"/>
        <v>1</v>
      </c>
    </row>
    <row r="307" spans="1:9" x14ac:dyDescent="0.25">
      <c r="A307" s="2">
        <f>RawData!A306</f>
        <v>0</v>
      </c>
      <c r="B307" s="42">
        <f>RawData!C306</f>
        <v>0</v>
      </c>
      <c r="C307" s="2">
        <f>RawData!L306</f>
        <v>0</v>
      </c>
      <c r="D307" s="2" t="e">
        <f t="shared" si="14"/>
        <v>#N/A</v>
      </c>
      <c r="E307" s="2" t="e">
        <f t="shared" si="12"/>
        <v>#N/A</v>
      </c>
      <c r="F307" s="2" t="str">
        <f>Fanduel!C307&amp;" "&amp;Fanduel!E307</f>
        <v xml:space="preserve"> </v>
      </c>
      <c r="G307" s="2">
        <f>Fanduel!L307</f>
        <v>0</v>
      </c>
      <c r="H307" s="2">
        <f>Fanduel!H307</f>
        <v>0</v>
      </c>
      <c r="I307" s="2">
        <f t="shared" si="13"/>
        <v>1</v>
      </c>
    </row>
    <row r="308" spans="1:9" x14ac:dyDescent="0.25">
      <c r="A308" s="2">
        <f>RawData!A307</f>
        <v>0</v>
      </c>
      <c r="B308" s="42">
        <f>RawData!C307</f>
        <v>0</v>
      </c>
      <c r="C308" s="2">
        <f>RawData!L307</f>
        <v>0</v>
      </c>
      <c r="D308" s="2" t="e">
        <f t="shared" si="14"/>
        <v>#N/A</v>
      </c>
      <c r="E308" s="2" t="e">
        <f t="shared" si="12"/>
        <v>#N/A</v>
      </c>
      <c r="F308" s="2" t="str">
        <f>Fanduel!C308&amp;" "&amp;Fanduel!E308</f>
        <v xml:space="preserve"> </v>
      </c>
      <c r="G308" s="2">
        <f>Fanduel!L308</f>
        <v>0</v>
      </c>
      <c r="H308" s="2">
        <f>Fanduel!H308</f>
        <v>0</v>
      </c>
      <c r="I308" s="2">
        <f t="shared" si="13"/>
        <v>1</v>
      </c>
    </row>
    <row r="309" spans="1:9" x14ac:dyDescent="0.25">
      <c r="A309" s="2">
        <f>RawData!A308</f>
        <v>0</v>
      </c>
      <c r="B309" s="42">
        <f>RawData!C308</f>
        <v>0</v>
      </c>
      <c r="C309" s="2">
        <f>RawData!L308</f>
        <v>0</v>
      </c>
      <c r="D309" s="2" t="e">
        <f t="shared" si="14"/>
        <v>#N/A</v>
      </c>
      <c r="E309" s="2" t="e">
        <f t="shared" si="12"/>
        <v>#N/A</v>
      </c>
      <c r="F309" s="2" t="str">
        <f>Fanduel!C309&amp;" "&amp;Fanduel!E309</f>
        <v xml:space="preserve"> </v>
      </c>
      <c r="G309" s="2">
        <f>Fanduel!L309</f>
        <v>0</v>
      </c>
      <c r="H309" s="2">
        <f>Fanduel!H309</f>
        <v>0</v>
      </c>
      <c r="I309" s="2">
        <f t="shared" si="13"/>
        <v>1</v>
      </c>
    </row>
    <row r="310" spans="1:9" x14ac:dyDescent="0.25">
      <c r="A310" s="2">
        <f>RawData!A309</f>
        <v>0</v>
      </c>
      <c r="B310" s="42">
        <f>RawData!C309</f>
        <v>0</v>
      </c>
      <c r="C310" s="2">
        <f>RawData!L309</f>
        <v>0</v>
      </c>
      <c r="D310" s="2" t="e">
        <f t="shared" si="14"/>
        <v>#N/A</v>
      </c>
      <c r="E310" s="2" t="e">
        <f t="shared" si="12"/>
        <v>#N/A</v>
      </c>
      <c r="F310" s="2" t="str">
        <f>Fanduel!C310&amp;" "&amp;Fanduel!E310</f>
        <v xml:space="preserve"> </v>
      </c>
      <c r="G310" s="2">
        <f>Fanduel!L310</f>
        <v>0</v>
      </c>
      <c r="H310" s="2">
        <f>Fanduel!H310</f>
        <v>0</v>
      </c>
      <c r="I310" s="2">
        <f t="shared" si="13"/>
        <v>1</v>
      </c>
    </row>
    <row r="311" spans="1:9" x14ac:dyDescent="0.25">
      <c r="A311" s="2">
        <f>RawData!A310</f>
        <v>0</v>
      </c>
      <c r="B311" s="42">
        <f>RawData!C310</f>
        <v>0</v>
      </c>
      <c r="C311" s="2">
        <f>RawData!L310</f>
        <v>0</v>
      </c>
      <c r="D311" s="2" t="e">
        <f t="shared" si="14"/>
        <v>#N/A</v>
      </c>
      <c r="E311" s="2" t="e">
        <f t="shared" si="12"/>
        <v>#N/A</v>
      </c>
      <c r="F311" s="2" t="str">
        <f>Fanduel!C311&amp;" "&amp;Fanduel!E311</f>
        <v xml:space="preserve"> </v>
      </c>
      <c r="G311" s="2">
        <f>Fanduel!L311</f>
        <v>0</v>
      </c>
      <c r="H311" s="2">
        <f>Fanduel!H311</f>
        <v>0</v>
      </c>
      <c r="I311" s="2">
        <f t="shared" si="13"/>
        <v>1</v>
      </c>
    </row>
    <row r="312" spans="1:9" x14ac:dyDescent="0.25">
      <c r="A312" s="2">
        <f>RawData!A311</f>
        <v>0</v>
      </c>
      <c r="B312" s="42">
        <f>RawData!C311</f>
        <v>0</v>
      </c>
      <c r="C312" s="2">
        <f>RawData!L311</f>
        <v>0</v>
      </c>
      <c r="D312" s="2" t="e">
        <f t="shared" si="14"/>
        <v>#N/A</v>
      </c>
      <c r="E312" s="2" t="e">
        <f t="shared" si="12"/>
        <v>#N/A</v>
      </c>
      <c r="F312" s="2" t="str">
        <f>Fanduel!C312&amp;" "&amp;Fanduel!E312</f>
        <v xml:space="preserve"> </v>
      </c>
      <c r="G312" s="2">
        <f>Fanduel!L312</f>
        <v>0</v>
      </c>
      <c r="H312" s="2">
        <f>Fanduel!H312</f>
        <v>0</v>
      </c>
      <c r="I312" s="2">
        <f t="shared" si="13"/>
        <v>1</v>
      </c>
    </row>
    <row r="313" spans="1:9" x14ac:dyDescent="0.25">
      <c r="A313" s="2">
        <f>RawData!A312</f>
        <v>0</v>
      </c>
      <c r="B313" s="42">
        <f>RawData!C312</f>
        <v>0</v>
      </c>
      <c r="C313" s="2">
        <f>RawData!L312</f>
        <v>0</v>
      </c>
      <c r="D313" s="2" t="e">
        <f t="shared" si="14"/>
        <v>#N/A</v>
      </c>
      <c r="E313" s="2" t="e">
        <f t="shared" si="12"/>
        <v>#N/A</v>
      </c>
      <c r="F313" s="2" t="str">
        <f>Fanduel!C313&amp;" "&amp;Fanduel!E313</f>
        <v xml:space="preserve"> </v>
      </c>
      <c r="G313" s="2">
        <f>Fanduel!L313</f>
        <v>0</v>
      </c>
      <c r="H313" s="2">
        <f>Fanduel!H313</f>
        <v>0</v>
      </c>
      <c r="I313" s="2">
        <f t="shared" si="13"/>
        <v>1</v>
      </c>
    </row>
    <row r="314" spans="1:9" x14ac:dyDescent="0.25">
      <c r="A314" s="2">
        <f>RawData!A313</f>
        <v>0</v>
      </c>
      <c r="B314" s="42">
        <f>RawData!C313</f>
        <v>0</v>
      </c>
      <c r="C314" s="2">
        <f>RawData!L313</f>
        <v>0</v>
      </c>
      <c r="D314" s="2" t="e">
        <f t="shared" si="14"/>
        <v>#N/A</v>
      </c>
      <c r="E314" s="2" t="e">
        <f t="shared" si="12"/>
        <v>#N/A</v>
      </c>
      <c r="F314" s="2" t="str">
        <f>Fanduel!C314&amp;" "&amp;Fanduel!E314</f>
        <v xml:space="preserve"> </v>
      </c>
      <c r="G314" s="2">
        <f>Fanduel!L314</f>
        <v>0</v>
      </c>
      <c r="H314" s="2">
        <f>Fanduel!H314</f>
        <v>0</v>
      </c>
      <c r="I314" s="2">
        <f t="shared" si="13"/>
        <v>1</v>
      </c>
    </row>
    <row r="315" spans="1:9" x14ac:dyDescent="0.25">
      <c r="A315" s="2">
        <f>RawData!A314</f>
        <v>0</v>
      </c>
      <c r="B315" s="42">
        <f>RawData!C314</f>
        <v>0</v>
      </c>
      <c r="C315" s="2">
        <f>RawData!L314</f>
        <v>0</v>
      </c>
      <c r="D315" s="2" t="e">
        <f t="shared" si="14"/>
        <v>#N/A</v>
      </c>
      <c r="E315" s="2" t="e">
        <f t="shared" si="12"/>
        <v>#N/A</v>
      </c>
      <c r="F315" s="2" t="str">
        <f>Fanduel!C315&amp;" "&amp;Fanduel!E315</f>
        <v xml:space="preserve"> </v>
      </c>
      <c r="G315" s="2">
        <f>Fanduel!L315</f>
        <v>0</v>
      </c>
      <c r="H315" s="2">
        <f>Fanduel!H315</f>
        <v>0</v>
      </c>
      <c r="I315" s="2">
        <f t="shared" si="13"/>
        <v>1</v>
      </c>
    </row>
    <row r="316" spans="1:9" x14ac:dyDescent="0.25">
      <c r="A316" s="2">
        <f>RawData!A315</f>
        <v>0</v>
      </c>
      <c r="B316" s="42">
        <f>RawData!C315</f>
        <v>0</v>
      </c>
      <c r="C316" s="2">
        <f>RawData!L315</f>
        <v>0</v>
      </c>
      <c r="D316" s="2" t="e">
        <f t="shared" si="14"/>
        <v>#N/A</v>
      </c>
      <c r="E316" s="2" t="e">
        <f t="shared" si="12"/>
        <v>#N/A</v>
      </c>
      <c r="F316" s="2" t="str">
        <f>Fanduel!C316&amp;" "&amp;Fanduel!E316</f>
        <v xml:space="preserve"> </v>
      </c>
      <c r="G316" s="2">
        <f>Fanduel!L316</f>
        <v>0</v>
      </c>
      <c r="H316" s="2">
        <f>Fanduel!H316</f>
        <v>0</v>
      </c>
      <c r="I316" s="2">
        <f t="shared" si="13"/>
        <v>1</v>
      </c>
    </row>
    <row r="317" spans="1:9" x14ac:dyDescent="0.25">
      <c r="A317" s="2">
        <f>RawData!A316</f>
        <v>0</v>
      </c>
      <c r="B317" s="42">
        <f>RawData!C316</f>
        <v>0</v>
      </c>
      <c r="C317" s="2">
        <f>RawData!L316</f>
        <v>0</v>
      </c>
      <c r="D317" s="2" t="e">
        <f t="shared" si="14"/>
        <v>#N/A</v>
      </c>
      <c r="E317" s="2" t="e">
        <f t="shared" si="12"/>
        <v>#N/A</v>
      </c>
      <c r="F317" s="2" t="str">
        <f>Fanduel!C317&amp;" "&amp;Fanduel!E317</f>
        <v xml:space="preserve"> </v>
      </c>
      <c r="G317" s="2">
        <f>Fanduel!L317</f>
        <v>0</v>
      </c>
      <c r="H317" s="2">
        <f>Fanduel!H317</f>
        <v>0</v>
      </c>
      <c r="I317" s="2">
        <f t="shared" si="13"/>
        <v>1</v>
      </c>
    </row>
    <row r="318" spans="1:9" x14ac:dyDescent="0.25">
      <c r="A318" s="2">
        <f>RawData!A317</f>
        <v>0</v>
      </c>
      <c r="B318" s="42">
        <f>RawData!C317</f>
        <v>0</v>
      </c>
      <c r="C318" s="2">
        <f>RawData!L317</f>
        <v>0</v>
      </c>
      <c r="D318" s="2" t="e">
        <f t="shared" si="14"/>
        <v>#N/A</v>
      </c>
      <c r="E318" s="2" t="e">
        <f t="shared" si="12"/>
        <v>#N/A</v>
      </c>
      <c r="F318" s="2" t="str">
        <f>Fanduel!C318&amp;" "&amp;Fanduel!E318</f>
        <v xml:space="preserve"> </v>
      </c>
      <c r="G318" s="2">
        <f>Fanduel!L318</f>
        <v>0</v>
      </c>
      <c r="H318" s="2">
        <f>Fanduel!H318</f>
        <v>0</v>
      </c>
      <c r="I318" s="2">
        <f t="shared" si="13"/>
        <v>1</v>
      </c>
    </row>
    <row r="319" spans="1:9" x14ac:dyDescent="0.25">
      <c r="A319" s="2">
        <f>RawData!A318</f>
        <v>0</v>
      </c>
      <c r="B319" s="42">
        <f>RawData!C318</f>
        <v>0</v>
      </c>
      <c r="C319" s="2">
        <f>RawData!L318</f>
        <v>0</v>
      </c>
      <c r="D319" s="2" t="e">
        <f t="shared" si="14"/>
        <v>#N/A</v>
      </c>
      <c r="E319" s="2" t="e">
        <f t="shared" si="12"/>
        <v>#N/A</v>
      </c>
      <c r="F319" s="2" t="str">
        <f>Fanduel!C319&amp;" "&amp;Fanduel!E319</f>
        <v xml:space="preserve"> </v>
      </c>
      <c r="G319" s="2">
        <f>Fanduel!L319</f>
        <v>0</v>
      </c>
      <c r="H319" s="2">
        <f>Fanduel!H319</f>
        <v>0</v>
      </c>
      <c r="I319" s="2">
        <f t="shared" si="13"/>
        <v>1</v>
      </c>
    </row>
    <row r="320" spans="1:9" x14ac:dyDescent="0.25">
      <c r="A320" s="2">
        <f>RawData!A319</f>
        <v>0</v>
      </c>
      <c r="B320" s="42">
        <f>RawData!C319</f>
        <v>0</v>
      </c>
      <c r="C320" s="2">
        <f>RawData!L319</f>
        <v>0</v>
      </c>
      <c r="D320" s="2" t="e">
        <f t="shared" si="14"/>
        <v>#N/A</v>
      </c>
      <c r="E320" s="2" t="e">
        <f t="shared" si="12"/>
        <v>#N/A</v>
      </c>
      <c r="F320" s="2" t="str">
        <f>Fanduel!C320&amp;" "&amp;Fanduel!E320</f>
        <v xml:space="preserve"> </v>
      </c>
      <c r="G320" s="2">
        <f>Fanduel!L320</f>
        <v>0</v>
      </c>
      <c r="H320" s="2">
        <f>Fanduel!H320</f>
        <v>0</v>
      </c>
      <c r="I320" s="2">
        <f t="shared" si="13"/>
        <v>1</v>
      </c>
    </row>
    <row r="321" spans="1:9" x14ac:dyDescent="0.25">
      <c r="A321" s="2">
        <f>RawData!A320</f>
        <v>0</v>
      </c>
      <c r="B321" s="42">
        <f>RawData!C320</f>
        <v>0</v>
      </c>
      <c r="C321" s="2">
        <f>RawData!L320</f>
        <v>0</v>
      </c>
      <c r="D321" s="2" t="e">
        <f t="shared" si="14"/>
        <v>#N/A</v>
      </c>
      <c r="E321" s="2" t="e">
        <f t="shared" si="12"/>
        <v>#N/A</v>
      </c>
      <c r="F321" s="2" t="str">
        <f>Fanduel!C321&amp;" "&amp;Fanduel!E321</f>
        <v xml:space="preserve"> </v>
      </c>
      <c r="G321" s="2">
        <f>Fanduel!L321</f>
        <v>0</v>
      </c>
      <c r="H321" s="2">
        <f>Fanduel!H321</f>
        <v>0</v>
      </c>
      <c r="I321" s="2">
        <f t="shared" si="13"/>
        <v>1</v>
      </c>
    </row>
    <row r="322" spans="1:9" x14ac:dyDescent="0.25">
      <c r="A322" s="2">
        <f>RawData!A321</f>
        <v>0</v>
      </c>
      <c r="B322" s="42">
        <f>RawData!C321</f>
        <v>0</v>
      </c>
      <c r="C322" s="2">
        <f>RawData!L321</f>
        <v>0</v>
      </c>
      <c r="D322" s="2" t="e">
        <f t="shared" si="14"/>
        <v>#N/A</v>
      </c>
      <c r="E322" s="2" t="e">
        <f t="shared" si="12"/>
        <v>#N/A</v>
      </c>
      <c r="F322" s="2" t="str">
        <f>Fanduel!C322&amp;" "&amp;Fanduel!E322</f>
        <v xml:space="preserve"> </v>
      </c>
      <c r="G322" s="2">
        <f>Fanduel!L322</f>
        <v>0</v>
      </c>
      <c r="H322" s="2">
        <f>Fanduel!H322</f>
        <v>0</v>
      </c>
      <c r="I322" s="2">
        <f t="shared" si="13"/>
        <v>1</v>
      </c>
    </row>
    <row r="323" spans="1:9" x14ac:dyDescent="0.25">
      <c r="A323" s="2">
        <f>RawData!A322</f>
        <v>0</v>
      </c>
      <c r="B323" s="42">
        <f>RawData!C322</f>
        <v>0</v>
      </c>
      <c r="C323" s="2">
        <f>RawData!L322</f>
        <v>0</v>
      </c>
      <c r="D323" s="2" t="e">
        <f t="shared" si="14"/>
        <v>#N/A</v>
      </c>
      <c r="E323" s="2" t="e">
        <f t="shared" ref="E323:E337" si="15">VLOOKUP(A323,$F$2:$I$337,4,FALSE)</f>
        <v>#N/A</v>
      </c>
      <c r="F323" s="2" t="str">
        <f>Fanduel!C323&amp;" "&amp;Fanduel!E323</f>
        <v xml:space="preserve"> </v>
      </c>
      <c r="G323" s="2">
        <f>Fanduel!L323</f>
        <v>0</v>
      </c>
      <c r="H323" s="2">
        <f>Fanduel!H323</f>
        <v>0</v>
      </c>
      <c r="I323" s="2">
        <f t="shared" ref="I323:I337" si="16">IF(G323=0,1,0)</f>
        <v>1</v>
      </c>
    </row>
    <row r="324" spans="1:9" x14ac:dyDescent="0.25">
      <c r="A324" s="2">
        <f>RawData!A323</f>
        <v>0</v>
      </c>
      <c r="B324" s="42">
        <f>RawData!C323</f>
        <v>0</v>
      </c>
      <c r="C324" s="2">
        <f>RawData!L323</f>
        <v>0</v>
      </c>
      <c r="D324" s="2" t="e">
        <f t="shared" ref="D324:D337" si="17">VLOOKUP(A324,$F$2:$I$337,3,FALSE)</f>
        <v>#N/A</v>
      </c>
      <c r="E324" s="2" t="e">
        <f t="shared" si="15"/>
        <v>#N/A</v>
      </c>
      <c r="F324" s="2" t="str">
        <f>Fanduel!C324&amp;" "&amp;Fanduel!E324</f>
        <v xml:space="preserve"> </v>
      </c>
      <c r="G324" s="2">
        <f>Fanduel!L324</f>
        <v>0</v>
      </c>
      <c r="H324" s="2">
        <f>Fanduel!H324</f>
        <v>0</v>
      </c>
      <c r="I324" s="2">
        <f t="shared" si="16"/>
        <v>1</v>
      </c>
    </row>
    <row r="325" spans="1:9" x14ac:dyDescent="0.25">
      <c r="A325" s="2">
        <f>RawData!A324</f>
        <v>0</v>
      </c>
      <c r="B325" s="42">
        <f>RawData!C324</f>
        <v>0</v>
      </c>
      <c r="C325" s="2">
        <f>RawData!L324</f>
        <v>0</v>
      </c>
      <c r="D325" s="2" t="e">
        <f t="shared" si="17"/>
        <v>#N/A</v>
      </c>
      <c r="E325" s="2" t="e">
        <f t="shared" si="15"/>
        <v>#N/A</v>
      </c>
      <c r="F325" s="2" t="str">
        <f>Fanduel!C325&amp;" "&amp;Fanduel!E325</f>
        <v xml:space="preserve"> </v>
      </c>
      <c r="G325" s="2">
        <f>Fanduel!L325</f>
        <v>0</v>
      </c>
      <c r="H325" s="2">
        <f>Fanduel!H325</f>
        <v>0</v>
      </c>
      <c r="I325" s="2">
        <f t="shared" si="16"/>
        <v>1</v>
      </c>
    </row>
    <row r="326" spans="1:9" x14ac:dyDescent="0.25">
      <c r="A326" s="2">
        <f>RawData!A325</f>
        <v>0</v>
      </c>
      <c r="B326" s="42">
        <f>RawData!C325</f>
        <v>0</v>
      </c>
      <c r="C326" s="2">
        <f>RawData!L325</f>
        <v>0</v>
      </c>
      <c r="D326" s="2" t="e">
        <f t="shared" si="17"/>
        <v>#N/A</v>
      </c>
      <c r="E326" s="2" t="e">
        <f t="shared" si="15"/>
        <v>#N/A</v>
      </c>
      <c r="F326" s="2" t="str">
        <f>Fanduel!C326&amp;" "&amp;Fanduel!E326</f>
        <v xml:space="preserve"> </v>
      </c>
      <c r="G326" s="2">
        <f>Fanduel!L326</f>
        <v>0</v>
      </c>
      <c r="H326" s="2">
        <f>Fanduel!H326</f>
        <v>0</v>
      </c>
      <c r="I326" s="2">
        <f t="shared" si="16"/>
        <v>1</v>
      </c>
    </row>
    <row r="327" spans="1:9" x14ac:dyDescent="0.25">
      <c r="A327" s="2">
        <f>RawData!A326</f>
        <v>0</v>
      </c>
      <c r="B327" s="42">
        <f>RawData!C326</f>
        <v>0</v>
      </c>
      <c r="C327" s="2">
        <f>RawData!L326</f>
        <v>0</v>
      </c>
      <c r="D327" s="2" t="e">
        <f t="shared" si="17"/>
        <v>#N/A</v>
      </c>
      <c r="E327" s="2" t="e">
        <f t="shared" si="15"/>
        <v>#N/A</v>
      </c>
      <c r="F327" s="2" t="str">
        <f>Fanduel!C327&amp;" "&amp;Fanduel!E327</f>
        <v xml:space="preserve"> </v>
      </c>
      <c r="G327" s="2">
        <f>Fanduel!L327</f>
        <v>0</v>
      </c>
      <c r="H327" s="2">
        <f>Fanduel!H327</f>
        <v>0</v>
      </c>
      <c r="I327" s="2">
        <f t="shared" si="16"/>
        <v>1</v>
      </c>
    </row>
    <row r="328" spans="1:9" x14ac:dyDescent="0.25">
      <c r="A328" s="2">
        <f>RawData!A327</f>
        <v>0</v>
      </c>
      <c r="B328" s="42">
        <f>RawData!C327</f>
        <v>0</v>
      </c>
      <c r="C328" s="2">
        <f>RawData!L327</f>
        <v>0</v>
      </c>
      <c r="D328" s="2" t="e">
        <f t="shared" si="17"/>
        <v>#N/A</v>
      </c>
      <c r="E328" s="2" t="e">
        <f t="shared" si="15"/>
        <v>#N/A</v>
      </c>
      <c r="F328" s="2" t="str">
        <f>Fanduel!C328&amp;" "&amp;Fanduel!E328</f>
        <v xml:space="preserve"> </v>
      </c>
      <c r="G328" s="2">
        <f>Fanduel!L328</f>
        <v>0</v>
      </c>
      <c r="H328" s="2">
        <f>Fanduel!H328</f>
        <v>0</v>
      </c>
      <c r="I328" s="2">
        <f t="shared" si="16"/>
        <v>1</v>
      </c>
    </row>
    <row r="329" spans="1:9" x14ac:dyDescent="0.25">
      <c r="A329" s="2">
        <f>RawData!A328</f>
        <v>0</v>
      </c>
      <c r="B329" s="42">
        <f>RawData!C328</f>
        <v>0</v>
      </c>
      <c r="C329" s="2">
        <f>RawData!L328</f>
        <v>0</v>
      </c>
      <c r="D329" s="2" t="e">
        <f t="shared" si="17"/>
        <v>#N/A</v>
      </c>
      <c r="E329" s="2" t="e">
        <f t="shared" si="15"/>
        <v>#N/A</v>
      </c>
      <c r="F329" s="2" t="str">
        <f>Fanduel!C329&amp;" "&amp;Fanduel!E329</f>
        <v xml:space="preserve"> </v>
      </c>
      <c r="G329" s="2">
        <f>Fanduel!L329</f>
        <v>0</v>
      </c>
      <c r="H329" s="2">
        <f>Fanduel!H329</f>
        <v>0</v>
      </c>
      <c r="I329" s="2">
        <f t="shared" si="16"/>
        <v>1</v>
      </c>
    </row>
    <row r="330" spans="1:9" x14ac:dyDescent="0.25">
      <c r="A330" s="2">
        <f>RawData!A329</f>
        <v>0</v>
      </c>
      <c r="B330" s="42">
        <f>RawData!C329</f>
        <v>0</v>
      </c>
      <c r="C330" s="2">
        <f>RawData!L329</f>
        <v>0</v>
      </c>
      <c r="D330" s="2" t="e">
        <f t="shared" si="17"/>
        <v>#N/A</v>
      </c>
      <c r="E330" s="2" t="e">
        <f t="shared" si="15"/>
        <v>#N/A</v>
      </c>
      <c r="F330" s="2" t="str">
        <f>Fanduel!C330&amp;" "&amp;Fanduel!E330</f>
        <v xml:space="preserve"> </v>
      </c>
      <c r="G330" s="2">
        <f>Fanduel!L330</f>
        <v>0</v>
      </c>
      <c r="H330" s="2">
        <f>Fanduel!H330</f>
        <v>0</v>
      </c>
      <c r="I330" s="2">
        <f t="shared" si="16"/>
        <v>1</v>
      </c>
    </row>
    <row r="331" spans="1:9" x14ac:dyDescent="0.25">
      <c r="A331" s="2">
        <f>RawData!A330</f>
        <v>0</v>
      </c>
      <c r="B331" s="42">
        <f>RawData!C330</f>
        <v>0</v>
      </c>
      <c r="C331" s="2">
        <f>RawData!L330</f>
        <v>0</v>
      </c>
      <c r="D331" s="2" t="e">
        <f t="shared" si="17"/>
        <v>#N/A</v>
      </c>
      <c r="E331" s="2" t="e">
        <f t="shared" si="15"/>
        <v>#N/A</v>
      </c>
      <c r="F331" s="2" t="str">
        <f>Fanduel!C331&amp;" "&amp;Fanduel!E331</f>
        <v xml:space="preserve"> </v>
      </c>
      <c r="G331" s="2">
        <f>Fanduel!L331</f>
        <v>0</v>
      </c>
      <c r="H331" s="2">
        <f>Fanduel!H331</f>
        <v>0</v>
      </c>
      <c r="I331" s="2">
        <f t="shared" si="16"/>
        <v>1</v>
      </c>
    </row>
    <row r="332" spans="1:9" x14ac:dyDescent="0.25">
      <c r="A332" s="2">
        <f>RawData!A331</f>
        <v>0</v>
      </c>
      <c r="B332" s="42">
        <f>RawData!C331</f>
        <v>0</v>
      </c>
      <c r="C332" s="2">
        <f>RawData!L331</f>
        <v>0</v>
      </c>
      <c r="D332" s="2" t="e">
        <f t="shared" si="17"/>
        <v>#N/A</v>
      </c>
      <c r="E332" s="2" t="e">
        <f t="shared" si="15"/>
        <v>#N/A</v>
      </c>
      <c r="F332" s="2" t="str">
        <f>Fanduel!C332&amp;" "&amp;Fanduel!E332</f>
        <v xml:space="preserve"> </v>
      </c>
      <c r="G332" s="2">
        <f>Fanduel!L332</f>
        <v>0</v>
      </c>
      <c r="H332" s="2">
        <f>Fanduel!H332</f>
        <v>0</v>
      </c>
      <c r="I332" s="2">
        <f t="shared" si="16"/>
        <v>1</v>
      </c>
    </row>
    <row r="333" spans="1:9" x14ac:dyDescent="0.25">
      <c r="A333" s="2">
        <f>RawData!A332</f>
        <v>0</v>
      </c>
      <c r="B333" s="42">
        <f>RawData!C332</f>
        <v>0</v>
      </c>
      <c r="C333" s="2">
        <f>RawData!L332</f>
        <v>0</v>
      </c>
      <c r="D333" s="2" t="e">
        <f t="shared" si="17"/>
        <v>#N/A</v>
      </c>
      <c r="E333" s="2" t="e">
        <f t="shared" si="15"/>
        <v>#N/A</v>
      </c>
      <c r="F333" s="2" t="str">
        <f>Fanduel!C333&amp;" "&amp;Fanduel!E333</f>
        <v xml:space="preserve"> </v>
      </c>
      <c r="G333" s="2">
        <f>Fanduel!L333</f>
        <v>0</v>
      </c>
      <c r="H333" s="2">
        <f>Fanduel!H333</f>
        <v>0</v>
      </c>
      <c r="I333" s="2">
        <f t="shared" si="16"/>
        <v>1</v>
      </c>
    </row>
    <row r="334" spans="1:9" x14ac:dyDescent="0.25">
      <c r="A334" s="2">
        <f>RawData!A333</f>
        <v>0</v>
      </c>
      <c r="B334" s="42">
        <f>RawData!C333</f>
        <v>0</v>
      </c>
      <c r="C334" s="2">
        <f>RawData!L333</f>
        <v>0</v>
      </c>
      <c r="D334" s="2" t="e">
        <f t="shared" si="17"/>
        <v>#N/A</v>
      </c>
      <c r="E334" s="2" t="e">
        <f t="shared" si="15"/>
        <v>#N/A</v>
      </c>
      <c r="F334" s="2" t="str">
        <f>Fanduel!C334&amp;" "&amp;Fanduel!E334</f>
        <v xml:space="preserve"> </v>
      </c>
      <c r="G334" s="2">
        <f>Fanduel!L334</f>
        <v>0</v>
      </c>
      <c r="H334" s="2">
        <f>Fanduel!H334</f>
        <v>0</v>
      </c>
      <c r="I334" s="2">
        <f t="shared" si="16"/>
        <v>1</v>
      </c>
    </row>
    <row r="335" spans="1:9" x14ac:dyDescent="0.25">
      <c r="A335" s="2">
        <f>RawData!A334</f>
        <v>0</v>
      </c>
      <c r="B335" s="42">
        <f>RawData!C334</f>
        <v>0</v>
      </c>
      <c r="C335" s="2">
        <f>RawData!L334</f>
        <v>0</v>
      </c>
      <c r="D335" s="2" t="e">
        <f t="shared" si="17"/>
        <v>#N/A</v>
      </c>
      <c r="E335" s="2" t="e">
        <f t="shared" si="15"/>
        <v>#N/A</v>
      </c>
      <c r="F335" s="2" t="str">
        <f>Fanduel!C335&amp;" "&amp;Fanduel!E335</f>
        <v xml:space="preserve"> </v>
      </c>
      <c r="G335" s="2">
        <f>Fanduel!L335</f>
        <v>0</v>
      </c>
      <c r="H335" s="2">
        <f>Fanduel!H335</f>
        <v>0</v>
      </c>
      <c r="I335" s="2">
        <f t="shared" si="16"/>
        <v>1</v>
      </c>
    </row>
    <row r="336" spans="1:9" x14ac:dyDescent="0.25">
      <c r="A336" s="2">
        <f>RawData!A335</f>
        <v>0</v>
      </c>
      <c r="B336" s="42">
        <f>RawData!C335</f>
        <v>0</v>
      </c>
      <c r="C336" s="2">
        <f>RawData!L335</f>
        <v>0</v>
      </c>
      <c r="D336" s="2" t="e">
        <f t="shared" si="17"/>
        <v>#N/A</v>
      </c>
      <c r="E336" s="2" t="e">
        <f t="shared" si="15"/>
        <v>#N/A</v>
      </c>
      <c r="F336" s="2" t="str">
        <f>Fanduel!C336&amp;" "&amp;Fanduel!E336</f>
        <v xml:space="preserve"> </v>
      </c>
      <c r="G336" s="2">
        <f>Fanduel!L336</f>
        <v>0</v>
      </c>
      <c r="H336" s="2">
        <f>Fanduel!H336</f>
        <v>0</v>
      </c>
      <c r="I336" s="2">
        <f t="shared" si="16"/>
        <v>1</v>
      </c>
    </row>
    <row r="337" spans="1:9" x14ac:dyDescent="0.25">
      <c r="A337" s="2">
        <f>RawData!A336</f>
        <v>0</v>
      </c>
      <c r="B337" s="42">
        <f>RawData!C336</f>
        <v>0</v>
      </c>
      <c r="C337" s="2">
        <f>RawData!L336</f>
        <v>0</v>
      </c>
      <c r="D337" s="2" t="e">
        <f t="shared" si="17"/>
        <v>#N/A</v>
      </c>
      <c r="E337" s="2" t="e">
        <f t="shared" si="15"/>
        <v>#N/A</v>
      </c>
      <c r="F337" s="2" t="str">
        <f>Fanduel!C337&amp;" "&amp;Fanduel!E337</f>
        <v xml:space="preserve"> </v>
      </c>
      <c r="G337" s="2">
        <f>Fanduel!L337</f>
        <v>0</v>
      </c>
      <c r="H337" s="2">
        <f>Fanduel!H337</f>
        <v>0</v>
      </c>
      <c r="I337" s="2">
        <f t="shared" si="16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tabSelected="1" workbookViewId="0">
      <selection activeCell="E10" sqref="E10"/>
    </sheetView>
  </sheetViews>
  <sheetFormatPr defaultRowHeight="15" x14ac:dyDescent="0.25"/>
  <cols>
    <col min="1" max="1" width="24.7109375" bestFit="1" customWidth="1"/>
    <col min="2" max="2" width="10.140625" bestFit="1" customWidth="1"/>
  </cols>
  <sheetData>
    <row r="1" spans="1:3" x14ac:dyDescent="0.25">
      <c r="A1" t="s">
        <v>20</v>
      </c>
      <c r="B1" t="s">
        <v>716</v>
      </c>
      <c r="C1" t="s">
        <v>717</v>
      </c>
    </row>
    <row r="2" spans="1:3" x14ac:dyDescent="0.25">
      <c r="A2" t="str">
        <f>'Fanduel Basketball Solver'!O17</f>
        <v>Kemba Walker</v>
      </c>
      <c r="B2">
        <f>VLOOKUP(A2,RawData!$A$1:$M$146,12,FALSE)</f>
        <v>43.24</v>
      </c>
      <c r="C2">
        <v>55.4</v>
      </c>
    </row>
    <row r="3" spans="1:3" x14ac:dyDescent="0.25">
      <c r="A3" s="2" t="str">
        <f>'Fanduel Basketball Solver'!O18</f>
        <v>Damian Lillard</v>
      </c>
      <c r="B3" s="2">
        <f>VLOOKUP(A3,RawData!$A$1:$M$146,12,FALSE)</f>
        <v>42.78</v>
      </c>
      <c r="C3">
        <v>40</v>
      </c>
    </row>
    <row r="4" spans="1:3" x14ac:dyDescent="0.25">
      <c r="A4" s="2" t="str">
        <f>'Fanduel Basketball Solver'!O19</f>
        <v>Kentavious Caldwell-Pope</v>
      </c>
      <c r="B4" s="2">
        <f>VLOOKUP(A4,RawData!$A$1:$M$146,12,FALSE)</f>
        <v>26.36</v>
      </c>
      <c r="C4">
        <v>48.3</v>
      </c>
    </row>
    <row r="5" spans="1:3" x14ac:dyDescent="0.25">
      <c r="A5" s="2" t="str">
        <f>'Fanduel Basketball Solver'!O20</f>
        <v>Tyreke Evans</v>
      </c>
      <c r="B5" s="2">
        <f>VLOOKUP(A5,RawData!$A$1:$M$146,12,FALSE)</f>
        <v>23.69</v>
      </c>
      <c r="C5">
        <v>22.3</v>
      </c>
    </row>
    <row r="6" spans="1:3" x14ac:dyDescent="0.25">
      <c r="A6" s="2" t="str">
        <f>'Fanduel Basketball Solver'!O21</f>
        <v>Wilson Chandler</v>
      </c>
      <c r="B6" s="2">
        <f>VLOOKUP(A6,RawData!$A$1:$M$146,12,FALSE)</f>
        <v>31.86</v>
      </c>
      <c r="C6">
        <v>29.5</v>
      </c>
    </row>
    <row r="7" spans="1:3" x14ac:dyDescent="0.25">
      <c r="A7" s="2" t="str">
        <f>'Fanduel Basketball Solver'!O22</f>
        <v>Trevor Ariza</v>
      </c>
      <c r="B7" s="2">
        <f>VLOOKUP(A7,RawData!$A$1:$M$146,12,FALSE)</f>
        <v>26.5</v>
      </c>
      <c r="C7">
        <v>23.4</v>
      </c>
    </row>
    <row r="8" spans="1:3" x14ac:dyDescent="0.25">
      <c r="A8" s="2" t="str">
        <f>'Fanduel Basketball Solver'!O23</f>
        <v>Anthony Davis</v>
      </c>
      <c r="B8" s="2">
        <f>VLOOKUP(A8,RawData!$A$1:$M$146,12,FALSE)</f>
        <v>54.75</v>
      </c>
      <c r="C8">
        <v>46.3</v>
      </c>
    </row>
    <row r="9" spans="1:3" x14ac:dyDescent="0.25">
      <c r="A9" s="2" t="str">
        <f>'Fanduel Basketball Solver'!O24</f>
        <v>Frank Kaminsky</v>
      </c>
      <c r="B9" s="2">
        <f>VLOOKUP(A9,RawData!$A$1:$M$146,12,FALSE)</f>
        <v>30.73</v>
      </c>
      <c r="C9">
        <v>24.2</v>
      </c>
    </row>
    <row r="10" spans="1:3" x14ac:dyDescent="0.25">
      <c r="A10" s="2" t="str">
        <f>'Fanduel Basketball Solver'!O25</f>
        <v>Mason Plumlee</v>
      </c>
      <c r="B10" s="2">
        <f>VLOOKUP(A10,RawData!$A$1:$M$146,12,FALSE)</f>
        <v>31.53</v>
      </c>
      <c r="C10">
        <v>16.100000000000001</v>
      </c>
    </row>
    <row r="11" spans="1:3" x14ac:dyDescent="0.25">
      <c r="A11" s="2"/>
      <c r="B11">
        <f>SUM(B2:B10)</f>
        <v>311.44000000000005</v>
      </c>
      <c r="C11">
        <f>SUM(C2:C10)</f>
        <v>305.5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11" sqref="J1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I16" sqref="I16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5" customWidth="1"/>
    <col min="9" max="9" width="32.8554687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4" t="s">
        <v>19</v>
      </c>
      <c r="E2" s="44"/>
      <c r="F2" s="44"/>
      <c r="G2" s="44"/>
      <c r="H2" s="44"/>
      <c r="I2" s="44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5" t="s">
        <v>21</v>
      </c>
      <c r="E3" s="45"/>
      <c r="F3" s="45"/>
      <c r="G3" s="45"/>
      <c r="H3" s="45"/>
      <c r="I3" s="45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8</v>
      </c>
      <c r="C15" s="15"/>
      <c r="D15" s="38">
        <f>'Fanduel Basketball Solver'!O11</f>
        <v>311.44</v>
      </c>
      <c r="E15" s="36"/>
      <c r="F15" s="41" t="str">
        <f>'Fanduel Basketball Solver'!O17</f>
        <v>Kemba Walker</v>
      </c>
      <c r="G15" s="40" t="str">
        <f>'Fanduel Basketball Solver'!O18</f>
        <v>Damian Lillard</v>
      </c>
      <c r="H15" s="41" t="str">
        <f>'Fanduel Basketball Solver'!O19</f>
        <v>Kentavious Caldwell-Pope</v>
      </c>
      <c r="I15" s="40" t="str">
        <f>'Fanduel Basketball Solver'!O20</f>
        <v>Tyreke Evans</v>
      </c>
      <c r="J15" s="41" t="str">
        <f>'Fanduel Basketball Solver'!O25</f>
        <v>Mason Plumlee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9</v>
      </c>
      <c r="C16" s="15"/>
      <c r="D16" s="39">
        <f>'Fanduel Basketball Solver'!O8</f>
        <v>59800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'Fanduel Basketball Solver'!O21</f>
        <v>Wilson Chandler</v>
      </c>
      <c r="G17" s="41" t="str">
        <f>'Fanduel Basketball Solver'!O22</f>
        <v>Trevor Ariza</v>
      </c>
      <c r="H17" s="40" t="str">
        <f>'Fanduel Basketball Solver'!O23</f>
        <v>Anthony Davis</v>
      </c>
      <c r="I17" s="41" t="str">
        <f>'Fanduel Basketball Solver'!O24</f>
        <v>Frank Kaminsky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workbookViewId="0">
      <selection activeCell="B7" sqref="B7"/>
    </sheetView>
  </sheetViews>
  <sheetFormatPr defaultRowHeight="15" x14ac:dyDescent="0.25"/>
  <cols>
    <col min="1" max="1" width="25" style="2" bestFit="1" customWidth="1"/>
    <col min="2" max="2" width="26.85546875" style="2" customWidth="1"/>
    <col min="3" max="16384" width="9.140625" style="2"/>
  </cols>
  <sheetData>
    <row r="1" spans="1:2" x14ac:dyDescent="0.25">
      <c r="A1" s="2" t="s">
        <v>718</v>
      </c>
      <c r="B1" s="43" t="s">
        <v>719</v>
      </c>
    </row>
    <row r="2" spans="1:2" x14ac:dyDescent="0.25">
      <c r="A2" s="2" t="s">
        <v>720</v>
      </c>
    </row>
    <row r="3" spans="1:2" x14ac:dyDescent="0.25">
      <c r="A3" s="2" t="s">
        <v>721</v>
      </c>
      <c r="B3" s="43" t="s">
        <v>722</v>
      </c>
    </row>
  </sheetData>
  <hyperlinks>
    <hyperlink ref="B1" r:id="rId1"/>
    <hyperlink ref="B3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Fanduel Basketball Solver</vt:lpstr>
      <vt:lpstr>RawData</vt:lpstr>
      <vt:lpstr>Fanduel</vt:lpstr>
      <vt:lpstr>Stats</vt:lpstr>
      <vt:lpstr>Check</vt:lpstr>
      <vt:lpstr>CheckData</vt:lpstr>
      <vt:lpstr>Sheet1</vt:lpstr>
      <vt:lpstr>Instructions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2017-02-24T13:38:27Z</dcterms:modified>
</cp:coreProperties>
</file>