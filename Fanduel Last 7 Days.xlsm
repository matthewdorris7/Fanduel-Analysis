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activeTab="3"/>
  </bookViews>
  <sheets>
    <sheet name="DraftKings Basketball  Solver" sheetId="2" r:id="rId1"/>
    <sheet name="RawData" sheetId="5" r:id="rId2"/>
    <sheet name="Sheet1" sheetId="4" r:id="rId3"/>
    <sheet name="Sheet2" sheetId="6" r:id="rId4"/>
    <sheet name="Sheet3" sheetId="7" r:id="rId5"/>
  </sheets>
  <definedNames>
    <definedName name="hstats.cgi?05d013100" localSheetId="3">Sheet2!$A$1:$P$553</definedName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U5" i="6" l="1"/>
  <c r="O2" i="5"/>
  <c r="S11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8" i="6"/>
  <c r="T229" i="6"/>
  <c r="T230" i="6"/>
  <c r="T231" i="6"/>
  <c r="T232" i="6"/>
  <c r="T233" i="6"/>
  <c r="T234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1" i="6"/>
  <c r="T252" i="6"/>
  <c r="T253" i="6"/>
  <c r="T254" i="6"/>
  <c r="T255" i="6"/>
  <c r="T256" i="6"/>
  <c r="T257" i="6"/>
  <c r="T258" i="6"/>
  <c r="T259" i="6"/>
  <c r="T260" i="6"/>
  <c r="T261" i="6"/>
  <c r="T262" i="6"/>
  <c r="T263" i="6"/>
  <c r="T264" i="6"/>
  <c r="T265" i="6"/>
  <c r="T266" i="6"/>
  <c r="T267" i="6"/>
  <c r="T268" i="6"/>
  <c r="T269" i="6"/>
  <c r="T270" i="6"/>
  <c r="T271" i="6"/>
  <c r="T272" i="6"/>
  <c r="T273" i="6"/>
  <c r="T274" i="6"/>
  <c r="T275" i="6"/>
  <c r="T276" i="6"/>
  <c r="T277" i="6"/>
  <c r="T278" i="6"/>
  <c r="T279" i="6"/>
  <c r="T280" i="6"/>
  <c r="T281" i="6"/>
  <c r="T282" i="6"/>
  <c r="T283" i="6"/>
  <c r="T284" i="6"/>
  <c r="T285" i="6"/>
  <c r="T286" i="6"/>
  <c r="T287" i="6"/>
  <c r="T288" i="6"/>
  <c r="T289" i="6"/>
  <c r="T290" i="6"/>
  <c r="T291" i="6"/>
  <c r="T292" i="6"/>
  <c r="T293" i="6"/>
  <c r="T294" i="6"/>
  <c r="T295" i="6"/>
  <c r="T296" i="6"/>
  <c r="T297" i="6"/>
  <c r="T298" i="6"/>
  <c r="T299" i="6"/>
  <c r="T300" i="6"/>
  <c r="T301" i="6"/>
  <c r="T302" i="6"/>
  <c r="T303" i="6"/>
  <c r="T304" i="6"/>
  <c r="T305" i="6"/>
  <c r="T306" i="6"/>
  <c r="T307" i="6"/>
  <c r="T308" i="6"/>
  <c r="T309" i="6"/>
  <c r="T310" i="6"/>
  <c r="T311" i="6"/>
  <c r="T312" i="6"/>
  <c r="T313" i="6"/>
  <c r="T314" i="6"/>
  <c r="T315" i="6"/>
  <c r="T316" i="6"/>
  <c r="T317" i="6"/>
  <c r="T318" i="6"/>
  <c r="T319" i="6"/>
  <c r="T320" i="6"/>
  <c r="T321" i="6"/>
  <c r="T322" i="6"/>
  <c r="T323" i="6"/>
  <c r="T324" i="6"/>
  <c r="T325" i="6"/>
  <c r="T326" i="6"/>
  <c r="T327" i="6"/>
  <c r="T328" i="6"/>
  <c r="T329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T343" i="6"/>
  <c r="T344" i="6"/>
  <c r="T345" i="6"/>
  <c r="T346" i="6"/>
  <c r="T347" i="6"/>
  <c r="T348" i="6"/>
  <c r="T349" i="6"/>
  <c r="T350" i="6"/>
  <c r="T351" i="6"/>
  <c r="T352" i="6"/>
  <c r="T353" i="6"/>
  <c r="T354" i="6"/>
  <c r="T355" i="6"/>
  <c r="T356" i="6"/>
  <c r="T357" i="6"/>
  <c r="T358" i="6"/>
  <c r="T359" i="6"/>
  <c r="T360" i="6"/>
  <c r="T361" i="6"/>
  <c r="T362" i="6"/>
  <c r="T363" i="6"/>
  <c r="T364" i="6"/>
  <c r="T365" i="6"/>
  <c r="T366" i="6"/>
  <c r="T367" i="6"/>
  <c r="T368" i="6"/>
  <c r="T369" i="6"/>
  <c r="T370" i="6"/>
  <c r="T371" i="6"/>
  <c r="T372" i="6"/>
  <c r="T373" i="6"/>
  <c r="T374" i="6"/>
  <c r="T375" i="6"/>
  <c r="T376" i="6"/>
  <c r="T377" i="6"/>
  <c r="T378" i="6"/>
  <c r="T379" i="6"/>
  <c r="T380" i="6"/>
  <c r="T381" i="6"/>
  <c r="T382" i="6"/>
  <c r="T383" i="6"/>
  <c r="T384" i="6"/>
  <c r="T385" i="6"/>
  <c r="T386" i="6"/>
  <c r="T387" i="6"/>
  <c r="T388" i="6"/>
  <c r="T389" i="6"/>
  <c r="T390" i="6"/>
  <c r="T391" i="6"/>
  <c r="T392" i="6"/>
  <c r="T393" i="6"/>
  <c r="T394" i="6"/>
  <c r="T395" i="6"/>
  <c r="T396" i="6"/>
  <c r="T397" i="6"/>
  <c r="T398" i="6"/>
  <c r="T399" i="6"/>
  <c r="T400" i="6"/>
  <c r="T401" i="6"/>
  <c r="T402" i="6"/>
  <c r="T403" i="6"/>
  <c r="T404" i="6"/>
  <c r="T405" i="6"/>
  <c r="T406" i="6"/>
  <c r="T407" i="6"/>
  <c r="T408" i="6"/>
  <c r="T409" i="6"/>
  <c r="T410" i="6"/>
  <c r="T411" i="6"/>
  <c r="T412" i="6"/>
  <c r="T413" i="6"/>
  <c r="T414" i="6"/>
  <c r="T415" i="6"/>
  <c r="T416" i="6"/>
  <c r="T417" i="6"/>
  <c r="T418" i="6"/>
  <c r="T419" i="6"/>
  <c r="T420" i="6"/>
  <c r="T421" i="6"/>
  <c r="T422" i="6"/>
  <c r="T423" i="6"/>
  <c r="T424" i="6"/>
  <c r="T425" i="6"/>
  <c r="T426" i="6"/>
  <c r="T427" i="6"/>
  <c r="T428" i="6"/>
  <c r="T429" i="6"/>
  <c r="T430" i="6"/>
  <c r="T431" i="6"/>
  <c r="T432" i="6"/>
  <c r="T433" i="6"/>
  <c r="T434" i="6"/>
  <c r="T435" i="6"/>
  <c r="T436" i="6"/>
  <c r="T437" i="6"/>
  <c r="T438" i="6"/>
  <c r="T439" i="6"/>
  <c r="T440" i="6"/>
  <c r="T441" i="6"/>
  <c r="T442" i="6"/>
  <c r="T443" i="6"/>
  <c r="T444" i="6"/>
  <c r="T445" i="6"/>
  <c r="T446" i="6"/>
  <c r="T447" i="6"/>
  <c r="T448" i="6"/>
  <c r="T449" i="6"/>
  <c r="T450" i="6"/>
  <c r="T451" i="6"/>
  <c r="T452" i="6"/>
  <c r="T453" i="6"/>
  <c r="T454" i="6"/>
  <c r="T455" i="6"/>
  <c r="T456" i="6"/>
  <c r="T457" i="6"/>
  <c r="T458" i="6"/>
  <c r="T459" i="6"/>
  <c r="T460" i="6"/>
  <c r="T461" i="6"/>
  <c r="T462" i="6"/>
  <c r="T463" i="6"/>
  <c r="T464" i="6"/>
  <c r="T465" i="6"/>
  <c r="T466" i="6"/>
  <c r="T467" i="6"/>
  <c r="T468" i="6"/>
  <c r="T469" i="6"/>
  <c r="T470" i="6"/>
  <c r="T471" i="6"/>
  <c r="T472" i="6"/>
  <c r="T473" i="6"/>
  <c r="T474" i="6"/>
  <c r="T475" i="6"/>
  <c r="T476" i="6"/>
  <c r="T477" i="6"/>
  <c r="T478" i="6"/>
  <c r="T479" i="6"/>
  <c r="T480" i="6"/>
  <c r="T481" i="6"/>
  <c r="T482" i="6"/>
  <c r="T483" i="6"/>
  <c r="T484" i="6"/>
  <c r="T485" i="6"/>
  <c r="T486" i="6"/>
  <c r="T487" i="6"/>
  <c r="T488" i="6"/>
  <c r="T489" i="6"/>
  <c r="T490" i="6"/>
  <c r="T491" i="6"/>
  <c r="T492" i="6"/>
  <c r="T493" i="6"/>
  <c r="T494" i="6"/>
  <c r="T495" i="6"/>
  <c r="T496" i="6"/>
  <c r="T497" i="6"/>
  <c r="T498" i="6"/>
  <c r="T499" i="6"/>
  <c r="T500" i="6"/>
  <c r="T501" i="6"/>
  <c r="T502" i="6"/>
  <c r="T503" i="6"/>
  <c r="T504" i="6"/>
  <c r="T505" i="6"/>
  <c r="T506" i="6"/>
  <c r="T507" i="6"/>
  <c r="T508" i="6"/>
  <c r="T509" i="6"/>
  <c r="T510" i="6"/>
  <c r="T511" i="6"/>
  <c r="T512" i="6"/>
  <c r="T513" i="6"/>
  <c r="T514" i="6"/>
  <c r="T515" i="6"/>
  <c r="T516" i="6"/>
  <c r="T517" i="6"/>
  <c r="T518" i="6"/>
  <c r="T519" i="6"/>
  <c r="T520" i="6"/>
  <c r="T521" i="6"/>
  <c r="T522" i="6"/>
  <c r="T523" i="6"/>
  <c r="T524" i="6"/>
  <c r="T525" i="6"/>
  <c r="T526" i="6"/>
  <c r="T527" i="6"/>
  <c r="T528" i="6"/>
  <c r="T529" i="6"/>
  <c r="T530" i="6"/>
  <c r="T531" i="6"/>
  <c r="T532" i="6"/>
  <c r="T533" i="6"/>
  <c r="T534" i="6"/>
  <c r="T535" i="6"/>
  <c r="T536" i="6"/>
  <c r="T537" i="6"/>
  <c r="T538" i="6"/>
  <c r="T539" i="6"/>
  <c r="T540" i="6"/>
  <c r="T541" i="6"/>
  <c r="T542" i="6"/>
  <c r="T543" i="6"/>
  <c r="T544" i="6"/>
  <c r="T545" i="6"/>
  <c r="T546" i="6"/>
  <c r="T547" i="6"/>
  <c r="T548" i="6"/>
  <c r="T549" i="6"/>
  <c r="T550" i="6"/>
  <c r="T551" i="6"/>
  <c r="T552" i="6"/>
  <c r="T553" i="6"/>
  <c r="T554" i="6"/>
  <c r="T555" i="6"/>
  <c r="T5" i="6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2" i="5"/>
  <c r="S6" i="6"/>
  <c r="S7" i="6"/>
  <c r="S8" i="6"/>
  <c r="S9" i="6"/>
  <c r="S10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" i="6"/>
  <c r="B2" i="2"/>
  <c r="Q7" i="6"/>
  <c r="R7" i="6"/>
  <c r="Q8" i="6"/>
  <c r="R8" i="6"/>
  <c r="Q9" i="6"/>
  <c r="R9" i="6"/>
  <c r="Q10" i="6"/>
  <c r="R10" i="6"/>
  <c r="Q11" i="6"/>
  <c r="R11" i="6"/>
  <c r="Q12" i="6"/>
  <c r="R12" i="6"/>
  <c r="Q13" i="6"/>
  <c r="R13" i="6"/>
  <c r="Q14" i="6"/>
  <c r="R14" i="6"/>
  <c r="Q15" i="6"/>
  <c r="R15" i="6"/>
  <c r="Q16" i="6"/>
  <c r="R16" i="6"/>
  <c r="Q17" i="6"/>
  <c r="R17" i="6"/>
  <c r="Q18" i="6"/>
  <c r="R18" i="6"/>
  <c r="Q19" i="6"/>
  <c r="R19" i="6"/>
  <c r="Q20" i="6"/>
  <c r="R20" i="6"/>
  <c r="Q21" i="6"/>
  <c r="R21" i="6"/>
  <c r="Q22" i="6"/>
  <c r="R22" i="6"/>
  <c r="Q23" i="6"/>
  <c r="R23" i="6"/>
  <c r="Q24" i="6"/>
  <c r="R24" i="6"/>
  <c r="Q25" i="6"/>
  <c r="R25" i="6"/>
  <c r="Q26" i="6"/>
  <c r="R26" i="6"/>
  <c r="Q27" i="6"/>
  <c r="R27" i="6"/>
  <c r="Q28" i="6"/>
  <c r="R28" i="6"/>
  <c r="Q29" i="6"/>
  <c r="R29" i="6"/>
  <c r="Q30" i="6"/>
  <c r="R30" i="6"/>
  <c r="Q31" i="6"/>
  <c r="R31" i="6"/>
  <c r="Q32" i="6"/>
  <c r="R32" i="6"/>
  <c r="Q33" i="6"/>
  <c r="R33" i="6"/>
  <c r="Q34" i="6"/>
  <c r="R34" i="6"/>
  <c r="Q35" i="6"/>
  <c r="R35" i="6"/>
  <c r="Q36" i="6"/>
  <c r="R36" i="6"/>
  <c r="Q37" i="6"/>
  <c r="R37" i="6"/>
  <c r="Q38" i="6"/>
  <c r="R38" i="6"/>
  <c r="Q39" i="6"/>
  <c r="R39" i="6"/>
  <c r="Q40" i="6"/>
  <c r="R40" i="6"/>
  <c r="Q41" i="6"/>
  <c r="R41" i="6"/>
  <c r="Q42" i="6"/>
  <c r="R42" i="6"/>
  <c r="Q43" i="6"/>
  <c r="R43" i="6"/>
  <c r="Q44" i="6"/>
  <c r="R44" i="6"/>
  <c r="Q45" i="6"/>
  <c r="R45" i="6"/>
  <c r="Q46" i="6"/>
  <c r="R46" i="6"/>
  <c r="Q47" i="6"/>
  <c r="R47" i="6"/>
  <c r="Q48" i="6"/>
  <c r="R48" i="6"/>
  <c r="Q49" i="6"/>
  <c r="R49" i="6"/>
  <c r="Q50" i="6"/>
  <c r="R50" i="6"/>
  <c r="Q51" i="6"/>
  <c r="R51" i="6"/>
  <c r="Q52" i="6"/>
  <c r="R52" i="6"/>
  <c r="Q53" i="6"/>
  <c r="R53" i="6"/>
  <c r="Q54" i="6"/>
  <c r="R54" i="6"/>
  <c r="Q55" i="6"/>
  <c r="R55" i="6"/>
  <c r="Q56" i="6"/>
  <c r="R56" i="6"/>
  <c r="Q57" i="6"/>
  <c r="R57" i="6"/>
  <c r="Q58" i="6"/>
  <c r="R58" i="6"/>
  <c r="Q59" i="6"/>
  <c r="R59" i="6"/>
  <c r="Q60" i="6"/>
  <c r="R60" i="6"/>
  <c r="Q61" i="6"/>
  <c r="R61" i="6"/>
  <c r="Q62" i="6"/>
  <c r="R62" i="6"/>
  <c r="Q63" i="6"/>
  <c r="R63" i="6"/>
  <c r="Q64" i="6"/>
  <c r="R64" i="6"/>
  <c r="Q65" i="6"/>
  <c r="R65" i="6"/>
  <c r="Q66" i="6"/>
  <c r="R66" i="6"/>
  <c r="Q67" i="6"/>
  <c r="R67" i="6"/>
  <c r="Q68" i="6"/>
  <c r="R68" i="6"/>
  <c r="Q69" i="6"/>
  <c r="R69" i="6"/>
  <c r="Q70" i="6"/>
  <c r="R70" i="6"/>
  <c r="Q71" i="6"/>
  <c r="R71" i="6"/>
  <c r="Q72" i="6"/>
  <c r="R72" i="6"/>
  <c r="Q73" i="6"/>
  <c r="R73" i="6"/>
  <c r="Q74" i="6"/>
  <c r="R74" i="6"/>
  <c r="Q75" i="6"/>
  <c r="R75" i="6"/>
  <c r="Q76" i="6"/>
  <c r="R76" i="6"/>
  <c r="Q77" i="6"/>
  <c r="R77" i="6"/>
  <c r="Q78" i="6"/>
  <c r="R78" i="6"/>
  <c r="Q79" i="6"/>
  <c r="R79" i="6"/>
  <c r="Q80" i="6"/>
  <c r="R80" i="6"/>
  <c r="Q81" i="6"/>
  <c r="R81" i="6"/>
  <c r="Q82" i="6"/>
  <c r="R82" i="6"/>
  <c r="Q83" i="6"/>
  <c r="R83" i="6"/>
  <c r="Q84" i="6"/>
  <c r="R84" i="6"/>
  <c r="Q85" i="6"/>
  <c r="R85" i="6"/>
  <c r="Q86" i="6"/>
  <c r="R86" i="6"/>
  <c r="Q87" i="6"/>
  <c r="R87" i="6"/>
  <c r="Q88" i="6"/>
  <c r="R88" i="6"/>
  <c r="Q89" i="6"/>
  <c r="R89" i="6"/>
  <c r="Q90" i="6"/>
  <c r="R90" i="6"/>
  <c r="Q91" i="6"/>
  <c r="R91" i="6"/>
  <c r="Q92" i="6"/>
  <c r="R92" i="6"/>
  <c r="Q93" i="6"/>
  <c r="R93" i="6"/>
  <c r="Q94" i="6"/>
  <c r="R94" i="6"/>
  <c r="Q95" i="6"/>
  <c r="R95" i="6"/>
  <c r="Q96" i="6"/>
  <c r="R96" i="6"/>
  <c r="Q97" i="6"/>
  <c r="R97" i="6"/>
  <c r="Q98" i="6"/>
  <c r="R98" i="6"/>
  <c r="Q99" i="6"/>
  <c r="R99" i="6"/>
  <c r="Q100" i="6"/>
  <c r="R100" i="6"/>
  <c r="Q101" i="6"/>
  <c r="R101" i="6"/>
  <c r="Q102" i="6"/>
  <c r="R102" i="6"/>
  <c r="Q103" i="6"/>
  <c r="R103" i="6"/>
  <c r="Q104" i="6"/>
  <c r="R104" i="6"/>
  <c r="Q105" i="6"/>
  <c r="R105" i="6"/>
  <c r="Q106" i="6"/>
  <c r="R106" i="6"/>
  <c r="Q107" i="6"/>
  <c r="R107" i="6"/>
  <c r="Q108" i="6"/>
  <c r="R108" i="6"/>
  <c r="Q109" i="6"/>
  <c r="R109" i="6"/>
  <c r="Q110" i="6"/>
  <c r="R110" i="6"/>
  <c r="Q111" i="6"/>
  <c r="R111" i="6"/>
  <c r="Q112" i="6"/>
  <c r="R112" i="6"/>
  <c r="Q113" i="6"/>
  <c r="R113" i="6"/>
  <c r="Q114" i="6"/>
  <c r="R114" i="6"/>
  <c r="Q115" i="6"/>
  <c r="R115" i="6"/>
  <c r="Q116" i="6"/>
  <c r="R116" i="6"/>
  <c r="Q117" i="6"/>
  <c r="R117" i="6"/>
  <c r="Q118" i="6"/>
  <c r="R118" i="6"/>
  <c r="Q119" i="6"/>
  <c r="R119" i="6"/>
  <c r="Q120" i="6"/>
  <c r="R120" i="6"/>
  <c r="Q121" i="6"/>
  <c r="R121" i="6"/>
  <c r="Q122" i="6"/>
  <c r="R122" i="6"/>
  <c r="Q123" i="6"/>
  <c r="R123" i="6"/>
  <c r="Q124" i="6"/>
  <c r="R124" i="6"/>
  <c r="Q125" i="6"/>
  <c r="R125" i="6"/>
  <c r="Q126" i="6"/>
  <c r="R126" i="6"/>
  <c r="Q127" i="6"/>
  <c r="R127" i="6"/>
  <c r="Q128" i="6"/>
  <c r="R128" i="6"/>
  <c r="Q129" i="6"/>
  <c r="R129" i="6"/>
  <c r="Q130" i="6"/>
  <c r="R130" i="6"/>
  <c r="Q131" i="6"/>
  <c r="R131" i="6"/>
  <c r="Q132" i="6"/>
  <c r="R132" i="6"/>
  <c r="Q133" i="6"/>
  <c r="R133" i="6"/>
  <c r="Q134" i="6"/>
  <c r="R134" i="6"/>
  <c r="Q135" i="6"/>
  <c r="R135" i="6"/>
  <c r="Q136" i="6"/>
  <c r="R136" i="6"/>
  <c r="Q137" i="6"/>
  <c r="R137" i="6"/>
  <c r="Q138" i="6"/>
  <c r="R138" i="6"/>
  <c r="Q139" i="6"/>
  <c r="R139" i="6"/>
  <c r="Q140" i="6"/>
  <c r="R140" i="6"/>
  <c r="Q141" i="6"/>
  <c r="R141" i="6"/>
  <c r="Q142" i="6"/>
  <c r="R142" i="6"/>
  <c r="Q143" i="6"/>
  <c r="R143" i="6"/>
  <c r="Q144" i="6"/>
  <c r="R144" i="6"/>
  <c r="Q145" i="6"/>
  <c r="R145" i="6"/>
  <c r="Q146" i="6"/>
  <c r="R146" i="6"/>
  <c r="Q147" i="6"/>
  <c r="R147" i="6"/>
  <c r="Q148" i="6"/>
  <c r="R148" i="6"/>
  <c r="Q149" i="6"/>
  <c r="R149" i="6"/>
  <c r="Q150" i="6"/>
  <c r="R150" i="6"/>
  <c r="Q151" i="6"/>
  <c r="R151" i="6"/>
  <c r="Q152" i="6"/>
  <c r="R152" i="6"/>
  <c r="Q153" i="6"/>
  <c r="R153" i="6"/>
  <c r="Q154" i="6"/>
  <c r="R154" i="6"/>
  <c r="Q155" i="6"/>
  <c r="R155" i="6"/>
  <c r="Q156" i="6"/>
  <c r="R156" i="6"/>
  <c r="Q157" i="6"/>
  <c r="R157" i="6"/>
  <c r="Q158" i="6"/>
  <c r="R158" i="6"/>
  <c r="Q159" i="6"/>
  <c r="R159" i="6"/>
  <c r="Q160" i="6"/>
  <c r="R160" i="6"/>
  <c r="Q161" i="6"/>
  <c r="R161" i="6"/>
  <c r="Q162" i="6"/>
  <c r="R162" i="6"/>
  <c r="Q163" i="6"/>
  <c r="R163" i="6"/>
  <c r="Q164" i="6"/>
  <c r="R164" i="6"/>
  <c r="Q165" i="6"/>
  <c r="R165" i="6"/>
  <c r="Q166" i="6"/>
  <c r="R166" i="6"/>
  <c r="Q167" i="6"/>
  <c r="R167" i="6"/>
  <c r="Q168" i="6"/>
  <c r="R168" i="6"/>
  <c r="Q169" i="6"/>
  <c r="R169" i="6"/>
  <c r="Q170" i="6"/>
  <c r="R170" i="6"/>
  <c r="Q171" i="6"/>
  <c r="R171" i="6"/>
  <c r="Q172" i="6"/>
  <c r="R172" i="6"/>
  <c r="Q173" i="6"/>
  <c r="R173" i="6"/>
  <c r="Q174" i="6"/>
  <c r="R174" i="6"/>
  <c r="Q175" i="6"/>
  <c r="R175" i="6"/>
  <c r="Q176" i="6"/>
  <c r="R176" i="6"/>
  <c r="Q177" i="6"/>
  <c r="R177" i="6"/>
  <c r="Q178" i="6"/>
  <c r="R178" i="6"/>
  <c r="Q179" i="6"/>
  <c r="R179" i="6"/>
  <c r="Q180" i="6"/>
  <c r="R180" i="6"/>
  <c r="Q181" i="6"/>
  <c r="R181" i="6"/>
  <c r="Q182" i="6"/>
  <c r="R182" i="6"/>
  <c r="Q183" i="6"/>
  <c r="R183" i="6"/>
  <c r="Q184" i="6"/>
  <c r="R184" i="6"/>
  <c r="Q185" i="6"/>
  <c r="R185" i="6"/>
  <c r="Q186" i="6"/>
  <c r="R186" i="6"/>
  <c r="Q187" i="6"/>
  <c r="R187" i="6"/>
  <c r="Q188" i="6"/>
  <c r="R188" i="6"/>
  <c r="Q189" i="6"/>
  <c r="R189" i="6"/>
  <c r="Q190" i="6"/>
  <c r="R190" i="6"/>
  <c r="Q191" i="6"/>
  <c r="R191" i="6"/>
  <c r="Q192" i="6"/>
  <c r="R192" i="6"/>
  <c r="Q193" i="6"/>
  <c r="R193" i="6"/>
  <c r="Q194" i="6"/>
  <c r="R194" i="6"/>
  <c r="Q195" i="6"/>
  <c r="R195" i="6"/>
  <c r="Q196" i="6"/>
  <c r="R196" i="6"/>
  <c r="Q197" i="6"/>
  <c r="R197" i="6"/>
  <c r="Q198" i="6"/>
  <c r="R198" i="6"/>
  <c r="Q199" i="6"/>
  <c r="R199" i="6"/>
  <c r="Q200" i="6"/>
  <c r="R200" i="6"/>
  <c r="Q201" i="6"/>
  <c r="R201" i="6"/>
  <c r="Q202" i="6"/>
  <c r="R202" i="6"/>
  <c r="Q203" i="6"/>
  <c r="R203" i="6"/>
  <c r="Q204" i="6"/>
  <c r="R204" i="6"/>
  <c r="Q205" i="6"/>
  <c r="R205" i="6"/>
  <c r="Q206" i="6"/>
  <c r="R206" i="6"/>
  <c r="Q207" i="6"/>
  <c r="R207" i="6"/>
  <c r="Q208" i="6"/>
  <c r="R208" i="6"/>
  <c r="Q209" i="6"/>
  <c r="R209" i="6"/>
  <c r="Q210" i="6"/>
  <c r="R210" i="6"/>
  <c r="Q211" i="6"/>
  <c r="R211" i="6"/>
  <c r="Q212" i="6"/>
  <c r="R212" i="6"/>
  <c r="Q213" i="6"/>
  <c r="R213" i="6"/>
  <c r="Q214" i="6"/>
  <c r="R214" i="6"/>
  <c r="Q215" i="6"/>
  <c r="R215" i="6"/>
  <c r="Q216" i="6"/>
  <c r="R216" i="6"/>
  <c r="Q217" i="6"/>
  <c r="R217" i="6"/>
  <c r="Q218" i="6"/>
  <c r="R218" i="6"/>
  <c r="Q219" i="6"/>
  <c r="R219" i="6"/>
  <c r="Q220" i="6"/>
  <c r="R220" i="6"/>
  <c r="Q221" i="6"/>
  <c r="R221" i="6"/>
  <c r="Q222" i="6"/>
  <c r="R222" i="6"/>
  <c r="Q223" i="6"/>
  <c r="R223" i="6"/>
  <c r="Q224" i="6"/>
  <c r="R224" i="6"/>
  <c r="Q225" i="6"/>
  <c r="R225" i="6"/>
  <c r="Q226" i="6"/>
  <c r="R226" i="6"/>
  <c r="Q227" i="6"/>
  <c r="R227" i="6"/>
  <c r="Q228" i="6"/>
  <c r="R228" i="6"/>
  <c r="Q229" i="6"/>
  <c r="R229" i="6"/>
  <c r="Q230" i="6"/>
  <c r="R230" i="6"/>
  <c r="Q231" i="6"/>
  <c r="R231" i="6"/>
  <c r="Q232" i="6"/>
  <c r="R232" i="6"/>
  <c r="Q233" i="6"/>
  <c r="R233" i="6"/>
  <c r="Q234" i="6"/>
  <c r="R234" i="6"/>
  <c r="Q235" i="6"/>
  <c r="R235" i="6"/>
  <c r="Q236" i="6"/>
  <c r="R236" i="6"/>
  <c r="Q237" i="6"/>
  <c r="R237" i="6"/>
  <c r="Q238" i="6"/>
  <c r="R238" i="6"/>
  <c r="Q239" i="6"/>
  <c r="R239" i="6"/>
  <c r="Q240" i="6"/>
  <c r="R240" i="6"/>
  <c r="Q241" i="6"/>
  <c r="R241" i="6"/>
  <c r="Q242" i="6"/>
  <c r="R242" i="6"/>
  <c r="Q243" i="6"/>
  <c r="R243" i="6"/>
  <c r="Q244" i="6"/>
  <c r="R244" i="6"/>
  <c r="Q245" i="6"/>
  <c r="R245" i="6"/>
  <c r="Q246" i="6"/>
  <c r="R246" i="6"/>
  <c r="Q247" i="6"/>
  <c r="R247" i="6"/>
  <c r="Q248" i="6"/>
  <c r="R248" i="6"/>
  <c r="Q249" i="6"/>
  <c r="R249" i="6"/>
  <c r="Q250" i="6"/>
  <c r="R250" i="6"/>
  <c r="Q251" i="6"/>
  <c r="R251" i="6"/>
  <c r="Q252" i="6"/>
  <c r="R252" i="6"/>
  <c r="Q253" i="6"/>
  <c r="R253" i="6"/>
  <c r="Q254" i="6"/>
  <c r="R254" i="6"/>
  <c r="Q255" i="6"/>
  <c r="R255" i="6"/>
  <c r="Q256" i="6"/>
  <c r="R256" i="6"/>
  <c r="Q257" i="6"/>
  <c r="R257" i="6"/>
  <c r="Q258" i="6"/>
  <c r="R258" i="6"/>
  <c r="Q259" i="6"/>
  <c r="R259" i="6"/>
  <c r="Q260" i="6"/>
  <c r="R260" i="6"/>
  <c r="Q261" i="6"/>
  <c r="R261" i="6"/>
  <c r="Q262" i="6"/>
  <c r="R262" i="6"/>
  <c r="Q263" i="6"/>
  <c r="R263" i="6"/>
  <c r="Q264" i="6"/>
  <c r="R264" i="6"/>
  <c r="Q265" i="6"/>
  <c r="R265" i="6"/>
  <c r="Q266" i="6"/>
  <c r="R266" i="6"/>
  <c r="Q267" i="6"/>
  <c r="R267" i="6"/>
  <c r="Q268" i="6"/>
  <c r="R268" i="6"/>
  <c r="Q269" i="6"/>
  <c r="R269" i="6"/>
  <c r="Q270" i="6"/>
  <c r="R270" i="6"/>
  <c r="Q271" i="6"/>
  <c r="R271" i="6"/>
  <c r="Q272" i="6"/>
  <c r="R272" i="6"/>
  <c r="Q273" i="6"/>
  <c r="R273" i="6"/>
  <c r="Q274" i="6"/>
  <c r="R274" i="6"/>
  <c r="Q275" i="6"/>
  <c r="R275" i="6"/>
  <c r="Q276" i="6"/>
  <c r="R276" i="6"/>
  <c r="Q277" i="6"/>
  <c r="R277" i="6"/>
  <c r="Q278" i="6"/>
  <c r="R278" i="6"/>
  <c r="Q279" i="6"/>
  <c r="R279" i="6"/>
  <c r="Q280" i="6"/>
  <c r="R280" i="6"/>
  <c r="Q281" i="6"/>
  <c r="R281" i="6"/>
  <c r="Q282" i="6"/>
  <c r="R282" i="6"/>
  <c r="Q283" i="6"/>
  <c r="R283" i="6"/>
  <c r="Q284" i="6"/>
  <c r="R284" i="6"/>
  <c r="Q285" i="6"/>
  <c r="R285" i="6"/>
  <c r="Q286" i="6"/>
  <c r="R286" i="6"/>
  <c r="Q287" i="6"/>
  <c r="R287" i="6"/>
  <c r="Q288" i="6"/>
  <c r="R288" i="6"/>
  <c r="Q289" i="6"/>
  <c r="R289" i="6"/>
  <c r="Q290" i="6"/>
  <c r="R290" i="6"/>
  <c r="Q291" i="6"/>
  <c r="R291" i="6"/>
  <c r="Q292" i="6"/>
  <c r="R292" i="6"/>
  <c r="Q293" i="6"/>
  <c r="R293" i="6"/>
  <c r="Q294" i="6"/>
  <c r="R294" i="6"/>
  <c r="Q295" i="6"/>
  <c r="R295" i="6"/>
  <c r="Q296" i="6"/>
  <c r="R296" i="6"/>
  <c r="Q297" i="6"/>
  <c r="R297" i="6"/>
  <c r="Q298" i="6"/>
  <c r="R298" i="6"/>
  <c r="Q299" i="6"/>
  <c r="R299" i="6"/>
  <c r="Q300" i="6"/>
  <c r="R300" i="6"/>
  <c r="Q301" i="6"/>
  <c r="R301" i="6"/>
  <c r="Q302" i="6"/>
  <c r="R302" i="6"/>
  <c r="Q303" i="6"/>
  <c r="R303" i="6"/>
  <c r="Q304" i="6"/>
  <c r="R304" i="6"/>
  <c r="Q305" i="6"/>
  <c r="R305" i="6"/>
  <c r="Q306" i="6"/>
  <c r="R306" i="6"/>
  <c r="Q307" i="6"/>
  <c r="R307" i="6"/>
  <c r="Q308" i="6"/>
  <c r="R308" i="6"/>
  <c r="Q309" i="6"/>
  <c r="R309" i="6"/>
  <c r="Q310" i="6"/>
  <c r="R310" i="6"/>
  <c r="Q311" i="6"/>
  <c r="R311" i="6"/>
  <c r="Q312" i="6"/>
  <c r="R312" i="6"/>
  <c r="Q313" i="6"/>
  <c r="R313" i="6"/>
  <c r="Q314" i="6"/>
  <c r="R314" i="6"/>
  <c r="Q315" i="6"/>
  <c r="R315" i="6"/>
  <c r="Q316" i="6"/>
  <c r="R316" i="6"/>
  <c r="Q317" i="6"/>
  <c r="R317" i="6"/>
  <c r="Q318" i="6"/>
  <c r="R318" i="6"/>
  <c r="Q319" i="6"/>
  <c r="R319" i="6"/>
  <c r="Q320" i="6"/>
  <c r="R320" i="6"/>
  <c r="Q321" i="6"/>
  <c r="R321" i="6"/>
  <c r="Q322" i="6"/>
  <c r="R322" i="6"/>
  <c r="Q323" i="6"/>
  <c r="R323" i="6"/>
  <c r="Q324" i="6"/>
  <c r="R324" i="6"/>
  <c r="Q325" i="6"/>
  <c r="R325" i="6"/>
  <c r="Q326" i="6"/>
  <c r="R326" i="6"/>
  <c r="Q327" i="6"/>
  <c r="R327" i="6"/>
  <c r="Q328" i="6"/>
  <c r="R328" i="6"/>
  <c r="Q329" i="6"/>
  <c r="R329" i="6"/>
  <c r="Q330" i="6"/>
  <c r="R330" i="6"/>
  <c r="Q331" i="6"/>
  <c r="R331" i="6"/>
  <c r="Q332" i="6"/>
  <c r="R332" i="6"/>
  <c r="Q333" i="6"/>
  <c r="R333" i="6"/>
  <c r="Q334" i="6"/>
  <c r="R334" i="6"/>
  <c r="Q335" i="6"/>
  <c r="R335" i="6"/>
  <c r="Q336" i="6"/>
  <c r="R336" i="6"/>
  <c r="Q337" i="6"/>
  <c r="R337" i="6"/>
  <c r="Q338" i="6"/>
  <c r="R338" i="6"/>
  <c r="Q339" i="6"/>
  <c r="R339" i="6"/>
  <c r="Q340" i="6"/>
  <c r="R340" i="6"/>
  <c r="Q341" i="6"/>
  <c r="R341" i="6"/>
  <c r="Q342" i="6"/>
  <c r="R342" i="6"/>
  <c r="Q343" i="6"/>
  <c r="R343" i="6"/>
  <c r="Q344" i="6"/>
  <c r="R344" i="6"/>
  <c r="Q345" i="6"/>
  <c r="R345" i="6"/>
  <c r="Q346" i="6"/>
  <c r="R346" i="6"/>
  <c r="Q347" i="6"/>
  <c r="R347" i="6"/>
  <c r="Q348" i="6"/>
  <c r="R348" i="6"/>
  <c r="Q349" i="6"/>
  <c r="R349" i="6"/>
  <c r="Q350" i="6"/>
  <c r="R350" i="6"/>
  <c r="Q351" i="6"/>
  <c r="R351" i="6"/>
  <c r="Q352" i="6"/>
  <c r="R352" i="6"/>
  <c r="Q353" i="6"/>
  <c r="R353" i="6"/>
  <c r="Q354" i="6"/>
  <c r="R354" i="6"/>
  <c r="Q355" i="6"/>
  <c r="R355" i="6"/>
  <c r="Q356" i="6"/>
  <c r="R356" i="6"/>
  <c r="Q357" i="6"/>
  <c r="R357" i="6"/>
  <c r="Q358" i="6"/>
  <c r="R358" i="6"/>
  <c r="Q359" i="6"/>
  <c r="R359" i="6"/>
  <c r="Q360" i="6"/>
  <c r="R360" i="6"/>
  <c r="Q361" i="6"/>
  <c r="R361" i="6"/>
  <c r="Q362" i="6"/>
  <c r="R362" i="6"/>
  <c r="Q363" i="6"/>
  <c r="R363" i="6"/>
  <c r="Q364" i="6"/>
  <c r="R364" i="6"/>
  <c r="Q365" i="6"/>
  <c r="R365" i="6"/>
  <c r="Q366" i="6"/>
  <c r="R366" i="6"/>
  <c r="Q367" i="6"/>
  <c r="R367" i="6"/>
  <c r="Q368" i="6"/>
  <c r="R368" i="6"/>
  <c r="Q369" i="6"/>
  <c r="R369" i="6"/>
  <c r="Q370" i="6"/>
  <c r="R370" i="6"/>
  <c r="Q371" i="6"/>
  <c r="R371" i="6"/>
  <c r="Q372" i="6"/>
  <c r="R372" i="6"/>
  <c r="Q373" i="6"/>
  <c r="R373" i="6"/>
  <c r="Q374" i="6"/>
  <c r="R374" i="6"/>
  <c r="Q375" i="6"/>
  <c r="R375" i="6"/>
  <c r="Q376" i="6"/>
  <c r="R376" i="6"/>
  <c r="Q377" i="6"/>
  <c r="R377" i="6"/>
  <c r="Q378" i="6"/>
  <c r="R378" i="6"/>
  <c r="Q379" i="6"/>
  <c r="R379" i="6"/>
  <c r="Q380" i="6"/>
  <c r="R380" i="6"/>
  <c r="Q381" i="6"/>
  <c r="R381" i="6"/>
  <c r="Q382" i="6"/>
  <c r="R382" i="6"/>
  <c r="Q383" i="6"/>
  <c r="R383" i="6"/>
  <c r="Q384" i="6"/>
  <c r="R384" i="6"/>
  <c r="Q385" i="6"/>
  <c r="R385" i="6"/>
  <c r="Q386" i="6"/>
  <c r="R386" i="6"/>
  <c r="Q387" i="6"/>
  <c r="R387" i="6"/>
  <c r="Q388" i="6"/>
  <c r="R388" i="6"/>
  <c r="Q389" i="6"/>
  <c r="R389" i="6"/>
  <c r="Q390" i="6"/>
  <c r="R390" i="6"/>
  <c r="Q391" i="6"/>
  <c r="R391" i="6"/>
  <c r="Q392" i="6"/>
  <c r="R392" i="6"/>
  <c r="Q393" i="6"/>
  <c r="R393" i="6"/>
  <c r="Q394" i="6"/>
  <c r="R394" i="6"/>
  <c r="Q395" i="6"/>
  <c r="R395" i="6"/>
  <c r="Q396" i="6"/>
  <c r="R396" i="6"/>
  <c r="Q397" i="6"/>
  <c r="R397" i="6"/>
  <c r="Q398" i="6"/>
  <c r="R398" i="6"/>
  <c r="Q399" i="6"/>
  <c r="R399" i="6"/>
  <c r="Q400" i="6"/>
  <c r="R400" i="6"/>
  <c r="Q401" i="6"/>
  <c r="R401" i="6"/>
  <c r="Q402" i="6"/>
  <c r="R402" i="6"/>
  <c r="Q403" i="6"/>
  <c r="R403" i="6"/>
  <c r="Q404" i="6"/>
  <c r="R404" i="6"/>
  <c r="Q405" i="6"/>
  <c r="R405" i="6"/>
  <c r="Q406" i="6"/>
  <c r="R406" i="6"/>
  <c r="Q407" i="6"/>
  <c r="R407" i="6"/>
  <c r="Q408" i="6"/>
  <c r="R408" i="6"/>
  <c r="Q409" i="6"/>
  <c r="R409" i="6"/>
  <c r="Q410" i="6"/>
  <c r="R410" i="6"/>
  <c r="Q411" i="6"/>
  <c r="R411" i="6"/>
  <c r="Q412" i="6"/>
  <c r="R412" i="6"/>
  <c r="Q413" i="6"/>
  <c r="R413" i="6"/>
  <c r="Q414" i="6"/>
  <c r="R414" i="6"/>
  <c r="Q415" i="6"/>
  <c r="R415" i="6"/>
  <c r="Q416" i="6"/>
  <c r="R416" i="6"/>
  <c r="Q417" i="6"/>
  <c r="R417" i="6"/>
  <c r="Q418" i="6"/>
  <c r="R418" i="6"/>
  <c r="Q419" i="6"/>
  <c r="R419" i="6"/>
  <c r="Q420" i="6"/>
  <c r="R420" i="6"/>
  <c r="Q421" i="6"/>
  <c r="R421" i="6"/>
  <c r="Q422" i="6"/>
  <c r="R422" i="6"/>
  <c r="Q423" i="6"/>
  <c r="R423" i="6"/>
  <c r="Q424" i="6"/>
  <c r="R424" i="6"/>
  <c r="Q425" i="6"/>
  <c r="R425" i="6"/>
  <c r="Q426" i="6"/>
  <c r="R426" i="6"/>
  <c r="Q427" i="6"/>
  <c r="R427" i="6"/>
  <c r="Q428" i="6"/>
  <c r="R428" i="6"/>
  <c r="Q429" i="6"/>
  <c r="R429" i="6"/>
  <c r="Q430" i="6"/>
  <c r="R430" i="6"/>
  <c r="Q431" i="6"/>
  <c r="R431" i="6"/>
  <c r="Q432" i="6"/>
  <c r="R432" i="6"/>
  <c r="Q433" i="6"/>
  <c r="R433" i="6"/>
  <c r="Q434" i="6"/>
  <c r="R434" i="6"/>
  <c r="Q435" i="6"/>
  <c r="R435" i="6"/>
  <c r="Q436" i="6"/>
  <c r="R436" i="6"/>
  <c r="Q437" i="6"/>
  <c r="R437" i="6"/>
  <c r="Q438" i="6"/>
  <c r="R438" i="6"/>
  <c r="Q439" i="6"/>
  <c r="R439" i="6"/>
  <c r="Q440" i="6"/>
  <c r="R440" i="6"/>
  <c r="Q441" i="6"/>
  <c r="R441" i="6"/>
  <c r="Q442" i="6"/>
  <c r="R442" i="6"/>
  <c r="Q443" i="6"/>
  <c r="R443" i="6"/>
  <c r="Q444" i="6"/>
  <c r="R444" i="6"/>
  <c r="Q445" i="6"/>
  <c r="R445" i="6"/>
  <c r="Q446" i="6"/>
  <c r="R446" i="6"/>
  <c r="Q447" i="6"/>
  <c r="R447" i="6"/>
  <c r="Q448" i="6"/>
  <c r="R448" i="6"/>
  <c r="Q449" i="6"/>
  <c r="R449" i="6"/>
  <c r="Q450" i="6"/>
  <c r="R450" i="6"/>
  <c r="Q451" i="6"/>
  <c r="R451" i="6"/>
  <c r="Q452" i="6"/>
  <c r="R452" i="6"/>
  <c r="Q453" i="6"/>
  <c r="R453" i="6"/>
  <c r="Q454" i="6"/>
  <c r="R454" i="6"/>
  <c r="Q455" i="6"/>
  <c r="R455" i="6"/>
  <c r="Q456" i="6"/>
  <c r="R456" i="6"/>
  <c r="Q457" i="6"/>
  <c r="R457" i="6"/>
  <c r="Q458" i="6"/>
  <c r="R458" i="6"/>
  <c r="Q459" i="6"/>
  <c r="R459" i="6"/>
  <c r="Q460" i="6"/>
  <c r="R460" i="6"/>
  <c r="Q461" i="6"/>
  <c r="R461" i="6"/>
  <c r="Q462" i="6"/>
  <c r="R462" i="6"/>
  <c r="Q463" i="6"/>
  <c r="R463" i="6"/>
  <c r="Q464" i="6"/>
  <c r="R464" i="6"/>
  <c r="Q465" i="6"/>
  <c r="R465" i="6"/>
  <c r="Q466" i="6"/>
  <c r="R466" i="6"/>
  <c r="Q467" i="6"/>
  <c r="R467" i="6"/>
  <c r="Q468" i="6"/>
  <c r="R468" i="6"/>
  <c r="Q469" i="6"/>
  <c r="R469" i="6"/>
  <c r="Q470" i="6"/>
  <c r="R470" i="6"/>
  <c r="Q471" i="6"/>
  <c r="R471" i="6"/>
  <c r="Q472" i="6"/>
  <c r="R472" i="6"/>
  <c r="Q473" i="6"/>
  <c r="R473" i="6"/>
  <c r="Q474" i="6"/>
  <c r="R474" i="6"/>
  <c r="Q475" i="6"/>
  <c r="R475" i="6"/>
  <c r="Q476" i="6"/>
  <c r="R476" i="6"/>
  <c r="Q477" i="6"/>
  <c r="R477" i="6"/>
  <c r="Q478" i="6"/>
  <c r="R478" i="6"/>
  <c r="Q479" i="6"/>
  <c r="R479" i="6"/>
  <c r="Q480" i="6"/>
  <c r="R480" i="6"/>
  <c r="Q481" i="6"/>
  <c r="R481" i="6"/>
  <c r="Q482" i="6"/>
  <c r="R482" i="6"/>
  <c r="Q483" i="6"/>
  <c r="R483" i="6"/>
  <c r="Q484" i="6"/>
  <c r="R484" i="6"/>
  <c r="Q485" i="6"/>
  <c r="R485" i="6"/>
  <c r="Q486" i="6"/>
  <c r="R486" i="6"/>
  <c r="Q487" i="6"/>
  <c r="R487" i="6"/>
  <c r="Q488" i="6"/>
  <c r="R488" i="6"/>
  <c r="Q489" i="6"/>
  <c r="R489" i="6"/>
  <c r="Q490" i="6"/>
  <c r="R490" i="6"/>
  <c r="Q491" i="6"/>
  <c r="R491" i="6"/>
  <c r="Q492" i="6"/>
  <c r="R492" i="6"/>
  <c r="Q493" i="6"/>
  <c r="R493" i="6"/>
  <c r="Q494" i="6"/>
  <c r="R494" i="6"/>
  <c r="Q495" i="6"/>
  <c r="R495" i="6"/>
  <c r="Q496" i="6"/>
  <c r="R496" i="6"/>
  <c r="Q497" i="6"/>
  <c r="R497" i="6"/>
  <c r="Q498" i="6"/>
  <c r="R498" i="6"/>
  <c r="Q499" i="6"/>
  <c r="R499" i="6"/>
  <c r="Q500" i="6"/>
  <c r="R500" i="6"/>
  <c r="Q501" i="6"/>
  <c r="R501" i="6"/>
  <c r="Q502" i="6"/>
  <c r="R502" i="6"/>
  <c r="Q503" i="6"/>
  <c r="R503" i="6"/>
  <c r="Q504" i="6"/>
  <c r="R504" i="6"/>
  <c r="Q505" i="6"/>
  <c r="R505" i="6"/>
  <c r="Q506" i="6"/>
  <c r="R506" i="6"/>
  <c r="Q507" i="6"/>
  <c r="R507" i="6"/>
  <c r="Q508" i="6"/>
  <c r="R508" i="6"/>
  <c r="Q509" i="6"/>
  <c r="R509" i="6"/>
  <c r="Q510" i="6"/>
  <c r="R510" i="6"/>
  <c r="Q511" i="6"/>
  <c r="R511" i="6"/>
  <c r="Q512" i="6"/>
  <c r="R512" i="6"/>
  <c r="Q513" i="6"/>
  <c r="R513" i="6"/>
  <c r="Q514" i="6"/>
  <c r="R514" i="6"/>
  <c r="Q515" i="6"/>
  <c r="R515" i="6"/>
  <c r="Q516" i="6"/>
  <c r="R516" i="6"/>
  <c r="Q517" i="6"/>
  <c r="R517" i="6"/>
  <c r="Q518" i="6"/>
  <c r="R518" i="6"/>
  <c r="Q519" i="6"/>
  <c r="R519" i="6"/>
  <c r="Q520" i="6"/>
  <c r="R520" i="6"/>
  <c r="Q521" i="6"/>
  <c r="R521" i="6"/>
  <c r="Q522" i="6"/>
  <c r="R522" i="6"/>
  <c r="Q523" i="6"/>
  <c r="R523" i="6"/>
  <c r="Q524" i="6"/>
  <c r="R524" i="6"/>
  <c r="Q525" i="6"/>
  <c r="R525" i="6"/>
  <c r="Q526" i="6"/>
  <c r="R526" i="6"/>
  <c r="Q527" i="6"/>
  <c r="R527" i="6"/>
  <c r="Q528" i="6"/>
  <c r="R528" i="6"/>
  <c r="Q529" i="6"/>
  <c r="R529" i="6"/>
  <c r="Q530" i="6"/>
  <c r="R530" i="6"/>
  <c r="Q531" i="6"/>
  <c r="R531" i="6"/>
  <c r="Q532" i="6"/>
  <c r="R532" i="6"/>
  <c r="Q533" i="6"/>
  <c r="R533" i="6"/>
  <c r="Q534" i="6"/>
  <c r="R534" i="6"/>
  <c r="Q535" i="6"/>
  <c r="R535" i="6"/>
  <c r="Q536" i="6"/>
  <c r="R536" i="6"/>
  <c r="Q537" i="6"/>
  <c r="R537" i="6"/>
  <c r="Q538" i="6"/>
  <c r="R538" i="6"/>
  <c r="Q539" i="6"/>
  <c r="R539" i="6"/>
  <c r="Q540" i="6"/>
  <c r="R540" i="6"/>
  <c r="Q541" i="6"/>
  <c r="R541" i="6"/>
  <c r="Q542" i="6"/>
  <c r="R542" i="6"/>
  <c r="Q543" i="6"/>
  <c r="R543" i="6"/>
  <c r="Q544" i="6"/>
  <c r="R544" i="6"/>
  <c r="Q545" i="6"/>
  <c r="R545" i="6"/>
  <c r="Q546" i="6"/>
  <c r="R546" i="6"/>
  <c r="Q547" i="6"/>
  <c r="R547" i="6"/>
  <c r="Q548" i="6"/>
  <c r="R548" i="6"/>
  <c r="Q549" i="6"/>
  <c r="R549" i="6"/>
  <c r="Q550" i="6"/>
  <c r="R550" i="6"/>
  <c r="Q551" i="6"/>
  <c r="R551" i="6"/>
  <c r="Q552" i="6"/>
  <c r="R552" i="6"/>
  <c r="Q553" i="6"/>
  <c r="R553" i="6"/>
  <c r="Q554" i="6"/>
  <c r="R554" i="6"/>
  <c r="Q555" i="6"/>
  <c r="R555" i="6"/>
  <c r="Q6" i="6"/>
  <c r="R6" i="6"/>
  <c r="R5" i="6"/>
  <c r="Q5" i="6"/>
  <c r="M101" i="2" l="1"/>
  <c r="F101" i="2" s="1"/>
  <c r="G101" i="2"/>
  <c r="M100" i="2"/>
  <c r="F100" i="2" s="1"/>
  <c r="G100" i="2"/>
  <c r="M99" i="2"/>
  <c r="F99" i="2" s="1"/>
  <c r="G99" i="2"/>
  <c r="M98" i="2"/>
  <c r="F98" i="2" s="1"/>
  <c r="G98" i="2"/>
  <c r="M97" i="2"/>
  <c r="F97" i="2" s="1"/>
  <c r="G97" i="2"/>
  <c r="M96" i="2"/>
  <c r="F96" i="2" s="1"/>
  <c r="G96" i="2"/>
  <c r="M95" i="2"/>
  <c r="F95" i="2" s="1"/>
  <c r="G95" i="2"/>
  <c r="M94" i="2"/>
  <c r="F94" i="2" s="1"/>
  <c r="G94" i="2"/>
  <c r="M93" i="2"/>
  <c r="G93" i="2"/>
  <c r="F93" i="2"/>
  <c r="M92" i="2"/>
  <c r="F92" i="2" s="1"/>
  <c r="G92" i="2"/>
  <c r="M91" i="2"/>
  <c r="F91" i="2" s="1"/>
  <c r="G91" i="2"/>
  <c r="M90" i="2"/>
  <c r="F90" i="2" s="1"/>
  <c r="G90" i="2"/>
  <c r="M89" i="2"/>
  <c r="F89" i="2" s="1"/>
  <c r="G89" i="2"/>
  <c r="M88" i="2"/>
  <c r="F88" i="2" s="1"/>
  <c r="G88" i="2"/>
  <c r="M87" i="2"/>
  <c r="F87" i="2" s="1"/>
  <c r="G87" i="2"/>
  <c r="M86" i="2"/>
  <c r="F86" i="2" s="1"/>
  <c r="G86" i="2"/>
  <c r="M85" i="2"/>
  <c r="F85" i="2" s="1"/>
  <c r="G85" i="2"/>
  <c r="M84" i="2"/>
  <c r="F84" i="2" s="1"/>
  <c r="G84" i="2"/>
  <c r="M83" i="2"/>
  <c r="F83" i="2" s="1"/>
  <c r="G83" i="2"/>
  <c r="M82" i="2"/>
  <c r="F82" i="2" s="1"/>
  <c r="G82" i="2"/>
  <c r="M81" i="2"/>
  <c r="F81" i="2" s="1"/>
  <c r="G81" i="2"/>
  <c r="M80" i="2"/>
  <c r="F80" i="2" s="1"/>
  <c r="G80" i="2"/>
  <c r="M79" i="2"/>
  <c r="F79" i="2" s="1"/>
  <c r="G79" i="2"/>
  <c r="M78" i="2"/>
  <c r="F78" i="2" s="1"/>
  <c r="G78" i="2"/>
  <c r="M77" i="2"/>
  <c r="F77" i="2" s="1"/>
  <c r="G77" i="2"/>
  <c r="M76" i="2"/>
  <c r="F76" i="2" s="1"/>
  <c r="G76" i="2"/>
  <c r="M75" i="2"/>
  <c r="F75" i="2" s="1"/>
  <c r="G75" i="2"/>
  <c r="M74" i="2"/>
  <c r="F74" i="2" s="1"/>
  <c r="G74" i="2"/>
  <c r="M73" i="2"/>
  <c r="F73" i="2" s="1"/>
  <c r="G73" i="2"/>
  <c r="M72" i="2"/>
  <c r="F72" i="2" s="1"/>
  <c r="G72" i="2"/>
  <c r="M71" i="2"/>
  <c r="F71" i="2" s="1"/>
  <c r="G71" i="2"/>
  <c r="M70" i="2"/>
  <c r="F70" i="2" s="1"/>
  <c r="G70" i="2"/>
  <c r="M69" i="2"/>
  <c r="F69" i="2" s="1"/>
  <c r="G69" i="2"/>
  <c r="M68" i="2"/>
  <c r="F68" i="2" s="1"/>
  <c r="G68" i="2"/>
  <c r="M67" i="2"/>
  <c r="F67" i="2" s="1"/>
  <c r="G67" i="2"/>
  <c r="M66" i="2"/>
  <c r="F66" i="2" s="1"/>
  <c r="G66" i="2"/>
  <c r="M65" i="2"/>
  <c r="F65" i="2" s="1"/>
  <c r="G65" i="2"/>
  <c r="M64" i="2"/>
  <c r="F64" i="2" s="1"/>
  <c r="G64" i="2"/>
  <c r="M63" i="2"/>
  <c r="F63" i="2" s="1"/>
  <c r="G63" i="2"/>
  <c r="M62" i="2"/>
  <c r="F62" i="2" s="1"/>
  <c r="G62" i="2"/>
  <c r="M61" i="2"/>
  <c r="F61" i="2" s="1"/>
  <c r="G61" i="2"/>
  <c r="M60" i="2"/>
  <c r="F60" i="2" s="1"/>
  <c r="G60" i="2"/>
  <c r="M59" i="2"/>
  <c r="F59" i="2" s="1"/>
  <c r="G59" i="2"/>
  <c r="M58" i="2"/>
  <c r="F58" i="2" s="1"/>
  <c r="G58" i="2"/>
  <c r="M57" i="2"/>
  <c r="F57" i="2" s="1"/>
  <c r="G57" i="2"/>
  <c r="M56" i="2"/>
  <c r="F56" i="2" s="1"/>
  <c r="G56" i="2"/>
  <c r="M55" i="2"/>
  <c r="F55" i="2" s="1"/>
  <c r="G55" i="2"/>
  <c r="M54" i="2"/>
  <c r="F54" i="2" s="1"/>
  <c r="G54" i="2"/>
  <c r="M53" i="2"/>
  <c r="F53" i="2" s="1"/>
  <c r="G53" i="2"/>
  <c r="M52" i="2"/>
  <c r="F52" i="2" s="1"/>
  <c r="G52" i="2"/>
  <c r="M51" i="2"/>
  <c r="F51" i="2" s="1"/>
  <c r="G51" i="2"/>
  <c r="M50" i="2"/>
  <c r="F50" i="2" s="1"/>
  <c r="G50" i="2"/>
  <c r="M49" i="2"/>
  <c r="F49" i="2" s="1"/>
  <c r="G49" i="2"/>
  <c r="M48" i="2"/>
  <c r="F48" i="2" s="1"/>
  <c r="G48" i="2"/>
  <c r="M47" i="2"/>
  <c r="F47" i="2" s="1"/>
  <c r="G47" i="2"/>
  <c r="M46" i="2"/>
  <c r="F46" i="2" s="1"/>
  <c r="G46" i="2"/>
  <c r="M45" i="2"/>
  <c r="F45" i="2" s="1"/>
  <c r="G45" i="2"/>
  <c r="M44" i="2"/>
  <c r="F44" i="2" s="1"/>
  <c r="G44" i="2"/>
  <c r="M43" i="2"/>
  <c r="F43" i="2" s="1"/>
  <c r="G43" i="2"/>
  <c r="M42" i="2"/>
  <c r="F42" i="2" s="1"/>
  <c r="G42" i="2"/>
  <c r="M41" i="2"/>
  <c r="F41" i="2" s="1"/>
  <c r="G41" i="2"/>
  <c r="M40" i="2"/>
  <c r="F40" i="2" s="1"/>
  <c r="G40" i="2"/>
  <c r="M39" i="2"/>
  <c r="F39" i="2" s="1"/>
  <c r="G39" i="2"/>
  <c r="M38" i="2"/>
  <c r="F38" i="2" s="1"/>
  <c r="G38" i="2"/>
  <c r="M37" i="2"/>
  <c r="F37" i="2" s="1"/>
  <c r="G37" i="2"/>
  <c r="M36" i="2"/>
  <c r="F36" i="2" s="1"/>
  <c r="G36" i="2"/>
  <c r="M35" i="2"/>
  <c r="F35" i="2" s="1"/>
  <c r="G35" i="2"/>
  <c r="M34" i="2"/>
  <c r="F34" i="2" s="1"/>
  <c r="G34" i="2"/>
  <c r="M33" i="2"/>
  <c r="F33" i="2" s="1"/>
  <c r="G33" i="2"/>
  <c r="M32" i="2"/>
  <c r="F32" i="2" s="1"/>
  <c r="G32" i="2"/>
  <c r="M31" i="2"/>
  <c r="F31" i="2" s="1"/>
  <c r="G31" i="2"/>
  <c r="M30" i="2"/>
  <c r="F30" i="2" s="1"/>
  <c r="G30" i="2"/>
  <c r="M29" i="2"/>
  <c r="F29" i="2" s="1"/>
  <c r="G29" i="2"/>
  <c r="M28" i="2"/>
  <c r="F28" i="2" s="1"/>
  <c r="G28" i="2"/>
  <c r="M27" i="2"/>
  <c r="F27" i="2" s="1"/>
  <c r="G27" i="2"/>
  <c r="M26" i="2"/>
  <c r="F26" i="2" s="1"/>
  <c r="G26" i="2"/>
  <c r="M25" i="2"/>
  <c r="F25" i="2" s="1"/>
  <c r="G25" i="2"/>
  <c r="M24" i="2"/>
  <c r="F24" i="2" s="1"/>
  <c r="G24" i="2"/>
  <c r="M23" i="2"/>
  <c r="F23" i="2" s="1"/>
  <c r="G23" i="2"/>
  <c r="M22" i="2"/>
  <c r="F22" i="2" s="1"/>
  <c r="G22" i="2"/>
  <c r="M21" i="2"/>
  <c r="F21" i="2" s="1"/>
  <c r="G21" i="2"/>
  <c r="M20" i="2"/>
  <c r="F20" i="2" s="1"/>
  <c r="G20" i="2"/>
  <c r="M19" i="2"/>
  <c r="F19" i="2" s="1"/>
  <c r="G19" i="2"/>
  <c r="M18" i="2"/>
  <c r="F18" i="2" s="1"/>
  <c r="G18" i="2"/>
  <c r="M17" i="2"/>
  <c r="F17" i="2" s="1"/>
  <c r="G17" i="2"/>
  <c r="M16" i="2"/>
  <c r="F16" i="2" s="1"/>
  <c r="G16" i="2"/>
  <c r="M15" i="2"/>
  <c r="F15" i="2" s="1"/>
  <c r="G15" i="2"/>
  <c r="O14" i="2"/>
  <c r="M14" i="2"/>
  <c r="F14" i="2" s="1"/>
  <c r="G14" i="2"/>
  <c r="M13" i="2"/>
  <c r="F13" i="2" s="1"/>
  <c r="G13" i="2"/>
  <c r="M12" i="2"/>
  <c r="F12" i="2" s="1"/>
  <c r="G1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/>
  <c r="F3" i="2" s="1"/>
  <c r="M4" i="2"/>
  <c r="F4" i="2" s="1"/>
  <c r="M5" i="2"/>
  <c r="F5" i="2" s="1"/>
  <c r="M6" i="2"/>
  <c r="F6" i="2" s="1"/>
  <c r="M7" i="2"/>
  <c r="F7" i="2" s="1"/>
  <c r="M8" i="2"/>
  <c r="F8" i="2" s="1"/>
  <c r="M9" i="2"/>
  <c r="F9" i="2" s="1"/>
  <c r="M10" i="2"/>
  <c r="F10" i="2" s="1"/>
  <c r="M11" i="2"/>
  <c r="F11" i="2" s="1"/>
  <c r="M2" i="2"/>
  <c r="F2" i="2" s="1"/>
  <c r="G3" i="2"/>
  <c r="G4" i="2"/>
  <c r="G5" i="2"/>
  <c r="G6" i="2"/>
  <c r="G7" i="2"/>
  <c r="G8" i="2"/>
  <c r="G9" i="2"/>
  <c r="G10" i="2"/>
  <c r="G11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://rotoguru1.com/cgi-bin/hstats.cgi?05d013100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<sst xmlns="http://schemas.openxmlformats.org/spreadsheetml/2006/main" count="4610" uniqueCount="798">
  <si>
    <t>Position</t>
  </si>
  <si>
    <t>Game</t>
  </si>
  <si>
    <t>Team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</si>
  <si>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</si>
  <si>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</si>
  <si>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</si>
  <si>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</si>
  <si>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</si>
  <si>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</si>
  <si>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</si>
  <si>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</si>
  <si>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</si>
  <si>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</si>
  <si>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</si>
  <si>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</si>
  <si>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</si>
  <si>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</si>
  <si>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</si>
  <si>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</si>
  <si>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</si>
  <si>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</si>
  <si>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</si>
  <si>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</si>
  <si>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</si>
  <si>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</si>
  <si>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</si>
  <si>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</si>
  <si>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</si>
  <si>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</si>
  <si>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</si>
  <si>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</si>
  <si>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</si>
  <si>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</si>
  <si>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</si>
  <si>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</si>
  <si>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</si>
  <si>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Played</t>
  </si>
  <si>
    <t>Salary</t>
  </si>
  <si>
    <t>Opponent</t>
  </si>
  <si>
    <t>Injury Indicator</t>
  </si>
  <si>
    <t>Injury Details</t>
  </si>
  <si>
    <t>James</t>
  </si>
  <si>
    <t>Isaiah</t>
  </si>
  <si>
    <t>Thomas</t>
  </si>
  <si>
    <t>Kevin</t>
  </si>
  <si>
    <t>O</t>
  </si>
  <si>
    <t>Knee</t>
  </si>
  <si>
    <t>Nikola</t>
  </si>
  <si>
    <t>GTD</t>
  </si>
  <si>
    <t>Michael</t>
  </si>
  <si>
    <t>Andrew</t>
  </si>
  <si>
    <t>Ankle</t>
  </si>
  <si>
    <t>Grant</t>
  </si>
  <si>
    <t>Smith</t>
  </si>
  <si>
    <t>Gibson</t>
  </si>
  <si>
    <t>Jordan</t>
  </si>
  <si>
    <t>Bobby</t>
  </si>
  <si>
    <t>Young</t>
  </si>
  <si>
    <t>Jefferson</t>
  </si>
  <si>
    <t>Jonas</t>
  </si>
  <si>
    <t>Injury?</t>
  </si>
  <si>
    <t>C 1</t>
  </si>
  <si>
    <t>LAL</t>
  </si>
  <si>
    <t>CHI</t>
  </si>
  <si>
    <t>Paul</t>
  </si>
  <si>
    <t>Wrist</t>
  </si>
  <si>
    <t>Back</t>
  </si>
  <si>
    <t>Doug</t>
  </si>
  <si>
    <t>McDermott</t>
  </si>
  <si>
    <t>Denzel</t>
  </si>
  <si>
    <t>Valentine</t>
  </si>
  <si>
    <t>Cristiano</t>
  </si>
  <si>
    <t>Felicio</t>
  </si>
  <si>
    <t>Lopez</t>
  </si>
  <si>
    <t>Wade</t>
  </si>
  <si>
    <t>Jimmy</t>
  </si>
  <si>
    <t>Butler</t>
  </si>
  <si>
    <t>Heel</t>
  </si>
  <si>
    <t>Dwyane</t>
  </si>
  <si>
    <t>Robin</t>
  </si>
  <si>
    <t>Rajon</t>
  </si>
  <si>
    <t>Rondo</t>
  </si>
  <si>
    <t>Taj</t>
  </si>
  <si>
    <t>Carter-Williams</t>
  </si>
  <si>
    <t>Mirotic</t>
  </si>
  <si>
    <t>Portis</t>
  </si>
  <si>
    <t>Jerian</t>
  </si>
  <si>
    <t>Canaan</t>
  </si>
  <si>
    <t>Zipser</t>
  </si>
  <si>
    <t>OKC</t>
  </si>
  <si>
    <t>IND</t>
  </si>
  <si>
    <t>BOS</t>
  </si>
  <si>
    <t>LAC</t>
  </si>
  <si>
    <t>George</t>
  </si>
  <si>
    <t>Green</t>
  </si>
  <si>
    <t>C.J.</t>
  </si>
  <si>
    <t>Jeff</t>
  </si>
  <si>
    <t>Teague</t>
  </si>
  <si>
    <t>Al</t>
  </si>
  <si>
    <t>Horford</t>
  </si>
  <si>
    <t>Avery</t>
  </si>
  <si>
    <t>Bradley</t>
  </si>
  <si>
    <t>Achilles</t>
  </si>
  <si>
    <t>Johnson</t>
  </si>
  <si>
    <t>Myles</t>
  </si>
  <si>
    <t>Turner</t>
  </si>
  <si>
    <t>Jae</t>
  </si>
  <si>
    <t>Crowder</t>
  </si>
  <si>
    <t>Marcus</t>
  </si>
  <si>
    <t>Smart</t>
  </si>
  <si>
    <t>Morris</t>
  </si>
  <si>
    <t>Tyler</t>
  </si>
  <si>
    <t>Thaddeus</t>
  </si>
  <si>
    <t>Jackson</t>
  </si>
  <si>
    <t>Zeller</t>
  </si>
  <si>
    <t>Allen</t>
  </si>
  <si>
    <t>Kelly</t>
  </si>
  <si>
    <t>Olynyk</t>
  </si>
  <si>
    <t>Aaron</t>
  </si>
  <si>
    <t>Rodney</t>
  </si>
  <si>
    <t>Miles</t>
  </si>
  <si>
    <t>Monta</t>
  </si>
  <si>
    <t>Ellis</t>
  </si>
  <si>
    <t>Lavoy</t>
  </si>
  <si>
    <t>Joe</t>
  </si>
  <si>
    <t>John</t>
  </si>
  <si>
    <t>Amir</t>
  </si>
  <si>
    <t>Gerald</t>
  </si>
  <si>
    <t>Stuckey</t>
  </si>
  <si>
    <t>Ian</t>
  </si>
  <si>
    <t>Jaylen</t>
  </si>
  <si>
    <t>Brown</t>
  </si>
  <si>
    <t>Hip</t>
  </si>
  <si>
    <t>Seraphin</t>
  </si>
  <si>
    <t>Trey</t>
  </si>
  <si>
    <t>Mickey</t>
  </si>
  <si>
    <t>Glenn</t>
  </si>
  <si>
    <t>Robinson III</t>
  </si>
  <si>
    <t>Jason</t>
  </si>
  <si>
    <t>Terry</t>
  </si>
  <si>
    <t>Demetrius</t>
  </si>
  <si>
    <t>Brooks</t>
  </si>
  <si>
    <t>Price</t>
  </si>
  <si>
    <t>Georges</t>
  </si>
  <si>
    <t>Niang</t>
  </si>
  <si>
    <t>Rozier</t>
  </si>
  <si>
    <t>Jerebko</t>
  </si>
  <si>
    <t>Rakeem</t>
  </si>
  <si>
    <t>Christmas</t>
  </si>
  <si>
    <t>18021-12332</t>
  </si>
  <si>
    <t>Wall</t>
  </si>
  <si>
    <t>WAS@IND</t>
  </si>
  <si>
    <t>WAS</t>
  </si>
  <si>
    <t>18021-14559</t>
  </si>
  <si>
    <t>BOS@CHI</t>
  </si>
  <si>
    <t>18021-14528</t>
  </si>
  <si>
    <t>18021-12341</t>
  </si>
  <si>
    <t>18021-9585</t>
  </si>
  <si>
    <t>18021-15595</t>
  </si>
  <si>
    <t>Beal</t>
  </si>
  <si>
    <t>18021-14511</t>
  </si>
  <si>
    <t>Markieff</t>
  </si>
  <si>
    <t>18021-9661</t>
  </si>
  <si>
    <t>Marcin</t>
  </si>
  <si>
    <t>Gortat</t>
  </si>
  <si>
    <t>18021-9446</t>
  </si>
  <si>
    <t>18021-9453</t>
  </si>
  <si>
    <t>18021-15628</t>
  </si>
  <si>
    <t>Otto</t>
  </si>
  <si>
    <t>Porter</t>
  </si>
  <si>
    <t>18021-58253</t>
  </si>
  <si>
    <t>18021-12334</t>
  </si>
  <si>
    <t>18021-15800</t>
  </si>
  <si>
    <t>18021-23670</t>
  </si>
  <si>
    <t>18021-9666</t>
  </si>
  <si>
    <t>18021-16201</t>
  </si>
  <si>
    <t>18021-9873</t>
  </si>
  <si>
    <t>18021-9455</t>
  </si>
  <si>
    <t>18021-9481</t>
  </si>
  <si>
    <t>18021-22541</t>
  </si>
  <si>
    <t>18021-18256</t>
  </si>
  <si>
    <t>18021-12335</t>
  </si>
  <si>
    <t>18021-9526</t>
  </si>
  <si>
    <t>18021-14549</t>
  </si>
  <si>
    <t>18021-9725</t>
  </si>
  <si>
    <t>18021-9862</t>
  </si>
  <si>
    <t>18021-14522</t>
  </si>
  <si>
    <t>18021-9514</t>
  </si>
  <si>
    <t>18021-9669</t>
  </si>
  <si>
    <t>18021-67026</t>
  </si>
  <si>
    <t>18021-63478</t>
  </si>
  <si>
    <t>18021-19456</t>
  </si>
  <si>
    <t>18021-9609</t>
  </si>
  <si>
    <t>18021-18828</t>
  </si>
  <si>
    <t>18021-58153</t>
  </si>
  <si>
    <t>Oubre Jr.</t>
  </si>
  <si>
    <t>18021-42156</t>
  </si>
  <si>
    <t>18021-42671</t>
  </si>
  <si>
    <t>18021-70832</t>
  </si>
  <si>
    <t>18021-41269</t>
  </si>
  <si>
    <t>18021-42677</t>
  </si>
  <si>
    <t>18021-23097</t>
  </si>
  <si>
    <t>Tomas</t>
  </si>
  <si>
    <t>Satoransky</t>
  </si>
  <si>
    <t>18021-9534</t>
  </si>
  <si>
    <t>18021-23743</t>
  </si>
  <si>
    <t>Daniel</t>
  </si>
  <si>
    <t>Ochefu</t>
  </si>
  <si>
    <t>18021-17218</t>
  </si>
  <si>
    <t>Nicholson</t>
  </si>
  <si>
    <t>18021-16202</t>
  </si>
  <si>
    <t>18021-15961</t>
  </si>
  <si>
    <t>18021-9953</t>
  </si>
  <si>
    <t>Mahinmi</t>
  </si>
  <si>
    <t>18021-24546</t>
  </si>
  <si>
    <t>18021-9955</t>
  </si>
  <si>
    <t>Thornton</t>
  </si>
  <si>
    <t>18021-15843</t>
  </si>
  <si>
    <t>Burke</t>
  </si>
  <si>
    <t>18021-41063</t>
  </si>
  <si>
    <t>18021-9962</t>
  </si>
  <si>
    <t>18021-23156</t>
  </si>
  <si>
    <t>18021-16246</t>
  </si>
  <si>
    <t>Sheldon</t>
  </si>
  <si>
    <t>McClellan</t>
  </si>
  <si>
    <t>18021-23800</t>
  </si>
  <si>
    <t>18021-9849</t>
  </si>
  <si>
    <t>18021-15996</t>
  </si>
  <si>
    <t>18021-23294</t>
  </si>
  <si>
    <t>Danuel</t>
  </si>
  <si>
    <t>House</t>
  </si>
  <si>
    <t>[col B]</t>
  </si>
  <si>
    <t>Last</t>
  </si>
  <si>
    <t>|---</t>
  </si>
  <si>
    <t>week</t>
  </si>
  <si>
    <t>-----|</t>
  </si>
  <si>
    <t>Thu 2/16</t>
  </si>
  <si>
    <t>Total</t>
  </si>
  <si>
    <t>FDP</t>
  </si>
  <si>
    <t>FDP/</t>
  </si>
  <si>
    <t>15 day</t>
  </si>
  <si>
    <t>Schedule Outlook</t>
  </si>
  <si>
    <t>Name</t>
  </si>
  <si>
    <t>L</t>
  </si>
  <si>
    <t>in</t>
  </si>
  <si>
    <t>ks</t>
  </si>
  <si>
    <t>Change</t>
  </si>
  <si>
    <t>G</t>
  </si>
  <si>
    <t>/G</t>
  </si>
  <si>
    <t>G/.$</t>
  </si>
  <si>
    <t>FDP/G</t>
  </si>
  <si>
    <t>N</t>
  </si>
  <si>
    <t>D</t>
  </si>
  <si>
    <t>W</t>
  </si>
  <si>
    <t>........9.1.3.56.8.0.2.4..7.</t>
  </si>
  <si>
    <t>Hou</t>
  </si>
  <si>
    <t>.......8.0.2.4..7.9.1.3.5..8</t>
  </si>
  <si>
    <t>Cle</t>
  </si>
  <si>
    <t>.......8.0.2.4.67.9..2.45.7.</t>
  </si>
  <si>
    <t>Nor</t>
  </si>
  <si>
    <t>.......8.01..4.6.89.1..4..78</t>
  </si>
  <si>
    <t>Sac</t>
  </si>
  <si>
    <t>.......8.0.2.4...89.1.34.6.8</t>
  </si>
  <si>
    <t>.......89.1..4.67.9.12.4.6.8</t>
  </si>
  <si>
    <t>Was</t>
  </si>
  <si>
    <t>1.......9.1.34.6.8.01.34.6.8</t>
  </si>
  <si>
    <t>SAS</t>
  </si>
  <si>
    <t>........9.1..4.67.9.12.4.6.8</t>
  </si>
  <si>
    <t>Min</t>
  </si>
  <si>
    <t>........90.2.4..7.9.1.34.6.8</t>
  </si>
  <si>
    <t>Den</t>
  </si>
  <si>
    <t>.......89.1.34..7.9.1.34.6..</t>
  </si>
  <si>
    <t>GSW</t>
  </si>
  <si>
    <t>.......8.0.23.5..89.1.34..7.</t>
  </si>
  <si>
    <t>Bos</t>
  </si>
  <si>
    <t>1.......9.12.4.6.89.1.3.5..8</t>
  </si>
  <si>
    <t>Mil</t>
  </si>
  <si>
    <t>........9.12.4.67.9.1.34.6.8</t>
  </si>
  <si>
    <t>Chi</t>
  </si>
  <si>
    <t>1.......90..3.5.7.9.1.3.56.8</t>
  </si>
  <si>
    <t>Mia</t>
  </si>
  <si>
    <t>........90.2.4.67.9.1..45..8</t>
  </si>
  <si>
    <t>Por</t>
  </si>
  <si>
    <t>.......8..1.3.5.7.90.2.45.78</t>
  </si>
  <si>
    <t>DNP</t>
  </si>
  <si>
    <t>Uta</t>
  </si>
  <si>
    <t>........9.1.34.6.89.1..4.6.8</t>
  </si>
  <si>
    <t>Det</t>
  </si>
  <si>
    <t>.......8..1.34..7.9.12.4..78</t>
  </si>
  <si>
    <t>Tor</t>
  </si>
  <si>
    <t>........9.12.4.67...1.34.6..</t>
  </si>
  <si>
    <t>Mem</t>
  </si>
  <si>
    <t>........9.1.3..67.9..2.4.6.8</t>
  </si>
  <si>
    <t>Orl</t>
  </si>
  <si>
    <t>.......8.0...4.6.89.1.34.6..</t>
  </si>
  <si>
    <t>Ind</t>
  </si>
  <si>
    <t>1.......90.2.4...89.1.3.5.78</t>
  </si>
  <si>
    <t>NYK</t>
  </si>
  <si>
    <t>.......8.0.2.4.6.89.1..45.7.</t>
  </si>
  <si>
    <t>Pho</t>
  </si>
  <si>
    <t>........9.1.3.56.8.0.2.45..8</t>
  </si>
  <si>
    <t>Atl</t>
  </si>
  <si>
    <t>........90.2.4.6.89.1.34.6..</t>
  </si>
  <si>
    <t>Cha</t>
  </si>
  <si>
    <t>.......8.01.3.5.7.9.1.34.6.8</t>
  </si>
  <si>
    <t>Bkn</t>
  </si>
  <si>
    <t>........90...4.67.9.1.3.5.7.</t>
  </si>
  <si>
    <t>........9.1.3..6.8.0.2..56.8</t>
  </si>
  <si>
    <t>Dal</t>
  </si>
  <si>
    <t>........90.2.4.6.8.0..34.6.8</t>
  </si>
  <si>
    <t>Phi</t>
  </si>
  <si>
    <t>........90.2.4.67.9..2.45.7.</t>
  </si>
  <si>
    <t>X</t>
  </si>
  <si>
    <t>Westbrook Russell</t>
  </si>
  <si>
    <t>Harden James</t>
  </si>
  <si>
    <t>James LeBron</t>
  </si>
  <si>
    <t>Davis Anthony</t>
  </si>
  <si>
    <t>Cousins DeMarcus</t>
  </si>
  <si>
    <t>Griffin Blake</t>
  </si>
  <si>
    <t>Wall John</t>
  </si>
  <si>
    <t>Leonard Kawhi</t>
  </si>
  <si>
    <t>Towns Karl-Anthony</t>
  </si>
  <si>
    <t>Jokic Nikola</t>
  </si>
  <si>
    <t>Durant Kevin</t>
  </si>
  <si>
    <t>Thomas Isaiah</t>
  </si>
  <si>
    <t>Curry Stephen</t>
  </si>
  <si>
    <t>Antetokounmpo Giannis</t>
  </si>
  <si>
    <t>Butler Jimmy</t>
  </si>
  <si>
    <t>Whiteside Hassan</t>
  </si>
  <si>
    <t>Holiday Jrue</t>
  </si>
  <si>
    <t>Lillard Damian</t>
  </si>
  <si>
    <t>Love Kevin</t>
  </si>
  <si>
    <t>Wade Dwyane</t>
  </si>
  <si>
    <t>Green Draymond</t>
  </si>
  <si>
    <t>Hayward Gordon</t>
  </si>
  <si>
    <t>Wiggins Andrew</t>
  </si>
  <si>
    <t>Drummond Andre</t>
  </si>
  <si>
    <t>Irving Kyrie</t>
  </si>
  <si>
    <t>Lowry Kyle</t>
  </si>
  <si>
    <t>Gasol Marc</t>
  </si>
  <si>
    <t>Gobert Rudy</t>
  </si>
  <si>
    <t>DeRozan DeMar</t>
  </si>
  <si>
    <t>Thompson Klay</t>
  </si>
  <si>
    <t>McCollum C.J.</t>
  </si>
  <si>
    <t>Dragic Goran</t>
  </si>
  <si>
    <t>Vucevic Nikola</t>
  </si>
  <si>
    <t>Beal Bradley</t>
  </si>
  <si>
    <t>Gortat Marcin</t>
  </si>
  <si>
    <t>George Paul</t>
  </si>
  <si>
    <t>Anthony Carmelo</t>
  </si>
  <si>
    <t>Bledsoe Eric</t>
  </si>
  <si>
    <t>Conley Mike</t>
  </si>
  <si>
    <t>Millsap Paul</t>
  </si>
  <si>
    <t>Waiters Dion</t>
  </si>
  <si>
    <t>Howard Dwight</t>
  </si>
  <si>
    <t>Barton Will</t>
  </si>
  <si>
    <t>Batum Nicolas</t>
  </si>
  <si>
    <t>Morris Markieff</t>
  </si>
  <si>
    <t>Porzingis Kristaps</t>
  </si>
  <si>
    <t>Lopez Brook</t>
  </si>
  <si>
    <t>Rubio Ricky</t>
  </si>
  <si>
    <t>Parker Jabari</t>
  </si>
  <si>
    <t>Chandler Wilson</t>
  </si>
  <si>
    <t>Teague Jeff</t>
  </si>
  <si>
    <t>Johnson James</t>
  </si>
  <si>
    <t>Hardaway Jr. Tim</t>
  </si>
  <si>
    <t>Jordan DeAndre</t>
  </si>
  <si>
    <t>Booker Devin</t>
  </si>
  <si>
    <t>Young Thaddeus</t>
  </si>
  <si>
    <t>Williams Louis</t>
  </si>
  <si>
    <t>Aldridge LaMarcus</t>
  </si>
  <si>
    <t>Matthews Wes</t>
  </si>
  <si>
    <t>Morris Marcus</t>
  </si>
  <si>
    <t>Covington Robert</t>
  </si>
  <si>
    <t>Hernangomez Guillermo</t>
  </si>
  <si>
    <t>Porter Otto</t>
  </si>
  <si>
    <t>Ibaka Serge</t>
  </si>
  <si>
    <t>Thompson Tristan</t>
  </si>
  <si>
    <t>Collison Darren</t>
  </si>
  <si>
    <t>Horford Al</t>
  </si>
  <si>
    <t>Kaminsky Frank</t>
  </si>
  <si>
    <t>Walker Kemba</t>
  </si>
  <si>
    <t>Adams Steven</t>
  </si>
  <si>
    <t>Beverley Patrick</t>
  </si>
  <si>
    <t>Aminu Al-Farouq</t>
  </si>
  <si>
    <t>Capela Clint</t>
  </si>
  <si>
    <t>Ariza Trevor</t>
  </si>
  <si>
    <t>Fournier Evan</t>
  </si>
  <si>
    <t>Valanciunas Jonas</t>
  </si>
  <si>
    <t>Schroder Dennis</t>
  </si>
  <si>
    <t>Oladipo Victor</t>
  </si>
  <si>
    <t>Nowitzki Dirk</t>
  </si>
  <si>
    <t>Smart Marcus</t>
  </si>
  <si>
    <t>Barnes Harrison</t>
  </si>
  <si>
    <t>Russell D'Angelo</t>
  </si>
  <si>
    <t>Saric Dario</t>
  </si>
  <si>
    <t>Hill George</t>
  </si>
  <si>
    <t>Ferrell Yogi</t>
  </si>
  <si>
    <t>Turner Myles</t>
  </si>
  <si>
    <t>Crawford Jamal</t>
  </si>
  <si>
    <t>Johnson Tyler</t>
  </si>
  <si>
    <t>Jennings Brandon</t>
  </si>
  <si>
    <t>Barnes Matt</t>
  </si>
  <si>
    <t>Booker Trevor</t>
  </si>
  <si>
    <t>Monroe Greg</t>
  </si>
  <si>
    <t>Plumlee Mason</t>
  </si>
  <si>
    <t>Olynyk Kelly</t>
  </si>
  <si>
    <t>Rose Derrick</t>
  </si>
  <si>
    <t>McConnell T.J.</t>
  </si>
  <si>
    <t>Gordon Eric</t>
  </si>
  <si>
    <t>Ilyasova Ersan</t>
  </si>
  <si>
    <t>Tucker P.J.</t>
  </si>
  <si>
    <t>Randolph Zach</t>
  </si>
  <si>
    <t>LaVine Zach</t>
  </si>
  <si>
    <t>Dieng Gorgui</t>
  </si>
  <si>
    <t>Rivers Austin</t>
  </si>
  <si>
    <t>Brogdon Malcolm</t>
  </si>
  <si>
    <t>Crowder Jae</t>
  </si>
  <si>
    <t>Jones Terrence</t>
  </si>
  <si>
    <t>Lopez Robin</t>
  </si>
  <si>
    <t>Harris Gary</t>
  </si>
  <si>
    <t>Young Nick</t>
  </si>
  <si>
    <t>Favors Derrick</t>
  </si>
  <si>
    <t>Harris Tobias</t>
  </si>
  <si>
    <t>Curry Seth</t>
  </si>
  <si>
    <t>Dedmon Dewayne</t>
  </si>
  <si>
    <t>Allen Tony</t>
  </si>
  <si>
    <t>Carter-Williams Micha</t>
  </si>
  <si>
    <t>Nance Larry</t>
  </si>
  <si>
    <t>Faried Kenneth</t>
  </si>
  <si>
    <t>Williams Marvin</t>
  </si>
  <si>
    <t>Bazemore Kent</t>
  </si>
  <si>
    <t>Nelson Jameer</t>
  </si>
  <si>
    <t>Smith Ishmael</t>
  </si>
  <si>
    <t>O'Quinn Kyle</t>
  </si>
  <si>
    <t>Kidd-Gilchrist Michae</t>
  </si>
  <si>
    <t>Bogdanovic Bojan</t>
  </si>
  <si>
    <t>Hollis-Jefferson Rond</t>
  </si>
  <si>
    <t>Henson John</t>
  </si>
  <si>
    <t>Caldwell-Pope Kentavi</t>
  </si>
  <si>
    <t>Noel Nerlens</t>
  </si>
  <si>
    <t>Iguodala Andre</t>
  </si>
  <si>
    <t>Gallinari Danilo</t>
  </si>
  <si>
    <t>Payton Elfrid</t>
  </si>
  <si>
    <t>Felton Raymond</t>
  </si>
  <si>
    <t>Okafor Jahlil</t>
  </si>
  <si>
    <t>Stauskas Nik</t>
  </si>
  <si>
    <t>Warren T.J.</t>
  </si>
  <si>
    <t>Lee David</t>
  </si>
  <si>
    <t>Lawson Ty</t>
  </si>
  <si>
    <t>Korver Kyle</t>
  </si>
  <si>
    <t>Anderson Ryan</t>
  </si>
  <si>
    <t>Chandler Tyson</t>
  </si>
  <si>
    <t>Gibson Taj</t>
  </si>
  <si>
    <t>Carroll DeMarre</t>
  </si>
  <si>
    <t>Roberson Andre</t>
  </si>
  <si>
    <t>Johnson Joe</t>
  </si>
  <si>
    <t>Redick J.J.</t>
  </si>
  <si>
    <t>Leuer Jon</t>
  </si>
  <si>
    <t>Jackson Reggie</t>
  </si>
  <si>
    <t>Mejri Salah</t>
  </si>
  <si>
    <t>Mudiay Emmanuel</t>
  </si>
  <si>
    <t>Murray Jamal</t>
  </si>
  <si>
    <t>Frye Channing</t>
  </si>
  <si>
    <t>Green Danny</t>
  </si>
  <si>
    <t>Black Tarik</t>
  </si>
  <si>
    <t>Belinelli Marco</t>
  </si>
  <si>
    <t>Green JaMychal</t>
  </si>
  <si>
    <t>Randle Julius</t>
  </si>
  <si>
    <t>Turner Evan</t>
  </si>
  <si>
    <t>Moore E'Twaun</t>
  </si>
  <si>
    <t>Harkless Maurice</t>
  </si>
  <si>
    <t>McLemore Ben</t>
  </si>
  <si>
    <t>Carter Vince</t>
  </si>
  <si>
    <t>Lee Courtney</t>
  </si>
  <si>
    <t>Cauley-Stein Willie</t>
  </si>
  <si>
    <t>Miles C.J.</t>
  </si>
  <si>
    <t>Rondo Rajon</t>
  </si>
  <si>
    <t>Beasley Michael</t>
  </si>
  <si>
    <t>Arthur Darrell</t>
  </si>
  <si>
    <t>Davis Ed</t>
  </si>
  <si>
    <t>Parker Tony</t>
  </si>
  <si>
    <t>Speights Marreese</t>
  </si>
  <si>
    <t>Chriss Marquese</t>
  </si>
  <si>
    <t>Ellis Monta</t>
  </si>
  <si>
    <t>Clarkson Jordan</t>
  </si>
  <si>
    <t>Hamilton Justin</t>
  </si>
  <si>
    <t>Nogueira Lucas</t>
  </si>
  <si>
    <t>McGee JaVale</t>
  </si>
  <si>
    <t>Ingram Brandon</t>
  </si>
  <si>
    <t>Muhammad Shabazz</t>
  </si>
  <si>
    <t>McGruder Rodney</t>
  </si>
  <si>
    <t>Tolliver Anthony</t>
  </si>
  <si>
    <t>Parsons Chandler</t>
  </si>
  <si>
    <t>Kilpatrick Sean</t>
  </si>
  <si>
    <t>Harrell Montrezl</t>
  </si>
  <si>
    <t>Ingles Joe</t>
  </si>
  <si>
    <t>Hield Buddy</t>
  </si>
  <si>
    <t>Watson C.J.</t>
  </si>
  <si>
    <t>Middleton Khris</t>
  </si>
  <si>
    <t>Biyombo Bismack</t>
  </si>
  <si>
    <t>Gordon Aaron</t>
  </si>
  <si>
    <t>Powell Norman</t>
  </si>
  <si>
    <t>Zeller Cody</t>
  </si>
  <si>
    <t>Harris Devin</t>
  </si>
  <si>
    <t>Mirotic Nikola</t>
  </si>
  <si>
    <t>Hernangomez Juan</t>
  </si>
  <si>
    <t>Hawes Spencer</t>
  </si>
  <si>
    <t>Koufos Kosta</t>
  </si>
  <si>
    <t>Ennis James</t>
  </si>
  <si>
    <t>Johnson Amir</t>
  </si>
  <si>
    <t>Ross Terrence</t>
  </si>
  <si>
    <t>Smith Jason</t>
  </si>
  <si>
    <t>Lauvergne Joffrey</t>
  </si>
  <si>
    <t>Hilario Nene</t>
  </si>
  <si>
    <t>Evans Tyreke</t>
  </si>
  <si>
    <t>Allen Lavoy</t>
  </si>
  <si>
    <t>Jefferson Al</t>
  </si>
  <si>
    <t>Henderson Gerald</t>
  </si>
  <si>
    <t>Lamb Jeremy</t>
  </si>
  <si>
    <t>Huestis Josh</t>
  </si>
  <si>
    <t>Brown Jaylen</t>
  </si>
  <si>
    <t>Zubac Ivica</t>
  </si>
  <si>
    <t>Ellington Wayne</t>
  </si>
  <si>
    <t>Dinwiddie Spencer</t>
  </si>
  <si>
    <t>Grant Jerian</t>
  </si>
  <si>
    <t>Hibbert Roy</t>
  </si>
  <si>
    <t>Leonard Meyers</t>
  </si>
  <si>
    <t>Crabbe Allen</t>
  </si>
  <si>
    <t>Shumpert Iman</t>
  </si>
  <si>
    <t>Hill Solomon</t>
  </si>
  <si>
    <t>Rodriguez Sergio</t>
  </si>
  <si>
    <t>Holiday Justin</t>
  </si>
  <si>
    <t>Len Alex</t>
  </si>
  <si>
    <t>Felicio Cristiano</t>
  </si>
  <si>
    <t>Bender Dragan</t>
  </si>
  <si>
    <t>LeVert Caris</t>
  </si>
  <si>
    <t>VanVleet Fred</t>
  </si>
  <si>
    <t>Dellavedova Matthew</t>
  </si>
  <si>
    <t>Bjelica Nemanja</t>
  </si>
  <si>
    <t>Simmons Jonathon</t>
  </si>
  <si>
    <t>Snell Tony</t>
  </si>
  <si>
    <t>Wright Brandan</t>
  </si>
  <si>
    <t>McDermott Doug</t>
  </si>
  <si>
    <t>Grant Jerami</t>
  </si>
  <si>
    <t>Baynes Aron</t>
  </si>
  <si>
    <t>Maker Thon</t>
  </si>
  <si>
    <t>Cunningham Dante</t>
  </si>
  <si>
    <t>Seraphin Kevin</t>
  </si>
  <si>
    <t>Afflalo Arron</t>
  </si>
  <si>
    <t>Dudley Jared</t>
  </si>
  <si>
    <t>Rozier Terry</t>
  </si>
  <si>
    <t>Clark Ian</t>
  </si>
  <si>
    <t>Deng Luol</t>
  </si>
  <si>
    <t>Joseph Cory</t>
  </si>
  <si>
    <t>Stuckey Rodney</t>
  </si>
  <si>
    <t>Hezonja Mario</t>
  </si>
  <si>
    <t>Ginobili Manu</t>
  </si>
  <si>
    <t>Augustin D.J.</t>
  </si>
  <si>
    <t>Mills Patty</t>
  </si>
  <si>
    <t>Holmes Richaun</t>
  </si>
  <si>
    <t>Humphries Kris</t>
  </si>
  <si>
    <t>Douglas Toney</t>
  </si>
  <si>
    <t>Patterson Patrick</t>
  </si>
  <si>
    <t>Burks Alec</t>
  </si>
  <si>
    <t>Muscala Mike</t>
  </si>
  <si>
    <t>Dekker Sam</t>
  </si>
  <si>
    <t>Green Jeff</t>
  </si>
  <si>
    <t>Terry Jason</t>
  </si>
  <si>
    <t>Liggins DeAndre</t>
  </si>
  <si>
    <t>Payne Cameron</t>
  </si>
  <si>
    <t>Zipser Paul</t>
  </si>
  <si>
    <t>Sabonis Domantas</t>
  </si>
  <si>
    <t>Foye Randy</t>
  </si>
  <si>
    <t>Mozgov Timofey</t>
  </si>
  <si>
    <t>Knight Brandon</t>
  </si>
  <si>
    <t>Temple Garrett</t>
  </si>
  <si>
    <t>Teletovic Mirza</t>
  </si>
  <si>
    <t>Robinson III Glenn</t>
  </si>
  <si>
    <t>Powell Dwight</t>
  </si>
  <si>
    <t>Brewer Corey</t>
  </si>
  <si>
    <t>Nurkic Jusuf</t>
  </si>
  <si>
    <t>Burke Trey</t>
  </si>
  <si>
    <t>Oubre Kelly</t>
  </si>
  <si>
    <t>Jones Tyus</t>
  </si>
  <si>
    <t>Williams Derrick</t>
  </si>
  <si>
    <t>Delaney Malcolm</t>
  </si>
  <si>
    <t>Williams Alan</t>
  </si>
  <si>
    <t>Whitehead Isaiah</t>
  </si>
  <si>
    <t>Exum Dante</t>
  </si>
  <si>
    <t>Johnson Stanley</t>
  </si>
  <si>
    <t>Bembry DeAndre</t>
  </si>
  <si>
    <t>Huertas Marcelo</t>
  </si>
  <si>
    <t>Green Gerald</t>
  </si>
  <si>
    <t>Williams Deron</t>
  </si>
  <si>
    <t>Morrow Anthony</t>
  </si>
  <si>
    <t>McCaw Patrick</t>
  </si>
  <si>
    <t>Kuzminskas Mindaugas</t>
  </si>
  <si>
    <t>Rush Brandon</t>
  </si>
  <si>
    <t>Bertans Davis</t>
  </si>
  <si>
    <t>Harris Joe</t>
  </si>
  <si>
    <t>McAdoo James Michael</t>
  </si>
  <si>
    <t>Livingston Shaun</t>
  </si>
  <si>
    <t>Vonleh Noah</t>
  </si>
  <si>
    <t>Randle Chasson</t>
  </si>
  <si>
    <t>Barbosa Leandro</t>
  </si>
  <si>
    <t>Ajinca Alexis</t>
  </si>
  <si>
    <t>Valentine Denzel</t>
  </si>
  <si>
    <t>Galloway Langston</t>
  </si>
  <si>
    <t>Plumlee Miles</t>
  </si>
  <si>
    <t>Luwawu Timothe</t>
  </si>
  <si>
    <t>Jefferson Richard</t>
  </si>
  <si>
    <t>Siakam Pascal</t>
  </si>
  <si>
    <t>Lyles Trey</t>
  </si>
  <si>
    <t>Mack Shelvin</t>
  </si>
  <si>
    <t>Mbah a Moute Luc</t>
  </si>
  <si>
    <t>Scola Luis</t>
  </si>
  <si>
    <t>Haslem Udonis</t>
  </si>
  <si>
    <t>Roberts Brian</t>
  </si>
  <si>
    <t>Anderson Kyle</t>
  </si>
  <si>
    <t>Prince Taurean</t>
  </si>
  <si>
    <t>Motiejunas Donatas</t>
  </si>
  <si>
    <t>Reed Willie</t>
  </si>
  <si>
    <t>Dunleavy Mike</t>
  </si>
  <si>
    <t>Acy Quincy</t>
  </si>
  <si>
    <t>Frazier Tim</t>
  </si>
  <si>
    <t>Abrines Alex</t>
  </si>
  <si>
    <t>Looney Kevon</t>
  </si>
  <si>
    <t>Satoransky Tomas</t>
  </si>
  <si>
    <t>Portis Bobby</t>
  </si>
  <si>
    <t>Diaw Boris</t>
  </si>
  <si>
    <t>Brooks Aaron</t>
  </si>
  <si>
    <t>Poeltl Jakob</t>
  </si>
  <si>
    <t>Ulis Tyler</t>
  </si>
  <si>
    <t>Singler Kyle</t>
  </si>
  <si>
    <t>Daniels Troy</t>
  </si>
  <si>
    <t>Noah Joakim</t>
  </si>
  <si>
    <t>Vujacic Sasha</t>
  </si>
  <si>
    <t>Marjanovic Boban</t>
  </si>
  <si>
    <t>Mahinmi Ian</t>
  </si>
  <si>
    <t>Wood Christian</t>
  </si>
  <si>
    <t>Anderson Justin</t>
  </si>
  <si>
    <t>Brussino Nicolas</t>
  </si>
  <si>
    <t>Stephenson Lance</t>
  </si>
  <si>
    <t>Sessions Ramon</t>
  </si>
  <si>
    <t>Connaughton Pat</t>
  </si>
  <si>
    <t>Sullinger Jared</t>
  </si>
  <si>
    <t>McRae Jordan</t>
  </si>
  <si>
    <t>Finney-Smith Dorian</t>
  </si>
  <si>
    <t>Harrison Andrew</t>
  </si>
  <si>
    <t>White Okaro</t>
  </si>
  <si>
    <t>Babbitt Luke</t>
  </si>
  <si>
    <t>Bass Brandon</t>
  </si>
  <si>
    <t>Jerebko Jonas</t>
  </si>
  <si>
    <t>Calderon Jose</t>
  </si>
  <si>
    <t>Zeller Tyler</t>
  </si>
  <si>
    <t>Young James</t>
  </si>
  <si>
    <t>Canaan Isaiah</t>
  </si>
  <si>
    <t>Weber Briante</t>
  </si>
  <si>
    <t>Felder Kay</t>
  </si>
  <si>
    <t>Withey Jeff</t>
  </si>
  <si>
    <t>Bullock Reggie</t>
  </si>
  <si>
    <t>O'Bryant Johnny</t>
  </si>
  <si>
    <t>Labissiere Skal</t>
  </si>
  <si>
    <t>Baker Ron</t>
  </si>
  <si>
    <t>Johnson Wesley</t>
  </si>
  <si>
    <t>Wright Delon</t>
  </si>
  <si>
    <t>Scott Mike</t>
  </si>
  <si>
    <t>Thomas Lance</t>
  </si>
  <si>
    <t>Davis Deyonta</t>
  </si>
  <si>
    <t>Christon Semaj</t>
  </si>
  <si>
    <t>Jones Damian</t>
  </si>
  <si>
    <t>Anthony Joel</t>
  </si>
  <si>
    <t>N'dour Maurice</t>
  </si>
  <si>
    <t>Richardson Malachi</t>
  </si>
  <si>
    <t>Miller Mike</t>
  </si>
  <si>
    <t>Vaughn Rashad</t>
  </si>
  <si>
    <t>Rudez Damjan</t>
  </si>
  <si>
    <t>McDaniels K.J.</t>
  </si>
  <si>
    <t>Varejao Anderson</t>
  </si>
  <si>
    <t>Beasley Malik</t>
  </si>
  <si>
    <t>Aldrich Cole</t>
  </si>
  <si>
    <t>Payne Adreian</t>
  </si>
  <si>
    <t>Ennis Tyler</t>
  </si>
  <si>
    <t>Hood Rodney</t>
  </si>
  <si>
    <t>Niang Georges</t>
  </si>
  <si>
    <t>Anderson Alan</t>
  </si>
  <si>
    <t>Graham Treveon</t>
  </si>
  <si>
    <t>Pierce Paul</t>
  </si>
  <si>
    <t>Patterson Lamar</t>
  </si>
  <si>
    <t>Jones James</t>
  </si>
  <si>
    <t>Nicholson Andrew</t>
  </si>
  <si>
    <t>Young Joseph</t>
  </si>
  <si>
    <t>Jones Derrick</t>
  </si>
  <si>
    <t>Peace Metta World</t>
  </si>
  <si>
    <t>Collison Nick</t>
  </si>
  <si>
    <t>Price Ronnie</t>
  </si>
  <si>
    <t>Dunn Kris</t>
  </si>
  <si>
    <t>Napier Shabazz</t>
  </si>
  <si>
    <t>Mickey Jordan</t>
  </si>
  <si>
    <t>Stone Diamond</t>
  </si>
  <si>
    <t>Udrih Beno</t>
  </si>
  <si>
    <t>Christmas Rakeem</t>
  </si>
  <si>
    <t>Neto Raul</t>
  </si>
  <si>
    <t>McClellan Sheldon</t>
  </si>
  <si>
    <t>Murray Dejounte</t>
  </si>
  <si>
    <t>Brown Bobby</t>
  </si>
  <si>
    <t>Asik Omer</t>
  </si>
  <si>
    <t>Plumlee Marshall</t>
  </si>
  <si>
    <t>Gasol Pau</t>
  </si>
  <si>
    <t>Andersen Chris</t>
  </si>
  <si>
    <t>Jones Dahntay</t>
  </si>
  <si>
    <t>Pachulia Zaza</t>
  </si>
  <si>
    <t>West David</t>
  </si>
  <si>
    <t>Smith J.R.</t>
  </si>
  <si>
    <t>Bogut Andrew</t>
  </si>
  <si>
    <t>Paul Chris</t>
  </si>
  <si>
    <t>Lucas John</t>
  </si>
  <si>
    <t>Gay Rudy</t>
  </si>
  <si>
    <t>Barea Jose</t>
  </si>
  <si>
    <t>Novak Steve</t>
  </si>
  <si>
    <t>Farmar Jordan</t>
  </si>
  <si>
    <t>Sefolosha Thabo</t>
  </si>
  <si>
    <t>Amundson Louis</t>
  </si>
  <si>
    <t>McRoberts Josh</t>
  </si>
  <si>
    <t>Splitter Tiago</t>
  </si>
  <si>
    <t>Bayless Jerryd</t>
  </si>
  <si>
    <t>Hill Jordan</t>
  </si>
  <si>
    <t>Meeks Jodie</t>
  </si>
  <si>
    <t>Casspi Omri</t>
  </si>
  <si>
    <t>Thornton Marcus</t>
  </si>
  <si>
    <t>Gee Alonzo</t>
  </si>
  <si>
    <t>Williams Reggie</t>
  </si>
  <si>
    <t>Bradley Avery</t>
  </si>
  <si>
    <t>Lin Jeremy</t>
  </si>
  <si>
    <t>Neal Gary</t>
  </si>
  <si>
    <t>Stiemsma Greg</t>
  </si>
  <si>
    <t>Vasquez Greivis</t>
  </si>
  <si>
    <t>Williams Elliot</t>
  </si>
  <si>
    <t>Kanter Enes</t>
  </si>
  <si>
    <t>Ezeli Festus</t>
  </si>
  <si>
    <t>Robinson Thomas</t>
  </si>
  <si>
    <t>Thompson Hollis</t>
  </si>
  <si>
    <t>Jenkins John</t>
  </si>
  <si>
    <t>Sims Henry</t>
  </si>
  <si>
    <t>Johnson Chris</t>
  </si>
  <si>
    <t>Jones Cameron</t>
  </si>
  <si>
    <t>Onuaku Arinze</t>
  </si>
  <si>
    <t>McCallum Ray</t>
  </si>
  <si>
    <t>Goodwin Archie</t>
  </si>
  <si>
    <t>Bennett Anthony</t>
  </si>
  <si>
    <t>Pressey Phil</t>
  </si>
  <si>
    <t>Kelly Ryan</t>
  </si>
  <si>
    <t>Jerrett Grant</t>
  </si>
  <si>
    <t>Jefferson Cory</t>
  </si>
  <si>
    <t>Wilcox C.J.</t>
  </si>
  <si>
    <t>Brown Markel</t>
  </si>
  <si>
    <t>Caboclo Bruno</t>
  </si>
  <si>
    <t>Stokes Jarnell</t>
  </si>
  <si>
    <t>Embiid Joel</t>
  </si>
  <si>
    <t>Inglis Damien</t>
  </si>
  <si>
    <t>Harrison Aaron</t>
  </si>
  <si>
    <t>Winslow Justise</t>
  </si>
  <si>
    <t>Richardson Josh</t>
  </si>
  <si>
    <t>Holmes Jonathan</t>
  </si>
  <si>
    <t>Brown Anthony</t>
  </si>
  <si>
    <t>McCullough Chris</t>
  </si>
  <si>
    <t>Hunter R.J.</t>
  </si>
  <si>
    <t>Jackson Pierre</t>
  </si>
  <si>
    <t>Tokoto J.P.</t>
  </si>
  <si>
    <t>Hilliard Darrun</t>
  </si>
  <si>
    <t>Martin Jarell</t>
  </si>
  <si>
    <t>Tavares Walter</t>
  </si>
  <si>
    <t>Holland John</t>
  </si>
  <si>
    <t>Jean-Charles Livio</t>
  </si>
  <si>
    <t>Williams Troy</t>
  </si>
  <si>
    <t>Baldwin Wade</t>
  </si>
  <si>
    <t>Garino Patricio</t>
  </si>
  <si>
    <t>Johnson Brice</t>
  </si>
  <si>
    <t>House Danuel</t>
  </si>
  <si>
    <t>Jackson Demetrius</t>
  </si>
  <si>
    <t>Simmons Ben</t>
  </si>
  <si>
    <t>Papagiannis Georgios</t>
  </si>
  <si>
    <t>Quarterman Tim</t>
  </si>
  <si>
    <t>Hammons A.J.</t>
  </si>
  <si>
    <t>Laprovittola Nicolas</t>
  </si>
  <si>
    <t>Gbinije Michael</t>
  </si>
  <si>
    <t>Gibson Jonathan</t>
  </si>
  <si>
    <t>Diallo Cheick</t>
  </si>
  <si>
    <t>Ochefu Daniel</t>
  </si>
  <si>
    <t>Wiltjer Kyle</t>
  </si>
  <si>
    <t>Bolomboy Joel</t>
  </si>
  <si>
    <t>Forbes Bryn</t>
  </si>
  <si>
    <t>Layman Jake</t>
  </si>
  <si>
    <t>Zimmerman Stephen</t>
  </si>
  <si>
    <t>Tobey Mike</t>
  </si>
  <si>
    <t>Ellenson Henry</t>
  </si>
  <si>
    <t>Onuaku Chinanu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</si>
</sst>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6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16" fontId="0" fillId="0" borderId="0" xfId="0" applyNumberFormat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hstats.cgi?05d01310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B3" sqref="B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12</v>
      </c>
      <c r="C1" t="s">
        <v>13</v>
      </c>
      <c r="D1" t="s">
        <v>8</v>
      </c>
      <c r="E1" t="s">
        <v>9</v>
      </c>
      <c r="F1" t="s">
        <v>10</v>
      </c>
      <c r="G1" t="s">
        <v>11</v>
      </c>
      <c r="H1" t="s">
        <v>3</v>
      </c>
      <c r="I1" t="s">
        <v>7</v>
      </c>
      <c r="J1" t="s">
        <v>5</v>
      </c>
      <c r="K1" t="s">
        <v>4</v>
      </c>
      <c r="L1" t="s">
        <v>6</v>
      </c>
      <c r="M1" t="s">
        <v>60</v>
      </c>
      <c r="N1" t="s">
        <v>0</v>
      </c>
      <c r="O1" t="s">
        <v>14</v>
      </c>
      <c r="P1" t="s">
        <v>15</v>
      </c>
      <c r="T1">
        <v>8</v>
      </c>
    </row>
    <row r="2" spans="1:20" x14ac:dyDescent="0.25">
      <c r="A2" s="1" t="str">
        <f>IF(C2=1,D2,0)</f>
        <v>PG</v>
      </c>
      <c r="B2" s="1" t="str">
        <f>IF(C2=0,0,A2&amp;" "&amp;COUNTIF($A$1:$A2,A2))</f>
        <v>PG 1</v>
      </c>
      <c r="C2" s="1">
        <v>1</v>
      </c>
      <c r="D2" t="str">
        <f>RawData!B2</f>
        <v>PG</v>
      </c>
      <c r="E2" t="str">
        <f>RawData!E2</f>
        <v>Wall</v>
      </c>
      <c r="F2">
        <f>(RawData!F2)*M2</f>
        <v>0</v>
      </c>
      <c r="G2" s="35">
        <f>RawData!H2</f>
        <v>10400</v>
      </c>
      <c r="H2">
        <f>IF($D2=H$1,$C2*1,0)</f>
        <v>1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3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 t="str">
        <f>RawData!B3</f>
        <v>PG</v>
      </c>
      <c r="E3" s="2" t="str">
        <f>RawData!E3</f>
        <v>Thomas</v>
      </c>
      <c r="F3" s="2">
        <f>(RawData!F3)*M3</f>
        <v>0</v>
      </c>
      <c r="G3" s="35">
        <f>RawData!H3</f>
        <v>10000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1</v>
      </c>
      <c r="N3" t="s">
        <v>7</v>
      </c>
      <c r="O3">
        <v>2</v>
      </c>
      <c r="P3">
        <f>SUM(I2:I339)</f>
        <v>2</v>
      </c>
    </row>
    <row r="4" spans="1:20" x14ac:dyDescent="0.25">
      <c r="A4" t="str">
        <f t="shared" si="1"/>
        <v>SF</v>
      </c>
      <c r="B4" t="str">
        <f>IF(C4=0,0,A4&amp;" "&amp;COUNTIF($A$1:$A4,A4))</f>
        <v>SF 1</v>
      </c>
      <c r="C4" s="1">
        <v>1</v>
      </c>
      <c r="D4" s="2" t="str">
        <f>RawData!B4</f>
        <v>SF</v>
      </c>
      <c r="E4" s="2" t="str">
        <f>RawData!E4</f>
        <v>Butler</v>
      </c>
      <c r="F4" s="2">
        <f>(RawData!F4)*M4</f>
        <v>0</v>
      </c>
      <c r="G4" s="35">
        <f>RawData!H4</f>
        <v>9700</v>
      </c>
      <c r="H4">
        <f t="shared" si="2"/>
        <v>0</v>
      </c>
      <c r="I4">
        <f t="shared" si="2"/>
        <v>0</v>
      </c>
      <c r="J4">
        <f t="shared" si="2"/>
        <v>1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5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2" t="str">
        <f>RawData!B5</f>
        <v>SF</v>
      </c>
      <c r="E5" s="2" t="str">
        <f>RawData!E5</f>
        <v>George</v>
      </c>
      <c r="F5" s="2">
        <f>(RawData!F5)*M5</f>
        <v>0</v>
      </c>
      <c r="G5" s="35">
        <f>RawData!H5</f>
        <v>8600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4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 t="str">
        <f>RawData!B6</f>
        <v>SG</v>
      </c>
      <c r="E6" s="2" t="str">
        <f>RawData!E6</f>
        <v>Wade</v>
      </c>
      <c r="F6" s="2">
        <f>(RawData!F6)*M6</f>
        <v>0</v>
      </c>
      <c r="G6" s="35">
        <f>RawData!H6</f>
        <v>7900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0</v>
      </c>
      <c r="N6" t="s">
        <v>6</v>
      </c>
      <c r="O6">
        <v>1</v>
      </c>
      <c r="P6">
        <f>SUM(L2:L339)</f>
        <v>1</v>
      </c>
    </row>
    <row r="7" spans="1:20" x14ac:dyDescent="0.25">
      <c r="A7" t="str">
        <f t="shared" si="1"/>
        <v>SG</v>
      </c>
      <c r="B7" t="str">
        <f>IF(C7=0,0,A7&amp;" "&amp;COUNTIF($A$1:$A7,A7))</f>
        <v>SG 1</v>
      </c>
      <c r="C7" s="1">
        <v>1</v>
      </c>
      <c r="D7" s="2" t="str">
        <f>RawData!B7</f>
        <v>SG</v>
      </c>
      <c r="E7" s="2" t="str">
        <f>RawData!E7</f>
        <v>Beal</v>
      </c>
      <c r="F7" s="2">
        <f>(RawData!F7)*M7</f>
        <v>0</v>
      </c>
      <c r="G7" s="35">
        <f>RawData!H7</f>
        <v>7600</v>
      </c>
      <c r="H7">
        <f t="shared" si="2"/>
        <v>0</v>
      </c>
      <c r="I7">
        <f t="shared" si="2"/>
        <v>1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RawData!B8</f>
        <v>PF</v>
      </c>
      <c r="E8" s="2" t="str">
        <f>RawData!E8</f>
        <v>Morris</v>
      </c>
      <c r="F8" s="2">
        <f>(RawData!F8)*M8</f>
        <v>0</v>
      </c>
      <c r="G8" s="35">
        <f>RawData!H8</f>
        <v>7400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16</v>
      </c>
      <c r="O8">
        <f>SUMPRODUCT(C2:C239,G2:G239)</f>
        <v>59900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 t="str">
        <f>RawData!B9</f>
        <v>C</v>
      </c>
      <c r="E9" s="2" t="str">
        <f>RawData!E9</f>
        <v>Gortat</v>
      </c>
      <c r="F9" s="2">
        <f>(RawData!F9)*M9</f>
        <v>0</v>
      </c>
      <c r="G9" s="35">
        <f>RawData!H9</f>
        <v>7300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1</v>
      </c>
      <c r="N9" t="s">
        <v>17</v>
      </c>
      <c r="O9">
        <f>60000</f>
        <v>60000</v>
      </c>
    </row>
    <row r="10" spans="1:20" x14ac:dyDescent="0.25">
      <c r="A10" t="str">
        <f t="shared" si="1"/>
        <v>PG</v>
      </c>
      <c r="B10" t="str">
        <f>IF(C10=0,0,A10&amp;" "&amp;COUNTIF($A$1:$A10,A10))</f>
        <v>PG 2</v>
      </c>
      <c r="C10" s="1">
        <v>1</v>
      </c>
      <c r="D10" s="2" t="str">
        <f>RawData!B10</f>
        <v>PG</v>
      </c>
      <c r="E10" s="2" t="str">
        <f>RawData!E10</f>
        <v>Teague</v>
      </c>
      <c r="F10" s="2">
        <f>(RawData!F10)*M10</f>
        <v>0</v>
      </c>
      <c r="G10" s="35">
        <f>RawData!H10</f>
        <v>7200</v>
      </c>
      <c r="H10">
        <f t="shared" si="2"/>
        <v>1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 t="str">
        <f t="shared" si="1"/>
        <v>C</v>
      </c>
      <c r="B11" t="str">
        <f>IF(C11=0,0,A11&amp;" "&amp;COUNTIF($A$1:$A11,A11))</f>
        <v>C 1</v>
      </c>
      <c r="C11" s="1">
        <v>1</v>
      </c>
      <c r="D11" s="2" t="str">
        <f>RawData!B11</f>
        <v>C</v>
      </c>
      <c r="E11" s="2" t="str">
        <f>RawData!E11</f>
        <v>Horford</v>
      </c>
      <c r="F11" s="2">
        <f>(RawData!F11)*M11</f>
        <v>0</v>
      </c>
      <c r="G11" s="35">
        <f>RawData!H11</f>
        <v>7000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1</v>
      </c>
      <c r="M11" s="2">
        <f>IF(RawData!L11=0,1,0)</f>
        <v>1</v>
      </c>
      <c r="N11" t="s">
        <v>18</v>
      </c>
      <c r="O11">
        <f>SUMPRODUCT(C2:C339,F2:F339)</f>
        <v>0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RawData!B12</f>
        <v>SF</v>
      </c>
      <c r="E12" s="2" t="str">
        <f>RawData!E12</f>
        <v>Porter</v>
      </c>
      <c r="F12" s="2">
        <f>(RawData!F12)*M12</f>
        <v>0</v>
      </c>
      <c r="G12" s="35">
        <f>RawData!H12</f>
        <v>6600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RawData!B13</f>
        <v>C</v>
      </c>
      <c r="E13" s="2" t="str">
        <f>RawData!E13</f>
        <v>Turner</v>
      </c>
      <c r="F13" s="2">
        <f>(RawData!F13)*M13</f>
        <v>0</v>
      </c>
      <c r="G13" s="35">
        <f>RawData!H13</f>
        <v>6500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1</v>
      </c>
      <c r="N13" t="s">
        <v>19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RawData!B14</f>
        <v>SG</v>
      </c>
      <c r="E14" s="2" t="str">
        <f>RawData!E14</f>
        <v>Bradley</v>
      </c>
      <c r="F14" s="2">
        <f>(RawData!F14)*M14</f>
        <v>0</v>
      </c>
      <c r="G14" s="35">
        <f>RawData!H14</f>
        <v>6500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0</v>
      </c>
      <c r="N14" t="s">
        <v>20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RawData!B15</f>
        <v>SF</v>
      </c>
      <c r="E15" s="2" t="str">
        <f>RawData!E15</f>
        <v>Crowder</v>
      </c>
      <c r="F15" s="2">
        <f>(RawData!F15)*M15</f>
        <v>0</v>
      </c>
      <c r="G15" s="35">
        <f>RawData!H15</f>
        <v>6100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1</v>
      </c>
    </row>
    <row r="16" spans="1:20" x14ac:dyDescent="0.25">
      <c r="A16" t="str">
        <f t="shared" si="1"/>
        <v>SG</v>
      </c>
      <c r="B16" t="str">
        <f>IF(C16=0,0,A16&amp;" "&amp;COUNTIF($A$1:$A16,A16))</f>
        <v>SG 2</v>
      </c>
      <c r="C16" s="1">
        <v>1</v>
      </c>
      <c r="D16" s="2" t="str">
        <f>RawData!B16</f>
        <v>SG</v>
      </c>
      <c r="E16" s="2" t="str">
        <f>RawData!E16</f>
        <v>Smart</v>
      </c>
      <c r="F16" s="2">
        <f>(RawData!F16)*M16</f>
        <v>0</v>
      </c>
      <c r="G16" s="35">
        <f>RawData!H16</f>
        <v>5800</v>
      </c>
      <c r="H16">
        <f t="shared" si="2"/>
        <v>0</v>
      </c>
      <c r="I16">
        <f t="shared" si="2"/>
        <v>1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22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RawData!B17</f>
        <v>PF</v>
      </c>
      <c r="E17" s="2" t="str">
        <f>RawData!E17</f>
        <v>Young</v>
      </c>
      <c r="F17" s="2">
        <f>(RawData!F17)*M17</f>
        <v>0</v>
      </c>
      <c r="G17" s="35">
        <f>RawData!H17</f>
        <v>5700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0</v>
      </c>
      <c r="N17" t="s">
        <v>24</v>
      </c>
      <c r="O17" t="str">
        <f>VLOOKUP(N17,B2:F101,4,FALSE)</f>
        <v>Wall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 t="str">
        <f>RawData!B18</f>
        <v>SG</v>
      </c>
      <c r="E18" s="2" t="str">
        <f>RawData!E18</f>
        <v>Carter-Williams</v>
      </c>
      <c r="F18" s="2">
        <f>(RawData!F18)*M18</f>
        <v>0</v>
      </c>
      <c r="G18" s="35">
        <f>RawData!H18</f>
        <v>4900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25</v>
      </c>
      <c r="O18" s="2" t="str">
        <f>VLOOKUP(N18,B2:F102,4,FALSE)</f>
        <v>Teague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 t="str">
        <f>RawData!B19</f>
        <v>C</v>
      </c>
      <c r="E19" s="2" t="str">
        <f>RawData!E19</f>
        <v>Lopez</v>
      </c>
      <c r="F19" s="2">
        <f>(RawData!F19)*M19</f>
        <v>0</v>
      </c>
      <c r="G19" s="35">
        <f>RawData!H19</f>
        <v>4700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26</v>
      </c>
      <c r="O19" s="2" t="str">
        <f>VLOOKUP(N19,B2:F103,4,FALSE)</f>
        <v>Beal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RawData!B20</f>
        <v>PG</v>
      </c>
      <c r="E20" s="2" t="str">
        <f>RawData!E20</f>
        <v>Rondo</v>
      </c>
      <c r="F20" s="2">
        <f>(RawData!F20)*M20</f>
        <v>0</v>
      </c>
      <c r="G20" s="35">
        <f>RawData!H20</f>
        <v>4700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1</v>
      </c>
      <c r="N20" t="s">
        <v>27</v>
      </c>
      <c r="O20" s="2" t="str">
        <f>VLOOKUP(N20,B2:F104,4,FALSE)</f>
        <v>Smart</v>
      </c>
    </row>
    <row r="21" spans="1:15" x14ac:dyDescent="0.25">
      <c r="A21" t="str">
        <f t="shared" si="1"/>
        <v>PF</v>
      </c>
      <c r="B21" t="str">
        <f>IF(C21=0,0,A21&amp;" "&amp;COUNTIF($A$1:$A21,A21))</f>
        <v>PF 1</v>
      </c>
      <c r="C21" s="1">
        <v>1</v>
      </c>
      <c r="D21" s="2" t="str">
        <f>RawData!B21</f>
        <v>PF</v>
      </c>
      <c r="E21" s="2" t="str">
        <f>RawData!E21</f>
        <v>Gibson</v>
      </c>
      <c r="F21" s="2">
        <f>(RawData!F21)*M21</f>
        <v>0</v>
      </c>
      <c r="G21" s="35">
        <f>RawData!H21</f>
        <v>4600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1</v>
      </c>
      <c r="L21">
        <f t="shared" si="2"/>
        <v>0</v>
      </c>
      <c r="M21" s="2">
        <f>IF(RawData!L21=0,1,0)</f>
        <v>1</v>
      </c>
      <c r="N21" t="s">
        <v>28</v>
      </c>
      <c r="O21" s="2" t="str">
        <f>VLOOKUP(N21,B2:F105,4,FALSE)</f>
        <v>Butler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RawData!B22</f>
        <v>C</v>
      </c>
      <c r="E22" s="2" t="str">
        <f>RawData!E22</f>
        <v>Olynyk</v>
      </c>
      <c r="F22" s="2">
        <f>(RawData!F22)*M22</f>
        <v>0</v>
      </c>
      <c r="G22" s="35">
        <f>RawData!H22</f>
        <v>4600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29</v>
      </c>
      <c r="O22" s="2" t="str">
        <f>VLOOKUP(N22,B2:F106,4,FALSE)</f>
        <v>Miles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RawData!B23</f>
        <v>SF</v>
      </c>
      <c r="E23" s="2" t="str">
        <f>RawData!E23</f>
        <v>McDermott</v>
      </c>
      <c r="F23" s="2">
        <f>(RawData!F23)*M23</f>
        <v>0</v>
      </c>
      <c r="G23" s="35">
        <f>RawData!H23</f>
        <v>4400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30</v>
      </c>
      <c r="O23" s="2" t="str">
        <f>VLOOKUP(N23,B2:F107,4,FALSE)</f>
        <v>Gibson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RawData!B24</f>
        <v>PF</v>
      </c>
      <c r="E24" s="2" t="str">
        <f>RawData!E24</f>
        <v>Seraphin</v>
      </c>
      <c r="F24" s="2">
        <f>(RawData!F24)*M24</f>
        <v>0</v>
      </c>
      <c r="G24" s="35">
        <f>RawData!H24</f>
        <v>4300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1</v>
      </c>
      <c r="N24" t="s">
        <v>31</v>
      </c>
      <c r="O24" s="2" t="str">
        <f>VLOOKUP(N24,B2:F108,4,FALSE)</f>
        <v>Johnson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RawData!B25</f>
        <v>SG</v>
      </c>
      <c r="E25" s="2" t="str">
        <f>RawData!E25</f>
        <v>Ellis</v>
      </c>
      <c r="F25" s="2">
        <f>(RawData!F25)*M25</f>
        <v>0</v>
      </c>
      <c r="G25" s="35">
        <f>RawData!H25</f>
        <v>4200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61</v>
      </c>
      <c r="O25" s="2" t="str">
        <f>VLOOKUP(N25,B3:F109,4,FALSE)</f>
        <v>Horford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RawData!B26</f>
        <v>PF</v>
      </c>
      <c r="E26" s="2" t="str">
        <f>RawData!E26</f>
        <v>Allen</v>
      </c>
      <c r="F26" s="2">
        <f>(RawData!F26)*M26</f>
        <v>0</v>
      </c>
      <c r="G26" s="35">
        <f>RawData!H26</f>
        <v>4100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0</v>
      </c>
    </row>
    <row r="27" spans="1:15" x14ac:dyDescent="0.25">
      <c r="A27" t="str">
        <f t="shared" si="1"/>
        <v>SF</v>
      </c>
      <c r="B27" t="str">
        <f>IF(C27=0,0,A27&amp;" "&amp;COUNTIF($A$1:$A27,A27))</f>
        <v>SF 2</v>
      </c>
      <c r="C27" s="1">
        <v>1</v>
      </c>
      <c r="D27" s="2" t="str">
        <f>RawData!B27</f>
        <v>SF</v>
      </c>
      <c r="E27" s="2" t="str">
        <f>RawData!E27</f>
        <v>Miles</v>
      </c>
      <c r="F27" s="2">
        <f>(RawData!F27)*M27</f>
        <v>0</v>
      </c>
      <c r="G27" s="35">
        <f>RawData!H27</f>
        <v>3900</v>
      </c>
      <c r="H27">
        <f t="shared" si="2"/>
        <v>0</v>
      </c>
      <c r="I27">
        <f t="shared" si="2"/>
        <v>0</v>
      </c>
      <c r="J27">
        <f t="shared" si="2"/>
        <v>1</v>
      </c>
      <c r="K27">
        <f t="shared" si="2"/>
        <v>0</v>
      </c>
      <c r="L27">
        <f t="shared" si="2"/>
        <v>0</v>
      </c>
      <c r="M27" s="2">
        <f>IF(RawData!L27=0,1,0)</f>
        <v>1</v>
      </c>
    </row>
    <row r="28" spans="1:15" x14ac:dyDescent="0.25">
      <c r="A28" t="str">
        <f t="shared" si="1"/>
        <v>PF</v>
      </c>
      <c r="B28" t="str">
        <f>IF(C28=0,0,A28&amp;" "&amp;COUNTIF($A$1:$A28,A28))</f>
        <v>PF 2</v>
      </c>
      <c r="C28" s="1">
        <v>1</v>
      </c>
      <c r="D28" s="2" t="str">
        <f>RawData!B28</f>
        <v>PF</v>
      </c>
      <c r="E28" s="2" t="str">
        <f>RawData!E28</f>
        <v>Johnson</v>
      </c>
      <c r="F28" s="2">
        <f>(RawData!F28)*M28</f>
        <v>0</v>
      </c>
      <c r="G28" s="35">
        <f>RawData!H28</f>
        <v>3700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1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RawData!B29</f>
        <v>PF</v>
      </c>
      <c r="E29" s="2" t="str">
        <f>RawData!E29</f>
        <v>Mirotic</v>
      </c>
      <c r="F29" s="2">
        <f>(RawData!F29)*M29</f>
        <v>0</v>
      </c>
      <c r="G29" s="35">
        <f>RawData!H29</f>
        <v>3700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0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RawData!B30</f>
        <v>SG</v>
      </c>
      <c r="E30" s="2" t="str">
        <f>RawData!E30</f>
        <v>Stuckey</v>
      </c>
      <c r="F30" s="2">
        <f>(RawData!F30)*M30</f>
        <v>0</v>
      </c>
      <c r="G30" s="35">
        <f>RawData!H30</f>
        <v>3600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RawData!B31</f>
        <v>PF</v>
      </c>
      <c r="E31" s="2" t="str">
        <f>RawData!E31</f>
        <v>Smith</v>
      </c>
      <c r="F31" s="2">
        <f>(RawData!F31)*M31</f>
        <v>0</v>
      </c>
      <c r="G31" s="35">
        <f>RawData!H31</f>
        <v>3600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RawData!B32</f>
        <v>SF</v>
      </c>
      <c r="E32" s="2" t="str">
        <f>RawData!E32</f>
        <v>Brown</v>
      </c>
      <c r="F32" s="2">
        <f>(RawData!F32)*M32</f>
        <v>0</v>
      </c>
      <c r="G32" s="35">
        <f>RawData!H32</f>
        <v>3600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0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RawData!B33</f>
        <v>C</v>
      </c>
      <c r="E33" s="2" t="str">
        <f>RawData!E33</f>
        <v>Felicio</v>
      </c>
      <c r="F33" s="2">
        <f>(RawData!F33)*M33</f>
        <v>0</v>
      </c>
      <c r="G33" s="35">
        <f>RawData!H33</f>
        <v>3600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1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RawData!B34</f>
        <v>PG</v>
      </c>
      <c r="E34" s="2" t="str">
        <f>RawData!E34</f>
        <v>Canaan</v>
      </c>
      <c r="F34" s="2">
        <f>(RawData!F34)*M34</f>
        <v>0</v>
      </c>
      <c r="G34" s="35">
        <f>RawData!H34</f>
        <v>3500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RawData!B35</f>
        <v>C</v>
      </c>
      <c r="E35" s="2" t="str">
        <f>RawData!E35</f>
        <v>Jefferson</v>
      </c>
      <c r="F35" s="2">
        <f>(RawData!F35)*M35</f>
        <v>0</v>
      </c>
      <c r="G35" s="35">
        <f>RawData!H35</f>
        <v>3500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RawData!B36</f>
        <v>SG</v>
      </c>
      <c r="E36" s="2" t="str">
        <f>RawData!E36</f>
        <v>Young</v>
      </c>
      <c r="F36" s="2">
        <f>(RawData!F36)*M36</f>
        <v>0</v>
      </c>
      <c r="G36" s="35">
        <f>RawData!H36</f>
        <v>3500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RawData!B37</f>
        <v>SF</v>
      </c>
      <c r="E37" s="2" t="str">
        <f>RawData!E37</f>
        <v>Oubre Jr.</v>
      </c>
      <c r="F37" s="2">
        <f>(RawData!F37)*M37</f>
        <v>0</v>
      </c>
      <c r="G37" s="35">
        <f>RawData!H37</f>
        <v>3500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RawData!B38</f>
        <v>PF</v>
      </c>
      <c r="E38" s="2" t="str">
        <f>RawData!E38</f>
        <v>Portis</v>
      </c>
      <c r="F38" s="2">
        <f>(RawData!F38)*M38</f>
        <v>0</v>
      </c>
      <c r="G38" s="35">
        <f>RawData!H38</f>
        <v>3500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RawData!B39</f>
        <v>SF</v>
      </c>
      <c r="E39" s="2" t="str">
        <f>RawData!E39</f>
        <v>Young</v>
      </c>
      <c r="F39" s="2">
        <f>(RawData!F39)*M39</f>
        <v>0</v>
      </c>
      <c r="G39" s="35">
        <f>RawData!H39</f>
        <v>3500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RawData!B40</f>
        <v>SF</v>
      </c>
      <c r="E40" s="2" t="str">
        <f>RawData!E40</f>
        <v>Zipser</v>
      </c>
      <c r="F40" s="2">
        <f>(RawData!F40)*M40</f>
        <v>0</v>
      </c>
      <c r="G40" s="35">
        <f>RawData!H40</f>
        <v>3500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0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RawData!B41</f>
        <v>PG</v>
      </c>
      <c r="E41" s="2" t="str">
        <f>RawData!E41</f>
        <v>Jackson</v>
      </c>
      <c r="F41" s="2">
        <f>(RawData!F41)*M41</f>
        <v>0</v>
      </c>
      <c r="G41" s="35">
        <f>RawData!H41</f>
        <v>3500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RawData!B42</f>
        <v>PG</v>
      </c>
      <c r="E42" s="2" t="str">
        <f>RawData!E42</f>
        <v>Rozier</v>
      </c>
      <c r="F42" s="2">
        <f>(RawData!F42)*M42</f>
        <v>0</v>
      </c>
      <c r="G42" s="35">
        <f>RawData!H42</f>
        <v>3500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RawData!B43</f>
        <v>SG</v>
      </c>
      <c r="E43" s="2" t="str">
        <f>RawData!E43</f>
        <v>Satoransky</v>
      </c>
      <c r="F43" s="2">
        <f>(RawData!F43)*M43</f>
        <v>0</v>
      </c>
      <c r="G43" s="35">
        <f>RawData!H43</f>
        <v>3500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RawData!B44</f>
        <v>PG</v>
      </c>
      <c r="E44" s="2" t="str">
        <f>RawData!E44</f>
        <v>Brooks</v>
      </c>
      <c r="F44" s="2">
        <f>(RawData!F44)*M44</f>
        <v>0</v>
      </c>
      <c r="G44" s="35">
        <f>RawData!H44</f>
        <v>3500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RawData!B45</f>
        <v>PF</v>
      </c>
      <c r="E45" s="2" t="str">
        <f>RawData!E45</f>
        <v>Ochefu</v>
      </c>
      <c r="F45" s="2">
        <f>(RawData!F45)*M45</f>
        <v>0</v>
      </c>
      <c r="G45" s="35">
        <f>RawData!H45</f>
        <v>3500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RawData!B46</f>
        <v>PF</v>
      </c>
      <c r="E46" s="2" t="str">
        <f>RawData!E46</f>
        <v>Nicholson</v>
      </c>
      <c r="F46" s="2">
        <f>(RawData!F46)*M46</f>
        <v>0</v>
      </c>
      <c r="G46" s="35">
        <f>RawData!H46</f>
        <v>3500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1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RawData!B47</f>
        <v>C</v>
      </c>
      <c r="E47" s="2" t="str">
        <f>RawData!E47</f>
        <v>Christmas</v>
      </c>
      <c r="F47" s="2">
        <f>(RawData!F47)*M47</f>
        <v>0</v>
      </c>
      <c r="G47" s="35">
        <f>RawData!H47</f>
        <v>3500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RawData!B48</f>
        <v>C</v>
      </c>
      <c r="E48" s="2" t="str">
        <f>RawData!E48</f>
        <v>Zeller</v>
      </c>
      <c r="F48" s="2">
        <f>(RawData!F48)*M48</f>
        <v>0</v>
      </c>
      <c r="G48" s="35">
        <f>RawData!H48</f>
        <v>3500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1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RawData!B49</f>
        <v>C</v>
      </c>
      <c r="E49" s="2" t="str">
        <f>RawData!E49</f>
        <v>Mahinmi</v>
      </c>
      <c r="F49" s="2">
        <f>(RawData!F49)*M49</f>
        <v>0</v>
      </c>
      <c r="G49" s="35">
        <f>RawData!H49</f>
        <v>3500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RawData!B50</f>
        <v>SG</v>
      </c>
      <c r="E50" s="2" t="str">
        <f>RawData!E50</f>
        <v>Valentine</v>
      </c>
      <c r="F50" s="2">
        <f>(RawData!F50)*M50</f>
        <v>0</v>
      </c>
      <c r="G50" s="35">
        <f>RawData!H50</f>
        <v>3500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RawData!B51</f>
        <v>SG</v>
      </c>
      <c r="E51" s="2" t="str">
        <f>RawData!E51</f>
        <v>Thornton</v>
      </c>
      <c r="F51" s="2">
        <f>(RawData!F51)*M51</f>
        <v>0</v>
      </c>
      <c r="G51" s="35">
        <f>RawData!H51</f>
        <v>3500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 t="str">
        <f>RawData!B52</f>
        <v>PG</v>
      </c>
      <c r="E52" s="2" t="str">
        <f>RawData!E52</f>
        <v>Burke</v>
      </c>
      <c r="F52" s="2">
        <f>(RawData!F52)*M52</f>
        <v>0</v>
      </c>
      <c r="G52" s="35">
        <f>RawData!H52</f>
        <v>3500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RawData!B53</f>
        <v>PF</v>
      </c>
      <c r="E53" s="2" t="str">
        <f>RawData!E53</f>
        <v>Mickey</v>
      </c>
      <c r="F53" s="2">
        <f>(RawData!F53)*M53</f>
        <v>0</v>
      </c>
      <c r="G53" s="35">
        <f>RawData!H53</f>
        <v>3500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 t="str">
        <f>RawData!B54</f>
        <v>PF</v>
      </c>
      <c r="E54" s="2" t="str">
        <f>RawData!E54</f>
        <v>Jerebko</v>
      </c>
      <c r="F54" s="2">
        <f>(RawData!F54)*M54</f>
        <v>0</v>
      </c>
      <c r="G54" s="35">
        <f>RawData!H54</f>
        <v>3500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1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RawData!B55</f>
        <v>SF</v>
      </c>
      <c r="E55" s="2" t="str">
        <f>RawData!E55</f>
        <v>Niang</v>
      </c>
      <c r="F55" s="2">
        <f>(RawData!F55)*M55</f>
        <v>0</v>
      </c>
      <c r="G55" s="35">
        <f>RawData!H55</f>
        <v>3500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RawData!B56</f>
        <v>SG</v>
      </c>
      <c r="E56" s="2" t="str">
        <f>RawData!E56</f>
        <v>McClellan</v>
      </c>
      <c r="F56" s="2">
        <f>(RawData!F56)*M56</f>
        <v>0</v>
      </c>
      <c r="G56" s="35">
        <f>RawData!H56</f>
        <v>3500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RawData!B57</f>
        <v>SF</v>
      </c>
      <c r="E57" s="2" t="str">
        <f>RawData!E57</f>
        <v>Robinson III</v>
      </c>
      <c r="F57" s="2">
        <f>(RawData!F57)*M57</f>
        <v>0</v>
      </c>
      <c r="G57" s="35">
        <f>RawData!H57</f>
        <v>3500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RawData!B58</f>
        <v>SG</v>
      </c>
      <c r="E58" s="2" t="str">
        <f>RawData!E58</f>
        <v>Green</v>
      </c>
      <c r="F58" s="2">
        <f>(RawData!F58)*M58</f>
        <v>0</v>
      </c>
      <c r="G58" s="35">
        <f>RawData!H58</f>
        <v>3500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0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RawData!B59</f>
        <v>PG</v>
      </c>
      <c r="E59" s="2" t="str">
        <f>RawData!E59</f>
        <v>Grant</v>
      </c>
      <c r="F59" s="2">
        <f>(RawData!F59)*M59</f>
        <v>0</v>
      </c>
      <c r="G59" s="35">
        <f>RawData!H59</f>
        <v>3500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RawData!B60</f>
        <v>SF</v>
      </c>
      <c r="E60" s="2" t="str">
        <f>RawData!E60</f>
        <v>House</v>
      </c>
      <c r="F60" s="2">
        <f>(RawData!F60)*M60</f>
        <v>0</v>
      </c>
      <c r="G60" s="35">
        <f>RawData!H60</f>
        <v>3500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>
        <f>RawData!B61</f>
        <v>0</v>
      </c>
      <c r="E61" s="2">
        <f>RawData!E61</f>
        <v>0</v>
      </c>
      <c r="F61" s="2">
        <f>(RawData!F61)*M61</f>
        <v>0</v>
      </c>
      <c r="G61" s="35">
        <f>RawData!H61</f>
        <v>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>
        <f>RawData!B62</f>
        <v>0</v>
      </c>
      <c r="E62" s="2">
        <f>RawData!E62</f>
        <v>0</v>
      </c>
      <c r="F62" s="2">
        <f>(RawData!F62)*M62</f>
        <v>0</v>
      </c>
      <c r="G62" s="35">
        <f>RawData!H62</f>
        <v>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>
        <f>RawData!B63</f>
        <v>0</v>
      </c>
      <c r="E63" s="2">
        <f>RawData!E63</f>
        <v>0</v>
      </c>
      <c r="F63" s="2">
        <f>(RawData!F63)*M63</f>
        <v>0</v>
      </c>
      <c r="G63" s="35">
        <f>RawData!H63</f>
        <v>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>
        <f>RawData!B64</f>
        <v>0</v>
      </c>
      <c r="E64" s="2">
        <f>RawData!E64</f>
        <v>0</v>
      </c>
      <c r="F64" s="2">
        <f>(RawData!F64)*M64</f>
        <v>0</v>
      </c>
      <c r="G64" s="35">
        <f>RawData!H64</f>
        <v>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1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>
        <f>RawData!B65</f>
        <v>0</v>
      </c>
      <c r="E65" s="2">
        <f>RawData!E65</f>
        <v>0</v>
      </c>
      <c r="F65" s="2">
        <f>(RawData!F65)*M65</f>
        <v>0</v>
      </c>
      <c r="G65" s="35">
        <f>RawData!H65</f>
        <v>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>
        <f>RawData!B66</f>
        <v>0</v>
      </c>
      <c r="E66" s="2">
        <f>RawData!E66</f>
        <v>0</v>
      </c>
      <c r="F66" s="2">
        <f>(RawData!F66)*M66</f>
        <v>0</v>
      </c>
      <c r="G66" s="35">
        <f>RawData!H66</f>
        <v>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>
        <f>RawData!B67</f>
        <v>0</v>
      </c>
      <c r="E67" s="2">
        <f>RawData!E67</f>
        <v>0</v>
      </c>
      <c r="F67" s="2">
        <f>(RawData!F67)*M67</f>
        <v>0</v>
      </c>
      <c r="G67" s="35">
        <f>RawData!H67</f>
        <v>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1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>
        <f>RawData!B68</f>
        <v>0</v>
      </c>
      <c r="E68" s="2">
        <f>RawData!E68</f>
        <v>0</v>
      </c>
      <c r="F68" s="2">
        <f>(RawData!F68)*M68</f>
        <v>0</v>
      </c>
      <c r="G68" s="35">
        <f>RawData!H68</f>
        <v>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>
        <f>RawData!B69</f>
        <v>0</v>
      </c>
      <c r="E69" s="2">
        <f>RawData!E69</f>
        <v>0</v>
      </c>
      <c r="F69" s="2">
        <f>(RawData!F69)*M69</f>
        <v>0</v>
      </c>
      <c r="G69" s="35">
        <f>RawData!H69</f>
        <v>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>
        <f>RawData!B70</f>
        <v>0</v>
      </c>
      <c r="E70" s="2">
        <f>RawData!E70</f>
        <v>0</v>
      </c>
      <c r="F70" s="2">
        <f>(RawData!F70)*M70</f>
        <v>0</v>
      </c>
      <c r="G70" s="35">
        <f>RawData!H70</f>
        <v>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>
        <f>RawData!B71</f>
        <v>0</v>
      </c>
      <c r="E71" s="2">
        <f>RawData!E71</f>
        <v>0</v>
      </c>
      <c r="F71" s="2">
        <f>(RawData!F71)*M71</f>
        <v>0</v>
      </c>
      <c r="G71" s="35">
        <f>RawData!H71</f>
        <v>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>
        <f>RawData!B72</f>
        <v>0</v>
      </c>
      <c r="E72" s="2">
        <f>RawData!E72</f>
        <v>0</v>
      </c>
      <c r="F72" s="2">
        <f>(RawData!F72)*M72</f>
        <v>0</v>
      </c>
      <c r="G72" s="35">
        <f>RawData!H72</f>
        <v>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>
        <f>RawData!B73</f>
        <v>0</v>
      </c>
      <c r="E73" s="2">
        <f>RawData!E73</f>
        <v>0</v>
      </c>
      <c r="F73" s="2">
        <f>(RawData!F73)*M73</f>
        <v>0</v>
      </c>
      <c r="G73" s="35">
        <f>RawData!H73</f>
        <v>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>
        <f>RawData!B74</f>
        <v>0</v>
      </c>
      <c r="E74" s="2">
        <f>RawData!E74</f>
        <v>0</v>
      </c>
      <c r="F74" s="2">
        <f>(RawData!F74)*M74</f>
        <v>0</v>
      </c>
      <c r="G74" s="35">
        <f>RawData!H74</f>
        <v>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>
        <f>RawData!B75</f>
        <v>0</v>
      </c>
      <c r="E75" s="2">
        <f>RawData!E75</f>
        <v>0</v>
      </c>
      <c r="F75" s="2">
        <f>(RawData!F75)*M75</f>
        <v>0</v>
      </c>
      <c r="G75" s="35">
        <f>RawData!H75</f>
        <v>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>
        <f>RawData!B76</f>
        <v>0</v>
      </c>
      <c r="E76" s="2">
        <f>RawData!E76</f>
        <v>0</v>
      </c>
      <c r="F76" s="2">
        <f>(RawData!F76)*M76</f>
        <v>0</v>
      </c>
      <c r="G76" s="35">
        <f>RawData!H76</f>
        <v>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>
        <f>RawData!B77</f>
        <v>0</v>
      </c>
      <c r="E77" s="2">
        <f>RawData!E77</f>
        <v>0</v>
      </c>
      <c r="F77" s="2">
        <f>(RawData!F77)*M77</f>
        <v>0</v>
      </c>
      <c r="G77" s="35">
        <f>RawData!H77</f>
        <v>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>
        <f>RawData!B78</f>
        <v>0</v>
      </c>
      <c r="E78" s="2">
        <f>RawData!E78</f>
        <v>0</v>
      </c>
      <c r="F78" s="2">
        <f>(RawData!F78)*M78</f>
        <v>0</v>
      </c>
      <c r="G78" s="35">
        <f>RawData!H78</f>
        <v>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>
        <f>RawData!B79</f>
        <v>0</v>
      </c>
      <c r="E79" s="2">
        <f>RawData!E79</f>
        <v>0</v>
      </c>
      <c r="F79" s="2">
        <f>(RawData!F79)*M79</f>
        <v>0</v>
      </c>
      <c r="G79" s="35">
        <f>RawData!H79</f>
        <v>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>
        <f>RawData!B80</f>
        <v>0</v>
      </c>
      <c r="E80" s="2">
        <f>RawData!E80</f>
        <v>0</v>
      </c>
      <c r="F80" s="2">
        <f>(RawData!F80)*M80</f>
        <v>0</v>
      </c>
      <c r="G80" s="35">
        <f>RawData!H80</f>
        <v>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>
        <f>RawData!B81</f>
        <v>0</v>
      </c>
      <c r="E81" s="2">
        <f>RawData!E81</f>
        <v>0</v>
      </c>
      <c r="F81" s="2">
        <f>(RawData!F81)*M81</f>
        <v>0</v>
      </c>
      <c r="G81" s="35">
        <f>RawData!H81</f>
        <v>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>
        <f>RawData!B82</f>
        <v>0</v>
      </c>
      <c r="E82" s="2">
        <f>RawData!E82</f>
        <v>0</v>
      </c>
      <c r="F82" s="2">
        <f>(RawData!F82)*M82</f>
        <v>0</v>
      </c>
      <c r="G82" s="35">
        <f>RawData!H82</f>
        <v>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>
        <f>RawData!B83</f>
        <v>0</v>
      </c>
      <c r="E83" s="2">
        <f>RawData!E83</f>
        <v>0</v>
      </c>
      <c r="F83" s="2">
        <f>(RawData!F83)*M83</f>
        <v>0</v>
      </c>
      <c r="G83" s="35">
        <f>RawData!H83</f>
        <v>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>
        <f>RawData!B84</f>
        <v>0</v>
      </c>
      <c r="E84" s="2">
        <f>RawData!E84</f>
        <v>0</v>
      </c>
      <c r="F84" s="2">
        <f>(RawData!F84)*M84</f>
        <v>0</v>
      </c>
      <c r="G84" s="35">
        <f>RawData!H84</f>
        <v>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1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>
        <f>RawData!B85</f>
        <v>0</v>
      </c>
      <c r="E85" s="2">
        <f>RawData!E85</f>
        <v>0</v>
      </c>
      <c r="F85" s="2">
        <f>(RawData!F85)*M85</f>
        <v>0</v>
      </c>
      <c r="G85" s="35">
        <f>RawData!H85</f>
        <v>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>
        <f>RawData!B86</f>
        <v>0</v>
      </c>
      <c r="E86" s="2">
        <f>RawData!E86</f>
        <v>0</v>
      </c>
      <c r="F86" s="2">
        <f>(RawData!F86)*M86</f>
        <v>0</v>
      </c>
      <c r="G86" s="35">
        <f>RawData!H86</f>
        <v>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>
        <f>RawData!B87</f>
        <v>0</v>
      </c>
      <c r="E87" s="2">
        <f>RawData!E87</f>
        <v>0</v>
      </c>
      <c r="F87" s="2">
        <f>(RawData!F87)*M87</f>
        <v>0</v>
      </c>
      <c r="G87" s="35">
        <f>RawData!H87</f>
        <v>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>
        <f>RawData!B88</f>
        <v>0</v>
      </c>
      <c r="E88" s="2">
        <f>RawData!E88</f>
        <v>0</v>
      </c>
      <c r="F88" s="2">
        <f>(RawData!F88)*M88</f>
        <v>0</v>
      </c>
      <c r="G88" s="35">
        <f>RawData!H88</f>
        <v>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>
        <f>RawData!B89</f>
        <v>0</v>
      </c>
      <c r="E89" s="2">
        <f>RawData!E89</f>
        <v>0</v>
      </c>
      <c r="F89" s="2">
        <f>(RawData!F89)*M89</f>
        <v>0</v>
      </c>
      <c r="G89" s="35">
        <f>RawData!H89</f>
        <v>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>
        <f>RawData!B90</f>
        <v>0</v>
      </c>
      <c r="E90" s="2">
        <f>RawData!E90</f>
        <v>0</v>
      </c>
      <c r="F90" s="2">
        <f>(RawData!F90)*M90</f>
        <v>0</v>
      </c>
      <c r="G90" s="35">
        <f>RawData!H90</f>
        <v>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>
        <f>RawData!B91</f>
        <v>0</v>
      </c>
      <c r="E91" s="2">
        <f>RawData!E91</f>
        <v>0</v>
      </c>
      <c r="F91" s="2">
        <f>(RawData!F91)*M91</f>
        <v>0</v>
      </c>
      <c r="G91" s="35">
        <f>RawData!H91</f>
        <v>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>
        <f>RawData!B92</f>
        <v>0</v>
      </c>
      <c r="E92" s="2">
        <f>RawData!E92</f>
        <v>0</v>
      </c>
      <c r="F92" s="2">
        <f>(RawData!F92)*M92</f>
        <v>0</v>
      </c>
      <c r="G92" s="35">
        <f>RawData!H92</f>
        <v>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>
        <f>RawData!B93</f>
        <v>0</v>
      </c>
      <c r="E93" s="2">
        <f>RawData!E93</f>
        <v>0</v>
      </c>
      <c r="F93" s="2">
        <f>(RawData!F93)*M93</f>
        <v>0</v>
      </c>
      <c r="G93" s="35">
        <f>RawData!H93</f>
        <v>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>
        <f>RawData!B94</f>
        <v>0</v>
      </c>
      <c r="E94" s="2">
        <f>RawData!E94</f>
        <v>0</v>
      </c>
      <c r="F94" s="2">
        <f>(RawData!F94)*M94</f>
        <v>0</v>
      </c>
      <c r="G94" s="35">
        <f>RawData!H94</f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>
        <f>RawData!B95</f>
        <v>0</v>
      </c>
      <c r="E95" s="2">
        <f>RawData!E95</f>
        <v>0</v>
      </c>
      <c r="F95" s="2">
        <f>(RawData!F95)*M95</f>
        <v>0</v>
      </c>
      <c r="G95" s="35">
        <f>RawData!H95</f>
        <v>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>
        <f>RawData!B96</f>
        <v>0</v>
      </c>
      <c r="E96" s="2">
        <f>RawData!E96</f>
        <v>0</v>
      </c>
      <c r="F96" s="2">
        <f>(RawData!F96)*M96</f>
        <v>0</v>
      </c>
      <c r="G96" s="35">
        <f>RawData!H96</f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>
        <f>RawData!B97</f>
        <v>0</v>
      </c>
      <c r="E97" s="2">
        <f>RawData!E97</f>
        <v>0</v>
      </c>
      <c r="F97" s="2">
        <f>(RawData!F97)*M97</f>
        <v>0</v>
      </c>
      <c r="G97" s="35">
        <f>RawData!H97</f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>
        <f>RawData!B98</f>
        <v>0</v>
      </c>
      <c r="E98" s="2">
        <f>RawData!E98</f>
        <v>0</v>
      </c>
      <c r="F98" s="2">
        <f>(RawData!F98)*M98</f>
        <v>0</v>
      </c>
      <c r="G98" s="35">
        <f>RawData!H98</f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>
        <f>RawData!B99</f>
        <v>0</v>
      </c>
      <c r="E99" s="2">
        <f>RawData!E99</f>
        <v>0</v>
      </c>
      <c r="F99" s="2">
        <f>(RawData!F99)*M99</f>
        <v>0</v>
      </c>
      <c r="G99" s="35">
        <f>RawData!H99</f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>
        <f>RawData!B100</f>
        <v>0</v>
      </c>
      <c r="E100" s="2">
        <f>RawData!E100</f>
        <v>0</v>
      </c>
      <c r="F100" s="2">
        <f>(RawData!F100)*M100</f>
        <v>0</v>
      </c>
      <c r="G100" s="35">
        <f>RawData!H100</f>
        <v>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>
        <f>RawData!B101</f>
        <v>0</v>
      </c>
      <c r="E101" s="2">
        <f>RawData!E101</f>
        <v>0</v>
      </c>
      <c r="F101" s="2">
        <f>(RawData!F101)*M101</f>
        <v>0</v>
      </c>
      <c r="G101" s="35">
        <f>RawData!H101</f>
        <v>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0"/>
  <sheetViews>
    <sheetView workbookViewId="0">
      <selection activeCell="O2" sqref="O2"/>
    </sheetView>
  </sheetViews>
  <sheetFormatPr defaultRowHeight="15" x14ac:dyDescent="0.25"/>
  <cols>
    <col min="1" max="3" width="9.140625" style="2"/>
    <col min="4" max="4" width="9.85546875" style="2" bestFit="1" customWidth="1"/>
    <col min="5" max="5" width="15" style="2" bestFit="1" customWidth="1"/>
    <col min="6" max="16384" width="9.140625" style="2"/>
  </cols>
  <sheetData>
    <row r="1" spans="1:15" x14ac:dyDescent="0.25">
      <c r="A1" s="2" t="s">
        <v>32</v>
      </c>
      <c r="B1" s="2" t="s">
        <v>0</v>
      </c>
      <c r="C1" s="2" t="s">
        <v>33</v>
      </c>
      <c r="D1" s="2" t="s">
        <v>34</v>
      </c>
      <c r="E1" s="2" t="s">
        <v>35</v>
      </c>
      <c r="G1" s="2" t="s">
        <v>36</v>
      </c>
      <c r="H1" s="2" t="s">
        <v>37</v>
      </c>
      <c r="I1" s="2" t="s">
        <v>1</v>
      </c>
      <c r="J1" s="2" t="s">
        <v>2</v>
      </c>
      <c r="K1" s="2" t="s">
        <v>38</v>
      </c>
      <c r="L1" s="2" t="s">
        <v>39</v>
      </c>
      <c r="M1" s="2" t="s">
        <v>40</v>
      </c>
    </row>
    <row r="2" spans="1:15" x14ac:dyDescent="0.25">
      <c r="A2" s="2" t="s">
        <v>149</v>
      </c>
      <c r="B2" s="2" t="s">
        <v>3</v>
      </c>
      <c r="C2" s="2" t="s">
        <v>125</v>
      </c>
      <c r="D2" s="2" t="str">
        <f>C2&amp;" "&amp;E2</f>
        <v>John Wall</v>
      </c>
      <c r="E2" s="2" t="s">
        <v>150</v>
      </c>
      <c r="G2" s="2">
        <v>52</v>
      </c>
      <c r="H2" s="2">
        <v>10400</v>
      </c>
      <c r="I2" s="2" t="s">
        <v>151</v>
      </c>
      <c r="J2" s="2" t="s">
        <v>152</v>
      </c>
      <c r="K2" s="2" t="s">
        <v>90</v>
      </c>
      <c r="O2" s="2" t="e">
        <f>VLOOKUP(D2,Sheet2!S5:T555,20,FALSE)</f>
        <v>#REF!</v>
      </c>
    </row>
    <row r="3" spans="1:15" x14ac:dyDescent="0.25">
      <c r="A3" s="2" t="s">
        <v>153</v>
      </c>
      <c r="B3" s="2" t="s">
        <v>3</v>
      </c>
      <c r="C3" s="2" t="s">
        <v>42</v>
      </c>
      <c r="D3" s="2" t="str">
        <f t="shared" ref="D3:D60" si="0">C3&amp;" "&amp;E3</f>
        <v>Isaiah Thomas</v>
      </c>
      <c r="E3" s="2" t="s">
        <v>43</v>
      </c>
      <c r="G3" s="2">
        <v>52</v>
      </c>
      <c r="H3" s="2">
        <v>10000</v>
      </c>
      <c r="I3" s="2" t="s">
        <v>154</v>
      </c>
      <c r="J3" s="2" t="s">
        <v>91</v>
      </c>
      <c r="K3" s="2" t="s">
        <v>63</v>
      </c>
    </row>
    <row r="4" spans="1:15" x14ac:dyDescent="0.25">
      <c r="A4" s="2" t="s">
        <v>155</v>
      </c>
      <c r="B4" s="2" t="s">
        <v>5</v>
      </c>
      <c r="C4" s="2" t="s">
        <v>75</v>
      </c>
      <c r="D4" s="2" t="str">
        <f t="shared" si="0"/>
        <v>Jimmy Butler</v>
      </c>
      <c r="E4" s="2" t="s">
        <v>76</v>
      </c>
      <c r="G4" s="2">
        <v>50</v>
      </c>
      <c r="H4" s="2">
        <v>9700</v>
      </c>
      <c r="I4" s="2" t="s">
        <v>154</v>
      </c>
      <c r="J4" s="2" t="s">
        <v>63</v>
      </c>
      <c r="K4" s="2" t="s">
        <v>91</v>
      </c>
    </row>
    <row r="5" spans="1:15" x14ac:dyDescent="0.25">
      <c r="A5" s="2" t="s">
        <v>156</v>
      </c>
      <c r="B5" s="2" t="s">
        <v>5</v>
      </c>
      <c r="C5" s="2" t="s">
        <v>64</v>
      </c>
      <c r="D5" s="2" t="str">
        <f t="shared" si="0"/>
        <v>Paul George</v>
      </c>
      <c r="E5" s="2" t="s">
        <v>93</v>
      </c>
      <c r="G5" s="2">
        <v>49</v>
      </c>
      <c r="H5" s="2">
        <v>8600</v>
      </c>
      <c r="I5" s="2" t="s">
        <v>151</v>
      </c>
      <c r="J5" s="2" t="s">
        <v>90</v>
      </c>
      <c r="K5" s="2" t="s">
        <v>152</v>
      </c>
    </row>
    <row r="6" spans="1:15" x14ac:dyDescent="0.25">
      <c r="A6" s="2" t="s">
        <v>157</v>
      </c>
      <c r="B6" s="2" t="s">
        <v>7</v>
      </c>
      <c r="C6" s="2" t="s">
        <v>78</v>
      </c>
      <c r="D6" s="2" t="str">
        <f t="shared" si="0"/>
        <v>Dwyane Wade</v>
      </c>
      <c r="E6" s="2" t="s">
        <v>74</v>
      </c>
      <c r="G6" s="2">
        <v>48</v>
      </c>
      <c r="H6" s="2">
        <v>7900</v>
      </c>
      <c r="I6" s="2" t="s">
        <v>154</v>
      </c>
      <c r="J6" s="2" t="s">
        <v>63</v>
      </c>
      <c r="K6" s="2" t="s">
        <v>91</v>
      </c>
      <c r="L6" s="2" t="s">
        <v>48</v>
      </c>
      <c r="M6" s="2" t="s">
        <v>65</v>
      </c>
    </row>
    <row r="7" spans="1:15" x14ac:dyDescent="0.25">
      <c r="A7" s="2" t="s">
        <v>158</v>
      </c>
      <c r="B7" s="2" t="s">
        <v>7</v>
      </c>
      <c r="C7" s="2" t="s">
        <v>101</v>
      </c>
      <c r="D7" s="2" t="str">
        <f t="shared" si="0"/>
        <v>Bradley Beal</v>
      </c>
      <c r="E7" s="2" t="s">
        <v>159</v>
      </c>
      <c r="G7" s="2">
        <v>50</v>
      </c>
      <c r="H7" s="2">
        <v>7600</v>
      </c>
      <c r="I7" s="2" t="s">
        <v>151</v>
      </c>
      <c r="J7" s="2" t="s">
        <v>152</v>
      </c>
      <c r="K7" s="2" t="s">
        <v>90</v>
      </c>
    </row>
    <row r="8" spans="1:15" x14ac:dyDescent="0.25">
      <c r="A8" s="2" t="s">
        <v>160</v>
      </c>
      <c r="B8" s="2" t="s">
        <v>4</v>
      </c>
      <c r="C8" s="2" t="s">
        <v>161</v>
      </c>
      <c r="D8" s="2" t="str">
        <f t="shared" si="0"/>
        <v>Markieff Morris</v>
      </c>
      <c r="E8" s="2" t="s">
        <v>110</v>
      </c>
      <c r="G8" s="2">
        <v>52</v>
      </c>
      <c r="H8" s="2">
        <v>7400</v>
      </c>
      <c r="I8" s="2" t="s">
        <v>151</v>
      </c>
      <c r="J8" s="2" t="s">
        <v>152</v>
      </c>
      <c r="K8" s="2" t="s">
        <v>90</v>
      </c>
    </row>
    <row r="9" spans="1:15" x14ac:dyDescent="0.25">
      <c r="A9" s="2" t="s">
        <v>162</v>
      </c>
      <c r="B9" s="2" t="s">
        <v>6</v>
      </c>
      <c r="C9" s="2" t="s">
        <v>163</v>
      </c>
      <c r="D9" s="2" t="str">
        <f t="shared" si="0"/>
        <v>Marcin Gortat</v>
      </c>
      <c r="E9" s="2" t="s">
        <v>164</v>
      </c>
      <c r="G9" s="2">
        <v>54</v>
      </c>
      <c r="H9" s="2">
        <v>7300</v>
      </c>
      <c r="I9" s="2" t="s">
        <v>151</v>
      </c>
      <c r="J9" s="2" t="s">
        <v>152</v>
      </c>
      <c r="K9" s="2" t="s">
        <v>90</v>
      </c>
    </row>
    <row r="10" spans="1:15" x14ac:dyDescent="0.25">
      <c r="A10" s="2" t="s">
        <v>165</v>
      </c>
      <c r="B10" s="2" t="s">
        <v>3</v>
      </c>
      <c r="C10" s="2" t="s">
        <v>96</v>
      </c>
      <c r="D10" s="2" t="str">
        <f t="shared" si="0"/>
        <v>Jeff Teague</v>
      </c>
      <c r="E10" s="2" t="s">
        <v>97</v>
      </c>
      <c r="G10" s="2">
        <v>56</v>
      </c>
      <c r="H10" s="2">
        <v>7200</v>
      </c>
      <c r="I10" s="2" t="s">
        <v>151</v>
      </c>
      <c r="J10" s="2" t="s">
        <v>90</v>
      </c>
      <c r="K10" s="2" t="s">
        <v>152</v>
      </c>
    </row>
    <row r="11" spans="1:15" x14ac:dyDescent="0.25">
      <c r="A11" s="2" t="s">
        <v>166</v>
      </c>
      <c r="B11" s="2" t="s">
        <v>6</v>
      </c>
      <c r="C11" s="2" t="s">
        <v>98</v>
      </c>
      <c r="D11" s="2" t="str">
        <f t="shared" si="0"/>
        <v>Al Horford</v>
      </c>
      <c r="E11" s="2" t="s">
        <v>99</v>
      </c>
      <c r="G11" s="2">
        <v>44</v>
      </c>
      <c r="H11" s="2">
        <v>7000</v>
      </c>
      <c r="I11" s="2" t="s">
        <v>154</v>
      </c>
      <c r="J11" s="2" t="s">
        <v>91</v>
      </c>
      <c r="K11" s="2" t="s">
        <v>63</v>
      </c>
    </row>
    <row r="12" spans="1:15" x14ac:dyDescent="0.25">
      <c r="A12" s="2" t="s">
        <v>167</v>
      </c>
      <c r="B12" s="2" t="s">
        <v>5</v>
      </c>
      <c r="C12" s="2" t="s">
        <v>168</v>
      </c>
      <c r="D12" s="2" t="str">
        <f t="shared" si="0"/>
        <v>Otto Porter</v>
      </c>
      <c r="E12" s="2" t="s">
        <v>169</v>
      </c>
      <c r="G12" s="2">
        <v>54</v>
      </c>
      <c r="H12" s="2">
        <v>6600</v>
      </c>
      <c r="I12" s="2" t="s">
        <v>151</v>
      </c>
      <c r="J12" s="2" t="s">
        <v>152</v>
      </c>
      <c r="K12" s="2" t="s">
        <v>90</v>
      </c>
    </row>
    <row r="13" spans="1:15" x14ac:dyDescent="0.25">
      <c r="A13" s="2" t="s">
        <v>170</v>
      </c>
      <c r="B13" s="2" t="s">
        <v>6</v>
      </c>
      <c r="C13" s="2" t="s">
        <v>104</v>
      </c>
      <c r="D13" s="2" t="str">
        <f t="shared" si="0"/>
        <v>Myles Turner</v>
      </c>
      <c r="E13" s="2" t="s">
        <v>105</v>
      </c>
      <c r="G13" s="2">
        <v>55</v>
      </c>
      <c r="H13" s="2">
        <v>6500</v>
      </c>
      <c r="I13" s="2" t="s">
        <v>151</v>
      </c>
      <c r="J13" s="2" t="s">
        <v>90</v>
      </c>
      <c r="K13" s="2" t="s">
        <v>152</v>
      </c>
    </row>
    <row r="14" spans="1:15" x14ac:dyDescent="0.25">
      <c r="A14" s="2" t="s">
        <v>171</v>
      </c>
      <c r="B14" s="2" t="s">
        <v>7</v>
      </c>
      <c r="C14" s="2" t="s">
        <v>100</v>
      </c>
      <c r="D14" s="2" t="str">
        <f t="shared" si="0"/>
        <v>Avery Bradley</v>
      </c>
      <c r="E14" s="2" t="s">
        <v>101</v>
      </c>
      <c r="G14" s="2">
        <v>36</v>
      </c>
      <c r="H14" s="2">
        <v>6500</v>
      </c>
      <c r="I14" s="2" t="s">
        <v>154</v>
      </c>
      <c r="J14" s="2" t="s">
        <v>91</v>
      </c>
      <c r="K14" s="2" t="s">
        <v>63</v>
      </c>
      <c r="L14" s="2" t="s">
        <v>45</v>
      </c>
      <c r="M14" s="2" t="s">
        <v>102</v>
      </c>
    </row>
    <row r="15" spans="1:15" x14ac:dyDescent="0.25">
      <c r="A15" s="2" t="s">
        <v>172</v>
      </c>
      <c r="B15" s="2" t="s">
        <v>5</v>
      </c>
      <c r="C15" s="2" t="s">
        <v>106</v>
      </c>
      <c r="D15" s="2" t="str">
        <f t="shared" si="0"/>
        <v>Jae Crowder</v>
      </c>
      <c r="E15" s="2" t="s">
        <v>107</v>
      </c>
      <c r="G15" s="2">
        <v>46</v>
      </c>
      <c r="H15" s="2">
        <v>6100</v>
      </c>
      <c r="I15" s="2" t="s">
        <v>154</v>
      </c>
      <c r="J15" s="2" t="s">
        <v>91</v>
      </c>
      <c r="K15" s="2" t="s">
        <v>63</v>
      </c>
    </row>
    <row r="16" spans="1:15" x14ac:dyDescent="0.25">
      <c r="A16" s="2" t="s">
        <v>173</v>
      </c>
      <c r="B16" s="2" t="s">
        <v>7</v>
      </c>
      <c r="C16" s="2" t="s">
        <v>108</v>
      </c>
      <c r="D16" s="2" t="str">
        <f t="shared" si="0"/>
        <v>Marcus Smart</v>
      </c>
      <c r="E16" s="2" t="s">
        <v>109</v>
      </c>
      <c r="G16" s="2">
        <v>53</v>
      </c>
      <c r="H16" s="2">
        <v>5800</v>
      </c>
      <c r="I16" s="2" t="s">
        <v>154</v>
      </c>
      <c r="J16" s="2" t="s">
        <v>91</v>
      </c>
      <c r="K16" s="2" t="s">
        <v>63</v>
      </c>
    </row>
    <row r="17" spans="1:13" x14ac:dyDescent="0.25">
      <c r="A17" s="2" t="s">
        <v>174</v>
      </c>
      <c r="B17" s="2" t="s">
        <v>4</v>
      </c>
      <c r="C17" s="2" t="s">
        <v>112</v>
      </c>
      <c r="D17" s="2" t="str">
        <f t="shared" si="0"/>
        <v>Thaddeus Young</v>
      </c>
      <c r="E17" s="2" t="s">
        <v>57</v>
      </c>
      <c r="G17" s="2">
        <v>49</v>
      </c>
      <c r="H17" s="2">
        <v>5700</v>
      </c>
      <c r="I17" s="2" t="s">
        <v>151</v>
      </c>
      <c r="J17" s="2" t="s">
        <v>90</v>
      </c>
      <c r="K17" s="2" t="s">
        <v>152</v>
      </c>
      <c r="L17" s="2" t="s">
        <v>45</v>
      </c>
      <c r="M17" s="2" t="s">
        <v>65</v>
      </c>
    </row>
    <row r="18" spans="1:13" x14ac:dyDescent="0.25">
      <c r="A18" s="2" t="s">
        <v>175</v>
      </c>
      <c r="B18" s="2" t="s">
        <v>7</v>
      </c>
      <c r="C18" s="2" t="s">
        <v>49</v>
      </c>
      <c r="D18" s="2" t="str">
        <f t="shared" si="0"/>
        <v>Michael Carter-Williams</v>
      </c>
      <c r="E18" s="2" t="s">
        <v>83</v>
      </c>
      <c r="G18" s="2">
        <v>25</v>
      </c>
      <c r="H18" s="2">
        <v>4900</v>
      </c>
      <c r="I18" s="2" t="s">
        <v>154</v>
      </c>
      <c r="J18" s="2" t="s">
        <v>63</v>
      </c>
      <c r="K18" s="2" t="s">
        <v>91</v>
      </c>
    </row>
    <row r="19" spans="1:13" x14ac:dyDescent="0.25">
      <c r="A19" s="2" t="s">
        <v>176</v>
      </c>
      <c r="B19" s="2" t="s">
        <v>6</v>
      </c>
      <c r="C19" s="2" t="s">
        <v>79</v>
      </c>
      <c r="D19" s="2" t="str">
        <f t="shared" si="0"/>
        <v>Robin Lopez</v>
      </c>
      <c r="E19" s="2" t="s">
        <v>73</v>
      </c>
      <c r="G19" s="2">
        <v>56</v>
      </c>
      <c r="H19" s="2">
        <v>4700</v>
      </c>
      <c r="I19" s="2" t="s">
        <v>154</v>
      </c>
      <c r="J19" s="2" t="s">
        <v>63</v>
      </c>
      <c r="K19" s="2" t="s">
        <v>91</v>
      </c>
    </row>
    <row r="20" spans="1:13" x14ac:dyDescent="0.25">
      <c r="A20" s="2" t="s">
        <v>177</v>
      </c>
      <c r="B20" s="2" t="s">
        <v>3</v>
      </c>
      <c r="C20" s="2" t="s">
        <v>80</v>
      </c>
      <c r="D20" s="2" t="str">
        <f t="shared" si="0"/>
        <v>Rajon Rondo</v>
      </c>
      <c r="E20" s="2" t="s">
        <v>81</v>
      </c>
      <c r="G20" s="2">
        <v>47</v>
      </c>
      <c r="H20" s="2">
        <v>4700</v>
      </c>
      <c r="I20" s="2" t="s">
        <v>154</v>
      </c>
      <c r="J20" s="2" t="s">
        <v>63</v>
      </c>
      <c r="K20" s="2" t="s">
        <v>91</v>
      </c>
    </row>
    <row r="21" spans="1:13" x14ac:dyDescent="0.25">
      <c r="A21" s="2" t="s">
        <v>178</v>
      </c>
      <c r="B21" s="2" t="s">
        <v>4</v>
      </c>
      <c r="C21" s="2" t="s">
        <v>82</v>
      </c>
      <c r="D21" s="2" t="str">
        <f t="shared" si="0"/>
        <v>Taj Gibson</v>
      </c>
      <c r="E21" s="2" t="s">
        <v>54</v>
      </c>
      <c r="G21" s="2">
        <v>54</v>
      </c>
      <c r="H21" s="2">
        <v>4600</v>
      </c>
      <c r="I21" s="2" t="s">
        <v>154</v>
      </c>
      <c r="J21" s="2" t="s">
        <v>63</v>
      </c>
      <c r="K21" s="2" t="s">
        <v>91</v>
      </c>
    </row>
    <row r="22" spans="1:13" x14ac:dyDescent="0.25">
      <c r="A22" s="2" t="s">
        <v>179</v>
      </c>
      <c r="B22" s="2" t="s">
        <v>6</v>
      </c>
      <c r="C22" s="2" t="s">
        <v>116</v>
      </c>
      <c r="D22" s="2" t="str">
        <f t="shared" si="0"/>
        <v>Kelly Olynyk</v>
      </c>
      <c r="E22" s="2" t="s">
        <v>117</v>
      </c>
      <c r="G22" s="2">
        <v>49</v>
      </c>
      <c r="H22" s="2">
        <v>4600</v>
      </c>
      <c r="I22" s="2" t="s">
        <v>154</v>
      </c>
      <c r="J22" s="2" t="s">
        <v>91</v>
      </c>
      <c r="K22" s="2" t="s">
        <v>63</v>
      </c>
    </row>
    <row r="23" spans="1:13" x14ac:dyDescent="0.25">
      <c r="A23" s="2" t="s">
        <v>180</v>
      </c>
      <c r="B23" s="2" t="s">
        <v>5</v>
      </c>
      <c r="C23" s="2" t="s">
        <v>67</v>
      </c>
      <c r="D23" s="2" t="str">
        <f t="shared" si="0"/>
        <v>Doug McDermott</v>
      </c>
      <c r="E23" s="2" t="s">
        <v>68</v>
      </c>
      <c r="G23" s="2">
        <v>43</v>
      </c>
      <c r="H23" s="2">
        <v>4400</v>
      </c>
      <c r="I23" s="2" t="s">
        <v>154</v>
      </c>
      <c r="J23" s="2" t="s">
        <v>63</v>
      </c>
      <c r="K23" s="2" t="s">
        <v>91</v>
      </c>
    </row>
    <row r="24" spans="1:13" x14ac:dyDescent="0.25">
      <c r="A24" s="2" t="s">
        <v>181</v>
      </c>
      <c r="B24" s="2" t="s">
        <v>4</v>
      </c>
      <c r="C24" s="2" t="s">
        <v>44</v>
      </c>
      <c r="D24" s="2" t="str">
        <f t="shared" si="0"/>
        <v>Kevin Seraphin</v>
      </c>
      <c r="E24" s="2" t="s">
        <v>133</v>
      </c>
      <c r="G24" s="2">
        <v>33</v>
      </c>
      <c r="H24" s="2">
        <v>4300</v>
      </c>
      <c r="I24" s="2" t="s">
        <v>151</v>
      </c>
      <c r="J24" s="2" t="s">
        <v>90</v>
      </c>
      <c r="K24" s="2" t="s">
        <v>152</v>
      </c>
    </row>
    <row r="25" spans="1:13" x14ac:dyDescent="0.25">
      <c r="A25" s="2" t="s">
        <v>182</v>
      </c>
      <c r="B25" s="2" t="s">
        <v>7</v>
      </c>
      <c r="C25" s="2" t="s">
        <v>121</v>
      </c>
      <c r="D25" s="2" t="str">
        <f t="shared" si="0"/>
        <v>Monta Ellis</v>
      </c>
      <c r="E25" s="2" t="s">
        <v>122</v>
      </c>
      <c r="G25" s="2">
        <v>48</v>
      </c>
      <c r="H25" s="2">
        <v>4200</v>
      </c>
      <c r="I25" s="2" t="s">
        <v>151</v>
      </c>
      <c r="J25" s="2" t="s">
        <v>90</v>
      </c>
      <c r="K25" s="2" t="s">
        <v>152</v>
      </c>
    </row>
    <row r="26" spans="1:13" x14ac:dyDescent="0.25">
      <c r="A26" s="2" t="s">
        <v>183</v>
      </c>
      <c r="B26" s="2" t="s">
        <v>4</v>
      </c>
      <c r="C26" s="2" t="s">
        <v>123</v>
      </c>
      <c r="D26" s="2" t="str">
        <f t="shared" si="0"/>
        <v>Lavoy Allen</v>
      </c>
      <c r="E26" s="2" t="s">
        <v>115</v>
      </c>
      <c r="G26" s="2">
        <v>42</v>
      </c>
      <c r="H26" s="2">
        <v>4100</v>
      </c>
      <c r="I26" s="2" t="s">
        <v>151</v>
      </c>
      <c r="J26" s="2" t="s">
        <v>90</v>
      </c>
      <c r="K26" s="2" t="s">
        <v>152</v>
      </c>
      <c r="L26" s="2" t="s">
        <v>45</v>
      </c>
      <c r="M26" s="2" t="s">
        <v>46</v>
      </c>
    </row>
    <row r="27" spans="1:13" x14ac:dyDescent="0.25">
      <c r="A27" s="2" t="s">
        <v>184</v>
      </c>
      <c r="B27" s="2" t="s">
        <v>5</v>
      </c>
      <c r="C27" s="2" t="s">
        <v>95</v>
      </c>
      <c r="D27" s="2" t="str">
        <f t="shared" si="0"/>
        <v>C.J. Miles</v>
      </c>
      <c r="E27" s="2" t="s">
        <v>120</v>
      </c>
      <c r="G27" s="2">
        <v>50</v>
      </c>
      <c r="H27" s="2">
        <v>3900</v>
      </c>
      <c r="I27" s="2" t="s">
        <v>151</v>
      </c>
      <c r="J27" s="2" t="s">
        <v>90</v>
      </c>
      <c r="K27" s="2" t="s">
        <v>152</v>
      </c>
    </row>
    <row r="28" spans="1:13" x14ac:dyDescent="0.25">
      <c r="A28" s="2" t="s">
        <v>185</v>
      </c>
      <c r="B28" s="2" t="s">
        <v>4</v>
      </c>
      <c r="C28" s="2" t="s">
        <v>126</v>
      </c>
      <c r="D28" s="2" t="str">
        <f t="shared" si="0"/>
        <v>Amir Johnson</v>
      </c>
      <c r="E28" s="2" t="s">
        <v>103</v>
      </c>
      <c r="G28" s="2">
        <v>55</v>
      </c>
      <c r="H28" s="2">
        <v>3700</v>
      </c>
      <c r="I28" s="2" t="s">
        <v>154</v>
      </c>
      <c r="J28" s="2" t="s">
        <v>91</v>
      </c>
      <c r="K28" s="2" t="s">
        <v>63</v>
      </c>
    </row>
    <row r="29" spans="1:13" x14ac:dyDescent="0.25">
      <c r="A29" s="2" t="s">
        <v>186</v>
      </c>
      <c r="B29" s="2" t="s">
        <v>4</v>
      </c>
      <c r="C29" s="2" t="s">
        <v>47</v>
      </c>
      <c r="D29" s="2" t="str">
        <f t="shared" si="0"/>
        <v>Nikola Mirotic</v>
      </c>
      <c r="E29" s="2" t="s">
        <v>84</v>
      </c>
      <c r="G29" s="2">
        <v>48</v>
      </c>
      <c r="H29" s="2">
        <v>3700</v>
      </c>
      <c r="I29" s="2" t="s">
        <v>154</v>
      </c>
      <c r="J29" s="2" t="s">
        <v>63</v>
      </c>
      <c r="K29" s="2" t="s">
        <v>91</v>
      </c>
      <c r="L29" s="2" t="s">
        <v>48</v>
      </c>
      <c r="M29" s="2" t="s">
        <v>66</v>
      </c>
    </row>
    <row r="30" spans="1:13" x14ac:dyDescent="0.25">
      <c r="A30" s="2" t="s">
        <v>187</v>
      </c>
      <c r="B30" s="2" t="s">
        <v>7</v>
      </c>
      <c r="C30" s="2" t="s">
        <v>119</v>
      </c>
      <c r="D30" s="2" t="str">
        <f t="shared" si="0"/>
        <v>Rodney Stuckey</v>
      </c>
      <c r="E30" s="2" t="s">
        <v>128</v>
      </c>
      <c r="G30" s="2">
        <v>24</v>
      </c>
      <c r="H30" s="2">
        <v>3600</v>
      </c>
      <c r="I30" s="2" t="s">
        <v>151</v>
      </c>
      <c r="J30" s="2" t="s">
        <v>90</v>
      </c>
      <c r="K30" s="2" t="s">
        <v>152</v>
      </c>
    </row>
    <row r="31" spans="1:13" x14ac:dyDescent="0.25">
      <c r="A31" s="2" t="s">
        <v>188</v>
      </c>
      <c r="B31" s="2" t="s">
        <v>4</v>
      </c>
      <c r="C31" s="2" t="s">
        <v>138</v>
      </c>
      <c r="D31" s="2" t="str">
        <f t="shared" si="0"/>
        <v>Jason Smith</v>
      </c>
      <c r="E31" s="2" t="s">
        <v>53</v>
      </c>
      <c r="G31" s="2">
        <v>52</v>
      </c>
      <c r="H31" s="2">
        <v>3600</v>
      </c>
      <c r="I31" s="2" t="s">
        <v>151</v>
      </c>
      <c r="J31" s="2" t="s">
        <v>152</v>
      </c>
      <c r="K31" s="2" t="s">
        <v>90</v>
      </c>
    </row>
    <row r="32" spans="1:13" x14ac:dyDescent="0.25">
      <c r="A32" s="2" t="s">
        <v>189</v>
      </c>
      <c r="B32" s="2" t="s">
        <v>5</v>
      </c>
      <c r="C32" s="2" t="s">
        <v>130</v>
      </c>
      <c r="D32" s="2" t="str">
        <f t="shared" si="0"/>
        <v>Jaylen Brown</v>
      </c>
      <c r="E32" s="2" t="s">
        <v>131</v>
      </c>
      <c r="G32" s="2">
        <v>53</v>
      </c>
      <c r="H32" s="2">
        <v>3600</v>
      </c>
      <c r="I32" s="2" t="s">
        <v>154</v>
      </c>
      <c r="J32" s="2" t="s">
        <v>91</v>
      </c>
      <c r="K32" s="2" t="s">
        <v>63</v>
      </c>
      <c r="L32" s="2" t="s">
        <v>45</v>
      </c>
      <c r="M32" s="2" t="s">
        <v>132</v>
      </c>
    </row>
    <row r="33" spans="1:13" x14ac:dyDescent="0.25">
      <c r="A33" s="2" t="s">
        <v>190</v>
      </c>
      <c r="B33" s="2" t="s">
        <v>6</v>
      </c>
      <c r="C33" s="2" t="s">
        <v>71</v>
      </c>
      <c r="D33" s="2" t="str">
        <f t="shared" si="0"/>
        <v>Cristiano Felicio</v>
      </c>
      <c r="E33" s="2" t="s">
        <v>72</v>
      </c>
      <c r="G33" s="2">
        <v>47</v>
      </c>
      <c r="H33" s="2">
        <v>3600</v>
      </c>
      <c r="I33" s="2" t="s">
        <v>154</v>
      </c>
      <c r="J33" s="2" t="s">
        <v>63</v>
      </c>
      <c r="K33" s="2" t="s">
        <v>91</v>
      </c>
    </row>
    <row r="34" spans="1:13" x14ac:dyDescent="0.25">
      <c r="A34" s="2" t="s">
        <v>191</v>
      </c>
      <c r="B34" s="2" t="s">
        <v>3</v>
      </c>
      <c r="C34" s="2" t="s">
        <v>42</v>
      </c>
      <c r="D34" s="2" t="str">
        <f t="shared" si="0"/>
        <v>Isaiah Canaan</v>
      </c>
      <c r="E34" s="2" t="s">
        <v>87</v>
      </c>
      <c r="G34" s="2">
        <v>33</v>
      </c>
      <c r="H34" s="2">
        <v>3500</v>
      </c>
      <c r="I34" s="2" t="s">
        <v>154</v>
      </c>
      <c r="J34" s="2" t="s">
        <v>63</v>
      </c>
      <c r="K34" s="2" t="s">
        <v>91</v>
      </c>
    </row>
    <row r="35" spans="1:13" x14ac:dyDescent="0.25">
      <c r="A35" s="2" t="s">
        <v>192</v>
      </c>
      <c r="B35" s="2" t="s">
        <v>6</v>
      </c>
      <c r="C35" s="2" t="s">
        <v>98</v>
      </c>
      <c r="D35" s="2" t="str">
        <f t="shared" si="0"/>
        <v>Al Jefferson</v>
      </c>
      <c r="E35" s="2" t="s">
        <v>58</v>
      </c>
      <c r="G35" s="2">
        <v>56</v>
      </c>
      <c r="H35" s="2">
        <v>3500</v>
      </c>
      <c r="I35" s="2" t="s">
        <v>151</v>
      </c>
      <c r="J35" s="2" t="s">
        <v>90</v>
      </c>
      <c r="K35" s="2" t="s">
        <v>152</v>
      </c>
    </row>
    <row r="36" spans="1:13" x14ac:dyDescent="0.25">
      <c r="A36" s="2" t="s">
        <v>193</v>
      </c>
      <c r="B36" s="2" t="s">
        <v>7</v>
      </c>
      <c r="C36" s="2" t="s">
        <v>124</v>
      </c>
      <c r="D36" s="2" t="str">
        <f t="shared" si="0"/>
        <v>Joe Young</v>
      </c>
      <c r="E36" s="2" t="s">
        <v>57</v>
      </c>
      <c r="G36" s="2">
        <v>25</v>
      </c>
      <c r="H36" s="2">
        <v>3500</v>
      </c>
      <c r="I36" s="2" t="s">
        <v>151</v>
      </c>
      <c r="J36" s="2" t="s">
        <v>90</v>
      </c>
      <c r="K36" s="2" t="s">
        <v>152</v>
      </c>
    </row>
    <row r="37" spans="1:13" x14ac:dyDescent="0.25">
      <c r="A37" s="2" t="s">
        <v>194</v>
      </c>
      <c r="B37" s="2" t="s">
        <v>5</v>
      </c>
      <c r="C37" s="2" t="s">
        <v>116</v>
      </c>
      <c r="D37" s="2" t="str">
        <f t="shared" si="0"/>
        <v>Kelly Oubre Jr.</v>
      </c>
      <c r="E37" s="2" t="s">
        <v>195</v>
      </c>
      <c r="G37" s="2">
        <v>52</v>
      </c>
      <c r="H37" s="2">
        <v>3500</v>
      </c>
      <c r="I37" s="2" t="s">
        <v>151</v>
      </c>
      <c r="J37" s="2" t="s">
        <v>152</v>
      </c>
      <c r="K37" s="2" t="s">
        <v>90</v>
      </c>
    </row>
    <row r="38" spans="1:13" x14ac:dyDescent="0.25">
      <c r="A38" s="2" t="s">
        <v>196</v>
      </c>
      <c r="B38" s="2" t="s">
        <v>4</v>
      </c>
      <c r="C38" s="2" t="s">
        <v>56</v>
      </c>
      <c r="D38" s="2" t="str">
        <f t="shared" si="0"/>
        <v>Bobby Portis</v>
      </c>
      <c r="E38" s="2" t="s">
        <v>85</v>
      </c>
      <c r="G38" s="2">
        <v>38</v>
      </c>
      <c r="H38" s="2">
        <v>3500</v>
      </c>
      <c r="I38" s="2" t="s">
        <v>154</v>
      </c>
      <c r="J38" s="2" t="s">
        <v>63</v>
      </c>
      <c r="K38" s="2" t="s">
        <v>91</v>
      </c>
    </row>
    <row r="39" spans="1:13" x14ac:dyDescent="0.25">
      <c r="A39" s="2" t="s">
        <v>197</v>
      </c>
      <c r="B39" s="2" t="s">
        <v>5</v>
      </c>
      <c r="C39" s="2" t="s">
        <v>41</v>
      </c>
      <c r="D39" s="2" t="str">
        <f t="shared" si="0"/>
        <v>James Young</v>
      </c>
      <c r="E39" s="2" t="s">
        <v>57</v>
      </c>
      <c r="G39" s="2">
        <v>19</v>
      </c>
      <c r="H39" s="2">
        <v>3500</v>
      </c>
      <c r="I39" s="2" t="s">
        <v>154</v>
      </c>
      <c r="J39" s="2" t="s">
        <v>91</v>
      </c>
      <c r="K39" s="2" t="s">
        <v>63</v>
      </c>
    </row>
    <row r="40" spans="1:13" x14ac:dyDescent="0.25">
      <c r="A40" s="2" t="s">
        <v>198</v>
      </c>
      <c r="B40" s="2" t="s">
        <v>5</v>
      </c>
      <c r="C40" s="2" t="s">
        <v>64</v>
      </c>
      <c r="D40" s="2" t="str">
        <f t="shared" si="0"/>
        <v>Paul Zipser</v>
      </c>
      <c r="E40" s="2" t="s">
        <v>88</v>
      </c>
      <c r="G40" s="2">
        <v>23</v>
      </c>
      <c r="H40" s="2">
        <v>3500</v>
      </c>
      <c r="I40" s="2" t="s">
        <v>154</v>
      </c>
      <c r="J40" s="2" t="s">
        <v>63</v>
      </c>
      <c r="K40" s="2" t="s">
        <v>91</v>
      </c>
      <c r="L40" s="2" t="s">
        <v>45</v>
      </c>
      <c r="M40" s="2" t="s">
        <v>51</v>
      </c>
    </row>
    <row r="41" spans="1:13" x14ac:dyDescent="0.25">
      <c r="A41" s="2" t="s">
        <v>199</v>
      </c>
      <c r="B41" s="2" t="s">
        <v>3</v>
      </c>
      <c r="C41" s="2" t="s">
        <v>140</v>
      </c>
      <c r="D41" s="2" t="str">
        <f t="shared" si="0"/>
        <v>Demetrius Jackson</v>
      </c>
      <c r="E41" s="2" t="s">
        <v>113</v>
      </c>
      <c r="G41" s="2">
        <v>4</v>
      </c>
      <c r="H41" s="2">
        <v>3500</v>
      </c>
      <c r="I41" s="2" t="s">
        <v>154</v>
      </c>
      <c r="J41" s="2" t="s">
        <v>91</v>
      </c>
      <c r="K41" s="2" t="s">
        <v>63</v>
      </c>
    </row>
    <row r="42" spans="1:13" x14ac:dyDescent="0.25">
      <c r="A42" s="2" t="s">
        <v>200</v>
      </c>
      <c r="B42" s="2" t="s">
        <v>3</v>
      </c>
      <c r="C42" s="2" t="s">
        <v>139</v>
      </c>
      <c r="D42" s="2" t="str">
        <f t="shared" si="0"/>
        <v>Terry Rozier</v>
      </c>
      <c r="E42" s="2" t="s">
        <v>145</v>
      </c>
      <c r="G42" s="2">
        <v>51</v>
      </c>
      <c r="H42" s="2">
        <v>3500</v>
      </c>
      <c r="I42" s="2" t="s">
        <v>154</v>
      </c>
      <c r="J42" s="2" t="s">
        <v>91</v>
      </c>
      <c r="K42" s="2" t="s">
        <v>63</v>
      </c>
    </row>
    <row r="43" spans="1:13" x14ac:dyDescent="0.25">
      <c r="A43" s="2" t="s">
        <v>201</v>
      </c>
      <c r="B43" s="2" t="s">
        <v>7</v>
      </c>
      <c r="C43" s="2" t="s">
        <v>202</v>
      </c>
      <c r="D43" s="2" t="str">
        <f t="shared" si="0"/>
        <v>Tomas Satoransky</v>
      </c>
      <c r="E43" s="2" t="s">
        <v>203</v>
      </c>
      <c r="G43" s="2">
        <v>38</v>
      </c>
      <c r="H43" s="2">
        <v>3500</v>
      </c>
      <c r="I43" s="2" t="s">
        <v>151</v>
      </c>
      <c r="J43" s="2" t="s">
        <v>152</v>
      </c>
      <c r="K43" s="2" t="s">
        <v>90</v>
      </c>
    </row>
    <row r="44" spans="1:13" x14ac:dyDescent="0.25">
      <c r="A44" s="2" t="s">
        <v>204</v>
      </c>
      <c r="B44" s="2" t="s">
        <v>3</v>
      </c>
      <c r="C44" s="2" t="s">
        <v>118</v>
      </c>
      <c r="D44" s="2" t="str">
        <f t="shared" si="0"/>
        <v>Aaron Brooks</v>
      </c>
      <c r="E44" s="2" t="s">
        <v>141</v>
      </c>
      <c r="G44" s="2">
        <v>46</v>
      </c>
      <c r="H44" s="2">
        <v>3500</v>
      </c>
      <c r="I44" s="2" t="s">
        <v>151</v>
      </c>
      <c r="J44" s="2" t="s">
        <v>90</v>
      </c>
      <c r="K44" s="2" t="s">
        <v>152</v>
      </c>
    </row>
    <row r="45" spans="1:13" x14ac:dyDescent="0.25">
      <c r="A45" s="2" t="s">
        <v>205</v>
      </c>
      <c r="B45" s="2" t="s">
        <v>4</v>
      </c>
      <c r="C45" s="2" t="s">
        <v>206</v>
      </c>
      <c r="D45" s="2" t="str">
        <f t="shared" si="0"/>
        <v>Daniel Ochefu</v>
      </c>
      <c r="E45" s="2" t="s">
        <v>207</v>
      </c>
      <c r="G45" s="2">
        <v>13</v>
      </c>
      <c r="H45" s="2">
        <v>3500</v>
      </c>
      <c r="I45" s="2" t="s">
        <v>151</v>
      </c>
      <c r="J45" s="2" t="s">
        <v>152</v>
      </c>
      <c r="K45" s="2" t="s">
        <v>90</v>
      </c>
    </row>
    <row r="46" spans="1:13" x14ac:dyDescent="0.25">
      <c r="A46" s="2" t="s">
        <v>208</v>
      </c>
      <c r="B46" s="2" t="s">
        <v>4</v>
      </c>
      <c r="C46" s="2" t="s">
        <v>50</v>
      </c>
      <c r="D46" s="2" t="str">
        <f t="shared" si="0"/>
        <v>Andrew Nicholson</v>
      </c>
      <c r="E46" s="2" t="s">
        <v>209</v>
      </c>
      <c r="G46" s="2">
        <v>28</v>
      </c>
      <c r="H46" s="2">
        <v>3500</v>
      </c>
      <c r="I46" s="2" t="s">
        <v>151</v>
      </c>
      <c r="J46" s="2" t="s">
        <v>152</v>
      </c>
      <c r="K46" s="2" t="s">
        <v>90</v>
      </c>
    </row>
    <row r="47" spans="1:13" x14ac:dyDescent="0.25">
      <c r="A47" s="2" t="s">
        <v>210</v>
      </c>
      <c r="B47" s="2" t="s">
        <v>6</v>
      </c>
      <c r="C47" s="2" t="s">
        <v>147</v>
      </c>
      <c r="D47" s="2" t="str">
        <f t="shared" si="0"/>
        <v>Rakeem Christmas</v>
      </c>
      <c r="E47" s="2" t="s">
        <v>148</v>
      </c>
      <c r="G47" s="2">
        <v>7</v>
      </c>
      <c r="H47" s="2">
        <v>3500</v>
      </c>
      <c r="I47" s="2" t="s">
        <v>151</v>
      </c>
      <c r="J47" s="2" t="s">
        <v>90</v>
      </c>
      <c r="K47" s="2" t="s">
        <v>152</v>
      </c>
    </row>
    <row r="48" spans="1:13" x14ac:dyDescent="0.25">
      <c r="A48" s="2" t="s">
        <v>211</v>
      </c>
      <c r="B48" s="2" t="s">
        <v>6</v>
      </c>
      <c r="C48" s="2" t="s">
        <v>111</v>
      </c>
      <c r="D48" s="2" t="str">
        <f t="shared" si="0"/>
        <v>Tyler Zeller</v>
      </c>
      <c r="E48" s="2" t="s">
        <v>114</v>
      </c>
      <c r="G48" s="2">
        <v>34</v>
      </c>
      <c r="H48" s="2">
        <v>3500</v>
      </c>
      <c r="I48" s="2" t="s">
        <v>154</v>
      </c>
      <c r="J48" s="2" t="s">
        <v>91</v>
      </c>
      <c r="K48" s="2" t="s">
        <v>63</v>
      </c>
    </row>
    <row r="49" spans="1:13" x14ac:dyDescent="0.25">
      <c r="A49" s="2" t="s">
        <v>212</v>
      </c>
      <c r="B49" s="2" t="s">
        <v>6</v>
      </c>
      <c r="C49" s="2" t="s">
        <v>129</v>
      </c>
      <c r="D49" s="2" t="str">
        <f t="shared" si="0"/>
        <v>Ian Mahinmi</v>
      </c>
      <c r="E49" s="2" t="s">
        <v>213</v>
      </c>
      <c r="G49" s="2">
        <v>4</v>
      </c>
      <c r="H49" s="2">
        <v>3500</v>
      </c>
      <c r="I49" s="2" t="s">
        <v>151</v>
      </c>
      <c r="J49" s="2" t="s">
        <v>152</v>
      </c>
      <c r="K49" s="2" t="s">
        <v>90</v>
      </c>
    </row>
    <row r="50" spans="1:13" x14ac:dyDescent="0.25">
      <c r="A50" s="2" t="s">
        <v>214</v>
      </c>
      <c r="B50" s="2" t="s">
        <v>7</v>
      </c>
      <c r="C50" s="2" t="s">
        <v>69</v>
      </c>
      <c r="D50" s="2" t="str">
        <f t="shared" si="0"/>
        <v>Denzel Valentine</v>
      </c>
      <c r="E50" s="2" t="s">
        <v>70</v>
      </c>
      <c r="G50" s="2">
        <v>31</v>
      </c>
      <c r="H50" s="2">
        <v>3500</v>
      </c>
      <c r="I50" s="2" t="s">
        <v>154</v>
      </c>
      <c r="J50" s="2" t="s">
        <v>63</v>
      </c>
      <c r="K50" s="2" t="s">
        <v>91</v>
      </c>
    </row>
    <row r="51" spans="1:13" x14ac:dyDescent="0.25">
      <c r="A51" s="2" t="s">
        <v>215</v>
      </c>
      <c r="B51" s="2" t="s">
        <v>7</v>
      </c>
      <c r="C51" s="2" t="s">
        <v>108</v>
      </c>
      <c r="D51" s="2" t="str">
        <f t="shared" si="0"/>
        <v>Marcus Thornton</v>
      </c>
      <c r="E51" s="2" t="s">
        <v>216</v>
      </c>
      <c r="G51" s="2">
        <v>33</v>
      </c>
      <c r="H51" s="2">
        <v>3500</v>
      </c>
      <c r="I51" s="2" t="s">
        <v>151</v>
      </c>
      <c r="J51" s="2" t="s">
        <v>152</v>
      </c>
      <c r="K51" s="2" t="s">
        <v>90</v>
      </c>
    </row>
    <row r="52" spans="1:13" x14ac:dyDescent="0.25">
      <c r="A52" s="2" t="s">
        <v>217</v>
      </c>
      <c r="B52" s="2" t="s">
        <v>3</v>
      </c>
      <c r="C52" s="2" t="s">
        <v>134</v>
      </c>
      <c r="D52" s="2" t="str">
        <f t="shared" si="0"/>
        <v>Trey Burke</v>
      </c>
      <c r="E52" s="2" t="s">
        <v>218</v>
      </c>
      <c r="G52" s="2">
        <v>50</v>
      </c>
      <c r="H52" s="2">
        <v>3500</v>
      </c>
      <c r="I52" s="2" t="s">
        <v>151</v>
      </c>
      <c r="J52" s="2" t="s">
        <v>152</v>
      </c>
      <c r="K52" s="2" t="s">
        <v>90</v>
      </c>
    </row>
    <row r="53" spans="1:13" x14ac:dyDescent="0.25">
      <c r="A53" s="2" t="s">
        <v>219</v>
      </c>
      <c r="B53" s="2" t="s">
        <v>4</v>
      </c>
      <c r="C53" s="2" t="s">
        <v>55</v>
      </c>
      <c r="D53" s="2" t="str">
        <f t="shared" si="0"/>
        <v>Jordan Mickey</v>
      </c>
      <c r="E53" s="2" t="s">
        <v>135</v>
      </c>
      <c r="G53" s="2">
        <v>16</v>
      </c>
      <c r="H53" s="2">
        <v>3500</v>
      </c>
      <c r="I53" s="2" t="s">
        <v>154</v>
      </c>
      <c r="J53" s="2" t="s">
        <v>91</v>
      </c>
      <c r="K53" s="2" t="s">
        <v>63</v>
      </c>
    </row>
    <row r="54" spans="1:13" x14ac:dyDescent="0.25">
      <c r="A54" s="2" t="s">
        <v>220</v>
      </c>
      <c r="B54" s="2" t="s">
        <v>4</v>
      </c>
      <c r="C54" s="2" t="s">
        <v>59</v>
      </c>
      <c r="D54" s="2" t="str">
        <f t="shared" si="0"/>
        <v>Jonas Jerebko</v>
      </c>
      <c r="E54" s="2" t="s">
        <v>146</v>
      </c>
      <c r="G54" s="2">
        <v>55</v>
      </c>
      <c r="H54" s="2">
        <v>3500</v>
      </c>
      <c r="I54" s="2" t="s">
        <v>154</v>
      </c>
      <c r="J54" s="2" t="s">
        <v>91</v>
      </c>
      <c r="K54" s="2" t="s">
        <v>63</v>
      </c>
    </row>
    <row r="55" spans="1:13" x14ac:dyDescent="0.25">
      <c r="A55" s="2" t="s">
        <v>221</v>
      </c>
      <c r="B55" s="2" t="s">
        <v>5</v>
      </c>
      <c r="C55" s="2" t="s">
        <v>143</v>
      </c>
      <c r="D55" s="2" t="str">
        <f t="shared" si="0"/>
        <v>Georges Niang</v>
      </c>
      <c r="E55" s="2" t="s">
        <v>144</v>
      </c>
      <c r="G55" s="2">
        <v>22</v>
      </c>
      <c r="H55" s="2">
        <v>3500</v>
      </c>
      <c r="I55" s="2" t="s">
        <v>151</v>
      </c>
      <c r="J55" s="2" t="s">
        <v>90</v>
      </c>
      <c r="K55" s="2" t="s">
        <v>152</v>
      </c>
    </row>
    <row r="56" spans="1:13" x14ac:dyDescent="0.25">
      <c r="A56" s="2" t="s">
        <v>222</v>
      </c>
      <c r="B56" s="2" t="s">
        <v>7</v>
      </c>
      <c r="C56" s="2" t="s">
        <v>223</v>
      </c>
      <c r="D56" s="2" t="str">
        <f t="shared" si="0"/>
        <v>Sheldon McClellan</v>
      </c>
      <c r="E56" s="2" t="s">
        <v>224</v>
      </c>
      <c r="G56" s="2">
        <v>24</v>
      </c>
      <c r="H56" s="2">
        <v>3500</v>
      </c>
      <c r="I56" s="2" t="s">
        <v>151</v>
      </c>
      <c r="J56" s="2" t="s">
        <v>152</v>
      </c>
      <c r="K56" s="2" t="s">
        <v>90</v>
      </c>
    </row>
    <row r="57" spans="1:13" x14ac:dyDescent="0.25">
      <c r="A57" s="2" t="s">
        <v>225</v>
      </c>
      <c r="B57" s="2" t="s">
        <v>5</v>
      </c>
      <c r="C57" s="2" t="s">
        <v>136</v>
      </c>
      <c r="D57" s="2" t="str">
        <f t="shared" si="0"/>
        <v>Glenn Robinson III</v>
      </c>
      <c r="E57" s="2" t="s">
        <v>137</v>
      </c>
      <c r="G57" s="2">
        <v>54</v>
      </c>
      <c r="H57" s="2">
        <v>3500</v>
      </c>
      <c r="I57" s="2" t="s">
        <v>151</v>
      </c>
      <c r="J57" s="2" t="s">
        <v>90</v>
      </c>
      <c r="K57" s="2" t="s">
        <v>152</v>
      </c>
    </row>
    <row r="58" spans="1:13" x14ac:dyDescent="0.25">
      <c r="A58" s="2" t="s">
        <v>226</v>
      </c>
      <c r="B58" s="2" t="s">
        <v>7</v>
      </c>
      <c r="C58" s="2" t="s">
        <v>127</v>
      </c>
      <c r="D58" s="2" t="str">
        <f t="shared" si="0"/>
        <v>Gerald Green</v>
      </c>
      <c r="E58" s="2" t="s">
        <v>94</v>
      </c>
      <c r="G58" s="2">
        <v>35</v>
      </c>
      <c r="H58" s="2">
        <v>3500</v>
      </c>
      <c r="I58" s="2" t="s">
        <v>154</v>
      </c>
      <c r="J58" s="2" t="s">
        <v>91</v>
      </c>
      <c r="K58" s="2" t="s">
        <v>63</v>
      </c>
      <c r="L58" s="2" t="s">
        <v>48</v>
      </c>
      <c r="M58" s="2" t="s">
        <v>77</v>
      </c>
    </row>
    <row r="59" spans="1:13" x14ac:dyDescent="0.25">
      <c r="A59" s="2" t="s">
        <v>227</v>
      </c>
      <c r="B59" s="2" t="s">
        <v>3</v>
      </c>
      <c r="C59" s="2" t="s">
        <v>86</v>
      </c>
      <c r="D59" s="2" t="str">
        <f t="shared" si="0"/>
        <v>Jerian Grant</v>
      </c>
      <c r="E59" s="2" t="s">
        <v>52</v>
      </c>
      <c r="G59" s="2">
        <v>45</v>
      </c>
      <c r="H59" s="2">
        <v>3500</v>
      </c>
      <c r="I59" s="2" t="s">
        <v>154</v>
      </c>
      <c r="J59" s="2" t="s">
        <v>63</v>
      </c>
      <c r="K59" s="2" t="s">
        <v>91</v>
      </c>
    </row>
    <row r="60" spans="1:13" x14ac:dyDescent="0.25">
      <c r="A60" s="2" t="s">
        <v>228</v>
      </c>
      <c r="B60" s="2" t="s">
        <v>5</v>
      </c>
      <c r="C60" s="2" t="s">
        <v>229</v>
      </c>
      <c r="D60" s="2" t="str">
        <f t="shared" si="0"/>
        <v>Danuel House</v>
      </c>
      <c r="E60" s="2" t="s">
        <v>230</v>
      </c>
      <c r="G60" s="2">
        <v>1</v>
      </c>
      <c r="H60" s="2">
        <v>3500</v>
      </c>
      <c r="I60" s="2" t="s">
        <v>151</v>
      </c>
      <c r="J60" s="2" t="s">
        <v>152</v>
      </c>
      <c r="K60" s="2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F19" sqref="F19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4" t="s">
        <v>21</v>
      </c>
      <c r="E2" s="44"/>
      <c r="F2" s="44"/>
      <c r="G2" s="44"/>
      <c r="H2" s="44"/>
      <c r="I2" s="44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5" t="s">
        <v>23</v>
      </c>
      <c r="E3" s="45"/>
      <c r="F3" s="45"/>
      <c r="G3" s="45"/>
      <c r="H3" s="45"/>
      <c r="I3" s="45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10</v>
      </c>
      <c r="C15" s="15"/>
      <c r="D15" s="38">
        <f>'DraftKings Basketball  Solver'!O11</f>
        <v>0</v>
      </c>
      <c r="E15" s="36"/>
      <c r="F15" s="41" t="str">
        <f>'DraftKings Basketball  Solver'!O17</f>
        <v>Wall</v>
      </c>
      <c r="G15" s="40" t="str">
        <f>'DraftKings Basketball  Solver'!O18</f>
        <v>Teague</v>
      </c>
      <c r="H15" s="41" t="str">
        <f>'DraftKings Basketball  Solver'!O19</f>
        <v>Beal</v>
      </c>
      <c r="I15" s="40" t="str">
        <f>'DraftKings Basketball  Solver'!O20</f>
        <v>Smart</v>
      </c>
      <c r="J15" s="41" t="str">
        <f>'DraftKings Basketball  Solver'!O25</f>
        <v>Horford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11</v>
      </c>
      <c r="C16" s="15"/>
      <c r="D16" s="39">
        <f>'DraftKings Basketball  Solver'!O8</f>
        <v>59900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'DraftKings Basketball  Solver'!O21</f>
        <v>Butler</v>
      </c>
      <c r="G17" s="41" t="str">
        <f>'DraftKings Basketball  Solver'!O22</f>
        <v>Miles</v>
      </c>
      <c r="H17" s="40" t="str">
        <f>'DraftKings Basketball  Solver'!O23</f>
        <v>Gibson</v>
      </c>
      <c r="I17" s="41" t="str">
        <f>'DraftKings Basketball  Solver'!O24</f>
        <v>Johnson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555"/>
  <sheetViews>
    <sheetView tabSelected="1" workbookViewId="0">
      <selection activeCell="S3" sqref="S3"/>
    </sheetView>
  </sheetViews>
  <sheetFormatPr defaultRowHeight="15" x14ac:dyDescent="0.25"/>
  <cols>
    <col min="1" max="1" width="3" customWidth="1"/>
    <col min="2" max="2" width="4.140625" customWidth="1"/>
    <col min="3" max="3" width="23.5703125" bestFit="1" customWidth="1"/>
    <col min="4" max="4" width="2.42578125" customWidth="1"/>
    <col min="5" max="5" width="2.7109375" customWidth="1"/>
    <col min="6" max="6" width="2.85546875" customWidth="1"/>
    <col min="7" max="7" width="5.85546875" customWidth="1"/>
    <col min="8" max="8" width="7" customWidth="1"/>
    <col min="9" max="9" width="7.5703125" customWidth="1"/>
    <col min="10" max="10" width="6" customWidth="1"/>
    <col min="11" max="11" width="4.42578125" customWidth="1"/>
    <col min="12" max="12" width="5.85546875" customWidth="1"/>
    <col min="13" max="13" width="5.5703125" customWidth="1"/>
    <col min="14" max="14" width="6.5703125" customWidth="1"/>
    <col min="15" max="15" width="6.140625" customWidth="1"/>
    <col min="16" max="16" width="23" bestFit="1" customWidth="1"/>
    <col min="18" max="18" width="11.28515625" bestFit="1" customWidth="1"/>
    <col min="19" max="19" width="17.7109375" bestFit="1" customWidth="1"/>
  </cols>
  <sheetData>
    <row r="1" spans="1:21" x14ac:dyDescent="0.25">
      <c r="A1" s="2">
        <v>1</v>
      </c>
      <c r="B1" s="2">
        <v>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 t="s">
        <v>231</v>
      </c>
      <c r="O1" s="2"/>
      <c r="P1" s="2"/>
    </row>
    <row r="2" spans="1:21" x14ac:dyDescent="0.25">
      <c r="A2" s="2"/>
      <c r="B2" s="2"/>
      <c r="C2" s="2"/>
      <c r="D2" s="2"/>
      <c r="E2" s="2"/>
      <c r="F2" s="2"/>
      <c r="G2" s="2"/>
      <c r="H2" s="42">
        <v>42782</v>
      </c>
      <c r="I2" s="2" t="s">
        <v>232</v>
      </c>
      <c r="J2" s="2" t="s">
        <v>233</v>
      </c>
      <c r="K2" s="2" t="s">
        <v>232</v>
      </c>
      <c r="L2" s="2" t="s">
        <v>234</v>
      </c>
      <c r="M2" s="2" t="s">
        <v>235</v>
      </c>
      <c r="N2" s="2" t="s">
        <v>232</v>
      </c>
      <c r="O2" s="2" t="s">
        <v>232</v>
      </c>
      <c r="P2" s="2" t="s">
        <v>236</v>
      </c>
    </row>
    <row r="3" spans="1:21" x14ac:dyDescent="0.25">
      <c r="A3" s="2"/>
      <c r="B3" s="2"/>
      <c r="C3" s="2"/>
      <c r="D3" s="2"/>
      <c r="E3" s="2"/>
      <c r="F3" s="2"/>
      <c r="G3" s="2"/>
      <c r="H3" s="2" t="s">
        <v>142</v>
      </c>
      <c r="I3" s="2" t="s">
        <v>142</v>
      </c>
      <c r="J3" s="2" t="s">
        <v>237</v>
      </c>
      <c r="K3" s="2"/>
      <c r="L3" s="2" t="s">
        <v>238</v>
      </c>
      <c r="M3" s="2" t="s">
        <v>239</v>
      </c>
      <c r="N3" s="2" t="s">
        <v>240</v>
      </c>
      <c r="O3" s="2" t="s">
        <v>1</v>
      </c>
      <c r="P3" s="2" t="s">
        <v>241</v>
      </c>
    </row>
    <row r="4" spans="1:21" x14ac:dyDescent="0.25">
      <c r="A4" s="2"/>
      <c r="B4" s="2" t="s">
        <v>8</v>
      </c>
      <c r="C4" s="2" t="s">
        <v>242</v>
      </c>
      <c r="D4" s="2" t="s">
        <v>243</v>
      </c>
      <c r="E4" s="2" t="s">
        <v>244</v>
      </c>
      <c r="F4" s="2" t="s">
        <v>245</v>
      </c>
      <c r="G4" s="2" t="s">
        <v>2</v>
      </c>
      <c r="H4" s="43">
        <v>0</v>
      </c>
      <c r="I4" s="2" t="s">
        <v>246</v>
      </c>
      <c r="J4" s="2" t="s">
        <v>238</v>
      </c>
      <c r="K4" s="2" t="s">
        <v>247</v>
      </c>
      <c r="L4" s="2" t="s">
        <v>248</v>
      </c>
      <c r="M4" s="2" t="s">
        <v>249</v>
      </c>
      <c r="N4" s="2" t="s">
        <v>250</v>
      </c>
      <c r="O4" s="2" t="s">
        <v>238</v>
      </c>
      <c r="P4" s="2">
        <v>1.23456789012345E+27</v>
      </c>
    </row>
    <row r="5" spans="1:21" x14ac:dyDescent="0.25">
      <c r="A5" s="2">
        <v>1</v>
      </c>
      <c r="B5" s="2" t="s">
        <v>3</v>
      </c>
      <c r="C5" s="2" t="s">
        <v>313</v>
      </c>
      <c r="D5" s="2" t="s">
        <v>251</v>
      </c>
      <c r="E5" s="2" t="s">
        <v>252</v>
      </c>
      <c r="F5" s="2" t="s">
        <v>253</v>
      </c>
      <c r="G5" s="2" t="s">
        <v>89</v>
      </c>
      <c r="H5" s="35">
        <v>12400</v>
      </c>
      <c r="I5" s="2">
        <v>0</v>
      </c>
      <c r="J5" s="2">
        <v>153.9</v>
      </c>
      <c r="K5" s="2">
        <v>3</v>
      </c>
      <c r="L5" s="2">
        <v>51.3</v>
      </c>
      <c r="M5" s="2">
        <v>4.0999999999999996</v>
      </c>
      <c r="N5" s="2">
        <v>55.7</v>
      </c>
      <c r="O5" s="2">
        <v>29.8</v>
      </c>
      <c r="P5" s="2" t="s">
        <v>254</v>
      </c>
      <c r="Q5" t="str">
        <f>MID(C5,FIND(" ",C5)+1,256)</f>
        <v>Russell</v>
      </c>
      <c r="R5" t="str">
        <f>LEFT(C5,(FIND(" ",C5,1)-1))</f>
        <v>Westbrook</v>
      </c>
      <c r="S5" t="str">
        <f>Q5&amp;" "&amp;R5</f>
        <v>Russell Westbrook</v>
      </c>
      <c r="T5">
        <f>N5</f>
        <v>55.7</v>
      </c>
      <c r="U5" t="e">
        <f>VLOOKUP(S5,RawData!D2:H60,8,FALSE)</f>
        <v>#N/A</v>
      </c>
    </row>
    <row r="6" spans="1:21" x14ac:dyDescent="0.25">
      <c r="A6" s="2">
        <v>2</v>
      </c>
      <c r="B6" s="2" t="s">
        <v>7</v>
      </c>
      <c r="C6" s="2" t="s">
        <v>314</v>
      </c>
      <c r="D6" s="2" t="s">
        <v>251</v>
      </c>
      <c r="E6" s="2" t="s">
        <v>252</v>
      </c>
      <c r="F6" s="2" t="s">
        <v>253</v>
      </c>
      <c r="G6" s="2" t="s">
        <v>255</v>
      </c>
      <c r="H6" s="35">
        <v>12200</v>
      </c>
      <c r="I6" s="2">
        <v>0</v>
      </c>
      <c r="J6" s="2">
        <v>101.4</v>
      </c>
      <c r="K6" s="2">
        <v>2</v>
      </c>
      <c r="L6" s="2">
        <v>50.7</v>
      </c>
      <c r="M6" s="2">
        <v>4.2</v>
      </c>
      <c r="N6" s="2">
        <v>53.8</v>
      </c>
      <c r="O6" s="2">
        <v>51.2</v>
      </c>
      <c r="P6" s="2" t="s">
        <v>256</v>
      </c>
      <c r="Q6" s="2" t="str">
        <f t="shared" ref="Q6:Q29" si="0">MID(C6,FIND(" ",C6)+1,256)</f>
        <v>James</v>
      </c>
      <c r="R6" s="2" t="str">
        <f t="shared" ref="R6:R29" si="1">LEFT(C6,(FIND(" ",C6,1)-1))</f>
        <v>Harden</v>
      </c>
      <c r="S6" s="2" t="str">
        <f t="shared" ref="S6:S69" si="2">Q6&amp;" "&amp;R6</f>
        <v>James Harden</v>
      </c>
      <c r="T6" s="2">
        <f t="shared" ref="T6:T69" si="3">N6</f>
        <v>53.8</v>
      </c>
    </row>
    <row r="7" spans="1:21" x14ac:dyDescent="0.25">
      <c r="A7" s="2">
        <v>3</v>
      </c>
      <c r="B7" s="2" t="s">
        <v>5</v>
      </c>
      <c r="C7" s="2" t="s">
        <v>315</v>
      </c>
      <c r="D7" s="2" t="s">
        <v>251</v>
      </c>
      <c r="E7" s="2" t="s">
        <v>252</v>
      </c>
      <c r="F7" s="2" t="s">
        <v>253</v>
      </c>
      <c r="G7" s="2" t="s">
        <v>257</v>
      </c>
      <c r="H7" s="35">
        <v>11300</v>
      </c>
      <c r="I7" s="2">
        <v>0</v>
      </c>
      <c r="J7" s="2">
        <v>183.8</v>
      </c>
      <c r="K7" s="2">
        <v>4</v>
      </c>
      <c r="L7" s="2">
        <v>46</v>
      </c>
      <c r="M7" s="2">
        <v>4.0999999999999996</v>
      </c>
      <c r="N7" s="2">
        <v>51.2</v>
      </c>
      <c r="O7" s="2">
        <v>49.6</v>
      </c>
      <c r="P7" s="2" t="s">
        <v>258</v>
      </c>
      <c r="Q7" s="2" t="str">
        <f t="shared" si="0"/>
        <v>LeBron</v>
      </c>
      <c r="R7" s="2" t="str">
        <f t="shared" si="1"/>
        <v>James</v>
      </c>
      <c r="S7" s="2" t="str">
        <f t="shared" si="2"/>
        <v>LeBron James</v>
      </c>
      <c r="T7" s="2">
        <f t="shared" si="3"/>
        <v>51.2</v>
      </c>
    </row>
    <row r="8" spans="1:21" x14ac:dyDescent="0.25">
      <c r="A8" s="2">
        <v>4</v>
      </c>
      <c r="B8" s="2" t="s">
        <v>4</v>
      </c>
      <c r="C8" s="2" t="s">
        <v>316</v>
      </c>
      <c r="D8" s="2" t="s">
        <v>251</v>
      </c>
      <c r="E8" s="2" t="s">
        <v>252</v>
      </c>
      <c r="F8" s="2" t="s">
        <v>253</v>
      </c>
      <c r="G8" s="2" t="s">
        <v>259</v>
      </c>
      <c r="H8" s="35">
        <v>10900</v>
      </c>
      <c r="I8" s="2">
        <v>0</v>
      </c>
      <c r="J8" s="2">
        <v>195.1</v>
      </c>
      <c r="K8" s="2">
        <v>4</v>
      </c>
      <c r="L8" s="2">
        <v>48.8</v>
      </c>
      <c r="M8" s="2">
        <v>4.5</v>
      </c>
      <c r="N8" s="2">
        <v>50.6</v>
      </c>
      <c r="O8" s="2">
        <v>44</v>
      </c>
      <c r="P8" s="2" t="s">
        <v>260</v>
      </c>
      <c r="Q8" s="2" t="str">
        <f t="shared" ref="Q8:Q71" si="4">MID(C8,FIND(" ",C8)+1,256)</f>
        <v>Anthony</v>
      </c>
      <c r="R8" s="2" t="str">
        <f t="shared" ref="R8:R71" si="5">LEFT(C8,(FIND(" ",C8,1)-1))</f>
        <v>Davis</v>
      </c>
      <c r="S8" s="2" t="str">
        <f t="shared" si="2"/>
        <v>Anthony Davis</v>
      </c>
      <c r="T8" s="2">
        <f t="shared" si="3"/>
        <v>50.6</v>
      </c>
    </row>
    <row r="9" spans="1:21" x14ac:dyDescent="0.25">
      <c r="A9" s="2">
        <v>5</v>
      </c>
      <c r="B9" s="2" t="s">
        <v>6</v>
      </c>
      <c r="C9" s="2" t="s">
        <v>317</v>
      </c>
      <c r="D9" s="2" t="s">
        <v>251</v>
      </c>
      <c r="E9" s="2" t="s">
        <v>252</v>
      </c>
      <c r="F9" s="2" t="s">
        <v>253</v>
      </c>
      <c r="G9" s="2" t="s">
        <v>261</v>
      </c>
      <c r="H9" s="35">
        <v>11100</v>
      </c>
      <c r="I9" s="2">
        <v>0</v>
      </c>
      <c r="J9" s="2">
        <v>163.4</v>
      </c>
      <c r="K9" s="2">
        <v>3</v>
      </c>
      <c r="L9" s="2">
        <v>54.5</v>
      </c>
      <c r="M9" s="2">
        <v>4.9000000000000004</v>
      </c>
      <c r="N9" s="2">
        <v>50.3</v>
      </c>
      <c r="O9" s="2">
        <v>66.400000000000006</v>
      </c>
      <c r="P9" s="2" t="s">
        <v>262</v>
      </c>
      <c r="Q9" s="2" t="str">
        <f t="shared" si="4"/>
        <v>DeMarcus</v>
      </c>
      <c r="R9" s="2" t="str">
        <f t="shared" si="5"/>
        <v>Cousins</v>
      </c>
      <c r="S9" s="2" t="str">
        <f t="shared" si="2"/>
        <v>DeMarcus Cousins</v>
      </c>
      <c r="T9" s="2">
        <f t="shared" si="3"/>
        <v>50.3</v>
      </c>
    </row>
    <row r="10" spans="1:21" x14ac:dyDescent="0.25">
      <c r="A10" s="2">
        <v>6</v>
      </c>
      <c r="B10" s="2" t="s">
        <v>4</v>
      </c>
      <c r="C10" s="2" t="s">
        <v>318</v>
      </c>
      <c r="D10" s="2" t="s">
        <v>251</v>
      </c>
      <c r="E10" s="2" t="s">
        <v>252</v>
      </c>
      <c r="F10" s="2" t="s">
        <v>253</v>
      </c>
      <c r="G10" s="2" t="s">
        <v>92</v>
      </c>
      <c r="H10" s="35">
        <v>9800</v>
      </c>
      <c r="I10" s="2">
        <v>0</v>
      </c>
      <c r="J10" s="2">
        <v>151.5</v>
      </c>
      <c r="K10" s="2">
        <v>3</v>
      </c>
      <c r="L10" s="2">
        <v>50.5</v>
      </c>
      <c r="M10" s="2">
        <v>5.2</v>
      </c>
      <c r="N10" s="2">
        <v>48.8</v>
      </c>
      <c r="O10" s="2">
        <v>51</v>
      </c>
      <c r="P10" s="2" t="s">
        <v>263</v>
      </c>
      <c r="Q10" s="2" t="str">
        <f t="shared" si="4"/>
        <v>Blake</v>
      </c>
      <c r="R10" s="2" t="str">
        <f t="shared" si="5"/>
        <v>Griffin</v>
      </c>
      <c r="S10" s="2" t="str">
        <f t="shared" si="2"/>
        <v>Blake Griffin</v>
      </c>
      <c r="T10" s="2">
        <f t="shared" si="3"/>
        <v>48.8</v>
      </c>
    </row>
    <row r="11" spans="1:21" x14ac:dyDescent="0.25">
      <c r="A11" s="2">
        <v>7</v>
      </c>
      <c r="B11" s="2" t="s">
        <v>3</v>
      </c>
      <c r="C11" s="2" t="s">
        <v>319</v>
      </c>
      <c r="D11" s="2" t="s">
        <v>251</v>
      </c>
      <c r="E11" s="2" t="s">
        <v>252</v>
      </c>
      <c r="F11" s="2" t="s">
        <v>253</v>
      </c>
      <c r="G11" s="2" t="s">
        <v>264</v>
      </c>
      <c r="H11" s="35">
        <v>10400</v>
      </c>
      <c r="I11" s="2">
        <v>-100</v>
      </c>
      <c r="J11" s="2">
        <v>141.80000000000001</v>
      </c>
      <c r="K11" s="2">
        <v>3</v>
      </c>
      <c r="L11" s="2">
        <v>47.3</v>
      </c>
      <c r="M11" s="2">
        <v>4.5</v>
      </c>
      <c r="N11" s="2">
        <v>47.6</v>
      </c>
      <c r="O11" s="2">
        <v>43</v>
      </c>
      <c r="P11" s="2" t="s">
        <v>265</v>
      </c>
      <c r="Q11" s="2" t="str">
        <f t="shared" si="4"/>
        <v>John</v>
      </c>
      <c r="R11" s="2" t="str">
        <f t="shared" si="5"/>
        <v>Wall</v>
      </c>
      <c r="S11" s="2" t="str">
        <f t="shared" si="2"/>
        <v>John Wall</v>
      </c>
      <c r="T11" s="2">
        <f t="shared" si="3"/>
        <v>47.6</v>
      </c>
    </row>
    <row r="12" spans="1:21" x14ac:dyDescent="0.25">
      <c r="A12" s="2">
        <v>8</v>
      </c>
      <c r="B12" s="2" t="s">
        <v>5</v>
      </c>
      <c r="C12" s="2" t="s">
        <v>320</v>
      </c>
      <c r="D12" s="2" t="s">
        <v>251</v>
      </c>
      <c r="E12" s="2" t="s">
        <v>252</v>
      </c>
      <c r="F12" s="2" t="s">
        <v>253</v>
      </c>
      <c r="G12" s="2" t="s">
        <v>266</v>
      </c>
      <c r="H12" s="35">
        <v>9900</v>
      </c>
      <c r="I12" s="2">
        <v>0</v>
      </c>
      <c r="J12" s="2">
        <v>197.9</v>
      </c>
      <c r="K12" s="2">
        <v>4</v>
      </c>
      <c r="L12" s="2">
        <v>49.5</v>
      </c>
      <c r="M12" s="2">
        <v>5</v>
      </c>
      <c r="N12" s="2">
        <v>47.2</v>
      </c>
      <c r="O12" s="2">
        <v>49.7</v>
      </c>
      <c r="P12" s="2" t="s">
        <v>267</v>
      </c>
      <c r="Q12" s="2" t="str">
        <f t="shared" si="4"/>
        <v>Kawhi</v>
      </c>
      <c r="R12" s="2" t="str">
        <f t="shared" si="5"/>
        <v>Leonard</v>
      </c>
      <c r="S12" s="2" t="str">
        <f t="shared" si="2"/>
        <v>Kawhi Leonard</v>
      </c>
      <c r="T12" s="2">
        <f t="shared" si="3"/>
        <v>47.2</v>
      </c>
    </row>
    <row r="13" spans="1:21" x14ac:dyDescent="0.25">
      <c r="A13" s="2">
        <v>9</v>
      </c>
      <c r="B13" s="2" t="s">
        <v>6</v>
      </c>
      <c r="C13" s="2" t="s">
        <v>321</v>
      </c>
      <c r="D13" s="2" t="s">
        <v>251</v>
      </c>
      <c r="E13" s="2" t="s">
        <v>252</v>
      </c>
      <c r="F13" s="2" t="s">
        <v>253</v>
      </c>
      <c r="G13" s="2" t="s">
        <v>268</v>
      </c>
      <c r="H13" s="35">
        <v>10400</v>
      </c>
      <c r="I13" s="2">
        <v>0</v>
      </c>
      <c r="J13" s="2">
        <v>174.4</v>
      </c>
      <c r="K13" s="2">
        <v>4</v>
      </c>
      <c r="L13" s="2">
        <v>43.6</v>
      </c>
      <c r="M13" s="2">
        <v>4.2</v>
      </c>
      <c r="N13" s="2">
        <v>45.8</v>
      </c>
      <c r="O13" s="2">
        <v>41.6</v>
      </c>
      <c r="P13" s="2" t="s">
        <v>269</v>
      </c>
      <c r="Q13" s="2" t="str">
        <f t="shared" si="4"/>
        <v>Karl-Anthony</v>
      </c>
      <c r="R13" s="2" t="str">
        <f t="shared" si="5"/>
        <v>Towns</v>
      </c>
      <c r="S13" s="2" t="str">
        <f t="shared" si="2"/>
        <v>Karl-Anthony Towns</v>
      </c>
      <c r="T13" s="2">
        <f t="shared" si="3"/>
        <v>45.8</v>
      </c>
    </row>
    <row r="14" spans="1:21" x14ac:dyDescent="0.25">
      <c r="A14" s="2">
        <v>10</v>
      </c>
      <c r="B14" s="2" t="s">
        <v>4</v>
      </c>
      <c r="C14" s="2" t="s">
        <v>322</v>
      </c>
      <c r="D14" s="2" t="s">
        <v>251</v>
      </c>
      <c r="E14" s="2" t="s">
        <v>252</v>
      </c>
      <c r="F14" s="2" t="s">
        <v>253</v>
      </c>
      <c r="G14" s="2" t="s">
        <v>270</v>
      </c>
      <c r="H14" s="35">
        <v>11000</v>
      </c>
      <c r="I14" s="2">
        <v>0</v>
      </c>
      <c r="J14" s="2">
        <v>207.6</v>
      </c>
      <c r="K14" s="2">
        <v>4</v>
      </c>
      <c r="L14" s="2">
        <v>51.9</v>
      </c>
      <c r="M14" s="2">
        <v>4.7</v>
      </c>
      <c r="N14" s="2">
        <v>43</v>
      </c>
      <c r="O14" s="2">
        <v>59.2</v>
      </c>
      <c r="P14" s="2" t="s">
        <v>271</v>
      </c>
      <c r="Q14" s="2" t="str">
        <f t="shared" si="4"/>
        <v>Nikola</v>
      </c>
      <c r="R14" s="2" t="str">
        <f t="shared" si="5"/>
        <v>Jokic</v>
      </c>
      <c r="S14" s="2" t="str">
        <f t="shared" si="2"/>
        <v>Nikola Jokic</v>
      </c>
      <c r="T14" s="2">
        <f t="shared" si="3"/>
        <v>43</v>
      </c>
    </row>
    <row r="15" spans="1:21" x14ac:dyDescent="0.25">
      <c r="A15" s="2">
        <v>11</v>
      </c>
      <c r="B15" s="2" t="s">
        <v>5</v>
      </c>
      <c r="C15" s="2" t="s">
        <v>323</v>
      </c>
      <c r="D15" s="2" t="s">
        <v>251</v>
      </c>
      <c r="E15" s="2" t="s">
        <v>252</v>
      </c>
      <c r="F15" s="2" t="s">
        <v>253</v>
      </c>
      <c r="G15" s="2" t="s">
        <v>272</v>
      </c>
      <c r="H15" s="35">
        <v>10100</v>
      </c>
      <c r="I15" s="2">
        <v>0</v>
      </c>
      <c r="J15" s="2">
        <v>173.1</v>
      </c>
      <c r="K15" s="2">
        <v>4</v>
      </c>
      <c r="L15" s="2">
        <v>43.3</v>
      </c>
      <c r="M15" s="2">
        <v>4.3</v>
      </c>
      <c r="N15" s="2">
        <v>42.7</v>
      </c>
      <c r="O15" s="2">
        <v>38.299999999999997</v>
      </c>
      <c r="P15" s="2" t="s">
        <v>273</v>
      </c>
      <c r="Q15" s="2" t="str">
        <f t="shared" si="4"/>
        <v>Kevin</v>
      </c>
      <c r="R15" s="2" t="str">
        <f t="shared" si="5"/>
        <v>Durant</v>
      </c>
      <c r="S15" s="2" t="str">
        <f t="shared" si="2"/>
        <v>Kevin Durant</v>
      </c>
      <c r="T15" s="2">
        <f t="shared" si="3"/>
        <v>42.7</v>
      </c>
    </row>
    <row r="16" spans="1:21" x14ac:dyDescent="0.25">
      <c r="A16" s="2">
        <v>12</v>
      </c>
      <c r="B16" s="2" t="s">
        <v>3</v>
      </c>
      <c r="C16" s="2" t="s">
        <v>324</v>
      </c>
      <c r="D16" s="2" t="s">
        <v>251</v>
      </c>
      <c r="E16" s="2" t="s">
        <v>252</v>
      </c>
      <c r="F16" s="2" t="s">
        <v>253</v>
      </c>
      <c r="G16" s="2" t="s">
        <v>274</v>
      </c>
      <c r="H16" s="35">
        <v>10000</v>
      </c>
      <c r="I16" s="2">
        <v>0</v>
      </c>
      <c r="J16" s="2">
        <v>156.6</v>
      </c>
      <c r="K16" s="2">
        <v>4</v>
      </c>
      <c r="L16" s="2">
        <v>39.1</v>
      </c>
      <c r="M16" s="2">
        <v>3.9</v>
      </c>
      <c r="N16" s="2">
        <v>42.4</v>
      </c>
      <c r="O16" s="2">
        <v>41.2</v>
      </c>
      <c r="P16" s="2" t="s">
        <v>275</v>
      </c>
      <c r="Q16" s="2" t="str">
        <f t="shared" si="4"/>
        <v>Isaiah</v>
      </c>
      <c r="R16" s="2" t="str">
        <f t="shared" si="5"/>
        <v>Thomas</v>
      </c>
      <c r="S16" s="2" t="str">
        <f t="shared" si="2"/>
        <v>Isaiah Thomas</v>
      </c>
      <c r="T16" s="2">
        <f t="shared" si="3"/>
        <v>42.4</v>
      </c>
    </row>
    <row r="17" spans="1:20" x14ac:dyDescent="0.25">
      <c r="A17" s="2">
        <v>13</v>
      </c>
      <c r="B17" s="2" t="s">
        <v>3</v>
      </c>
      <c r="C17" s="2" t="s">
        <v>325</v>
      </c>
      <c r="D17" s="2" t="s">
        <v>251</v>
      </c>
      <c r="E17" s="2" t="s">
        <v>252</v>
      </c>
      <c r="F17" s="2" t="s">
        <v>253</v>
      </c>
      <c r="G17" s="2" t="s">
        <v>272</v>
      </c>
      <c r="H17" s="35">
        <v>9200</v>
      </c>
      <c r="I17" s="2">
        <v>0</v>
      </c>
      <c r="J17" s="2">
        <v>125.5</v>
      </c>
      <c r="K17" s="2">
        <v>4</v>
      </c>
      <c r="L17" s="2">
        <v>31.4</v>
      </c>
      <c r="M17" s="2">
        <v>3.4</v>
      </c>
      <c r="N17" s="2">
        <v>42.1</v>
      </c>
      <c r="O17" s="2">
        <v>21.9</v>
      </c>
      <c r="P17" s="2" t="s">
        <v>273</v>
      </c>
      <c r="Q17" s="2" t="str">
        <f t="shared" si="4"/>
        <v>Stephen</v>
      </c>
      <c r="R17" s="2" t="str">
        <f t="shared" si="5"/>
        <v>Curry</v>
      </c>
      <c r="S17" s="2" t="str">
        <f t="shared" si="2"/>
        <v>Stephen Curry</v>
      </c>
      <c r="T17" s="2">
        <f t="shared" si="3"/>
        <v>42.1</v>
      </c>
    </row>
    <row r="18" spans="1:20" x14ac:dyDescent="0.25">
      <c r="A18" s="2">
        <v>14</v>
      </c>
      <c r="B18" s="2" t="s">
        <v>7</v>
      </c>
      <c r="C18" s="2" t="s">
        <v>326</v>
      </c>
      <c r="D18" s="2" t="s">
        <v>251</v>
      </c>
      <c r="E18" s="2" t="s">
        <v>252</v>
      </c>
      <c r="F18" s="2" t="s">
        <v>253</v>
      </c>
      <c r="G18" s="2" t="s">
        <v>276</v>
      </c>
      <c r="H18" s="35">
        <v>10800</v>
      </c>
      <c r="I18" s="2">
        <v>0</v>
      </c>
      <c r="J18" s="2">
        <v>173.1</v>
      </c>
      <c r="K18" s="2">
        <v>4</v>
      </c>
      <c r="L18" s="2">
        <v>43.3</v>
      </c>
      <c r="M18" s="2">
        <v>4</v>
      </c>
      <c r="N18" s="2">
        <v>42.1</v>
      </c>
      <c r="O18" s="2">
        <v>24.8</v>
      </c>
      <c r="P18" s="2" t="s">
        <v>277</v>
      </c>
      <c r="Q18" s="2" t="str">
        <f t="shared" si="4"/>
        <v>Giannis</v>
      </c>
      <c r="R18" s="2" t="str">
        <f t="shared" si="5"/>
        <v>Antetokounmpo</v>
      </c>
      <c r="S18" s="2" t="str">
        <f t="shared" si="2"/>
        <v>Giannis Antetokounmpo</v>
      </c>
      <c r="T18" s="2">
        <f t="shared" si="3"/>
        <v>42.1</v>
      </c>
    </row>
    <row r="19" spans="1:20" x14ac:dyDescent="0.25">
      <c r="A19" s="2">
        <v>15</v>
      </c>
      <c r="B19" s="2" t="s">
        <v>5</v>
      </c>
      <c r="C19" s="2" t="s">
        <v>327</v>
      </c>
      <c r="D19" s="2" t="s">
        <v>251</v>
      </c>
      <c r="E19" s="2" t="s">
        <v>252</v>
      </c>
      <c r="F19" s="2" t="s">
        <v>253</v>
      </c>
      <c r="G19" s="2" t="s">
        <v>278</v>
      </c>
      <c r="H19" s="35">
        <v>9700</v>
      </c>
      <c r="I19" s="2">
        <v>400</v>
      </c>
      <c r="J19" s="2">
        <v>78</v>
      </c>
      <c r="K19" s="2">
        <v>2</v>
      </c>
      <c r="L19" s="2">
        <v>39</v>
      </c>
      <c r="M19" s="2">
        <v>4</v>
      </c>
      <c r="N19" s="2">
        <v>41.1</v>
      </c>
      <c r="O19" s="2">
        <v>43.4</v>
      </c>
      <c r="P19" s="2" t="s">
        <v>279</v>
      </c>
      <c r="Q19" s="2" t="str">
        <f t="shared" si="4"/>
        <v>Jimmy</v>
      </c>
      <c r="R19" s="2" t="str">
        <f t="shared" si="5"/>
        <v>Butler</v>
      </c>
      <c r="S19" s="2" t="str">
        <f t="shared" si="2"/>
        <v>Jimmy Butler</v>
      </c>
      <c r="T19" s="2">
        <f t="shared" si="3"/>
        <v>41.1</v>
      </c>
    </row>
    <row r="20" spans="1:20" x14ac:dyDescent="0.25">
      <c r="A20" s="2">
        <v>16</v>
      </c>
      <c r="B20" s="2" t="s">
        <v>6</v>
      </c>
      <c r="C20" s="2" t="s">
        <v>328</v>
      </c>
      <c r="D20" s="2" t="s">
        <v>251</v>
      </c>
      <c r="E20" s="2" t="s">
        <v>252</v>
      </c>
      <c r="F20" s="2" t="s">
        <v>253</v>
      </c>
      <c r="G20" s="2" t="s">
        <v>280</v>
      </c>
      <c r="H20" s="35">
        <v>8800</v>
      </c>
      <c r="I20" s="2">
        <v>0</v>
      </c>
      <c r="J20" s="2">
        <v>146.1</v>
      </c>
      <c r="K20" s="2">
        <v>4</v>
      </c>
      <c r="L20" s="2">
        <v>36.5</v>
      </c>
      <c r="M20" s="2">
        <v>4.2</v>
      </c>
      <c r="N20" s="2">
        <v>40.9</v>
      </c>
      <c r="O20" s="2">
        <v>41.3</v>
      </c>
      <c r="P20" s="2" t="s">
        <v>281</v>
      </c>
      <c r="Q20" s="2" t="str">
        <f t="shared" si="4"/>
        <v>Hassan</v>
      </c>
      <c r="R20" s="2" t="str">
        <f t="shared" si="5"/>
        <v>Whiteside</v>
      </c>
      <c r="S20" s="2" t="str">
        <f t="shared" si="2"/>
        <v>Hassan Whiteside</v>
      </c>
      <c r="T20" s="2">
        <f t="shared" si="3"/>
        <v>40.9</v>
      </c>
    </row>
    <row r="21" spans="1:20" x14ac:dyDescent="0.25">
      <c r="A21" s="2">
        <v>17</v>
      </c>
      <c r="B21" s="2" t="s">
        <v>3</v>
      </c>
      <c r="C21" s="2" t="s">
        <v>329</v>
      </c>
      <c r="D21" s="2" t="s">
        <v>251</v>
      </c>
      <c r="E21" s="2" t="s">
        <v>252</v>
      </c>
      <c r="F21" s="2" t="s">
        <v>253</v>
      </c>
      <c r="G21" s="2" t="s">
        <v>259</v>
      </c>
      <c r="H21" s="35">
        <v>8100</v>
      </c>
      <c r="I21" s="2">
        <v>0</v>
      </c>
      <c r="J21" s="2">
        <v>152.69999999999999</v>
      </c>
      <c r="K21" s="2">
        <v>4</v>
      </c>
      <c r="L21" s="2">
        <v>38.200000000000003</v>
      </c>
      <c r="M21" s="2">
        <v>4.7</v>
      </c>
      <c r="N21" s="2">
        <v>40.6</v>
      </c>
      <c r="O21" s="2">
        <v>32.6</v>
      </c>
      <c r="P21" s="2" t="s">
        <v>260</v>
      </c>
      <c r="Q21" s="2" t="str">
        <f t="shared" si="4"/>
        <v>Jrue</v>
      </c>
      <c r="R21" s="2" t="str">
        <f t="shared" si="5"/>
        <v>Holiday</v>
      </c>
      <c r="S21" s="2" t="str">
        <f t="shared" si="2"/>
        <v>Jrue Holiday</v>
      </c>
      <c r="T21" s="2">
        <f t="shared" si="3"/>
        <v>40.6</v>
      </c>
    </row>
    <row r="22" spans="1:20" x14ac:dyDescent="0.25">
      <c r="A22" s="2">
        <v>18</v>
      </c>
      <c r="B22" s="2" t="s">
        <v>3</v>
      </c>
      <c r="C22" s="2" t="s">
        <v>330</v>
      </c>
      <c r="D22" s="2" t="s">
        <v>251</v>
      </c>
      <c r="E22" s="2" t="s">
        <v>252</v>
      </c>
      <c r="F22" s="2" t="s">
        <v>253</v>
      </c>
      <c r="G22" s="2" t="s">
        <v>282</v>
      </c>
      <c r="H22" s="35">
        <v>8200</v>
      </c>
      <c r="I22" s="2">
        <v>0</v>
      </c>
      <c r="J22" s="2">
        <v>76.900000000000006</v>
      </c>
      <c r="K22" s="2">
        <v>2</v>
      </c>
      <c r="L22" s="2">
        <v>38.5</v>
      </c>
      <c r="M22" s="2">
        <v>4.7</v>
      </c>
      <c r="N22" s="2">
        <v>40.200000000000003</v>
      </c>
      <c r="O22" s="2">
        <v>33.200000000000003</v>
      </c>
      <c r="P22" s="2" t="s">
        <v>283</v>
      </c>
      <c r="Q22" s="2" t="str">
        <f t="shared" si="4"/>
        <v>Damian</v>
      </c>
      <c r="R22" s="2" t="str">
        <f t="shared" si="5"/>
        <v>Lillard</v>
      </c>
      <c r="S22" s="2" t="str">
        <f t="shared" si="2"/>
        <v>Damian Lillard</v>
      </c>
      <c r="T22" s="2">
        <f t="shared" si="3"/>
        <v>40.200000000000003</v>
      </c>
    </row>
    <row r="23" spans="1:20" x14ac:dyDescent="0.25">
      <c r="A23" s="2">
        <v>19</v>
      </c>
      <c r="B23" s="2" t="s">
        <v>4</v>
      </c>
      <c r="C23" s="2" t="s">
        <v>331</v>
      </c>
      <c r="D23" s="2" t="s">
        <v>251</v>
      </c>
      <c r="E23" s="2" t="s">
        <v>252</v>
      </c>
      <c r="F23" s="2" t="s">
        <v>253</v>
      </c>
      <c r="G23" s="2" t="s">
        <v>257</v>
      </c>
      <c r="H23" s="35">
        <v>8100</v>
      </c>
      <c r="I23" s="2">
        <v>0</v>
      </c>
      <c r="J23" s="2">
        <v>99.7</v>
      </c>
      <c r="K23" s="2">
        <v>3</v>
      </c>
      <c r="L23" s="2">
        <v>33.200000000000003</v>
      </c>
      <c r="M23" s="2">
        <v>4.0999999999999996</v>
      </c>
      <c r="N23" s="2">
        <v>40.1</v>
      </c>
      <c r="O23" s="2" t="s">
        <v>284</v>
      </c>
      <c r="P23" s="2" t="s">
        <v>258</v>
      </c>
      <c r="Q23" s="2" t="str">
        <f t="shared" si="4"/>
        <v>Kevin</v>
      </c>
      <c r="R23" s="2" t="str">
        <f t="shared" si="5"/>
        <v>Love</v>
      </c>
      <c r="S23" s="2" t="str">
        <f t="shared" si="2"/>
        <v>Kevin Love</v>
      </c>
      <c r="T23" s="2">
        <f t="shared" si="3"/>
        <v>40.1</v>
      </c>
    </row>
    <row r="24" spans="1:20" x14ac:dyDescent="0.25">
      <c r="A24" s="2">
        <v>20</v>
      </c>
      <c r="B24" s="2" t="s">
        <v>7</v>
      </c>
      <c r="C24" s="2" t="s">
        <v>332</v>
      </c>
      <c r="D24" s="2" t="s">
        <v>251</v>
      </c>
      <c r="E24" s="2" t="s">
        <v>252</v>
      </c>
      <c r="F24" s="2" t="s">
        <v>253</v>
      </c>
      <c r="G24" s="2" t="s">
        <v>278</v>
      </c>
      <c r="H24" s="35">
        <v>7900</v>
      </c>
      <c r="I24" s="2">
        <v>0</v>
      </c>
      <c r="J24" s="2">
        <v>32.700000000000003</v>
      </c>
      <c r="K24" s="2">
        <v>1</v>
      </c>
      <c r="L24" s="2">
        <v>32.700000000000003</v>
      </c>
      <c r="M24" s="2">
        <v>4.0999999999999996</v>
      </c>
      <c r="N24" s="2">
        <v>39.299999999999997</v>
      </c>
      <c r="O24" s="2" t="s">
        <v>284</v>
      </c>
      <c r="P24" s="2" t="s">
        <v>279</v>
      </c>
      <c r="Q24" s="2" t="str">
        <f t="shared" si="4"/>
        <v>Dwyane</v>
      </c>
      <c r="R24" s="2" t="str">
        <f t="shared" si="5"/>
        <v>Wade</v>
      </c>
      <c r="S24" s="2" t="str">
        <f t="shared" si="2"/>
        <v>Dwyane Wade</v>
      </c>
      <c r="T24" s="2">
        <f t="shared" si="3"/>
        <v>39.299999999999997</v>
      </c>
    </row>
    <row r="25" spans="1:20" x14ac:dyDescent="0.25">
      <c r="A25" s="2">
        <v>21</v>
      </c>
      <c r="B25" s="2" t="s">
        <v>4</v>
      </c>
      <c r="C25" s="2" t="s">
        <v>333</v>
      </c>
      <c r="D25" s="2" t="s">
        <v>251</v>
      </c>
      <c r="E25" s="2" t="s">
        <v>252</v>
      </c>
      <c r="F25" s="2" t="s">
        <v>253</v>
      </c>
      <c r="G25" s="2" t="s">
        <v>272</v>
      </c>
      <c r="H25" s="35">
        <v>8100</v>
      </c>
      <c r="I25" s="2">
        <v>0</v>
      </c>
      <c r="J25" s="2">
        <v>162</v>
      </c>
      <c r="K25" s="2">
        <v>4</v>
      </c>
      <c r="L25" s="2">
        <v>40.5</v>
      </c>
      <c r="M25" s="2">
        <v>5</v>
      </c>
      <c r="N25" s="2">
        <v>39.200000000000003</v>
      </c>
      <c r="O25" s="2">
        <v>26.4</v>
      </c>
      <c r="P25" s="2" t="s">
        <v>273</v>
      </c>
      <c r="Q25" s="2" t="str">
        <f t="shared" si="4"/>
        <v>Draymond</v>
      </c>
      <c r="R25" s="2" t="str">
        <f t="shared" si="5"/>
        <v>Green</v>
      </c>
      <c r="S25" s="2" t="str">
        <f t="shared" si="2"/>
        <v>Draymond Green</v>
      </c>
      <c r="T25" s="2">
        <f t="shared" si="3"/>
        <v>39.200000000000003</v>
      </c>
    </row>
    <row r="26" spans="1:20" x14ac:dyDescent="0.25">
      <c r="A26" s="2">
        <v>22</v>
      </c>
      <c r="B26" s="2" t="s">
        <v>5</v>
      </c>
      <c r="C26" s="2" t="s">
        <v>334</v>
      </c>
      <c r="D26" s="2" t="s">
        <v>251</v>
      </c>
      <c r="E26" s="2" t="s">
        <v>252</v>
      </c>
      <c r="F26" s="2" t="s">
        <v>253</v>
      </c>
      <c r="G26" s="2" t="s">
        <v>285</v>
      </c>
      <c r="H26" s="35">
        <v>7700</v>
      </c>
      <c r="I26" s="2">
        <v>0</v>
      </c>
      <c r="J26" s="2">
        <v>129.19999999999999</v>
      </c>
      <c r="K26" s="2">
        <v>4</v>
      </c>
      <c r="L26" s="2">
        <v>32.299999999999997</v>
      </c>
      <c r="M26" s="2">
        <v>4.2</v>
      </c>
      <c r="N26" s="2">
        <v>38</v>
      </c>
      <c r="O26" s="2">
        <v>13</v>
      </c>
      <c r="P26" s="2" t="s">
        <v>286</v>
      </c>
      <c r="Q26" s="2" t="str">
        <f t="shared" si="4"/>
        <v>Gordon</v>
      </c>
      <c r="R26" s="2" t="str">
        <f t="shared" si="5"/>
        <v>Hayward</v>
      </c>
      <c r="S26" s="2" t="str">
        <f t="shared" si="2"/>
        <v>Gordon Hayward</v>
      </c>
      <c r="T26" s="2">
        <f t="shared" si="3"/>
        <v>38</v>
      </c>
    </row>
    <row r="27" spans="1:20" x14ac:dyDescent="0.25">
      <c r="A27" s="2">
        <v>23</v>
      </c>
      <c r="B27" s="2" t="s">
        <v>5</v>
      </c>
      <c r="C27" s="2" t="s">
        <v>335</v>
      </c>
      <c r="D27" s="2" t="s">
        <v>251</v>
      </c>
      <c r="E27" s="2" t="s">
        <v>252</v>
      </c>
      <c r="F27" s="2" t="s">
        <v>253</v>
      </c>
      <c r="G27" s="2" t="s">
        <v>268</v>
      </c>
      <c r="H27" s="35">
        <v>7900</v>
      </c>
      <c r="I27" s="2">
        <v>0</v>
      </c>
      <c r="J27" s="2">
        <v>183.6</v>
      </c>
      <c r="K27" s="2">
        <v>4</v>
      </c>
      <c r="L27" s="2">
        <v>45.9</v>
      </c>
      <c r="M27" s="2">
        <v>5.8</v>
      </c>
      <c r="N27" s="2">
        <v>37.9</v>
      </c>
      <c r="O27" s="2">
        <v>49.6</v>
      </c>
      <c r="P27" s="2" t="s">
        <v>269</v>
      </c>
      <c r="Q27" s="2" t="str">
        <f t="shared" si="4"/>
        <v>Andrew</v>
      </c>
      <c r="R27" s="2" t="str">
        <f t="shared" si="5"/>
        <v>Wiggins</v>
      </c>
      <c r="S27" s="2" t="str">
        <f t="shared" si="2"/>
        <v>Andrew Wiggins</v>
      </c>
      <c r="T27" s="2">
        <f t="shared" si="3"/>
        <v>37.9</v>
      </c>
    </row>
    <row r="28" spans="1:20" x14ac:dyDescent="0.25">
      <c r="A28" s="2">
        <v>24</v>
      </c>
      <c r="B28" s="2" t="s">
        <v>6</v>
      </c>
      <c r="C28" s="2" t="s">
        <v>336</v>
      </c>
      <c r="D28" s="2" t="s">
        <v>251</v>
      </c>
      <c r="E28" s="2" t="s">
        <v>252</v>
      </c>
      <c r="F28" s="2" t="s">
        <v>253</v>
      </c>
      <c r="G28" s="2" t="s">
        <v>287</v>
      </c>
      <c r="H28" s="35">
        <v>8600</v>
      </c>
      <c r="I28" s="2">
        <v>0</v>
      </c>
      <c r="J28" s="2">
        <v>165.4</v>
      </c>
      <c r="K28" s="2">
        <v>4</v>
      </c>
      <c r="L28" s="2">
        <v>41.4</v>
      </c>
      <c r="M28" s="2">
        <v>4.8</v>
      </c>
      <c r="N28" s="2">
        <v>37.799999999999997</v>
      </c>
      <c r="O28" s="2">
        <v>37.4</v>
      </c>
      <c r="P28" s="2" t="s">
        <v>288</v>
      </c>
      <c r="Q28" s="2" t="str">
        <f t="shared" si="4"/>
        <v>Andre</v>
      </c>
      <c r="R28" s="2" t="str">
        <f t="shared" si="5"/>
        <v>Drummond</v>
      </c>
      <c r="S28" s="2" t="str">
        <f t="shared" si="2"/>
        <v>Andre Drummond</v>
      </c>
      <c r="T28" s="2">
        <f t="shared" si="3"/>
        <v>37.799999999999997</v>
      </c>
    </row>
    <row r="29" spans="1:20" x14ac:dyDescent="0.25">
      <c r="A29" s="2">
        <v>25</v>
      </c>
      <c r="B29" s="2" t="s">
        <v>3</v>
      </c>
      <c r="C29" s="2" t="s">
        <v>337</v>
      </c>
      <c r="D29" s="2" t="s">
        <v>251</v>
      </c>
      <c r="E29" s="2" t="s">
        <v>252</v>
      </c>
      <c r="F29" s="2" t="s">
        <v>253</v>
      </c>
      <c r="G29" s="2" t="s">
        <v>257</v>
      </c>
      <c r="H29" s="35">
        <v>8400</v>
      </c>
      <c r="I29" s="2">
        <v>0</v>
      </c>
      <c r="J29" s="2">
        <v>156.69999999999999</v>
      </c>
      <c r="K29" s="2">
        <v>4</v>
      </c>
      <c r="L29" s="2">
        <v>39.200000000000003</v>
      </c>
      <c r="M29" s="2">
        <v>4.7</v>
      </c>
      <c r="N29" s="2">
        <v>37.6</v>
      </c>
      <c r="O29" s="2">
        <v>40.700000000000003</v>
      </c>
      <c r="P29" s="2" t="s">
        <v>258</v>
      </c>
      <c r="Q29" s="2" t="str">
        <f t="shared" si="4"/>
        <v>Kyrie</v>
      </c>
      <c r="R29" s="2" t="str">
        <f t="shared" si="5"/>
        <v>Irving</v>
      </c>
      <c r="S29" s="2" t="str">
        <f t="shared" si="2"/>
        <v>Kyrie Irving</v>
      </c>
      <c r="T29" s="2">
        <f t="shared" si="3"/>
        <v>37.6</v>
      </c>
    </row>
    <row r="30" spans="1:2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 t="e">
        <f t="shared" si="4"/>
        <v>#VALUE!</v>
      </c>
      <c r="R30" s="2" t="e">
        <f t="shared" si="5"/>
        <v>#VALUE!</v>
      </c>
      <c r="S30" s="2" t="e">
        <f t="shared" si="2"/>
        <v>#VALUE!</v>
      </c>
      <c r="T30" s="2">
        <f t="shared" si="3"/>
        <v>0</v>
      </c>
    </row>
    <row r="31" spans="1:2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 t="e">
        <f t="shared" si="4"/>
        <v>#VALUE!</v>
      </c>
      <c r="R31" s="2" t="e">
        <f t="shared" si="5"/>
        <v>#VALUE!</v>
      </c>
      <c r="S31" s="2" t="e">
        <f t="shared" si="2"/>
        <v>#VALUE!</v>
      </c>
      <c r="T31" s="2">
        <f t="shared" si="3"/>
        <v>0</v>
      </c>
    </row>
    <row r="32" spans="1:2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 t="e">
        <f t="shared" si="4"/>
        <v>#VALUE!</v>
      </c>
      <c r="R32" s="2" t="e">
        <f t="shared" si="5"/>
        <v>#VALUE!</v>
      </c>
      <c r="S32" s="2" t="e">
        <f t="shared" si="2"/>
        <v>#VALUE!</v>
      </c>
      <c r="T32" s="2">
        <f t="shared" si="3"/>
        <v>0</v>
      </c>
    </row>
    <row r="33" spans="1:2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 t="e">
        <f t="shared" si="4"/>
        <v>#VALUE!</v>
      </c>
      <c r="R33" s="2" t="e">
        <f t="shared" si="5"/>
        <v>#VALUE!</v>
      </c>
      <c r="S33" s="2" t="e">
        <f t="shared" si="2"/>
        <v>#VALUE!</v>
      </c>
      <c r="T33" s="2">
        <f t="shared" si="3"/>
        <v>0</v>
      </c>
    </row>
    <row r="34" spans="1:2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 t="e">
        <f t="shared" si="4"/>
        <v>#VALUE!</v>
      </c>
      <c r="R34" s="2" t="e">
        <f t="shared" si="5"/>
        <v>#VALUE!</v>
      </c>
      <c r="S34" s="2" t="e">
        <f t="shared" si="2"/>
        <v>#VALUE!</v>
      </c>
      <c r="T34" s="2">
        <f t="shared" si="3"/>
        <v>0</v>
      </c>
    </row>
    <row r="35" spans="1:2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 t="e">
        <f t="shared" si="4"/>
        <v>#VALUE!</v>
      </c>
      <c r="R35" s="2" t="e">
        <f t="shared" si="5"/>
        <v>#VALUE!</v>
      </c>
      <c r="S35" s="2" t="e">
        <f t="shared" si="2"/>
        <v>#VALUE!</v>
      </c>
      <c r="T35" s="2">
        <f t="shared" si="3"/>
        <v>0</v>
      </c>
    </row>
    <row r="36" spans="1:20" x14ac:dyDescent="0.25">
      <c r="A36" s="2"/>
      <c r="B36" s="2"/>
      <c r="C36" s="2"/>
      <c r="D36" s="2"/>
      <c r="E36" s="2"/>
      <c r="F36" s="2"/>
      <c r="G36" s="2"/>
      <c r="H36" s="42">
        <v>42782</v>
      </c>
      <c r="I36" s="2" t="s">
        <v>232</v>
      </c>
      <c r="J36" s="2" t="s">
        <v>233</v>
      </c>
      <c r="K36" s="2" t="s">
        <v>232</v>
      </c>
      <c r="L36" s="2" t="s">
        <v>234</v>
      </c>
      <c r="M36" s="2" t="s">
        <v>235</v>
      </c>
      <c r="N36" s="2" t="s">
        <v>232</v>
      </c>
      <c r="O36" s="2" t="s">
        <v>232</v>
      </c>
      <c r="P36" s="2" t="s">
        <v>236</v>
      </c>
      <c r="Q36" s="2" t="e">
        <f t="shared" si="4"/>
        <v>#VALUE!</v>
      </c>
      <c r="R36" s="2" t="e">
        <f t="shared" si="5"/>
        <v>#VALUE!</v>
      </c>
      <c r="S36" s="2" t="e">
        <f t="shared" si="2"/>
        <v>#VALUE!</v>
      </c>
      <c r="T36" s="2" t="str">
        <f t="shared" si="3"/>
        <v>Last</v>
      </c>
    </row>
    <row r="37" spans="1:20" x14ac:dyDescent="0.25">
      <c r="A37" s="2"/>
      <c r="B37" s="2"/>
      <c r="C37" s="2"/>
      <c r="D37" s="2"/>
      <c r="E37" s="2"/>
      <c r="F37" s="2"/>
      <c r="G37" s="2"/>
      <c r="H37" s="2" t="s">
        <v>142</v>
      </c>
      <c r="I37" s="2" t="s">
        <v>142</v>
      </c>
      <c r="J37" s="2" t="s">
        <v>237</v>
      </c>
      <c r="K37" s="2"/>
      <c r="L37" s="2" t="s">
        <v>238</v>
      </c>
      <c r="M37" s="2" t="s">
        <v>239</v>
      </c>
      <c r="N37" s="2" t="s">
        <v>240</v>
      </c>
      <c r="O37" s="2" t="s">
        <v>1</v>
      </c>
      <c r="P37" s="2" t="s">
        <v>241</v>
      </c>
      <c r="Q37" s="2" t="e">
        <f t="shared" si="4"/>
        <v>#VALUE!</v>
      </c>
      <c r="R37" s="2" t="e">
        <f t="shared" si="5"/>
        <v>#VALUE!</v>
      </c>
      <c r="S37" s="2" t="e">
        <f t="shared" si="2"/>
        <v>#VALUE!</v>
      </c>
      <c r="T37" s="2" t="str">
        <f t="shared" si="3"/>
        <v>15 day</v>
      </c>
    </row>
    <row r="38" spans="1:20" x14ac:dyDescent="0.25">
      <c r="A38" s="2"/>
      <c r="B38" s="2" t="s">
        <v>8</v>
      </c>
      <c r="C38" s="2" t="s">
        <v>242</v>
      </c>
      <c r="D38" s="2" t="s">
        <v>243</v>
      </c>
      <c r="E38" s="2" t="s">
        <v>244</v>
      </c>
      <c r="F38" s="2" t="s">
        <v>245</v>
      </c>
      <c r="G38" s="2" t="s">
        <v>2</v>
      </c>
      <c r="H38" s="43">
        <v>0</v>
      </c>
      <c r="I38" s="2" t="s">
        <v>246</v>
      </c>
      <c r="J38" s="2" t="s">
        <v>238</v>
      </c>
      <c r="K38" s="2" t="s">
        <v>247</v>
      </c>
      <c r="L38" s="2" t="s">
        <v>248</v>
      </c>
      <c r="M38" s="2" t="s">
        <v>249</v>
      </c>
      <c r="N38" s="2" t="s">
        <v>250</v>
      </c>
      <c r="O38" s="2" t="s">
        <v>238</v>
      </c>
      <c r="P38" s="2">
        <v>1.23456789012345E+27</v>
      </c>
      <c r="Q38" s="2" t="e">
        <f t="shared" si="4"/>
        <v>#VALUE!</v>
      </c>
      <c r="R38" s="2" t="e">
        <f t="shared" si="5"/>
        <v>#VALUE!</v>
      </c>
      <c r="S38" s="2" t="e">
        <f t="shared" si="2"/>
        <v>#VALUE!</v>
      </c>
      <c r="T38" s="2" t="str">
        <f t="shared" si="3"/>
        <v>FDP/G</v>
      </c>
    </row>
    <row r="39" spans="1:20" x14ac:dyDescent="0.25">
      <c r="A39" s="2">
        <v>26</v>
      </c>
      <c r="B39" s="2" t="s">
        <v>3</v>
      </c>
      <c r="C39" s="2" t="s">
        <v>338</v>
      </c>
      <c r="D39" s="2" t="s">
        <v>251</v>
      </c>
      <c r="E39" s="2" t="s">
        <v>252</v>
      </c>
      <c r="F39" s="2" t="s">
        <v>253</v>
      </c>
      <c r="G39" s="2" t="s">
        <v>289</v>
      </c>
      <c r="H39" s="35">
        <v>8500</v>
      </c>
      <c r="I39" s="2">
        <v>0</v>
      </c>
      <c r="J39" s="2">
        <v>89.2</v>
      </c>
      <c r="K39" s="2">
        <v>3</v>
      </c>
      <c r="L39" s="2">
        <v>29.7</v>
      </c>
      <c r="M39" s="2">
        <v>3.5</v>
      </c>
      <c r="N39" s="2">
        <v>37.5</v>
      </c>
      <c r="O39" s="2">
        <v>28.6</v>
      </c>
      <c r="P39" s="2" t="s">
        <v>290</v>
      </c>
      <c r="Q39" s="2" t="str">
        <f t="shared" si="4"/>
        <v>Kyle</v>
      </c>
      <c r="R39" s="2" t="str">
        <f t="shared" si="5"/>
        <v>Lowry</v>
      </c>
      <c r="S39" s="2" t="str">
        <f t="shared" si="2"/>
        <v>Kyle Lowry</v>
      </c>
      <c r="T39" s="2">
        <f t="shared" si="3"/>
        <v>37.5</v>
      </c>
    </row>
    <row r="40" spans="1:20" x14ac:dyDescent="0.25">
      <c r="A40" s="2">
        <v>27</v>
      </c>
      <c r="B40" s="2" t="s">
        <v>6</v>
      </c>
      <c r="C40" s="2" t="s">
        <v>339</v>
      </c>
      <c r="D40" s="2" t="s">
        <v>251</v>
      </c>
      <c r="E40" s="2" t="s">
        <v>252</v>
      </c>
      <c r="F40" s="2" t="s">
        <v>253</v>
      </c>
      <c r="G40" s="2" t="s">
        <v>291</v>
      </c>
      <c r="H40" s="35">
        <v>8400</v>
      </c>
      <c r="I40" s="2">
        <v>0</v>
      </c>
      <c r="J40" s="2">
        <v>106.4</v>
      </c>
      <c r="K40" s="2">
        <v>3</v>
      </c>
      <c r="L40" s="2">
        <v>35.5</v>
      </c>
      <c r="M40" s="2">
        <v>4.2</v>
      </c>
      <c r="N40" s="2">
        <v>36.799999999999997</v>
      </c>
      <c r="O40" s="2">
        <v>43.8</v>
      </c>
      <c r="P40" s="2" t="s">
        <v>292</v>
      </c>
      <c r="Q40" s="2" t="str">
        <f t="shared" si="4"/>
        <v>Marc</v>
      </c>
      <c r="R40" s="2" t="str">
        <f t="shared" si="5"/>
        <v>Gasol</v>
      </c>
      <c r="S40" s="2" t="str">
        <f t="shared" si="2"/>
        <v>Marc Gasol</v>
      </c>
      <c r="T40" s="2">
        <f t="shared" si="3"/>
        <v>36.799999999999997</v>
      </c>
    </row>
    <row r="41" spans="1:20" x14ac:dyDescent="0.25">
      <c r="A41" s="2">
        <v>28</v>
      </c>
      <c r="B41" s="2" t="s">
        <v>6</v>
      </c>
      <c r="C41" s="2" t="s">
        <v>340</v>
      </c>
      <c r="D41" s="2" t="s">
        <v>251</v>
      </c>
      <c r="E41" s="2" t="s">
        <v>252</v>
      </c>
      <c r="F41" s="2" t="s">
        <v>253</v>
      </c>
      <c r="G41" s="2" t="s">
        <v>285</v>
      </c>
      <c r="H41" s="35">
        <v>7700</v>
      </c>
      <c r="I41" s="2">
        <v>0</v>
      </c>
      <c r="J41" s="2">
        <v>138.30000000000001</v>
      </c>
      <c r="K41" s="2">
        <v>4</v>
      </c>
      <c r="L41" s="2">
        <v>34.6</v>
      </c>
      <c r="M41" s="2">
        <v>4.5</v>
      </c>
      <c r="N41" s="2">
        <v>36.5</v>
      </c>
      <c r="O41" s="2">
        <v>30.3</v>
      </c>
      <c r="P41" s="2" t="s">
        <v>286</v>
      </c>
      <c r="Q41" s="2" t="str">
        <f t="shared" si="4"/>
        <v>Rudy</v>
      </c>
      <c r="R41" s="2" t="str">
        <f t="shared" si="5"/>
        <v>Gobert</v>
      </c>
      <c r="S41" s="2" t="str">
        <f t="shared" si="2"/>
        <v>Rudy Gobert</v>
      </c>
      <c r="T41" s="2">
        <f t="shared" si="3"/>
        <v>36.5</v>
      </c>
    </row>
    <row r="42" spans="1:20" x14ac:dyDescent="0.25">
      <c r="A42" s="2">
        <v>29</v>
      </c>
      <c r="B42" s="2" t="s">
        <v>7</v>
      </c>
      <c r="C42" s="2" t="s">
        <v>341</v>
      </c>
      <c r="D42" s="2" t="s">
        <v>251</v>
      </c>
      <c r="E42" s="2" t="s">
        <v>252</v>
      </c>
      <c r="F42" s="2" t="s">
        <v>253</v>
      </c>
      <c r="G42" s="2" t="s">
        <v>289</v>
      </c>
      <c r="H42" s="35">
        <v>8700</v>
      </c>
      <c r="I42" s="2">
        <v>0</v>
      </c>
      <c r="J42" s="2">
        <v>102.7</v>
      </c>
      <c r="K42" s="2">
        <v>3</v>
      </c>
      <c r="L42" s="2">
        <v>34.200000000000003</v>
      </c>
      <c r="M42" s="2">
        <v>3.9</v>
      </c>
      <c r="N42" s="2">
        <v>36.200000000000003</v>
      </c>
      <c r="O42" s="2">
        <v>27.5</v>
      </c>
      <c r="P42" s="2" t="s">
        <v>290</v>
      </c>
      <c r="Q42" s="2" t="str">
        <f t="shared" si="4"/>
        <v>DeMar</v>
      </c>
      <c r="R42" s="2" t="str">
        <f t="shared" si="5"/>
        <v>DeRozan</v>
      </c>
      <c r="S42" s="2" t="str">
        <f t="shared" si="2"/>
        <v>DeMar DeRozan</v>
      </c>
      <c r="T42" s="2">
        <f t="shared" si="3"/>
        <v>36.200000000000003</v>
      </c>
    </row>
    <row r="43" spans="1:20" x14ac:dyDescent="0.25">
      <c r="A43" s="2">
        <v>30</v>
      </c>
      <c r="B43" s="2" t="s">
        <v>7</v>
      </c>
      <c r="C43" s="2" t="s">
        <v>342</v>
      </c>
      <c r="D43" s="2" t="s">
        <v>251</v>
      </c>
      <c r="E43" s="2" t="s">
        <v>252</v>
      </c>
      <c r="F43" s="2" t="s">
        <v>253</v>
      </c>
      <c r="G43" s="2" t="s">
        <v>272</v>
      </c>
      <c r="H43" s="35">
        <v>6900</v>
      </c>
      <c r="I43" s="2">
        <v>0</v>
      </c>
      <c r="J43" s="2">
        <v>103.6</v>
      </c>
      <c r="K43" s="2">
        <v>3</v>
      </c>
      <c r="L43" s="2">
        <v>34.5</v>
      </c>
      <c r="M43" s="2">
        <v>5</v>
      </c>
      <c r="N43" s="2">
        <v>36.1</v>
      </c>
      <c r="O43" s="2" t="s">
        <v>284</v>
      </c>
      <c r="P43" s="2" t="s">
        <v>273</v>
      </c>
      <c r="Q43" s="2" t="str">
        <f t="shared" si="4"/>
        <v>Klay</v>
      </c>
      <c r="R43" s="2" t="str">
        <f t="shared" si="5"/>
        <v>Thompson</v>
      </c>
      <c r="S43" s="2" t="str">
        <f t="shared" si="2"/>
        <v>Klay Thompson</v>
      </c>
      <c r="T43" s="2">
        <f t="shared" si="3"/>
        <v>36.1</v>
      </c>
    </row>
    <row r="44" spans="1:20" x14ac:dyDescent="0.25">
      <c r="A44" s="2">
        <v>31</v>
      </c>
      <c r="B44" s="2" t="s">
        <v>7</v>
      </c>
      <c r="C44" s="2" t="s">
        <v>343</v>
      </c>
      <c r="D44" s="2" t="s">
        <v>251</v>
      </c>
      <c r="E44" s="2" t="s">
        <v>252</v>
      </c>
      <c r="F44" s="2" t="s">
        <v>253</v>
      </c>
      <c r="G44" s="2" t="s">
        <v>282</v>
      </c>
      <c r="H44" s="35">
        <v>7900</v>
      </c>
      <c r="I44" s="2">
        <v>0</v>
      </c>
      <c r="J44" s="2">
        <v>70.7</v>
      </c>
      <c r="K44" s="2">
        <v>2</v>
      </c>
      <c r="L44" s="2">
        <v>35.4</v>
      </c>
      <c r="M44" s="2">
        <v>4.5</v>
      </c>
      <c r="N44" s="2">
        <v>35.6</v>
      </c>
      <c r="O44" s="2">
        <v>40.9</v>
      </c>
      <c r="P44" s="2" t="s">
        <v>283</v>
      </c>
      <c r="Q44" s="2" t="str">
        <f t="shared" si="4"/>
        <v>C.J.</v>
      </c>
      <c r="R44" s="2" t="str">
        <f t="shared" si="5"/>
        <v>McCollum</v>
      </c>
      <c r="S44" s="2" t="str">
        <f t="shared" si="2"/>
        <v>C.J. McCollum</v>
      </c>
      <c r="T44" s="2">
        <f t="shared" si="3"/>
        <v>35.6</v>
      </c>
    </row>
    <row r="45" spans="1:20" x14ac:dyDescent="0.25">
      <c r="A45" s="2">
        <v>32</v>
      </c>
      <c r="B45" s="2" t="s">
        <v>3</v>
      </c>
      <c r="C45" s="2" t="s">
        <v>344</v>
      </c>
      <c r="D45" s="2" t="s">
        <v>251</v>
      </c>
      <c r="E45" s="2" t="s">
        <v>252</v>
      </c>
      <c r="F45" s="2" t="s">
        <v>253</v>
      </c>
      <c r="G45" s="2" t="s">
        <v>280</v>
      </c>
      <c r="H45" s="35">
        <v>7900</v>
      </c>
      <c r="I45" s="2">
        <v>0</v>
      </c>
      <c r="J45" s="2">
        <v>127.7</v>
      </c>
      <c r="K45" s="2">
        <v>4</v>
      </c>
      <c r="L45" s="2">
        <v>31.9</v>
      </c>
      <c r="M45" s="2">
        <v>4</v>
      </c>
      <c r="N45" s="2">
        <v>35.299999999999997</v>
      </c>
      <c r="O45" s="2">
        <v>29.1</v>
      </c>
      <c r="P45" s="2" t="s">
        <v>281</v>
      </c>
      <c r="Q45" s="2" t="str">
        <f t="shared" si="4"/>
        <v>Goran</v>
      </c>
      <c r="R45" s="2" t="str">
        <f t="shared" si="5"/>
        <v>Dragic</v>
      </c>
      <c r="S45" s="2" t="str">
        <f t="shared" si="2"/>
        <v>Goran Dragic</v>
      </c>
      <c r="T45" s="2">
        <f t="shared" si="3"/>
        <v>35.299999999999997</v>
      </c>
    </row>
    <row r="46" spans="1:20" x14ac:dyDescent="0.25">
      <c r="A46" s="2">
        <v>33</v>
      </c>
      <c r="B46" s="2" t="s">
        <v>6</v>
      </c>
      <c r="C46" s="2" t="s">
        <v>345</v>
      </c>
      <c r="D46" s="2" t="s">
        <v>251</v>
      </c>
      <c r="E46" s="2" t="s">
        <v>252</v>
      </c>
      <c r="F46" s="2" t="s">
        <v>253</v>
      </c>
      <c r="G46" s="2" t="s">
        <v>293</v>
      </c>
      <c r="H46" s="35">
        <v>7300</v>
      </c>
      <c r="I46" s="2">
        <v>0</v>
      </c>
      <c r="J46" s="2">
        <v>103.1</v>
      </c>
      <c r="K46" s="2">
        <v>3</v>
      </c>
      <c r="L46" s="2">
        <v>34.4</v>
      </c>
      <c r="M46" s="2">
        <v>4.7</v>
      </c>
      <c r="N46" s="2">
        <v>35.200000000000003</v>
      </c>
      <c r="O46" s="2">
        <v>42.9</v>
      </c>
      <c r="P46" s="2" t="s">
        <v>294</v>
      </c>
      <c r="Q46" s="2" t="str">
        <f t="shared" si="4"/>
        <v>Nikola</v>
      </c>
      <c r="R46" s="2" t="str">
        <f t="shared" si="5"/>
        <v>Vucevic</v>
      </c>
      <c r="S46" s="2" t="str">
        <f t="shared" si="2"/>
        <v>Nikola Vucevic</v>
      </c>
      <c r="T46" s="2">
        <f t="shared" si="3"/>
        <v>35.200000000000003</v>
      </c>
    </row>
    <row r="47" spans="1:20" x14ac:dyDescent="0.25">
      <c r="A47" s="2">
        <v>34</v>
      </c>
      <c r="B47" s="2" t="s">
        <v>7</v>
      </c>
      <c r="C47" s="2" t="s">
        <v>346</v>
      </c>
      <c r="D47" s="2" t="s">
        <v>251</v>
      </c>
      <c r="E47" s="2" t="s">
        <v>252</v>
      </c>
      <c r="F47" s="2" t="s">
        <v>253</v>
      </c>
      <c r="G47" s="2" t="s">
        <v>264</v>
      </c>
      <c r="H47" s="35">
        <v>7600</v>
      </c>
      <c r="I47" s="2">
        <v>-100</v>
      </c>
      <c r="J47" s="2">
        <v>94.3</v>
      </c>
      <c r="K47" s="2">
        <v>3</v>
      </c>
      <c r="L47" s="2">
        <v>31.4</v>
      </c>
      <c r="M47" s="2">
        <v>4.0999999999999996</v>
      </c>
      <c r="N47" s="2">
        <v>34.9</v>
      </c>
      <c r="O47" s="2">
        <v>23.5</v>
      </c>
      <c r="P47" s="2" t="s">
        <v>265</v>
      </c>
      <c r="Q47" s="2" t="str">
        <f t="shared" si="4"/>
        <v>Bradley</v>
      </c>
      <c r="R47" s="2" t="str">
        <f t="shared" si="5"/>
        <v>Beal</v>
      </c>
      <c r="S47" s="2" t="str">
        <f t="shared" si="2"/>
        <v>Bradley Beal</v>
      </c>
      <c r="T47" s="2">
        <f t="shared" si="3"/>
        <v>34.9</v>
      </c>
    </row>
    <row r="48" spans="1:20" x14ac:dyDescent="0.25">
      <c r="A48" s="2">
        <v>35</v>
      </c>
      <c r="B48" s="2" t="s">
        <v>6</v>
      </c>
      <c r="C48" s="2" t="s">
        <v>347</v>
      </c>
      <c r="D48" s="2" t="s">
        <v>251</v>
      </c>
      <c r="E48" s="2" t="s">
        <v>252</v>
      </c>
      <c r="F48" s="2" t="s">
        <v>253</v>
      </c>
      <c r="G48" s="2" t="s">
        <v>264</v>
      </c>
      <c r="H48" s="35">
        <v>7300</v>
      </c>
      <c r="I48" s="2">
        <v>200</v>
      </c>
      <c r="J48" s="2">
        <v>98</v>
      </c>
      <c r="K48" s="2">
        <v>3</v>
      </c>
      <c r="L48" s="2">
        <v>32.700000000000003</v>
      </c>
      <c r="M48" s="2">
        <v>4.5</v>
      </c>
      <c r="N48" s="2">
        <v>34.799999999999997</v>
      </c>
      <c r="O48" s="2">
        <v>27</v>
      </c>
      <c r="P48" s="2" t="s">
        <v>265</v>
      </c>
      <c r="Q48" s="2" t="str">
        <f t="shared" si="4"/>
        <v>Marcin</v>
      </c>
      <c r="R48" s="2" t="str">
        <f t="shared" si="5"/>
        <v>Gortat</v>
      </c>
      <c r="S48" s="2" t="str">
        <f t="shared" si="2"/>
        <v>Marcin Gortat</v>
      </c>
      <c r="T48" s="2">
        <f t="shared" si="3"/>
        <v>34.799999999999997</v>
      </c>
    </row>
    <row r="49" spans="1:20" x14ac:dyDescent="0.25">
      <c r="A49" s="2">
        <v>36</v>
      </c>
      <c r="B49" s="2" t="s">
        <v>5</v>
      </c>
      <c r="C49" s="2" t="s">
        <v>348</v>
      </c>
      <c r="D49" s="2" t="s">
        <v>251</v>
      </c>
      <c r="E49" s="2" t="s">
        <v>252</v>
      </c>
      <c r="F49" s="2" t="s">
        <v>253</v>
      </c>
      <c r="G49" s="2" t="s">
        <v>295</v>
      </c>
      <c r="H49" s="35">
        <v>8600</v>
      </c>
      <c r="I49" s="2">
        <v>200</v>
      </c>
      <c r="J49" s="2">
        <v>142.19999999999999</v>
      </c>
      <c r="K49" s="2">
        <v>4</v>
      </c>
      <c r="L49" s="2">
        <v>35.5</v>
      </c>
      <c r="M49" s="2">
        <v>4.0999999999999996</v>
      </c>
      <c r="N49" s="2">
        <v>34.5</v>
      </c>
      <c r="O49" s="2">
        <v>36.700000000000003</v>
      </c>
      <c r="P49" s="2" t="s">
        <v>296</v>
      </c>
      <c r="Q49" s="2" t="str">
        <f t="shared" si="4"/>
        <v>Paul</v>
      </c>
      <c r="R49" s="2" t="str">
        <f t="shared" si="5"/>
        <v>George</v>
      </c>
      <c r="S49" s="2" t="str">
        <f t="shared" si="2"/>
        <v>Paul George</v>
      </c>
      <c r="T49" s="2">
        <f t="shared" si="3"/>
        <v>34.5</v>
      </c>
    </row>
    <row r="50" spans="1:20" x14ac:dyDescent="0.25">
      <c r="A50" s="2">
        <v>37</v>
      </c>
      <c r="B50" s="2" t="s">
        <v>5</v>
      </c>
      <c r="C50" s="2" t="s">
        <v>349</v>
      </c>
      <c r="D50" s="2" t="s">
        <v>251</v>
      </c>
      <c r="E50" s="2" t="s">
        <v>252</v>
      </c>
      <c r="F50" s="2" t="s">
        <v>253</v>
      </c>
      <c r="G50" s="2" t="s">
        <v>297</v>
      </c>
      <c r="H50" s="35">
        <v>8200</v>
      </c>
      <c r="I50" s="2">
        <v>0</v>
      </c>
      <c r="J50" s="2">
        <v>125.9</v>
      </c>
      <c r="K50" s="2">
        <v>3</v>
      </c>
      <c r="L50" s="2">
        <v>42</v>
      </c>
      <c r="M50" s="2">
        <v>5.0999999999999996</v>
      </c>
      <c r="N50" s="2">
        <v>34.4</v>
      </c>
      <c r="O50" s="2">
        <v>32.4</v>
      </c>
      <c r="P50" s="2" t="s">
        <v>298</v>
      </c>
      <c r="Q50" s="2" t="str">
        <f t="shared" si="4"/>
        <v>Carmelo</v>
      </c>
      <c r="R50" s="2" t="str">
        <f t="shared" si="5"/>
        <v>Anthony</v>
      </c>
      <c r="S50" s="2" t="str">
        <f t="shared" si="2"/>
        <v>Carmelo Anthony</v>
      </c>
      <c r="T50" s="2">
        <f t="shared" si="3"/>
        <v>34.4</v>
      </c>
    </row>
    <row r="51" spans="1:20" x14ac:dyDescent="0.25">
      <c r="A51" s="2">
        <v>38</v>
      </c>
      <c r="B51" s="2" t="s">
        <v>3</v>
      </c>
      <c r="C51" s="2" t="s">
        <v>350</v>
      </c>
      <c r="D51" s="2" t="s">
        <v>251</v>
      </c>
      <c r="E51" s="2" t="s">
        <v>252</v>
      </c>
      <c r="F51" s="2" t="s">
        <v>253</v>
      </c>
      <c r="G51" s="2" t="s">
        <v>299</v>
      </c>
      <c r="H51" s="35">
        <v>8800</v>
      </c>
      <c r="I51" s="2">
        <v>0</v>
      </c>
      <c r="J51" s="2">
        <v>105</v>
      </c>
      <c r="K51" s="2">
        <v>3</v>
      </c>
      <c r="L51" s="2">
        <v>35</v>
      </c>
      <c r="M51" s="2">
        <v>4</v>
      </c>
      <c r="N51" s="2">
        <v>34.299999999999997</v>
      </c>
      <c r="O51" s="2">
        <v>47.9</v>
      </c>
      <c r="P51" s="2" t="s">
        <v>300</v>
      </c>
      <c r="Q51" s="2" t="str">
        <f t="shared" si="4"/>
        <v>Eric</v>
      </c>
      <c r="R51" s="2" t="str">
        <f t="shared" si="5"/>
        <v>Bledsoe</v>
      </c>
      <c r="S51" s="2" t="str">
        <f t="shared" si="2"/>
        <v>Eric Bledsoe</v>
      </c>
      <c r="T51" s="2">
        <f t="shared" si="3"/>
        <v>34.299999999999997</v>
      </c>
    </row>
    <row r="52" spans="1:20" x14ac:dyDescent="0.25">
      <c r="A52" s="2">
        <v>39</v>
      </c>
      <c r="B52" s="2" t="s">
        <v>3</v>
      </c>
      <c r="C52" s="2" t="s">
        <v>351</v>
      </c>
      <c r="D52" s="2" t="s">
        <v>251</v>
      </c>
      <c r="E52" s="2" t="s">
        <v>252</v>
      </c>
      <c r="F52" s="2" t="s">
        <v>253</v>
      </c>
      <c r="G52" s="2" t="s">
        <v>291</v>
      </c>
      <c r="H52" s="35">
        <v>7700</v>
      </c>
      <c r="I52" s="2">
        <v>0</v>
      </c>
      <c r="J52" s="2">
        <v>117.2</v>
      </c>
      <c r="K52" s="2">
        <v>3</v>
      </c>
      <c r="L52" s="2">
        <v>39.1</v>
      </c>
      <c r="M52" s="2">
        <v>5.0999999999999996</v>
      </c>
      <c r="N52" s="2">
        <v>34.200000000000003</v>
      </c>
      <c r="O52" s="2">
        <v>43.2</v>
      </c>
      <c r="P52" s="2" t="s">
        <v>292</v>
      </c>
      <c r="Q52" s="2" t="str">
        <f t="shared" si="4"/>
        <v>Mike</v>
      </c>
      <c r="R52" s="2" t="str">
        <f t="shared" si="5"/>
        <v>Conley</v>
      </c>
      <c r="S52" s="2" t="str">
        <f t="shared" si="2"/>
        <v>Mike Conley</v>
      </c>
      <c r="T52" s="2">
        <f t="shared" si="3"/>
        <v>34.200000000000003</v>
      </c>
    </row>
    <row r="53" spans="1:20" x14ac:dyDescent="0.25">
      <c r="A53" s="2">
        <v>40</v>
      </c>
      <c r="B53" s="2" t="s">
        <v>4</v>
      </c>
      <c r="C53" s="2" t="s">
        <v>352</v>
      </c>
      <c r="D53" s="2" t="s">
        <v>251</v>
      </c>
      <c r="E53" s="2" t="s">
        <v>252</v>
      </c>
      <c r="F53" s="2" t="s">
        <v>253</v>
      </c>
      <c r="G53" s="2" t="s">
        <v>301</v>
      </c>
      <c r="H53" s="35">
        <v>8100</v>
      </c>
      <c r="I53" s="2">
        <v>0</v>
      </c>
      <c r="J53" s="2">
        <v>128.69999999999999</v>
      </c>
      <c r="K53" s="2">
        <v>3</v>
      </c>
      <c r="L53" s="2">
        <v>42.9</v>
      </c>
      <c r="M53" s="2">
        <v>5.3</v>
      </c>
      <c r="N53" s="2">
        <v>34.1</v>
      </c>
      <c r="O53" s="2">
        <v>50.3</v>
      </c>
      <c r="P53" s="2" t="s">
        <v>302</v>
      </c>
      <c r="Q53" s="2" t="str">
        <f t="shared" si="4"/>
        <v>Paul</v>
      </c>
      <c r="R53" s="2" t="str">
        <f t="shared" si="5"/>
        <v>Millsap</v>
      </c>
      <c r="S53" s="2" t="str">
        <f t="shared" si="2"/>
        <v>Paul Millsap</v>
      </c>
      <c r="T53" s="2">
        <f t="shared" si="3"/>
        <v>34.1</v>
      </c>
    </row>
    <row r="54" spans="1:20" x14ac:dyDescent="0.25">
      <c r="A54" s="2">
        <v>41</v>
      </c>
      <c r="B54" s="2" t="s">
        <v>7</v>
      </c>
      <c r="C54" s="2" t="s">
        <v>353</v>
      </c>
      <c r="D54" s="2" t="s">
        <v>251</v>
      </c>
      <c r="E54" s="2" t="s">
        <v>252</v>
      </c>
      <c r="F54" s="2" t="s">
        <v>253</v>
      </c>
      <c r="G54" s="2" t="s">
        <v>280</v>
      </c>
      <c r="H54" s="35">
        <v>7100</v>
      </c>
      <c r="I54" s="2">
        <v>0</v>
      </c>
      <c r="J54" s="2">
        <v>32.4</v>
      </c>
      <c r="K54" s="2">
        <v>1</v>
      </c>
      <c r="L54" s="2">
        <v>32.4</v>
      </c>
      <c r="M54" s="2">
        <v>4.5999999999999996</v>
      </c>
      <c r="N54" s="2">
        <v>34</v>
      </c>
      <c r="O54" s="2">
        <v>32.4</v>
      </c>
      <c r="P54" s="2" t="s">
        <v>281</v>
      </c>
      <c r="Q54" s="2" t="str">
        <f t="shared" si="4"/>
        <v>Dion</v>
      </c>
      <c r="R54" s="2" t="str">
        <f t="shared" si="5"/>
        <v>Waiters</v>
      </c>
      <c r="S54" s="2" t="str">
        <f t="shared" si="2"/>
        <v>Dion Waiters</v>
      </c>
      <c r="T54" s="2">
        <f t="shared" si="3"/>
        <v>34</v>
      </c>
    </row>
    <row r="55" spans="1:20" x14ac:dyDescent="0.25">
      <c r="A55" s="2">
        <v>42</v>
      </c>
      <c r="B55" s="2" t="s">
        <v>6</v>
      </c>
      <c r="C55" s="2" t="s">
        <v>354</v>
      </c>
      <c r="D55" s="2" t="s">
        <v>251</v>
      </c>
      <c r="E55" s="2" t="s">
        <v>252</v>
      </c>
      <c r="F55" s="2" t="s">
        <v>253</v>
      </c>
      <c r="G55" s="2" t="s">
        <v>301</v>
      </c>
      <c r="H55" s="35">
        <v>7300</v>
      </c>
      <c r="I55" s="2">
        <v>0</v>
      </c>
      <c r="J55" s="2">
        <v>98</v>
      </c>
      <c r="K55" s="2">
        <v>3</v>
      </c>
      <c r="L55" s="2">
        <v>32.700000000000003</v>
      </c>
      <c r="M55" s="2">
        <v>4.5</v>
      </c>
      <c r="N55" s="2">
        <v>33.799999999999997</v>
      </c>
      <c r="O55" s="2">
        <v>49.7</v>
      </c>
      <c r="P55" s="2" t="s">
        <v>302</v>
      </c>
      <c r="Q55" s="2" t="str">
        <f t="shared" si="4"/>
        <v>Dwight</v>
      </c>
      <c r="R55" s="2" t="str">
        <f t="shared" si="5"/>
        <v>Howard</v>
      </c>
      <c r="S55" s="2" t="str">
        <f t="shared" si="2"/>
        <v>Dwight Howard</v>
      </c>
      <c r="T55" s="2">
        <f t="shared" si="3"/>
        <v>33.799999999999997</v>
      </c>
    </row>
    <row r="56" spans="1:20" x14ac:dyDescent="0.25">
      <c r="A56" s="2">
        <v>43</v>
      </c>
      <c r="B56" s="2" t="s">
        <v>7</v>
      </c>
      <c r="C56" s="2" t="s">
        <v>355</v>
      </c>
      <c r="D56" s="2" t="s">
        <v>251</v>
      </c>
      <c r="E56" s="2" t="s">
        <v>252</v>
      </c>
      <c r="F56" s="2" t="s">
        <v>253</v>
      </c>
      <c r="G56" s="2" t="s">
        <v>270</v>
      </c>
      <c r="H56" s="35">
        <v>6400</v>
      </c>
      <c r="I56" s="2">
        <v>0</v>
      </c>
      <c r="J56" s="2">
        <v>148</v>
      </c>
      <c r="K56" s="2">
        <v>4</v>
      </c>
      <c r="L56" s="2">
        <v>37</v>
      </c>
      <c r="M56" s="2">
        <v>5.8</v>
      </c>
      <c r="N56" s="2">
        <v>33.1</v>
      </c>
      <c r="O56" s="2">
        <v>45.5</v>
      </c>
      <c r="P56" s="2" t="s">
        <v>271</v>
      </c>
      <c r="Q56" s="2" t="str">
        <f t="shared" si="4"/>
        <v>Will</v>
      </c>
      <c r="R56" s="2" t="str">
        <f t="shared" si="5"/>
        <v>Barton</v>
      </c>
      <c r="S56" s="2" t="str">
        <f t="shared" si="2"/>
        <v>Will Barton</v>
      </c>
      <c r="T56" s="2">
        <f t="shared" si="3"/>
        <v>33.1</v>
      </c>
    </row>
    <row r="57" spans="1:20" x14ac:dyDescent="0.25">
      <c r="A57" s="2">
        <v>44</v>
      </c>
      <c r="B57" s="2" t="s">
        <v>7</v>
      </c>
      <c r="C57" s="2" t="s">
        <v>356</v>
      </c>
      <c r="D57" s="2" t="s">
        <v>251</v>
      </c>
      <c r="E57" s="2" t="s">
        <v>252</v>
      </c>
      <c r="F57" s="2" t="s">
        <v>253</v>
      </c>
      <c r="G57" s="2" t="s">
        <v>303</v>
      </c>
      <c r="H57" s="35">
        <v>7400</v>
      </c>
      <c r="I57" s="2">
        <v>0</v>
      </c>
      <c r="J57" s="2">
        <v>109</v>
      </c>
      <c r="K57" s="2">
        <v>3</v>
      </c>
      <c r="L57" s="2">
        <v>36.299999999999997</v>
      </c>
      <c r="M57" s="2">
        <v>4.9000000000000004</v>
      </c>
      <c r="N57" s="2">
        <v>33</v>
      </c>
      <c r="O57" s="2">
        <v>26.2</v>
      </c>
      <c r="P57" s="2" t="s">
        <v>304</v>
      </c>
      <c r="Q57" s="2" t="str">
        <f t="shared" si="4"/>
        <v>Nicolas</v>
      </c>
      <c r="R57" s="2" t="str">
        <f t="shared" si="5"/>
        <v>Batum</v>
      </c>
      <c r="S57" s="2" t="str">
        <f t="shared" si="2"/>
        <v>Nicolas Batum</v>
      </c>
      <c r="T57" s="2">
        <f t="shared" si="3"/>
        <v>33</v>
      </c>
    </row>
    <row r="58" spans="1:20" x14ac:dyDescent="0.25">
      <c r="A58" s="2">
        <v>45</v>
      </c>
      <c r="B58" s="2" t="s">
        <v>4</v>
      </c>
      <c r="C58" s="2" t="s">
        <v>357</v>
      </c>
      <c r="D58" s="2" t="s">
        <v>251</v>
      </c>
      <c r="E58" s="2" t="s">
        <v>252</v>
      </c>
      <c r="F58" s="2" t="s">
        <v>253</v>
      </c>
      <c r="G58" s="2" t="s">
        <v>264</v>
      </c>
      <c r="H58" s="35">
        <v>7400</v>
      </c>
      <c r="I58" s="2">
        <v>300</v>
      </c>
      <c r="J58" s="2">
        <v>76.2</v>
      </c>
      <c r="K58" s="2">
        <v>2</v>
      </c>
      <c r="L58" s="2">
        <v>38.1</v>
      </c>
      <c r="M58" s="2">
        <v>5.0999999999999996</v>
      </c>
      <c r="N58" s="2">
        <v>32.9</v>
      </c>
      <c r="O58" s="2">
        <v>31.7</v>
      </c>
      <c r="P58" s="2" t="s">
        <v>265</v>
      </c>
      <c r="Q58" s="2" t="str">
        <f t="shared" si="4"/>
        <v>Markieff</v>
      </c>
      <c r="R58" s="2" t="str">
        <f t="shared" si="5"/>
        <v>Morris</v>
      </c>
      <c r="S58" s="2" t="str">
        <f t="shared" si="2"/>
        <v>Markieff Morris</v>
      </c>
      <c r="T58" s="2">
        <f t="shared" si="3"/>
        <v>32.9</v>
      </c>
    </row>
    <row r="59" spans="1:20" x14ac:dyDescent="0.25">
      <c r="A59" s="2">
        <v>46</v>
      </c>
      <c r="B59" s="2" t="s">
        <v>4</v>
      </c>
      <c r="C59" s="2" t="s">
        <v>358</v>
      </c>
      <c r="D59" s="2" t="s">
        <v>251</v>
      </c>
      <c r="E59" s="2" t="s">
        <v>252</v>
      </c>
      <c r="F59" s="2" t="s">
        <v>253</v>
      </c>
      <c r="G59" s="2" t="s">
        <v>297</v>
      </c>
      <c r="H59" s="35">
        <v>6800</v>
      </c>
      <c r="I59" s="2">
        <v>0</v>
      </c>
      <c r="J59" s="2">
        <v>103.4</v>
      </c>
      <c r="K59" s="2">
        <v>3</v>
      </c>
      <c r="L59" s="2">
        <v>34.5</v>
      </c>
      <c r="M59" s="2">
        <v>5.0999999999999996</v>
      </c>
      <c r="N59" s="2">
        <v>32.799999999999997</v>
      </c>
      <c r="O59" s="2">
        <v>35.4</v>
      </c>
      <c r="P59" s="2" t="s">
        <v>298</v>
      </c>
      <c r="Q59" s="2" t="str">
        <f t="shared" si="4"/>
        <v>Kristaps</v>
      </c>
      <c r="R59" s="2" t="str">
        <f t="shared" si="5"/>
        <v>Porzingis</v>
      </c>
      <c r="S59" s="2" t="str">
        <f t="shared" si="2"/>
        <v>Kristaps Porzingis</v>
      </c>
      <c r="T59" s="2">
        <f t="shared" si="3"/>
        <v>32.799999999999997</v>
      </c>
    </row>
    <row r="60" spans="1:20" x14ac:dyDescent="0.25">
      <c r="A60" s="2">
        <v>47</v>
      </c>
      <c r="B60" s="2" t="s">
        <v>6</v>
      </c>
      <c r="C60" s="2" t="s">
        <v>359</v>
      </c>
      <c r="D60" s="2" t="s">
        <v>251</v>
      </c>
      <c r="E60" s="2" t="s">
        <v>252</v>
      </c>
      <c r="F60" s="2" t="s">
        <v>253</v>
      </c>
      <c r="G60" s="2" t="s">
        <v>305</v>
      </c>
      <c r="H60" s="35">
        <v>7200</v>
      </c>
      <c r="I60" s="2">
        <v>0</v>
      </c>
      <c r="J60" s="2">
        <v>105.4</v>
      </c>
      <c r="K60" s="2">
        <v>3</v>
      </c>
      <c r="L60" s="2">
        <v>35.1</v>
      </c>
      <c r="M60" s="2">
        <v>4.9000000000000004</v>
      </c>
      <c r="N60" s="2">
        <v>32.200000000000003</v>
      </c>
      <c r="O60" s="2">
        <v>28.1</v>
      </c>
      <c r="P60" s="2" t="s">
        <v>306</v>
      </c>
      <c r="Q60" s="2" t="str">
        <f t="shared" si="4"/>
        <v>Brook</v>
      </c>
      <c r="R60" s="2" t="str">
        <f t="shared" si="5"/>
        <v>Lopez</v>
      </c>
      <c r="S60" s="2" t="str">
        <f t="shared" si="2"/>
        <v>Brook Lopez</v>
      </c>
      <c r="T60" s="2">
        <f t="shared" si="3"/>
        <v>32.200000000000003</v>
      </c>
    </row>
    <row r="61" spans="1:20" x14ac:dyDescent="0.25">
      <c r="A61" s="2">
        <v>48</v>
      </c>
      <c r="B61" s="2" t="s">
        <v>3</v>
      </c>
      <c r="C61" s="2" t="s">
        <v>360</v>
      </c>
      <c r="D61" s="2" t="s">
        <v>251</v>
      </c>
      <c r="E61" s="2" t="s">
        <v>252</v>
      </c>
      <c r="F61" s="2" t="s">
        <v>253</v>
      </c>
      <c r="G61" s="2" t="s">
        <v>268</v>
      </c>
      <c r="H61" s="35">
        <v>6800</v>
      </c>
      <c r="I61" s="2">
        <v>0</v>
      </c>
      <c r="J61" s="2">
        <v>135.19999999999999</v>
      </c>
      <c r="K61" s="2">
        <v>4</v>
      </c>
      <c r="L61" s="2">
        <v>33.799999999999997</v>
      </c>
      <c r="M61" s="2">
        <v>5</v>
      </c>
      <c r="N61" s="2">
        <v>32.200000000000003</v>
      </c>
      <c r="O61" s="2">
        <v>38.6</v>
      </c>
      <c r="P61" s="2" t="s">
        <v>269</v>
      </c>
      <c r="Q61" s="2" t="str">
        <f t="shared" si="4"/>
        <v>Ricky</v>
      </c>
      <c r="R61" s="2" t="str">
        <f t="shared" si="5"/>
        <v>Rubio</v>
      </c>
      <c r="S61" s="2" t="str">
        <f t="shared" si="2"/>
        <v>Ricky Rubio</v>
      </c>
      <c r="T61" s="2">
        <f t="shared" si="3"/>
        <v>32.200000000000003</v>
      </c>
    </row>
    <row r="62" spans="1:20" x14ac:dyDescent="0.25">
      <c r="A62" s="2">
        <v>49</v>
      </c>
      <c r="B62" s="2" t="s">
        <v>4</v>
      </c>
      <c r="C62" s="2" t="s">
        <v>361</v>
      </c>
      <c r="D62" s="2" t="s">
        <v>251</v>
      </c>
      <c r="E62" s="2" t="s">
        <v>252</v>
      </c>
      <c r="F62" s="2" t="s">
        <v>253</v>
      </c>
      <c r="G62" s="2" t="s">
        <v>276</v>
      </c>
      <c r="H62" s="2">
        <v>0</v>
      </c>
      <c r="I62" s="2">
        <v>0</v>
      </c>
      <c r="J62" s="2">
        <v>18.2</v>
      </c>
      <c r="K62" s="2">
        <v>1</v>
      </c>
      <c r="L62" s="2">
        <v>18.2</v>
      </c>
      <c r="M62" s="2">
        <v>0</v>
      </c>
      <c r="N62" s="2">
        <v>31.4</v>
      </c>
      <c r="O62" s="2" t="s">
        <v>284</v>
      </c>
      <c r="P62" s="2" t="s">
        <v>277</v>
      </c>
      <c r="Q62" s="2" t="str">
        <f t="shared" si="4"/>
        <v>Jabari</v>
      </c>
      <c r="R62" s="2" t="str">
        <f t="shared" si="5"/>
        <v>Parker</v>
      </c>
      <c r="S62" s="2" t="str">
        <f t="shared" si="2"/>
        <v>Jabari Parker</v>
      </c>
      <c r="T62" s="2">
        <f t="shared" si="3"/>
        <v>31.4</v>
      </c>
    </row>
    <row r="63" spans="1:20" x14ac:dyDescent="0.25">
      <c r="A63" s="2">
        <v>50</v>
      </c>
      <c r="B63" s="2" t="s">
        <v>5</v>
      </c>
      <c r="C63" s="2" t="s">
        <v>362</v>
      </c>
      <c r="D63" s="2" t="s">
        <v>251</v>
      </c>
      <c r="E63" s="2" t="s">
        <v>252</v>
      </c>
      <c r="F63" s="2" t="s">
        <v>253</v>
      </c>
      <c r="G63" s="2" t="s">
        <v>270</v>
      </c>
      <c r="H63" s="35">
        <v>6600</v>
      </c>
      <c r="I63" s="2">
        <v>0</v>
      </c>
      <c r="J63" s="2">
        <v>90.6</v>
      </c>
      <c r="K63" s="2">
        <v>3</v>
      </c>
      <c r="L63" s="2">
        <v>30.2</v>
      </c>
      <c r="M63" s="2">
        <v>4.5999999999999996</v>
      </c>
      <c r="N63" s="2">
        <v>31.1</v>
      </c>
      <c r="O63" s="2" t="s">
        <v>284</v>
      </c>
      <c r="P63" s="2" t="s">
        <v>271</v>
      </c>
      <c r="Q63" s="2" t="str">
        <f t="shared" si="4"/>
        <v>Wilson</v>
      </c>
      <c r="R63" s="2" t="str">
        <f t="shared" si="5"/>
        <v>Chandler</v>
      </c>
      <c r="S63" s="2" t="str">
        <f t="shared" si="2"/>
        <v>Wilson Chandler</v>
      </c>
      <c r="T63" s="2">
        <f t="shared" si="3"/>
        <v>31.1</v>
      </c>
    </row>
    <row r="64" spans="1:20" x14ac:dyDescent="0.25">
      <c r="A64" s="2"/>
      <c r="B64" s="2"/>
      <c r="C64" s="2"/>
      <c r="D64" s="2"/>
      <c r="E64" s="2"/>
      <c r="F64" s="2"/>
      <c r="G64" s="2"/>
      <c r="H64" s="42">
        <v>42782</v>
      </c>
      <c r="I64" s="2" t="s">
        <v>232</v>
      </c>
      <c r="J64" s="2" t="s">
        <v>233</v>
      </c>
      <c r="K64" s="2" t="s">
        <v>232</v>
      </c>
      <c r="L64" s="2" t="s">
        <v>234</v>
      </c>
      <c r="M64" s="2" t="s">
        <v>235</v>
      </c>
      <c r="N64" s="2" t="s">
        <v>232</v>
      </c>
      <c r="O64" s="2" t="s">
        <v>232</v>
      </c>
      <c r="P64" s="2" t="s">
        <v>236</v>
      </c>
      <c r="Q64" s="2" t="e">
        <f t="shared" si="4"/>
        <v>#VALUE!</v>
      </c>
      <c r="R64" s="2" t="e">
        <f t="shared" si="5"/>
        <v>#VALUE!</v>
      </c>
      <c r="S64" s="2" t="e">
        <f t="shared" si="2"/>
        <v>#VALUE!</v>
      </c>
      <c r="T64" s="2" t="str">
        <f t="shared" si="3"/>
        <v>Last</v>
      </c>
    </row>
    <row r="65" spans="1:20" x14ac:dyDescent="0.25">
      <c r="A65" s="2"/>
      <c r="B65" s="2"/>
      <c r="C65" s="2"/>
      <c r="D65" s="2"/>
      <c r="E65" s="2"/>
      <c r="F65" s="2"/>
      <c r="G65" s="2"/>
      <c r="H65" s="2" t="s">
        <v>142</v>
      </c>
      <c r="I65" s="2" t="s">
        <v>142</v>
      </c>
      <c r="J65" s="2" t="s">
        <v>237</v>
      </c>
      <c r="K65" s="2"/>
      <c r="L65" s="2" t="s">
        <v>238</v>
      </c>
      <c r="M65" s="2" t="s">
        <v>239</v>
      </c>
      <c r="N65" s="2" t="s">
        <v>240</v>
      </c>
      <c r="O65" s="2" t="s">
        <v>1</v>
      </c>
      <c r="P65" s="2" t="s">
        <v>241</v>
      </c>
      <c r="Q65" s="2" t="e">
        <f t="shared" si="4"/>
        <v>#VALUE!</v>
      </c>
      <c r="R65" s="2" t="e">
        <f t="shared" si="5"/>
        <v>#VALUE!</v>
      </c>
      <c r="S65" s="2" t="e">
        <f t="shared" si="2"/>
        <v>#VALUE!</v>
      </c>
      <c r="T65" s="2" t="str">
        <f t="shared" si="3"/>
        <v>15 day</v>
      </c>
    </row>
    <row r="66" spans="1:20" x14ac:dyDescent="0.25">
      <c r="A66" s="2"/>
      <c r="B66" s="2" t="s">
        <v>8</v>
      </c>
      <c r="C66" s="2" t="s">
        <v>242</v>
      </c>
      <c r="D66" s="2" t="s">
        <v>243</v>
      </c>
      <c r="E66" s="2" t="s">
        <v>244</v>
      </c>
      <c r="F66" s="2" t="s">
        <v>245</v>
      </c>
      <c r="G66" s="2" t="s">
        <v>2</v>
      </c>
      <c r="H66" s="43">
        <v>0</v>
      </c>
      <c r="I66" s="2" t="s">
        <v>246</v>
      </c>
      <c r="J66" s="2" t="s">
        <v>238</v>
      </c>
      <c r="K66" s="2" t="s">
        <v>247</v>
      </c>
      <c r="L66" s="2" t="s">
        <v>248</v>
      </c>
      <c r="M66" s="2" t="s">
        <v>249</v>
      </c>
      <c r="N66" s="2" t="s">
        <v>250</v>
      </c>
      <c r="O66" s="2" t="s">
        <v>238</v>
      </c>
      <c r="P66" s="2">
        <v>1.23456789012345E+27</v>
      </c>
      <c r="Q66" s="2" t="e">
        <f t="shared" si="4"/>
        <v>#VALUE!</v>
      </c>
      <c r="R66" s="2" t="e">
        <f t="shared" si="5"/>
        <v>#VALUE!</v>
      </c>
      <c r="S66" s="2" t="e">
        <f t="shared" si="2"/>
        <v>#VALUE!</v>
      </c>
      <c r="T66" s="2" t="str">
        <f t="shared" si="3"/>
        <v>FDP/G</v>
      </c>
    </row>
    <row r="67" spans="1:20" x14ac:dyDescent="0.25">
      <c r="A67" s="2">
        <v>51</v>
      </c>
      <c r="B67" s="2" t="s">
        <v>3</v>
      </c>
      <c r="C67" s="2" t="s">
        <v>363</v>
      </c>
      <c r="D67" s="2" t="s">
        <v>251</v>
      </c>
      <c r="E67" s="2" t="s">
        <v>252</v>
      </c>
      <c r="F67" s="2" t="s">
        <v>253</v>
      </c>
      <c r="G67" s="2" t="s">
        <v>295</v>
      </c>
      <c r="H67" s="35">
        <v>7200</v>
      </c>
      <c r="I67" s="2">
        <v>0</v>
      </c>
      <c r="J67" s="2">
        <v>126.4</v>
      </c>
      <c r="K67" s="2">
        <v>4</v>
      </c>
      <c r="L67" s="2">
        <v>31.6</v>
      </c>
      <c r="M67" s="2">
        <v>4.4000000000000004</v>
      </c>
      <c r="N67" s="2">
        <v>31.1</v>
      </c>
      <c r="O67" s="2">
        <v>28.5</v>
      </c>
      <c r="P67" s="2" t="s">
        <v>296</v>
      </c>
      <c r="Q67" s="2" t="str">
        <f t="shared" si="4"/>
        <v>Jeff</v>
      </c>
      <c r="R67" s="2" t="str">
        <f t="shared" si="5"/>
        <v>Teague</v>
      </c>
      <c r="S67" s="2" t="str">
        <f t="shared" si="2"/>
        <v>Jeff Teague</v>
      </c>
      <c r="T67" s="2">
        <f t="shared" si="3"/>
        <v>31.1</v>
      </c>
    </row>
    <row r="68" spans="1:20" x14ac:dyDescent="0.25">
      <c r="A68" s="2">
        <v>52</v>
      </c>
      <c r="B68" s="2" t="s">
        <v>4</v>
      </c>
      <c r="C68" s="2" t="s">
        <v>364</v>
      </c>
      <c r="D68" s="2" t="s">
        <v>251</v>
      </c>
      <c r="E68" s="2" t="s">
        <v>252</v>
      </c>
      <c r="F68" s="2" t="s">
        <v>253</v>
      </c>
      <c r="G68" s="2" t="s">
        <v>280</v>
      </c>
      <c r="H68" s="35">
        <v>6400</v>
      </c>
      <c r="I68" s="2">
        <v>0</v>
      </c>
      <c r="J68" s="2">
        <v>142.80000000000001</v>
      </c>
      <c r="K68" s="2">
        <v>4</v>
      </c>
      <c r="L68" s="2">
        <v>35.700000000000003</v>
      </c>
      <c r="M68" s="2">
        <v>5.6</v>
      </c>
      <c r="N68" s="2">
        <v>31</v>
      </c>
      <c r="O68" s="2">
        <v>28.1</v>
      </c>
      <c r="P68" s="2" t="s">
        <v>281</v>
      </c>
      <c r="Q68" s="2" t="str">
        <f t="shared" si="4"/>
        <v>James</v>
      </c>
      <c r="R68" s="2" t="str">
        <f t="shared" si="5"/>
        <v>Johnson</v>
      </c>
      <c r="S68" s="2" t="str">
        <f t="shared" si="2"/>
        <v>James Johnson</v>
      </c>
      <c r="T68" s="2">
        <f t="shared" si="3"/>
        <v>31</v>
      </c>
    </row>
    <row r="69" spans="1:20" x14ac:dyDescent="0.25">
      <c r="A69" s="2">
        <v>53</v>
      </c>
      <c r="B69" s="2" t="s">
        <v>7</v>
      </c>
      <c r="C69" s="2" t="s">
        <v>365</v>
      </c>
      <c r="D69" s="2" t="s">
        <v>251</v>
      </c>
      <c r="E69" s="2" t="s">
        <v>252</v>
      </c>
      <c r="F69" s="2" t="s">
        <v>253</v>
      </c>
      <c r="G69" s="2" t="s">
        <v>301</v>
      </c>
      <c r="H69" s="35">
        <v>6000</v>
      </c>
      <c r="I69" s="2">
        <v>0</v>
      </c>
      <c r="J69" s="2">
        <v>101.6</v>
      </c>
      <c r="K69" s="2">
        <v>3</v>
      </c>
      <c r="L69" s="2">
        <v>33.9</v>
      </c>
      <c r="M69" s="2">
        <v>5.6</v>
      </c>
      <c r="N69" s="2">
        <v>31</v>
      </c>
      <c r="O69" s="2">
        <v>40.4</v>
      </c>
      <c r="P69" s="2" t="s">
        <v>302</v>
      </c>
      <c r="Q69" s="2" t="str">
        <f t="shared" si="4"/>
        <v>Jr. Tim</v>
      </c>
      <c r="R69" s="2" t="str">
        <f t="shared" si="5"/>
        <v>Hardaway</v>
      </c>
      <c r="S69" s="2" t="str">
        <f t="shared" si="2"/>
        <v>Jr. Tim Hardaway</v>
      </c>
      <c r="T69" s="2">
        <f t="shared" si="3"/>
        <v>31</v>
      </c>
    </row>
    <row r="70" spans="1:20" x14ac:dyDescent="0.25">
      <c r="A70" s="2">
        <v>54</v>
      </c>
      <c r="B70" s="2" t="s">
        <v>6</v>
      </c>
      <c r="C70" s="2" t="s">
        <v>366</v>
      </c>
      <c r="D70" s="2" t="s">
        <v>251</v>
      </c>
      <c r="E70" s="2" t="s">
        <v>252</v>
      </c>
      <c r="F70" s="2" t="s">
        <v>253</v>
      </c>
      <c r="G70" s="2" t="s">
        <v>92</v>
      </c>
      <c r="H70" s="35">
        <v>7700</v>
      </c>
      <c r="I70" s="2">
        <v>0</v>
      </c>
      <c r="J70" s="2">
        <v>105.8</v>
      </c>
      <c r="K70" s="2">
        <v>3</v>
      </c>
      <c r="L70" s="2">
        <v>35.299999999999997</v>
      </c>
      <c r="M70" s="2">
        <v>4.5999999999999996</v>
      </c>
      <c r="N70" s="2">
        <v>30.8</v>
      </c>
      <c r="O70" s="2">
        <v>35.1</v>
      </c>
      <c r="P70" s="2" t="s">
        <v>263</v>
      </c>
      <c r="Q70" s="2" t="str">
        <f t="shared" si="4"/>
        <v>DeAndre</v>
      </c>
      <c r="R70" s="2" t="str">
        <f t="shared" si="5"/>
        <v>Jordan</v>
      </c>
      <c r="S70" s="2" t="str">
        <f t="shared" ref="S70:S133" si="6">Q70&amp;" "&amp;R70</f>
        <v>DeAndre Jordan</v>
      </c>
      <c r="T70" s="2">
        <f t="shared" ref="T70:T133" si="7">N70</f>
        <v>30.8</v>
      </c>
    </row>
    <row r="71" spans="1:20" x14ac:dyDescent="0.25">
      <c r="A71" s="2">
        <v>55</v>
      </c>
      <c r="B71" s="2" t="s">
        <v>7</v>
      </c>
      <c r="C71" s="2" t="s">
        <v>367</v>
      </c>
      <c r="D71" s="2" t="s">
        <v>251</v>
      </c>
      <c r="E71" s="2" t="s">
        <v>252</v>
      </c>
      <c r="F71" s="2" t="s">
        <v>253</v>
      </c>
      <c r="G71" s="2" t="s">
        <v>299</v>
      </c>
      <c r="H71" s="35">
        <v>6600</v>
      </c>
      <c r="I71" s="2">
        <v>0</v>
      </c>
      <c r="J71" s="2">
        <v>107.6</v>
      </c>
      <c r="K71" s="2">
        <v>4</v>
      </c>
      <c r="L71" s="2">
        <v>26.9</v>
      </c>
      <c r="M71" s="2">
        <v>4.0999999999999996</v>
      </c>
      <c r="N71" s="2">
        <v>30.8</v>
      </c>
      <c r="O71" s="2">
        <v>25.7</v>
      </c>
      <c r="P71" s="2" t="s">
        <v>300</v>
      </c>
      <c r="Q71" s="2" t="str">
        <f t="shared" si="4"/>
        <v>Devin</v>
      </c>
      <c r="R71" s="2" t="str">
        <f t="shared" si="5"/>
        <v>Booker</v>
      </c>
      <c r="S71" s="2" t="str">
        <f t="shared" si="6"/>
        <v>Devin Booker</v>
      </c>
      <c r="T71" s="2">
        <f t="shared" si="7"/>
        <v>30.8</v>
      </c>
    </row>
    <row r="72" spans="1:20" x14ac:dyDescent="0.25">
      <c r="A72" s="2">
        <v>56</v>
      </c>
      <c r="B72" s="2" t="s">
        <v>4</v>
      </c>
      <c r="C72" s="2" t="s">
        <v>368</v>
      </c>
      <c r="D72" s="2" t="s">
        <v>251</v>
      </c>
      <c r="E72" s="2" t="s">
        <v>252</v>
      </c>
      <c r="F72" s="2" t="s">
        <v>253</v>
      </c>
      <c r="G72" s="2" t="s">
        <v>295</v>
      </c>
      <c r="H72" s="35">
        <v>5700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30.4</v>
      </c>
      <c r="O72" s="2" t="s">
        <v>284</v>
      </c>
      <c r="P72" s="2" t="s">
        <v>296</v>
      </c>
      <c r="Q72" s="2" t="str">
        <f t="shared" ref="Q72:Q135" si="8">MID(C72,FIND(" ",C72)+1,256)</f>
        <v>Thaddeus</v>
      </c>
      <c r="R72" s="2" t="str">
        <f t="shared" ref="R72:R135" si="9">LEFT(C72,(FIND(" ",C72,1)-1))</f>
        <v>Young</v>
      </c>
      <c r="S72" s="2" t="str">
        <f t="shared" si="6"/>
        <v>Thaddeus Young</v>
      </c>
      <c r="T72" s="2">
        <f t="shared" si="7"/>
        <v>30.4</v>
      </c>
    </row>
    <row r="73" spans="1:20" x14ac:dyDescent="0.25">
      <c r="A73" s="2">
        <v>57</v>
      </c>
      <c r="B73" s="2" t="s">
        <v>7</v>
      </c>
      <c r="C73" s="2" t="s">
        <v>369</v>
      </c>
      <c r="D73" s="2" t="s">
        <v>251</v>
      </c>
      <c r="E73" s="2" t="s">
        <v>252</v>
      </c>
      <c r="F73" s="2" t="s">
        <v>253</v>
      </c>
      <c r="G73" s="2" t="s">
        <v>62</v>
      </c>
      <c r="H73" s="35">
        <v>6100</v>
      </c>
      <c r="I73" s="2">
        <v>0</v>
      </c>
      <c r="J73" s="2">
        <v>89.1</v>
      </c>
      <c r="K73" s="2">
        <v>3</v>
      </c>
      <c r="L73" s="2">
        <v>29.7</v>
      </c>
      <c r="M73" s="2">
        <v>4.9000000000000004</v>
      </c>
      <c r="N73" s="2">
        <v>30.2</v>
      </c>
      <c r="O73" s="2">
        <v>42.7</v>
      </c>
      <c r="P73" s="2" t="s">
        <v>307</v>
      </c>
      <c r="Q73" s="2" t="str">
        <f t="shared" si="8"/>
        <v>Louis</v>
      </c>
      <c r="R73" s="2" t="str">
        <f t="shared" si="9"/>
        <v>Williams</v>
      </c>
      <c r="S73" s="2" t="str">
        <f t="shared" si="6"/>
        <v>Louis Williams</v>
      </c>
      <c r="T73" s="2">
        <f t="shared" si="7"/>
        <v>30.2</v>
      </c>
    </row>
    <row r="74" spans="1:20" x14ac:dyDescent="0.25">
      <c r="A74" s="2">
        <v>58</v>
      </c>
      <c r="B74" s="2" t="s">
        <v>4</v>
      </c>
      <c r="C74" s="2" t="s">
        <v>370</v>
      </c>
      <c r="D74" s="2" t="s">
        <v>251</v>
      </c>
      <c r="E74" s="2" t="s">
        <v>252</v>
      </c>
      <c r="F74" s="2" t="s">
        <v>253</v>
      </c>
      <c r="G74" s="2" t="s">
        <v>266</v>
      </c>
      <c r="H74" s="35">
        <v>7300</v>
      </c>
      <c r="I74" s="2">
        <v>0</v>
      </c>
      <c r="J74" s="2">
        <v>120.6</v>
      </c>
      <c r="K74" s="2">
        <v>4</v>
      </c>
      <c r="L74" s="2">
        <v>30.1</v>
      </c>
      <c r="M74" s="2">
        <v>4.0999999999999996</v>
      </c>
      <c r="N74" s="2">
        <v>30.2</v>
      </c>
      <c r="O74" s="2">
        <v>29.9</v>
      </c>
      <c r="P74" s="2" t="s">
        <v>267</v>
      </c>
      <c r="Q74" s="2" t="str">
        <f t="shared" si="8"/>
        <v>LaMarcus</v>
      </c>
      <c r="R74" s="2" t="str">
        <f t="shared" si="9"/>
        <v>Aldridge</v>
      </c>
      <c r="S74" s="2" t="str">
        <f t="shared" si="6"/>
        <v>LaMarcus Aldridge</v>
      </c>
      <c r="T74" s="2">
        <f t="shared" si="7"/>
        <v>30.2</v>
      </c>
    </row>
    <row r="75" spans="1:20" x14ac:dyDescent="0.25">
      <c r="A75" s="2">
        <v>59</v>
      </c>
      <c r="B75" s="2" t="s">
        <v>7</v>
      </c>
      <c r="C75" s="2" t="s">
        <v>371</v>
      </c>
      <c r="D75" s="2" t="s">
        <v>251</v>
      </c>
      <c r="E75" s="2" t="s">
        <v>252</v>
      </c>
      <c r="F75" s="2" t="s">
        <v>253</v>
      </c>
      <c r="G75" s="2" t="s">
        <v>308</v>
      </c>
      <c r="H75" s="35">
        <v>6000</v>
      </c>
      <c r="I75" s="2">
        <v>0</v>
      </c>
      <c r="J75" s="2">
        <v>93.4</v>
      </c>
      <c r="K75" s="2">
        <v>3</v>
      </c>
      <c r="L75" s="2">
        <v>31.1</v>
      </c>
      <c r="M75" s="2">
        <v>5.2</v>
      </c>
      <c r="N75" s="2">
        <v>30</v>
      </c>
      <c r="O75" s="2">
        <v>30.9</v>
      </c>
      <c r="P75" s="2" t="s">
        <v>309</v>
      </c>
      <c r="Q75" s="2" t="str">
        <f t="shared" si="8"/>
        <v>Wes</v>
      </c>
      <c r="R75" s="2" t="str">
        <f t="shared" si="9"/>
        <v>Matthews</v>
      </c>
      <c r="S75" s="2" t="str">
        <f t="shared" si="6"/>
        <v>Wes Matthews</v>
      </c>
      <c r="T75" s="2">
        <f t="shared" si="7"/>
        <v>30</v>
      </c>
    </row>
    <row r="76" spans="1:20" x14ac:dyDescent="0.25">
      <c r="A76" s="2">
        <v>60</v>
      </c>
      <c r="B76" s="2" t="s">
        <v>5</v>
      </c>
      <c r="C76" s="2" t="s">
        <v>372</v>
      </c>
      <c r="D76" s="2" t="s">
        <v>251</v>
      </c>
      <c r="E76" s="2" t="s">
        <v>252</v>
      </c>
      <c r="F76" s="2" t="s">
        <v>253</v>
      </c>
      <c r="G76" s="2" t="s">
        <v>287</v>
      </c>
      <c r="H76" s="35">
        <v>5800</v>
      </c>
      <c r="I76" s="2">
        <v>0</v>
      </c>
      <c r="J76" s="2">
        <v>106.8</v>
      </c>
      <c r="K76" s="2">
        <v>4</v>
      </c>
      <c r="L76" s="2">
        <v>26.7</v>
      </c>
      <c r="M76" s="2">
        <v>4.5999999999999996</v>
      </c>
      <c r="N76" s="2">
        <v>29.8</v>
      </c>
      <c r="O76" s="2">
        <v>35.5</v>
      </c>
      <c r="P76" s="2" t="s">
        <v>288</v>
      </c>
      <c r="Q76" s="2" t="str">
        <f t="shared" si="8"/>
        <v>Marcus</v>
      </c>
      <c r="R76" s="2" t="str">
        <f t="shared" si="9"/>
        <v>Morris</v>
      </c>
      <c r="S76" s="2" t="str">
        <f t="shared" si="6"/>
        <v>Marcus Morris</v>
      </c>
      <c r="T76" s="2">
        <f t="shared" si="7"/>
        <v>29.8</v>
      </c>
    </row>
    <row r="77" spans="1:20" x14ac:dyDescent="0.25">
      <c r="A77" s="2">
        <v>61</v>
      </c>
      <c r="B77" s="2" t="s">
        <v>5</v>
      </c>
      <c r="C77" s="2" t="s">
        <v>373</v>
      </c>
      <c r="D77" s="2" t="s">
        <v>251</v>
      </c>
      <c r="E77" s="2" t="s">
        <v>252</v>
      </c>
      <c r="F77" s="2" t="s">
        <v>253</v>
      </c>
      <c r="G77" s="2" t="s">
        <v>310</v>
      </c>
      <c r="H77" s="35">
        <v>6400</v>
      </c>
      <c r="I77" s="2">
        <v>0</v>
      </c>
      <c r="J77" s="2">
        <v>125.9</v>
      </c>
      <c r="K77" s="2">
        <v>4</v>
      </c>
      <c r="L77" s="2">
        <v>31.5</v>
      </c>
      <c r="M77" s="2">
        <v>4.9000000000000004</v>
      </c>
      <c r="N77" s="2">
        <v>29.6</v>
      </c>
      <c r="O77" s="2">
        <v>29</v>
      </c>
      <c r="P77" s="2" t="s">
        <v>311</v>
      </c>
      <c r="Q77" s="2" t="str">
        <f t="shared" si="8"/>
        <v>Robert</v>
      </c>
      <c r="R77" s="2" t="str">
        <f t="shared" si="9"/>
        <v>Covington</v>
      </c>
      <c r="S77" s="2" t="str">
        <f t="shared" si="6"/>
        <v>Robert Covington</v>
      </c>
      <c r="T77" s="2">
        <f t="shared" si="7"/>
        <v>29.6</v>
      </c>
    </row>
    <row r="78" spans="1:20" x14ac:dyDescent="0.25">
      <c r="A78" s="2">
        <v>62</v>
      </c>
      <c r="B78" s="2" t="s">
        <v>6</v>
      </c>
      <c r="C78" s="2" t="s">
        <v>374</v>
      </c>
      <c r="D78" s="2" t="s">
        <v>251</v>
      </c>
      <c r="E78" s="2" t="s">
        <v>252</v>
      </c>
      <c r="F78" s="2" t="s">
        <v>253</v>
      </c>
      <c r="G78" s="2" t="s">
        <v>297</v>
      </c>
      <c r="H78" s="35">
        <v>5700</v>
      </c>
      <c r="I78" s="2">
        <v>0</v>
      </c>
      <c r="J78" s="2">
        <v>64.900000000000006</v>
      </c>
      <c r="K78" s="2">
        <v>3</v>
      </c>
      <c r="L78" s="2">
        <v>21.6</v>
      </c>
      <c r="M78" s="2">
        <v>3.8</v>
      </c>
      <c r="N78" s="2">
        <v>29.5</v>
      </c>
      <c r="O78" s="2">
        <v>28.3</v>
      </c>
      <c r="P78" s="2" t="s">
        <v>298</v>
      </c>
      <c r="Q78" s="2" t="str">
        <f t="shared" si="8"/>
        <v>Guillermo</v>
      </c>
      <c r="R78" s="2" t="str">
        <f t="shared" si="9"/>
        <v>Hernangomez</v>
      </c>
      <c r="S78" s="2" t="str">
        <f t="shared" si="6"/>
        <v>Guillermo Hernangomez</v>
      </c>
      <c r="T78" s="2">
        <f t="shared" si="7"/>
        <v>29.5</v>
      </c>
    </row>
    <row r="79" spans="1:20" x14ac:dyDescent="0.25">
      <c r="A79" s="2">
        <v>63</v>
      </c>
      <c r="B79" s="2" t="s">
        <v>5</v>
      </c>
      <c r="C79" s="2" t="s">
        <v>375</v>
      </c>
      <c r="D79" s="2" t="s">
        <v>251</v>
      </c>
      <c r="E79" s="2" t="s">
        <v>252</v>
      </c>
      <c r="F79" s="2" t="s">
        <v>253</v>
      </c>
      <c r="G79" s="2" t="s">
        <v>264</v>
      </c>
      <c r="H79" s="35">
        <v>6600</v>
      </c>
      <c r="I79" s="2">
        <v>100</v>
      </c>
      <c r="J79" s="2">
        <v>88.2</v>
      </c>
      <c r="K79" s="2">
        <v>3</v>
      </c>
      <c r="L79" s="2">
        <v>29.4</v>
      </c>
      <c r="M79" s="2">
        <v>4.5</v>
      </c>
      <c r="N79" s="2">
        <v>29.2</v>
      </c>
      <c r="O79" s="2">
        <v>36.4</v>
      </c>
      <c r="P79" s="2" t="s">
        <v>265</v>
      </c>
      <c r="Q79" s="2" t="str">
        <f t="shared" si="8"/>
        <v>Otto</v>
      </c>
      <c r="R79" s="2" t="str">
        <f t="shared" si="9"/>
        <v>Porter</v>
      </c>
      <c r="S79" s="2" t="str">
        <f t="shared" si="6"/>
        <v>Otto Porter</v>
      </c>
      <c r="T79" s="2">
        <f t="shared" si="7"/>
        <v>29.2</v>
      </c>
    </row>
    <row r="80" spans="1:20" x14ac:dyDescent="0.25">
      <c r="A80" s="2">
        <v>64</v>
      </c>
      <c r="B80" s="2" t="s">
        <v>4</v>
      </c>
      <c r="C80" s="2" t="s">
        <v>376</v>
      </c>
      <c r="D80" s="2" t="s">
        <v>251</v>
      </c>
      <c r="E80" s="2" t="s">
        <v>252</v>
      </c>
      <c r="F80" s="2" t="s">
        <v>253</v>
      </c>
      <c r="G80" s="2" t="s">
        <v>289</v>
      </c>
      <c r="H80" s="35">
        <v>5900</v>
      </c>
      <c r="I80" s="2">
        <v>0</v>
      </c>
      <c r="J80" s="2">
        <v>76.5</v>
      </c>
      <c r="K80" s="2">
        <v>3</v>
      </c>
      <c r="L80" s="2">
        <v>25.5</v>
      </c>
      <c r="M80" s="2">
        <v>4.3</v>
      </c>
      <c r="N80" s="2">
        <v>29.1</v>
      </c>
      <c r="O80" s="2">
        <v>30.6</v>
      </c>
      <c r="P80" s="2" t="s">
        <v>290</v>
      </c>
      <c r="Q80" s="2" t="str">
        <f t="shared" si="8"/>
        <v>Serge</v>
      </c>
      <c r="R80" s="2" t="str">
        <f t="shared" si="9"/>
        <v>Ibaka</v>
      </c>
      <c r="S80" s="2" t="str">
        <f t="shared" si="6"/>
        <v>Serge Ibaka</v>
      </c>
      <c r="T80" s="2">
        <f t="shared" si="7"/>
        <v>29.1</v>
      </c>
    </row>
    <row r="81" spans="1:20" x14ac:dyDescent="0.25">
      <c r="A81" s="2">
        <v>65</v>
      </c>
      <c r="B81" s="2" t="s">
        <v>6</v>
      </c>
      <c r="C81" s="2" t="s">
        <v>377</v>
      </c>
      <c r="D81" s="2" t="s">
        <v>251</v>
      </c>
      <c r="E81" s="2" t="s">
        <v>252</v>
      </c>
      <c r="F81" s="2" t="s">
        <v>253</v>
      </c>
      <c r="G81" s="2" t="s">
        <v>257</v>
      </c>
      <c r="H81" s="35">
        <v>6400</v>
      </c>
      <c r="I81" s="2">
        <v>0</v>
      </c>
      <c r="J81" s="2">
        <v>104.3</v>
      </c>
      <c r="K81" s="2">
        <v>4</v>
      </c>
      <c r="L81" s="2">
        <v>26.1</v>
      </c>
      <c r="M81" s="2">
        <v>4.0999999999999996</v>
      </c>
      <c r="N81" s="2">
        <v>29.1</v>
      </c>
      <c r="O81" s="2">
        <v>26.7</v>
      </c>
      <c r="P81" s="2" t="s">
        <v>258</v>
      </c>
      <c r="Q81" s="2" t="str">
        <f t="shared" si="8"/>
        <v>Tristan</v>
      </c>
      <c r="R81" s="2" t="str">
        <f t="shared" si="9"/>
        <v>Thompson</v>
      </c>
      <c r="S81" s="2" t="str">
        <f t="shared" si="6"/>
        <v>Tristan Thompson</v>
      </c>
      <c r="T81" s="2">
        <f t="shared" si="7"/>
        <v>29.1</v>
      </c>
    </row>
    <row r="82" spans="1:20" x14ac:dyDescent="0.25">
      <c r="A82" s="2">
        <v>66</v>
      </c>
      <c r="B82" s="2" t="s">
        <v>3</v>
      </c>
      <c r="C82" s="2" t="s">
        <v>378</v>
      </c>
      <c r="D82" s="2" t="s">
        <v>251</v>
      </c>
      <c r="E82" s="2" t="s">
        <v>252</v>
      </c>
      <c r="F82" s="2" t="s">
        <v>253</v>
      </c>
      <c r="G82" s="2" t="s">
        <v>261</v>
      </c>
      <c r="H82" s="35">
        <v>5900</v>
      </c>
      <c r="I82" s="2">
        <v>0</v>
      </c>
      <c r="J82" s="2">
        <v>142.5</v>
      </c>
      <c r="K82" s="2">
        <v>4</v>
      </c>
      <c r="L82" s="2">
        <v>35.6</v>
      </c>
      <c r="M82" s="2">
        <v>6</v>
      </c>
      <c r="N82" s="2">
        <v>28.8</v>
      </c>
      <c r="O82" s="2">
        <v>26</v>
      </c>
      <c r="P82" s="2" t="s">
        <v>262</v>
      </c>
      <c r="Q82" s="2" t="str">
        <f t="shared" si="8"/>
        <v>Darren</v>
      </c>
      <c r="R82" s="2" t="str">
        <f t="shared" si="9"/>
        <v>Collison</v>
      </c>
      <c r="S82" s="2" t="str">
        <f t="shared" si="6"/>
        <v>Darren Collison</v>
      </c>
      <c r="T82" s="2">
        <f t="shared" si="7"/>
        <v>28.8</v>
      </c>
    </row>
    <row r="83" spans="1:20" x14ac:dyDescent="0.25">
      <c r="A83" s="2">
        <v>67</v>
      </c>
      <c r="B83" s="2" t="s">
        <v>6</v>
      </c>
      <c r="C83" s="2" t="s">
        <v>379</v>
      </c>
      <c r="D83" s="2" t="s">
        <v>251</v>
      </c>
      <c r="E83" s="2" t="s">
        <v>252</v>
      </c>
      <c r="F83" s="2" t="s">
        <v>253</v>
      </c>
      <c r="G83" s="2" t="s">
        <v>274</v>
      </c>
      <c r="H83" s="35">
        <v>7000</v>
      </c>
      <c r="I83" s="2">
        <v>200</v>
      </c>
      <c r="J83" s="2">
        <v>97</v>
      </c>
      <c r="K83" s="2">
        <v>4</v>
      </c>
      <c r="L83" s="2">
        <v>24.2</v>
      </c>
      <c r="M83" s="2">
        <v>3.5</v>
      </c>
      <c r="N83" s="2">
        <v>28.6</v>
      </c>
      <c r="O83" s="2">
        <v>23</v>
      </c>
      <c r="P83" s="2" t="s">
        <v>275</v>
      </c>
      <c r="Q83" s="2" t="str">
        <f t="shared" si="8"/>
        <v>Al</v>
      </c>
      <c r="R83" s="2" t="str">
        <f t="shared" si="9"/>
        <v>Horford</v>
      </c>
      <c r="S83" s="2" t="str">
        <f t="shared" si="6"/>
        <v>Al Horford</v>
      </c>
      <c r="T83" s="2">
        <f t="shared" si="7"/>
        <v>28.6</v>
      </c>
    </row>
    <row r="84" spans="1:20" x14ac:dyDescent="0.25">
      <c r="A84" s="2">
        <v>68</v>
      </c>
      <c r="B84" s="2" t="s">
        <v>4</v>
      </c>
      <c r="C84" s="2" t="s">
        <v>380</v>
      </c>
      <c r="D84" s="2" t="s">
        <v>251</v>
      </c>
      <c r="E84" s="2" t="s">
        <v>252</v>
      </c>
      <c r="F84" s="2" t="s">
        <v>253</v>
      </c>
      <c r="G84" s="2" t="s">
        <v>303</v>
      </c>
      <c r="H84" s="35">
        <v>5800</v>
      </c>
      <c r="I84" s="2">
        <v>0</v>
      </c>
      <c r="J84" s="2">
        <v>91.4</v>
      </c>
      <c r="K84" s="2">
        <v>3</v>
      </c>
      <c r="L84" s="2">
        <v>30.5</v>
      </c>
      <c r="M84" s="2">
        <v>5.3</v>
      </c>
      <c r="N84" s="2">
        <v>28.5</v>
      </c>
      <c r="O84" s="2">
        <v>33.200000000000003</v>
      </c>
      <c r="P84" s="2" t="s">
        <v>304</v>
      </c>
      <c r="Q84" s="2" t="str">
        <f t="shared" si="8"/>
        <v>Frank</v>
      </c>
      <c r="R84" s="2" t="str">
        <f t="shared" si="9"/>
        <v>Kaminsky</v>
      </c>
      <c r="S84" s="2" t="str">
        <f t="shared" si="6"/>
        <v>Frank Kaminsky</v>
      </c>
      <c r="T84" s="2">
        <f t="shared" si="7"/>
        <v>28.5</v>
      </c>
    </row>
    <row r="85" spans="1:20" x14ac:dyDescent="0.25">
      <c r="A85" s="2">
        <v>69</v>
      </c>
      <c r="B85" s="2" t="s">
        <v>3</v>
      </c>
      <c r="C85" s="2" t="s">
        <v>381</v>
      </c>
      <c r="D85" s="2" t="s">
        <v>251</v>
      </c>
      <c r="E85" s="2" t="s">
        <v>252</v>
      </c>
      <c r="F85" s="2" t="s">
        <v>253</v>
      </c>
      <c r="G85" s="2" t="s">
        <v>303</v>
      </c>
      <c r="H85" s="35">
        <v>7600</v>
      </c>
      <c r="I85" s="2">
        <v>0</v>
      </c>
      <c r="J85" s="2">
        <v>95.2</v>
      </c>
      <c r="K85" s="2">
        <v>3</v>
      </c>
      <c r="L85" s="2">
        <v>31.7</v>
      </c>
      <c r="M85" s="2">
        <v>4.2</v>
      </c>
      <c r="N85" s="2">
        <v>28.4</v>
      </c>
      <c r="O85" s="2">
        <v>43.9</v>
      </c>
      <c r="P85" s="2" t="s">
        <v>304</v>
      </c>
      <c r="Q85" s="2" t="str">
        <f t="shared" si="8"/>
        <v>Kemba</v>
      </c>
      <c r="R85" s="2" t="str">
        <f t="shared" si="9"/>
        <v>Walker</v>
      </c>
      <c r="S85" s="2" t="str">
        <f t="shared" si="6"/>
        <v>Kemba Walker</v>
      </c>
      <c r="T85" s="2">
        <f t="shared" si="7"/>
        <v>28.4</v>
      </c>
    </row>
    <row r="86" spans="1:20" x14ac:dyDescent="0.25">
      <c r="A86" s="2">
        <v>70</v>
      </c>
      <c r="B86" s="2" t="s">
        <v>6</v>
      </c>
      <c r="C86" s="2" t="s">
        <v>382</v>
      </c>
      <c r="D86" s="2" t="s">
        <v>251</v>
      </c>
      <c r="E86" s="2" t="s">
        <v>252</v>
      </c>
      <c r="F86" s="2" t="s">
        <v>253</v>
      </c>
      <c r="G86" s="2" t="s">
        <v>89</v>
      </c>
      <c r="H86" s="35">
        <v>6100</v>
      </c>
      <c r="I86" s="2">
        <v>0</v>
      </c>
      <c r="J86" s="2">
        <v>82.9</v>
      </c>
      <c r="K86" s="2">
        <v>3</v>
      </c>
      <c r="L86" s="2">
        <v>27.6</v>
      </c>
      <c r="M86" s="2">
        <v>4.5</v>
      </c>
      <c r="N86" s="2">
        <v>28</v>
      </c>
      <c r="O86" s="2">
        <v>23.2</v>
      </c>
      <c r="P86" s="2" t="s">
        <v>254</v>
      </c>
      <c r="Q86" s="2" t="str">
        <f t="shared" si="8"/>
        <v>Steven</v>
      </c>
      <c r="R86" s="2" t="str">
        <f t="shared" si="9"/>
        <v>Adams</v>
      </c>
      <c r="S86" s="2" t="str">
        <f t="shared" si="6"/>
        <v>Steven Adams</v>
      </c>
      <c r="T86" s="2">
        <f t="shared" si="7"/>
        <v>28</v>
      </c>
    </row>
    <row r="87" spans="1:20" x14ac:dyDescent="0.25">
      <c r="A87" s="2">
        <v>71</v>
      </c>
      <c r="B87" s="2" t="s">
        <v>3</v>
      </c>
      <c r="C87" s="2" t="s">
        <v>383</v>
      </c>
      <c r="D87" s="2" t="s">
        <v>251</v>
      </c>
      <c r="E87" s="2" t="s">
        <v>252</v>
      </c>
      <c r="F87" s="2" t="s">
        <v>253</v>
      </c>
      <c r="G87" s="2" t="s">
        <v>255</v>
      </c>
      <c r="H87" s="35">
        <v>5700</v>
      </c>
      <c r="I87" s="2">
        <v>0</v>
      </c>
      <c r="J87" s="2">
        <v>69.400000000000006</v>
      </c>
      <c r="K87" s="2">
        <v>2</v>
      </c>
      <c r="L87" s="2">
        <v>34.700000000000003</v>
      </c>
      <c r="M87" s="2">
        <v>6.1</v>
      </c>
      <c r="N87" s="2">
        <v>27.9</v>
      </c>
      <c r="O87" s="2">
        <v>41.5</v>
      </c>
      <c r="P87" s="2" t="s">
        <v>256</v>
      </c>
      <c r="Q87" s="2" t="str">
        <f t="shared" si="8"/>
        <v>Patrick</v>
      </c>
      <c r="R87" s="2" t="str">
        <f t="shared" si="9"/>
        <v>Beverley</v>
      </c>
      <c r="S87" s="2" t="str">
        <f t="shared" si="6"/>
        <v>Patrick Beverley</v>
      </c>
      <c r="T87" s="2">
        <f t="shared" si="7"/>
        <v>27.9</v>
      </c>
    </row>
    <row r="88" spans="1:20" x14ac:dyDescent="0.25">
      <c r="A88" s="2">
        <v>72</v>
      </c>
      <c r="B88" s="2" t="s">
        <v>4</v>
      </c>
      <c r="C88" s="2" t="s">
        <v>384</v>
      </c>
      <c r="D88" s="2" t="s">
        <v>251</v>
      </c>
      <c r="E88" s="2" t="s">
        <v>252</v>
      </c>
      <c r="F88" s="2" t="s">
        <v>253</v>
      </c>
      <c r="G88" s="2" t="s">
        <v>282</v>
      </c>
      <c r="H88" s="35">
        <v>5600</v>
      </c>
      <c r="I88" s="2">
        <v>0</v>
      </c>
      <c r="J88" s="2">
        <v>65.5</v>
      </c>
      <c r="K88" s="2">
        <v>2</v>
      </c>
      <c r="L88" s="2">
        <v>32.799999999999997</v>
      </c>
      <c r="M88" s="2">
        <v>5.8</v>
      </c>
      <c r="N88" s="2">
        <v>27.6</v>
      </c>
      <c r="O88" s="2">
        <v>34</v>
      </c>
      <c r="P88" s="2" t="s">
        <v>283</v>
      </c>
      <c r="Q88" s="2" t="str">
        <f t="shared" si="8"/>
        <v>Al-Farouq</v>
      </c>
      <c r="R88" s="2" t="str">
        <f t="shared" si="9"/>
        <v>Aminu</v>
      </c>
      <c r="S88" s="2" t="str">
        <f t="shared" si="6"/>
        <v>Al-Farouq Aminu</v>
      </c>
      <c r="T88" s="2">
        <f t="shared" si="7"/>
        <v>27.6</v>
      </c>
    </row>
    <row r="89" spans="1:20" x14ac:dyDescent="0.25">
      <c r="A89" s="2">
        <v>73</v>
      </c>
      <c r="B89" s="2" t="s">
        <v>6</v>
      </c>
      <c r="C89" s="2" t="s">
        <v>385</v>
      </c>
      <c r="D89" s="2" t="s">
        <v>251</v>
      </c>
      <c r="E89" s="2" t="s">
        <v>252</v>
      </c>
      <c r="F89" s="2" t="s">
        <v>253</v>
      </c>
      <c r="G89" s="2" t="s">
        <v>255</v>
      </c>
      <c r="H89" s="35">
        <v>5200</v>
      </c>
      <c r="I89" s="2">
        <v>0</v>
      </c>
      <c r="J89" s="2">
        <v>46.4</v>
      </c>
      <c r="K89" s="2">
        <v>2</v>
      </c>
      <c r="L89" s="2">
        <v>23.2</v>
      </c>
      <c r="M89" s="2">
        <v>4.5</v>
      </c>
      <c r="N89" s="2">
        <v>27.6</v>
      </c>
      <c r="O89" s="2">
        <v>19</v>
      </c>
      <c r="P89" s="2" t="s">
        <v>256</v>
      </c>
      <c r="Q89" s="2" t="str">
        <f t="shared" si="8"/>
        <v>Clint</v>
      </c>
      <c r="R89" s="2" t="str">
        <f t="shared" si="9"/>
        <v>Capela</v>
      </c>
      <c r="S89" s="2" t="str">
        <f t="shared" si="6"/>
        <v>Clint Capela</v>
      </c>
      <c r="T89" s="2">
        <f t="shared" si="7"/>
        <v>27.6</v>
      </c>
    </row>
    <row r="90" spans="1:20" x14ac:dyDescent="0.25">
      <c r="A90" s="2">
        <v>74</v>
      </c>
      <c r="B90" s="2" t="s">
        <v>5</v>
      </c>
      <c r="C90" s="2" t="s">
        <v>386</v>
      </c>
      <c r="D90" s="2" t="s">
        <v>251</v>
      </c>
      <c r="E90" s="2" t="s">
        <v>252</v>
      </c>
      <c r="F90" s="2" t="s">
        <v>253</v>
      </c>
      <c r="G90" s="2" t="s">
        <v>255</v>
      </c>
      <c r="H90" s="35">
        <v>5500</v>
      </c>
      <c r="I90" s="2">
        <v>0</v>
      </c>
      <c r="J90" s="2">
        <v>59.7</v>
      </c>
      <c r="K90" s="2">
        <v>2</v>
      </c>
      <c r="L90" s="2">
        <v>29.9</v>
      </c>
      <c r="M90" s="2">
        <v>5.4</v>
      </c>
      <c r="N90" s="2">
        <v>27.5</v>
      </c>
      <c r="O90" s="2">
        <v>27.8</v>
      </c>
      <c r="P90" s="2" t="s">
        <v>256</v>
      </c>
      <c r="Q90" s="2" t="str">
        <f t="shared" si="8"/>
        <v>Trevor</v>
      </c>
      <c r="R90" s="2" t="str">
        <f t="shared" si="9"/>
        <v>Ariza</v>
      </c>
      <c r="S90" s="2" t="str">
        <f t="shared" si="6"/>
        <v>Trevor Ariza</v>
      </c>
      <c r="T90" s="2">
        <f t="shared" si="7"/>
        <v>27.5</v>
      </c>
    </row>
    <row r="91" spans="1:20" x14ac:dyDescent="0.25">
      <c r="A91" s="2">
        <v>75</v>
      </c>
      <c r="B91" s="2" t="s">
        <v>7</v>
      </c>
      <c r="C91" s="2" t="s">
        <v>387</v>
      </c>
      <c r="D91" s="2" t="s">
        <v>251</v>
      </c>
      <c r="E91" s="2" t="s">
        <v>252</v>
      </c>
      <c r="F91" s="2" t="s">
        <v>253</v>
      </c>
      <c r="G91" s="2" t="s">
        <v>293</v>
      </c>
      <c r="H91" s="35">
        <v>5500</v>
      </c>
      <c r="I91" s="2">
        <v>0</v>
      </c>
      <c r="J91" s="2">
        <v>92.1</v>
      </c>
      <c r="K91" s="2">
        <v>3</v>
      </c>
      <c r="L91" s="2">
        <v>30.7</v>
      </c>
      <c r="M91" s="2">
        <v>5.6</v>
      </c>
      <c r="N91" s="2">
        <v>27.4</v>
      </c>
      <c r="O91" s="2">
        <v>31.4</v>
      </c>
      <c r="P91" s="2" t="s">
        <v>294</v>
      </c>
      <c r="Q91" s="2" t="str">
        <f t="shared" si="8"/>
        <v>Evan</v>
      </c>
      <c r="R91" s="2" t="str">
        <f t="shared" si="9"/>
        <v>Fournier</v>
      </c>
      <c r="S91" s="2" t="str">
        <f t="shared" si="6"/>
        <v>Evan Fournier</v>
      </c>
      <c r="T91" s="2">
        <f t="shared" si="7"/>
        <v>27.4</v>
      </c>
    </row>
    <row r="92" spans="1:20" x14ac:dyDescent="0.25">
      <c r="A92" s="2"/>
      <c r="B92" s="2"/>
      <c r="C92" s="2"/>
      <c r="D92" s="2"/>
      <c r="E92" s="2"/>
      <c r="F92" s="2"/>
      <c r="G92" s="2"/>
      <c r="H92" s="42">
        <v>42782</v>
      </c>
      <c r="I92" s="2" t="s">
        <v>232</v>
      </c>
      <c r="J92" s="2" t="s">
        <v>233</v>
      </c>
      <c r="K92" s="2" t="s">
        <v>232</v>
      </c>
      <c r="L92" s="2" t="s">
        <v>234</v>
      </c>
      <c r="M92" s="2" t="s">
        <v>235</v>
      </c>
      <c r="N92" s="2" t="s">
        <v>232</v>
      </c>
      <c r="O92" s="2" t="s">
        <v>232</v>
      </c>
      <c r="P92" s="2" t="s">
        <v>236</v>
      </c>
      <c r="Q92" s="2" t="e">
        <f t="shared" si="8"/>
        <v>#VALUE!</v>
      </c>
      <c r="R92" s="2" t="e">
        <f t="shared" si="9"/>
        <v>#VALUE!</v>
      </c>
      <c r="S92" s="2" t="e">
        <f t="shared" si="6"/>
        <v>#VALUE!</v>
      </c>
      <c r="T92" s="2" t="str">
        <f t="shared" si="7"/>
        <v>Last</v>
      </c>
    </row>
    <row r="93" spans="1:20" x14ac:dyDescent="0.25">
      <c r="A93" s="2"/>
      <c r="B93" s="2"/>
      <c r="C93" s="2"/>
      <c r="D93" s="2"/>
      <c r="E93" s="2"/>
      <c r="F93" s="2"/>
      <c r="G93" s="2"/>
      <c r="H93" s="2" t="s">
        <v>142</v>
      </c>
      <c r="I93" s="2" t="s">
        <v>142</v>
      </c>
      <c r="J93" s="2" t="s">
        <v>237</v>
      </c>
      <c r="K93" s="2"/>
      <c r="L93" s="2" t="s">
        <v>238</v>
      </c>
      <c r="M93" s="2" t="s">
        <v>239</v>
      </c>
      <c r="N93" s="2" t="s">
        <v>240</v>
      </c>
      <c r="O93" s="2" t="s">
        <v>1</v>
      </c>
      <c r="P93" s="2" t="s">
        <v>241</v>
      </c>
      <c r="Q93" s="2" t="e">
        <f t="shared" si="8"/>
        <v>#VALUE!</v>
      </c>
      <c r="R93" s="2" t="e">
        <f t="shared" si="9"/>
        <v>#VALUE!</v>
      </c>
      <c r="S93" s="2" t="e">
        <f t="shared" si="6"/>
        <v>#VALUE!</v>
      </c>
      <c r="T93" s="2" t="str">
        <f t="shared" si="7"/>
        <v>15 day</v>
      </c>
    </row>
    <row r="94" spans="1:20" x14ac:dyDescent="0.25">
      <c r="A94" s="2"/>
      <c r="B94" s="2" t="s">
        <v>8</v>
      </c>
      <c r="C94" s="2" t="s">
        <v>242</v>
      </c>
      <c r="D94" s="2" t="s">
        <v>243</v>
      </c>
      <c r="E94" s="2" t="s">
        <v>244</v>
      </c>
      <c r="F94" s="2" t="s">
        <v>245</v>
      </c>
      <c r="G94" s="2" t="s">
        <v>2</v>
      </c>
      <c r="H94" s="43">
        <v>0</v>
      </c>
      <c r="I94" s="2" t="s">
        <v>246</v>
      </c>
      <c r="J94" s="2" t="s">
        <v>238</v>
      </c>
      <c r="K94" s="2" t="s">
        <v>247</v>
      </c>
      <c r="L94" s="2" t="s">
        <v>248</v>
      </c>
      <c r="M94" s="2" t="s">
        <v>249</v>
      </c>
      <c r="N94" s="2" t="s">
        <v>250</v>
      </c>
      <c r="O94" s="2" t="s">
        <v>238</v>
      </c>
      <c r="P94" s="2">
        <v>1.23456789012345E+27</v>
      </c>
      <c r="Q94" s="2" t="e">
        <f t="shared" si="8"/>
        <v>#VALUE!</v>
      </c>
      <c r="R94" s="2" t="e">
        <f t="shared" si="9"/>
        <v>#VALUE!</v>
      </c>
      <c r="S94" s="2" t="e">
        <f t="shared" si="6"/>
        <v>#VALUE!</v>
      </c>
      <c r="T94" s="2" t="str">
        <f t="shared" si="7"/>
        <v>FDP/G</v>
      </c>
    </row>
    <row r="95" spans="1:20" x14ac:dyDescent="0.25">
      <c r="A95" s="2">
        <v>76</v>
      </c>
      <c r="B95" s="2" t="s">
        <v>6</v>
      </c>
      <c r="C95" s="2" t="s">
        <v>388</v>
      </c>
      <c r="D95" s="2" t="s">
        <v>251</v>
      </c>
      <c r="E95" s="2" t="s">
        <v>252</v>
      </c>
      <c r="F95" s="2" t="s">
        <v>253</v>
      </c>
      <c r="G95" s="2" t="s">
        <v>289</v>
      </c>
      <c r="H95" s="35">
        <v>5900</v>
      </c>
      <c r="I95" s="2">
        <v>0</v>
      </c>
      <c r="J95" s="2">
        <v>72.099999999999994</v>
      </c>
      <c r="K95" s="2">
        <v>3</v>
      </c>
      <c r="L95" s="2">
        <v>24</v>
      </c>
      <c r="M95" s="2">
        <v>4.0999999999999996</v>
      </c>
      <c r="N95" s="2">
        <v>27.3</v>
      </c>
      <c r="O95" s="2">
        <v>21.8</v>
      </c>
      <c r="P95" s="2" t="s">
        <v>290</v>
      </c>
      <c r="Q95" s="2" t="str">
        <f t="shared" si="8"/>
        <v>Jonas</v>
      </c>
      <c r="R95" s="2" t="str">
        <f t="shared" si="9"/>
        <v>Valanciunas</v>
      </c>
      <c r="S95" s="2" t="str">
        <f t="shared" si="6"/>
        <v>Jonas Valanciunas</v>
      </c>
      <c r="T95" s="2">
        <f t="shared" si="7"/>
        <v>27.3</v>
      </c>
    </row>
    <row r="96" spans="1:20" x14ac:dyDescent="0.25">
      <c r="A96" s="2">
        <v>77</v>
      </c>
      <c r="B96" s="2" t="s">
        <v>3</v>
      </c>
      <c r="C96" s="2" t="s">
        <v>389</v>
      </c>
      <c r="D96" s="2" t="s">
        <v>251</v>
      </c>
      <c r="E96" s="2" t="s">
        <v>252</v>
      </c>
      <c r="F96" s="2" t="s">
        <v>253</v>
      </c>
      <c r="G96" s="2" t="s">
        <v>301</v>
      </c>
      <c r="H96" s="35">
        <v>6500</v>
      </c>
      <c r="I96" s="2">
        <v>0</v>
      </c>
      <c r="J96" s="2">
        <v>106.2</v>
      </c>
      <c r="K96" s="2">
        <v>3</v>
      </c>
      <c r="L96" s="2">
        <v>35.4</v>
      </c>
      <c r="M96" s="2">
        <v>5.4</v>
      </c>
      <c r="N96" s="2">
        <v>27.2</v>
      </c>
      <c r="O96" s="2">
        <v>30.8</v>
      </c>
      <c r="P96" s="2" t="s">
        <v>302</v>
      </c>
      <c r="Q96" s="2" t="str">
        <f t="shared" si="8"/>
        <v>Dennis</v>
      </c>
      <c r="R96" s="2" t="str">
        <f t="shared" si="9"/>
        <v>Schroder</v>
      </c>
      <c r="S96" s="2" t="str">
        <f t="shared" si="6"/>
        <v>Dennis Schroder</v>
      </c>
      <c r="T96" s="2">
        <f t="shared" si="7"/>
        <v>27.2</v>
      </c>
    </row>
    <row r="97" spans="1:20" x14ac:dyDescent="0.25">
      <c r="A97" s="2">
        <v>78</v>
      </c>
      <c r="B97" s="2" t="s">
        <v>7</v>
      </c>
      <c r="C97" s="2" t="s">
        <v>390</v>
      </c>
      <c r="D97" s="2" t="s">
        <v>251</v>
      </c>
      <c r="E97" s="2" t="s">
        <v>252</v>
      </c>
      <c r="F97" s="2" t="s">
        <v>253</v>
      </c>
      <c r="G97" s="2" t="s">
        <v>89</v>
      </c>
      <c r="H97" s="35">
        <v>6000</v>
      </c>
      <c r="I97" s="2">
        <v>0</v>
      </c>
      <c r="J97" s="2">
        <v>74.900000000000006</v>
      </c>
      <c r="K97" s="2">
        <v>3</v>
      </c>
      <c r="L97" s="2">
        <v>25</v>
      </c>
      <c r="M97" s="2">
        <v>4.2</v>
      </c>
      <c r="N97" s="2">
        <v>27.2</v>
      </c>
      <c r="O97" s="2">
        <v>5.2</v>
      </c>
      <c r="P97" s="2" t="s">
        <v>254</v>
      </c>
      <c r="Q97" s="2" t="str">
        <f t="shared" si="8"/>
        <v>Victor</v>
      </c>
      <c r="R97" s="2" t="str">
        <f t="shared" si="9"/>
        <v>Oladipo</v>
      </c>
      <c r="S97" s="2" t="str">
        <f t="shared" si="6"/>
        <v>Victor Oladipo</v>
      </c>
      <c r="T97" s="2">
        <f t="shared" si="7"/>
        <v>27.2</v>
      </c>
    </row>
    <row r="98" spans="1:20" x14ac:dyDescent="0.25">
      <c r="A98" s="2">
        <v>79</v>
      </c>
      <c r="B98" s="2" t="s">
        <v>4</v>
      </c>
      <c r="C98" s="2" t="s">
        <v>391</v>
      </c>
      <c r="D98" s="2" t="s">
        <v>251</v>
      </c>
      <c r="E98" s="2" t="s">
        <v>252</v>
      </c>
      <c r="F98" s="2" t="s">
        <v>253</v>
      </c>
      <c r="G98" s="2" t="s">
        <v>308</v>
      </c>
      <c r="H98" s="35">
        <v>5800</v>
      </c>
      <c r="I98" s="2">
        <v>0</v>
      </c>
      <c r="J98" s="2">
        <v>91.6</v>
      </c>
      <c r="K98" s="2">
        <v>3</v>
      </c>
      <c r="L98" s="2">
        <v>30.5</v>
      </c>
      <c r="M98" s="2">
        <v>5.3</v>
      </c>
      <c r="N98" s="2">
        <v>27.1</v>
      </c>
      <c r="O98" s="2">
        <v>31.5</v>
      </c>
      <c r="P98" s="2" t="s">
        <v>309</v>
      </c>
      <c r="Q98" s="2" t="str">
        <f t="shared" si="8"/>
        <v>Dirk</v>
      </c>
      <c r="R98" s="2" t="str">
        <f t="shared" si="9"/>
        <v>Nowitzki</v>
      </c>
      <c r="S98" s="2" t="str">
        <f t="shared" si="6"/>
        <v>Dirk Nowitzki</v>
      </c>
      <c r="T98" s="2">
        <f t="shared" si="7"/>
        <v>27.1</v>
      </c>
    </row>
    <row r="99" spans="1:20" x14ac:dyDescent="0.25">
      <c r="A99" s="2">
        <v>80</v>
      </c>
      <c r="B99" s="2" t="s">
        <v>7</v>
      </c>
      <c r="C99" s="2" t="s">
        <v>392</v>
      </c>
      <c r="D99" s="2" t="s">
        <v>251</v>
      </c>
      <c r="E99" s="2" t="s">
        <v>252</v>
      </c>
      <c r="F99" s="2" t="s">
        <v>253</v>
      </c>
      <c r="G99" s="2" t="s">
        <v>274</v>
      </c>
      <c r="H99" s="35">
        <v>5800</v>
      </c>
      <c r="I99" s="2">
        <v>0</v>
      </c>
      <c r="J99" s="2">
        <v>114.9</v>
      </c>
      <c r="K99" s="2">
        <v>4</v>
      </c>
      <c r="L99" s="2">
        <v>28.7</v>
      </c>
      <c r="M99" s="2">
        <v>5</v>
      </c>
      <c r="N99" s="2">
        <v>27.1</v>
      </c>
      <c r="O99" s="2">
        <v>30.1</v>
      </c>
      <c r="P99" s="2" t="s">
        <v>275</v>
      </c>
      <c r="Q99" s="2" t="str">
        <f t="shared" si="8"/>
        <v>Marcus</v>
      </c>
      <c r="R99" s="2" t="str">
        <f t="shared" si="9"/>
        <v>Smart</v>
      </c>
      <c r="S99" s="2" t="str">
        <f t="shared" si="6"/>
        <v>Marcus Smart</v>
      </c>
      <c r="T99" s="2">
        <f t="shared" si="7"/>
        <v>27.1</v>
      </c>
    </row>
    <row r="100" spans="1:20" x14ac:dyDescent="0.25">
      <c r="A100" s="2">
        <v>81</v>
      </c>
      <c r="B100" s="2" t="s">
        <v>5</v>
      </c>
      <c r="C100" s="2" t="s">
        <v>393</v>
      </c>
      <c r="D100" s="2" t="s">
        <v>251</v>
      </c>
      <c r="E100" s="2" t="s">
        <v>252</v>
      </c>
      <c r="F100" s="2" t="s">
        <v>253</v>
      </c>
      <c r="G100" s="2" t="s">
        <v>308</v>
      </c>
      <c r="H100" s="35">
        <v>6200</v>
      </c>
      <c r="I100" s="2">
        <v>0</v>
      </c>
      <c r="J100" s="2">
        <v>80.2</v>
      </c>
      <c r="K100" s="2">
        <v>3</v>
      </c>
      <c r="L100" s="2">
        <v>26.7</v>
      </c>
      <c r="M100" s="2">
        <v>4.3</v>
      </c>
      <c r="N100" s="2">
        <v>26.9</v>
      </c>
      <c r="O100" s="2">
        <v>29.1</v>
      </c>
      <c r="P100" s="2" t="s">
        <v>309</v>
      </c>
      <c r="Q100" s="2" t="str">
        <f t="shared" si="8"/>
        <v>Harrison</v>
      </c>
      <c r="R100" s="2" t="str">
        <f t="shared" si="9"/>
        <v>Barnes</v>
      </c>
      <c r="S100" s="2" t="str">
        <f t="shared" si="6"/>
        <v>Harrison Barnes</v>
      </c>
      <c r="T100" s="2">
        <f t="shared" si="7"/>
        <v>26.9</v>
      </c>
    </row>
    <row r="101" spans="1:20" x14ac:dyDescent="0.25">
      <c r="A101" s="2">
        <v>82</v>
      </c>
      <c r="B101" s="2" t="s">
        <v>3</v>
      </c>
      <c r="C101" s="2" t="s">
        <v>394</v>
      </c>
      <c r="D101" s="2" t="s">
        <v>251</v>
      </c>
      <c r="E101" s="2" t="s">
        <v>252</v>
      </c>
      <c r="F101" s="2" t="s">
        <v>253</v>
      </c>
      <c r="G101" s="2" t="s">
        <v>62</v>
      </c>
      <c r="H101" s="35">
        <v>5900</v>
      </c>
      <c r="I101" s="2">
        <v>0</v>
      </c>
      <c r="J101" s="2">
        <v>45.7</v>
      </c>
      <c r="K101" s="2">
        <v>3</v>
      </c>
      <c r="L101" s="2">
        <v>15.2</v>
      </c>
      <c r="M101" s="2">
        <v>2.6</v>
      </c>
      <c r="N101" s="2">
        <v>26.8</v>
      </c>
      <c r="O101" s="2">
        <v>10.9</v>
      </c>
      <c r="P101" s="2" t="s">
        <v>307</v>
      </c>
      <c r="Q101" s="2" t="str">
        <f t="shared" si="8"/>
        <v>D'Angelo</v>
      </c>
      <c r="R101" s="2" t="str">
        <f t="shared" si="9"/>
        <v>Russell</v>
      </c>
      <c r="S101" s="2" t="str">
        <f t="shared" si="6"/>
        <v>D'Angelo Russell</v>
      </c>
      <c r="T101" s="2">
        <f t="shared" si="7"/>
        <v>26.8</v>
      </c>
    </row>
    <row r="102" spans="1:20" x14ac:dyDescent="0.25">
      <c r="A102" s="2">
        <v>83</v>
      </c>
      <c r="B102" s="2" t="s">
        <v>4</v>
      </c>
      <c r="C102" s="2" t="s">
        <v>395</v>
      </c>
      <c r="D102" s="2" t="s">
        <v>251</v>
      </c>
      <c r="E102" s="2" t="s">
        <v>252</v>
      </c>
      <c r="F102" s="2" t="s">
        <v>253</v>
      </c>
      <c r="G102" s="2" t="s">
        <v>310</v>
      </c>
      <c r="H102" s="35">
        <v>5300</v>
      </c>
      <c r="I102" s="2">
        <v>0</v>
      </c>
      <c r="J102" s="2">
        <v>136.69999999999999</v>
      </c>
      <c r="K102" s="2">
        <v>4</v>
      </c>
      <c r="L102" s="2">
        <v>34.200000000000003</v>
      </c>
      <c r="M102" s="2">
        <v>6.4</v>
      </c>
      <c r="N102" s="2">
        <v>26.8</v>
      </c>
      <c r="O102" s="2">
        <v>34.700000000000003</v>
      </c>
      <c r="P102" s="2" t="s">
        <v>311</v>
      </c>
      <c r="Q102" s="2" t="str">
        <f t="shared" si="8"/>
        <v>Dario</v>
      </c>
      <c r="R102" s="2" t="str">
        <f t="shared" si="9"/>
        <v>Saric</v>
      </c>
      <c r="S102" s="2" t="str">
        <f t="shared" si="6"/>
        <v>Dario Saric</v>
      </c>
      <c r="T102" s="2">
        <f t="shared" si="7"/>
        <v>26.8</v>
      </c>
    </row>
    <row r="103" spans="1:20" x14ac:dyDescent="0.25">
      <c r="A103" s="2">
        <v>84</v>
      </c>
      <c r="B103" s="2" t="s">
        <v>3</v>
      </c>
      <c r="C103" s="2" t="s">
        <v>396</v>
      </c>
      <c r="D103" s="2" t="s">
        <v>251</v>
      </c>
      <c r="E103" s="2" t="s">
        <v>252</v>
      </c>
      <c r="F103" s="2" t="s">
        <v>253</v>
      </c>
      <c r="G103" s="2" t="s">
        <v>285</v>
      </c>
      <c r="H103" s="35">
        <v>5900</v>
      </c>
      <c r="I103" s="2">
        <v>0</v>
      </c>
      <c r="J103" s="2">
        <v>72</v>
      </c>
      <c r="K103" s="2">
        <v>3</v>
      </c>
      <c r="L103" s="2">
        <v>24</v>
      </c>
      <c r="M103" s="2">
        <v>4.0999999999999996</v>
      </c>
      <c r="N103" s="2">
        <v>26.7</v>
      </c>
      <c r="O103" s="2">
        <v>8.6999999999999993</v>
      </c>
      <c r="P103" s="2" t="s">
        <v>286</v>
      </c>
      <c r="Q103" s="2" t="str">
        <f t="shared" si="8"/>
        <v>George</v>
      </c>
      <c r="R103" s="2" t="str">
        <f t="shared" si="9"/>
        <v>Hill</v>
      </c>
      <c r="S103" s="2" t="str">
        <f t="shared" si="6"/>
        <v>George Hill</v>
      </c>
      <c r="T103" s="2">
        <f t="shared" si="7"/>
        <v>26.7</v>
      </c>
    </row>
    <row r="104" spans="1:20" x14ac:dyDescent="0.25">
      <c r="A104" s="2">
        <v>85</v>
      </c>
      <c r="B104" s="2" t="s">
        <v>3</v>
      </c>
      <c r="C104" s="2" t="s">
        <v>397</v>
      </c>
      <c r="D104" s="2" t="s">
        <v>251</v>
      </c>
      <c r="E104" s="2" t="s">
        <v>252</v>
      </c>
      <c r="F104" s="2" t="s">
        <v>253</v>
      </c>
      <c r="G104" s="2" t="s">
        <v>308</v>
      </c>
      <c r="H104" s="35">
        <v>5600</v>
      </c>
      <c r="I104" s="2">
        <v>0</v>
      </c>
      <c r="J104" s="2">
        <v>76.3</v>
      </c>
      <c r="K104" s="2">
        <v>3</v>
      </c>
      <c r="L104" s="2">
        <v>25.4</v>
      </c>
      <c r="M104" s="2">
        <v>4.5</v>
      </c>
      <c r="N104" s="2">
        <v>26.7</v>
      </c>
      <c r="O104" s="2">
        <v>27.9</v>
      </c>
      <c r="P104" s="2" t="s">
        <v>309</v>
      </c>
      <c r="Q104" s="2" t="str">
        <f t="shared" si="8"/>
        <v>Yogi</v>
      </c>
      <c r="R104" s="2" t="str">
        <f t="shared" si="9"/>
        <v>Ferrell</v>
      </c>
      <c r="S104" s="2" t="str">
        <f t="shared" si="6"/>
        <v>Yogi Ferrell</v>
      </c>
      <c r="T104" s="2">
        <f t="shared" si="7"/>
        <v>26.7</v>
      </c>
    </row>
    <row r="105" spans="1:20" x14ac:dyDescent="0.25">
      <c r="A105" s="2">
        <v>86</v>
      </c>
      <c r="B105" s="2" t="s">
        <v>6</v>
      </c>
      <c r="C105" s="2" t="s">
        <v>398</v>
      </c>
      <c r="D105" s="2" t="s">
        <v>251</v>
      </c>
      <c r="E105" s="2" t="s">
        <v>252</v>
      </c>
      <c r="F105" s="2" t="s">
        <v>253</v>
      </c>
      <c r="G105" s="2" t="s">
        <v>295</v>
      </c>
      <c r="H105" s="35">
        <v>6500</v>
      </c>
      <c r="I105" s="2">
        <v>100</v>
      </c>
      <c r="J105" s="2">
        <v>109.8</v>
      </c>
      <c r="K105" s="2">
        <v>4</v>
      </c>
      <c r="L105" s="2">
        <v>27.4</v>
      </c>
      <c r="M105" s="2">
        <v>4.2</v>
      </c>
      <c r="N105" s="2">
        <v>26.6</v>
      </c>
      <c r="O105" s="2">
        <v>32.700000000000003</v>
      </c>
      <c r="P105" s="2" t="s">
        <v>296</v>
      </c>
      <c r="Q105" s="2" t="str">
        <f t="shared" si="8"/>
        <v>Myles</v>
      </c>
      <c r="R105" s="2" t="str">
        <f t="shared" si="9"/>
        <v>Turner</v>
      </c>
      <c r="S105" s="2" t="str">
        <f t="shared" si="6"/>
        <v>Myles Turner</v>
      </c>
      <c r="T105" s="2">
        <f t="shared" si="7"/>
        <v>26.6</v>
      </c>
    </row>
    <row r="106" spans="1:20" x14ac:dyDescent="0.25">
      <c r="A106" s="2">
        <v>87</v>
      </c>
      <c r="B106" s="2" t="s">
        <v>7</v>
      </c>
      <c r="C106" s="2" t="s">
        <v>399</v>
      </c>
      <c r="D106" s="2" t="s">
        <v>251</v>
      </c>
      <c r="E106" s="2" t="s">
        <v>252</v>
      </c>
      <c r="F106" s="2" t="s">
        <v>253</v>
      </c>
      <c r="G106" s="2" t="s">
        <v>92</v>
      </c>
      <c r="H106" s="35">
        <v>4900</v>
      </c>
      <c r="I106" s="2">
        <v>0</v>
      </c>
      <c r="J106" s="2">
        <v>66.7</v>
      </c>
      <c r="K106" s="2">
        <v>3</v>
      </c>
      <c r="L106" s="2">
        <v>22.2</v>
      </c>
      <c r="M106" s="2">
        <v>4.5</v>
      </c>
      <c r="N106" s="2">
        <v>26.4</v>
      </c>
      <c r="O106" s="2">
        <v>13.9</v>
      </c>
      <c r="P106" s="2" t="s">
        <v>263</v>
      </c>
      <c r="Q106" s="2" t="str">
        <f t="shared" si="8"/>
        <v>Jamal</v>
      </c>
      <c r="R106" s="2" t="str">
        <f t="shared" si="9"/>
        <v>Crawford</v>
      </c>
      <c r="S106" s="2" t="str">
        <f t="shared" si="6"/>
        <v>Jamal Crawford</v>
      </c>
      <c r="T106" s="2">
        <f t="shared" si="7"/>
        <v>26.4</v>
      </c>
    </row>
    <row r="107" spans="1:20" x14ac:dyDescent="0.25">
      <c r="A107" s="2">
        <v>88</v>
      </c>
      <c r="B107" s="2" t="s">
        <v>3</v>
      </c>
      <c r="C107" s="2" t="s">
        <v>400</v>
      </c>
      <c r="D107" s="2" t="s">
        <v>251</v>
      </c>
      <c r="E107" s="2" t="s">
        <v>252</v>
      </c>
      <c r="F107" s="2" t="s">
        <v>253</v>
      </c>
      <c r="G107" s="2" t="s">
        <v>280</v>
      </c>
      <c r="H107" s="35">
        <v>5700</v>
      </c>
      <c r="I107" s="2">
        <v>0</v>
      </c>
      <c r="J107" s="2">
        <v>110.7</v>
      </c>
      <c r="K107" s="2">
        <v>4</v>
      </c>
      <c r="L107" s="2">
        <v>27.7</v>
      </c>
      <c r="M107" s="2">
        <v>4.9000000000000004</v>
      </c>
      <c r="N107" s="2">
        <v>26.4</v>
      </c>
      <c r="O107" s="2">
        <v>25.6</v>
      </c>
      <c r="P107" s="2" t="s">
        <v>281</v>
      </c>
      <c r="Q107" s="2" t="str">
        <f t="shared" si="8"/>
        <v>Tyler</v>
      </c>
      <c r="R107" s="2" t="str">
        <f t="shared" si="9"/>
        <v>Johnson</v>
      </c>
      <c r="S107" s="2" t="str">
        <f t="shared" si="6"/>
        <v>Tyler Johnson</v>
      </c>
      <c r="T107" s="2">
        <f t="shared" si="7"/>
        <v>26.4</v>
      </c>
    </row>
    <row r="108" spans="1:20" x14ac:dyDescent="0.25">
      <c r="A108" s="2">
        <v>89</v>
      </c>
      <c r="B108" s="2" t="s">
        <v>3</v>
      </c>
      <c r="C108" s="2" t="s">
        <v>401</v>
      </c>
      <c r="D108" s="2" t="s">
        <v>251</v>
      </c>
      <c r="E108" s="2" t="s">
        <v>252</v>
      </c>
      <c r="F108" s="2" t="s">
        <v>253</v>
      </c>
      <c r="G108" s="2" t="s">
        <v>297</v>
      </c>
      <c r="H108" s="35">
        <v>5000</v>
      </c>
      <c r="I108" s="2">
        <v>0</v>
      </c>
      <c r="J108" s="2">
        <v>43.5</v>
      </c>
      <c r="K108" s="2">
        <v>3</v>
      </c>
      <c r="L108" s="2">
        <v>14.5</v>
      </c>
      <c r="M108" s="2">
        <v>2.9</v>
      </c>
      <c r="N108" s="2">
        <v>26.3</v>
      </c>
      <c r="O108" s="2">
        <v>9.1</v>
      </c>
      <c r="P108" s="2" t="s">
        <v>298</v>
      </c>
      <c r="Q108" s="2" t="str">
        <f t="shared" si="8"/>
        <v>Brandon</v>
      </c>
      <c r="R108" s="2" t="str">
        <f t="shared" si="9"/>
        <v>Jennings</v>
      </c>
      <c r="S108" s="2" t="str">
        <f t="shared" si="6"/>
        <v>Brandon Jennings</v>
      </c>
      <c r="T108" s="2">
        <f t="shared" si="7"/>
        <v>26.3</v>
      </c>
    </row>
    <row r="109" spans="1:20" x14ac:dyDescent="0.25">
      <c r="A109" s="2">
        <v>90</v>
      </c>
      <c r="B109" s="2" t="s">
        <v>5</v>
      </c>
      <c r="C109" s="2" t="s">
        <v>402</v>
      </c>
      <c r="D109" s="2" t="s">
        <v>251</v>
      </c>
      <c r="E109" s="2" t="s">
        <v>252</v>
      </c>
      <c r="F109" s="2" t="s">
        <v>253</v>
      </c>
      <c r="G109" s="2" t="s">
        <v>261</v>
      </c>
      <c r="H109" s="35">
        <v>5100</v>
      </c>
      <c r="I109" s="2">
        <v>0</v>
      </c>
      <c r="J109" s="2">
        <v>95.7</v>
      </c>
      <c r="K109" s="2">
        <v>4</v>
      </c>
      <c r="L109" s="2">
        <v>23.9</v>
      </c>
      <c r="M109" s="2">
        <v>4.7</v>
      </c>
      <c r="N109" s="2">
        <v>26.2</v>
      </c>
      <c r="O109" s="2">
        <v>18.7</v>
      </c>
      <c r="P109" s="2" t="s">
        <v>262</v>
      </c>
      <c r="Q109" s="2" t="str">
        <f t="shared" si="8"/>
        <v>Matt</v>
      </c>
      <c r="R109" s="2" t="str">
        <f t="shared" si="9"/>
        <v>Barnes</v>
      </c>
      <c r="S109" s="2" t="str">
        <f t="shared" si="6"/>
        <v>Matt Barnes</v>
      </c>
      <c r="T109" s="2">
        <f t="shared" si="7"/>
        <v>26.2</v>
      </c>
    </row>
    <row r="110" spans="1:20" x14ac:dyDescent="0.25">
      <c r="A110" s="2">
        <v>91</v>
      </c>
      <c r="B110" s="2" t="s">
        <v>4</v>
      </c>
      <c r="C110" s="2" t="s">
        <v>403</v>
      </c>
      <c r="D110" s="2" t="s">
        <v>251</v>
      </c>
      <c r="E110" s="2" t="s">
        <v>252</v>
      </c>
      <c r="F110" s="2" t="s">
        <v>253</v>
      </c>
      <c r="G110" s="2" t="s">
        <v>305</v>
      </c>
      <c r="H110" s="35">
        <v>5100</v>
      </c>
      <c r="I110" s="2">
        <v>0</v>
      </c>
      <c r="J110" s="2">
        <v>67.5</v>
      </c>
      <c r="K110" s="2">
        <v>3</v>
      </c>
      <c r="L110" s="2">
        <v>22.5</v>
      </c>
      <c r="M110" s="2">
        <v>4.4000000000000004</v>
      </c>
      <c r="N110" s="2">
        <v>25.4</v>
      </c>
      <c r="O110" s="2">
        <v>17.8</v>
      </c>
      <c r="P110" s="2" t="s">
        <v>306</v>
      </c>
      <c r="Q110" s="2" t="str">
        <f t="shared" si="8"/>
        <v>Trevor</v>
      </c>
      <c r="R110" s="2" t="str">
        <f t="shared" si="9"/>
        <v>Booker</v>
      </c>
      <c r="S110" s="2" t="str">
        <f t="shared" si="6"/>
        <v>Trevor Booker</v>
      </c>
      <c r="T110" s="2">
        <f t="shared" si="7"/>
        <v>25.4</v>
      </c>
    </row>
    <row r="111" spans="1:20" x14ac:dyDescent="0.25">
      <c r="A111" s="2">
        <v>92</v>
      </c>
      <c r="B111" s="2" t="s">
        <v>6</v>
      </c>
      <c r="C111" s="2" t="s">
        <v>404</v>
      </c>
      <c r="D111" s="2" t="s">
        <v>251</v>
      </c>
      <c r="E111" s="2" t="s">
        <v>252</v>
      </c>
      <c r="F111" s="2" t="s">
        <v>253</v>
      </c>
      <c r="G111" s="2" t="s">
        <v>276</v>
      </c>
      <c r="H111" s="35">
        <v>6500</v>
      </c>
      <c r="I111" s="2">
        <v>0</v>
      </c>
      <c r="J111" s="2">
        <v>116.3</v>
      </c>
      <c r="K111" s="2">
        <v>4</v>
      </c>
      <c r="L111" s="2">
        <v>29.1</v>
      </c>
      <c r="M111" s="2">
        <v>4.5</v>
      </c>
      <c r="N111" s="2">
        <v>25.4</v>
      </c>
      <c r="O111" s="2">
        <v>48.6</v>
      </c>
      <c r="P111" s="2" t="s">
        <v>277</v>
      </c>
      <c r="Q111" s="2" t="str">
        <f t="shared" si="8"/>
        <v>Greg</v>
      </c>
      <c r="R111" s="2" t="str">
        <f t="shared" si="9"/>
        <v>Monroe</v>
      </c>
      <c r="S111" s="2" t="str">
        <f t="shared" si="6"/>
        <v>Greg Monroe</v>
      </c>
      <c r="T111" s="2">
        <f t="shared" si="7"/>
        <v>25.4</v>
      </c>
    </row>
    <row r="112" spans="1:20" x14ac:dyDescent="0.25">
      <c r="A112" s="2">
        <v>93</v>
      </c>
      <c r="B112" s="2" t="s">
        <v>6</v>
      </c>
      <c r="C112" s="2" t="s">
        <v>405</v>
      </c>
      <c r="D112" s="2" t="s">
        <v>251</v>
      </c>
      <c r="E112" s="2" t="s">
        <v>252</v>
      </c>
      <c r="F112" s="2" t="s">
        <v>253</v>
      </c>
      <c r="G112" s="2" t="s">
        <v>270</v>
      </c>
      <c r="H112" s="35">
        <v>6000</v>
      </c>
      <c r="I112" s="2">
        <v>0</v>
      </c>
      <c r="J112" s="2">
        <v>24.4</v>
      </c>
      <c r="K112" s="2">
        <v>1</v>
      </c>
      <c r="L112" s="2">
        <v>24.4</v>
      </c>
      <c r="M112" s="2">
        <v>4.0999999999999996</v>
      </c>
      <c r="N112" s="2">
        <v>25.3</v>
      </c>
      <c r="O112" s="2" t="s">
        <v>284</v>
      </c>
      <c r="P112" s="2" t="s">
        <v>271</v>
      </c>
      <c r="Q112" s="2" t="str">
        <f t="shared" si="8"/>
        <v>Mason</v>
      </c>
      <c r="R112" s="2" t="str">
        <f t="shared" si="9"/>
        <v>Plumlee</v>
      </c>
      <c r="S112" s="2" t="str">
        <f t="shared" si="6"/>
        <v>Mason Plumlee</v>
      </c>
      <c r="T112" s="2">
        <f t="shared" si="7"/>
        <v>25.3</v>
      </c>
    </row>
    <row r="113" spans="1:20" x14ac:dyDescent="0.25">
      <c r="A113" s="2">
        <v>94</v>
      </c>
      <c r="B113" s="2" t="s">
        <v>6</v>
      </c>
      <c r="C113" s="2" t="s">
        <v>406</v>
      </c>
      <c r="D113" s="2" t="s">
        <v>251</v>
      </c>
      <c r="E113" s="2" t="s">
        <v>252</v>
      </c>
      <c r="F113" s="2" t="s">
        <v>253</v>
      </c>
      <c r="G113" s="2" t="s">
        <v>274</v>
      </c>
      <c r="H113" s="35">
        <v>4600</v>
      </c>
      <c r="I113" s="2">
        <v>0</v>
      </c>
      <c r="J113" s="2">
        <v>108.8</v>
      </c>
      <c r="K113" s="2">
        <v>4</v>
      </c>
      <c r="L113" s="2">
        <v>27.2</v>
      </c>
      <c r="M113" s="2">
        <v>5.9</v>
      </c>
      <c r="N113" s="2">
        <v>24.9</v>
      </c>
      <c r="O113" s="2">
        <v>24.4</v>
      </c>
      <c r="P113" s="2" t="s">
        <v>275</v>
      </c>
      <c r="Q113" s="2" t="str">
        <f t="shared" si="8"/>
        <v>Kelly</v>
      </c>
      <c r="R113" s="2" t="str">
        <f t="shared" si="9"/>
        <v>Olynyk</v>
      </c>
      <c r="S113" s="2" t="str">
        <f t="shared" si="6"/>
        <v>Kelly Olynyk</v>
      </c>
      <c r="T113" s="2">
        <f t="shared" si="7"/>
        <v>24.9</v>
      </c>
    </row>
    <row r="114" spans="1:20" x14ac:dyDescent="0.25">
      <c r="A114" s="2">
        <v>95</v>
      </c>
      <c r="B114" s="2" t="s">
        <v>3</v>
      </c>
      <c r="C114" s="2" t="s">
        <v>407</v>
      </c>
      <c r="D114" s="2" t="s">
        <v>251</v>
      </c>
      <c r="E114" s="2" t="s">
        <v>252</v>
      </c>
      <c r="F114" s="2" t="s">
        <v>253</v>
      </c>
      <c r="G114" s="2" t="s">
        <v>297</v>
      </c>
      <c r="H114" s="35">
        <v>6000</v>
      </c>
      <c r="I114" s="2">
        <v>0</v>
      </c>
      <c r="J114" s="2">
        <v>87.8</v>
      </c>
      <c r="K114" s="2">
        <v>3</v>
      </c>
      <c r="L114" s="2">
        <v>29.3</v>
      </c>
      <c r="M114" s="2">
        <v>4.9000000000000004</v>
      </c>
      <c r="N114" s="2">
        <v>24.8</v>
      </c>
      <c r="O114" s="2">
        <v>24.8</v>
      </c>
      <c r="P114" s="2" t="s">
        <v>298</v>
      </c>
      <c r="Q114" s="2" t="str">
        <f t="shared" si="8"/>
        <v>Derrick</v>
      </c>
      <c r="R114" s="2" t="str">
        <f t="shared" si="9"/>
        <v>Rose</v>
      </c>
      <c r="S114" s="2" t="str">
        <f t="shared" si="6"/>
        <v>Derrick Rose</v>
      </c>
      <c r="T114" s="2">
        <f t="shared" si="7"/>
        <v>24.8</v>
      </c>
    </row>
    <row r="115" spans="1:20" x14ac:dyDescent="0.25">
      <c r="A115" s="2">
        <v>96</v>
      </c>
      <c r="B115" s="2" t="s">
        <v>3</v>
      </c>
      <c r="C115" s="2" t="s">
        <v>408</v>
      </c>
      <c r="D115" s="2" t="s">
        <v>251</v>
      </c>
      <c r="E115" s="2" t="s">
        <v>252</v>
      </c>
      <c r="F115" s="2" t="s">
        <v>253</v>
      </c>
      <c r="G115" s="2" t="s">
        <v>310</v>
      </c>
      <c r="H115" s="35">
        <v>5600</v>
      </c>
      <c r="I115" s="2">
        <v>0</v>
      </c>
      <c r="J115" s="2">
        <v>115.8</v>
      </c>
      <c r="K115" s="2">
        <v>4</v>
      </c>
      <c r="L115" s="2">
        <v>28.9</v>
      </c>
      <c r="M115" s="2">
        <v>5.2</v>
      </c>
      <c r="N115" s="2">
        <v>24.5</v>
      </c>
      <c r="O115" s="2">
        <v>29.3</v>
      </c>
      <c r="P115" s="2" t="s">
        <v>311</v>
      </c>
      <c r="Q115" s="2" t="str">
        <f t="shared" si="8"/>
        <v>T.J.</v>
      </c>
      <c r="R115" s="2" t="str">
        <f t="shared" si="9"/>
        <v>McConnell</v>
      </c>
      <c r="S115" s="2" t="str">
        <f t="shared" si="6"/>
        <v>T.J. McConnell</v>
      </c>
      <c r="T115" s="2">
        <f t="shared" si="7"/>
        <v>24.5</v>
      </c>
    </row>
    <row r="116" spans="1:20" x14ac:dyDescent="0.25">
      <c r="A116" s="2">
        <v>97</v>
      </c>
      <c r="B116" s="2" t="s">
        <v>7</v>
      </c>
      <c r="C116" s="2" t="s">
        <v>409</v>
      </c>
      <c r="D116" s="2" t="s">
        <v>251</v>
      </c>
      <c r="E116" s="2" t="s">
        <v>252</v>
      </c>
      <c r="F116" s="2" t="s">
        <v>253</v>
      </c>
      <c r="G116" s="2" t="s">
        <v>255</v>
      </c>
      <c r="H116" s="35">
        <v>5500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24.4</v>
      </c>
      <c r="O116" s="2" t="s">
        <v>284</v>
      </c>
      <c r="P116" s="2" t="s">
        <v>256</v>
      </c>
      <c r="Q116" s="2" t="str">
        <f t="shared" si="8"/>
        <v>Eric</v>
      </c>
      <c r="R116" s="2" t="str">
        <f t="shared" si="9"/>
        <v>Gordon</v>
      </c>
      <c r="S116" s="2" t="str">
        <f t="shared" si="6"/>
        <v>Eric Gordon</v>
      </c>
      <c r="T116" s="2">
        <f t="shared" si="7"/>
        <v>24.4</v>
      </c>
    </row>
    <row r="117" spans="1:20" x14ac:dyDescent="0.25">
      <c r="A117" s="2">
        <v>98</v>
      </c>
      <c r="B117" s="2" t="s">
        <v>4</v>
      </c>
      <c r="C117" s="2" t="s">
        <v>410</v>
      </c>
      <c r="D117" s="2" t="s">
        <v>251</v>
      </c>
      <c r="E117" s="2" t="s">
        <v>252</v>
      </c>
      <c r="F117" s="2" t="s">
        <v>253</v>
      </c>
      <c r="G117" s="2" t="s">
        <v>310</v>
      </c>
      <c r="H117" s="35">
        <v>5400</v>
      </c>
      <c r="I117" s="2">
        <v>0</v>
      </c>
      <c r="J117" s="2">
        <v>89</v>
      </c>
      <c r="K117" s="2">
        <v>4</v>
      </c>
      <c r="L117" s="2">
        <v>22.2</v>
      </c>
      <c r="M117" s="2">
        <v>4.0999999999999996</v>
      </c>
      <c r="N117" s="2">
        <v>24.3</v>
      </c>
      <c r="O117" s="2">
        <v>22.5</v>
      </c>
      <c r="P117" s="2" t="s">
        <v>311</v>
      </c>
      <c r="Q117" s="2" t="str">
        <f t="shared" si="8"/>
        <v>Ersan</v>
      </c>
      <c r="R117" s="2" t="str">
        <f t="shared" si="9"/>
        <v>Ilyasova</v>
      </c>
      <c r="S117" s="2" t="str">
        <f t="shared" si="6"/>
        <v>Ersan Ilyasova</v>
      </c>
      <c r="T117" s="2">
        <f t="shared" si="7"/>
        <v>24.3</v>
      </c>
    </row>
    <row r="118" spans="1:20" x14ac:dyDescent="0.25">
      <c r="A118" s="2">
        <v>99</v>
      </c>
      <c r="B118" s="2" t="s">
        <v>5</v>
      </c>
      <c r="C118" s="2" t="s">
        <v>411</v>
      </c>
      <c r="D118" s="2" t="s">
        <v>251</v>
      </c>
      <c r="E118" s="2" t="s">
        <v>252</v>
      </c>
      <c r="F118" s="2" t="s">
        <v>253</v>
      </c>
      <c r="G118" s="2" t="s">
        <v>299</v>
      </c>
      <c r="H118" s="35">
        <v>4800</v>
      </c>
      <c r="I118" s="2">
        <v>0</v>
      </c>
      <c r="J118" s="2">
        <v>95.3</v>
      </c>
      <c r="K118" s="2">
        <v>4</v>
      </c>
      <c r="L118" s="2">
        <v>23.8</v>
      </c>
      <c r="M118" s="2">
        <v>5</v>
      </c>
      <c r="N118" s="2">
        <v>24.3</v>
      </c>
      <c r="O118" s="2">
        <v>31.7</v>
      </c>
      <c r="P118" s="2" t="s">
        <v>300</v>
      </c>
      <c r="Q118" s="2" t="str">
        <f t="shared" si="8"/>
        <v>P.J.</v>
      </c>
      <c r="R118" s="2" t="str">
        <f t="shared" si="9"/>
        <v>Tucker</v>
      </c>
      <c r="S118" s="2" t="str">
        <f t="shared" si="6"/>
        <v>P.J. Tucker</v>
      </c>
      <c r="T118" s="2">
        <f t="shared" si="7"/>
        <v>24.3</v>
      </c>
    </row>
    <row r="119" spans="1:20" x14ac:dyDescent="0.25">
      <c r="A119" s="2"/>
      <c r="B119" s="2" t="s">
        <v>4</v>
      </c>
      <c r="C119" s="2" t="s">
        <v>412</v>
      </c>
      <c r="D119" s="2" t="s">
        <v>251</v>
      </c>
      <c r="E119" s="2" t="s">
        <v>252</v>
      </c>
      <c r="F119" s="2" t="s">
        <v>253</v>
      </c>
      <c r="G119" s="2" t="s">
        <v>291</v>
      </c>
      <c r="H119" s="35">
        <v>6000</v>
      </c>
      <c r="I119" s="2">
        <v>0</v>
      </c>
      <c r="J119" s="2">
        <v>44.2</v>
      </c>
      <c r="K119" s="2">
        <v>2</v>
      </c>
      <c r="L119" s="2">
        <v>22.1</v>
      </c>
      <c r="M119" s="2">
        <v>3.7</v>
      </c>
      <c r="N119" s="2">
        <v>24.2</v>
      </c>
      <c r="O119" s="2">
        <v>12.1</v>
      </c>
      <c r="P119" s="2" t="s">
        <v>292</v>
      </c>
      <c r="Q119" s="2" t="str">
        <f t="shared" si="8"/>
        <v>Zach</v>
      </c>
      <c r="R119" s="2" t="str">
        <f t="shared" si="9"/>
        <v>Randolph</v>
      </c>
      <c r="S119" s="2" t="str">
        <f t="shared" si="6"/>
        <v>Zach Randolph</v>
      </c>
      <c r="T119" s="2">
        <f t="shared" si="7"/>
        <v>24.2</v>
      </c>
    </row>
    <row r="120" spans="1:20" x14ac:dyDescent="0.25">
      <c r="A120" s="2"/>
      <c r="B120" s="2"/>
      <c r="C120" s="2"/>
      <c r="D120" s="2"/>
      <c r="E120" s="2"/>
      <c r="F120" s="2"/>
      <c r="G120" s="2"/>
      <c r="H120" s="42">
        <v>42782</v>
      </c>
      <c r="I120" s="2" t="s">
        <v>232</v>
      </c>
      <c r="J120" s="2" t="s">
        <v>233</v>
      </c>
      <c r="K120" s="2" t="s">
        <v>232</v>
      </c>
      <c r="L120" s="2" t="s">
        <v>234</v>
      </c>
      <c r="M120" s="2" t="s">
        <v>235</v>
      </c>
      <c r="N120" s="2" t="s">
        <v>232</v>
      </c>
      <c r="O120" s="2" t="s">
        <v>232</v>
      </c>
      <c r="P120" s="2" t="s">
        <v>236</v>
      </c>
      <c r="Q120" s="2" t="e">
        <f t="shared" si="8"/>
        <v>#VALUE!</v>
      </c>
      <c r="R120" s="2" t="e">
        <f t="shared" si="9"/>
        <v>#VALUE!</v>
      </c>
      <c r="S120" s="2" t="e">
        <f t="shared" si="6"/>
        <v>#VALUE!</v>
      </c>
      <c r="T120" s="2" t="str">
        <f t="shared" si="7"/>
        <v>Last</v>
      </c>
    </row>
    <row r="121" spans="1:20" x14ac:dyDescent="0.25">
      <c r="A121" s="2"/>
      <c r="B121" s="2"/>
      <c r="C121" s="2"/>
      <c r="D121" s="2"/>
      <c r="E121" s="2"/>
      <c r="F121" s="2"/>
      <c r="G121" s="2"/>
      <c r="H121" s="2" t="s">
        <v>142</v>
      </c>
      <c r="I121" s="2" t="s">
        <v>142</v>
      </c>
      <c r="J121" s="2" t="s">
        <v>237</v>
      </c>
      <c r="K121" s="2"/>
      <c r="L121" s="2" t="s">
        <v>238</v>
      </c>
      <c r="M121" s="2" t="s">
        <v>239</v>
      </c>
      <c r="N121" s="2" t="s">
        <v>240</v>
      </c>
      <c r="O121" s="2" t="s">
        <v>1</v>
      </c>
      <c r="P121" s="2" t="s">
        <v>241</v>
      </c>
      <c r="Q121" s="2" t="e">
        <f t="shared" si="8"/>
        <v>#VALUE!</v>
      </c>
      <c r="R121" s="2" t="e">
        <f t="shared" si="9"/>
        <v>#VALUE!</v>
      </c>
      <c r="S121" s="2" t="e">
        <f t="shared" si="6"/>
        <v>#VALUE!</v>
      </c>
      <c r="T121" s="2" t="str">
        <f t="shared" si="7"/>
        <v>15 day</v>
      </c>
    </row>
    <row r="122" spans="1:20" x14ac:dyDescent="0.25">
      <c r="A122" s="2"/>
      <c r="B122" s="2" t="s">
        <v>8</v>
      </c>
      <c r="C122" s="2" t="s">
        <v>242</v>
      </c>
      <c r="D122" s="2" t="s">
        <v>243</v>
      </c>
      <c r="E122" s="2" t="s">
        <v>244</v>
      </c>
      <c r="F122" s="2" t="s">
        <v>245</v>
      </c>
      <c r="G122" s="2" t="s">
        <v>2</v>
      </c>
      <c r="H122" s="43">
        <v>0</v>
      </c>
      <c r="I122" s="2" t="s">
        <v>246</v>
      </c>
      <c r="J122" s="2" t="s">
        <v>238</v>
      </c>
      <c r="K122" s="2" t="s">
        <v>247</v>
      </c>
      <c r="L122" s="2" t="s">
        <v>248</v>
      </c>
      <c r="M122" s="2" t="s">
        <v>249</v>
      </c>
      <c r="N122" s="2" t="s">
        <v>250</v>
      </c>
      <c r="O122" s="2" t="s">
        <v>238</v>
      </c>
      <c r="P122" s="2">
        <v>1.23456789012345E+27</v>
      </c>
      <c r="Q122" s="2" t="e">
        <f t="shared" si="8"/>
        <v>#VALUE!</v>
      </c>
      <c r="R122" s="2" t="e">
        <f t="shared" si="9"/>
        <v>#VALUE!</v>
      </c>
      <c r="S122" s="2" t="e">
        <f t="shared" si="6"/>
        <v>#VALUE!</v>
      </c>
      <c r="T122" s="2" t="str">
        <f t="shared" si="7"/>
        <v>FDP/G</v>
      </c>
    </row>
    <row r="123" spans="1:20" x14ac:dyDescent="0.25">
      <c r="A123" s="2"/>
      <c r="B123" s="2" t="s">
        <v>7</v>
      </c>
      <c r="C123" s="2" t="s">
        <v>413</v>
      </c>
      <c r="D123" s="2" t="s">
        <v>251</v>
      </c>
      <c r="E123" s="2" t="s">
        <v>252</v>
      </c>
      <c r="F123" s="2" t="s">
        <v>253</v>
      </c>
      <c r="G123" s="2" t="s">
        <v>268</v>
      </c>
      <c r="H123" s="35">
        <v>6000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24.2</v>
      </c>
      <c r="O123" s="2" t="s">
        <v>284</v>
      </c>
      <c r="P123" s="2" t="s">
        <v>269</v>
      </c>
      <c r="Q123" s="2" t="str">
        <f t="shared" si="8"/>
        <v>Zach</v>
      </c>
      <c r="R123" s="2" t="str">
        <f t="shared" si="9"/>
        <v>LaVine</v>
      </c>
      <c r="S123" s="2" t="str">
        <f t="shared" si="6"/>
        <v>Zach LaVine</v>
      </c>
      <c r="T123" s="2">
        <f t="shared" si="7"/>
        <v>24.2</v>
      </c>
    </row>
    <row r="124" spans="1:20" x14ac:dyDescent="0.25">
      <c r="A124" s="2"/>
      <c r="B124" s="2" t="s">
        <v>4</v>
      </c>
      <c r="C124" s="2" t="s">
        <v>414</v>
      </c>
      <c r="D124" s="2" t="s">
        <v>251</v>
      </c>
      <c r="E124" s="2" t="s">
        <v>252</v>
      </c>
      <c r="F124" s="2" t="s">
        <v>253</v>
      </c>
      <c r="G124" s="2" t="s">
        <v>268</v>
      </c>
      <c r="H124" s="35">
        <v>5600</v>
      </c>
      <c r="I124" s="2">
        <v>0</v>
      </c>
      <c r="J124" s="2">
        <v>105.5</v>
      </c>
      <c r="K124" s="2">
        <v>4</v>
      </c>
      <c r="L124" s="2">
        <v>26.4</v>
      </c>
      <c r="M124" s="2">
        <v>4.7</v>
      </c>
      <c r="N124" s="2">
        <v>23.8</v>
      </c>
      <c r="O124" s="2">
        <v>25.5</v>
      </c>
      <c r="P124" s="2" t="s">
        <v>269</v>
      </c>
      <c r="Q124" s="2" t="str">
        <f t="shared" si="8"/>
        <v>Gorgui</v>
      </c>
      <c r="R124" s="2" t="str">
        <f t="shared" si="9"/>
        <v>Dieng</v>
      </c>
      <c r="S124" s="2" t="str">
        <f t="shared" si="6"/>
        <v>Gorgui Dieng</v>
      </c>
      <c r="T124" s="2">
        <f t="shared" si="7"/>
        <v>23.8</v>
      </c>
    </row>
    <row r="125" spans="1:20" x14ac:dyDescent="0.25">
      <c r="A125" s="2"/>
      <c r="B125" s="2" t="s">
        <v>3</v>
      </c>
      <c r="C125" s="2" t="s">
        <v>415</v>
      </c>
      <c r="D125" s="2" t="s">
        <v>251</v>
      </c>
      <c r="E125" s="2" t="s">
        <v>252</v>
      </c>
      <c r="F125" s="2" t="s">
        <v>253</v>
      </c>
      <c r="G125" s="2" t="s">
        <v>92</v>
      </c>
      <c r="H125" s="35">
        <v>5200</v>
      </c>
      <c r="I125" s="2">
        <v>0</v>
      </c>
      <c r="J125" s="2">
        <v>68</v>
      </c>
      <c r="K125" s="2">
        <v>3</v>
      </c>
      <c r="L125" s="2">
        <v>22.7</v>
      </c>
      <c r="M125" s="2">
        <v>4.4000000000000004</v>
      </c>
      <c r="N125" s="2">
        <v>23.7</v>
      </c>
      <c r="O125" s="2">
        <v>20.100000000000001</v>
      </c>
      <c r="P125" s="2" t="s">
        <v>263</v>
      </c>
      <c r="Q125" s="2" t="str">
        <f t="shared" si="8"/>
        <v>Austin</v>
      </c>
      <c r="R125" s="2" t="str">
        <f t="shared" si="9"/>
        <v>Rivers</v>
      </c>
      <c r="S125" s="2" t="str">
        <f t="shared" si="6"/>
        <v>Austin Rivers</v>
      </c>
      <c r="T125" s="2">
        <f t="shared" si="7"/>
        <v>23.7</v>
      </c>
    </row>
    <row r="126" spans="1:20" x14ac:dyDescent="0.25">
      <c r="A126" s="2"/>
      <c r="B126" s="2" t="s">
        <v>3</v>
      </c>
      <c r="C126" s="2" t="s">
        <v>416</v>
      </c>
      <c r="D126" s="2" t="s">
        <v>251</v>
      </c>
      <c r="E126" s="2" t="s">
        <v>252</v>
      </c>
      <c r="F126" s="2" t="s">
        <v>253</v>
      </c>
      <c r="G126" s="2" t="s">
        <v>276</v>
      </c>
      <c r="H126" s="35">
        <v>5100</v>
      </c>
      <c r="I126" s="2">
        <v>0</v>
      </c>
      <c r="J126" s="2">
        <v>90.1</v>
      </c>
      <c r="K126" s="2">
        <v>4</v>
      </c>
      <c r="L126" s="2">
        <v>22.5</v>
      </c>
      <c r="M126" s="2">
        <v>4.4000000000000004</v>
      </c>
      <c r="N126" s="2">
        <v>23.7</v>
      </c>
      <c r="O126" s="2">
        <v>17.7</v>
      </c>
      <c r="P126" s="2" t="s">
        <v>277</v>
      </c>
      <c r="Q126" s="2" t="str">
        <f t="shared" si="8"/>
        <v>Malcolm</v>
      </c>
      <c r="R126" s="2" t="str">
        <f t="shared" si="9"/>
        <v>Brogdon</v>
      </c>
      <c r="S126" s="2" t="str">
        <f t="shared" si="6"/>
        <v>Malcolm Brogdon</v>
      </c>
      <c r="T126" s="2">
        <f t="shared" si="7"/>
        <v>23.7</v>
      </c>
    </row>
    <row r="127" spans="1:20" x14ac:dyDescent="0.25">
      <c r="A127" s="2"/>
      <c r="B127" s="2" t="s">
        <v>5</v>
      </c>
      <c r="C127" s="2" t="s">
        <v>417</v>
      </c>
      <c r="D127" s="2" t="s">
        <v>251</v>
      </c>
      <c r="E127" s="2" t="s">
        <v>252</v>
      </c>
      <c r="F127" s="2" t="s">
        <v>253</v>
      </c>
      <c r="G127" s="2" t="s">
        <v>274</v>
      </c>
      <c r="H127" s="35">
        <v>6100</v>
      </c>
      <c r="I127" s="2">
        <v>0</v>
      </c>
      <c r="J127" s="2">
        <v>34.200000000000003</v>
      </c>
      <c r="K127" s="2">
        <v>2</v>
      </c>
      <c r="L127" s="2">
        <v>17.100000000000001</v>
      </c>
      <c r="M127" s="2">
        <v>2.8</v>
      </c>
      <c r="N127" s="2">
        <v>23.6</v>
      </c>
      <c r="O127" s="2">
        <v>20.8</v>
      </c>
      <c r="P127" s="2" t="s">
        <v>275</v>
      </c>
      <c r="Q127" s="2" t="str">
        <f t="shared" si="8"/>
        <v>Jae</v>
      </c>
      <c r="R127" s="2" t="str">
        <f t="shared" si="9"/>
        <v>Crowder</v>
      </c>
      <c r="S127" s="2" t="str">
        <f t="shared" si="6"/>
        <v>Jae Crowder</v>
      </c>
      <c r="T127" s="2">
        <f t="shared" si="7"/>
        <v>23.6</v>
      </c>
    </row>
    <row r="128" spans="1:20" x14ac:dyDescent="0.25">
      <c r="A128" s="2"/>
      <c r="B128" s="2" t="s">
        <v>4</v>
      </c>
      <c r="C128" s="2" t="s">
        <v>418</v>
      </c>
      <c r="D128" s="2" t="s">
        <v>251</v>
      </c>
      <c r="E128" s="2" t="s">
        <v>252</v>
      </c>
      <c r="F128" s="2" t="s">
        <v>253</v>
      </c>
      <c r="G128" s="2" t="s">
        <v>259</v>
      </c>
      <c r="H128" s="35">
        <v>5500</v>
      </c>
      <c r="I128" s="2">
        <v>0</v>
      </c>
      <c r="J128" s="2">
        <v>32.1</v>
      </c>
      <c r="K128" s="2">
        <v>1</v>
      </c>
      <c r="L128" s="2">
        <v>32.1</v>
      </c>
      <c r="M128" s="2">
        <v>5.8</v>
      </c>
      <c r="N128" s="2">
        <v>23.6</v>
      </c>
      <c r="O128" s="2" t="s">
        <v>284</v>
      </c>
      <c r="P128" s="2" t="s">
        <v>260</v>
      </c>
      <c r="Q128" s="2" t="str">
        <f t="shared" si="8"/>
        <v>Terrence</v>
      </c>
      <c r="R128" s="2" t="str">
        <f t="shared" si="9"/>
        <v>Jones</v>
      </c>
      <c r="S128" s="2" t="str">
        <f t="shared" si="6"/>
        <v>Terrence Jones</v>
      </c>
      <c r="T128" s="2">
        <f t="shared" si="7"/>
        <v>23.6</v>
      </c>
    </row>
    <row r="129" spans="1:20" x14ac:dyDescent="0.25">
      <c r="A129" s="2"/>
      <c r="B129" s="2" t="s">
        <v>6</v>
      </c>
      <c r="C129" s="2" t="s">
        <v>419</v>
      </c>
      <c r="D129" s="2" t="s">
        <v>251</v>
      </c>
      <c r="E129" s="2" t="s">
        <v>252</v>
      </c>
      <c r="F129" s="2" t="s">
        <v>253</v>
      </c>
      <c r="G129" s="2" t="s">
        <v>278</v>
      </c>
      <c r="H129" s="35">
        <v>4700</v>
      </c>
      <c r="I129" s="2">
        <v>-100</v>
      </c>
      <c r="J129" s="2">
        <v>90.4</v>
      </c>
      <c r="K129" s="2">
        <v>4</v>
      </c>
      <c r="L129" s="2">
        <v>22.6</v>
      </c>
      <c r="M129" s="2">
        <v>4.8</v>
      </c>
      <c r="N129" s="2">
        <v>23.3</v>
      </c>
      <c r="O129" s="2">
        <v>16.2</v>
      </c>
      <c r="P129" s="2" t="s">
        <v>279</v>
      </c>
      <c r="Q129" s="2" t="str">
        <f t="shared" si="8"/>
        <v>Robin</v>
      </c>
      <c r="R129" s="2" t="str">
        <f t="shared" si="9"/>
        <v>Lopez</v>
      </c>
      <c r="S129" s="2" t="str">
        <f t="shared" si="6"/>
        <v>Robin Lopez</v>
      </c>
      <c r="T129" s="2">
        <f t="shared" si="7"/>
        <v>23.3</v>
      </c>
    </row>
    <row r="130" spans="1:20" x14ac:dyDescent="0.25">
      <c r="A130" s="2"/>
      <c r="B130" s="2" t="s">
        <v>7</v>
      </c>
      <c r="C130" s="2" t="s">
        <v>420</v>
      </c>
      <c r="D130" s="2" t="s">
        <v>251</v>
      </c>
      <c r="E130" s="2" t="s">
        <v>252</v>
      </c>
      <c r="F130" s="2" t="s">
        <v>253</v>
      </c>
      <c r="G130" s="2" t="s">
        <v>270</v>
      </c>
      <c r="H130" s="35">
        <v>5100</v>
      </c>
      <c r="I130" s="2">
        <v>0</v>
      </c>
      <c r="J130" s="2">
        <v>89.6</v>
      </c>
      <c r="K130" s="2">
        <v>4</v>
      </c>
      <c r="L130" s="2">
        <v>22.4</v>
      </c>
      <c r="M130" s="2">
        <v>4.4000000000000004</v>
      </c>
      <c r="N130" s="2">
        <v>23.3</v>
      </c>
      <c r="O130" s="2">
        <v>18.899999999999999</v>
      </c>
      <c r="P130" s="2" t="s">
        <v>271</v>
      </c>
      <c r="Q130" s="2" t="str">
        <f t="shared" si="8"/>
        <v>Gary</v>
      </c>
      <c r="R130" s="2" t="str">
        <f t="shared" si="9"/>
        <v>Harris</v>
      </c>
      <c r="S130" s="2" t="str">
        <f t="shared" si="6"/>
        <v>Gary Harris</v>
      </c>
      <c r="T130" s="2">
        <f t="shared" si="7"/>
        <v>23.3</v>
      </c>
    </row>
    <row r="131" spans="1:20" x14ac:dyDescent="0.25">
      <c r="A131" s="2"/>
      <c r="B131" s="2" t="s">
        <v>7</v>
      </c>
      <c r="C131" s="2" t="s">
        <v>421</v>
      </c>
      <c r="D131" s="2" t="s">
        <v>251</v>
      </c>
      <c r="E131" s="2" t="s">
        <v>252</v>
      </c>
      <c r="F131" s="2" t="s">
        <v>253</v>
      </c>
      <c r="G131" s="2" t="s">
        <v>62</v>
      </c>
      <c r="H131" s="35">
        <v>4600</v>
      </c>
      <c r="I131" s="2">
        <v>0</v>
      </c>
      <c r="J131" s="2">
        <v>67</v>
      </c>
      <c r="K131" s="2">
        <v>3</v>
      </c>
      <c r="L131" s="2">
        <v>22.3</v>
      </c>
      <c r="M131" s="2">
        <v>4.9000000000000004</v>
      </c>
      <c r="N131" s="2">
        <v>23.2</v>
      </c>
      <c r="O131" s="2">
        <v>17.2</v>
      </c>
      <c r="P131" s="2" t="s">
        <v>307</v>
      </c>
      <c r="Q131" s="2" t="str">
        <f t="shared" si="8"/>
        <v>Nick</v>
      </c>
      <c r="R131" s="2" t="str">
        <f t="shared" si="9"/>
        <v>Young</v>
      </c>
      <c r="S131" s="2" t="str">
        <f t="shared" si="6"/>
        <v>Nick Young</v>
      </c>
      <c r="T131" s="2">
        <f t="shared" si="7"/>
        <v>23.2</v>
      </c>
    </row>
    <row r="132" spans="1:20" x14ac:dyDescent="0.25">
      <c r="A132" s="2"/>
      <c r="B132" s="2" t="s">
        <v>4</v>
      </c>
      <c r="C132" s="2" t="s">
        <v>422</v>
      </c>
      <c r="D132" s="2" t="s">
        <v>251</v>
      </c>
      <c r="E132" s="2" t="s">
        <v>252</v>
      </c>
      <c r="F132" s="2" t="s">
        <v>253</v>
      </c>
      <c r="G132" s="2" t="s">
        <v>285</v>
      </c>
      <c r="H132" s="35">
        <v>5000</v>
      </c>
      <c r="I132" s="2">
        <v>0</v>
      </c>
      <c r="J132" s="2">
        <v>88.5</v>
      </c>
      <c r="K132" s="2">
        <v>4</v>
      </c>
      <c r="L132" s="2">
        <v>22.1</v>
      </c>
      <c r="M132" s="2">
        <v>4.4000000000000004</v>
      </c>
      <c r="N132" s="2">
        <v>23.2</v>
      </c>
      <c r="O132" s="2">
        <v>26.1</v>
      </c>
      <c r="P132" s="2" t="s">
        <v>286</v>
      </c>
      <c r="Q132" s="2" t="str">
        <f t="shared" si="8"/>
        <v>Derrick</v>
      </c>
      <c r="R132" s="2" t="str">
        <f t="shared" si="9"/>
        <v>Favors</v>
      </c>
      <c r="S132" s="2" t="str">
        <f t="shared" si="6"/>
        <v>Derrick Favors</v>
      </c>
      <c r="T132" s="2">
        <f t="shared" si="7"/>
        <v>23.2</v>
      </c>
    </row>
    <row r="133" spans="1:20" x14ac:dyDescent="0.25">
      <c r="A133" s="2"/>
      <c r="B133" s="2" t="s">
        <v>4</v>
      </c>
      <c r="C133" s="2" t="s">
        <v>423</v>
      </c>
      <c r="D133" s="2" t="s">
        <v>251</v>
      </c>
      <c r="E133" s="2" t="s">
        <v>252</v>
      </c>
      <c r="F133" s="2" t="s">
        <v>253</v>
      </c>
      <c r="G133" s="2" t="s">
        <v>287</v>
      </c>
      <c r="H133" s="35">
        <v>5500</v>
      </c>
      <c r="I133" s="2">
        <v>0</v>
      </c>
      <c r="J133" s="2">
        <v>102.8</v>
      </c>
      <c r="K133" s="2">
        <v>4</v>
      </c>
      <c r="L133" s="2">
        <v>25.7</v>
      </c>
      <c r="M133" s="2">
        <v>4.7</v>
      </c>
      <c r="N133" s="2">
        <v>23.2</v>
      </c>
      <c r="O133" s="2">
        <v>8.6</v>
      </c>
      <c r="P133" s="2" t="s">
        <v>288</v>
      </c>
      <c r="Q133" s="2" t="str">
        <f t="shared" si="8"/>
        <v>Tobias</v>
      </c>
      <c r="R133" s="2" t="str">
        <f t="shared" si="9"/>
        <v>Harris</v>
      </c>
      <c r="S133" s="2" t="str">
        <f t="shared" si="6"/>
        <v>Tobias Harris</v>
      </c>
      <c r="T133" s="2">
        <f t="shared" si="7"/>
        <v>23.2</v>
      </c>
    </row>
    <row r="134" spans="1:20" x14ac:dyDescent="0.25">
      <c r="A134" s="2"/>
      <c r="B134" s="2" t="s">
        <v>7</v>
      </c>
      <c r="C134" s="2" t="s">
        <v>424</v>
      </c>
      <c r="D134" s="2" t="s">
        <v>251</v>
      </c>
      <c r="E134" s="2" t="s">
        <v>252</v>
      </c>
      <c r="F134" s="2" t="s">
        <v>253</v>
      </c>
      <c r="G134" s="2" t="s">
        <v>308</v>
      </c>
      <c r="H134" s="35">
        <v>5400</v>
      </c>
      <c r="I134" s="2">
        <v>0</v>
      </c>
      <c r="J134" s="2">
        <v>71.099999999999994</v>
      </c>
      <c r="K134" s="2">
        <v>3</v>
      </c>
      <c r="L134" s="2">
        <v>23.7</v>
      </c>
      <c r="M134" s="2">
        <v>4.4000000000000004</v>
      </c>
      <c r="N134" s="2">
        <v>23.2</v>
      </c>
      <c r="O134" s="2">
        <v>24.5</v>
      </c>
      <c r="P134" s="2" t="s">
        <v>309</v>
      </c>
      <c r="Q134" s="2" t="str">
        <f t="shared" si="8"/>
        <v>Seth</v>
      </c>
      <c r="R134" s="2" t="str">
        <f t="shared" si="9"/>
        <v>Curry</v>
      </c>
      <c r="S134" s="2" t="str">
        <f t="shared" ref="S134:S197" si="10">Q134&amp;" "&amp;R134</f>
        <v>Seth Curry</v>
      </c>
      <c r="T134" s="2">
        <f t="shared" ref="T134:T197" si="11">N134</f>
        <v>23.2</v>
      </c>
    </row>
    <row r="135" spans="1:20" x14ac:dyDescent="0.25">
      <c r="A135" s="2"/>
      <c r="B135" s="2" t="s">
        <v>6</v>
      </c>
      <c r="C135" s="2" t="s">
        <v>425</v>
      </c>
      <c r="D135" s="2" t="s">
        <v>251</v>
      </c>
      <c r="E135" s="2" t="s">
        <v>252</v>
      </c>
      <c r="F135" s="2" t="s">
        <v>253</v>
      </c>
      <c r="G135" s="2" t="s">
        <v>266</v>
      </c>
      <c r="H135" s="35">
        <v>4300</v>
      </c>
      <c r="I135" s="2">
        <v>0</v>
      </c>
      <c r="J135" s="2">
        <v>106.4</v>
      </c>
      <c r="K135" s="2">
        <v>4</v>
      </c>
      <c r="L135" s="2">
        <v>26.6</v>
      </c>
      <c r="M135" s="2">
        <v>6.2</v>
      </c>
      <c r="N135" s="2">
        <v>23.2</v>
      </c>
      <c r="O135" s="2">
        <v>20.9</v>
      </c>
      <c r="P135" s="2" t="s">
        <v>267</v>
      </c>
      <c r="Q135" s="2" t="str">
        <f t="shared" si="8"/>
        <v>Dewayne</v>
      </c>
      <c r="R135" s="2" t="str">
        <f t="shared" si="9"/>
        <v>Dedmon</v>
      </c>
      <c r="S135" s="2" t="str">
        <f t="shared" si="10"/>
        <v>Dewayne Dedmon</v>
      </c>
      <c r="T135" s="2">
        <f t="shared" si="11"/>
        <v>23.2</v>
      </c>
    </row>
    <row r="136" spans="1:20" x14ac:dyDescent="0.25">
      <c r="A136" s="2"/>
      <c r="B136" s="2" t="s">
        <v>7</v>
      </c>
      <c r="C136" s="2" t="s">
        <v>426</v>
      </c>
      <c r="D136" s="2" t="s">
        <v>251</v>
      </c>
      <c r="E136" s="2" t="s">
        <v>252</v>
      </c>
      <c r="F136" s="2" t="s">
        <v>253</v>
      </c>
      <c r="G136" s="2" t="s">
        <v>291</v>
      </c>
      <c r="H136" s="35">
        <v>4700</v>
      </c>
      <c r="I136" s="2">
        <v>0</v>
      </c>
      <c r="J136" s="2">
        <v>56.7</v>
      </c>
      <c r="K136" s="2">
        <v>2</v>
      </c>
      <c r="L136" s="2">
        <v>28.4</v>
      </c>
      <c r="M136" s="2">
        <v>6</v>
      </c>
      <c r="N136" s="2">
        <v>22.8</v>
      </c>
      <c r="O136" s="2" t="s">
        <v>284</v>
      </c>
      <c r="P136" s="2" t="s">
        <v>292</v>
      </c>
      <c r="Q136" s="2" t="str">
        <f t="shared" ref="Q136:Q199" si="12">MID(C136,FIND(" ",C136)+1,256)</f>
        <v>Tony</v>
      </c>
      <c r="R136" s="2" t="str">
        <f t="shared" ref="R136:R199" si="13">LEFT(C136,(FIND(" ",C136,1)-1))</f>
        <v>Allen</v>
      </c>
      <c r="S136" s="2" t="str">
        <f t="shared" si="10"/>
        <v>Tony Allen</v>
      </c>
      <c r="T136" s="2">
        <f t="shared" si="11"/>
        <v>22.8</v>
      </c>
    </row>
    <row r="137" spans="1:20" x14ac:dyDescent="0.25">
      <c r="A137" s="2"/>
      <c r="B137" s="2" t="s">
        <v>7</v>
      </c>
      <c r="C137" s="2" t="s">
        <v>427</v>
      </c>
      <c r="D137" s="2" t="s">
        <v>251</v>
      </c>
      <c r="E137" s="2" t="s">
        <v>252</v>
      </c>
      <c r="F137" s="2" t="s">
        <v>253</v>
      </c>
      <c r="G137" s="2" t="s">
        <v>278</v>
      </c>
      <c r="H137" s="35">
        <v>4900</v>
      </c>
      <c r="I137" s="2">
        <v>300</v>
      </c>
      <c r="J137" s="2">
        <v>62.2</v>
      </c>
      <c r="K137" s="2">
        <v>4</v>
      </c>
      <c r="L137" s="2">
        <v>15.6</v>
      </c>
      <c r="M137" s="2">
        <v>3.2</v>
      </c>
      <c r="N137" s="2">
        <v>22.6</v>
      </c>
      <c r="O137" s="2">
        <v>21.5</v>
      </c>
      <c r="P137" s="2" t="s">
        <v>279</v>
      </c>
      <c r="Q137" s="2" t="str">
        <f t="shared" si="12"/>
        <v>Micha</v>
      </c>
      <c r="R137" s="2" t="str">
        <f t="shared" si="13"/>
        <v>Carter-Williams</v>
      </c>
      <c r="S137" s="2" t="str">
        <f t="shared" si="10"/>
        <v>Micha Carter-Williams</v>
      </c>
      <c r="T137" s="2">
        <f t="shared" si="11"/>
        <v>22.6</v>
      </c>
    </row>
    <row r="138" spans="1:20" x14ac:dyDescent="0.25">
      <c r="A138" s="2"/>
      <c r="B138" s="2" t="s">
        <v>4</v>
      </c>
      <c r="C138" s="2" t="s">
        <v>428</v>
      </c>
      <c r="D138" s="2" t="s">
        <v>251</v>
      </c>
      <c r="E138" s="2" t="s">
        <v>252</v>
      </c>
      <c r="F138" s="2" t="s">
        <v>253</v>
      </c>
      <c r="G138" s="2" t="s">
        <v>62</v>
      </c>
      <c r="H138" s="35">
        <v>4300</v>
      </c>
      <c r="I138" s="2">
        <v>0</v>
      </c>
      <c r="J138" s="2">
        <v>59.6</v>
      </c>
      <c r="K138" s="2">
        <v>3</v>
      </c>
      <c r="L138" s="2">
        <v>19.899999999999999</v>
      </c>
      <c r="M138" s="2">
        <v>4.5999999999999996</v>
      </c>
      <c r="N138" s="2">
        <v>22.6</v>
      </c>
      <c r="O138" s="2">
        <v>24.7</v>
      </c>
      <c r="P138" s="2" t="s">
        <v>307</v>
      </c>
      <c r="Q138" s="2" t="str">
        <f t="shared" si="12"/>
        <v>Larry</v>
      </c>
      <c r="R138" s="2" t="str">
        <f t="shared" si="13"/>
        <v>Nance</v>
      </c>
      <c r="S138" s="2" t="str">
        <f t="shared" si="10"/>
        <v>Larry Nance</v>
      </c>
      <c r="T138" s="2">
        <f t="shared" si="11"/>
        <v>22.6</v>
      </c>
    </row>
    <row r="139" spans="1:20" x14ac:dyDescent="0.25">
      <c r="A139" s="2"/>
      <c r="B139" s="2" t="s">
        <v>4</v>
      </c>
      <c r="C139" s="2" t="s">
        <v>429</v>
      </c>
      <c r="D139" s="2" t="s">
        <v>251</v>
      </c>
      <c r="E139" s="2" t="s">
        <v>252</v>
      </c>
      <c r="F139" s="2" t="s">
        <v>253</v>
      </c>
      <c r="G139" s="2" t="s">
        <v>270</v>
      </c>
      <c r="H139" s="35">
        <v>6100</v>
      </c>
      <c r="I139" s="2">
        <v>0</v>
      </c>
      <c r="J139" s="2">
        <v>4.9000000000000004</v>
      </c>
      <c r="K139" s="2">
        <v>1</v>
      </c>
      <c r="L139" s="2">
        <v>4.9000000000000004</v>
      </c>
      <c r="M139" s="2">
        <v>0.8</v>
      </c>
      <c r="N139" s="2">
        <v>22.4</v>
      </c>
      <c r="O139" s="2" t="s">
        <v>284</v>
      </c>
      <c r="P139" s="2" t="s">
        <v>271</v>
      </c>
      <c r="Q139" s="2" t="str">
        <f t="shared" si="12"/>
        <v>Kenneth</v>
      </c>
      <c r="R139" s="2" t="str">
        <f t="shared" si="13"/>
        <v>Faried</v>
      </c>
      <c r="S139" s="2" t="str">
        <f t="shared" si="10"/>
        <v>Kenneth Faried</v>
      </c>
      <c r="T139" s="2">
        <f t="shared" si="11"/>
        <v>22.4</v>
      </c>
    </row>
    <row r="140" spans="1:20" x14ac:dyDescent="0.25">
      <c r="A140" s="2"/>
      <c r="B140" s="2" t="s">
        <v>4</v>
      </c>
      <c r="C140" s="2" t="s">
        <v>430</v>
      </c>
      <c r="D140" s="2" t="s">
        <v>251</v>
      </c>
      <c r="E140" s="2" t="s">
        <v>252</v>
      </c>
      <c r="F140" s="2" t="s">
        <v>253</v>
      </c>
      <c r="G140" s="2" t="s">
        <v>303</v>
      </c>
      <c r="H140" s="35">
        <v>5100</v>
      </c>
      <c r="I140" s="2">
        <v>0</v>
      </c>
      <c r="J140" s="2">
        <v>45.9</v>
      </c>
      <c r="K140" s="2">
        <v>3</v>
      </c>
      <c r="L140" s="2">
        <v>15.3</v>
      </c>
      <c r="M140" s="2">
        <v>3</v>
      </c>
      <c r="N140" s="2">
        <v>22.2</v>
      </c>
      <c r="O140" s="2">
        <v>9</v>
      </c>
      <c r="P140" s="2" t="s">
        <v>304</v>
      </c>
      <c r="Q140" s="2" t="str">
        <f t="shared" si="12"/>
        <v>Marvin</v>
      </c>
      <c r="R140" s="2" t="str">
        <f t="shared" si="13"/>
        <v>Williams</v>
      </c>
      <c r="S140" s="2" t="str">
        <f t="shared" si="10"/>
        <v>Marvin Williams</v>
      </c>
      <c r="T140" s="2">
        <f t="shared" si="11"/>
        <v>22.2</v>
      </c>
    </row>
    <row r="141" spans="1:20" x14ac:dyDescent="0.25">
      <c r="A141" s="2"/>
      <c r="B141" s="2" t="s">
        <v>5</v>
      </c>
      <c r="C141" s="2" t="s">
        <v>431</v>
      </c>
      <c r="D141" s="2" t="s">
        <v>251</v>
      </c>
      <c r="E141" s="2" t="s">
        <v>252</v>
      </c>
      <c r="F141" s="2" t="s">
        <v>253</v>
      </c>
      <c r="G141" s="2" t="s">
        <v>301</v>
      </c>
      <c r="H141" s="35">
        <v>4900</v>
      </c>
      <c r="I141" s="2">
        <v>0</v>
      </c>
      <c r="J141" s="2">
        <v>79.8</v>
      </c>
      <c r="K141" s="2">
        <v>3</v>
      </c>
      <c r="L141" s="2">
        <v>26.6</v>
      </c>
      <c r="M141" s="2">
        <v>5.4</v>
      </c>
      <c r="N141" s="2">
        <v>22.1</v>
      </c>
      <c r="O141" s="2">
        <v>29.2</v>
      </c>
      <c r="P141" s="2" t="s">
        <v>302</v>
      </c>
      <c r="Q141" s="2" t="str">
        <f t="shared" si="12"/>
        <v>Kent</v>
      </c>
      <c r="R141" s="2" t="str">
        <f t="shared" si="13"/>
        <v>Bazemore</v>
      </c>
      <c r="S141" s="2" t="str">
        <f t="shared" si="10"/>
        <v>Kent Bazemore</v>
      </c>
      <c r="T141" s="2">
        <f t="shared" si="11"/>
        <v>22.1</v>
      </c>
    </row>
    <row r="142" spans="1:20" x14ac:dyDescent="0.25">
      <c r="A142" s="2"/>
      <c r="B142" s="2" t="s">
        <v>3</v>
      </c>
      <c r="C142" s="2" t="s">
        <v>432</v>
      </c>
      <c r="D142" s="2" t="s">
        <v>251</v>
      </c>
      <c r="E142" s="2" t="s">
        <v>252</v>
      </c>
      <c r="F142" s="2" t="s">
        <v>253</v>
      </c>
      <c r="G142" s="2" t="s">
        <v>270</v>
      </c>
      <c r="H142" s="35">
        <v>5300</v>
      </c>
      <c r="I142" s="2">
        <v>0</v>
      </c>
      <c r="J142" s="2">
        <v>127.7</v>
      </c>
      <c r="K142" s="2">
        <v>4</v>
      </c>
      <c r="L142" s="2">
        <v>31.9</v>
      </c>
      <c r="M142" s="2">
        <v>6</v>
      </c>
      <c r="N142" s="2">
        <v>22</v>
      </c>
      <c r="O142" s="2">
        <v>33.1</v>
      </c>
      <c r="P142" s="2" t="s">
        <v>271</v>
      </c>
      <c r="Q142" s="2" t="str">
        <f t="shared" si="12"/>
        <v>Jameer</v>
      </c>
      <c r="R142" s="2" t="str">
        <f t="shared" si="13"/>
        <v>Nelson</v>
      </c>
      <c r="S142" s="2" t="str">
        <f t="shared" si="10"/>
        <v>Jameer Nelson</v>
      </c>
      <c r="T142" s="2">
        <f t="shared" si="11"/>
        <v>22</v>
      </c>
    </row>
    <row r="143" spans="1:20" x14ac:dyDescent="0.25">
      <c r="A143" s="2"/>
      <c r="B143" s="2" t="s">
        <v>3</v>
      </c>
      <c r="C143" s="2" t="s">
        <v>433</v>
      </c>
      <c r="D143" s="2" t="s">
        <v>251</v>
      </c>
      <c r="E143" s="2" t="s">
        <v>252</v>
      </c>
      <c r="F143" s="2" t="s">
        <v>253</v>
      </c>
      <c r="G143" s="2" t="s">
        <v>287</v>
      </c>
      <c r="H143" s="35">
        <v>4300</v>
      </c>
      <c r="I143" s="2">
        <v>0</v>
      </c>
      <c r="J143" s="2">
        <v>88.5</v>
      </c>
      <c r="K143" s="2">
        <v>4</v>
      </c>
      <c r="L143" s="2">
        <v>22.1</v>
      </c>
      <c r="M143" s="2">
        <v>5.0999999999999996</v>
      </c>
      <c r="N143" s="2">
        <v>22</v>
      </c>
      <c r="O143" s="2">
        <v>8.1</v>
      </c>
      <c r="P143" s="2" t="s">
        <v>288</v>
      </c>
      <c r="Q143" s="2" t="str">
        <f t="shared" si="12"/>
        <v>Ishmael</v>
      </c>
      <c r="R143" s="2" t="str">
        <f t="shared" si="13"/>
        <v>Smith</v>
      </c>
      <c r="S143" s="2" t="str">
        <f t="shared" si="10"/>
        <v>Ishmael Smith</v>
      </c>
      <c r="T143" s="2">
        <f t="shared" si="11"/>
        <v>22</v>
      </c>
    </row>
    <row r="144" spans="1:20" x14ac:dyDescent="0.25">
      <c r="A144" s="2"/>
      <c r="B144" s="2" t="s">
        <v>6</v>
      </c>
      <c r="C144" s="2" t="s">
        <v>434</v>
      </c>
      <c r="D144" s="2" t="s">
        <v>251</v>
      </c>
      <c r="E144" s="2" t="s">
        <v>252</v>
      </c>
      <c r="F144" s="2" t="s">
        <v>253</v>
      </c>
      <c r="G144" s="2" t="s">
        <v>297</v>
      </c>
      <c r="H144" s="35">
        <v>4400</v>
      </c>
      <c r="I144" s="2">
        <v>0</v>
      </c>
      <c r="J144" s="2">
        <v>90.3</v>
      </c>
      <c r="K144" s="2">
        <v>3</v>
      </c>
      <c r="L144" s="2">
        <v>30.1</v>
      </c>
      <c r="M144" s="2">
        <v>6.8</v>
      </c>
      <c r="N144" s="2">
        <v>21.9</v>
      </c>
      <c r="O144" s="2">
        <v>19.399999999999999</v>
      </c>
      <c r="P144" s="2" t="s">
        <v>298</v>
      </c>
      <c r="Q144" s="2" t="str">
        <f t="shared" si="12"/>
        <v>Kyle</v>
      </c>
      <c r="R144" s="2" t="str">
        <f t="shared" si="13"/>
        <v>O'Quinn</v>
      </c>
      <c r="S144" s="2" t="str">
        <f t="shared" si="10"/>
        <v>Kyle O'Quinn</v>
      </c>
      <c r="T144" s="2">
        <f t="shared" si="11"/>
        <v>21.9</v>
      </c>
    </row>
    <row r="145" spans="1:20" x14ac:dyDescent="0.25">
      <c r="A145" s="2"/>
      <c r="B145" s="2" t="s">
        <v>5</v>
      </c>
      <c r="C145" s="2" t="s">
        <v>435</v>
      </c>
      <c r="D145" s="2" t="s">
        <v>251</v>
      </c>
      <c r="E145" s="2" t="s">
        <v>252</v>
      </c>
      <c r="F145" s="2" t="s">
        <v>253</v>
      </c>
      <c r="G145" s="2" t="s">
        <v>303</v>
      </c>
      <c r="H145" s="35">
        <v>5500</v>
      </c>
      <c r="I145" s="2">
        <v>0</v>
      </c>
      <c r="J145" s="2">
        <v>72.599999999999994</v>
      </c>
      <c r="K145" s="2">
        <v>3</v>
      </c>
      <c r="L145" s="2">
        <v>24.2</v>
      </c>
      <c r="M145" s="2">
        <v>4.4000000000000004</v>
      </c>
      <c r="N145" s="2">
        <v>21.9</v>
      </c>
      <c r="O145" s="2">
        <v>21.4</v>
      </c>
      <c r="P145" s="2" t="s">
        <v>304</v>
      </c>
      <c r="Q145" s="2" t="str">
        <f t="shared" si="12"/>
        <v>Michae</v>
      </c>
      <c r="R145" s="2" t="str">
        <f t="shared" si="13"/>
        <v>Kidd-Gilchrist</v>
      </c>
      <c r="S145" s="2" t="str">
        <f t="shared" si="10"/>
        <v>Michae Kidd-Gilchrist</v>
      </c>
      <c r="T145" s="2">
        <f t="shared" si="11"/>
        <v>21.9</v>
      </c>
    </row>
    <row r="146" spans="1:20" x14ac:dyDescent="0.25">
      <c r="A146" s="2"/>
      <c r="B146" s="2" t="s">
        <v>5</v>
      </c>
      <c r="C146" s="2" t="s">
        <v>436</v>
      </c>
      <c r="D146" s="2" t="s">
        <v>251</v>
      </c>
      <c r="E146" s="2" t="s">
        <v>252</v>
      </c>
      <c r="F146" s="2" t="s">
        <v>253</v>
      </c>
      <c r="G146" s="2" t="s">
        <v>305</v>
      </c>
      <c r="H146" s="35">
        <v>4400</v>
      </c>
      <c r="I146" s="2">
        <v>0</v>
      </c>
      <c r="J146" s="2">
        <v>69.2</v>
      </c>
      <c r="K146" s="2">
        <v>3</v>
      </c>
      <c r="L146" s="2">
        <v>23.1</v>
      </c>
      <c r="M146" s="2">
        <v>5.2</v>
      </c>
      <c r="N146" s="2">
        <v>21.8</v>
      </c>
      <c r="O146" s="2">
        <v>18</v>
      </c>
      <c r="P146" s="2" t="s">
        <v>306</v>
      </c>
      <c r="Q146" s="2" t="str">
        <f t="shared" si="12"/>
        <v>Bojan</v>
      </c>
      <c r="R146" s="2" t="str">
        <f t="shared" si="13"/>
        <v>Bogdanovic</v>
      </c>
      <c r="S146" s="2" t="str">
        <f t="shared" si="10"/>
        <v>Bojan Bogdanovic</v>
      </c>
      <c r="T146" s="2">
        <f t="shared" si="11"/>
        <v>21.8</v>
      </c>
    </row>
    <row r="147" spans="1:20" x14ac:dyDescent="0.25">
      <c r="A147" s="2"/>
      <c r="B147" s="2" t="s">
        <v>5</v>
      </c>
      <c r="C147" s="2" t="s">
        <v>437</v>
      </c>
      <c r="D147" s="2" t="s">
        <v>251</v>
      </c>
      <c r="E147" s="2" t="s">
        <v>252</v>
      </c>
      <c r="F147" s="2" t="s">
        <v>253</v>
      </c>
      <c r="G147" s="2" t="s">
        <v>305</v>
      </c>
      <c r="H147" s="35">
        <v>4500</v>
      </c>
      <c r="I147" s="2">
        <v>0</v>
      </c>
      <c r="J147" s="2">
        <v>71.5</v>
      </c>
      <c r="K147" s="2">
        <v>3</v>
      </c>
      <c r="L147" s="2">
        <v>23.8</v>
      </c>
      <c r="M147" s="2">
        <v>5.3</v>
      </c>
      <c r="N147" s="2">
        <v>21.8</v>
      </c>
      <c r="O147" s="2">
        <v>22.6</v>
      </c>
      <c r="P147" s="2" t="s">
        <v>306</v>
      </c>
      <c r="Q147" s="2" t="str">
        <f t="shared" si="12"/>
        <v>Rond</v>
      </c>
      <c r="R147" s="2" t="str">
        <f t="shared" si="13"/>
        <v>Hollis-Jefferson</v>
      </c>
      <c r="S147" s="2" t="str">
        <f t="shared" si="10"/>
        <v>Rond Hollis-Jefferson</v>
      </c>
      <c r="T147" s="2">
        <f t="shared" si="11"/>
        <v>21.8</v>
      </c>
    </row>
    <row r="148" spans="1:20" x14ac:dyDescent="0.25">
      <c r="A148" s="2"/>
      <c r="B148" s="2"/>
      <c r="C148" s="2"/>
      <c r="D148" s="2"/>
      <c r="E148" s="2"/>
      <c r="F148" s="2"/>
      <c r="G148" s="2"/>
      <c r="H148" s="42">
        <v>42782</v>
      </c>
      <c r="I148" s="2" t="s">
        <v>232</v>
      </c>
      <c r="J148" s="2" t="s">
        <v>233</v>
      </c>
      <c r="K148" s="2" t="s">
        <v>232</v>
      </c>
      <c r="L148" s="2" t="s">
        <v>234</v>
      </c>
      <c r="M148" s="2" t="s">
        <v>235</v>
      </c>
      <c r="N148" s="2" t="s">
        <v>232</v>
      </c>
      <c r="O148" s="2" t="s">
        <v>232</v>
      </c>
      <c r="P148" s="2" t="s">
        <v>236</v>
      </c>
      <c r="Q148" s="2" t="e">
        <f t="shared" si="12"/>
        <v>#VALUE!</v>
      </c>
      <c r="R148" s="2" t="e">
        <f t="shared" si="13"/>
        <v>#VALUE!</v>
      </c>
      <c r="S148" s="2" t="e">
        <f t="shared" si="10"/>
        <v>#VALUE!</v>
      </c>
      <c r="T148" s="2" t="str">
        <f t="shared" si="11"/>
        <v>Last</v>
      </c>
    </row>
    <row r="149" spans="1:20" x14ac:dyDescent="0.25">
      <c r="A149" s="2"/>
      <c r="B149" s="2"/>
      <c r="C149" s="2"/>
      <c r="D149" s="2"/>
      <c r="E149" s="2"/>
      <c r="F149" s="2"/>
      <c r="G149" s="2"/>
      <c r="H149" s="2" t="s">
        <v>142</v>
      </c>
      <c r="I149" s="2" t="s">
        <v>142</v>
      </c>
      <c r="J149" s="2" t="s">
        <v>237</v>
      </c>
      <c r="K149" s="2"/>
      <c r="L149" s="2" t="s">
        <v>238</v>
      </c>
      <c r="M149" s="2" t="s">
        <v>239</v>
      </c>
      <c r="N149" s="2" t="s">
        <v>240</v>
      </c>
      <c r="O149" s="2" t="s">
        <v>1</v>
      </c>
      <c r="P149" s="2" t="s">
        <v>241</v>
      </c>
      <c r="Q149" s="2" t="e">
        <f t="shared" si="12"/>
        <v>#VALUE!</v>
      </c>
      <c r="R149" s="2" t="e">
        <f t="shared" si="13"/>
        <v>#VALUE!</v>
      </c>
      <c r="S149" s="2" t="e">
        <f t="shared" si="10"/>
        <v>#VALUE!</v>
      </c>
      <c r="T149" s="2" t="str">
        <f t="shared" si="11"/>
        <v>15 day</v>
      </c>
    </row>
    <row r="150" spans="1:20" x14ac:dyDescent="0.25">
      <c r="A150" s="2"/>
      <c r="B150" s="2" t="s">
        <v>8</v>
      </c>
      <c r="C150" s="2" t="s">
        <v>242</v>
      </c>
      <c r="D150" s="2" t="s">
        <v>243</v>
      </c>
      <c r="E150" s="2" t="s">
        <v>244</v>
      </c>
      <c r="F150" s="2" t="s">
        <v>245</v>
      </c>
      <c r="G150" s="2" t="s">
        <v>2</v>
      </c>
      <c r="H150" s="43">
        <v>0</v>
      </c>
      <c r="I150" s="2" t="s">
        <v>246</v>
      </c>
      <c r="J150" s="2" t="s">
        <v>238</v>
      </c>
      <c r="K150" s="2" t="s">
        <v>247</v>
      </c>
      <c r="L150" s="2" t="s">
        <v>248</v>
      </c>
      <c r="M150" s="2" t="s">
        <v>249</v>
      </c>
      <c r="N150" s="2" t="s">
        <v>250</v>
      </c>
      <c r="O150" s="2" t="s">
        <v>238</v>
      </c>
      <c r="P150" s="2">
        <v>1.23456789012345E+27</v>
      </c>
      <c r="Q150" s="2" t="e">
        <f t="shared" si="12"/>
        <v>#VALUE!</v>
      </c>
      <c r="R150" s="2" t="e">
        <f t="shared" si="13"/>
        <v>#VALUE!</v>
      </c>
      <c r="S150" s="2" t="e">
        <f t="shared" si="10"/>
        <v>#VALUE!</v>
      </c>
      <c r="T150" s="2" t="str">
        <f t="shared" si="11"/>
        <v>FDP/G</v>
      </c>
    </row>
    <row r="151" spans="1:20" x14ac:dyDescent="0.25">
      <c r="A151" s="2"/>
      <c r="B151" s="2" t="s">
        <v>6</v>
      </c>
      <c r="C151" s="2" t="s">
        <v>438</v>
      </c>
      <c r="D151" s="2" t="s">
        <v>251</v>
      </c>
      <c r="E151" s="2" t="s">
        <v>252</v>
      </c>
      <c r="F151" s="2" t="s">
        <v>253</v>
      </c>
      <c r="G151" s="2" t="s">
        <v>276</v>
      </c>
      <c r="H151" s="35">
        <v>3700</v>
      </c>
      <c r="I151" s="2">
        <v>0</v>
      </c>
      <c r="J151" s="2">
        <v>28.1</v>
      </c>
      <c r="K151" s="2">
        <v>2</v>
      </c>
      <c r="L151" s="2">
        <v>14.1</v>
      </c>
      <c r="M151" s="2">
        <v>3.8</v>
      </c>
      <c r="N151" s="2">
        <v>21.5</v>
      </c>
      <c r="O151" s="2" t="s">
        <v>284</v>
      </c>
      <c r="P151" s="2" t="s">
        <v>277</v>
      </c>
      <c r="Q151" s="2" t="str">
        <f t="shared" si="12"/>
        <v>John</v>
      </c>
      <c r="R151" s="2" t="str">
        <f t="shared" si="13"/>
        <v>Henson</v>
      </c>
      <c r="S151" s="2" t="str">
        <f t="shared" si="10"/>
        <v>John Henson</v>
      </c>
      <c r="T151" s="2">
        <f t="shared" si="11"/>
        <v>21.5</v>
      </c>
    </row>
    <row r="152" spans="1:20" x14ac:dyDescent="0.25">
      <c r="A152" s="2"/>
      <c r="B152" s="2" t="s">
        <v>7</v>
      </c>
      <c r="C152" s="2" t="s">
        <v>439</v>
      </c>
      <c r="D152" s="2" t="s">
        <v>251</v>
      </c>
      <c r="E152" s="2" t="s">
        <v>252</v>
      </c>
      <c r="F152" s="2" t="s">
        <v>253</v>
      </c>
      <c r="G152" s="2" t="s">
        <v>287</v>
      </c>
      <c r="H152" s="35">
        <v>4900</v>
      </c>
      <c r="I152" s="2">
        <v>0</v>
      </c>
      <c r="J152" s="2">
        <v>75.5</v>
      </c>
      <c r="K152" s="2">
        <v>4</v>
      </c>
      <c r="L152" s="2">
        <v>18.899999999999999</v>
      </c>
      <c r="M152" s="2">
        <v>3.9</v>
      </c>
      <c r="N152" s="2">
        <v>21.4</v>
      </c>
      <c r="O152" s="2">
        <v>11.1</v>
      </c>
      <c r="P152" s="2" t="s">
        <v>288</v>
      </c>
      <c r="Q152" s="2" t="str">
        <f t="shared" si="12"/>
        <v>Kentavi</v>
      </c>
      <c r="R152" s="2" t="str">
        <f t="shared" si="13"/>
        <v>Caldwell-Pope</v>
      </c>
      <c r="S152" s="2" t="str">
        <f t="shared" si="10"/>
        <v>Kentavi Caldwell-Pope</v>
      </c>
      <c r="T152" s="2">
        <f t="shared" si="11"/>
        <v>21.4</v>
      </c>
    </row>
    <row r="153" spans="1:20" x14ac:dyDescent="0.25">
      <c r="A153" s="2"/>
      <c r="B153" s="2" t="s">
        <v>4</v>
      </c>
      <c r="C153" s="2" t="s">
        <v>440</v>
      </c>
      <c r="D153" s="2" t="s">
        <v>251</v>
      </c>
      <c r="E153" s="2" t="s">
        <v>252</v>
      </c>
      <c r="F153" s="2" t="s">
        <v>253</v>
      </c>
      <c r="G153" s="2" t="s">
        <v>310</v>
      </c>
      <c r="H153" s="35">
        <v>5600</v>
      </c>
      <c r="I153" s="2">
        <v>0</v>
      </c>
      <c r="J153" s="2">
        <v>102.4</v>
      </c>
      <c r="K153" s="2">
        <v>4</v>
      </c>
      <c r="L153" s="2">
        <v>25.6</v>
      </c>
      <c r="M153" s="2">
        <v>4.5999999999999996</v>
      </c>
      <c r="N153" s="2">
        <v>21.3</v>
      </c>
      <c r="O153" s="2">
        <v>30.9</v>
      </c>
      <c r="P153" s="2" t="s">
        <v>311</v>
      </c>
      <c r="Q153" s="2" t="str">
        <f t="shared" si="12"/>
        <v>Nerlens</v>
      </c>
      <c r="R153" s="2" t="str">
        <f t="shared" si="13"/>
        <v>Noel</v>
      </c>
      <c r="S153" s="2" t="str">
        <f t="shared" si="10"/>
        <v>Nerlens Noel</v>
      </c>
      <c r="T153" s="2">
        <f t="shared" si="11"/>
        <v>21.3</v>
      </c>
    </row>
    <row r="154" spans="1:20" x14ac:dyDescent="0.25">
      <c r="A154" s="2"/>
      <c r="B154" s="2" t="s">
        <v>5</v>
      </c>
      <c r="C154" s="2" t="s">
        <v>441</v>
      </c>
      <c r="D154" s="2" t="s">
        <v>251</v>
      </c>
      <c r="E154" s="2" t="s">
        <v>252</v>
      </c>
      <c r="F154" s="2" t="s">
        <v>253</v>
      </c>
      <c r="G154" s="2" t="s">
        <v>272</v>
      </c>
      <c r="H154" s="35">
        <v>4400</v>
      </c>
      <c r="I154" s="2">
        <v>0</v>
      </c>
      <c r="J154" s="2">
        <v>90.2</v>
      </c>
      <c r="K154" s="2">
        <v>4</v>
      </c>
      <c r="L154" s="2">
        <v>22.6</v>
      </c>
      <c r="M154" s="2">
        <v>5.0999999999999996</v>
      </c>
      <c r="N154" s="2">
        <v>21.2</v>
      </c>
      <c r="O154" s="2">
        <v>23.2</v>
      </c>
      <c r="P154" s="2" t="s">
        <v>273</v>
      </c>
      <c r="Q154" s="2" t="str">
        <f t="shared" si="12"/>
        <v>Andre</v>
      </c>
      <c r="R154" s="2" t="str">
        <f t="shared" si="13"/>
        <v>Iguodala</v>
      </c>
      <c r="S154" s="2" t="str">
        <f t="shared" si="10"/>
        <v>Andre Iguodala</v>
      </c>
      <c r="T154" s="2">
        <f t="shared" si="11"/>
        <v>21.2</v>
      </c>
    </row>
    <row r="155" spans="1:20" x14ac:dyDescent="0.25">
      <c r="A155" s="2"/>
      <c r="B155" s="2" t="s">
        <v>5</v>
      </c>
      <c r="C155" s="2" t="s">
        <v>442</v>
      </c>
      <c r="D155" s="2" t="s">
        <v>251</v>
      </c>
      <c r="E155" s="2" t="s">
        <v>252</v>
      </c>
      <c r="F155" s="2" t="s">
        <v>253</v>
      </c>
      <c r="G155" s="2" t="s">
        <v>270</v>
      </c>
      <c r="H155" s="35">
        <v>6900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21.2</v>
      </c>
      <c r="O155" s="2" t="s">
        <v>284</v>
      </c>
      <c r="P155" s="2" t="s">
        <v>271</v>
      </c>
      <c r="Q155" s="2" t="str">
        <f t="shared" si="12"/>
        <v>Danilo</v>
      </c>
      <c r="R155" s="2" t="str">
        <f t="shared" si="13"/>
        <v>Gallinari</v>
      </c>
      <c r="S155" s="2" t="str">
        <f t="shared" si="10"/>
        <v>Danilo Gallinari</v>
      </c>
      <c r="T155" s="2">
        <f t="shared" si="11"/>
        <v>21.2</v>
      </c>
    </row>
    <row r="156" spans="1:20" x14ac:dyDescent="0.25">
      <c r="A156" s="2"/>
      <c r="B156" s="2" t="s">
        <v>3</v>
      </c>
      <c r="C156" s="2" t="s">
        <v>443</v>
      </c>
      <c r="D156" s="2" t="s">
        <v>251</v>
      </c>
      <c r="E156" s="2" t="s">
        <v>252</v>
      </c>
      <c r="F156" s="2" t="s">
        <v>253</v>
      </c>
      <c r="G156" s="2" t="s">
        <v>293</v>
      </c>
      <c r="H156" s="35">
        <v>5900</v>
      </c>
      <c r="I156" s="2">
        <v>0</v>
      </c>
      <c r="J156" s="2">
        <v>61.1</v>
      </c>
      <c r="K156" s="2">
        <v>3</v>
      </c>
      <c r="L156" s="2">
        <v>20.399999999999999</v>
      </c>
      <c r="M156" s="2">
        <v>3.5</v>
      </c>
      <c r="N156" s="2">
        <v>21.1</v>
      </c>
      <c r="O156" s="2">
        <v>32</v>
      </c>
      <c r="P156" s="2" t="s">
        <v>294</v>
      </c>
      <c r="Q156" s="2" t="str">
        <f t="shared" si="12"/>
        <v>Elfrid</v>
      </c>
      <c r="R156" s="2" t="str">
        <f t="shared" si="13"/>
        <v>Payton</v>
      </c>
      <c r="S156" s="2" t="str">
        <f t="shared" si="10"/>
        <v>Elfrid Payton</v>
      </c>
      <c r="T156" s="2">
        <f t="shared" si="11"/>
        <v>21.1</v>
      </c>
    </row>
    <row r="157" spans="1:20" x14ac:dyDescent="0.25">
      <c r="A157" s="2"/>
      <c r="B157" s="2" t="s">
        <v>3</v>
      </c>
      <c r="C157" s="2" t="s">
        <v>444</v>
      </c>
      <c r="D157" s="2" t="s">
        <v>251</v>
      </c>
      <c r="E157" s="2" t="s">
        <v>252</v>
      </c>
      <c r="F157" s="2" t="s">
        <v>253</v>
      </c>
      <c r="G157" s="2" t="s">
        <v>92</v>
      </c>
      <c r="H157" s="35">
        <v>4400</v>
      </c>
      <c r="I157" s="2">
        <v>0</v>
      </c>
      <c r="J157" s="2">
        <v>48.2</v>
      </c>
      <c r="K157" s="2">
        <v>3</v>
      </c>
      <c r="L157" s="2">
        <v>16.100000000000001</v>
      </c>
      <c r="M157" s="2">
        <v>3.7</v>
      </c>
      <c r="N157" s="2">
        <v>21</v>
      </c>
      <c r="O157" s="2">
        <v>8.8000000000000007</v>
      </c>
      <c r="P157" s="2" t="s">
        <v>263</v>
      </c>
      <c r="Q157" s="2" t="str">
        <f t="shared" si="12"/>
        <v>Raymond</v>
      </c>
      <c r="R157" s="2" t="str">
        <f t="shared" si="13"/>
        <v>Felton</v>
      </c>
      <c r="S157" s="2" t="str">
        <f t="shared" si="10"/>
        <v>Raymond Felton</v>
      </c>
      <c r="T157" s="2">
        <f t="shared" si="11"/>
        <v>21</v>
      </c>
    </row>
    <row r="158" spans="1:20" x14ac:dyDescent="0.25">
      <c r="A158" s="2"/>
      <c r="B158" s="2" t="s">
        <v>6</v>
      </c>
      <c r="C158" s="2" t="s">
        <v>445</v>
      </c>
      <c r="D158" s="2" t="s">
        <v>251</v>
      </c>
      <c r="E158" s="2" t="s">
        <v>252</v>
      </c>
      <c r="F158" s="2" t="s">
        <v>253</v>
      </c>
      <c r="G158" s="2" t="s">
        <v>310</v>
      </c>
      <c r="H158" s="35">
        <v>4600</v>
      </c>
      <c r="I158" s="2">
        <v>0</v>
      </c>
      <c r="J158" s="2">
        <v>42</v>
      </c>
      <c r="K158" s="2">
        <v>2</v>
      </c>
      <c r="L158" s="2">
        <v>21</v>
      </c>
      <c r="M158" s="2">
        <v>4.5999999999999996</v>
      </c>
      <c r="N158" s="2">
        <v>21</v>
      </c>
      <c r="O158" s="2" t="s">
        <v>284</v>
      </c>
      <c r="P158" s="2" t="s">
        <v>311</v>
      </c>
      <c r="Q158" s="2" t="str">
        <f t="shared" si="12"/>
        <v>Jahlil</v>
      </c>
      <c r="R158" s="2" t="str">
        <f t="shared" si="13"/>
        <v>Okafor</v>
      </c>
      <c r="S158" s="2" t="str">
        <f t="shared" si="10"/>
        <v>Jahlil Okafor</v>
      </c>
      <c r="T158" s="2">
        <f t="shared" si="11"/>
        <v>21</v>
      </c>
    </row>
    <row r="159" spans="1:20" x14ac:dyDescent="0.25">
      <c r="A159" s="2"/>
      <c r="B159" s="2" t="s">
        <v>7</v>
      </c>
      <c r="C159" s="2" t="s">
        <v>446</v>
      </c>
      <c r="D159" s="2" t="s">
        <v>251</v>
      </c>
      <c r="E159" s="2" t="s">
        <v>252</v>
      </c>
      <c r="F159" s="2" t="s">
        <v>253</v>
      </c>
      <c r="G159" s="2" t="s">
        <v>310</v>
      </c>
      <c r="H159" s="35">
        <v>4100</v>
      </c>
      <c r="I159" s="2">
        <v>0</v>
      </c>
      <c r="J159" s="2">
        <v>100.3</v>
      </c>
      <c r="K159" s="2">
        <v>4</v>
      </c>
      <c r="L159" s="2">
        <v>25.1</v>
      </c>
      <c r="M159" s="2">
        <v>6.1</v>
      </c>
      <c r="N159" s="2">
        <v>20.9</v>
      </c>
      <c r="O159" s="2">
        <v>21.2</v>
      </c>
      <c r="P159" s="2" t="s">
        <v>311</v>
      </c>
      <c r="Q159" s="2" t="str">
        <f t="shared" si="12"/>
        <v>Nik</v>
      </c>
      <c r="R159" s="2" t="str">
        <f t="shared" si="13"/>
        <v>Stauskas</v>
      </c>
      <c r="S159" s="2" t="str">
        <f t="shared" si="10"/>
        <v>Nik Stauskas</v>
      </c>
      <c r="T159" s="2">
        <f t="shared" si="11"/>
        <v>20.9</v>
      </c>
    </row>
    <row r="160" spans="1:20" x14ac:dyDescent="0.25">
      <c r="A160" s="2"/>
      <c r="B160" s="2" t="s">
        <v>5</v>
      </c>
      <c r="C160" s="2" t="s">
        <v>447</v>
      </c>
      <c r="D160" s="2" t="s">
        <v>251</v>
      </c>
      <c r="E160" s="2" t="s">
        <v>252</v>
      </c>
      <c r="F160" s="2" t="s">
        <v>253</v>
      </c>
      <c r="G160" s="2" t="s">
        <v>299</v>
      </c>
      <c r="H160" s="35">
        <v>4500</v>
      </c>
      <c r="I160" s="2">
        <v>0</v>
      </c>
      <c r="J160" s="2">
        <v>64.400000000000006</v>
      </c>
      <c r="K160" s="2">
        <v>4</v>
      </c>
      <c r="L160" s="2">
        <v>16.100000000000001</v>
      </c>
      <c r="M160" s="2">
        <v>3.6</v>
      </c>
      <c r="N160" s="2">
        <v>20.9</v>
      </c>
      <c r="O160" s="2">
        <v>2.6</v>
      </c>
      <c r="P160" s="2" t="s">
        <v>300</v>
      </c>
      <c r="Q160" s="2" t="str">
        <f t="shared" si="12"/>
        <v>T.J.</v>
      </c>
      <c r="R160" s="2" t="str">
        <f t="shared" si="13"/>
        <v>Warren</v>
      </c>
      <c r="S160" s="2" t="str">
        <f t="shared" si="10"/>
        <v>T.J. Warren</v>
      </c>
      <c r="T160" s="2">
        <f t="shared" si="11"/>
        <v>20.9</v>
      </c>
    </row>
    <row r="161" spans="1:20" x14ac:dyDescent="0.25">
      <c r="A161" s="2"/>
      <c r="B161" s="2" t="s">
        <v>4</v>
      </c>
      <c r="C161" s="2" t="s">
        <v>448</v>
      </c>
      <c r="D161" s="2" t="s">
        <v>251</v>
      </c>
      <c r="E161" s="2" t="s">
        <v>252</v>
      </c>
      <c r="F161" s="2" t="s">
        <v>253</v>
      </c>
      <c r="G161" s="2" t="s">
        <v>266</v>
      </c>
      <c r="H161" s="35">
        <v>5100</v>
      </c>
      <c r="I161" s="2">
        <v>0</v>
      </c>
      <c r="J161" s="2">
        <v>81.2</v>
      </c>
      <c r="K161" s="2">
        <v>4</v>
      </c>
      <c r="L161" s="2">
        <v>20.3</v>
      </c>
      <c r="M161" s="2">
        <v>4</v>
      </c>
      <c r="N161" s="2">
        <v>20.6</v>
      </c>
      <c r="O161" s="2">
        <v>26.7</v>
      </c>
      <c r="P161" s="2" t="s">
        <v>267</v>
      </c>
      <c r="Q161" s="2" t="str">
        <f t="shared" si="12"/>
        <v>David</v>
      </c>
      <c r="R161" s="2" t="str">
        <f t="shared" si="13"/>
        <v>Lee</v>
      </c>
      <c r="S161" s="2" t="str">
        <f t="shared" si="10"/>
        <v>David Lee</v>
      </c>
      <c r="T161" s="2">
        <f t="shared" si="11"/>
        <v>20.6</v>
      </c>
    </row>
    <row r="162" spans="1:20" x14ac:dyDescent="0.25">
      <c r="A162" s="2"/>
      <c r="B162" s="2" t="s">
        <v>3</v>
      </c>
      <c r="C162" s="2" t="s">
        <v>449</v>
      </c>
      <c r="D162" s="2" t="s">
        <v>251</v>
      </c>
      <c r="E162" s="2" t="s">
        <v>252</v>
      </c>
      <c r="F162" s="2" t="s">
        <v>253</v>
      </c>
      <c r="G162" s="2" t="s">
        <v>261</v>
      </c>
      <c r="H162" s="35">
        <v>4600</v>
      </c>
      <c r="I162" s="2">
        <v>0</v>
      </c>
      <c r="J162" s="2">
        <v>15.4</v>
      </c>
      <c r="K162" s="2">
        <v>1</v>
      </c>
      <c r="L162" s="2">
        <v>15.4</v>
      </c>
      <c r="M162" s="2">
        <v>3.3</v>
      </c>
      <c r="N162" s="2">
        <v>20.6</v>
      </c>
      <c r="O162" s="2" t="s">
        <v>284</v>
      </c>
      <c r="P162" s="2" t="s">
        <v>262</v>
      </c>
      <c r="Q162" s="2" t="str">
        <f t="shared" si="12"/>
        <v>Ty</v>
      </c>
      <c r="R162" s="2" t="str">
        <f t="shared" si="13"/>
        <v>Lawson</v>
      </c>
      <c r="S162" s="2" t="str">
        <f t="shared" si="10"/>
        <v>Ty Lawson</v>
      </c>
      <c r="T162" s="2">
        <f t="shared" si="11"/>
        <v>20.6</v>
      </c>
    </row>
    <row r="163" spans="1:20" x14ac:dyDescent="0.25">
      <c r="A163" s="2"/>
      <c r="B163" s="2" t="s">
        <v>7</v>
      </c>
      <c r="C163" s="2" t="s">
        <v>450</v>
      </c>
      <c r="D163" s="2" t="s">
        <v>251</v>
      </c>
      <c r="E163" s="2" t="s">
        <v>252</v>
      </c>
      <c r="F163" s="2" t="s">
        <v>253</v>
      </c>
      <c r="G163" s="2" t="s">
        <v>257</v>
      </c>
      <c r="H163" s="35">
        <v>4000</v>
      </c>
      <c r="I163" s="2">
        <v>0</v>
      </c>
      <c r="J163" s="2">
        <v>84.2</v>
      </c>
      <c r="K163" s="2">
        <v>4</v>
      </c>
      <c r="L163" s="2">
        <v>21.1</v>
      </c>
      <c r="M163" s="2">
        <v>5.3</v>
      </c>
      <c r="N163" s="2">
        <v>20.5</v>
      </c>
      <c r="O163" s="2">
        <v>16.5</v>
      </c>
      <c r="P163" s="2" t="s">
        <v>258</v>
      </c>
      <c r="Q163" s="2" t="str">
        <f t="shared" si="12"/>
        <v>Kyle</v>
      </c>
      <c r="R163" s="2" t="str">
        <f t="shared" si="13"/>
        <v>Korver</v>
      </c>
      <c r="S163" s="2" t="str">
        <f t="shared" si="10"/>
        <v>Kyle Korver</v>
      </c>
      <c r="T163" s="2">
        <f t="shared" si="11"/>
        <v>20.5</v>
      </c>
    </row>
    <row r="164" spans="1:20" x14ac:dyDescent="0.25">
      <c r="A164" s="2"/>
      <c r="B164" s="2" t="s">
        <v>4</v>
      </c>
      <c r="C164" s="2" t="s">
        <v>451</v>
      </c>
      <c r="D164" s="2" t="s">
        <v>251</v>
      </c>
      <c r="E164" s="2" t="s">
        <v>252</v>
      </c>
      <c r="F164" s="2" t="s">
        <v>253</v>
      </c>
      <c r="G164" s="2" t="s">
        <v>255</v>
      </c>
      <c r="H164" s="35">
        <v>4700</v>
      </c>
      <c r="I164" s="2">
        <v>0</v>
      </c>
      <c r="J164" s="2">
        <v>42.6</v>
      </c>
      <c r="K164" s="2">
        <v>2</v>
      </c>
      <c r="L164" s="2">
        <v>21.3</v>
      </c>
      <c r="M164" s="2">
        <v>4.5</v>
      </c>
      <c r="N164" s="2">
        <v>20.399999999999999</v>
      </c>
      <c r="O164" s="2">
        <v>23.3</v>
      </c>
      <c r="P164" s="2" t="s">
        <v>256</v>
      </c>
      <c r="Q164" s="2" t="str">
        <f t="shared" si="12"/>
        <v>Ryan</v>
      </c>
      <c r="R164" s="2" t="str">
        <f t="shared" si="13"/>
        <v>Anderson</v>
      </c>
      <c r="S164" s="2" t="str">
        <f t="shared" si="10"/>
        <v>Ryan Anderson</v>
      </c>
      <c r="T164" s="2">
        <f t="shared" si="11"/>
        <v>20.399999999999999</v>
      </c>
    </row>
    <row r="165" spans="1:20" x14ac:dyDescent="0.25">
      <c r="A165" s="2"/>
      <c r="B165" s="2" t="s">
        <v>6</v>
      </c>
      <c r="C165" s="2" t="s">
        <v>452</v>
      </c>
      <c r="D165" s="2" t="s">
        <v>251</v>
      </c>
      <c r="E165" s="2" t="s">
        <v>252</v>
      </c>
      <c r="F165" s="2" t="s">
        <v>253</v>
      </c>
      <c r="G165" s="2" t="s">
        <v>299</v>
      </c>
      <c r="H165" s="35">
        <v>5200</v>
      </c>
      <c r="I165" s="2">
        <v>0</v>
      </c>
      <c r="J165" s="2">
        <v>55.6</v>
      </c>
      <c r="K165" s="2">
        <v>3</v>
      </c>
      <c r="L165" s="2">
        <v>18.5</v>
      </c>
      <c r="M165" s="2">
        <v>3.6</v>
      </c>
      <c r="N165" s="2">
        <v>20.2</v>
      </c>
      <c r="O165" s="2">
        <v>18.600000000000001</v>
      </c>
      <c r="P165" s="2" t="s">
        <v>300</v>
      </c>
      <c r="Q165" s="2" t="str">
        <f t="shared" si="12"/>
        <v>Tyson</v>
      </c>
      <c r="R165" s="2" t="str">
        <f t="shared" si="13"/>
        <v>Chandler</v>
      </c>
      <c r="S165" s="2" t="str">
        <f t="shared" si="10"/>
        <v>Tyson Chandler</v>
      </c>
      <c r="T165" s="2">
        <f t="shared" si="11"/>
        <v>20.2</v>
      </c>
    </row>
    <row r="166" spans="1:20" x14ac:dyDescent="0.25">
      <c r="A166" s="2"/>
      <c r="B166" s="2" t="s">
        <v>4</v>
      </c>
      <c r="C166" s="2" t="s">
        <v>453</v>
      </c>
      <c r="D166" s="2" t="s">
        <v>251</v>
      </c>
      <c r="E166" s="2" t="s">
        <v>252</v>
      </c>
      <c r="F166" s="2" t="s">
        <v>253</v>
      </c>
      <c r="G166" s="2" t="s">
        <v>278</v>
      </c>
      <c r="H166" s="35">
        <v>4600</v>
      </c>
      <c r="I166" s="2">
        <v>0</v>
      </c>
      <c r="J166" s="2">
        <v>67.3</v>
      </c>
      <c r="K166" s="2">
        <v>4</v>
      </c>
      <c r="L166" s="2">
        <v>16.8</v>
      </c>
      <c r="M166" s="2">
        <v>3.7</v>
      </c>
      <c r="N166" s="2">
        <v>20.100000000000001</v>
      </c>
      <c r="O166" s="2">
        <v>18.8</v>
      </c>
      <c r="P166" s="2" t="s">
        <v>279</v>
      </c>
      <c r="Q166" s="2" t="str">
        <f t="shared" si="12"/>
        <v>Taj</v>
      </c>
      <c r="R166" s="2" t="str">
        <f t="shared" si="13"/>
        <v>Gibson</v>
      </c>
      <c r="S166" s="2" t="str">
        <f t="shared" si="10"/>
        <v>Taj Gibson</v>
      </c>
      <c r="T166" s="2">
        <f t="shared" si="11"/>
        <v>20.100000000000001</v>
      </c>
    </row>
    <row r="167" spans="1:20" x14ac:dyDescent="0.25">
      <c r="A167" s="2"/>
      <c r="B167" s="2" t="s">
        <v>5</v>
      </c>
      <c r="C167" s="2" t="s">
        <v>454</v>
      </c>
      <c r="D167" s="2" t="s">
        <v>251</v>
      </c>
      <c r="E167" s="2" t="s">
        <v>252</v>
      </c>
      <c r="F167" s="2" t="s">
        <v>253</v>
      </c>
      <c r="G167" s="2" t="s">
        <v>289</v>
      </c>
      <c r="H167" s="35">
        <v>4200</v>
      </c>
      <c r="I167" s="2">
        <v>0</v>
      </c>
      <c r="J167" s="2">
        <v>73.400000000000006</v>
      </c>
      <c r="K167" s="2">
        <v>3</v>
      </c>
      <c r="L167" s="2">
        <v>24.5</v>
      </c>
      <c r="M167" s="2">
        <v>5.8</v>
      </c>
      <c r="N167" s="2">
        <v>20.100000000000001</v>
      </c>
      <c r="O167" s="2">
        <v>18.7</v>
      </c>
      <c r="P167" s="2" t="s">
        <v>290</v>
      </c>
      <c r="Q167" s="2" t="str">
        <f t="shared" si="12"/>
        <v>DeMarre</v>
      </c>
      <c r="R167" s="2" t="str">
        <f t="shared" si="13"/>
        <v>Carroll</v>
      </c>
      <c r="S167" s="2" t="str">
        <f t="shared" si="10"/>
        <v>DeMarre Carroll</v>
      </c>
      <c r="T167" s="2">
        <f t="shared" si="11"/>
        <v>20.100000000000001</v>
      </c>
    </row>
    <row r="168" spans="1:20" x14ac:dyDescent="0.25">
      <c r="A168" s="2"/>
      <c r="B168" s="2" t="s">
        <v>5</v>
      </c>
      <c r="C168" s="2" t="s">
        <v>455</v>
      </c>
      <c r="D168" s="2" t="s">
        <v>251</v>
      </c>
      <c r="E168" s="2" t="s">
        <v>252</v>
      </c>
      <c r="F168" s="2" t="s">
        <v>253</v>
      </c>
      <c r="G168" s="2" t="s">
        <v>89</v>
      </c>
      <c r="H168" s="35">
        <v>4300</v>
      </c>
      <c r="I168" s="2">
        <v>0</v>
      </c>
      <c r="J168" s="2">
        <v>49.6</v>
      </c>
      <c r="K168" s="2">
        <v>3</v>
      </c>
      <c r="L168" s="2">
        <v>16.5</v>
      </c>
      <c r="M168" s="2">
        <v>3.8</v>
      </c>
      <c r="N168" s="2">
        <v>20.100000000000001</v>
      </c>
      <c r="O168" s="2">
        <v>0</v>
      </c>
      <c r="P168" s="2" t="s">
        <v>254</v>
      </c>
      <c r="Q168" s="2" t="str">
        <f t="shared" si="12"/>
        <v>Andre</v>
      </c>
      <c r="R168" s="2" t="str">
        <f t="shared" si="13"/>
        <v>Roberson</v>
      </c>
      <c r="S168" s="2" t="str">
        <f t="shared" si="10"/>
        <v>Andre Roberson</v>
      </c>
      <c r="T168" s="2">
        <f t="shared" si="11"/>
        <v>20.100000000000001</v>
      </c>
    </row>
    <row r="169" spans="1:20" x14ac:dyDescent="0.25">
      <c r="A169" s="2"/>
      <c r="B169" s="2" t="s">
        <v>5</v>
      </c>
      <c r="C169" s="2" t="s">
        <v>456</v>
      </c>
      <c r="D169" s="2" t="s">
        <v>251</v>
      </c>
      <c r="E169" s="2" t="s">
        <v>252</v>
      </c>
      <c r="F169" s="2" t="s">
        <v>253</v>
      </c>
      <c r="G169" s="2" t="s">
        <v>285</v>
      </c>
      <c r="H169" s="35">
        <v>3700</v>
      </c>
      <c r="I169" s="2">
        <v>0</v>
      </c>
      <c r="J169" s="2">
        <v>71.599999999999994</v>
      </c>
      <c r="K169" s="2">
        <v>4</v>
      </c>
      <c r="L169" s="2">
        <v>17.899999999999999</v>
      </c>
      <c r="M169" s="2">
        <v>4.8</v>
      </c>
      <c r="N169" s="2">
        <v>20</v>
      </c>
      <c r="O169" s="2">
        <v>13.7</v>
      </c>
      <c r="P169" s="2" t="s">
        <v>286</v>
      </c>
      <c r="Q169" s="2" t="str">
        <f t="shared" si="12"/>
        <v>Joe</v>
      </c>
      <c r="R169" s="2" t="str">
        <f t="shared" si="13"/>
        <v>Johnson</v>
      </c>
      <c r="S169" s="2" t="str">
        <f t="shared" si="10"/>
        <v>Joe Johnson</v>
      </c>
      <c r="T169" s="2">
        <f t="shared" si="11"/>
        <v>20</v>
      </c>
    </row>
    <row r="170" spans="1:20" x14ac:dyDescent="0.25">
      <c r="A170" s="2"/>
      <c r="B170" s="2" t="s">
        <v>7</v>
      </c>
      <c r="C170" s="2" t="s">
        <v>457</v>
      </c>
      <c r="D170" s="2" t="s">
        <v>251</v>
      </c>
      <c r="E170" s="2" t="s">
        <v>252</v>
      </c>
      <c r="F170" s="2" t="s">
        <v>253</v>
      </c>
      <c r="G170" s="2" t="s">
        <v>92</v>
      </c>
      <c r="H170" s="35">
        <v>4500</v>
      </c>
      <c r="I170" s="2">
        <v>0</v>
      </c>
      <c r="J170" s="2">
        <v>55.7</v>
      </c>
      <c r="K170" s="2">
        <v>3</v>
      </c>
      <c r="L170" s="2">
        <v>18.600000000000001</v>
      </c>
      <c r="M170" s="2">
        <v>4.0999999999999996</v>
      </c>
      <c r="N170" s="2">
        <v>19.899999999999999</v>
      </c>
      <c r="O170" s="2">
        <v>12.9</v>
      </c>
      <c r="P170" s="2" t="s">
        <v>263</v>
      </c>
      <c r="Q170" s="2" t="str">
        <f t="shared" si="12"/>
        <v>J.J.</v>
      </c>
      <c r="R170" s="2" t="str">
        <f t="shared" si="13"/>
        <v>Redick</v>
      </c>
      <c r="S170" s="2" t="str">
        <f t="shared" si="10"/>
        <v>J.J. Redick</v>
      </c>
      <c r="T170" s="2">
        <f t="shared" si="11"/>
        <v>19.899999999999999</v>
      </c>
    </row>
    <row r="171" spans="1:20" x14ac:dyDescent="0.25">
      <c r="A171" s="2"/>
      <c r="B171" s="2" t="s">
        <v>4</v>
      </c>
      <c r="C171" s="2" t="s">
        <v>458</v>
      </c>
      <c r="D171" s="2" t="s">
        <v>251</v>
      </c>
      <c r="E171" s="2" t="s">
        <v>252</v>
      </c>
      <c r="F171" s="2" t="s">
        <v>253</v>
      </c>
      <c r="G171" s="2" t="s">
        <v>287</v>
      </c>
      <c r="H171" s="35">
        <v>4500</v>
      </c>
      <c r="I171" s="2">
        <v>0</v>
      </c>
      <c r="J171" s="2">
        <v>73.2</v>
      </c>
      <c r="K171" s="2">
        <v>4</v>
      </c>
      <c r="L171" s="2">
        <v>18.3</v>
      </c>
      <c r="M171" s="2">
        <v>4.0999999999999996</v>
      </c>
      <c r="N171" s="2">
        <v>19.7</v>
      </c>
      <c r="O171" s="2">
        <v>28.2</v>
      </c>
      <c r="P171" s="2" t="s">
        <v>288</v>
      </c>
      <c r="Q171" s="2" t="str">
        <f t="shared" si="12"/>
        <v>Jon</v>
      </c>
      <c r="R171" s="2" t="str">
        <f t="shared" si="13"/>
        <v>Leuer</v>
      </c>
      <c r="S171" s="2" t="str">
        <f t="shared" si="10"/>
        <v>Jon Leuer</v>
      </c>
      <c r="T171" s="2">
        <f t="shared" si="11"/>
        <v>19.7</v>
      </c>
    </row>
    <row r="172" spans="1:20" x14ac:dyDescent="0.25">
      <c r="A172" s="2"/>
      <c r="B172" s="2" t="s">
        <v>3</v>
      </c>
      <c r="C172" s="2" t="s">
        <v>459</v>
      </c>
      <c r="D172" s="2" t="s">
        <v>251</v>
      </c>
      <c r="E172" s="2" t="s">
        <v>252</v>
      </c>
      <c r="F172" s="2" t="s">
        <v>253</v>
      </c>
      <c r="G172" s="2" t="s">
        <v>287</v>
      </c>
      <c r="H172" s="35">
        <v>5400</v>
      </c>
      <c r="I172" s="2">
        <v>0</v>
      </c>
      <c r="J172" s="2">
        <v>77.5</v>
      </c>
      <c r="K172" s="2">
        <v>4</v>
      </c>
      <c r="L172" s="2">
        <v>19.399999999999999</v>
      </c>
      <c r="M172" s="2">
        <v>3.6</v>
      </c>
      <c r="N172" s="2">
        <v>19.600000000000001</v>
      </c>
      <c r="O172" s="2">
        <v>25.9</v>
      </c>
      <c r="P172" s="2" t="s">
        <v>288</v>
      </c>
      <c r="Q172" s="2" t="str">
        <f t="shared" si="12"/>
        <v>Reggie</v>
      </c>
      <c r="R172" s="2" t="str">
        <f t="shared" si="13"/>
        <v>Jackson</v>
      </c>
      <c r="S172" s="2" t="str">
        <f t="shared" si="10"/>
        <v>Reggie Jackson</v>
      </c>
      <c r="T172" s="2">
        <f t="shared" si="11"/>
        <v>19.600000000000001</v>
      </c>
    </row>
    <row r="173" spans="1:20" x14ac:dyDescent="0.25">
      <c r="A173" s="2"/>
      <c r="B173" s="2" t="s">
        <v>6</v>
      </c>
      <c r="C173" s="2" t="s">
        <v>460</v>
      </c>
      <c r="D173" s="2" t="s">
        <v>251</v>
      </c>
      <c r="E173" s="2" t="s">
        <v>252</v>
      </c>
      <c r="F173" s="2" t="s">
        <v>253</v>
      </c>
      <c r="G173" s="2" t="s">
        <v>308</v>
      </c>
      <c r="H173" s="35">
        <v>3900</v>
      </c>
      <c r="I173" s="2">
        <v>0</v>
      </c>
      <c r="J173" s="2">
        <v>60.4</v>
      </c>
      <c r="K173" s="2">
        <v>3</v>
      </c>
      <c r="L173" s="2">
        <v>20.100000000000001</v>
      </c>
      <c r="M173" s="2">
        <v>5.2</v>
      </c>
      <c r="N173" s="2">
        <v>19.399999999999999</v>
      </c>
      <c r="O173" s="2">
        <v>17</v>
      </c>
      <c r="P173" s="2" t="s">
        <v>309</v>
      </c>
      <c r="Q173" s="2" t="str">
        <f t="shared" si="12"/>
        <v>Salah</v>
      </c>
      <c r="R173" s="2" t="str">
        <f t="shared" si="13"/>
        <v>Mejri</v>
      </c>
      <c r="S173" s="2" t="str">
        <f t="shared" si="10"/>
        <v>Salah Mejri</v>
      </c>
      <c r="T173" s="2">
        <f t="shared" si="11"/>
        <v>19.399999999999999</v>
      </c>
    </row>
    <row r="174" spans="1:20" x14ac:dyDescent="0.25">
      <c r="A174" s="2"/>
      <c r="B174" s="2" t="s">
        <v>3</v>
      </c>
      <c r="C174" s="2" t="s">
        <v>461</v>
      </c>
      <c r="D174" s="2" t="s">
        <v>251</v>
      </c>
      <c r="E174" s="2" t="s">
        <v>252</v>
      </c>
      <c r="F174" s="2" t="s">
        <v>253</v>
      </c>
      <c r="G174" s="2" t="s">
        <v>270</v>
      </c>
      <c r="H174" s="35">
        <v>4900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19.2</v>
      </c>
      <c r="O174" s="2" t="s">
        <v>284</v>
      </c>
      <c r="P174" s="2" t="s">
        <v>271</v>
      </c>
      <c r="Q174" s="2" t="str">
        <f t="shared" si="12"/>
        <v>Emmanuel</v>
      </c>
      <c r="R174" s="2" t="str">
        <f t="shared" si="13"/>
        <v>Mudiay</v>
      </c>
      <c r="S174" s="2" t="str">
        <f t="shared" si="10"/>
        <v>Emmanuel Mudiay</v>
      </c>
      <c r="T174" s="2">
        <f t="shared" si="11"/>
        <v>19.2</v>
      </c>
    </row>
    <row r="175" spans="1:20" x14ac:dyDescent="0.25">
      <c r="A175" s="2"/>
      <c r="B175" s="2" t="s">
        <v>3</v>
      </c>
      <c r="C175" s="2" t="s">
        <v>462</v>
      </c>
      <c r="D175" s="2" t="s">
        <v>251</v>
      </c>
      <c r="E175" s="2" t="s">
        <v>252</v>
      </c>
      <c r="F175" s="2" t="s">
        <v>253</v>
      </c>
      <c r="G175" s="2" t="s">
        <v>270</v>
      </c>
      <c r="H175" s="35">
        <v>3900</v>
      </c>
      <c r="I175" s="2">
        <v>0</v>
      </c>
      <c r="J175" s="2">
        <v>63.8</v>
      </c>
      <c r="K175" s="2">
        <v>4</v>
      </c>
      <c r="L175" s="2">
        <v>15.9</v>
      </c>
      <c r="M175" s="2">
        <v>4.0999999999999996</v>
      </c>
      <c r="N175" s="2">
        <v>19.2</v>
      </c>
      <c r="O175" s="2">
        <v>21.2</v>
      </c>
      <c r="P175" s="2" t="s">
        <v>271</v>
      </c>
      <c r="Q175" s="2" t="str">
        <f t="shared" si="12"/>
        <v>Jamal</v>
      </c>
      <c r="R175" s="2" t="str">
        <f t="shared" si="13"/>
        <v>Murray</v>
      </c>
      <c r="S175" s="2" t="str">
        <f t="shared" si="10"/>
        <v>Jamal Murray</v>
      </c>
      <c r="T175" s="2">
        <f t="shared" si="11"/>
        <v>19.2</v>
      </c>
    </row>
    <row r="176" spans="1:20" x14ac:dyDescent="0.25">
      <c r="A176" s="2"/>
      <c r="B176" s="2"/>
      <c r="C176" s="2"/>
      <c r="D176" s="2"/>
      <c r="E176" s="2"/>
      <c r="F176" s="2"/>
      <c r="G176" s="2"/>
      <c r="H176" s="42">
        <v>42782</v>
      </c>
      <c r="I176" s="2" t="s">
        <v>232</v>
      </c>
      <c r="J176" s="2" t="s">
        <v>233</v>
      </c>
      <c r="K176" s="2" t="s">
        <v>232</v>
      </c>
      <c r="L176" s="2" t="s">
        <v>234</v>
      </c>
      <c r="M176" s="2" t="s">
        <v>235</v>
      </c>
      <c r="N176" s="2" t="s">
        <v>232</v>
      </c>
      <c r="O176" s="2" t="s">
        <v>232</v>
      </c>
      <c r="P176" s="2" t="s">
        <v>236</v>
      </c>
      <c r="Q176" s="2" t="e">
        <f t="shared" si="12"/>
        <v>#VALUE!</v>
      </c>
      <c r="R176" s="2" t="e">
        <f t="shared" si="13"/>
        <v>#VALUE!</v>
      </c>
      <c r="S176" s="2" t="e">
        <f t="shared" si="10"/>
        <v>#VALUE!</v>
      </c>
      <c r="T176" s="2" t="str">
        <f t="shared" si="11"/>
        <v>Last</v>
      </c>
    </row>
    <row r="177" spans="1:20" x14ac:dyDescent="0.25">
      <c r="A177" s="2"/>
      <c r="B177" s="2"/>
      <c r="C177" s="2"/>
      <c r="D177" s="2"/>
      <c r="E177" s="2"/>
      <c r="F177" s="2"/>
      <c r="G177" s="2"/>
      <c r="H177" s="2" t="s">
        <v>142</v>
      </c>
      <c r="I177" s="2" t="s">
        <v>142</v>
      </c>
      <c r="J177" s="2" t="s">
        <v>237</v>
      </c>
      <c r="K177" s="2"/>
      <c r="L177" s="2" t="s">
        <v>238</v>
      </c>
      <c r="M177" s="2" t="s">
        <v>239</v>
      </c>
      <c r="N177" s="2" t="s">
        <v>240</v>
      </c>
      <c r="O177" s="2" t="s">
        <v>1</v>
      </c>
      <c r="P177" s="2" t="s">
        <v>241</v>
      </c>
      <c r="Q177" s="2" t="e">
        <f t="shared" si="12"/>
        <v>#VALUE!</v>
      </c>
      <c r="R177" s="2" t="e">
        <f t="shared" si="13"/>
        <v>#VALUE!</v>
      </c>
      <c r="S177" s="2" t="e">
        <f t="shared" si="10"/>
        <v>#VALUE!</v>
      </c>
      <c r="T177" s="2" t="str">
        <f t="shared" si="11"/>
        <v>15 day</v>
      </c>
    </row>
    <row r="178" spans="1:20" x14ac:dyDescent="0.25">
      <c r="A178" s="2"/>
      <c r="B178" s="2" t="s">
        <v>8</v>
      </c>
      <c r="C178" s="2" t="s">
        <v>242</v>
      </c>
      <c r="D178" s="2" t="s">
        <v>243</v>
      </c>
      <c r="E178" s="2" t="s">
        <v>244</v>
      </c>
      <c r="F178" s="2" t="s">
        <v>245</v>
      </c>
      <c r="G178" s="2" t="s">
        <v>2</v>
      </c>
      <c r="H178" s="43">
        <v>0</v>
      </c>
      <c r="I178" s="2" t="s">
        <v>246</v>
      </c>
      <c r="J178" s="2" t="s">
        <v>238</v>
      </c>
      <c r="K178" s="2" t="s">
        <v>247</v>
      </c>
      <c r="L178" s="2" t="s">
        <v>248</v>
      </c>
      <c r="M178" s="2" t="s">
        <v>249</v>
      </c>
      <c r="N178" s="2" t="s">
        <v>250</v>
      </c>
      <c r="O178" s="2" t="s">
        <v>238</v>
      </c>
      <c r="P178" s="2">
        <v>1.23456789012345E+27</v>
      </c>
      <c r="Q178" s="2" t="e">
        <f t="shared" si="12"/>
        <v>#VALUE!</v>
      </c>
      <c r="R178" s="2" t="e">
        <f t="shared" si="13"/>
        <v>#VALUE!</v>
      </c>
      <c r="S178" s="2" t="e">
        <f t="shared" si="10"/>
        <v>#VALUE!</v>
      </c>
      <c r="T178" s="2" t="str">
        <f t="shared" si="11"/>
        <v>FDP/G</v>
      </c>
    </row>
    <row r="179" spans="1:20" x14ac:dyDescent="0.25">
      <c r="A179" s="2"/>
      <c r="B179" s="2" t="s">
        <v>4</v>
      </c>
      <c r="C179" s="2" t="s">
        <v>463</v>
      </c>
      <c r="D179" s="2" t="s">
        <v>251</v>
      </c>
      <c r="E179" s="2" t="s">
        <v>252</v>
      </c>
      <c r="F179" s="2" t="s">
        <v>253</v>
      </c>
      <c r="G179" s="2" t="s">
        <v>257</v>
      </c>
      <c r="H179" s="35">
        <v>5000</v>
      </c>
      <c r="I179" s="2">
        <v>0</v>
      </c>
      <c r="J179" s="2">
        <v>75.400000000000006</v>
      </c>
      <c r="K179" s="2">
        <v>4</v>
      </c>
      <c r="L179" s="2">
        <v>18.899999999999999</v>
      </c>
      <c r="M179" s="2">
        <v>3.8</v>
      </c>
      <c r="N179" s="2">
        <v>19.100000000000001</v>
      </c>
      <c r="O179" s="2">
        <v>38.5</v>
      </c>
      <c r="P179" s="2" t="s">
        <v>258</v>
      </c>
      <c r="Q179" s="2" t="str">
        <f t="shared" si="12"/>
        <v>Channing</v>
      </c>
      <c r="R179" s="2" t="str">
        <f t="shared" si="13"/>
        <v>Frye</v>
      </c>
      <c r="S179" s="2" t="str">
        <f t="shared" si="10"/>
        <v>Channing Frye</v>
      </c>
      <c r="T179" s="2">
        <f t="shared" si="11"/>
        <v>19.100000000000001</v>
      </c>
    </row>
    <row r="180" spans="1:20" x14ac:dyDescent="0.25">
      <c r="A180" s="2"/>
      <c r="B180" s="2" t="s">
        <v>7</v>
      </c>
      <c r="C180" s="2" t="s">
        <v>464</v>
      </c>
      <c r="D180" s="2" t="s">
        <v>251</v>
      </c>
      <c r="E180" s="2" t="s">
        <v>252</v>
      </c>
      <c r="F180" s="2" t="s">
        <v>253</v>
      </c>
      <c r="G180" s="2" t="s">
        <v>266</v>
      </c>
      <c r="H180" s="35">
        <v>3900</v>
      </c>
      <c r="I180" s="2">
        <v>0</v>
      </c>
      <c r="J180" s="2">
        <v>72.2</v>
      </c>
      <c r="K180" s="2">
        <v>4</v>
      </c>
      <c r="L180" s="2">
        <v>18.100000000000001</v>
      </c>
      <c r="M180" s="2">
        <v>4.5999999999999996</v>
      </c>
      <c r="N180" s="2">
        <v>19.100000000000001</v>
      </c>
      <c r="O180" s="2">
        <v>24.7</v>
      </c>
      <c r="P180" s="2" t="s">
        <v>267</v>
      </c>
      <c r="Q180" s="2" t="str">
        <f t="shared" si="12"/>
        <v>Danny</v>
      </c>
      <c r="R180" s="2" t="str">
        <f t="shared" si="13"/>
        <v>Green</v>
      </c>
      <c r="S180" s="2" t="str">
        <f t="shared" si="10"/>
        <v>Danny Green</v>
      </c>
      <c r="T180" s="2">
        <f t="shared" si="11"/>
        <v>19.100000000000001</v>
      </c>
    </row>
    <row r="181" spans="1:20" x14ac:dyDescent="0.25">
      <c r="A181" s="2"/>
      <c r="B181" s="2" t="s">
        <v>6</v>
      </c>
      <c r="C181" s="2" t="s">
        <v>465</v>
      </c>
      <c r="D181" s="2" t="s">
        <v>251</v>
      </c>
      <c r="E181" s="2" t="s">
        <v>252</v>
      </c>
      <c r="F181" s="2" t="s">
        <v>253</v>
      </c>
      <c r="G181" s="2" t="s">
        <v>62</v>
      </c>
      <c r="H181" s="35">
        <v>4200</v>
      </c>
      <c r="I181" s="2">
        <v>0</v>
      </c>
      <c r="J181" s="2">
        <v>56.9</v>
      </c>
      <c r="K181" s="2">
        <v>3</v>
      </c>
      <c r="L181" s="2">
        <v>19</v>
      </c>
      <c r="M181" s="2">
        <v>4.5</v>
      </c>
      <c r="N181" s="2">
        <v>19.100000000000001</v>
      </c>
      <c r="O181" s="2">
        <v>13.1</v>
      </c>
      <c r="P181" s="2" t="s">
        <v>307</v>
      </c>
      <c r="Q181" s="2" t="str">
        <f t="shared" si="12"/>
        <v>Tarik</v>
      </c>
      <c r="R181" s="2" t="str">
        <f t="shared" si="13"/>
        <v>Black</v>
      </c>
      <c r="S181" s="2" t="str">
        <f t="shared" si="10"/>
        <v>Tarik Black</v>
      </c>
      <c r="T181" s="2">
        <f t="shared" si="11"/>
        <v>19.100000000000001</v>
      </c>
    </row>
    <row r="182" spans="1:20" x14ac:dyDescent="0.25">
      <c r="A182" s="2"/>
      <c r="B182" s="2" t="s">
        <v>5</v>
      </c>
      <c r="C182" s="2" t="s">
        <v>466</v>
      </c>
      <c r="D182" s="2" t="s">
        <v>251</v>
      </c>
      <c r="E182" s="2" t="s">
        <v>252</v>
      </c>
      <c r="F182" s="2" t="s">
        <v>253</v>
      </c>
      <c r="G182" s="2" t="s">
        <v>303</v>
      </c>
      <c r="H182" s="35">
        <v>4000</v>
      </c>
      <c r="I182" s="2">
        <v>0</v>
      </c>
      <c r="J182" s="2">
        <v>57.4</v>
      </c>
      <c r="K182" s="2">
        <v>3</v>
      </c>
      <c r="L182" s="2">
        <v>19.100000000000001</v>
      </c>
      <c r="M182" s="2">
        <v>4.8</v>
      </c>
      <c r="N182" s="2">
        <v>19</v>
      </c>
      <c r="O182" s="2">
        <v>18.8</v>
      </c>
      <c r="P182" s="2" t="s">
        <v>304</v>
      </c>
      <c r="Q182" s="2" t="str">
        <f t="shared" si="12"/>
        <v>Marco</v>
      </c>
      <c r="R182" s="2" t="str">
        <f t="shared" si="13"/>
        <v>Belinelli</v>
      </c>
      <c r="S182" s="2" t="str">
        <f t="shared" si="10"/>
        <v>Marco Belinelli</v>
      </c>
      <c r="T182" s="2">
        <f t="shared" si="11"/>
        <v>19</v>
      </c>
    </row>
    <row r="183" spans="1:20" x14ac:dyDescent="0.25">
      <c r="A183" s="2"/>
      <c r="B183" s="2" t="s">
        <v>4</v>
      </c>
      <c r="C183" s="2" t="s">
        <v>467</v>
      </c>
      <c r="D183" s="2" t="s">
        <v>251</v>
      </c>
      <c r="E183" s="2" t="s">
        <v>252</v>
      </c>
      <c r="F183" s="2" t="s">
        <v>253</v>
      </c>
      <c r="G183" s="2" t="s">
        <v>291</v>
      </c>
      <c r="H183" s="35">
        <v>4300</v>
      </c>
      <c r="I183" s="2">
        <v>0</v>
      </c>
      <c r="J183" s="2">
        <v>50.6</v>
      </c>
      <c r="K183" s="2">
        <v>3</v>
      </c>
      <c r="L183" s="2">
        <v>16.899999999999999</v>
      </c>
      <c r="M183" s="2">
        <v>3.9</v>
      </c>
      <c r="N183" s="2">
        <v>19</v>
      </c>
      <c r="O183" s="2">
        <v>16.2</v>
      </c>
      <c r="P183" s="2" t="s">
        <v>292</v>
      </c>
      <c r="Q183" s="2" t="str">
        <f t="shared" si="12"/>
        <v>JaMychal</v>
      </c>
      <c r="R183" s="2" t="str">
        <f t="shared" si="13"/>
        <v>Green</v>
      </c>
      <c r="S183" s="2" t="str">
        <f t="shared" si="10"/>
        <v>JaMychal Green</v>
      </c>
      <c r="T183" s="2">
        <f t="shared" si="11"/>
        <v>19</v>
      </c>
    </row>
    <row r="184" spans="1:20" x14ac:dyDescent="0.25">
      <c r="A184" s="2"/>
      <c r="B184" s="2" t="s">
        <v>4</v>
      </c>
      <c r="C184" s="2" t="s">
        <v>468</v>
      </c>
      <c r="D184" s="2" t="s">
        <v>251</v>
      </c>
      <c r="E184" s="2" t="s">
        <v>252</v>
      </c>
      <c r="F184" s="2" t="s">
        <v>253</v>
      </c>
      <c r="G184" s="2" t="s">
        <v>62</v>
      </c>
      <c r="H184" s="35">
        <v>5700</v>
      </c>
      <c r="I184" s="2">
        <v>0</v>
      </c>
      <c r="J184" s="2">
        <v>69.5</v>
      </c>
      <c r="K184" s="2">
        <v>3</v>
      </c>
      <c r="L184" s="2">
        <v>23.2</v>
      </c>
      <c r="M184" s="2">
        <v>4.0999999999999996</v>
      </c>
      <c r="N184" s="2">
        <v>18.899999999999999</v>
      </c>
      <c r="O184" s="2">
        <v>21.4</v>
      </c>
      <c r="P184" s="2" t="s">
        <v>307</v>
      </c>
      <c r="Q184" s="2" t="str">
        <f t="shared" si="12"/>
        <v>Julius</v>
      </c>
      <c r="R184" s="2" t="str">
        <f t="shared" si="13"/>
        <v>Randle</v>
      </c>
      <c r="S184" s="2" t="str">
        <f t="shared" si="10"/>
        <v>Julius Randle</v>
      </c>
      <c r="T184" s="2">
        <f t="shared" si="11"/>
        <v>18.899999999999999</v>
      </c>
    </row>
    <row r="185" spans="1:20" x14ac:dyDescent="0.25">
      <c r="A185" s="2"/>
      <c r="B185" s="2" t="s">
        <v>5</v>
      </c>
      <c r="C185" s="2" t="s">
        <v>469</v>
      </c>
      <c r="D185" s="2" t="s">
        <v>251</v>
      </c>
      <c r="E185" s="2" t="s">
        <v>252</v>
      </c>
      <c r="F185" s="2" t="s">
        <v>253</v>
      </c>
      <c r="G185" s="2" t="s">
        <v>282</v>
      </c>
      <c r="H185" s="35">
        <v>4700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18.8</v>
      </c>
      <c r="O185" s="2" t="s">
        <v>284</v>
      </c>
      <c r="P185" s="2" t="s">
        <v>283</v>
      </c>
      <c r="Q185" s="2" t="str">
        <f t="shared" si="12"/>
        <v>Evan</v>
      </c>
      <c r="R185" s="2" t="str">
        <f t="shared" si="13"/>
        <v>Turner</v>
      </c>
      <c r="S185" s="2" t="str">
        <f t="shared" si="10"/>
        <v>Evan Turner</v>
      </c>
      <c r="T185" s="2">
        <f t="shared" si="11"/>
        <v>18.8</v>
      </c>
    </row>
    <row r="186" spans="1:20" x14ac:dyDescent="0.25">
      <c r="A186" s="2"/>
      <c r="B186" s="2" t="s">
        <v>7</v>
      </c>
      <c r="C186" s="2" t="s">
        <v>470</v>
      </c>
      <c r="D186" s="2" t="s">
        <v>251</v>
      </c>
      <c r="E186" s="2" t="s">
        <v>252</v>
      </c>
      <c r="F186" s="2" t="s">
        <v>253</v>
      </c>
      <c r="G186" s="2" t="s">
        <v>259</v>
      </c>
      <c r="H186" s="35">
        <v>3800</v>
      </c>
      <c r="I186" s="2">
        <v>0</v>
      </c>
      <c r="J186" s="2">
        <v>32.5</v>
      </c>
      <c r="K186" s="2">
        <v>2</v>
      </c>
      <c r="L186" s="2">
        <v>16.2</v>
      </c>
      <c r="M186" s="2">
        <v>4.3</v>
      </c>
      <c r="N186" s="2">
        <v>18.8</v>
      </c>
      <c r="O186" s="2">
        <v>20.5</v>
      </c>
      <c r="P186" s="2" t="s">
        <v>260</v>
      </c>
      <c r="Q186" s="2" t="str">
        <f t="shared" si="12"/>
        <v>E'Twaun</v>
      </c>
      <c r="R186" s="2" t="str">
        <f t="shared" si="13"/>
        <v>Moore</v>
      </c>
      <c r="S186" s="2" t="str">
        <f t="shared" si="10"/>
        <v>E'Twaun Moore</v>
      </c>
      <c r="T186" s="2">
        <f t="shared" si="11"/>
        <v>18.8</v>
      </c>
    </row>
    <row r="187" spans="1:20" x14ac:dyDescent="0.25">
      <c r="A187" s="2"/>
      <c r="B187" s="2" t="s">
        <v>5</v>
      </c>
      <c r="C187" s="2" t="s">
        <v>471</v>
      </c>
      <c r="D187" s="2" t="s">
        <v>251</v>
      </c>
      <c r="E187" s="2" t="s">
        <v>252</v>
      </c>
      <c r="F187" s="2" t="s">
        <v>253</v>
      </c>
      <c r="G187" s="2" t="s">
        <v>282</v>
      </c>
      <c r="H187" s="35">
        <v>4600</v>
      </c>
      <c r="I187" s="2">
        <v>0</v>
      </c>
      <c r="J187" s="2">
        <v>54.1</v>
      </c>
      <c r="K187" s="2">
        <v>2</v>
      </c>
      <c r="L187" s="2">
        <v>27.1</v>
      </c>
      <c r="M187" s="2">
        <v>5.9</v>
      </c>
      <c r="N187" s="2">
        <v>18.8</v>
      </c>
      <c r="O187" s="2">
        <v>34.799999999999997</v>
      </c>
      <c r="P187" s="2" t="s">
        <v>283</v>
      </c>
      <c r="Q187" s="2" t="str">
        <f t="shared" si="12"/>
        <v>Maurice</v>
      </c>
      <c r="R187" s="2" t="str">
        <f t="shared" si="13"/>
        <v>Harkless</v>
      </c>
      <c r="S187" s="2" t="str">
        <f t="shared" si="10"/>
        <v>Maurice Harkless</v>
      </c>
      <c r="T187" s="2">
        <f t="shared" si="11"/>
        <v>18.8</v>
      </c>
    </row>
    <row r="188" spans="1:20" x14ac:dyDescent="0.25">
      <c r="A188" s="2"/>
      <c r="B188" s="2" t="s">
        <v>7</v>
      </c>
      <c r="C188" s="2" t="s">
        <v>472</v>
      </c>
      <c r="D188" s="2" t="s">
        <v>251</v>
      </c>
      <c r="E188" s="2" t="s">
        <v>252</v>
      </c>
      <c r="F188" s="2" t="s">
        <v>253</v>
      </c>
      <c r="G188" s="2" t="s">
        <v>261</v>
      </c>
      <c r="H188" s="35">
        <v>4100</v>
      </c>
      <c r="I188" s="2">
        <v>0</v>
      </c>
      <c r="J188" s="2">
        <v>94.7</v>
      </c>
      <c r="K188" s="2">
        <v>4</v>
      </c>
      <c r="L188" s="2">
        <v>23.7</v>
      </c>
      <c r="M188" s="2">
        <v>5.8</v>
      </c>
      <c r="N188" s="2">
        <v>18.7</v>
      </c>
      <c r="O188" s="2">
        <v>14.6</v>
      </c>
      <c r="P188" s="2" t="s">
        <v>262</v>
      </c>
      <c r="Q188" s="2" t="str">
        <f t="shared" si="12"/>
        <v>Ben</v>
      </c>
      <c r="R188" s="2" t="str">
        <f t="shared" si="13"/>
        <v>McLemore</v>
      </c>
      <c r="S188" s="2" t="str">
        <f t="shared" si="10"/>
        <v>Ben McLemore</v>
      </c>
      <c r="T188" s="2">
        <f t="shared" si="11"/>
        <v>18.7</v>
      </c>
    </row>
    <row r="189" spans="1:20" x14ac:dyDescent="0.25">
      <c r="A189" s="2"/>
      <c r="B189" s="2" t="s">
        <v>5</v>
      </c>
      <c r="C189" s="2" t="s">
        <v>473</v>
      </c>
      <c r="D189" s="2" t="s">
        <v>251</v>
      </c>
      <c r="E189" s="2" t="s">
        <v>252</v>
      </c>
      <c r="F189" s="2" t="s">
        <v>253</v>
      </c>
      <c r="G189" s="2" t="s">
        <v>291</v>
      </c>
      <c r="H189" s="35">
        <v>3600</v>
      </c>
      <c r="I189" s="2">
        <v>0</v>
      </c>
      <c r="J189" s="2">
        <v>24.5</v>
      </c>
      <c r="K189" s="2">
        <v>2</v>
      </c>
      <c r="L189" s="2">
        <v>12.2</v>
      </c>
      <c r="M189" s="2">
        <v>3.4</v>
      </c>
      <c r="N189" s="2">
        <v>18.600000000000001</v>
      </c>
      <c r="O189" s="2">
        <v>23.1</v>
      </c>
      <c r="P189" s="2" t="s">
        <v>292</v>
      </c>
      <c r="Q189" s="2" t="str">
        <f t="shared" si="12"/>
        <v>Vince</v>
      </c>
      <c r="R189" s="2" t="str">
        <f t="shared" si="13"/>
        <v>Carter</v>
      </c>
      <c r="S189" s="2" t="str">
        <f t="shared" si="10"/>
        <v>Vince Carter</v>
      </c>
      <c r="T189" s="2">
        <f t="shared" si="11"/>
        <v>18.600000000000001</v>
      </c>
    </row>
    <row r="190" spans="1:20" x14ac:dyDescent="0.25">
      <c r="A190" s="2"/>
      <c r="B190" s="2" t="s">
        <v>7</v>
      </c>
      <c r="C190" s="2" t="s">
        <v>474</v>
      </c>
      <c r="D190" s="2" t="s">
        <v>251</v>
      </c>
      <c r="E190" s="2" t="s">
        <v>252</v>
      </c>
      <c r="F190" s="2" t="s">
        <v>253</v>
      </c>
      <c r="G190" s="2" t="s">
        <v>297</v>
      </c>
      <c r="H190" s="35">
        <v>4500</v>
      </c>
      <c r="I190" s="2">
        <v>0</v>
      </c>
      <c r="J190" s="2">
        <v>65.3</v>
      </c>
      <c r="K190" s="2">
        <v>3</v>
      </c>
      <c r="L190" s="2">
        <v>21.8</v>
      </c>
      <c r="M190" s="2">
        <v>4.8</v>
      </c>
      <c r="N190" s="2">
        <v>18.600000000000001</v>
      </c>
      <c r="O190" s="2">
        <v>22.5</v>
      </c>
      <c r="P190" s="2" t="s">
        <v>298</v>
      </c>
      <c r="Q190" s="2" t="str">
        <f t="shared" si="12"/>
        <v>Courtney</v>
      </c>
      <c r="R190" s="2" t="str">
        <f t="shared" si="13"/>
        <v>Lee</v>
      </c>
      <c r="S190" s="2" t="str">
        <f t="shared" si="10"/>
        <v>Courtney Lee</v>
      </c>
      <c r="T190" s="2">
        <f t="shared" si="11"/>
        <v>18.600000000000001</v>
      </c>
    </row>
    <row r="191" spans="1:20" x14ac:dyDescent="0.25">
      <c r="A191" s="2"/>
      <c r="B191" s="2" t="s">
        <v>4</v>
      </c>
      <c r="C191" s="2" t="s">
        <v>475</v>
      </c>
      <c r="D191" s="2" t="s">
        <v>251</v>
      </c>
      <c r="E191" s="2" t="s">
        <v>252</v>
      </c>
      <c r="F191" s="2" t="s">
        <v>253</v>
      </c>
      <c r="G191" s="2" t="s">
        <v>261</v>
      </c>
      <c r="H191" s="35">
        <v>3700</v>
      </c>
      <c r="I191" s="2">
        <v>0</v>
      </c>
      <c r="J191" s="2">
        <v>79.2</v>
      </c>
      <c r="K191" s="2">
        <v>4</v>
      </c>
      <c r="L191" s="2">
        <v>19.8</v>
      </c>
      <c r="M191" s="2">
        <v>5.4</v>
      </c>
      <c r="N191" s="2">
        <v>18.600000000000001</v>
      </c>
      <c r="O191" s="2">
        <v>19.600000000000001</v>
      </c>
      <c r="P191" s="2" t="s">
        <v>262</v>
      </c>
      <c r="Q191" s="2" t="str">
        <f t="shared" si="12"/>
        <v>Willie</v>
      </c>
      <c r="R191" s="2" t="str">
        <f t="shared" si="13"/>
        <v>Cauley-Stein</v>
      </c>
      <c r="S191" s="2" t="str">
        <f t="shared" si="10"/>
        <v>Willie Cauley-Stein</v>
      </c>
      <c r="T191" s="2">
        <f t="shared" si="11"/>
        <v>18.600000000000001</v>
      </c>
    </row>
    <row r="192" spans="1:20" x14ac:dyDescent="0.25">
      <c r="A192" s="2"/>
      <c r="B192" s="2" t="s">
        <v>5</v>
      </c>
      <c r="C192" s="2" t="s">
        <v>476</v>
      </c>
      <c r="D192" s="2" t="s">
        <v>251</v>
      </c>
      <c r="E192" s="2" t="s">
        <v>252</v>
      </c>
      <c r="F192" s="2" t="s">
        <v>253</v>
      </c>
      <c r="G192" s="2" t="s">
        <v>295</v>
      </c>
      <c r="H192" s="35">
        <v>3900</v>
      </c>
      <c r="I192" s="2">
        <v>0</v>
      </c>
      <c r="J192" s="2">
        <v>73.400000000000006</v>
      </c>
      <c r="K192" s="2">
        <v>4</v>
      </c>
      <c r="L192" s="2">
        <v>18.399999999999999</v>
      </c>
      <c r="M192" s="2">
        <v>4.7</v>
      </c>
      <c r="N192" s="2">
        <v>18.100000000000001</v>
      </c>
      <c r="O192" s="2">
        <v>9.8000000000000007</v>
      </c>
      <c r="P192" s="2" t="s">
        <v>296</v>
      </c>
      <c r="Q192" s="2" t="str">
        <f t="shared" si="12"/>
        <v>C.J.</v>
      </c>
      <c r="R192" s="2" t="str">
        <f t="shared" si="13"/>
        <v>Miles</v>
      </c>
      <c r="S192" s="2" t="str">
        <f t="shared" si="10"/>
        <v>C.J. Miles</v>
      </c>
      <c r="T192" s="2">
        <f t="shared" si="11"/>
        <v>18.100000000000001</v>
      </c>
    </row>
    <row r="193" spans="1:20" x14ac:dyDescent="0.25">
      <c r="A193" s="2"/>
      <c r="B193" s="2" t="s">
        <v>3</v>
      </c>
      <c r="C193" s="2" t="s">
        <v>477</v>
      </c>
      <c r="D193" s="2" t="s">
        <v>251</v>
      </c>
      <c r="E193" s="2" t="s">
        <v>252</v>
      </c>
      <c r="F193" s="2" t="s">
        <v>253</v>
      </c>
      <c r="G193" s="2" t="s">
        <v>278</v>
      </c>
      <c r="H193" s="35">
        <v>4700</v>
      </c>
      <c r="I193" s="2">
        <v>-100</v>
      </c>
      <c r="J193" s="2">
        <v>77.7</v>
      </c>
      <c r="K193" s="2">
        <v>4</v>
      </c>
      <c r="L193" s="2">
        <v>19.399999999999999</v>
      </c>
      <c r="M193" s="2">
        <v>4.0999999999999996</v>
      </c>
      <c r="N193" s="2">
        <v>18.100000000000001</v>
      </c>
      <c r="O193" s="2">
        <v>16.600000000000001</v>
      </c>
      <c r="P193" s="2" t="s">
        <v>279</v>
      </c>
      <c r="Q193" s="2" t="str">
        <f t="shared" si="12"/>
        <v>Rajon</v>
      </c>
      <c r="R193" s="2" t="str">
        <f t="shared" si="13"/>
        <v>Rondo</v>
      </c>
      <c r="S193" s="2" t="str">
        <f t="shared" si="10"/>
        <v>Rajon Rondo</v>
      </c>
      <c r="T193" s="2">
        <f t="shared" si="11"/>
        <v>18.100000000000001</v>
      </c>
    </row>
    <row r="194" spans="1:20" x14ac:dyDescent="0.25">
      <c r="A194" s="2"/>
      <c r="B194" s="2" t="s">
        <v>5</v>
      </c>
      <c r="C194" s="2" t="s">
        <v>478</v>
      </c>
      <c r="D194" s="2" t="s">
        <v>251</v>
      </c>
      <c r="E194" s="2" t="s">
        <v>252</v>
      </c>
      <c r="F194" s="2" t="s">
        <v>253</v>
      </c>
      <c r="G194" s="2" t="s">
        <v>276</v>
      </c>
      <c r="H194" s="35">
        <v>4900</v>
      </c>
      <c r="I194" s="2">
        <v>0</v>
      </c>
      <c r="J194" s="2">
        <v>92.9</v>
      </c>
      <c r="K194" s="2">
        <v>4</v>
      </c>
      <c r="L194" s="2">
        <v>23.2</v>
      </c>
      <c r="M194" s="2">
        <v>4.7</v>
      </c>
      <c r="N194" s="2">
        <v>18</v>
      </c>
      <c r="O194" s="2">
        <v>40.6</v>
      </c>
      <c r="P194" s="2" t="s">
        <v>277</v>
      </c>
      <c r="Q194" s="2" t="str">
        <f t="shared" si="12"/>
        <v>Michael</v>
      </c>
      <c r="R194" s="2" t="str">
        <f t="shared" si="13"/>
        <v>Beasley</v>
      </c>
      <c r="S194" s="2" t="str">
        <f t="shared" si="10"/>
        <v>Michael Beasley</v>
      </c>
      <c r="T194" s="2">
        <f t="shared" si="11"/>
        <v>18</v>
      </c>
    </row>
    <row r="195" spans="1:20" x14ac:dyDescent="0.25">
      <c r="A195" s="2"/>
      <c r="B195" s="2" t="s">
        <v>4</v>
      </c>
      <c r="C195" s="2" t="s">
        <v>479</v>
      </c>
      <c r="D195" s="2" t="s">
        <v>251</v>
      </c>
      <c r="E195" s="2" t="s">
        <v>252</v>
      </c>
      <c r="F195" s="2" t="s">
        <v>253</v>
      </c>
      <c r="G195" s="2" t="s">
        <v>270</v>
      </c>
      <c r="H195" s="35">
        <v>4100</v>
      </c>
      <c r="I195" s="2">
        <v>0</v>
      </c>
      <c r="J195" s="2">
        <v>45</v>
      </c>
      <c r="K195" s="2">
        <v>3</v>
      </c>
      <c r="L195" s="2">
        <v>15</v>
      </c>
      <c r="M195" s="2">
        <v>3.7</v>
      </c>
      <c r="N195" s="2">
        <v>18</v>
      </c>
      <c r="O195" s="2" t="s">
        <v>284</v>
      </c>
      <c r="P195" s="2" t="s">
        <v>271</v>
      </c>
      <c r="Q195" s="2" t="str">
        <f t="shared" si="12"/>
        <v>Darrell</v>
      </c>
      <c r="R195" s="2" t="str">
        <f t="shared" si="13"/>
        <v>Arthur</v>
      </c>
      <c r="S195" s="2" t="str">
        <f t="shared" si="10"/>
        <v>Darrell Arthur</v>
      </c>
      <c r="T195" s="2">
        <f t="shared" si="11"/>
        <v>18</v>
      </c>
    </row>
    <row r="196" spans="1:20" x14ac:dyDescent="0.25">
      <c r="A196" s="2"/>
      <c r="B196" s="2" t="s">
        <v>4</v>
      </c>
      <c r="C196" s="2" t="s">
        <v>480</v>
      </c>
      <c r="D196" s="2" t="s">
        <v>251</v>
      </c>
      <c r="E196" s="2" t="s">
        <v>252</v>
      </c>
      <c r="F196" s="2" t="s">
        <v>253</v>
      </c>
      <c r="G196" s="2" t="s">
        <v>282</v>
      </c>
      <c r="H196" s="35">
        <v>3800</v>
      </c>
      <c r="I196" s="2">
        <v>0</v>
      </c>
      <c r="J196" s="2">
        <v>32.1</v>
      </c>
      <c r="K196" s="2">
        <v>1</v>
      </c>
      <c r="L196" s="2">
        <v>32.1</v>
      </c>
      <c r="M196" s="2">
        <v>8.4</v>
      </c>
      <c r="N196" s="2">
        <v>18</v>
      </c>
      <c r="O196" s="2">
        <v>32.1</v>
      </c>
      <c r="P196" s="2" t="s">
        <v>283</v>
      </c>
      <c r="Q196" s="2" t="str">
        <f t="shared" si="12"/>
        <v>Ed</v>
      </c>
      <c r="R196" s="2" t="str">
        <f t="shared" si="13"/>
        <v>Davis</v>
      </c>
      <c r="S196" s="2" t="str">
        <f t="shared" si="10"/>
        <v>Ed Davis</v>
      </c>
      <c r="T196" s="2">
        <f t="shared" si="11"/>
        <v>18</v>
      </c>
    </row>
    <row r="197" spans="1:20" x14ac:dyDescent="0.25">
      <c r="A197" s="2"/>
      <c r="B197" s="2" t="s">
        <v>3</v>
      </c>
      <c r="C197" s="2" t="s">
        <v>481</v>
      </c>
      <c r="D197" s="2" t="s">
        <v>251</v>
      </c>
      <c r="E197" s="2" t="s">
        <v>252</v>
      </c>
      <c r="F197" s="2" t="s">
        <v>253</v>
      </c>
      <c r="G197" s="2" t="s">
        <v>266</v>
      </c>
      <c r="H197" s="35">
        <v>4300</v>
      </c>
      <c r="I197" s="2">
        <v>0</v>
      </c>
      <c r="J197" s="2">
        <v>71.3</v>
      </c>
      <c r="K197" s="2">
        <v>4</v>
      </c>
      <c r="L197" s="2">
        <v>17.8</v>
      </c>
      <c r="M197" s="2">
        <v>4.0999999999999996</v>
      </c>
      <c r="N197" s="2">
        <v>17.899999999999999</v>
      </c>
      <c r="O197" s="2">
        <v>18.2</v>
      </c>
      <c r="P197" s="2" t="s">
        <v>267</v>
      </c>
      <c r="Q197" s="2" t="str">
        <f t="shared" si="12"/>
        <v>Tony</v>
      </c>
      <c r="R197" s="2" t="str">
        <f t="shared" si="13"/>
        <v>Parker</v>
      </c>
      <c r="S197" s="2" t="str">
        <f t="shared" si="10"/>
        <v>Tony Parker</v>
      </c>
      <c r="T197" s="2">
        <f t="shared" si="11"/>
        <v>17.899999999999999</v>
      </c>
    </row>
    <row r="198" spans="1:20" x14ac:dyDescent="0.25">
      <c r="A198" s="2"/>
      <c r="B198" s="2" t="s">
        <v>4</v>
      </c>
      <c r="C198" s="2" t="s">
        <v>482</v>
      </c>
      <c r="D198" s="2" t="s">
        <v>251</v>
      </c>
      <c r="E198" s="2" t="s">
        <v>252</v>
      </c>
      <c r="F198" s="2" t="s">
        <v>253</v>
      </c>
      <c r="G198" s="2" t="s">
        <v>92</v>
      </c>
      <c r="H198" s="35">
        <v>3800</v>
      </c>
      <c r="I198" s="2">
        <v>0</v>
      </c>
      <c r="J198" s="2">
        <v>43.8</v>
      </c>
      <c r="K198" s="2">
        <v>3</v>
      </c>
      <c r="L198" s="2">
        <v>14.6</v>
      </c>
      <c r="M198" s="2">
        <v>3.8</v>
      </c>
      <c r="N198" s="2">
        <v>17.8</v>
      </c>
      <c r="O198" s="2">
        <v>15.4</v>
      </c>
      <c r="P198" s="2" t="s">
        <v>263</v>
      </c>
      <c r="Q198" s="2" t="str">
        <f t="shared" si="12"/>
        <v>Marreese</v>
      </c>
      <c r="R198" s="2" t="str">
        <f t="shared" si="13"/>
        <v>Speights</v>
      </c>
      <c r="S198" s="2" t="str">
        <f t="shared" ref="S198:S261" si="14">Q198&amp;" "&amp;R198</f>
        <v>Marreese Speights</v>
      </c>
      <c r="T198" s="2">
        <f t="shared" ref="T198:T261" si="15">N198</f>
        <v>17.8</v>
      </c>
    </row>
    <row r="199" spans="1:20" x14ac:dyDescent="0.25">
      <c r="A199" s="2"/>
      <c r="B199" s="2" t="s">
        <v>4</v>
      </c>
      <c r="C199" s="2" t="s">
        <v>483</v>
      </c>
      <c r="D199" s="2" t="s">
        <v>251</v>
      </c>
      <c r="E199" s="2" t="s">
        <v>252</v>
      </c>
      <c r="F199" s="2" t="s">
        <v>253</v>
      </c>
      <c r="G199" s="2" t="s">
        <v>299</v>
      </c>
      <c r="H199" s="35">
        <v>3700</v>
      </c>
      <c r="I199" s="2">
        <v>0</v>
      </c>
      <c r="J199" s="2">
        <v>57.3</v>
      </c>
      <c r="K199" s="2">
        <v>4</v>
      </c>
      <c r="L199" s="2">
        <v>14.3</v>
      </c>
      <c r="M199" s="2">
        <v>3.9</v>
      </c>
      <c r="N199" s="2">
        <v>17.8</v>
      </c>
      <c r="O199" s="2">
        <v>13.6</v>
      </c>
      <c r="P199" s="2" t="s">
        <v>300</v>
      </c>
      <c r="Q199" s="2" t="str">
        <f t="shared" si="12"/>
        <v>Marquese</v>
      </c>
      <c r="R199" s="2" t="str">
        <f t="shared" si="13"/>
        <v>Chriss</v>
      </c>
      <c r="S199" s="2" t="str">
        <f t="shared" si="14"/>
        <v>Marquese Chriss</v>
      </c>
      <c r="T199" s="2">
        <f t="shared" si="15"/>
        <v>17.8</v>
      </c>
    </row>
    <row r="200" spans="1:20" x14ac:dyDescent="0.25">
      <c r="A200" s="2"/>
      <c r="B200" s="2" t="s">
        <v>7</v>
      </c>
      <c r="C200" s="2" t="s">
        <v>484</v>
      </c>
      <c r="D200" s="2" t="s">
        <v>251</v>
      </c>
      <c r="E200" s="2" t="s">
        <v>252</v>
      </c>
      <c r="F200" s="2" t="s">
        <v>253</v>
      </c>
      <c r="G200" s="2" t="s">
        <v>295</v>
      </c>
      <c r="H200" s="35">
        <v>4200</v>
      </c>
      <c r="I200" s="2">
        <v>400</v>
      </c>
      <c r="J200" s="2">
        <v>86.8</v>
      </c>
      <c r="K200" s="2">
        <v>4</v>
      </c>
      <c r="L200" s="2">
        <v>21.7</v>
      </c>
      <c r="M200" s="2">
        <v>5.2</v>
      </c>
      <c r="N200" s="2">
        <v>17.600000000000001</v>
      </c>
      <c r="O200" s="2">
        <v>20.399999999999999</v>
      </c>
      <c r="P200" s="2" t="s">
        <v>296</v>
      </c>
      <c r="Q200" s="2" t="str">
        <f t="shared" ref="Q200:Q263" si="16">MID(C200,FIND(" ",C200)+1,256)</f>
        <v>Monta</v>
      </c>
      <c r="R200" s="2" t="str">
        <f t="shared" ref="R200:R263" si="17">LEFT(C200,(FIND(" ",C200,1)-1))</f>
        <v>Ellis</v>
      </c>
      <c r="S200" s="2" t="str">
        <f t="shared" si="14"/>
        <v>Monta Ellis</v>
      </c>
      <c r="T200" s="2">
        <f t="shared" si="15"/>
        <v>17.600000000000001</v>
      </c>
    </row>
    <row r="201" spans="1:20" x14ac:dyDescent="0.25">
      <c r="A201" s="2"/>
      <c r="B201" s="2" t="s">
        <v>3</v>
      </c>
      <c r="C201" s="2" t="s">
        <v>485</v>
      </c>
      <c r="D201" s="2" t="s">
        <v>251</v>
      </c>
      <c r="E201" s="2" t="s">
        <v>252</v>
      </c>
      <c r="F201" s="2" t="s">
        <v>253</v>
      </c>
      <c r="G201" s="2" t="s">
        <v>62</v>
      </c>
      <c r="H201" s="35">
        <v>4500</v>
      </c>
      <c r="I201" s="2">
        <v>0</v>
      </c>
      <c r="J201" s="2">
        <v>53.6</v>
      </c>
      <c r="K201" s="2">
        <v>3</v>
      </c>
      <c r="L201" s="2">
        <v>17.899999999999999</v>
      </c>
      <c r="M201" s="2">
        <v>4</v>
      </c>
      <c r="N201" s="2">
        <v>17.600000000000001</v>
      </c>
      <c r="O201" s="2">
        <v>21.4</v>
      </c>
      <c r="P201" s="2" t="s">
        <v>307</v>
      </c>
      <c r="Q201" s="2" t="str">
        <f t="shared" si="16"/>
        <v>Jordan</v>
      </c>
      <c r="R201" s="2" t="str">
        <f t="shared" si="17"/>
        <v>Clarkson</v>
      </c>
      <c r="S201" s="2" t="str">
        <f t="shared" si="14"/>
        <v>Jordan Clarkson</v>
      </c>
      <c r="T201" s="2">
        <f t="shared" si="15"/>
        <v>17.600000000000001</v>
      </c>
    </row>
    <row r="202" spans="1:20" x14ac:dyDescent="0.25">
      <c r="A202" s="2"/>
      <c r="B202" s="2" t="s">
        <v>6</v>
      </c>
      <c r="C202" s="2" t="s">
        <v>486</v>
      </c>
      <c r="D202" s="2" t="s">
        <v>251</v>
      </c>
      <c r="E202" s="2" t="s">
        <v>252</v>
      </c>
      <c r="F202" s="2" t="s">
        <v>253</v>
      </c>
      <c r="G202" s="2" t="s">
        <v>305</v>
      </c>
      <c r="H202" s="35">
        <v>3600</v>
      </c>
      <c r="I202" s="2">
        <v>0</v>
      </c>
      <c r="J202" s="2">
        <v>25</v>
      </c>
      <c r="K202" s="2">
        <v>2</v>
      </c>
      <c r="L202" s="2">
        <v>12.5</v>
      </c>
      <c r="M202" s="2">
        <v>3.5</v>
      </c>
      <c r="N202" s="2">
        <v>17.5</v>
      </c>
      <c r="O202" s="2" t="s">
        <v>284</v>
      </c>
      <c r="P202" s="2" t="s">
        <v>306</v>
      </c>
      <c r="Q202" s="2" t="str">
        <f t="shared" si="16"/>
        <v>Justin</v>
      </c>
      <c r="R202" s="2" t="str">
        <f t="shared" si="17"/>
        <v>Hamilton</v>
      </c>
      <c r="S202" s="2" t="str">
        <f t="shared" si="14"/>
        <v>Justin Hamilton</v>
      </c>
      <c r="T202" s="2">
        <f t="shared" si="15"/>
        <v>17.5</v>
      </c>
    </row>
    <row r="203" spans="1:20" x14ac:dyDescent="0.25">
      <c r="A203" s="2"/>
      <c r="B203" s="2" t="s">
        <v>6</v>
      </c>
      <c r="C203" s="2" t="s">
        <v>487</v>
      </c>
      <c r="D203" s="2" t="s">
        <v>251</v>
      </c>
      <c r="E203" s="2" t="s">
        <v>252</v>
      </c>
      <c r="F203" s="2" t="s">
        <v>253</v>
      </c>
      <c r="G203" s="2" t="s">
        <v>289</v>
      </c>
      <c r="H203" s="35">
        <v>3900</v>
      </c>
      <c r="I203" s="2">
        <v>0</v>
      </c>
      <c r="J203" s="2">
        <v>35.200000000000003</v>
      </c>
      <c r="K203" s="2">
        <v>3</v>
      </c>
      <c r="L203" s="2">
        <v>11.7</v>
      </c>
      <c r="M203" s="2">
        <v>3</v>
      </c>
      <c r="N203" s="2">
        <v>17.5</v>
      </c>
      <c r="O203" s="2">
        <v>8.6</v>
      </c>
      <c r="P203" s="2" t="s">
        <v>290</v>
      </c>
      <c r="Q203" s="2" t="str">
        <f t="shared" si="16"/>
        <v>Lucas</v>
      </c>
      <c r="R203" s="2" t="str">
        <f t="shared" si="17"/>
        <v>Nogueira</v>
      </c>
      <c r="S203" s="2" t="str">
        <f t="shared" si="14"/>
        <v>Lucas Nogueira</v>
      </c>
      <c r="T203" s="2">
        <f t="shared" si="15"/>
        <v>17.5</v>
      </c>
    </row>
    <row r="204" spans="1:20" x14ac:dyDescent="0.25">
      <c r="A204" s="2"/>
      <c r="B204" s="2"/>
      <c r="C204" s="2"/>
      <c r="D204" s="2"/>
      <c r="E204" s="2"/>
      <c r="F204" s="2"/>
      <c r="G204" s="2"/>
      <c r="H204" s="42">
        <v>42782</v>
      </c>
      <c r="I204" s="2" t="s">
        <v>232</v>
      </c>
      <c r="J204" s="2" t="s">
        <v>233</v>
      </c>
      <c r="K204" s="2" t="s">
        <v>232</v>
      </c>
      <c r="L204" s="2" t="s">
        <v>234</v>
      </c>
      <c r="M204" s="2" t="s">
        <v>235</v>
      </c>
      <c r="N204" s="2" t="s">
        <v>232</v>
      </c>
      <c r="O204" s="2" t="s">
        <v>232</v>
      </c>
      <c r="P204" s="2" t="s">
        <v>236</v>
      </c>
      <c r="Q204" s="2" t="e">
        <f t="shared" si="16"/>
        <v>#VALUE!</v>
      </c>
      <c r="R204" s="2" t="e">
        <f t="shared" si="17"/>
        <v>#VALUE!</v>
      </c>
      <c r="S204" s="2" t="e">
        <f t="shared" si="14"/>
        <v>#VALUE!</v>
      </c>
      <c r="T204" s="2" t="str">
        <f t="shared" si="15"/>
        <v>Last</v>
      </c>
    </row>
    <row r="205" spans="1:20" x14ac:dyDescent="0.25">
      <c r="A205" s="2"/>
      <c r="B205" s="2"/>
      <c r="C205" s="2"/>
      <c r="D205" s="2"/>
      <c r="E205" s="2"/>
      <c r="F205" s="2"/>
      <c r="G205" s="2"/>
      <c r="H205" s="2" t="s">
        <v>142</v>
      </c>
      <c r="I205" s="2" t="s">
        <v>142</v>
      </c>
      <c r="J205" s="2" t="s">
        <v>237</v>
      </c>
      <c r="K205" s="2"/>
      <c r="L205" s="2" t="s">
        <v>238</v>
      </c>
      <c r="M205" s="2" t="s">
        <v>239</v>
      </c>
      <c r="N205" s="2" t="s">
        <v>240</v>
      </c>
      <c r="O205" s="2" t="s">
        <v>1</v>
      </c>
      <c r="P205" s="2" t="s">
        <v>241</v>
      </c>
      <c r="Q205" s="2" t="e">
        <f t="shared" si="16"/>
        <v>#VALUE!</v>
      </c>
      <c r="R205" s="2" t="e">
        <f t="shared" si="17"/>
        <v>#VALUE!</v>
      </c>
      <c r="S205" s="2" t="e">
        <f t="shared" si="14"/>
        <v>#VALUE!</v>
      </c>
      <c r="T205" s="2" t="str">
        <f t="shared" si="15"/>
        <v>15 day</v>
      </c>
    </row>
    <row r="206" spans="1:20" x14ac:dyDescent="0.25">
      <c r="A206" s="2"/>
      <c r="B206" s="2" t="s">
        <v>8</v>
      </c>
      <c r="C206" s="2" t="s">
        <v>242</v>
      </c>
      <c r="D206" s="2" t="s">
        <v>243</v>
      </c>
      <c r="E206" s="2" t="s">
        <v>244</v>
      </c>
      <c r="F206" s="2" t="s">
        <v>245</v>
      </c>
      <c r="G206" s="2" t="s">
        <v>2</v>
      </c>
      <c r="H206" s="43">
        <v>0</v>
      </c>
      <c r="I206" s="2" t="s">
        <v>246</v>
      </c>
      <c r="J206" s="2" t="s">
        <v>238</v>
      </c>
      <c r="K206" s="2" t="s">
        <v>247</v>
      </c>
      <c r="L206" s="2" t="s">
        <v>248</v>
      </c>
      <c r="M206" s="2" t="s">
        <v>249</v>
      </c>
      <c r="N206" s="2" t="s">
        <v>250</v>
      </c>
      <c r="O206" s="2" t="s">
        <v>238</v>
      </c>
      <c r="P206" s="2">
        <v>1.23456789012345E+27</v>
      </c>
      <c r="Q206" s="2" t="e">
        <f t="shared" si="16"/>
        <v>#VALUE!</v>
      </c>
      <c r="R206" s="2" t="e">
        <f t="shared" si="17"/>
        <v>#VALUE!</v>
      </c>
      <c r="S206" s="2" t="e">
        <f t="shared" si="14"/>
        <v>#VALUE!</v>
      </c>
      <c r="T206" s="2" t="str">
        <f t="shared" si="15"/>
        <v>FDP/G</v>
      </c>
    </row>
    <row r="207" spans="1:20" x14ac:dyDescent="0.25">
      <c r="A207" s="2"/>
      <c r="B207" s="2" t="s">
        <v>6</v>
      </c>
      <c r="C207" s="2" t="s">
        <v>488</v>
      </c>
      <c r="D207" s="2" t="s">
        <v>251</v>
      </c>
      <c r="E207" s="2" t="s">
        <v>252</v>
      </c>
      <c r="F207" s="2" t="s">
        <v>253</v>
      </c>
      <c r="G207" s="2" t="s">
        <v>272</v>
      </c>
      <c r="H207" s="35">
        <v>3600</v>
      </c>
      <c r="I207" s="2">
        <v>0</v>
      </c>
      <c r="J207" s="2">
        <v>71.5</v>
      </c>
      <c r="K207" s="2">
        <v>4</v>
      </c>
      <c r="L207" s="2">
        <v>17.899999999999999</v>
      </c>
      <c r="M207" s="2">
        <v>5</v>
      </c>
      <c r="N207" s="2">
        <v>17.3</v>
      </c>
      <c r="O207" s="2">
        <v>16.399999999999999</v>
      </c>
      <c r="P207" s="2" t="s">
        <v>273</v>
      </c>
      <c r="Q207" s="2" t="str">
        <f t="shared" si="16"/>
        <v>JaVale</v>
      </c>
      <c r="R207" s="2" t="str">
        <f t="shared" si="17"/>
        <v>McGee</v>
      </c>
      <c r="S207" s="2" t="str">
        <f t="shared" si="14"/>
        <v>JaVale McGee</v>
      </c>
      <c r="T207" s="2">
        <f t="shared" si="15"/>
        <v>17.3</v>
      </c>
    </row>
    <row r="208" spans="1:20" x14ac:dyDescent="0.25">
      <c r="A208" s="2"/>
      <c r="B208" s="2" t="s">
        <v>5</v>
      </c>
      <c r="C208" s="2" t="s">
        <v>489</v>
      </c>
      <c r="D208" s="2" t="s">
        <v>251</v>
      </c>
      <c r="E208" s="2" t="s">
        <v>252</v>
      </c>
      <c r="F208" s="2" t="s">
        <v>253</v>
      </c>
      <c r="G208" s="2" t="s">
        <v>62</v>
      </c>
      <c r="H208" s="35">
        <v>3800</v>
      </c>
      <c r="I208" s="2">
        <v>0</v>
      </c>
      <c r="J208" s="2">
        <v>45.7</v>
      </c>
      <c r="K208" s="2">
        <v>3</v>
      </c>
      <c r="L208" s="2">
        <v>15.2</v>
      </c>
      <c r="M208" s="2">
        <v>4</v>
      </c>
      <c r="N208" s="2">
        <v>17.3</v>
      </c>
      <c r="O208" s="2">
        <v>18</v>
      </c>
      <c r="P208" s="2" t="s">
        <v>307</v>
      </c>
      <c r="Q208" s="2" t="str">
        <f t="shared" si="16"/>
        <v>Brandon</v>
      </c>
      <c r="R208" s="2" t="str">
        <f t="shared" si="17"/>
        <v>Ingram</v>
      </c>
      <c r="S208" s="2" t="str">
        <f t="shared" si="14"/>
        <v>Brandon Ingram</v>
      </c>
      <c r="T208" s="2">
        <f t="shared" si="15"/>
        <v>17.3</v>
      </c>
    </row>
    <row r="209" spans="1:20" x14ac:dyDescent="0.25">
      <c r="A209" s="2"/>
      <c r="B209" s="2" t="s">
        <v>5</v>
      </c>
      <c r="C209" s="2" t="s">
        <v>490</v>
      </c>
      <c r="D209" s="2" t="s">
        <v>251</v>
      </c>
      <c r="E209" s="2" t="s">
        <v>252</v>
      </c>
      <c r="F209" s="2" t="s">
        <v>253</v>
      </c>
      <c r="G209" s="2" t="s">
        <v>268</v>
      </c>
      <c r="H209" s="35">
        <v>3900</v>
      </c>
      <c r="I209" s="2">
        <v>0</v>
      </c>
      <c r="J209" s="2">
        <v>61.9</v>
      </c>
      <c r="K209" s="2">
        <v>4</v>
      </c>
      <c r="L209" s="2">
        <v>15.5</v>
      </c>
      <c r="M209" s="2">
        <v>4</v>
      </c>
      <c r="N209" s="2">
        <v>17.2</v>
      </c>
      <c r="O209" s="2">
        <v>11.7</v>
      </c>
      <c r="P209" s="2" t="s">
        <v>269</v>
      </c>
      <c r="Q209" s="2" t="str">
        <f t="shared" si="16"/>
        <v>Shabazz</v>
      </c>
      <c r="R209" s="2" t="str">
        <f t="shared" si="17"/>
        <v>Muhammad</v>
      </c>
      <c r="S209" s="2" t="str">
        <f t="shared" si="14"/>
        <v>Shabazz Muhammad</v>
      </c>
      <c r="T209" s="2">
        <f t="shared" si="15"/>
        <v>17.2</v>
      </c>
    </row>
    <row r="210" spans="1:20" x14ac:dyDescent="0.25">
      <c r="A210" s="2"/>
      <c r="B210" s="2" t="s">
        <v>5</v>
      </c>
      <c r="C210" s="2" t="s">
        <v>491</v>
      </c>
      <c r="D210" s="2" t="s">
        <v>251</v>
      </c>
      <c r="E210" s="2" t="s">
        <v>252</v>
      </c>
      <c r="F210" s="2" t="s">
        <v>253</v>
      </c>
      <c r="G210" s="2" t="s">
        <v>280</v>
      </c>
      <c r="H210" s="35">
        <v>3800</v>
      </c>
      <c r="I210" s="2">
        <v>0</v>
      </c>
      <c r="J210" s="2">
        <v>75.8</v>
      </c>
      <c r="K210" s="2">
        <v>4</v>
      </c>
      <c r="L210" s="2">
        <v>18.899999999999999</v>
      </c>
      <c r="M210" s="2">
        <v>5</v>
      </c>
      <c r="N210" s="2">
        <v>17</v>
      </c>
      <c r="O210" s="2">
        <v>15.1</v>
      </c>
      <c r="P210" s="2" t="s">
        <v>281</v>
      </c>
      <c r="Q210" s="2" t="str">
        <f t="shared" si="16"/>
        <v>Rodney</v>
      </c>
      <c r="R210" s="2" t="str">
        <f t="shared" si="17"/>
        <v>McGruder</v>
      </c>
      <c r="S210" s="2" t="str">
        <f t="shared" si="14"/>
        <v>Rodney McGruder</v>
      </c>
      <c r="T210" s="2">
        <f t="shared" si="15"/>
        <v>17</v>
      </c>
    </row>
    <row r="211" spans="1:20" x14ac:dyDescent="0.25">
      <c r="A211" s="2"/>
      <c r="B211" s="2" t="s">
        <v>4</v>
      </c>
      <c r="C211" s="2" t="s">
        <v>492</v>
      </c>
      <c r="D211" s="2" t="s">
        <v>251</v>
      </c>
      <c r="E211" s="2" t="s">
        <v>252</v>
      </c>
      <c r="F211" s="2" t="s">
        <v>253</v>
      </c>
      <c r="G211" s="2" t="s">
        <v>261</v>
      </c>
      <c r="H211" s="35">
        <v>3700</v>
      </c>
      <c r="I211" s="2">
        <v>0</v>
      </c>
      <c r="J211" s="2">
        <v>66</v>
      </c>
      <c r="K211" s="2">
        <v>4</v>
      </c>
      <c r="L211" s="2">
        <v>16.5</v>
      </c>
      <c r="M211" s="2">
        <v>4.5</v>
      </c>
      <c r="N211" s="2">
        <v>16.899999999999999</v>
      </c>
      <c r="O211" s="2">
        <v>8.9</v>
      </c>
      <c r="P211" s="2" t="s">
        <v>262</v>
      </c>
      <c r="Q211" s="2" t="str">
        <f t="shared" si="16"/>
        <v>Anthony</v>
      </c>
      <c r="R211" s="2" t="str">
        <f t="shared" si="17"/>
        <v>Tolliver</v>
      </c>
      <c r="S211" s="2" t="str">
        <f t="shared" si="14"/>
        <v>Anthony Tolliver</v>
      </c>
      <c r="T211" s="2">
        <f t="shared" si="15"/>
        <v>16.899999999999999</v>
      </c>
    </row>
    <row r="212" spans="1:20" x14ac:dyDescent="0.25">
      <c r="A212" s="2"/>
      <c r="B212" s="2" t="s">
        <v>5</v>
      </c>
      <c r="C212" s="2" t="s">
        <v>493</v>
      </c>
      <c r="D212" s="2" t="s">
        <v>251</v>
      </c>
      <c r="E212" s="2" t="s">
        <v>252</v>
      </c>
      <c r="F212" s="2" t="s">
        <v>253</v>
      </c>
      <c r="G212" s="2" t="s">
        <v>291</v>
      </c>
      <c r="H212" s="35">
        <v>3600</v>
      </c>
      <c r="I212" s="2">
        <v>0</v>
      </c>
      <c r="J212" s="2">
        <v>38.5</v>
      </c>
      <c r="K212" s="2">
        <v>2</v>
      </c>
      <c r="L212" s="2">
        <v>19.2</v>
      </c>
      <c r="M212" s="2">
        <v>5.3</v>
      </c>
      <c r="N212" s="2">
        <v>16.899999999999999</v>
      </c>
      <c r="O212" s="2">
        <v>14.4</v>
      </c>
      <c r="P212" s="2" t="s">
        <v>292</v>
      </c>
      <c r="Q212" s="2" t="str">
        <f t="shared" si="16"/>
        <v>Chandler</v>
      </c>
      <c r="R212" s="2" t="str">
        <f t="shared" si="17"/>
        <v>Parsons</v>
      </c>
      <c r="S212" s="2" t="str">
        <f t="shared" si="14"/>
        <v>Chandler Parsons</v>
      </c>
      <c r="T212" s="2">
        <f t="shared" si="15"/>
        <v>16.899999999999999</v>
      </c>
    </row>
    <row r="213" spans="1:20" x14ac:dyDescent="0.25">
      <c r="A213" s="2"/>
      <c r="B213" s="2" t="s">
        <v>7</v>
      </c>
      <c r="C213" s="2" t="s">
        <v>494</v>
      </c>
      <c r="D213" s="2" t="s">
        <v>251</v>
      </c>
      <c r="E213" s="2" t="s">
        <v>252</v>
      </c>
      <c r="F213" s="2" t="s">
        <v>253</v>
      </c>
      <c r="G213" s="2" t="s">
        <v>305</v>
      </c>
      <c r="H213" s="35">
        <v>3900</v>
      </c>
      <c r="I213" s="2">
        <v>0</v>
      </c>
      <c r="J213" s="2">
        <v>53.8</v>
      </c>
      <c r="K213" s="2">
        <v>3</v>
      </c>
      <c r="L213" s="2">
        <v>17.899999999999999</v>
      </c>
      <c r="M213" s="2">
        <v>4.5999999999999996</v>
      </c>
      <c r="N213" s="2">
        <v>16.7</v>
      </c>
      <c r="O213" s="2">
        <v>27.7</v>
      </c>
      <c r="P213" s="2" t="s">
        <v>306</v>
      </c>
      <c r="Q213" s="2" t="str">
        <f t="shared" si="16"/>
        <v>Sean</v>
      </c>
      <c r="R213" s="2" t="str">
        <f t="shared" si="17"/>
        <v>Kilpatrick</v>
      </c>
      <c r="S213" s="2" t="str">
        <f t="shared" si="14"/>
        <v>Sean Kilpatrick</v>
      </c>
      <c r="T213" s="2">
        <f t="shared" si="15"/>
        <v>16.7</v>
      </c>
    </row>
    <row r="214" spans="1:20" x14ac:dyDescent="0.25">
      <c r="A214" s="2"/>
      <c r="B214" s="2" t="s">
        <v>4</v>
      </c>
      <c r="C214" s="2" t="s">
        <v>495</v>
      </c>
      <c r="D214" s="2" t="s">
        <v>251</v>
      </c>
      <c r="E214" s="2" t="s">
        <v>252</v>
      </c>
      <c r="F214" s="2" t="s">
        <v>253</v>
      </c>
      <c r="G214" s="2" t="s">
        <v>255</v>
      </c>
      <c r="H214" s="35">
        <v>4200</v>
      </c>
      <c r="I214" s="2">
        <v>0</v>
      </c>
      <c r="J214" s="2">
        <v>36.1</v>
      </c>
      <c r="K214" s="2">
        <v>2</v>
      </c>
      <c r="L214" s="2">
        <v>18.100000000000001</v>
      </c>
      <c r="M214" s="2">
        <v>4.3</v>
      </c>
      <c r="N214" s="2">
        <v>16.7</v>
      </c>
      <c r="O214" s="2">
        <v>14.8</v>
      </c>
      <c r="P214" s="2" t="s">
        <v>256</v>
      </c>
      <c r="Q214" s="2" t="str">
        <f t="shared" si="16"/>
        <v>Montrezl</v>
      </c>
      <c r="R214" s="2" t="str">
        <f t="shared" si="17"/>
        <v>Harrell</v>
      </c>
      <c r="S214" s="2" t="str">
        <f t="shared" si="14"/>
        <v>Montrezl Harrell</v>
      </c>
      <c r="T214" s="2">
        <f t="shared" si="15"/>
        <v>16.7</v>
      </c>
    </row>
    <row r="215" spans="1:20" x14ac:dyDescent="0.25">
      <c r="A215" s="2"/>
      <c r="B215" s="2" t="s">
        <v>5</v>
      </c>
      <c r="C215" s="2" t="s">
        <v>496</v>
      </c>
      <c r="D215" s="2" t="s">
        <v>251</v>
      </c>
      <c r="E215" s="2" t="s">
        <v>252</v>
      </c>
      <c r="F215" s="2" t="s">
        <v>253</v>
      </c>
      <c r="G215" s="2" t="s">
        <v>285</v>
      </c>
      <c r="H215" s="35">
        <v>3600</v>
      </c>
      <c r="I215" s="2">
        <v>0</v>
      </c>
      <c r="J215" s="2">
        <v>68.599999999999994</v>
      </c>
      <c r="K215" s="2">
        <v>4</v>
      </c>
      <c r="L215" s="2">
        <v>17.100000000000001</v>
      </c>
      <c r="M215" s="2">
        <v>4.8</v>
      </c>
      <c r="N215" s="2">
        <v>16.600000000000001</v>
      </c>
      <c r="O215" s="2">
        <v>8.8000000000000007</v>
      </c>
      <c r="P215" s="2" t="s">
        <v>286</v>
      </c>
      <c r="Q215" s="2" t="str">
        <f t="shared" si="16"/>
        <v>Joe</v>
      </c>
      <c r="R215" s="2" t="str">
        <f t="shared" si="17"/>
        <v>Ingles</v>
      </c>
      <c r="S215" s="2" t="str">
        <f t="shared" si="14"/>
        <v>Joe Ingles</v>
      </c>
      <c r="T215" s="2">
        <f t="shared" si="15"/>
        <v>16.600000000000001</v>
      </c>
    </row>
    <row r="216" spans="1:20" x14ac:dyDescent="0.25">
      <c r="A216" s="2"/>
      <c r="B216" s="2" t="s">
        <v>7</v>
      </c>
      <c r="C216" s="2" t="s">
        <v>497</v>
      </c>
      <c r="D216" s="2" t="s">
        <v>251</v>
      </c>
      <c r="E216" s="2" t="s">
        <v>252</v>
      </c>
      <c r="F216" s="2" t="s">
        <v>253</v>
      </c>
      <c r="G216" s="2" t="s">
        <v>259</v>
      </c>
      <c r="H216" s="35">
        <v>3600</v>
      </c>
      <c r="I216" s="2">
        <v>0</v>
      </c>
      <c r="J216" s="2">
        <v>63</v>
      </c>
      <c r="K216" s="2">
        <v>4</v>
      </c>
      <c r="L216" s="2">
        <v>15.8</v>
      </c>
      <c r="M216" s="2">
        <v>4.4000000000000004</v>
      </c>
      <c r="N216" s="2">
        <v>16.600000000000001</v>
      </c>
      <c r="O216" s="2">
        <v>21.5</v>
      </c>
      <c r="P216" s="2" t="s">
        <v>260</v>
      </c>
      <c r="Q216" s="2" t="str">
        <f t="shared" si="16"/>
        <v>Buddy</v>
      </c>
      <c r="R216" s="2" t="str">
        <f t="shared" si="17"/>
        <v>Hield</v>
      </c>
      <c r="S216" s="2" t="str">
        <f t="shared" si="14"/>
        <v>Buddy Hield</v>
      </c>
      <c r="T216" s="2">
        <f t="shared" si="15"/>
        <v>16.600000000000001</v>
      </c>
    </row>
    <row r="217" spans="1:20" x14ac:dyDescent="0.25">
      <c r="A217" s="2"/>
      <c r="B217" s="2" t="s">
        <v>7</v>
      </c>
      <c r="C217" s="2" t="s">
        <v>498</v>
      </c>
      <c r="D217" s="2" t="s">
        <v>251</v>
      </c>
      <c r="E217" s="2" t="s">
        <v>252</v>
      </c>
      <c r="F217" s="2" t="s">
        <v>253</v>
      </c>
      <c r="G217" s="2" t="s">
        <v>293</v>
      </c>
      <c r="H217" s="35">
        <v>3800</v>
      </c>
      <c r="I217" s="2">
        <v>0</v>
      </c>
      <c r="J217" s="2">
        <v>43</v>
      </c>
      <c r="K217" s="2">
        <v>3</v>
      </c>
      <c r="L217" s="2">
        <v>14.3</v>
      </c>
      <c r="M217" s="2">
        <v>3.8</v>
      </c>
      <c r="N217" s="2">
        <v>16.5</v>
      </c>
      <c r="O217" s="2">
        <v>4.5</v>
      </c>
      <c r="P217" s="2" t="s">
        <v>294</v>
      </c>
      <c r="Q217" s="2" t="str">
        <f t="shared" si="16"/>
        <v>C.J.</v>
      </c>
      <c r="R217" s="2" t="str">
        <f t="shared" si="17"/>
        <v>Watson</v>
      </c>
      <c r="S217" s="2" t="str">
        <f t="shared" si="14"/>
        <v>C.J. Watson</v>
      </c>
      <c r="T217" s="2">
        <f t="shared" si="15"/>
        <v>16.5</v>
      </c>
    </row>
    <row r="218" spans="1:20" x14ac:dyDescent="0.25">
      <c r="A218" s="2"/>
      <c r="B218" s="2" t="s">
        <v>7</v>
      </c>
      <c r="C218" s="2" t="s">
        <v>499</v>
      </c>
      <c r="D218" s="2" t="s">
        <v>251</v>
      </c>
      <c r="E218" s="2" t="s">
        <v>252</v>
      </c>
      <c r="F218" s="2" t="s">
        <v>253</v>
      </c>
      <c r="G218" s="2" t="s">
        <v>276</v>
      </c>
      <c r="H218" s="35">
        <v>4300</v>
      </c>
      <c r="I218" s="2">
        <v>0</v>
      </c>
      <c r="J218" s="2">
        <v>49.5</v>
      </c>
      <c r="K218" s="2">
        <v>3</v>
      </c>
      <c r="L218" s="2">
        <v>16.5</v>
      </c>
      <c r="M218" s="2">
        <v>3.8</v>
      </c>
      <c r="N218" s="2">
        <v>16.5</v>
      </c>
      <c r="O218" s="2">
        <v>15.9</v>
      </c>
      <c r="P218" s="2" t="s">
        <v>277</v>
      </c>
      <c r="Q218" s="2" t="str">
        <f t="shared" si="16"/>
        <v>Khris</v>
      </c>
      <c r="R218" s="2" t="str">
        <f t="shared" si="17"/>
        <v>Middleton</v>
      </c>
      <c r="S218" s="2" t="str">
        <f t="shared" si="14"/>
        <v>Khris Middleton</v>
      </c>
      <c r="T218" s="2">
        <f t="shared" si="15"/>
        <v>16.5</v>
      </c>
    </row>
    <row r="219" spans="1:20" x14ac:dyDescent="0.25">
      <c r="A219" s="2"/>
      <c r="B219" s="2" t="s">
        <v>6</v>
      </c>
      <c r="C219" s="2" t="s">
        <v>500</v>
      </c>
      <c r="D219" s="2" t="s">
        <v>251</v>
      </c>
      <c r="E219" s="2" t="s">
        <v>252</v>
      </c>
      <c r="F219" s="2" t="s">
        <v>253</v>
      </c>
      <c r="G219" s="2" t="s">
        <v>293</v>
      </c>
      <c r="H219" s="35">
        <v>3800</v>
      </c>
      <c r="I219" s="2">
        <v>0</v>
      </c>
      <c r="J219" s="2">
        <v>69.5</v>
      </c>
      <c r="K219" s="2">
        <v>3</v>
      </c>
      <c r="L219" s="2">
        <v>23.2</v>
      </c>
      <c r="M219" s="2">
        <v>6.1</v>
      </c>
      <c r="N219" s="2">
        <v>16.399999999999999</v>
      </c>
      <c r="O219" s="2">
        <v>16.5</v>
      </c>
      <c r="P219" s="2" t="s">
        <v>294</v>
      </c>
      <c r="Q219" s="2" t="str">
        <f t="shared" si="16"/>
        <v>Bismack</v>
      </c>
      <c r="R219" s="2" t="str">
        <f t="shared" si="17"/>
        <v>Biyombo</v>
      </c>
      <c r="S219" s="2" t="str">
        <f t="shared" si="14"/>
        <v>Bismack Biyombo</v>
      </c>
      <c r="T219" s="2">
        <f t="shared" si="15"/>
        <v>16.399999999999999</v>
      </c>
    </row>
    <row r="220" spans="1:20" x14ac:dyDescent="0.25">
      <c r="A220" s="2"/>
      <c r="B220" s="2" t="s">
        <v>5</v>
      </c>
      <c r="C220" s="2" t="s">
        <v>501</v>
      </c>
      <c r="D220" s="2" t="s">
        <v>251</v>
      </c>
      <c r="E220" s="2" t="s">
        <v>252</v>
      </c>
      <c r="F220" s="2" t="s">
        <v>253</v>
      </c>
      <c r="G220" s="2" t="s">
        <v>293</v>
      </c>
      <c r="H220" s="35">
        <v>4500</v>
      </c>
      <c r="I220" s="2">
        <v>0</v>
      </c>
      <c r="J220" s="2">
        <v>20.7</v>
      </c>
      <c r="K220" s="2">
        <v>1</v>
      </c>
      <c r="L220" s="2">
        <v>20.7</v>
      </c>
      <c r="M220" s="2">
        <v>4.5999999999999996</v>
      </c>
      <c r="N220" s="2">
        <v>16.399999999999999</v>
      </c>
      <c r="O220" s="2">
        <v>20.7</v>
      </c>
      <c r="P220" s="2" t="s">
        <v>294</v>
      </c>
      <c r="Q220" s="2" t="str">
        <f t="shared" si="16"/>
        <v>Aaron</v>
      </c>
      <c r="R220" s="2" t="str">
        <f t="shared" si="17"/>
        <v>Gordon</v>
      </c>
      <c r="S220" s="2" t="str">
        <f t="shared" si="14"/>
        <v>Aaron Gordon</v>
      </c>
      <c r="T220" s="2">
        <f t="shared" si="15"/>
        <v>16.399999999999999</v>
      </c>
    </row>
    <row r="221" spans="1:20" x14ac:dyDescent="0.25">
      <c r="A221" s="2"/>
      <c r="B221" s="2" t="s">
        <v>7</v>
      </c>
      <c r="C221" s="2" t="s">
        <v>502</v>
      </c>
      <c r="D221" s="2" t="s">
        <v>251</v>
      </c>
      <c r="E221" s="2" t="s">
        <v>252</v>
      </c>
      <c r="F221" s="2" t="s">
        <v>253</v>
      </c>
      <c r="G221" s="2" t="s">
        <v>289</v>
      </c>
      <c r="H221" s="35">
        <v>3900</v>
      </c>
      <c r="I221" s="2">
        <v>0</v>
      </c>
      <c r="J221" s="2">
        <v>31</v>
      </c>
      <c r="K221" s="2">
        <v>3</v>
      </c>
      <c r="L221" s="2">
        <v>10.3</v>
      </c>
      <c r="M221" s="2">
        <v>2.6</v>
      </c>
      <c r="N221" s="2">
        <v>16.399999999999999</v>
      </c>
      <c r="O221" s="2">
        <v>24.4</v>
      </c>
      <c r="P221" s="2" t="s">
        <v>290</v>
      </c>
      <c r="Q221" s="2" t="str">
        <f t="shared" si="16"/>
        <v>Norman</v>
      </c>
      <c r="R221" s="2" t="str">
        <f t="shared" si="17"/>
        <v>Powell</v>
      </c>
      <c r="S221" s="2" t="str">
        <f t="shared" si="14"/>
        <v>Norman Powell</v>
      </c>
      <c r="T221" s="2">
        <f t="shared" si="15"/>
        <v>16.399999999999999</v>
      </c>
    </row>
    <row r="222" spans="1:20" x14ac:dyDescent="0.25">
      <c r="A222" s="2"/>
      <c r="B222" s="2" t="s">
        <v>6</v>
      </c>
      <c r="C222" s="2" t="s">
        <v>503</v>
      </c>
      <c r="D222" s="2" t="s">
        <v>251</v>
      </c>
      <c r="E222" s="2" t="s">
        <v>252</v>
      </c>
      <c r="F222" s="2" t="s">
        <v>253</v>
      </c>
      <c r="G222" s="2" t="s">
        <v>303</v>
      </c>
      <c r="H222" s="35">
        <v>5200</v>
      </c>
      <c r="I222" s="2">
        <v>0</v>
      </c>
      <c r="J222" s="2">
        <v>16.3</v>
      </c>
      <c r="K222" s="2">
        <v>1</v>
      </c>
      <c r="L222" s="2">
        <v>16.3</v>
      </c>
      <c r="M222" s="2">
        <v>3.1</v>
      </c>
      <c r="N222" s="2">
        <v>16.3</v>
      </c>
      <c r="O222" s="2" t="s">
        <v>284</v>
      </c>
      <c r="P222" s="2" t="s">
        <v>304</v>
      </c>
      <c r="Q222" s="2" t="str">
        <f t="shared" si="16"/>
        <v>Cody</v>
      </c>
      <c r="R222" s="2" t="str">
        <f t="shared" si="17"/>
        <v>Zeller</v>
      </c>
      <c r="S222" s="2" t="str">
        <f t="shared" si="14"/>
        <v>Cody Zeller</v>
      </c>
      <c r="T222" s="2">
        <f t="shared" si="15"/>
        <v>16.3</v>
      </c>
    </row>
    <row r="223" spans="1:20" x14ac:dyDescent="0.25">
      <c r="A223" s="2"/>
      <c r="B223" s="2" t="s">
        <v>3</v>
      </c>
      <c r="C223" s="2" t="s">
        <v>504</v>
      </c>
      <c r="D223" s="2" t="s">
        <v>251</v>
      </c>
      <c r="E223" s="2" t="s">
        <v>252</v>
      </c>
      <c r="F223" s="2" t="s">
        <v>253</v>
      </c>
      <c r="G223" s="2" t="s">
        <v>308</v>
      </c>
      <c r="H223" s="35">
        <v>3600</v>
      </c>
      <c r="I223" s="2">
        <v>0</v>
      </c>
      <c r="J223" s="2">
        <v>44.3</v>
      </c>
      <c r="K223" s="2">
        <v>3</v>
      </c>
      <c r="L223" s="2">
        <v>14.8</v>
      </c>
      <c r="M223" s="2">
        <v>4.0999999999999996</v>
      </c>
      <c r="N223" s="2">
        <v>16.2</v>
      </c>
      <c r="O223" s="2">
        <v>9.1999999999999993</v>
      </c>
      <c r="P223" s="2" t="s">
        <v>309</v>
      </c>
      <c r="Q223" s="2" t="str">
        <f t="shared" si="16"/>
        <v>Devin</v>
      </c>
      <c r="R223" s="2" t="str">
        <f t="shared" si="17"/>
        <v>Harris</v>
      </c>
      <c r="S223" s="2" t="str">
        <f t="shared" si="14"/>
        <v>Devin Harris</v>
      </c>
      <c r="T223" s="2">
        <f t="shared" si="15"/>
        <v>16.2</v>
      </c>
    </row>
    <row r="224" spans="1:20" x14ac:dyDescent="0.25">
      <c r="A224" s="2"/>
      <c r="B224" s="2" t="s">
        <v>4</v>
      </c>
      <c r="C224" s="2" t="s">
        <v>505</v>
      </c>
      <c r="D224" s="2" t="s">
        <v>251</v>
      </c>
      <c r="E224" s="2" t="s">
        <v>252</v>
      </c>
      <c r="F224" s="2" t="s">
        <v>253</v>
      </c>
      <c r="G224" s="2" t="s">
        <v>278</v>
      </c>
      <c r="H224" s="35">
        <v>3700</v>
      </c>
      <c r="I224" s="2">
        <v>0</v>
      </c>
      <c r="J224" s="2">
        <v>31.7</v>
      </c>
      <c r="K224" s="2">
        <v>2</v>
      </c>
      <c r="L224" s="2">
        <v>15.8</v>
      </c>
      <c r="M224" s="2">
        <v>4.3</v>
      </c>
      <c r="N224" s="2">
        <v>16.2</v>
      </c>
      <c r="O224" s="2" t="s">
        <v>284</v>
      </c>
      <c r="P224" s="2" t="s">
        <v>279</v>
      </c>
      <c r="Q224" s="2" t="str">
        <f t="shared" si="16"/>
        <v>Nikola</v>
      </c>
      <c r="R224" s="2" t="str">
        <f t="shared" si="17"/>
        <v>Mirotic</v>
      </c>
      <c r="S224" s="2" t="str">
        <f t="shared" si="14"/>
        <v>Nikola Mirotic</v>
      </c>
      <c r="T224" s="2">
        <f t="shared" si="15"/>
        <v>16.2</v>
      </c>
    </row>
    <row r="225" spans="1:20" x14ac:dyDescent="0.25">
      <c r="A225" s="2"/>
      <c r="B225" s="2" t="s">
        <v>4</v>
      </c>
      <c r="C225" s="2" t="s">
        <v>506</v>
      </c>
      <c r="D225" s="2" t="s">
        <v>251</v>
      </c>
      <c r="E225" s="2" t="s">
        <v>252</v>
      </c>
      <c r="F225" s="2" t="s">
        <v>253</v>
      </c>
      <c r="G225" s="2" t="s">
        <v>270</v>
      </c>
      <c r="H225" s="35">
        <v>4000</v>
      </c>
      <c r="I225" s="2">
        <v>0</v>
      </c>
      <c r="J225" s="2">
        <v>85.9</v>
      </c>
      <c r="K225" s="2">
        <v>4</v>
      </c>
      <c r="L225" s="2">
        <v>21.5</v>
      </c>
      <c r="M225" s="2">
        <v>5.4</v>
      </c>
      <c r="N225" s="2">
        <v>16.2</v>
      </c>
      <c r="O225" s="2">
        <v>45</v>
      </c>
      <c r="P225" s="2" t="s">
        <v>271</v>
      </c>
      <c r="Q225" s="2" t="str">
        <f t="shared" si="16"/>
        <v>Juan</v>
      </c>
      <c r="R225" s="2" t="str">
        <f t="shared" si="17"/>
        <v>Hernangomez</v>
      </c>
      <c r="S225" s="2" t="str">
        <f t="shared" si="14"/>
        <v>Juan Hernangomez</v>
      </c>
      <c r="T225" s="2">
        <f t="shared" si="15"/>
        <v>16.2</v>
      </c>
    </row>
    <row r="226" spans="1:20" x14ac:dyDescent="0.25">
      <c r="A226" s="2"/>
      <c r="B226" s="2" t="s">
        <v>6</v>
      </c>
      <c r="C226" s="2" t="s">
        <v>507</v>
      </c>
      <c r="D226" s="2" t="s">
        <v>251</v>
      </c>
      <c r="E226" s="2" t="s">
        <v>252</v>
      </c>
      <c r="F226" s="2" t="s">
        <v>253</v>
      </c>
      <c r="G226" s="2" t="s">
        <v>276</v>
      </c>
      <c r="H226" s="35">
        <v>4700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16.100000000000001</v>
      </c>
      <c r="O226" s="2" t="s">
        <v>284</v>
      </c>
      <c r="P226" s="2" t="s">
        <v>277</v>
      </c>
      <c r="Q226" s="2" t="str">
        <f t="shared" si="16"/>
        <v>Spencer</v>
      </c>
      <c r="R226" s="2" t="str">
        <f t="shared" si="17"/>
        <v>Hawes</v>
      </c>
      <c r="S226" s="2" t="str">
        <f t="shared" si="14"/>
        <v>Spencer Hawes</v>
      </c>
      <c r="T226" s="2">
        <f t="shared" si="15"/>
        <v>16.100000000000001</v>
      </c>
    </row>
    <row r="227" spans="1:20" x14ac:dyDescent="0.25">
      <c r="A227" s="2"/>
      <c r="B227" s="2" t="s">
        <v>6</v>
      </c>
      <c r="C227" s="2" t="s">
        <v>508</v>
      </c>
      <c r="D227" s="2" t="s">
        <v>251</v>
      </c>
      <c r="E227" s="2" t="s">
        <v>252</v>
      </c>
      <c r="F227" s="2" t="s">
        <v>253</v>
      </c>
      <c r="G227" s="2" t="s">
        <v>261</v>
      </c>
      <c r="H227" s="35">
        <v>3500</v>
      </c>
      <c r="I227" s="2">
        <v>0</v>
      </c>
      <c r="J227" s="2">
        <v>64.7</v>
      </c>
      <c r="K227" s="2">
        <v>4</v>
      </c>
      <c r="L227" s="2">
        <v>16.2</v>
      </c>
      <c r="M227" s="2">
        <v>4.5999999999999996</v>
      </c>
      <c r="N227" s="2">
        <v>16.100000000000001</v>
      </c>
      <c r="O227" s="2">
        <v>13.8</v>
      </c>
      <c r="P227" s="2" t="s">
        <v>262</v>
      </c>
      <c r="Q227" s="2" t="str">
        <f t="shared" si="16"/>
        <v>Kosta</v>
      </c>
      <c r="R227" s="2" t="str">
        <f t="shared" si="17"/>
        <v>Koufos</v>
      </c>
      <c r="S227" s="2" t="str">
        <f t="shared" si="14"/>
        <v>Kosta Koufos</v>
      </c>
      <c r="T227" s="2">
        <f t="shared" si="15"/>
        <v>16.100000000000001</v>
      </c>
    </row>
    <row r="228" spans="1:20" x14ac:dyDescent="0.25">
      <c r="A228" s="2"/>
      <c r="B228" s="2" t="s">
        <v>5</v>
      </c>
      <c r="C228" s="2" t="s">
        <v>509</v>
      </c>
      <c r="D228" s="2" t="s">
        <v>251</v>
      </c>
      <c r="E228" s="2" t="s">
        <v>252</v>
      </c>
      <c r="F228" s="2" t="s">
        <v>253</v>
      </c>
      <c r="G228" s="2" t="s">
        <v>291</v>
      </c>
      <c r="H228" s="35">
        <v>3500</v>
      </c>
      <c r="I228" s="2">
        <v>0</v>
      </c>
      <c r="J228" s="2">
        <v>36</v>
      </c>
      <c r="K228" s="2">
        <v>3</v>
      </c>
      <c r="L228" s="2">
        <v>12</v>
      </c>
      <c r="M228" s="2">
        <v>3.4</v>
      </c>
      <c r="N228" s="2">
        <v>15.9</v>
      </c>
      <c r="O228" s="2">
        <v>8</v>
      </c>
      <c r="P228" s="2" t="s">
        <v>292</v>
      </c>
      <c r="Q228" s="2" t="str">
        <f t="shared" si="16"/>
        <v>James</v>
      </c>
      <c r="R228" s="2" t="str">
        <f t="shared" si="17"/>
        <v>Ennis</v>
      </c>
      <c r="S228" s="2" t="str">
        <f t="shared" si="14"/>
        <v>James Ennis</v>
      </c>
      <c r="T228" s="2">
        <f t="shared" si="15"/>
        <v>15.9</v>
      </c>
    </row>
    <row r="229" spans="1:20" x14ac:dyDescent="0.25">
      <c r="A229" s="2"/>
      <c r="B229" s="2" t="s">
        <v>4</v>
      </c>
      <c r="C229" s="2" t="s">
        <v>510</v>
      </c>
      <c r="D229" s="2" t="s">
        <v>251</v>
      </c>
      <c r="E229" s="2" t="s">
        <v>252</v>
      </c>
      <c r="F229" s="2" t="s">
        <v>253</v>
      </c>
      <c r="G229" s="2" t="s">
        <v>274</v>
      </c>
      <c r="H229" s="35">
        <v>3700</v>
      </c>
      <c r="I229" s="2">
        <v>0</v>
      </c>
      <c r="J229" s="2">
        <v>73.7</v>
      </c>
      <c r="K229" s="2">
        <v>4</v>
      </c>
      <c r="L229" s="2">
        <v>18.399999999999999</v>
      </c>
      <c r="M229" s="2">
        <v>5</v>
      </c>
      <c r="N229" s="2">
        <v>15.8</v>
      </c>
      <c r="O229" s="2">
        <v>23.9</v>
      </c>
      <c r="P229" s="2" t="s">
        <v>275</v>
      </c>
      <c r="Q229" s="2" t="str">
        <f t="shared" si="16"/>
        <v>Amir</v>
      </c>
      <c r="R229" s="2" t="str">
        <f t="shared" si="17"/>
        <v>Johnson</v>
      </c>
      <c r="S229" s="2" t="str">
        <f t="shared" si="14"/>
        <v>Amir Johnson</v>
      </c>
      <c r="T229" s="2">
        <f t="shared" si="15"/>
        <v>15.8</v>
      </c>
    </row>
    <row r="230" spans="1:20" x14ac:dyDescent="0.25">
      <c r="A230" s="2"/>
      <c r="B230" s="2" t="s">
        <v>5</v>
      </c>
      <c r="C230" s="2" t="s">
        <v>511</v>
      </c>
      <c r="D230" s="2" t="s">
        <v>251</v>
      </c>
      <c r="E230" s="2" t="s">
        <v>252</v>
      </c>
      <c r="F230" s="2" t="s">
        <v>253</v>
      </c>
      <c r="G230" s="2" t="s">
        <v>293</v>
      </c>
      <c r="H230" s="35">
        <v>3500</v>
      </c>
      <c r="I230" s="2">
        <v>0</v>
      </c>
      <c r="J230" s="2">
        <v>30.5</v>
      </c>
      <c r="K230" s="2">
        <v>2</v>
      </c>
      <c r="L230" s="2">
        <v>15.2</v>
      </c>
      <c r="M230" s="2">
        <v>4.4000000000000004</v>
      </c>
      <c r="N230" s="2">
        <v>15.8</v>
      </c>
      <c r="O230" s="2" t="s">
        <v>284</v>
      </c>
      <c r="P230" s="2" t="s">
        <v>294</v>
      </c>
      <c r="Q230" s="2" t="str">
        <f t="shared" si="16"/>
        <v>Terrence</v>
      </c>
      <c r="R230" s="2" t="str">
        <f t="shared" si="17"/>
        <v>Ross</v>
      </c>
      <c r="S230" s="2" t="str">
        <f t="shared" si="14"/>
        <v>Terrence Ross</v>
      </c>
      <c r="T230" s="2">
        <f t="shared" si="15"/>
        <v>15.8</v>
      </c>
    </row>
    <row r="231" spans="1:20" x14ac:dyDescent="0.25">
      <c r="A231" s="2"/>
      <c r="B231" s="2" t="s">
        <v>4</v>
      </c>
      <c r="C231" s="2" t="s">
        <v>512</v>
      </c>
      <c r="D231" s="2" t="s">
        <v>251</v>
      </c>
      <c r="E231" s="2" t="s">
        <v>252</v>
      </c>
      <c r="F231" s="2" t="s">
        <v>253</v>
      </c>
      <c r="G231" s="2" t="s">
        <v>264</v>
      </c>
      <c r="H231" s="35">
        <v>3600</v>
      </c>
      <c r="I231" s="2">
        <v>0</v>
      </c>
      <c r="J231" s="2">
        <v>53.7</v>
      </c>
      <c r="K231" s="2">
        <v>3</v>
      </c>
      <c r="L231" s="2">
        <v>17.899999999999999</v>
      </c>
      <c r="M231" s="2">
        <v>5</v>
      </c>
      <c r="N231" s="2">
        <v>15.7</v>
      </c>
      <c r="O231" s="2">
        <v>16.7</v>
      </c>
      <c r="P231" s="2" t="s">
        <v>265</v>
      </c>
      <c r="Q231" s="2" t="str">
        <f t="shared" si="16"/>
        <v>Jason</v>
      </c>
      <c r="R231" s="2" t="str">
        <f t="shared" si="17"/>
        <v>Smith</v>
      </c>
      <c r="S231" s="2" t="str">
        <f t="shared" si="14"/>
        <v>Jason Smith</v>
      </c>
      <c r="T231" s="2">
        <f t="shared" si="15"/>
        <v>15.7</v>
      </c>
    </row>
    <row r="232" spans="1:20" x14ac:dyDescent="0.25">
      <c r="A232" s="2"/>
      <c r="B232" s="2"/>
      <c r="C232" s="2"/>
      <c r="D232" s="2"/>
      <c r="E232" s="2"/>
      <c r="F232" s="2"/>
      <c r="G232" s="2"/>
      <c r="H232" s="42">
        <v>42782</v>
      </c>
      <c r="I232" s="2" t="s">
        <v>232</v>
      </c>
      <c r="J232" s="2" t="s">
        <v>233</v>
      </c>
      <c r="K232" s="2" t="s">
        <v>232</v>
      </c>
      <c r="L232" s="2" t="s">
        <v>234</v>
      </c>
      <c r="M232" s="2" t="s">
        <v>235</v>
      </c>
      <c r="N232" s="2" t="s">
        <v>232</v>
      </c>
      <c r="O232" s="2" t="s">
        <v>232</v>
      </c>
      <c r="P232" s="2" t="s">
        <v>236</v>
      </c>
      <c r="Q232" s="2" t="e">
        <f t="shared" si="16"/>
        <v>#VALUE!</v>
      </c>
      <c r="R232" s="2" t="e">
        <f t="shared" si="17"/>
        <v>#VALUE!</v>
      </c>
      <c r="S232" s="2" t="e">
        <f t="shared" si="14"/>
        <v>#VALUE!</v>
      </c>
      <c r="T232" s="2" t="str">
        <f t="shared" si="15"/>
        <v>Last</v>
      </c>
    </row>
    <row r="233" spans="1:20" x14ac:dyDescent="0.25">
      <c r="A233" s="2"/>
      <c r="B233" s="2"/>
      <c r="C233" s="2"/>
      <c r="D233" s="2"/>
      <c r="E233" s="2"/>
      <c r="F233" s="2"/>
      <c r="G233" s="2"/>
      <c r="H233" s="2" t="s">
        <v>142</v>
      </c>
      <c r="I233" s="2" t="s">
        <v>142</v>
      </c>
      <c r="J233" s="2" t="s">
        <v>237</v>
      </c>
      <c r="K233" s="2"/>
      <c r="L233" s="2" t="s">
        <v>238</v>
      </c>
      <c r="M233" s="2" t="s">
        <v>239</v>
      </c>
      <c r="N233" s="2" t="s">
        <v>240</v>
      </c>
      <c r="O233" s="2" t="s">
        <v>1</v>
      </c>
      <c r="P233" s="2" t="s">
        <v>241</v>
      </c>
      <c r="Q233" s="2" t="e">
        <f t="shared" si="16"/>
        <v>#VALUE!</v>
      </c>
      <c r="R233" s="2" t="e">
        <f t="shared" si="17"/>
        <v>#VALUE!</v>
      </c>
      <c r="S233" s="2" t="e">
        <f t="shared" si="14"/>
        <v>#VALUE!</v>
      </c>
      <c r="T233" s="2" t="str">
        <f t="shared" si="15"/>
        <v>15 day</v>
      </c>
    </row>
    <row r="234" spans="1:20" x14ac:dyDescent="0.25">
      <c r="A234" s="2"/>
      <c r="B234" s="2" t="s">
        <v>8</v>
      </c>
      <c r="C234" s="2" t="s">
        <v>242</v>
      </c>
      <c r="D234" s="2" t="s">
        <v>243</v>
      </c>
      <c r="E234" s="2" t="s">
        <v>244</v>
      </c>
      <c r="F234" s="2" t="s">
        <v>245</v>
      </c>
      <c r="G234" s="2" t="s">
        <v>2</v>
      </c>
      <c r="H234" s="43">
        <v>0</v>
      </c>
      <c r="I234" s="2" t="s">
        <v>246</v>
      </c>
      <c r="J234" s="2" t="s">
        <v>238</v>
      </c>
      <c r="K234" s="2" t="s">
        <v>247</v>
      </c>
      <c r="L234" s="2" t="s">
        <v>248</v>
      </c>
      <c r="M234" s="2" t="s">
        <v>249</v>
      </c>
      <c r="N234" s="2" t="s">
        <v>250</v>
      </c>
      <c r="O234" s="2" t="s">
        <v>238</v>
      </c>
      <c r="P234" s="2">
        <v>1.23456789012345E+27</v>
      </c>
      <c r="Q234" s="2" t="e">
        <f t="shared" si="16"/>
        <v>#VALUE!</v>
      </c>
      <c r="R234" s="2" t="e">
        <f t="shared" si="17"/>
        <v>#VALUE!</v>
      </c>
      <c r="S234" s="2" t="e">
        <f t="shared" si="14"/>
        <v>#VALUE!</v>
      </c>
      <c r="T234" s="2" t="str">
        <f t="shared" si="15"/>
        <v>FDP/G</v>
      </c>
    </row>
    <row r="235" spans="1:20" x14ac:dyDescent="0.25">
      <c r="A235" s="2"/>
      <c r="B235" s="2" t="s">
        <v>6</v>
      </c>
      <c r="C235" s="2" t="s">
        <v>513</v>
      </c>
      <c r="D235" s="2" t="s">
        <v>251</v>
      </c>
      <c r="E235" s="2" t="s">
        <v>252</v>
      </c>
      <c r="F235" s="2" t="s">
        <v>253</v>
      </c>
      <c r="G235" s="2" t="s">
        <v>89</v>
      </c>
      <c r="H235" s="35">
        <v>3700</v>
      </c>
      <c r="I235" s="2">
        <v>0</v>
      </c>
      <c r="J235" s="2">
        <v>50.6</v>
      </c>
      <c r="K235" s="2">
        <v>3</v>
      </c>
      <c r="L235" s="2">
        <v>16.899999999999999</v>
      </c>
      <c r="M235" s="2">
        <v>4.5999999999999996</v>
      </c>
      <c r="N235" s="2">
        <v>15.7</v>
      </c>
      <c r="O235" s="2">
        <v>29.2</v>
      </c>
      <c r="P235" s="2" t="s">
        <v>254</v>
      </c>
      <c r="Q235" s="2" t="str">
        <f t="shared" si="16"/>
        <v>Joffrey</v>
      </c>
      <c r="R235" s="2" t="str">
        <f t="shared" si="17"/>
        <v>Lauvergne</v>
      </c>
      <c r="S235" s="2" t="str">
        <f t="shared" si="14"/>
        <v>Joffrey Lauvergne</v>
      </c>
      <c r="T235" s="2">
        <f t="shared" si="15"/>
        <v>15.7</v>
      </c>
    </row>
    <row r="236" spans="1:20" x14ac:dyDescent="0.25">
      <c r="A236" s="2"/>
      <c r="B236" s="2" t="s">
        <v>6</v>
      </c>
      <c r="C236" s="2" t="s">
        <v>514</v>
      </c>
      <c r="D236" s="2" t="s">
        <v>251</v>
      </c>
      <c r="E236" s="2" t="s">
        <v>252</v>
      </c>
      <c r="F236" s="2" t="s">
        <v>253</v>
      </c>
      <c r="G236" s="2" t="s">
        <v>255</v>
      </c>
      <c r="H236" s="35">
        <v>4300</v>
      </c>
      <c r="I236" s="2">
        <v>0</v>
      </c>
      <c r="J236" s="2">
        <v>12.9</v>
      </c>
      <c r="K236" s="2">
        <v>1</v>
      </c>
      <c r="L236" s="2">
        <v>12.9</v>
      </c>
      <c r="M236" s="2">
        <v>3</v>
      </c>
      <c r="N236" s="2">
        <v>15.6</v>
      </c>
      <c r="O236" s="2">
        <v>12.9</v>
      </c>
      <c r="P236" s="2" t="s">
        <v>256</v>
      </c>
      <c r="Q236" s="2" t="str">
        <f t="shared" si="16"/>
        <v>Nene</v>
      </c>
      <c r="R236" s="2" t="str">
        <f t="shared" si="17"/>
        <v>Hilario</v>
      </c>
      <c r="S236" s="2" t="str">
        <f t="shared" si="14"/>
        <v>Nene Hilario</v>
      </c>
      <c r="T236" s="2">
        <f t="shared" si="15"/>
        <v>15.6</v>
      </c>
    </row>
    <row r="237" spans="1:20" x14ac:dyDescent="0.25">
      <c r="A237" s="2"/>
      <c r="B237" s="2" t="s">
        <v>7</v>
      </c>
      <c r="C237" s="2" t="s">
        <v>515</v>
      </c>
      <c r="D237" s="2" t="s">
        <v>251</v>
      </c>
      <c r="E237" s="2" t="s">
        <v>252</v>
      </c>
      <c r="F237" s="2" t="s">
        <v>253</v>
      </c>
      <c r="G237" s="2" t="s">
        <v>259</v>
      </c>
      <c r="H237" s="35">
        <v>4500</v>
      </c>
      <c r="I237" s="2">
        <v>0</v>
      </c>
      <c r="J237" s="2">
        <v>39.9</v>
      </c>
      <c r="K237" s="2">
        <v>2</v>
      </c>
      <c r="L237" s="2">
        <v>19.899999999999999</v>
      </c>
      <c r="M237" s="2">
        <v>4.4000000000000004</v>
      </c>
      <c r="N237" s="2">
        <v>15.6</v>
      </c>
      <c r="O237" s="2">
        <v>24.8</v>
      </c>
      <c r="P237" s="2" t="s">
        <v>260</v>
      </c>
      <c r="Q237" s="2" t="str">
        <f t="shared" si="16"/>
        <v>Tyreke</v>
      </c>
      <c r="R237" s="2" t="str">
        <f t="shared" si="17"/>
        <v>Evans</v>
      </c>
      <c r="S237" s="2" t="str">
        <f t="shared" si="14"/>
        <v>Tyreke Evans</v>
      </c>
      <c r="T237" s="2">
        <f t="shared" si="15"/>
        <v>15.6</v>
      </c>
    </row>
    <row r="238" spans="1:20" x14ac:dyDescent="0.25">
      <c r="A238" s="2"/>
      <c r="B238" s="2" t="s">
        <v>4</v>
      </c>
      <c r="C238" s="2" t="s">
        <v>516</v>
      </c>
      <c r="D238" s="2" t="s">
        <v>251</v>
      </c>
      <c r="E238" s="2" t="s">
        <v>252</v>
      </c>
      <c r="F238" s="2" t="s">
        <v>253</v>
      </c>
      <c r="G238" s="2" t="s">
        <v>295</v>
      </c>
      <c r="H238" s="35">
        <v>4100</v>
      </c>
      <c r="I238" s="2">
        <v>400</v>
      </c>
      <c r="J238" s="2">
        <v>40.700000000000003</v>
      </c>
      <c r="K238" s="2">
        <v>3</v>
      </c>
      <c r="L238" s="2">
        <v>13.6</v>
      </c>
      <c r="M238" s="2">
        <v>3.3</v>
      </c>
      <c r="N238" s="2">
        <v>15.6</v>
      </c>
      <c r="O238" s="2" t="s">
        <v>284</v>
      </c>
      <c r="P238" s="2" t="s">
        <v>296</v>
      </c>
      <c r="Q238" s="2" t="str">
        <f t="shared" si="16"/>
        <v>Lavoy</v>
      </c>
      <c r="R238" s="2" t="str">
        <f t="shared" si="17"/>
        <v>Allen</v>
      </c>
      <c r="S238" s="2" t="str">
        <f t="shared" si="14"/>
        <v>Lavoy Allen</v>
      </c>
      <c r="T238" s="2">
        <f t="shared" si="15"/>
        <v>15.6</v>
      </c>
    </row>
    <row r="239" spans="1:20" x14ac:dyDescent="0.25">
      <c r="A239" s="2"/>
      <c r="B239" s="2" t="s">
        <v>6</v>
      </c>
      <c r="C239" s="2" t="s">
        <v>517</v>
      </c>
      <c r="D239" s="2" t="s">
        <v>251</v>
      </c>
      <c r="E239" s="2" t="s">
        <v>252</v>
      </c>
      <c r="F239" s="2" t="s">
        <v>253</v>
      </c>
      <c r="G239" s="2" t="s">
        <v>295</v>
      </c>
      <c r="H239" s="35">
        <v>3500</v>
      </c>
      <c r="I239" s="2">
        <v>0</v>
      </c>
      <c r="J239" s="2">
        <v>51.6</v>
      </c>
      <c r="K239" s="2">
        <v>4</v>
      </c>
      <c r="L239" s="2">
        <v>12.9</v>
      </c>
      <c r="M239" s="2">
        <v>3.7</v>
      </c>
      <c r="N239" s="2">
        <v>15.4</v>
      </c>
      <c r="O239" s="2">
        <v>14.1</v>
      </c>
      <c r="P239" s="2" t="s">
        <v>296</v>
      </c>
      <c r="Q239" s="2" t="str">
        <f t="shared" si="16"/>
        <v>Al</v>
      </c>
      <c r="R239" s="2" t="str">
        <f t="shared" si="17"/>
        <v>Jefferson</v>
      </c>
      <c r="S239" s="2" t="str">
        <f t="shared" si="14"/>
        <v>Al Jefferson</v>
      </c>
      <c r="T239" s="2">
        <f t="shared" si="15"/>
        <v>15.4</v>
      </c>
    </row>
    <row r="240" spans="1:20" x14ac:dyDescent="0.25">
      <c r="A240" s="2"/>
      <c r="B240" s="2" t="s">
        <v>7</v>
      </c>
      <c r="C240" s="2" t="s">
        <v>518</v>
      </c>
      <c r="D240" s="2" t="s">
        <v>251</v>
      </c>
      <c r="E240" s="2" t="s">
        <v>252</v>
      </c>
      <c r="F240" s="2" t="s">
        <v>253</v>
      </c>
      <c r="G240" s="2" t="s">
        <v>310</v>
      </c>
      <c r="H240" s="35">
        <v>3700</v>
      </c>
      <c r="I240" s="2">
        <v>0</v>
      </c>
      <c r="J240" s="2">
        <v>62.3</v>
      </c>
      <c r="K240" s="2">
        <v>4</v>
      </c>
      <c r="L240" s="2">
        <v>15.6</v>
      </c>
      <c r="M240" s="2">
        <v>4.2</v>
      </c>
      <c r="N240" s="2">
        <v>15.3</v>
      </c>
      <c r="O240" s="2">
        <v>16.3</v>
      </c>
      <c r="P240" s="2" t="s">
        <v>311</v>
      </c>
      <c r="Q240" s="2" t="str">
        <f t="shared" si="16"/>
        <v>Gerald</v>
      </c>
      <c r="R240" s="2" t="str">
        <f t="shared" si="17"/>
        <v>Henderson</v>
      </c>
      <c r="S240" s="2" t="str">
        <f t="shared" si="14"/>
        <v>Gerald Henderson</v>
      </c>
      <c r="T240" s="2">
        <f t="shared" si="15"/>
        <v>15.3</v>
      </c>
    </row>
    <row r="241" spans="1:20" x14ac:dyDescent="0.25">
      <c r="A241" s="2"/>
      <c r="B241" s="2" t="s">
        <v>7</v>
      </c>
      <c r="C241" s="2" t="s">
        <v>519</v>
      </c>
      <c r="D241" s="2" t="s">
        <v>251</v>
      </c>
      <c r="E241" s="2" t="s">
        <v>252</v>
      </c>
      <c r="F241" s="2" t="s">
        <v>253</v>
      </c>
      <c r="G241" s="2" t="s">
        <v>303</v>
      </c>
      <c r="H241" s="35">
        <v>4300</v>
      </c>
      <c r="I241" s="2">
        <v>0</v>
      </c>
      <c r="J241" s="2">
        <v>42.8</v>
      </c>
      <c r="K241" s="2">
        <v>3</v>
      </c>
      <c r="L241" s="2">
        <v>14.3</v>
      </c>
      <c r="M241" s="2">
        <v>3.3</v>
      </c>
      <c r="N241" s="2">
        <v>15.3</v>
      </c>
      <c r="O241" s="2">
        <v>14</v>
      </c>
      <c r="P241" s="2" t="s">
        <v>304</v>
      </c>
      <c r="Q241" s="2" t="str">
        <f t="shared" si="16"/>
        <v>Jeremy</v>
      </c>
      <c r="R241" s="2" t="str">
        <f t="shared" si="17"/>
        <v>Lamb</v>
      </c>
      <c r="S241" s="2" t="str">
        <f t="shared" si="14"/>
        <v>Jeremy Lamb</v>
      </c>
      <c r="T241" s="2">
        <f t="shared" si="15"/>
        <v>15.3</v>
      </c>
    </row>
    <row r="242" spans="1:20" x14ac:dyDescent="0.25">
      <c r="A242" s="2"/>
      <c r="B242" s="2" t="s">
        <v>5</v>
      </c>
      <c r="C242" s="2" t="s">
        <v>520</v>
      </c>
      <c r="D242" s="2" t="s">
        <v>251</v>
      </c>
      <c r="E242" s="2" t="s">
        <v>252</v>
      </c>
      <c r="F242" s="2" t="s">
        <v>253</v>
      </c>
      <c r="G242" s="2" t="s">
        <v>89</v>
      </c>
      <c r="H242" s="35">
        <v>3500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15.3</v>
      </c>
      <c r="O242" s="2" t="s">
        <v>284</v>
      </c>
      <c r="P242" s="2" t="s">
        <v>254</v>
      </c>
      <c r="Q242" s="2" t="str">
        <f t="shared" si="16"/>
        <v>Josh</v>
      </c>
      <c r="R242" s="2" t="str">
        <f t="shared" si="17"/>
        <v>Huestis</v>
      </c>
      <c r="S242" s="2" t="str">
        <f t="shared" si="14"/>
        <v>Josh Huestis</v>
      </c>
      <c r="T242" s="2">
        <f t="shared" si="15"/>
        <v>15.3</v>
      </c>
    </row>
    <row r="243" spans="1:20" x14ac:dyDescent="0.25">
      <c r="A243" s="2"/>
      <c r="B243" s="2" t="s">
        <v>5</v>
      </c>
      <c r="C243" s="2" t="s">
        <v>521</v>
      </c>
      <c r="D243" s="2" t="s">
        <v>251</v>
      </c>
      <c r="E243" s="2" t="s">
        <v>252</v>
      </c>
      <c r="F243" s="2" t="s">
        <v>253</v>
      </c>
      <c r="G243" s="2" t="s">
        <v>274</v>
      </c>
      <c r="H243" s="35">
        <v>3600</v>
      </c>
      <c r="I243" s="2">
        <v>0</v>
      </c>
      <c r="J243" s="2">
        <v>41.8</v>
      </c>
      <c r="K243" s="2">
        <v>3</v>
      </c>
      <c r="L243" s="2">
        <v>13.9</v>
      </c>
      <c r="M243" s="2">
        <v>3.9</v>
      </c>
      <c r="N243" s="2">
        <v>15.3</v>
      </c>
      <c r="O243" s="2" t="s">
        <v>284</v>
      </c>
      <c r="P243" s="2" t="s">
        <v>275</v>
      </c>
      <c r="Q243" s="2" t="str">
        <f t="shared" si="16"/>
        <v>Jaylen</v>
      </c>
      <c r="R243" s="2" t="str">
        <f t="shared" si="17"/>
        <v>Brown</v>
      </c>
      <c r="S243" s="2" t="str">
        <f t="shared" si="14"/>
        <v>Jaylen Brown</v>
      </c>
      <c r="T243" s="2">
        <f t="shared" si="15"/>
        <v>15.3</v>
      </c>
    </row>
    <row r="244" spans="1:20" x14ac:dyDescent="0.25">
      <c r="A244" s="2"/>
      <c r="B244" s="2" t="s">
        <v>6</v>
      </c>
      <c r="C244" s="2" t="s">
        <v>522</v>
      </c>
      <c r="D244" s="2" t="s">
        <v>251</v>
      </c>
      <c r="E244" s="2" t="s">
        <v>252</v>
      </c>
      <c r="F244" s="2" t="s">
        <v>253</v>
      </c>
      <c r="G244" s="2" t="s">
        <v>62</v>
      </c>
      <c r="H244" s="35">
        <v>3900</v>
      </c>
      <c r="I244" s="2">
        <v>0</v>
      </c>
      <c r="J244" s="2">
        <v>41.9</v>
      </c>
      <c r="K244" s="2">
        <v>3</v>
      </c>
      <c r="L244" s="2">
        <v>14</v>
      </c>
      <c r="M244" s="2">
        <v>3.6</v>
      </c>
      <c r="N244" s="2">
        <v>15.1</v>
      </c>
      <c r="O244" s="2">
        <v>3.8</v>
      </c>
      <c r="P244" s="2" t="s">
        <v>307</v>
      </c>
      <c r="Q244" s="2" t="str">
        <f t="shared" si="16"/>
        <v>Ivica</v>
      </c>
      <c r="R244" s="2" t="str">
        <f t="shared" si="17"/>
        <v>Zubac</v>
      </c>
      <c r="S244" s="2" t="str">
        <f t="shared" si="14"/>
        <v>Ivica Zubac</v>
      </c>
      <c r="T244" s="2">
        <f t="shared" si="15"/>
        <v>15.1</v>
      </c>
    </row>
    <row r="245" spans="1:20" x14ac:dyDescent="0.25">
      <c r="A245" s="2"/>
      <c r="B245" s="2" t="s">
        <v>7</v>
      </c>
      <c r="C245" s="2" t="s">
        <v>523</v>
      </c>
      <c r="D245" s="2" t="s">
        <v>251</v>
      </c>
      <c r="E245" s="2" t="s">
        <v>252</v>
      </c>
      <c r="F245" s="2" t="s">
        <v>253</v>
      </c>
      <c r="G245" s="2" t="s">
        <v>280</v>
      </c>
      <c r="H245" s="35">
        <v>3600</v>
      </c>
      <c r="I245" s="2">
        <v>0</v>
      </c>
      <c r="J245" s="2">
        <v>67.7</v>
      </c>
      <c r="K245" s="2">
        <v>4</v>
      </c>
      <c r="L245" s="2">
        <v>16.899999999999999</v>
      </c>
      <c r="M245" s="2">
        <v>4.7</v>
      </c>
      <c r="N245" s="2">
        <v>14.6</v>
      </c>
      <c r="O245" s="2">
        <v>6</v>
      </c>
      <c r="P245" s="2" t="s">
        <v>281</v>
      </c>
      <c r="Q245" s="2" t="str">
        <f t="shared" si="16"/>
        <v>Wayne</v>
      </c>
      <c r="R245" s="2" t="str">
        <f t="shared" si="17"/>
        <v>Ellington</v>
      </c>
      <c r="S245" s="2" t="str">
        <f t="shared" si="14"/>
        <v>Wayne Ellington</v>
      </c>
      <c r="T245" s="2">
        <f t="shared" si="15"/>
        <v>14.6</v>
      </c>
    </row>
    <row r="246" spans="1:20" x14ac:dyDescent="0.25">
      <c r="A246" s="2"/>
      <c r="B246" s="2" t="s">
        <v>3</v>
      </c>
      <c r="C246" s="2" t="s">
        <v>524</v>
      </c>
      <c r="D246" s="2" t="s">
        <v>251</v>
      </c>
      <c r="E246" s="2" t="s">
        <v>252</v>
      </c>
      <c r="F246" s="2" t="s">
        <v>253</v>
      </c>
      <c r="G246" s="2" t="s">
        <v>305</v>
      </c>
      <c r="H246" s="35">
        <v>3600</v>
      </c>
      <c r="I246" s="2">
        <v>0</v>
      </c>
      <c r="J246" s="2">
        <v>44.6</v>
      </c>
      <c r="K246" s="2">
        <v>3</v>
      </c>
      <c r="L246" s="2">
        <v>14.9</v>
      </c>
      <c r="M246" s="2">
        <v>4.0999999999999996</v>
      </c>
      <c r="N246" s="2">
        <v>14.5</v>
      </c>
      <c r="O246" s="2">
        <v>22.1</v>
      </c>
      <c r="P246" s="2" t="s">
        <v>306</v>
      </c>
      <c r="Q246" s="2" t="str">
        <f t="shared" si="16"/>
        <v>Spencer</v>
      </c>
      <c r="R246" s="2" t="str">
        <f t="shared" si="17"/>
        <v>Dinwiddie</v>
      </c>
      <c r="S246" s="2" t="str">
        <f t="shared" si="14"/>
        <v>Spencer Dinwiddie</v>
      </c>
      <c r="T246" s="2">
        <f t="shared" si="15"/>
        <v>14.5</v>
      </c>
    </row>
    <row r="247" spans="1:20" x14ac:dyDescent="0.25">
      <c r="A247" s="2"/>
      <c r="B247" s="2" t="s">
        <v>3</v>
      </c>
      <c r="C247" s="2" t="s">
        <v>525</v>
      </c>
      <c r="D247" s="2" t="s">
        <v>251</v>
      </c>
      <c r="E247" s="2" t="s">
        <v>252</v>
      </c>
      <c r="F247" s="2" t="s">
        <v>253</v>
      </c>
      <c r="G247" s="2" t="s">
        <v>278</v>
      </c>
      <c r="H247" s="35">
        <v>3500</v>
      </c>
      <c r="I247" s="2">
        <v>-100</v>
      </c>
      <c r="J247" s="2">
        <v>50.7</v>
      </c>
      <c r="K247" s="2">
        <v>4</v>
      </c>
      <c r="L247" s="2">
        <v>12.7</v>
      </c>
      <c r="M247" s="2">
        <v>3.6</v>
      </c>
      <c r="N247" s="2">
        <v>14.5</v>
      </c>
      <c r="O247" s="2">
        <v>4</v>
      </c>
      <c r="P247" s="2" t="s">
        <v>279</v>
      </c>
      <c r="Q247" s="2" t="str">
        <f t="shared" si="16"/>
        <v>Jerian</v>
      </c>
      <c r="R247" s="2" t="str">
        <f t="shared" si="17"/>
        <v>Grant</v>
      </c>
      <c r="S247" s="2" t="str">
        <f t="shared" si="14"/>
        <v>Jerian Grant</v>
      </c>
      <c r="T247" s="2">
        <f t="shared" si="15"/>
        <v>14.5</v>
      </c>
    </row>
    <row r="248" spans="1:20" x14ac:dyDescent="0.25">
      <c r="A248" s="2"/>
      <c r="B248" s="2" t="s">
        <v>6</v>
      </c>
      <c r="C248" s="2" t="s">
        <v>526</v>
      </c>
      <c r="D248" s="2" t="s">
        <v>251</v>
      </c>
      <c r="E248" s="2" t="s">
        <v>252</v>
      </c>
      <c r="F248" s="2" t="s">
        <v>253</v>
      </c>
      <c r="G248" s="2" t="s">
        <v>276</v>
      </c>
      <c r="H248" s="35">
        <v>3500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14.4</v>
      </c>
      <c r="O248" s="2" t="s">
        <v>284</v>
      </c>
      <c r="P248" s="2" t="s">
        <v>277</v>
      </c>
      <c r="Q248" s="2" t="str">
        <f t="shared" si="16"/>
        <v>Roy</v>
      </c>
      <c r="R248" s="2" t="str">
        <f t="shared" si="17"/>
        <v>Hibbert</v>
      </c>
      <c r="S248" s="2" t="str">
        <f t="shared" si="14"/>
        <v>Roy Hibbert</v>
      </c>
      <c r="T248" s="2">
        <f t="shared" si="15"/>
        <v>14.4</v>
      </c>
    </row>
    <row r="249" spans="1:20" x14ac:dyDescent="0.25">
      <c r="A249" s="2"/>
      <c r="B249" s="2" t="s">
        <v>4</v>
      </c>
      <c r="C249" s="2" t="s">
        <v>527</v>
      </c>
      <c r="D249" s="2" t="s">
        <v>251</v>
      </c>
      <c r="E249" s="2" t="s">
        <v>252</v>
      </c>
      <c r="F249" s="2" t="s">
        <v>253</v>
      </c>
      <c r="G249" s="2" t="s">
        <v>282</v>
      </c>
      <c r="H249" s="35">
        <v>3500</v>
      </c>
      <c r="I249" s="2">
        <v>0</v>
      </c>
      <c r="J249" s="2">
        <v>20.6</v>
      </c>
      <c r="K249" s="2">
        <v>2</v>
      </c>
      <c r="L249" s="2">
        <v>10.3</v>
      </c>
      <c r="M249" s="2">
        <v>2.9</v>
      </c>
      <c r="N249" s="2">
        <v>14.4</v>
      </c>
      <c r="O249" s="2">
        <v>13.7</v>
      </c>
      <c r="P249" s="2" t="s">
        <v>283</v>
      </c>
      <c r="Q249" s="2" t="str">
        <f t="shared" si="16"/>
        <v>Meyers</v>
      </c>
      <c r="R249" s="2" t="str">
        <f t="shared" si="17"/>
        <v>Leonard</v>
      </c>
      <c r="S249" s="2" t="str">
        <f t="shared" si="14"/>
        <v>Meyers Leonard</v>
      </c>
      <c r="T249" s="2">
        <f t="shared" si="15"/>
        <v>14.4</v>
      </c>
    </row>
    <row r="250" spans="1:20" x14ac:dyDescent="0.25">
      <c r="A250" s="2"/>
      <c r="B250" s="2" t="s">
        <v>7</v>
      </c>
      <c r="C250" s="2" t="s">
        <v>528</v>
      </c>
      <c r="D250" s="2" t="s">
        <v>251</v>
      </c>
      <c r="E250" s="2" t="s">
        <v>252</v>
      </c>
      <c r="F250" s="2" t="s">
        <v>253</v>
      </c>
      <c r="G250" s="2" t="s">
        <v>282</v>
      </c>
      <c r="H250" s="35">
        <v>3500</v>
      </c>
      <c r="I250" s="2">
        <v>0</v>
      </c>
      <c r="J250" s="2">
        <v>34.200000000000003</v>
      </c>
      <c r="K250" s="2">
        <v>2</v>
      </c>
      <c r="L250" s="2">
        <v>17.100000000000001</v>
      </c>
      <c r="M250" s="2">
        <v>4.9000000000000004</v>
      </c>
      <c r="N250" s="2">
        <v>14.4</v>
      </c>
      <c r="O250" s="2">
        <v>13.6</v>
      </c>
      <c r="P250" s="2" t="s">
        <v>283</v>
      </c>
      <c r="Q250" s="2" t="str">
        <f t="shared" si="16"/>
        <v>Allen</v>
      </c>
      <c r="R250" s="2" t="str">
        <f t="shared" si="17"/>
        <v>Crabbe</v>
      </c>
      <c r="S250" s="2" t="str">
        <f t="shared" si="14"/>
        <v>Allen Crabbe</v>
      </c>
      <c r="T250" s="2">
        <f t="shared" si="15"/>
        <v>14.4</v>
      </c>
    </row>
    <row r="251" spans="1:20" x14ac:dyDescent="0.25">
      <c r="A251" s="2"/>
      <c r="B251" s="2" t="s">
        <v>7</v>
      </c>
      <c r="C251" s="2" t="s">
        <v>529</v>
      </c>
      <c r="D251" s="2" t="s">
        <v>251</v>
      </c>
      <c r="E251" s="2" t="s">
        <v>252</v>
      </c>
      <c r="F251" s="2" t="s">
        <v>253</v>
      </c>
      <c r="G251" s="2" t="s">
        <v>257</v>
      </c>
      <c r="H251" s="35">
        <v>3900</v>
      </c>
      <c r="I251" s="2">
        <v>0</v>
      </c>
      <c r="J251" s="2">
        <v>9.5</v>
      </c>
      <c r="K251" s="2">
        <v>1</v>
      </c>
      <c r="L251" s="2">
        <v>9.5</v>
      </c>
      <c r="M251" s="2">
        <v>2.4</v>
      </c>
      <c r="N251" s="2">
        <v>14.2</v>
      </c>
      <c r="O251" s="2">
        <v>9.5</v>
      </c>
      <c r="P251" s="2" t="s">
        <v>258</v>
      </c>
      <c r="Q251" s="2" t="str">
        <f t="shared" si="16"/>
        <v>Iman</v>
      </c>
      <c r="R251" s="2" t="str">
        <f t="shared" si="17"/>
        <v>Shumpert</v>
      </c>
      <c r="S251" s="2" t="str">
        <f t="shared" si="14"/>
        <v>Iman Shumpert</v>
      </c>
      <c r="T251" s="2">
        <f t="shared" si="15"/>
        <v>14.2</v>
      </c>
    </row>
    <row r="252" spans="1:20" x14ac:dyDescent="0.25">
      <c r="A252" s="2"/>
      <c r="B252" s="2" t="s">
        <v>5</v>
      </c>
      <c r="C252" s="2" t="s">
        <v>530</v>
      </c>
      <c r="D252" s="2" t="s">
        <v>251</v>
      </c>
      <c r="E252" s="2" t="s">
        <v>252</v>
      </c>
      <c r="F252" s="2" t="s">
        <v>253</v>
      </c>
      <c r="G252" s="2" t="s">
        <v>259</v>
      </c>
      <c r="H252" s="35">
        <v>3900</v>
      </c>
      <c r="I252" s="2">
        <v>0</v>
      </c>
      <c r="J252" s="2">
        <v>57.2</v>
      </c>
      <c r="K252" s="2">
        <v>4</v>
      </c>
      <c r="L252" s="2">
        <v>14.3</v>
      </c>
      <c r="M252" s="2">
        <v>3.7</v>
      </c>
      <c r="N252" s="2">
        <v>14.2</v>
      </c>
      <c r="O252" s="2">
        <v>14.6</v>
      </c>
      <c r="P252" s="2" t="s">
        <v>260</v>
      </c>
      <c r="Q252" s="2" t="str">
        <f t="shared" si="16"/>
        <v>Solomon</v>
      </c>
      <c r="R252" s="2" t="str">
        <f t="shared" si="17"/>
        <v>Hill</v>
      </c>
      <c r="S252" s="2" t="str">
        <f t="shared" si="14"/>
        <v>Solomon Hill</v>
      </c>
      <c r="T252" s="2">
        <f t="shared" si="15"/>
        <v>14.2</v>
      </c>
    </row>
    <row r="253" spans="1:20" x14ac:dyDescent="0.25">
      <c r="A253" s="2"/>
      <c r="B253" s="2" t="s">
        <v>3</v>
      </c>
      <c r="C253" s="2" t="s">
        <v>531</v>
      </c>
      <c r="D253" s="2" t="s">
        <v>251</v>
      </c>
      <c r="E253" s="2" t="s">
        <v>252</v>
      </c>
      <c r="F253" s="2" t="s">
        <v>253</v>
      </c>
      <c r="G253" s="2" t="s">
        <v>310</v>
      </c>
      <c r="H253" s="35">
        <v>3500</v>
      </c>
      <c r="I253" s="2">
        <v>0</v>
      </c>
      <c r="J253" s="2">
        <v>53.7</v>
      </c>
      <c r="K253" s="2">
        <v>4</v>
      </c>
      <c r="L253" s="2">
        <v>13.4</v>
      </c>
      <c r="M253" s="2">
        <v>3.8</v>
      </c>
      <c r="N253" s="2">
        <v>14</v>
      </c>
      <c r="O253" s="2">
        <v>12</v>
      </c>
      <c r="P253" s="2" t="s">
        <v>311</v>
      </c>
      <c r="Q253" s="2" t="str">
        <f t="shared" si="16"/>
        <v>Sergio</v>
      </c>
      <c r="R253" s="2" t="str">
        <f t="shared" si="17"/>
        <v>Rodriguez</v>
      </c>
      <c r="S253" s="2" t="str">
        <f t="shared" si="14"/>
        <v>Sergio Rodriguez</v>
      </c>
      <c r="T253" s="2">
        <f t="shared" si="15"/>
        <v>14</v>
      </c>
    </row>
    <row r="254" spans="1:20" x14ac:dyDescent="0.25">
      <c r="A254" s="2"/>
      <c r="B254" s="2" t="s">
        <v>7</v>
      </c>
      <c r="C254" s="2" t="s">
        <v>532</v>
      </c>
      <c r="D254" s="2" t="s">
        <v>251</v>
      </c>
      <c r="E254" s="2" t="s">
        <v>252</v>
      </c>
      <c r="F254" s="2" t="s">
        <v>253</v>
      </c>
      <c r="G254" s="2" t="s">
        <v>297</v>
      </c>
      <c r="H254" s="35">
        <v>3500</v>
      </c>
      <c r="I254" s="2">
        <v>0</v>
      </c>
      <c r="J254" s="2">
        <v>33.5</v>
      </c>
      <c r="K254" s="2">
        <v>3</v>
      </c>
      <c r="L254" s="2">
        <v>11.2</v>
      </c>
      <c r="M254" s="2">
        <v>3.2</v>
      </c>
      <c r="N254" s="2">
        <v>14</v>
      </c>
      <c r="O254" s="2">
        <v>4.5</v>
      </c>
      <c r="P254" s="2" t="s">
        <v>298</v>
      </c>
      <c r="Q254" s="2" t="str">
        <f t="shared" si="16"/>
        <v>Justin</v>
      </c>
      <c r="R254" s="2" t="str">
        <f t="shared" si="17"/>
        <v>Holiday</v>
      </c>
      <c r="S254" s="2" t="str">
        <f t="shared" si="14"/>
        <v>Justin Holiday</v>
      </c>
      <c r="T254" s="2">
        <f t="shared" si="15"/>
        <v>14</v>
      </c>
    </row>
    <row r="255" spans="1:20" x14ac:dyDescent="0.25">
      <c r="A255" s="2"/>
      <c r="B255" s="2" t="s">
        <v>4</v>
      </c>
      <c r="C255" s="2" t="s">
        <v>533</v>
      </c>
      <c r="D255" s="2" t="s">
        <v>251</v>
      </c>
      <c r="E255" s="2" t="s">
        <v>252</v>
      </c>
      <c r="F255" s="2" t="s">
        <v>253</v>
      </c>
      <c r="G255" s="2" t="s">
        <v>299</v>
      </c>
      <c r="H255" s="35">
        <v>3700</v>
      </c>
      <c r="I255" s="2">
        <v>0</v>
      </c>
      <c r="J255" s="2">
        <v>63</v>
      </c>
      <c r="K255" s="2">
        <v>3</v>
      </c>
      <c r="L255" s="2">
        <v>21</v>
      </c>
      <c r="M255" s="2">
        <v>5.7</v>
      </c>
      <c r="N255" s="2">
        <v>14</v>
      </c>
      <c r="O255" s="2">
        <v>18.399999999999999</v>
      </c>
      <c r="P255" s="2" t="s">
        <v>300</v>
      </c>
      <c r="Q255" s="2" t="str">
        <f t="shared" si="16"/>
        <v>Alex</v>
      </c>
      <c r="R255" s="2" t="str">
        <f t="shared" si="17"/>
        <v>Len</v>
      </c>
      <c r="S255" s="2" t="str">
        <f t="shared" si="14"/>
        <v>Alex Len</v>
      </c>
      <c r="T255" s="2">
        <f t="shared" si="15"/>
        <v>14</v>
      </c>
    </row>
    <row r="256" spans="1:20" x14ac:dyDescent="0.25">
      <c r="A256" s="2"/>
      <c r="B256" s="2" t="s">
        <v>6</v>
      </c>
      <c r="C256" s="2" t="s">
        <v>534</v>
      </c>
      <c r="D256" s="2" t="s">
        <v>251</v>
      </c>
      <c r="E256" s="2" t="s">
        <v>252</v>
      </c>
      <c r="F256" s="2" t="s">
        <v>253</v>
      </c>
      <c r="G256" s="2" t="s">
        <v>278</v>
      </c>
      <c r="H256" s="35">
        <v>3600</v>
      </c>
      <c r="I256" s="2">
        <v>100</v>
      </c>
      <c r="J256" s="2">
        <v>62.3</v>
      </c>
      <c r="K256" s="2">
        <v>4</v>
      </c>
      <c r="L256" s="2">
        <v>15.6</v>
      </c>
      <c r="M256" s="2">
        <v>4.3</v>
      </c>
      <c r="N256" s="2">
        <v>14</v>
      </c>
      <c r="O256" s="2">
        <v>22.7</v>
      </c>
      <c r="P256" s="2" t="s">
        <v>279</v>
      </c>
      <c r="Q256" s="2" t="str">
        <f t="shared" si="16"/>
        <v>Cristiano</v>
      </c>
      <c r="R256" s="2" t="str">
        <f t="shared" si="17"/>
        <v>Felicio</v>
      </c>
      <c r="S256" s="2" t="str">
        <f t="shared" si="14"/>
        <v>Cristiano Felicio</v>
      </c>
      <c r="T256" s="2">
        <f t="shared" si="15"/>
        <v>14</v>
      </c>
    </row>
    <row r="257" spans="1:20" x14ac:dyDescent="0.25">
      <c r="A257" s="2"/>
      <c r="B257" s="2" t="s">
        <v>4</v>
      </c>
      <c r="C257" s="2" t="s">
        <v>535</v>
      </c>
      <c r="D257" s="2" t="s">
        <v>251</v>
      </c>
      <c r="E257" s="2" t="s">
        <v>252</v>
      </c>
      <c r="F257" s="2" t="s">
        <v>253</v>
      </c>
      <c r="G257" s="2" t="s">
        <v>299</v>
      </c>
      <c r="H257" s="35">
        <v>3500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14</v>
      </c>
      <c r="O257" s="2" t="s">
        <v>284</v>
      </c>
      <c r="P257" s="2" t="s">
        <v>300</v>
      </c>
      <c r="Q257" s="2" t="str">
        <f t="shared" si="16"/>
        <v>Dragan</v>
      </c>
      <c r="R257" s="2" t="str">
        <f t="shared" si="17"/>
        <v>Bender</v>
      </c>
      <c r="S257" s="2" t="str">
        <f t="shared" si="14"/>
        <v>Dragan Bender</v>
      </c>
      <c r="T257" s="2">
        <f t="shared" si="15"/>
        <v>14</v>
      </c>
    </row>
    <row r="258" spans="1:20" x14ac:dyDescent="0.25">
      <c r="A258" s="2"/>
      <c r="B258" s="2" t="s">
        <v>7</v>
      </c>
      <c r="C258" s="2" t="s">
        <v>536</v>
      </c>
      <c r="D258" s="2" t="s">
        <v>251</v>
      </c>
      <c r="E258" s="2" t="s">
        <v>252</v>
      </c>
      <c r="F258" s="2" t="s">
        <v>253</v>
      </c>
      <c r="G258" s="2" t="s">
        <v>305</v>
      </c>
      <c r="H258" s="35">
        <v>4100</v>
      </c>
      <c r="I258" s="2">
        <v>0</v>
      </c>
      <c r="J258" s="2">
        <v>38.5</v>
      </c>
      <c r="K258" s="2">
        <v>3</v>
      </c>
      <c r="L258" s="2">
        <v>12.8</v>
      </c>
      <c r="M258" s="2">
        <v>3.1</v>
      </c>
      <c r="N258" s="2">
        <v>14</v>
      </c>
      <c r="O258" s="2">
        <v>6.4</v>
      </c>
      <c r="P258" s="2" t="s">
        <v>306</v>
      </c>
      <c r="Q258" s="2" t="str">
        <f t="shared" si="16"/>
        <v>Caris</v>
      </c>
      <c r="R258" s="2" t="str">
        <f t="shared" si="17"/>
        <v>LeVert</v>
      </c>
      <c r="S258" s="2" t="str">
        <f t="shared" si="14"/>
        <v>Caris LeVert</v>
      </c>
      <c r="T258" s="2">
        <f t="shared" si="15"/>
        <v>14</v>
      </c>
    </row>
    <row r="259" spans="1:20" x14ac:dyDescent="0.25">
      <c r="A259" s="2"/>
      <c r="B259" s="2" t="s">
        <v>3</v>
      </c>
      <c r="C259" s="2" t="s">
        <v>537</v>
      </c>
      <c r="D259" s="2" t="s">
        <v>251</v>
      </c>
      <c r="E259" s="2" t="s">
        <v>252</v>
      </c>
      <c r="F259" s="2" t="s">
        <v>253</v>
      </c>
      <c r="G259" s="2" t="s">
        <v>289</v>
      </c>
      <c r="H259" s="35">
        <v>3600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13.9</v>
      </c>
      <c r="O259" s="2" t="s">
        <v>284</v>
      </c>
      <c r="P259" s="2" t="s">
        <v>290</v>
      </c>
      <c r="Q259" s="2" t="str">
        <f t="shared" si="16"/>
        <v>Fred</v>
      </c>
      <c r="R259" s="2" t="str">
        <f t="shared" si="17"/>
        <v>VanVleet</v>
      </c>
      <c r="S259" s="2" t="str">
        <f t="shared" si="14"/>
        <v>Fred VanVleet</v>
      </c>
      <c r="T259" s="2">
        <f t="shared" si="15"/>
        <v>13.9</v>
      </c>
    </row>
    <row r="260" spans="1:20" x14ac:dyDescent="0.25">
      <c r="A260" s="2"/>
      <c r="B260" s="2"/>
      <c r="C260" s="2"/>
      <c r="D260" s="2"/>
      <c r="E260" s="2"/>
      <c r="F260" s="2"/>
      <c r="G260" s="2"/>
      <c r="H260" s="42">
        <v>42782</v>
      </c>
      <c r="I260" s="2" t="s">
        <v>232</v>
      </c>
      <c r="J260" s="2" t="s">
        <v>233</v>
      </c>
      <c r="K260" s="2" t="s">
        <v>232</v>
      </c>
      <c r="L260" s="2" t="s">
        <v>234</v>
      </c>
      <c r="M260" s="2" t="s">
        <v>235</v>
      </c>
      <c r="N260" s="2" t="s">
        <v>232</v>
      </c>
      <c r="O260" s="2" t="s">
        <v>232</v>
      </c>
      <c r="P260" s="2" t="s">
        <v>236</v>
      </c>
      <c r="Q260" s="2" t="e">
        <f t="shared" si="16"/>
        <v>#VALUE!</v>
      </c>
      <c r="R260" s="2" t="e">
        <f t="shared" si="17"/>
        <v>#VALUE!</v>
      </c>
      <c r="S260" s="2" t="e">
        <f t="shared" si="14"/>
        <v>#VALUE!</v>
      </c>
      <c r="T260" s="2" t="str">
        <f t="shared" si="15"/>
        <v>Last</v>
      </c>
    </row>
    <row r="261" spans="1:20" x14ac:dyDescent="0.25">
      <c r="A261" s="2"/>
      <c r="B261" s="2"/>
      <c r="C261" s="2"/>
      <c r="D261" s="2"/>
      <c r="E261" s="2"/>
      <c r="F261" s="2"/>
      <c r="G261" s="2"/>
      <c r="H261" s="2" t="s">
        <v>142</v>
      </c>
      <c r="I261" s="2" t="s">
        <v>142</v>
      </c>
      <c r="J261" s="2" t="s">
        <v>237</v>
      </c>
      <c r="K261" s="2"/>
      <c r="L261" s="2" t="s">
        <v>238</v>
      </c>
      <c r="M261" s="2" t="s">
        <v>239</v>
      </c>
      <c r="N261" s="2" t="s">
        <v>240</v>
      </c>
      <c r="O261" s="2" t="s">
        <v>1</v>
      </c>
      <c r="P261" s="2" t="s">
        <v>241</v>
      </c>
      <c r="Q261" s="2" t="e">
        <f t="shared" si="16"/>
        <v>#VALUE!</v>
      </c>
      <c r="R261" s="2" t="e">
        <f t="shared" si="17"/>
        <v>#VALUE!</v>
      </c>
      <c r="S261" s="2" t="e">
        <f t="shared" si="14"/>
        <v>#VALUE!</v>
      </c>
      <c r="T261" s="2" t="str">
        <f t="shared" si="15"/>
        <v>15 day</v>
      </c>
    </row>
    <row r="262" spans="1:20" x14ac:dyDescent="0.25">
      <c r="A262" s="2"/>
      <c r="B262" s="2" t="s">
        <v>8</v>
      </c>
      <c r="C262" s="2" t="s">
        <v>242</v>
      </c>
      <c r="D262" s="2" t="s">
        <v>243</v>
      </c>
      <c r="E262" s="2" t="s">
        <v>244</v>
      </c>
      <c r="F262" s="2" t="s">
        <v>245</v>
      </c>
      <c r="G262" s="2" t="s">
        <v>2</v>
      </c>
      <c r="H262" s="43">
        <v>0</v>
      </c>
      <c r="I262" s="2" t="s">
        <v>246</v>
      </c>
      <c r="J262" s="2" t="s">
        <v>238</v>
      </c>
      <c r="K262" s="2" t="s">
        <v>247</v>
      </c>
      <c r="L262" s="2" t="s">
        <v>248</v>
      </c>
      <c r="M262" s="2" t="s">
        <v>249</v>
      </c>
      <c r="N262" s="2" t="s">
        <v>250</v>
      </c>
      <c r="O262" s="2" t="s">
        <v>238</v>
      </c>
      <c r="P262" s="2">
        <v>1.23456789012345E+27</v>
      </c>
      <c r="Q262" s="2" t="e">
        <f t="shared" si="16"/>
        <v>#VALUE!</v>
      </c>
      <c r="R262" s="2" t="e">
        <f t="shared" si="17"/>
        <v>#VALUE!</v>
      </c>
      <c r="S262" s="2" t="e">
        <f t="shared" ref="S262:S325" si="18">Q262&amp;" "&amp;R262</f>
        <v>#VALUE!</v>
      </c>
      <c r="T262" s="2" t="str">
        <f t="shared" ref="T262:T325" si="19">N262</f>
        <v>FDP/G</v>
      </c>
    </row>
    <row r="263" spans="1:20" x14ac:dyDescent="0.25">
      <c r="A263" s="2"/>
      <c r="B263" s="2" t="s">
        <v>3</v>
      </c>
      <c r="C263" s="2" t="s">
        <v>538</v>
      </c>
      <c r="D263" s="2" t="s">
        <v>251</v>
      </c>
      <c r="E263" s="2" t="s">
        <v>252</v>
      </c>
      <c r="F263" s="2" t="s">
        <v>253</v>
      </c>
      <c r="G263" s="2" t="s">
        <v>276</v>
      </c>
      <c r="H263" s="35">
        <v>3800</v>
      </c>
      <c r="I263" s="2">
        <v>0</v>
      </c>
      <c r="J263" s="2">
        <v>41.8</v>
      </c>
      <c r="K263" s="2">
        <v>4</v>
      </c>
      <c r="L263" s="2">
        <v>10.4</v>
      </c>
      <c r="M263" s="2">
        <v>2.7</v>
      </c>
      <c r="N263" s="2">
        <v>13.7</v>
      </c>
      <c r="O263" s="2">
        <v>9.6999999999999993</v>
      </c>
      <c r="P263" s="2" t="s">
        <v>277</v>
      </c>
      <c r="Q263" s="2" t="str">
        <f t="shared" si="16"/>
        <v>Matthew</v>
      </c>
      <c r="R263" s="2" t="str">
        <f t="shared" si="17"/>
        <v>Dellavedova</v>
      </c>
      <c r="S263" s="2" t="str">
        <f t="shared" si="18"/>
        <v>Matthew Dellavedova</v>
      </c>
      <c r="T263" s="2">
        <f t="shared" si="19"/>
        <v>13.7</v>
      </c>
    </row>
    <row r="264" spans="1:20" x14ac:dyDescent="0.25">
      <c r="A264" s="2"/>
      <c r="B264" s="2" t="s">
        <v>4</v>
      </c>
      <c r="C264" s="2" t="s">
        <v>539</v>
      </c>
      <c r="D264" s="2" t="s">
        <v>251</v>
      </c>
      <c r="E264" s="2" t="s">
        <v>252</v>
      </c>
      <c r="F264" s="2" t="s">
        <v>253</v>
      </c>
      <c r="G264" s="2" t="s">
        <v>268</v>
      </c>
      <c r="H264" s="35">
        <v>3800</v>
      </c>
      <c r="I264" s="2">
        <v>0</v>
      </c>
      <c r="J264" s="2">
        <v>52.5</v>
      </c>
      <c r="K264" s="2">
        <v>4</v>
      </c>
      <c r="L264" s="2">
        <v>13.1</v>
      </c>
      <c r="M264" s="2">
        <v>3.5</v>
      </c>
      <c r="N264" s="2">
        <v>13.7</v>
      </c>
      <c r="O264" s="2">
        <v>13.2</v>
      </c>
      <c r="P264" s="2" t="s">
        <v>269</v>
      </c>
      <c r="Q264" s="2" t="str">
        <f t="shared" ref="Q264:Q327" si="20">MID(C264,FIND(" ",C264)+1,256)</f>
        <v>Nemanja</v>
      </c>
      <c r="R264" s="2" t="str">
        <f t="shared" ref="R264:R327" si="21">LEFT(C264,(FIND(" ",C264,1)-1))</f>
        <v>Bjelica</v>
      </c>
      <c r="S264" s="2" t="str">
        <f t="shared" si="18"/>
        <v>Nemanja Bjelica</v>
      </c>
      <c r="T264" s="2">
        <f t="shared" si="19"/>
        <v>13.7</v>
      </c>
    </row>
    <row r="265" spans="1:20" x14ac:dyDescent="0.25">
      <c r="A265" s="2"/>
      <c r="B265" s="2" t="s">
        <v>5</v>
      </c>
      <c r="C265" s="2" t="s">
        <v>540</v>
      </c>
      <c r="D265" s="2" t="s">
        <v>251</v>
      </c>
      <c r="E265" s="2" t="s">
        <v>252</v>
      </c>
      <c r="F265" s="2" t="s">
        <v>253</v>
      </c>
      <c r="G265" s="2" t="s">
        <v>266</v>
      </c>
      <c r="H265" s="35">
        <v>3500</v>
      </c>
      <c r="I265" s="2">
        <v>0</v>
      </c>
      <c r="J265" s="2">
        <v>21.4</v>
      </c>
      <c r="K265" s="2">
        <v>3</v>
      </c>
      <c r="L265" s="2">
        <v>7.1</v>
      </c>
      <c r="M265" s="2">
        <v>2</v>
      </c>
      <c r="N265" s="2">
        <v>13.7</v>
      </c>
      <c r="O265" s="2">
        <v>14.6</v>
      </c>
      <c r="P265" s="2" t="s">
        <v>267</v>
      </c>
      <c r="Q265" s="2" t="str">
        <f t="shared" si="20"/>
        <v>Jonathon</v>
      </c>
      <c r="R265" s="2" t="str">
        <f t="shared" si="21"/>
        <v>Simmons</v>
      </c>
      <c r="S265" s="2" t="str">
        <f t="shared" si="18"/>
        <v>Jonathon Simmons</v>
      </c>
      <c r="T265" s="2">
        <f t="shared" si="19"/>
        <v>13.7</v>
      </c>
    </row>
    <row r="266" spans="1:20" x14ac:dyDescent="0.25">
      <c r="A266" s="2"/>
      <c r="B266" s="2" t="s">
        <v>5</v>
      </c>
      <c r="C266" s="2" t="s">
        <v>541</v>
      </c>
      <c r="D266" s="2" t="s">
        <v>251</v>
      </c>
      <c r="E266" s="2" t="s">
        <v>252</v>
      </c>
      <c r="F266" s="2" t="s">
        <v>253</v>
      </c>
      <c r="G266" s="2" t="s">
        <v>276</v>
      </c>
      <c r="H266" s="35">
        <v>4000</v>
      </c>
      <c r="I266" s="2">
        <v>0</v>
      </c>
      <c r="J266" s="2">
        <v>65.400000000000006</v>
      </c>
      <c r="K266" s="2">
        <v>4</v>
      </c>
      <c r="L266" s="2">
        <v>16.399999999999999</v>
      </c>
      <c r="M266" s="2">
        <v>4.0999999999999996</v>
      </c>
      <c r="N266" s="2">
        <v>13.4</v>
      </c>
      <c r="O266" s="2">
        <v>18.899999999999999</v>
      </c>
      <c r="P266" s="2" t="s">
        <v>277</v>
      </c>
      <c r="Q266" s="2" t="str">
        <f t="shared" si="20"/>
        <v>Tony</v>
      </c>
      <c r="R266" s="2" t="str">
        <f t="shared" si="21"/>
        <v>Snell</v>
      </c>
      <c r="S266" s="2" t="str">
        <f t="shared" si="18"/>
        <v>Tony Snell</v>
      </c>
      <c r="T266" s="2">
        <f t="shared" si="19"/>
        <v>13.4</v>
      </c>
    </row>
    <row r="267" spans="1:20" x14ac:dyDescent="0.25">
      <c r="A267" s="2"/>
      <c r="B267" s="2" t="s">
        <v>6</v>
      </c>
      <c r="C267" s="2" t="s">
        <v>542</v>
      </c>
      <c r="D267" s="2" t="s">
        <v>251</v>
      </c>
      <c r="E267" s="2" t="s">
        <v>252</v>
      </c>
      <c r="F267" s="2" t="s">
        <v>253</v>
      </c>
      <c r="G267" s="2" t="s">
        <v>291</v>
      </c>
      <c r="H267" s="35">
        <v>3600</v>
      </c>
      <c r="I267" s="2">
        <v>0</v>
      </c>
      <c r="J267" s="2">
        <v>42.7</v>
      </c>
      <c r="K267" s="2">
        <v>3</v>
      </c>
      <c r="L267" s="2">
        <v>14.2</v>
      </c>
      <c r="M267" s="2">
        <v>4</v>
      </c>
      <c r="N267" s="2">
        <v>13.3</v>
      </c>
      <c r="O267" s="2">
        <v>23.1</v>
      </c>
      <c r="P267" s="2" t="s">
        <v>292</v>
      </c>
      <c r="Q267" s="2" t="str">
        <f t="shared" si="20"/>
        <v>Brandan</v>
      </c>
      <c r="R267" s="2" t="str">
        <f t="shared" si="21"/>
        <v>Wright</v>
      </c>
      <c r="S267" s="2" t="str">
        <f t="shared" si="18"/>
        <v>Brandan Wright</v>
      </c>
      <c r="T267" s="2">
        <f t="shared" si="19"/>
        <v>13.3</v>
      </c>
    </row>
    <row r="268" spans="1:20" x14ac:dyDescent="0.25">
      <c r="A268" s="2"/>
      <c r="B268" s="2" t="s">
        <v>5</v>
      </c>
      <c r="C268" s="2" t="s">
        <v>543</v>
      </c>
      <c r="D268" s="2" t="s">
        <v>251</v>
      </c>
      <c r="E268" s="2" t="s">
        <v>252</v>
      </c>
      <c r="F268" s="2" t="s">
        <v>253</v>
      </c>
      <c r="G268" s="2" t="s">
        <v>278</v>
      </c>
      <c r="H268" s="35">
        <v>4400</v>
      </c>
      <c r="I268" s="2">
        <v>600</v>
      </c>
      <c r="J268" s="2">
        <v>63.4</v>
      </c>
      <c r="K268" s="2">
        <v>4</v>
      </c>
      <c r="L268" s="2">
        <v>15.8</v>
      </c>
      <c r="M268" s="2">
        <v>3.6</v>
      </c>
      <c r="N268" s="2">
        <v>13.3</v>
      </c>
      <c r="O268" s="2">
        <v>27.5</v>
      </c>
      <c r="P268" s="2" t="s">
        <v>279</v>
      </c>
      <c r="Q268" s="2" t="str">
        <f t="shared" si="20"/>
        <v>Doug</v>
      </c>
      <c r="R268" s="2" t="str">
        <f t="shared" si="21"/>
        <v>McDermott</v>
      </c>
      <c r="S268" s="2" t="str">
        <f t="shared" si="18"/>
        <v>Doug McDermott</v>
      </c>
      <c r="T268" s="2">
        <f t="shared" si="19"/>
        <v>13.3</v>
      </c>
    </row>
    <row r="269" spans="1:20" x14ac:dyDescent="0.25">
      <c r="A269" s="2"/>
      <c r="B269" s="2" t="s">
        <v>5</v>
      </c>
      <c r="C269" s="2" t="s">
        <v>544</v>
      </c>
      <c r="D269" s="2" t="s">
        <v>251</v>
      </c>
      <c r="E269" s="2" t="s">
        <v>252</v>
      </c>
      <c r="F269" s="2" t="s">
        <v>253</v>
      </c>
      <c r="G269" s="2" t="s">
        <v>89</v>
      </c>
      <c r="H269" s="35">
        <v>3700</v>
      </c>
      <c r="I269" s="2">
        <v>0</v>
      </c>
      <c r="J269" s="2">
        <v>54.8</v>
      </c>
      <c r="K269" s="2">
        <v>3</v>
      </c>
      <c r="L269" s="2">
        <v>18.3</v>
      </c>
      <c r="M269" s="2">
        <v>4.9000000000000004</v>
      </c>
      <c r="N269" s="2">
        <v>13.3</v>
      </c>
      <c r="O269" s="2">
        <v>25.4</v>
      </c>
      <c r="P269" s="2" t="s">
        <v>254</v>
      </c>
      <c r="Q269" s="2" t="str">
        <f t="shared" si="20"/>
        <v>Jerami</v>
      </c>
      <c r="R269" s="2" t="str">
        <f t="shared" si="21"/>
        <v>Grant</v>
      </c>
      <c r="S269" s="2" t="str">
        <f t="shared" si="18"/>
        <v>Jerami Grant</v>
      </c>
      <c r="T269" s="2">
        <f t="shared" si="19"/>
        <v>13.3</v>
      </c>
    </row>
    <row r="270" spans="1:20" x14ac:dyDescent="0.25">
      <c r="A270" s="2"/>
      <c r="B270" s="2" t="s">
        <v>6</v>
      </c>
      <c r="C270" s="2" t="s">
        <v>545</v>
      </c>
      <c r="D270" s="2" t="s">
        <v>251</v>
      </c>
      <c r="E270" s="2" t="s">
        <v>252</v>
      </c>
      <c r="F270" s="2" t="s">
        <v>253</v>
      </c>
      <c r="G270" s="2" t="s">
        <v>287</v>
      </c>
      <c r="H270" s="35">
        <v>3500</v>
      </c>
      <c r="I270" s="2">
        <v>0</v>
      </c>
      <c r="J270" s="2">
        <v>36.1</v>
      </c>
      <c r="K270" s="2">
        <v>4</v>
      </c>
      <c r="L270" s="2">
        <v>9</v>
      </c>
      <c r="M270" s="2">
        <v>2.6</v>
      </c>
      <c r="N270" s="2">
        <v>13.2</v>
      </c>
      <c r="O270" s="2">
        <v>0</v>
      </c>
      <c r="P270" s="2" t="s">
        <v>288</v>
      </c>
      <c r="Q270" s="2" t="str">
        <f t="shared" si="20"/>
        <v>Aron</v>
      </c>
      <c r="R270" s="2" t="str">
        <f t="shared" si="21"/>
        <v>Baynes</v>
      </c>
      <c r="S270" s="2" t="str">
        <f t="shared" si="18"/>
        <v>Aron Baynes</v>
      </c>
      <c r="T270" s="2">
        <f t="shared" si="19"/>
        <v>13.2</v>
      </c>
    </row>
    <row r="271" spans="1:20" x14ac:dyDescent="0.25">
      <c r="A271" s="2"/>
      <c r="B271" s="2" t="s">
        <v>4</v>
      </c>
      <c r="C271" s="2" t="s">
        <v>546</v>
      </c>
      <c r="D271" s="2" t="s">
        <v>251</v>
      </c>
      <c r="E271" s="2" t="s">
        <v>252</v>
      </c>
      <c r="F271" s="2" t="s">
        <v>253</v>
      </c>
      <c r="G271" s="2" t="s">
        <v>276</v>
      </c>
      <c r="H271" s="35">
        <v>3500</v>
      </c>
      <c r="I271" s="2">
        <v>0</v>
      </c>
      <c r="J271" s="2">
        <v>45.8</v>
      </c>
      <c r="K271" s="2">
        <v>3</v>
      </c>
      <c r="L271" s="2">
        <v>15.3</v>
      </c>
      <c r="M271" s="2">
        <v>4.4000000000000004</v>
      </c>
      <c r="N271" s="2">
        <v>13.1</v>
      </c>
      <c r="O271" s="2">
        <v>9</v>
      </c>
      <c r="P271" s="2" t="s">
        <v>277</v>
      </c>
      <c r="Q271" s="2" t="str">
        <f t="shared" si="20"/>
        <v>Thon</v>
      </c>
      <c r="R271" s="2" t="str">
        <f t="shared" si="21"/>
        <v>Maker</v>
      </c>
      <c r="S271" s="2" t="str">
        <f t="shared" si="18"/>
        <v>Thon Maker</v>
      </c>
      <c r="T271" s="2">
        <f t="shared" si="19"/>
        <v>13.1</v>
      </c>
    </row>
    <row r="272" spans="1:20" x14ac:dyDescent="0.25">
      <c r="A272" s="2"/>
      <c r="B272" s="2" t="s">
        <v>5</v>
      </c>
      <c r="C272" s="2" t="s">
        <v>547</v>
      </c>
      <c r="D272" s="2" t="s">
        <v>251</v>
      </c>
      <c r="E272" s="2" t="s">
        <v>252</v>
      </c>
      <c r="F272" s="2" t="s">
        <v>253</v>
      </c>
      <c r="G272" s="2" t="s">
        <v>259</v>
      </c>
      <c r="H272" s="35">
        <v>3700</v>
      </c>
      <c r="I272" s="2">
        <v>0</v>
      </c>
      <c r="J272" s="2">
        <v>54.3</v>
      </c>
      <c r="K272" s="2">
        <v>3</v>
      </c>
      <c r="L272" s="2">
        <v>18.100000000000001</v>
      </c>
      <c r="M272" s="2">
        <v>4.9000000000000004</v>
      </c>
      <c r="N272" s="2">
        <v>13</v>
      </c>
      <c r="O272" s="2" t="s">
        <v>284</v>
      </c>
      <c r="P272" s="2" t="s">
        <v>260</v>
      </c>
      <c r="Q272" s="2" t="str">
        <f t="shared" si="20"/>
        <v>Dante</v>
      </c>
      <c r="R272" s="2" t="str">
        <f t="shared" si="21"/>
        <v>Cunningham</v>
      </c>
      <c r="S272" s="2" t="str">
        <f t="shared" si="18"/>
        <v>Dante Cunningham</v>
      </c>
      <c r="T272" s="2">
        <f t="shared" si="19"/>
        <v>13</v>
      </c>
    </row>
    <row r="273" spans="1:20" x14ac:dyDescent="0.25">
      <c r="A273" s="2"/>
      <c r="B273" s="2" t="s">
        <v>4</v>
      </c>
      <c r="C273" s="2" t="s">
        <v>548</v>
      </c>
      <c r="D273" s="2" t="s">
        <v>251</v>
      </c>
      <c r="E273" s="2" t="s">
        <v>252</v>
      </c>
      <c r="F273" s="2" t="s">
        <v>253</v>
      </c>
      <c r="G273" s="2" t="s">
        <v>295</v>
      </c>
      <c r="H273" s="35">
        <v>4300</v>
      </c>
      <c r="I273" s="2">
        <v>800</v>
      </c>
      <c r="J273" s="2">
        <v>56.4</v>
      </c>
      <c r="K273" s="2">
        <v>4</v>
      </c>
      <c r="L273" s="2">
        <v>14.1</v>
      </c>
      <c r="M273" s="2">
        <v>3.3</v>
      </c>
      <c r="N273" s="2">
        <v>13</v>
      </c>
      <c r="O273" s="2">
        <v>18.3</v>
      </c>
      <c r="P273" s="2" t="s">
        <v>296</v>
      </c>
      <c r="Q273" s="2" t="str">
        <f t="shared" si="20"/>
        <v>Kevin</v>
      </c>
      <c r="R273" s="2" t="str">
        <f t="shared" si="21"/>
        <v>Seraphin</v>
      </c>
      <c r="S273" s="2" t="str">
        <f t="shared" si="18"/>
        <v>Kevin Seraphin</v>
      </c>
      <c r="T273" s="2">
        <f t="shared" si="19"/>
        <v>13</v>
      </c>
    </row>
    <row r="274" spans="1:20" x14ac:dyDescent="0.25">
      <c r="A274" s="2"/>
      <c r="B274" s="2" t="s">
        <v>7</v>
      </c>
      <c r="C274" s="2" t="s">
        <v>549</v>
      </c>
      <c r="D274" s="2" t="s">
        <v>251</v>
      </c>
      <c r="E274" s="2" t="s">
        <v>252</v>
      </c>
      <c r="F274" s="2" t="s">
        <v>253</v>
      </c>
      <c r="G274" s="2" t="s">
        <v>261</v>
      </c>
      <c r="H274" s="35">
        <v>3500</v>
      </c>
      <c r="I274" s="2">
        <v>0</v>
      </c>
      <c r="J274" s="2">
        <v>62.6</v>
      </c>
      <c r="K274" s="2">
        <v>4</v>
      </c>
      <c r="L274" s="2">
        <v>15.7</v>
      </c>
      <c r="M274" s="2">
        <v>4.5</v>
      </c>
      <c r="N274" s="2">
        <v>12.8</v>
      </c>
      <c r="O274" s="2">
        <v>17.100000000000001</v>
      </c>
      <c r="P274" s="2" t="s">
        <v>262</v>
      </c>
      <c r="Q274" s="2" t="str">
        <f t="shared" si="20"/>
        <v>Arron</v>
      </c>
      <c r="R274" s="2" t="str">
        <f t="shared" si="21"/>
        <v>Afflalo</v>
      </c>
      <c r="S274" s="2" t="str">
        <f t="shared" si="18"/>
        <v>Arron Afflalo</v>
      </c>
      <c r="T274" s="2">
        <f t="shared" si="19"/>
        <v>12.8</v>
      </c>
    </row>
    <row r="275" spans="1:20" x14ac:dyDescent="0.25">
      <c r="A275" s="2"/>
      <c r="B275" s="2" t="s">
        <v>4</v>
      </c>
      <c r="C275" s="2" t="s">
        <v>550</v>
      </c>
      <c r="D275" s="2" t="s">
        <v>251</v>
      </c>
      <c r="E275" s="2" t="s">
        <v>252</v>
      </c>
      <c r="F275" s="2" t="s">
        <v>253</v>
      </c>
      <c r="G275" s="2" t="s">
        <v>299</v>
      </c>
      <c r="H275" s="35">
        <v>3500</v>
      </c>
      <c r="I275" s="2">
        <v>0</v>
      </c>
      <c r="J275" s="2">
        <v>54.8</v>
      </c>
      <c r="K275" s="2">
        <v>4</v>
      </c>
      <c r="L275" s="2">
        <v>13.7</v>
      </c>
      <c r="M275" s="2">
        <v>3.9</v>
      </c>
      <c r="N275" s="2">
        <v>12.8</v>
      </c>
      <c r="O275" s="2">
        <v>4</v>
      </c>
      <c r="P275" s="2" t="s">
        <v>300</v>
      </c>
      <c r="Q275" s="2" t="str">
        <f t="shared" si="20"/>
        <v>Jared</v>
      </c>
      <c r="R275" s="2" t="str">
        <f t="shared" si="21"/>
        <v>Dudley</v>
      </c>
      <c r="S275" s="2" t="str">
        <f t="shared" si="18"/>
        <v>Jared Dudley</v>
      </c>
      <c r="T275" s="2">
        <f t="shared" si="19"/>
        <v>12.8</v>
      </c>
    </row>
    <row r="276" spans="1:20" x14ac:dyDescent="0.25">
      <c r="A276" s="2"/>
      <c r="B276" s="2" t="s">
        <v>3</v>
      </c>
      <c r="C276" s="2" t="s">
        <v>551</v>
      </c>
      <c r="D276" s="2" t="s">
        <v>251</v>
      </c>
      <c r="E276" s="2" t="s">
        <v>252</v>
      </c>
      <c r="F276" s="2" t="s">
        <v>253</v>
      </c>
      <c r="G276" s="2" t="s">
        <v>274</v>
      </c>
      <c r="H276" s="35">
        <v>3500</v>
      </c>
      <c r="I276" s="2">
        <v>0</v>
      </c>
      <c r="J276" s="2">
        <v>51.6</v>
      </c>
      <c r="K276" s="2">
        <v>4</v>
      </c>
      <c r="L276" s="2">
        <v>12.9</v>
      </c>
      <c r="M276" s="2">
        <v>3.7</v>
      </c>
      <c r="N276" s="2">
        <v>12.8</v>
      </c>
      <c r="O276" s="2">
        <v>8.8000000000000007</v>
      </c>
      <c r="P276" s="2" t="s">
        <v>275</v>
      </c>
      <c r="Q276" s="2" t="str">
        <f t="shared" si="20"/>
        <v>Terry</v>
      </c>
      <c r="R276" s="2" t="str">
        <f t="shared" si="21"/>
        <v>Rozier</v>
      </c>
      <c r="S276" s="2" t="str">
        <f t="shared" si="18"/>
        <v>Terry Rozier</v>
      </c>
      <c r="T276" s="2">
        <f t="shared" si="19"/>
        <v>12.8</v>
      </c>
    </row>
    <row r="277" spans="1:20" x14ac:dyDescent="0.25">
      <c r="A277" s="2"/>
      <c r="B277" s="2" t="s">
        <v>7</v>
      </c>
      <c r="C277" s="2" t="s">
        <v>552</v>
      </c>
      <c r="D277" s="2" t="s">
        <v>251</v>
      </c>
      <c r="E277" s="2" t="s">
        <v>252</v>
      </c>
      <c r="F277" s="2" t="s">
        <v>253</v>
      </c>
      <c r="G277" s="2" t="s">
        <v>272</v>
      </c>
      <c r="H277" s="35">
        <v>3600</v>
      </c>
      <c r="I277" s="2">
        <v>0</v>
      </c>
      <c r="J277" s="2">
        <v>48.5</v>
      </c>
      <c r="K277" s="2">
        <v>4</v>
      </c>
      <c r="L277" s="2">
        <v>12.1</v>
      </c>
      <c r="M277" s="2">
        <v>3.4</v>
      </c>
      <c r="N277" s="2">
        <v>12.7</v>
      </c>
      <c r="O277" s="2">
        <v>22.7</v>
      </c>
      <c r="P277" s="2" t="s">
        <v>273</v>
      </c>
      <c r="Q277" s="2" t="str">
        <f t="shared" si="20"/>
        <v>Ian</v>
      </c>
      <c r="R277" s="2" t="str">
        <f t="shared" si="21"/>
        <v>Clark</v>
      </c>
      <c r="S277" s="2" t="str">
        <f t="shared" si="18"/>
        <v>Ian Clark</v>
      </c>
      <c r="T277" s="2">
        <f t="shared" si="19"/>
        <v>12.7</v>
      </c>
    </row>
    <row r="278" spans="1:20" x14ac:dyDescent="0.25">
      <c r="A278" s="2"/>
      <c r="B278" s="2" t="s">
        <v>5</v>
      </c>
      <c r="C278" s="2" t="s">
        <v>553</v>
      </c>
      <c r="D278" s="2" t="s">
        <v>251</v>
      </c>
      <c r="E278" s="2" t="s">
        <v>252</v>
      </c>
      <c r="F278" s="2" t="s">
        <v>253</v>
      </c>
      <c r="G278" s="2" t="s">
        <v>62</v>
      </c>
      <c r="H278" s="35">
        <v>3600</v>
      </c>
      <c r="I278" s="2">
        <v>0</v>
      </c>
      <c r="J278" s="2">
        <v>19.8</v>
      </c>
      <c r="K278" s="2">
        <v>3</v>
      </c>
      <c r="L278" s="2">
        <v>6.6</v>
      </c>
      <c r="M278" s="2">
        <v>1.8</v>
      </c>
      <c r="N278" s="2">
        <v>12.6</v>
      </c>
      <c r="O278" s="2">
        <v>7.6</v>
      </c>
      <c r="P278" s="2" t="s">
        <v>307</v>
      </c>
      <c r="Q278" s="2" t="str">
        <f t="shared" si="20"/>
        <v>Luol</v>
      </c>
      <c r="R278" s="2" t="str">
        <f t="shared" si="21"/>
        <v>Deng</v>
      </c>
      <c r="S278" s="2" t="str">
        <f t="shared" si="18"/>
        <v>Luol Deng</v>
      </c>
      <c r="T278" s="2">
        <f t="shared" si="19"/>
        <v>12.6</v>
      </c>
    </row>
    <row r="279" spans="1:20" x14ac:dyDescent="0.25">
      <c r="A279" s="2"/>
      <c r="B279" s="2" t="s">
        <v>3</v>
      </c>
      <c r="C279" s="2" t="s">
        <v>554</v>
      </c>
      <c r="D279" s="2" t="s">
        <v>251</v>
      </c>
      <c r="E279" s="2" t="s">
        <v>252</v>
      </c>
      <c r="F279" s="2" t="s">
        <v>253</v>
      </c>
      <c r="G279" s="2" t="s">
        <v>289</v>
      </c>
      <c r="H279" s="35">
        <v>3500</v>
      </c>
      <c r="I279" s="2">
        <v>0</v>
      </c>
      <c r="J279" s="2">
        <v>43.1</v>
      </c>
      <c r="K279" s="2">
        <v>3</v>
      </c>
      <c r="L279" s="2">
        <v>14.4</v>
      </c>
      <c r="M279" s="2">
        <v>4.0999999999999996</v>
      </c>
      <c r="N279" s="2">
        <v>12.6</v>
      </c>
      <c r="O279" s="2">
        <v>17.3</v>
      </c>
      <c r="P279" s="2" t="s">
        <v>290</v>
      </c>
      <c r="Q279" s="2" t="str">
        <f t="shared" si="20"/>
        <v>Cory</v>
      </c>
      <c r="R279" s="2" t="str">
        <f t="shared" si="21"/>
        <v>Joseph</v>
      </c>
      <c r="S279" s="2" t="str">
        <f t="shared" si="18"/>
        <v>Cory Joseph</v>
      </c>
      <c r="T279" s="2">
        <f t="shared" si="19"/>
        <v>12.6</v>
      </c>
    </row>
    <row r="280" spans="1:20" x14ac:dyDescent="0.25">
      <c r="A280" s="2"/>
      <c r="B280" s="2" t="s">
        <v>7</v>
      </c>
      <c r="C280" s="2" t="s">
        <v>555</v>
      </c>
      <c r="D280" s="2" t="s">
        <v>251</v>
      </c>
      <c r="E280" s="2" t="s">
        <v>252</v>
      </c>
      <c r="F280" s="2" t="s">
        <v>253</v>
      </c>
      <c r="G280" s="2" t="s">
        <v>295</v>
      </c>
      <c r="H280" s="35">
        <v>3600</v>
      </c>
      <c r="I280" s="2">
        <v>0</v>
      </c>
      <c r="J280" s="2">
        <v>54.4</v>
      </c>
      <c r="K280" s="2">
        <v>4</v>
      </c>
      <c r="L280" s="2">
        <v>13.6</v>
      </c>
      <c r="M280" s="2">
        <v>3.8</v>
      </c>
      <c r="N280" s="2">
        <v>12.5</v>
      </c>
      <c r="O280" s="2">
        <v>24.3</v>
      </c>
      <c r="P280" s="2" t="s">
        <v>296</v>
      </c>
      <c r="Q280" s="2" t="str">
        <f t="shared" si="20"/>
        <v>Rodney</v>
      </c>
      <c r="R280" s="2" t="str">
        <f t="shared" si="21"/>
        <v>Stuckey</v>
      </c>
      <c r="S280" s="2" t="str">
        <f t="shared" si="18"/>
        <v>Rodney Stuckey</v>
      </c>
      <c r="T280" s="2">
        <f t="shared" si="19"/>
        <v>12.5</v>
      </c>
    </row>
    <row r="281" spans="1:20" x14ac:dyDescent="0.25">
      <c r="A281" s="2"/>
      <c r="B281" s="2" t="s">
        <v>7</v>
      </c>
      <c r="C281" s="2" t="s">
        <v>556</v>
      </c>
      <c r="D281" s="2" t="s">
        <v>251</v>
      </c>
      <c r="E281" s="2" t="s">
        <v>252</v>
      </c>
      <c r="F281" s="2" t="s">
        <v>253</v>
      </c>
      <c r="G281" s="2" t="s">
        <v>293</v>
      </c>
      <c r="H281" s="35">
        <v>3600</v>
      </c>
      <c r="I281" s="2">
        <v>0</v>
      </c>
      <c r="J281" s="2">
        <v>45.2</v>
      </c>
      <c r="K281" s="2">
        <v>3</v>
      </c>
      <c r="L281" s="2">
        <v>15.1</v>
      </c>
      <c r="M281" s="2">
        <v>4.2</v>
      </c>
      <c r="N281" s="2">
        <v>12.5</v>
      </c>
      <c r="O281" s="2">
        <v>14.7</v>
      </c>
      <c r="P281" s="2" t="s">
        <v>294</v>
      </c>
      <c r="Q281" s="2" t="str">
        <f t="shared" si="20"/>
        <v>Mario</v>
      </c>
      <c r="R281" s="2" t="str">
        <f t="shared" si="21"/>
        <v>Hezonja</v>
      </c>
      <c r="S281" s="2" t="str">
        <f t="shared" si="18"/>
        <v>Mario Hezonja</v>
      </c>
      <c r="T281" s="2">
        <f t="shared" si="19"/>
        <v>12.5</v>
      </c>
    </row>
    <row r="282" spans="1:20" x14ac:dyDescent="0.25">
      <c r="A282" s="2"/>
      <c r="B282" s="2" t="s">
        <v>7</v>
      </c>
      <c r="C282" s="2" t="s">
        <v>557</v>
      </c>
      <c r="D282" s="2" t="s">
        <v>251</v>
      </c>
      <c r="E282" s="2" t="s">
        <v>252</v>
      </c>
      <c r="F282" s="2" t="s">
        <v>253</v>
      </c>
      <c r="G282" s="2" t="s">
        <v>266</v>
      </c>
      <c r="H282" s="35">
        <v>3500</v>
      </c>
      <c r="I282" s="2">
        <v>0</v>
      </c>
      <c r="J282" s="2">
        <v>34</v>
      </c>
      <c r="K282" s="2">
        <v>4</v>
      </c>
      <c r="L282" s="2">
        <v>8.5</v>
      </c>
      <c r="M282" s="2">
        <v>2.4</v>
      </c>
      <c r="N282" s="2">
        <v>12.3</v>
      </c>
      <c r="O282" s="2">
        <v>1</v>
      </c>
      <c r="P282" s="2" t="s">
        <v>267</v>
      </c>
      <c r="Q282" s="2" t="str">
        <f t="shared" si="20"/>
        <v>Manu</v>
      </c>
      <c r="R282" s="2" t="str">
        <f t="shared" si="21"/>
        <v>Ginobili</v>
      </c>
      <c r="S282" s="2" t="str">
        <f t="shared" si="18"/>
        <v>Manu Ginobili</v>
      </c>
      <c r="T282" s="2">
        <f t="shared" si="19"/>
        <v>12.3</v>
      </c>
    </row>
    <row r="283" spans="1:20" x14ac:dyDescent="0.25">
      <c r="A283" s="2"/>
      <c r="B283" s="2" t="s">
        <v>3</v>
      </c>
      <c r="C283" s="2" t="s">
        <v>558</v>
      </c>
      <c r="D283" s="2" t="s">
        <v>251</v>
      </c>
      <c r="E283" s="2" t="s">
        <v>252</v>
      </c>
      <c r="F283" s="2" t="s">
        <v>253</v>
      </c>
      <c r="G283" s="2" t="s">
        <v>293</v>
      </c>
      <c r="H283" s="35">
        <v>3500</v>
      </c>
      <c r="I283" s="2">
        <v>0</v>
      </c>
      <c r="J283" s="2">
        <v>32.1</v>
      </c>
      <c r="K283" s="2">
        <v>3</v>
      </c>
      <c r="L283" s="2">
        <v>10.7</v>
      </c>
      <c r="M283" s="2">
        <v>3.1</v>
      </c>
      <c r="N283" s="2">
        <v>12.3</v>
      </c>
      <c r="O283" s="2">
        <v>4.7</v>
      </c>
      <c r="P283" s="2" t="s">
        <v>294</v>
      </c>
      <c r="Q283" s="2" t="str">
        <f t="shared" si="20"/>
        <v>D.J.</v>
      </c>
      <c r="R283" s="2" t="str">
        <f t="shared" si="21"/>
        <v>Augustin</v>
      </c>
      <c r="S283" s="2" t="str">
        <f t="shared" si="18"/>
        <v>D.J. Augustin</v>
      </c>
      <c r="T283" s="2">
        <f t="shared" si="19"/>
        <v>12.3</v>
      </c>
    </row>
    <row r="284" spans="1:20" x14ac:dyDescent="0.25">
      <c r="A284" s="2"/>
      <c r="B284" s="2" t="s">
        <v>3</v>
      </c>
      <c r="C284" s="2" t="s">
        <v>559</v>
      </c>
      <c r="D284" s="2" t="s">
        <v>251</v>
      </c>
      <c r="E284" s="2" t="s">
        <v>252</v>
      </c>
      <c r="F284" s="2" t="s">
        <v>253</v>
      </c>
      <c r="G284" s="2" t="s">
        <v>266</v>
      </c>
      <c r="H284" s="35">
        <v>3500</v>
      </c>
      <c r="I284" s="2">
        <v>0</v>
      </c>
      <c r="J284" s="2">
        <v>47.5</v>
      </c>
      <c r="K284" s="2">
        <v>4</v>
      </c>
      <c r="L284" s="2">
        <v>11.9</v>
      </c>
      <c r="M284" s="2">
        <v>3.4</v>
      </c>
      <c r="N284" s="2">
        <v>12.3</v>
      </c>
      <c r="O284" s="2">
        <v>12</v>
      </c>
      <c r="P284" s="2" t="s">
        <v>267</v>
      </c>
      <c r="Q284" s="2" t="str">
        <f t="shared" si="20"/>
        <v>Patty</v>
      </c>
      <c r="R284" s="2" t="str">
        <f t="shared" si="21"/>
        <v>Mills</v>
      </c>
      <c r="S284" s="2" t="str">
        <f t="shared" si="18"/>
        <v>Patty Mills</v>
      </c>
      <c r="T284" s="2">
        <f t="shared" si="19"/>
        <v>12.3</v>
      </c>
    </row>
    <row r="285" spans="1:20" x14ac:dyDescent="0.25">
      <c r="A285" s="2"/>
      <c r="B285" s="2" t="s">
        <v>4</v>
      </c>
      <c r="C285" s="2" t="s">
        <v>560</v>
      </c>
      <c r="D285" s="2" t="s">
        <v>251</v>
      </c>
      <c r="E285" s="2" t="s">
        <v>252</v>
      </c>
      <c r="F285" s="2" t="s">
        <v>253</v>
      </c>
      <c r="G285" s="2" t="s">
        <v>310</v>
      </c>
      <c r="H285" s="35">
        <v>3500</v>
      </c>
      <c r="I285" s="2">
        <v>0</v>
      </c>
      <c r="J285" s="2">
        <v>23.1</v>
      </c>
      <c r="K285" s="2">
        <v>2</v>
      </c>
      <c r="L285" s="2">
        <v>11.6</v>
      </c>
      <c r="M285" s="2">
        <v>3.3</v>
      </c>
      <c r="N285" s="2">
        <v>12.3</v>
      </c>
      <c r="O285" s="2">
        <v>9.8000000000000007</v>
      </c>
      <c r="P285" s="2" t="s">
        <v>311</v>
      </c>
      <c r="Q285" s="2" t="str">
        <f t="shared" si="20"/>
        <v>Richaun</v>
      </c>
      <c r="R285" s="2" t="str">
        <f t="shared" si="21"/>
        <v>Holmes</v>
      </c>
      <c r="S285" s="2" t="str">
        <f t="shared" si="18"/>
        <v>Richaun Holmes</v>
      </c>
      <c r="T285" s="2">
        <f t="shared" si="19"/>
        <v>12.3</v>
      </c>
    </row>
    <row r="286" spans="1:20" x14ac:dyDescent="0.25">
      <c r="A286" s="2"/>
      <c r="B286" s="2" t="s">
        <v>4</v>
      </c>
      <c r="C286" s="2" t="s">
        <v>561</v>
      </c>
      <c r="D286" s="2" t="s">
        <v>251</v>
      </c>
      <c r="E286" s="2" t="s">
        <v>252</v>
      </c>
      <c r="F286" s="2" t="s">
        <v>253</v>
      </c>
      <c r="G286" s="2" t="s">
        <v>301</v>
      </c>
      <c r="H286" s="35">
        <v>3500</v>
      </c>
      <c r="I286" s="2">
        <v>0</v>
      </c>
      <c r="J286" s="2">
        <v>23.1</v>
      </c>
      <c r="K286" s="2">
        <v>2</v>
      </c>
      <c r="L286" s="2">
        <v>11.6</v>
      </c>
      <c r="M286" s="2">
        <v>3.3</v>
      </c>
      <c r="N286" s="2">
        <v>12.2</v>
      </c>
      <c r="O286" s="2" t="s">
        <v>284</v>
      </c>
      <c r="P286" s="2" t="s">
        <v>302</v>
      </c>
      <c r="Q286" s="2" t="str">
        <f t="shared" si="20"/>
        <v>Kris</v>
      </c>
      <c r="R286" s="2" t="str">
        <f t="shared" si="21"/>
        <v>Humphries</v>
      </c>
      <c r="S286" s="2" t="str">
        <f t="shared" si="18"/>
        <v>Kris Humphries</v>
      </c>
      <c r="T286" s="2">
        <f t="shared" si="19"/>
        <v>12.2</v>
      </c>
    </row>
    <row r="287" spans="1:20" x14ac:dyDescent="0.25">
      <c r="A287" s="2"/>
      <c r="B287" s="2" t="s">
        <v>3</v>
      </c>
      <c r="C287" s="2" t="s">
        <v>562</v>
      </c>
      <c r="D287" s="2" t="s">
        <v>251</v>
      </c>
      <c r="E287" s="2" t="s">
        <v>252</v>
      </c>
      <c r="F287" s="2" t="s">
        <v>253</v>
      </c>
      <c r="G287" s="2" t="s">
        <v>291</v>
      </c>
      <c r="H287" s="35">
        <v>3600</v>
      </c>
      <c r="I287" s="2">
        <v>0</v>
      </c>
      <c r="J287" s="2">
        <v>42.1</v>
      </c>
      <c r="K287" s="2">
        <v>3</v>
      </c>
      <c r="L287" s="2">
        <v>14</v>
      </c>
      <c r="M287" s="2">
        <v>3.9</v>
      </c>
      <c r="N287" s="2">
        <v>12.2</v>
      </c>
      <c r="O287" s="2">
        <v>10.1</v>
      </c>
      <c r="P287" s="2" t="s">
        <v>292</v>
      </c>
      <c r="Q287" s="2" t="str">
        <f t="shared" si="20"/>
        <v>Toney</v>
      </c>
      <c r="R287" s="2" t="str">
        <f t="shared" si="21"/>
        <v>Douglas</v>
      </c>
      <c r="S287" s="2" t="str">
        <f t="shared" si="18"/>
        <v>Toney Douglas</v>
      </c>
      <c r="T287" s="2">
        <f t="shared" si="19"/>
        <v>12.2</v>
      </c>
    </row>
    <row r="288" spans="1:20" x14ac:dyDescent="0.25">
      <c r="A288" s="2"/>
      <c r="B288" s="2"/>
      <c r="C288" s="2"/>
      <c r="D288" s="2"/>
      <c r="E288" s="2"/>
      <c r="F288" s="2"/>
      <c r="G288" s="2"/>
      <c r="H288" s="42">
        <v>42782</v>
      </c>
      <c r="I288" s="2" t="s">
        <v>232</v>
      </c>
      <c r="J288" s="2" t="s">
        <v>233</v>
      </c>
      <c r="K288" s="2" t="s">
        <v>232</v>
      </c>
      <c r="L288" s="2" t="s">
        <v>234</v>
      </c>
      <c r="M288" s="2" t="s">
        <v>235</v>
      </c>
      <c r="N288" s="2" t="s">
        <v>232</v>
      </c>
      <c r="O288" s="2" t="s">
        <v>232</v>
      </c>
      <c r="P288" s="2" t="s">
        <v>236</v>
      </c>
      <c r="Q288" s="2" t="e">
        <f t="shared" si="20"/>
        <v>#VALUE!</v>
      </c>
      <c r="R288" s="2" t="e">
        <f t="shared" si="21"/>
        <v>#VALUE!</v>
      </c>
      <c r="S288" s="2" t="e">
        <f t="shared" si="18"/>
        <v>#VALUE!</v>
      </c>
      <c r="T288" s="2" t="str">
        <f t="shared" si="19"/>
        <v>Last</v>
      </c>
    </row>
    <row r="289" spans="1:20" x14ac:dyDescent="0.25">
      <c r="A289" s="2"/>
      <c r="B289" s="2"/>
      <c r="C289" s="2"/>
      <c r="D289" s="2"/>
      <c r="E289" s="2"/>
      <c r="F289" s="2"/>
      <c r="G289" s="2"/>
      <c r="H289" s="2" t="s">
        <v>142</v>
      </c>
      <c r="I289" s="2" t="s">
        <v>142</v>
      </c>
      <c r="J289" s="2" t="s">
        <v>237</v>
      </c>
      <c r="K289" s="2"/>
      <c r="L289" s="2" t="s">
        <v>238</v>
      </c>
      <c r="M289" s="2" t="s">
        <v>239</v>
      </c>
      <c r="N289" s="2" t="s">
        <v>240</v>
      </c>
      <c r="O289" s="2" t="s">
        <v>1</v>
      </c>
      <c r="P289" s="2" t="s">
        <v>241</v>
      </c>
      <c r="Q289" s="2" t="e">
        <f t="shared" si="20"/>
        <v>#VALUE!</v>
      </c>
      <c r="R289" s="2" t="e">
        <f t="shared" si="21"/>
        <v>#VALUE!</v>
      </c>
      <c r="S289" s="2" t="e">
        <f t="shared" si="18"/>
        <v>#VALUE!</v>
      </c>
      <c r="T289" s="2" t="str">
        <f t="shared" si="19"/>
        <v>15 day</v>
      </c>
    </row>
    <row r="290" spans="1:20" x14ac:dyDescent="0.25">
      <c r="A290" s="2"/>
      <c r="B290" s="2" t="s">
        <v>8</v>
      </c>
      <c r="C290" s="2" t="s">
        <v>242</v>
      </c>
      <c r="D290" s="2" t="s">
        <v>243</v>
      </c>
      <c r="E290" s="2" t="s">
        <v>244</v>
      </c>
      <c r="F290" s="2" t="s">
        <v>245</v>
      </c>
      <c r="G290" s="2" t="s">
        <v>2</v>
      </c>
      <c r="H290" s="43">
        <v>0</v>
      </c>
      <c r="I290" s="2" t="s">
        <v>246</v>
      </c>
      <c r="J290" s="2" t="s">
        <v>238</v>
      </c>
      <c r="K290" s="2" t="s">
        <v>247</v>
      </c>
      <c r="L290" s="2" t="s">
        <v>248</v>
      </c>
      <c r="M290" s="2" t="s">
        <v>249</v>
      </c>
      <c r="N290" s="2" t="s">
        <v>250</v>
      </c>
      <c r="O290" s="2" t="s">
        <v>238</v>
      </c>
      <c r="P290" s="2">
        <v>1.23456789012345E+27</v>
      </c>
      <c r="Q290" s="2" t="e">
        <f t="shared" si="20"/>
        <v>#VALUE!</v>
      </c>
      <c r="R290" s="2" t="e">
        <f t="shared" si="21"/>
        <v>#VALUE!</v>
      </c>
      <c r="S290" s="2" t="e">
        <f t="shared" si="18"/>
        <v>#VALUE!</v>
      </c>
      <c r="T290" s="2" t="str">
        <f t="shared" si="19"/>
        <v>FDP/G</v>
      </c>
    </row>
    <row r="291" spans="1:20" x14ac:dyDescent="0.25">
      <c r="A291" s="2"/>
      <c r="B291" s="2" t="s">
        <v>4</v>
      </c>
      <c r="C291" s="2" t="s">
        <v>563</v>
      </c>
      <c r="D291" s="2" t="s">
        <v>251</v>
      </c>
      <c r="E291" s="2" t="s">
        <v>252</v>
      </c>
      <c r="F291" s="2" t="s">
        <v>253</v>
      </c>
      <c r="G291" s="2" t="s">
        <v>289</v>
      </c>
      <c r="H291" s="35">
        <v>3600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12.2</v>
      </c>
      <c r="O291" s="2" t="s">
        <v>284</v>
      </c>
      <c r="P291" s="2" t="s">
        <v>290</v>
      </c>
      <c r="Q291" s="2" t="str">
        <f t="shared" si="20"/>
        <v>Patrick</v>
      </c>
      <c r="R291" s="2" t="str">
        <f t="shared" si="21"/>
        <v>Patterson</v>
      </c>
      <c r="S291" s="2" t="str">
        <f t="shared" si="18"/>
        <v>Patrick Patterson</v>
      </c>
      <c r="T291" s="2">
        <f t="shared" si="19"/>
        <v>12.2</v>
      </c>
    </row>
    <row r="292" spans="1:20" x14ac:dyDescent="0.25">
      <c r="A292" s="2"/>
      <c r="B292" s="2" t="s">
        <v>7</v>
      </c>
      <c r="C292" s="2" t="s">
        <v>564</v>
      </c>
      <c r="D292" s="2" t="s">
        <v>251</v>
      </c>
      <c r="E292" s="2" t="s">
        <v>252</v>
      </c>
      <c r="F292" s="2" t="s">
        <v>253</v>
      </c>
      <c r="G292" s="2" t="s">
        <v>285</v>
      </c>
      <c r="H292" s="35">
        <v>3500</v>
      </c>
      <c r="I292" s="2">
        <v>0</v>
      </c>
      <c r="J292" s="2">
        <v>51.2</v>
      </c>
      <c r="K292" s="2">
        <v>4</v>
      </c>
      <c r="L292" s="2">
        <v>12.8</v>
      </c>
      <c r="M292" s="2">
        <v>3.7</v>
      </c>
      <c r="N292" s="2">
        <v>12.2</v>
      </c>
      <c r="O292" s="2">
        <v>9.9</v>
      </c>
      <c r="P292" s="2" t="s">
        <v>286</v>
      </c>
      <c r="Q292" s="2" t="str">
        <f t="shared" si="20"/>
        <v>Alec</v>
      </c>
      <c r="R292" s="2" t="str">
        <f t="shared" si="21"/>
        <v>Burks</v>
      </c>
      <c r="S292" s="2" t="str">
        <f t="shared" si="18"/>
        <v>Alec Burks</v>
      </c>
      <c r="T292" s="2">
        <f t="shared" si="19"/>
        <v>12.2</v>
      </c>
    </row>
    <row r="293" spans="1:20" x14ac:dyDescent="0.25">
      <c r="A293" s="2"/>
      <c r="B293" s="2" t="s">
        <v>4</v>
      </c>
      <c r="C293" s="2" t="s">
        <v>565</v>
      </c>
      <c r="D293" s="2" t="s">
        <v>251</v>
      </c>
      <c r="E293" s="2" t="s">
        <v>252</v>
      </c>
      <c r="F293" s="2" t="s">
        <v>253</v>
      </c>
      <c r="G293" s="2" t="s">
        <v>301</v>
      </c>
      <c r="H293" s="35">
        <v>3500</v>
      </c>
      <c r="I293" s="2">
        <v>0</v>
      </c>
      <c r="J293" s="2">
        <v>30.7</v>
      </c>
      <c r="K293" s="2">
        <v>3</v>
      </c>
      <c r="L293" s="2">
        <v>10.199999999999999</v>
      </c>
      <c r="M293" s="2">
        <v>2.9</v>
      </c>
      <c r="N293" s="2">
        <v>12.1</v>
      </c>
      <c r="O293" s="2">
        <v>10.8</v>
      </c>
      <c r="P293" s="2" t="s">
        <v>302</v>
      </c>
      <c r="Q293" s="2" t="str">
        <f t="shared" si="20"/>
        <v>Mike</v>
      </c>
      <c r="R293" s="2" t="str">
        <f t="shared" si="21"/>
        <v>Muscala</v>
      </c>
      <c r="S293" s="2" t="str">
        <f t="shared" si="18"/>
        <v>Mike Muscala</v>
      </c>
      <c r="T293" s="2">
        <f t="shared" si="19"/>
        <v>12.1</v>
      </c>
    </row>
    <row r="294" spans="1:20" x14ac:dyDescent="0.25">
      <c r="A294" s="2"/>
      <c r="B294" s="2" t="s">
        <v>5</v>
      </c>
      <c r="C294" s="2" t="s">
        <v>566</v>
      </c>
      <c r="D294" s="2" t="s">
        <v>251</v>
      </c>
      <c r="E294" s="2" t="s">
        <v>252</v>
      </c>
      <c r="F294" s="2" t="s">
        <v>253</v>
      </c>
      <c r="G294" s="2" t="s">
        <v>255</v>
      </c>
      <c r="H294" s="35">
        <v>3600</v>
      </c>
      <c r="I294" s="2">
        <v>0</v>
      </c>
      <c r="J294" s="2">
        <v>32.700000000000003</v>
      </c>
      <c r="K294" s="2">
        <v>2</v>
      </c>
      <c r="L294" s="2">
        <v>16.399999999999999</v>
      </c>
      <c r="M294" s="2">
        <v>4.5</v>
      </c>
      <c r="N294" s="2">
        <v>12.1</v>
      </c>
      <c r="O294" s="2">
        <v>21.3</v>
      </c>
      <c r="P294" s="2" t="s">
        <v>256</v>
      </c>
      <c r="Q294" s="2" t="str">
        <f t="shared" si="20"/>
        <v>Sam</v>
      </c>
      <c r="R294" s="2" t="str">
        <f t="shared" si="21"/>
        <v>Dekker</v>
      </c>
      <c r="S294" s="2" t="str">
        <f t="shared" si="18"/>
        <v>Sam Dekker</v>
      </c>
      <c r="T294" s="2">
        <f t="shared" si="19"/>
        <v>12.1</v>
      </c>
    </row>
    <row r="295" spans="1:20" x14ac:dyDescent="0.25">
      <c r="A295" s="2"/>
      <c r="B295" s="2" t="s">
        <v>5</v>
      </c>
      <c r="C295" s="2" t="s">
        <v>567</v>
      </c>
      <c r="D295" s="2" t="s">
        <v>251</v>
      </c>
      <c r="E295" s="2" t="s">
        <v>252</v>
      </c>
      <c r="F295" s="2" t="s">
        <v>253</v>
      </c>
      <c r="G295" s="2" t="s">
        <v>293</v>
      </c>
      <c r="H295" s="35">
        <v>3500</v>
      </c>
      <c r="I295" s="2">
        <v>0</v>
      </c>
      <c r="J295" s="2">
        <v>38.5</v>
      </c>
      <c r="K295" s="2">
        <v>3</v>
      </c>
      <c r="L295" s="2">
        <v>12.8</v>
      </c>
      <c r="M295" s="2">
        <v>3.7</v>
      </c>
      <c r="N295" s="2">
        <v>12</v>
      </c>
      <c r="O295" s="2">
        <v>17.399999999999999</v>
      </c>
      <c r="P295" s="2" t="s">
        <v>294</v>
      </c>
      <c r="Q295" s="2" t="str">
        <f t="shared" si="20"/>
        <v>Jeff</v>
      </c>
      <c r="R295" s="2" t="str">
        <f t="shared" si="21"/>
        <v>Green</v>
      </c>
      <c r="S295" s="2" t="str">
        <f t="shared" si="18"/>
        <v>Jeff Green</v>
      </c>
      <c r="T295" s="2">
        <f t="shared" si="19"/>
        <v>12</v>
      </c>
    </row>
    <row r="296" spans="1:20" x14ac:dyDescent="0.25">
      <c r="A296" s="2"/>
      <c r="B296" s="2" t="s">
        <v>3</v>
      </c>
      <c r="C296" s="2" t="s">
        <v>568</v>
      </c>
      <c r="D296" s="2" t="s">
        <v>251</v>
      </c>
      <c r="E296" s="2" t="s">
        <v>252</v>
      </c>
      <c r="F296" s="2" t="s">
        <v>253</v>
      </c>
      <c r="G296" s="2" t="s">
        <v>276</v>
      </c>
      <c r="H296" s="35">
        <v>3500</v>
      </c>
      <c r="I296" s="2">
        <v>0</v>
      </c>
      <c r="J296" s="2">
        <v>25.4</v>
      </c>
      <c r="K296" s="2">
        <v>3</v>
      </c>
      <c r="L296" s="2">
        <v>8.5</v>
      </c>
      <c r="M296" s="2">
        <v>2.4</v>
      </c>
      <c r="N296" s="2">
        <v>11.9</v>
      </c>
      <c r="O296" s="2">
        <v>6</v>
      </c>
      <c r="P296" s="2" t="s">
        <v>277</v>
      </c>
      <c r="Q296" s="2" t="str">
        <f t="shared" si="20"/>
        <v>Jason</v>
      </c>
      <c r="R296" s="2" t="str">
        <f t="shared" si="21"/>
        <v>Terry</v>
      </c>
      <c r="S296" s="2" t="str">
        <f t="shared" si="18"/>
        <v>Jason Terry</v>
      </c>
      <c r="T296" s="2">
        <f t="shared" si="19"/>
        <v>11.9</v>
      </c>
    </row>
    <row r="297" spans="1:20" x14ac:dyDescent="0.25">
      <c r="A297" s="2"/>
      <c r="B297" s="2" t="s">
        <v>7</v>
      </c>
      <c r="C297" s="2" t="s">
        <v>569</v>
      </c>
      <c r="D297" s="2" t="s">
        <v>251</v>
      </c>
      <c r="E297" s="2" t="s">
        <v>252</v>
      </c>
      <c r="F297" s="2" t="s">
        <v>253</v>
      </c>
      <c r="G297" s="2" t="s">
        <v>257</v>
      </c>
      <c r="H297" s="35">
        <v>3700</v>
      </c>
      <c r="I297" s="2">
        <v>0</v>
      </c>
      <c r="J297" s="2">
        <v>46</v>
      </c>
      <c r="K297" s="2">
        <v>3</v>
      </c>
      <c r="L297" s="2">
        <v>15.3</v>
      </c>
      <c r="M297" s="2">
        <v>4.0999999999999996</v>
      </c>
      <c r="N297" s="2">
        <v>11.9</v>
      </c>
      <c r="O297" s="2" t="s">
        <v>284</v>
      </c>
      <c r="P297" s="2" t="s">
        <v>258</v>
      </c>
      <c r="Q297" s="2" t="str">
        <f t="shared" si="20"/>
        <v>DeAndre</v>
      </c>
      <c r="R297" s="2" t="str">
        <f t="shared" si="21"/>
        <v>Liggins</v>
      </c>
      <c r="S297" s="2" t="str">
        <f t="shared" si="18"/>
        <v>DeAndre Liggins</v>
      </c>
      <c r="T297" s="2">
        <f t="shared" si="19"/>
        <v>11.9</v>
      </c>
    </row>
    <row r="298" spans="1:20" x14ac:dyDescent="0.25">
      <c r="A298" s="2"/>
      <c r="B298" s="2" t="s">
        <v>3</v>
      </c>
      <c r="C298" s="2" t="s">
        <v>570</v>
      </c>
      <c r="D298" s="2" t="s">
        <v>251</v>
      </c>
      <c r="E298" s="2" t="s">
        <v>252</v>
      </c>
      <c r="F298" s="2" t="s">
        <v>253</v>
      </c>
      <c r="G298" s="2" t="s">
        <v>89</v>
      </c>
      <c r="H298" s="35">
        <v>3500</v>
      </c>
      <c r="I298" s="2">
        <v>0</v>
      </c>
      <c r="J298" s="2">
        <v>41.5</v>
      </c>
      <c r="K298" s="2">
        <v>3</v>
      </c>
      <c r="L298" s="2">
        <v>13.8</v>
      </c>
      <c r="M298" s="2">
        <v>4</v>
      </c>
      <c r="N298" s="2">
        <v>11.9</v>
      </c>
      <c r="O298" s="2">
        <v>18.600000000000001</v>
      </c>
      <c r="P298" s="2" t="s">
        <v>254</v>
      </c>
      <c r="Q298" s="2" t="str">
        <f t="shared" si="20"/>
        <v>Cameron</v>
      </c>
      <c r="R298" s="2" t="str">
        <f t="shared" si="21"/>
        <v>Payne</v>
      </c>
      <c r="S298" s="2" t="str">
        <f t="shared" si="18"/>
        <v>Cameron Payne</v>
      </c>
      <c r="T298" s="2">
        <f t="shared" si="19"/>
        <v>11.9</v>
      </c>
    </row>
    <row r="299" spans="1:20" x14ac:dyDescent="0.25">
      <c r="A299" s="2"/>
      <c r="B299" s="2" t="s">
        <v>5</v>
      </c>
      <c r="C299" s="2" t="s">
        <v>571</v>
      </c>
      <c r="D299" s="2" t="s">
        <v>251</v>
      </c>
      <c r="E299" s="2" t="s">
        <v>252</v>
      </c>
      <c r="F299" s="2" t="s">
        <v>253</v>
      </c>
      <c r="G299" s="2" t="s">
        <v>278</v>
      </c>
      <c r="H299" s="35">
        <v>3500</v>
      </c>
      <c r="I299" s="2">
        <v>0</v>
      </c>
      <c r="J299" s="2">
        <v>5.6</v>
      </c>
      <c r="K299" s="2">
        <v>1</v>
      </c>
      <c r="L299" s="2">
        <v>5.6</v>
      </c>
      <c r="M299" s="2">
        <v>1.6</v>
      </c>
      <c r="N299" s="2">
        <v>11.9</v>
      </c>
      <c r="O299" s="2" t="s">
        <v>284</v>
      </c>
      <c r="P299" s="2" t="s">
        <v>279</v>
      </c>
      <c r="Q299" s="2" t="str">
        <f t="shared" si="20"/>
        <v>Paul</v>
      </c>
      <c r="R299" s="2" t="str">
        <f t="shared" si="21"/>
        <v>Zipser</v>
      </c>
      <c r="S299" s="2" t="str">
        <f t="shared" si="18"/>
        <v>Paul Zipser</v>
      </c>
      <c r="T299" s="2">
        <f t="shared" si="19"/>
        <v>11.9</v>
      </c>
    </row>
    <row r="300" spans="1:20" x14ac:dyDescent="0.25">
      <c r="A300" s="2"/>
      <c r="B300" s="2" t="s">
        <v>4</v>
      </c>
      <c r="C300" s="2" t="s">
        <v>572</v>
      </c>
      <c r="D300" s="2" t="s">
        <v>251</v>
      </c>
      <c r="E300" s="2" t="s">
        <v>252</v>
      </c>
      <c r="F300" s="2" t="s">
        <v>253</v>
      </c>
      <c r="G300" s="2" t="s">
        <v>89</v>
      </c>
      <c r="H300" s="35">
        <v>3600</v>
      </c>
      <c r="I300" s="2">
        <v>0</v>
      </c>
      <c r="J300" s="2">
        <v>47.6</v>
      </c>
      <c r="K300" s="2">
        <v>3</v>
      </c>
      <c r="L300" s="2">
        <v>15.9</v>
      </c>
      <c r="M300" s="2">
        <v>4.4000000000000004</v>
      </c>
      <c r="N300" s="2">
        <v>11.9</v>
      </c>
      <c r="O300" s="2">
        <v>16.899999999999999</v>
      </c>
      <c r="P300" s="2" t="s">
        <v>254</v>
      </c>
      <c r="Q300" s="2" t="str">
        <f t="shared" si="20"/>
        <v>Domantas</v>
      </c>
      <c r="R300" s="2" t="str">
        <f t="shared" si="21"/>
        <v>Sabonis</v>
      </c>
      <c r="S300" s="2" t="str">
        <f t="shared" si="18"/>
        <v>Domantas Sabonis</v>
      </c>
      <c r="T300" s="2">
        <f t="shared" si="19"/>
        <v>11.9</v>
      </c>
    </row>
    <row r="301" spans="1:20" x14ac:dyDescent="0.25">
      <c r="A301" s="2"/>
      <c r="B301" s="2" t="s">
        <v>7</v>
      </c>
      <c r="C301" s="2" t="s">
        <v>573</v>
      </c>
      <c r="D301" s="2" t="s">
        <v>251</v>
      </c>
      <c r="E301" s="2" t="s">
        <v>252</v>
      </c>
      <c r="F301" s="2" t="s">
        <v>253</v>
      </c>
      <c r="G301" s="2" t="s">
        <v>305</v>
      </c>
      <c r="H301" s="35">
        <v>3500</v>
      </c>
      <c r="I301" s="2">
        <v>0</v>
      </c>
      <c r="J301" s="2">
        <v>37.9</v>
      </c>
      <c r="K301" s="2">
        <v>3</v>
      </c>
      <c r="L301" s="2">
        <v>12.6</v>
      </c>
      <c r="M301" s="2">
        <v>3.6</v>
      </c>
      <c r="N301" s="2">
        <v>11.8</v>
      </c>
      <c r="O301" s="2">
        <v>10.199999999999999</v>
      </c>
      <c r="P301" s="2" t="s">
        <v>306</v>
      </c>
      <c r="Q301" s="2" t="str">
        <f t="shared" si="20"/>
        <v>Randy</v>
      </c>
      <c r="R301" s="2" t="str">
        <f t="shared" si="21"/>
        <v>Foye</v>
      </c>
      <c r="S301" s="2" t="str">
        <f t="shared" si="18"/>
        <v>Randy Foye</v>
      </c>
      <c r="T301" s="2">
        <f t="shared" si="19"/>
        <v>11.8</v>
      </c>
    </row>
    <row r="302" spans="1:20" x14ac:dyDescent="0.25">
      <c r="A302" s="2"/>
      <c r="B302" s="2" t="s">
        <v>6</v>
      </c>
      <c r="C302" s="2" t="s">
        <v>574</v>
      </c>
      <c r="D302" s="2" t="s">
        <v>251</v>
      </c>
      <c r="E302" s="2" t="s">
        <v>252</v>
      </c>
      <c r="F302" s="2" t="s">
        <v>253</v>
      </c>
      <c r="G302" s="2" t="s">
        <v>62</v>
      </c>
      <c r="H302" s="35">
        <v>3500</v>
      </c>
      <c r="I302" s="2">
        <v>0</v>
      </c>
      <c r="J302" s="2">
        <v>7.6</v>
      </c>
      <c r="K302" s="2">
        <v>1</v>
      </c>
      <c r="L302" s="2">
        <v>7.6</v>
      </c>
      <c r="M302" s="2">
        <v>2.2000000000000002</v>
      </c>
      <c r="N302" s="2">
        <v>11.8</v>
      </c>
      <c r="O302" s="2">
        <v>7.6</v>
      </c>
      <c r="P302" s="2" t="s">
        <v>307</v>
      </c>
      <c r="Q302" s="2" t="str">
        <f t="shared" si="20"/>
        <v>Timofey</v>
      </c>
      <c r="R302" s="2" t="str">
        <f t="shared" si="21"/>
        <v>Mozgov</v>
      </c>
      <c r="S302" s="2" t="str">
        <f t="shared" si="18"/>
        <v>Timofey Mozgov</v>
      </c>
      <c r="T302" s="2">
        <f t="shared" si="19"/>
        <v>11.8</v>
      </c>
    </row>
    <row r="303" spans="1:20" x14ac:dyDescent="0.25">
      <c r="A303" s="2"/>
      <c r="B303" s="2" t="s">
        <v>7</v>
      </c>
      <c r="C303" s="2" t="s">
        <v>575</v>
      </c>
      <c r="D303" s="2" t="s">
        <v>251</v>
      </c>
      <c r="E303" s="2" t="s">
        <v>252</v>
      </c>
      <c r="F303" s="2" t="s">
        <v>253</v>
      </c>
      <c r="G303" s="2" t="s">
        <v>299</v>
      </c>
      <c r="H303" s="35">
        <v>3500</v>
      </c>
      <c r="I303" s="2">
        <v>0</v>
      </c>
      <c r="J303" s="2">
        <v>51.9</v>
      </c>
      <c r="K303" s="2">
        <v>4</v>
      </c>
      <c r="L303" s="2">
        <v>13</v>
      </c>
      <c r="M303" s="2">
        <v>3.7</v>
      </c>
      <c r="N303" s="2">
        <v>11.7</v>
      </c>
      <c r="O303" s="2">
        <v>15.4</v>
      </c>
      <c r="P303" s="2" t="s">
        <v>300</v>
      </c>
      <c r="Q303" s="2" t="str">
        <f t="shared" si="20"/>
        <v>Brandon</v>
      </c>
      <c r="R303" s="2" t="str">
        <f t="shared" si="21"/>
        <v>Knight</v>
      </c>
      <c r="S303" s="2" t="str">
        <f t="shared" si="18"/>
        <v>Brandon Knight</v>
      </c>
      <c r="T303" s="2">
        <f t="shared" si="19"/>
        <v>11.7</v>
      </c>
    </row>
    <row r="304" spans="1:20" x14ac:dyDescent="0.25">
      <c r="A304" s="2"/>
      <c r="B304" s="2" t="s">
        <v>7</v>
      </c>
      <c r="C304" s="2" t="s">
        <v>576</v>
      </c>
      <c r="D304" s="2" t="s">
        <v>251</v>
      </c>
      <c r="E304" s="2" t="s">
        <v>252</v>
      </c>
      <c r="F304" s="2" t="s">
        <v>253</v>
      </c>
      <c r="G304" s="2" t="s">
        <v>261</v>
      </c>
      <c r="H304" s="35">
        <v>4100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11.6</v>
      </c>
      <c r="O304" s="2" t="s">
        <v>284</v>
      </c>
      <c r="P304" s="2" t="s">
        <v>262</v>
      </c>
      <c r="Q304" s="2" t="str">
        <f t="shared" si="20"/>
        <v>Garrett</v>
      </c>
      <c r="R304" s="2" t="str">
        <f t="shared" si="21"/>
        <v>Temple</v>
      </c>
      <c r="S304" s="2" t="str">
        <f t="shared" si="18"/>
        <v>Garrett Temple</v>
      </c>
      <c r="T304" s="2">
        <f t="shared" si="19"/>
        <v>11.6</v>
      </c>
    </row>
    <row r="305" spans="1:20" x14ac:dyDescent="0.25">
      <c r="A305" s="2"/>
      <c r="B305" s="2" t="s">
        <v>5</v>
      </c>
      <c r="C305" s="2" t="s">
        <v>577</v>
      </c>
      <c r="D305" s="2" t="s">
        <v>251</v>
      </c>
      <c r="E305" s="2" t="s">
        <v>252</v>
      </c>
      <c r="F305" s="2" t="s">
        <v>253</v>
      </c>
      <c r="G305" s="2" t="s">
        <v>276</v>
      </c>
      <c r="H305" s="35">
        <v>3700</v>
      </c>
      <c r="I305" s="2">
        <v>0</v>
      </c>
      <c r="J305" s="2">
        <v>37.799999999999997</v>
      </c>
      <c r="K305" s="2">
        <v>4</v>
      </c>
      <c r="L305" s="2">
        <v>9.4</v>
      </c>
      <c r="M305" s="2">
        <v>2.6</v>
      </c>
      <c r="N305" s="2">
        <v>11.6</v>
      </c>
      <c r="O305" s="2">
        <v>0.4</v>
      </c>
      <c r="P305" s="2" t="s">
        <v>277</v>
      </c>
      <c r="Q305" s="2" t="str">
        <f t="shared" si="20"/>
        <v>Mirza</v>
      </c>
      <c r="R305" s="2" t="str">
        <f t="shared" si="21"/>
        <v>Teletovic</v>
      </c>
      <c r="S305" s="2" t="str">
        <f t="shared" si="18"/>
        <v>Mirza Teletovic</v>
      </c>
      <c r="T305" s="2">
        <f t="shared" si="19"/>
        <v>11.6</v>
      </c>
    </row>
    <row r="306" spans="1:20" x14ac:dyDescent="0.25">
      <c r="A306" s="2"/>
      <c r="B306" s="2" t="s">
        <v>5</v>
      </c>
      <c r="C306" s="2" t="s">
        <v>578</v>
      </c>
      <c r="D306" s="2" t="s">
        <v>251</v>
      </c>
      <c r="E306" s="2" t="s">
        <v>252</v>
      </c>
      <c r="F306" s="2" t="s">
        <v>253</v>
      </c>
      <c r="G306" s="2" t="s">
        <v>295</v>
      </c>
      <c r="H306" s="35">
        <v>3500</v>
      </c>
      <c r="I306" s="2">
        <v>0</v>
      </c>
      <c r="J306" s="2">
        <v>30.4</v>
      </c>
      <c r="K306" s="2">
        <v>4</v>
      </c>
      <c r="L306" s="2">
        <v>7.6</v>
      </c>
      <c r="M306" s="2">
        <v>2.2000000000000002</v>
      </c>
      <c r="N306" s="2">
        <v>11.6</v>
      </c>
      <c r="O306" s="2">
        <v>8.1</v>
      </c>
      <c r="P306" s="2" t="s">
        <v>296</v>
      </c>
      <c r="Q306" s="2" t="str">
        <f t="shared" si="20"/>
        <v>III Glenn</v>
      </c>
      <c r="R306" s="2" t="str">
        <f t="shared" si="21"/>
        <v>Robinson</v>
      </c>
      <c r="S306" s="2" t="str">
        <f t="shared" si="18"/>
        <v>III Glenn Robinson</v>
      </c>
      <c r="T306" s="2">
        <f t="shared" si="19"/>
        <v>11.6</v>
      </c>
    </row>
    <row r="307" spans="1:20" x14ac:dyDescent="0.25">
      <c r="A307" s="2"/>
      <c r="B307" s="2" t="s">
        <v>4</v>
      </c>
      <c r="C307" s="2" t="s">
        <v>579</v>
      </c>
      <c r="D307" s="2" t="s">
        <v>251</v>
      </c>
      <c r="E307" s="2" t="s">
        <v>252</v>
      </c>
      <c r="F307" s="2" t="s">
        <v>253</v>
      </c>
      <c r="G307" s="2" t="s">
        <v>308</v>
      </c>
      <c r="H307" s="35">
        <v>3500</v>
      </c>
      <c r="I307" s="2">
        <v>0</v>
      </c>
      <c r="J307" s="2">
        <v>22.7</v>
      </c>
      <c r="K307" s="2">
        <v>3</v>
      </c>
      <c r="L307" s="2">
        <v>7.6</v>
      </c>
      <c r="M307" s="2">
        <v>2.2000000000000002</v>
      </c>
      <c r="N307" s="2">
        <v>11.5</v>
      </c>
      <c r="O307" s="2">
        <v>5.0999999999999996</v>
      </c>
      <c r="P307" s="2" t="s">
        <v>309</v>
      </c>
      <c r="Q307" s="2" t="str">
        <f t="shared" si="20"/>
        <v>Dwight</v>
      </c>
      <c r="R307" s="2" t="str">
        <f t="shared" si="21"/>
        <v>Powell</v>
      </c>
      <c r="S307" s="2" t="str">
        <f t="shared" si="18"/>
        <v>Dwight Powell</v>
      </c>
      <c r="T307" s="2">
        <f t="shared" si="19"/>
        <v>11.5</v>
      </c>
    </row>
    <row r="308" spans="1:20" x14ac:dyDescent="0.25">
      <c r="A308" s="2"/>
      <c r="B308" s="2" t="s">
        <v>5</v>
      </c>
      <c r="C308" s="2" t="s">
        <v>580</v>
      </c>
      <c r="D308" s="2" t="s">
        <v>251</v>
      </c>
      <c r="E308" s="2" t="s">
        <v>252</v>
      </c>
      <c r="F308" s="2" t="s">
        <v>253</v>
      </c>
      <c r="G308" s="2" t="s">
        <v>255</v>
      </c>
      <c r="H308" s="35">
        <v>3500</v>
      </c>
      <c r="I308" s="2">
        <v>0</v>
      </c>
      <c r="J308" s="2">
        <v>35</v>
      </c>
      <c r="K308" s="2">
        <v>2</v>
      </c>
      <c r="L308" s="2">
        <v>17.5</v>
      </c>
      <c r="M308" s="2">
        <v>5</v>
      </c>
      <c r="N308" s="2">
        <v>11.3</v>
      </c>
      <c r="O308" s="2">
        <v>16.2</v>
      </c>
      <c r="P308" s="2" t="s">
        <v>256</v>
      </c>
      <c r="Q308" s="2" t="str">
        <f t="shared" si="20"/>
        <v>Corey</v>
      </c>
      <c r="R308" s="2" t="str">
        <f t="shared" si="21"/>
        <v>Brewer</v>
      </c>
      <c r="S308" s="2" t="str">
        <f t="shared" si="18"/>
        <v>Corey Brewer</v>
      </c>
      <c r="T308" s="2">
        <f t="shared" si="19"/>
        <v>11.3</v>
      </c>
    </row>
    <row r="309" spans="1:20" x14ac:dyDescent="0.25">
      <c r="A309" s="2"/>
      <c r="B309" s="2" t="s">
        <v>6</v>
      </c>
      <c r="C309" s="2" t="s">
        <v>581</v>
      </c>
      <c r="D309" s="2" t="s">
        <v>251</v>
      </c>
      <c r="E309" s="2" t="s">
        <v>252</v>
      </c>
      <c r="F309" s="2" t="s">
        <v>253</v>
      </c>
      <c r="G309" s="2" t="s">
        <v>282</v>
      </c>
      <c r="H309" s="35">
        <v>3500</v>
      </c>
      <c r="I309" s="2">
        <v>0</v>
      </c>
      <c r="J309" s="2">
        <v>4.5999999999999996</v>
      </c>
      <c r="K309" s="2">
        <v>1</v>
      </c>
      <c r="L309" s="2">
        <v>4.5999999999999996</v>
      </c>
      <c r="M309" s="2">
        <v>1.3</v>
      </c>
      <c r="N309" s="2">
        <v>11.2</v>
      </c>
      <c r="O309" s="2" t="s">
        <v>284</v>
      </c>
      <c r="P309" s="2" t="s">
        <v>283</v>
      </c>
      <c r="Q309" s="2" t="str">
        <f t="shared" si="20"/>
        <v>Jusuf</v>
      </c>
      <c r="R309" s="2" t="str">
        <f t="shared" si="21"/>
        <v>Nurkic</v>
      </c>
      <c r="S309" s="2" t="str">
        <f t="shared" si="18"/>
        <v>Jusuf Nurkic</v>
      </c>
      <c r="T309" s="2">
        <f t="shared" si="19"/>
        <v>11.2</v>
      </c>
    </row>
    <row r="310" spans="1:20" x14ac:dyDescent="0.25">
      <c r="A310" s="2"/>
      <c r="B310" s="2" t="s">
        <v>3</v>
      </c>
      <c r="C310" s="2" t="s">
        <v>582</v>
      </c>
      <c r="D310" s="2" t="s">
        <v>251</v>
      </c>
      <c r="E310" s="2" t="s">
        <v>252</v>
      </c>
      <c r="F310" s="2" t="s">
        <v>253</v>
      </c>
      <c r="G310" s="2" t="s">
        <v>264</v>
      </c>
      <c r="H310" s="35">
        <v>3500</v>
      </c>
      <c r="I310" s="2">
        <v>0</v>
      </c>
      <c r="J310" s="2">
        <v>44.3</v>
      </c>
      <c r="K310" s="2">
        <v>3</v>
      </c>
      <c r="L310" s="2">
        <v>14.8</v>
      </c>
      <c r="M310" s="2">
        <v>4.2</v>
      </c>
      <c r="N310" s="2">
        <v>11</v>
      </c>
      <c r="O310" s="2">
        <v>18.8</v>
      </c>
      <c r="P310" s="2" t="s">
        <v>265</v>
      </c>
      <c r="Q310" s="2" t="str">
        <f t="shared" si="20"/>
        <v>Trey</v>
      </c>
      <c r="R310" s="2" t="str">
        <f t="shared" si="21"/>
        <v>Burke</v>
      </c>
      <c r="S310" s="2" t="str">
        <f t="shared" si="18"/>
        <v>Trey Burke</v>
      </c>
      <c r="T310" s="2">
        <f t="shared" si="19"/>
        <v>11</v>
      </c>
    </row>
    <row r="311" spans="1:20" x14ac:dyDescent="0.25">
      <c r="A311" s="2"/>
      <c r="B311" s="2" t="s">
        <v>5</v>
      </c>
      <c r="C311" s="2" t="s">
        <v>583</v>
      </c>
      <c r="D311" s="2" t="s">
        <v>251</v>
      </c>
      <c r="E311" s="2" t="s">
        <v>252</v>
      </c>
      <c r="F311" s="2" t="s">
        <v>253</v>
      </c>
      <c r="G311" s="2" t="s">
        <v>264</v>
      </c>
      <c r="H311" s="35">
        <v>3500</v>
      </c>
      <c r="I311" s="2">
        <v>0</v>
      </c>
      <c r="J311" s="2">
        <v>15.6</v>
      </c>
      <c r="K311" s="2">
        <v>3</v>
      </c>
      <c r="L311" s="2">
        <v>5.2</v>
      </c>
      <c r="M311" s="2">
        <v>1.5</v>
      </c>
      <c r="N311" s="2">
        <v>11</v>
      </c>
      <c r="O311" s="2">
        <v>5.2</v>
      </c>
      <c r="P311" s="2" t="s">
        <v>265</v>
      </c>
      <c r="Q311" s="2" t="str">
        <f t="shared" si="20"/>
        <v>Kelly</v>
      </c>
      <c r="R311" s="2" t="str">
        <f t="shared" si="21"/>
        <v>Oubre</v>
      </c>
      <c r="S311" s="2" t="str">
        <f t="shared" si="18"/>
        <v>Kelly Oubre</v>
      </c>
      <c r="T311" s="2">
        <f t="shared" si="19"/>
        <v>11</v>
      </c>
    </row>
    <row r="312" spans="1:20" x14ac:dyDescent="0.25">
      <c r="A312" s="2"/>
      <c r="B312" s="2" t="s">
        <v>3</v>
      </c>
      <c r="C312" s="2" t="s">
        <v>584</v>
      </c>
      <c r="D312" s="2" t="s">
        <v>251</v>
      </c>
      <c r="E312" s="2" t="s">
        <v>252</v>
      </c>
      <c r="F312" s="2" t="s">
        <v>253</v>
      </c>
      <c r="G312" s="2" t="s">
        <v>268</v>
      </c>
      <c r="H312" s="35">
        <v>3500</v>
      </c>
      <c r="I312" s="2">
        <v>0</v>
      </c>
      <c r="J312" s="2">
        <v>19</v>
      </c>
      <c r="K312" s="2">
        <v>3</v>
      </c>
      <c r="L312" s="2">
        <v>6.3</v>
      </c>
      <c r="M312" s="2">
        <v>1.8</v>
      </c>
      <c r="N312" s="2">
        <v>10.9</v>
      </c>
      <c r="O312" s="2" t="s">
        <v>284</v>
      </c>
      <c r="P312" s="2" t="s">
        <v>269</v>
      </c>
      <c r="Q312" s="2" t="str">
        <f t="shared" si="20"/>
        <v>Tyus</v>
      </c>
      <c r="R312" s="2" t="str">
        <f t="shared" si="21"/>
        <v>Jones</v>
      </c>
      <c r="S312" s="2" t="str">
        <f t="shared" si="18"/>
        <v>Tyus Jones</v>
      </c>
      <c r="T312" s="2">
        <f t="shared" si="19"/>
        <v>10.9</v>
      </c>
    </row>
    <row r="313" spans="1:20" x14ac:dyDescent="0.25">
      <c r="A313" s="2"/>
      <c r="B313" s="2" t="s">
        <v>4</v>
      </c>
      <c r="C313" s="2" t="s">
        <v>585</v>
      </c>
      <c r="D313" s="2" t="s">
        <v>251</v>
      </c>
      <c r="E313" s="2" t="s">
        <v>252</v>
      </c>
      <c r="F313" s="2" t="s">
        <v>253</v>
      </c>
      <c r="G313" s="2" t="s">
        <v>257</v>
      </c>
      <c r="H313" s="35">
        <v>4100</v>
      </c>
      <c r="I313" s="2">
        <v>0</v>
      </c>
      <c r="J313" s="2">
        <v>41.9</v>
      </c>
      <c r="K313" s="2">
        <v>3</v>
      </c>
      <c r="L313" s="2">
        <v>14</v>
      </c>
      <c r="M313" s="2">
        <v>3.4</v>
      </c>
      <c r="N313" s="2">
        <v>10.8</v>
      </c>
      <c r="O313" s="2">
        <v>22.2</v>
      </c>
      <c r="P313" s="2" t="s">
        <v>258</v>
      </c>
      <c r="Q313" s="2" t="str">
        <f t="shared" si="20"/>
        <v>Derrick</v>
      </c>
      <c r="R313" s="2" t="str">
        <f t="shared" si="21"/>
        <v>Williams</v>
      </c>
      <c r="S313" s="2" t="str">
        <f t="shared" si="18"/>
        <v>Derrick Williams</v>
      </c>
      <c r="T313" s="2">
        <f t="shared" si="19"/>
        <v>10.8</v>
      </c>
    </row>
    <row r="314" spans="1:20" x14ac:dyDescent="0.25">
      <c r="A314" s="2"/>
      <c r="B314" s="2" t="s">
        <v>3</v>
      </c>
      <c r="C314" s="2" t="s">
        <v>586</v>
      </c>
      <c r="D314" s="2" t="s">
        <v>251</v>
      </c>
      <c r="E314" s="2" t="s">
        <v>252</v>
      </c>
      <c r="F314" s="2" t="s">
        <v>253</v>
      </c>
      <c r="G314" s="2" t="s">
        <v>301</v>
      </c>
      <c r="H314" s="35">
        <v>3500</v>
      </c>
      <c r="I314" s="2">
        <v>0</v>
      </c>
      <c r="J314" s="2">
        <v>25.7</v>
      </c>
      <c r="K314" s="2">
        <v>3</v>
      </c>
      <c r="L314" s="2">
        <v>8.6</v>
      </c>
      <c r="M314" s="2">
        <v>2.4</v>
      </c>
      <c r="N314" s="2">
        <v>10.8</v>
      </c>
      <c r="O314" s="2">
        <v>2</v>
      </c>
      <c r="P314" s="2" t="s">
        <v>302</v>
      </c>
      <c r="Q314" s="2" t="str">
        <f t="shared" si="20"/>
        <v>Malcolm</v>
      </c>
      <c r="R314" s="2" t="str">
        <f t="shared" si="21"/>
        <v>Delaney</v>
      </c>
      <c r="S314" s="2" t="str">
        <f t="shared" si="18"/>
        <v>Malcolm Delaney</v>
      </c>
      <c r="T314" s="2">
        <f t="shared" si="19"/>
        <v>10.8</v>
      </c>
    </row>
    <row r="315" spans="1:20" x14ac:dyDescent="0.25">
      <c r="A315" s="2"/>
      <c r="B315" s="2" t="s">
        <v>6</v>
      </c>
      <c r="C315" s="2" t="s">
        <v>587</v>
      </c>
      <c r="D315" s="2" t="s">
        <v>251</v>
      </c>
      <c r="E315" s="2" t="s">
        <v>252</v>
      </c>
      <c r="F315" s="2" t="s">
        <v>253</v>
      </c>
      <c r="G315" s="2" t="s">
        <v>299</v>
      </c>
      <c r="H315" s="35">
        <v>3600</v>
      </c>
      <c r="I315" s="2">
        <v>0</v>
      </c>
      <c r="J315" s="2">
        <v>42.2</v>
      </c>
      <c r="K315" s="2">
        <v>3</v>
      </c>
      <c r="L315" s="2">
        <v>14.1</v>
      </c>
      <c r="M315" s="2">
        <v>3.9</v>
      </c>
      <c r="N315" s="2">
        <v>10.6</v>
      </c>
      <c r="O315" s="2" t="s">
        <v>284</v>
      </c>
      <c r="P315" s="2" t="s">
        <v>300</v>
      </c>
      <c r="Q315" s="2" t="str">
        <f t="shared" si="20"/>
        <v>Alan</v>
      </c>
      <c r="R315" s="2" t="str">
        <f t="shared" si="21"/>
        <v>Williams</v>
      </c>
      <c r="S315" s="2" t="str">
        <f t="shared" si="18"/>
        <v>Alan Williams</v>
      </c>
      <c r="T315" s="2">
        <f t="shared" si="19"/>
        <v>10.6</v>
      </c>
    </row>
    <row r="316" spans="1:20" x14ac:dyDescent="0.25">
      <c r="A316" s="2"/>
      <c r="B316" s="2"/>
      <c r="C316" s="2"/>
      <c r="D316" s="2"/>
      <c r="E316" s="2"/>
      <c r="F316" s="2"/>
      <c r="G316" s="2"/>
      <c r="H316" s="42">
        <v>42782</v>
      </c>
      <c r="I316" s="2" t="s">
        <v>232</v>
      </c>
      <c r="J316" s="2" t="s">
        <v>233</v>
      </c>
      <c r="K316" s="2" t="s">
        <v>232</v>
      </c>
      <c r="L316" s="2" t="s">
        <v>234</v>
      </c>
      <c r="M316" s="2" t="s">
        <v>235</v>
      </c>
      <c r="N316" s="2" t="s">
        <v>232</v>
      </c>
      <c r="O316" s="2" t="s">
        <v>232</v>
      </c>
      <c r="P316" s="2" t="s">
        <v>236</v>
      </c>
      <c r="Q316" s="2" t="e">
        <f t="shared" si="20"/>
        <v>#VALUE!</v>
      </c>
      <c r="R316" s="2" t="e">
        <f t="shared" si="21"/>
        <v>#VALUE!</v>
      </c>
      <c r="S316" s="2" t="e">
        <f t="shared" si="18"/>
        <v>#VALUE!</v>
      </c>
      <c r="T316" s="2" t="str">
        <f t="shared" si="19"/>
        <v>Last</v>
      </c>
    </row>
    <row r="317" spans="1:20" x14ac:dyDescent="0.25">
      <c r="A317" s="2"/>
      <c r="B317" s="2"/>
      <c r="C317" s="2"/>
      <c r="D317" s="2"/>
      <c r="E317" s="2"/>
      <c r="F317" s="2"/>
      <c r="G317" s="2"/>
      <c r="H317" s="2" t="s">
        <v>142</v>
      </c>
      <c r="I317" s="2" t="s">
        <v>142</v>
      </c>
      <c r="J317" s="2" t="s">
        <v>237</v>
      </c>
      <c r="K317" s="2"/>
      <c r="L317" s="2" t="s">
        <v>238</v>
      </c>
      <c r="M317" s="2" t="s">
        <v>239</v>
      </c>
      <c r="N317" s="2" t="s">
        <v>240</v>
      </c>
      <c r="O317" s="2" t="s">
        <v>1</v>
      </c>
      <c r="P317" s="2" t="s">
        <v>241</v>
      </c>
      <c r="Q317" s="2" t="e">
        <f t="shared" si="20"/>
        <v>#VALUE!</v>
      </c>
      <c r="R317" s="2" t="e">
        <f t="shared" si="21"/>
        <v>#VALUE!</v>
      </c>
      <c r="S317" s="2" t="e">
        <f t="shared" si="18"/>
        <v>#VALUE!</v>
      </c>
      <c r="T317" s="2" t="str">
        <f t="shared" si="19"/>
        <v>15 day</v>
      </c>
    </row>
    <row r="318" spans="1:20" x14ac:dyDescent="0.25">
      <c r="A318" s="2"/>
      <c r="B318" s="2" t="s">
        <v>8</v>
      </c>
      <c r="C318" s="2" t="s">
        <v>242</v>
      </c>
      <c r="D318" s="2" t="s">
        <v>243</v>
      </c>
      <c r="E318" s="2" t="s">
        <v>244</v>
      </c>
      <c r="F318" s="2" t="s">
        <v>245</v>
      </c>
      <c r="G318" s="2" t="s">
        <v>2</v>
      </c>
      <c r="H318" s="43">
        <v>0</v>
      </c>
      <c r="I318" s="2" t="s">
        <v>246</v>
      </c>
      <c r="J318" s="2" t="s">
        <v>238</v>
      </c>
      <c r="K318" s="2" t="s">
        <v>247</v>
      </c>
      <c r="L318" s="2" t="s">
        <v>248</v>
      </c>
      <c r="M318" s="2" t="s">
        <v>249</v>
      </c>
      <c r="N318" s="2" t="s">
        <v>250</v>
      </c>
      <c r="O318" s="2" t="s">
        <v>238</v>
      </c>
      <c r="P318" s="2">
        <v>1.23456789012345E+27</v>
      </c>
      <c r="Q318" s="2" t="e">
        <f t="shared" si="20"/>
        <v>#VALUE!</v>
      </c>
      <c r="R318" s="2" t="e">
        <f t="shared" si="21"/>
        <v>#VALUE!</v>
      </c>
      <c r="S318" s="2" t="e">
        <f t="shared" si="18"/>
        <v>#VALUE!</v>
      </c>
      <c r="T318" s="2" t="str">
        <f t="shared" si="19"/>
        <v>FDP/G</v>
      </c>
    </row>
    <row r="319" spans="1:20" x14ac:dyDescent="0.25">
      <c r="A319" s="2"/>
      <c r="B319" s="2" t="s">
        <v>3</v>
      </c>
      <c r="C319" s="2" t="s">
        <v>588</v>
      </c>
      <c r="D319" s="2" t="s">
        <v>251</v>
      </c>
      <c r="E319" s="2" t="s">
        <v>252</v>
      </c>
      <c r="F319" s="2" t="s">
        <v>253</v>
      </c>
      <c r="G319" s="2" t="s">
        <v>305</v>
      </c>
      <c r="H319" s="35">
        <v>3500</v>
      </c>
      <c r="I319" s="2">
        <v>0</v>
      </c>
      <c r="J319" s="2">
        <v>28.8</v>
      </c>
      <c r="K319" s="2">
        <v>3</v>
      </c>
      <c r="L319" s="2">
        <v>9.6</v>
      </c>
      <c r="M319" s="2">
        <v>2.7</v>
      </c>
      <c r="N319" s="2">
        <v>10.6</v>
      </c>
      <c r="O319" s="2">
        <v>13</v>
      </c>
      <c r="P319" s="2" t="s">
        <v>306</v>
      </c>
      <c r="Q319" s="2" t="str">
        <f t="shared" si="20"/>
        <v>Isaiah</v>
      </c>
      <c r="R319" s="2" t="str">
        <f t="shared" si="21"/>
        <v>Whitehead</v>
      </c>
      <c r="S319" s="2" t="str">
        <f t="shared" si="18"/>
        <v>Isaiah Whitehead</v>
      </c>
      <c r="T319" s="2">
        <f t="shared" si="19"/>
        <v>10.6</v>
      </c>
    </row>
    <row r="320" spans="1:20" x14ac:dyDescent="0.25">
      <c r="A320" s="2"/>
      <c r="B320" s="2" t="s">
        <v>3</v>
      </c>
      <c r="C320" s="2" t="s">
        <v>589</v>
      </c>
      <c r="D320" s="2" t="s">
        <v>251</v>
      </c>
      <c r="E320" s="2" t="s">
        <v>252</v>
      </c>
      <c r="F320" s="2" t="s">
        <v>253</v>
      </c>
      <c r="G320" s="2" t="s">
        <v>285</v>
      </c>
      <c r="H320" s="35">
        <v>3600</v>
      </c>
      <c r="I320" s="2">
        <v>0</v>
      </c>
      <c r="J320" s="2">
        <v>43.2</v>
      </c>
      <c r="K320" s="2">
        <v>4</v>
      </c>
      <c r="L320" s="2">
        <v>10.8</v>
      </c>
      <c r="M320" s="2">
        <v>3</v>
      </c>
      <c r="N320" s="2">
        <v>10.5</v>
      </c>
      <c r="O320" s="2">
        <v>20.100000000000001</v>
      </c>
      <c r="P320" s="2" t="s">
        <v>286</v>
      </c>
      <c r="Q320" s="2" t="str">
        <f t="shared" si="20"/>
        <v>Dante</v>
      </c>
      <c r="R320" s="2" t="str">
        <f t="shared" si="21"/>
        <v>Exum</v>
      </c>
      <c r="S320" s="2" t="str">
        <f t="shared" si="18"/>
        <v>Dante Exum</v>
      </c>
      <c r="T320" s="2">
        <f t="shared" si="19"/>
        <v>10.5</v>
      </c>
    </row>
    <row r="321" spans="1:20" x14ac:dyDescent="0.25">
      <c r="A321" s="2"/>
      <c r="B321" s="2" t="s">
        <v>5</v>
      </c>
      <c r="C321" s="2" t="s">
        <v>590</v>
      </c>
      <c r="D321" s="2" t="s">
        <v>251</v>
      </c>
      <c r="E321" s="2" t="s">
        <v>252</v>
      </c>
      <c r="F321" s="2" t="s">
        <v>253</v>
      </c>
      <c r="G321" s="2" t="s">
        <v>287</v>
      </c>
      <c r="H321" s="35">
        <v>3500</v>
      </c>
      <c r="I321" s="2">
        <v>0</v>
      </c>
      <c r="J321" s="2">
        <v>33</v>
      </c>
      <c r="K321" s="2">
        <v>4</v>
      </c>
      <c r="L321" s="2">
        <v>8.1999999999999993</v>
      </c>
      <c r="M321" s="2">
        <v>2.4</v>
      </c>
      <c r="N321" s="2">
        <v>10.5</v>
      </c>
      <c r="O321" s="2">
        <v>0.2</v>
      </c>
      <c r="P321" s="2" t="s">
        <v>288</v>
      </c>
      <c r="Q321" s="2" t="str">
        <f t="shared" si="20"/>
        <v>Stanley</v>
      </c>
      <c r="R321" s="2" t="str">
        <f t="shared" si="21"/>
        <v>Johnson</v>
      </c>
      <c r="S321" s="2" t="str">
        <f t="shared" si="18"/>
        <v>Stanley Johnson</v>
      </c>
      <c r="T321" s="2">
        <f t="shared" si="19"/>
        <v>10.5</v>
      </c>
    </row>
    <row r="322" spans="1:20" x14ac:dyDescent="0.25">
      <c r="A322" s="2"/>
      <c r="B322" s="2" t="s">
        <v>5</v>
      </c>
      <c r="C322" s="2" t="s">
        <v>591</v>
      </c>
      <c r="D322" s="2" t="s">
        <v>251</v>
      </c>
      <c r="E322" s="2" t="s">
        <v>252</v>
      </c>
      <c r="F322" s="2" t="s">
        <v>253</v>
      </c>
      <c r="G322" s="2" t="s">
        <v>301</v>
      </c>
      <c r="H322" s="35">
        <v>3500</v>
      </c>
      <c r="I322" s="2">
        <v>0</v>
      </c>
      <c r="J322" s="2">
        <v>26</v>
      </c>
      <c r="K322" s="2">
        <v>3</v>
      </c>
      <c r="L322" s="2">
        <v>8.6999999999999993</v>
      </c>
      <c r="M322" s="2">
        <v>2.5</v>
      </c>
      <c r="N322" s="2">
        <v>10.5</v>
      </c>
      <c r="O322" s="2">
        <v>0</v>
      </c>
      <c r="P322" s="2" t="s">
        <v>302</v>
      </c>
      <c r="Q322" s="2" t="str">
        <f t="shared" si="20"/>
        <v>DeAndre</v>
      </c>
      <c r="R322" s="2" t="str">
        <f t="shared" si="21"/>
        <v>Bembry</v>
      </c>
      <c r="S322" s="2" t="str">
        <f t="shared" si="18"/>
        <v>DeAndre Bembry</v>
      </c>
      <c r="T322" s="2">
        <f t="shared" si="19"/>
        <v>10.5</v>
      </c>
    </row>
    <row r="323" spans="1:20" x14ac:dyDescent="0.25">
      <c r="A323" s="2"/>
      <c r="B323" s="2" t="s">
        <v>3</v>
      </c>
      <c r="C323" s="2" t="s">
        <v>592</v>
      </c>
      <c r="D323" s="2" t="s">
        <v>251</v>
      </c>
      <c r="E323" s="2" t="s">
        <v>252</v>
      </c>
      <c r="F323" s="2" t="s">
        <v>253</v>
      </c>
      <c r="G323" s="2" t="s">
        <v>62</v>
      </c>
      <c r="H323" s="35">
        <v>3500</v>
      </c>
      <c r="I323" s="2">
        <v>0</v>
      </c>
      <c r="J323" s="2">
        <v>13.6</v>
      </c>
      <c r="K323" s="2">
        <v>1</v>
      </c>
      <c r="L323" s="2">
        <v>13.6</v>
      </c>
      <c r="M323" s="2">
        <v>3.9</v>
      </c>
      <c r="N323" s="2">
        <v>10.4</v>
      </c>
      <c r="O323" s="2" t="s">
        <v>284</v>
      </c>
      <c r="P323" s="2" t="s">
        <v>307</v>
      </c>
      <c r="Q323" s="2" t="str">
        <f t="shared" si="20"/>
        <v>Marcelo</v>
      </c>
      <c r="R323" s="2" t="str">
        <f t="shared" si="21"/>
        <v>Huertas</v>
      </c>
      <c r="S323" s="2" t="str">
        <f t="shared" si="18"/>
        <v>Marcelo Huertas</v>
      </c>
      <c r="T323" s="2">
        <f t="shared" si="19"/>
        <v>10.4</v>
      </c>
    </row>
    <row r="324" spans="1:20" x14ac:dyDescent="0.25">
      <c r="A324" s="2"/>
      <c r="B324" s="2" t="s">
        <v>7</v>
      </c>
      <c r="C324" s="2" t="s">
        <v>593</v>
      </c>
      <c r="D324" s="2" t="s">
        <v>251</v>
      </c>
      <c r="E324" s="2" t="s">
        <v>252</v>
      </c>
      <c r="F324" s="2" t="s">
        <v>253</v>
      </c>
      <c r="G324" s="2" t="s">
        <v>274</v>
      </c>
      <c r="H324" s="35">
        <v>3500</v>
      </c>
      <c r="I324" s="2">
        <v>0</v>
      </c>
      <c r="J324" s="2">
        <v>52.8</v>
      </c>
      <c r="K324" s="2">
        <v>4</v>
      </c>
      <c r="L324" s="2">
        <v>13.2</v>
      </c>
      <c r="M324" s="2">
        <v>3.8</v>
      </c>
      <c r="N324" s="2">
        <v>10.3</v>
      </c>
      <c r="O324" s="2">
        <v>14.2</v>
      </c>
      <c r="P324" s="2" t="s">
        <v>275</v>
      </c>
      <c r="Q324" s="2" t="str">
        <f t="shared" si="20"/>
        <v>Gerald</v>
      </c>
      <c r="R324" s="2" t="str">
        <f t="shared" si="21"/>
        <v>Green</v>
      </c>
      <c r="S324" s="2" t="str">
        <f t="shared" si="18"/>
        <v>Gerald Green</v>
      </c>
      <c r="T324" s="2">
        <f t="shared" si="19"/>
        <v>10.3</v>
      </c>
    </row>
    <row r="325" spans="1:20" x14ac:dyDescent="0.25">
      <c r="A325" s="2"/>
      <c r="B325" s="2" t="s">
        <v>3</v>
      </c>
      <c r="C325" s="2" t="s">
        <v>594</v>
      </c>
      <c r="D325" s="2" t="s">
        <v>251</v>
      </c>
      <c r="E325" s="2" t="s">
        <v>252</v>
      </c>
      <c r="F325" s="2" t="s">
        <v>253</v>
      </c>
      <c r="G325" s="2" t="s">
        <v>308</v>
      </c>
      <c r="H325" s="35">
        <v>5600</v>
      </c>
      <c r="I325" s="2">
        <v>0</v>
      </c>
      <c r="J325" s="2">
        <v>20.7</v>
      </c>
      <c r="K325" s="2">
        <v>2</v>
      </c>
      <c r="L325" s="2">
        <v>10.3</v>
      </c>
      <c r="M325" s="2">
        <v>1.8</v>
      </c>
      <c r="N325" s="2">
        <v>10.3</v>
      </c>
      <c r="O325" s="2">
        <v>2.7</v>
      </c>
      <c r="P325" s="2" t="s">
        <v>309</v>
      </c>
      <c r="Q325" s="2" t="str">
        <f t="shared" si="20"/>
        <v>Deron</v>
      </c>
      <c r="R325" s="2" t="str">
        <f t="shared" si="21"/>
        <v>Williams</v>
      </c>
      <c r="S325" s="2" t="str">
        <f t="shared" si="18"/>
        <v>Deron Williams</v>
      </c>
      <c r="T325" s="2">
        <f t="shared" si="19"/>
        <v>10.3</v>
      </c>
    </row>
    <row r="326" spans="1:20" x14ac:dyDescent="0.25">
      <c r="A326" s="2"/>
      <c r="B326" s="2" t="s">
        <v>7</v>
      </c>
      <c r="C326" s="2" t="s">
        <v>595</v>
      </c>
      <c r="D326" s="2" t="s">
        <v>251</v>
      </c>
      <c r="E326" s="2" t="s">
        <v>252</v>
      </c>
      <c r="F326" s="2" t="s">
        <v>253</v>
      </c>
      <c r="G326" s="2" t="s">
        <v>89</v>
      </c>
      <c r="H326" s="35">
        <v>3500</v>
      </c>
      <c r="I326" s="2">
        <v>0</v>
      </c>
      <c r="J326" s="2">
        <v>25.8</v>
      </c>
      <c r="K326" s="2">
        <v>3</v>
      </c>
      <c r="L326" s="2">
        <v>8.6</v>
      </c>
      <c r="M326" s="2">
        <v>2.5</v>
      </c>
      <c r="N326" s="2">
        <v>10.3</v>
      </c>
      <c r="O326" s="2">
        <v>8.1999999999999993</v>
      </c>
      <c r="P326" s="2" t="s">
        <v>254</v>
      </c>
      <c r="Q326" s="2" t="str">
        <f t="shared" si="20"/>
        <v>Anthony</v>
      </c>
      <c r="R326" s="2" t="str">
        <f t="shared" si="21"/>
        <v>Morrow</v>
      </c>
      <c r="S326" s="2" t="str">
        <f t="shared" ref="S326:S389" si="22">Q326&amp;" "&amp;R326</f>
        <v>Anthony Morrow</v>
      </c>
      <c r="T326" s="2">
        <f t="shared" ref="T326:T389" si="23">N326</f>
        <v>10.3</v>
      </c>
    </row>
    <row r="327" spans="1:20" x14ac:dyDescent="0.25">
      <c r="A327" s="2"/>
      <c r="B327" s="2" t="s">
        <v>7</v>
      </c>
      <c r="C327" s="2" t="s">
        <v>596</v>
      </c>
      <c r="D327" s="2" t="s">
        <v>251</v>
      </c>
      <c r="E327" s="2" t="s">
        <v>252</v>
      </c>
      <c r="F327" s="2" t="s">
        <v>253</v>
      </c>
      <c r="G327" s="2" t="s">
        <v>272</v>
      </c>
      <c r="H327" s="35">
        <v>3600</v>
      </c>
      <c r="I327" s="2">
        <v>0</v>
      </c>
      <c r="J327" s="2">
        <v>36.9</v>
      </c>
      <c r="K327" s="2">
        <v>4</v>
      </c>
      <c r="L327" s="2">
        <v>9.1999999999999993</v>
      </c>
      <c r="M327" s="2">
        <v>2.6</v>
      </c>
      <c r="N327" s="2">
        <v>10.3</v>
      </c>
      <c r="O327" s="2">
        <v>23.2</v>
      </c>
      <c r="P327" s="2" t="s">
        <v>273</v>
      </c>
      <c r="Q327" s="2" t="str">
        <f t="shared" si="20"/>
        <v>Patrick</v>
      </c>
      <c r="R327" s="2" t="str">
        <f t="shared" si="21"/>
        <v>McCaw</v>
      </c>
      <c r="S327" s="2" t="str">
        <f t="shared" si="22"/>
        <v>Patrick McCaw</v>
      </c>
      <c r="T327" s="2">
        <f t="shared" si="23"/>
        <v>10.3</v>
      </c>
    </row>
    <row r="328" spans="1:20" x14ac:dyDescent="0.25">
      <c r="A328" s="2"/>
      <c r="B328" s="2" t="s">
        <v>5</v>
      </c>
      <c r="C328" s="2" t="s">
        <v>597</v>
      </c>
      <c r="D328" s="2" t="s">
        <v>251</v>
      </c>
      <c r="E328" s="2" t="s">
        <v>252</v>
      </c>
      <c r="F328" s="2" t="s">
        <v>253</v>
      </c>
      <c r="G328" s="2" t="s">
        <v>297</v>
      </c>
      <c r="H328" s="35">
        <v>3500</v>
      </c>
      <c r="I328" s="2">
        <v>0</v>
      </c>
      <c r="J328" s="2">
        <v>3.5</v>
      </c>
      <c r="K328" s="2">
        <v>1</v>
      </c>
      <c r="L328" s="2">
        <v>3.5</v>
      </c>
      <c r="M328" s="2">
        <v>1</v>
      </c>
      <c r="N328" s="2">
        <v>10.3</v>
      </c>
      <c r="O328" s="2" t="s">
        <v>284</v>
      </c>
      <c r="P328" s="2" t="s">
        <v>298</v>
      </c>
      <c r="Q328" s="2" t="str">
        <f t="shared" ref="Q328:Q391" si="24">MID(C328,FIND(" ",C328)+1,256)</f>
        <v>Mindaugas</v>
      </c>
      <c r="R328" s="2" t="str">
        <f t="shared" ref="R328:R391" si="25">LEFT(C328,(FIND(" ",C328,1)-1))</f>
        <v>Kuzminskas</v>
      </c>
      <c r="S328" s="2" t="str">
        <f t="shared" si="22"/>
        <v>Mindaugas Kuzminskas</v>
      </c>
      <c r="T328" s="2">
        <f t="shared" si="23"/>
        <v>10.3</v>
      </c>
    </row>
    <row r="329" spans="1:20" x14ac:dyDescent="0.25">
      <c r="A329" s="2"/>
      <c r="B329" s="2" t="s">
        <v>7</v>
      </c>
      <c r="C329" s="2" t="s">
        <v>598</v>
      </c>
      <c r="D329" s="2" t="s">
        <v>251</v>
      </c>
      <c r="E329" s="2" t="s">
        <v>252</v>
      </c>
      <c r="F329" s="2" t="s">
        <v>253</v>
      </c>
      <c r="G329" s="2" t="s">
        <v>268</v>
      </c>
      <c r="H329" s="35">
        <v>3500</v>
      </c>
      <c r="I329" s="2">
        <v>0</v>
      </c>
      <c r="J329" s="2">
        <v>42</v>
      </c>
      <c r="K329" s="2">
        <v>4</v>
      </c>
      <c r="L329" s="2">
        <v>10.5</v>
      </c>
      <c r="M329" s="2">
        <v>3</v>
      </c>
      <c r="N329" s="2">
        <v>10.199999999999999</v>
      </c>
      <c r="O329" s="2">
        <v>14.8</v>
      </c>
      <c r="P329" s="2" t="s">
        <v>269</v>
      </c>
      <c r="Q329" s="2" t="str">
        <f t="shared" si="24"/>
        <v>Brandon</v>
      </c>
      <c r="R329" s="2" t="str">
        <f t="shared" si="25"/>
        <v>Rush</v>
      </c>
      <c r="S329" s="2" t="str">
        <f t="shared" si="22"/>
        <v>Brandon Rush</v>
      </c>
      <c r="T329" s="2">
        <f t="shared" si="23"/>
        <v>10.199999999999999</v>
      </c>
    </row>
    <row r="330" spans="1:20" x14ac:dyDescent="0.25">
      <c r="A330" s="2"/>
      <c r="B330" s="2" t="s">
        <v>5</v>
      </c>
      <c r="C330" s="2" t="s">
        <v>599</v>
      </c>
      <c r="D330" s="2" t="s">
        <v>251</v>
      </c>
      <c r="E330" s="2" t="s">
        <v>252</v>
      </c>
      <c r="F330" s="2" t="s">
        <v>253</v>
      </c>
      <c r="G330" s="2" t="s">
        <v>266</v>
      </c>
      <c r="H330" s="35">
        <v>3500</v>
      </c>
      <c r="I330" s="2">
        <v>0</v>
      </c>
      <c r="J330" s="2">
        <v>22.7</v>
      </c>
      <c r="K330" s="2">
        <v>4</v>
      </c>
      <c r="L330" s="2">
        <v>5.7</v>
      </c>
      <c r="M330" s="2">
        <v>1.6</v>
      </c>
      <c r="N330" s="2">
        <v>10.199999999999999</v>
      </c>
      <c r="O330" s="2">
        <v>0</v>
      </c>
      <c r="P330" s="2" t="s">
        <v>267</v>
      </c>
      <c r="Q330" s="2" t="str">
        <f t="shared" si="24"/>
        <v>Davis</v>
      </c>
      <c r="R330" s="2" t="str">
        <f t="shared" si="25"/>
        <v>Bertans</v>
      </c>
      <c r="S330" s="2" t="str">
        <f t="shared" si="22"/>
        <v>Davis Bertans</v>
      </c>
      <c r="T330" s="2">
        <f t="shared" si="23"/>
        <v>10.199999999999999</v>
      </c>
    </row>
    <row r="331" spans="1:20" x14ac:dyDescent="0.25">
      <c r="A331" s="2"/>
      <c r="B331" s="2" t="s">
        <v>7</v>
      </c>
      <c r="C331" s="2" t="s">
        <v>600</v>
      </c>
      <c r="D331" s="2" t="s">
        <v>251</v>
      </c>
      <c r="E331" s="2" t="s">
        <v>252</v>
      </c>
      <c r="F331" s="2" t="s">
        <v>253</v>
      </c>
      <c r="G331" s="2" t="s">
        <v>305</v>
      </c>
      <c r="H331" s="35">
        <v>3500</v>
      </c>
      <c r="I331" s="2">
        <v>0</v>
      </c>
      <c r="J331" s="2">
        <v>20</v>
      </c>
      <c r="K331" s="2">
        <v>3</v>
      </c>
      <c r="L331" s="2">
        <v>6.7</v>
      </c>
      <c r="M331" s="2">
        <v>1.9</v>
      </c>
      <c r="N331" s="2">
        <v>10.1</v>
      </c>
      <c r="O331" s="2">
        <v>3.2</v>
      </c>
      <c r="P331" s="2" t="s">
        <v>306</v>
      </c>
      <c r="Q331" s="2" t="str">
        <f t="shared" si="24"/>
        <v>Joe</v>
      </c>
      <c r="R331" s="2" t="str">
        <f t="shared" si="25"/>
        <v>Harris</v>
      </c>
      <c r="S331" s="2" t="str">
        <f t="shared" si="22"/>
        <v>Joe Harris</v>
      </c>
      <c r="T331" s="2">
        <f t="shared" si="23"/>
        <v>10.1</v>
      </c>
    </row>
    <row r="332" spans="1:20" x14ac:dyDescent="0.25">
      <c r="A332" s="2"/>
      <c r="B332" s="2" t="s">
        <v>4</v>
      </c>
      <c r="C332" s="2" t="s">
        <v>601</v>
      </c>
      <c r="D332" s="2" t="s">
        <v>251</v>
      </c>
      <c r="E332" s="2" t="s">
        <v>252</v>
      </c>
      <c r="F332" s="2" t="s">
        <v>253</v>
      </c>
      <c r="G332" s="2" t="s">
        <v>272</v>
      </c>
      <c r="H332" s="35">
        <v>3500</v>
      </c>
      <c r="I332" s="2">
        <v>0</v>
      </c>
      <c r="J332" s="2">
        <v>35.299999999999997</v>
      </c>
      <c r="K332" s="2">
        <v>4</v>
      </c>
      <c r="L332" s="2">
        <v>8.8000000000000007</v>
      </c>
      <c r="M332" s="2">
        <v>2.5</v>
      </c>
      <c r="N332" s="2">
        <v>9.9</v>
      </c>
      <c r="O332" s="2">
        <v>5.2</v>
      </c>
      <c r="P332" s="2" t="s">
        <v>273</v>
      </c>
      <c r="Q332" s="2" t="str">
        <f t="shared" si="24"/>
        <v>James Michael</v>
      </c>
      <c r="R332" s="2" t="str">
        <f t="shared" si="25"/>
        <v>McAdoo</v>
      </c>
      <c r="S332" s="2" t="str">
        <f t="shared" si="22"/>
        <v>James Michael McAdoo</v>
      </c>
      <c r="T332" s="2">
        <f t="shared" si="23"/>
        <v>9.9</v>
      </c>
    </row>
    <row r="333" spans="1:20" x14ac:dyDescent="0.25">
      <c r="A333" s="2"/>
      <c r="B333" s="2" t="s">
        <v>3</v>
      </c>
      <c r="C333" s="2" t="s">
        <v>602</v>
      </c>
      <c r="D333" s="2" t="s">
        <v>251</v>
      </c>
      <c r="E333" s="2" t="s">
        <v>252</v>
      </c>
      <c r="F333" s="2" t="s">
        <v>253</v>
      </c>
      <c r="G333" s="2" t="s">
        <v>272</v>
      </c>
      <c r="H333" s="35">
        <v>3900</v>
      </c>
      <c r="I333" s="2">
        <v>0</v>
      </c>
      <c r="J333" s="2">
        <v>26.8</v>
      </c>
      <c r="K333" s="2">
        <v>3</v>
      </c>
      <c r="L333" s="2">
        <v>8.9</v>
      </c>
      <c r="M333" s="2">
        <v>2.2999999999999998</v>
      </c>
      <c r="N333" s="2">
        <v>9.8000000000000007</v>
      </c>
      <c r="O333" s="2" t="s">
        <v>284</v>
      </c>
      <c r="P333" s="2" t="s">
        <v>273</v>
      </c>
      <c r="Q333" s="2" t="str">
        <f t="shared" si="24"/>
        <v>Shaun</v>
      </c>
      <c r="R333" s="2" t="str">
        <f t="shared" si="25"/>
        <v>Livingston</v>
      </c>
      <c r="S333" s="2" t="str">
        <f t="shared" si="22"/>
        <v>Shaun Livingston</v>
      </c>
      <c r="T333" s="2">
        <f t="shared" si="23"/>
        <v>9.8000000000000007</v>
      </c>
    </row>
    <row r="334" spans="1:20" x14ac:dyDescent="0.25">
      <c r="A334" s="2"/>
      <c r="B334" s="2" t="s">
        <v>4</v>
      </c>
      <c r="C334" s="2" t="s">
        <v>603</v>
      </c>
      <c r="D334" s="2" t="s">
        <v>251</v>
      </c>
      <c r="E334" s="2" t="s">
        <v>252</v>
      </c>
      <c r="F334" s="2" t="s">
        <v>253</v>
      </c>
      <c r="G334" s="2" t="s">
        <v>282</v>
      </c>
      <c r="H334" s="35">
        <v>3500</v>
      </c>
      <c r="I334" s="2">
        <v>0</v>
      </c>
      <c r="J334" s="2">
        <v>21.1</v>
      </c>
      <c r="K334" s="2">
        <v>2</v>
      </c>
      <c r="L334" s="2">
        <v>10.6</v>
      </c>
      <c r="M334" s="2">
        <v>3</v>
      </c>
      <c r="N334" s="2">
        <v>9.8000000000000007</v>
      </c>
      <c r="O334" s="2">
        <v>6.8</v>
      </c>
      <c r="P334" s="2" t="s">
        <v>283</v>
      </c>
      <c r="Q334" s="2" t="str">
        <f t="shared" si="24"/>
        <v>Noah</v>
      </c>
      <c r="R334" s="2" t="str">
        <f t="shared" si="25"/>
        <v>Vonleh</v>
      </c>
      <c r="S334" s="2" t="str">
        <f t="shared" si="22"/>
        <v>Noah Vonleh</v>
      </c>
      <c r="T334" s="2">
        <f t="shared" si="23"/>
        <v>9.8000000000000007</v>
      </c>
    </row>
    <row r="335" spans="1:20" x14ac:dyDescent="0.25">
      <c r="A335" s="2"/>
      <c r="B335" s="2" t="s">
        <v>3</v>
      </c>
      <c r="C335" s="2" t="s">
        <v>604</v>
      </c>
      <c r="D335" s="2" t="s">
        <v>251</v>
      </c>
      <c r="E335" s="2" t="s">
        <v>252</v>
      </c>
      <c r="F335" s="2" t="s">
        <v>253</v>
      </c>
      <c r="G335" s="2" t="s">
        <v>310</v>
      </c>
      <c r="H335" s="35">
        <v>3500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9.8000000000000007</v>
      </c>
      <c r="O335" s="2" t="s">
        <v>284</v>
      </c>
      <c r="P335" s="2" t="s">
        <v>311</v>
      </c>
      <c r="Q335" s="2" t="str">
        <f t="shared" si="24"/>
        <v>Chasson</v>
      </c>
      <c r="R335" s="2" t="str">
        <f t="shared" si="25"/>
        <v>Randle</v>
      </c>
      <c r="S335" s="2" t="str">
        <f t="shared" si="22"/>
        <v>Chasson Randle</v>
      </c>
      <c r="T335" s="2">
        <f t="shared" si="23"/>
        <v>9.8000000000000007</v>
      </c>
    </row>
    <row r="336" spans="1:20" x14ac:dyDescent="0.25">
      <c r="A336" s="2"/>
      <c r="B336" s="2" t="s">
        <v>7</v>
      </c>
      <c r="C336" s="2" t="s">
        <v>605</v>
      </c>
      <c r="D336" s="2" t="s">
        <v>251</v>
      </c>
      <c r="E336" s="2" t="s">
        <v>252</v>
      </c>
      <c r="F336" s="2" t="s">
        <v>253</v>
      </c>
      <c r="G336" s="2" t="s">
        <v>299</v>
      </c>
      <c r="H336" s="35">
        <v>3500</v>
      </c>
      <c r="I336" s="2">
        <v>0</v>
      </c>
      <c r="J336" s="2">
        <v>38.6</v>
      </c>
      <c r="K336" s="2">
        <v>4</v>
      </c>
      <c r="L336" s="2">
        <v>9.6999999999999993</v>
      </c>
      <c r="M336" s="2">
        <v>2.8</v>
      </c>
      <c r="N336" s="2">
        <v>9.6999999999999993</v>
      </c>
      <c r="O336" s="2">
        <v>4.7</v>
      </c>
      <c r="P336" s="2" t="s">
        <v>300</v>
      </c>
      <c r="Q336" s="2" t="str">
        <f t="shared" si="24"/>
        <v>Leandro</v>
      </c>
      <c r="R336" s="2" t="str">
        <f t="shared" si="25"/>
        <v>Barbosa</v>
      </c>
      <c r="S336" s="2" t="str">
        <f t="shared" si="22"/>
        <v>Leandro Barbosa</v>
      </c>
      <c r="T336" s="2">
        <f t="shared" si="23"/>
        <v>9.6999999999999993</v>
      </c>
    </row>
    <row r="337" spans="1:20" x14ac:dyDescent="0.25">
      <c r="A337" s="2"/>
      <c r="B337" s="2" t="s">
        <v>6</v>
      </c>
      <c r="C337" s="2" t="s">
        <v>606</v>
      </c>
      <c r="D337" s="2" t="s">
        <v>251</v>
      </c>
      <c r="E337" s="2" t="s">
        <v>252</v>
      </c>
      <c r="F337" s="2" t="s">
        <v>253</v>
      </c>
      <c r="G337" s="2" t="s">
        <v>259</v>
      </c>
      <c r="H337" s="35">
        <v>3500</v>
      </c>
      <c r="I337" s="2">
        <v>0</v>
      </c>
      <c r="J337" s="2">
        <v>9.6</v>
      </c>
      <c r="K337" s="2">
        <v>1</v>
      </c>
      <c r="L337" s="2">
        <v>9.6</v>
      </c>
      <c r="M337" s="2">
        <v>2.7</v>
      </c>
      <c r="N337" s="2">
        <v>9.6</v>
      </c>
      <c r="O337" s="2">
        <v>9.6</v>
      </c>
      <c r="P337" s="2" t="s">
        <v>260</v>
      </c>
      <c r="Q337" s="2" t="str">
        <f t="shared" si="24"/>
        <v>Alexis</v>
      </c>
      <c r="R337" s="2" t="str">
        <f t="shared" si="25"/>
        <v>Ajinca</v>
      </c>
      <c r="S337" s="2" t="str">
        <f t="shared" si="22"/>
        <v>Alexis Ajinca</v>
      </c>
      <c r="T337" s="2">
        <f t="shared" si="23"/>
        <v>9.6</v>
      </c>
    </row>
    <row r="338" spans="1:20" x14ac:dyDescent="0.25">
      <c r="A338" s="2"/>
      <c r="B338" s="2" t="s">
        <v>7</v>
      </c>
      <c r="C338" s="2" t="s">
        <v>607</v>
      </c>
      <c r="D338" s="2" t="s">
        <v>251</v>
      </c>
      <c r="E338" s="2" t="s">
        <v>252</v>
      </c>
      <c r="F338" s="2" t="s">
        <v>253</v>
      </c>
      <c r="G338" s="2" t="s">
        <v>278</v>
      </c>
      <c r="H338" s="35">
        <v>3500</v>
      </c>
      <c r="I338" s="2">
        <v>0</v>
      </c>
      <c r="J338" s="2">
        <v>38.299999999999997</v>
      </c>
      <c r="K338" s="2">
        <v>4</v>
      </c>
      <c r="L338" s="2">
        <v>9.6</v>
      </c>
      <c r="M338" s="2">
        <v>2.7</v>
      </c>
      <c r="N338" s="2">
        <v>9.6</v>
      </c>
      <c r="O338" s="2">
        <v>10.1</v>
      </c>
      <c r="P338" s="2" t="s">
        <v>279</v>
      </c>
      <c r="Q338" s="2" t="str">
        <f t="shared" si="24"/>
        <v>Denzel</v>
      </c>
      <c r="R338" s="2" t="str">
        <f t="shared" si="25"/>
        <v>Valentine</v>
      </c>
      <c r="S338" s="2" t="str">
        <f t="shared" si="22"/>
        <v>Denzel Valentine</v>
      </c>
      <c r="T338" s="2">
        <f t="shared" si="23"/>
        <v>9.6</v>
      </c>
    </row>
    <row r="339" spans="1:20" x14ac:dyDescent="0.25">
      <c r="A339" s="2"/>
      <c r="B339" s="2" t="s">
        <v>7</v>
      </c>
      <c r="C339" s="2" t="s">
        <v>608</v>
      </c>
      <c r="D339" s="2" t="s">
        <v>251</v>
      </c>
      <c r="E339" s="2" t="s">
        <v>252</v>
      </c>
      <c r="F339" s="2" t="s">
        <v>253</v>
      </c>
      <c r="G339" s="2" t="s">
        <v>259</v>
      </c>
      <c r="H339" s="35">
        <v>3500</v>
      </c>
      <c r="I339" s="2">
        <v>0</v>
      </c>
      <c r="J339" s="2">
        <v>45.2</v>
      </c>
      <c r="K339" s="2">
        <v>4</v>
      </c>
      <c r="L339" s="2">
        <v>11.3</v>
      </c>
      <c r="M339" s="2">
        <v>3.2</v>
      </c>
      <c r="N339" s="2">
        <v>9.5</v>
      </c>
      <c r="O339" s="2">
        <v>12.4</v>
      </c>
      <c r="P339" s="2" t="s">
        <v>260</v>
      </c>
      <c r="Q339" s="2" t="str">
        <f t="shared" si="24"/>
        <v>Langston</v>
      </c>
      <c r="R339" s="2" t="str">
        <f t="shared" si="25"/>
        <v>Galloway</v>
      </c>
      <c r="S339" s="2" t="str">
        <f t="shared" si="22"/>
        <v>Langston Galloway</v>
      </c>
      <c r="T339" s="2">
        <f t="shared" si="23"/>
        <v>9.5</v>
      </c>
    </row>
    <row r="340" spans="1:20" x14ac:dyDescent="0.25">
      <c r="A340" s="2"/>
      <c r="B340" s="2" t="s">
        <v>6</v>
      </c>
      <c r="C340" s="2" t="s">
        <v>609</v>
      </c>
      <c r="D340" s="2" t="s">
        <v>251</v>
      </c>
      <c r="E340" s="2" t="s">
        <v>252</v>
      </c>
      <c r="F340" s="2" t="s">
        <v>253</v>
      </c>
      <c r="G340" s="2" t="s">
        <v>303</v>
      </c>
      <c r="H340" s="35">
        <v>3500</v>
      </c>
      <c r="I340" s="2">
        <v>0</v>
      </c>
      <c r="J340" s="2">
        <v>22.3</v>
      </c>
      <c r="K340" s="2">
        <v>3</v>
      </c>
      <c r="L340" s="2">
        <v>7.4</v>
      </c>
      <c r="M340" s="2">
        <v>2.1</v>
      </c>
      <c r="N340" s="2">
        <v>9.4</v>
      </c>
      <c r="O340" s="2">
        <v>8.6</v>
      </c>
      <c r="P340" s="2" t="s">
        <v>304</v>
      </c>
      <c r="Q340" s="2" t="str">
        <f t="shared" si="24"/>
        <v>Miles</v>
      </c>
      <c r="R340" s="2" t="str">
        <f t="shared" si="25"/>
        <v>Plumlee</v>
      </c>
      <c r="S340" s="2" t="str">
        <f t="shared" si="22"/>
        <v>Miles Plumlee</v>
      </c>
      <c r="T340" s="2">
        <f t="shared" si="23"/>
        <v>9.4</v>
      </c>
    </row>
    <row r="341" spans="1:20" x14ac:dyDescent="0.25">
      <c r="A341" s="2"/>
      <c r="B341" s="2" t="s">
        <v>7</v>
      </c>
      <c r="C341" s="2" t="s">
        <v>610</v>
      </c>
      <c r="D341" s="2" t="s">
        <v>251</v>
      </c>
      <c r="E341" s="2" t="s">
        <v>252</v>
      </c>
      <c r="F341" s="2" t="s">
        <v>253</v>
      </c>
      <c r="G341" s="2" t="s">
        <v>310</v>
      </c>
      <c r="H341" s="35">
        <v>3500</v>
      </c>
      <c r="I341" s="2">
        <v>0</v>
      </c>
      <c r="J341" s="2">
        <v>18.100000000000001</v>
      </c>
      <c r="K341" s="2">
        <v>4</v>
      </c>
      <c r="L341" s="2">
        <v>4.5</v>
      </c>
      <c r="M341" s="2">
        <v>1.3</v>
      </c>
      <c r="N341" s="2">
        <v>9.4</v>
      </c>
      <c r="O341" s="2">
        <v>6.5</v>
      </c>
      <c r="P341" s="2" t="s">
        <v>311</v>
      </c>
      <c r="Q341" s="2" t="str">
        <f t="shared" si="24"/>
        <v>Timothe</v>
      </c>
      <c r="R341" s="2" t="str">
        <f t="shared" si="25"/>
        <v>Luwawu</v>
      </c>
      <c r="S341" s="2" t="str">
        <f t="shared" si="22"/>
        <v>Timothe Luwawu</v>
      </c>
      <c r="T341" s="2">
        <f t="shared" si="23"/>
        <v>9.4</v>
      </c>
    </row>
    <row r="342" spans="1:20" x14ac:dyDescent="0.25">
      <c r="A342" s="2"/>
      <c r="B342" s="2" t="s">
        <v>5</v>
      </c>
      <c r="C342" s="2" t="s">
        <v>611</v>
      </c>
      <c r="D342" s="2" t="s">
        <v>251</v>
      </c>
      <c r="E342" s="2" t="s">
        <v>252</v>
      </c>
      <c r="F342" s="2" t="s">
        <v>253</v>
      </c>
      <c r="G342" s="2" t="s">
        <v>257</v>
      </c>
      <c r="H342" s="35">
        <v>3900</v>
      </c>
      <c r="I342" s="2">
        <v>0</v>
      </c>
      <c r="J342" s="2">
        <v>32.6</v>
      </c>
      <c r="K342" s="2">
        <v>4</v>
      </c>
      <c r="L342" s="2">
        <v>8.1999999999999993</v>
      </c>
      <c r="M342" s="2">
        <v>2.1</v>
      </c>
      <c r="N342" s="2">
        <v>9.3000000000000007</v>
      </c>
      <c r="O342" s="2">
        <v>8.4</v>
      </c>
      <c r="P342" s="2" t="s">
        <v>258</v>
      </c>
      <c r="Q342" s="2" t="str">
        <f t="shared" si="24"/>
        <v>Richard</v>
      </c>
      <c r="R342" s="2" t="str">
        <f t="shared" si="25"/>
        <v>Jefferson</v>
      </c>
      <c r="S342" s="2" t="str">
        <f t="shared" si="22"/>
        <v>Richard Jefferson</v>
      </c>
      <c r="T342" s="2">
        <f t="shared" si="23"/>
        <v>9.3000000000000007</v>
      </c>
    </row>
    <row r="343" spans="1:20" x14ac:dyDescent="0.25">
      <c r="A343" s="2"/>
      <c r="B343" s="2" t="s">
        <v>4</v>
      </c>
      <c r="C343" s="2" t="s">
        <v>612</v>
      </c>
      <c r="D343" s="2" t="s">
        <v>251</v>
      </c>
      <c r="E343" s="2" t="s">
        <v>252</v>
      </c>
      <c r="F343" s="2" t="s">
        <v>253</v>
      </c>
      <c r="G343" s="2" t="s">
        <v>289</v>
      </c>
      <c r="H343" s="35">
        <v>3500</v>
      </c>
      <c r="I343" s="2">
        <v>0</v>
      </c>
      <c r="J343" s="2">
        <v>14</v>
      </c>
      <c r="K343" s="2">
        <v>2</v>
      </c>
      <c r="L343" s="2">
        <v>7</v>
      </c>
      <c r="M343" s="2">
        <v>2</v>
      </c>
      <c r="N343" s="2">
        <v>9.3000000000000007</v>
      </c>
      <c r="O343" s="2">
        <v>2</v>
      </c>
      <c r="P343" s="2" t="s">
        <v>290</v>
      </c>
      <c r="Q343" s="2" t="str">
        <f t="shared" si="24"/>
        <v>Pascal</v>
      </c>
      <c r="R343" s="2" t="str">
        <f t="shared" si="25"/>
        <v>Siakam</v>
      </c>
      <c r="S343" s="2" t="str">
        <f t="shared" si="22"/>
        <v>Pascal Siakam</v>
      </c>
      <c r="T343" s="2">
        <f t="shared" si="23"/>
        <v>9.3000000000000007</v>
      </c>
    </row>
    <row r="344" spans="1:20" x14ac:dyDescent="0.25">
      <c r="A344" s="2"/>
      <c r="B344" s="2"/>
      <c r="C344" s="2"/>
      <c r="D344" s="2"/>
      <c r="E344" s="2"/>
      <c r="F344" s="2"/>
      <c r="G344" s="2"/>
      <c r="H344" s="42">
        <v>42782</v>
      </c>
      <c r="I344" s="2" t="s">
        <v>232</v>
      </c>
      <c r="J344" s="2" t="s">
        <v>233</v>
      </c>
      <c r="K344" s="2" t="s">
        <v>232</v>
      </c>
      <c r="L344" s="2" t="s">
        <v>234</v>
      </c>
      <c r="M344" s="2" t="s">
        <v>235</v>
      </c>
      <c r="N344" s="2" t="s">
        <v>232</v>
      </c>
      <c r="O344" s="2" t="s">
        <v>232</v>
      </c>
      <c r="P344" s="2" t="s">
        <v>236</v>
      </c>
      <c r="Q344" s="2" t="e">
        <f t="shared" si="24"/>
        <v>#VALUE!</v>
      </c>
      <c r="R344" s="2" t="e">
        <f t="shared" si="25"/>
        <v>#VALUE!</v>
      </c>
      <c r="S344" s="2" t="e">
        <f t="shared" si="22"/>
        <v>#VALUE!</v>
      </c>
      <c r="T344" s="2" t="str">
        <f t="shared" si="23"/>
        <v>Last</v>
      </c>
    </row>
    <row r="345" spans="1:20" x14ac:dyDescent="0.25">
      <c r="A345" s="2"/>
      <c r="B345" s="2"/>
      <c r="C345" s="2"/>
      <c r="D345" s="2"/>
      <c r="E345" s="2"/>
      <c r="F345" s="2"/>
      <c r="G345" s="2"/>
      <c r="H345" s="2" t="s">
        <v>142</v>
      </c>
      <c r="I345" s="2" t="s">
        <v>142</v>
      </c>
      <c r="J345" s="2" t="s">
        <v>237</v>
      </c>
      <c r="K345" s="2"/>
      <c r="L345" s="2" t="s">
        <v>238</v>
      </c>
      <c r="M345" s="2" t="s">
        <v>239</v>
      </c>
      <c r="N345" s="2" t="s">
        <v>240</v>
      </c>
      <c r="O345" s="2" t="s">
        <v>1</v>
      </c>
      <c r="P345" s="2" t="s">
        <v>241</v>
      </c>
      <c r="Q345" s="2" t="e">
        <f t="shared" si="24"/>
        <v>#VALUE!</v>
      </c>
      <c r="R345" s="2" t="e">
        <f t="shared" si="25"/>
        <v>#VALUE!</v>
      </c>
      <c r="S345" s="2" t="e">
        <f t="shared" si="22"/>
        <v>#VALUE!</v>
      </c>
      <c r="T345" s="2" t="str">
        <f t="shared" si="23"/>
        <v>15 day</v>
      </c>
    </row>
    <row r="346" spans="1:20" x14ac:dyDescent="0.25">
      <c r="A346" s="2"/>
      <c r="B346" s="2" t="s">
        <v>8</v>
      </c>
      <c r="C346" s="2" t="s">
        <v>242</v>
      </c>
      <c r="D346" s="2" t="s">
        <v>243</v>
      </c>
      <c r="E346" s="2" t="s">
        <v>244</v>
      </c>
      <c r="F346" s="2" t="s">
        <v>245</v>
      </c>
      <c r="G346" s="2" t="s">
        <v>2</v>
      </c>
      <c r="H346" s="43">
        <v>0</v>
      </c>
      <c r="I346" s="2" t="s">
        <v>246</v>
      </c>
      <c r="J346" s="2" t="s">
        <v>238</v>
      </c>
      <c r="K346" s="2" t="s">
        <v>247</v>
      </c>
      <c r="L346" s="2" t="s">
        <v>248</v>
      </c>
      <c r="M346" s="2" t="s">
        <v>249</v>
      </c>
      <c r="N346" s="2" t="s">
        <v>250</v>
      </c>
      <c r="O346" s="2" t="s">
        <v>238</v>
      </c>
      <c r="P346" s="2">
        <v>1.23456789012345E+27</v>
      </c>
      <c r="Q346" s="2" t="e">
        <f t="shared" si="24"/>
        <v>#VALUE!</v>
      </c>
      <c r="R346" s="2" t="e">
        <f t="shared" si="25"/>
        <v>#VALUE!</v>
      </c>
      <c r="S346" s="2" t="e">
        <f t="shared" si="22"/>
        <v>#VALUE!</v>
      </c>
      <c r="T346" s="2" t="str">
        <f t="shared" si="23"/>
        <v>FDP/G</v>
      </c>
    </row>
    <row r="347" spans="1:20" x14ac:dyDescent="0.25">
      <c r="A347" s="2"/>
      <c r="B347" s="2" t="s">
        <v>4</v>
      </c>
      <c r="C347" s="2" t="s">
        <v>613</v>
      </c>
      <c r="D347" s="2" t="s">
        <v>251</v>
      </c>
      <c r="E347" s="2" t="s">
        <v>252</v>
      </c>
      <c r="F347" s="2" t="s">
        <v>253</v>
      </c>
      <c r="G347" s="2" t="s">
        <v>285</v>
      </c>
      <c r="H347" s="35">
        <v>3500</v>
      </c>
      <c r="I347" s="2">
        <v>0</v>
      </c>
      <c r="J347" s="2">
        <v>35.799999999999997</v>
      </c>
      <c r="K347" s="2">
        <v>4</v>
      </c>
      <c r="L347" s="2">
        <v>8.9</v>
      </c>
      <c r="M347" s="2">
        <v>2.6</v>
      </c>
      <c r="N347" s="2">
        <v>9.1999999999999993</v>
      </c>
      <c r="O347" s="2">
        <v>10.4</v>
      </c>
      <c r="P347" s="2" t="s">
        <v>286</v>
      </c>
      <c r="Q347" s="2" t="str">
        <f t="shared" si="24"/>
        <v>Trey</v>
      </c>
      <c r="R347" s="2" t="str">
        <f t="shared" si="25"/>
        <v>Lyles</v>
      </c>
      <c r="S347" s="2" t="str">
        <f t="shared" si="22"/>
        <v>Trey Lyles</v>
      </c>
      <c r="T347" s="2">
        <f t="shared" si="23"/>
        <v>9.1999999999999993</v>
      </c>
    </row>
    <row r="348" spans="1:20" x14ac:dyDescent="0.25">
      <c r="A348" s="2"/>
      <c r="B348" s="2" t="s">
        <v>3</v>
      </c>
      <c r="C348" s="2" t="s">
        <v>614</v>
      </c>
      <c r="D348" s="2" t="s">
        <v>251</v>
      </c>
      <c r="E348" s="2" t="s">
        <v>252</v>
      </c>
      <c r="F348" s="2" t="s">
        <v>253</v>
      </c>
      <c r="G348" s="2" t="s">
        <v>285</v>
      </c>
      <c r="H348" s="35">
        <v>3500</v>
      </c>
      <c r="I348" s="2">
        <v>0</v>
      </c>
      <c r="J348" s="2">
        <v>35.9</v>
      </c>
      <c r="K348" s="2">
        <v>3</v>
      </c>
      <c r="L348" s="2">
        <v>12</v>
      </c>
      <c r="M348" s="2">
        <v>3.4</v>
      </c>
      <c r="N348" s="2">
        <v>9</v>
      </c>
      <c r="O348" s="2" t="s">
        <v>284</v>
      </c>
      <c r="P348" s="2" t="s">
        <v>286</v>
      </c>
      <c r="Q348" s="2" t="str">
        <f t="shared" si="24"/>
        <v>Shelvin</v>
      </c>
      <c r="R348" s="2" t="str">
        <f t="shared" si="25"/>
        <v>Mack</v>
      </c>
      <c r="S348" s="2" t="str">
        <f t="shared" si="22"/>
        <v>Shelvin Mack</v>
      </c>
      <c r="T348" s="2">
        <f t="shared" si="23"/>
        <v>9</v>
      </c>
    </row>
    <row r="349" spans="1:20" x14ac:dyDescent="0.25">
      <c r="A349" s="2"/>
      <c r="B349" s="2" t="s">
        <v>5</v>
      </c>
      <c r="C349" s="2" t="s">
        <v>615</v>
      </c>
      <c r="D349" s="2" t="s">
        <v>251</v>
      </c>
      <c r="E349" s="2" t="s">
        <v>252</v>
      </c>
      <c r="F349" s="2" t="s">
        <v>253</v>
      </c>
      <c r="G349" s="2" t="s">
        <v>92</v>
      </c>
      <c r="H349" s="35">
        <v>3500</v>
      </c>
      <c r="I349" s="2">
        <v>0</v>
      </c>
      <c r="J349" s="2">
        <v>38.4</v>
      </c>
      <c r="K349" s="2">
        <v>3</v>
      </c>
      <c r="L349" s="2">
        <v>12.8</v>
      </c>
      <c r="M349" s="2">
        <v>3.7</v>
      </c>
      <c r="N349" s="2">
        <v>8.9</v>
      </c>
      <c r="O349" s="2">
        <v>18</v>
      </c>
      <c r="P349" s="2" t="s">
        <v>263</v>
      </c>
      <c r="Q349" s="2" t="str">
        <f t="shared" si="24"/>
        <v>a Moute Luc</v>
      </c>
      <c r="R349" s="2" t="str">
        <f t="shared" si="25"/>
        <v>Mbah</v>
      </c>
      <c r="S349" s="2" t="str">
        <f t="shared" si="22"/>
        <v>a Moute Luc Mbah</v>
      </c>
      <c r="T349" s="2">
        <f t="shared" si="23"/>
        <v>8.9</v>
      </c>
    </row>
    <row r="350" spans="1:20" x14ac:dyDescent="0.25">
      <c r="A350" s="2"/>
      <c r="B350" s="2" t="s">
        <v>4</v>
      </c>
      <c r="C350" s="2" t="s">
        <v>616</v>
      </c>
      <c r="D350" s="2" t="s">
        <v>251</v>
      </c>
      <c r="E350" s="2" t="s">
        <v>252</v>
      </c>
      <c r="F350" s="2" t="s">
        <v>253</v>
      </c>
      <c r="G350" s="2" t="s">
        <v>305</v>
      </c>
      <c r="H350" s="35">
        <v>3500</v>
      </c>
      <c r="I350" s="2">
        <v>0</v>
      </c>
      <c r="J350" s="2">
        <v>10.8</v>
      </c>
      <c r="K350" s="2">
        <v>1</v>
      </c>
      <c r="L350" s="2">
        <v>10.8</v>
      </c>
      <c r="M350" s="2">
        <v>3.1</v>
      </c>
      <c r="N350" s="2">
        <v>8.8000000000000007</v>
      </c>
      <c r="O350" s="2">
        <v>10.8</v>
      </c>
      <c r="P350" s="2" t="s">
        <v>306</v>
      </c>
      <c r="Q350" s="2" t="str">
        <f t="shared" si="24"/>
        <v>Luis</v>
      </c>
      <c r="R350" s="2" t="str">
        <f t="shared" si="25"/>
        <v>Scola</v>
      </c>
      <c r="S350" s="2" t="str">
        <f t="shared" si="22"/>
        <v>Luis Scola</v>
      </c>
      <c r="T350" s="2">
        <f t="shared" si="23"/>
        <v>8.8000000000000007</v>
      </c>
    </row>
    <row r="351" spans="1:20" x14ac:dyDescent="0.25">
      <c r="A351" s="2"/>
      <c r="B351" s="2" t="s">
        <v>4</v>
      </c>
      <c r="C351" s="2" t="s">
        <v>617</v>
      </c>
      <c r="D351" s="2" t="s">
        <v>251</v>
      </c>
      <c r="E351" s="2" t="s">
        <v>252</v>
      </c>
      <c r="F351" s="2" t="s">
        <v>253</v>
      </c>
      <c r="G351" s="2" t="s">
        <v>280</v>
      </c>
      <c r="H351" s="35">
        <v>3500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8.8000000000000007</v>
      </c>
      <c r="O351" s="2" t="s">
        <v>284</v>
      </c>
      <c r="P351" s="2" t="s">
        <v>281</v>
      </c>
      <c r="Q351" s="2" t="str">
        <f t="shared" si="24"/>
        <v>Udonis</v>
      </c>
      <c r="R351" s="2" t="str">
        <f t="shared" si="25"/>
        <v>Haslem</v>
      </c>
      <c r="S351" s="2" t="str">
        <f t="shared" si="22"/>
        <v>Udonis Haslem</v>
      </c>
      <c r="T351" s="2">
        <f t="shared" si="23"/>
        <v>8.8000000000000007</v>
      </c>
    </row>
    <row r="352" spans="1:20" x14ac:dyDescent="0.25">
      <c r="A352" s="2"/>
      <c r="B352" s="2" t="s">
        <v>3</v>
      </c>
      <c r="C352" s="2" t="s">
        <v>618</v>
      </c>
      <c r="D352" s="2" t="s">
        <v>251</v>
      </c>
      <c r="E352" s="2" t="s">
        <v>252</v>
      </c>
      <c r="F352" s="2" t="s">
        <v>253</v>
      </c>
      <c r="G352" s="2" t="s">
        <v>303</v>
      </c>
      <c r="H352" s="35">
        <v>3500</v>
      </c>
      <c r="I352" s="2">
        <v>0</v>
      </c>
      <c r="J352" s="2">
        <v>23.6</v>
      </c>
      <c r="K352" s="2">
        <v>3</v>
      </c>
      <c r="L352" s="2">
        <v>7.9</v>
      </c>
      <c r="M352" s="2">
        <v>2.2000000000000002</v>
      </c>
      <c r="N352" s="2">
        <v>8.8000000000000007</v>
      </c>
      <c r="O352" s="2">
        <v>9</v>
      </c>
      <c r="P352" s="2" t="s">
        <v>304</v>
      </c>
      <c r="Q352" s="2" t="str">
        <f t="shared" si="24"/>
        <v>Brian</v>
      </c>
      <c r="R352" s="2" t="str">
        <f t="shared" si="25"/>
        <v>Roberts</v>
      </c>
      <c r="S352" s="2" t="str">
        <f t="shared" si="22"/>
        <v>Brian Roberts</v>
      </c>
      <c r="T352" s="2">
        <f t="shared" si="23"/>
        <v>8.8000000000000007</v>
      </c>
    </row>
    <row r="353" spans="1:20" x14ac:dyDescent="0.25">
      <c r="A353" s="2"/>
      <c r="B353" s="2" t="s">
        <v>5</v>
      </c>
      <c r="C353" s="2" t="s">
        <v>619</v>
      </c>
      <c r="D353" s="2" t="s">
        <v>251</v>
      </c>
      <c r="E353" s="2" t="s">
        <v>252</v>
      </c>
      <c r="F353" s="2" t="s">
        <v>253</v>
      </c>
      <c r="G353" s="2" t="s">
        <v>266</v>
      </c>
      <c r="H353" s="35">
        <v>3500</v>
      </c>
      <c r="I353" s="2">
        <v>0</v>
      </c>
      <c r="J353" s="2">
        <v>22.2</v>
      </c>
      <c r="K353" s="2">
        <v>4</v>
      </c>
      <c r="L353" s="2">
        <v>5.5</v>
      </c>
      <c r="M353" s="2">
        <v>1.6</v>
      </c>
      <c r="N353" s="2">
        <v>8.8000000000000007</v>
      </c>
      <c r="O353" s="2">
        <v>9.1</v>
      </c>
      <c r="P353" s="2" t="s">
        <v>267</v>
      </c>
      <c r="Q353" s="2" t="str">
        <f t="shared" si="24"/>
        <v>Kyle</v>
      </c>
      <c r="R353" s="2" t="str">
        <f t="shared" si="25"/>
        <v>Anderson</v>
      </c>
      <c r="S353" s="2" t="str">
        <f t="shared" si="22"/>
        <v>Kyle Anderson</v>
      </c>
      <c r="T353" s="2">
        <f t="shared" si="23"/>
        <v>8.8000000000000007</v>
      </c>
    </row>
    <row r="354" spans="1:20" x14ac:dyDescent="0.25">
      <c r="A354" s="2"/>
      <c r="B354" s="2" t="s">
        <v>5</v>
      </c>
      <c r="C354" s="2" t="s">
        <v>620</v>
      </c>
      <c r="D354" s="2" t="s">
        <v>251</v>
      </c>
      <c r="E354" s="2" t="s">
        <v>252</v>
      </c>
      <c r="F354" s="2" t="s">
        <v>253</v>
      </c>
      <c r="G354" s="2" t="s">
        <v>301</v>
      </c>
      <c r="H354" s="35">
        <v>3500</v>
      </c>
      <c r="I354" s="2">
        <v>0</v>
      </c>
      <c r="J354" s="2">
        <v>17</v>
      </c>
      <c r="K354" s="2">
        <v>1</v>
      </c>
      <c r="L354" s="2">
        <v>17</v>
      </c>
      <c r="M354" s="2">
        <v>4.9000000000000004</v>
      </c>
      <c r="N354" s="2">
        <v>8.6999999999999993</v>
      </c>
      <c r="O354" s="2">
        <v>17</v>
      </c>
      <c r="P354" s="2" t="s">
        <v>302</v>
      </c>
      <c r="Q354" s="2" t="str">
        <f t="shared" si="24"/>
        <v>Taurean</v>
      </c>
      <c r="R354" s="2" t="str">
        <f t="shared" si="25"/>
        <v>Prince</v>
      </c>
      <c r="S354" s="2" t="str">
        <f t="shared" si="22"/>
        <v>Taurean Prince</v>
      </c>
      <c r="T354" s="2">
        <f t="shared" si="23"/>
        <v>8.6999999999999993</v>
      </c>
    </row>
    <row r="355" spans="1:20" x14ac:dyDescent="0.25">
      <c r="A355" s="2"/>
      <c r="B355" s="2" t="s">
        <v>4</v>
      </c>
      <c r="C355" s="2" t="s">
        <v>621</v>
      </c>
      <c r="D355" s="2" t="s">
        <v>251</v>
      </c>
      <c r="E355" s="2" t="s">
        <v>252</v>
      </c>
      <c r="F355" s="2" t="s">
        <v>253</v>
      </c>
      <c r="G355" s="2" t="s">
        <v>259</v>
      </c>
      <c r="H355" s="35">
        <v>3500</v>
      </c>
      <c r="I355" s="2">
        <v>0</v>
      </c>
      <c r="J355" s="2">
        <v>54.8</v>
      </c>
      <c r="K355" s="2">
        <v>4</v>
      </c>
      <c r="L355" s="2">
        <v>13.7</v>
      </c>
      <c r="M355" s="2">
        <v>3.9</v>
      </c>
      <c r="N355" s="2">
        <v>8.6</v>
      </c>
      <c r="O355" s="2">
        <v>12.9</v>
      </c>
      <c r="P355" s="2" t="s">
        <v>260</v>
      </c>
      <c r="Q355" s="2" t="str">
        <f t="shared" si="24"/>
        <v>Donatas</v>
      </c>
      <c r="R355" s="2" t="str">
        <f t="shared" si="25"/>
        <v>Motiejunas</v>
      </c>
      <c r="S355" s="2" t="str">
        <f t="shared" si="22"/>
        <v>Donatas Motiejunas</v>
      </c>
      <c r="T355" s="2">
        <f t="shared" si="23"/>
        <v>8.6</v>
      </c>
    </row>
    <row r="356" spans="1:20" x14ac:dyDescent="0.25">
      <c r="A356" s="2"/>
      <c r="B356" s="2" t="s">
        <v>6</v>
      </c>
      <c r="C356" s="2" t="s">
        <v>622</v>
      </c>
      <c r="D356" s="2" t="s">
        <v>251</v>
      </c>
      <c r="E356" s="2" t="s">
        <v>252</v>
      </c>
      <c r="F356" s="2" t="s">
        <v>253</v>
      </c>
      <c r="G356" s="2" t="s">
        <v>280</v>
      </c>
      <c r="H356" s="35">
        <v>3500</v>
      </c>
      <c r="I356" s="2">
        <v>0</v>
      </c>
      <c r="J356" s="2">
        <v>31.7</v>
      </c>
      <c r="K356" s="2">
        <v>4</v>
      </c>
      <c r="L356" s="2">
        <v>7.9</v>
      </c>
      <c r="M356" s="2">
        <v>2.2999999999999998</v>
      </c>
      <c r="N356" s="2">
        <v>8.6</v>
      </c>
      <c r="O356" s="2">
        <v>3.4</v>
      </c>
      <c r="P356" s="2" t="s">
        <v>281</v>
      </c>
      <c r="Q356" s="2" t="str">
        <f t="shared" si="24"/>
        <v>Willie</v>
      </c>
      <c r="R356" s="2" t="str">
        <f t="shared" si="25"/>
        <v>Reed</v>
      </c>
      <c r="S356" s="2" t="str">
        <f t="shared" si="22"/>
        <v>Willie Reed</v>
      </c>
      <c r="T356" s="2">
        <f t="shared" si="23"/>
        <v>8.6</v>
      </c>
    </row>
    <row r="357" spans="1:20" x14ac:dyDescent="0.25">
      <c r="A357" s="2"/>
      <c r="B357" s="2" t="s">
        <v>5</v>
      </c>
      <c r="C357" s="2" t="s">
        <v>623</v>
      </c>
      <c r="D357" s="2" t="s">
        <v>251</v>
      </c>
      <c r="E357" s="2" t="s">
        <v>252</v>
      </c>
      <c r="F357" s="2" t="s">
        <v>253</v>
      </c>
      <c r="G357" s="2" t="s">
        <v>301</v>
      </c>
      <c r="H357" s="35">
        <v>3500</v>
      </c>
      <c r="I357" s="2">
        <v>0</v>
      </c>
      <c r="J357" s="2">
        <v>14.6</v>
      </c>
      <c r="K357" s="2">
        <v>3</v>
      </c>
      <c r="L357" s="2">
        <v>4.9000000000000004</v>
      </c>
      <c r="M357" s="2">
        <v>1.4</v>
      </c>
      <c r="N357" s="2">
        <v>8.5</v>
      </c>
      <c r="O357" s="2">
        <v>4.2</v>
      </c>
      <c r="P357" s="2" t="s">
        <v>302</v>
      </c>
      <c r="Q357" s="2" t="str">
        <f t="shared" si="24"/>
        <v>Mike</v>
      </c>
      <c r="R357" s="2" t="str">
        <f t="shared" si="25"/>
        <v>Dunleavy</v>
      </c>
      <c r="S357" s="2" t="str">
        <f t="shared" si="22"/>
        <v>Mike Dunleavy</v>
      </c>
      <c r="T357" s="2">
        <f t="shared" si="23"/>
        <v>8.5</v>
      </c>
    </row>
    <row r="358" spans="1:20" x14ac:dyDescent="0.25">
      <c r="A358" s="2"/>
      <c r="B358" s="2" t="s">
        <v>4</v>
      </c>
      <c r="C358" s="2" t="s">
        <v>624</v>
      </c>
      <c r="D358" s="2" t="s">
        <v>251</v>
      </c>
      <c r="E358" s="2" t="s">
        <v>252</v>
      </c>
      <c r="F358" s="2" t="s">
        <v>253</v>
      </c>
      <c r="G358" s="2" t="s">
        <v>305</v>
      </c>
      <c r="H358" s="35">
        <v>3500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8.4</v>
      </c>
      <c r="O358" s="2" t="s">
        <v>284</v>
      </c>
      <c r="P358" s="2" t="s">
        <v>306</v>
      </c>
      <c r="Q358" s="2" t="str">
        <f t="shared" si="24"/>
        <v>Quincy</v>
      </c>
      <c r="R358" s="2" t="str">
        <f t="shared" si="25"/>
        <v>Acy</v>
      </c>
      <c r="S358" s="2" t="str">
        <f t="shared" si="22"/>
        <v>Quincy Acy</v>
      </c>
      <c r="T358" s="2">
        <f t="shared" si="23"/>
        <v>8.4</v>
      </c>
    </row>
    <row r="359" spans="1:20" x14ac:dyDescent="0.25">
      <c r="A359" s="2"/>
      <c r="B359" s="2" t="s">
        <v>3</v>
      </c>
      <c r="C359" s="2" t="s">
        <v>625</v>
      </c>
      <c r="D359" s="2" t="s">
        <v>251</v>
      </c>
      <c r="E359" s="2" t="s">
        <v>252</v>
      </c>
      <c r="F359" s="2" t="s">
        <v>253</v>
      </c>
      <c r="G359" s="2" t="s">
        <v>259</v>
      </c>
      <c r="H359" s="35">
        <v>3500</v>
      </c>
      <c r="I359" s="2">
        <v>0</v>
      </c>
      <c r="J359" s="2">
        <v>30</v>
      </c>
      <c r="K359" s="2">
        <v>3</v>
      </c>
      <c r="L359" s="2">
        <v>10</v>
      </c>
      <c r="M359" s="2">
        <v>2.9</v>
      </c>
      <c r="N359" s="2">
        <v>8.1999999999999993</v>
      </c>
      <c r="O359" s="2" t="s">
        <v>284</v>
      </c>
      <c r="P359" s="2" t="s">
        <v>260</v>
      </c>
      <c r="Q359" s="2" t="str">
        <f t="shared" si="24"/>
        <v>Tim</v>
      </c>
      <c r="R359" s="2" t="str">
        <f t="shared" si="25"/>
        <v>Frazier</v>
      </c>
      <c r="S359" s="2" t="str">
        <f t="shared" si="22"/>
        <v>Tim Frazier</v>
      </c>
      <c r="T359" s="2">
        <f t="shared" si="23"/>
        <v>8.1999999999999993</v>
      </c>
    </row>
    <row r="360" spans="1:20" x14ac:dyDescent="0.25">
      <c r="A360" s="2"/>
      <c r="B360" s="2" t="s">
        <v>7</v>
      </c>
      <c r="C360" s="2" t="s">
        <v>626</v>
      </c>
      <c r="D360" s="2" t="s">
        <v>251</v>
      </c>
      <c r="E360" s="2" t="s">
        <v>252</v>
      </c>
      <c r="F360" s="2" t="s">
        <v>253</v>
      </c>
      <c r="G360" s="2" t="s">
        <v>89</v>
      </c>
      <c r="H360" s="35">
        <v>3500</v>
      </c>
      <c r="I360" s="2">
        <v>0</v>
      </c>
      <c r="J360" s="2">
        <v>26.1</v>
      </c>
      <c r="K360" s="2">
        <v>3</v>
      </c>
      <c r="L360" s="2">
        <v>8.6999999999999993</v>
      </c>
      <c r="M360" s="2">
        <v>2.5</v>
      </c>
      <c r="N360" s="2">
        <v>8.1</v>
      </c>
      <c r="O360" s="2">
        <v>12.4</v>
      </c>
      <c r="P360" s="2" t="s">
        <v>254</v>
      </c>
      <c r="Q360" s="2" t="str">
        <f t="shared" si="24"/>
        <v>Alex</v>
      </c>
      <c r="R360" s="2" t="str">
        <f t="shared" si="25"/>
        <v>Abrines</v>
      </c>
      <c r="S360" s="2" t="str">
        <f t="shared" si="22"/>
        <v>Alex Abrines</v>
      </c>
      <c r="T360" s="2">
        <f t="shared" si="23"/>
        <v>8.1</v>
      </c>
    </row>
    <row r="361" spans="1:20" x14ac:dyDescent="0.25">
      <c r="A361" s="2"/>
      <c r="B361" s="2" t="s">
        <v>4</v>
      </c>
      <c r="C361" s="2" t="s">
        <v>627</v>
      </c>
      <c r="D361" s="2" t="s">
        <v>251</v>
      </c>
      <c r="E361" s="2" t="s">
        <v>252</v>
      </c>
      <c r="F361" s="2" t="s">
        <v>253</v>
      </c>
      <c r="G361" s="2" t="s">
        <v>272</v>
      </c>
      <c r="H361" s="35">
        <v>3500</v>
      </c>
      <c r="I361" s="2">
        <v>0</v>
      </c>
      <c r="J361" s="2">
        <v>33.9</v>
      </c>
      <c r="K361" s="2">
        <v>4</v>
      </c>
      <c r="L361" s="2">
        <v>8.5</v>
      </c>
      <c r="M361" s="2">
        <v>2.4</v>
      </c>
      <c r="N361" s="2">
        <v>8</v>
      </c>
      <c r="O361" s="2">
        <v>11.7</v>
      </c>
      <c r="P361" s="2" t="s">
        <v>273</v>
      </c>
      <c r="Q361" s="2" t="str">
        <f t="shared" si="24"/>
        <v>Kevon</v>
      </c>
      <c r="R361" s="2" t="str">
        <f t="shared" si="25"/>
        <v>Looney</v>
      </c>
      <c r="S361" s="2" t="str">
        <f t="shared" si="22"/>
        <v>Kevon Looney</v>
      </c>
      <c r="T361" s="2">
        <f t="shared" si="23"/>
        <v>8</v>
      </c>
    </row>
    <row r="362" spans="1:20" x14ac:dyDescent="0.25">
      <c r="A362" s="2"/>
      <c r="B362" s="2" t="s">
        <v>7</v>
      </c>
      <c r="C362" s="2" t="s">
        <v>628</v>
      </c>
      <c r="D362" s="2" t="s">
        <v>251</v>
      </c>
      <c r="E362" s="2" t="s">
        <v>252</v>
      </c>
      <c r="F362" s="2" t="s">
        <v>253</v>
      </c>
      <c r="G362" s="2" t="s">
        <v>264</v>
      </c>
      <c r="H362" s="35">
        <v>3500</v>
      </c>
      <c r="I362" s="2">
        <v>0</v>
      </c>
      <c r="J362" s="2">
        <v>26.8</v>
      </c>
      <c r="K362" s="2">
        <v>3</v>
      </c>
      <c r="L362" s="2">
        <v>8.9</v>
      </c>
      <c r="M362" s="2">
        <v>2.6</v>
      </c>
      <c r="N362" s="2">
        <v>8</v>
      </c>
      <c r="O362" s="2">
        <v>2.2000000000000002</v>
      </c>
      <c r="P362" s="2" t="s">
        <v>265</v>
      </c>
      <c r="Q362" s="2" t="str">
        <f t="shared" si="24"/>
        <v>Tomas</v>
      </c>
      <c r="R362" s="2" t="str">
        <f t="shared" si="25"/>
        <v>Satoransky</v>
      </c>
      <c r="S362" s="2" t="str">
        <f t="shared" si="22"/>
        <v>Tomas Satoransky</v>
      </c>
      <c r="T362" s="2">
        <f t="shared" si="23"/>
        <v>8</v>
      </c>
    </row>
    <row r="363" spans="1:20" x14ac:dyDescent="0.25">
      <c r="A363" s="2"/>
      <c r="B363" s="2" t="s">
        <v>4</v>
      </c>
      <c r="C363" s="2" t="s">
        <v>629</v>
      </c>
      <c r="D363" s="2" t="s">
        <v>251</v>
      </c>
      <c r="E363" s="2" t="s">
        <v>252</v>
      </c>
      <c r="F363" s="2" t="s">
        <v>253</v>
      </c>
      <c r="G363" s="2" t="s">
        <v>278</v>
      </c>
      <c r="H363" s="35">
        <v>3500</v>
      </c>
      <c r="I363" s="2">
        <v>-100</v>
      </c>
      <c r="J363" s="2">
        <v>47.2</v>
      </c>
      <c r="K363" s="2">
        <v>4</v>
      </c>
      <c r="L363" s="2">
        <v>11.8</v>
      </c>
      <c r="M363" s="2">
        <v>3.4</v>
      </c>
      <c r="N363" s="2">
        <v>7.9</v>
      </c>
      <c r="O363" s="2">
        <v>10.6</v>
      </c>
      <c r="P363" s="2" t="s">
        <v>279</v>
      </c>
      <c r="Q363" s="2" t="str">
        <f t="shared" si="24"/>
        <v>Bobby</v>
      </c>
      <c r="R363" s="2" t="str">
        <f t="shared" si="25"/>
        <v>Portis</v>
      </c>
      <c r="S363" s="2" t="str">
        <f t="shared" si="22"/>
        <v>Bobby Portis</v>
      </c>
      <c r="T363" s="2">
        <f t="shared" si="23"/>
        <v>7.9</v>
      </c>
    </row>
    <row r="364" spans="1:20" x14ac:dyDescent="0.25">
      <c r="A364" s="2"/>
      <c r="B364" s="2" t="s">
        <v>4</v>
      </c>
      <c r="C364" s="2" t="s">
        <v>630</v>
      </c>
      <c r="D364" s="2" t="s">
        <v>251</v>
      </c>
      <c r="E364" s="2" t="s">
        <v>252</v>
      </c>
      <c r="F364" s="2" t="s">
        <v>253</v>
      </c>
      <c r="G364" s="2" t="s">
        <v>285</v>
      </c>
      <c r="H364" s="35">
        <v>3500</v>
      </c>
      <c r="I364" s="2">
        <v>0</v>
      </c>
      <c r="J364" s="2">
        <v>37.6</v>
      </c>
      <c r="K364" s="2">
        <v>4</v>
      </c>
      <c r="L364" s="2">
        <v>9.4</v>
      </c>
      <c r="M364" s="2">
        <v>2.7</v>
      </c>
      <c r="N364" s="2">
        <v>7.8</v>
      </c>
      <c r="O364" s="2">
        <v>13.6</v>
      </c>
      <c r="P364" s="2" t="s">
        <v>286</v>
      </c>
      <c r="Q364" s="2" t="str">
        <f t="shared" si="24"/>
        <v>Boris</v>
      </c>
      <c r="R364" s="2" t="str">
        <f t="shared" si="25"/>
        <v>Diaw</v>
      </c>
      <c r="S364" s="2" t="str">
        <f t="shared" si="22"/>
        <v>Boris Diaw</v>
      </c>
      <c r="T364" s="2">
        <f t="shared" si="23"/>
        <v>7.8</v>
      </c>
    </row>
    <row r="365" spans="1:20" x14ac:dyDescent="0.25">
      <c r="A365" s="2"/>
      <c r="B365" s="2" t="s">
        <v>3</v>
      </c>
      <c r="C365" s="2" t="s">
        <v>631</v>
      </c>
      <c r="D365" s="2" t="s">
        <v>251</v>
      </c>
      <c r="E365" s="2" t="s">
        <v>252</v>
      </c>
      <c r="F365" s="2" t="s">
        <v>253</v>
      </c>
      <c r="G365" s="2" t="s">
        <v>295</v>
      </c>
      <c r="H365" s="35">
        <v>3500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7.8</v>
      </c>
      <c r="O365" s="2" t="s">
        <v>284</v>
      </c>
      <c r="P365" s="2" t="s">
        <v>296</v>
      </c>
      <c r="Q365" s="2" t="str">
        <f t="shared" si="24"/>
        <v>Aaron</v>
      </c>
      <c r="R365" s="2" t="str">
        <f t="shared" si="25"/>
        <v>Brooks</v>
      </c>
      <c r="S365" s="2" t="str">
        <f t="shared" si="22"/>
        <v>Aaron Brooks</v>
      </c>
      <c r="T365" s="2">
        <f t="shared" si="23"/>
        <v>7.8</v>
      </c>
    </row>
    <row r="366" spans="1:20" x14ac:dyDescent="0.25">
      <c r="A366" s="2"/>
      <c r="B366" s="2" t="s">
        <v>6</v>
      </c>
      <c r="C366" s="2" t="s">
        <v>632</v>
      </c>
      <c r="D366" s="2" t="s">
        <v>251</v>
      </c>
      <c r="E366" s="2" t="s">
        <v>252</v>
      </c>
      <c r="F366" s="2" t="s">
        <v>253</v>
      </c>
      <c r="G366" s="2" t="s">
        <v>289</v>
      </c>
      <c r="H366" s="35">
        <v>3500</v>
      </c>
      <c r="I366" s="2">
        <v>0</v>
      </c>
      <c r="J366" s="2">
        <v>31.8</v>
      </c>
      <c r="K366" s="2">
        <v>3</v>
      </c>
      <c r="L366" s="2">
        <v>10.6</v>
      </c>
      <c r="M366" s="2">
        <v>3</v>
      </c>
      <c r="N366" s="2">
        <v>7.7</v>
      </c>
      <c r="O366" s="2">
        <v>7.7</v>
      </c>
      <c r="P366" s="2" t="s">
        <v>290</v>
      </c>
      <c r="Q366" s="2" t="str">
        <f t="shared" si="24"/>
        <v>Jakob</v>
      </c>
      <c r="R366" s="2" t="str">
        <f t="shared" si="25"/>
        <v>Poeltl</v>
      </c>
      <c r="S366" s="2" t="str">
        <f t="shared" si="22"/>
        <v>Jakob Poeltl</v>
      </c>
      <c r="T366" s="2">
        <f t="shared" si="23"/>
        <v>7.7</v>
      </c>
    </row>
    <row r="367" spans="1:20" x14ac:dyDescent="0.25">
      <c r="A367" s="2"/>
      <c r="B367" s="2" t="s">
        <v>3</v>
      </c>
      <c r="C367" s="2" t="s">
        <v>633</v>
      </c>
      <c r="D367" s="2" t="s">
        <v>251</v>
      </c>
      <c r="E367" s="2" t="s">
        <v>252</v>
      </c>
      <c r="F367" s="2" t="s">
        <v>253</v>
      </c>
      <c r="G367" s="2" t="s">
        <v>299</v>
      </c>
      <c r="H367" s="35">
        <v>3700</v>
      </c>
      <c r="I367" s="2">
        <v>0</v>
      </c>
      <c r="J367" s="2">
        <v>30.4</v>
      </c>
      <c r="K367" s="2">
        <v>3</v>
      </c>
      <c r="L367" s="2">
        <v>10.1</v>
      </c>
      <c r="M367" s="2">
        <v>2.7</v>
      </c>
      <c r="N367" s="2">
        <v>7.6</v>
      </c>
      <c r="O367" s="2" t="s">
        <v>284</v>
      </c>
      <c r="P367" s="2" t="s">
        <v>300</v>
      </c>
      <c r="Q367" s="2" t="str">
        <f t="shared" si="24"/>
        <v>Tyler</v>
      </c>
      <c r="R367" s="2" t="str">
        <f t="shared" si="25"/>
        <v>Ulis</v>
      </c>
      <c r="S367" s="2" t="str">
        <f t="shared" si="22"/>
        <v>Tyler Ulis</v>
      </c>
      <c r="T367" s="2">
        <f t="shared" si="23"/>
        <v>7.6</v>
      </c>
    </row>
    <row r="368" spans="1:20" x14ac:dyDescent="0.25">
      <c r="A368" s="2"/>
      <c r="B368" s="2" t="s">
        <v>5</v>
      </c>
      <c r="C368" s="2" t="s">
        <v>634</v>
      </c>
      <c r="D368" s="2" t="s">
        <v>251</v>
      </c>
      <c r="E368" s="2" t="s">
        <v>252</v>
      </c>
      <c r="F368" s="2" t="s">
        <v>253</v>
      </c>
      <c r="G368" s="2" t="s">
        <v>89</v>
      </c>
      <c r="H368" s="35">
        <v>3500</v>
      </c>
      <c r="I368" s="2">
        <v>0</v>
      </c>
      <c r="J368" s="2">
        <v>15.1</v>
      </c>
      <c r="K368" s="2">
        <v>1</v>
      </c>
      <c r="L368" s="2">
        <v>15.1</v>
      </c>
      <c r="M368" s="2">
        <v>4.3</v>
      </c>
      <c r="N368" s="2">
        <v>7.5</v>
      </c>
      <c r="O368" s="2">
        <v>15.1</v>
      </c>
      <c r="P368" s="2" t="s">
        <v>254</v>
      </c>
      <c r="Q368" s="2" t="str">
        <f t="shared" si="24"/>
        <v>Kyle</v>
      </c>
      <c r="R368" s="2" t="str">
        <f t="shared" si="25"/>
        <v>Singler</v>
      </c>
      <c r="S368" s="2" t="str">
        <f t="shared" si="22"/>
        <v>Kyle Singler</v>
      </c>
      <c r="T368" s="2">
        <f t="shared" si="23"/>
        <v>7.5</v>
      </c>
    </row>
    <row r="369" spans="1:20" x14ac:dyDescent="0.25">
      <c r="A369" s="2"/>
      <c r="B369" s="2" t="s">
        <v>7</v>
      </c>
      <c r="C369" s="2" t="s">
        <v>635</v>
      </c>
      <c r="D369" s="2" t="s">
        <v>251</v>
      </c>
      <c r="E369" s="2" t="s">
        <v>252</v>
      </c>
      <c r="F369" s="2" t="s">
        <v>253</v>
      </c>
      <c r="G369" s="2" t="s">
        <v>291</v>
      </c>
      <c r="H369" s="35">
        <v>3500</v>
      </c>
      <c r="I369" s="2">
        <v>0</v>
      </c>
      <c r="J369" s="2">
        <v>35.9</v>
      </c>
      <c r="K369" s="2">
        <v>3</v>
      </c>
      <c r="L369" s="2">
        <v>12</v>
      </c>
      <c r="M369" s="2">
        <v>3.4</v>
      </c>
      <c r="N369" s="2">
        <v>7.5</v>
      </c>
      <c r="O369" s="2">
        <v>8.6999999999999993</v>
      </c>
      <c r="P369" s="2" t="s">
        <v>292</v>
      </c>
      <c r="Q369" s="2" t="str">
        <f t="shared" si="24"/>
        <v>Troy</v>
      </c>
      <c r="R369" s="2" t="str">
        <f t="shared" si="25"/>
        <v>Daniels</v>
      </c>
      <c r="S369" s="2" t="str">
        <f t="shared" si="22"/>
        <v>Troy Daniels</v>
      </c>
      <c r="T369" s="2">
        <f t="shared" si="23"/>
        <v>7.5</v>
      </c>
    </row>
    <row r="370" spans="1:20" x14ac:dyDescent="0.25">
      <c r="A370" s="2"/>
      <c r="B370" s="2" t="s">
        <v>6</v>
      </c>
      <c r="C370" s="2" t="s">
        <v>636</v>
      </c>
      <c r="D370" s="2" t="s">
        <v>251</v>
      </c>
      <c r="E370" s="2" t="s">
        <v>252</v>
      </c>
      <c r="F370" s="2" t="s">
        <v>253</v>
      </c>
      <c r="G370" s="2" t="s">
        <v>297</v>
      </c>
      <c r="H370" s="35">
        <v>3800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 s="2">
        <v>7.4</v>
      </c>
      <c r="O370" s="2" t="s">
        <v>284</v>
      </c>
      <c r="P370" s="2" t="s">
        <v>298</v>
      </c>
      <c r="Q370" s="2" t="str">
        <f t="shared" si="24"/>
        <v>Joakim</v>
      </c>
      <c r="R370" s="2" t="str">
        <f t="shared" si="25"/>
        <v>Noah</v>
      </c>
      <c r="S370" s="2" t="str">
        <f t="shared" si="22"/>
        <v>Joakim Noah</v>
      </c>
      <c r="T370" s="2">
        <f t="shared" si="23"/>
        <v>7.4</v>
      </c>
    </row>
    <row r="371" spans="1:20" x14ac:dyDescent="0.25">
      <c r="A371" s="2"/>
      <c r="B371" s="2" t="s">
        <v>7</v>
      </c>
      <c r="C371" s="2" t="s">
        <v>637</v>
      </c>
      <c r="D371" s="2" t="s">
        <v>251</v>
      </c>
      <c r="E371" s="2" t="s">
        <v>252</v>
      </c>
      <c r="F371" s="2" t="s">
        <v>253</v>
      </c>
      <c r="G371" s="2" t="s">
        <v>297</v>
      </c>
      <c r="H371" s="35">
        <v>3500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7.3</v>
      </c>
      <c r="O371" s="2" t="s">
        <v>284</v>
      </c>
      <c r="P371" s="2" t="s">
        <v>298</v>
      </c>
      <c r="Q371" s="2" t="str">
        <f t="shared" si="24"/>
        <v>Sasha</v>
      </c>
      <c r="R371" s="2" t="str">
        <f t="shared" si="25"/>
        <v>Vujacic</v>
      </c>
      <c r="S371" s="2" t="str">
        <f t="shared" si="22"/>
        <v>Sasha Vujacic</v>
      </c>
      <c r="T371" s="2">
        <f t="shared" si="23"/>
        <v>7.3</v>
      </c>
    </row>
    <row r="372" spans="1:20" x14ac:dyDescent="0.25">
      <c r="A372" s="2"/>
      <c r="B372" s="2"/>
      <c r="C372" s="2"/>
      <c r="D372" s="2"/>
      <c r="E372" s="2"/>
      <c r="F372" s="2"/>
      <c r="G372" s="2"/>
      <c r="H372" s="42">
        <v>42782</v>
      </c>
      <c r="I372" s="2" t="s">
        <v>232</v>
      </c>
      <c r="J372" s="2" t="s">
        <v>233</v>
      </c>
      <c r="K372" s="2" t="s">
        <v>232</v>
      </c>
      <c r="L372" s="2" t="s">
        <v>234</v>
      </c>
      <c r="M372" s="2" t="s">
        <v>235</v>
      </c>
      <c r="N372" s="2" t="s">
        <v>232</v>
      </c>
      <c r="O372" s="2" t="s">
        <v>232</v>
      </c>
      <c r="P372" s="2" t="s">
        <v>236</v>
      </c>
      <c r="Q372" s="2" t="e">
        <f t="shared" si="24"/>
        <v>#VALUE!</v>
      </c>
      <c r="R372" s="2" t="e">
        <f t="shared" si="25"/>
        <v>#VALUE!</v>
      </c>
      <c r="S372" s="2" t="e">
        <f t="shared" si="22"/>
        <v>#VALUE!</v>
      </c>
      <c r="T372" s="2" t="str">
        <f t="shared" si="23"/>
        <v>Last</v>
      </c>
    </row>
    <row r="373" spans="1:20" x14ac:dyDescent="0.25">
      <c r="A373" s="2"/>
      <c r="B373" s="2"/>
      <c r="C373" s="2"/>
      <c r="D373" s="2"/>
      <c r="E373" s="2"/>
      <c r="F373" s="2"/>
      <c r="G373" s="2"/>
      <c r="H373" s="2" t="s">
        <v>142</v>
      </c>
      <c r="I373" s="2" t="s">
        <v>142</v>
      </c>
      <c r="J373" s="2" t="s">
        <v>237</v>
      </c>
      <c r="K373" s="2"/>
      <c r="L373" s="2" t="s">
        <v>238</v>
      </c>
      <c r="M373" s="2" t="s">
        <v>239</v>
      </c>
      <c r="N373" s="2" t="s">
        <v>240</v>
      </c>
      <c r="O373" s="2" t="s">
        <v>1</v>
      </c>
      <c r="P373" s="2" t="s">
        <v>241</v>
      </c>
      <c r="Q373" s="2" t="e">
        <f t="shared" si="24"/>
        <v>#VALUE!</v>
      </c>
      <c r="R373" s="2" t="e">
        <f t="shared" si="25"/>
        <v>#VALUE!</v>
      </c>
      <c r="S373" s="2" t="e">
        <f t="shared" si="22"/>
        <v>#VALUE!</v>
      </c>
      <c r="T373" s="2" t="str">
        <f t="shared" si="23"/>
        <v>15 day</v>
      </c>
    </row>
    <row r="374" spans="1:20" x14ac:dyDescent="0.25">
      <c r="A374" s="2"/>
      <c r="B374" s="2" t="s">
        <v>8</v>
      </c>
      <c r="C374" s="2" t="s">
        <v>242</v>
      </c>
      <c r="D374" s="2" t="s">
        <v>243</v>
      </c>
      <c r="E374" s="2" t="s">
        <v>244</v>
      </c>
      <c r="F374" s="2" t="s">
        <v>245</v>
      </c>
      <c r="G374" s="2" t="s">
        <v>2</v>
      </c>
      <c r="H374" s="43">
        <v>0</v>
      </c>
      <c r="I374" s="2" t="s">
        <v>246</v>
      </c>
      <c r="J374" s="2" t="s">
        <v>238</v>
      </c>
      <c r="K374" s="2" t="s">
        <v>247</v>
      </c>
      <c r="L374" s="2" t="s">
        <v>248</v>
      </c>
      <c r="M374" s="2" t="s">
        <v>249</v>
      </c>
      <c r="N374" s="2" t="s">
        <v>250</v>
      </c>
      <c r="O374" s="2" t="s">
        <v>238</v>
      </c>
      <c r="P374" s="2">
        <v>1.23456789012345E+27</v>
      </c>
      <c r="Q374" s="2" t="e">
        <f t="shared" si="24"/>
        <v>#VALUE!</v>
      </c>
      <c r="R374" s="2" t="e">
        <f t="shared" si="25"/>
        <v>#VALUE!</v>
      </c>
      <c r="S374" s="2" t="e">
        <f t="shared" si="22"/>
        <v>#VALUE!</v>
      </c>
      <c r="T374" s="2" t="str">
        <f t="shared" si="23"/>
        <v>FDP/G</v>
      </c>
    </row>
    <row r="375" spans="1:20" x14ac:dyDescent="0.25">
      <c r="A375" s="2"/>
      <c r="B375" s="2" t="s">
        <v>6</v>
      </c>
      <c r="C375" s="2" t="s">
        <v>638</v>
      </c>
      <c r="D375" s="2" t="s">
        <v>251</v>
      </c>
      <c r="E375" s="2" t="s">
        <v>252</v>
      </c>
      <c r="F375" s="2" t="s">
        <v>253</v>
      </c>
      <c r="G375" s="2" t="s">
        <v>287</v>
      </c>
      <c r="H375" s="35">
        <v>3500</v>
      </c>
      <c r="I375" s="2">
        <v>0</v>
      </c>
      <c r="J375" s="2">
        <v>14.6</v>
      </c>
      <c r="K375" s="2">
        <v>2</v>
      </c>
      <c r="L375" s="2">
        <v>7.3</v>
      </c>
      <c r="M375" s="2">
        <v>2.1</v>
      </c>
      <c r="N375" s="2">
        <v>7.3</v>
      </c>
      <c r="O375" s="2">
        <v>5.3</v>
      </c>
      <c r="P375" s="2" t="s">
        <v>288</v>
      </c>
      <c r="Q375" s="2" t="str">
        <f t="shared" si="24"/>
        <v>Boban</v>
      </c>
      <c r="R375" s="2" t="str">
        <f t="shared" si="25"/>
        <v>Marjanovic</v>
      </c>
      <c r="S375" s="2" t="str">
        <f t="shared" si="22"/>
        <v>Boban Marjanovic</v>
      </c>
      <c r="T375" s="2">
        <f t="shared" si="23"/>
        <v>7.3</v>
      </c>
    </row>
    <row r="376" spans="1:20" x14ac:dyDescent="0.25">
      <c r="A376" s="2"/>
      <c r="B376" s="2" t="s">
        <v>6</v>
      </c>
      <c r="C376" s="2" t="s">
        <v>639</v>
      </c>
      <c r="D376" s="2" t="s">
        <v>251</v>
      </c>
      <c r="E376" s="2" t="s">
        <v>252</v>
      </c>
      <c r="F376" s="2" t="s">
        <v>253</v>
      </c>
      <c r="G376" s="2" t="s">
        <v>264</v>
      </c>
      <c r="H376" s="35">
        <v>3500</v>
      </c>
      <c r="I376" s="2">
        <v>-100</v>
      </c>
      <c r="J376" s="2">
        <v>21.6</v>
      </c>
      <c r="K376" s="2">
        <v>3</v>
      </c>
      <c r="L376" s="2">
        <v>7.2</v>
      </c>
      <c r="M376" s="2">
        <v>2.1</v>
      </c>
      <c r="N376" s="2">
        <v>7.2</v>
      </c>
      <c r="O376" s="2">
        <v>6</v>
      </c>
      <c r="P376" s="2" t="s">
        <v>265</v>
      </c>
      <c r="Q376" s="2" t="str">
        <f t="shared" si="24"/>
        <v>Ian</v>
      </c>
      <c r="R376" s="2" t="str">
        <f t="shared" si="25"/>
        <v>Mahinmi</v>
      </c>
      <c r="S376" s="2" t="str">
        <f t="shared" si="22"/>
        <v>Ian Mahinmi</v>
      </c>
      <c r="T376" s="2">
        <f t="shared" si="23"/>
        <v>7.2</v>
      </c>
    </row>
    <row r="377" spans="1:20" x14ac:dyDescent="0.25">
      <c r="A377" s="2"/>
      <c r="B377" s="2" t="s">
        <v>4</v>
      </c>
      <c r="C377" s="2" t="s">
        <v>640</v>
      </c>
      <c r="D377" s="2" t="s">
        <v>251</v>
      </c>
      <c r="E377" s="2" t="s">
        <v>252</v>
      </c>
      <c r="F377" s="2" t="s">
        <v>253</v>
      </c>
      <c r="G377" s="2" t="s">
        <v>303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7.2</v>
      </c>
      <c r="O377" s="2" t="s">
        <v>284</v>
      </c>
      <c r="P377" s="2" t="s">
        <v>304</v>
      </c>
      <c r="Q377" s="2" t="str">
        <f t="shared" si="24"/>
        <v>Christian</v>
      </c>
      <c r="R377" s="2" t="str">
        <f t="shared" si="25"/>
        <v>Wood</v>
      </c>
      <c r="S377" s="2" t="str">
        <f t="shared" si="22"/>
        <v>Christian Wood</v>
      </c>
      <c r="T377" s="2">
        <f t="shared" si="23"/>
        <v>7.2</v>
      </c>
    </row>
    <row r="378" spans="1:20" x14ac:dyDescent="0.25">
      <c r="A378" s="2"/>
      <c r="B378" s="2" t="s">
        <v>5</v>
      </c>
      <c r="C378" s="2" t="s">
        <v>641</v>
      </c>
      <c r="D378" s="2" t="s">
        <v>251</v>
      </c>
      <c r="E378" s="2" t="s">
        <v>252</v>
      </c>
      <c r="F378" s="2" t="s">
        <v>253</v>
      </c>
      <c r="G378" s="2" t="s">
        <v>308</v>
      </c>
      <c r="H378" s="35">
        <v>3500</v>
      </c>
      <c r="I378" s="2">
        <v>0</v>
      </c>
      <c r="J378" s="2">
        <v>23</v>
      </c>
      <c r="K378" s="2">
        <v>3</v>
      </c>
      <c r="L378" s="2">
        <v>7.7</v>
      </c>
      <c r="M378" s="2">
        <v>2.2000000000000002</v>
      </c>
      <c r="N378" s="2">
        <v>7.2</v>
      </c>
      <c r="O378" s="2">
        <v>2</v>
      </c>
      <c r="P378" s="2" t="s">
        <v>309</v>
      </c>
      <c r="Q378" s="2" t="str">
        <f t="shared" si="24"/>
        <v>Justin</v>
      </c>
      <c r="R378" s="2" t="str">
        <f t="shared" si="25"/>
        <v>Anderson</v>
      </c>
      <c r="S378" s="2" t="str">
        <f t="shared" si="22"/>
        <v>Justin Anderson</v>
      </c>
      <c r="T378" s="2">
        <f t="shared" si="23"/>
        <v>7.2</v>
      </c>
    </row>
    <row r="379" spans="1:20" x14ac:dyDescent="0.25">
      <c r="A379" s="2"/>
      <c r="B379" s="2" t="s">
        <v>7</v>
      </c>
      <c r="C379" s="2" t="s">
        <v>642</v>
      </c>
      <c r="D379" s="2" t="s">
        <v>251</v>
      </c>
      <c r="E379" s="2" t="s">
        <v>252</v>
      </c>
      <c r="F379" s="2" t="s">
        <v>253</v>
      </c>
      <c r="G379" s="2" t="s">
        <v>308</v>
      </c>
      <c r="H379" s="35">
        <v>3600</v>
      </c>
      <c r="I379" s="2">
        <v>0</v>
      </c>
      <c r="J379" s="2">
        <v>22.1</v>
      </c>
      <c r="K379" s="2">
        <v>2</v>
      </c>
      <c r="L379" s="2">
        <v>11.1</v>
      </c>
      <c r="M379" s="2">
        <v>3.1</v>
      </c>
      <c r="N379" s="2">
        <v>7.1</v>
      </c>
      <c r="O379" s="2">
        <v>0</v>
      </c>
      <c r="P379" s="2" t="s">
        <v>309</v>
      </c>
      <c r="Q379" s="2" t="str">
        <f t="shared" si="24"/>
        <v>Nicolas</v>
      </c>
      <c r="R379" s="2" t="str">
        <f t="shared" si="25"/>
        <v>Brussino</v>
      </c>
      <c r="S379" s="2" t="str">
        <f t="shared" si="22"/>
        <v>Nicolas Brussino</v>
      </c>
      <c r="T379" s="2">
        <f t="shared" si="23"/>
        <v>7.1</v>
      </c>
    </row>
    <row r="380" spans="1:20" x14ac:dyDescent="0.25">
      <c r="A380" s="2"/>
      <c r="B380" s="2" t="s">
        <v>7</v>
      </c>
      <c r="C380" s="2" t="s">
        <v>643</v>
      </c>
      <c r="D380" s="2" t="s">
        <v>251</v>
      </c>
      <c r="E380" s="2" t="s">
        <v>252</v>
      </c>
      <c r="F380" s="2" t="s">
        <v>253</v>
      </c>
      <c r="G380" s="2" t="s">
        <v>268</v>
      </c>
      <c r="H380" s="35">
        <v>3500</v>
      </c>
      <c r="I380" s="2">
        <v>0</v>
      </c>
      <c r="J380" s="2">
        <v>27.9</v>
      </c>
      <c r="K380" s="2">
        <v>4</v>
      </c>
      <c r="L380" s="2">
        <v>7</v>
      </c>
      <c r="M380" s="2">
        <v>2</v>
      </c>
      <c r="N380" s="2">
        <v>7</v>
      </c>
      <c r="O380" s="2">
        <v>4</v>
      </c>
      <c r="P380" s="2" t="s">
        <v>269</v>
      </c>
      <c r="Q380" s="2" t="str">
        <f t="shared" si="24"/>
        <v>Lance</v>
      </c>
      <c r="R380" s="2" t="str">
        <f t="shared" si="25"/>
        <v>Stephenson</v>
      </c>
      <c r="S380" s="2" t="str">
        <f t="shared" si="22"/>
        <v>Lance Stephenson</v>
      </c>
      <c r="T380" s="2">
        <f t="shared" si="23"/>
        <v>7</v>
      </c>
    </row>
    <row r="381" spans="1:20" x14ac:dyDescent="0.25">
      <c r="A381" s="2"/>
      <c r="B381" s="2" t="s">
        <v>3</v>
      </c>
      <c r="C381" s="2" t="s">
        <v>644</v>
      </c>
      <c r="D381" s="2" t="s">
        <v>251</v>
      </c>
      <c r="E381" s="2" t="s">
        <v>252</v>
      </c>
      <c r="F381" s="2" t="s">
        <v>253</v>
      </c>
      <c r="G381" s="2" t="s">
        <v>303</v>
      </c>
      <c r="H381" s="35">
        <v>3500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6.8</v>
      </c>
      <c r="O381" s="2" t="s">
        <v>284</v>
      </c>
      <c r="P381" s="2" t="s">
        <v>304</v>
      </c>
      <c r="Q381" s="2" t="str">
        <f t="shared" si="24"/>
        <v>Ramon</v>
      </c>
      <c r="R381" s="2" t="str">
        <f t="shared" si="25"/>
        <v>Sessions</v>
      </c>
      <c r="S381" s="2" t="str">
        <f t="shared" si="22"/>
        <v>Ramon Sessions</v>
      </c>
      <c r="T381" s="2">
        <f t="shared" si="23"/>
        <v>6.8</v>
      </c>
    </row>
    <row r="382" spans="1:20" x14ac:dyDescent="0.25">
      <c r="A382" s="2"/>
      <c r="B382" s="2" t="s">
        <v>7</v>
      </c>
      <c r="C382" s="2" t="s">
        <v>645</v>
      </c>
      <c r="D382" s="2" t="s">
        <v>251</v>
      </c>
      <c r="E382" s="2" t="s">
        <v>252</v>
      </c>
      <c r="F382" s="2" t="s">
        <v>253</v>
      </c>
      <c r="G382" s="2" t="s">
        <v>282</v>
      </c>
      <c r="H382" s="35">
        <v>3500</v>
      </c>
      <c r="I382" s="2">
        <v>0</v>
      </c>
      <c r="J382" s="2">
        <v>15.3</v>
      </c>
      <c r="K382" s="2">
        <v>2</v>
      </c>
      <c r="L382" s="2">
        <v>7.7</v>
      </c>
      <c r="M382" s="2">
        <v>2.2000000000000002</v>
      </c>
      <c r="N382" s="2">
        <v>6.8</v>
      </c>
      <c r="O382" s="2">
        <v>6.1</v>
      </c>
      <c r="P382" s="2" t="s">
        <v>283</v>
      </c>
      <c r="Q382" s="2" t="str">
        <f t="shared" si="24"/>
        <v>Pat</v>
      </c>
      <c r="R382" s="2" t="str">
        <f t="shared" si="25"/>
        <v>Connaughton</v>
      </c>
      <c r="S382" s="2" t="str">
        <f t="shared" si="22"/>
        <v>Pat Connaughton</v>
      </c>
      <c r="T382" s="2">
        <f t="shared" si="23"/>
        <v>6.8</v>
      </c>
    </row>
    <row r="383" spans="1:20" x14ac:dyDescent="0.25">
      <c r="A383" s="2"/>
      <c r="B383" s="2" t="s">
        <v>4</v>
      </c>
      <c r="C383" s="2" t="s">
        <v>646</v>
      </c>
      <c r="D383" s="2" t="s">
        <v>251</v>
      </c>
      <c r="E383" s="2" t="s">
        <v>252</v>
      </c>
      <c r="F383" s="2" t="s">
        <v>253</v>
      </c>
      <c r="G383" s="2" t="s">
        <v>289</v>
      </c>
      <c r="H383" s="35">
        <v>3500</v>
      </c>
      <c r="I383" s="2">
        <v>0</v>
      </c>
      <c r="J383" s="2">
        <v>1.9</v>
      </c>
      <c r="K383" s="2">
        <v>1</v>
      </c>
      <c r="L383" s="2">
        <v>1.9</v>
      </c>
      <c r="M383" s="2">
        <v>0.5</v>
      </c>
      <c r="N383" s="2">
        <v>6.7</v>
      </c>
      <c r="O383" s="2" t="s">
        <v>284</v>
      </c>
      <c r="P383" s="2" t="s">
        <v>290</v>
      </c>
      <c r="Q383" s="2" t="str">
        <f t="shared" si="24"/>
        <v>Jared</v>
      </c>
      <c r="R383" s="2" t="str">
        <f t="shared" si="25"/>
        <v>Sullinger</v>
      </c>
      <c r="S383" s="2" t="str">
        <f t="shared" si="22"/>
        <v>Jared Sullinger</v>
      </c>
      <c r="T383" s="2">
        <f t="shared" si="23"/>
        <v>6.7</v>
      </c>
    </row>
    <row r="384" spans="1:20" x14ac:dyDescent="0.25">
      <c r="A384" s="2"/>
      <c r="B384" s="2" t="s">
        <v>7</v>
      </c>
      <c r="C384" s="2" t="s">
        <v>647</v>
      </c>
      <c r="D384" s="2" t="s">
        <v>251</v>
      </c>
      <c r="E384" s="2" t="s">
        <v>252</v>
      </c>
      <c r="F384" s="2" t="s">
        <v>253</v>
      </c>
      <c r="G384" s="2" t="s">
        <v>257</v>
      </c>
      <c r="H384" s="35">
        <v>3500</v>
      </c>
      <c r="I384" s="2">
        <v>0</v>
      </c>
      <c r="J384" s="2">
        <v>18.399999999999999</v>
      </c>
      <c r="K384" s="2">
        <v>3</v>
      </c>
      <c r="L384" s="2">
        <v>6.1</v>
      </c>
      <c r="M384" s="2">
        <v>1.8</v>
      </c>
      <c r="N384" s="2">
        <v>6.7</v>
      </c>
      <c r="O384" s="2" t="s">
        <v>284</v>
      </c>
      <c r="P384" s="2" t="s">
        <v>258</v>
      </c>
      <c r="Q384" s="2" t="str">
        <f t="shared" si="24"/>
        <v>Jordan</v>
      </c>
      <c r="R384" s="2" t="str">
        <f t="shared" si="25"/>
        <v>McRae</v>
      </c>
      <c r="S384" s="2" t="str">
        <f t="shared" si="22"/>
        <v>Jordan McRae</v>
      </c>
      <c r="T384" s="2">
        <f t="shared" si="23"/>
        <v>6.7</v>
      </c>
    </row>
    <row r="385" spans="1:20" x14ac:dyDescent="0.25">
      <c r="A385" s="2"/>
      <c r="B385" s="2" t="s">
        <v>5</v>
      </c>
      <c r="C385" s="2" t="s">
        <v>648</v>
      </c>
      <c r="D385" s="2" t="s">
        <v>251</v>
      </c>
      <c r="E385" s="2" t="s">
        <v>252</v>
      </c>
      <c r="F385" s="2" t="s">
        <v>253</v>
      </c>
      <c r="G385" s="2" t="s">
        <v>308</v>
      </c>
      <c r="H385" s="35">
        <v>3500</v>
      </c>
      <c r="I385" s="2">
        <v>0</v>
      </c>
      <c r="J385" s="2">
        <v>15.4</v>
      </c>
      <c r="K385" s="2">
        <v>3</v>
      </c>
      <c r="L385" s="2">
        <v>5.0999999999999996</v>
      </c>
      <c r="M385" s="2">
        <v>1.5</v>
      </c>
      <c r="N385" s="2">
        <v>6.7</v>
      </c>
      <c r="O385" s="2">
        <v>0</v>
      </c>
      <c r="P385" s="2" t="s">
        <v>309</v>
      </c>
      <c r="Q385" s="2" t="str">
        <f t="shared" si="24"/>
        <v>Dorian</v>
      </c>
      <c r="R385" s="2" t="str">
        <f t="shared" si="25"/>
        <v>Finney-Smith</v>
      </c>
      <c r="S385" s="2" t="str">
        <f t="shared" si="22"/>
        <v>Dorian Finney-Smith</v>
      </c>
      <c r="T385" s="2">
        <f t="shared" si="23"/>
        <v>6.7</v>
      </c>
    </row>
    <row r="386" spans="1:20" x14ac:dyDescent="0.25">
      <c r="A386" s="2"/>
      <c r="B386" s="2" t="s">
        <v>3</v>
      </c>
      <c r="C386" s="2" t="s">
        <v>649</v>
      </c>
      <c r="D386" s="2" t="s">
        <v>251</v>
      </c>
      <c r="E386" s="2" t="s">
        <v>252</v>
      </c>
      <c r="F386" s="2" t="s">
        <v>253</v>
      </c>
      <c r="G386" s="2" t="s">
        <v>291</v>
      </c>
      <c r="H386" s="35">
        <v>3500</v>
      </c>
      <c r="I386" s="2">
        <v>0</v>
      </c>
      <c r="J386" s="2">
        <v>4.5</v>
      </c>
      <c r="K386" s="2">
        <v>2</v>
      </c>
      <c r="L386" s="2">
        <v>2.2000000000000002</v>
      </c>
      <c r="M386" s="2">
        <v>0.6</v>
      </c>
      <c r="N386" s="2">
        <v>6.6</v>
      </c>
      <c r="O386" s="2" t="s">
        <v>284</v>
      </c>
      <c r="P386" s="2" t="s">
        <v>292</v>
      </c>
      <c r="Q386" s="2" t="str">
        <f t="shared" si="24"/>
        <v>Andrew</v>
      </c>
      <c r="R386" s="2" t="str">
        <f t="shared" si="25"/>
        <v>Harrison</v>
      </c>
      <c r="S386" s="2" t="str">
        <f t="shared" si="22"/>
        <v>Andrew Harrison</v>
      </c>
      <c r="T386" s="2">
        <f t="shared" si="23"/>
        <v>6.6</v>
      </c>
    </row>
    <row r="387" spans="1:20" x14ac:dyDescent="0.25">
      <c r="A387" s="2"/>
      <c r="B387" s="2" t="s">
        <v>4</v>
      </c>
      <c r="C387" s="2" t="s">
        <v>650</v>
      </c>
      <c r="D387" s="2" t="s">
        <v>251</v>
      </c>
      <c r="E387" s="2" t="s">
        <v>252</v>
      </c>
      <c r="F387" s="2" t="s">
        <v>253</v>
      </c>
      <c r="G387" s="2" t="s">
        <v>280</v>
      </c>
      <c r="H387" s="35">
        <v>3500</v>
      </c>
      <c r="I387" s="2">
        <v>0</v>
      </c>
      <c r="J387" s="2">
        <v>33.200000000000003</v>
      </c>
      <c r="K387" s="2">
        <v>4</v>
      </c>
      <c r="L387" s="2">
        <v>8.3000000000000007</v>
      </c>
      <c r="M387" s="2">
        <v>2.4</v>
      </c>
      <c r="N387" s="2">
        <v>6.6</v>
      </c>
      <c r="O387" s="2">
        <v>1.2</v>
      </c>
      <c r="P387" s="2" t="s">
        <v>281</v>
      </c>
      <c r="Q387" s="2" t="str">
        <f t="shared" si="24"/>
        <v>Okaro</v>
      </c>
      <c r="R387" s="2" t="str">
        <f t="shared" si="25"/>
        <v>White</v>
      </c>
      <c r="S387" s="2" t="str">
        <f t="shared" si="22"/>
        <v>Okaro White</v>
      </c>
      <c r="T387" s="2">
        <f t="shared" si="23"/>
        <v>6.6</v>
      </c>
    </row>
    <row r="388" spans="1:20" x14ac:dyDescent="0.25">
      <c r="A388" s="2"/>
      <c r="B388" s="2" t="s">
        <v>5</v>
      </c>
      <c r="C388" s="2" t="s">
        <v>651</v>
      </c>
      <c r="D388" s="2" t="s">
        <v>251</v>
      </c>
      <c r="E388" s="2" t="s">
        <v>252</v>
      </c>
      <c r="F388" s="2" t="s">
        <v>253</v>
      </c>
      <c r="G388" s="2" t="s">
        <v>280</v>
      </c>
      <c r="H388" s="35">
        <v>3500</v>
      </c>
      <c r="I388" s="2">
        <v>0</v>
      </c>
      <c r="J388" s="2">
        <v>17.899999999999999</v>
      </c>
      <c r="K388" s="2">
        <v>4</v>
      </c>
      <c r="L388" s="2">
        <v>4.5</v>
      </c>
      <c r="M388" s="2">
        <v>1.3</v>
      </c>
      <c r="N388" s="2">
        <v>6.5</v>
      </c>
      <c r="O388" s="2">
        <v>4.2</v>
      </c>
      <c r="P388" s="2" t="s">
        <v>281</v>
      </c>
      <c r="Q388" s="2" t="str">
        <f t="shared" si="24"/>
        <v>Luke</v>
      </c>
      <c r="R388" s="2" t="str">
        <f t="shared" si="25"/>
        <v>Babbitt</v>
      </c>
      <c r="S388" s="2" t="str">
        <f t="shared" si="22"/>
        <v>Luke Babbitt</v>
      </c>
      <c r="T388" s="2">
        <f t="shared" si="23"/>
        <v>6.5</v>
      </c>
    </row>
    <row r="389" spans="1:20" x14ac:dyDescent="0.25">
      <c r="A389" s="2"/>
      <c r="B389" s="2" t="s">
        <v>4</v>
      </c>
      <c r="C389" s="2" t="s">
        <v>652</v>
      </c>
      <c r="D389" s="2" t="s">
        <v>251</v>
      </c>
      <c r="E389" s="2" t="s">
        <v>252</v>
      </c>
      <c r="F389" s="2" t="s">
        <v>253</v>
      </c>
      <c r="G389" s="2" t="s">
        <v>92</v>
      </c>
      <c r="H389" s="35">
        <v>3500</v>
      </c>
      <c r="I389" s="2">
        <v>0</v>
      </c>
      <c r="J389" s="2">
        <v>6</v>
      </c>
      <c r="K389" s="2">
        <v>1</v>
      </c>
      <c r="L389" s="2">
        <v>6</v>
      </c>
      <c r="M389" s="2">
        <v>1.7</v>
      </c>
      <c r="N389" s="2">
        <v>6.4</v>
      </c>
      <c r="O389" s="2" t="s">
        <v>284</v>
      </c>
      <c r="P389" s="2" t="s">
        <v>263</v>
      </c>
      <c r="Q389" s="2" t="str">
        <f t="shared" si="24"/>
        <v>Brandon</v>
      </c>
      <c r="R389" s="2" t="str">
        <f t="shared" si="25"/>
        <v>Bass</v>
      </c>
      <c r="S389" s="2" t="str">
        <f t="shared" si="22"/>
        <v>Brandon Bass</v>
      </c>
      <c r="T389" s="2">
        <f t="shared" si="23"/>
        <v>6.4</v>
      </c>
    </row>
    <row r="390" spans="1:20" x14ac:dyDescent="0.25">
      <c r="A390" s="2"/>
      <c r="B390" s="2" t="s">
        <v>4</v>
      </c>
      <c r="C390" s="2" t="s">
        <v>653</v>
      </c>
      <c r="D390" s="2" t="s">
        <v>251</v>
      </c>
      <c r="E390" s="2" t="s">
        <v>252</v>
      </c>
      <c r="F390" s="2" t="s">
        <v>253</v>
      </c>
      <c r="G390" s="2" t="s">
        <v>274</v>
      </c>
      <c r="H390" s="35">
        <v>3500</v>
      </c>
      <c r="I390" s="2">
        <v>0</v>
      </c>
      <c r="J390" s="2">
        <v>16.399999999999999</v>
      </c>
      <c r="K390" s="2">
        <v>4</v>
      </c>
      <c r="L390" s="2">
        <v>4.0999999999999996</v>
      </c>
      <c r="M390" s="2">
        <v>1.2</v>
      </c>
      <c r="N390" s="2">
        <v>6.4</v>
      </c>
      <c r="O390" s="2">
        <v>6.8</v>
      </c>
      <c r="P390" s="2" t="s">
        <v>275</v>
      </c>
      <c r="Q390" s="2" t="str">
        <f t="shared" si="24"/>
        <v>Jonas</v>
      </c>
      <c r="R390" s="2" t="str">
        <f t="shared" si="25"/>
        <v>Jerebko</v>
      </c>
      <c r="S390" s="2" t="str">
        <f t="shared" ref="S390:S453" si="26">Q390&amp;" "&amp;R390</f>
        <v>Jonas Jerebko</v>
      </c>
      <c r="T390" s="2">
        <f t="shared" ref="T390:T453" si="27">N390</f>
        <v>6.4</v>
      </c>
    </row>
    <row r="391" spans="1:20" x14ac:dyDescent="0.25">
      <c r="A391" s="2"/>
      <c r="B391" s="2" t="s">
        <v>3</v>
      </c>
      <c r="C391" s="2" t="s">
        <v>654</v>
      </c>
      <c r="D391" s="2" t="s">
        <v>251</v>
      </c>
      <c r="E391" s="2" t="s">
        <v>252</v>
      </c>
      <c r="F391" s="2" t="s">
        <v>253</v>
      </c>
      <c r="G391" s="2" t="s">
        <v>62</v>
      </c>
      <c r="H391" s="35">
        <v>3500</v>
      </c>
      <c r="I391" s="2">
        <v>0</v>
      </c>
      <c r="J391" s="2">
        <v>6.2</v>
      </c>
      <c r="K391" s="2">
        <v>1</v>
      </c>
      <c r="L391" s="2">
        <v>6.2</v>
      </c>
      <c r="M391" s="2">
        <v>1.8</v>
      </c>
      <c r="N391" s="2">
        <v>6.2</v>
      </c>
      <c r="O391" s="2" t="s">
        <v>284</v>
      </c>
      <c r="P391" s="2" t="s">
        <v>307</v>
      </c>
      <c r="Q391" s="2" t="str">
        <f t="shared" si="24"/>
        <v>Jose</v>
      </c>
      <c r="R391" s="2" t="str">
        <f t="shared" si="25"/>
        <v>Calderon</v>
      </c>
      <c r="S391" s="2" t="str">
        <f t="shared" si="26"/>
        <v>Jose Calderon</v>
      </c>
      <c r="T391" s="2">
        <f t="shared" si="27"/>
        <v>6.2</v>
      </c>
    </row>
    <row r="392" spans="1:20" x14ac:dyDescent="0.25">
      <c r="A392" s="2"/>
      <c r="B392" s="2" t="s">
        <v>6</v>
      </c>
      <c r="C392" s="2" t="s">
        <v>655</v>
      </c>
      <c r="D392" s="2" t="s">
        <v>251</v>
      </c>
      <c r="E392" s="2" t="s">
        <v>252</v>
      </c>
      <c r="F392" s="2" t="s">
        <v>253</v>
      </c>
      <c r="G392" s="2" t="s">
        <v>274</v>
      </c>
      <c r="H392" s="35">
        <v>3500</v>
      </c>
      <c r="I392" s="2">
        <v>0</v>
      </c>
      <c r="J392" s="2">
        <v>7.5</v>
      </c>
      <c r="K392" s="2">
        <v>2</v>
      </c>
      <c r="L392" s="2">
        <v>3.8</v>
      </c>
      <c r="M392" s="2">
        <v>1.1000000000000001</v>
      </c>
      <c r="N392" s="2">
        <v>6.2</v>
      </c>
      <c r="O392" s="2" t="s">
        <v>284</v>
      </c>
      <c r="P392" s="2" t="s">
        <v>275</v>
      </c>
      <c r="Q392" s="2" t="str">
        <f t="shared" ref="Q392:Q455" si="28">MID(C392,FIND(" ",C392)+1,256)</f>
        <v>Tyler</v>
      </c>
      <c r="R392" s="2" t="str">
        <f t="shared" ref="R392:R455" si="29">LEFT(C392,(FIND(" ",C392,1)-1))</f>
        <v>Zeller</v>
      </c>
      <c r="S392" s="2" t="str">
        <f t="shared" si="26"/>
        <v>Tyler Zeller</v>
      </c>
      <c r="T392" s="2">
        <f t="shared" si="27"/>
        <v>6.2</v>
      </c>
    </row>
    <row r="393" spans="1:20" x14ac:dyDescent="0.25">
      <c r="A393" s="2"/>
      <c r="B393" s="2" t="s">
        <v>5</v>
      </c>
      <c r="C393" s="2" t="s">
        <v>656</v>
      </c>
      <c r="D393" s="2" t="s">
        <v>251</v>
      </c>
      <c r="E393" s="2" t="s">
        <v>252</v>
      </c>
      <c r="F393" s="2" t="s">
        <v>253</v>
      </c>
      <c r="G393" s="2" t="s">
        <v>274</v>
      </c>
      <c r="H393" s="35">
        <v>3500</v>
      </c>
      <c r="I393" s="2">
        <v>0</v>
      </c>
      <c r="J393" s="2">
        <v>23.8</v>
      </c>
      <c r="K393" s="2">
        <v>4</v>
      </c>
      <c r="L393" s="2">
        <v>6</v>
      </c>
      <c r="M393" s="2">
        <v>1.7</v>
      </c>
      <c r="N393" s="2">
        <v>6</v>
      </c>
      <c r="O393" s="2">
        <v>11.8</v>
      </c>
      <c r="P393" s="2" t="s">
        <v>275</v>
      </c>
      <c r="Q393" s="2" t="str">
        <f t="shared" si="28"/>
        <v>James</v>
      </c>
      <c r="R393" s="2" t="str">
        <f t="shared" si="29"/>
        <v>Young</v>
      </c>
      <c r="S393" s="2" t="str">
        <f t="shared" si="26"/>
        <v>James Young</v>
      </c>
      <c r="T393" s="2">
        <f t="shared" si="27"/>
        <v>6</v>
      </c>
    </row>
    <row r="394" spans="1:20" x14ac:dyDescent="0.25">
      <c r="A394" s="2"/>
      <c r="B394" s="2" t="s">
        <v>3</v>
      </c>
      <c r="C394" s="2" t="s">
        <v>657</v>
      </c>
      <c r="D394" s="2" t="s">
        <v>251</v>
      </c>
      <c r="E394" s="2" t="s">
        <v>252</v>
      </c>
      <c r="F394" s="2" t="s">
        <v>253</v>
      </c>
      <c r="G394" s="2" t="s">
        <v>278</v>
      </c>
      <c r="H394" s="35">
        <v>3500</v>
      </c>
      <c r="I394" s="2">
        <v>0</v>
      </c>
      <c r="J394" s="2">
        <v>23.4</v>
      </c>
      <c r="K394" s="2">
        <v>4</v>
      </c>
      <c r="L394" s="2">
        <v>5.8</v>
      </c>
      <c r="M394" s="2">
        <v>1.7</v>
      </c>
      <c r="N394" s="2">
        <v>5.8</v>
      </c>
      <c r="O394" s="2">
        <v>0</v>
      </c>
      <c r="P394" s="2" t="s">
        <v>279</v>
      </c>
      <c r="Q394" s="2" t="str">
        <f t="shared" si="28"/>
        <v>Isaiah</v>
      </c>
      <c r="R394" s="2" t="str">
        <f t="shared" si="29"/>
        <v>Canaan</v>
      </c>
      <c r="S394" s="2" t="str">
        <f t="shared" si="26"/>
        <v>Isaiah Canaan</v>
      </c>
      <c r="T394" s="2">
        <f t="shared" si="27"/>
        <v>5.8</v>
      </c>
    </row>
    <row r="395" spans="1:20" x14ac:dyDescent="0.25">
      <c r="A395" s="2"/>
      <c r="B395" s="2" t="s">
        <v>312</v>
      </c>
      <c r="C395" s="2" t="s">
        <v>658</v>
      </c>
      <c r="D395" s="2" t="s">
        <v>251</v>
      </c>
      <c r="E395" s="2" t="s">
        <v>252</v>
      </c>
      <c r="F395" s="2" t="s">
        <v>253</v>
      </c>
      <c r="G395" s="2" t="s">
        <v>272</v>
      </c>
      <c r="H395" s="2">
        <v>0</v>
      </c>
      <c r="I395" s="2">
        <v>0</v>
      </c>
      <c r="J395" s="2">
        <v>22.6</v>
      </c>
      <c r="K395" s="2">
        <v>4</v>
      </c>
      <c r="L395" s="2">
        <v>5.7</v>
      </c>
      <c r="M395" s="2">
        <v>0</v>
      </c>
      <c r="N395" s="2">
        <v>5.7</v>
      </c>
      <c r="O395" s="2">
        <v>11.7</v>
      </c>
      <c r="P395" s="2" t="s">
        <v>273</v>
      </c>
      <c r="Q395" s="2" t="str">
        <f t="shared" si="28"/>
        <v>Briante</v>
      </c>
      <c r="R395" s="2" t="str">
        <f t="shared" si="29"/>
        <v>Weber</v>
      </c>
      <c r="S395" s="2" t="str">
        <f t="shared" si="26"/>
        <v>Briante Weber</v>
      </c>
      <c r="T395" s="2">
        <f t="shared" si="27"/>
        <v>5.7</v>
      </c>
    </row>
    <row r="396" spans="1:20" x14ac:dyDescent="0.25">
      <c r="A396" s="2"/>
      <c r="B396" s="2" t="s">
        <v>3</v>
      </c>
      <c r="C396" s="2" t="s">
        <v>659</v>
      </c>
      <c r="D396" s="2" t="s">
        <v>251</v>
      </c>
      <c r="E396" s="2" t="s">
        <v>252</v>
      </c>
      <c r="F396" s="2" t="s">
        <v>253</v>
      </c>
      <c r="G396" s="2" t="s">
        <v>257</v>
      </c>
      <c r="H396" s="35">
        <v>3500</v>
      </c>
      <c r="I396" s="2">
        <v>0</v>
      </c>
      <c r="J396" s="2">
        <v>3.2</v>
      </c>
      <c r="K396" s="2">
        <v>3</v>
      </c>
      <c r="L396" s="2">
        <v>1.1000000000000001</v>
      </c>
      <c r="M396" s="2">
        <v>0.3</v>
      </c>
      <c r="N396" s="2">
        <v>5.5</v>
      </c>
      <c r="O396" s="2" t="s">
        <v>284</v>
      </c>
      <c r="P396" s="2" t="s">
        <v>258</v>
      </c>
      <c r="Q396" s="2" t="str">
        <f t="shared" si="28"/>
        <v>Kay</v>
      </c>
      <c r="R396" s="2" t="str">
        <f t="shared" si="29"/>
        <v>Felder</v>
      </c>
      <c r="S396" s="2" t="str">
        <f t="shared" si="26"/>
        <v>Kay Felder</v>
      </c>
      <c r="T396" s="2">
        <f t="shared" si="27"/>
        <v>5.5</v>
      </c>
    </row>
    <row r="397" spans="1:20" x14ac:dyDescent="0.25">
      <c r="A397" s="2"/>
      <c r="B397" s="2" t="s">
        <v>6</v>
      </c>
      <c r="C397" s="2" t="s">
        <v>660</v>
      </c>
      <c r="D397" s="2" t="s">
        <v>251</v>
      </c>
      <c r="E397" s="2" t="s">
        <v>252</v>
      </c>
      <c r="F397" s="2" t="s">
        <v>253</v>
      </c>
      <c r="G397" s="2" t="s">
        <v>285</v>
      </c>
      <c r="H397" s="35">
        <v>3500</v>
      </c>
      <c r="I397" s="2">
        <v>0</v>
      </c>
      <c r="J397" s="2">
        <v>6.4</v>
      </c>
      <c r="K397" s="2">
        <v>2</v>
      </c>
      <c r="L397" s="2">
        <v>3.2</v>
      </c>
      <c r="M397" s="2">
        <v>0.9</v>
      </c>
      <c r="N397" s="2">
        <v>5.4</v>
      </c>
      <c r="O397" s="2">
        <v>3.2</v>
      </c>
      <c r="P397" s="2" t="s">
        <v>286</v>
      </c>
      <c r="Q397" s="2" t="str">
        <f t="shared" si="28"/>
        <v>Jeff</v>
      </c>
      <c r="R397" s="2" t="str">
        <f t="shared" si="29"/>
        <v>Withey</v>
      </c>
      <c r="S397" s="2" t="str">
        <f t="shared" si="26"/>
        <v>Jeff Withey</v>
      </c>
      <c r="T397" s="2">
        <f t="shared" si="27"/>
        <v>5.4</v>
      </c>
    </row>
    <row r="398" spans="1:20" x14ac:dyDescent="0.25">
      <c r="A398" s="2"/>
      <c r="B398" s="2" t="s">
        <v>7</v>
      </c>
      <c r="C398" s="2" t="s">
        <v>661</v>
      </c>
      <c r="D398" s="2" t="s">
        <v>251</v>
      </c>
      <c r="E398" s="2" t="s">
        <v>252</v>
      </c>
      <c r="F398" s="2" t="s">
        <v>253</v>
      </c>
      <c r="G398" s="2" t="s">
        <v>287</v>
      </c>
      <c r="H398" s="35">
        <v>3500</v>
      </c>
      <c r="I398" s="2">
        <v>0</v>
      </c>
      <c r="J398" s="2">
        <v>3.5</v>
      </c>
      <c r="K398" s="2">
        <v>1</v>
      </c>
      <c r="L398" s="2">
        <v>3.5</v>
      </c>
      <c r="M398" s="2">
        <v>1</v>
      </c>
      <c r="N398" s="2">
        <v>5.4</v>
      </c>
      <c r="O398" s="2" t="s">
        <v>284</v>
      </c>
      <c r="P398" s="2" t="s">
        <v>288</v>
      </c>
      <c r="Q398" s="2" t="str">
        <f t="shared" si="28"/>
        <v>Reggie</v>
      </c>
      <c r="R398" s="2" t="str">
        <f t="shared" si="29"/>
        <v>Bullock</v>
      </c>
      <c r="S398" s="2" t="str">
        <f t="shared" si="26"/>
        <v>Reggie Bullock</v>
      </c>
      <c r="T398" s="2">
        <f t="shared" si="27"/>
        <v>5.4</v>
      </c>
    </row>
    <row r="399" spans="1:20" x14ac:dyDescent="0.25">
      <c r="A399" s="2"/>
      <c r="B399" s="2" t="s">
        <v>312</v>
      </c>
      <c r="C399" s="2" t="s">
        <v>662</v>
      </c>
      <c r="D399" s="2" t="s">
        <v>251</v>
      </c>
      <c r="E399" s="2" t="s">
        <v>252</v>
      </c>
      <c r="F399" s="2" t="s">
        <v>253</v>
      </c>
      <c r="G399" s="2" t="s">
        <v>270</v>
      </c>
      <c r="H399" s="2">
        <v>0</v>
      </c>
      <c r="I399" s="2">
        <v>0</v>
      </c>
      <c r="J399" s="2">
        <v>18.5</v>
      </c>
      <c r="K399" s="2">
        <v>3</v>
      </c>
      <c r="L399" s="2">
        <v>6.2</v>
      </c>
      <c r="M399" s="2">
        <v>0</v>
      </c>
      <c r="N399" s="2">
        <v>5.3</v>
      </c>
      <c r="O399" s="2">
        <v>10.1</v>
      </c>
      <c r="P399" s="2" t="s">
        <v>271</v>
      </c>
      <c r="Q399" s="2" t="str">
        <f t="shared" si="28"/>
        <v>Johnny</v>
      </c>
      <c r="R399" s="2" t="str">
        <f t="shared" si="29"/>
        <v>O'Bryant</v>
      </c>
      <c r="S399" s="2" t="str">
        <f t="shared" si="26"/>
        <v>Johnny O'Bryant</v>
      </c>
      <c r="T399" s="2">
        <f t="shared" si="27"/>
        <v>5.3</v>
      </c>
    </row>
    <row r="400" spans="1:20" x14ac:dyDescent="0.25">
      <c r="A400" s="2"/>
      <c r="B400" s="2"/>
      <c r="C400" s="2"/>
      <c r="D400" s="2"/>
      <c r="E400" s="2"/>
      <c r="F400" s="2"/>
      <c r="G400" s="2"/>
      <c r="H400" s="42">
        <v>42782</v>
      </c>
      <c r="I400" s="2" t="s">
        <v>232</v>
      </c>
      <c r="J400" s="2" t="s">
        <v>233</v>
      </c>
      <c r="K400" s="2" t="s">
        <v>232</v>
      </c>
      <c r="L400" s="2" t="s">
        <v>234</v>
      </c>
      <c r="M400" s="2" t="s">
        <v>235</v>
      </c>
      <c r="N400" s="2" t="s">
        <v>232</v>
      </c>
      <c r="O400" s="2" t="s">
        <v>232</v>
      </c>
      <c r="P400" s="2" t="s">
        <v>236</v>
      </c>
      <c r="Q400" s="2" t="e">
        <f t="shared" si="28"/>
        <v>#VALUE!</v>
      </c>
      <c r="R400" s="2" t="e">
        <f t="shared" si="29"/>
        <v>#VALUE!</v>
      </c>
      <c r="S400" s="2" t="e">
        <f t="shared" si="26"/>
        <v>#VALUE!</v>
      </c>
      <c r="T400" s="2" t="str">
        <f t="shared" si="27"/>
        <v>Last</v>
      </c>
    </row>
    <row r="401" spans="1:20" x14ac:dyDescent="0.25">
      <c r="A401" s="2"/>
      <c r="B401" s="2"/>
      <c r="C401" s="2"/>
      <c r="D401" s="2"/>
      <c r="E401" s="2"/>
      <c r="F401" s="2"/>
      <c r="G401" s="2"/>
      <c r="H401" s="2" t="s">
        <v>142</v>
      </c>
      <c r="I401" s="2" t="s">
        <v>142</v>
      </c>
      <c r="J401" s="2" t="s">
        <v>237</v>
      </c>
      <c r="K401" s="2"/>
      <c r="L401" s="2" t="s">
        <v>238</v>
      </c>
      <c r="M401" s="2" t="s">
        <v>239</v>
      </c>
      <c r="N401" s="2" t="s">
        <v>240</v>
      </c>
      <c r="O401" s="2" t="s">
        <v>1</v>
      </c>
      <c r="P401" s="2" t="s">
        <v>241</v>
      </c>
      <c r="Q401" s="2" t="e">
        <f t="shared" si="28"/>
        <v>#VALUE!</v>
      </c>
      <c r="R401" s="2" t="e">
        <f t="shared" si="29"/>
        <v>#VALUE!</v>
      </c>
      <c r="S401" s="2" t="e">
        <f t="shared" si="26"/>
        <v>#VALUE!</v>
      </c>
      <c r="T401" s="2" t="str">
        <f t="shared" si="27"/>
        <v>15 day</v>
      </c>
    </row>
    <row r="402" spans="1:20" x14ac:dyDescent="0.25">
      <c r="A402" s="2"/>
      <c r="B402" s="2" t="s">
        <v>8</v>
      </c>
      <c r="C402" s="2" t="s">
        <v>242</v>
      </c>
      <c r="D402" s="2" t="s">
        <v>243</v>
      </c>
      <c r="E402" s="2" t="s">
        <v>244</v>
      </c>
      <c r="F402" s="2" t="s">
        <v>245</v>
      </c>
      <c r="G402" s="2" t="s">
        <v>2</v>
      </c>
      <c r="H402" s="43">
        <v>0</v>
      </c>
      <c r="I402" s="2" t="s">
        <v>246</v>
      </c>
      <c r="J402" s="2" t="s">
        <v>238</v>
      </c>
      <c r="K402" s="2" t="s">
        <v>247</v>
      </c>
      <c r="L402" s="2" t="s">
        <v>248</v>
      </c>
      <c r="M402" s="2" t="s">
        <v>249</v>
      </c>
      <c r="N402" s="2" t="s">
        <v>250</v>
      </c>
      <c r="O402" s="2" t="s">
        <v>238</v>
      </c>
      <c r="P402" s="2">
        <v>1.23456789012345E+27</v>
      </c>
      <c r="Q402" s="2" t="e">
        <f t="shared" si="28"/>
        <v>#VALUE!</v>
      </c>
      <c r="R402" s="2" t="e">
        <f t="shared" si="29"/>
        <v>#VALUE!</v>
      </c>
      <c r="S402" s="2" t="e">
        <f t="shared" si="26"/>
        <v>#VALUE!</v>
      </c>
      <c r="T402" s="2" t="str">
        <f t="shared" si="27"/>
        <v>FDP/G</v>
      </c>
    </row>
    <row r="403" spans="1:20" x14ac:dyDescent="0.25">
      <c r="A403" s="2"/>
      <c r="B403" s="2" t="s">
        <v>4</v>
      </c>
      <c r="C403" s="2" t="s">
        <v>663</v>
      </c>
      <c r="D403" s="2" t="s">
        <v>251</v>
      </c>
      <c r="E403" s="2" t="s">
        <v>252</v>
      </c>
      <c r="F403" s="2" t="s">
        <v>253</v>
      </c>
      <c r="G403" s="2" t="s">
        <v>261</v>
      </c>
      <c r="H403" s="35">
        <v>3500</v>
      </c>
      <c r="I403" s="2">
        <v>0</v>
      </c>
      <c r="J403" s="2">
        <v>2</v>
      </c>
      <c r="K403" s="2">
        <v>1</v>
      </c>
      <c r="L403" s="2">
        <v>2</v>
      </c>
      <c r="M403" s="2">
        <v>0.6</v>
      </c>
      <c r="N403" s="2">
        <v>5.3</v>
      </c>
      <c r="O403" s="2" t="s">
        <v>284</v>
      </c>
      <c r="P403" s="2" t="s">
        <v>262</v>
      </c>
      <c r="Q403" s="2" t="str">
        <f t="shared" si="28"/>
        <v>Skal</v>
      </c>
      <c r="R403" s="2" t="str">
        <f t="shared" si="29"/>
        <v>Labissiere</v>
      </c>
      <c r="S403" s="2" t="str">
        <f t="shared" si="26"/>
        <v>Skal Labissiere</v>
      </c>
      <c r="T403" s="2">
        <f t="shared" si="27"/>
        <v>5.3</v>
      </c>
    </row>
    <row r="404" spans="1:20" x14ac:dyDescent="0.25">
      <c r="A404" s="2"/>
      <c r="B404" s="2" t="s">
        <v>3</v>
      </c>
      <c r="C404" s="2" t="s">
        <v>664</v>
      </c>
      <c r="D404" s="2" t="s">
        <v>251</v>
      </c>
      <c r="E404" s="2" t="s">
        <v>252</v>
      </c>
      <c r="F404" s="2" t="s">
        <v>253</v>
      </c>
      <c r="G404" s="2" t="s">
        <v>297</v>
      </c>
      <c r="H404" s="35">
        <v>3500</v>
      </c>
      <c r="I404" s="2">
        <v>0</v>
      </c>
      <c r="J404" s="2">
        <v>11.2</v>
      </c>
      <c r="K404" s="2">
        <v>1</v>
      </c>
      <c r="L404" s="2">
        <v>11.2</v>
      </c>
      <c r="M404" s="2">
        <v>3.2</v>
      </c>
      <c r="N404" s="2">
        <v>5.3</v>
      </c>
      <c r="O404" s="2" t="s">
        <v>284</v>
      </c>
      <c r="P404" s="2" t="s">
        <v>298</v>
      </c>
      <c r="Q404" s="2" t="str">
        <f t="shared" si="28"/>
        <v>Ron</v>
      </c>
      <c r="R404" s="2" t="str">
        <f t="shared" si="29"/>
        <v>Baker</v>
      </c>
      <c r="S404" s="2" t="str">
        <f t="shared" si="26"/>
        <v>Ron Baker</v>
      </c>
      <c r="T404" s="2">
        <f t="shared" si="27"/>
        <v>5.3</v>
      </c>
    </row>
    <row r="405" spans="1:20" x14ac:dyDescent="0.25">
      <c r="A405" s="2"/>
      <c r="B405" s="2" t="s">
        <v>5</v>
      </c>
      <c r="C405" s="2" t="s">
        <v>665</v>
      </c>
      <c r="D405" s="2" t="s">
        <v>251</v>
      </c>
      <c r="E405" s="2" t="s">
        <v>252</v>
      </c>
      <c r="F405" s="2" t="s">
        <v>253</v>
      </c>
      <c r="G405" s="2" t="s">
        <v>92</v>
      </c>
      <c r="H405" s="35">
        <v>3500</v>
      </c>
      <c r="I405" s="2">
        <v>0</v>
      </c>
      <c r="J405" s="2">
        <v>22.2</v>
      </c>
      <c r="K405" s="2">
        <v>3</v>
      </c>
      <c r="L405" s="2">
        <v>7.4</v>
      </c>
      <c r="M405" s="2">
        <v>2.1</v>
      </c>
      <c r="N405" s="2">
        <v>4.9000000000000004</v>
      </c>
      <c r="O405" s="2">
        <v>7.4</v>
      </c>
      <c r="P405" s="2" t="s">
        <v>263</v>
      </c>
      <c r="Q405" s="2" t="str">
        <f t="shared" si="28"/>
        <v>Wesley</v>
      </c>
      <c r="R405" s="2" t="str">
        <f t="shared" si="29"/>
        <v>Johnson</v>
      </c>
      <c r="S405" s="2" t="str">
        <f t="shared" si="26"/>
        <v>Wesley Johnson</v>
      </c>
      <c r="T405" s="2">
        <f t="shared" si="27"/>
        <v>4.9000000000000004</v>
      </c>
    </row>
    <row r="406" spans="1:20" x14ac:dyDescent="0.25">
      <c r="A406" s="2"/>
      <c r="B406" s="2" t="s">
        <v>3</v>
      </c>
      <c r="C406" s="2" t="s">
        <v>666</v>
      </c>
      <c r="D406" s="2" t="s">
        <v>251</v>
      </c>
      <c r="E406" s="2" t="s">
        <v>252</v>
      </c>
      <c r="F406" s="2" t="s">
        <v>253</v>
      </c>
      <c r="G406" s="2" t="s">
        <v>289</v>
      </c>
      <c r="H406" s="35">
        <v>3500</v>
      </c>
      <c r="I406" s="2">
        <v>0</v>
      </c>
      <c r="J406" s="2">
        <v>4.7</v>
      </c>
      <c r="K406" s="2">
        <v>1</v>
      </c>
      <c r="L406" s="2">
        <v>4.7</v>
      </c>
      <c r="M406" s="2">
        <v>1.3</v>
      </c>
      <c r="N406" s="2">
        <v>4.7</v>
      </c>
      <c r="O406" s="2">
        <v>4.7</v>
      </c>
      <c r="P406" s="2" t="s">
        <v>290</v>
      </c>
      <c r="Q406" s="2" t="str">
        <f t="shared" si="28"/>
        <v>Delon</v>
      </c>
      <c r="R406" s="2" t="str">
        <f t="shared" si="29"/>
        <v>Wright</v>
      </c>
      <c r="S406" s="2" t="str">
        <f t="shared" si="26"/>
        <v>Delon Wright</v>
      </c>
      <c r="T406" s="2">
        <f t="shared" si="27"/>
        <v>4.7</v>
      </c>
    </row>
    <row r="407" spans="1:20" x14ac:dyDescent="0.25">
      <c r="A407" s="2"/>
      <c r="B407" s="2" t="s">
        <v>5</v>
      </c>
      <c r="C407" s="2" t="s">
        <v>667</v>
      </c>
      <c r="D407" s="2" t="s">
        <v>251</v>
      </c>
      <c r="E407" s="2" t="s">
        <v>252</v>
      </c>
      <c r="F407" s="2" t="s">
        <v>253</v>
      </c>
      <c r="G407" s="2" t="s">
        <v>301</v>
      </c>
      <c r="H407" s="35">
        <v>3500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4.5</v>
      </c>
      <c r="O407" s="2" t="s">
        <v>284</v>
      </c>
      <c r="P407" s="2" t="s">
        <v>302</v>
      </c>
      <c r="Q407" s="2" t="str">
        <f t="shared" si="28"/>
        <v>Mike</v>
      </c>
      <c r="R407" s="2" t="str">
        <f t="shared" si="29"/>
        <v>Scott</v>
      </c>
      <c r="S407" s="2" t="str">
        <f t="shared" si="26"/>
        <v>Mike Scott</v>
      </c>
      <c r="T407" s="2">
        <f t="shared" si="27"/>
        <v>4.5</v>
      </c>
    </row>
    <row r="408" spans="1:20" x14ac:dyDescent="0.25">
      <c r="A408" s="2"/>
      <c r="B408" s="2" t="s">
        <v>5</v>
      </c>
      <c r="C408" s="2" t="s">
        <v>668</v>
      </c>
      <c r="D408" s="2" t="s">
        <v>251</v>
      </c>
      <c r="E408" s="2" t="s">
        <v>252</v>
      </c>
      <c r="F408" s="2" t="s">
        <v>253</v>
      </c>
      <c r="G408" s="2" t="s">
        <v>297</v>
      </c>
      <c r="H408" s="35">
        <v>3500</v>
      </c>
      <c r="I408" s="2">
        <v>0</v>
      </c>
      <c r="J408" s="2">
        <v>4.4000000000000004</v>
      </c>
      <c r="K408" s="2">
        <v>1</v>
      </c>
      <c r="L408" s="2">
        <v>4.4000000000000004</v>
      </c>
      <c r="M408" s="2">
        <v>1.3</v>
      </c>
      <c r="N408" s="2">
        <v>4.4000000000000004</v>
      </c>
      <c r="O408" s="2">
        <v>4.4000000000000004</v>
      </c>
      <c r="P408" s="2" t="s">
        <v>298</v>
      </c>
      <c r="Q408" s="2" t="str">
        <f t="shared" si="28"/>
        <v>Lance</v>
      </c>
      <c r="R408" s="2" t="str">
        <f t="shared" si="29"/>
        <v>Thomas</v>
      </c>
      <c r="S408" s="2" t="str">
        <f t="shared" si="26"/>
        <v>Lance Thomas</v>
      </c>
      <c r="T408" s="2">
        <f t="shared" si="27"/>
        <v>4.4000000000000004</v>
      </c>
    </row>
    <row r="409" spans="1:20" x14ac:dyDescent="0.25">
      <c r="A409" s="2"/>
      <c r="B409" s="2" t="s">
        <v>4</v>
      </c>
      <c r="C409" s="2" t="s">
        <v>669</v>
      </c>
      <c r="D409" s="2" t="s">
        <v>251</v>
      </c>
      <c r="E409" s="2" t="s">
        <v>252</v>
      </c>
      <c r="F409" s="2" t="s">
        <v>253</v>
      </c>
      <c r="G409" s="2" t="s">
        <v>291</v>
      </c>
      <c r="H409" s="35">
        <v>3500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4.4000000000000004</v>
      </c>
      <c r="O409" s="2" t="s">
        <v>284</v>
      </c>
      <c r="P409" s="2" t="s">
        <v>292</v>
      </c>
      <c r="Q409" s="2" t="str">
        <f t="shared" si="28"/>
        <v>Deyonta</v>
      </c>
      <c r="R409" s="2" t="str">
        <f t="shared" si="29"/>
        <v>Davis</v>
      </c>
      <c r="S409" s="2" t="str">
        <f t="shared" si="26"/>
        <v>Deyonta Davis</v>
      </c>
      <c r="T409" s="2">
        <f t="shared" si="27"/>
        <v>4.4000000000000004</v>
      </c>
    </row>
    <row r="410" spans="1:20" x14ac:dyDescent="0.25">
      <c r="A410" s="2"/>
      <c r="B410" s="2" t="s">
        <v>3</v>
      </c>
      <c r="C410" s="2" t="s">
        <v>670</v>
      </c>
      <c r="D410" s="2" t="s">
        <v>251</v>
      </c>
      <c r="E410" s="2" t="s">
        <v>252</v>
      </c>
      <c r="F410" s="2" t="s">
        <v>253</v>
      </c>
      <c r="G410" s="2" t="s">
        <v>89</v>
      </c>
      <c r="H410" s="35">
        <v>3500</v>
      </c>
      <c r="I410" s="2">
        <v>0</v>
      </c>
      <c r="J410" s="2">
        <v>5.4</v>
      </c>
      <c r="K410" s="2">
        <v>2</v>
      </c>
      <c r="L410" s="2">
        <v>2.7</v>
      </c>
      <c r="M410" s="2">
        <v>0.8</v>
      </c>
      <c r="N410" s="2">
        <v>4.4000000000000004</v>
      </c>
      <c r="O410" s="2">
        <v>5.4</v>
      </c>
      <c r="P410" s="2" t="s">
        <v>254</v>
      </c>
      <c r="Q410" s="2" t="str">
        <f t="shared" si="28"/>
        <v>Semaj</v>
      </c>
      <c r="R410" s="2" t="str">
        <f t="shared" si="29"/>
        <v>Christon</v>
      </c>
      <c r="S410" s="2" t="str">
        <f t="shared" si="26"/>
        <v>Semaj Christon</v>
      </c>
      <c r="T410" s="2">
        <f t="shared" si="27"/>
        <v>4.4000000000000004</v>
      </c>
    </row>
    <row r="411" spans="1:20" x14ac:dyDescent="0.25">
      <c r="A411" s="2"/>
      <c r="B411" s="2" t="s">
        <v>6</v>
      </c>
      <c r="C411" s="2" t="s">
        <v>671</v>
      </c>
      <c r="D411" s="2" t="s">
        <v>251</v>
      </c>
      <c r="E411" s="2" t="s">
        <v>252</v>
      </c>
      <c r="F411" s="2" t="s">
        <v>253</v>
      </c>
      <c r="G411" s="2" t="s">
        <v>272</v>
      </c>
      <c r="H411" s="35">
        <v>3500</v>
      </c>
      <c r="I411" s="2">
        <v>0</v>
      </c>
      <c r="J411" s="2">
        <v>14.2</v>
      </c>
      <c r="K411" s="2">
        <v>4</v>
      </c>
      <c r="L411" s="2">
        <v>3.5</v>
      </c>
      <c r="M411" s="2">
        <v>1</v>
      </c>
      <c r="N411" s="2">
        <v>4.3</v>
      </c>
      <c r="O411" s="2">
        <v>6.2</v>
      </c>
      <c r="P411" s="2" t="s">
        <v>273</v>
      </c>
      <c r="Q411" s="2" t="str">
        <f t="shared" si="28"/>
        <v>Damian</v>
      </c>
      <c r="R411" s="2" t="str">
        <f t="shared" si="29"/>
        <v>Jones</v>
      </c>
      <c r="S411" s="2" t="str">
        <f t="shared" si="26"/>
        <v>Damian Jones</v>
      </c>
      <c r="T411" s="2">
        <f t="shared" si="27"/>
        <v>4.3</v>
      </c>
    </row>
    <row r="412" spans="1:20" x14ac:dyDescent="0.25">
      <c r="A412" s="2"/>
      <c r="B412" s="2" t="s">
        <v>6</v>
      </c>
      <c r="C412" s="2" t="s">
        <v>672</v>
      </c>
      <c r="D412" s="2" t="s">
        <v>251</v>
      </c>
      <c r="E412" s="2" t="s">
        <v>252</v>
      </c>
      <c r="F412" s="2" t="s">
        <v>253</v>
      </c>
      <c r="G412" s="2" t="s">
        <v>266</v>
      </c>
      <c r="H412" s="35">
        <v>3500</v>
      </c>
      <c r="I412" s="2">
        <v>0</v>
      </c>
      <c r="J412" s="2">
        <v>3.4</v>
      </c>
      <c r="K412" s="2">
        <v>2</v>
      </c>
      <c r="L412" s="2">
        <v>1.7</v>
      </c>
      <c r="M412" s="2">
        <v>0.5</v>
      </c>
      <c r="N412" s="2">
        <v>3.9</v>
      </c>
      <c r="O412" s="2" t="s">
        <v>284</v>
      </c>
      <c r="P412" s="2" t="s">
        <v>267</v>
      </c>
      <c r="Q412" s="2" t="str">
        <f t="shared" si="28"/>
        <v>Joel</v>
      </c>
      <c r="R412" s="2" t="str">
        <f t="shared" si="29"/>
        <v>Anthony</v>
      </c>
      <c r="S412" s="2" t="str">
        <f t="shared" si="26"/>
        <v>Joel Anthony</v>
      </c>
      <c r="T412" s="2">
        <f t="shared" si="27"/>
        <v>3.9</v>
      </c>
    </row>
    <row r="413" spans="1:20" x14ac:dyDescent="0.25">
      <c r="A413" s="2"/>
      <c r="B413" s="2" t="s">
        <v>4</v>
      </c>
      <c r="C413" s="2" t="s">
        <v>673</v>
      </c>
      <c r="D413" s="2" t="s">
        <v>251</v>
      </c>
      <c r="E413" s="2" t="s">
        <v>252</v>
      </c>
      <c r="F413" s="2" t="s">
        <v>253</v>
      </c>
      <c r="G413" s="2" t="s">
        <v>297</v>
      </c>
      <c r="H413" s="35">
        <v>3500</v>
      </c>
      <c r="I413" s="2">
        <v>0</v>
      </c>
      <c r="J413" s="2">
        <v>2.4</v>
      </c>
      <c r="K413" s="2">
        <v>1</v>
      </c>
      <c r="L413" s="2">
        <v>2.4</v>
      </c>
      <c r="M413" s="2">
        <v>0.7</v>
      </c>
      <c r="N413" s="2">
        <v>3.9</v>
      </c>
      <c r="O413" s="2" t="s">
        <v>284</v>
      </c>
      <c r="P413" s="2" t="s">
        <v>298</v>
      </c>
      <c r="Q413" s="2" t="str">
        <f t="shared" si="28"/>
        <v>Maurice</v>
      </c>
      <c r="R413" s="2" t="str">
        <f t="shared" si="29"/>
        <v>N'dour</v>
      </c>
      <c r="S413" s="2" t="str">
        <f t="shared" si="26"/>
        <v>Maurice N'dour</v>
      </c>
      <c r="T413" s="2">
        <f t="shared" si="27"/>
        <v>3.9</v>
      </c>
    </row>
    <row r="414" spans="1:20" x14ac:dyDescent="0.25">
      <c r="A414" s="2"/>
      <c r="B414" s="2" t="s">
        <v>7</v>
      </c>
      <c r="C414" s="2" t="s">
        <v>674</v>
      </c>
      <c r="D414" s="2" t="s">
        <v>251</v>
      </c>
      <c r="E414" s="2" t="s">
        <v>252</v>
      </c>
      <c r="F414" s="2" t="s">
        <v>253</v>
      </c>
      <c r="G414" s="2" t="s">
        <v>261</v>
      </c>
      <c r="H414" s="35">
        <v>3500</v>
      </c>
      <c r="I414" s="2">
        <v>0</v>
      </c>
      <c r="J414" s="2">
        <v>14.1</v>
      </c>
      <c r="K414" s="2">
        <v>4</v>
      </c>
      <c r="L414" s="2">
        <v>3.5</v>
      </c>
      <c r="M414" s="2">
        <v>1</v>
      </c>
      <c r="N414" s="2">
        <v>3.9</v>
      </c>
      <c r="O414" s="2">
        <v>0.2</v>
      </c>
      <c r="P414" s="2" t="s">
        <v>262</v>
      </c>
      <c r="Q414" s="2" t="str">
        <f t="shared" si="28"/>
        <v>Malachi</v>
      </c>
      <c r="R414" s="2" t="str">
        <f t="shared" si="29"/>
        <v>Richardson</v>
      </c>
      <c r="S414" s="2" t="str">
        <f t="shared" si="26"/>
        <v>Malachi Richardson</v>
      </c>
      <c r="T414" s="2">
        <f t="shared" si="27"/>
        <v>3.9</v>
      </c>
    </row>
    <row r="415" spans="1:20" x14ac:dyDescent="0.25">
      <c r="A415" s="2"/>
      <c r="B415" s="2" t="s">
        <v>5</v>
      </c>
      <c r="C415" s="2" t="s">
        <v>675</v>
      </c>
      <c r="D415" s="2" t="s">
        <v>251</v>
      </c>
      <c r="E415" s="2" t="s">
        <v>252</v>
      </c>
      <c r="F415" s="2" t="s">
        <v>253</v>
      </c>
      <c r="G415" s="2" t="s">
        <v>270</v>
      </c>
      <c r="H415" s="35">
        <v>3500</v>
      </c>
      <c r="I415" s="2">
        <v>0</v>
      </c>
      <c r="J415" s="2">
        <v>16.8</v>
      </c>
      <c r="K415" s="2">
        <v>2</v>
      </c>
      <c r="L415" s="2">
        <v>8.4</v>
      </c>
      <c r="M415" s="2">
        <v>2.4</v>
      </c>
      <c r="N415" s="2">
        <v>3.8</v>
      </c>
      <c r="O415" s="2">
        <v>8.4</v>
      </c>
      <c r="P415" s="2" t="s">
        <v>271</v>
      </c>
      <c r="Q415" s="2" t="str">
        <f t="shared" si="28"/>
        <v>Mike</v>
      </c>
      <c r="R415" s="2" t="str">
        <f t="shared" si="29"/>
        <v>Miller</v>
      </c>
      <c r="S415" s="2" t="str">
        <f t="shared" si="26"/>
        <v>Mike Miller</v>
      </c>
      <c r="T415" s="2">
        <f t="shared" si="27"/>
        <v>3.8</v>
      </c>
    </row>
    <row r="416" spans="1:20" x14ac:dyDescent="0.25">
      <c r="A416" s="2"/>
      <c r="B416" s="2" t="s">
        <v>7</v>
      </c>
      <c r="C416" s="2" t="s">
        <v>676</v>
      </c>
      <c r="D416" s="2" t="s">
        <v>251</v>
      </c>
      <c r="E416" s="2" t="s">
        <v>252</v>
      </c>
      <c r="F416" s="2" t="s">
        <v>253</v>
      </c>
      <c r="G416" s="2" t="s">
        <v>276</v>
      </c>
      <c r="H416" s="35">
        <v>3600</v>
      </c>
      <c r="I416" s="2">
        <v>0</v>
      </c>
      <c r="J416" s="2">
        <v>8.6999999999999993</v>
      </c>
      <c r="K416" s="2">
        <v>2</v>
      </c>
      <c r="L416" s="2">
        <v>4.3</v>
      </c>
      <c r="M416" s="2">
        <v>1.2</v>
      </c>
      <c r="N416" s="2">
        <v>3.8</v>
      </c>
      <c r="O416" s="2">
        <v>0</v>
      </c>
      <c r="P416" s="2" t="s">
        <v>277</v>
      </c>
      <c r="Q416" s="2" t="str">
        <f t="shared" si="28"/>
        <v>Rashad</v>
      </c>
      <c r="R416" s="2" t="str">
        <f t="shared" si="29"/>
        <v>Vaughn</v>
      </c>
      <c r="S416" s="2" t="str">
        <f t="shared" si="26"/>
        <v>Rashad Vaughn</v>
      </c>
      <c r="T416" s="2">
        <f t="shared" si="27"/>
        <v>3.8</v>
      </c>
    </row>
    <row r="417" spans="1:20" x14ac:dyDescent="0.25">
      <c r="A417" s="2"/>
      <c r="B417" s="2" t="s">
        <v>5</v>
      </c>
      <c r="C417" s="2" t="s">
        <v>677</v>
      </c>
      <c r="D417" s="2" t="s">
        <v>251</v>
      </c>
      <c r="E417" s="2" t="s">
        <v>252</v>
      </c>
      <c r="F417" s="2" t="s">
        <v>253</v>
      </c>
      <c r="G417" s="2" t="s">
        <v>293</v>
      </c>
      <c r="H417" s="35">
        <v>3500</v>
      </c>
      <c r="I417" s="2">
        <v>0</v>
      </c>
      <c r="J417" s="2">
        <v>8.5</v>
      </c>
      <c r="K417" s="2">
        <v>1</v>
      </c>
      <c r="L417" s="2">
        <v>8.5</v>
      </c>
      <c r="M417" s="2">
        <v>2.4</v>
      </c>
      <c r="N417" s="2">
        <v>3.7</v>
      </c>
      <c r="O417" s="2" t="s">
        <v>284</v>
      </c>
      <c r="P417" s="2" t="s">
        <v>294</v>
      </c>
      <c r="Q417" s="2" t="str">
        <f t="shared" si="28"/>
        <v>Damjan</v>
      </c>
      <c r="R417" s="2" t="str">
        <f t="shared" si="29"/>
        <v>Rudez</v>
      </c>
      <c r="S417" s="2" t="str">
        <f t="shared" si="26"/>
        <v>Damjan Rudez</v>
      </c>
      <c r="T417" s="2">
        <f t="shared" si="27"/>
        <v>3.7</v>
      </c>
    </row>
    <row r="418" spans="1:20" x14ac:dyDescent="0.25">
      <c r="A418" s="2"/>
      <c r="B418" s="2" t="s">
        <v>7</v>
      </c>
      <c r="C418" s="2" t="s">
        <v>678</v>
      </c>
      <c r="D418" s="2" t="s">
        <v>251</v>
      </c>
      <c r="E418" s="2" t="s">
        <v>252</v>
      </c>
      <c r="F418" s="2" t="s">
        <v>253</v>
      </c>
      <c r="G418" s="2" t="s">
        <v>255</v>
      </c>
      <c r="H418" s="35">
        <v>3500</v>
      </c>
      <c r="I418" s="2">
        <v>0</v>
      </c>
      <c r="J418" s="2">
        <v>7.4</v>
      </c>
      <c r="K418" s="2">
        <v>1</v>
      </c>
      <c r="L418" s="2">
        <v>7.4</v>
      </c>
      <c r="M418" s="2">
        <v>2.1</v>
      </c>
      <c r="N418" s="2">
        <v>3.5</v>
      </c>
      <c r="O418" s="2">
        <v>7.4</v>
      </c>
      <c r="P418" s="2" t="s">
        <v>256</v>
      </c>
      <c r="Q418" s="2" t="str">
        <f t="shared" si="28"/>
        <v>K.J.</v>
      </c>
      <c r="R418" s="2" t="str">
        <f t="shared" si="29"/>
        <v>McDaniels</v>
      </c>
      <c r="S418" s="2" t="str">
        <f t="shared" si="26"/>
        <v>K.J. McDaniels</v>
      </c>
      <c r="T418" s="2">
        <f t="shared" si="27"/>
        <v>3.5</v>
      </c>
    </row>
    <row r="419" spans="1:20" x14ac:dyDescent="0.25">
      <c r="A419" s="2"/>
      <c r="B419" s="2" t="s">
        <v>6</v>
      </c>
      <c r="C419" s="2" t="s">
        <v>679</v>
      </c>
      <c r="D419" s="2" t="s">
        <v>251</v>
      </c>
      <c r="E419" s="2" t="s">
        <v>252</v>
      </c>
      <c r="F419" s="2" t="s">
        <v>253</v>
      </c>
      <c r="G419" s="2" t="s">
        <v>272</v>
      </c>
      <c r="H419" s="35">
        <v>3500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3.3</v>
      </c>
      <c r="O419" s="2" t="s">
        <v>284</v>
      </c>
      <c r="P419" s="2" t="s">
        <v>273</v>
      </c>
      <c r="Q419" s="2" t="str">
        <f t="shared" si="28"/>
        <v>Anderson</v>
      </c>
      <c r="R419" s="2" t="str">
        <f t="shared" si="29"/>
        <v>Varejao</v>
      </c>
      <c r="S419" s="2" t="str">
        <f t="shared" si="26"/>
        <v>Anderson Varejao</v>
      </c>
      <c r="T419" s="2">
        <f t="shared" si="27"/>
        <v>3.3</v>
      </c>
    </row>
    <row r="420" spans="1:20" x14ac:dyDescent="0.25">
      <c r="A420" s="2"/>
      <c r="B420" s="2" t="s">
        <v>7</v>
      </c>
      <c r="C420" s="2" t="s">
        <v>680</v>
      </c>
      <c r="D420" s="2" t="s">
        <v>251</v>
      </c>
      <c r="E420" s="2" t="s">
        <v>252</v>
      </c>
      <c r="F420" s="2" t="s">
        <v>253</v>
      </c>
      <c r="G420" s="2" t="s">
        <v>270</v>
      </c>
      <c r="H420" s="35">
        <v>3500</v>
      </c>
      <c r="I420" s="2">
        <v>0</v>
      </c>
      <c r="J420" s="2">
        <v>-2</v>
      </c>
      <c r="K420" s="2">
        <v>3</v>
      </c>
      <c r="L420" s="2">
        <v>-0.7</v>
      </c>
      <c r="M420" s="2">
        <v>-0.2</v>
      </c>
      <c r="N420" s="2">
        <v>3.3</v>
      </c>
      <c r="O420" s="2">
        <v>-2</v>
      </c>
      <c r="P420" s="2" t="s">
        <v>271</v>
      </c>
      <c r="Q420" s="2" t="str">
        <f t="shared" si="28"/>
        <v>Malik</v>
      </c>
      <c r="R420" s="2" t="str">
        <f t="shared" si="29"/>
        <v>Beasley</v>
      </c>
      <c r="S420" s="2" t="str">
        <f t="shared" si="26"/>
        <v>Malik Beasley</v>
      </c>
      <c r="T420" s="2">
        <f t="shared" si="27"/>
        <v>3.3</v>
      </c>
    </row>
    <row r="421" spans="1:20" x14ac:dyDescent="0.25">
      <c r="A421" s="2"/>
      <c r="B421" s="2" t="s">
        <v>6</v>
      </c>
      <c r="C421" s="2" t="s">
        <v>681</v>
      </c>
      <c r="D421" s="2" t="s">
        <v>251</v>
      </c>
      <c r="E421" s="2" t="s">
        <v>252</v>
      </c>
      <c r="F421" s="2" t="s">
        <v>253</v>
      </c>
      <c r="G421" s="2" t="s">
        <v>268</v>
      </c>
      <c r="H421" s="35">
        <v>3500</v>
      </c>
      <c r="I421" s="2">
        <v>0</v>
      </c>
      <c r="J421" s="2">
        <v>12.5</v>
      </c>
      <c r="K421" s="2">
        <v>4</v>
      </c>
      <c r="L421" s="2">
        <v>3.1</v>
      </c>
      <c r="M421" s="2">
        <v>0.9</v>
      </c>
      <c r="N421" s="2">
        <v>3.2</v>
      </c>
      <c r="O421" s="2">
        <v>-1</v>
      </c>
      <c r="P421" s="2" t="s">
        <v>269</v>
      </c>
      <c r="Q421" s="2" t="str">
        <f t="shared" si="28"/>
        <v>Cole</v>
      </c>
      <c r="R421" s="2" t="str">
        <f t="shared" si="29"/>
        <v>Aldrich</v>
      </c>
      <c r="S421" s="2" t="str">
        <f t="shared" si="26"/>
        <v>Cole Aldrich</v>
      </c>
      <c r="T421" s="2">
        <f t="shared" si="27"/>
        <v>3.2</v>
      </c>
    </row>
    <row r="422" spans="1:20" x14ac:dyDescent="0.25">
      <c r="A422" s="2"/>
      <c r="B422" s="2" t="s">
        <v>4</v>
      </c>
      <c r="C422" s="2" t="s">
        <v>682</v>
      </c>
      <c r="D422" s="2" t="s">
        <v>251</v>
      </c>
      <c r="E422" s="2" t="s">
        <v>252</v>
      </c>
      <c r="F422" s="2" t="s">
        <v>253</v>
      </c>
      <c r="G422" s="2" t="s">
        <v>268</v>
      </c>
      <c r="H422" s="35">
        <v>3500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3.2</v>
      </c>
      <c r="O422" s="2" t="s">
        <v>284</v>
      </c>
      <c r="P422" s="2" t="s">
        <v>269</v>
      </c>
      <c r="Q422" s="2" t="str">
        <f t="shared" si="28"/>
        <v>Adreian</v>
      </c>
      <c r="R422" s="2" t="str">
        <f t="shared" si="29"/>
        <v>Payne</v>
      </c>
      <c r="S422" s="2" t="str">
        <f t="shared" si="26"/>
        <v>Adreian Payne</v>
      </c>
      <c r="T422" s="2">
        <f t="shared" si="27"/>
        <v>3.2</v>
      </c>
    </row>
    <row r="423" spans="1:20" x14ac:dyDescent="0.25">
      <c r="A423" s="2"/>
      <c r="B423" s="2" t="s">
        <v>3</v>
      </c>
      <c r="C423" s="2" t="s">
        <v>683</v>
      </c>
      <c r="D423" s="2" t="s">
        <v>251</v>
      </c>
      <c r="E423" s="2" t="s">
        <v>252</v>
      </c>
      <c r="F423" s="2" t="s">
        <v>253</v>
      </c>
      <c r="G423" s="2" t="s">
        <v>255</v>
      </c>
      <c r="H423" s="35">
        <v>3500</v>
      </c>
      <c r="I423" s="2">
        <v>0</v>
      </c>
      <c r="J423" s="2">
        <v>6.1</v>
      </c>
      <c r="K423" s="2">
        <v>1</v>
      </c>
      <c r="L423" s="2">
        <v>6.1</v>
      </c>
      <c r="M423" s="2">
        <v>1.7</v>
      </c>
      <c r="N423" s="2">
        <v>3.2</v>
      </c>
      <c r="O423" s="2">
        <v>6.1</v>
      </c>
      <c r="P423" s="2" t="s">
        <v>256</v>
      </c>
      <c r="Q423" s="2" t="str">
        <f t="shared" si="28"/>
        <v>Tyler</v>
      </c>
      <c r="R423" s="2" t="str">
        <f t="shared" si="29"/>
        <v>Ennis</v>
      </c>
      <c r="S423" s="2" t="str">
        <f t="shared" si="26"/>
        <v>Tyler Ennis</v>
      </c>
      <c r="T423" s="2">
        <f t="shared" si="27"/>
        <v>3.2</v>
      </c>
    </row>
    <row r="424" spans="1:20" x14ac:dyDescent="0.25">
      <c r="A424" s="2"/>
      <c r="B424" s="2" t="s">
        <v>7</v>
      </c>
      <c r="C424" s="2" t="s">
        <v>684</v>
      </c>
      <c r="D424" s="2" t="s">
        <v>251</v>
      </c>
      <c r="E424" s="2" t="s">
        <v>252</v>
      </c>
      <c r="F424" s="2" t="s">
        <v>253</v>
      </c>
      <c r="G424" s="2" t="s">
        <v>285</v>
      </c>
      <c r="H424" s="35">
        <v>4200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 s="2">
        <v>3.2</v>
      </c>
      <c r="O424" s="2" t="s">
        <v>284</v>
      </c>
      <c r="P424" s="2" t="s">
        <v>286</v>
      </c>
      <c r="Q424" s="2" t="str">
        <f t="shared" si="28"/>
        <v>Rodney</v>
      </c>
      <c r="R424" s="2" t="str">
        <f t="shared" si="29"/>
        <v>Hood</v>
      </c>
      <c r="S424" s="2" t="str">
        <f t="shared" si="26"/>
        <v>Rodney Hood</v>
      </c>
      <c r="T424" s="2">
        <f t="shared" si="27"/>
        <v>3.2</v>
      </c>
    </row>
    <row r="425" spans="1:20" x14ac:dyDescent="0.25">
      <c r="A425" s="2"/>
      <c r="B425" s="2" t="s">
        <v>5</v>
      </c>
      <c r="C425" s="2" t="s">
        <v>685</v>
      </c>
      <c r="D425" s="2" t="s">
        <v>251</v>
      </c>
      <c r="E425" s="2" t="s">
        <v>252</v>
      </c>
      <c r="F425" s="2" t="s">
        <v>253</v>
      </c>
      <c r="G425" s="2" t="s">
        <v>295</v>
      </c>
      <c r="H425" s="35">
        <v>3500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 s="2">
        <v>3.2</v>
      </c>
      <c r="O425" s="2" t="s">
        <v>284</v>
      </c>
      <c r="P425" s="2" t="s">
        <v>296</v>
      </c>
      <c r="Q425" s="2" t="str">
        <f t="shared" si="28"/>
        <v>Georges</v>
      </c>
      <c r="R425" s="2" t="str">
        <f t="shared" si="29"/>
        <v>Niang</v>
      </c>
      <c r="S425" s="2" t="str">
        <f t="shared" si="26"/>
        <v>Georges Niang</v>
      </c>
      <c r="T425" s="2">
        <f t="shared" si="27"/>
        <v>3.2</v>
      </c>
    </row>
    <row r="426" spans="1:20" x14ac:dyDescent="0.25">
      <c r="A426" s="2"/>
      <c r="B426" s="2" t="s">
        <v>7</v>
      </c>
      <c r="C426" s="2" t="s">
        <v>686</v>
      </c>
      <c r="D426" s="2" t="s">
        <v>251</v>
      </c>
      <c r="E426" s="2" t="s">
        <v>252</v>
      </c>
      <c r="F426" s="2" t="s">
        <v>253</v>
      </c>
      <c r="G426" s="2" t="s">
        <v>92</v>
      </c>
      <c r="H426" s="35">
        <v>3500</v>
      </c>
      <c r="I426" s="2">
        <v>0</v>
      </c>
      <c r="J426" s="2">
        <v>8.6999999999999993</v>
      </c>
      <c r="K426" s="2">
        <v>3</v>
      </c>
      <c r="L426" s="2">
        <v>2.9</v>
      </c>
      <c r="M426" s="2">
        <v>0.8</v>
      </c>
      <c r="N426" s="2">
        <v>3.1</v>
      </c>
      <c r="O426" s="2">
        <v>2</v>
      </c>
      <c r="P426" s="2" t="s">
        <v>263</v>
      </c>
      <c r="Q426" s="2" t="str">
        <f t="shared" si="28"/>
        <v>Alan</v>
      </c>
      <c r="R426" s="2" t="str">
        <f t="shared" si="29"/>
        <v>Anderson</v>
      </c>
      <c r="S426" s="2" t="str">
        <f t="shared" si="26"/>
        <v>Alan Anderson</v>
      </c>
      <c r="T426" s="2">
        <f t="shared" si="27"/>
        <v>3.1</v>
      </c>
    </row>
    <row r="427" spans="1:20" x14ac:dyDescent="0.25">
      <c r="A427" s="2"/>
      <c r="B427" s="2" t="s">
        <v>5</v>
      </c>
      <c r="C427" s="2" t="s">
        <v>687</v>
      </c>
      <c r="D427" s="2" t="s">
        <v>251</v>
      </c>
      <c r="E427" s="2" t="s">
        <v>252</v>
      </c>
      <c r="F427" s="2" t="s">
        <v>253</v>
      </c>
      <c r="G427" s="2" t="s">
        <v>303</v>
      </c>
      <c r="H427" s="35">
        <v>3500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3.1</v>
      </c>
      <c r="O427" s="2" t="s">
        <v>284</v>
      </c>
      <c r="P427" s="2" t="s">
        <v>304</v>
      </c>
      <c r="Q427" s="2" t="str">
        <f t="shared" si="28"/>
        <v>Treveon</v>
      </c>
      <c r="R427" s="2" t="str">
        <f t="shared" si="29"/>
        <v>Graham</v>
      </c>
      <c r="S427" s="2" t="str">
        <f t="shared" si="26"/>
        <v>Treveon Graham</v>
      </c>
      <c r="T427" s="2">
        <f t="shared" si="27"/>
        <v>3.1</v>
      </c>
    </row>
    <row r="428" spans="1:20" x14ac:dyDescent="0.25">
      <c r="A428" s="2"/>
      <c r="B428" s="2"/>
      <c r="C428" s="2"/>
      <c r="D428" s="2"/>
      <c r="E428" s="2"/>
      <c r="F428" s="2"/>
      <c r="G428" s="2"/>
      <c r="H428" s="42">
        <v>42782</v>
      </c>
      <c r="I428" s="2" t="s">
        <v>232</v>
      </c>
      <c r="J428" s="2" t="s">
        <v>233</v>
      </c>
      <c r="K428" s="2" t="s">
        <v>232</v>
      </c>
      <c r="L428" s="2" t="s">
        <v>234</v>
      </c>
      <c r="M428" s="2" t="s">
        <v>235</v>
      </c>
      <c r="N428" s="2" t="s">
        <v>232</v>
      </c>
      <c r="O428" s="2" t="s">
        <v>232</v>
      </c>
      <c r="P428" s="2" t="s">
        <v>236</v>
      </c>
      <c r="Q428" s="2" t="e">
        <f t="shared" si="28"/>
        <v>#VALUE!</v>
      </c>
      <c r="R428" s="2" t="e">
        <f t="shared" si="29"/>
        <v>#VALUE!</v>
      </c>
      <c r="S428" s="2" t="e">
        <f t="shared" si="26"/>
        <v>#VALUE!</v>
      </c>
      <c r="T428" s="2" t="str">
        <f t="shared" si="27"/>
        <v>Last</v>
      </c>
    </row>
    <row r="429" spans="1:20" x14ac:dyDescent="0.25">
      <c r="A429" s="2"/>
      <c r="B429" s="2"/>
      <c r="C429" s="2"/>
      <c r="D429" s="2"/>
      <c r="E429" s="2"/>
      <c r="F429" s="2"/>
      <c r="G429" s="2"/>
      <c r="H429" s="2" t="s">
        <v>142</v>
      </c>
      <c r="I429" s="2" t="s">
        <v>142</v>
      </c>
      <c r="J429" s="2" t="s">
        <v>237</v>
      </c>
      <c r="K429" s="2"/>
      <c r="L429" s="2" t="s">
        <v>238</v>
      </c>
      <c r="M429" s="2" t="s">
        <v>239</v>
      </c>
      <c r="N429" s="2" t="s">
        <v>240</v>
      </c>
      <c r="O429" s="2" t="s">
        <v>1</v>
      </c>
      <c r="P429" s="2" t="s">
        <v>241</v>
      </c>
      <c r="Q429" s="2" t="e">
        <f t="shared" si="28"/>
        <v>#VALUE!</v>
      </c>
      <c r="R429" s="2" t="e">
        <f t="shared" si="29"/>
        <v>#VALUE!</v>
      </c>
      <c r="S429" s="2" t="e">
        <f t="shared" si="26"/>
        <v>#VALUE!</v>
      </c>
      <c r="T429" s="2" t="str">
        <f t="shared" si="27"/>
        <v>15 day</v>
      </c>
    </row>
    <row r="430" spans="1:20" x14ac:dyDescent="0.25">
      <c r="A430" s="2"/>
      <c r="B430" s="2" t="s">
        <v>8</v>
      </c>
      <c r="C430" s="2" t="s">
        <v>242</v>
      </c>
      <c r="D430" s="2" t="s">
        <v>243</v>
      </c>
      <c r="E430" s="2" t="s">
        <v>244</v>
      </c>
      <c r="F430" s="2" t="s">
        <v>245</v>
      </c>
      <c r="G430" s="2" t="s">
        <v>2</v>
      </c>
      <c r="H430" s="43">
        <v>0</v>
      </c>
      <c r="I430" s="2" t="s">
        <v>246</v>
      </c>
      <c r="J430" s="2" t="s">
        <v>238</v>
      </c>
      <c r="K430" s="2" t="s">
        <v>247</v>
      </c>
      <c r="L430" s="2" t="s">
        <v>248</v>
      </c>
      <c r="M430" s="2" t="s">
        <v>249</v>
      </c>
      <c r="N430" s="2" t="s">
        <v>250</v>
      </c>
      <c r="O430" s="2" t="s">
        <v>238</v>
      </c>
      <c r="P430" s="2">
        <v>1.23456789012345E+27</v>
      </c>
      <c r="Q430" s="2" t="e">
        <f t="shared" si="28"/>
        <v>#VALUE!</v>
      </c>
      <c r="R430" s="2" t="e">
        <f t="shared" si="29"/>
        <v>#VALUE!</v>
      </c>
      <c r="S430" s="2" t="e">
        <f t="shared" si="26"/>
        <v>#VALUE!</v>
      </c>
      <c r="T430" s="2" t="str">
        <f t="shared" si="27"/>
        <v>FDP/G</v>
      </c>
    </row>
    <row r="431" spans="1:20" x14ac:dyDescent="0.25">
      <c r="A431" s="2"/>
      <c r="B431" s="2" t="s">
        <v>5</v>
      </c>
      <c r="C431" s="2" t="s">
        <v>688</v>
      </c>
      <c r="D431" s="2" t="s">
        <v>251</v>
      </c>
      <c r="E431" s="2" t="s">
        <v>252</v>
      </c>
      <c r="F431" s="2" t="s">
        <v>253</v>
      </c>
      <c r="G431" s="2" t="s">
        <v>92</v>
      </c>
      <c r="H431" s="35">
        <v>3500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3</v>
      </c>
      <c r="O431" s="2" t="s">
        <v>284</v>
      </c>
      <c r="P431" s="2" t="s">
        <v>263</v>
      </c>
      <c r="Q431" s="2" t="str">
        <f t="shared" si="28"/>
        <v>Paul</v>
      </c>
      <c r="R431" s="2" t="str">
        <f t="shared" si="29"/>
        <v>Pierce</v>
      </c>
      <c r="S431" s="2" t="str">
        <f t="shared" si="26"/>
        <v>Paul Pierce</v>
      </c>
      <c r="T431" s="2">
        <f t="shared" si="27"/>
        <v>3</v>
      </c>
    </row>
    <row r="432" spans="1:20" x14ac:dyDescent="0.25">
      <c r="A432" s="2"/>
      <c r="B432" s="2" t="s">
        <v>7</v>
      </c>
      <c r="C432" s="2" t="s">
        <v>689</v>
      </c>
      <c r="D432" s="2" t="s">
        <v>251</v>
      </c>
      <c r="E432" s="2" t="s">
        <v>252</v>
      </c>
      <c r="F432" s="2" t="s">
        <v>253</v>
      </c>
      <c r="G432" s="2" t="s">
        <v>301</v>
      </c>
      <c r="H432" s="35">
        <v>3500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2.9</v>
      </c>
      <c r="O432" s="2" t="s">
        <v>284</v>
      </c>
      <c r="P432" s="2" t="s">
        <v>302</v>
      </c>
      <c r="Q432" s="2" t="str">
        <f t="shared" si="28"/>
        <v>Lamar</v>
      </c>
      <c r="R432" s="2" t="str">
        <f t="shared" si="29"/>
        <v>Patterson</v>
      </c>
      <c r="S432" s="2" t="str">
        <f t="shared" si="26"/>
        <v>Lamar Patterson</v>
      </c>
      <c r="T432" s="2">
        <f t="shared" si="27"/>
        <v>2.9</v>
      </c>
    </row>
    <row r="433" spans="1:20" x14ac:dyDescent="0.25">
      <c r="A433" s="2"/>
      <c r="B433" s="2" t="s">
        <v>7</v>
      </c>
      <c r="C433" s="2" t="s">
        <v>690</v>
      </c>
      <c r="D433" s="2" t="s">
        <v>251</v>
      </c>
      <c r="E433" s="2" t="s">
        <v>252</v>
      </c>
      <c r="F433" s="2" t="s">
        <v>253</v>
      </c>
      <c r="G433" s="2" t="s">
        <v>257</v>
      </c>
      <c r="H433" s="35">
        <v>3500</v>
      </c>
      <c r="I433" s="2">
        <v>0</v>
      </c>
      <c r="J433" s="2">
        <v>7.2</v>
      </c>
      <c r="K433" s="2">
        <v>4</v>
      </c>
      <c r="L433" s="2">
        <v>1.8</v>
      </c>
      <c r="M433" s="2">
        <v>0.5</v>
      </c>
      <c r="N433" s="2">
        <v>2.8</v>
      </c>
      <c r="O433" s="2">
        <v>0</v>
      </c>
      <c r="P433" s="2" t="s">
        <v>258</v>
      </c>
      <c r="Q433" s="2" t="str">
        <f t="shared" si="28"/>
        <v>James</v>
      </c>
      <c r="R433" s="2" t="str">
        <f t="shared" si="29"/>
        <v>Jones</v>
      </c>
      <c r="S433" s="2" t="str">
        <f t="shared" si="26"/>
        <v>James Jones</v>
      </c>
      <c r="T433" s="2">
        <f t="shared" si="27"/>
        <v>2.8</v>
      </c>
    </row>
    <row r="434" spans="1:20" x14ac:dyDescent="0.25">
      <c r="A434" s="2"/>
      <c r="B434" s="2" t="s">
        <v>4</v>
      </c>
      <c r="C434" s="2" t="s">
        <v>691</v>
      </c>
      <c r="D434" s="2" t="s">
        <v>251</v>
      </c>
      <c r="E434" s="2" t="s">
        <v>252</v>
      </c>
      <c r="F434" s="2" t="s">
        <v>253</v>
      </c>
      <c r="G434" s="2" t="s">
        <v>264</v>
      </c>
      <c r="H434" s="35">
        <v>3500</v>
      </c>
      <c r="I434" s="2">
        <v>0</v>
      </c>
      <c r="J434" s="2">
        <v>0</v>
      </c>
      <c r="K434" s="2">
        <v>1</v>
      </c>
      <c r="L434" s="2">
        <v>0</v>
      </c>
      <c r="M434" s="2">
        <v>0</v>
      </c>
      <c r="N434" s="2">
        <v>2.7</v>
      </c>
      <c r="O434" s="2">
        <v>0</v>
      </c>
      <c r="P434" s="2" t="s">
        <v>265</v>
      </c>
      <c r="Q434" s="2" t="str">
        <f t="shared" si="28"/>
        <v>Andrew</v>
      </c>
      <c r="R434" s="2" t="str">
        <f t="shared" si="29"/>
        <v>Nicholson</v>
      </c>
      <c r="S434" s="2" t="str">
        <f t="shared" si="26"/>
        <v>Andrew Nicholson</v>
      </c>
      <c r="T434" s="2">
        <f t="shared" si="27"/>
        <v>2.7</v>
      </c>
    </row>
    <row r="435" spans="1:20" x14ac:dyDescent="0.25">
      <c r="A435" s="2"/>
      <c r="B435" s="2" t="s">
        <v>7</v>
      </c>
      <c r="C435" s="2" t="s">
        <v>692</v>
      </c>
      <c r="D435" s="2" t="s">
        <v>251</v>
      </c>
      <c r="E435" s="2" t="s">
        <v>252</v>
      </c>
      <c r="F435" s="2" t="s">
        <v>253</v>
      </c>
      <c r="G435" s="2" t="s">
        <v>295</v>
      </c>
      <c r="H435" s="35">
        <v>3500</v>
      </c>
      <c r="I435" s="2">
        <v>0</v>
      </c>
      <c r="J435" s="2">
        <v>5</v>
      </c>
      <c r="K435" s="2">
        <v>1</v>
      </c>
      <c r="L435" s="2">
        <v>5</v>
      </c>
      <c r="M435" s="2">
        <v>1.4</v>
      </c>
      <c r="N435" s="2">
        <v>2.5</v>
      </c>
      <c r="O435" s="2" t="s">
        <v>284</v>
      </c>
      <c r="P435" s="2" t="s">
        <v>296</v>
      </c>
      <c r="Q435" s="2" t="str">
        <f t="shared" si="28"/>
        <v>Joseph</v>
      </c>
      <c r="R435" s="2" t="str">
        <f t="shared" si="29"/>
        <v>Young</v>
      </c>
      <c r="S435" s="2" t="str">
        <f t="shared" si="26"/>
        <v>Joseph Young</v>
      </c>
      <c r="T435" s="2">
        <f t="shared" si="27"/>
        <v>2.5</v>
      </c>
    </row>
    <row r="436" spans="1:20" x14ac:dyDescent="0.25">
      <c r="A436" s="2"/>
      <c r="B436" s="2" t="s">
        <v>5</v>
      </c>
      <c r="C436" s="2" t="s">
        <v>693</v>
      </c>
      <c r="D436" s="2" t="s">
        <v>251</v>
      </c>
      <c r="E436" s="2" t="s">
        <v>252</v>
      </c>
      <c r="F436" s="2" t="s">
        <v>253</v>
      </c>
      <c r="G436" s="2" t="s">
        <v>299</v>
      </c>
      <c r="H436" s="35">
        <v>3500</v>
      </c>
      <c r="I436" s="2">
        <v>0</v>
      </c>
      <c r="J436" s="2">
        <v>4.7</v>
      </c>
      <c r="K436" s="2">
        <v>2</v>
      </c>
      <c r="L436" s="2">
        <v>2.4</v>
      </c>
      <c r="M436" s="2">
        <v>0.7</v>
      </c>
      <c r="N436" s="2">
        <v>2.2000000000000002</v>
      </c>
      <c r="O436" s="2" t="s">
        <v>284</v>
      </c>
      <c r="P436" s="2" t="s">
        <v>300</v>
      </c>
      <c r="Q436" s="2" t="str">
        <f t="shared" si="28"/>
        <v>Derrick</v>
      </c>
      <c r="R436" s="2" t="str">
        <f t="shared" si="29"/>
        <v>Jones</v>
      </c>
      <c r="S436" s="2" t="str">
        <f t="shared" si="26"/>
        <v>Derrick Jones</v>
      </c>
      <c r="T436" s="2">
        <f t="shared" si="27"/>
        <v>2.2000000000000002</v>
      </c>
    </row>
    <row r="437" spans="1:20" x14ac:dyDescent="0.25">
      <c r="A437" s="2"/>
      <c r="B437" s="2" t="s">
        <v>5</v>
      </c>
      <c r="C437" s="2" t="s">
        <v>694</v>
      </c>
      <c r="D437" s="2" t="s">
        <v>251</v>
      </c>
      <c r="E437" s="2" t="s">
        <v>252</v>
      </c>
      <c r="F437" s="2" t="s">
        <v>253</v>
      </c>
      <c r="G437" s="2" t="s">
        <v>62</v>
      </c>
      <c r="H437" s="35">
        <v>3500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2</v>
      </c>
      <c r="O437" s="2" t="s">
        <v>284</v>
      </c>
      <c r="P437" s="2" t="s">
        <v>307</v>
      </c>
      <c r="Q437" s="2" t="str">
        <f t="shared" si="28"/>
        <v>Metta World</v>
      </c>
      <c r="R437" s="2" t="str">
        <f t="shared" si="29"/>
        <v>Peace</v>
      </c>
      <c r="S437" s="2" t="str">
        <f t="shared" si="26"/>
        <v>Metta World Peace</v>
      </c>
      <c r="T437" s="2">
        <f t="shared" si="27"/>
        <v>2</v>
      </c>
    </row>
    <row r="438" spans="1:20" x14ac:dyDescent="0.25">
      <c r="A438" s="2"/>
      <c r="B438" s="2" t="s">
        <v>4</v>
      </c>
      <c r="C438" s="2" t="s">
        <v>695</v>
      </c>
      <c r="D438" s="2" t="s">
        <v>251</v>
      </c>
      <c r="E438" s="2" t="s">
        <v>252</v>
      </c>
      <c r="F438" s="2" t="s">
        <v>253</v>
      </c>
      <c r="G438" s="2" t="s">
        <v>89</v>
      </c>
      <c r="H438" s="35">
        <v>3500</v>
      </c>
      <c r="I438" s="2">
        <v>0</v>
      </c>
      <c r="J438" s="2">
        <v>0</v>
      </c>
      <c r="K438" s="2">
        <v>1</v>
      </c>
      <c r="L438" s="2">
        <v>0</v>
      </c>
      <c r="M438" s="2">
        <v>0</v>
      </c>
      <c r="N438" s="2">
        <v>2</v>
      </c>
      <c r="O438" s="2" t="s">
        <v>284</v>
      </c>
      <c r="P438" s="2" t="s">
        <v>254</v>
      </c>
      <c r="Q438" s="2" t="str">
        <f t="shared" si="28"/>
        <v>Nick</v>
      </c>
      <c r="R438" s="2" t="str">
        <f t="shared" si="29"/>
        <v>Collison</v>
      </c>
      <c r="S438" s="2" t="str">
        <f t="shared" si="26"/>
        <v>Nick Collison</v>
      </c>
      <c r="T438" s="2">
        <f t="shared" si="27"/>
        <v>2</v>
      </c>
    </row>
    <row r="439" spans="1:20" x14ac:dyDescent="0.25">
      <c r="A439" s="2"/>
      <c r="B439" s="2" t="s">
        <v>3</v>
      </c>
      <c r="C439" s="2" t="s">
        <v>696</v>
      </c>
      <c r="D439" s="2" t="s">
        <v>251</v>
      </c>
      <c r="E439" s="2" t="s">
        <v>252</v>
      </c>
      <c r="F439" s="2" t="s">
        <v>253</v>
      </c>
      <c r="G439" s="2" t="s">
        <v>299</v>
      </c>
      <c r="H439" s="35">
        <v>3500</v>
      </c>
      <c r="I439" s="2">
        <v>0</v>
      </c>
      <c r="J439" s="2">
        <v>4</v>
      </c>
      <c r="K439" s="2">
        <v>2</v>
      </c>
      <c r="L439" s="2">
        <v>2</v>
      </c>
      <c r="M439" s="2">
        <v>0.6</v>
      </c>
      <c r="N439" s="2">
        <v>2</v>
      </c>
      <c r="O439" s="2" t="s">
        <v>284</v>
      </c>
      <c r="P439" s="2" t="s">
        <v>300</v>
      </c>
      <c r="Q439" s="2" t="str">
        <f t="shared" si="28"/>
        <v>Ronnie</v>
      </c>
      <c r="R439" s="2" t="str">
        <f t="shared" si="29"/>
        <v>Price</v>
      </c>
      <c r="S439" s="2" t="str">
        <f t="shared" si="26"/>
        <v>Ronnie Price</v>
      </c>
      <c r="T439" s="2">
        <f t="shared" si="27"/>
        <v>2</v>
      </c>
    </row>
    <row r="440" spans="1:20" x14ac:dyDescent="0.25">
      <c r="A440" s="2"/>
      <c r="B440" s="2" t="s">
        <v>3</v>
      </c>
      <c r="C440" s="2" t="s">
        <v>697</v>
      </c>
      <c r="D440" s="2" t="s">
        <v>251</v>
      </c>
      <c r="E440" s="2" t="s">
        <v>252</v>
      </c>
      <c r="F440" s="2" t="s">
        <v>253</v>
      </c>
      <c r="G440" s="2" t="s">
        <v>268</v>
      </c>
      <c r="H440" s="35">
        <v>3500</v>
      </c>
      <c r="I440" s="2">
        <v>0</v>
      </c>
      <c r="J440" s="2">
        <v>9.9</v>
      </c>
      <c r="K440" s="2">
        <v>3</v>
      </c>
      <c r="L440" s="2">
        <v>3.3</v>
      </c>
      <c r="M440" s="2">
        <v>0.9</v>
      </c>
      <c r="N440" s="2">
        <v>1.7</v>
      </c>
      <c r="O440" s="2">
        <v>6.7</v>
      </c>
      <c r="P440" s="2" t="s">
        <v>269</v>
      </c>
      <c r="Q440" s="2" t="str">
        <f t="shared" si="28"/>
        <v>Kris</v>
      </c>
      <c r="R440" s="2" t="str">
        <f t="shared" si="29"/>
        <v>Dunn</v>
      </c>
      <c r="S440" s="2" t="str">
        <f t="shared" si="26"/>
        <v>Kris Dunn</v>
      </c>
      <c r="T440" s="2">
        <f t="shared" si="27"/>
        <v>1.7</v>
      </c>
    </row>
    <row r="441" spans="1:20" x14ac:dyDescent="0.25">
      <c r="A441" s="2"/>
      <c r="B441" s="2" t="s">
        <v>3</v>
      </c>
      <c r="C441" s="2" t="s">
        <v>698</v>
      </c>
      <c r="D441" s="2" t="s">
        <v>251</v>
      </c>
      <c r="E441" s="2" t="s">
        <v>252</v>
      </c>
      <c r="F441" s="2" t="s">
        <v>253</v>
      </c>
      <c r="G441" s="2" t="s">
        <v>282</v>
      </c>
      <c r="H441" s="35">
        <v>3500</v>
      </c>
      <c r="I441" s="2">
        <v>0</v>
      </c>
      <c r="J441" s="2">
        <v>3</v>
      </c>
      <c r="K441" s="2">
        <v>1</v>
      </c>
      <c r="L441" s="2">
        <v>3</v>
      </c>
      <c r="M441" s="2">
        <v>0.9</v>
      </c>
      <c r="N441" s="2">
        <v>1.5</v>
      </c>
      <c r="O441" s="2">
        <v>3</v>
      </c>
      <c r="P441" s="2" t="s">
        <v>283</v>
      </c>
      <c r="Q441" s="2" t="str">
        <f t="shared" si="28"/>
        <v>Shabazz</v>
      </c>
      <c r="R441" s="2" t="str">
        <f t="shared" si="29"/>
        <v>Napier</v>
      </c>
      <c r="S441" s="2" t="str">
        <f t="shared" si="26"/>
        <v>Shabazz Napier</v>
      </c>
      <c r="T441" s="2">
        <f t="shared" si="27"/>
        <v>1.5</v>
      </c>
    </row>
    <row r="442" spans="1:20" x14ac:dyDescent="0.25">
      <c r="A442" s="2"/>
      <c r="B442" s="2" t="s">
        <v>4</v>
      </c>
      <c r="C442" s="2" t="s">
        <v>699</v>
      </c>
      <c r="D442" s="2" t="s">
        <v>251</v>
      </c>
      <c r="E442" s="2" t="s">
        <v>252</v>
      </c>
      <c r="F442" s="2" t="s">
        <v>253</v>
      </c>
      <c r="G442" s="2" t="s">
        <v>274</v>
      </c>
      <c r="H442" s="35">
        <v>3500</v>
      </c>
      <c r="I442" s="2">
        <v>0</v>
      </c>
      <c r="J442" s="2">
        <v>2.4</v>
      </c>
      <c r="K442" s="2">
        <v>2</v>
      </c>
      <c r="L442" s="2">
        <v>1.2</v>
      </c>
      <c r="M442" s="2">
        <v>0.3</v>
      </c>
      <c r="N442" s="2">
        <v>1.2</v>
      </c>
      <c r="O442" s="2">
        <v>1.2</v>
      </c>
      <c r="P442" s="2" t="s">
        <v>275</v>
      </c>
      <c r="Q442" s="2" t="str">
        <f t="shared" si="28"/>
        <v>Jordan</v>
      </c>
      <c r="R442" s="2" t="str">
        <f t="shared" si="29"/>
        <v>Mickey</v>
      </c>
      <c r="S442" s="2" t="str">
        <f t="shared" si="26"/>
        <v>Jordan Mickey</v>
      </c>
      <c r="T442" s="2">
        <f t="shared" si="27"/>
        <v>1.2</v>
      </c>
    </row>
    <row r="443" spans="1:20" x14ac:dyDescent="0.25">
      <c r="A443" s="2"/>
      <c r="B443" s="2" t="s">
        <v>6</v>
      </c>
      <c r="C443" s="2" t="s">
        <v>700</v>
      </c>
      <c r="D443" s="2" t="s">
        <v>251</v>
      </c>
      <c r="E443" s="2" t="s">
        <v>252</v>
      </c>
      <c r="F443" s="2" t="s">
        <v>253</v>
      </c>
      <c r="G443" s="2" t="s">
        <v>92</v>
      </c>
      <c r="H443" s="35">
        <v>3500</v>
      </c>
      <c r="I443" s="2">
        <v>0</v>
      </c>
      <c r="J443" s="2">
        <v>1.2</v>
      </c>
      <c r="K443" s="2">
        <v>1</v>
      </c>
      <c r="L443" s="2">
        <v>1.2</v>
      </c>
      <c r="M443" s="2">
        <v>0.3</v>
      </c>
      <c r="N443" s="2">
        <v>1.2</v>
      </c>
      <c r="O443" s="2">
        <v>1.2</v>
      </c>
      <c r="P443" s="2" t="s">
        <v>263</v>
      </c>
      <c r="Q443" s="2" t="str">
        <f t="shared" si="28"/>
        <v>Diamond</v>
      </c>
      <c r="R443" s="2" t="str">
        <f t="shared" si="29"/>
        <v>Stone</v>
      </c>
      <c r="S443" s="2" t="str">
        <f t="shared" si="26"/>
        <v>Diamond Stone</v>
      </c>
      <c r="T443" s="2">
        <f t="shared" si="27"/>
        <v>1.2</v>
      </c>
    </row>
    <row r="444" spans="1:20" x14ac:dyDescent="0.25">
      <c r="A444" s="2"/>
      <c r="B444" s="2" t="s">
        <v>3</v>
      </c>
      <c r="C444" s="2" t="s">
        <v>701</v>
      </c>
      <c r="D444" s="2" t="s">
        <v>251</v>
      </c>
      <c r="E444" s="2" t="s">
        <v>252</v>
      </c>
      <c r="F444" s="2" t="s">
        <v>253</v>
      </c>
      <c r="G444" s="2" t="s">
        <v>287</v>
      </c>
      <c r="H444" s="35">
        <v>3500</v>
      </c>
      <c r="I444" s="2">
        <v>0</v>
      </c>
      <c r="J444" s="2">
        <v>2</v>
      </c>
      <c r="K444" s="2">
        <v>1</v>
      </c>
      <c r="L444" s="2">
        <v>2</v>
      </c>
      <c r="M444" s="2">
        <v>0.6</v>
      </c>
      <c r="N444" s="2">
        <v>1</v>
      </c>
      <c r="O444" s="2" t="s">
        <v>284</v>
      </c>
      <c r="P444" s="2" t="s">
        <v>288</v>
      </c>
      <c r="Q444" s="2" t="str">
        <f t="shared" si="28"/>
        <v>Beno</v>
      </c>
      <c r="R444" s="2" t="str">
        <f t="shared" si="29"/>
        <v>Udrih</v>
      </c>
      <c r="S444" s="2" t="str">
        <f t="shared" si="26"/>
        <v>Beno Udrih</v>
      </c>
      <c r="T444" s="2">
        <f t="shared" si="27"/>
        <v>1</v>
      </c>
    </row>
    <row r="445" spans="1:20" x14ac:dyDescent="0.25">
      <c r="A445" s="2"/>
      <c r="B445" s="2" t="s">
        <v>6</v>
      </c>
      <c r="C445" s="2" t="s">
        <v>702</v>
      </c>
      <c r="D445" s="2" t="s">
        <v>251</v>
      </c>
      <c r="E445" s="2" t="s">
        <v>252</v>
      </c>
      <c r="F445" s="2" t="s">
        <v>253</v>
      </c>
      <c r="G445" s="2" t="s">
        <v>295</v>
      </c>
      <c r="H445" s="35">
        <v>3500</v>
      </c>
      <c r="I445" s="2">
        <v>0</v>
      </c>
      <c r="J445" s="2">
        <v>0</v>
      </c>
      <c r="K445" s="2">
        <v>1</v>
      </c>
      <c r="L445" s="2">
        <v>0</v>
      </c>
      <c r="M445" s="2">
        <v>0</v>
      </c>
      <c r="N445" s="2">
        <v>1</v>
      </c>
      <c r="O445" s="2" t="s">
        <v>284</v>
      </c>
      <c r="P445" s="2" t="s">
        <v>296</v>
      </c>
      <c r="Q445" s="2" t="str">
        <f t="shared" si="28"/>
        <v>Rakeem</v>
      </c>
      <c r="R445" s="2" t="str">
        <f t="shared" si="29"/>
        <v>Christmas</v>
      </c>
      <c r="S445" s="2" t="str">
        <f t="shared" si="26"/>
        <v>Rakeem Christmas</v>
      </c>
      <c r="T445" s="2">
        <f t="shared" si="27"/>
        <v>1</v>
      </c>
    </row>
    <row r="446" spans="1:20" x14ac:dyDescent="0.25">
      <c r="A446" s="2"/>
      <c r="B446" s="2" t="s">
        <v>3</v>
      </c>
      <c r="C446" s="2" t="s">
        <v>703</v>
      </c>
      <c r="D446" s="2" t="s">
        <v>251</v>
      </c>
      <c r="E446" s="2" t="s">
        <v>252</v>
      </c>
      <c r="F446" s="2" t="s">
        <v>253</v>
      </c>
      <c r="G446" s="2" t="s">
        <v>285</v>
      </c>
      <c r="H446" s="35">
        <v>3500</v>
      </c>
      <c r="I446" s="2">
        <v>0</v>
      </c>
      <c r="J446" s="2">
        <v>2</v>
      </c>
      <c r="K446" s="2">
        <v>2</v>
      </c>
      <c r="L446" s="2">
        <v>1</v>
      </c>
      <c r="M446" s="2">
        <v>0.3</v>
      </c>
      <c r="N446" s="2">
        <v>0.7</v>
      </c>
      <c r="O446" s="2">
        <v>2</v>
      </c>
      <c r="P446" s="2" t="s">
        <v>286</v>
      </c>
      <c r="Q446" s="2" t="str">
        <f t="shared" si="28"/>
        <v>Raul</v>
      </c>
      <c r="R446" s="2" t="str">
        <f t="shared" si="29"/>
        <v>Neto</v>
      </c>
      <c r="S446" s="2" t="str">
        <f t="shared" si="26"/>
        <v>Raul Neto</v>
      </c>
      <c r="T446" s="2">
        <f t="shared" si="27"/>
        <v>0.7</v>
      </c>
    </row>
    <row r="447" spans="1:20" x14ac:dyDescent="0.25">
      <c r="A447" s="2"/>
      <c r="B447" s="2" t="s">
        <v>7</v>
      </c>
      <c r="C447" s="2" t="s">
        <v>704</v>
      </c>
      <c r="D447" s="2" t="s">
        <v>251</v>
      </c>
      <c r="E447" s="2" t="s">
        <v>252</v>
      </c>
      <c r="F447" s="2" t="s">
        <v>253</v>
      </c>
      <c r="G447" s="2" t="s">
        <v>264</v>
      </c>
      <c r="H447" s="35">
        <v>3500</v>
      </c>
      <c r="I447" s="2">
        <v>0</v>
      </c>
      <c r="J447" s="2">
        <v>2</v>
      </c>
      <c r="K447" s="2">
        <v>1</v>
      </c>
      <c r="L447" s="2">
        <v>2</v>
      </c>
      <c r="M447" s="2">
        <v>0.6</v>
      </c>
      <c r="N447" s="2">
        <v>0.5</v>
      </c>
      <c r="O447" s="2">
        <v>2</v>
      </c>
      <c r="P447" s="2" t="s">
        <v>265</v>
      </c>
      <c r="Q447" s="2" t="str">
        <f t="shared" si="28"/>
        <v>Sheldon</v>
      </c>
      <c r="R447" s="2" t="str">
        <f t="shared" si="29"/>
        <v>McClellan</v>
      </c>
      <c r="S447" s="2" t="str">
        <f t="shared" si="26"/>
        <v>Sheldon McClellan</v>
      </c>
      <c r="T447" s="2">
        <f t="shared" si="27"/>
        <v>0.5</v>
      </c>
    </row>
    <row r="448" spans="1:20" x14ac:dyDescent="0.25">
      <c r="A448" s="2"/>
      <c r="B448" s="2" t="s">
        <v>3</v>
      </c>
      <c r="C448" s="2" t="s">
        <v>705</v>
      </c>
      <c r="D448" s="2" t="s">
        <v>251</v>
      </c>
      <c r="E448" s="2" t="s">
        <v>252</v>
      </c>
      <c r="F448" s="2" t="s">
        <v>253</v>
      </c>
      <c r="G448" s="2" t="s">
        <v>266</v>
      </c>
      <c r="H448" s="35">
        <v>3500</v>
      </c>
      <c r="I448" s="2">
        <v>0</v>
      </c>
      <c r="J448" s="2">
        <v>0</v>
      </c>
      <c r="K448" s="2">
        <v>1</v>
      </c>
      <c r="L448" s="2">
        <v>0</v>
      </c>
      <c r="M448" s="2">
        <v>0</v>
      </c>
      <c r="N448" s="2">
        <v>0.4</v>
      </c>
      <c r="O448" s="2" t="s">
        <v>284</v>
      </c>
      <c r="P448" s="2" t="s">
        <v>267</v>
      </c>
      <c r="Q448" s="2" t="str">
        <f t="shared" si="28"/>
        <v>Dejounte</v>
      </c>
      <c r="R448" s="2" t="str">
        <f t="shared" si="29"/>
        <v>Murray</v>
      </c>
      <c r="S448" s="2" t="str">
        <f t="shared" si="26"/>
        <v>Dejounte Murray</v>
      </c>
      <c r="T448" s="2">
        <f t="shared" si="27"/>
        <v>0.4</v>
      </c>
    </row>
    <row r="449" spans="1:20" x14ac:dyDescent="0.25">
      <c r="A449" s="2"/>
      <c r="B449" s="2" t="s">
        <v>3</v>
      </c>
      <c r="C449" s="2" t="s">
        <v>706</v>
      </c>
      <c r="D449" s="2" t="s">
        <v>251</v>
      </c>
      <c r="E449" s="2" t="s">
        <v>252</v>
      </c>
      <c r="F449" s="2" t="s">
        <v>253</v>
      </c>
      <c r="G449" s="2" t="s">
        <v>255</v>
      </c>
      <c r="H449" s="35">
        <v>3500</v>
      </c>
      <c r="I449" s="2">
        <v>0</v>
      </c>
      <c r="J449" s="2">
        <v>1</v>
      </c>
      <c r="K449" s="2">
        <v>1</v>
      </c>
      <c r="L449" s="2">
        <v>1</v>
      </c>
      <c r="M449" s="2">
        <v>0.3</v>
      </c>
      <c r="N449" s="2">
        <v>0.3</v>
      </c>
      <c r="O449" s="2">
        <v>1</v>
      </c>
      <c r="P449" s="2" t="s">
        <v>256</v>
      </c>
      <c r="Q449" s="2" t="str">
        <f t="shared" si="28"/>
        <v>Bobby</v>
      </c>
      <c r="R449" s="2" t="str">
        <f t="shared" si="29"/>
        <v>Brown</v>
      </c>
      <c r="S449" s="2" t="str">
        <f t="shared" si="26"/>
        <v>Bobby Brown</v>
      </c>
      <c r="T449" s="2">
        <f t="shared" si="27"/>
        <v>0.3</v>
      </c>
    </row>
    <row r="450" spans="1:20" x14ac:dyDescent="0.25">
      <c r="A450" s="2"/>
      <c r="B450" s="2" t="s">
        <v>6</v>
      </c>
      <c r="C450" s="2" t="s">
        <v>707</v>
      </c>
      <c r="D450" s="2" t="s">
        <v>251</v>
      </c>
      <c r="E450" s="2" t="s">
        <v>252</v>
      </c>
      <c r="F450" s="2" t="s">
        <v>253</v>
      </c>
      <c r="G450" s="2" t="s">
        <v>259</v>
      </c>
      <c r="H450" s="35">
        <v>3500</v>
      </c>
      <c r="I450" s="2">
        <v>0</v>
      </c>
      <c r="J450" s="2">
        <v>0.2</v>
      </c>
      <c r="K450" s="2">
        <v>1</v>
      </c>
      <c r="L450" s="2">
        <v>0.2</v>
      </c>
      <c r="M450" s="2">
        <v>0.1</v>
      </c>
      <c r="N450" s="2">
        <v>0.2</v>
      </c>
      <c r="O450" s="2" t="s">
        <v>284</v>
      </c>
      <c r="P450" s="2" t="s">
        <v>260</v>
      </c>
      <c r="Q450" s="2" t="str">
        <f t="shared" si="28"/>
        <v>Omer</v>
      </c>
      <c r="R450" s="2" t="str">
        <f t="shared" si="29"/>
        <v>Asik</v>
      </c>
      <c r="S450" s="2" t="str">
        <f t="shared" si="26"/>
        <v>Omer Asik</v>
      </c>
      <c r="T450" s="2">
        <f t="shared" si="27"/>
        <v>0.2</v>
      </c>
    </row>
    <row r="451" spans="1:20" x14ac:dyDescent="0.25">
      <c r="A451" s="2"/>
      <c r="B451" s="2" t="s">
        <v>6</v>
      </c>
      <c r="C451" s="2" t="s">
        <v>708</v>
      </c>
      <c r="D451" s="2" t="s">
        <v>251</v>
      </c>
      <c r="E451" s="2" t="s">
        <v>252</v>
      </c>
      <c r="F451" s="2" t="s">
        <v>253</v>
      </c>
      <c r="G451" s="2" t="s">
        <v>297</v>
      </c>
      <c r="H451" s="35">
        <v>3500</v>
      </c>
      <c r="I451" s="2">
        <v>0</v>
      </c>
      <c r="J451" s="2">
        <v>0</v>
      </c>
      <c r="K451" s="2">
        <v>1</v>
      </c>
      <c r="L451" s="2">
        <v>0</v>
      </c>
      <c r="M451" s="2">
        <v>0</v>
      </c>
      <c r="N451" s="2">
        <v>0.1</v>
      </c>
      <c r="O451" s="2" t="s">
        <v>284</v>
      </c>
      <c r="P451" s="2" t="s">
        <v>298</v>
      </c>
      <c r="Q451" s="2" t="str">
        <f t="shared" si="28"/>
        <v>Marshall</v>
      </c>
      <c r="R451" s="2" t="str">
        <f t="shared" si="29"/>
        <v>Plumlee</v>
      </c>
      <c r="S451" s="2" t="str">
        <f t="shared" si="26"/>
        <v>Marshall Plumlee</v>
      </c>
      <c r="T451" s="2">
        <f t="shared" si="27"/>
        <v>0.1</v>
      </c>
    </row>
    <row r="452" spans="1:20" x14ac:dyDescent="0.25">
      <c r="A452" s="2"/>
      <c r="B452" s="2" t="s">
        <v>6</v>
      </c>
      <c r="C452" s="2" t="s">
        <v>709</v>
      </c>
      <c r="D452" s="2" t="s">
        <v>251</v>
      </c>
      <c r="E452" s="2" t="s">
        <v>252</v>
      </c>
      <c r="F452" s="2" t="s">
        <v>253</v>
      </c>
      <c r="G452" s="2" t="s">
        <v>266</v>
      </c>
      <c r="H452" s="35">
        <v>6200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 t="s">
        <v>284</v>
      </c>
      <c r="P452" s="2" t="s">
        <v>267</v>
      </c>
      <c r="Q452" s="2" t="str">
        <f t="shared" si="28"/>
        <v>Pau</v>
      </c>
      <c r="R452" s="2" t="str">
        <f t="shared" si="29"/>
        <v>Gasol</v>
      </c>
      <c r="S452" s="2" t="str">
        <f t="shared" si="26"/>
        <v>Pau Gasol</v>
      </c>
      <c r="T452" s="2">
        <f t="shared" si="27"/>
        <v>0</v>
      </c>
    </row>
    <row r="453" spans="1:20" x14ac:dyDescent="0.25">
      <c r="A453" s="2"/>
      <c r="B453" s="2" t="s">
        <v>6</v>
      </c>
      <c r="C453" s="2" t="s">
        <v>710</v>
      </c>
      <c r="D453" s="2" t="s">
        <v>251</v>
      </c>
      <c r="E453" s="2" t="s">
        <v>252</v>
      </c>
      <c r="F453" s="2" t="s">
        <v>253</v>
      </c>
      <c r="G453" s="2" t="s">
        <v>257</v>
      </c>
      <c r="H453" s="35">
        <v>3500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 t="s">
        <v>284</v>
      </c>
      <c r="P453" s="2" t="s">
        <v>258</v>
      </c>
      <c r="Q453" s="2" t="str">
        <f t="shared" si="28"/>
        <v>Chris</v>
      </c>
      <c r="R453" s="2" t="str">
        <f t="shared" si="29"/>
        <v>Andersen</v>
      </c>
      <c r="S453" s="2" t="str">
        <f t="shared" si="26"/>
        <v>Chris Andersen</v>
      </c>
      <c r="T453" s="2">
        <f t="shared" si="27"/>
        <v>0</v>
      </c>
    </row>
    <row r="454" spans="1:20" x14ac:dyDescent="0.25">
      <c r="A454" s="2"/>
      <c r="B454" s="2" t="s">
        <v>7</v>
      </c>
      <c r="C454" s="2" t="s">
        <v>711</v>
      </c>
      <c r="D454" s="2" t="s">
        <v>251</v>
      </c>
      <c r="E454" s="2" t="s">
        <v>252</v>
      </c>
      <c r="F454" s="2" t="s">
        <v>253</v>
      </c>
      <c r="G454" s="2" t="s">
        <v>257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 t="s">
        <v>258</v>
      </c>
      <c r="Q454" s="2" t="str">
        <f t="shared" si="28"/>
        <v>Dahntay</v>
      </c>
      <c r="R454" s="2" t="str">
        <f t="shared" si="29"/>
        <v>Jones</v>
      </c>
      <c r="S454" s="2" t="str">
        <f t="shared" ref="S454:S517" si="30">Q454&amp;" "&amp;R454</f>
        <v>Dahntay Jones</v>
      </c>
      <c r="T454" s="2">
        <f t="shared" ref="T454:T517" si="31">N454</f>
        <v>0</v>
      </c>
    </row>
    <row r="455" spans="1:20" x14ac:dyDescent="0.25">
      <c r="A455" s="2"/>
      <c r="B455" s="2" t="s">
        <v>6</v>
      </c>
      <c r="C455" s="2" t="s">
        <v>712</v>
      </c>
      <c r="D455" s="2" t="s">
        <v>251</v>
      </c>
      <c r="E455" s="2" t="s">
        <v>252</v>
      </c>
      <c r="F455" s="2" t="s">
        <v>253</v>
      </c>
      <c r="G455" s="2" t="s">
        <v>272</v>
      </c>
      <c r="H455" s="35">
        <v>4400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 t="s">
        <v>284</v>
      </c>
      <c r="P455" s="2" t="s">
        <v>273</v>
      </c>
      <c r="Q455" s="2" t="str">
        <f t="shared" si="28"/>
        <v>Zaza</v>
      </c>
      <c r="R455" s="2" t="str">
        <f t="shared" si="29"/>
        <v>Pachulia</v>
      </c>
      <c r="S455" s="2" t="str">
        <f t="shared" si="30"/>
        <v>Zaza Pachulia</v>
      </c>
      <c r="T455" s="2">
        <f t="shared" si="31"/>
        <v>0</v>
      </c>
    </row>
    <row r="456" spans="1:20" x14ac:dyDescent="0.25">
      <c r="A456" s="2"/>
      <c r="B456" s="2"/>
      <c r="C456" s="2"/>
      <c r="D456" s="2"/>
      <c r="E456" s="2"/>
      <c r="F456" s="2"/>
      <c r="G456" s="2"/>
      <c r="H456" s="42">
        <v>42782</v>
      </c>
      <c r="I456" s="2" t="s">
        <v>232</v>
      </c>
      <c r="J456" s="2" t="s">
        <v>233</v>
      </c>
      <c r="K456" s="2" t="s">
        <v>232</v>
      </c>
      <c r="L456" s="2" t="s">
        <v>234</v>
      </c>
      <c r="M456" s="2" t="s">
        <v>235</v>
      </c>
      <c r="N456" s="2" t="s">
        <v>232</v>
      </c>
      <c r="O456" s="2" t="s">
        <v>232</v>
      </c>
      <c r="P456" s="2" t="s">
        <v>236</v>
      </c>
      <c r="Q456" s="2" t="e">
        <f t="shared" ref="Q456:Q519" si="32">MID(C456,FIND(" ",C456)+1,256)</f>
        <v>#VALUE!</v>
      </c>
      <c r="R456" s="2" t="e">
        <f t="shared" ref="R456:R519" si="33">LEFT(C456,(FIND(" ",C456,1)-1))</f>
        <v>#VALUE!</v>
      </c>
      <c r="S456" s="2" t="e">
        <f t="shared" si="30"/>
        <v>#VALUE!</v>
      </c>
      <c r="T456" s="2" t="str">
        <f t="shared" si="31"/>
        <v>Last</v>
      </c>
    </row>
    <row r="457" spans="1:20" x14ac:dyDescent="0.25">
      <c r="A457" s="2"/>
      <c r="B457" s="2"/>
      <c r="C457" s="2"/>
      <c r="D457" s="2"/>
      <c r="E457" s="2"/>
      <c r="F457" s="2"/>
      <c r="G457" s="2"/>
      <c r="H457" s="2" t="s">
        <v>142</v>
      </c>
      <c r="I457" s="2" t="s">
        <v>142</v>
      </c>
      <c r="J457" s="2" t="s">
        <v>237</v>
      </c>
      <c r="K457" s="2"/>
      <c r="L457" s="2" t="s">
        <v>238</v>
      </c>
      <c r="M457" s="2" t="s">
        <v>239</v>
      </c>
      <c r="N457" s="2" t="s">
        <v>240</v>
      </c>
      <c r="O457" s="2" t="s">
        <v>1</v>
      </c>
      <c r="P457" s="2" t="s">
        <v>241</v>
      </c>
      <c r="Q457" s="2" t="e">
        <f t="shared" si="32"/>
        <v>#VALUE!</v>
      </c>
      <c r="R457" s="2" t="e">
        <f t="shared" si="33"/>
        <v>#VALUE!</v>
      </c>
      <c r="S457" s="2" t="e">
        <f t="shared" si="30"/>
        <v>#VALUE!</v>
      </c>
      <c r="T457" s="2" t="str">
        <f t="shared" si="31"/>
        <v>15 day</v>
      </c>
    </row>
    <row r="458" spans="1:20" x14ac:dyDescent="0.25">
      <c r="A458" s="2"/>
      <c r="B458" s="2" t="s">
        <v>8</v>
      </c>
      <c r="C458" s="2" t="s">
        <v>242</v>
      </c>
      <c r="D458" s="2" t="s">
        <v>243</v>
      </c>
      <c r="E458" s="2" t="s">
        <v>244</v>
      </c>
      <c r="F458" s="2" t="s">
        <v>245</v>
      </c>
      <c r="G458" s="2" t="s">
        <v>2</v>
      </c>
      <c r="H458" s="43">
        <v>0</v>
      </c>
      <c r="I458" s="2" t="s">
        <v>246</v>
      </c>
      <c r="J458" s="2" t="s">
        <v>238</v>
      </c>
      <c r="K458" s="2" t="s">
        <v>247</v>
      </c>
      <c r="L458" s="2" t="s">
        <v>248</v>
      </c>
      <c r="M458" s="2" t="s">
        <v>249</v>
      </c>
      <c r="N458" s="2" t="s">
        <v>250</v>
      </c>
      <c r="O458" s="2" t="s">
        <v>238</v>
      </c>
      <c r="P458" s="2">
        <v>1.23456789012345E+27</v>
      </c>
      <c r="Q458" s="2" t="e">
        <f t="shared" si="32"/>
        <v>#VALUE!</v>
      </c>
      <c r="R458" s="2" t="e">
        <f t="shared" si="33"/>
        <v>#VALUE!</v>
      </c>
      <c r="S458" s="2" t="e">
        <f t="shared" si="30"/>
        <v>#VALUE!</v>
      </c>
      <c r="T458" s="2" t="str">
        <f t="shared" si="31"/>
        <v>FDP/G</v>
      </c>
    </row>
    <row r="459" spans="1:20" x14ac:dyDescent="0.25">
      <c r="A459" s="2"/>
      <c r="B459" s="2" t="s">
        <v>4</v>
      </c>
      <c r="C459" s="2" t="s">
        <v>713</v>
      </c>
      <c r="D459" s="2" t="s">
        <v>251</v>
      </c>
      <c r="E459" s="2" t="s">
        <v>252</v>
      </c>
      <c r="F459" s="2" t="s">
        <v>253</v>
      </c>
      <c r="G459" s="2" t="s">
        <v>272</v>
      </c>
      <c r="H459" s="35">
        <v>3500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 t="s">
        <v>284</v>
      </c>
      <c r="P459" s="2" t="s">
        <v>273</v>
      </c>
      <c r="Q459" s="2" t="str">
        <f t="shared" si="32"/>
        <v>David</v>
      </c>
      <c r="R459" s="2" t="str">
        <f t="shared" si="33"/>
        <v>West</v>
      </c>
      <c r="S459" s="2" t="str">
        <f t="shared" si="30"/>
        <v>David West</v>
      </c>
      <c r="T459" s="2">
        <f t="shared" si="31"/>
        <v>0</v>
      </c>
    </row>
    <row r="460" spans="1:20" x14ac:dyDescent="0.25">
      <c r="A460" s="2"/>
      <c r="B460" s="2" t="s">
        <v>7</v>
      </c>
      <c r="C460" s="2" t="s">
        <v>714</v>
      </c>
      <c r="D460" s="2" t="s">
        <v>251</v>
      </c>
      <c r="E460" s="2" t="s">
        <v>252</v>
      </c>
      <c r="F460" s="2" t="s">
        <v>253</v>
      </c>
      <c r="G460" s="2" t="s">
        <v>257</v>
      </c>
      <c r="H460" s="35">
        <v>3500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 t="s">
        <v>284</v>
      </c>
      <c r="P460" s="2" t="s">
        <v>258</v>
      </c>
      <c r="Q460" s="2" t="str">
        <f t="shared" si="32"/>
        <v>J.R.</v>
      </c>
      <c r="R460" s="2" t="str">
        <f t="shared" si="33"/>
        <v>Smith</v>
      </c>
      <c r="S460" s="2" t="str">
        <f t="shared" si="30"/>
        <v>J.R. Smith</v>
      </c>
      <c r="T460" s="2">
        <f t="shared" si="31"/>
        <v>0</v>
      </c>
    </row>
    <row r="461" spans="1:20" x14ac:dyDescent="0.25">
      <c r="A461" s="2"/>
      <c r="B461" s="2" t="s">
        <v>6</v>
      </c>
      <c r="C461" s="2" t="s">
        <v>715</v>
      </c>
      <c r="D461" s="2" t="s">
        <v>251</v>
      </c>
      <c r="E461" s="2" t="s">
        <v>252</v>
      </c>
      <c r="F461" s="2" t="s">
        <v>253</v>
      </c>
      <c r="G461" s="2" t="s">
        <v>308</v>
      </c>
      <c r="H461" s="35">
        <v>4000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 t="s">
        <v>284</v>
      </c>
      <c r="P461" s="2" t="s">
        <v>309</v>
      </c>
      <c r="Q461" s="2" t="str">
        <f t="shared" si="32"/>
        <v>Andrew</v>
      </c>
      <c r="R461" s="2" t="str">
        <f t="shared" si="33"/>
        <v>Bogut</v>
      </c>
      <c r="S461" s="2" t="str">
        <f t="shared" si="30"/>
        <v>Andrew Bogut</v>
      </c>
      <c r="T461" s="2">
        <f t="shared" si="31"/>
        <v>0</v>
      </c>
    </row>
    <row r="462" spans="1:20" x14ac:dyDescent="0.25">
      <c r="A462" s="2"/>
      <c r="B462" s="2" t="s">
        <v>3</v>
      </c>
      <c r="C462" s="2" t="s">
        <v>716</v>
      </c>
      <c r="D462" s="2" t="s">
        <v>251</v>
      </c>
      <c r="E462" s="2" t="s">
        <v>252</v>
      </c>
      <c r="F462" s="2" t="s">
        <v>253</v>
      </c>
      <c r="G462" s="2" t="s">
        <v>92</v>
      </c>
      <c r="H462" s="35">
        <v>8400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 t="s">
        <v>284</v>
      </c>
      <c r="P462" s="2" t="s">
        <v>263</v>
      </c>
      <c r="Q462" s="2" t="str">
        <f t="shared" si="32"/>
        <v>Chris</v>
      </c>
      <c r="R462" s="2" t="str">
        <f t="shared" si="33"/>
        <v>Paul</v>
      </c>
      <c r="S462" s="2" t="str">
        <f t="shared" si="30"/>
        <v>Chris Paul</v>
      </c>
      <c r="T462" s="2">
        <f t="shared" si="31"/>
        <v>0</v>
      </c>
    </row>
    <row r="463" spans="1:20" x14ac:dyDescent="0.25">
      <c r="A463" s="2"/>
      <c r="B463" s="2" t="s">
        <v>3</v>
      </c>
      <c r="C463" s="2" t="s">
        <v>717</v>
      </c>
      <c r="D463" s="2" t="s">
        <v>251</v>
      </c>
      <c r="E463" s="2" t="s">
        <v>252</v>
      </c>
      <c r="F463" s="2" t="s">
        <v>253</v>
      </c>
      <c r="G463" s="2" t="s">
        <v>268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 t="s">
        <v>284</v>
      </c>
      <c r="P463" s="2" t="s">
        <v>269</v>
      </c>
      <c r="Q463" s="2" t="str">
        <f t="shared" si="32"/>
        <v>John</v>
      </c>
      <c r="R463" s="2" t="str">
        <f t="shared" si="33"/>
        <v>Lucas</v>
      </c>
      <c r="S463" s="2" t="str">
        <f t="shared" si="30"/>
        <v>John Lucas</v>
      </c>
      <c r="T463" s="2">
        <f t="shared" si="31"/>
        <v>0</v>
      </c>
    </row>
    <row r="464" spans="1:20" x14ac:dyDescent="0.25">
      <c r="A464" s="2"/>
      <c r="B464" s="2" t="s">
        <v>5</v>
      </c>
      <c r="C464" s="2" t="s">
        <v>718</v>
      </c>
      <c r="D464" s="2" t="s">
        <v>251</v>
      </c>
      <c r="E464" s="2" t="s">
        <v>252</v>
      </c>
      <c r="F464" s="2" t="s">
        <v>253</v>
      </c>
      <c r="G464" s="2" t="s">
        <v>261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  <c r="O464" s="2" t="s">
        <v>284</v>
      </c>
      <c r="P464" s="2" t="s">
        <v>262</v>
      </c>
      <c r="Q464" s="2" t="str">
        <f t="shared" si="32"/>
        <v>Rudy</v>
      </c>
      <c r="R464" s="2" t="str">
        <f t="shared" si="33"/>
        <v>Gay</v>
      </c>
      <c r="S464" s="2" t="str">
        <f t="shared" si="30"/>
        <v>Rudy Gay</v>
      </c>
      <c r="T464" s="2">
        <f t="shared" si="31"/>
        <v>0</v>
      </c>
    </row>
    <row r="465" spans="1:20" x14ac:dyDescent="0.25">
      <c r="A465" s="2"/>
      <c r="B465" s="2" t="s">
        <v>3</v>
      </c>
      <c r="C465" s="2" t="s">
        <v>719</v>
      </c>
      <c r="D465" s="2" t="s">
        <v>251</v>
      </c>
      <c r="E465" s="2" t="s">
        <v>252</v>
      </c>
      <c r="F465" s="2" t="s">
        <v>253</v>
      </c>
      <c r="G465" s="2" t="s">
        <v>308</v>
      </c>
      <c r="H465" s="35">
        <v>4700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 t="s">
        <v>284</v>
      </c>
      <c r="P465" s="2" t="s">
        <v>309</v>
      </c>
      <c r="Q465" s="2" t="str">
        <f t="shared" si="32"/>
        <v>Jose</v>
      </c>
      <c r="R465" s="2" t="str">
        <f t="shared" si="33"/>
        <v>Barea</v>
      </c>
      <c r="S465" s="2" t="str">
        <f t="shared" si="30"/>
        <v>Jose Barea</v>
      </c>
      <c r="T465" s="2">
        <f t="shared" si="31"/>
        <v>0</v>
      </c>
    </row>
    <row r="466" spans="1:20" x14ac:dyDescent="0.25">
      <c r="A466" s="2"/>
      <c r="B466" s="2" t="s">
        <v>5</v>
      </c>
      <c r="C466" s="2" t="s">
        <v>720</v>
      </c>
      <c r="D466" s="2" t="s">
        <v>251</v>
      </c>
      <c r="E466" s="2" t="s">
        <v>252</v>
      </c>
      <c r="F466" s="2" t="s">
        <v>253</v>
      </c>
      <c r="G466" s="2" t="s">
        <v>276</v>
      </c>
      <c r="H466" s="35">
        <v>3500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 s="2">
        <v>0</v>
      </c>
      <c r="O466" s="2" t="s">
        <v>284</v>
      </c>
      <c r="P466" s="2" t="s">
        <v>277</v>
      </c>
      <c r="Q466" s="2" t="str">
        <f t="shared" si="32"/>
        <v>Steve</v>
      </c>
      <c r="R466" s="2" t="str">
        <f t="shared" si="33"/>
        <v>Novak</v>
      </c>
      <c r="S466" s="2" t="str">
        <f t="shared" si="30"/>
        <v>Steve Novak</v>
      </c>
      <c r="T466" s="2">
        <f t="shared" si="31"/>
        <v>0</v>
      </c>
    </row>
    <row r="467" spans="1:20" x14ac:dyDescent="0.25">
      <c r="A467" s="2"/>
      <c r="B467" s="2" t="s">
        <v>3</v>
      </c>
      <c r="C467" s="2" t="s">
        <v>721</v>
      </c>
      <c r="D467" s="2" t="s">
        <v>251</v>
      </c>
      <c r="E467" s="2" t="s">
        <v>252</v>
      </c>
      <c r="F467" s="2" t="s">
        <v>253</v>
      </c>
      <c r="G467" s="2" t="s">
        <v>261</v>
      </c>
      <c r="H467" s="35">
        <v>3700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 t="s">
        <v>284</v>
      </c>
      <c r="P467" s="2" t="s">
        <v>262</v>
      </c>
      <c r="Q467" s="2" t="str">
        <f t="shared" si="32"/>
        <v>Jordan</v>
      </c>
      <c r="R467" s="2" t="str">
        <f t="shared" si="33"/>
        <v>Farmar</v>
      </c>
      <c r="S467" s="2" t="str">
        <f t="shared" si="30"/>
        <v>Jordan Farmar</v>
      </c>
      <c r="T467" s="2">
        <f t="shared" si="31"/>
        <v>0</v>
      </c>
    </row>
    <row r="468" spans="1:20" x14ac:dyDescent="0.25">
      <c r="A468" s="2"/>
      <c r="B468" s="2" t="s">
        <v>5</v>
      </c>
      <c r="C468" s="2" t="s">
        <v>722</v>
      </c>
      <c r="D468" s="2" t="s">
        <v>251</v>
      </c>
      <c r="E468" s="2" t="s">
        <v>252</v>
      </c>
      <c r="F468" s="2" t="s">
        <v>253</v>
      </c>
      <c r="G468" s="2" t="s">
        <v>301</v>
      </c>
      <c r="H468" s="35">
        <v>3600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 t="s">
        <v>284</v>
      </c>
      <c r="P468" s="2" t="s">
        <v>302</v>
      </c>
      <c r="Q468" s="2" t="str">
        <f t="shared" si="32"/>
        <v>Thabo</v>
      </c>
      <c r="R468" s="2" t="str">
        <f t="shared" si="33"/>
        <v>Sefolosha</v>
      </c>
      <c r="S468" s="2" t="str">
        <f t="shared" si="30"/>
        <v>Thabo Sefolosha</v>
      </c>
      <c r="T468" s="2">
        <f t="shared" si="31"/>
        <v>0</v>
      </c>
    </row>
    <row r="469" spans="1:20" x14ac:dyDescent="0.25">
      <c r="A469" s="2"/>
      <c r="B469" s="2" t="s">
        <v>4</v>
      </c>
      <c r="C469" s="2" t="s">
        <v>723</v>
      </c>
      <c r="D469" s="2" t="s">
        <v>251</v>
      </c>
      <c r="E469" s="2" t="s">
        <v>252</v>
      </c>
      <c r="F469" s="2" t="s">
        <v>253</v>
      </c>
      <c r="G469" s="2" t="s">
        <v>297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 t="s">
        <v>298</v>
      </c>
      <c r="Q469" s="2" t="str">
        <f t="shared" si="32"/>
        <v>Louis</v>
      </c>
      <c r="R469" s="2" t="str">
        <f t="shared" si="33"/>
        <v>Amundson</v>
      </c>
      <c r="S469" s="2" t="str">
        <f t="shared" si="30"/>
        <v>Louis Amundson</v>
      </c>
      <c r="T469" s="2">
        <f t="shared" si="31"/>
        <v>0</v>
      </c>
    </row>
    <row r="470" spans="1:20" x14ac:dyDescent="0.25">
      <c r="A470" s="2"/>
      <c r="B470" s="2" t="s">
        <v>4</v>
      </c>
      <c r="C470" s="2" t="s">
        <v>724</v>
      </c>
      <c r="D470" s="2" t="s">
        <v>251</v>
      </c>
      <c r="E470" s="2" t="s">
        <v>252</v>
      </c>
      <c r="F470" s="2" t="s">
        <v>253</v>
      </c>
      <c r="G470" s="2" t="s">
        <v>280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 t="s">
        <v>284</v>
      </c>
      <c r="P470" s="2" t="s">
        <v>281</v>
      </c>
      <c r="Q470" s="2" t="str">
        <f t="shared" si="32"/>
        <v>Josh</v>
      </c>
      <c r="R470" s="2" t="str">
        <f t="shared" si="33"/>
        <v>McRoberts</v>
      </c>
      <c r="S470" s="2" t="str">
        <f t="shared" si="30"/>
        <v>Josh McRoberts</v>
      </c>
      <c r="T470" s="2">
        <f t="shared" si="31"/>
        <v>0</v>
      </c>
    </row>
    <row r="471" spans="1:20" x14ac:dyDescent="0.25">
      <c r="A471" s="2"/>
      <c r="B471" s="2" t="s">
        <v>6</v>
      </c>
      <c r="C471" s="2" t="s">
        <v>725</v>
      </c>
      <c r="D471" s="2" t="s">
        <v>251</v>
      </c>
      <c r="E471" s="2" t="s">
        <v>252</v>
      </c>
      <c r="F471" s="2" t="s">
        <v>253</v>
      </c>
      <c r="G471" s="2" t="s">
        <v>301</v>
      </c>
      <c r="H471" s="35">
        <v>3500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 t="s">
        <v>302</v>
      </c>
      <c r="Q471" s="2" t="str">
        <f t="shared" si="32"/>
        <v>Tiago</v>
      </c>
      <c r="R471" s="2" t="str">
        <f t="shared" si="33"/>
        <v>Splitter</v>
      </c>
      <c r="S471" s="2" t="str">
        <f t="shared" si="30"/>
        <v>Tiago Splitter</v>
      </c>
      <c r="T471" s="2">
        <f t="shared" si="31"/>
        <v>0</v>
      </c>
    </row>
    <row r="472" spans="1:20" x14ac:dyDescent="0.25">
      <c r="A472" s="2"/>
      <c r="B472" s="2" t="s">
        <v>3</v>
      </c>
      <c r="C472" s="2" t="s">
        <v>726</v>
      </c>
      <c r="D472" s="2" t="s">
        <v>251</v>
      </c>
      <c r="E472" s="2" t="s">
        <v>252</v>
      </c>
      <c r="F472" s="2" t="s">
        <v>253</v>
      </c>
      <c r="G472" s="2" t="s">
        <v>310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 t="s">
        <v>284</v>
      </c>
      <c r="P472" s="2" t="s">
        <v>311</v>
      </c>
      <c r="Q472" s="2" t="str">
        <f t="shared" si="32"/>
        <v>Jerryd</v>
      </c>
      <c r="R472" s="2" t="str">
        <f t="shared" si="33"/>
        <v>Bayless</v>
      </c>
      <c r="S472" s="2" t="str">
        <f t="shared" si="30"/>
        <v>Jerryd Bayless</v>
      </c>
      <c r="T472" s="2">
        <f t="shared" si="31"/>
        <v>0</v>
      </c>
    </row>
    <row r="473" spans="1:20" x14ac:dyDescent="0.25">
      <c r="A473" s="2"/>
      <c r="B473" s="2" t="s">
        <v>4</v>
      </c>
      <c r="C473" s="2" t="s">
        <v>727</v>
      </c>
      <c r="D473" s="2" t="s">
        <v>251</v>
      </c>
      <c r="E473" s="2" t="s">
        <v>252</v>
      </c>
      <c r="F473" s="2" t="s">
        <v>253</v>
      </c>
      <c r="G473" s="2" t="s">
        <v>268</v>
      </c>
      <c r="H473" s="35">
        <v>3500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 t="s">
        <v>284</v>
      </c>
      <c r="P473" s="2" t="s">
        <v>269</v>
      </c>
      <c r="Q473" s="2" t="str">
        <f t="shared" si="32"/>
        <v>Jordan</v>
      </c>
      <c r="R473" s="2" t="str">
        <f t="shared" si="33"/>
        <v>Hill</v>
      </c>
      <c r="S473" s="2" t="str">
        <f t="shared" si="30"/>
        <v>Jordan Hill</v>
      </c>
      <c r="T473" s="2">
        <f t="shared" si="31"/>
        <v>0</v>
      </c>
    </row>
    <row r="474" spans="1:20" x14ac:dyDescent="0.25">
      <c r="A474" s="2"/>
      <c r="B474" s="2" t="s">
        <v>7</v>
      </c>
      <c r="C474" s="2" t="s">
        <v>728</v>
      </c>
      <c r="D474" s="2" t="s">
        <v>251</v>
      </c>
      <c r="E474" s="2" t="s">
        <v>252</v>
      </c>
      <c r="F474" s="2" t="s">
        <v>253</v>
      </c>
      <c r="G474" s="2" t="s">
        <v>293</v>
      </c>
      <c r="H474" s="35">
        <v>3700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 t="s">
        <v>284</v>
      </c>
      <c r="P474" s="2" t="s">
        <v>294</v>
      </c>
      <c r="Q474" s="2" t="str">
        <f t="shared" si="32"/>
        <v>Jodie</v>
      </c>
      <c r="R474" s="2" t="str">
        <f t="shared" si="33"/>
        <v>Meeks</v>
      </c>
      <c r="S474" s="2" t="str">
        <f t="shared" si="30"/>
        <v>Jodie Meeks</v>
      </c>
      <c r="T474" s="2">
        <f t="shared" si="31"/>
        <v>0</v>
      </c>
    </row>
    <row r="475" spans="1:20" x14ac:dyDescent="0.25">
      <c r="A475" s="2"/>
      <c r="B475" s="2" t="s">
        <v>4</v>
      </c>
      <c r="C475" s="2" t="s">
        <v>729</v>
      </c>
      <c r="D475" s="2" t="s">
        <v>251</v>
      </c>
      <c r="E475" s="2" t="s">
        <v>252</v>
      </c>
      <c r="F475" s="2" t="s">
        <v>253</v>
      </c>
      <c r="G475" s="2" t="s">
        <v>261</v>
      </c>
      <c r="H475" s="35">
        <v>3600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 t="s">
        <v>284</v>
      </c>
      <c r="P475" s="2" t="s">
        <v>262</v>
      </c>
      <c r="Q475" s="2" t="str">
        <f t="shared" si="32"/>
        <v>Omri</v>
      </c>
      <c r="R475" s="2" t="str">
        <f t="shared" si="33"/>
        <v>Casspi</v>
      </c>
      <c r="S475" s="2" t="str">
        <f t="shared" si="30"/>
        <v>Omri Casspi</v>
      </c>
      <c r="T475" s="2">
        <f t="shared" si="31"/>
        <v>0</v>
      </c>
    </row>
    <row r="476" spans="1:20" x14ac:dyDescent="0.25">
      <c r="A476" s="2"/>
      <c r="B476" s="2" t="s">
        <v>7</v>
      </c>
      <c r="C476" s="2" t="s">
        <v>730</v>
      </c>
      <c r="D476" s="2" t="s">
        <v>251</v>
      </c>
      <c r="E476" s="2" t="s">
        <v>252</v>
      </c>
      <c r="F476" s="2" t="s">
        <v>253</v>
      </c>
      <c r="G476" s="2" t="s">
        <v>264</v>
      </c>
      <c r="H476" s="35">
        <v>3500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 t="s">
        <v>284</v>
      </c>
      <c r="P476" s="2" t="s">
        <v>265</v>
      </c>
      <c r="Q476" s="2" t="str">
        <f t="shared" si="32"/>
        <v>Marcus</v>
      </c>
      <c r="R476" s="2" t="str">
        <f t="shared" si="33"/>
        <v>Thornton</v>
      </c>
      <c r="S476" s="2" t="str">
        <f t="shared" si="30"/>
        <v>Marcus Thornton</v>
      </c>
      <c r="T476" s="2">
        <f t="shared" si="31"/>
        <v>0</v>
      </c>
    </row>
    <row r="477" spans="1:20" x14ac:dyDescent="0.25">
      <c r="A477" s="2"/>
      <c r="B477" s="2" t="s">
        <v>5</v>
      </c>
      <c r="C477" s="2" t="s">
        <v>731</v>
      </c>
      <c r="D477" s="2" t="s">
        <v>251</v>
      </c>
      <c r="E477" s="2" t="s">
        <v>252</v>
      </c>
      <c r="F477" s="2" t="s">
        <v>253</v>
      </c>
      <c r="G477" s="2" t="s">
        <v>270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 t="s">
        <v>284</v>
      </c>
      <c r="P477" s="2" t="s">
        <v>271</v>
      </c>
      <c r="Q477" s="2" t="str">
        <f t="shared" si="32"/>
        <v>Alonzo</v>
      </c>
      <c r="R477" s="2" t="str">
        <f t="shared" si="33"/>
        <v>Gee</v>
      </c>
      <c r="S477" s="2" t="str">
        <f t="shared" si="30"/>
        <v>Alonzo Gee</v>
      </c>
      <c r="T477" s="2">
        <f t="shared" si="31"/>
        <v>0</v>
      </c>
    </row>
    <row r="478" spans="1:20" x14ac:dyDescent="0.25">
      <c r="A478" s="2"/>
      <c r="B478" s="2" t="s">
        <v>3</v>
      </c>
      <c r="C478" s="2" t="s">
        <v>732</v>
      </c>
      <c r="D478" s="2" t="s">
        <v>251</v>
      </c>
      <c r="E478" s="2" t="s">
        <v>252</v>
      </c>
      <c r="F478" s="2" t="s">
        <v>253</v>
      </c>
      <c r="G478" s="2" t="s">
        <v>259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 t="s">
        <v>284</v>
      </c>
      <c r="P478" s="2" t="s">
        <v>260</v>
      </c>
      <c r="Q478" s="2" t="str">
        <f t="shared" si="32"/>
        <v>Reggie</v>
      </c>
      <c r="R478" s="2" t="str">
        <f t="shared" si="33"/>
        <v>Williams</v>
      </c>
      <c r="S478" s="2" t="str">
        <f t="shared" si="30"/>
        <v>Reggie Williams</v>
      </c>
      <c r="T478" s="2">
        <f t="shared" si="31"/>
        <v>0</v>
      </c>
    </row>
    <row r="479" spans="1:20" x14ac:dyDescent="0.25">
      <c r="A479" s="2"/>
      <c r="B479" s="2" t="s">
        <v>7</v>
      </c>
      <c r="C479" s="2" t="s">
        <v>733</v>
      </c>
      <c r="D479" s="2" t="s">
        <v>251</v>
      </c>
      <c r="E479" s="2" t="s">
        <v>252</v>
      </c>
      <c r="F479" s="2" t="s">
        <v>253</v>
      </c>
      <c r="G479" s="2" t="s">
        <v>274</v>
      </c>
      <c r="H479" s="35">
        <v>6500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 t="s">
        <v>284</v>
      </c>
      <c r="P479" s="2" t="s">
        <v>275</v>
      </c>
      <c r="Q479" s="2" t="str">
        <f t="shared" si="32"/>
        <v>Avery</v>
      </c>
      <c r="R479" s="2" t="str">
        <f t="shared" si="33"/>
        <v>Bradley</v>
      </c>
      <c r="S479" s="2" t="str">
        <f t="shared" si="30"/>
        <v>Avery Bradley</v>
      </c>
      <c r="T479" s="2">
        <f t="shared" si="31"/>
        <v>0</v>
      </c>
    </row>
    <row r="480" spans="1:20" x14ac:dyDescent="0.25">
      <c r="A480" s="2"/>
      <c r="B480" s="2" t="s">
        <v>3</v>
      </c>
      <c r="C480" s="2" t="s">
        <v>734</v>
      </c>
      <c r="D480" s="2" t="s">
        <v>251</v>
      </c>
      <c r="E480" s="2" t="s">
        <v>252</v>
      </c>
      <c r="F480" s="2" t="s">
        <v>253</v>
      </c>
      <c r="G480" s="2" t="s">
        <v>305</v>
      </c>
      <c r="H480" s="35">
        <v>6400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 t="s">
        <v>284</v>
      </c>
      <c r="P480" s="2" t="s">
        <v>306</v>
      </c>
      <c r="Q480" s="2" t="str">
        <f t="shared" si="32"/>
        <v>Jeremy</v>
      </c>
      <c r="R480" s="2" t="str">
        <f t="shared" si="33"/>
        <v>Lin</v>
      </c>
      <c r="S480" s="2" t="str">
        <f t="shared" si="30"/>
        <v>Jeremy Lin</v>
      </c>
      <c r="T480" s="2">
        <f t="shared" si="31"/>
        <v>0</v>
      </c>
    </row>
    <row r="481" spans="1:20" x14ac:dyDescent="0.25">
      <c r="A481" s="2"/>
      <c r="B481" s="2" t="s">
        <v>312</v>
      </c>
      <c r="C481" s="2" t="s">
        <v>735</v>
      </c>
      <c r="D481" s="2" t="s">
        <v>251</v>
      </c>
      <c r="E481" s="2" t="s">
        <v>252</v>
      </c>
      <c r="F481" s="2" t="s">
        <v>253</v>
      </c>
      <c r="G481" s="2" t="s">
        <v>301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 t="s">
        <v>284</v>
      </c>
      <c r="P481" s="2" t="s">
        <v>302</v>
      </c>
      <c r="Q481" s="2" t="str">
        <f t="shared" si="32"/>
        <v>Gary</v>
      </c>
      <c r="R481" s="2" t="str">
        <f t="shared" si="33"/>
        <v>Neal</v>
      </c>
      <c r="S481" s="2" t="str">
        <f t="shared" si="30"/>
        <v>Gary Neal</v>
      </c>
      <c r="T481" s="2">
        <f t="shared" si="31"/>
        <v>0</v>
      </c>
    </row>
    <row r="482" spans="1:20" x14ac:dyDescent="0.25">
      <c r="A482" s="2"/>
      <c r="B482" s="2" t="s">
        <v>6</v>
      </c>
      <c r="C482" s="2" t="s">
        <v>736</v>
      </c>
      <c r="D482" s="2" t="s">
        <v>251</v>
      </c>
      <c r="E482" s="2" t="s">
        <v>252</v>
      </c>
      <c r="F482" s="2" t="s">
        <v>253</v>
      </c>
      <c r="G482" s="2" t="s">
        <v>282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 t="s">
        <v>283</v>
      </c>
      <c r="Q482" s="2" t="str">
        <f t="shared" si="32"/>
        <v>Greg</v>
      </c>
      <c r="R482" s="2" t="str">
        <f t="shared" si="33"/>
        <v>Stiemsma</v>
      </c>
      <c r="S482" s="2" t="str">
        <f t="shared" si="30"/>
        <v>Greg Stiemsma</v>
      </c>
      <c r="T482" s="2">
        <f t="shared" si="31"/>
        <v>0</v>
      </c>
    </row>
    <row r="483" spans="1:20" x14ac:dyDescent="0.25">
      <c r="A483" s="2"/>
      <c r="B483" s="2" t="s">
        <v>3</v>
      </c>
      <c r="C483" s="2" t="s">
        <v>737</v>
      </c>
      <c r="D483" s="2" t="s">
        <v>251</v>
      </c>
      <c r="E483" s="2" t="s">
        <v>252</v>
      </c>
      <c r="F483" s="2" t="s">
        <v>253</v>
      </c>
      <c r="G483" s="2" t="s">
        <v>305</v>
      </c>
      <c r="H483" s="35">
        <v>3500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 t="s">
        <v>284</v>
      </c>
      <c r="P483" s="2" t="s">
        <v>306</v>
      </c>
      <c r="Q483" s="2" t="str">
        <f t="shared" si="32"/>
        <v>Greivis</v>
      </c>
      <c r="R483" s="2" t="str">
        <f t="shared" si="33"/>
        <v>Vasquez</v>
      </c>
      <c r="S483" s="2" t="str">
        <f t="shared" si="30"/>
        <v>Greivis Vasquez</v>
      </c>
      <c r="T483" s="2">
        <f t="shared" si="31"/>
        <v>0</v>
      </c>
    </row>
    <row r="484" spans="1:20" x14ac:dyDescent="0.25">
      <c r="A484" s="2"/>
      <c r="B484" s="2"/>
      <c r="C484" s="2"/>
      <c r="D484" s="2"/>
      <c r="E484" s="2"/>
      <c r="F484" s="2"/>
      <c r="G484" s="2"/>
      <c r="H484" s="42">
        <v>42782</v>
      </c>
      <c r="I484" s="2" t="s">
        <v>232</v>
      </c>
      <c r="J484" s="2" t="s">
        <v>233</v>
      </c>
      <c r="K484" s="2" t="s">
        <v>232</v>
      </c>
      <c r="L484" s="2" t="s">
        <v>234</v>
      </c>
      <c r="M484" s="2" t="s">
        <v>235</v>
      </c>
      <c r="N484" s="2" t="s">
        <v>232</v>
      </c>
      <c r="O484" s="2" t="s">
        <v>232</v>
      </c>
      <c r="P484" s="2" t="s">
        <v>236</v>
      </c>
      <c r="Q484" s="2" t="e">
        <f t="shared" si="32"/>
        <v>#VALUE!</v>
      </c>
      <c r="R484" s="2" t="e">
        <f t="shared" si="33"/>
        <v>#VALUE!</v>
      </c>
      <c r="S484" s="2" t="e">
        <f t="shared" si="30"/>
        <v>#VALUE!</v>
      </c>
      <c r="T484" s="2" t="str">
        <f t="shared" si="31"/>
        <v>Last</v>
      </c>
    </row>
    <row r="485" spans="1:20" x14ac:dyDescent="0.25">
      <c r="A485" s="2"/>
      <c r="B485" s="2"/>
      <c r="C485" s="2"/>
      <c r="D485" s="2"/>
      <c r="E485" s="2"/>
      <c r="F485" s="2"/>
      <c r="G485" s="2"/>
      <c r="H485" s="2" t="s">
        <v>142</v>
      </c>
      <c r="I485" s="2" t="s">
        <v>142</v>
      </c>
      <c r="J485" s="2" t="s">
        <v>237</v>
      </c>
      <c r="K485" s="2"/>
      <c r="L485" s="2" t="s">
        <v>238</v>
      </c>
      <c r="M485" s="2" t="s">
        <v>239</v>
      </c>
      <c r="N485" s="2" t="s">
        <v>240</v>
      </c>
      <c r="O485" s="2" t="s">
        <v>1</v>
      </c>
      <c r="P485" s="2" t="s">
        <v>241</v>
      </c>
      <c r="Q485" s="2" t="e">
        <f t="shared" si="32"/>
        <v>#VALUE!</v>
      </c>
      <c r="R485" s="2" t="e">
        <f t="shared" si="33"/>
        <v>#VALUE!</v>
      </c>
      <c r="S485" s="2" t="e">
        <f t="shared" si="30"/>
        <v>#VALUE!</v>
      </c>
      <c r="T485" s="2" t="str">
        <f t="shared" si="31"/>
        <v>15 day</v>
      </c>
    </row>
    <row r="486" spans="1:20" x14ac:dyDescent="0.25">
      <c r="A486" s="2"/>
      <c r="B486" s="2" t="s">
        <v>8</v>
      </c>
      <c r="C486" s="2" t="s">
        <v>242</v>
      </c>
      <c r="D486" s="2" t="s">
        <v>243</v>
      </c>
      <c r="E486" s="2" t="s">
        <v>244</v>
      </c>
      <c r="F486" s="2" t="s">
        <v>245</v>
      </c>
      <c r="G486" s="2" t="s">
        <v>2</v>
      </c>
      <c r="H486" s="43">
        <v>0</v>
      </c>
      <c r="I486" s="2" t="s">
        <v>246</v>
      </c>
      <c r="J486" s="2" t="s">
        <v>238</v>
      </c>
      <c r="K486" s="2" t="s">
        <v>247</v>
      </c>
      <c r="L486" s="2" t="s">
        <v>248</v>
      </c>
      <c r="M486" s="2" t="s">
        <v>249</v>
      </c>
      <c r="N486" s="2" t="s">
        <v>250</v>
      </c>
      <c r="O486" s="2" t="s">
        <v>238</v>
      </c>
      <c r="P486" s="2">
        <v>1.23456789012345E+27</v>
      </c>
      <c r="Q486" s="2" t="e">
        <f t="shared" si="32"/>
        <v>#VALUE!</v>
      </c>
      <c r="R486" s="2" t="e">
        <f t="shared" si="33"/>
        <v>#VALUE!</v>
      </c>
      <c r="S486" s="2" t="e">
        <f t="shared" si="30"/>
        <v>#VALUE!</v>
      </c>
      <c r="T486" s="2" t="str">
        <f t="shared" si="31"/>
        <v>FDP/G</v>
      </c>
    </row>
    <row r="487" spans="1:20" x14ac:dyDescent="0.25">
      <c r="A487" s="2"/>
      <c r="B487" s="2" t="s">
        <v>7</v>
      </c>
      <c r="C487" s="2" t="s">
        <v>738</v>
      </c>
      <c r="D487" s="2" t="s">
        <v>251</v>
      </c>
      <c r="E487" s="2" t="s">
        <v>252</v>
      </c>
      <c r="F487" s="2" t="s">
        <v>253</v>
      </c>
      <c r="G487" s="2" t="s">
        <v>272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 t="s">
        <v>273</v>
      </c>
      <c r="Q487" s="2" t="str">
        <f t="shared" si="32"/>
        <v>Elliot</v>
      </c>
      <c r="R487" s="2" t="str">
        <f t="shared" si="33"/>
        <v>Williams</v>
      </c>
      <c r="S487" s="2" t="str">
        <f t="shared" si="30"/>
        <v>Elliot Williams</v>
      </c>
      <c r="T487" s="2">
        <f t="shared" si="31"/>
        <v>0</v>
      </c>
    </row>
    <row r="488" spans="1:20" x14ac:dyDescent="0.25">
      <c r="A488" s="2"/>
      <c r="B488" s="2" t="s">
        <v>4</v>
      </c>
      <c r="C488" s="2" t="s">
        <v>739</v>
      </c>
      <c r="D488" s="2" t="s">
        <v>251</v>
      </c>
      <c r="E488" s="2" t="s">
        <v>252</v>
      </c>
      <c r="F488" s="2" t="s">
        <v>253</v>
      </c>
      <c r="G488" s="2" t="s">
        <v>89</v>
      </c>
      <c r="H488" s="35">
        <v>6100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 t="s">
        <v>284</v>
      </c>
      <c r="P488" s="2" t="s">
        <v>254</v>
      </c>
      <c r="Q488" s="2" t="str">
        <f t="shared" si="32"/>
        <v>Enes</v>
      </c>
      <c r="R488" s="2" t="str">
        <f t="shared" si="33"/>
        <v>Kanter</v>
      </c>
      <c r="S488" s="2" t="str">
        <f t="shared" si="30"/>
        <v>Enes Kanter</v>
      </c>
      <c r="T488" s="2">
        <f t="shared" si="31"/>
        <v>0</v>
      </c>
    </row>
    <row r="489" spans="1:20" x14ac:dyDescent="0.25">
      <c r="A489" s="2"/>
      <c r="B489" s="2" t="s">
        <v>6</v>
      </c>
      <c r="C489" s="2" t="s">
        <v>740</v>
      </c>
      <c r="D489" s="2" t="s">
        <v>251</v>
      </c>
      <c r="E489" s="2" t="s">
        <v>252</v>
      </c>
      <c r="F489" s="2" t="s">
        <v>253</v>
      </c>
      <c r="G489" s="2" t="s">
        <v>282</v>
      </c>
      <c r="H489" s="35">
        <v>3500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 t="s">
        <v>283</v>
      </c>
      <c r="Q489" s="2" t="str">
        <f t="shared" si="32"/>
        <v>Festus</v>
      </c>
      <c r="R489" s="2" t="str">
        <f t="shared" si="33"/>
        <v>Ezeli</v>
      </c>
      <c r="S489" s="2" t="str">
        <f t="shared" si="30"/>
        <v>Festus Ezeli</v>
      </c>
      <c r="T489" s="2">
        <f t="shared" si="31"/>
        <v>0</v>
      </c>
    </row>
    <row r="490" spans="1:20" x14ac:dyDescent="0.25">
      <c r="A490" s="2"/>
      <c r="B490" s="2" t="s">
        <v>4</v>
      </c>
      <c r="C490" s="2" t="s">
        <v>741</v>
      </c>
      <c r="D490" s="2" t="s">
        <v>251</v>
      </c>
      <c r="E490" s="2" t="s">
        <v>252</v>
      </c>
      <c r="F490" s="2" t="s">
        <v>253</v>
      </c>
      <c r="G490" s="2" t="s">
        <v>62</v>
      </c>
      <c r="H490" s="35">
        <v>3500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 t="s">
        <v>284</v>
      </c>
      <c r="P490" s="2" t="s">
        <v>307</v>
      </c>
      <c r="Q490" s="2" t="str">
        <f t="shared" si="32"/>
        <v>Thomas</v>
      </c>
      <c r="R490" s="2" t="str">
        <f t="shared" si="33"/>
        <v>Robinson</v>
      </c>
      <c r="S490" s="2" t="str">
        <f t="shared" si="30"/>
        <v>Thomas Robinson</v>
      </c>
      <c r="T490" s="2">
        <f t="shared" si="31"/>
        <v>0</v>
      </c>
    </row>
    <row r="491" spans="1:20" x14ac:dyDescent="0.25">
      <c r="A491" s="2"/>
      <c r="B491" s="2" t="s">
        <v>7</v>
      </c>
      <c r="C491" s="2" t="s">
        <v>742</v>
      </c>
      <c r="D491" s="2" t="s">
        <v>251</v>
      </c>
      <c r="E491" s="2" t="s">
        <v>252</v>
      </c>
      <c r="F491" s="2" t="s">
        <v>253</v>
      </c>
      <c r="G491" s="2" t="s">
        <v>310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 t="s">
        <v>284</v>
      </c>
      <c r="P491" s="2" t="s">
        <v>311</v>
      </c>
      <c r="Q491" s="2" t="str">
        <f t="shared" si="32"/>
        <v>Hollis</v>
      </c>
      <c r="R491" s="2" t="str">
        <f t="shared" si="33"/>
        <v>Thompson</v>
      </c>
      <c r="S491" s="2" t="str">
        <f t="shared" si="30"/>
        <v>Hollis Thompson</v>
      </c>
      <c r="T491" s="2">
        <f t="shared" si="31"/>
        <v>0</v>
      </c>
    </row>
    <row r="492" spans="1:20" x14ac:dyDescent="0.25">
      <c r="A492" s="2"/>
      <c r="B492" s="2" t="s">
        <v>7</v>
      </c>
      <c r="C492" s="2" t="s">
        <v>743</v>
      </c>
      <c r="D492" s="2" t="s">
        <v>251</v>
      </c>
      <c r="E492" s="2" t="s">
        <v>252</v>
      </c>
      <c r="F492" s="2" t="s">
        <v>253</v>
      </c>
      <c r="G492" s="2" t="s">
        <v>299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 t="s">
        <v>284</v>
      </c>
      <c r="P492" s="2" t="s">
        <v>300</v>
      </c>
      <c r="Q492" s="2" t="str">
        <f t="shared" si="32"/>
        <v>John</v>
      </c>
      <c r="R492" s="2" t="str">
        <f t="shared" si="33"/>
        <v>Jenkins</v>
      </c>
      <c r="S492" s="2" t="str">
        <f t="shared" si="30"/>
        <v>John Jenkins</v>
      </c>
      <c r="T492" s="2">
        <f t="shared" si="31"/>
        <v>0</v>
      </c>
    </row>
    <row r="493" spans="1:20" x14ac:dyDescent="0.25">
      <c r="A493" s="2"/>
      <c r="B493" s="2" t="s">
        <v>6</v>
      </c>
      <c r="C493" s="2" t="s">
        <v>744</v>
      </c>
      <c r="D493" s="2" t="s">
        <v>251</v>
      </c>
      <c r="E493" s="2" t="s">
        <v>252</v>
      </c>
      <c r="F493" s="2" t="s">
        <v>253</v>
      </c>
      <c r="G493" s="2" t="s">
        <v>285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 t="s">
        <v>286</v>
      </c>
      <c r="Q493" s="2" t="str">
        <f t="shared" si="32"/>
        <v>Henry</v>
      </c>
      <c r="R493" s="2" t="str">
        <f t="shared" si="33"/>
        <v>Sims</v>
      </c>
      <c r="S493" s="2" t="str">
        <f t="shared" si="30"/>
        <v>Henry Sims</v>
      </c>
      <c r="T493" s="2">
        <f t="shared" si="31"/>
        <v>0</v>
      </c>
    </row>
    <row r="494" spans="1:20" x14ac:dyDescent="0.25">
      <c r="A494" s="2"/>
      <c r="B494" s="2" t="s">
        <v>7</v>
      </c>
      <c r="C494" s="2" t="s">
        <v>745</v>
      </c>
      <c r="D494" s="2" t="s">
        <v>251</v>
      </c>
      <c r="E494" s="2" t="s">
        <v>252</v>
      </c>
      <c r="F494" s="2" t="s">
        <v>253</v>
      </c>
      <c r="G494" s="2" t="s">
        <v>285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 t="s">
        <v>286</v>
      </c>
      <c r="Q494" s="2" t="str">
        <f t="shared" si="32"/>
        <v>Chris</v>
      </c>
      <c r="R494" s="2" t="str">
        <f t="shared" si="33"/>
        <v>Johnson</v>
      </c>
      <c r="S494" s="2" t="str">
        <f t="shared" si="30"/>
        <v>Chris Johnson</v>
      </c>
      <c r="T494" s="2">
        <f t="shared" si="31"/>
        <v>0</v>
      </c>
    </row>
    <row r="495" spans="1:20" x14ac:dyDescent="0.25">
      <c r="A495" s="2"/>
      <c r="B495" s="2" t="s">
        <v>7</v>
      </c>
      <c r="C495" s="2" t="s">
        <v>746</v>
      </c>
      <c r="D495" s="2" t="s">
        <v>251</v>
      </c>
      <c r="E495" s="2" t="s">
        <v>252</v>
      </c>
      <c r="F495" s="2" t="s">
        <v>253</v>
      </c>
      <c r="G495" s="2" t="s">
        <v>272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 t="s">
        <v>273</v>
      </c>
      <c r="Q495" s="2" t="str">
        <f t="shared" si="32"/>
        <v>Cameron</v>
      </c>
      <c r="R495" s="2" t="str">
        <f t="shared" si="33"/>
        <v>Jones</v>
      </c>
      <c r="S495" s="2" t="str">
        <f t="shared" si="30"/>
        <v>Cameron Jones</v>
      </c>
      <c r="T495" s="2">
        <f t="shared" si="31"/>
        <v>0</v>
      </c>
    </row>
    <row r="496" spans="1:20" x14ac:dyDescent="0.25">
      <c r="A496" s="2"/>
      <c r="B496" s="2" t="s">
        <v>4</v>
      </c>
      <c r="C496" s="2" t="s">
        <v>747</v>
      </c>
      <c r="D496" s="2" t="s">
        <v>251</v>
      </c>
      <c r="E496" s="2" t="s">
        <v>252</v>
      </c>
      <c r="F496" s="2" t="s">
        <v>253</v>
      </c>
      <c r="G496" s="2" t="s">
        <v>293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 t="s">
        <v>284</v>
      </c>
      <c r="P496" s="2" t="s">
        <v>294</v>
      </c>
      <c r="Q496" s="2" t="str">
        <f t="shared" si="32"/>
        <v>Arinze</v>
      </c>
      <c r="R496" s="2" t="str">
        <f t="shared" si="33"/>
        <v>Onuaku</v>
      </c>
      <c r="S496" s="2" t="str">
        <f t="shared" si="30"/>
        <v>Arinze Onuaku</v>
      </c>
      <c r="T496" s="2">
        <f t="shared" si="31"/>
        <v>0</v>
      </c>
    </row>
    <row r="497" spans="1:20" x14ac:dyDescent="0.25">
      <c r="A497" s="2"/>
      <c r="B497" s="2" t="s">
        <v>3</v>
      </c>
      <c r="C497" s="2" t="s">
        <v>748</v>
      </c>
      <c r="D497" s="2" t="s">
        <v>251</v>
      </c>
      <c r="E497" s="2" t="s">
        <v>252</v>
      </c>
      <c r="F497" s="2" t="s">
        <v>253</v>
      </c>
      <c r="G497" s="2" t="s">
        <v>303</v>
      </c>
      <c r="H497" s="35">
        <v>3500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 t="s">
        <v>284</v>
      </c>
      <c r="P497" s="2" t="s">
        <v>304</v>
      </c>
      <c r="Q497" s="2" t="str">
        <f t="shared" si="32"/>
        <v>Ray</v>
      </c>
      <c r="R497" s="2" t="str">
        <f t="shared" si="33"/>
        <v>McCallum</v>
      </c>
      <c r="S497" s="2" t="str">
        <f t="shared" si="30"/>
        <v>Ray McCallum</v>
      </c>
      <c r="T497" s="2">
        <f t="shared" si="31"/>
        <v>0</v>
      </c>
    </row>
    <row r="498" spans="1:20" x14ac:dyDescent="0.25">
      <c r="A498" s="2"/>
      <c r="B498" s="2" t="s">
        <v>3</v>
      </c>
      <c r="C498" s="2" t="s">
        <v>749</v>
      </c>
      <c r="D498" s="2" t="s">
        <v>251</v>
      </c>
      <c r="E498" s="2" t="s">
        <v>252</v>
      </c>
      <c r="F498" s="2" t="s">
        <v>253</v>
      </c>
      <c r="G498" s="2" t="s">
        <v>259</v>
      </c>
      <c r="H498" s="35">
        <v>3500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 t="s">
        <v>284</v>
      </c>
      <c r="P498" s="2" t="s">
        <v>260</v>
      </c>
      <c r="Q498" s="2" t="str">
        <f t="shared" si="32"/>
        <v>Archie</v>
      </c>
      <c r="R498" s="2" t="str">
        <f t="shared" si="33"/>
        <v>Goodwin</v>
      </c>
      <c r="S498" s="2" t="str">
        <f t="shared" si="30"/>
        <v>Archie Goodwin</v>
      </c>
      <c r="T498" s="2">
        <f t="shared" si="31"/>
        <v>0</v>
      </c>
    </row>
    <row r="499" spans="1:20" x14ac:dyDescent="0.25">
      <c r="A499" s="2"/>
      <c r="B499" s="2" t="s">
        <v>4</v>
      </c>
      <c r="C499" s="2" t="s">
        <v>750</v>
      </c>
      <c r="D499" s="2" t="s">
        <v>251</v>
      </c>
      <c r="E499" s="2" t="s">
        <v>252</v>
      </c>
      <c r="F499" s="2" t="s">
        <v>253</v>
      </c>
      <c r="G499" s="2" t="s">
        <v>305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 t="s">
        <v>284</v>
      </c>
      <c r="P499" s="2" t="s">
        <v>306</v>
      </c>
      <c r="Q499" s="2" t="str">
        <f t="shared" si="32"/>
        <v>Anthony</v>
      </c>
      <c r="R499" s="2" t="str">
        <f t="shared" si="33"/>
        <v>Bennett</v>
      </c>
      <c r="S499" s="2" t="str">
        <f t="shared" si="30"/>
        <v>Anthony Bennett</v>
      </c>
      <c r="T499" s="2">
        <f t="shared" si="31"/>
        <v>0</v>
      </c>
    </row>
    <row r="500" spans="1:20" x14ac:dyDescent="0.25">
      <c r="A500" s="2"/>
      <c r="B500" s="2" t="s">
        <v>3</v>
      </c>
      <c r="C500" s="2" t="s">
        <v>751</v>
      </c>
      <c r="D500" s="2" t="s">
        <v>251</v>
      </c>
      <c r="E500" s="2" t="s">
        <v>252</v>
      </c>
      <c r="F500" s="2" t="s">
        <v>253</v>
      </c>
      <c r="G500" s="2" t="s">
        <v>272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 t="s">
        <v>273</v>
      </c>
      <c r="Q500" s="2" t="str">
        <f t="shared" si="32"/>
        <v>Phil</v>
      </c>
      <c r="R500" s="2" t="str">
        <f t="shared" si="33"/>
        <v>Pressey</v>
      </c>
      <c r="S500" s="2" t="str">
        <f t="shared" si="30"/>
        <v>Phil Pressey</v>
      </c>
      <c r="T500" s="2">
        <f t="shared" si="31"/>
        <v>0</v>
      </c>
    </row>
    <row r="501" spans="1:20" x14ac:dyDescent="0.25">
      <c r="A501" s="2"/>
      <c r="B501" s="2" t="s">
        <v>5</v>
      </c>
      <c r="C501" s="2" t="s">
        <v>752</v>
      </c>
      <c r="D501" s="2" t="s">
        <v>251</v>
      </c>
      <c r="E501" s="2" t="s">
        <v>252</v>
      </c>
      <c r="F501" s="2" t="s">
        <v>253</v>
      </c>
      <c r="G501" s="2" t="s">
        <v>301</v>
      </c>
      <c r="H501" s="35">
        <v>3500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 t="s">
        <v>284</v>
      </c>
      <c r="P501" s="2" t="s">
        <v>302</v>
      </c>
      <c r="Q501" s="2" t="str">
        <f t="shared" si="32"/>
        <v>Ryan</v>
      </c>
      <c r="R501" s="2" t="str">
        <f t="shared" si="33"/>
        <v>Kelly</v>
      </c>
      <c r="S501" s="2" t="str">
        <f t="shared" si="30"/>
        <v>Ryan Kelly</v>
      </c>
      <c r="T501" s="2">
        <f t="shared" si="31"/>
        <v>0</v>
      </c>
    </row>
    <row r="502" spans="1:20" x14ac:dyDescent="0.25">
      <c r="A502" s="2"/>
      <c r="B502" s="2" t="s">
        <v>4</v>
      </c>
      <c r="C502" s="2" t="s">
        <v>753</v>
      </c>
      <c r="D502" s="2" t="s">
        <v>251</v>
      </c>
      <c r="E502" s="2" t="s">
        <v>252</v>
      </c>
      <c r="F502" s="2" t="s">
        <v>253</v>
      </c>
      <c r="G502" s="2" t="s">
        <v>282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 t="s">
        <v>283</v>
      </c>
      <c r="Q502" s="2" t="str">
        <f t="shared" si="32"/>
        <v>Grant</v>
      </c>
      <c r="R502" s="2" t="str">
        <f t="shared" si="33"/>
        <v>Jerrett</v>
      </c>
      <c r="S502" s="2" t="str">
        <f t="shared" si="30"/>
        <v>Grant Jerrett</v>
      </c>
      <c r="T502" s="2">
        <f t="shared" si="31"/>
        <v>0</v>
      </c>
    </row>
    <row r="503" spans="1:20" x14ac:dyDescent="0.25">
      <c r="A503" s="2"/>
      <c r="B503" s="2" t="s">
        <v>4</v>
      </c>
      <c r="C503" s="2" t="s">
        <v>754</v>
      </c>
      <c r="D503" s="2" t="s">
        <v>251</v>
      </c>
      <c r="E503" s="2" t="s">
        <v>252</v>
      </c>
      <c r="F503" s="2" t="s">
        <v>253</v>
      </c>
      <c r="G503" s="2" t="s">
        <v>257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 t="s">
        <v>258</v>
      </c>
      <c r="Q503" s="2" t="str">
        <f t="shared" si="32"/>
        <v>Cory</v>
      </c>
      <c r="R503" s="2" t="str">
        <f t="shared" si="33"/>
        <v>Jefferson</v>
      </c>
      <c r="S503" s="2" t="str">
        <f t="shared" si="30"/>
        <v>Cory Jefferson</v>
      </c>
      <c r="T503" s="2">
        <f t="shared" si="31"/>
        <v>0</v>
      </c>
    </row>
    <row r="504" spans="1:20" x14ac:dyDescent="0.25">
      <c r="A504" s="2"/>
      <c r="B504" s="2" t="s">
        <v>7</v>
      </c>
      <c r="C504" s="2" t="s">
        <v>755</v>
      </c>
      <c r="D504" s="2" t="s">
        <v>251</v>
      </c>
      <c r="E504" s="2" t="s">
        <v>252</v>
      </c>
      <c r="F504" s="2" t="s">
        <v>253</v>
      </c>
      <c r="G504" s="2" t="s">
        <v>293</v>
      </c>
      <c r="H504" s="35">
        <v>3500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 t="s">
        <v>284</v>
      </c>
      <c r="P504" s="2" t="s">
        <v>294</v>
      </c>
      <c r="Q504" s="2" t="str">
        <f t="shared" si="32"/>
        <v>C.J.</v>
      </c>
      <c r="R504" s="2" t="str">
        <f t="shared" si="33"/>
        <v>Wilcox</v>
      </c>
      <c r="S504" s="2" t="str">
        <f t="shared" si="30"/>
        <v>C.J. Wilcox</v>
      </c>
      <c r="T504" s="2">
        <f t="shared" si="31"/>
        <v>0</v>
      </c>
    </row>
    <row r="505" spans="1:20" x14ac:dyDescent="0.25">
      <c r="A505" s="2"/>
      <c r="B505" s="2" t="s">
        <v>7</v>
      </c>
      <c r="C505" s="2" t="s">
        <v>756</v>
      </c>
      <c r="D505" s="2" t="s">
        <v>251</v>
      </c>
      <c r="E505" s="2" t="s">
        <v>252</v>
      </c>
      <c r="F505" s="2" t="s">
        <v>253</v>
      </c>
      <c r="G505" s="2" t="s">
        <v>257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 t="s">
        <v>258</v>
      </c>
      <c r="Q505" s="2" t="str">
        <f t="shared" si="32"/>
        <v>Markel</v>
      </c>
      <c r="R505" s="2" t="str">
        <f t="shared" si="33"/>
        <v>Brown</v>
      </c>
      <c r="S505" s="2" t="str">
        <f t="shared" si="30"/>
        <v>Markel Brown</v>
      </c>
      <c r="T505" s="2">
        <f t="shared" si="31"/>
        <v>0</v>
      </c>
    </row>
    <row r="506" spans="1:20" x14ac:dyDescent="0.25">
      <c r="A506" s="2"/>
      <c r="B506" s="2" t="s">
        <v>5</v>
      </c>
      <c r="C506" s="2" t="s">
        <v>757</v>
      </c>
      <c r="D506" s="2" t="s">
        <v>251</v>
      </c>
      <c r="E506" s="2" t="s">
        <v>252</v>
      </c>
      <c r="F506" s="2" t="s">
        <v>253</v>
      </c>
      <c r="G506" s="2" t="s">
        <v>289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 t="s">
        <v>284</v>
      </c>
      <c r="P506" s="2" t="s">
        <v>290</v>
      </c>
      <c r="Q506" s="2" t="str">
        <f t="shared" si="32"/>
        <v>Bruno</v>
      </c>
      <c r="R506" s="2" t="str">
        <f t="shared" si="33"/>
        <v>Caboclo</v>
      </c>
      <c r="S506" s="2" t="str">
        <f t="shared" si="30"/>
        <v>Bruno Caboclo</v>
      </c>
      <c r="T506" s="2">
        <f t="shared" si="31"/>
        <v>0</v>
      </c>
    </row>
    <row r="507" spans="1:20" x14ac:dyDescent="0.25">
      <c r="A507" s="2"/>
      <c r="B507" s="2" t="s">
        <v>4</v>
      </c>
      <c r="C507" s="2" t="s">
        <v>758</v>
      </c>
      <c r="D507" s="2" t="s">
        <v>251</v>
      </c>
      <c r="E507" s="2" t="s">
        <v>252</v>
      </c>
      <c r="F507" s="2" t="s">
        <v>253</v>
      </c>
      <c r="G507" s="2" t="s">
        <v>270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 t="s">
        <v>284</v>
      </c>
      <c r="P507" s="2" t="s">
        <v>271</v>
      </c>
      <c r="Q507" s="2" t="str">
        <f t="shared" si="32"/>
        <v>Jarnell</v>
      </c>
      <c r="R507" s="2" t="str">
        <f t="shared" si="33"/>
        <v>Stokes</v>
      </c>
      <c r="S507" s="2" t="str">
        <f t="shared" si="30"/>
        <v>Jarnell Stokes</v>
      </c>
      <c r="T507" s="2">
        <f t="shared" si="31"/>
        <v>0</v>
      </c>
    </row>
    <row r="508" spans="1:20" x14ac:dyDescent="0.25">
      <c r="A508" s="2"/>
      <c r="B508" s="2" t="s">
        <v>6</v>
      </c>
      <c r="C508" s="2" t="s">
        <v>759</v>
      </c>
      <c r="D508" s="2" t="s">
        <v>251</v>
      </c>
      <c r="E508" s="2" t="s">
        <v>252</v>
      </c>
      <c r="F508" s="2" t="s">
        <v>253</v>
      </c>
      <c r="G508" s="2" t="s">
        <v>310</v>
      </c>
      <c r="H508" s="35">
        <v>8700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 t="s">
        <v>284</v>
      </c>
      <c r="P508" s="2" t="s">
        <v>311</v>
      </c>
      <c r="Q508" s="2" t="str">
        <f t="shared" si="32"/>
        <v>Joel</v>
      </c>
      <c r="R508" s="2" t="str">
        <f t="shared" si="33"/>
        <v>Embiid</v>
      </c>
      <c r="S508" s="2" t="str">
        <f t="shared" si="30"/>
        <v>Joel Embiid</v>
      </c>
      <c r="T508" s="2">
        <f t="shared" si="31"/>
        <v>0</v>
      </c>
    </row>
    <row r="509" spans="1:20" x14ac:dyDescent="0.25">
      <c r="A509" s="2"/>
      <c r="B509" s="2" t="s">
        <v>5</v>
      </c>
      <c r="C509" s="2" t="s">
        <v>760</v>
      </c>
      <c r="D509" s="2" t="s">
        <v>251</v>
      </c>
      <c r="E509" s="2" t="s">
        <v>252</v>
      </c>
      <c r="F509" s="2" t="s">
        <v>253</v>
      </c>
      <c r="G509" s="2" t="s">
        <v>297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 t="s">
        <v>298</v>
      </c>
      <c r="Q509" s="2" t="str">
        <f t="shared" si="32"/>
        <v>Damien</v>
      </c>
      <c r="R509" s="2" t="str">
        <f t="shared" si="33"/>
        <v>Inglis</v>
      </c>
      <c r="S509" s="2" t="str">
        <f t="shared" si="30"/>
        <v>Damien Inglis</v>
      </c>
      <c r="T509" s="2">
        <f t="shared" si="31"/>
        <v>0</v>
      </c>
    </row>
    <row r="510" spans="1:20" x14ac:dyDescent="0.25">
      <c r="A510" s="2"/>
      <c r="B510" s="2" t="s">
        <v>7</v>
      </c>
      <c r="C510" s="2" t="s">
        <v>761</v>
      </c>
      <c r="D510" s="2" t="s">
        <v>251</v>
      </c>
      <c r="E510" s="2" t="s">
        <v>252</v>
      </c>
      <c r="F510" s="2" t="s">
        <v>253</v>
      </c>
      <c r="G510" s="2" t="s">
        <v>303</v>
      </c>
      <c r="H510" s="35">
        <v>3500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 t="s">
        <v>284</v>
      </c>
      <c r="P510" s="2" t="s">
        <v>304</v>
      </c>
      <c r="Q510" s="2" t="str">
        <f t="shared" si="32"/>
        <v>Aaron</v>
      </c>
      <c r="R510" s="2" t="str">
        <f t="shared" si="33"/>
        <v>Harrison</v>
      </c>
      <c r="S510" s="2" t="str">
        <f t="shared" si="30"/>
        <v>Aaron Harrison</v>
      </c>
      <c r="T510" s="2">
        <f t="shared" si="31"/>
        <v>0</v>
      </c>
    </row>
    <row r="511" spans="1:20" x14ac:dyDescent="0.25">
      <c r="A511" s="2"/>
      <c r="B511" s="2" t="s">
        <v>5</v>
      </c>
      <c r="C511" s="2" t="s">
        <v>762</v>
      </c>
      <c r="D511" s="2" t="s">
        <v>251</v>
      </c>
      <c r="E511" s="2" t="s">
        <v>252</v>
      </c>
      <c r="F511" s="2" t="s">
        <v>253</v>
      </c>
      <c r="G511" s="2" t="s">
        <v>280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 t="s">
        <v>284</v>
      </c>
      <c r="P511" s="2" t="s">
        <v>281</v>
      </c>
      <c r="Q511" s="2" t="str">
        <f t="shared" si="32"/>
        <v>Justise</v>
      </c>
      <c r="R511" s="2" t="str">
        <f t="shared" si="33"/>
        <v>Winslow</v>
      </c>
      <c r="S511" s="2" t="str">
        <f t="shared" si="30"/>
        <v>Justise Winslow</v>
      </c>
      <c r="T511" s="2">
        <f t="shared" si="31"/>
        <v>0</v>
      </c>
    </row>
    <row r="512" spans="1:20" x14ac:dyDescent="0.25">
      <c r="A512" s="2"/>
      <c r="B512" s="2"/>
      <c r="C512" s="2"/>
      <c r="D512" s="2"/>
      <c r="E512" s="2"/>
      <c r="F512" s="2"/>
      <c r="G512" s="2"/>
      <c r="H512" s="42">
        <v>42782</v>
      </c>
      <c r="I512" s="2" t="s">
        <v>232</v>
      </c>
      <c r="J512" s="2" t="s">
        <v>233</v>
      </c>
      <c r="K512" s="2" t="s">
        <v>232</v>
      </c>
      <c r="L512" s="2" t="s">
        <v>234</v>
      </c>
      <c r="M512" s="2" t="s">
        <v>235</v>
      </c>
      <c r="N512" s="2" t="s">
        <v>232</v>
      </c>
      <c r="O512" s="2" t="s">
        <v>232</v>
      </c>
      <c r="P512" s="2" t="s">
        <v>236</v>
      </c>
      <c r="Q512" s="2" t="e">
        <f t="shared" si="32"/>
        <v>#VALUE!</v>
      </c>
      <c r="R512" s="2" t="e">
        <f t="shared" si="33"/>
        <v>#VALUE!</v>
      </c>
      <c r="S512" s="2" t="e">
        <f t="shared" si="30"/>
        <v>#VALUE!</v>
      </c>
      <c r="T512" s="2" t="str">
        <f t="shared" si="31"/>
        <v>Last</v>
      </c>
    </row>
    <row r="513" spans="1:20" x14ac:dyDescent="0.25">
      <c r="A513" s="2"/>
      <c r="B513" s="2"/>
      <c r="C513" s="2"/>
      <c r="D513" s="2"/>
      <c r="E513" s="2"/>
      <c r="F513" s="2"/>
      <c r="G513" s="2"/>
      <c r="H513" s="2" t="s">
        <v>142</v>
      </c>
      <c r="I513" s="2" t="s">
        <v>142</v>
      </c>
      <c r="J513" s="2" t="s">
        <v>237</v>
      </c>
      <c r="K513" s="2"/>
      <c r="L513" s="2" t="s">
        <v>238</v>
      </c>
      <c r="M513" s="2" t="s">
        <v>239</v>
      </c>
      <c r="N513" s="2" t="s">
        <v>240</v>
      </c>
      <c r="O513" s="2" t="s">
        <v>1</v>
      </c>
      <c r="P513" s="2" t="s">
        <v>241</v>
      </c>
      <c r="Q513" s="2" t="e">
        <f t="shared" si="32"/>
        <v>#VALUE!</v>
      </c>
      <c r="R513" s="2" t="e">
        <f t="shared" si="33"/>
        <v>#VALUE!</v>
      </c>
      <c r="S513" s="2" t="e">
        <f t="shared" si="30"/>
        <v>#VALUE!</v>
      </c>
      <c r="T513" s="2" t="str">
        <f t="shared" si="31"/>
        <v>15 day</v>
      </c>
    </row>
    <row r="514" spans="1:20" x14ac:dyDescent="0.25">
      <c r="A514" s="2"/>
      <c r="B514" s="2" t="s">
        <v>8</v>
      </c>
      <c r="C514" s="2" t="s">
        <v>242</v>
      </c>
      <c r="D514" s="2" t="s">
        <v>243</v>
      </c>
      <c r="E514" s="2" t="s">
        <v>244</v>
      </c>
      <c r="F514" s="2" t="s">
        <v>245</v>
      </c>
      <c r="G514" s="2" t="s">
        <v>2</v>
      </c>
      <c r="H514" s="43">
        <v>0</v>
      </c>
      <c r="I514" s="2" t="s">
        <v>246</v>
      </c>
      <c r="J514" s="2" t="s">
        <v>238</v>
      </c>
      <c r="K514" s="2" t="s">
        <v>247</v>
      </c>
      <c r="L514" s="2" t="s">
        <v>248</v>
      </c>
      <c r="M514" s="2" t="s">
        <v>249</v>
      </c>
      <c r="N514" s="2" t="s">
        <v>250</v>
      </c>
      <c r="O514" s="2" t="s">
        <v>238</v>
      </c>
      <c r="P514" s="2">
        <v>1.23456789012345E+27</v>
      </c>
      <c r="Q514" s="2" t="e">
        <f t="shared" si="32"/>
        <v>#VALUE!</v>
      </c>
      <c r="R514" s="2" t="e">
        <f t="shared" si="33"/>
        <v>#VALUE!</v>
      </c>
      <c r="S514" s="2" t="e">
        <f t="shared" si="30"/>
        <v>#VALUE!</v>
      </c>
      <c r="T514" s="2" t="str">
        <f t="shared" si="31"/>
        <v>FDP/G</v>
      </c>
    </row>
    <row r="515" spans="1:20" x14ac:dyDescent="0.25">
      <c r="A515" s="2"/>
      <c r="B515" s="2" t="s">
        <v>7</v>
      </c>
      <c r="C515" s="2" t="s">
        <v>763</v>
      </c>
      <c r="D515" s="2" t="s">
        <v>251</v>
      </c>
      <c r="E515" s="2" t="s">
        <v>252</v>
      </c>
      <c r="F515" s="2" t="s">
        <v>253</v>
      </c>
      <c r="G515" s="2" t="s">
        <v>280</v>
      </c>
      <c r="H515" s="35">
        <v>5300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 t="s">
        <v>284</v>
      </c>
      <c r="P515" s="2" t="s">
        <v>281</v>
      </c>
      <c r="Q515" s="2" t="str">
        <f t="shared" si="32"/>
        <v>Josh</v>
      </c>
      <c r="R515" s="2" t="str">
        <f t="shared" si="33"/>
        <v>Richardson</v>
      </c>
      <c r="S515" s="2" t="str">
        <f t="shared" si="30"/>
        <v>Josh Richardson</v>
      </c>
      <c r="T515" s="2">
        <f t="shared" si="31"/>
        <v>0</v>
      </c>
    </row>
    <row r="516" spans="1:20" x14ac:dyDescent="0.25">
      <c r="A516" s="2"/>
      <c r="B516" s="2" t="s">
        <v>5</v>
      </c>
      <c r="C516" s="2" t="s">
        <v>764</v>
      </c>
      <c r="D516" s="2" t="s">
        <v>251</v>
      </c>
      <c r="E516" s="2" t="s">
        <v>252</v>
      </c>
      <c r="F516" s="2" t="s">
        <v>253</v>
      </c>
      <c r="G516" s="2" t="s">
        <v>257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 t="s">
        <v>258</v>
      </c>
      <c r="Q516" s="2" t="str">
        <f t="shared" si="32"/>
        <v>Jonathan</v>
      </c>
      <c r="R516" s="2" t="str">
        <f t="shared" si="33"/>
        <v>Holmes</v>
      </c>
      <c r="S516" s="2" t="str">
        <f t="shared" si="30"/>
        <v>Jonathan Holmes</v>
      </c>
      <c r="T516" s="2">
        <f t="shared" si="31"/>
        <v>0</v>
      </c>
    </row>
    <row r="517" spans="1:20" x14ac:dyDescent="0.25">
      <c r="A517" s="2"/>
      <c r="B517" s="2" t="s">
        <v>5</v>
      </c>
      <c r="C517" s="2" t="s">
        <v>765</v>
      </c>
      <c r="D517" s="2" t="s">
        <v>251</v>
      </c>
      <c r="E517" s="2" t="s">
        <v>252</v>
      </c>
      <c r="F517" s="2" t="s">
        <v>253</v>
      </c>
      <c r="G517" s="2" t="s">
        <v>293</v>
      </c>
      <c r="H517" s="35">
        <v>3500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 t="s">
        <v>284</v>
      </c>
      <c r="P517" s="2" t="s">
        <v>294</v>
      </c>
      <c r="Q517" s="2" t="str">
        <f t="shared" si="32"/>
        <v>Anthony</v>
      </c>
      <c r="R517" s="2" t="str">
        <f t="shared" si="33"/>
        <v>Brown</v>
      </c>
      <c r="S517" s="2" t="str">
        <f t="shared" si="30"/>
        <v>Anthony Brown</v>
      </c>
      <c r="T517" s="2">
        <f t="shared" si="31"/>
        <v>0</v>
      </c>
    </row>
    <row r="518" spans="1:20" x14ac:dyDescent="0.25">
      <c r="A518" s="2"/>
      <c r="B518" s="2" t="s">
        <v>4</v>
      </c>
      <c r="C518" s="2" t="s">
        <v>766</v>
      </c>
      <c r="D518" s="2" t="s">
        <v>251</v>
      </c>
      <c r="E518" s="2" t="s">
        <v>252</v>
      </c>
      <c r="F518" s="2" t="s">
        <v>253</v>
      </c>
      <c r="G518" s="2" t="s">
        <v>305</v>
      </c>
      <c r="H518" s="35">
        <v>3500</v>
      </c>
      <c r="I518" s="2">
        <v>0</v>
      </c>
      <c r="J518" s="2">
        <v>0</v>
      </c>
      <c r="K518" s="2">
        <v>1</v>
      </c>
      <c r="L518" s="2">
        <v>0</v>
      </c>
      <c r="M518" s="2">
        <v>0</v>
      </c>
      <c r="N518" s="2">
        <v>0</v>
      </c>
      <c r="O518" s="2">
        <v>0</v>
      </c>
      <c r="P518" s="2" t="s">
        <v>306</v>
      </c>
      <c r="Q518" s="2" t="str">
        <f t="shared" si="32"/>
        <v>Chris</v>
      </c>
      <c r="R518" s="2" t="str">
        <f t="shared" si="33"/>
        <v>McCullough</v>
      </c>
      <c r="S518" s="2" t="str">
        <f t="shared" ref="S518:S555" si="34">Q518&amp;" "&amp;R518</f>
        <v>Chris McCullough</v>
      </c>
      <c r="T518" s="2">
        <f t="shared" ref="T518:T555" si="35">N518</f>
        <v>0</v>
      </c>
    </row>
    <row r="519" spans="1:20" x14ac:dyDescent="0.25">
      <c r="A519" s="2"/>
      <c r="B519" s="2" t="s">
        <v>7</v>
      </c>
      <c r="C519" s="2" t="s">
        <v>767</v>
      </c>
      <c r="D519" s="2" t="s">
        <v>251</v>
      </c>
      <c r="E519" s="2" t="s">
        <v>252</v>
      </c>
      <c r="F519" s="2" t="s">
        <v>253</v>
      </c>
      <c r="G519" s="2" t="s">
        <v>278</v>
      </c>
      <c r="H519" s="35">
        <v>3500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 t="s">
        <v>284</v>
      </c>
      <c r="P519" s="2" t="s">
        <v>279</v>
      </c>
      <c r="Q519" s="2" t="str">
        <f t="shared" si="32"/>
        <v>R.J.</v>
      </c>
      <c r="R519" s="2" t="str">
        <f t="shared" si="33"/>
        <v>Hunter</v>
      </c>
      <c r="S519" s="2" t="str">
        <f t="shared" si="34"/>
        <v>R.J. Hunter</v>
      </c>
      <c r="T519" s="2">
        <f t="shared" si="35"/>
        <v>0</v>
      </c>
    </row>
    <row r="520" spans="1:20" x14ac:dyDescent="0.25">
      <c r="A520" s="2"/>
      <c r="B520" s="2" t="s">
        <v>3</v>
      </c>
      <c r="C520" s="2" t="s">
        <v>768</v>
      </c>
      <c r="D520" s="2" t="s">
        <v>251</v>
      </c>
      <c r="E520" s="2" t="s">
        <v>252</v>
      </c>
      <c r="F520" s="2" t="s">
        <v>253</v>
      </c>
      <c r="G520" s="2" t="s">
        <v>308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 t="s">
        <v>284</v>
      </c>
      <c r="P520" s="2" t="s">
        <v>309</v>
      </c>
      <c r="Q520" s="2" t="str">
        <f t="shared" ref="Q520:Q555" si="36">MID(C520,FIND(" ",C520)+1,256)</f>
        <v>Pierre</v>
      </c>
      <c r="R520" s="2" t="str">
        <f t="shared" ref="R520:R555" si="37">LEFT(C520,(FIND(" ",C520,1)-1))</f>
        <v>Jackson</v>
      </c>
      <c r="S520" s="2" t="str">
        <f t="shared" si="34"/>
        <v>Pierre Jackson</v>
      </c>
      <c r="T520" s="2">
        <f t="shared" si="35"/>
        <v>0</v>
      </c>
    </row>
    <row r="521" spans="1:20" x14ac:dyDescent="0.25">
      <c r="A521" s="2"/>
      <c r="B521" s="2" t="s">
        <v>7</v>
      </c>
      <c r="C521" s="2" t="s">
        <v>769</v>
      </c>
      <c r="D521" s="2" t="s">
        <v>251</v>
      </c>
      <c r="E521" s="2" t="s">
        <v>252</v>
      </c>
      <c r="F521" s="2" t="s">
        <v>253</v>
      </c>
      <c r="G521" s="2" t="s">
        <v>297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 t="s">
        <v>298</v>
      </c>
      <c r="Q521" s="2" t="str">
        <f t="shared" si="36"/>
        <v>J.P.</v>
      </c>
      <c r="R521" s="2" t="str">
        <f t="shared" si="37"/>
        <v>Tokoto</v>
      </c>
      <c r="S521" s="2" t="str">
        <f t="shared" si="34"/>
        <v>J.P. Tokoto</v>
      </c>
      <c r="T521" s="2">
        <f t="shared" si="35"/>
        <v>0</v>
      </c>
    </row>
    <row r="522" spans="1:20" x14ac:dyDescent="0.25">
      <c r="A522" s="2"/>
      <c r="B522" s="2" t="s">
        <v>7</v>
      </c>
      <c r="C522" s="2" t="s">
        <v>770</v>
      </c>
      <c r="D522" s="2" t="s">
        <v>251</v>
      </c>
      <c r="E522" s="2" t="s">
        <v>252</v>
      </c>
      <c r="F522" s="2" t="s">
        <v>253</v>
      </c>
      <c r="G522" s="2" t="s">
        <v>287</v>
      </c>
      <c r="H522" s="35">
        <v>3500</v>
      </c>
      <c r="I522" s="2">
        <v>0</v>
      </c>
      <c r="J522" s="2">
        <v>0</v>
      </c>
      <c r="K522" s="2">
        <v>1</v>
      </c>
      <c r="L522" s="2">
        <v>0</v>
      </c>
      <c r="M522" s="2">
        <v>0</v>
      </c>
      <c r="N522" s="2">
        <v>0</v>
      </c>
      <c r="O522" s="2" t="s">
        <v>284</v>
      </c>
      <c r="P522" s="2" t="s">
        <v>288</v>
      </c>
      <c r="Q522" s="2" t="str">
        <f t="shared" si="36"/>
        <v>Darrun</v>
      </c>
      <c r="R522" s="2" t="str">
        <f t="shared" si="37"/>
        <v>Hilliard</v>
      </c>
      <c r="S522" s="2" t="str">
        <f t="shared" si="34"/>
        <v>Darrun Hilliard</v>
      </c>
      <c r="T522" s="2">
        <f t="shared" si="35"/>
        <v>0</v>
      </c>
    </row>
    <row r="523" spans="1:20" x14ac:dyDescent="0.25">
      <c r="A523" s="2"/>
      <c r="B523" s="2" t="s">
        <v>4</v>
      </c>
      <c r="C523" s="2" t="s">
        <v>771</v>
      </c>
      <c r="D523" s="2" t="s">
        <v>251</v>
      </c>
      <c r="E523" s="2" t="s">
        <v>252</v>
      </c>
      <c r="F523" s="2" t="s">
        <v>253</v>
      </c>
      <c r="G523" s="2" t="s">
        <v>291</v>
      </c>
      <c r="H523" s="35">
        <v>3500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 t="s">
        <v>284</v>
      </c>
      <c r="P523" s="2" t="s">
        <v>292</v>
      </c>
      <c r="Q523" s="2" t="str">
        <f t="shared" si="36"/>
        <v>Jarell</v>
      </c>
      <c r="R523" s="2" t="str">
        <f t="shared" si="37"/>
        <v>Martin</v>
      </c>
      <c r="S523" s="2" t="str">
        <f t="shared" si="34"/>
        <v>Jarell Martin</v>
      </c>
      <c r="T523" s="2">
        <f t="shared" si="35"/>
        <v>0</v>
      </c>
    </row>
    <row r="524" spans="1:20" x14ac:dyDescent="0.25">
      <c r="A524" s="2"/>
      <c r="B524" s="2" t="s">
        <v>6</v>
      </c>
      <c r="C524" s="2" t="s">
        <v>772</v>
      </c>
      <c r="D524" s="2" t="s">
        <v>251</v>
      </c>
      <c r="E524" s="2" t="s">
        <v>252</v>
      </c>
      <c r="F524" s="2" t="s">
        <v>253</v>
      </c>
      <c r="G524" s="2" t="s">
        <v>301</v>
      </c>
      <c r="H524" s="35">
        <v>3500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2" t="s">
        <v>284</v>
      </c>
      <c r="P524" s="2" t="s">
        <v>302</v>
      </c>
      <c r="Q524" s="2" t="str">
        <f t="shared" si="36"/>
        <v>Walter</v>
      </c>
      <c r="R524" s="2" t="str">
        <f t="shared" si="37"/>
        <v>Tavares</v>
      </c>
      <c r="S524" s="2" t="str">
        <f t="shared" si="34"/>
        <v>Walter Tavares</v>
      </c>
      <c r="T524" s="2">
        <f t="shared" si="35"/>
        <v>0</v>
      </c>
    </row>
    <row r="525" spans="1:20" x14ac:dyDescent="0.25">
      <c r="A525" s="2"/>
      <c r="B525" s="2" t="s">
        <v>7</v>
      </c>
      <c r="C525" s="2" t="s">
        <v>773</v>
      </c>
      <c r="D525" s="2" t="s">
        <v>251</v>
      </c>
      <c r="E525" s="2" t="s">
        <v>252</v>
      </c>
      <c r="F525" s="2" t="s">
        <v>253</v>
      </c>
      <c r="G525" s="2" t="s">
        <v>257</v>
      </c>
      <c r="H525" s="2">
        <v>0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2">
        <v>0</v>
      </c>
      <c r="P525" s="2" t="s">
        <v>258</v>
      </c>
      <c r="Q525" s="2" t="str">
        <f t="shared" si="36"/>
        <v>John</v>
      </c>
      <c r="R525" s="2" t="str">
        <f t="shared" si="37"/>
        <v>Holland</v>
      </c>
      <c r="S525" s="2" t="str">
        <f t="shared" si="34"/>
        <v>John Holland</v>
      </c>
      <c r="T525" s="2">
        <f t="shared" si="35"/>
        <v>0</v>
      </c>
    </row>
    <row r="526" spans="1:20" x14ac:dyDescent="0.25">
      <c r="A526" s="2"/>
      <c r="B526" s="2" t="s">
        <v>4</v>
      </c>
      <c r="C526" s="2" t="s">
        <v>774</v>
      </c>
      <c r="D526" s="2" t="s">
        <v>251</v>
      </c>
      <c r="E526" s="2" t="s">
        <v>252</v>
      </c>
      <c r="F526" s="2" t="s">
        <v>253</v>
      </c>
      <c r="G526" s="2" t="s">
        <v>266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2">
        <v>0</v>
      </c>
      <c r="P526" s="2" t="s">
        <v>267</v>
      </c>
      <c r="Q526" s="2" t="str">
        <f t="shared" si="36"/>
        <v>Livio</v>
      </c>
      <c r="R526" s="2" t="str">
        <f t="shared" si="37"/>
        <v>Jean-Charles</v>
      </c>
      <c r="S526" s="2" t="str">
        <f t="shared" si="34"/>
        <v>Livio Jean-Charles</v>
      </c>
      <c r="T526" s="2">
        <f t="shared" si="35"/>
        <v>0</v>
      </c>
    </row>
    <row r="527" spans="1:20" x14ac:dyDescent="0.25">
      <c r="A527" s="2"/>
      <c r="B527" s="2" t="s">
        <v>5</v>
      </c>
      <c r="C527" s="2" t="s">
        <v>775</v>
      </c>
      <c r="D527" s="2" t="s">
        <v>251</v>
      </c>
      <c r="E527" s="2" t="s">
        <v>252</v>
      </c>
      <c r="F527" s="2" t="s">
        <v>253</v>
      </c>
      <c r="G527" s="2" t="s">
        <v>291</v>
      </c>
      <c r="H527" s="35">
        <v>3500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 t="s">
        <v>284</v>
      </c>
      <c r="P527" s="2" t="s">
        <v>292</v>
      </c>
      <c r="Q527" s="2" t="str">
        <f t="shared" si="36"/>
        <v>Troy</v>
      </c>
      <c r="R527" s="2" t="str">
        <f t="shared" si="37"/>
        <v>Williams</v>
      </c>
      <c r="S527" s="2" t="str">
        <f t="shared" si="34"/>
        <v>Troy Williams</v>
      </c>
      <c r="T527" s="2">
        <f t="shared" si="35"/>
        <v>0</v>
      </c>
    </row>
    <row r="528" spans="1:20" x14ac:dyDescent="0.25">
      <c r="A528" s="2"/>
      <c r="B528" s="2" t="s">
        <v>3</v>
      </c>
      <c r="C528" s="2" t="s">
        <v>776</v>
      </c>
      <c r="D528" s="2" t="s">
        <v>251</v>
      </c>
      <c r="E528" s="2" t="s">
        <v>252</v>
      </c>
      <c r="F528" s="2" t="s">
        <v>253</v>
      </c>
      <c r="G528" s="2" t="s">
        <v>291</v>
      </c>
      <c r="H528" s="35">
        <v>3500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2" t="s">
        <v>284</v>
      </c>
      <c r="P528" s="2" t="s">
        <v>292</v>
      </c>
      <c r="Q528" s="2" t="str">
        <f t="shared" si="36"/>
        <v>Wade</v>
      </c>
      <c r="R528" s="2" t="str">
        <f t="shared" si="37"/>
        <v>Baldwin</v>
      </c>
      <c r="S528" s="2" t="str">
        <f t="shared" si="34"/>
        <v>Wade Baldwin</v>
      </c>
      <c r="T528" s="2">
        <f t="shared" si="35"/>
        <v>0</v>
      </c>
    </row>
    <row r="529" spans="1:20" x14ac:dyDescent="0.25">
      <c r="A529" s="2"/>
      <c r="B529" s="2" t="s">
        <v>7</v>
      </c>
      <c r="C529" s="2" t="s">
        <v>777</v>
      </c>
      <c r="D529" s="2" t="s">
        <v>251</v>
      </c>
      <c r="E529" s="2" t="s">
        <v>252</v>
      </c>
      <c r="F529" s="2" t="s">
        <v>253</v>
      </c>
      <c r="G529" s="2" t="s">
        <v>266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 t="s">
        <v>267</v>
      </c>
      <c r="Q529" s="2" t="str">
        <f t="shared" si="36"/>
        <v>Patricio</v>
      </c>
      <c r="R529" s="2" t="str">
        <f t="shared" si="37"/>
        <v>Garino</v>
      </c>
      <c r="S529" s="2" t="str">
        <f t="shared" si="34"/>
        <v>Patricio Garino</v>
      </c>
      <c r="T529" s="2">
        <f t="shared" si="35"/>
        <v>0</v>
      </c>
    </row>
    <row r="530" spans="1:20" x14ac:dyDescent="0.25">
      <c r="A530" s="2"/>
      <c r="B530" s="2" t="s">
        <v>4</v>
      </c>
      <c r="C530" s="2" t="s">
        <v>778</v>
      </c>
      <c r="D530" s="2" t="s">
        <v>251</v>
      </c>
      <c r="E530" s="2" t="s">
        <v>252</v>
      </c>
      <c r="F530" s="2" t="s">
        <v>253</v>
      </c>
      <c r="G530" s="2" t="s">
        <v>92</v>
      </c>
      <c r="H530" s="35">
        <v>3500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2" t="s">
        <v>284</v>
      </c>
      <c r="P530" s="2" t="s">
        <v>263</v>
      </c>
      <c r="Q530" s="2" t="str">
        <f t="shared" si="36"/>
        <v>Brice</v>
      </c>
      <c r="R530" s="2" t="str">
        <f t="shared" si="37"/>
        <v>Johnson</v>
      </c>
      <c r="S530" s="2" t="str">
        <f t="shared" si="34"/>
        <v>Brice Johnson</v>
      </c>
      <c r="T530" s="2">
        <f t="shared" si="35"/>
        <v>0</v>
      </c>
    </row>
    <row r="531" spans="1:20" x14ac:dyDescent="0.25">
      <c r="A531" s="2"/>
      <c r="B531" s="2" t="s">
        <v>5</v>
      </c>
      <c r="C531" s="2" t="s">
        <v>779</v>
      </c>
      <c r="D531" s="2" t="s">
        <v>251</v>
      </c>
      <c r="E531" s="2" t="s">
        <v>252</v>
      </c>
      <c r="F531" s="2" t="s">
        <v>253</v>
      </c>
      <c r="G531" s="2" t="s">
        <v>264</v>
      </c>
      <c r="H531" s="35">
        <v>3500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2" t="s">
        <v>284</v>
      </c>
      <c r="P531" s="2" t="s">
        <v>265</v>
      </c>
      <c r="Q531" s="2" t="str">
        <f t="shared" si="36"/>
        <v>Danuel</v>
      </c>
      <c r="R531" s="2" t="str">
        <f t="shared" si="37"/>
        <v>House</v>
      </c>
      <c r="S531" s="2" t="str">
        <f t="shared" si="34"/>
        <v>Danuel House</v>
      </c>
      <c r="T531" s="2">
        <f t="shared" si="35"/>
        <v>0</v>
      </c>
    </row>
    <row r="532" spans="1:20" x14ac:dyDescent="0.25">
      <c r="A532" s="2"/>
      <c r="B532" s="2" t="s">
        <v>3</v>
      </c>
      <c r="C532" s="2" t="s">
        <v>780</v>
      </c>
      <c r="D532" s="2" t="s">
        <v>251</v>
      </c>
      <c r="E532" s="2" t="s">
        <v>252</v>
      </c>
      <c r="F532" s="2" t="s">
        <v>253</v>
      </c>
      <c r="G532" s="2" t="s">
        <v>274</v>
      </c>
      <c r="H532" s="35">
        <v>3500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2" t="s">
        <v>284</v>
      </c>
      <c r="P532" s="2" t="s">
        <v>275</v>
      </c>
      <c r="Q532" s="2" t="str">
        <f t="shared" si="36"/>
        <v>Demetrius</v>
      </c>
      <c r="R532" s="2" t="str">
        <f t="shared" si="37"/>
        <v>Jackson</v>
      </c>
      <c r="S532" s="2" t="str">
        <f t="shared" si="34"/>
        <v>Demetrius Jackson</v>
      </c>
      <c r="T532" s="2">
        <f t="shared" si="35"/>
        <v>0</v>
      </c>
    </row>
    <row r="533" spans="1:20" x14ac:dyDescent="0.25">
      <c r="A533" s="2"/>
      <c r="B533" s="2" t="s">
        <v>5</v>
      </c>
      <c r="C533" s="2" t="s">
        <v>781</v>
      </c>
      <c r="D533" s="2" t="s">
        <v>251</v>
      </c>
      <c r="E533" s="2" t="s">
        <v>252</v>
      </c>
      <c r="F533" s="2" t="s">
        <v>253</v>
      </c>
      <c r="G533" s="2" t="s">
        <v>310</v>
      </c>
      <c r="H533" s="35">
        <v>5000</v>
      </c>
      <c r="I533" s="2">
        <v>0</v>
      </c>
      <c r="J533" s="2">
        <v>0</v>
      </c>
      <c r="K533" s="2">
        <v>0</v>
      </c>
      <c r="L533" s="2">
        <v>0</v>
      </c>
      <c r="M533" s="2">
        <v>0</v>
      </c>
      <c r="N533" s="2">
        <v>0</v>
      </c>
      <c r="O533" s="2">
        <v>0</v>
      </c>
      <c r="P533" s="2" t="s">
        <v>311</v>
      </c>
      <c r="Q533" s="2" t="str">
        <f t="shared" si="36"/>
        <v>Ben</v>
      </c>
      <c r="R533" s="2" t="str">
        <f t="shared" si="37"/>
        <v>Simmons</v>
      </c>
      <c r="S533" s="2" t="str">
        <f t="shared" si="34"/>
        <v>Ben Simmons</v>
      </c>
      <c r="T533" s="2">
        <f t="shared" si="35"/>
        <v>0</v>
      </c>
    </row>
    <row r="534" spans="1:20" x14ac:dyDescent="0.25">
      <c r="A534" s="2"/>
      <c r="B534" s="2" t="s">
        <v>6</v>
      </c>
      <c r="C534" s="2" t="s">
        <v>782</v>
      </c>
      <c r="D534" s="2" t="s">
        <v>251</v>
      </c>
      <c r="E534" s="2" t="s">
        <v>252</v>
      </c>
      <c r="F534" s="2" t="s">
        <v>253</v>
      </c>
      <c r="G534" s="2" t="s">
        <v>261</v>
      </c>
      <c r="H534" s="35">
        <v>3500</v>
      </c>
      <c r="I534" s="2">
        <v>0</v>
      </c>
      <c r="J534" s="2">
        <v>0</v>
      </c>
      <c r="K534" s="2">
        <v>1</v>
      </c>
      <c r="L534" s="2">
        <v>0</v>
      </c>
      <c r="M534" s="2">
        <v>0</v>
      </c>
      <c r="N534" s="2">
        <v>0</v>
      </c>
      <c r="O534" s="2" t="s">
        <v>284</v>
      </c>
      <c r="P534" s="2" t="s">
        <v>262</v>
      </c>
      <c r="Q534" s="2" t="str">
        <f t="shared" si="36"/>
        <v>Georgios</v>
      </c>
      <c r="R534" s="2" t="str">
        <f t="shared" si="37"/>
        <v>Papagiannis</v>
      </c>
      <c r="S534" s="2" t="str">
        <f t="shared" si="34"/>
        <v>Georgios Papagiannis</v>
      </c>
      <c r="T534" s="2">
        <f t="shared" si="35"/>
        <v>0</v>
      </c>
    </row>
    <row r="535" spans="1:20" x14ac:dyDescent="0.25">
      <c r="A535" s="2"/>
      <c r="B535" s="2" t="s">
        <v>3</v>
      </c>
      <c r="C535" s="2" t="s">
        <v>783</v>
      </c>
      <c r="D535" s="2" t="s">
        <v>251</v>
      </c>
      <c r="E535" s="2" t="s">
        <v>252</v>
      </c>
      <c r="F535" s="2" t="s">
        <v>253</v>
      </c>
      <c r="G535" s="2" t="s">
        <v>282</v>
      </c>
      <c r="H535" s="35">
        <v>3500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2" t="s">
        <v>284</v>
      </c>
      <c r="P535" s="2" t="s">
        <v>283</v>
      </c>
      <c r="Q535" s="2" t="str">
        <f t="shared" si="36"/>
        <v>Tim</v>
      </c>
      <c r="R535" s="2" t="str">
        <f t="shared" si="37"/>
        <v>Quarterman</v>
      </c>
      <c r="S535" s="2" t="str">
        <f t="shared" si="34"/>
        <v>Tim Quarterman</v>
      </c>
      <c r="T535" s="2">
        <f t="shared" si="35"/>
        <v>0</v>
      </c>
    </row>
    <row r="536" spans="1:20" x14ac:dyDescent="0.25">
      <c r="A536" s="2"/>
      <c r="B536" s="2" t="s">
        <v>6</v>
      </c>
      <c r="C536" s="2" t="s">
        <v>784</v>
      </c>
      <c r="D536" s="2" t="s">
        <v>251</v>
      </c>
      <c r="E536" s="2" t="s">
        <v>252</v>
      </c>
      <c r="F536" s="2" t="s">
        <v>253</v>
      </c>
      <c r="G536" s="2" t="s">
        <v>308</v>
      </c>
      <c r="H536" s="35">
        <v>3500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2" t="s">
        <v>284</v>
      </c>
      <c r="P536" s="2" t="s">
        <v>309</v>
      </c>
      <c r="Q536" s="2" t="str">
        <f t="shared" si="36"/>
        <v>A.J.</v>
      </c>
      <c r="R536" s="2" t="str">
        <f t="shared" si="37"/>
        <v>Hammons</v>
      </c>
      <c r="S536" s="2" t="str">
        <f t="shared" si="34"/>
        <v>A.J. Hammons</v>
      </c>
      <c r="T536" s="2">
        <f t="shared" si="35"/>
        <v>0</v>
      </c>
    </row>
    <row r="537" spans="1:20" x14ac:dyDescent="0.25">
      <c r="A537" s="2"/>
      <c r="B537" s="2" t="s">
        <v>3</v>
      </c>
      <c r="C537" s="2" t="s">
        <v>785</v>
      </c>
      <c r="D537" s="2" t="s">
        <v>251</v>
      </c>
      <c r="E537" s="2" t="s">
        <v>252</v>
      </c>
      <c r="F537" s="2" t="s">
        <v>253</v>
      </c>
      <c r="G537" s="2" t="s">
        <v>266</v>
      </c>
      <c r="H537" s="35">
        <v>3500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2" t="s">
        <v>284</v>
      </c>
      <c r="P537" s="2" t="s">
        <v>267</v>
      </c>
      <c r="Q537" s="2" t="str">
        <f t="shared" si="36"/>
        <v>Nicolas</v>
      </c>
      <c r="R537" s="2" t="str">
        <f t="shared" si="37"/>
        <v>Laprovittola</v>
      </c>
      <c r="S537" s="2" t="str">
        <f t="shared" si="34"/>
        <v>Nicolas Laprovittola</v>
      </c>
      <c r="T537" s="2">
        <f t="shared" si="35"/>
        <v>0</v>
      </c>
    </row>
    <row r="538" spans="1:20" x14ac:dyDescent="0.25">
      <c r="A538" s="2"/>
      <c r="B538" s="2" t="s">
        <v>7</v>
      </c>
      <c r="C538" s="2" t="s">
        <v>786</v>
      </c>
      <c r="D538" s="2" t="s">
        <v>251</v>
      </c>
      <c r="E538" s="2" t="s">
        <v>252</v>
      </c>
      <c r="F538" s="2" t="s">
        <v>253</v>
      </c>
      <c r="G538" s="2" t="s">
        <v>287</v>
      </c>
      <c r="H538" s="35">
        <v>3500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2" t="s">
        <v>284</v>
      </c>
      <c r="P538" s="2" t="s">
        <v>288</v>
      </c>
      <c r="Q538" s="2" t="str">
        <f t="shared" si="36"/>
        <v>Michael</v>
      </c>
      <c r="R538" s="2" t="str">
        <f t="shared" si="37"/>
        <v>Gbinije</v>
      </c>
      <c r="S538" s="2" t="str">
        <f t="shared" si="34"/>
        <v>Michael Gbinije</v>
      </c>
      <c r="T538" s="2">
        <f t="shared" si="35"/>
        <v>0</v>
      </c>
    </row>
    <row r="539" spans="1:20" x14ac:dyDescent="0.25">
      <c r="A539" s="2"/>
      <c r="B539" s="2" t="s">
        <v>3</v>
      </c>
      <c r="C539" s="2" t="s">
        <v>787</v>
      </c>
      <c r="D539" s="2" t="s">
        <v>251</v>
      </c>
      <c r="E539" s="2" t="s">
        <v>252</v>
      </c>
      <c r="F539" s="2" t="s">
        <v>253</v>
      </c>
      <c r="G539" s="2" t="s">
        <v>308</v>
      </c>
      <c r="H539" s="35">
        <v>3500</v>
      </c>
      <c r="I539" s="2">
        <v>0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2" t="s">
        <v>284</v>
      </c>
      <c r="P539" s="2" t="s">
        <v>309</v>
      </c>
      <c r="Q539" s="2" t="str">
        <f t="shared" si="36"/>
        <v>Jonathan</v>
      </c>
      <c r="R539" s="2" t="str">
        <f t="shared" si="37"/>
        <v>Gibson</v>
      </c>
      <c r="S539" s="2" t="str">
        <f t="shared" si="34"/>
        <v>Jonathan Gibson</v>
      </c>
      <c r="T539" s="2">
        <f t="shared" si="35"/>
        <v>0</v>
      </c>
    </row>
    <row r="540" spans="1:20" x14ac:dyDescent="0.25">
      <c r="A540" s="2"/>
      <c r="B540" s="2"/>
      <c r="C540" s="2"/>
      <c r="D540" s="2"/>
      <c r="E540" s="2"/>
      <c r="F540" s="2"/>
      <c r="G540" s="2"/>
      <c r="H540" s="42">
        <v>42782</v>
      </c>
      <c r="I540" s="2" t="s">
        <v>232</v>
      </c>
      <c r="J540" s="2" t="s">
        <v>233</v>
      </c>
      <c r="K540" s="2" t="s">
        <v>232</v>
      </c>
      <c r="L540" s="2" t="s">
        <v>234</v>
      </c>
      <c r="M540" s="2" t="s">
        <v>235</v>
      </c>
      <c r="N540" s="2" t="s">
        <v>232</v>
      </c>
      <c r="O540" s="2" t="s">
        <v>232</v>
      </c>
      <c r="P540" s="2" t="s">
        <v>236</v>
      </c>
      <c r="Q540" s="2" t="e">
        <f t="shared" si="36"/>
        <v>#VALUE!</v>
      </c>
      <c r="R540" s="2" t="e">
        <f t="shared" si="37"/>
        <v>#VALUE!</v>
      </c>
      <c r="S540" s="2" t="e">
        <f t="shared" si="34"/>
        <v>#VALUE!</v>
      </c>
      <c r="T540" s="2" t="str">
        <f t="shared" si="35"/>
        <v>Last</v>
      </c>
    </row>
    <row r="541" spans="1:20" x14ac:dyDescent="0.25">
      <c r="A541" s="2"/>
      <c r="B541" s="2"/>
      <c r="C541" s="2"/>
      <c r="D541" s="2"/>
      <c r="E541" s="2"/>
      <c r="F541" s="2"/>
      <c r="G541" s="2"/>
      <c r="H541" s="2" t="s">
        <v>142</v>
      </c>
      <c r="I541" s="2" t="s">
        <v>142</v>
      </c>
      <c r="J541" s="2" t="s">
        <v>237</v>
      </c>
      <c r="K541" s="2"/>
      <c r="L541" s="2" t="s">
        <v>238</v>
      </c>
      <c r="M541" s="2" t="s">
        <v>239</v>
      </c>
      <c r="N541" s="2" t="s">
        <v>240</v>
      </c>
      <c r="O541" s="2" t="s">
        <v>1</v>
      </c>
      <c r="P541" s="2" t="s">
        <v>241</v>
      </c>
      <c r="Q541" s="2" t="e">
        <f t="shared" si="36"/>
        <v>#VALUE!</v>
      </c>
      <c r="R541" s="2" t="e">
        <f t="shared" si="37"/>
        <v>#VALUE!</v>
      </c>
      <c r="S541" s="2" t="e">
        <f t="shared" si="34"/>
        <v>#VALUE!</v>
      </c>
      <c r="T541" s="2" t="str">
        <f t="shared" si="35"/>
        <v>15 day</v>
      </c>
    </row>
    <row r="542" spans="1:20" x14ac:dyDescent="0.25">
      <c r="A542" s="2"/>
      <c r="B542" s="2" t="s">
        <v>8</v>
      </c>
      <c r="C542" s="2" t="s">
        <v>242</v>
      </c>
      <c r="D542" s="2" t="s">
        <v>243</v>
      </c>
      <c r="E542" s="2" t="s">
        <v>244</v>
      </c>
      <c r="F542" s="2" t="s">
        <v>245</v>
      </c>
      <c r="G542" s="2" t="s">
        <v>2</v>
      </c>
      <c r="H542" s="43">
        <v>0</v>
      </c>
      <c r="I542" s="2" t="s">
        <v>246</v>
      </c>
      <c r="J542" s="2" t="s">
        <v>238</v>
      </c>
      <c r="K542" s="2" t="s">
        <v>247</v>
      </c>
      <c r="L542" s="2" t="s">
        <v>248</v>
      </c>
      <c r="M542" s="2" t="s">
        <v>249</v>
      </c>
      <c r="N542" s="2" t="s">
        <v>250</v>
      </c>
      <c r="O542" s="2" t="s">
        <v>238</v>
      </c>
      <c r="P542" s="2">
        <v>1.23456789012345E+27</v>
      </c>
      <c r="Q542" s="2" t="e">
        <f t="shared" si="36"/>
        <v>#VALUE!</v>
      </c>
      <c r="R542" s="2" t="e">
        <f t="shared" si="37"/>
        <v>#VALUE!</v>
      </c>
      <c r="S542" s="2" t="e">
        <f t="shared" si="34"/>
        <v>#VALUE!</v>
      </c>
      <c r="T542" s="2" t="str">
        <f t="shared" si="35"/>
        <v>FDP/G</v>
      </c>
    </row>
    <row r="543" spans="1:20" x14ac:dyDescent="0.25">
      <c r="A543" s="2"/>
      <c r="B543" s="2" t="s">
        <v>4</v>
      </c>
      <c r="C543" s="2" t="s">
        <v>788</v>
      </c>
      <c r="D543" s="2" t="s">
        <v>251</v>
      </c>
      <c r="E543" s="2" t="s">
        <v>252</v>
      </c>
      <c r="F543" s="2" t="s">
        <v>253</v>
      </c>
      <c r="G543" s="2" t="s">
        <v>259</v>
      </c>
      <c r="H543" s="35">
        <v>3600</v>
      </c>
      <c r="I543" s="2">
        <v>0</v>
      </c>
      <c r="J543" s="2">
        <v>0</v>
      </c>
      <c r="K543" s="2">
        <v>0</v>
      </c>
      <c r="L543" s="2">
        <v>0</v>
      </c>
      <c r="M543" s="2">
        <v>0</v>
      </c>
      <c r="N543" s="2">
        <v>0</v>
      </c>
      <c r="O543" s="2" t="s">
        <v>284</v>
      </c>
      <c r="P543" s="2" t="s">
        <v>260</v>
      </c>
      <c r="Q543" s="2" t="str">
        <f t="shared" si="36"/>
        <v>Cheick</v>
      </c>
      <c r="R543" s="2" t="str">
        <f t="shared" si="37"/>
        <v>Diallo</v>
      </c>
      <c r="S543" s="2" t="str">
        <f t="shared" si="34"/>
        <v>Cheick Diallo</v>
      </c>
      <c r="T543" s="2">
        <f t="shared" si="35"/>
        <v>0</v>
      </c>
    </row>
    <row r="544" spans="1:20" x14ac:dyDescent="0.25">
      <c r="A544" s="2"/>
      <c r="B544" s="2" t="s">
        <v>4</v>
      </c>
      <c r="C544" s="2" t="s">
        <v>789</v>
      </c>
      <c r="D544" s="2" t="s">
        <v>251</v>
      </c>
      <c r="E544" s="2" t="s">
        <v>252</v>
      </c>
      <c r="F544" s="2" t="s">
        <v>253</v>
      </c>
      <c r="G544" s="2" t="s">
        <v>264</v>
      </c>
      <c r="H544" s="35">
        <v>3500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2" t="s">
        <v>284</v>
      </c>
      <c r="P544" s="2" t="s">
        <v>265</v>
      </c>
      <c r="Q544" s="2" t="str">
        <f t="shared" si="36"/>
        <v>Daniel</v>
      </c>
      <c r="R544" s="2" t="str">
        <f t="shared" si="37"/>
        <v>Ochefu</v>
      </c>
      <c r="S544" s="2" t="str">
        <f t="shared" si="34"/>
        <v>Daniel Ochefu</v>
      </c>
      <c r="T544" s="2">
        <f t="shared" si="35"/>
        <v>0</v>
      </c>
    </row>
    <row r="545" spans="1:20" x14ac:dyDescent="0.25">
      <c r="A545" s="2"/>
      <c r="B545" s="2" t="s">
        <v>4</v>
      </c>
      <c r="C545" s="2" t="s">
        <v>790</v>
      </c>
      <c r="D545" s="2" t="s">
        <v>251</v>
      </c>
      <c r="E545" s="2" t="s">
        <v>252</v>
      </c>
      <c r="F545" s="2" t="s">
        <v>253</v>
      </c>
      <c r="G545" s="2" t="s">
        <v>255</v>
      </c>
      <c r="H545" s="35">
        <v>3500</v>
      </c>
      <c r="I545" s="2">
        <v>0</v>
      </c>
      <c r="J545" s="2">
        <v>0</v>
      </c>
      <c r="K545" s="2">
        <v>0</v>
      </c>
      <c r="L545" s="2">
        <v>0</v>
      </c>
      <c r="M545" s="2">
        <v>0</v>
      </c>
      <c r="N545" s="2">
        <v>0</v>
      </c>
      <c r="O545" s="2" t="s">
        <v>284</v>
      </c>
      <c r="P545" s="2" t="s">
        <v>256</v>
      </c>
      <c r="Q545" s="2" t="str">
        <f t="shared" si="36"/>
        <v>Kyle</v>
      </c>
      <c r="R545" s="2" t="str">
        <f t="shared" si="37"/>
        <v>Wiltjer</v>
      </c>
      <c r="S545" s="2" t="str">
        <f t="shared" si="34"/>
        <v>Kyle Wiltjer</v>
      </c>
      <c r="T545" s="2">
        <f t="shared" si="35"/>
        <v>0</v>
      </c>
    </row>
    <row r="546" spans="1:20" x14ac:dyDescent="0.25">
      <c r="A546" s="2"/>
      <c r="B546" s="2" t="s">
        <v>4</v>
      </c>
      <c r="C546" s="2" t="s">
        <v>791</v>
      </c>
      <c r="D546" s="2" t="s">
        <v>251</v>
      </c>
      <c r="E546" s="2" t="s">
        <v>252</v>
      </c>
      <c r="F546" s="2" t="s">
        <v>253</v>
      </c>
      <c r="G546" s="2" t="s">
        <v>285</v>
      </c>
      <c r="H546" s="35">
        <v>3500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2" t="s">
        <v>284</v>
      </c>
      <c r="P546" s="2" t="s">
        <v>286</v>
      </c>
      <c r="Q546" s="2" t="str">
        <f t="shared" si="36"/>
        <v>Joel</v>
      </c>
      <c r="R546" s="2" t="str">
        <f t="shared" si="37"/>
        <v>Bolomboy</v>
      </c>
      <c r="S546" s="2" t="str">
        <f t="shared" si="34"/>
        <v>Joel Bolomboy</v>
      </c>
      <c r="T546" s="2">
        <f t="shared" si="35"/>
        <v>0</v>
      </c>
    </row>
    <row r="547" spans="1:20" x14ac:dyDescent="0.25">
      <c r="A547" s="2"/>
      <c r="B547" s="2" t="s">
        <v>7</v>
      </c>
      <c r="C547" s="2" t="s">
        <v>792</v>
      </c>
      <c r="D547" s="2" t="s">
        <v>251</v>
      </c>
      <c r="E547" s="2" t="s">
        <v>252</v>
      </c>
      <c r="F547" s="2" t="s">
        <v>253</v>
      </c>
      <c r="G547" s="2" t="s">
        <v>266</v>
      </c>
      <c r="H547" s="35">
        <v>3500</v>
      </c>
      <c r="I547" s="2">
        <v>0</v>
      </c>
      <c r="J547" s="2">
        <v>0</v>
      </c>
      <c r="K547" s="2">
        <v>1</v>
      </c>
      <c r="L547" s="2">
        <v>0</v>
      </c>
      <c r="M547" s="2">
        <v>0</v>
      </c>
      <c r="N547" s="2">
        <v>0</v>
      </c>
      <c r="O547" s="2" t="s">
        <v>284</v>
      </c>
      <c r="P547" s="2" t="s">
        <v>267</v>
      </c>
      <c r="Q547" s="2" t="str">
        <f t="shared" si="36"/>
        <v>Bryn</v>
      </c>
      <c r="R547" s="2" t="str">
        <f t="shared" si="37"/>
        <v>Forbes</v>
      </c>
      <c r="S547" s="2" t="str">
        <f t="shared" si="34"/>
        <v>Bryn Forbes</v>
      </c>
      <c r="T547" s="2">
        <f t="shared" si="35"/>
        <v>0</v>
      </c>
    </row>
    <row r="548" spans="1:20" x14ac:dyDescent="0.25">
      <c r="A548" s="2"/>
      <c r="B548" s="2" t="s">
        <v>4</v>
      </c>
      <c r="C548" s="2" t="s">
        <v>793</v>
      </c>
      <c r="D548" s="2" t="s">
        <v>251</v>
      </c>
      <c r="E548" s="2" t="s">
        <v>252</v>
      </c>
      <c r="F548" s="2" t="s">
        <v>253</v>
      </c>
      <c r="G548" s="2" t="s">
        <v>282</v>
      </c>
      <c r="H548" s="35">
        <v>3500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2" t="s">
        <v>284</v>
      </c>
      <c r="P548" s="2" t="s">
        <v>283</v>
      </c>
      <c r="Q548" s="2" t="str">
        <f t="shared" si="36"/>
        <v>Jake</v>
      </c>
      <c r="R548" s="2" t="str">
        <f t="shared" si="37"/>
        <v>Layman</v>
      </c>
      <c r="S548" s="2" t="str">
        <f t="shared" si="34"/>
        <v>Jake Layman</v>
      </c>
      <c r="T548" s="2">
        <f t="shared" si="35"/>
        <v>0</v>
      </c>
    </row>
    <row r="549" spans="1:20" x14ac:dyDescent="0.25">
      <c r="A549" s="2"/>
      <c r="B549" s="2" t="s">
        <v>6</v>
      </c>
      <c r="C549" s="2" t="s">
        <v>794</v>
      </c>
      <c r="D549" s="2" t="s">
        <v>251</v>
      </c>
      <c r="E549" s="2" t="s">
        <v>252</v>
      </c>
      <c r="F549" s="2" t="s">
        <v>253</v>
      </c>
      <c r="G549" s="2" t="s">
        <v>293</v>
      </c>
      <c r="H549" s="35">
        <v>3500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2" t="s">
        <v>284</v>
      </c>
      <c r="P549" s="2" t="s">
        <v>294</v>
      </c>
      <c r="Q549" s="2" t="str">
        <f t="shared" si="36"/>
        <v>Stephen</v>
      </c>
      <c r="R549" s="2" t="str">
        <f t="shared" si="37"/>
        <v>Zimmerman</v>
      </c>
      <c r="S549" s="2" t="str">
        <f t="shared" si="34"/>
        <v>Stephen Zimmerman</v>
      </c>
      <c r="T549" s="2">
        <f t="shared" si="35"/>
        <v>0</v>
      </c>
    </row>
    <row r="550" spans="1:20" x14ac:dyDescent="0.25">
      <c r="A550" s="2"/>
      <c r="B550" s="2" t="s">
        <v>6</v>
      </c>
      <c r="C550" s="2" t="s">
        <v>795</v>
      </c>
      <c r="D550" s="2" t="s">
        <v>251</v>
      </c>
      <c r="E550" s="2" t="s">
        <v>252</v>
      </c>
      <c r="F550" s="2" t="s">
        <v>253</v>
      </c>
      <c r="G550" s="2" t="s">
        <v>303</v>
      </c>
      <c r="H550" s="35">
        <v>3500</v>
      </c>
      <c r="I550" s="2">
        <v>0</v>
      </c>
      <c r="J550" s="2">
        <v>0</v>
      </c>
      <c r="K550" s="2">
        <v>0</v>
      </c>
      <c r="L550" s="2">
        <v>0</v>
      </c>
      <c r="M550" s="2">
        <v>0</v>
      </c>
      <c r="N550" s="2">
        <v>0</v>
      </c>
      <c r="O550" s="2" t="s">
        <v>284</v>
      </c>
      <c r="P550" s="2" t="s">
        <v>304</v>
      </c>
      <c r="Q550" s="2" t="str">
        <f t="shared" si="36"/>
        <v>Mike</v>
      </c>
      <c r="R550" s="2" t="str">
        <f t="shared" si="37"/>
        <v>Tobey</v>
      </c>
      <c r="S550" s="2" t="str">
        <f t="shared" si="34"/>
        <v>Mike Tobey</v>
      </c>
      <c r="T550" s="2">
        <f t="shared" si="35"/>
        <v>0</v>
      </c>
    </row>
    <row r="551" spans="1:20" x14ac:dyDescent="0.25">
      <c r="A551" s="2"/>
      <c r="B551" s="2" t="s">
        <v>4</v>
      </c>
      <c r="C551" s="2" t="s">
        <v>796</v>
      </c>
      <c r="D551" s="2" t="s">
        <v>251</v>
      </c>
      <c r="E551" s="2" t="s">
        <v>252</v>
      </c>
      <c r="F551" s="2" t="s">
        <v>253</v>
      </c>
      <c r="G551" s="2" t="s">
        <v>287</v>
      </c>
      <c r="H551" s="35">
        <v>3500</v>
      </c>
      <c r="I551" s="2">
        <v>0</v>
      </c>
      <c r="J551" s="2">
        <v>0</v>
      </c>
      <c r="K551" s="2">
        <v>0</v>
      </c>
      <c r="L551" s="2">
        <v>0</v>
      </c>
      <c r="M551" s="2">
        <v>0</v>
      </c>
      <c r="N551" s="2">
        <v>0</v>
      </c>
      <c r="O551" s="2" t="s">
        <v>284</v>
      </c>
      <c r="P551" s="2" t="s">
        <v>288</v>
      </c>
      <c r="Q551" s="2" t="str">
        <f t="shared" si="36"/>
        <v>Henry</v>
      </c>
      <c r="R551" s="2" t="str">
        <f t="shared" si="37"/>
        <v>Ellenson</v>
      </c>
      <c r="S551" s="2" t="str">
        <f t="shared" si="34"/>
        <v>Henry Ellenson</v>
      </c>
      <c r="T551" s="2">
        <f t="shared" si="35"/>
        <v>0</v>
      </c>
    </row>
    <row r="552" spans="1:20" x14ac:dyDescent="0.25">
      <c r="A552" s="2"/>
      <c r="B552" s="2" t="s">
        <v>6</v>
      </c>
      <c r="C552" s="2" t="s">
        <v>797</v>
      </c>
      <c r="D552" s="2" t="s">
        <v>251</v>
      </c>
      <c r="E552" s="2" t="s">
        <v>252</v>
      </c>
      <c r="F552" s="2" t="s">
        <v>253</v>
      </c>
      <c r="G552" s="2" t="s">
        <v>255</v>
      </c>
      <c r="H552" s="35">
        <v>3500</v>
      </c>
      <c r="I552" s="2">
        <v>0</v>
      </c>
      <c r="J552" s="2">
        <v>0</v>
      </c>
      <c r="K552" s="2">
        <v>0</v>
      </c>
      <c r="L552" s="2">
        <v>0</v>
      </c>
      <c r="M552" s="2">
        <v>0</v>
      </c>
      <c r="N552" s="2">
        <v>0</v>
      </c>
      <c r="O552" s="2" t="s">
        <v>284</v>
      </c>
      <c r="P552" s="2" t="s">
        <v>256</v>
      </c>
      <c r="Q552" s="2" t="str">
        <f t="shared" si="36"/>
        <v>Chinanu</v>
      </c>
      <c r="R552" s="2" t="str">
        <f t="shared" si="37"/>
        <v>Onuaku</v>
      </c>
      <c r="S552" s="2" t="str">
        <f t="shared" si="34"/>
        <v>Chinanu Onuaku</v>
      </c>
      <c r="T552" s="2">
        <f t="shared" si="35"/>
        <v>0</v>
      </c>
    </row>
    <row r="553" spans="1:20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 t="e">
        <f t="shared" si="36"/>
        <v>#VALUE!</v>
      </c>
      <c r="R553" s="2" t="e">
        <f t="shared" si="37"/>
        <v>#VALUE!</v>
      </c>
      <c r="S553" s="2" t="e">
        <f t="shared" si="34"/>
        <v>#VALUE!</v>
      </c>
      <c r="T553" s="2">
        <f t="shared" si="35"/>
        <v>0</v>
      </c>
    </row>
    <row r="554" spans="1:20" x14ac:dyDescent="0.25">
      <c r="Q554" s="2" t="e">
        <f t="shared" si="36"/>
        <v>#VALUE!</v>
      </c>
      <c r="R554" s="2" t="e">
        <f t="shared" si="37"/>
        <v>#VALUE!</v>
      </c>
      <c r="S554" s="2" t="e">
        <f t="shared" si="34"/>
        <v>#VALUE!</v>
      </c>
      <c r="T554" s="2">
        <f t="shared" si="35"/>
        <v>0</v>
      </c>
    </row>
    <row r="555" spans="1:20" x14ac:dyDescent="0.25">
      <c r="Q555" s="2" t="e">
        <f t="shared" si="36"/>
        <v>#VALUE!</v>
      </c>
      <c r="R555" s="2" t="e">
        <f t="shared" si="37"/>
        <v>#VALUE!</v>
      </c>
      <c r="S555" s="2" t="e">
        <f t="shared" si="34"/>
        <v>#VALUE!</v>
      </c>
      <c r="T555" s="2">
        <f t="shared" si="35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14" sqref="N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DraftKings Basketball  Solver</vt:lpstr>
      <vt:lpstr>RawData</vt:lpstr>
      <vt:lpstr>Sheet1</vt:lpstr>
      <vt:lpstr>Sheet2</vt:lpstr>
      <vt:lpstr>Sheet3</vt:lpstr>
      <vt:lpstr>Sheet2!hstats.cgi?05d013100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2017-02-16T05:38:26Z</dcterms:modified>
</cp:coreProperties>
</file>