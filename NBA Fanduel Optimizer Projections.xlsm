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minimized="1" xWindow="0" yWindow="0" windowWidth="8550" windowHeight="7275"/>
  </bookViews>
  <sheets>
    <sheet name="DraftKings Basketball  Solver" sheetId="2" r:id="rId1"/>
    <sheet name="RawData" sheetId="5" r:id="rId2"/>
    <sheet name="Sheet2" sheetId="6" r:id="rId3"/>
    <sheet name="Sheet3" sheetId="7" r:id="rId4"/>
    <sheet name="Sheet1" sheetId="4" r:id="rId5"/>
  </sheets>
  <definedNames>
    <definedName name="nba_player_stats_last_10_forwards_181904" localSheetId="2">Sheet2!$A$1:$P$177</definedName>
    <definedName name="solver_adj" localSheetId="0" hidden="1">'DraftKings Basketball 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4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Solver'!$P$4</definedName>
    <definedName name="solver_lhs1" localSheetId="0" hidden="1">'DraftKings Basketball  Solver'!$C$2:$C$150</definedName>
    <definedName name="solver_lhs10" localSheetId="0" hidden="1">'DraftKings Basketball  Solver'!$P$4</definedName>
    <definedName name="solver_lhs11" localSheetId="0" hidden="1">'DraftKings Basketball  Solver'!$P$7</definedName>
    <definedName name="solver_lhs12" localSheetId="0" hidden="1">'DraftKings Basketball  Solver'!$P$6</definedName>
    <definedName name="solver_lhs13" localSheetId="0" hidden="1">'DraftKings Basketball  Solver'!$P$7</definedName>
    <definedName name="solver_lhs14" localSheetId="0" hidden="1">'DraftKings Basketball  Solver'!#REF!</definedName>
    <definedName name="solver_lhs15" localSheetId="0" hidden="1">'DraftKings Basketball  Solver'!$P$7</definedName>
    <definedName name="solver_lhs16" localSheetId="0" hidden="1">'DraftKings Basketball  Solver'!$P$5</definedName>
    <definedName name="solver_lhs17" localSheetId="0" hidden="1">'DraftKings Basketball  Solver'!#REF!</definedName>
    <definedName name="solver_lhs2" localSheetId="0" hidden="1">'DraftKings Basketball  Solver'!$O$14</definedName>
    <definedName name="solver_lhs3" localSheetId="0" hidden="1">'DraftKings Basketball  Solver'!$O$6</definedName>
    <definedName name="solver_lhs4" localSheetId="0" hidden="1">'DraftKings Basketball  Solver'!$O$8</definedName>
    <definedName name="solver_lhs5" localSheetId="0" hidden="1">'DraftKings Basketball  Solver'!$P$2</definedName>
    <definedName name="solver_lhs6" localSheetId="0" hidden="1">'DraftKings Basketball  Solver'!$P$3</definedName>
    <definedName name="solver_lhs7" localSheetId="0" hidden="1">'DraftKings Basketball  Solver'!$P$4</definedName>
    <definedName name="solver_lhs8" localSheetId="0" hidden="1">'DraftKings Basketball  Solver'!$P$5</definedName>
    <definedName name="solver_lhs9" localSheetId="0" hidden="1">'DraftKings Basketball  Solver'!$P$4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4" hidden="1">1</definedName>
    <definedName name="solver_nod" localSheetId="0" hidden="1">2147483647</definedName>
    <definedName name="solver_num" localSheetId="0" hidden="1">8</definedName>
    <definedName name="solver_num" localSheetId="4" hidden="1">0</definedName>
    <definedName name="solver_nwt" localSheetId="0" hidden="1">1</definedName>
    <definedName name="solver_opt" localSheetId="0" hidden="1">'DraftKings Basketball  Solver'!$O$11</definedName>
    <definedName name="solver_opt" localSheetId="4" hidden="1">Sheet1!$D$15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1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1</definedName>
    <definedName name="solver_rhs0" localSheetId="0" hidden="1">'DraftKings Basketball  Solver'!$O$4</definedName>
    <definedName name="solver_rhs1" localSheetId="0" hidden="1">binary</definedName>
    <definedName name="solver_rhs10" localSheetId="0" hidden="1">'DraftKings Basketball  Solver'!$O$4</definedName>
    <definedName name="solver_rhs11" localSheetId="0" hidden="1">'DraftKings Basketball  Solver'!$O$7</definedName>
    <definedName name="solver_rhs12" localSheetId="0" hidden="1">'DraftKings Basketball  Solver'!$O$6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Solver'!$O$5</definedName>
    <definedName name="solver_rhs17" localSheetId="0" hidden="1">'DraftKings Basketball  Solver'!#REF!</definedName>
    <definedName name="solver_rhs2" localSheetId="0" hidden="1">'DraftKings Basketball  Solver'!$O$13</definedName>
    <definedName name="solver_rhs3" localSheetId="0" hidden="1">'DraftKings Basketball  Solver'!$P$6</definedName>
    <definedName name="solver_rhs4" localSheetId="0" hidden="1">'DraftKings Basketball  Solver'!$O$9</definedName>
    <definedName name="solver_rhs5" localSheetId="0" hidden="1">'DraftKings Basketball  Solver'!$O$2</definedName>
    <definedName name="solver_rhs6" localSheetId="0" hidden="1">'DraftKings Basketball  Solver'!$O$3</definedName>
    <definedName name="solver_rhs7" localSheetId="0" hidden="1">'DraftKings Basketball  Solver'!$O$4</definedName>
    <definedName name="solver_rhs8" localSheetId="0" hidden="1">'DraftKings Basketball  Solver'!$O$5</definedName>
    <definedName name="solver_rhs9" localSheetId="0" hidden="1">'DraftKings Basketball  Solver'!$O$4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4" hidden="1">1</definedName>
    <definedName name="solver_val" localSheetId="0" hidden="1">0</definedName>
    <definedName name="solver_val" localSheetId="4" hidden="1">0</definedName>
    <definedName name="solver_ver" localSheetId="0" hidden="1">3</definedName>
    <definedName name="solver_ver" localSheetId="4" hidden="1">3</definedName>
  </definedNames>
  <calcPr calcId="171027"/>
</workbook>
</file>

<file path=xl/calcChain.xml><?xml version="1.0" encoding="utf-8"?>
<calcChain xmlns="http://schemas.openxmlformats.org/spreadsheetml/2006/main">
  <c r="E2" i="2" l="1"/>
  <c r="M101" i="2"/>
  <c r="F101" i="2" s="1"/>
  <c r="G101" i="2"/>
  <c r="M100" i="2"/>
  <c r="F100" i="2" s="1"/>
  <c r="G100" i="2"/>
  <c r="M99" i="2"/>
  <c r="G99" i="2"/>
  <c r="F99" i="2"/>
  <c r="M98" i="2"/>
  <c r="G98" i="2"/>
  <c r="F98" i="2"/>
  <c r="M97" i="2"/>
  <c r="F97" i="2" s="1"/>
  <c r="G97" i="2"/>
  <c r="M96" i="2"/>
  <c r="F96" i="2" s="1"/>
  <c r="G96" i="2"/>
  <c r="M95" i="2"/>
  <c r="F95" i="2" s="1"/>
  <c r="G95" i="2"/>
  <c r="M94" i="2"/>
  <c r="F94" i="2" s="1"/>
  <c r="G94" i="2"/>
  <c r="M93" i="2"/>
  <c r="G93" i="2"/>
  <c r="F93" i="2"/>
  <c r="M92" i="2"/>
  <c r="F92" i="2" s="1"/>
  <c r="G92" i="2"/>
  <c r="M91" i="2"/>
  <c r="F91" i="2" s="1"/>
  <c r="G91" i="2"/>
  <c r="M90" i="2"/>
  <c r="G90" i="2"/>
  <c r="F90" i="2"/>
  <c r="M89" i="2"/>
  <c r="F89" i="2" s="1"/>
  <c r="G89" i="2"/>
  <c r="M88" i="2"/>
  <c r="F88" i="2" s="1"/>
  <c r="G88" i="2"/>
  <c r="M87" i="2"/>
  <c r="F87" i="2" s="1"/>
  <c r="G87" i="2"/>
  <c r="M86" i="2"/>
  <c r="F86" i="2" s="1"/>
  <c r="G86" i="2"/>
  <c r="M85" i="2"/>
  <c r="G85" i="2"/>
  <c r="F85" i="2"/>
  <c r="M84" i="2"/>
  <c r="F84" i="2" s="1"/>
  <c r="G84" i="2"/>
  <c r="M83" i="2"/>
  <c r="F83" i="2" s="1"/>
  <c r="G83" i="2"/>
  <c r="M82" i="2"/>
  <c r="F82" i="2" s="1"/>
  <c r="G82" i="2"/>
  <c r="M81" i="2"/>
  <c r="F81" i="2" s="1"/>
  <c r="G81" i="2"/>
  <c r="M80" i="2"/>
  <c r="F80" i="2" s="1"/>
  <c r="G80" i="2"/>
  <c r="M79" i="2"/>
  <c r="F79" i="2" s="1"/>
  <c r="G79" i="2"/>
  <c r="M78" i="2"/>
  <c r="F78" i="2" s="1"/>
  <c r="G78" i="2"/>
  <c r="M77" i="2"/>
  <c r="F77" i="2" s="1"/>
  <c r="G77" i="2"/>
  <c r="M76" i="2"/>
  <c r="F76" i="2" s="1"/>
  <c r="G76" i="2"/>
  <c r="M75" i="2"/>
  <c r="F75" i="2" s="1"/>
  <c r="G75" i="2"/>
  <c r="M74" i="2"/>
  <c r="G74" i="2"/>
  <c r="F74" i="2"/>
  <c r="M73" i="2"/>
  <c r="F73" i="2" s="1"/>
  <c r="G73" i="2"/>
  <c r="M72" i="2"/>
  <c r="F72" i="2" s="1"/>
  <c r="G72" i="2"/>
  <c r="M71" i="2"/>
  <c r="F71" i="2" s="1"/>
  <c r="G71" i="2"/>
  <c r="M70" i="2"/>
  <c r="F70" i="2" s="1"/>
  <c r="G70" i="2"/>
  <c r="M69" i="2"/>
  <c r="F69" i="2" s="1"/>
  <c r="G69" i="2"/>
  <c r="M68" i="2"/>
  <c r="F68" i="2" s="1"/>
  <c r="G68" i="2"/>
  <c r="M67" i="2"/>
  <c r="F67" i="2" s="1"/>
  <c r="G67" i="2"/>
  <c r="M66" i="2"/>
  <c r="F66" i="2" s="1"/>
  <c r="G66" i="2"/>
  <c r="M65" i="2"/>
  <c r="F65" i="2" s="1"/>
  <c r="G65" i="2"/>
  <c r="M64" i="2"/>
  <c r="F64" i="2" s="1"/>
  <c r="G64" i="2"/>
  <c r="M63" i="2"/>
  <c r="G63" i="2"/>
  <c r="F63" i="2"/>
  <c r="M62" i="2"/>
  <c r="F62" i="2" s="1"/>
  <c r="G62" i="2"/>
  <c r="M61" i="2"/>
  <c r="F61" i="2" s="1"/>
  <c r="G61" i="2"/>
  <c r="M60" i="2"/>
  <c r="F60" i="2" s="1"/>
  <c r="G60" i="2"/>
  <c r="M59" i="2"/>
  <c r="F59" i="2" s="1"/>
  <c r="G59" i="2"/>
  <c r="M58" i="2"/>
  <c r="G58" i="2"/>
  <c r="F58" i="2"/>
  <c r="M57" i="2"/>
  <c r="F57" i="2" s="1"/>
  <c r="G57" i="2"/>
  <c r="M56" i="2"/>
  <c r="F56" i="2" s="1"/>
  <c r="G56" i="2"/>
  <c r="M55" i="2"/>
  <c r="F55" i="2" s="1"/>
  <c r="G55" i="2"/>
  <c r="M54" i="2"/>
  <c r="F54" i="2" s="1"/>
  <c r="G54" i="2"/>
  <c r="M53" i="2"/>
  <c r="F53" i="2" s="1"/>
  <c r="G53" i="2"/>
  <c r="M52" i="2"/>
  <c r="F52" i="2" s="1"/>
  <c r="G52" i="2"/>
  <c r="M51" i="2"/>
  <c r="F51" i="2" s="1"/>
  <c r="G51" i="2"/>
  <c r="M50" i="2"/>
  <c r="F50" i="2" s="1"/>
  <c r="G50" i="2"/>
  <c r="M49" i="2"/>
  <c r="F49" i="2" s="1"/>
  <c r="G49" i="2"/>
  <c r="M48" i="2"/>
  <c r="F48" i="2" s="1"/>
  <c r="G48" i="2"/>
  <c r="M47" i="2"/>
  <c r="F47" i="2" s="1"/>
  <c r="G47" i="2"/>
  <c r="M46" i="2"/>
  <c r="F46" i="2" s="1"/>
  <c r="G46" i="2"/>
  <c r="M45" i="2"/>
  <c r="F45" i="2" s="1"/>
  <c r="G45" i="2"/>
  <c r="M44" i="2"/>
  <c r="F44" i="2" s="1"/>
  <c r="G44" i="2"/>
  <c r="M43" i="2"/>
  <c r="F43" i="2" s="1"/>
  <c r="G43" i="2"/>
  <c r="M42" i="2"/>
  <c r="F42" i="2" s="1"/>
  <c r="G42" i="2"/>
  <c r="M41" i="2"/>
  <c r="G41" i="2"/>
  <c r="F41" i="2"/>
  <c r="M40" i="2"/>
  <c r="F40" i="2" s="1"/>
  <c r="G40" i="2"/>
  <c r="M39" i="2"/>
  <c r="F39" i="2" s="1"/>
  <c r="G39" i="2"/>
  <c r="M38" i="2"/>
  <c r="F38" i="2" s="1"/>
  <c r="G38" i="2"/>
  <c r="M37" i="2"/>
  <c r="F37" i="2" s="1"/>
  <c r="G37" i="2"/>
  <c r="M36" i="2"/>
  <c r="F36" i="2" s="1"/>
  <c r="G36" i="2"/>
  <c r="M35" i="2"/>
  <c r="F35" i="2" s="1"/>
  <c r="G35" i="2"/>
  <c r="M34" i="2"/>
  <c r="F34" i="2" s="1"/>
  <c r="G34" i="2"/>
  <c r="M33" i="2"/>
  <c r="F33" i="2" s="1"/>
  <c r="G33" i="2"/>
  <c r="M32" i="2"/>
  <c r="F32" i="2" s="1"/>
  <c r="G32" i="2"/>
  <c r="M31" i="2"/>
  <c r="F31" i="2" s="1"/>
  <c r="G31" i="2"/>
  <c r="M30" i="2"/>
  <c r="F30" i="2" s="1"/>
  <c r="G30" i="2"/>
  <c r="M29" i="2"/>
  <c r="F29" i="2" s="1"/>
  <c r="G29" i="2"/>
  <c r="M28" i="2"/>
  <c r="F28" i="2" s="1"/>
  <c r="G28" i="2"/>
  <c r="M27" i="2"/>
  <c r="F27" i="2" s="1"/>
  <c r="G27" i="2"/>
  <c r="M26" i="2"/>
  <c r="G26" i="2"/>
  <c r="F26" i="2"/>
  <c r="M25" i="2"/>
  <c r="F25" i="2" s="1"/>
  <c r="G25" i="2"/>
  <c r="M24" i="2"/>
  <c r="F24" i="2" s="1"/>
  <c r="G24" i="2"/>
  <c r="M23" i="2"/>
  <c r="F23" i="2" s="1"/>
  <c r="G23" i="2"/>
  <c r="M22" i="2"/>
  <c r="F22" i="2" s="1"/>
  <c r="G22" i="2"/>
  <c r="M21" i="2"/>
  <c r="F21" i="2" s="1"/>
  <c r="G21" i="2"/>
  <c r="M20" i="2"/>
  <c r="F20" i="2" s="1"/>
  <c r="G20" i="2"/>
  <c r="M19" i="2"/>
  <c r="F19" i="2" s="1"/>
  <c r="G19" i="2"/>
  <c r="M18" i="2"/>
  <c r="F18" i="2" s="1"/>
  <c r="G18" i="2"/>
  <c r="M17" i="2"/>
  <c r="F17" i="2" s="1"/>
  <c r="G17" i="2"/>
  <c r="M16" i="2"/>
  <c r="F16" i="2" s="1"/>
  <c r="G16" i="2"/>
  <c r="M15" i="2"/>
  <c r="F15" i="2" s="1"/>
  <c r="G15" i="2"/>
  <c r="O14" i="2"/>
  <c r="M14" i="2"/>
  <c r="F14" i="2" s="1"/>
  <c r="G14" i="2"/>
  <c r="M13" i="2"/>
  <c r="F13" i="2" s="1"/>
  <c r="G13" i="2"/>
  <c r="M12" i="2"/>
  <c r="F12" i="2" s="1"/>
  <c r="G12" i="2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M3" i="2"/>
  <c r="F3" i="2" s="1"/>
  <c r="M4" i="2"/>
  <c r="F4" i="2" s="1"/>
  <c r="M5" i="2"/>
  <c r="F5" i="2" s="1"/>
  <c r="M6" i="2"/>
  <c r="F6" i="2" s="1"/>
  <c r="M7" i="2"/>
  <c r="F7" i="2" s="1"/>
  <c r="M8" i="2"/>
  <c r="F8" i="2" s="1"/>
  <c r="M9" i="2"/>
  <c r="F9" i="2" s="1"/>
  <c r="M10" i="2"/>
  <c r="F10" i="2" s="1"/>
  <c r="M11" i="2"/>
  <c r="F11" i="2" s="1"/>
  <c r="M2" i="2"/>
  <c r="F2" i="2" s="1"/>
  <c r="G3" i="2"/>
  <c r="G4" i="2"/>
  <c r="G5" i="2"/>
  <c r="G6" i="2"/>
  <c r="G7" i="2"/>
  <c r="G8" i="2"/>
  <c r="G9" i="2"/>
  <c r="G10" i="2"/>
  <c r="G11" i="2"/>
  <c r="G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B2" i="2" s="1"/>
  <c r="O11" i="2" l="1"/>
  <c r="D15" i="4" s="1"/>
  <c r="O8" i="2"/>
  <c r="D16" i="4" s="1"/>
  <c r="O9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P5" i="2" l="1"/>
  <c r="P6" i="2"/>
  <c r="B5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25" i="2" l="1"/>
  <c r="J15" i="4" s="1"/>
  <c r="O20" i="2"/>
  <c r="I15" i="4" s="1"/>
  <c r="O19" i="2"/>
  <c r="H15" i="4" s="1"/>
  <c r="O24" i="2"/>
  <c r="I17" i="4" s="1"/>
  <c r="O18" i="2"/>
  <c r="G15" i="4" s="1"/>
  <c r="O23" i="2"/>
  <c r="H17" i="4" s="1"/>
  <c r="O22" i="2"/>
  <c r="G17" i="4" s="1"/>
  <c r="O17" i="2"/>
  <c r="F15" i="4" s="1"/>
  <c r="O21" i="2"/>
  <c r="F17" i="4" s="1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s://rotogrinders.com/pages/nba-player-stats-last-10-forwards-181904" htmlTables="1">
      <tables count="1">
        <x v="2"/>
      </tables>
    </webPr>
  </connection>
</connections>
</file>

<file path=xl/sharedStrings.xml><?xml version="1.0" encoding="utf-8"?>
<sst xmlns="http://schemas.openxmlformats.org/spreadsheetml/2006/main" count="1216" uniqueCount="523">
  <si>
    <t>Position</t>
  </si>
  <si>
    <t>Game</t>
  </si>
  <si>
    <t>Team</t>
  </si>
  <si>
    <t>PG</t>
  </si>
  <si>
    <t>OKC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</si>
  <si>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</si>
  <si>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</si>
  <si>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</si>
  <si>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</si>
  <si>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</si>
  <si>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</si>
  <si>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</si>
  <si>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</si>
  <si>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</si>
  <si>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</si>
  <si>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</si>
  <si>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</si>
  <si>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</si>
  <si>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</si>
  <si>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</si>
  <si>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</si>
  <si>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</si>
  <si>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</si>
  <si>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</si>
  <si>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</si>
  <si>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</si>
  <si>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</si>
  <si>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</si>
  <si>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</si>
  <si>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</si>
  <si>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</si>
  <si>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</si>
  <si>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</si>
  <si>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Id</t>
  </si>
  <si>
    <t>First Name</t>
  </si>
  <si>
    <t>Nickname</t>
  </si>
  <si>
    <t>Last Name</t>
  </si>
  <si>
    <t>FPPG</t>
  </si>
  <si>
    <t>Played</t>
  </si>
  <si>
    <t>Salary</t>
  </si>
  <si>
    <t>Opponent</t>
  </si>
  <si>
    <t>Injury Indicator</t>
  </si>
  <si>
    <t>Injury Details</t>
  </si>
  <si>
    <t>James</t>
  </si>
  <si>
    <t>HOU</t>
  </si>
  <si>
    <t>Russell</t>
  </si>
  <si>
    <t>CLE</t>
  </si>
  <si>
    <t>LeBron</t>
  </si>
  <si>
    <t>Isaiah</t>
  </si>
  <si>
    <t>Thomas</t>
  </si>
  <si>
    <t>BOS</t>
  </si>
  <si>
    <t>Kevin</t>
  </si>
  <si>
    <t>Love</t>
  </si>
  <si>
    <t>PHI</t>
  </si>
  <si>
    <t>ORL</t>
  </si>
  <si>
    <t>O</t>
  </si>
  <si>
    <t>Knee</t>
  </si>
  <si>
    <t>Kyrie</t>
  </si>
  <si>
    <t>Irving</t>
  </si>
  <si>
    <t>UTA</t>
  </si>
  <si>
    <t>DAL</t>
  </si>
  <si>
    <t>Nikola</t>
  </si>
  <si>
    <t>Barnes</t>
  </si>
  <si>
    <t>Williams</t>
  </si>
  <si>
    <t>GTD</t>
  </si>
  <si>
    <t>Hill</t>
  </si>
  <si>
    <t>Tristan</t>
  </si>
  <si>
    <t>Thompson</t>
  </si>
  <si>
    <t>Patrick</t>
  </si>
  <si>
    <t>Michael</t>
  </si>
  <si>
    <t>Derrick</t>
  </si>
  <si>
    <t>Ben</t>
  </si>
  <si>
    <t>Foot</t>
  </si>
  <si>
    <t>Channing</t>
  </si>
  <si>
    <t>Frye</t>
  </si>
  <si>
    <t>Andrew</t>
  </si>
  <si>
    <t>Hamstring</t>
  </si>
  <si>
    <t>Iman</t>
  </si>
  <si>
    <t>Shumpert</t>
  </si>
  <si>
    <t>Ankle</t>
  </si>
  <si>
    <t>Kyle</t>
  </si>
  <si>
    <t>Korver</t>
  </si>
  <si>
    <t>Thumb</t>
  </si>
  <si>
    <t>Grant</t>
  </si>
  <si>
    <t>Illness</t>
  </si>
  <si>
    <t>J.R.</t>
  </si>
  <si>
    <t>Smith</t>
  </si>
  <si>
    <t>Gibson</t>
  </si>
  <si>
    <t>Kay</t>
  </si>
  <si>
    <t>Felder</t>
  </si>
  <si>
    <t>Anthony</t>
  </si>
  <si>
    <t>Jones</t>
  </si>
  <si>
    <t>Powell</t>
  </si>
  <si>
    <t>Randle</t>
  </si>
  <si>
    <t>Jordan</t>
  </si>
  <si>
    <t>McRae</t>
  </si>
  <si>
    <t>Bobby</t>
  </si>
  <si>
    <t>Young</t>
  </si>
  <si>
    <t>Nick</t>
  </si>
  <si>
    <t>Collison</t>
  </si>
  <si>
    <t>Payne</t>
  </si>
  <si>
    <t>DeAndre</t>
  </si>
  <si>
    <t>Liggins</t>
  </si>
  <si>
    <t>Richard</t>
  </si>
  <si>
    <t>Jefferson</t>
  </si>
  <si>
    <t>Jonas</t>
  </si>
  <si>
    <t>Injury?</t>
  </si>
  <si>
    <t>C 1</t>
  </si>
  <si>
    <t>SAC</t>
  </si>
  <si>
    <t>ATL</t>
  </si>
  <si>
    <t>MIL</t>
  </si>
  <si>
    <t>LAL</t>
  </si>
  <si>
    <t>MIN</t>
  </si>
  <si>
    <t>WAS</t>
  </si>
  <si>
    <t>IND</t>
  </si>
  <si>
    <t>MEM</t>
  </si>
  <si>
    <t>DEN</t>
  </si>
  <si>
    <t>DET</t>
  </si>
  <si>
    <t>CHI</t>
  </si>
  <si>
    <t>MIA</t>
  </si>
  <si>
    <t>Paul</t>
  </si>
  <si>
    <t>Wrist</t>
  </si>
  <si>
    <t>Richardson</t>
  </si>
  <si>
    <t>Brandon</t>
  </si>
  <si>
    <t>Back</t>
  </si>
  <si>
    <t>Lance</t>
  </si>
  <si>
    <t>Kris</t>
  </si>
  <si>
    <t>Willie</t>
  </si>
  <si>
    <t>Jared</t>
  </si>
  <si>
    <t>Patterson</t>
  </si>
  <si>
    <t>Arron</t>
  </si>
  <si>
    <t>Afflalo</t>
  </si>
  <si>
    <t>Doug</t>
  </si>
  <si>
    <t>McDermott</t>
  </si>
  <si>
    <t>Metta</t>
  </si>
  <si>
    <t>World Peace</t>
  </si>
  <si>
    <t>Robinson</t>
  </si>
  <si>
    <t>Marcelo</t>
  </si>
  <si>
    <t>Huertas</t>
  </si>
  <si>
    <t>Denzel</t>
  </si>
  <si>
    <t>Valentine</t>
  </si>
  <si>
    <t>Jose</t>
  </si>
  <si>
    <t>Calderon</t>
  </si>
  <si>
    <t>Cristiano</t>
  </si>
  <si>
    <t>Felicio</t>
  </si>
  <si>
    <t>Adreian</t>
  </si>
  <si>
    <t>LAC</t>
  </si>
  <si>
    <t>CHA</t>
  </si>
  <si>
    <t>POR</t>
  </si>
  <si>
    <t>Lopez</t>
  </si>
  <si>
    <t>Terrence</t>
  </si>
  <si>
    <t>Wade</t>
  </si>
  <si>
    <t>Shabazz</t>
  </si>
  <si>
    <t>Wright</t>
  </si>
  <si>
    <t>18005-9488</t>
  </si>
  <si>
    <t>CLE@MIN</t>
  </si>
  <si>
    <t>18005-12362</t>
  </si>
  <si>
    <t>DeMarcus</t>
  </si>
  <si>
    <t>Cousins</t>
  </si>
  <si>
    <t>SAC@LAL</t>
  </si>
  <si>
    <t>18005-58462</t>
  </si>
  <si>
    <t>Karl-Anthony</t>
  </si>
  <si>
    <t>Towns</t>
  </si>
  <si>
    <t>18005-14528</t>
  </si>
  <si>
    <t>Jimmy</t>
  </si>
  <si>
    <t>Butler</t>
  </si>
  <si>
    <t>TOR@CHI</t>
  </si>
  <si>
    <t>TOR</t>
  </si>
  <si>
    <t>Heel</t>
  </si>
  <si>
    <t>18005-14498</t>
  </si>
  <si>
    <t>18005-9714</t>
  </si>
  <si>
    <t>DeMar</t>
  </si>
  <si>
    <t>DeRozan</t>
  </si>
  <si>
    <t>18005-9535</t>
  </si>
  <si>
    <t>Lowry</t>
  </si>
  <si>
    <t>18005-9874</t>
  </si>
  <si>
    <t>18005-49116</t>
  </si>
  <si>
    <t>Wiggins</t>
  </si>
  <si>
    <t>18005-9585</t>
  </si>
  <si>
    <t>Dwyane</t>
  </si>
  <si>
    <t>18005-14496</t>
  </si>
  <si>
    <t>Ricky</t>
  </si>
  <si>
    <t>Rubio</t>
  </si>
  <si>
    <t>18005-14501</t>
  </si>
  <si>
    <t>18005-9662</t>
  </si>
  <si>
    <t>Lou</t>
  </si>
  <si>
    <t>18005-14503</t>
  </si>
  <si>
    <t>Valanciunas</t>
  </si>
  <si>
    <t>18005-58312</t>
  </si>
  <si>
    <t>D'Angelo</t>
  </si>
  <si>
    <t>18005-9624</t>
  </si>
  <si>
    <t>Darren</t>
  </si>
  <si>
    <t>18005-42669</t>
  </si>
  <si>
    <t>Julius</t>
  </si>
  <si>
    <t>18005-15771</t>
  </si>
  <si>
    <t>Gorgui</t>
  </si>
  <si>
    <t>Dieng</t>
  </si>
  <si>
    <t>18005-9657</t>
  </si>
  <si>
    <t>Matt</t>
  </si>
  <si>
    <t>18005-9873</t>
  </si>
  <si>
    <t>Robin</t>
  </si>
  <si>
    <t>18005-9455</t>
  </si>
  <si>
    <t>Rajon</t>
  </si>
  <si>
    <t>Rondo</t>
  </si>
  <si>
    <t>18005-9481</t>
  </si>
  <si>
    <t>Taj</t>
  </si>
  <si>
    <t>18005-9737</t>
  </si>
  <si>
    <t>18005-16201</t>
  </si>
  <si>
    <t>Carter-Williams</t>
  </si>
  <si>
    <t>18005-9678</t>
  </si>
  <si>
    <t>18005-9964</t>
  </si>
  <si>
    <t>Ty</t>
  </si>
  <si>
    <t>Lawson</t>
  </si>
  <si>
    <t>Leg</t>
  </si>
  <si>
    <t>18005-20640</t>
  </si>
  <si>
    <t>Clarkson</t>
  </si>
  <si>
    <t>18005-20992</t>
  </si>
  <si>
    <t>Larry</t>
  </si>
  <si>
    <t>Nance Jr.</t>
  </si>
  <si>
    <t>18005-17332</t>
  </si>
  <si>
    <t>Tarik</t>
  </si>
  <si>
    <t>Black</t>
  </si>
  <si>
    <t>18005-9787</t>
  </si>
  <si>
    <t>DeMarre</t>
  </si>
  <si>
    <t>Carroll</t>
  </si>
  <si>
    <t>18005-14500</t>
  </si>
  <si>
    <t>18005-11074</t>
  </si>
  <si>
    <t>Garrett</t>
  </si>
  <si>
    <t>Temple</t>
  </si>
  <si>
    <t>18005-15727</t>
  </si>
  <si>
    <t>McLemore</t>
  </si>
  <si>
    <t>18005-9870</t>
  </si>
  <si>
    <t>18005-40200</t>
  </si>
  <si>
    <t>Lucas</t>
  </si>
  <si>
    <t>Nogueira</t>
  </si>
  <si>
    <t>18005-16293</t>
  </si>
  <si>
    <t>Norman</t>
  </si>
  <si>
    <t>18005-23717</t>
  </si>
  <si>
    <t>Muhammad</t>
  </si>
  <si>
    <t>18005-70827</t>
  </si>
  <si>
    <t>Ivica</t>
  </si>
  <si>
    <t>Zubac</t>
  </si>
  <si>
    <t>18005-14515</t>
  </si>
  <si>
    <t>18005-9706</t>
  </si>
  <si>
    <t>18005-66048</t>
  </si>
  <si>
    <t>Ingram</t>
  </si>
  <si>
    <t>18005-12368</t>
  </si>
  <si>
    <t>Nemanja</t>
  </si>
  <si>
    <t>Bjelica</t>
  </si>
  <si>
    <t>18005-18256</t>
  </si>
  <si>
    <t>18005-23823</t>
  </si>
  <si>
    <t>Cauley-Stein</t>
  </si>
  <si>
    <t>18005-14522</t>
  </si>
  <si>
    <t>Mirotic</t>
  </si>
  <si>
    <t>18005-9920</t>
  </si>
  <si>
    <t>Tolliver</t>
  </si>
  <si>
    <t>18005-14552</t>
  </si>
  <si>
    <t>18005-9565</t>
  </si>
  <si>
    <t>Farmar</t>
  </si>
  <si>
    <t>18005-9479</t>
  </si>
  <si>
    <t>Luol</t>
  </si>
  <si>
    <t>Deng</t>
  </si>
  <si>
    <t>18005-42156</t>
  </si>
  <si>
    <t>Portis</t>
  </si>
  <si>
    <t>18005-12340</t>
  </si>
  <si>
    <t>18005-24247</t>
  </si>
  <si>
    <t>Fred</t>
  </si>
  <si>
    <t>VanVleet</t>
  </si>
  <si>
    <t>18005-9960</t>
  </si>
  <si>
    <t>Omri</t>
  </si>
  <si>
    <t>Casspi</t>
  </si>
  <si>
    <t>18005-15996</t>
  </si>
  <si>
    <t>Jerian</t>
  </si>
  <si>
    <t>18005-19456</t>
  </si>
  <si>
    <t>Canaan</t>
  </si>
  <si>
    <t>18005-9731</t>
  </si>
  <si>
    <t>Kosta</t>
  </si>
  <si>
    <t>Koufos</t>
  </si>
  <si>
    <t>18005-12424</t>
  </si>
  <si>
    <t>Timofey</t>
  </si>
  <si>
    <t>Mozgov</t>
  </si>
  <si>
    <t>18005-16008</t>
  </si>
  <si>
    <t>Sullinger</t>
  </si>
  <si>
    <t>18005-58378</t>
  </si>
  <si>
    <t>Jakob</t>
  </si>
  <si>
    <t>Poeltl</t>
  </si>
  <si>
    <t>18005-16405</t>
  </si>
  <si>
    <t>Ross</t>
  </si>
  <si>
    <t>18005-9752</t>
  </si>
  <si>
    <t>18005-66203</t>
  </si>
  <si>
    <t>Malachi</t>
  </si>
  <si>
    <t>18005-9506</t>
  </si>
  <si>
    <t>18005-9507</t>
  </si>
  <si>
    <t>18005-70821</t>
  </si>
  <si>
    <t>Georgios</t>
  </si>
  <si>
    <t>Papagiannis</t>
  </si>
  <si>
    <t>18005-70832</t>
  </si>
  <si>
    <t>Zipser</t>
  </si>
  <si>
    <t>18005-43064</t>
  </si>
  <si>
    <t>18005-9785</t>
  </si>
  <si>
    <t>18005-66109</t>
  </si>
  <si>
    <t>Skal</t>
  </si>
  <si>
    <t>Labissiere</t>
  </si>
  <si>
    <t>18005-14529</t>
  </si>
  <si>
    <t>Cory</t>
  </si>
  <si>
    <t>Joseph</t>
  </si>
  <si>
    <t>18005-12354</t>
  </si>
  <si>
    <t>Cole</t>
  </si>
  <si>
    <t>Aldrich</t>
  </si>
  <si>
    <t>18005-9549</t>
  </si>
  <si>
    <t>Rush</t>
  </si>
  <si>
    <t>18005-12369</t>
  </si>
  <si>
    <t>Stephenson</t>
  </si>
  <si>
    <t>18005-66521</t>
  </si>
  <si>
    <t>18005-9568</t>
  </si>
  <si>
    <t>18005-58081</t>
  </si>
  <si>
    <t>Tyus</t>
  </si>
  <si>
    <t>18005-24546</t>
  </si>
  <si>
    <t>18005-16230</t>
  </si>
  <si>
    <t>18005-9712</t>
  </si>
  <si>
    <t>18005-15730</t>
  </si>
  <si>
    <t>18005-60021</t>
  </si>
  <si>
    <t>Pascal</t>
  </si>
  <si>
    <t>Siakam</t>
  </si>
  <si>
    <t>18005-63478</t>
  </si>
  <si>
    <t>18005-15864</t>
  </si>
  <si>
    <t>18005-23802</t>
  </si>
  <si>
    <t>Dunn</t>
  </si>
  <si>
    <t>18005-40830</t>
  </si>
  <si>
    <t>Delon</t>
  </si>
  <si>
    <t>GP</t>
  </si>
  <si>
    <t>FG%</t>
  </si>
  <si>
    <t>3PM</t>
  </si>
  <si>
    <t>3P%</t>
  </si>
  <si>
    <t>FT%</t>
  </si>
  <si>
    <t>REB</t>
  </si>
  <si>
    <t>AST</t>
  </si>
  <si>
    <t>STL</t>
  </si>
  <si>
    <t>BLK</t>
  </si>
  <si>
    <t>MPG</t>
  </si>
  <si>
    <t>TO</t>
  </si>
  <si>
    <t>PPG</t>
  </si>
  <si>
    <t>Kevin Durant</t>
  </si>
  <si>
    <t>Carmelo Anthony</t>
  </si>
  <si>
    <t>NYK</t>
  </si>
  <si>
    <t>LeBron James</t>
  </si>
  <si>
    <t>Paul George</t>
  </si>
  <si>
    <t>Rudy Gay</t>
  </si>
  <si>
    <t>Jeff Green</t>
  </si>
  <si>
    <t>Nick Young</t>
  </si>
  <si>
    <t>Evan Turner</t>
  </si>
  <si>
    <t>Chandler Parsons</t>
  </si>
  <si>
    <t>Luol Deng</t>
  </si>
  <si>
    <t>Josh Smith</t>
  </si>
  <si>
    <t>Trevor Ariza</t>
  </si>
  <si>
    <t>Tobias Harris</t>
  </si>
  <si>
    <t>Wilson Chandler</t>
  </si>
  <si>
    <t>J.R. Smith</t>
  </si>
  <si>
    <t>Tyreke Evans</t>
  </si>
  <si>
    <t>NOP</t>
  </si>
  <si>
    <t>Nicolas Batum</t>
  </si>
  <si>
    <t>Kawhi Leonard</t>
  </si>
  <si>
    <t>SAS</t>
  </si>
  <si>
    <t>Vince Carter</t>
  </si>
  <si>
    <t>Khris Middleton</t>
  </si>
  <si>
    <t>Corey Brewer</t>
  </si>
  <si>
    <t>Mike Dunleavy</t>
  </si>
  <si>
    <t>DeMarre Carroll</t>
  </si>
  <si>
    <t>Caron Butler</t>
  </si>
  <si>
    <t>Terrence Ross</t>
  </si>
  <si>
    <t>Shawn Marion</t>
  </si>
  <si>
    <t>Xavier Henry</t>
  </si>
  <si>
    <t>Harrison Barnes</t>
  </si>
  <si>
    <t>GSW</t>
  </si>
  <si>
    <t>Richard Jefferson</t>
  </si>
  <si>
    <t>Andre Iguodala</t>
  </si>
  <si>
    <t>Kyle Singler</t>
  </si>
  <si>
    <t>P.“J. Tucker</t>
  </si>
  <si>
    <t>PHX</t>
  </si>
  <si>
    <t>Wesley Johnson</t>
  </si>
  <si>
    <t>Matt Barnes</t>
  </si>
  <si>
    <t>Derrick Williams</t>
  </si>
  <si>
    <t>James Johnson</t>
  </si>
  <si>
    <t>Danny Granger</t>
  </si>
  <si>
    <t>Jeffery Taylor</t>
  </si>
  <si>
    <t>Michael Kidd-Gilchrist</t>
  </si>
  <si>
    <t>Jared Dudley</t>
  </si>
  <si>
    <t>Al-Farouq Aminu</t>
  </si>
  <si>
    <t>Maurice Harkless</t>
  </si>
  <si>
    <t>Jordan Hamilton</t>
  </si>
  <si>
    <t>Giannis Antetokounmpo</t>
  </si>
  <si>
    <t>Chase Budinger</t>
  </si>
  <si>
    <t>Anthony Tolliver</t>
  </si>
  <si>
    <t>Quincy Pondexter</t>
  </si>
  <si>
    <t>Tayshaun Prince</t>
  </si>
  <si>
    <t>Christapher Johnson</t>
  </si>
  <si>
    <t>Francisco Garcia</t>
  </si>
  <si>
    <t>Cartier Martin</t>
  </si>
  <si>
    <t>Hollis Thompson</t>
  </si>
  <si>
    <t>John Salmons</t>
  </si>
  <si>
    <t>Chris Douglas-Roberts</t>
  </si>
  <si>
    <t>Gerald Wallace</t>
  </si>
  <si>
    <t>Jae Crowder</t>
  </si>
  <si>
    <t>Anthony Randolph</t>
  </si>
  <si>
    <t>Metta World Peace</t>
  </si>
  <si>
    <t>Dorell Wright</t>
  </si>
  <si>
    <t>James Nunnally</t>
  </si>
  <si>
    <t>Travis Outlaw</t>
  </si>
  <si>
    <t>Alonzo Gee</t>
  </si>
  <si>
    <t>Luc Mbah a Moute</t>
  </si>
  <si>
    <t>James Jones</t>
  </si>
  <si>
    <t>Darius Miller</t>
  </si>
  <si>
    <t>Hedo Turkoglu</t>
  </si>
  <si>
    <t>Robbie Hummel</t>
  </si>
  <si>
    <t>Rasual Butler</t>
  </si>
  <si>
    <t>Gigi Datome</t>
  </si>
  <si>
    <t>Landry Fields</t>
  </si>
  <si>
    <t>Solomon Hill</t>
  </si>
  <si>
    <t>Keith Bogans</t>
  </si>
  <si>
    <t>Othyus Jeffers</t>
  </si>
  <si>
    <t>Adonis Thomas</t>
  </si>
  <si>
    <t>Stephen Jackson</t>
  </si>
  <si>
    <t>Sergey Karasev</t>
  </si>
  <si>
    <t>Otto Porter</t>
  </si>
  <si>
    <t>Carrick Felix</t>
  </si>
  <si>
    <t>Tornike Shengelia</t>
  </si>
  <si>
    <t>Tony Mitchell</t>
  </si>
  <si>
    <t>Ronnie Brewer</t>
  </si>
  <si>
    <t>Elias Harris</t>
  </si>
  <si>
    <t>Josh Childress</t>
  </si>
  <si>
    <t>James Southerland</t>
  </si>
  <si>
    <t>Kevin Love</t>
  </si>
  <si>
    <t>Blake Griffin</t>
  </si>
  <si>
    <t>LaMarcus Aldridge</t>
  </si>
  <si>
    <t>Dirk Nowitzki</t>
  </si>
  <si>
    <t>Anthony Davis</t>
  </si>
  <si>
    <t>Ryan Anderson</t>
  </si>
  <si>
    <t>David Lee</t>
  </si>
  <si>
    <t>Thaddeus Young</t>
  </si>
  <si>
    <t>Paul Millsap</t>
  </si>
  <si>
    <t>Zach Randolph</t>
  </si>
  <si>
    <t>Tim Duncan</t>
  </si>
  <si>
    <t>Serge Ibaka</t>
  </si>
  <si>
    <t>Greg Monroe</t>
  </si>
  <si>
    <t>Carlos Boozer</t>
  </si>
  <si>
    <t>Nene Hilario</t>
  </si>
  <si>
    <t>David West</t>
  </si>
  <si>
    <t>Taj Gibson</t>
  </si>
  <si>
    <t>Paul Pierce</t>
  </si>
  <si>
    <t>BRK</t>
  </si>
  <si>
    <t>Tristan Thompson</t>
  </si>
  <si>
    <t>Terrence Jones</t>
  </si>
  <si>
    <t>Channing Frye</t>
  </si>
  <si>
    <t>Kenneth Faried</t>
  </si>
  <si>
    <t>Glen Davis</t>
  </si>
  <si>
    <t>Brandon Bass</t>
  </si>
  <si>
    <t>John Henson</t>
  </si>
  <si>
    <t>Ersan Ilyasova</t>
  </si>
  <si>
    <t>Amir Johnson</t>
  </si>
  <si>
    <t>Marcus Morris</t>
  </si>
  <si>
    <t>Mike Scott</t>
  </si>
  <si>
    <t>Marvin Williams</t>
  </si>
  <si>
    <t>Patrick Patterson</t>
  </si>
  <si>
    <t>Michael Beasley</t>
  </si>
  <si>
    <t>Josh McRoberts</t>
  </si>
  <si>
    <t>Mirza Teletovic</t>
  </si>
  <si>
    <t>Jordan Hill</t>
  </si>
  <si>
    <t>Kris Humphries</t>
  </si>
  <si>
    <t>Luis Scola</t>
  </si>
  <si>
    <t>Jon Leuer</t>
  </si>
  <si>
    <t>Jason Thompson</t>
  </si>
  <si>
    <t>Omri Casspi</t>
  </si>
  <si>
    <t>Ryan Kelly</t>
  </si>
  <si>
    <t>Jeremy Evans</t>
  </si>
  <si>
    <t>Al Harrington</t>
  </si>
  <si>
    <t>Trevor Booker</t>
  </si>
  <si>
    <t>Dante Cunningham</t>
  </si>
  <si>
    <t>Ed Davis</t>
  </si>
  <si>
    <t>Andrew Nicholson</t>
  </si>
  <si>
    <t>Shawne Williams</t>
  </si>
  <si>
    <t>Andrei Kirilenko</t>
  </si>
  <si>
    <t>Luke Babbitt</t>
  </si>
  <si>
    <t>Draymond Green</t>
  </si>
  <si>
    <t>Cody Zeller</t>
  </si>
  <si>
    <t>Tyler Hansbrough</t>
  </si>
  <si>
    <t>Darrell Arthur</t>
  </si>
  <si>
    <t>Earl Clark</t>
  </si>
  <si>
    <t>Shane Battier</t>
  </si>
  <si>
    <t>Thomas Robinson</t>
  </si>
  <si>
    <t>Quincy Miller</t>
  </si>
  <si>
    <t>Charlie Villanueva</t>
  </si>
  <si>
    <t>Nick Collison</t>
  </si>
  <si>
    <t>Kenyon Martin</t>
  </si>
  <si>
    <t>Carl Landry</t>
  </si>
  <si>
    <t>Mike Harris</t>
  </si>
  <si>
    <t>Anthony Bennett</t>
  </si>
  <si>
    <t>Rashard Lewis</t>
  </si>
  <si>
    <t>Jeff Adrien</t>
  </si>
  <si>
    <t>Antawn Jamison</t>
  </si>
  <si>
    <t>Jeremy Tyler</t>
  </si>
  <si>
    <t>Ekpe Udoh</t>
  </si>
  <si>
    <t>Chris Singleton</t>
  </si>
  <si>
    <t>Shavlik Randolph</t>
  </si>
  <si>
    <t>Perry Jones</t>
  </si>
  <si>
    <t>Reggie Evans</t>
  </si>
  <si>
    <t>Chris Copeland</t>
  </si>
  <si>
    <t>Steve Novak</t>
  </si>
  <si>
    <t>Jan Vesely</t>
  </si>
  <si>
    <t>Jonas Jerebko</t>
  </si>
  <si>
    <t>Matt Bonner</t>
  </si>
  <si>
    <t>Josh Harrellson</t>
  </si>
  <si>
    <t>Quincy Acy</t>
  </si>
  <si>
    <t>Udonis Haslem</t>
  </si>
  <si>
    <t>Brandon Davies</t>
  </si>
  <si>
    <t>Arnett Moultrie</t>
  </si>
  <si>
    <t>Robert Covington</t>
  </si>
  <si>
    <t>Victor Claver</t>
  </si>
  <si>
    <t>Lou Amundson</t>
  </si>
  <si>
    <t>Austin Daye</t>
  </si>
  <si>
    <t>Malcolm Thomas</t>
  </si>
  <si>
    <t>Lance Thomas</t>
  </si>
  <si>
    <t>Ryan Gomes</t>
  </si>
  <si>
    <t>Arinze Onuaku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</si>
</sst>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10" fontId="0" fillId="0" borderId="0" xfId="0" applyNumberFormat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9</xdr:col>
      <xdr:colOff>552450</xdr:colOff>
      <xdr:row>11</xdr:row>
      <xdr:rowOff>142875</xdr:rowOff>
    </xdr:to>
    <xdr:pic>
      <xdr:nvPicPr>
        <xdr:cNvPr id="16" name="Picture 15" descr="Image result for fanduel logo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nba-player-stats-last-10-forwards-181904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tabSelected="1" zoomScale="106" zoomScaleNormal="106" workbookViewId="0">
      <selection activeCell="E2" sqref="E2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13</v>
      </c>
      <c r="C1" t="s">
        <v>14</v>
      </c>
      <c r="D1" t="s">
        <v>9</v>
      </c>
      <c r="E1" t="s">
        <v>10</v>
      </c>
      <c r="F1" t="s">
        <v>11</v>
      </c>
      <c r="G1" t="s">
        <v>12</v>
      </c>
      <c r="H1" t="s">
        <v>3</v>
      </c>
      <c r="I1" t="s">
        <v>8</v>
      </c>
      <c r="J1" t="s">
        <v>6</v>
      </c>
      <c r="K1" t="s">
        <v>5</v>
      </c>
      <c r="L1" t="s">
        <v>7</v>
      </c>
      <c r="M1" t="s">
        <v>106</v>
      </c>
      <c r="N1" t="s">
        <v>0</v>
      </c>
      <c r="O1" t="s">
        <v>15</v>
      </c>
      <c r="P1" t="s">
        <v>16</v>
      </c>
      <c r="T1">
        <v>8</v>
      </c>
    </row>
    <row r="2" spans="1:20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t="str">
        <f>RawData!B2</f>
        <v>SF</v>
      </c>
      <c r="E2" t="str">
        <f>RawData!E2</f>
        <v>James</v>
      </c>
      <c r="F2">
        <f>(RawData!F2)*M2</f>
        <v>48.132001953124998</v>
      </c>
      <c r="G2" s="35">
        <f>RawData!H2</f>
        <v>11500</v>
      </c>
      <c r="H2">
        <f>IF($D2=H$1,$C2*1,0)</f>
        <v>0</v>
      </c>
      <c r="I2">
        <f t="shared" ref="I2:L2" si="0">IF($D2=I$1,$C2*1,0)</f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>IF(RawData!L2=0,1,0)</f>
        <v>1</v>
      </c>
      <c r="N2" t="s">
        <v>3</v>
      </c>
      <c r="O2">
        <v>2</v>
      </c>
      <c r="P2">
        <f>SUM(H2:H339)</f>
        <v>0</v>
      </c>
      <c r="T2">
        <f>SUM(C:C)</f>
        <v>0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2" t="str">
        <f>RawData!B3</f>
        <v>C</v>
      </c>
      <c r="E3" s="2" t="str">
        <f>RawData!E3</f>
        <v>Cousins</v>
      </c>
      <c r="F3" s="2">
        <f>(RawData!F3)*M3</f>
        <v>49.571699034492902</v>
      </c>
      <c r="G3" s="35">
        <f>RawData!H3</f>
        <v>11400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>
        <f>IF(RawData!L3=0,1,0)</f>
        <v>1</v>
      </c>
      <c r="N3" t="s">
        <v>8</v>
      </c>
      <c r="O3">
        <v>2</v>
      </c>
      <c r="P3">
        <f>SUM(I2:I339)</f>
        <v>0</v>
      </c>
    </row>
    <row r="4" spans="1:20" x14ac:dyDescent="0.25">
      <c r="A4">
        <f t="shared" si="1"/>
        <v>0</v>
      </c>
      <c r="B4">
        <f>IF(C4=0,0,A4&amp;" "&amp;COUNTIF($A$1:$A4,A4))</f>
        <v>0</v>
      </c>
      <c r="C4" s="1">
        <v>0</v>
      </c>
      <c r="D4" s="2" t="str">
        <f>RawData!B4</f>
        <v>C</v>
      </c>
      <c r="E4" s="2" t="str">
        <f>RawData!E4</f>
        <v>Towns</v>
      </c>
      <c r="F4" s="2">
        <f>(RawData!F4)*M4</f>
        <v>43.774547230113598</v>
      </c>
      <c r="G4" s="35">
        <f>RawData!H4</f>
        <v>10400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 s="2">
        <f>IF(RawData!L4=0,1,0)</f>
        <v>1</v>
      </c>
      <c r="N4" t="s">
        <v>6</v>
      </c>
      <c r="O4">
        <v>2</v>
      </c>
      <c r="P4">
        <f>SUM(J2:J339)</f>
        <v>0</v>
      </c>
    </row>
    <row r="5" spans="1:20" x14ac:dyDescent="0.25">
      <c r="A5">
        <f t="shared" si="1"/>
        <v>0</v>
      </c>
      <c r="B5">
        <f>IF(C5=0,0,A5&amp;" "&amp;COUNTIF($A$1:$A5,A5))</f>
        <v>0</v>
      </c>
      <c r="C5" s="1">
        <v>0</v>
      </c>
      <c r="D5" s="2" t="str">
        <f>RawData!B5</f>
        <v>SF</v>
      </c>
      <c r="E5" s="2" t="str">
        <f>RawData!E5</f>
        <v>Butler</v>
      </c>
      <c r="F5" s="2">
        <f>(RawData!F5)*M5</f>
        <v>0</v>
      </c>
      <c r="G5" s="35">
        <f>RawData!H5</f>
        <v>9300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2">
        <f>IF(RawData!L5=0,1,0)</f>
        <v>0</v>
      </c>
      <c r="N5" t="s">
        <v>5</v>
      </c>
      <c r="O5">
        <v>2</v>
      </c>
      <c r="P5">
        <f>SUM(K2:K339)</f>
        <v>0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2" t="str">
        <f>RawData!B6</f>
        <v>PG</v>
      </c>
      <c r="E6" s="2" t="str">
        <f>RawData!E6</f>
        <v>Irving</v>
      </c>
      <c r="F6" s="2">
        <f>(RawData!F6)*M6</f>
        <v>37.227658535571798</v>
      </c>
      <c r="G6" s="35">
        <f>RawData!H6</f>
        <v>9000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>
        <f>IF(RawData!L6=0,1,0)</f>
        <v>1</v>
      </c>
      <c r="N6" t="s">
        <v>7</v>
      </c>
      <c r="O6">
        <v>1</v>
      </c>
      <c r="P6">
        <f>SUM(L2:L339)</f>
        <v>0</v>
      </c>
    </row>
    <row r="7" spans="1:20" x14ac:dyDescent="0.25">
      <c r="A7">
        <f t="shared" si="1"/>
        <v>0</v>
      </c>
      <c r="B7">
        <f>IF(C7=0,0,A7&amp;" "&amp;COUNTIF($A$1:$A7,A7))</f>
        <v>0</v>
      </c>
      <c r="C7" s="1">
        <v>0</v>
      </c>
      <c r="D7" s="2" t="str">
        <f>RawData!B7</f>
        <v>SG</v>
      </c>
      <c r="E7" s="2" t="str">
        <f>RawData!E7</f>
        <v>DeRozan</v>
      </c>
      <c r="F7" s="2">
        <f>(RawData!F7)*M7</f>
        <v>40.289583841959598</v>
      </c>
      <c r="G7" s="35">
        <f>RawData!H7</f>
        <v>8700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2">
        <f>IF(RawData!L7=0,1,0)</f>
        <v>1</v>
      </c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2" t="str">
        <f>RawData!B8</f>
        <v>PG</v>
      </c>
      <c r="E8" s="2" t="str">
        <f>RawData!E8</f>
        <v>Lowry</v>
      </c>
      <c r="F8" s="2">
        <f>(RawData!F8)*M8</f>
        <v>39.748146339698998</v>
      </c>
      <c r="G8" s="35">
        <f>RawData!H8</f>
        <v>8500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>
        <f>IF(RawData!L8=0,1,0)</f>
        <v>1</v>
      </c>
      <c r="N8" t="s">
        <v>17</v>
      </c>
      <c r="O8">
        <f>SUMPRODUCT(C2:C239,G2:G239)</f>
        <v>0</v>
      </c>
    </row>
    <row r="9" spans="1:20" x14ac:dyDescent="0.25">
      <c r="A9">
        <f t="shared" si="1"/>
        <v>0</v>
      </c>
      <c r="B9">
        <f>IF(C9=0,0,A9&amp;" "&amp;COUNTIF($A$1:$A9,A9))</f>
        <v>0</v>
      </c>
      <c r="C9" s="1">
        <v>0</v>
      </c>
      <c r="D9" s="2" t="str">
        <f>RawData!B9</f>
        <v>PF</v>
      </c>
      <c r="E9" s="2" t="str">
        <f>RawData!E9</f>
        <v>Love</v>
      </c>
      <c r="F9" s="2">
        <f>(RawData!F9)*M9</f>
        <v>0</v>
      </c>
      <c r="G9" s="35">
        <f>RawData!H9</f>
        <v>8100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M9" s="2">
        <f>IF(RawData!L9=0,1,0)</f>
        <v>0</v>
      </c>
      <c r="N9" t="s">
        <v>18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2" t="str">
        <f>RawData!B10</f>
        <v>SF</v>
      </c>
      <c r="E10" s="2" t="str">
        <f>RawData!E10</f>
        <v>Wiggins</v>
      </c>
      <c r="F10" s="2">
        <f>(RawData!F10)*M10</f>
        <v>31.541819069602202</v>
      </c>
      <c r="G10" s="35">
        <f>RawData!H10</f>
        <v>7900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>
        <f>IF(RawData!L10=0,1,0)</f>
        <v>1</v>
      </c>
    </row>
    <row r="11" spans="1:20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2" t="str">
        <f>RawData!B11</f>
        <v>SG</v>
      </c>
      <c r="E11" s="2" t="str">
        <f>RawData!E11</f>
        <v>Wade</v>
      </c>
      <c r="F11" s="2">
        <f>(RawData!F11)*M11</f>
        <v>0</v>
      </c>
      <c r="G11" s="35">
        <f>RawData!H11</f>
        <v>7900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>
        <f>IF(RawData!L11=0,1,0)</f>
        <v>0</v>
      </c>
      <c r="N11" t="s">
        <v>19</v>
      </c>
      <c r="O11">
        <f>SUMPRODUCT(C2:C339,F2:F339)</f>
        <v>0</v>
      </c>
    </row>
    <row r="12" spans="1:20" x14ac:dyDescent="0.25">
      <c r="A12">
        <f t="shared" si="1"/>
        <v>0</v>
      </c>
      <c r="B12">
        <f>IF(C12=0,0,A12&amp;" "&amp;COUNTIF($A$1:$A12,A12))</f>
        <v>0</v>
      </c>
      <c r="C12" s="1">
        <v>0</v>
      </c>
      <c r="D12" s="2" t="str">
        <f>RawData!B12</f>
        <v>PG</v>
      </c>
      <c r="E12" s="2" t="str">
        <f>RawData!E12</f>
        <v>Rubio</v>
      </c>
      <c r="F12" s="2">
        <f>(RawData!F12)*M12</f>
        <v>27.359183175223201</v>
      </c>
      <c r="G12" s="35">
        <f>RawData!H12</f>
        <v>6800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 s="2">
        <f>IF(RawData!L12=0,1,0)</f>
        <v>1</v>
      </c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2" t="str">
        <f>RawData!B13</f>
        <v>C</v>
      </c>
      <c r="E13" s="2" t="str">
        <f>RawData!E13</f>
        <v>Thompson</v>
      </c>
      <c r="F13" s="2">
        <f>(RawData!F13)*M13</f>
        <v>23.528301886792399</v>
      </c>
      <c r="G13" s="35">
        <f>RawData!H13</f>
        <v>6400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>
        <f>IF(RawData!L13=0,1,0)</f>
        <v>1</v>
      </c>
      <c r="N13" t="s">
        <v>20</v>
      </c>
      <c r="O13">
        <v>9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2" t="str">
        <f>RawData!B14</f>
        <v>SG</v>
      </c>
      <c r="E14" s="2" t="str">
        <f>RawData!E14</f>
        <v>Williams</v>
      </c>
      <c r="F14" s="2">
        <f>(RawData!F14)*M14</f>
        <v>26.219643729073599</v>
      </c>
      <c r="G14" s="35">
        <f>RawData!H14</f>
        <v>6100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>
        <f>IF(RawData!L14=0,1,0)</f>
        <v>1</v>
      </c>
      <c r="N14" t="s">
        <v>21</v>
      </c>
      <c r="O14">
        <f>SUM(C:C)</f>
        <v>0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2" t="str">
        <f>RawData!B15</f>
        <v>C</v>
      </c>
      <c r="E15" s="2" t="str">
        <f>RawData!E15</f>
        <v>Valanciunas</v>
      </c>
      <c r="F15" s="2">
        <f>(RawData!F15)*M15</f>
        <v>26.4037740455483</v>
      </c>
      <c r="G15" s="35">
        <f>RawData!H15</f>
        <v>5900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>
        <f>IF(RawData!L15=0,1,0)</f>
        <v>1</v>
      </c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2" t="str">
        <f>RawData!B16</f>
        <v>PG</v>
      </c>
      <c r="E16" s="2" t="str">
        <f>RawData!E16</f>
        <v>Russell</v>
      </c>
      <c r="F16" s="2">
        <f>(RawData!F16)*M16</f>
        <v>26.347500610351499</v>
      </c>
      <c r="G16" s="35">
        <f>RawData!H16</f>
        <v>5900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>
        <f>IF(RawData!L16=0,1,0)</f>
        <v>1</v>
      </c>
      <c r="N16" t="s">
        <v>23</v>
      </c>
    </row>
    <row r="17" spans="1:15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2" t="str">
        <f>RawData!B17</f>
        <v>PG</v>
      </c>
      <c r="E17" s="2" t="str">
        <f>RawData!E17</f>
        <v>Collison</v>
      </c>
      <c r="F17" s="2">
        <f>(RawData!F17)*M17</f>
        <v>23.178723923703402</v>
      </c>
      <c r="G17" s="35">
        <f>RawData!H17</f>
        <v>5700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>
        <f>IF(RawData!L17=0,1,0)</f>
        <v>1</v>
      </c>
      <c r="N17" t="s">
        <v>25</v>
      </c>
      <c r="O17" t="e">
        <f>VLOOKUP(N17,B2:F101,4,FALSE)</f>
        <v>#N/A</v>
      </c>
    </row>
    <row r="18" spans="1:15" x14ac:dyDescent="0.25">
      <c r="A18">
        <f t="shared" si="1"/>
        <v>0</v>
      </c>
      <c r="B18">
        <f>IF(C18=0,0,A18&amp;" "&amp;COUNTIF($A$1:$A18,A18))</f>
        <v>0</v>
      </c>
      <c r="C18" s="1">
        <v>0</v>
      </c>
      <c r="D18" s="2" t="str">
        <f>RawData!B18</f>
        <v>PF</v>
      </c>
      <c r="E18" s="2" t="str">
        <f>RawData!E18</f>
        <v>Randle</v>
      </c>
      <c r="F18" s="2">
        <f>(RawData!F18)*M18</f>
        <v>27.806248982747299</v>
      </c>
      <c r="G18" s="35">
        <f>RawData!H18</f>
        <v>5700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M18" s="2">
        <f>IF(RawData!L18=0,1,0)</f>
        <v>1</v>
      </c>
      <c r="N18" t="s">
        <v>26</v>
      </c>
      <c r="O18" s="2" t="e">
        <f>VLOOKUP(N18,B2:F102,4,FALSE)</f>
        <v>#N/A</v>
      </c>
    </row>
    <row r="19" spans="1:15" x14ac:dyDescent="0.25">
      <c r="A19">
        <f t="shared" si="1"/>
        <v>0</v>
      </c>
      <c r="B19">
        <f>IF(C19=0,0,A19&amp;" "&amp;COUNTIF($A$1:$A19,A19))</f>
        <v>0</v>
      </c>
      <c r="C19" s="1">
        <v>0</v>
      </c>
      <c r="D19" s="2" t="str">
        <f>RawData!B19</f>
        <v>PF</v>
      </c>
      <c r="E19" s="2" t="str">
        <f>RawData!E19</f>
        <v>Dieng</v>
      </c>
      <c r="F19" s="2">
        <f>(RawData!F19)*M19</f>
        <v>25.427272727272701</v>
      </c>
      <c r="G19" s="35">
        <f>RawData!H19</f>
        <v>5600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2">
        <f>IF(RawData!L19=0,1,0)</f>
        <v>1</v>
      </c>
      <c r="N19" t="s">
        <v>27</v>
      </c>
      <c r="O19" s="2" t="e">
        <f>VLOOKUP(N19,B2:F103,4,FALSE)</f>
        <v>#N/A</v>
      </c>
    </row>
    <row r="20" spans="1:15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2" t="str">
        <f>RawData!B20</f>
        <v>SF</v>
      </c>
      <c r="E20" s="2" t="str">
        <f>RawData!E20</f>
        <v>Barnes</v>
      </c>
      <c r="F20" s="2">
        <f>(RawData!F20)*M20</f>
        <v>18.396153376652599</v>
      </c>
      <c r="G20" s="35">
        <f>RawData!H20</f>
        <v>5100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>
        <f>IF(RawData!L20=0,1,0)</f>
        <v>1</v>
      </c>
      <c r="N20" t="s">
        <v>28</v>
      </c>
      <c r="O20" s="2" t="e">
        <f>VLOOKUP(N20,B2:F104,4,FALSE)</f>
        <v>#N/A</v>
      </c>
    </row>
    <row r="21" spans="1:15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2" t="str">
        <f>RawData!B21</f>
        <v>C</v>
      </c>
      <c r="E21" s="2" t="str">
        <f>RawData!E21</f>
        <v>Lopez</v>
      </c>
      <c r="F21" s="2">
        <f>(RawData!F21)*M21</f>
        <v>21.9054554332386</v>
      </c>
      <c r="G21" s="35">
        <f>RawData!H21</f>
        <v>4800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>
        <f>IF(RawData!L21=0,1,0)</f>
        <v>1</v>
      </c>
      <c r="N21" t="s">
        <v>29</v>
      </c>
      <c r="O21" s="2" t="e">
        <f>VLOOKUP(N21,B2:F105,4,FALSE)</f>
        <v>#N/A</v>
      </c>
    </row>
    <row r="22" spans="1:15" x14ac:dyDescent="0.25">
      <c r="A22">
        <f t="shared" si="1"/>
        <v>0</v>
      </c>
      <c r="B22">
        <f>IF(C22=0,0,A22&amp;" "&amp;COUNTIF($A$1:$A22,A22))</f>
        <v>0</v>
      </c>
      <c r="C22" s="1">
        <v>0</v>
      </c>
      <c r="D22" s="2" t="str">
        <f>RawData!B22</f>
        <v>PG</v>
      </c>
      <c r="E22" s="2" t="str">
        <f>RawData!E22</f>
        <v>Rondo</v>
      </c>
      <c r="F22" s="2">
        <f>(RawData!F22)*M22</f>
        <v>23.086956521739101</v>
      </c>
      <c r="G22" s="35">
        <f>RawData!H22</f>
        <v>4800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M22" s="2">
        <f>IF(RawData!L22=0,1,0)</f>
        <v>1</v>
      </c>
      <c r="N22" t="s">
        <v>30</v>
      </c>
      <c r="O22" s="2" t="e">
        <f>VLOOKUP(N22,B2:F106,4,FALSE)</f>
        <v>#N/A</v>
      </c>
    </row>
    <row r="23" spans="1:15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2" t="str">
        <f>RawData!B23</f>
        <v>PF</v>
      </c>
      <c r="E23" s="2" t="str">
        <f>RawData!E23</f>
        <v>Gibson</v>
      </c>
      <c r="F23" s="2">
        <f>(RawData!F23)*M23</f>
        <v>23.0566037735849</v>
      </c>
      <c r="G23" s="35">
        <f>RawData!H23</f>
        <v>4600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>
        <f>IF(RawData!L23=0,1,0)</f>
        <v>1</v>
      </c>
      <c r="N23" t="s">
        <v>31</v>
      </c>
      <c r="O23" s="2" t="e">
        <f>VLOOKUP(N23,B2:F107,4,FALSE)</f>
        <v>#N/A</v>
      </c>
    </row>
    <row r="24" spans="1:15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2" t="str">
        <f>RawData!B24</f>
        <v>SG</v>
      </c>
      <c r="E24" s="2" t="str">
        <f>RawData!E24</f>
        <v>Young</v>
      </c>
      <c r="F24" s="2">
        <f>(RawData!F24)*M24</f>
        <v>19.663265306122401</v>
      </c>
      <c r="G24" s="35">
        <f>RawData!H24</f>
        <v>4600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>
        <f>IF(RawData!L24=0,1,0)</f>
        <v>1</v>
      </c>
      <c r="N24" t="s">
        <v>32</v>
      </c>
      <c r="O24" s="2" t="e">
        <f>VLOOKUP(N24,B2:F108,4,FALSE)</f>
        <v>#N/A</v>
      </c>
    </row>
    <row r="25" spans="1:15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2" t="str">
        <f>RawData!B25</f>
        <v>SG</v>
      </c>
      <c r="E25" s="2" t="str">
        <f>RawData!E25</f>
        <v>Carter-Williams</v>
      </c>
      <c r="F25" s="2">
        <f>(RawData!F25)*M25</f>
        <v>18.612500508626301</v>
      </c>
      <c r="G25" s="35">
        <f>RawData!H25</f>
        <v>4600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>
        <f>IF(RawData!L25=0,1,0)</f>
        <v>1</v>
      </c>
      <c r="N25" t="s">
        <v>107</v>
      </c>
      <c r="O25" s="2" t="e">
        <f>VLOOKUP(N25,B3:F109,4,FALSE)</f>
        <v>#N/A</v>
      </c>
    </row>
    <row r="26" spans="1:15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2" t="str">
        <f>RawData!B26</f>
        <v>PF</v>
      </c>
      <c r="E26" s="2" t="str">
        <f>RawData!E26</f>
        <v>Frye</v>
      </c>
      <c r="F26" s="2">
        <f>(RawData!F26)*M26</f>
        <v>15.2804353133491</v>
      </c>
      <c r="G26" s="35">
        <f>RawData!H26</f>
        <v>4600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>
        <f>IF(RawData!L26=0,1,0)</f>
        <v>1</v>
      </c>
    </row>
    <row r="27" spans="1:15" x14ac:dyDescent="0.25">
      <c r="A27">
        <f t="shared" si="1"/>
        <v>0</v>
      </c>
      <c r="B27">
        <f>IF(C27=0,0,A27&amp;" "&amp;COUNTIF($A$1:$A27,A27))</f>
        <v>0</v>
      </c>
      <c r="C27" s="1">
        <v>0</v>
      </c>
      <c r="D27" s="2" t="str">
        <f>RawData!B27</f>
        <v>PG</v>
      </c>
      <c r="E27" s="2" t="str">
        <f>RawData!E27</f>
        <v>Lawson</v>
      </c>
      <c r="F27" s="2">
        <f>(RawData!F27)*M27</f>
        <v>0</v>
      </c>
      <c r="G27" s="35">
        <f>RawData!H27</f>
        <v>4600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 s="2">
        <f>IF(RawData!L27=0,1,0)</f>
        <v>0</v>
      </c>
    </row>
    <row r="28" spans="1:15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2" t="str">
        <f>RawData!B28</f>
        <v>PG</v>
      </c>
      <c r="E28" s="2" t="str">
        <f>RawData!E28</f>
        <v>Clarkson</v>
      </c>
      <c r="F28" s="2">
        <f>(RawData!F28)*M28</f>
        <v>21.091070992605999</v>
      </c>
      <c r="G28" s="35">
        <f>RawData!H28</f>
        <v>4500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>
        <f>IF(RawData!L28=0,1,0)</f>
        <v>1</v>
      </c>
    </row>
    <row r="29" spans="1:15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2" t="str">
        <f>RawData!B29</f>
        <v>PF</v>
      </c>
      <c r="E29" s="2" t="str">
        <f>RawData!E29</f>
        <v>Nance Jr.</v>
      </c>
      <c r="F29" s="2">
        <f>(RawData!F29)*M29</f>
        <v>18.532432762352101</v>
      </c>
      <c r="G29" s="35">
        <f>RawData!H29</f>
        <v>4300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>
        <f>IF(RawData!L29=0,1,0)</f>
        <v>1</v>
      </c>
    </row>
    <row r="30" spans="1:15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2" t="str">
        <f>RawData!B30</f>
        <v>C</v>
      </c>
      <c r="E30" s="2" t="str">
        <f>RawData!E30</f>
        <v>Black</v>
      </c>
      <c r="F30" s="2">
        <f>(RawData!F30)*M30</f>
        <v>14.8068181818181</v>
      </c>
      <c r="G30" s="35">
        <f>RawData!H30</f>
        <v>4200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>
        <f>IF(RawData!L30=0,1,0)</f>
        <v>1</v>
      </c>
    </row>
    <row r="31" spans="1:15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2" t="str">
        <f>RawData!B31</f>
        <v>SF</v>
      </c>
      <c r="E31" s="2" t="str">
        <f>RawData!E31</f>
        <v>Carroll</v>
      </c>
      <c r="F31" s="2">
        <f>(RawData!F31)*M31</f>
        <v>18.161999511718701</v>
      </c>
      <c r="G31" s="35">
        <f>RawData!H31</f>
        <v>4200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>
        <f>IF(RawData!L31=0,1,0)</f>
        <v>1</v>
      </c>
    </row>
    <row r="32" spans="1:15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2" t="str">
        <f>RawData!B32</f>
        <v>PF</v>
      </c>
      <c r="E32" s="2" t="str">
        <f>RawData!E32</f>
        <v>Williams</v>
      </c>
      <c r="F32" s="2">
        <f>(RawData!F32)*M32</f>
        <v>10.7518513997395</v>
      </c>
      <c r="G32" s="35">
        <f>RawData!H32</f>
        <v>4100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>
        <f>IF(RawData!L32=0,1,0)</f>
        <v>1</v>
      </c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2" t="str">
        <f>RawData!B33</f>
        <v>SG</v>
      </c>
      <c r="E33" s="2" t="str">
        <f>RawData!E33</f>
        <v>Temple</v>
      </c>
      <c r="F33" s="2">
        <f>(RawData!F33)*M33</f>
        <v>0</v>
      </c>
      <c r="G33" s="35">
        <f>RawData!H33</f>
        <v>4100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>
        <f>IF(RawData!L33=0,1,0)</f>
        <v>0</v>
      </c>
    </row>
    <row r="34" spans="1:13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2" t="str">
        <f>RawData!B34</f>
        <v>SG</v>
      </c>
      <c r="E34" s="2" t="str">
        <f>RawData!E34</f>
        <v>McLemore</v>
      </c>
      <c r="F34" s="2">
        <f>(RawData!F34)*M34</f>
        <v>9.7925003051757802</v>
      </c>
      <c r="G34" s="35">
        <f>RawData!H34</f>
        <v>4100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2">
        <f>IF(RawData!L34=0,1,0)</f>
        <v>1</v>
      </c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2" t="str">
        <f>RawData!B35</f>
        <v>SG</v>
      </c>
      <c r="E35" s="2" t="str">
        <f>RawData!E35</f>
        <v>Korver</v>
      </c>
      <c r="F35" s="2">
        <f>(RawData!F35)*M35</f>
        <v>16.6693875059789</v>
      </c>
      <c r="G35" s="35">
        <f>RawData!H35</f>
        <v>4000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>
        <f>IF(RawData!L35=0,1,0)</f>
        <v>1</v>
      </c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2" t="str">
        <f>RawData!B36</f>
        <v>C</v>
      </c>
      <c r="E36" s="2" t="str">
        <f>RawData!E36</f>
        <v>Nogueira</v>
      </c>
      <c r="F36" s="2">
        <f>(RawData!F36)*M36</f>
        <v>17.276087221891899</v>
      </c>
      <c r="G36" s="35">
        <f>RawData!H36</f>
        <v>3900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>
        <f>IF(RawData!L36=0,1,0)</f>
        <v>1</v>
      </c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2" t="str">
        <f>RawData!B37</f>
        <v>SG</v>
      </c>
      <c r="E37" s="2" t="str">
        <f>RawData!E37</f>
        <v>Powell</v>
      </c>
      <c r="F37" s="2">
        <f>(RawData!F37)*M37</f>
        <v>11.994117886412299</v>
      </c>
      <c r="G37" s="35">
        <f>RawData!H37</f>
        <v>3900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>
        <f>IF(RawData!L37=0,1,0)</f>
        <v>1</v>
      </c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2" t="str">
        <f>RawData!B38</f>
        <v>SF</v>
      </c>
      <c r="E38" s="2" t="str">
        <f>RawData!E38</f>
        <v>Muhammad</v>
      </c>
      <c r="F38" s="2">
        <f>(RawData!F38)*M38</f>
        <v>13.462744619332099</v>
      </c>
      <c r="G38" s="35">
        <f>RawData!H38</f>
        <v>3900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>
        <f>IF(RawData!L38=0,1,0)</f>
        <v>1</v>
      </c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2" t="str">
        <f>RawData!B39</f>
        <v>C</v>
      </c>
      <c r="E39" s="2" t="str">
        <f>RawData!E39</f>
        <v>Zubac</v>
      </c>
      <c r="F39" s="2">
        <f>(RawData!F39)*M39</f>
        <v>12.971428280784901</v>
      </c>
      <c r="G39" s="35">
        <f>RawData!H39</f>
        <v>3900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>
        <f>IF(RawData!L39=0,1,0)</f>
        <v>1</v>
      </c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2" t="str">
        <f>RawData!B40</f>
        <v>SG</v>
      </c>
      <c r="E40" s="2" t="str">
        <f>RawData!E40</f>
        <v>Shumpert</v>
      </c>
      <c r="F40" s="2">
        <f>(RawData!F40)*M40</f>
        <v>0</v>
      </c>
      <c r="G40" s="35">
        <f>RawData!H40</f>
        <v>3900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>
        <f>IF(RawData!L40=0,1,0)</f>
        <v>0</v>
      </c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2" t="str">
        <f>RawData!B41</f>
        <v>SF</v>
      </c>
      <c r="E41" s="2" t="str">
        <f>RawData!E41</f>
        <v>Jefferson</v>
      </c>
      <c r="F41" s="2">
        <f>(RawData!F41)*M41</f>
        <v>9.5826920729417004</v>
      </c>
      <c r="G41" s="35">
        <f>RawData!H41</f>
        <v>3900</v>
      </c>
      <c r="H41">
        <f t="shared" si="2"/>
        <v>0</v>
      </c>
      <c r="I41">
        <f t="shared" si="2"/>
        <v>0</v>
      </c>
      <c r="J41">
        <f t="shared" ref="I41:L56" si="3">IF($D41=J$1,$C41*1,0)</f>
        <v>0</v>
      </c>
      <c r="K41">
        <f t="shared" si="3"/>
        <v>0</v>
      </c>
      <c r="L41">
        <f t="shared" si="3"/>
        <v>0</v>
      </c>
      <c r="M41" s="2">
        <f>IF(RawData!L41=0,1,0)</f>
        <v>1</v>
      </c>
    </row>
    <row r="42" spans="1:13" x14ac:dyDescent="0.25">
      <c r="A42">
        <f t="shared" si="1"/>
        <v>0</v>
      </c>
      <c r="B42">
        <f>IF(C42=0,0,A42&amp;" "&amp;COUNTIF($A$1:$A42,A42))</f>
        <v>0</v>
      </c>
      <c r="C42" s="1">
        <v>0</v>
      </c>
      <c r="D42" s="2" t="str">
        <f>RawData!B42</f>
        <v>SF</v>
      </c>
      <c r="E42" s="2" t="str">
        <f>RawData!E42</f>
        <v>Ingram</v>
      </c>
      <c r="F42" s="2">
        <f>(RawData!F42)*M42</f>
        <v>16.358928135463099</v>
      </c>
      <c r="G42" s="35">
        <f>RawData!H42</f>
        <v>3800</v>
      </c>
      <c r="H42">
        <f t="shared" si="2"/>
        <v>0</v>
      </c>
      <c r="I42">
        <f t="shared" si="3"/>
        <v>0</v>
      </c>
      <c r="J42">
        <f t="shared" si="3"/>
        <v>0</v>
      </c>
      <c r="K42">
        <f t="shared" si="3"/>
        <v>0</v>
      </c>
      <c r="L42">
        <f t="shared" si="3"/>
        <v>0</v>
      </c>
      <c r="M42" s="2">
        <f>IF(RawData!L42=0,1,0)</f>
        <v>1</v>
      </c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2" t="str">
        <f>RawData!B43</f>
        <v>PF</v>
      </c>
      <c r="E43" s="2" t="str">
        <f>RawData!E43</f>
        <v>Bjelica</v>
      </c>
      <c r="F43" s="2">
        <f>(RawData!F43)*M43</f>
        <v>12.090565807414499</v>
      </c>
      <c r="G43" s="35">
        <f>RawData!H43</f>
        <v>3800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2">
        <f>IF(RawData!L43=0,1,0)</f>
        <v>1</v>
      </c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2" t="str">
        <f>RawData!B44</f>
        <v>SF</v>
      </c>
      <c r="E44" s="2" t="str">
        <f>RawData!E44</f>
        <v>McDermott</v>
      </c>
      <c r="F44" s="2">
        <f>(RawData!F44)*M44</f>
        <v>14.8952375139508</v>
      </c>
      <c r="G44" s="35">
        <f>RawData!H44</f>
        <v>3800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2">
        <f>IF(RawData!L44=0,1,0)</f>
        <v>1</v>
      </c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2" t="str">
        <f>RawData!B45</f>
        <v>PF</v>
      </c>
      <c r="E45" s="2" t="str">
        <f>RawData!E45</f>
        <v>Cauley-Stein</v>
      </c>
      <c r="F45" s="2">
        <f>(RawData!F45)*M45</f>
        <v>10.6979166666666</v>
      </c>
      <c r="G45" s="35">
        <f>RawData!H45</f>
        <v>3700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2">
        <f>IF(RawData!L45=0,1,0)</f>
        <v>1</v>
      </c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2" t="str">
        <f>RawData!B46</f>
        <v>PF</v>
      </c>
      <c r="E46" s="2" t="str">
        <f>RawData!E46</f>
        <v>Mirotic</v>
      </c>
      <c r="F46" s="2">
        <f>(RawData!F46)*M46</f>
        <v>0</v>
      </c>
      <c r="G46" s="35">
        <f>RawData!H46</f>
        <v>3700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L46">
        <f t="shared" si="3"/>
        <v>0</v>
      </c>
      <c r="M46" s="2">
        <f>IF(RawData!L46=0,1,0)</f>
        <v>0</v>
      </c>
    </row>
    <row r="47" spans="1:13" x14ac:dyDescent="0.25">
      <c r="A47">
        <f t="shared" si="1"/>
        <v>0</v>
      </c>
      <c r="B47">
        <f>IF(C47=0,0,A47&amp;" "&amp;COUNTIF($A$1:$A47,A47))</f>
        <v>0</v>
      </c>
      <c r="C47" s="1">
        <v>0</v>
      </c>
      <c r="D47" s="2" t="str">
        <f>RawData!B47</f>
        <v>PF</v>
      </c>
      <c r="E47" s="2" t="str">
        <f>RawData!E47</f>
        <v>Tolliver</v>
      </c>
      <c r="F47" s="2">
        <f>(RawData!F47)*M47</f>
        <v>14.0348837209302</v>
      </c>
      <c r="G47" s="35">
        <f>RawData!H47</f>
        <v>3700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0</v>
      </c>
      <c r="L47">
        <f t="shared" si="3"/>
        <v>0</v>
      </c>
      <c r="M47" s="2">
        <f>IF(RawData!L47=0,1,0)</f>
        <v>1</v>
      </c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2" t="str">
        <f>RawData!B48</f>
        <v>SG</v>
      </c>
      <c r="E48" s="2" t="str">
        <f>RawData!E48</f>
        <v>Liggins</v>
      </c>
      <c r="F48" s="2">
        <f>(RawData!F48)*M48</f>
        <v>8.1659088134765607</v>
      </c>
      <c r="G48" s="35">
        <f>RawData!H48</f>
        <v>3700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2">
        <f>IF(RawData!L48=0,1,0)</f>
        <v>1</v>
      </c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2" t="str">
        <f>RawData!B49</f>
        <v>PG</v>
      </c>
      <c r="E49" s="2" t="str">
        <f>RawData!E49</f>
        <v>Farmar</v>
      </c>
      <c r="F49" s="2">
        <f>(RawData!F49)*M49</f>
        <v>15.050000190734799</v>
      </c>
      <c r="G49" s="35">
        <f>RawData!H49</f>
        <v>3700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 s="2">
        <f>IF(RawData!L49=0,1,0)</f>
        <v>1</v>
      </c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2" t="str">
        <f>RawData!B50</f>
        <v>SF</v>
      </c>
      <c r="E50" s="2" t="str">
        <f>RawData!E50</f>
        <v>Deng</v>
      </c>
      <c r="F50" s="2">
        <f>(RawData!F50)*M50</f>
        <v>18.140384380634</v>
      </c>
      <c r="G50" s="35">
        <f>RawData!H50</f>
        <v>3600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2">
        <f>IF(RawData!L50=0,1,0)</f>
        <v>1</v>
      </c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2" t="str">
        <f>RawData!B51</f>
        <v>PF</v>
      </c>
      <c r="E51" s="2" t="str">
        <f>RawData!E51</f>
        <v>Portis</v>
      </c>
      <c r="F51" s="2">
        <f>(RawData!F51)*M51</f>
        <v>9.0270270270270192</v>
      </c>
      <c r="G51" s="35">
        <f>RawData!H51</f>
        <v>3600</v>
      </c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 s="2">
        <f>IF(RawData!L51=0,1,0)</f>
        <v>1</v>
      </c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2" t="str">
        <f>RawData!B52</f>
        <v>PF</v>
      </c>
      <c r="E52" s="2" t="str">
        <f>RawData!E52</f>
        <v>Patterson</v>
      </c>
      <c r="F52" s="2">
        <f>(RawData!F52)*M52</f>
        <v>0</v>
      </c>
      <c r="G52" s="35">
        <f>RawData!H52</f>
        <v>3600</v>
      </c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 s="2">
        <f>IF(RawData!L52=0,1,0)</f>
        <v>0</v>
      </c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2" t="str">
        <f>RawData!B53</f>
        <v>PG</v>
      </c>
      <c r="E53" s="2" t="str">
        <f>RawData!E53</f>
        <v>VanVleet</v>
      </c>
      <c r="F53" s="2">
        <f>(RawData!F53)*M53</f>
        <v>6.08571443103608</v>
      </c>
      <c r="G53" s="35">
        <f>RawData!H53</f>
        <v>3600</v>
      </c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L53">
        <f t="shared" si="3"/>
        <v>0</v>
      </c>
      <c r="M53" s="2">
        <f>IF(RawData!L53=0,1,0)</f>
        <v>1</v>
      </c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2" t="str">
        <f>RawData!B54</f>
        <v>PF</v>
      </c>
      <c r="E54" s="2" t="str">
        <f>RawData!E54</f>
        <v>Casspi</v>
      </c>
      <c r="F54" s="2">
        <f>(RawData!F54)*M54</f>
        <v>0</v>
      </c>
      <c r="G54" s="35">
        <f>RawData!H54</f>
        <v>3600</v>
      </c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 s="2">
        <f>IF(RawData!L54=0,1,0)</f>
        <v>0</v>
      </c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2" t="str">
        <f>RawData!B55</f>
        <v>PG</v>
      </c>
      <c r="E55" s="2" t="str">
        <f>RawData!E55</f>
        <v>Grant</v>
      </c>
      <c r="F55" s="2">
        <f>(RawData!F55)*M55</f>
        <v>10.9499997225674</v>
      </c>
      <c r="G55" s="35">
        <f>RawData!H55</f>
        <v>3600</v>
      </c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2">
        <f>IF(RawData!L55=0,1,0)</f>
        <v>1</v>
      </c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2" t="str">
        <f>RawData!B56</f>
        <v>PG</v>
      </c>
      <c r="E56" s="2" t="str">
        <f>RawData!E56</f>
        <v>Canaan</v>
      </c>
      <c r="F56" s="2">
        <f>(RawData!F56)*M56</f>
        <v>9.6218748092651296</v>
      </c>
      <c r="G56" s="35">
        <f>RawData!H56</f>
        <v>3500</v>
      </c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2">
        <f>IF(RawData!L56=0,1,0)</f>
        <v>1</v>
      </c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2" t="str">
        <f>RawData!B57</f>
        <v>C</v>
      </c>
      <c r="E57" s="2" t="str">
        <f>RawData!E57</f>
        <v>Koufos</v>
      </c>
      <c r="F57" s="2">
        <f>(RawData!F57)*M57</f>
        <v>15.140000221946</v>
      </c>
      <c r="G57" s="35">
        <f>RawData!H57</f>
        <v>3500</v>
      </c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2">
        <f>IF(RawData!L57=0,1,0)</f>
        <v>1</v>
      </c>
    </row>
    <row r="58" spans="1:13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2" t="str">
        <f>RawData!B58</f>
        <v>C</v>
      </c>
      <c r="E58" s="2" t="str">
        <f>RawData!E58</f>
        <v>Mozgov</v>
      </c>
      <c r="F58" s="2">
        <f>(RawData!F58)*M58</f>
        <v>15.046154315655</v>
      </c>
      <c r="G58" s="35">
        <f>RawData!H58</f>
        <v>3500</v>
      </c>
      <c r="H58">
        <f t="shared" si="2"/>
        <v>0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2">
        <f>IF(RawData!L58=0,1,0)</f>
        <v>1</v>
      </c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2" t="str">
        <f>RawData!B59</f>
        <v>PF</v>
      </c>
      <c r="E59" s="2" t="str">
        <f>RawData!E59</f>
        <v>Sullinger</v>
      </c>
      <c r="F59" s="2">
        <f>(RawData!F59)*M59</f>
        <v>7.2636365023526199</v>
      </c>
      <c r="G59" s="35">
        <f>RawData!H59</f>
        <v>3500</v>
      </c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2">
        <f>IF(RawData!L59=0,1,0)</f>
        <v>1</v>
      </c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2" t="str">
        <f>RawData!B60</f>
        <v>C</v>
      </c>
      <c r="E60" s="2" t="str">
        <f>RawData!E60</f>
        <v>Poeltl</v>
      </c>
      <c r="F60" s="2">
        <f>(RawData!F60)*M60</f>
        <v>6.6799997965494704</v>
      </c>
      <c r="G60" s="35">
        <f>RawData!H60</f>
        <v>3500</v>
      </c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2">
        <f>IF(RawData!L60=0,1,0)</f>
        <v>1</v>
      </c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2" t="str">
        <f>RawData!B61</f>
        <v>SF</v>
      </c>
      <c r="E61" s="2" t="str">
        <f>RawData!E61</f>
        <v>Ross</v>
      </c>
      <c r="F61" s="2">
        <f>(RawData!F61)*M61</f>
        <v>16.761110658998799</v>
      </c>
      <c r="G61" s="35">
        <f>RawData!H61</f>
        <v>3500</v>
      </c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2">
        <f>IF(RawData!L61=0,1,0)</f>
        <v>1</v>
      </c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2" t="str">
        <f>RawData!B62</f>
        <v>PF</v>
      </c>
      <c r="E62" s="2" t="str">
        <f>RawData!E62</f>
        <v>Hill</v>
      </c>
      <c r="F62" s="2">
        <f>(RawData!F62)*M62</f>
        <v>4.92000007629394</v>
      </c>
      <c r="G62" s="35">
        <f>RawData!H62</f>
        <v>3500</v>
      </c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2">
        <f>IF(RawData!L62=0,1,0)</f>
        <v>1</v>
      </c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2" t="str">
        <f>RawData!B63</f>
        <v>SG</v>
      </c>
      <c r="E63" s="2" t="str">
        <f>RawData!E63</f>
        <v>Richardson</v>
      </c>
      <c r="F63" s="2">
        <f>(RawData!F63)*M63</f>
        <v>5.1749999999999998</v>
      </c>
      <c r="G63" s="35">
        <f>RawData!H63</f>
        <v>3500</v>
      </c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>
        <f t="shared" si="4"/>
        <v>0</v>
      </c>
      <c r="M63" s="2">
        <f>IF(RawData!L63=0,1,0)</f>
        <v>1</v>
      </c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2" t="str">
        <f>RawData!B64</f>
        <v>SG</v>
      </c>
      <c r="E64" s="2" t="str">
        <f>RawData!E64</f>
        <v>Smith</v>
      </c>
      <c r="F64" s="2">
        <f>(RawData!F64)*M64</f>
        <v>0</v>
      </c>
      <c r="G64" s="35">
        <f>RawData!H64</f>
        <v>3500</v>
      </c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2">
        <f>IF(RawData!L64=0,1,0)</f>
        <v>0</v>
      </c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2" t="str">
        <f>RawData!B65</f>
        <v>SG</v>
      </c>
      <c r="E65" s="2" t="str">
        <f>RawData!E65</f>
        <v>Afflalo</v>
      </c>
      <c r="F65" s="2">
        <f>(RawData!F65)*M65</f>
        <v>12.297872340425499</v>
      </c>
      <c r="G65" s="35">
        <f>RawData!H65</f>
        <v>3500</v>
      </c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2">
        <f>IF(RawData!L65=0,1,0)</f>
        <v>1</v>
      </c>
    </row>
    <row r="66" spans="1:13" x14ac:dyDescent="0.25">
      <c r="A66">
        <f t="shared" ref="A66:A101" si="5">IF(C66=1,D66,0)</f>
        <v>0</v>
      </c>
      <c r="B66">
        <f>IF(C66=0,0,A66&amp;" "&amp;COUNTIF($A$1:$A66,A66))</f>
        <v>0</v>
      </c>
      <c r="C66" s="1">
        <v>0</v>
      </c>
      <c r="D66" s="2" t="str">
        <f>RawData!B66</f>
        <v>C</v>
      </c>
      <c r="E66" s="2" t="str">
        <f>RawData!E66</f>
        <v>Papagiannis</v>
      </c>
      <c r="F66" s="2">
        <f>(RawData!F66)*M66</f>
        <v>0.73333334922790505</v>
      </c>
      <c r="G66" s="35">
        <f>RawData!H66</f>
        <v>3500</v>
      </c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2">
        <f>IF(RawData!L66=0,1,0)</f>
        <v>1</v>
      </c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2" t="str">
        <f>RawData!B67</f>
        <v>SF</v>
      </c>
      <c r="E67" s="2" t="str">
        <f>RawData!E67</f>
        <v>Zipser</v>
      </c>
      <c r="F67" s="2">
        <f>(RawData!F67)*M67</f>
        <v>0</v>
      </c>
      <c r="G67" s="35">
        <f>RawData!H67</f>
        <v>3500</v>
      </c>
      <c r="H67">
        <f t="shared" ref="H67:L101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2">
        <f>IF(RawData!L67=0,1,0)</f>
        <v>0</v>
      </c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2" t="str">
        <f>RawData!B68</f>
        <v>PG</v>
      </c>
      <c r="E68" s="2" t="str">
        <f>RawData!E68</f>
        <v>Felder</v>
      </c>
      <c r="F68" s="2">
        <f>(RawData!F68)*M68</f>
        <v>8.1029411764705799</v>
      </c>
      <c r="G68" s="35">
        <f>RawData!H68</f>
        <v>3500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2">
        <f>IF(RawData!L68=0,1,0)</f>
        <v>1</v>
      </c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2" t="str">
        <f>RawData!B69</f>
        <v>SG</v>
      </c>
      <c r="E69" s="2" t="str">
        <f>RawData!E69</f>
        <v>Jones</v>
      </c>
      <c r="F69" s="2">
        <f>(RawData!F69)*M69</f>
        <v>4.2333332408558197</v>
      </c>
      <c r="G69" s="35">
        <f>RawData!H69</f>
        <v>3500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 s="2">
        <f>IF(RawData!L69=0,1,0)</f>
        <v>1</v>
      </c>
    </row>
    <row r="70" spans="1:13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2" t="str">
        <f>RawData!B70</f>
        <v>PF</v>
      </c>
      <c r="E70" s="2" t="str">
        <f>RawData!E70</f>
        <v>Labissiere</v>
      </c>
      <c r="F70" s="2">
        <f>(RawData!F70)*M70</f>
        <v>5.2000002179826996</v>
      </c>
      <c r="G70" s="35">
        <f>RawData!H70</f>
        <v>3500</v>
      </c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2">
        <f>IF(RawData!L70=0,1,0)</f>
        <v>1</v>
      </c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2" t="str">
        <f>RawData!B71</f>
        <v>PG</v>
      </c>
      <c r="E71" s="2" t="str">
        <f>RawData!E71</f>
        <v>Joseph</v>
      </c>
      <c r="F71" s="2">
        <f>(RawData!F71)*M71</f>
        <v>16.5433959960937</v>
      </c>
      <c r="G71" s="35">
        <f>RawData!H71</f>
        <v>3500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 s="2">
        <f>IF(RawData!L71=0,1,0)</f>
        <v>1</v>
      </c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2" t="str">
        <f>RawData!B72</f>
        <v>C</v>
      </c>
      <c r="E72" s="2" t="str">
        <f>RawData!E72</f>
        <v>Aldrich</v>
      </c>
      <c r="F72" s="2">
        <f>(RawData!F72)*M72</f>
        <v>7.5659997558593703</v>
      </c>
      <c r="G72" s="35">
        <f>RawData!H72</f>
        <v>3500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2">
        <f>IF(RawData!L72=0,1,0)</f>
        <v>1</v>
      </c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2" t="str">
        <f>RawData!B73</f>
        <v>SG</v>
      </c>
      <c r="E73" s="2" t="str">
        <f>RawData!E73</f>
        <v>Rush</v>
      </c>
      <c r="F73" s="2">
        <f>(RawData!F73)*M73</f>
        <v>7.7285715738932197</v>
      </c>
      <c r="G73" s="35">
        <f>RawData!H73</f>
        <v>3500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2">
        <f>IF(RawData!L73=0,1,0)</f>
        <v>1</v>
      </c>
    </row>
    <row r="74" spans="1:13" x14ac:dyDescent="0.25">
      <c r="A74">
        <f t="shared" si="5"/>
        <v>0</v>
      </c>
      <c r="B74">
        <f>IF(C74=0,0,A74&amp;" "&amp;COUNTIF($A$1:$A74,A74))</f>
        <v>0</v>
      </c>
      <c r="C74" s="1">
        <v>0</v>
      </c>
      <c r="D74" s="2" t="str">
        <f>RawData!B74</f>
        <v>SG</v>
      </c>
      <c r="E74" s="2" t="str">
        <f>RawData!E74</f>
        <v>Stephenson</v>
      </c>
      <c r="F74" s="2">
        <f>(RawData!F74)*M74</f>
        <v>15.7777777777777</v>
      </c>
      <c r="G74" s="35">
        <f>RawData!H74</f>
        <v>3500</v>
      </c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>
        <f t="shared" si="6"/>
        <v>0</v>
      </c>
      <c r="M74" s="2">
        <f>IF(RawData!L74=0,1,0)</f>
        <v>1</v>
      </c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2" t="str">
        <f>RawData!B75</f>
        <v>PG</v>
      </c>
      <c r="E75" s="2" t="str">
        <f>RawData!E75</f>
        <v>Huertas</v>
      </c>
      <c r="F75" s="2">
        <f>(RawData!F75)*M75</f>
        <v>7.7863637750799004</v>
      </c>
      <c r="G75" s="35">
        <f>RawData!H75</f>
        <v>3500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2">
        <f>IF(RawData!L75=0,1,0)</f>
        <v>1</v>
      </c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2" t="str">
        <f>RawData!B76</f>
        <v>SF</v>
      </c>
      <c r="E76" s="2" t="str">
        <f>RawData!E76</f>
        <v>World Peace</v>
      </c>
      <c r="F76" s="2">
        <f>(RawData!F76)*M76</f>
        <v>2.4055555131700301</v>
      </c>
      <c r="G76" s="35">
        <f>RawData!H76</f>
        <v>3500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2">
        <f>IF(RawData!L76=0,1,0)</f>
        <v>1</v>
      </c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2" t="str">
        <f>RawData!B77</f>
        <v>PG</v>
      </c>
      <c r="E77" s="2" t="str">
        <f>RawData!E77</f>
        <v>Jones</v>
      </c>
      <c r="F77" s="2">
        <f>(RawData!F77)*M77</f>
        <v>8.5999998204848307</v>
      </c>
      <c r="G77" s="35">
        <f>RawData!H77</f>
        <v>3500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2">
        <f>IF(RawData!L77=0,1,0)</f>
        <v>1</v>
      </c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2" t="str">
        <f>RawData!B78</f>
        <v>SG</v>
      </c>
      <c r="E78" s="2" t="str">
        <f>RawData!E78</f>
        <v>Valentine</v>
      </c>
      <c r="F78" s="2">
        <f>(RawData!F78)*M78</f>
        <v>7.11666666666666</v>
      </c>
      <c r="G78" s="35">
        <f>RawData!H78</f>
        <v>3500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2">
        <f>IF(RawData!L78=0,1,0)</f>
        <v>1</v>
      </c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2" t="str">
        <f>RawData!B79</f>
        <v>SG</v>
      </c>
      <c r="E79" s="2" t="str">
        <f>RawData!E79</f>
        <v>McRae</v>
      </c>
      <c r="F79" s="2">
        <f>(RawData!F79)*M79</f>
        <v>7.0914284842354904</v>
      </c>
      <c r="G79" s="35">
        <f>RawData!H79</f>
        <v>3500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2">
        <f>IF(RawData!L79=0,1,0)</f>
        <v>1</v>
      </c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2" t="str">
        <f>RawData!B80</f>
        <v>PG</v>
      </c>
      <c r="E80" s="2" t="str">
        <f>RawData!E80</f>
        <v>Calderon</v>
      </c>
      <c r="F80" s="2">
        <f>(RawData!F80)*M80</f>
        <v>8.2041664123535103</v>
      </c>
      <c r="G80" s="35">
        <f>RawData!H80</f>
        <v>3500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2">
        <f>IF(RawData!L80=0,1,0)</f>
        <v>1</v>
      </c>
    </row>
    <row r="81" spans="1:13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2" t="str">
        <f>RawData!B81</f>
        <v>PF</v>
      </c>
      <c r="E81" s="2" t="str">
        <f>RawData!E81</f>
        <v>Robinson</v>
      </c>
      <c r="F81" s="2">
        <f>(RawData!F81)*M81</f>
        <v>10.897058823529401</v>
      </c>
      <c r="G81" s="35">
        <f>RawData!H81</f>
        <v>3500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>
        <f t="shared" si="6"/>
        <v>0</v>
      </c>
      <c r="M81" s="2">
        <f>IF(RawData!L81=0,1,0)</f>
        <v>1</v>
      </c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2" t="str">
        <f>RawData!B82</f>
        <v>PF</v>
      </c>
      <c r="E82" s="2" t="str">
        <f>RawData!E82</f>
        <v>Siakam</v>
      </c>
      <c r="F82" s="2">
        <f>(RawData!F82)*M82</f>
        <v>11.2234042553191</v>
      </c>
      <c r="G82" s="35">
        <f>RawData!H82</f>
        <v>3500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2">
        <f>IF(RawData!L82=0,1,0)</f>
        <v>1</v>
      </c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2" t="str">
        <f>RawData!B83</f>
        <v>C</v>
      </c>
      <c r="E83" s="2" t="str">
        <f>RawData!E83</f>
        <v>Felicio</v>
      </c>
      <c r="F83" s="2">
        <f>(RawData!F83)*M83</f>
        <v>12.160870095957801</v>
      </c>
      <c r="G83" s="35">
        <f>RawData!H83</f>
        <v>3500</v>
      </c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2">
        <f>IF(RawData!L83=0,1,0)</f>
        <v>1</v>
      </c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2" t="str">
        <f>RawData!B84</f>
        <v>PF</v>
      </c>
      <c r="E84" s="2" t="str">
        <f>RawData!E84</f>
        <v>Payne</v>
      </c>
      <c r="F84" s="2">
        <f>(RawData!F84)*M84</f>
        <v>0</v>
      </c>
      <c r="G84" s="35">
        <f>RawData!H84</f>
        <v>3500</v>
      </c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2">
        <f>IF(RawData!L84=0,1,0)</f>
        <v>0</v>
      </c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2" t="str">
        <f>RawData!B85</f>
        <v>PG</v>
      </c>
      <c r="E85" s="2" t="str">
        <f>RawData!E85</f>
        <v>Dunn</v>
      </c>
      <c r="F85" s="2">
        <f>(RawData!F85)*M85</f>
        <v>11.264705882352899</v>
      </c>
      <c r="G85" s="35">
        <f>RawData!H85</f>
        <v>3500</v>
      </c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2">
        <f>IF(RawData!L85=0,1,0)</f>
        <v>1</v>
      </c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2" t="str">
        <f>RawData!B86</f>
        <v>PG</v>
      </c>
      <c r="E86" s="2" t="str">
        <f>RawData!E86</f>
        <v>Wright</v>
      </c>
      <c r="F86" s="2">
        <f>(RawData!F86)*M86</f>
        <v>7.4037034776475696</v>
      </c>
      <c r="G86" s="35">
        <f>RawData!H86</f>
        <v>3500</v>
      </c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2">
        <f>IF(RawData!L86=0,1,0)</f>
        <v>1</v>
      </c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2">
        <f>RawData!B87</f>
        <v>0</v>
      </c>
      <c r="E87" s="2">
        <f>RawData!E87</f>
        <v>0</v>
      </c>
      <c r="F87" s="2">
        <f>(RawData!F87)*M87</f>
        <v>0</v>
      </c>
      <c r="G87" s="35">
        <f>RawData!H87</f>
        <v>0</v>
      </c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2">
        <f>IF(RawData!L87=0,1,0)</f>
        <v>1</v>
      </c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2">
        <f>RawData!B88</f>
        <v>0</v>
      </c>
      <c r="E88" s="2">
        <f>RawData!E88</f>
        <v>0</v>
      </c>
      <c r="F88" s="2">
        <f>(RawData!F88)*M88</f>
        <v>0</v>
      </c>
      <c r="G88" s="35">
        <f>RawData!H88</f>
        <v>0</v>
      </c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2">
        <f>IF(RawData!L88=0,1,0)</f>
        <v>1</v>
      </c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2">
        <f>RawData!B89</f>
        <v>0</v>
      </c>
      <c r="E89" s="2">
        <f>RawData!E89</f>
        <v>0</v>
      </c>
      <c r="F89" s="2">
        <f>(RawData!F89)*M89</f>
        <v>0</v>
      </c>
      <c r="G89" s="35">
        <f>RawData!H89</f>
        <v>0</v>
      </c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2">
        <f>IF(RawData!L89=0,1,0)</f>
        <v>1</v>
      </c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2">
        <f>RawData!B90</f>
        <v>0</v>
      </c>
      <c r="E90" s="2">
        <f>RawData!E90</f>
        <v>0</v>
      </c>
      <c r="F90" s="2">
        <f>(RawData!F90)*M90</f>
        <v>0</v>
      </c>
      <c r="G90" s="35">
        <f>RawData!H90</f>
        <v>0</v>
      </c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2">
        <f>IF(RawData!L90=0,1,0)</f>
        <v>1</v>
      </c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2">
        <f>RawData!B91</f>
        <v>0</v>
      </c>
      <c r="E91" s="2">
        <f>RawData!E91</f>
        <v>0</v>
      </c>
      <c r="F91" s="2">
        <f>(RawData!F91)*M91</f>
        <v>0</v>
      </c>
      <c r="G91" s="35">
        <f>RawData!H91</f>
        <v>0</v>
      </c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>
        <f t="shared" si="6"/>
        <v>0</v>
      </c>
      <c r="M91" s="2">
        <f>IF(RawData!L91=0,1,0)</f>
        <v>1</v>
      </c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2">
        <f>RawData!B92</f>
        <v>0</v>
      </c>
      <c r="E92" s="2">
        <f>RawData!E92</f>
        <v>0</v>
      </c>
      <c r="F92" s="2">
        <f>(RawData!F92)*M92</f>
        <v>0</v>
      </c>
      <c r="G92" s="35">
        <f>RawData!H92</f>
        <v>0</v>
      </c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2">
        <f>IF(RawData!L92=0,1,0)</f>
        <v>1</v>
      </c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2">
        <f>RawData!B93</f>
        <v>0</v>
      </c>
      <c r="E93" s="2">
        <f>RawData!E93</f>
        <v>0</v>
      </c>
      <c r="F93" s="2">
        <f>(RawData!F93)*M93</f>
        <v>0</v>
      </c>
      <c r="G93" s="35">
        <f>RawData!H93</f>
        <v>0</v>
      </c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2">
        <f>IF(RawData!L93=0,1,0)</f>
        <v>1</v>
      </c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2">
        <f>RawData!B94</f>
        <v>0</v>
      </c>
      <c r="E94" s="2">
        <f>RawData!E94</f>
        <v>0</v>
      </c>
      <c r="F94" s="2">
        <f>(RawData!F94)*M94</f>
        <v>0</v>
      </c>
      <c r="G94" s="35">
        <f>RawData!H94</f>
        <v>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2">
        <f>IF(RawData!L94=0,1,0)</f>
        <v>1</v>
      </c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2">
        <f>RawData!B95</f>
        <v>0</v>
      </c>
      <c r="E95" s="2">
        <f>RawData!E95</f>
        <v>0</v>
      </c>
      <c r="F95" s="2">
        <f>(RawData!F95)*M95</f>
        <v>0</v>
      </c>
      <c r="G95" s="35">
        <f>RawData!H95</f>
        <v>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2">
        <f>IF(RawData!L95=0,1,0)</f>
        <v>1</v>
      </c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2">
        <f>RawData!B96</f>
        <v>0</v>
      </c>
      <c r="E96" s="2">
        <f>RawData!E96</f>
        <v>0</v>
      </c>
      <c r="F96" s="2">
        <f>(RawData!F96)*M96</f>
        <v>0</v>
      </c>
      <c r="G96" s="35">
        <f>RawData!H96</f>
        <v>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2">
        <f>IF(RawData!L96=0,1,0)</f>
        <v>1</v>
      </c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2">
        <f>RawData!B97</f>
        <v>0</v>
      </c>
      <c r="E97" s="2">
        <f>RawData!E97</f>
        <v>0</v>
      </c>
      <c r="F97" s="2">
        <f>(RawData!F97)*M97</f>
        <v>0</v>
      </c>
      <c r="G97" s="35">
        <f>RawData!H97</f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2">
        <f>IF(RawData!L97=0,1,0)</f>
        <v>1</v>
      </c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2">
        <f>RawData!B98</f>
        <v>0</v>
      </c>
      <c r="E98" s="2">
        <f>RawData!E98</f>
        <v>0</v>
      </c>
      <c r="F98" s="2">
        <f>(RawData!F98)*M98</f>
        <v>0</v>
      </c>
      <c r="G98" s="35">
        <f>RawData!H98</f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2">
        <f>IF(RawData!L98=0,1,0)</f>
        <v>1</v>
      </c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2">
        <f>RawData!B99</f>
        <v>0</v>
      </c>
      <c r="E99" s="2">
        <f>RawData!E99</f>
        <v>0</v>
      </c>
      <c r="F99" s="2">
        <f>(RawData!F99)*M99</f>
        <v>0</v>
      </c>
      <c r="G99" s="35">
        <f>RawData!H99</f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2">
        <f>IF(RawData!L99=0,1,0)</f>
        <v>1</v>
      </c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2">
        <f>RawData!B100</f>
        <v>0</v>
      </c>
      <c r="E100" s="2">
        <f>RawData!E100</f>
        <v>0</v>
      </c>
      <c r="F100" s="2">
        <f>(RawData!F100)*M100</f>
        <v>0</v>
      </c>
      <c r="G100" s="35">
        <f>RawData!H100</f>
        <v>0</v>
      </c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2">
        <f>IF(RawData!L100=0,1,0)</f>
        <v>1</v>
      </c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2">
        <f>RawData!B101</f>
        <v>0</v>
      </c>
      <c r="E101" s="2">
        <f>RawData!E101</f>
        <v>0</v>
      </c>
      <c r="F101" s="2">
        <f>(RawData!F101)*M101</f>
        <v>0</v>
      </c>
      <c r="G101" s="35">
        <f>RawData!H101</f>
        <v>0</v>
      </c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2">
        <f>IF(RawData!L101=0,1,0)</f>
        <v>1</v>
      </c>
    </row>
    <row r="102" spans="1:13" x14ac:dyDescent="0.25">
      <c r="C102" s="1">
        <v>0</v>
      </c>
      <c r="E102" s="2"/>
      <c r="M102" s="2"/>
    </row>
    <row r="103" spans="1:13" x14ac:dyDescent="0.25">
      <c r="C103" s="1">
        <v>0</v>
      </c>
      <c r="E103" s="2"/>
      <c r="M103" s="2"/>
    </row>
    <row r="104" spans="1:13" x14ac:dyDescent="0.25">
      <c r="C104" s="1">
        <v>0</v>
      </c>
      <c r="E104" s="2"/>
      <c r="M104" s="2"/>
    </row>
    <row r="105" spans="1:13" x14ac:dyDescent="0.25">
      <c r="C105" s="1">
        <v>0</v>
      </c>
      <c r="E105" s="2"/>
      <c r="M105" s="2"/>
    </row>
    <row r="106" spans="1:13" x14ac:dyDescent="0.25">
      <c r="C106" s="1">
        <v>0</v>
      </c>
      <c r="E106" s="2"/>
      <c r="M106" s="2"/>
    </row>
    <row r="107" spans="1:13" x14ac:dyDescent="0.25">
      <c r="C107" s="1">
        <v>0</v>
      </c>
      <c r="E107" s="2"/>
      <c r="M107" s="2"/>
    </row>
    <row r="108" spans="1:13" x14ac:dyDescent="0.25">
      <c r="C108" s="1">
        <v>0</v>
      </c>
      <c r="E108" s="2"/>
      <c r="M108" s="2"/>
    </row>
    <row r="109" spans="1:13" x14ac:dyDescent="0.25">
      <c r="C109" s="1">
        <v>0</v>
      </c>
      <c r="E109" s="2"/>
      <c r="M109" s="2"/>
    </row>
    <row r="110" spans="1:13" x14ac:dyDescent="0.25">
      <c r="C110" s="1">
        <v>0</v>
      </c>
      <c r="E110" s="2"/>
      <c r="M110" s="2"/>
    </row>
    <row r="111" spans="1:13" x14ac:dyDescent="0.25">
      <c r="C111" s="1">
        <v>0</v>
      </c>
      <c r="E111" s="2"/>
      <c r="M111" s="2"/>
    </row>
    <row r="112" spans="1:13" x14ac:dyDescent="0.25">
      <c r="C112" s="1">
        <v>0</v>
      </c>
      <c r="E112" s="2"/>
      <c r="M112" s="2"/>
    </row>
    <row r="113" spans="3:13" x14ac:dyDescent="0.25">
      <c r="C113" s="1">
        <v>0</v>
      </c>
      <c r="E113" s="2"/>
      <c r="M113" s="2"/>
    </row>
    <row r="114" spans="3:13" x14ac:dyDescent="0.25">
      <c r="C114" s="1">
        <v>0</v>
      </c>
      <c r="E114" s="2"/>
      <c r="M114" s="2"/>
    </row>
    <row r="115" spans="3:13" x14ac:dyDescent="0.25">
      <c r="C115" s="1">
        <v>0</v>
      </c>
      <c r="E115" s="2"/>
      <c r="M115" s="2"/>
    </row>
    <row r="116" spans="3:13" x14ac:dyDescent="0.25">
      <c r="C116" s="1">
        <v>0</v>
      </c>
      <c r="E116" s="2"/>
      <c r="M116" s="2"/>
    </row>
    <row r="117" spans="3:13" x14ac:dyDescent="0.25">
      <c r="C117" s="1">
        <v>0</v>
      </c>
      <c r="E117" s="2"/>
      <c r="M117" s="2"/>
    </row>
    <row r="118" spans="3:13" x14ac:dyDescent="0.25">
      <c r="C118" s="1">
        <v>0</v>
      </c>
      <c r="E118" s="2"/>
      <c r="M118" s="2"/>
    </row>
    <row r="119" spans="3:13" x14ac:dyDescent="0.25">
      <c r="C119" s="1">
        <v>0</v>
      </c>
      <c r="E119" s="2"/>
      <c r="M119" s="2"/>
    </row>
    <row r="120" spans="3:13" x14ac:dyDescent="0.25">
      <c r="C120" s="1">
        <v>0</v>
      </c>
      <c r="E120" s="2"/>
      <c r="M120" s="2"/>
    </row>
    <row r="121" spans="3:13" x14ac:dyDescent="0.25">
      <c r="C121" s="1">
        <v>0</v>
      </c>
      <c r="E121" s="2"/>
      <c r="M121" s="2"/>
    </row>
    <row r="122" spans="3:13" x14ac:dyDescent="0.25">
      <c r="C122" s="1">
        <v>0</v>
      </c>
      <c r="E122" s="2"/>
      <c r="M122" s="2"/>
    </row>
    <row r="123" spans="3:13" x14ac:dyDescent="0.25">
      <c r="C123" s="1">
        <v>0</v>
      </c>
      <c r="E123" s="2"/>
      <c r="M123" s="2"/>
    </row>
    <row r="124" spans="3:13" x14ac:dyDescent="0.25">
      <c r="C124" s="1">
        <v>0</v>
      </c>
      <c r="E124" s="2"/>
      <c r="M124" s="2"/>
    </row>
    <row r="125" spans="3:13" x14ac:dyDescent="0.25">
      <c r="C125" s="1">
        <v>0</v>
      </c>
      <c r="E125" s="2"/>
      <c r="M125" s="2"/>
    </row>
    <row r="126" spans="3:13" x14ac:dyDescent="0.25">
      <c r="C126" s="1">
        <v>0</v>
      </c>
      <c r="E126" s="2"/>
      <c r="M126" s="2"/>
    </row>
    <row r="127" spans="3:13" x14ac:dyDescent="0.25">
      <c r="C127" s="1">
        <v>0</v>
      </c>
      <c r="E127" s="2"/>
      <c r="M127" s="2"/>
    </row>
    <row r="128" spans="3:13" x14ac:dyDescent="0.25">
      <c r="C128" s="1">
        <v>0</v>
      </c>
      <c r="E128" s="2"/>
      <c r="M128" s="2"/>
    </row>
    <row r="129" spans="3:13" x14ac:dyDescent="0.25">
      <c r="C129" s="1">
        <v>0</v>
      </c>
      <c r="E129" s="2"/>
      <c r="M129" s="2"/>
    </row>
    <row r="130" spans="3:13" x14ac:dyDescent="0.25">
      <c r="C130" s="1">
        <v>0</v>
      </c>
      <c r="E130" s="2"/>
      <c r="M130" s="2"/>
    </row>
    <row r="131" spans="3:13" x14ac:dyDescent="0.25">
      <c r="C131" s="1">
        <v>0</v>
      </c>
      <c r="E131" s="2"/>
      <c r="M131" s="2"/>
    </row>
    <row r="132" spans="3:13" x14ac:dyDescent="0.25">
      <c r="C132" s="1">
        <v>0</v>
      </c>
      <c r="E132" s="2"/>
      <c r="M132" s="2"/>
    </row>
    <row r="133" spans="3:13" x14ac:dyDescent="0.25">
      <c r="C133" s="1">
        <v>0</v>
      </c>
      <c r="E133" s="2"/>
      <c r="M133" s="2"/>
    </row>
    <row r="134" spans="3:13" x14ac:dyDescent="0.25">
      <c r="C134" s="1">
        <v>0</v>
      </c>
      <c r="E134" s="2"/>
      <c r="M134" s="2"/>
    </row>
    <row r="135" spans="3:13" x14ac:dyDescent="0.25">
      <c r="C135" s="1">
        <v>0</v>
      </c>
      <c r="E135" s="2"/>
      <c r="M135" s="2"/>
    </row>
    <row r="136" spans="3:13" x14ac:dyDescent="0.25">
      <c r="C136" s="1">
        <v>0</v>
      </c>
      <c r="E136" s="2"/>
      <c r="M136" s="2"/>
    </row>
    <row r="137" spans="3:13" x14ac:dyDescent="0.25">
      <c r="C137" s="1">
        <v>0</v>
      </c>
      <c r="E137" s="2"/>
      <c r="M137" s="2"/>
    </row>
    <row r="138" spans="3:13" x14ac:dyDescent="0.25">
      <c r="C138" s="1">
        <v>0</v>
      </c>
      <c r="E138" s="2"/>
      <c r="M138" s="2"/>
    </row>
    <row r="139" spans="3:13" x14ac:dyDescent="0.25">
      <c r="C139" s="1">
        <v>0</v>
      </c>
      <c r="E139" s="2"/>
      <c r="M139" s="2"/>
    </row>
    <row r="140" spans="3:13" x14ac:dyDescent="0.25">
      <c r="C140" s="1">
        <v>0</v>
      </c>
      <c r="E140" s="2"/>
      <c r="M140" s="2"/>
    </row>
    <row r="141" spans="3:13" x14ac:dyDescent="0.25">
      <c r="C141" s="1">
        <v>0</v>
      </c>
      <c r="E141" s="2"/>
      <c r="M141" s="2"/>
    </row>
    <row r="142" spans="3:13" x14ac:dyDescent="0.25">
      <c r="C142" s="1">
        <v>0</v>
      </c>
      <c r="E142" s="2"/>
      <c r="M142" s="2"/>
    </row>
    <row r="143" spans="3:13" x14ac:dyDescent="0.25">
      <c r="C143" s="1">
        <v>0</v>
      </c>
      <c r="E143" s="2"/>
      <c r="M143" s="2"/>
    </row>
    <row r="144" spans="3:13" x14ac:dyDescent="0.25">
      <c r="C144" s="1">
        <v>0</v>
      </c>
      <c r="E144" s="2"/>
      <c r="M144" s="2"/>
    </row>
    <row r="145" spans="3:13" x14ac:dyDescent="0.25">
      <c r="C145" s="1">
        <v>0</v>
      </c>
      <c r="E145" s="2"/>
      <c r="M145" s="2"/>
    </row>
    <row r="146" spans="3:13" x14ac:dyDescent="0.25">
      <c r="C146" s="1">
        <v>0</v>
      </c>
      <c r="E146" s="2"/>
      <c r="M146" s="2"/>
    </row>
    <row r="147" spans="3:13" x14ac:dyDescent="0.25">
      <c r="C147" s="1">
        <v>0</v>
      </c>
      <c r="E147" s="2"/>
      <c r="M147" s="2"/>
    </row>
    <row r="148" spans="3:13" x14ac:dyDescent="0.25">
      <c r="C148" s="1">
        <v>0</v>
      </c>
      <c r="E148" s="2"/>
      <c r="M148" s="2"/>
    </row>
    <row r="149" spans="3:13" x14ac:dyDescent="0.25">
      <c r="C149" s="1">
        <v>0</v>
      </c>
      <c r="E149" s="2"/>
      <c r="M149" s="2"/>
    </row>
    <row r="150" spans="3:13" x14ac:dyDescent="0.25">
      <c r="C150" s="1">
        <v>0</v>
      </c>
      <c r="E150" s="2"/>
      <c r="M150" s="2"/>
    </row>
    <row r="151" spans="3:13" x14ac:dyDescent="0.25">
      <c r="C151" s="1"/>
      <c r="E151" s="2"/>
    </row>
    <row r="152" spans="3:13" x14ac:dyDescent="0.25">
      <c r="C152" s="1"/>
      <c r="E152" s="2"/>
    </row>
    <row r="153" spans="3:13" x14ac:dyDescent="0.25">
      <c r="C153" s="1"/>
      <c r="E153" s="2"/>
    </row>
    <row r="154" spans="3:13" x14ac:dyDescent="0.25">
      <c r="C154" s="1"/>
      <c r="E154" s="2"/>
    </row>
    <row r="155" spans="3:13" x14ac:dyDescent="0.25">
      <c r="C155" s="1"/>
      <c r="E155" s="2"/>
    </row>
    <row r="156" spans="3:13" x14ac:dyDescent="0.25">
      <c r="C156" s="1"/>
      <c r="E156" s="2"/>
    </row>
    <row r="157" spans="3:13" x14ac:dyDescent="0.25">
      <c r="C157" s="1"/>
      <c r="E157" s="2"/>
    </row>
    <row r="158" spans="3:13" x14ac:dyDescent="0.25">
      <c r="C158" s="1"/>
      <c r="E158" s="2"/>
    </row>
    <row r="159" spans="3:13" x14ac:dyDescent="0.25">
      <c r="C159" s="1"/>
      <c r="E159" s="2"/>
    </row>
    <row r="160" spans="3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86"/>
  <sheetViews>
    <sheetView workbookViewId="0">
      <selection activeCell="G23" sqref="G23"/>
    </sheetView>
  </sheetViews>
  <sheetFormatPr defaultRowHeight="15" x14ac:dyDescent="0.25"/>
  <cols>
    <col min="1" max="16384" width="9.140625" style="2"/>
  </cols>
  <sheetData>
    <row r="1" spans="1:13" x14ac:dyDescent="0.25">
      <c r="A1" s="2" t="s">
        <v>33</v>
      </c>
      <c r="B1" s="2" t="s">
        <v>0</v>
      </c>
      <c r="C1" s="2" t="s">
        <v>34</v>
      </c>
      <c r="D1" s="2" t="s">
        <v>35</v>
      </c>
      <c r="E1" s="2" t="s">
        <v>36</v>
      </c>
      <c r="F1" s="2" t="s">
        <v>37</v>
      </c>
      <c r="G1" s="2" t="s">
        <v>38</v>
      </c>
      <c r="H1" s="2" t="s">
        <v>39</v>
      </c>
      <c r="I1" s="2" t="s">
        <v>1</v>
      </c>
      <c r="J1" s="2" t="s">
        <v>2</v>
      </c>
      <c r="K1" s="2" t="s">
        <v>40</v>
      </c>
      <c r="L1" s="2" t="s">
        <v>41</v>
      </c>
      <c r="M1" s="2" t="s">
        <v>42</v>
      </c>
    </row>
    <row r="2" spans="1:13" x14ac:dyDescent="0.25">
      <c r="A2" s="2" t="s">
        <v>154</v>
      </c>
      <c r="B2" s="2" t="s">
        <v>6</v>
      </c>
      <c r="C2" s="2" t="s">
        <v>47</v>
      </c>
      <c r="E2" s="2" t="s">
        <v>43</v>
      </c>
      <c r="F2" s="2">
        <v>48.132001953124998</v>
      </c>
      <c r="G2" s="2">
        <v>50</v>
      </c>
      <c r="H2" s="2">
        <v>11500</v>
      </c>
      <c r="I2" s="2" t="s">
        <v>155</v>
      </c>
      <c r="J2" s="2" t="s">
        <v>46</v>
      </c>
      <c r="K2" s="2" t="s">
        <v>112</v>
      </c>
    </row>
    <row r="3" spans="1:13" x14ac:dyDescent="0.25">
      <c r="A3" s="2" t="s">
        <v>156</v>
      </c>
      <c r="B3" s="2" t="s">
        <v>7</v>
      </c>
      <c r="C3" s="2" t="s">
        <v>157</v>
      </c>
      <c r="E3" s="2" t="s">
        <v>158</v>
      </c>
      <c r="F3" s="2">
        <v>49.571699034492902</v>
      </c>
      <c r="G3" s="2">
        <v>53</v>
      </c>
      <c r="H3" s="2">
        <v>11400</v>
      </c>
      <c r="I3" s="2" t="s">
        <v>159</v>
      </c>
      <c r="J3" s="2" t="s">
        <v>108</v>
      </c>
      <c r="K3" s="2" t="s">
        <v>111</v>
      </c>
    </row>
    <row r="4" spans="1:13" x14ac:dyDescent="0.25">
      <c r="A4" s="2" t="s">
        <v>160</v>
      </c>
      <c r="B4" s="2" t="s">
        <v>7</v>
      </c>
      <c r="C4" s="2" t="s">
        <v>161</v>
      </c>
      <c r="E4" s="2" t="s">
        <v>162</v>
      </c>
      <c r="F4" s="2">
        <v>43.774547230113598</v>
      </c>
      <c r="G4" s="2">
        <v>55</v>
      </c>
      <c r="H4" s="2">
        <v>10400</v>
      </c>
      <c r="I4" s="2" t="s">
        <v>155</v>
      </c>
      <c r="J4" s="2" t="s">
        <v>112</v>
      </c>
      <c r="K4" s="2" t="s">
        <v>46</v>
      </c>
    </row>
    <row r="5" spans="1:13" x14ac:dyDescent="0.25">
      <c r="A5" s="2" t="s">
        <v>163</v>
      </c>
      <c r="B5" s="2" t="s">
        <v>6</v>
      </c>
      <c r="C5" s="2" t="s">
        <v>164</v>
      </c>
      <c r="E5" s="2" t="s">
        <v>165</v>
      </c>
      <c r="F5" s="2">
        <v>41.448979591836697</v>
      </c>
      <c r="G5" s="2">
        <v>49</v>
      </c>
      <c r="H5" s="2">
        <v>9300</v>
      </c>
      <c r="I5" s="2" t="s">
        <v>166</v>
      </c>
      <c r="J5" s="2" t="s">
        <v>118</v>
      </c>
      <c r="K5" s="2" t="s">
        <v>167</v>
      </c>
      <c r="L5" s="2" t="s">
        <v>64</v>
      </c>
      <c r="M5" s="2" t="s">
        <v>168</v>
      </c>
    </row>
    <row r="6" spans="1:13" x14ac:dyDescent="0.25">
      <c r="A6" s="2" t="s">
        <v>169</v>
      </c>
      <c r="B6" s="2" t="s">
        <v>3</v>
      </c>
      <c r="C6" s="2" t="s">
        <v>57</v>
      </c>
      <c r="E6" s="2" t="s">
        <v>58</v>
      </c>
      <c r="F6" s="2">
        <v>37.227658535571798</v>
      </c>
      <c r="G6" s="2">
        <v>47</v>
      </c>
      <c r="H6" s="2">
        <v>9000</v>
      </c>
      <c r="I6" s="2" t="s">
        <v>155</v>
      </c>
      <c r="J6" s="2" t="s">
        <v>46</v>
      </c>
      <c r="K6" s="2" t="s">
        <v>112</v>
      </c>
    </row>
    <row r="7" spans="1:13" x14ac:dyDescent="0.25">
      <c r="A7" s="2" t="s">
        <v>170</v>
      </c>
      <c r="B7" s="2" t="s">
        <v>8</v>
      </c>
      <c r="C7" s="2" t="s">
        <v>171</v>
      </c>
      <c r="E7" s="2" t="s">
        <v>172</v>
      </c>
      <c r="F7" s="2">
        <v>40.289583841959598</v>
      </c>
      <c r="G7" s="2">
        <v>48</v>
      </c>
      <c r="H7" s="2">
        <v>8700</v>
      </c>
      <c r="I7" s="2" t="s">
        <v>166</v>
      </c>
      <c r="J7" s="2" t="s">
        <v>167</v>
      </c>
      <c r="K7" s="2" t="s">
        <v>118</v>
      </c>
    </row>
    <row r="8" spans="1:13" x14ac:dyDescent="0.25">
      <c r="A8" s="2" t="s">
        <v>173</v>
      </c>
      <c r="B8" s="2" t="s">
        <v>3</v>
      </c>
      <c r="C8" s="2" t="s">
        <v>80</v>
      </c>
      <c r="E8" s="2" t="s">
        <v>174</v>
      </c>
      <c r="F8" s="2">
        <v>39.748146339698998</v>
      </c>
      <c r="G8" s="2">
        <v>54</v>
      </c>
      <c r="H8" s="2">
        <v>8500</v>
      </c>
      <c r="I8" s="2" t="s">
        <v>166</v>
      </c>
      <c r="J8" s="2" t="s">
        <v>167</v>
      </c>
      <c r="K8" s="2" t="s">
        <v>118</v>
      </c>
    </row>
    <row r="9" spans="1:13" x14ac:dyDescent="0.25">
      <c r="A9" s="2" t="s">
        <v>175</v>
      </c>
      <c r="B9" s="2" t="s">
        <v>5</v>
      </c>
      <c r="C9" s="2" t="s">
        <v>51</v>
      </c>
      <c r="E9" s="2" t="s">
        <v>52</v>
      </c>
      <c r="F9" s="2">
        <v>36.586956521739097</v>
      </c>
      <c r="G9" s="2">
        <v>46</v>
      </c>
      <c r="H9" s="2">
        <v>8100</v>
      </c>
      <c r="I9" s="2" t="s">
        <v>155</v>
      </c>
      <c r="J9" s="2" t="s">
        <v>46</v>
      </c>
      <c r="K9" s="2" t="s">
        <v>112</v>
      </c>
      <c r="L9" s="2" t="s">
        <v>55</v>
      </c>
      <c r="M9" s="2" t="s">
        <v>56</v>
      </c>
    </row>
    <row r="10" spans="1:13" x14ac:dyDescent="0.25">
      <c r="A10" s="2" t="s">
        <v>176</v>
      </c>
      <c r="B10" s="2" t="s">
        <v>6</v>
      </c>
      <c r="C10" s="2" t="s">
        <v>75</v>
      </c>
      <c r="E10" s="2" t="s">
        <v>177</v>
      </c>
      <c r="F10" s="2">
        <v>31.541819069602202</v>
      </c>
      <c r="G10" s="2">
        <v>55</v>
      </c>
      <c r="H10" s="2">
        <v>7900</v>
      </c>
      <c r="I10" s="2" t="s">
        <v>155</v>
      </c>
      <c r="J10" s="2" t="s">
        <v>112</v>
      </c>
      <c r="K10" s="2" t="s">
        <v>46</v>
      </c>
    </row>
    <row r="11" spans="1:13" x14ac:dyDescent="0.25">
      <c r="A11" s="2" t="s">
        <v>178</v>
      </c>
      <c r="B11" s="2" t="s">
        <v>8</v>
      </c>
      <c r="C11" s="2" t="s">
        <v>179</v>
      </c>
      <c r="E11" s="2" t="s">
        <v>151</v>
      </c>
      <c r="F11" s="2">
        <v>32.649998982747398</v>
      </c>
      <c r="G11" s="2">
        <v>48</v>
      </c>
      <c r="H11" s="2">
        <v>7900</v>
      </c>
      <c r="I11" s="2" t="s">
        <v>166</v>
      </c>
      <c r="J11" s="2" t="s">
        <v>118</v>
      </c>
      <c r="K11" s="2" t="s">
        <v>167</v>
      </c>
      <c r="L11" s="2" t="s">
        <v>64</v>
      </c>
      <c r="M11" s="2" t="s">
        <v>121</v>
      </c>
    </row>
    <row r="12" spans="1:13" x14ac:dyDescent="0.25">
      <c r="A12" s="2" t="s">
        <v>180</v>
      </c>
      <c r="B12" s="2" t="s">
        <v>3</v>
      </c>
      <c r="C12" s="2" t="s">
        <v>181</v>
      </c>
      <c r="E12" s="2" t="s">
        <v>182</v>
      </c>
      <c r="F12" s="2">
        <v>27.359183175223201</v>
      </c>
      <c r="G12" s="2">
        <v>49</v>
      </c>
      <c r="H12" s="2">
        <v>6800</v>
      </c>
      <c r="I12" s="2" t="s">
        <v>155</v>
      </c>
      <c r="J12" s="2" t="s">
        <v>112</v>
      </c>
      <c r="K12" s="2" t="s">
        <v>46</v>
      </c>
    </row>
    <row r="13" spans="1:13" x14ac:dyDescent="0.25">
      <c r="A13" s="2" t="s">
        <v>183</v>
      </c>
      <c r="B13" s="2" t="s">
        <v>7</v>
      </c>
      <c r="C13" s="2" t="s">
        <v>66</v>
      </c>
      <c r="E13" s="2" t="s">
        <v>67</v>
      </c>
      <c r="F13" s="2">
        <v>23.528301886792399</v>
      </c>
      <c r="G13" s="2">
        <v>53</v>
      </c>
      <c r="H13" s="2">
        <v>6400</v>
      </c>
      <c r="I13" s="2" t="s">
        <v>155</v>
      </c>
      <c r="J13" s="2" t="s">
        <v>46</v>
      </c>
      <c r="K13" s="2" t="s">
        <v>112</v>
      </c>
    </row>
    <row r="14" spans="1:13" x14ac:dyDescent="0.25">
      <c r="A14" s="2" t="s">
        <v>184</v>
      </c>
      <c r="B14" s="2" t="s">
        <v>8</v>
      </c>
      <c r="C14" s="2" t="s">
        <v>185</v>
      </c>
      <c r="E14" s="2" t="s">
        <v>63</v>
      </c>
      <c r="F14" s="2">
        <v>26.219643729073599</v>
      </c>
      <c r="G14" s="2">
        <v>56</v>
      </c>
      <c r="H14" s="2">
        <v>6100</v>
      </c>
      <c r="I14" s="2" t="s">
        <v>159</v>
      </c>
      <c r="J14" s="2" t="s">
        <v>111</v>
      </c>
      <c r="K14" s="2" t="s">
        <v>108</v>
      </c>
    </row>
    <row r="15" spans="1:13" x14ac:dyDescent="0.25">
      <c r="A15" s="2" t="s">
        <v>186</v>
      </c>
      <c r="B15" s="2" t="s">
        <v>7</v>
      </c>
      <c r="C15" s="2" t="s">
        <v>105</v>
      </c>
      <c r="E15" s="2" t="s">
        <v>187</v>
      </c>
      <c r="F15" s="2">
        <v>26.4037740455483</v>
      </c>
      <c r="G15" s="2">
        <v>53</v>
      </c>
      <c r="H15" s="2">
        <v>5900</v>
      </c>
      <c r="I15" s="2" t="s">
        <v>166</v>
      </c>
      <c r="J15" s="2" t="s">
        <v>167</v>
      </c>
      <c r="K15" s="2" t="s">
        <v>118</v>
      </c>
    </row>
    <row r="16" spans="1:13" x14ac:dyDescent="0.25">
      <c r="A16" s="2" t="s">
        <v>188</v>
      </c>
      <c r="B16" s="2" t="s">
        <v>3</v>
      </c>
      <c r="C16" s="2" t="s">
        <v>189</v>
      </c>
      <c r="E16" s="2" t="s">
        <v>45</v>
      </c>
      <c r="F16" s="2">
        <v>26.347500610351499</v>
      </c>
      <c r="G16" s="2">
        <v>40</v>
      </c>
      <c r="H16" s="2">
        <v>5900</v>
      </c>
      <c r="I16" s="2" t="s">
        <v>159</v>
      </c>
      <c r="J16" s="2" t="s">
        <v>111</v>
      </c>
      <c r="K16" s="2" t="s">
        <v>108</v>
      </c>
    </row>
    <row r="17" spans="1:13" x14ac:dyDescent="0.25">
      <c r="A17" s="2" t="s">
        <v>190</v>
      </c>
      <c r="B17" s="2" t="s">
        <v>3</v>
      </c>
      <c r="C17" s="2" t="s">
        <v>191</v>
      </c>
      <c r="E17" s="2" t="s">
        <v>99</v>
      </c>
      <c r="F17" s="2">
        <v>23.178723923703402</v>
      </c>
      <c r="G17" s="2">
        <v>47</v>
      </c>
      <c r="H17" s="2">
        <v>5700</v>
      </c>
      <c r="I17" s="2" t="s">
        <v>159</v>
      </c>
      <c r="J17" s="2" t="s">
        <v>108</v>
      </c>
      <c r="K17" s="2" t="s">
        <v>111</v>
      </c>
    </row>
    <row r="18" spans="1:13" x14ac:dyDescent="0.25">
      <c r="A18" s="2" t="s">
        <v>192</v>
      </c>
      <c r="B18" s="2" t="s">
        <v>5</v>
      </c>
      <c r="C18" s="2" t="s">
        <v>193</v>
      </c>
      <c r="E18" s="2" t="s">
        <v>93</v>
      </c>
      <c r="F18" s="2">
        <v>27.806248982747299</v>
      </c>
      <c r="G18" s="2">
        <v>48</v>
      </c>
      <c r="H18" s="2">
        <v>5700</v>
      </c>
      <c r="I18" s="2" t="s">
        <v>159</v>
      </c>
      <c r="J18" s="2" t="s">
        <v>111</v>
      </c>
      <c r="K18" s="2" t="s">
        <v>108</v>
      </c>
    </row>
    <row r="19" spans="1:13" x14ac:dyDescent="0.25">
      <c r="A19" s="2" t="s">
        <v>194</v>
      </c>
      <c r="B19" s="2" t="s">
        <v>5</v>
      </c>
      <c r="C19" s="2" t="s">
        <v>195</v>
      </c>
      <c r="E19" s="2" t="s">
        <v>196</v>
      </c>
      <c r="F19" s="2">
        <v>25.427272727272701</v>
      </c>
      <c r="G19" s="2">
        <v>55</v>
      </c>
      <c r="H19" s="2">
        <v>5600</v>
      </c>
      <c r="I19" s="2" t="s">
        <v>155</v>
      </c>
      <c r="J19" s="2" t="s">
        <v>112</v>
      </c>
      <c r="K19" s="2" t="s">
        <v>46</v>
      </c>
    </row>
    <row r="20" spans="1:13" x14ac:dyDescent="0.25">
      <c r="A20" s="2" t="s">
        <v>197</v>
      </c>
      <c r="B20" s="2" t="s">
        <v>6</v>
      </c>
      <c r="C20" s="2" t="s">
        <v>198</v>
      </c>
      <c r="E20" s="2" t="s">
        <v>62</v>
      </c>
      <c r="F20" s="2">
        <v>18.396153376652599</v>
      </c>
      <c r="G20" s="2">
        <v>52</v>
      </c>
      <c r="H20" s="2">
        <v>5100</v>
      </c>
      <c r="I20" s="2" t="s">
        <v>159</v>
      </c>
      <c r="J20" s="2" t="s">
        <v>108</v>
      </c>
      <c r="K20" s="2" t="s">
        <v>111</v>
      </c>
    </row>
    <row r="21" spans="1:13" x14ac:dyDescent="0.25">
      <c r="A21" s="2" t="s">
        <v>199</v>
      </c>
      <c r="B21" s="2" t="s">
        <v>7</v>
      </c>
      <c r="C21" s="2" t="s">
        <v>200</v>
      </c>
      <c r="E21" s="2" t="s">
        <v>149</v>
      </c>
      <c r="F21" s="2">
        <v>21.9054554332386</v>
      </c>
      <c r="G21" s="2">
        <v>55</v>
      </c>
      <c r="H21" s="2">
        <v>4800</v>
      </c>
      <c r="I21" s="2" t="s">
        <v>166</v>
      </c>
      <c r="J21" s="2" t="s">
        <v>118</v>
      </c>
      <c r="K21" s="2" t="s">
        <v>167</v>
      </c>
    </row>
    <row r="22" spans="1:13" x14ac:dyDescent="0.25">
      <c r="A22" s="2" t="s">
        <v>201</v>
      </c>
      <c r="B22" s="2" t="s">
        <v>3</v>
      </c>
      <c r="C22" s="2" t="s">
        <v>202</v>
      </c>
      <c r="E22" s="2" t="s">
        <v>203</v>
      </c>
      <c r="F22" s="2">
        <v>23.086956521739101</v>
      </c>
      <c r="G22" s="2">
        <v>46</v>
      </c>
      <c r="H22" s="2">
        <v>4800</v>
      </c>
      <c r="I22" s="2" t="s">
        <v>166</v>
      </c>
      <c r="J22" s="2" t="s">
        <v>118</v>
      </c>
      <c r="K22" s="2" t="s">
        <v>167</v>
      </c>
    </row>
    <row r="23" spans="1:13" x14ac:dyDescent="0.25">
      <c r="A23" s="2" t="s">
        <v>204</v>
      </c>
      <c r="B23" s="2" t="s">
        <v>5</v>
      </c>
      <c r="C23" s="2" t="s">
        <v>205</v>
      </c>
      <c r="E23" s="2" t="s">
        <v>87</v>
      </c>
      <c r="F23" s="2">
        <v>23.0566037735849</v>
      </c>
      <c r="G23" s="2">
        <v>53</v>
      </c>
      <c r="H23" s="2">
        <v>4600</v>
      </c>
      <c r="I23" s="2" t="s">
        <v>166</v>
      </c>
      <c r="J23" s="2" t="s">
        <v>118</v>
      </c>
      <c r="K23" s="2" t="s">
        <v>167</v>
      </c>
    </row>
    <row r="24" spans="1:13" x14ac:dyDescent="0.25">
      <c r="A24" s="2" t="s">
        <v>206</v>
      </c>
      <c r="B24" s="2" t="s">
        <v>8</v>
      </c>
      <c r="C24" s="2" t="s">
        <v>98</v>
      </c>
      <c r="E24" s="2" t="s">
        <v>97</v>
      </c>
      <c r="F24" s="2">
        <v>19.663265306122401</v>
      </c>
      <c r="G24" s="2">
        <v>49</v>
      </c>
      <c r="H24" s="2">
        <v>4600</v>
      </c>
      <c r="I24" s="2" t="s">
        <v>159</v>
      </c>
      <c r="J24" s="2" t="s">
        <v>111</v>
      </c>
      <c r="K24" s="2" t="s">
        <v>108</v>
      </c>
    </row>
    <row r="25" spans="1:13" x14ac:dyDescent="0.25">
      <c r="A25" s="2" t="s">
        <v>207</v>
      </c>
      <c r="B25" s="2" t="s">
        <v>8</v>
      </c>
      <c r="C25" s="2" t="s">
        <v>69</v>
      </c>
      <c r="E25" s="2" t="s">
        <v>208</v>
      </c>
      <c r="F25" s="2">
        <v>18.612500508626301</v>
      </c>
      <c r="G25" s="2">
        <v>24</v>
      </c>
      <c r="H25" s="2">
        <v>4600</v>
      </c>
      <c r="I25" s="2" t="s">
        <v>166</v>
      </c>
      <c r="J25" s="2" t="s">
        <v>118</v>
      </c>
      <c r="K25" s="2" t="s">
        <v>167</v>
      </c>
    </row>
    <row r="26" spans="1:13" x14ac:dyDescent="0.25">
      <c r="A26" s="2" t="s">
        <v>209</v>
      </c>
      <c r="B26" s="2" t="s">
        <v>5</v>
      </c>
      <c r="C26" s="2" t="s">
        <v>73</v>
      </c>
      <c r="E26" s="2" t="s">
        <v>74</v>
      </c>
      <c r="F26" s="2">
        <v>15.2804353133491</v>
      </c>
      <c r="G26" s="2">
        <v>46</v>
      </c>
      <c r="H26" s="2">
        <v>4600</v>
      </c>
      <c r="I26" s="2" t="s">
        <v>155</v>
      </c>
      <c r="J26" s="2" t="s">
        <v>46</v>
      </c>
      <c r="K26" s="2" t="s">
        <v>112</v>
      </c>
    </row>
    <row r="27" spans="1:13" x14ac:dyDescent="0.25">
      <c r="A27" s="2" t="s">
        <v>210</v>
      </c>
      <c r="B27" s="2" t="s">
        <v>3</v>
      </c>
      <c r="C27" s="2" t="s">
        <v>211</v>
      </c>
      <c r="E27" s="2" t="s">
        <v>212</v>
      </c>
      <c r="F27" s="2">
        <v>19.447058584175799</v>
      </c>
      <c r="G27" s="2">
        <v>51</v>
      </c>
      <c r="H27" s="2">
        <v>4600</v>
      </c>
      <c r="I27" s="2" t="s">
        <v>159</v>
      </c>
      <c r="J27" s="2" t="s">
        <v>108</v>
      </c>
      <c r="K27" s="2" t="s">
        <v>111</v>
      </c>
      <c r="L27" s="2" t="s">
        <v>64</v>
      </c>
      <c r="M27" s="2" t="s">
        <v>213</v>
      </c>
    </row>
    <row r="28" spans="1:13" x14ac:dyDescent="0.25">
      <c r="A28" s="2" t="s">
        <v>214</v>
      </c>
      <c r="B28" s="2" t="s">
        <v>3</v>
      </c>
      <c r="C28" s="2" t="s">
        <v>94</v>
      </c>
      <c r="E28" s="2" t="s">
        <v>215</v>
      </c>
      <c r="F28" s="2">
        <v>21.091070992605999</v>
      </c>
      <c r="G28" s="2">
        <v>56</v>
      </c>
      <c r="H28" s="2">
        <v>4500</v>
      </c>
      <c r="I28" s="2" t="s">
        <v>159</v>
      </c>
      <c r="J28" s="2" t="s">
        <v>111</v>
      </c>
      <c r="K28" s="2" t="s">
        <v>108</v>
      </c>
    </row>
    <row r="29" spans="1:13" x14ac:dyDescent="0.25">
      <c r="A29" s="2" t="s">
        <v>216</v>
      </c>
      <c r="B29" s="2" t="s">
        <v>5</v>
      </c>
      <c r="C29" s="2" t="s">
        <v>217</v>
      </c>
      <c r="E29" s="2" t="s">
        <v>218</v>
      </c>
      <c r="F29" s="2">
        <v>18.532432762352101</v>
      </c>
      <c r="G29" s="2">
        <v>37</v>
      </c>
      <c r="H29" s="2">
        <v>4300</v>
      </c>
      <c r="I29" s="2" t="s">
        <v>159</v>
      </c>
      <c r="J29" s="2" t="s">
        <v>111</v>
      </c>
      <c r="K29" s="2" t="s">
        <v>108</v>
      </c>
    </row>
    <row r="30" spans="1:13" x14ac:dyDescent="0.25">
      <c r="A30" s="2" t="s">
        <v>219</v>
      </c>
      <c r="B30" s="2" t="s">
        <v>7</v>
      </c>
      <c r="C30" s="2" t="s">
        <v>220</v>
      </c>
      <c r="E30" s="2" t="s">
        <v>221</v>
      </c>
      <c r="F30" s="2">
        <v>14.8068181818181</v>
      </c>
      <c r="G30" s="2">
        <v>44</v>
      </c>
      <c r="H30" s="2">
        <v>4200</v>
      </c>
      <c r="I30" s="2" t="s">
        <v>159</v>
      </c>
      <c r="J30" s="2" t="s">
        <v>111</v>
      </c>
      <c r="K30" s="2" t="s">
        <v>108</v>
      </c>
    </row>
    <row r="31" spans="1:13" x14ac:dyDescent="0.25">
      <c r="A31" s="2" t="s">
        <v>222</v>
      </c>
      <c r="B31" s="2" t="s">
        <v>6</v>
      </c>
      <c r="C31" s="2" t="s">
        <v>223</v>
      </c>
      <c r="E31" s="2" t="s">
        <v>224</v>
      </c>
      <c r="F31" s="2">
        <v>18.161999511718701</v>
      </c>
      <c r="G31" s="2">
        <v>50</v>
      </c>
      <c r="H31" s="2">
        <v>4200</v>
      </c>
      <c r="I31" s="2" t="s">
        <v>166</v>
      </c>
      <c r="J31" s="2" t="s">
        <v>167</v>
      </c>
      <c r="K31" s="2" t="s">
        <v>118</v>
      </c>
    </row>
    <row r="32" spans="1:13" x14ac:dyDescent="0.25">
      <c r="A32" s="2" t="s">
        <v>225</v>
      </c>
      <c r="B32" s="2" t="s">
        <v>5</v>
      </c>
      <c r="C32" s="2" t="s">
        <v>70</v>
      </c>
      <c r="E32" s="2" t="s">
        <v>63</v>
      </c>
      <c r="F32" s="2">
        <v>10.7518513997395</v>
      </c>
      <c r="G32" s="2">
        <v>27</v>
      </c>
      <c r="H32" s="2">
        <v>4100</v>
      </c>
      <c r="I32" s="2" t="s">
        <v>155</v>
      </c>
      <c r="J32" s="2" t="s">
        <v>46</v>
      </c>
      <c r="K32" s="2" t="s">
        <v>112</v>
      </c>
    </row>
    <row r="33" spans="1:13" x14ac:dyDescent="0.25">
      <c r="A33" s="2" t="s">
        <v>226</v>
      </c>
      <c r="B33" s="2" t="s">
        <v>8</v>
      </c>
      <c r="C33" s="2" t="s">
        <v>227</v>
      </c>
      <c r="E33" s="2" t="s">
        <v>228</v>
      </c>
      <c r="F33" s="2">
        <v>16.4979596819196</v>
      </c>
      <c r="G33" s="2">
        <v>49</v>
      </c>
      <c r="H33" s="2">
        <v>4100</v>
      </c>
      <c r="I33" s="2" t="s">
        <v>159</v>
      </c>
      <c r="J33" s="2" t="s">
        <v>108</v>
      </c>
      <c r="K33" s="2" t="s">
        <v>111</v>
      </c>
      <c r="L33" s="2" t="s">
        <v>55</v>
      </c>
      <c r="M33" s="2" t="s">
        <v>76</v>
      </c>
    </row>
    <row r="34" spans="1:13" x14ac:dyDescent="0.25">
      <c r="A34" s="2" t="s">
        <v>229</v>
      </c>
      <c r="B34" s="2" t="s">
        <v>8</v>
      </c>
      <c r="C34" s="2" t="s">
        <v>71</v>
      </c>
      <c r="E34" s="2" t="s">
        <v>230</v>
      </c>
      <c r="F34" s="2">
        <v>9.7925003051757802</v>
      </c>
      <c r="G34" s="2">
        <v>40</v>
      </c>
      <c r="H34" s="2">
        <v>4100</v>
      </c>
      <c r="I34" s="2" t="s">
        <v>159</v>
      </c>
      <c r="J34" s="2" t="s">
        <v>108</v>
      </c>
      <c r="K34" s="2" t="s">
        <v>111</v>
      </c>
    </row>
    <row r="35" spans="1:13" x14ac:dyDescent="0.25">
      <c r="A35" s="2" t="s">
        <v>231</v>
      </c>
      <c r="B35" s="2" t="s">
        <v>8</v>
      </c>
      <c r="C35" s="2" t="s">
        <v>80</v>
      </c>
      <c r="E35" s="2" t="s">
        <v>81</v>
      </c>
      <c r="F35" s="2">
        <v>16.6693875059789</v>
      </c>
      <c r="G35" s="2">
        <v>49</v>
      </c>
      <c r="H35" s="2">
        <v>4000</v>
      </c>
      <c r="I35" s="2" t="s">
        <v>155</v>
      </c>
      <c r="J35" s="2" t="s">
        <v>46</v>
      </c>
      <c r="K35" s="2" t="s">
        <v>112</v>
      </c>
    </row>
    <row r="36" spans="1:13" x14ac:dyDescent="0.25">
      <c r="A36" s="2" t="s">
        <v>232</v>
      </c>
      <c r="B36" s="2" t="s">
        <v>7</v>
      </c>
      <c r="C36" s="2" t="s">
        <v>233</v>
      </c>
      <c r="E36" s="2" t="s">
        <v>234</v>
      </c>
      <c r="F36" s="2">
        <v>17.276087221891899</v>
      </c>
      <c r="G36" s="2">
        <v>46</v>
      </c>
      <c r="H36" s="2">
        <v>3900</v>
      </c>
      <c r="I36" s="2" t="s">
        <v>166</v>
      </c>
      <c r="J36" s="2" t="s">
        <v>167</v>
      </c>
      <c r="K36" s="2" t="s">
        <v>118</v>
      </c>
    </row>
    <row r="37" spans="1:13" x14ac:dyDescent="0.25">
      <c r="A37" s="2" t="s">
        <v>235</v>
      </c>
      <c r="B37" s="2" t="s">
        <v>8</v>
      </c>
      <c r="C37" s="2" t="s">
        <v>236</v>
      </c>
      <c r="E37" s="2" t="s">
        <v>92</v>
      </c>
      <c r="F37" s="2">
        <v>11.994117886412299</v>
      </c>
      <c r="G37" s="2">
        <v>51</v>
      </c>
      <c r="H37" s="2">
        <v>3900</v>
      </c>
      <c r="I37" s="2" t="s">
        <v>166</v>
      </c>
      <c r="J37" s="2" t="s">
        <v>167</v>
      </c>
      <c r="K37" s="2" t="s">
        <v>118</v>
      </c>
    </row>
    <row r="38" spans="1:13" x14ac:dyDescent="0.25">
      <c r="A38" s="2" t="s">
        <v>237</v>
      </c>
      <c r="B38" s="2" t="s">
        <v>6</v>
      </c>
      <c r="C38" s="2" t="s">
        <v>152</v>
      </c>
      <c r="E38" s="2" t="s">
        <v>238</v>
      </c>
      <c r="F38" s="2">
        <v>13.462744619332099</v>
      </c>
      <c r="G38" s="2">
        <v>51</v>
      </c>
      <c r="H38" s="2">
        <v>3900</v>
      </c>
      <c r="I38" s="2" t="s">
        <v>155</v>
      </c>
      <c r="J38" s="2" t="s">
        <v>112</v>
      </c>
      <c r="K38" s="2" t="s">
        <v>46</v>
      </c>
    </row>
    <row r="39" spans="1:13" x14ac:dyDescent="0.25">
      <c r="A39" s="2" t="s">
        <v>239</v>
      </c>
      <c r="B39" s="2" t="s">
        <v>7</v>
      </c>
      <c r="C39" s="2" t="s">
        <v>240</v>
      </c>
      <c r="E39" s="2" t="s">
        <v>241</v>
      </c>
      <c r="F39" s="2">
        <v>12.971428280784901</v>
      </c>
      <c r="G39" s="2">
        <v>21</v>
      </c>
      <c r="H39" s="2">
        <v>3900</v>
      </c>
      <c r="I39" s="2" t="s">
        <v>159</v>
      </c>
      <c r="J39" s="2" t="s">
        <v>111</v>
      </c>
      <c r="K39" s="2" t="s">
        <v>108</v>
      </c>
    </row>
    <row r="40" spans="1:13" x14ac:dyDescent="0.25">
      <c r="A40" s="2" t="s">
        <v>242</v>
      </c>
      <c r="B40" s="2" t="s">
        <v>8</v>
      </c>
      <c r="C40" s="2" t="s">
        <v>77</v>
      </c>
      <c r="E40" s="2" t="s">
        <v>78</v>
      </c>
      <c r="F40" s="2">
        <v>15.379591338488501</v>
      </c>
      <c r="G40" s="2">
        <v>49</v>
      </c>
      <c r="H40" s="2">
        <v>3900</v>
      </c>
      <c r="I40" s="2" t="s">
        <v>155</v>
      </c>
      <c r="J40" s="2" t="s">
        <v>46</v>
      </c>
      <c r="K40" s="2" t="s">
        <v>112</v>
      </c>
      <c r="L40" s="2" t="s">
        <v>64</v>
      </c>
      <c r="M40" s="2" t="s">
        <v>79</v>
      </c>
    </row>
    <row r="41" spans="1:13" x14ac:dyDescent="0.25">
      <c r="A41" s="2" t="s">
        <v>243</v>
      </c>
      <c r="B41" s="2" t="s">
        <v>6</v>
      </c>
      <c r="C41" s="2" t="s">
        <v>103</v>
      </c>
      <c r="E41" s="2" t="s">
        <v>104</v>
      </c>
      <c r="F41" s="2">
        <v>9.5826920729417004</v>
      </c>
      <c r="G41" s="2">
        <v>52</v>
      </c>
      <c r="H41" s="2">
        <v>3900</v>
      </c>
      <c r="I41" s="2" t="s">
        <v>155</v>
      </c>
      <c r="J41" s="2" t="s">
        <v>46</v>
      </c>
      <c r="K41" s="2" t="s">
        <v>112</v>
      </c>
    </row>
    <row r="42" spans="1:13" x14ac:dyDescent="0.25">
      <c r="A42" s="2" t="s">
        <v>244</v>
      </c>
      <c r="B42" s="2" t="s">
        <v>6</v>
      </c>
      <c r="C42" s="2" t="s">
        <v>123</v>
      </c>
      <c r="E42" s="2" t="s">
        <v>245</v>
      </c>
      <c r="F42" s="2">
        <v>16.358928135463099</v>
      </c>
      <c r="G42" s="2">
        <v>56</v>
      </c>
      <c r="H42" s="2">
        <v>3800</v>
      </c>
      <c r="I42" s="2" t="s">
        <v>159</v>
      </c>
      <c r="J42" s="2" t="s">
        <v>111</v>
      </c>
      <c r="K42" s="2" t="s">
        <v>108</v>
      </c>
    </row>
    <row r="43" spans="1:13" x14ac:dyDescent="0.25">
      <c r="A43" s="2" t="s">
        <v>246</v>
      </c>
      <c r="B43" s="2" t="s">
        <v>5</v>
      </c>
      <c r="C43" s="2" t="s">
        <v>247</v>
      </c>
      <c r="E43" s="2" t="s">
        <v>248</v>
      </c>
      <c r="F43" s="2">
        <v>12.090565807414499</v>
      </c>
      <c r="G43" s="2">
        <v>53</v>
      </c>
      <c r="H43" s="2">
        <v>3800</v>
      </c>
      <c r="I43" s="2" t="s">
        <v>155</v>
      </c>
      <c r="J43" s="2" t="s">
        <v>112</v>
      </c>
      <c r="K43" s="2" t="s">
        <v>46</v>
      </c>
    </row>
    <row r="44" spans="1:13" x14ac:dyDescent="0.25">
      <c r="A44" s="2" t="s">
        <v>249</v>
      </c>
      <c r="B44" s="2" t="s">
        <v>6</v>
      </c>
      <c r="C44" s="2" t="s">
        <v>132</v>
      </c>
      <c r="E44" s="2" t="s">
        <v>133</v>
      </c>
      <c r="F44" s="2">
        <v>14.8952375139508</v>
      </c>
      <c r="G44" s="2">
        <v>42</v>
      </c>
      <c r="H44" s="2">
        <v>3800</v>
      </c>
      <c r="I44" s="2" t="s">
        <v>166</v>
      </c>
      <c r="J44" s="2" t="s">
        <v>118</v>
      </c>
      <c r="K44" s="2" t="s">
        <v>167</v>
      </c>
    </row>
    <row r="45" spans="1:13" x14ac:dyDescent="0.25">
      <c r="A45" s="2" t="s">
        <v>250</v>
      </c>
      <c r="B45" s="2" t="s">
        <v>5</v>
      </c>
      <c r="C45" s="2" t="s">
        <v>127</v>
      </c>
      <c r="E45" s="2" t="s">
        <v>251</v>
      </c>
      <c r="F45" s="2">
        <v>10.6979166666666</v>
      </c>
      <c r="G45" s="2">
        <v>48</v>
      </c>
      <c r="H45" s="2">
        <v>3700</v>
      </c>
      <c r="I45" s="2" t="s">
        <v>159</v>
      </c>
      <c r="J45" s="2" t="s">
        <v>108</v>
      </c>
      <c r="K45" s="2" t="s">
        <v>111</v>
      </c>
    </row>
    <row r="46" spans="1:13" x14ac:dyDescent="0.25">
      <c r="A46" s="2" t="s">
        <v>252</v>
      </c>
      <c r="B46" s="2" t="s">
        <v>5</v>
      </c>
      <c r="C46" s="2" t="s">
        <v>61</v>
      </c>
      <c r="E46" s="2" t="s">
        <v>253</v>
      </c>
      <c r="F46" s="2">
        <v>18.383333841959601</v>
      </c>
      <c r="G46" s="2">
        <v>48</v>
      </c>
      <c r="H46" s="2">
        <v>3700</v>
      </c>
      <c r="I46" s="2" t="s">
        <v>166</v>
      </c>
      <c r="J46" s="2" t="s">
        <v>118</v>
      </c>
      <c r="K46" s="2" t="s">
        <v>167</v>
      </c>
      <c r="L46" s="2" t="s">
        <v>64</v>
      </c>
      <c r="M46" s="2" t="s">
        <v>124</v>
      </c>
    </row>
    <row r="47" spans="1:13" x14ac:dyDescent="0.25">
      <c r="A47" s="2" t="s">
        <v>254</v>
      </c>
      <c r="B47" s="2" t="s">
        <v>5</v>
      </c>
      <c r="C47" s="2" t="s">
        <v>90</v>
      </c>
      <c r="E47" s="2" t="s">
        <v>255</v>
      </c>
      <c r="F47" s="2">
        <v>14.0348837209302</v>
      </c>
      <c r="G47" s="2">
        <v>43</v>
      </c>
      <c r="H47" s="2">
        <v>3700</v>
      </c>
      <c r="I47" s="2" t="s">
        <v>159</v>
      </c>
      <c r="J47" s="2" t="s">
        <v>108</v>
      </c>
      <c r="K47" s="2" t="s">
        <v>111</v>
      </c>
    </row>
    <row r="48" spans="1:13" x14ac:dyDescent="0.25">
      <c r="A48" s="2" t="s">
        <v>256</v>
      </c>
      <c r="B48" s="2" t="s">
        <v>8</v>
      </c>
      <c r="C48" s="2" t="s">
        <v>101</v>
      </c>
      <c r="E48" s="2" t="s">
        <v>102</v>
      </c>
      <c r="F48" s="2">
        <v>8.1659088134765607</v>
      </c>
      <c r="G48" s="2">
        <v>44</v>
      </c>
      <c r="H48" s="2">
        <v>3700</v>
      </c>
      <c r="I48" s="2" t="s">
        <v>155</v>
      </c>
      <c r="J48" s="2" t="s">
        <v>46</v>
      </c>
      <c r="K48" s="2" t="s">
        <v>112</v>
      </c>
    </row>
    <row r="49" spans="1:13" x14ac:dyDescent="0.25">
      <c r="A49" s="2" t="s">
        <v>257</v>
      </c>
      <c r="B49" s="2" t="s">
        <v>3</v>
      </c>
      <c r="C49" s="2" t="s">
        <v>94</v>
      </c>
      <c r="E49" s="2" t="s">
        <v>258</v>
      </c>
      <c r="F49" s="2">
        <v>15.050000190734799</v>
      </c>
      <c r="G49" s="2">
        <v>2</v>
      </c>
      <c r="H49" s="2">
        <v>3700</v>
      </c>
      <c r="I49" s="2" t="s">
        <v>159</v>
      </c>
      <c r="J49" s="2" t="s">
        <v>108</v>
      </c>
      <c r="K49" s="2" t="s">
        <v>111</v>
      </c>
    </row>
    <row r="50" spans="1:13" x14ac:dyDescent="0.25">
      <c r="A50" s="2" t="s">
        <v>259</v>
      </c>
      <c r="B50" s="2" t="s">
        <v>6</v>
      </c>
      <c r="C50" s="2" t="s">
        <v>260</v>
      </c>
      <c r="E50" s="2" t="s">
        <v>261</v>
      </c>
      <c r="F50" s="2">
        <v>18.140384380634</v>
      </c>
      <c r="G50" s="2">
        <v>52</v>
      </c>
      <c r="H50" s="2">
        <v>3600</v>
      </c>
      <c r="I50" s="2" t="s">
        <v>159</v>
      </c>
      <c r="J50" s="2" t="s">
        <v>111</v>
      </c>
      <c r="K50" s="2" t="s">
        <v>108</v>
      </c>
    </row>
    <row r="51" spans="1:13" x14ac:dyDescent="0.25">
      <c r="A51" s="2" t="s">
        <v>262</v>
      </c>
      <c r="B51" s="2" t="s">
        <v>5</v>
      </c>
      <c r="C51" s="2" t="s">
        <v>96</v>
      </c>
      <c r="E51" s="2" t="s">
        <v>263</v>
      </c>
      <c r="F51" s="2">
        <v>9.0270270270270192</v>
      </c>
      <c r="G51" s="2">
        <v>37</v>
      </c>
      <c r="H51" s="2">
        <v>3600</v>
      </c>
      <c r="I51" s="2" t="s">
        <v>166</v>
      </c>
      <c r="J51" s="2" t="s">
        <v>118</v>
      </c>
      <c r="K51" s="2" t="s">
        <v>167</v>
      </c>
    </row>
    <row r="52" spans="1:13" x14ac:dyDescent="0.25">
      <c r="A52" s="2" t="s">
        <v>264</v>
      </c>
      <c r="B52" s="2" t="s">
        <v>5</v>
      </c>
      <c r="C52" s="2" t="s">
        <v>68</v>
      </c>
      <c r="E52" s="2" t="s">
        <v>129</v>
      </c>
      <c r="F52" s="2">
        <v>17.452499389648398</v>
      </c>
      <c r="G52" s="2">
        <v>40</v>
      </c>
      <c r="H52" s="2">
        <v>3600</v>
      </c>
      <c r="I52" s="2" t="s">
        <v>166</v>
      </c>
      <c r="J52" s="2" t="s">
        <v>167</v>
      </c>
      <c r="K52" s="2" t="s">
        <v>118</v>
      </c>
      <c r="L52" s="2" t="s">
        <v>64</v>
      </c>
      <c r="M52" s="2" t="s">
        <v>56</v>
      </c>
    </row>
    <row r="53" spans="1:13" x14ac:dyDescent="0.25">
      <c r="A53" s="2" t="s">
        <v>265</v>
      </c>
      <c r="B53" s="2" t="s">
        <v>3</v>
      </c>
      <c r="C53" s="2" t="s">
        <v>266</v>
      </c>
      <c r="E53" s="2" t="s">
        <v>267</v>
      </c>
      <c r="F53" s="2">
        <v>6.08571443103608</v>
      </c>
      <c r="G53" s="2">
        <v>21</v>
      </c>
      <c r="H53" s="2">
        <v>3600</v>
      </c>
      <c r="I53" s="2" t="s">
        <v>166</v>
      </c>
      <c r="J53" s="2" t="s">
        <v>167</v>
      </c>
      <c r="K53" s="2" t="s">
        <v>118</v>
      </c>
    </row>
    <row r="54" spans="1:13" x14ac:dyDescent="0.25">
      <c r="A54" s="2" t="s">
        <v>268</v>
      </c>
      <c r="B54" s="2" t="s">
        <v>5</v>
      </c>
      <c r="C54" s="2" t="s">
        <v>269</v>
      </c>
      <c r="E54" s="2" t="s">
        <v>270</v>
      </c>
      <c r="F54" s="2">
        <v>12.772727272727201</v>
      </c>
      <c r="G54" s="2">
        <v>22</v>
      </c>
      <c r="H54" s="2">
        <v>3600</v>
      </c>
      <c r="I54" s="2" t="s">
        <v>159</v>
      </c>
      <c r="J54" s="2" t="s">
        <v>108</v>
      </c>
      <c r="K54" s="2" t="s">
        <v>111</v>
      </c>
      <c r="L54" s="2" t="s">
        <v>64</v>
      </c>
      <c r="M54" s="2" t="s">
        <v>72</v>
      </c>
    </row>
    <row r="55" spans="1:13" x14ac:dyDescent="0.25">
      <c r="A55" s="2" t="s">
        <v>271</v>
      </c>
      <c r="B55" s="2" t="s">
        <v>3</v>
      </c>
      <c r="C55" s="2" t="s">
        <v>272</v>
      </c>
      <c r="E55" s="2" t="s">
        <v>83</v>
      </c>
      <c r="F55" s="2">
        <v>10.9499997225674</v>
      </c>
      <c r="G55" s="2">
        <v>44</v>
      </c>
      <c r="H55" s="2">
        <v>3600</v>
      </c>
      <c r="I55" s="2" t="s">
        <v>166</v>
      </c>
      <c r="J55" s="2" t="s">
        <v>118</v>
      </c>
      <c r="K55" s="2" t="s">
        <v>167</v>
      </c>
    </row>
    <row r="56" spans="1:13" x14ac:dyDescent="0.25">
      <c r="A56" s="2" t="s">
        <v>273</v>
      </c>
      <c r="B56" s="2" t="s">
        <v>3</v>
      </c>
      <c r="C56" s="2" t="s">
        <v>48</v>
      </c>
      <c r="E56" s="2" t="s">
        <v>274</v>
      </c>
      <c r="F56" s="2">
        <v>9.6218748092651296</v>
      </c>
      <c r="G56" s="2">
        <v>32</v>
      </c>
      <c r="H56" s="2">
        <v>3500</v>
      </c>
      <c r="I56" s="2" t="s">
        <v>166</v>
      </c>
      <c r="J56" s="2" t="s">
        <v>118</v>
      </c>
      <c r="K56" s="2" t="s">
        <v>167</v>
      </c>
    </row>
    <row r="57" spans="1:13" x14ac:dyDescent="0.25">
      <c r="A57" s="2" t="s">
        <v>275</v>
      </c>
      <c r="B57" s="2" t="s">
        <v>7</v>
      </c>
      <c r="C57" s="2" t="s">
        <v>276</v>
      </c>
      <c r="E57" s="2" t="s">
        <v>277</v>
      </c>
      <c r="F57" s="2">
        <v>15.140000221946</v>
      </c>
      <c r="G57" s="2">
        <v>55</v>
      </c>
      <c r="H57" s="2">
        <v>3500</v>
      </c>
      <c r="I57" s="2" t="s">
        <v>159</v>
      </c>
      <c r="J57" s="2" t="s">
        <v>108</v>
      </c>
      <c r="K57" s="2" t="s">
        <v>111</v>
      </c>
    </row>
    <row r="58" spans="1:13" x14ac:dyDescent="0.25">
      <c r="A58" s="2" t="s">
        <v>278</v>
      </c>
      <c r="B58" s="2" t="s">
        <v>7</v>
      </c>
      <c r="C58" s="2" t="s">
        <v>279</v>
      </c>
      <c r="E58" s="2" t="s">
        <v>280</v>
      </c>
      <c r="F58" s="2">
        <v>15.046154315655</v>
      </c>
      <c r="G58" s="2">
        <v>52</v>
      </c>
      <c r="H58" s="2">
        <v>3500</v>
      </c>
      <c r="I58" s="2" t="s">
        <v>159</v>
      </c>
      <c r="J58" s="2" t="s">
        <v>111</v>
      </c>
      <c r="K58" s="2" t="s">
        <v>108</v>
      </c>
    </row>
    <row r="59" spans="1:13" x14ac:dyDescent="0.25">
      <c r="A59" s="2" t="s">
        <v>281</v>
      </c>
      <c r="B59" s="2" t="s">
        <v>5</v>
      </c>
      <c r="C59" s="2" t="s">
        <v>128</v>
      </c>
      <c r="E59" s="2" t="s">
        <v>282</v>
      </c>
      <c r="F59" s="2">
        <v>7.2636365023526199</v>
      </c>
      <c r="G59" s="2">
        <v>11</v>
      </c>
      <c r="H59" s="2">
        <v>3500</v>
      </c>
      <c r="I59" s="2" t="s">
        <v>166</v>
      </c>
      <c r="J59" s="2" t="s">
        <v>167</v>
      </c>
      <c r="K59" s="2" t="s">
        <v>118</v>
      </c>
    </row>
    <row r="60" spans="1:13" x14ac:dyDescent="0.25">
      <c r="A60" s="2" t="s">
        <v>283</v>
      </c>
      <c r="B60" s="2" t="s">
        <v>7</v>
      </c>
      <c r="C60" s="2" t="s">
        <v>284</v>
      </c>
      <c r="E60" s="2" t="s">
        <v>285</v>
      </c>
      <c r="F60" s="2">
        <v>6.6799997965494704</v>
      </c>
      <c r="G60" s="2">
        <v>30</v>
      </c>
      <c r="H60" s="2">
        <v>3500</v>
      </c>
      <c r="I60" s="2" t="s">
        <v>166</v>
      </c>
      <c r="J60" s="2" t="s">
        <v>167</v>
      </c>
      <c r="K60" s="2" t="s">
        <v>118</v>
      </c>
    </row>
    <row r="61" spans="1:13" x14ac:dyDescent="0.25">
      <c r="A61" s="2" t="s">
        <v>286</v>
      </c>
      <c r="B61" s="2" t="s">
        <v>6</v>
      </c>
      <c r="C61" s="2" t="s">
        <v>150</v>
      </c>
      <c r="E61" s="2" t="s">
        <v>287</v>
      </c>
      <c r="F61" s="2">
        <v>16.761110658998799</v>
      </c>
      <c r="G61" s="2">
        <v>54</v>
      </c>
      <c r="H61" s="2">
        <v>3500</v>
      </c>
      <c r="I61" s="2" t="s">
        <v>166</v>
      </c>
      <c r="J61" s="2" t="s">
        <v>167</v>
      </c>
      <c r="K61" s="2" t="s">
        <v>118</v>
      </c>
    </row>
    <row r="62" spans="1:13" x14ac:dyDescent="0.25">
      <c r="A62" s="2" t="s">
        <v>288</v>
      </c>
      <c r="B62" s="2" t="s">
        <v>5</v>
      </c>
      <c r="C62" s="2" t="s">
        <v>94</v>
      </c>
      <c r="E62" s="2" t="s">
        <v>65</v>
      </c>
      <c r="F62" s="2">
        <v>4.92000007629394</v>
      </c>
      <c r="G62" s="2">
        <v>5</v>
      </c>
      <c r="H62" s="2">
        <v>3500</v>
      </c>
      <c r="I62" s="2" t="s">
        <v>155</v>
      </c>
      <c r="J62" s="2" t="s">
        <v>112</v>
      </c>
      <c r="K62" s="2" t="s">
        <v>46</v>
      </c>
    </row>
    <row r="63" spans="1:13" x14ac:dyDescent="0.25">
      <c r="A63" s="2" t="s">
        <v>289</v>
      </c>
      <c r="B63" s="2" t="s">
        <v>8</v>
      </c>
      <c r="C63" s="2" t="s">
        <v>290</v>
      </c>
      <c r="E63" s="2" t="s">
        <v>122</v>
      </c>
      <c r="F63" s="2">
        <v>5.1749999999999998</v>
      </c>
      <c r="G63" s="2">
        <v>20</v>
      </c>
      <c r="H63" s="2">
        <v>3500</v>
      </c>
      <c r="I63" s="2" t="s">
        <v>159</v>
      </c>
      <c r="J63" s="2" t="s">
        <v>108</v>
      </c>
      <c r="K63" s="2" t="s">
        <v>111</v>
      </c>
    </row>
    <row r="64" spans="1:13" x14ac:dyDescent="0.25">
      <c r="A64" s="2" t="s">
        <v>291</v>
      </c>
      <c r="B64" s="2" t="s">
        <v>8</v>
      </c>
      <c r="C64" s="2" t="s">
        <v>85</v>
      </c>
      <c r="E64" s="2" t="s">
        <v>86</v>
      </c>
      <c r="F64" s="2">
        <v>15.6666666666666</v>
      </c>
      <c r="G64" s="2">
        <v>21</v>
      </c>
      <c r="H64" s="2">
        <v>3500</v>
      </c>
      <c r="I64" s="2" t="s">
        <v>155</v>
      </c>
      <c r="J64" s="2" t="s">
        <v>46</v>
      </c>
      <c r="K64" s="2" t="s">
        <v>112</v>
      </c>
      <c r="L64" s="2" t="s">
        <v>55</v>
      </c>
      <c r="M64" s="2" t="s">
        <v>82</v>
      </c>
    </row>
    <row r="65" spans="1:13" x14ac:dyDescent="0.25">
      <c r="A65" s="2" t="s">
        <v>292</v>
      </c>
      <c r="B65" s="2" t="s">
        <v>8</v>
      </c>
      <c r="C65" s="2" t="s">
        <v>130</v>
      </c>
      <c r="E65" s="2" t="s">
        <v>131</v>
      </c>
      <c r="F65" s="2">
        <v>12.297872340425499</v>
      </c>
      <c r="G65" s="2">
        <v>47</v>
      </c>
      <c r="H65" s="2">
        <v>3500</v>
      </c>
      <c r="I65" s="2" t="s">
        <v>159</v>
      </c>
      <c r="J65" s="2" t="s">
        <v>108</v>
      </c>
      <c r="K65" s="2" t="s">
        <v>111</v>
      </c>
    </row>
    <row r="66" spans="1:13" x14ac:dyDescent="0.25">
      <c r="A66" s="2" t="s">
        <v>293</v>
      </c>
      <c r="B66" s="2" t="s">
        <v>7</v>
      </c>
      <c r="C66" s="2" t="s">
        <v>294</v>
      </c>
      <c r="E66" s="2" t="s">
        <v>295</v>
      </c>
      <c r="F66" s="2">
        <v>0.73333334922790505</v>
      </c>
      <c r="G66" s="2">
        <v>3</v>
      </c>
      <c r="H66" s="2">
        <v>3500</v>
      </c>
      <c r="I66" s="2" t="s">
        <v>159</v>
      </c>
      <c r="J66" s="2" t="s">
        <v>108</v>
      </c>
      <c r="K66" s="2" t="s">
        <v>111</v>
      </c>
    </row>
    <row r="67" spans="1:13" x14ac:dyDescent="0.25">
      <c r="A67" s="2" t="s">
        <v>296</v>
      </c>
      <c r="B67" s="2" t="s">
        <v>6</v>
      </c>
      <c r="C67" s="2" t="s">
        <v>120</v>
      </c>
      <c r="E67" s="2" t="s">
        <v>297</v>
      </c>
      <c r="F67" s="2">
        <v>7.8434779954993203</v>
      </c>
      <c r="G67" s="2">
        <v>23</v>
      </c>
      <c r="H67" s="2">
        <v>3500</v>
      </c>
      <c r="I67" s="2" t="s">
        <v>166</v>
      </c>
      <c r="J67" s="2" t="s">
        <v>118</v>
      </c>
      <c r="K67" s="2" t="s">
        <v>167</v>
      </c>
      <c r="L67" s="2" t="s">
        <v>64</v>
      </c>
      <c r="M67" s="2" t="s">
        <v>79</v>
      </c>
    </row>
    <row r="68" spans="1:13" x14ac:dyDescent="0.25">
      <c r="A68" s="2" t="s">
        <v>298</v>
      </c>
      <c r="B68" s="2" t="s">
        <v>3</v>
      </c>
      <c r="C68" s="2" t="s">
        <v>88</v>
      </c>
      <c r="E68" s="2" t="s">
        <v>89</v>
      </c>
      <c r="F68" s="2">
        <v>8.1029411764705799</v>
      </c>
      <c r="G68" s="2">
        <v>34</v>
      </c>
      <c r="H68" s="2">
        <v>3500</v>
      </c>
      <c r="I68" s="2" t="s">
        <v>155</v>
      </c>
      <c r="J68" s="2" t="s">
        <v>46</v>
      </c>
      <c r="K68" s="2" t="s">
        <v>112</v>
      </c>
    </row>
    <row r="69" spans="1:13" x14ac:dyDescent="0.25">
      <c r="A69" s="2" t="s">
        <v>299</v>
      </c>
      <c r="B69" s="2" t="s">
        <v>8</v>
      </c>
      <c r="C69" s="2" t="s">
        <v>43</v>
      </c>
      <c r="E69" s="2" t="s">
        <v>91</v>
      </c>
      <c r="F69" s="2">
        <v>4.2333332408558197</v>
      </c>
      <c r="G69" s="2">
        <v>33</v>
      </c>
      <c r="H69" s="2">
        <v>3500</v>
      </c>
      <c r="I69" s="2" t="s">
        <v>155</v>
      </c>
      <c r="J69" s="2" t="s">
        <v>46</v>
      </c>
      <c r="K69" s="2" t="s">
        <v>112</v>
      </c>
    </row>
    <row r="70" spans="1:13" x14ac:dyDescent="0.25">
      <c r="A70" s="2" t="s">
        <v>300</v>
      </c>
      <c r="B70" s="2" t="s">
        <v>5</v>
      </c>
      <c r="C70" s="2" t="s">
        <v>301</v>
      </c>
      <c r="E70" s="2" t="s">
        <v>302</v>
      </c>
      <c r="F70" s="2">
        <v>5.2000002179826996</v>
      </c>
      <c r="G70" s="2">
        <v>7</v>
      </c>
      <c r="H70" s="2">
        <v>3500</v>
      </c>
      <c r="I70" s="2" t="s">
        <v>159</v>
      </c>
      <c r="J70" s="2" t="s">
        <v>108</v>
      </c>
      <c r="K70" s="2" t="s">
        <v>111</v>
      </c>
    </row>
    <row r="71" spans="1:13" x14ac:dyDescent="0.25">
      <c r="A71" s="2" t="s">
        <v>303</v>
      </c>
      <c r="B71" s="2" t="s">
        <v>3</v>
      </c>
      <c r="C71" s="2" t="s">
        <v>304</v>
      </c>
      <c r="E71" s="2" t="s">
        <v>305</v>
      </c>
      <c r="F71" s="2">
        <v>16.5433959960937</v>
      </c>
      <c r="G71" s="2">
        <v>53</v>
      </c>
      <c r="H71" s="2">
        <v>3500</v>
      </c>
      <c r="I71" s="2" t="s">
        <v>166</v>
      </c>
      <c r="J71" s="2" t="s">
        <v>167</v>
      </c>
      <c r="K71" s="2" t="s">
        <v>118</v>
      </c>
    </row>
    <row r="72" spans="1:13" x14ac:dyDescent="0.25">
      <c r="A72" s="2" t="s">
        <v>306</v>
      </c>
      <c r="B72" s="2" t="s">
        <v>7</v>
      </c>
      <c r="C72" s="2" t="s">
        <v>307</v>
      </c>
      <c r="E72" s="2" t="s">
        <v>308</v>
      </c>
      <c r="F72" s="2">
        <v>7.5659997558593703</v>
      </c>
      <c r="G72" s="2">
        <v>50</v>
      </c>
      <c r="H72" s="2">
        <v>3500</v>
      </c>
      <c r="I72" s="2" t="s">
        <v>155</v>
      </c>
      <c r="J72" s="2" t="s">
        <v>112</v>
      </c>
      <c r="K72" s="2" t="s">
        <v>46</v>
      </c>
    </row>
    <row r="73" spans="1:13" x14ac:dyDescent="0.25">
      <c r="A73" s="2" t="s">
        <v>309</v>
      </c>
      <c r="B73" s="2" t="s">
        <v>8</v>
      </c>
      <c r="C73" s="2" t="s">
        <v>123</v>
      </c>
      <c r="E73" s="2" t="s">
        <v>310</v>
      </c>
      <c r="F73" s="2">
        <v>7.7285715738932197</v>
      </c>
      <c r="G73" s="2">
        <v>21</v>
      </c>
      <c r="H73" s="2">
        <v>3500</v>
      </c>
      <c r="I73" s="2" t="s">
        <v>155</v>
      </c>
      <c r="J73" s="2" t="s">
        <v>112</v>
      </c>
      <c r="K73" s="2" t="s">
        <v>46</v>
      </c>
    </row>
    <row r="74" spans="1:13" x14ac:dyDescent="0.25">
      <c r="A74" s="2" t="s">
        <v>311</v>
      </c>
      <c r="B74" s="2" t="s">
        <v>8</v>
      </c>
      <c r="C74" s="2" t="s">
        <v>125</v>
      </c>
      <c r="E74" s="2" t="s">
        <v>312</v>
      </c>
      <c r="F74" s="2">
        <v>15.7777777777777</v>
      </c>
      <c r="G74" s="2">
        <v>9</v>
      </c>
      <c r="H74" s="2">
        <v>3500</v>
      </c>
      <c r="I74" s="2" t="s">
        <v>155</v>
      </c>
      <c r="J74" s="2" t="s">
        <v>112</v>
      </c>
      <c r="K74" s="2" t="s">
        <v>46</v>
      </c>
    </row>
    <row r="75" spans="1:13" x14ac:dyDescent="0.25">
      <c r="A75" s="2" t="s">
        <v>313</v>
      </c>
      <c r="B75" s="2" t="s">
        <v>3</v>
      </c>
      <c r="C75" s="2" t="s">
        <v>137</v>
      </c>
      <c r="E75" s="2" t="s">
        <v>138</v>
      </c>
      <c r="F75" s="2">
        <v>7.7863637750799004</v>
      </c>
      <c r="G75" s="2">
        <v>22</v>
      </c>
      <c r="H75" s="2">
        <v>3500</v>
      </c>
      <c r="I75" s="2" t="s">
        <v>159</v>
      </c>
      <c r="J75" s="2" t="s">
        <v>111</v>
      </c>
      <c r="K75" s="2" t="s">
        <v>108</v>
      </c>
    </row>
    <row r="76" spans="1:13" x14ac:dyDescent="0.25">
      <c r="A76" s="2" t="s">
        <v>314</v>
      </c>
      <c r="B76" s="2" t="s">
        <v>6</v>
      </c>
      <c r="C76" s="2" t="s">
        <v>134</v>
      </c>
      <c r="E76" s="2" t="s">
        <v>135</v>
      </c>
      <c r="F76" s="2">
        <v>2.4055555131700301</v>
      </c>
      <c r="G76" s="2">
        <v>18</v>
      </c>
      <c r="H76" s="2">
        <v>3500</v>
      </c>
      <c r="I76" s="2" t="s">
        <v>159</v>
      </c>
      <c r="J76" s="2" t="s">
        <v>111</v>
      </c>
      <c r="K76" s="2" t="s">
        <v>108</v>
      </c>
    </row>
    <row r="77" spans="1:13" x14ac:dyDescent="0.25">
      <c r="A77" s="2" t="s">
        <v>315</v>
      </c>
      <c r="B77" s="2" t="s">
        <v>3</v>
      </c>
      <c r="C77" s="2" t="s">
        <v>316</v>
      </c>
      <c r="E77" s="2" t="s">
        <v>91</v>
      </c>
      <c r="F77" s="2">
        <v>8.5999998204848307</v>
      </c>
      <c r="G77" s="2">
        <v>34</v>
      </c>
      <c r="H77" s="2">
        <v>3500</v>
      </c>
      <c r="I77" s="2" t="s">
        <v>155</v>
      </c>
      <c r="J77" s="2" t="s">
        <v>112</v>
      </c>
      <c r="K77" s="2" t="s">
        <v>46</v>
      </c>
    </row>
    <row r="78" spans="1:13" x14ac:dyDescent="0.25">
      <c r="A78" s="2" t="s">
        <v>317</v>
      </c>
      <c r="B78" s="2" t="s">
        <v>8</v>
      </c>
      <c r="C78" s="2" t="s">
        <v>139</v>
      </c>
      <c r="E78" s="2" t="s">
        <v>140</v>
      </c>
      <c r="F78" s="2">
        <v>7.11666666666666</v>
      </c>
      <c r="G78" s="2">
        <v>30</v>
      </c>
      <c r="H78" s="2">
        <v>3500</v>
      </c>
      <c r="I78" s="2" t="s">
        <v>166</v>
      </c>
      <c r="J78" s="2" t="s">
        <v>118</v>
      </c>
      <c r="K78" s="2" t="s">
        <v>167</v>
      </c>
    </row>
    <row r="79" spans="1:13" x14ac:dyDescent="0.25">
      <c r="A79" s="2" t="s">
        <v>318</v>
      </c>
      <c r="B79" s="2" t="s">
        <v>8</v>
      </c>
      <c r="C79" s="2" t="s">
        <v>94</v>
      </c>
      <c r="E79" s="2" t="s">
        <v>95</v>
      </c>
      <c r="F79" s="2">
        <v>7.0914284842354904</v>
      </c>
      <c r="G79" s="2">
        <v>35</v>
      </c>
      <c r="H79" s="2">
        <v>3500</v>
      </c>
      <c r="I79" s="2" t="s">
        <v>155</v>
      </c>
      <c r="J79" s="2" t="s">
        <v>46</v>
      </c>
      <c r="K79" s="2" t="s">
        <v>112</v>
      </c>
    </row>
    <row r="80" spans="1:13" x14ac:dyDescent="0.25">
      <c r="A80" s="2" t="s">
        <v>319</v>
      </c>
      <c r="B80" s="2" t="s">
        <v>3</v>
      </c>
      <c r="C80" s="2" t="s">
        <v>141</v>
      </c>
      <c r="E80" s="2" t="s">
        <v>142</v>
      </c>
      <c r="F80" s="2">
        <v>8.2041664123535103</v>
      </c>
      <c r="G80" s="2">
        <v>24</v>
      </c>
      <c r="H80" s="2">
        <v>3500</v>
      </c>
      <c r="I80" s="2" t="s">
        <v>159</v>
      </c>
      <c r="J80" s="2" t="s">
        <v>111</v>
      </c>
      <c r="K80" s="2" t="s">
        <v>108</v>
      </c>
    </row>
    <row r="81" spans="1:13" x14ac:dyDescent="0.25">
      <c r="A81" s="2" t="s">
        <v>320</v>
      </c>
      <c r="B81" s="2" t="s">
        <v>5</v>
      </c>
      <c r="C81" s="2" t="s">
        <v>49</v>
      </c>
      <c r="E81" s="2" t="s">
        <v>136</v>
      </c>
      <c r="F81" s="2">
        <v>10.897058823529401</v>
      </c>
      <c r="G81" s="2">
        <v>34</v>
      </c>
      <c r="H81" s="2">
        <v>3500</v>
      </c>
      <c r="I81" s="2" t="s">
        <v>159</v>
      </c>
      <c r="J81" s="2" t="s">
        <v>111</v>
      </c>
      <c r="K81" s="2" t="s">
        <v>108</v>
      </c>
    </row>
    <row r="82" spans="1:13" x14ac:dyDescent="0.25">
      <c r="A82" s="2" t="s">
        <v>321</v>
      </c>
      <c r="B82" s="2" t="s">
        <v>5</v>
      </c>
      <c r="C82" s="2" t="s">
        <v>322</v>
      </c>
      <c r="E82" s="2" t="s">
        <v>323</v>
      </c>
      <c r="F82" s="2">
        <v>11.2234042553191</v>
      </c>
      <c r="G82" s="2">
        <v>47</v>
      </c>
      <c r="H82" s="2">
        <v>3500</v>
      </c>
      <c r="I82" s="2" t="s">
        <v>166</v>
      </c>
      <c r="J82" s="2" t="s">
        <v>167</v>
      </c>
      <c r="K82" s="2" t="s">
        <v>118</v>
      </c>
    </row>
    <row r="83" spans="1:13" x14ac:dyDescent="0.25">
      <c r="A83" s="2" t="s">
        <v>324</v>
      </c>
      <c r="B83" s="2" t="s">
        <v>7</v>
      </c>
      <c r="C83" s="2" t="s">
        <v>143</v>
      </c>
      <c r="E83" s="2" t="s">
        <v>144</v>
      </c>
      <c r="F83" s="2">
        <v>12.160870095957801</v>
      </c>
      <c r="G83" s="2">
        <v>46</v>
      </c>
      <c r="H83" s="2">
        <v>3500</v>
      </c>
      <c r="I83" s="2" t="s">
        <v>166</v>
      </c>
      <c r="J83" s="2" t="s">
        <v>118</v>
      </c>
      <c r="K83" s="2" t="s">
        <v>167</v>
      </c>
    </row>
    <row r="84" spans="1:13" x14ac:dyDescent="0.25">
      <c r="A84" s="2" t="s">
        <v>325</v>
      </c>
      <c r="B84" s="2" t="s">
        <v>5</v>
      </c>
      <c r="C84" s="2" t="s">
        <v>145</v>
      </c>
      <c r="E84" s="2" t="s">
        <v>100</v>
      </c>
      <c r="F84" s="2">
        <v>7.4166666666666599</v>
      </c>
      <c r="G84" s="2">
        <v>12</v>
      </c>
      <c r="H84" s="2">
        <v>3500</v>
      </c>
      <c r="I84" s="2" t="s">
        <v>155</v>
      </c>
      <c r="J84" s="2" t="s">
        <v>112</v>
      </c>
      <c r="K84" s="2" t="s">
        <v>46</v>
      </c>
      <c r="L84" s="2" t="s">
        <v>55</v>
      </c>
      <c r="M84" s="2" t="s">
        <v>84</v>
      </c>
    </row>
    <row r="85" spans="1:13" x14ac:dyDescent="0.25">
      <c r="A85" s="2" t="s">
        <v>326</v>
      </c>
      <c r="B85" s="2" t="s">
        <v>3</v>
      </c>
      <c r="C85" s="2" t="s">
        <v>126</v>
      </c>
      <c r="E85" s="2" t="s">
        <v>327</v>
      </c>
      <c r="F85" s="2">
        <v>11.264705882352899</v>
      </c>
      <c r="G85" s="2">
        <v>51</v>
      </c>
      <c r="H85" s="2">
        <v>3500</v>
      </c>
      <c r="I85" s="2" t="s">
        <v>155</v>
      </c>
      <c r="J85" s="2" t="s">
        <v>112</v>
      </c>
      <c r="K85" s="2" t="s">
        <v>46</v>
      </c>
    </row>
    <row r="86" spans="1:13" x14ac:dyDescent="0.25">
      <c r="A86" s="2" t="s">
        <v>328</v>
      </c>
      <c r="B86" s="2" t="s">
        <v>3</v>
      </c>
      <c r="C86" s="2" t="s">
        <v>329</v>
      </c>
      <c r="E86" s="2" t="s">
        <v>153</v>
      </c>
      <c r="F86" s="2">
        <v>7.4037034776475696</v>
      </c>
      <c r="G86" s="2">
        <v>27</v>
      </c>
      <c r="H86" s="2">
        <v>3500</v>
      </c>
      <c r="I86" s="2" t="s">
        <v>166</v>
      </c>
      <c r="J86" s="2" t="s">
        <v>167</v>
      </c>
      <c r="K86" s="2" t="s">
        <v>118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77"/>
  <sheetViews>
    <sheetView topLeftCell="A4" workbookViewId="0">
      <selection activeCell="D16" sqref="D16"/>
    </sheetView>
  </sheetViews>
  <sheetFormatPr defaultRowHeight="15" x14ac:dyDescent="0.25"/>
  <cols>
    <col min="1" max="1" width="23" bestFit="1" customWidth="1"/>
    <col min="2" max="2" width="5.85546875" customWidth="1"/>
    <col min="3" max="3" width="4.140625" customWidth="1"/>
    <col min="4" max="4" width="3.42578125" customWidth="1"/>
    <col min="5" max="5" width="5.140625" customWidth="1"/>
    <col min="6" max="6" width="7.140625" customWidth="1"/>
    <col min="7" max="8" width="8.140625" customWidth="1"/>
    <col min="9" max="9" width="4.85546875" customWidth="1"/>
    <col min="10" max="11" width="4.28515625" customWidth="1"/>
    <col min="12" max="12" width="3.85546875" customWidth="1"/>
    <col min="13" max="13" width="4.140625" customWidth="1"/>
    <col min="14" max="14" width="4" customWidth="1"/>
    <col min="15" max="15" width="5" customWidth="1"/>
    <col min="16" max="16" width="5.5703125" customWidth="1"/>
  </cols>
  <sheetData>
    <row r="1" spans="1:16" x14ac:dyDescent="0.25">
      <c r="A1" t="s">
        <v>10</v>
      </c>
      <c r="B1" t="s">
        <v>2</v>
      </c>
      <c r="C1" t="s">
        <v>9</v>
      </c>
      <c r="D1" t="s">
        <v>330</v>
      </c>
      <c r="E1" t="s">
        <v>339</v>
      </c>
      <c r="F1" t="s">
        <v>331</v>
      </c>
      <c r="G1" t="s">
        <v>334</v>
      </c>
      <c r="H1" t="s">
        <v>333</v>
      </c>
      <c r="I1" t="s">
        <v>332</v>
      </c>
      <c r="J1" t="s">
        <v>335</v>
      </c>
      <c r="K1" t="s">
        <v>336</v>
      </c>
      <c r="L1" t="s">
        <v>337</v>
      </c>
      <c r="M1" t="s">
        <v>338</v>
      </c>
      <c r="N1" t="s">
        <v>340</v>
      </c>
      <c r="O1" t="s">
        <v>341</v>
      </c>
      <c r="P1" t="s">
        <v>37</v>
      </c>
    </row>
    <row r="2" spans="1:16" x14ac:dyDescent="0.25">
      <c r="A2" t="s">
        <v>342</v>
      </c>
      <c r="B2" t="s">
        <v>4</v>
      </c>
      <c r="C2" t="s">
        <v>6</v>
      </c>
      <c r="D2">
        <v>10</v>
      </c>
      <c r="E2">
        <v>39.1</v>
      </c>
      <c r="F2" s="42">
        <v>0.48599999999999999</v>
      </c>
      <c r="G2" s="42">
        <v>0.89500000000000002</v>
      </c>
      <c r="H2" s="42">
        <v>0.39</v>
      </c>
      <c r="I2">
        <v>3</v>
      </c>
      <c r="J2">
        <v>6</v>
      </c>
      <c r="K2">
        <v>6</v>
      </c>
      <c r="L2">
        <v>1</v>
      </c>
      <c r="M2">
        <v>0</v>
      </c>
      <c r="N2">
        <v>3.7</v>
      </c>
      <c r="O2">
        <v>32.5</v>
      </c>
      <c r="P2">
        <v>47.8</v>
      </c>
    </row>
    <row r="3" spans="1:16" x14ac:dyDescent="0.25">
      <c r="A3" t="s">
        <v>343</v>
      </c>
      <c r="B3" t="s">
        <v>344</v>
      </c>
      <c r="C3" t="s">
        <v>6</v>
      </c>
      <c r="D3">
        <v>10</v>
      </c>
      <c r="E3">
        <v>38.9</v>
      </c>
      <c r="F3" s="42">
        <v>0.42199999999999999</v>
      </c>
      <c r="G3" s="42">
        <v>0.88700000000000001</v>
      </c>
      <c r="H3" s="42">
        <v>0.36499999999999999</v>
      </c>
      <c r="I3">
        <v>1.9</v>
      </c>
      <c r="J3">
        <v>8</v>
      </c>
      <c r="K3">
        <v>3</v>
      </c>
      <c r="L3">
        <v>1</v>
      </c>
      <c r="M3">
        <v>1</v>
      </c>
      <c r="N3">
        <v>2.9</v>
      </c>
      <c r="O3">
        <v>23.8</v>
      </c>
      <c r="P3">
        <v>39.700000000000003</v>
      </c>
    </row>
    <row r="4" spans="1:16" x14ac:dyDescent="0.25">
      <c r="A4" t="s">
        <v>345</v>
      </c>
      <c r="B4" t="s">
        <v>119</v>
      </c>
      <c r="C4" t="s">
        <v>6</v>
      </c>
      <c r="D4">
        <v>10</v>
      </c>
      <c r="E4">
        <v>37.9</v>
      </c>
      <c r="F4" s="42">
        <v>0.56000000000000005</v>
      </c>
      <c r="G4" s="42">
        <v>0.77500000000000002</v>
      </c>
      <c r="H4" s="42">
        <v>0.34100000000000003</v>
      </c>
      <c r="I4">
        <v>1.4</v>
      </c>
      <c r="J4">
        <v>7</v>
      </c>
      <c r="K4">
        <v>6</v>
      </c>
      <c r="L4">
        <v>2</v>
      </c>
      <c r="M4">
        <v>0</v>
      </c>
      <c r="N4">
        <v>4.0999999999999996</v>
      </c>
      <c r="O4">
        <v>28.7</v>
      </c>
      <c r="P4">
        <v>46</v>
      </c>
    </row>
    <row r="5" spans="1:16" x14ac:dyDescent="0.25">
      <c r="A5" t="s">
        <v>346</v>
      </c>
      <c r="B5" t="s">
        <v>114</v>
      </c>
      <c r="C5" t="s">
        <v>6</v>
      </c>
      <c r="D5">
        <v>9</v>
      </c>
      <c r="E5">
        <v>38.4</v>
      </c>
      <c r="F5" s="42">
        <v>0.36099999999999999</v>
      </c>
      <c r="G5" s="42">
        <v>0.8</v>
      </c>
      <c r="H5" s="42">
        <v>0.35099999999999998</v>
      </c>
      <c r="I5">
        <v>2</v>
      </c>
      <c r="J5">
        <v>8</v>
      </c>
      <c r="K5">
        <v>3</v>
      </c>
      <c r="L5">
        <v>3</v>
      </c>
      <c r="M5">
        <v>0</v>
      </c>
      <c r="N5">
        <v>3.1</v>
      </c>
      <c r="O5">
        <v>19</v>
      </c>
      <c r="P5">
        <v>36.200000000000003</v>
      </c>
    </row>
    <row r="6" spans="1:16" x14ac:dyDescent="0.25">
      <c r="A6" t="s">
        <v>347</v>
      </c>
      <c r="B6" t="s">
        <v>108</v>
      </c>
      <c r="C6" t="s">
        <v>6</v>
      </c>
      <c r="D6">
        <v>8</v>
      </c>
      <c r="E6">
        <v>37.1</v>
      </c>
      <c r="F6" s="42">
        <v>0.48399999999999999</v>
      </c>
      <c r="G6" s="42">
        <v>0.79500000000000004</v>
      </c>
      <c r="H6" s="42">
        <v>0.217</v>
      </c>
      <c r="I6">
        <v>0.5</v>
      </c>
      <c r="J6">
        <v>5</v>
      </c>
      <c r="K6">
        <v>3</v>
      </c>
      <c r="L6">
        <v>0</v>
      </c>
      <c r="M6">
        <v>0</v>
      </c>
      <c r="N6">
        <v>3.5</v>
      </c>
      <c r="O6">
        <v>21.3</v>
      </c>
      <c r="P6">
        <v>29.3</v>
      </c>
    </row>
    <row r="7" spans="1:16" x14ac:dyDescent="0.25">
      <c r="A7" t="s">
        <v>348</v>
      </c>
      <c r="B7" t="s">
        <v>50</v>
      </c>
      <c r="C7" t="s">
        <v>6</v>
      </c>
      <c r="D7">
        <v>10</v>
      </c>
      <c r="E7">
        <v>32.6</v>
      </c>
      <c r="F7" s="42">
        <v>0.37</v>
      </c>
      <c r="G7" s="42">
        <v>0.875</v>
      </c>
      <c r="H7" s="42">
        <v>0.29299999999999998</v>
      </c>
      <c r="I7">
        <v>1.7</v>
      </c>
      <c r="J7">
        <v>3</v>
      </c>
      <c r="K7">
        <v>2</v>
      </c>
      <c r="L7">
        <v>1</v>
      </c>
      <c r="M7">
        <v>1</v>
      </c>
      <c r="N7">
        <v>2</v>
      </c>
      <c r="O7">
        <v>14</v>
      </c>
      <c r="P7">
        <v>22</v>
      </c>
    </row>
    <row r="8" spans="1:16" x14ac:dyDescent="0.25">
      <c r="A8" t="s">
        <v>349</v>
      </c>
      <c r="B8" t="s">
        <v>111</v>
      </c>
      <c r="C8" t="s">
        <v>6</v>
      </c>
      <c r="D8">
        <v>10</v>
      </c>
      <c r="E8">
        <v>26.1</v>
      </c>
      <c r="F8" s="42">
        <v>0.46</v>
      </c>
      <c r="G8" s="42">
        <v>0.82899999999999996</v>
      </c>
      <c r="H8" s="42">
        <v>0.44700000000000001</v>
      </c>
      <c r="I8">
        <v>3.4</v>
      </c>
      <c r="J8">
        <v>2</v>
      </c>
      <c r="K8">
        <v>2</v>
      </c>
      <c r="L8">
        <v>1</v>
      </c>
      <c r="M8">
        <v>0</v>
      </c>
      <c r="N8">
        <v>1.3</v>
      </c>
      <c r="O8">
        <v>20.6</v>
      </c>
      <c r="P8">
        <v>26.8</v>
      </c>
    </row>
    <row r="9" spans="1:16" x14ac:dyDescent="0.25">
      <c r="A9" t="s">
        <v>350</v>
      </c>
      <c r="B9" t="s">
        <v>114</v>
      </c>
      <c r="C9" t="s">
        <v>6</v>
      </c>
      <c r="D9">
        <v>10</v>
      </c>
      <c r="E9">
        <v>18.5</v>
      </c>
      <c r="F9" s="42">
        <v>0.35299999999999998</v>
      </c>
      <c r="G9" s="42">
        <v>0.75</v>
      </c>
      <c r="H9" s="42">
        <v>0.44400000000000001</v>
      </c>
      <c r="I9">
        <v>0.4</v>
      </c>
      <c r="J9">
        <v>3</v>
      </c>
      <c r="K9">
        <v>2</v>
      </c>
      <c r="L9">
        <v>0</v>
      </c>
      <c r="M9">
        <v>0</v>
      </c>
      <c r="N9">
        <v>0.8</v>
      </c>
      <c r="O9">
        <v>5.8</v>
      </c>
      <c r="P9">
        <v>12.2</v>
      </c>
    </row>
    <row r="10" spans="1:16" x14ac:dyDescent="0.25">
      <c r="A10" t="s">
        <v>351</v>
      </c>
      <c r="B10" t="s">
        <v>44</v>
      </c>
      <c r="C10" t="s">
        <v>6</v>
      </c>
      <c r="D10">
        <v>10</v>
      </c>
      <c r="E10">
        <v>37.6</v>
      </c>
      <c r="F10" s="42">
        <v>0.438</v>
      </c>
      <c r="G10" s="42">
        <v>0.78600000000000003</v>
      </c>
      <c r="H10" s="42">
        <v>0.34499999999999997</v>
      </c>
      <c r="I10">
        <v>1.9</v>
      </c>
      <c r="J10">
        <v>5</v>
      </c>
      <c r="K10">
        <v>4</v>
      </c>
      <c r="L10">
        <v>1</v>
      </c>
      <c r="M10">
        <v>1</v>
      </c>
      <c r="N10">
        <v>2</v>
      </c>
      <c r="O10">
        <v>18</v>
      </c>
      <c r="P10">
        <v>32.4</v>
      </c>
    </row>
    <row r="11" spans="1:16" x14ac:dyDescent="0.25">
      <c r="A11" t="s">
        <v>352</v>
      </c>
      <c r="B11" t="s">
        <v>46</v>
      </c>
      <c r="C11" t="s">
        <v>6</v>
      </c>
      <c r="D11">
        <v>9</v>
      </c>
      <c r="E11">
        <v>33</v>
      </c>
      <c r="F11" s="42">
        <v>0.42199999999999999</v>
      </c>
      <c r="G11" s="42">
        <v>0.77800000000000002</v>
      </c>
      <c r="H11" s="42">
        <v>0.21199999999999999</v>
      </c>
      <c r="I11">
        <v>0.7</v>
      </c>
      <c r="J11">
        <v>4</v>
      </c>
      <c r="K11">
        <v>3</v>
      </c>
      <c r="L11">
        <v>1</v>
      </c>
      <c r="M11">
        <v>0</v>
      </c>
      <c r="N11">
        <v>1.1000000000000001</v>
      </c>
      <c r="O11">
        <v>12.6</v>
      </c>
      <c r="P11">
        <v>22.8</v>
      </c>
    </row>
    <row r="12" spans="1:16" x14ac:dyDescent="0.25">
      <c r="A12" t="s">
        <v>353</v>
      </c>
      <c r="B12" t="s">
        <v>117</v>
      </c>
      <c r="C12" t="s">
        <v>6</v>
      </c>
      <c r="D12">
        <v>10</v>
      </c>
      <c r="E12">
        <v>37.1</v>
      </c>
      <c r="F12" s="42">
        <v>0.45700000000000002</v>
      </c>
      <c r="G12" s="42">
        <v>0.88900000000000001</v>
      </c>
      <c r="H12" s="42">
        <v>0.43</v>
      </c>
      <c r="I12">
        <v>4.5999999999999996</v>
      </c>
      <c r="J12">
        <v>4</v>
      </c>
      <c r="K12">
        <v>3</v>
      </c>
      <c r="L12">
        <v>1</v>
      </c>
      <c r="M12">
        <v>0</v>
      </c>
      <c r="N12">
        <v>1.9</v>
      </c>
      <c r="O12">
        <v>20.2</v>
      </c>
      <c r="P12">
        <v>29.8</v>
      </c>
    </row>
    <row r="13" spans="1:16" x14ac:dyDescent="0.25">
      <c r="A13" t="s">
        <v>354</v>
      </c>
      <c r="B13" t="s">
        <v>113</v>
      </c>
      <c r="C13" t="s">
        <v>6</v>
      </c>
      <c r="D13">
        <v>10</v>
      </c>
      <c r="E13">
        <v>33.9</v>
      </c>
      <c r="F13" s="42">
        <v>0.38800000000000001</v>
      </c>
      <c r="G13" s="42">
        <v>0.76900000000000002</v>
      </c>
      <c r="H13" s="42">
        <v>0.31</v>
      </c>
      <c r="I13">
        <v>1.3</v>
      </c>
      <c r="J13">
        <v>6</v>
      </c>
      <c r="K13">
        <v>2</v>
      </c>
      <c r="L13">
        <v>1</v>
      </c>
      <c r="M13">
        <v>0</v>
      </c>
      <c r="N13">
        <v>1.7</v>
      </c>
      <c r="O13">
        <v>10.9</v>
      </c>
      <c r="P13">
        <v>20.6</v>
      </c>
    </row>
    <row r="14" spans="1:16" x14ac:dyDescent="0.25">
      <c r="A14" t="s">
        <v>355</v>
      </c>
      <c r="B14" t="s">
        <v>54</v>
      </c>
      <c r="C14" t="s">
        <v>6</v>
      </c>
      <c r="D14">
        <v>10</v>
      </c>
      <c r="E14">
        <v>27.4</v>
      </c>
      <c r="F14" s="42">
        <v>0.51300000000000001</v>
      </c>
      <c r="G14" s="42">
        <v>0.75600000000000001</v>
      </c>
      <c r="H14" s="42">
        <v>0.46700000000000003</v>
      </c>
      <c r="I14">
        <v>0.7</v>
      </c>
      <c r="J14">
        <v>8</v>
      </c>
      <c r="K14">
        <v>1</v>
      </c>
      <c r="L14">
        <v>1</v>
      </c>
      <c r="M14">
        <v>0</v>
      </c>
      <c r="N14">
        <v>1.1000000000000001</v>
      </c>
      <c r="O14">
        <v>15.4</v>
      </c>
      <c r="P14">
        <v>26.8</v>
      </c>
    </row>
    <row r="15" spans="1:16" x14ac:dyDescent="0.25">
      <c r="A15" t="s">
        <v>356</v>
      </c>
      <c r="B15" t="s">
        <v>116</v>
      </c>
      <c r="C15" t="s">
        <v>6</v>
      </c>
      <c r="D15">
        <v>1</v>
      </c>
      <c r="E15">
        <v>31.2</v>
      </c>
      <c r="F15" s="42">
        <v>0.5</v>
      </c>
      <c r="H15" s="42">
        <v>0</v>
      </c>
      <c r="I15">
        <v>0</v>
      </c>
      <c r="J15">
        <v>4</v>
      </c>
      <c r="K15">
        <v>5</v>
      </c>
      <c r="L15">
        <v>1</v>
      </c>
      <c r="M15">
        <v>0</v>
      </c>
      <c r="N15">
        <v>1</v>
      </c>
      <c r="O15">
        <v>6</v>
      </c>
      <c r="P15">
        <v>19.3</v>
      </c>
    </row>
    <row r="16" spans="1:16" x14ac:dyDescent="0.25">
      <c r="A16" t="s">
        <v>357</v>
      </c>
      <c r="B16" t="s">
        <v>344</v>
      </c>
      <c r="C16" t="s">
        <v>6</v>
      </c>
    </row>
    <row r="17" spans="1:16" x14ac:dyDescent="0.25">
      <c r="A17" t="s">
        <v>358</v>
      </c>
      <c r="B17" t="s">
        <v>359</v>
      </c>
      <c r="C17" t="s">
        <v>6</v>
      </c>
      <c r="D17">
        <v>10</v>
      </c>
      <c r="E17">
        <v>33.5</v>
      </c>
      <c r="F17" s="42">
        <v>0.44800000000000001</v>
      </c>
      <c r="G17" s="42">
        <v>0.68200000000000005</v>
      </c>
      <c r="H17" s="42">
        <v>0.2</v>
      </c>
      <c r="I17">
        <v>0.2</v>
      </c>
      <c r="J17">
        <v>5</v>
      </c>
      <c r="K17">
        <v>7</v>
      </c>
      <c r="L17">
        <v>1</v>
      </c>
      <c r="M17">
        <v>0</v>
      </c>
      <c r="N17">
        <v>4</v>
      </c>
      <c r="O17">
        <v>16.2</v>
      </c>
      <c r="P17">
        <v>31.5</v>
      </c>
    </row>
    <row r="18" spans="1:16" x14ac:dyDescent="0.25">
      <c r="A18" t="s">
        <v>360</v>
      </c>
      <c r="B18" t="s">
        <v>148</v>
      </c>
      <c r="C18" t="s">
        <v>6</v>
      </c>
      <c r="D18">
        <v>10</v>
      </c>
      <c r="E18">
        <v>36.200000000000003</v>
      </c>
      <c r="F18" s="42">
        <v>0.48</v>
      </c>
      <c r="G18" s="42">
        <v>0.5</v>
      </c>
      <c r="H18" s="42">
        <v>0.38</v>
      </c>
      <c r="I18">
        <v>1.9</v>
      </c>
      <c r="J18">
        <v>7</v>
      </c>
      <c r="K18">
        <v>5</v>
      </c>
      <c r="L18">
        <v>1</v>
      </c>
      <c r="M18">
        <v>1</v>
      </c>
      <c r="N18">
        <v>2.2999999999999998</v>
      </c>
      <c r="O18">
        <v>11.4</v>
      </c>
      <c r="P18">
        <v>28.3</v>
      </c>
    </row>
    <row r="19" spans="1:16" x14ac:dyDescent="0.25">
      <c r="A19" t="s">
        <v>361</v>
      </c>
      <c r="B19" t="s">
        <v>362</v>
      </c>
      <c r="C19" t="s">
        <v>6</v>
      </c>
      <c r="D19">
        <v>10</v>
      </c>
      <c r="E19">
        <v>29.2</v>
      </c>
      <c r="F19" s="42">
        <v>0.54200000000000004</v>
      </c>
      <c r="G19" s="42">
        <v>0.85</v>
      </c>
      <c r="H19" s="42">
        <v>0.433</v>
      </c>
      <c r="I19">
        <v>1.3</v>
      </c>
      <c r="J19">
        <v>5</v>
      </c>
      <c r="K19">
        <v>2</v>
      </c>
      <c r="L19">
        <v>2</v>
      </c>
      <c r="M19">
        <v>1</v>
      </c>
      <c r="N19">
        <v>1.1000000000000001</v>
      </c>
      <c r="O19">
        <v>14.6</v>
      </c>
      <c r="P19">
        <v>29.1</v>
      </c>
    </row>
    <row r="20" spans="1:16" x14ac:dyDescent="0.25">
      <c r="A20" t="s">
        <v>363</v>
      </c>
      <c r="B20" t="s">
        <v>60</v>
      </c>
      <c r="C20" t="s">
        <v>6</v>
      </c>
      <c r="D20">
        <v>10</v>
      </c>
      <c r="E20">
        <v>25.1</v>
      </c>
      <c r="F20" s="42">
        <v>0.40500000000000003</v>
      </c>
      <c r="G20" s="42">
        <v>0.69199999999999995</v>
      </c>
      <c r="H20" s="42">
        <v>0.46800000000000003</v>
      </c>
      <c r="I20">
        <v>2.9</v>
      </c>
      <c r="J20">
        <v>3</v>
      </c>
      <c r="K20">
        <v>3</v>
      </c>
      <c r="L20">
        <v>1</v>
      </c>
      <c r="M20">
        <v>1</v>
      </c>
      <c r="N20">
        <v>1.5</v>
      </c>
      <c r="O20">
        <v>13.2</v>
      </c>
      <c r="P20">
        <v>22.4</v>
      </c>
    </row>
    <row r="21" spans="1:16" x14ac:dyDescent="0.25">
      <c r="A21" t="s">
        <v>364</v>
      </c>
      <c r="B21" t="s">
        <v>110</v>
      </c>
      <c r="C21" t="s">
        <v>6</v>
      </c>
      <c r="D21">
        <v>10</v>
      </c>
      <c r="E21">
        <v>32</v>
      </c>
      <c r="F21" s="42">
        <v>0.39</v>
      </c>
      <c r="G21" s="42">
        <v>1</v>
      </c>
      <c r="H21" s="42">
        <v>0.25700000000000001</v>
      </c>
      <c r="I21">
        <v>0.9</v>
      </c>
      <c r="J21">
        <v>4</v>
      </c>
      <c r="K21">
        <v>2</v>
      </c>
      <c r="L21">
        <v>1</v>
      </c>
      <c r="M21">
        <v>0</v>
      </c>
      <c r="N21">
        <v>1.8</v>
      </c>
      <c r="O21">
        <v>11</v>
      </c>
      <c r="P21">
        <v>18.2</v>
      </c>
    </row>
    <row r="22" spans="1:16" x14ac:dyDescent="0.25">
      <c r="A22" t="s">
        <v>365</v>
      </c>
      <c r="B22" t="s">
        <v>112</v>
      </c>
      <c r="C22" t="s">
        <v>6</v>
      </c>
      <c r="D22">
        <v>10</v>
      </c>
      <c r="E22">
        <v>29.4</v>
      </c>
      <c r="F22" s="42">
        <v>0.54700000000000004</v>
      </c>
      <c r="G22" s="42">
        <v>0.75900000000000001</v>
      </c>
      <c r="H22" s="42">
        <v>0.25</v>
      </c>
      <c r="I22">
        <v>0.4</v>
      </c>
      <c r="J22">
        <v>3</v>
      </c>
      <c r="K22">
        <v>2</v>
      </c>
      <c r="L22">
        <v>3</v>
      </c>
      <c r="M22">
        <v>0</v>
      </c>
      <c r="N22">
        <v>1.3</v>
      </c>
      <c r="O22">
        <v>13</v>
      </c>
      <c r="P22">
        <v>23.6</v>
      </c>
    </row>
    <row r="23" spans="1:16" x14ac:dyDescent="0.25">
      <c r="A23" t="s">
        <v>366</v>
      </c>
      <c r="B23" t="s">
        <v>118</v>
      </c>
      <c r="C23" t="s">
        <v>6</v>
      </c>
      <c r="D23">
        <v>10</v>
      </c>
      <c r="E23">
        <v>34.799999999999997</v>
      </c>
      <c r="F23" s="42">
        <v>0.41399999999999998</v>
      </c>
      <c r="G23" s="42">
        <v>1</v>
      </c>
      <c r="H23" s="42">
        <v>0.33300000000000002</v>
      </c>
      <c r="I23">
        <v>1</v>
      </c>
      <c r="J23">
        <v>4</v>
      </c>
      <c r="K23">
        <v>3</v>
      </c>
      <c r="L23">
        <v>1</v>
      </c>
      <c r="M23">
        <v>1</v>
      </c>
      <c r="N23">
        <v>1.4</v>
      </c>
      <c r="O23">
        <v>10.6</v>
      </c>
      <c r="P23">
        <v>21.7</v>
      </c>
    </row>
    <row r="24" spans="1:16" x14ac:dyDescent="0.25">
      <c r="A24" t="s">
        <v>367</v>
      </c>
      <c r="B24" t="s">
        <v>109</v>
      </c>
      <c r="C24" t="s">
        <v>6</v>
      </c>
      <c r="D24">
        <v>9</v>
      </c>
      <c r="E24">
        <v>33.200000000000003</v>
      </c>
      <c r="F24" s="42">
        <v>0.47599999999999998</v>
      </c>
      <c r="G24" s="42">
        <v>0.85699999999999998</v>
      </c>
      <c r="H24" s="42">
        <v>0.27800000000000002</v>
      </c>
      <c r="I24">
        <v>1</v>
      </c>
      <c r="J24">
        <v>6</v>
      </c>
      <c r="K24">
        <v>2</v>
      </c>
      <c r="L24">
        <v>1</v>
      </c>
      <c r="M24">
        <v>0</v>
      </c>
      <c r="N24">
        <v>1.2</v>
      </c>
      <c r="O24">
        <v>10.8</v>
      </c>
      <c r="P24">
        <v>22.3</v>
      </c>
    </row>
    <row r="25" spans="1:16" x14ac:dyDescent="0.25">
      <c r="A25" t="s">
        <v>368</v>
      </c>
      <c r="B25" t="s">
        <v>4</v>
      </c>
      <c r="C25" t="s">
        <v>6</v>
      </c>
      <c r="D25">
        <v>10</v>
      </c>
      <c r="E25">
        <v>28.9</v>
      </c>
      <c r="F25" s="42">
        <v>0.41299999999999998</v>
      </c>
      <c r="G25" s="42">
        <v>0.7</v>
      </c>
      <c r="H25" s="42">
        <v>0.51100000000000001</v>
      </c>
      <c r="I25">
        <v>2.4</v>
      </c>
      <c r="J25">
        <v>3</v>
      </c>
      <c r="K25">
        <v>1</v>
      </c>
      <c r="L25">
        <v>1</v>
      </c>
      <c r="M25">
        <v>0</v>
      </c>
      <c r="N25">
        <v>0.2</v>
      </c>
      <c r="O25">
        <v>10.7</v>
      </c>
      <c r="P25">
        <v>19.600000000000001</v>
      </c>
    </row>
    <row r="26" spans="1:16" x14ac:dyDescent="0.25">
      <c r="A26" t="s">
        <v>369</v>
      </c>
      <c r="B26" t="s">
        <v>167</v>
      </c>
      <c r="C26" t="s">
        <v>6</v>
      </c>
      <c r="D26">
        <v>10</v>
      </c>
      <c r="E26">
        <v>30.8</v>
      </c>
      <c r="F26" s="42">
        <v>0.42299999999999999</v>
      </c>
      <c r="G26" s="42">
        <v>0.83299999999999996</v>
      </c>
      <c r="H26" s="42">
        <v>0.38100000000000001</v>
      </c>
      <c r="I26">
        <v>2.4</v>
      </c>
      <c r="J26">
        <v>4</v>
      </c>
      <c r="K26">
        <v>1</v>
      </c>
      <c r="L26">
        <v>1</v>
      </c>
      <c r="M26">
        <v>0</v>
      </c>
      <c r="N26">
        <v>0.8</v>
      </c>
      <c r="O26">
        <v>13.3</v>
      </c>
      <c r="P26">
        <v>21.3</v>
      </c>
    </row>
    <row r="27" spans="1:16" x14ac:dyDescent="0.25">
      <c r="A27" t="s">
        <v>370</v>
      </c>
      <c r="B27" t="s">
        <v>60</v>
      </c>
      <c r="C27" t="s">
        <v>6</v>
      </c>
      <c r="D27">
        <v>10</v>
      </c>
      <c r="E27">
        <v>33.1</v>
      </c>
      <c r="F27" s="42">
        <v>0.48899999999999999</v>
      </c>
      <c r="G27" s="42">
        <v>0.66700000000000004</v>
      </c>
      <c r="H27" s="42">
        <v>0.42099999999999999</v>
      </c>
      <c r="I27">
        <v>0.8</v>
      </c>
      <c r="J27">
        <v>7</v>
      </c>
      <c r="K27">
        <v>2</v>
      </c>
      <c r="L27">
        <v>1</v>
      </c>
      <c r="M27">
        <v>1</v>
      </c>
      <c r="N27">
        <v>1.1000000000000001</v>
      </c>
      <c r="O27">
        <v>10.199999999999999</v>
      </c>
      <c r="P27">
        <v>23.3</v>
      </c>
    </row>
    <row r="28" spans="1:16" x14ac:dyDescent="0.25">
      <c r="A28" t="s">
        <v>371</v>
      </c>
      <c r="B28" t="s">
        <v>111</v>
      </c>
      <c r="C28" t="s">
        <v>6</v>
      </c>
      <c r="D28">
        <v>3</v>
      </c>
      <c r="E28">
        <v>18.8</v>
      </c>
      <c r="F28" s="42">
        <v>0.42899999999999999</v>
      </c>
      <c r="G28" s="42">
        <v>0.66700000000000004</v>
      </c>
      <c r="H28" s="42">
        <v>0.435</v>
      </c>
      <c r="I28">
        <v>1</v>
      </c>
      <c r="J28">
        <v>1</v>
      </c>
      <c r="K28">
        <v>0</v>
      </c>
      <c r="L28">
        <v>1</v>
      </c>
      <c r="M28">
        <v>0</v>
      </c>
      <c r="N28">
        <v>1</v>
      </c>
      <c r="O28">
        <v>9.6999999999999993</v>
      </c>
      <c r="P28">
        <v>12.4</v>
      </c>
    </row>
    <row r="29" spans="1:16" x14ac:dyDescent="0.25">
      <c r="A29" t="s">
        <v>372</v>
      </c>
      <c r="B29" t="s">
        <v>373</v>
      </c>
      <c r="C29" t="s">
        <v>6</v>
      </c>
      <c r="D29">
        <v>10</v>
      </c>
      <c r="E29">
        <v>26.6</v>
      </c>
      <c r="F29" s="42">
        <v>0.29299999999999998</v>
      </c>
      <c r="G29" s="42">
        <v>0.83299999999999996</v>
      </c>
      <c r="H29" s="42">
        <v>0.152</v>
      </c>
      <c r="I29">
        <v>0.5</v>
      </c>
      <c r="J29">
        <v>3</v>
      </c>
      <c r="K29">
        <v>2</v>
      </c>
      <c r="L29">
        <v>1</v>
      </c>
      <c r="M29">
        <v>0</v>
      </c>
      <c r="N29">
        <v>0.9</v>
      </c>
      <c r="O29">
        <v>5.9</v>
      </c>
      <c r="P29">
        <v>12.9</v>
      </c>
    </row>
    <row r="30" spans="1:16" x14ac:dyDescent="0.25">
      <c r="A30" t="s">
        <v>374</v>
      </c>
      <c r="B30" t="s">
        <v>59</v>
      </c>
      <c r="C30" t="s">
        <v>6</v>
      </c>
      <c r="D30">
        <v>10</v>
      </c>
      <c r="E30">
        <v>28.9</v>
      </c>
      <c r="F30" s="42">
        <v>0.49399999999999999</v>
      </c>
      <c r="G30" s="42">
        <v>0.60899999999999999</v>
      </c>
      <c r="H30" s="42">
        <v>0.41699999999999998</v>
      </c>
      <c r="I30">
        <v>2</v>
      </c>
      <c r="J30">
        <v>2</v>
      </c>
      <c r="K30">
        <v>2</v>
      </c>
      <c r="L30">
        <v>1</v>
      </c>
      <c r="M30">
        <v>0</v>
      </c>
      <c r="N30">
        <v>0.8</v>
      </c>
      <c r="O30">
        <v>11.8</v>
      </c>
      <c r="P30">
        <v>17.7</v>
      </c>
    </row>
    <row r="31" spans="1:16" x14ac:dyDescent="0.25">
      <c r="A31" t="s">
        <v>375</v>
      </c>
      <c r="B31" t="s">
        <v>373</v>
      </c>
      <c r="C31" t="s">
        <v>6</v>
      </c>
      <c r="D31">
        <v>6</v>
      </c>
      <c r="E31">
        <v>28.8</v>
      </c>
      <c r="F31" s="42">
        <v>0.57699999999999996</v>
      </c>
      <c r="G31" s="42">
        <v>0.81799999999999995</v>
      </c>
      <c r="H31" s="42">
        <v>0.47099999999999997</v>
      </c>
      <c r="I31">
        <v>0.8</v>
      </c>
      <c r="J31">
        <v>5</v>
      </c>
      <c r="K31">
        <v>4</v>
      </c>
      <c r="L31">
        <v>1</v>
      </c>
      <c r="M31">
        <v>0</v>
      </c>
      <c r="N31">
        <v>1</v>
      </c>
      <c r="O31">
        <v>8.6999999999999993</v>
      </c>
      <c r="P31">
        <v>20.6</v>
      </c>
    </row>
    <row r="32" spans="1:16" x14ac:dyDescent="0.25">
      <c r="A32" t="s">
        <v>376</v>
      </c>
      <c r="B32" t="s">
        <v>117</v>
      </c>
      <c r="C32" t="s">
        <v>6</v>
      </c>
      <c r="D32">
        <v>10</v>
      </c>
      <c r="E32">
        <v>31.4</v>
      </c>
      <c r="F32" s="42">
        <v>0.42299999999999999</v>
      </c>
      <c r="G32" s="42">
        <v>1</v>
      </c>
      <c r="H32" s="42">
        <v>0.36799999999999999</v>
      </c>
      <c r="I32">
        <v>1.4</v>
      </c>
      <c r="J32">
        <v>3</v>
      </c>
      <c r="K32">
        <v>1</v>
      </c>
      <c r="L32">
        <v>1</v>
      </c>
      <c r="M32">
        <v>1</v>
      </c>
      <c r="N32">
        <v>0.9</v>
      </c>
      <c r="O32">
        <v>10</v>
      </c>
      <c r="P32">
        <v>18</v>
      </c>
    </row>
    <row r="33" spans="1:16" x14ac:dyDescent="0.25">
      <c r="A33" t="s">
        <v>377</v>
      </c>
      <c r="B33" t="s">
        <v>378</v>
      </c>
      <c r="C33" t="s">
        <v>6</v>
      </c>
      <c r="D33">
        <v>10</v>
      </c>
      <c r="E33">
        <v>31</v>
      </c>
      <c r="F33" s="42">
        <v>0.47099999999999997</v>
      </c>
      <c r="G33" s="42">
        <v>0.78300000000000003</v>
      </c>
      <c r="H33" s="42">
        <v>0.42399999999999999</v>
      </c>
      <c r="I33">
        <v>1.4</v>
      </c>
      <c r="J33">
        <v>7</v>
      </c>
      <c r="K33">
        <v>1</v>
      </c>
      <c r="L33">
        <v>1</v>
      </c>
      <c r="M33">
        <v>0</v>
      </c>
      <c r="N33">
        <v>0.8</v>
      </c>
      <c r="O33">
        <v>11.2</v>
      </c>
      <c r="P33">
        <v>24.2</v>
      </c>
    </row>
    <row r="34" spans="1:16" x14ac:dyDescent="0.25">
      <c r="A34" t="s">
        <v>379</v>
      </c>
      <c r="B34" t="s">
        <v>111</v>
      </c>
      <c r="C34" t="s">
        <v>6</v>
      </c>
      <c r="D34">
        <v>9</v>
      </c>
      <c r="E34">
        <v>24.2</v>
      </c>
      <c r="F34" s="42">
        <v>0.33800000000000002</v>
      </c>
      <c r="G34" s="42">
        <v>0.88900000000000001</v>
      </c>
      <c r="H34" s="42">
        <v>0.41699999999999998</v>
      </c>
      <c r="I34">
        <v>1</v>
      </c>
      <c r="J34">
        <v>4</v>
      </c>
      <c r="K34">
        <v>2</v>
      </c>
      <c r="L34">
        <v>1</v>
      </c>
      <c r="M34">
        <v>0</v>
      </c>
      <c r="N34">
        <v>1.1000000000000001</v>
      </c>
      <c r="O34">
        <v>6.7</v>
      </c>
      <c r="P34">
        <v>16.600000000000001</v>
      </c>
    </row>
    <row r="35" spans="1:16" x14ac:dyDescent="0.25">
      <c r="A35" t="s">
        <v>380</v>
      </c>
      <c r="B35" t="s">
        <v>146</v>
      </c>
      <c r="C35" t="s">
        <v>6</v>
      </c>
      <c r="D35">
        <v>10</v>
      </c>
      <c r="E35">
        <v>33.299999999999997</v>
      </c>
      <c r="F35" s="42">
        <v>0.41099999999999998</v>
      </c>
      <c r="G35" s="42">
        <v>0.73299999999999998</v>
      </c>
      <c r="H35" s="42">
        <v>0.308</v>
      </c>
      <c r="I35">
        <v>2</v>
      </c>
      <c r="J35">
        <v>6</v>
      </c>
      <c r="K35">
        <v>2</v>
      </c>
      <c r="L35">
        <v>1</v>
      </c>
      <c r="M35">
        <v>1</v>
      </c>
      <c r="N35">
        <v>1.6</v>
      </c>
      <c r="O35">
        <v>12.3</v>
      </c>
      <c r="P35">
        <v>25</v>
      </c>
    </row>
    <row r="36" spans="1:16" x14ac:dyDescent="0.25">
      <c r="A36" t="s">
        <v>381</v>
      </c>
      <c r="B36" t="s">
        <v>108</v>
      </c>
      <c r="C36" t="s">
        <v>6</v>
      </c>
    </row>
    <row r="37" spans="1:16" x14ac:dyDescent="0.25">
      <c r="A37" t="s">
        <v>382</v>
      </c>
      <c r="B37" t="s">
        <v>115</v>
      </c>
      <c r="C37" t="s">
        <v>6</v>
      </c>
    </row>
    <row r="38" spans="1:16" x14ac:dyDescent="0.25">
      <c r="A38" t="s">
        <v>383</v>
      </c>
      <c r="B38" t="s">
        <v>146</v>
      </c>
      <c r="C38" t="s">
        <v>6</v>
      </c>
      <c r="D38">
        <v>4</v>
      </c>
      <c r="E38">
        <v>13.6</v>
      </c>
      <c r="F38" s="42">
        <v>0.41699999999999998</v>
      </c>
      <c r="G38" s="42">
        <v>1</v>
      </c>
      <c r="H38" s="42">
        <v>0.55600000000000005</v>
      </c>
      <c r="I38">
        <v>1</v>
      </c>
      <c r="J38">
        <v>2</v>
      </c>
      <c r="K38">
        <v>0</v>
      </c>
      <c r="L38">
        <v>0</v>
      </c>
      <c r="M38">
        <v>1</v>
      </c>
      <c r="N38">
        <v>0</v>
      </c>
      <c r="O38">
        <v>6.3</v>
      </c>
      <c r="P38">
        <v>10.199999999999999</v>
      </c>
    </row>
    <row r="39" spans="1:16" x14ac:dyDescent="0.25">
      <c r="A39" t="s">
        <v>384</v>
      </c>
      <c r="B39" t="s">
        <v>147</v>
      </c>
      <c r="C39" t="s">
        <v>6</v>
      </c>
    </row>
    <row r="40" spans="1:16" x14ac:dyDescent="0.25">
      <c r="A40" t="s">
        <v>385</v>
      </c>
      <c r="B40" t="s">
        <v>147</v>
      </c>
      <c r="C40" t="s">
        <v>6</v>
      </c>
      <c r="D40">
        <v>10</v>
      </c>
      <c r="E40">
        <v>21.7</v>
      </c>
      <c r="F40" s="42">
        <v>0.40799999999999997</v>
      </c>
      <c r="G40" s="42">
        <v>0.68</v>
      </c>
      <c r="I40">
        <v>0</v>
      </c>
      <c r="J40">
        <v>6</v>
      </c>
      <c r="K40">
        <v>1</v>
      </c>
      <c r="L40">
        <v>1</v>
      </c>
      <c r="M40">
        <v>0</v>
      </c>
      <c r="N40">
        <v>0.6</v>
      </c>
      <c r="O40">
        <v>5.7</v>
      </c>
      <c r="P40">
        <v>15.2</v>
      </c>
    </row>
    <row r="41" spans="1:16" x14ac:dyDescent="0.25">
      <c r="A41" t="s">
        <v>386</v>
      </c>
      <c r="B41" t="s">
        <v>146</v>
      </c>
      <c r="C41" t="s">
        <v>6</v>
      </c>
      <c r="D41">
        <v>8</v>
      </c>
      <c r="E41">
        <v>16</v>
      </c>
      <c r="F41" s="42">
        <v>0.45</v>
      </c>
      <c r="G41" s="42">
        <v>1</v>
      </c>
      <c r="H41" s="42">
        <v>0.6</v>
      </c>
      <c r="I41">
        <v>0.9</v>
      </c>
      <c r="J41">
        <v>2</v>
      </c>
      <c r="K41">
        <v>1</v>
      </c>
      <c r="L41">
        <v>0</v>
      </c>
      <c r="M41">
        <v>0</v>
      </c>
      <c r="N41">
        <v>0.9</v>
      </c>
      <c r="O41">
        <v>5.6</v>
      </c>
      <c r="P41">
        <v>9.9</v>
      </c>
    </row>
    <row r="42" spans="1:16" x14ac:dyDescent="0.25">
      <c r="A42" t="s">
        <v>387</v>
      </c>
      <c r="B42" t="s">
        <v>359</v>
      </c>
      <c r="C42" t="s">
        <v>6</v>
      </c>
      <c r="D42">
        <v>10</v>
      </c>
      <c r="E42">
        <v>28</v>
      </c>
      <c r="F42" s="42">
        <v>0.439</v>
      </c>
      <c r="G42" s="42">
        <v>0.68</v>
      </c>
      <c r="H42" s="42">
        <v>0.25</v>
      </c>
      <c r="I42">
        <v>0.1</v>
      </c>
      <c r="J42">
        <v>7</v>
      </c>
      <c r="K42">
        <v>2</v>
      </c>
      <c r="L42">
        <v>1</v>
      </c>
      <c r="M42">
        <v>0</v>
      </c>
      <c r="N42">
        <v>1</v>
      </c>
      <c r="O42">
        <v>6.8</v>
      </c>
      <c r="P42">
        <v>19.2</v>
      </c>
    </row>
    <row r="43" spans="1:16" x14ac:dyDescent="0.25">
      <c r="A43" t="s">
        <v>388</v>
      </c>
      <c r="B43" t="s">
        <v>54</v>
      </c>
      <c r="C43" t="s">
        <v>6</v>
      </c>
      <c r="D43">
        <v>10</v>
      </c>
      <c r="E43">
        <v>29.5</v>
      </c>
      <c r="F43" s="42">
        <v>0.51500000000000001</v>
      </c>
      <c r="G43" s="42">
        <v>0.45500000000000002</v>
      </c>
      <c r="H43" s="42">
        <v>0.435</v>
      </c>
      <c r="I43">
        <v>1</v>
      </c>
      <c r="J43">
        <v>3</v>
      </c>
      <c r="K43">
        <v>1</v>
      </c>
      <c r="L43">
        <v>2</v>
      </c>
      <c r="M43">
        <v>1</v>
      </c>
      <c r="N43">
        <v>2.2999999999999998</v>
      </c>
      <c r="O43">
        <v>8.5</v>
      </c>
      <c r="P43">
        <v>17.5</v>
      </c>
    </row>
    <row r="44" spans="1:16" x14ac:dyDescent="0.25">
      <c r="A44" t="s">
        <v>389</v>
      </c>
      <c r="B44" t="s">
        <v>44</v>
      </c>
      <c r="C44" t="s">
        <v>6</v>
      </c>
      <c r="D44">
        <v>7</v>
      </c>
      <c r="E44">
        <v>12.9</v>
      </c>
      <c r="F44" s="42">
        <v>0.28599999999999998</v>
      </c>
      <c r="G44" s="42">
        <v>0.66700000000000004</v>
      </c>
      <c r="H44" s="42">
        <v>0.33300000000000002</v>
      </c>
      <c r="I44">
        <v>0.9</v>
      </c>
      <c r="J44">
        <v>3</v>
      </c>
      <c r="K44">
        <v>1</v>
      </c>
      <c r="L44">
        <v>1</v>
      </c>
      <c r="M44">
        <v>0</v>
      </c>
      <c r="N44">
        <v>1.1000000000000001</v>
      </c>
      <c r="O44">
        <v>4.0999999999999996</v>
      </c>
      <c r="P44">
        <v>8.9</v>
      </c>
    </row>
    <row r="45" spans="1:16" x14ac:dyDescent="0.25">
      <c r="A45" t="s">
        <v>390</v>
      </c>
      <c r="B45" t="s">
        <v>110</v>
      </c>
      <c r="C45" t="s">
        <v>6</v>
      </c>
      <c r="D45">
        <v>10</v>
      </c>
      <c r="E45">
        <v>26</v>
      </c>
      <c r="F45" s="42">
        <v>0.41799999999999998</v>
      </c>
      <c r="G45" s="42">
        <v>0.69199999999999995</v>
      </c>
      <c r="H45" s="42">
        <v>0.45500000000000002</v>
      </c>
      <c r="I45">
        <v>0.5</v>
      </c>
      <c r="J45">
        <v>5</v>
      </c>
      <c r="K45">
        <v>2</v>
      </c>
      <c r="L45">
        <v>1</v>
      </c>
      <c r="M45">
        <v>1</v>
      </c>
      <c r="N45">
        <v>1.8</v>
      </c>
      <c r="O45">
        <v>6.9</v>
      </c>
      <c r="P45">
        <v>16.7</v>
      </c>
    </row>
    <row r="46" spans="1:16" x14ac:dyDescent="0.25">
      <c r="A46" t="s">
        <v>391</v>
      </c>
      <c r="B46" t="s">
        <v>112</v>
      </c>
      <c r="C46" t="s">
        <v>6</v>
      </c>
      <c r="D46">
        <v>8</v>
      </c>
      <c r="E46">
        <v>21</v>
      </c>
      <c r="F46" s="42">
        <v>0.5</v>
      </c>
      <c r="G46" s="42">
        <v>0.87</v>
      </c>
      <c r="H46" s="42">
        <v>0.42399999999999999</v>
      </c>
      <c r="I46">
        <v>1.4</v>
      </c>
      <c r="J46">
        <v>4</v>
      </c>
      <c r="K46">
        <v>1</v>
      </c>
      <c r="L46">
        <v>1</v>
      </c>
      <c r="M46">
        <v>0</v>
      </c>
      <c r="N46">
        <v>0.8</v>
      </c>
      <c r="O46">
        <v>9.9</v>
      </c>
      <c r="P46">
        <v>18.100000000000001</v>
      </c>
    </row>
    <row r="47" spans="1:16" x14ac:dyDescent="0.25">
      <c r="A47" t="s">
        <v>392</v>
      </c>
      <c r="B47" t="s">
        <v>147</v>
      </c>
      <c r="C47" t="s">
        <v>6</v>
      </c>
      <c r="D47">
        <v>6</v>
      </c>
      <c r="E47">
        <v>12.8</v>
      </c>
      <c r="F47" s="42">
        <v>0.47599999999999998</v>
      </c>
      <c r="G47" s="42">
        <v>0.71399999999999997</v>
      </c>
      <c r="H47" s="42">
        <v>0.51400000000000001</v>
      </c>
      <c r="I47">
        <v>1.8</v>
      </c>
      <c r="J47">
        <v>3</v>
      </c>
      <c r="K47">
        <v>1</v>
      </c>
      <c r="L47">
        <v>0</v>
      </c>
      <c r="M47">
        <v>0</v>
      </c>
      <c r="N47">
        <v>0.3</v>
      </c>
      <c r="O47">
        <v>6.3</v>
      </c>
      <c r="P47">
        <v>11</v>
      </c>
    </row>
    <row r="48" spans="1:16" x14ac:dyDescent="0.25">
      <c r="A48" t="s">
        <v>393</v>
      </c>
      <c r="B48" t="s">
        <v>115</v>
      </c>
      <c r="C48" t="s">
        <v>6</v>
      </c>
    </row>
    <row r="49" spans="1:16" x14ac:dyDescent="0.25">
      <c r="A49" t="s">
        <v>394</v>
      </c>
      <c r="B49" t="s">
        <v>115</v>
      </c>
      <c r="C49" t="s">
        <v>6</v>
      </c>
      <c r="D49">
        <v>8</v>
      </c>
      <c r="E49">
        <v>21.5</v>
      </c>
      <c r="F49" s="42">
        <v>0.45300000000000001</v>
      </c>
      <c r="G49" s="42">
        <v>0.375</v>
      </c>
      <c r="H49" s="42">
        <v>0</v>
      </c>
      <c r="I49">
        <v>0</v>
      </c>
      <c r="J49">
        <v>3</v>
      </c>
      <c r="K49">
        <v>1</v>
      </c>
      <c r="L49">
        <v>0</v>
      </c>
      <c r="M49">
        <v>0</v>
      </c>
      <c r="N49">
        <v>0.3</v>
      </c>
      <c r="O49">
        <v>6</v>
      </c>
      <c r="P49">
        <v>11.4</v>
      </c>
    </row>
    <row r="50" spans="1:16" x14ac:dyDescent="0.25">
      <c r="A50" t="s">
        <v>395</v>
      </c>
      <c r="B50" t="s">
        <v>50</v>
      </c>
      <c r="C50" t="s">
        <v>6</v>
      </c>
      <c r="D50">
        <v>10</v>
      </c>
      <c r="E50">
        <v>18.899999999999999</v>
      </c>
      <c r="F50" s="42">
        <v>0.29599999999999999</v>
      </c>
      <c r="G50" s="42">
        <v>0.82399999999999995</v>
      </c>
      <c r="H50" s="42">
        <v>0.17199999999999999</v>
      </c>
      <c r="I50">
        <v>0.5</v>
      </c>
      <c r="J50">
        <v>2</v>
      </c>
      <c r="K50">
        <v>0</v>
      </c>
      <c r="L50">
        <v>1</v>
      </c>
      <c r="M50">
        <v>0</v>
      </c>
      <c r="N50">
        <v>0.6</v>
      </c>
      <c r="O50">
        <v>5.0999999999999996</v>
      </c>
      <c r="P50">
        <v>8.6999999999999993</v>
      </c>
    </row>
    <row r="51" spans="1:16" x14ac:dyDescent="0.25">
      <c r="A51" t="s">
        <v>396</v>
      </c>
      <c r="B51" t="s">
        <v>44</v>
      </c>
      <c r="C51" t="s">
        <v>6</v>
      </c>
      <c r="D51">
        <v>7</v>
      </c>
      <c r="E51">
        <v>20.5</v>
      </c>
      <c r="F51" s="42">
        <v>0.42099999999999999</v>
      </c>
      <c r="G51" s="42">
        <v>0</v>
      </c>
      <c r="H51" s="42">
        <v>0.34499999999999997</v>
      </c>
      <c r="I51">
        <v>1</v>
      </c>
      <c r="J51">
        <v>2</v>
      </c>
      <c r="K51">
        <v>2</v>
      </c>
      <c r="L51">
        <v>0</v>
      </c>
      <c r="M51">
        <v>1</v>
      </c>
      <c r="N51">
        <v>0.4</v>
      </c>
      <c r="O51">
        <v>5.9</v>
      </c>
      <c r="P51">
        <v>12.9</v>
      </c>
    </row>
    <row r="52" spans="1:16" x14ac:dyDescent="0.25">
      <c r="A52" t="s">
        <v>397</v>
      </c>
      <c r="B52" t="s">
        <v>109</v>
      </c>
      <c r="C52" t="s">
        <v>6</v>
      </c>
      <c r="D52">
        <v>6</v>
      </c>
      <c r="E52">
        <v>14.9</v>
      </c>
      <c r="F52" s="42">
        <v>0.38300000000000001</v>
      </c>
      <c r="G52" s="42">
        <v>0.8</v>
      </c>
      <c r="H52" s="42">
        <v>0.32</v>
      </c>
      <c r="I52">
        <v>0.8</v>
      </c>
      <c r="J52">
        <v>2</v>
      </c>
      <c r="K52">
        <v>1</v>
      </c>
      <c r="L52">
        <v>1</v>
      </c>
      <c r="M52">
        <v>0</v>
      </c>
      <c r="N52">
        <v>0.5</v>
      </c>
      <c r="O52">
        <v>5.7</v>
      </c>
      <c r="P52">
        <v>10.6</v>
      </c>
    </row>
    <row r="53" spans="1:16" x14ac:dyDescent="0.25">
      <c r="A53" t="s">
        <v>398</v>
      </c>
      <c r="B53" t="s">
        <v>53</v>
      </c>
      <c r="C53" t="s">
        <v>6</v>
      </c>
      <c r="D53">
        <v>10</v>
      </c>
      <c r="E53">
        <v>26.1</v>
      </c>
      <c r="F53" s="42">
        <v>0.47499999999999998</v>
      </c>
      <c r="G53" s="42">
        <v>0.85699999999999998</v>
      </c>
      <c r="H53" s="42">
        <v>0.57099999999999995</v>
      </c>
      <c r="I53">
        <v>2</v>
      </c>
      <c r="J53">
        <v>3</v>
      </c>
      <c r="K53">
        <v>1</v>
      </c>
      <c r="L53">
        <v>1</v>
      </c>
      <c r="M53">
        <v>0</v>
      </c>
      <c r="N53">
        <v>1.2</v>
      </c>
      <c r="O53">
        <v>8.1999999999999993</v>
      </c>
      <c r="P53">
        <v>13.6</v>
      </c>
    </row>
    <row r="54" spans="1:16" x14ac:dyDescent="0.25">
      <c r="A54" t="s">
        <v>399</v>
      </c>
      <c r="B54" t="s">
        <v>167</v>
      </c>
      <c r="C54" t="s">
        <v>6</v>
      </c>
      <c r="D54">
        <v>10</v>
      </c>
      <c r="E54">
        <v>16</v>
      </c>
      <c r="F54" s="42">
        <v>0.41199999999999998</v>
      </c>
      <c r="G54" s="42">
        <v>1</v>
      </c>
      <c r="H54" s="42">
        <v>0.57099999999999995</v>
      </c>
      <c r="I54">
        <v>0.8</v>
      </c>
      <c r="J54">
        <v>1</v>
      </c>
      <c r="K54">
        <v>2</v>
      </c>
      <c r="L54">
        <v>1</v>
      </c>
      <c r="M54">
        <v>0</v>
      </c>
      <c r="N54">
        <v>0.6</v>
      </c>
      <c r="O54">
        <v>4.2</v>
      </c>
      <c r="P54">
        <v>8.4</v>
      </c>
    </row>
    <row r="55" spans="1:16" x14ac:dyDescent="0.25">
      <c r="A55" t="s">
        <v>400</v>
      </c>
      <c r="B55" t="s">
        <v>147</v>
      </c>
      <c r="C55" t="s">
        <v>6</v>
      </c>
      <c r="D55">
        <v>10</v>
      </c>
      <c r="E55">
        <v>27.2</v>
      </c>
      <c r="F55" s="42">
        <v>0.438</v>
      </c>
      <c r="G55" s="42">
        <v>0.89500000000000002</v>
      </c>
      <c r="H55" s="42">
        <v>0.33300000000000002</v>
      </c>
      <c r="I55">
        <v>1.4</v>
      </c>
      <c r="J55">
        <v>3</v>
      </c>
      <c r="K55">
        <v>2</v>
      </c>
      <c r="L55">
        <v>1</v>
      </c>
      <c r="M55">
        <v>0</v>
      </c>
      <c r="N55">
        <v>1</v>
      </c>
      <c r="O55">
        <v>10.1</v>
      </c>
      <c r="P55">
        <v>17.7</v>
      </c>
    </row>
    <row r="56" spans="1:16" x14ac:dyDescent="0.25">
      <c r="A56" t="s">
        <v>401</v>
      </c>
      <c r="B56" t="s">
        <v>50</v>
      </c>
      <c r="C56" t="s">
        <v>6</v>
      </c>
    </row>
    <row r="57" spans="1:16" x14ac:dyDescent="0.25">
      <c r="A57" t="s">
        <v>402</v>
      </c>
      <c r="B57" t="s">
        <v>60</v>
      </c>
      <c r="C57" t="s">
        <v>6</v>
      </c>
      <c r="D57">
        <v>10</v>
      </c>
      <c r="E57">
        <v>15.3</v>
      </c>
      <c r="F57" s="42">
        <v>0.51400000000000001</v>
      </c>
      <c r="G57" s="42">
        <v>0.9</v>
      </c>
      <c r="H57" s="42">
        <v>0.38100000000000001</v>
      </c>
      <c r="I57">
        <v>0.8</v>
      </c>
      <c r="J57">
        <v>4</v>
      </c>
      <c r="K57">
        <v>1</v>
      </c>
      <c r="L57">
        <v>1</v>
      </c>
      <c r="M57">
        <v>0</v>
      </c>
      <c r="N57">
        <v>0.5</v>
      </c>
      <c r="O57">
        <v>5.3</v>
      </c>
      <c r="P57">
        <v>11.1</v>
      </c>
    </row>
    <row r="58" spans="1:16" x14ac:dyDescent="0.25">
      <c r="A58" t="s">
        <v>403</v>
      </c>
      <c r="B58" t="s">
        <v>116</v>
      </c>
      <c r="C58" t="s">
        <v>6</v>
      </c>
      <c r="D58">
        <v>8</v>
      </c>
      <c r="E58">
        <v>10</v>
      </c>
      <c r="F58" s="42">
        <v>0.42099999999999999</v>
      </c>
      <c r="G58" s="42">
        <v>1</v>
      </c>
      <c r="H58" s="42">
        <v>0.33300000000000002</v>
      </c>
      <c r="I58">
        <v>0.5</v>
      </c>
      <c r="J58">
        <v>2</v>
      </c>
      <c r="K58">
        <v>2</v>
      </c>
      <c r="L58">
        <v>0</v>
      </c>
      <c r="M58">
        <v>0</v>
      </c>
      <c r="N58">
        <v>0.9</v>
      </c>
      <c r="O58">
        <v>4.4000000000000004</v>
      </c>
      <c r="P58">
        <v>9</v>
      </c>
    </row>
    <row r="59" spans="1:16" x14ac:dyDescent="0.25">
      <c r="A59" t="s">
        <v>404</v>
      </c>
      <c r="B59" t="s">
        <v>344</v>
      </c>
      <c r="C59" t="s">
        <v>6</v>
      </c>
    </row>
    <row r="60" spans="1:16" x14ac:dyDescent="0.25">
      <c r="A60" t="s">
        <v>405</v>
      </c>
      <c r="B60" t="s">
        <v>148</v>
      </c>
      <c r="C60" t="s">
        <v>6</v>
      </c>
      <c r="D60">
        <v>10</v>
      </c>
      <c r="E60">
        <v>16.399999999999999</v>
      </c>
      <c r="F60" s="42">
        <v>0.32</v>
      </c>
      <c r="G60" s="42">
        <v>0.78600000000000003</v>
      </c>
      <c r="H60" s="42">
        <v>0.23300000000000001</v>
      </c>
      <c r="I60">
        <v>0.7</v>
      </c>
      <c r="J60">
        <v>4</v>
      </c>
      <c r="K60">
        <v>1</v>
      </c>
      <c r="L60">
        <v>0</v>
      </c>
      <c r="M60">
        <v>0</v>
      </c>
      <c r="N60">
        <v>0.8</v>
      </c>
      <c r="O60">
        <v>5</v>
      </c>
      <c r="P60">
        <v>11.1</v>
      </c>
    </row>
    <row r="61" spans="1:16" x14ac:dyDescent="0.25">
      <c r="A61" t="s">
        <v>406</v>
      </c>
      <c r="B61" t="s">
        <v>109</v>
      </c>
      <c r="C61" t="s">
        <v>6</v>
      </c>
    </row>
    <row r="62" spans="1:16" x14ac:dyDescent="0.25">
      <c r="A62" t="s">
        <v>407</v>
      </c>
      <c r="B62" t="s">
        <v>108</v>
      </c>
      <c r="C62" t="s">
        <v>6</v>
      </c>
      <c r="D62">
        <v>10</v>
      </c>
      <c r="E62">
        <v>25.8</v>
      </c>
      <c r="F62" s="42">
        <v>0.433</v>
      </c>
      <c r="G62" s="42">
        <v>0.6</v>
      </c>
      <c r="H62" s="42">
        <v>0.371</v>
      </c>
      <c r="I62">
        <v>1.3</v>
      </c>
      <c r="J62">
        <v>3</v>
      </c>
      <c r="K62">
        <v>1</v>
      </c>
      <c r="L62">
        <v>0</v>
      </c>
      <c r="M62">
        <v>0</v>
      </c>
      <c r="N62">
        <v>0.5</v>
      </c>
      <c r="O62">
        <v>9.6999999999999993</v>
      </c>
      <c r="P62">
        <v>15.4</v>
      </c>
    </row>
    <row r="63" spans="1:16" x14ac:dyDescent="0.25">
      <c r="A63" t="s">
        <v>408</v>
      </c>
      <c r="B63" t="s">
        <v>46</v>
      </c>
      <c r="C63" t="s">
        <v>6</v>
      </c>
      <c r="D63">
        <v>10</v>
      </c>
      <c r="E63">
        <v>13</v>
      </c>
      <c r="F63" s="42">
        <v>0.46300000000000002</v>
      </c>
      <c r="G63" s="42">
        <v>0.66700000000000004</v>
      </c>
      <c r="H63" s="42">
        <v>0.4</v>
      </c>
      <c r="I63">
        <v>0.4</v>
      </c>
      <c r="J63">
        <v>2</v>
      </c>
      <c r="K63">
        <v>0</v>
      </c>
      <c r="L63">
        <v>0</v>
      </c>
      <c r="M63">
        <v>1</v>
      </c>
      <c r="N63">
        <v>0.6</v>
      </c>
      <c r="O63">
        <v>4.8</v>
      </c>
      <c r="P63">
        <v>8.9</v>
      </c>
    </row>
    <row r="64" spans="1:16" x14ac:dyDescent="0.25">
      <c r="A64" t="s">
        <v>409</v>
      </c>
      <c r="B64" t="s">
        <v>112</v>
      </c>
      <c r="C64" t="s">
        <v>6</v>
      </c>
      <c r="D64">
        <v>8</v>
      </c>
      <c r="E64">
        <v>16.3</v>
      </c>
      <c r="F64" s="42">
        <v>0.51600000000000001</v>
      </c>
      <c r="G64" s="42">
        <v>0.9</v>
      </c>
      <c r="H64" s="42">
        <v>0.25</v>
      </c>
      <c r="I64">
        <v>0.1</v>
      </c>
      <c r="J64">
        <v>2</v>
      </c>
      <c r="K64">
        <v>0</v>
      </c>
      <c r="L64">
        <v>0</v>
      </c>
      <c r="M64">
        <v>0</v>
      </c>
      <c r="N64">
        <v>0.3</v>
      </c>
      <c r="O64">
        <v>4.3</v>
      </c>
      <c r="P64">
        <v>6.6</v>
      </c>
    </row>
    <row r="65" spans="1:16" x14ac:dyDescent="0.25">
      <c r="A65" t="s">
        <v>410</v>
      </c>
      <c r="B65" t="s">
        <v>119</v>
      </c>
      <c r="C65" t="s">
        <v>6</v>
      </c>
      <c r="D65">
        <v>5</v>
      </c>
      <c r="E65">
        <v>22.7</v>
      </c>
      <c r="F65" s="42">
        <v>0.48099999999999998</v>
      </c>
      <c r="G65" s="42">
        <v>0.75</v>
      </c>
      <c r="H65" s="42">
        <v>0.55000000000000004</v>
      </c>
      <c r="I65">
        <v>2.2000000000000002</v>
      </c>
      <c r="J65">
        <v>2</v>
      </c>
      <c r="K65">
        <v>1</v>
      </c>
      <c r="L65">
        <v>0</v>
      </c>
      <c r="M65">
        <v>0</v>
      </c>
      <c r="N65">
        <v>0.4</v>
      </c>
      <c r="O65">
        <v>8</v>
      </c>
      <c r="P65">
        <v>12.9</v>
      </c>
    </row>
    <row r="66" spans="1:16" x14ac:dyDescent="0.25">
      <c r="A66" t="s">
        <v>411</v>
      </c>
      <c r="B66" t="s">
        <v>359</v>
      </c>
      <c r="C66" t="s">
        <v>6</v>
      </c>
      <c r="D66">
        <v>9</v>
      </c>
      <c r="E66">
        <v>22.8</v>
      </c>
      <c r="F66" s="42">
        <v>0.49099999999999999</v>
      </c>
      <c r="G66" s="42">
        <v>0.72199999999999998</v>
      </c>
      <c r="H66" s="42">
        <v>0.318</v>
      </c>
      <c r="I66">
        <v>0.7</v>
      </c>
      <c r="J66">
        <v>1</v>
      </c>
      <c r="K66">
        <v>1</v>
      </c>
      <c r="L66">
        <v>1</v>
      </c>
      <c r="M66">
        <v>0</v>
      </c>
      <c r="N66">
        <v>0.8</v>
      </c>
      <c r="O66">
        <v>7.6</v>
      </c>
      <c r="P66">
        <v>12.2</v>
      </c>
    </row>
    <row r="67" spans="1:16" x14ac:dyDescent="0.25">
      <c r="A67" t="s">
        <v>412</v>
      </c>
      <c r="B67" t="s">
        <v>146</v>
      </c>
      <c r="C67" t="s">
        <v>6</v>
      </c>
      <c r="D67">
        <v>8</v>
      </c>
      <c r="E67">
        <v>9.1</v>
      </c>
      <c r="F67" s="42">
        <v>0.41</v>
      </c>
      <c r="G67" s="42">
        <v>0.75</v>
      </c>
      <c r="H67" s="42">
        <v>0.47399999999999998</v>
      </c>
      <c r="I67">
        <v>0.9</v>
      </c>
      <c r="J67">
        <v>2</v>
      </c>
      <c r="K67">
        <v>0</v>
      </c>
      <c r="L67">
        <v>0</v>
      </c>
      <c r="M67">
        <v>0</v>
      </c>
      <c r="N67">
        <v>0.1</v>
      </c>
      <c r="O67">
        <v>4.4000000000000004</v>
      </c>
      <c r="P67">
        <v>7.8</v>
      </c>
    </row>
    <row r="68" spans="1:16" x14ac:dyDescent="0.25">
      <c r="A68" t="s">
        <v>413</v>
      </c>
      <c r="B68" t="s">
        <v>112</v>
      </c>
      <c r="C68" t="s">
        <v>6</v>
      </c>
      <c r="D68">
        <v>10</v>
      </c>
      <c r="E68">
        <v>16.7</v>
      </c>
      <c r="F68" s="42">
        <v>0.44700000000000001</v>
      </c>
      <c r="G68" s="42">
        <v>0.85699999999999998</v>
      </c>
      <c r="H68" s="42">
        <v>0.45</v>
      </c>
      <c r="I68">
        <v>0.9</v>
      </c>
      <c r="J68">
        <v>2</v>
      </c>
      <c r="K68">
        <v>1</v>
      </c>
      <c r="L68">
        <v>1</v>
      </c>
      <c r="M68">
        <v>0</v>
      </c>
      <c r="N68">
        <v>0.4</v>
      </c>
      <c r="O68">
        <v>5.7</v>
      </c>
      <c r="P68">
        <v>10.199999999999999</v>
      </c>
    </row>
    <row r="69" spans="1:16" x14ac:dyDescent="0.25">
      <c r="A69" t="s">
        <v>414</v>
      </c>
      <c r="B69" t="s">
        <v>114</v>
      </c>
      <c r="C69" t="s">
        <v>6</v>
      </c>
      <c r="D69">
        <v>9</v>
      </c>
      <c r="E69">
        <v>9.6</v>
      </c>
      <c r="F69" s="42">
        <v>0.32100000000000001</v>
      </c>
      <c r="G69" s="42">
        <v>0.57099999999999995</v>
      </c>
      <c r="H69" s="42">
        <v>0.25</v>
      </c>
      <c r="I69">
        <v>0.4</v>
      </c>
      <c r="J69">
        <v>1</v>
      </c>
      <c r="K69">
        <v>0</v>
      </c>
      <c r="L69">
        <v>0</v>
      </c>
      <c r="M69">
        <v>0</v>
      </c>
      <c r="N69">
        <v>0.2</v>
      </c>
      <c r="O69">
        <v>2.7</v>
      </c>
      <c r="P69">
        <v>4.7</v>
      </c>
    </row>
    <row r="70" spans="1:16" x14ac:dyDescent="0.25">
      <c r="A70" t="s">
        <v>415</v>
      </c>
      <c r="B70" t="s">
        <v>117</v>
      </c>
      <c r="C70" t="s">
        <v>6</v>
      </c>
    </row>
    <row r="71" spans="1:16" x14ac:dyDescent="0.25">
      <c r="A71" t="s">
        <v>416</v>
      </c>
      <c r="B71" t="s">
        <v>167</v>
      </c>
      <c r="C71" t="s">
        <v>6</v>
      </c>
      <c r="D71">
        <v>3</v>
      </c>
      <c r="E71">
        <v>6.6</v>
      </c>
      <c r="F71" s="42">
        <v>0.7</v>
      </c>
      <c r="I71">
        <v>0</v>
      </c>
      <c r="J71">
        <v>1</v>
      </c>
      <c r="K71">
        <v>0</v>
      </c>
      <c r="L71">
        <v>1</v>
      </c>
      <c r="M71">
        <v>0</v>
      </c>
      <c r="N71">
        <v>0.3</v>
      </c>
      <c r="O71">
        <v>1.3</v>
      </c>
      <c r="P71">
        <v>4.3</v>
      </c>
    </row>
    <row r="72" spans="1:16" x14ac:dyDescent="0.25">
      <c r="A72" t="s">
        <v>417</v>
      </c>
      <c r="B72" t="s">
        <v>114</v>
      </c>
      <c r="C72" t="s">
        <v>6</v>
      </c>
      <c r="D72">
        <v>6</v>
      </c>
      <c r="E72">
        <v>5.5</v>
      </c>
      <c r="F72" s="42">
        <v>0.28599999999999998</v>
      </c>
      <c r="G72" s="42">
        <v>1</v>
      </c>
      <c r="H72" s="42">
        <v>0</v>
      </c>
      <c r="I72">
        <v>0</v>
      </c>
      <c r="J72">
        <v>1</v>
      </c>
      <c r="K72">
        <v>0</v>
      </c>
      <c r="L72">
        <v>0</v>
      </c>
      <c r="M72">
        <v>0</v>
      </c>
      <c r="N72">
        <v>0.2</v>
      </c>
      <c r="O72">
        <v>0.7</v>
      </c>
      <c r="P72">
        <v>2.4</v>
      </c>
    </row>
    <row r="73" spans="1:16" x14ac:dyDescent="0.25">
      <c r="A73" t="s">
        <v>418</v>
      </c>
      <c r="B73" t="s">
        <v>50</v>
      </c>
      <c r="C73" t="s">
        <v>6</v>
      </c>
    </row>
    <row r="74" spans="1:16" x14ac:dyDescent="0.25">
      <c r="A74" t="s">
        <v>419</v>
      </c>
      <c r="B74" t="s">
        <v>362</v>
      </c>
      <c r="C74" t="s">
        <v>6</v>
      </c>
      <c r="D74">
        <v>2</v>
      </c>
      <c r="E74">
        <v>6.5</v>
      </c>
      <c r="F74" s="42">
        <v>0</v>
      </c>
      <c r="G74" s="42">
        <v>1</v>
      </c>
      <c r="H74" s="42">
        <v>0</v>
      </c>
      <c r="I74">
        <v>0</v>
      </c>
      <c r="J74">
        <v>2</v>
      </c>
      <c r="K74">
        <v>0</v>
      </c>
      <c r="L74">
        <v>0</v>
      </c>
      <c r="M74">
        <v>0</v>
      </c>
      <c r="N74">
        <v>0.5</v>
      </c>
      <c r="O74">
        <v>1</v>
      </c>
      <c r="P74">
        <v>2.2999999999999998</v>
      </c>
    </row>
    <row r="75" spans="1:16" x14ac:dyDescent="0.25">
      <c r="A75" t="s">
        <v>420</v>
      </c>
      <c r="B75" t="s">
        <v>54</v>
      </c>
      <c r="C75" t="s">
        <v>6</v>
      </c>
    </row>
    <row r="76" spans="1:16" x14ac:dyDescent="0.25">
      <c r="A76" t="s">
        <v>421</v>
      </c>
      <c r="B76" t="s">
        <v>146</v>
      </c>
      <c r="C76" t="s">
        <v>6</v>
      </c>
    </row>
    <row r="77" spans="1:16" x14ac:dyDescent="0.25">
      <c r="A77" t="s">
        <v>422</v>
      </c>
      <c r="B77" t="s">
        <v>46</v>
      </c>
      <c r="C77" t="s">
        <v>6</v>
      </c>
      <c r="D77">
        <v>2</v>
      </c>
      <c r="E77">
        <v>4.9000000000000004</v>
      </c>
      <c r="F77" s="42">
        <v>0.66700000000000004</v>
      </c>
      <c r="H77" s="42">
        <v>0</v>
      </c>
      <c r="I77">
        <v>0</v>
      </c>
      <c r="J77">
        <v>1</v>
      </c>
      <c r="K77">
        <v>1</v>
      </c>
      <c r="L77">
        <v>0</v>
      </c>
      <c r="M77">
        <v>0</v>
      </c>
      <c r="N77">
        <v>0.5</v>
      </c>
      <c r="O77">
        <v>2</v>
      </c>
      <c r="P77">
        <v>2.9</v>
      </c>
    </row>
    <row r="78" spans="1:16" x14ac:dyDescent="0.25">
      <c r="A78" t="s">
        <v>423</v>
      </c>
      <c r="B78" t="s">
        <v>113</v>
      </c>
      <c r="C78" t="s">
        <v>6</v>
      </c>
      <c r="D78">
        <v>3</v>
      </c>
      <c r="E78">
        <v>4.5</v>
      </c>
      <c r="F78" s="42">
        <v>0.73899999999999999</v>
      </c>
      <c r="G78" s="42">
        <v>0.7</v>
      </c>
      <c r="H78" s="42">
        <v>0.7</v>
      </c>
      <c r="I78">
        <v>0.7</v>
      </c>
      <c r="J78">
        <v>1</v>
      </c>
      <c r="K78">
        <v>0</v>
      </c>
      <c r="L78">
        <v>0</v>
      </c>
      <c r="M78">
        <v>0</v>
      </c>
      <c r="N78">
        <v>0.7</v>
      </c>
      <c r="O78">
        <v>4.7</v>
      </c>
      <c r="P78">
        <v>6</v>
      </c>
    </row>
    <row r="79" spans="1:16" x14ac:dyDescent="0.25">
      <c r="A79" t="s">
        <v>424</v>
      </c>
      <c r="B79" t="s">
        <v>46</v>
      </c>
      <c r="C79" t="s">
        <v>6</v>
      </c>
    </row>
    <row r="80" spans="1:16" x14ac:dyDescent="0.25">
      <c r="A80" t="s">
        <v>425</v>
      </c>
      <c r="B80" t="s">
        <v>118</v>
      </c>
      <c r="C80" t="s">
        <v>6</v>
      </c>
      <c r="D80">
        <v>3</v>
      </c>
      <c r="E80">
        <v>0.8</v>
      </c>
      <c r="F80" s="42">
        <v>0.42899999999999999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0.7</v>
      </c>
      <c r="P80">
        <v>1.3</v>
      </c>
    </row>
    <row r="81" spans="1:16" x14ac:dyDescent="0.25">
      <c r="A81" t="s">
        <v>426</v>
      </c>
      <c r="B81" t="s">
        <v>110</v>
      </c>
      <c r="C81" t="s">
        <v>6</v>
      </c>
      <c r="D81">
        <v>4</v>
      </c>
      <c r="E81">
        <v>5.2</v>
      </c>
      <c r="F81" s="42">
        <v>0.375</v>
      </c>
      <c r="G81" s="42">
        <v>0.8</v>
      </c>
      <c r="I81">
        <v>0</v>
      </c>
      <c r="J81">
        <v>2</v>
      </c>
      <c r="K81">
        <v>0</v>
      </c>
      <c r="L81">
        <v>1</v>
      </c>
      <c r="M81">
        <v>0</v>
      </c>
      <c r="N81">
        <v>0.3</v>
      </c>
      <c r="O81">
        <v>1.3</v>
      </c>
      <c r="P81">
        <v>5.5</v>
      </c>
    </row>
    <row r="82" spans="1:16" x14ac:dyDescent="0.25">
      <c r="A82" t="s">
        <v>427</v>
      </c>
      <c r="B82" t="s">
        <v>44</v>
      </c>
      <c r="C82" t="s">
        <v>6</v>
      </c>
    </row>
    <row r="83" spans="1:16" x14ac:dyDescent="0.25">
      <c r="A83" t="s">
        <v>428</v>
      </c>
      <c r="B83" t="s">
        <v>111</v>
      </c>
      <c r="C83" t="s">
        <v>6</v>
      </c>
    </row>
    <row r="84" spans="1:16" x14ac:dyDescent="0.25">
      <c r="A84" t="s">
        <v>429</v>
      </c>
      <c r="B84" t="s">
        <v>359</v>
      </c>
      <c r="C84" t="s">
        <v>6</v>
      </c>
    </row>
    <row r="85" spans="1:16" x14ac:dyDescent="0.25">
      <c r="A85" t="s">
        <v>430</v>
      </c>
      <c r="B85" t="s">
        <v>147</v>
      </c>
      <c r="C85" t="s">
        <v>6</v>
      </c>
    </row>
    <row r="86" spans="1:16" x14ac:dyDescent="0.25">
      <c r="A86" t="s">
        <v>431</v>
      </c>
      <c r="B86" t="s">
        <v>112</v>
      </c>
      <c r="C86" t="s">
        <v>5</v>
      </c>
      <c r="D86">
        <v>9</v>
      </c>
      <c r="E86">
        <v>33.5</v>
      </c>
      <c r="F86" s="42">
        <v>0.41599999999999998</v>
      </c>
      <c r="G86" s="42">
        <v>0.85699999999999998</v>
      </c>
      <c r="H86" s="42">
        <v>0.32300000000000001</v>
      </c>
      <c r="I86">
        <v>2</v>
      </c>
      <c r="J86">
        <v>11</v>
      </c>
      <c r="K86">
        <v>5</v>
      </c>
      <c r="L86">
        <v>0</v>
      </c>
      <c r="M86">
        <v>0</v>
      </c>
      <c r="N86">
        <v>3.4</v>
      </c>
      <c r="O86">
        <v>19.3</v>
      </c>
      <c r="P86">
        <v>38</v>
      </c>
    </row>
    <row r="87" spans="1:16" x14ac:dyDescent="0.25">
      <c r="A87" t="s">
        <v>432</v>
      </c>
      <c r="B87" t="s">
        <v>146</v>
      </c>
      <c r="C87" t="s">
        <v>5</v>
      </c>
      <c r="D87">
        <v>9</v>
      </c>
      <c r="E87">
        <v>33.799999999999997</v>
      </c>
      <c r="F87" s="42">
        <v>0.51</v>
      </c>
      <c r="G87" s="42">
        <v>0.753</v>
      </c>
      <c r="H87" s="42">
        <v>0</v>
      </c>
      <c r="I87">
        <v>0</v>
      </c>
      <c r="J87">
        <v>9</v>
      </c>
      <c r="K87">
        <v>5</v>
      </c>
      <c r="L87">
        <v>1</v>
      </c>
      <c r="M87">
        <v>1</v>
      </c>
      <c r="N87">
        <v>2.8</v>
      </c>
      <c r="O87">
        <v>22.1</v>
      </c>
      <c r="P87">
        <v>40.799999999999997</v>
      </c>
    </row>
    <row r="88" spans="1:16" x14ac:dyDescent="0.25">
      <c r="A88" t="s">
        <v>433</v>
      </c>
      <c r="B88" t="s">
        <v>148</v>
      </c>
      <c r="C88" t="s">
        <v>5</v>
      </c>
      <c r="D88">
        <v>7</v>
      </c>
      <c r="E88">
        <v>33.9</v>
      </c>
      <c r="F88" s="42">
        <v>0.45500000000000002</v>
      </c>
      <c r="G88" s="42">
        <v>0.86799999999999999</v>
      </c>
      <c r="H88" s="42">
        <v>0</v>
      </c>
      <c r="I88">
        <v>0</v>
      </c>
      <c r="J88">
        <v>12</v>
      </c>
      <c r="K88">
        <v>2</v>
      </c>
      <c r="L88">
        <v>1</v>
      </c>
      <c r="M88">
        <v>1</v>
      </c>
      <c r="N88">
        <v>1.3</v>
      </c>
      <c r="O88">
        <v>22</v>
      </c>
      <c r="P88">
        <v>42.6</v>
      </c>
    </row>
    <row r="89" spans="1:16" x14ac:dyDescent="0.25">
      <c r="A89" t="s">
        <v>434</v>
      </c>
      <c r="B89" t="s">
        <v>60</v>
      </c>
      <c r="C89" t="s">
        <v>5</v>
      </c>
      <c r="D89">
        <v>10</v>
      </c>
      <c r="E89">
        <v>34.700000000000003</v>
      </c>
      <c r="F89" s="42">
        <v>0.52600000000000002</v>
      </c>
      <c r="G89" s="42">
        <v>0.80800000000000005</v>
      </c>
      <c r="H89" s="42">
        <v>0.42199999999999999</v>
      </c>
      <c r="I89">
        <v>1.9</v>
      </c>
      <c r="J89">
        <v>8</v>
      </c>
      <c r="K89">
        <v>3</v>
      </c>
      <c r="L89">
        <v>1</v>
      </c>
      <c r="M89">
        <v>1</v>
      </c>
      <c r="N89">
        <v>1.8</v>
      </c>
      <c r="O89">
        <v>22.5</v>
      </c>
      <c r="P89">
        <v>38.4</v>
      </c>
    </row>
    <row r="90" spans="1:16" x14ac:dyDescent="0.25">
      <c r="A90" t="s">
        <v>435</v>
      </c>
      <c r="B90" t="s">
        <v>359</v>
      </c>
      <c r="C90" t="s">
        <v>5</v>
      </c>
      <c r="D90">
        <v>8</v>
      </c>
      <c r="E90">
        <v>28.9</v>
      </c>
      <c r="F90" s="42">
        <v>0.44</v>
      </c>
      <c r="G90" s="42">
        <v>0.82</v>
      </c>
      <c r="H90" s="42">
        <v>0</v>
      </c>
      <c r="I90">
        <v>0</v>
      </c>
      <c r="J90">
        <v>8</v>
      </c>
      <c r="K90">
        <v>2</v>
      </c>
      <c r="L90">
        <v>1</v>
      </c>
      <c r="M90">
        <v>3</v>
      </c>
      <c r="N90">
        <v>0.8</v>
      </c>
      <c r="O90">
        <v>15.1</v>
      </c>
      <c r="P90">
        <v>32.4</v>
      </c>
    </row>
    <row r="91" spans="1:16" x14ac:dyDescent="0.25">
      <c r="A91" t="s">
        <v>436</v>
      </c>
      <c r="B91" t="s">
        <v>359</v>
      </c>
      <c r="C91" t="s">
        <v>5</v>
      </c>
    </row>
    <row r="92" spans="1:16" x14ac:dyDescent="0.25">
      <c r="A92" t="s">
        <v>437</v>
      </c>
      <c r="B92" t="s">
        <v>373</v>
      </c>
      <c r="C92" t="s">
        <v>5</v>
      </c>
      <c r="D92">
        <v>4</v>
      </c>
      <c r="E92">
        <v>30.2</v>
      </c>
      <c r="F92" s="42">
        <v>0.61</v>
      </c>
      <c r="G92" s="42">
        <v>0.73699999999999999</v>
      </c>
      <c r="I92">
        <v>0</v>
      </c>
      <c r="J92">
        <v>8</v>
      </c>
      <c r="K92">
        <v>1</v>
      </c>
      <c r="L92">
        <v>1</v>
      </c>
      <c r="M92">
        <v>1</v>
      </c>
      <c r="N92">
        <v>2.5</v>
      </c>
      <c r="O92">
        <v>17.8</v>
      </c>
      <c r="P92">
        <v>29.5</v>
      </c>
    </row>
    <row r="93" spans="1:16" x14ac:dyDescent="0.25">
      <c r="A93" t="s">
        <v>438</v>
      </c>
      <c r="B93" t="s">
        <v>53</v>
      </c>
      <c r="C93" t="s">
        <v>5</v>
      </c>
      <c r="D93">
        <v>10</v>
      </c>
      <c r="E93">
        <v>37.200000000000003</v>
      </c>
      <c r="F93" s="42">
        <v>0.40600000000000003</v>
      </c>
      <c r="G93" s="42">
        <v>0.85299999999999998</v>
      </c>
      <c r="H93" s="42">
        <v>0.29599999999999999</v>
      </c>
      <c r="I93">
        <v>1.6</v>
      </c>
      <c r="J93">
        <v>6</v>
      </c>
      <c r="K93">
        <v>2</v>
      </c>
      <c r="L93">
        <v>2</v>
      </c>
      <c r="M93">
        <v>1</v>
      </c>
      <c r="N93">
        <v>2.2000000000000002</v>
      </c>
      <c r="O93">
        <v>18.7</v>
      </c>
      <c r="P93">
        <v>31.4</v>
      </c>
    </row>
    <row r="94" spans="1:16" x14ac:dyDescent="0.25">
      <c r="A94" t="s">
        <v>439</v>
      </c>
      <c r="B94" t="s">
        <v>109</v>
      </c>
      <c r="C94" t="s">
        <v>5</v>
      </c>
      <c r="D94">
        <v>10</v>
      </c>
      <c r="E94">
        <v>34.9</v>
      </c>
      <c r="F94" s="42">
        <v>0.46100000000000002</v>
      </c>
      <c r="G94" s="42">
        <v>0.63600000000000001</v>
      </c>
      <c r="H94" s="42">
        <v>0.25</v>
      </c>
      <c r="I94">
        <v>0.7</v>
      </c>
      <c r="J94">
        <v>10</v>
      </c>
      <c r="K94">
        <v>3</v>
      </c>
      <c r="L94">
        <v>1</v>
      </c>
      <c r="M94">
        <v>1</v>
      </c>
      <c r="N94">
        <v>2.4</v>
      </c>
      <c r="O94">
        <v>17.899999999999999</v>
      </c>
      <c r="P94">
        <v>36.9</v>
      </c>
    </row>
    <row r="95" spans="1:16" x14ac:dyDescent="0.25">
      <c r="A95" t="s">
        <v>440</v>
      </c>
      <c r="B95" t="s">
        <v>115</v>
      </c>
      <c r="C95" t="s">
        <v>5</v>
      </c>
      <c r="D95">
        <v>10</v>
      </c>
      <c r="E95">
        <v>33.9</v>
      </c>
      <c r="F95" s="42">
        <v>0.49</v>
      </c>
      <c r="G95" s="42">
        <v>0.77800000000000002</v>
      </c>
      <c r="H95" s="42">
        <v>0.5</v>
      </c>
      <c r="I95">
        <v>0.2</v>
      </c>
      <c r="J95">
        <v>9</v>
      </c>
      <c r="K95">
        <v>2</v>
      </c>
      <c r="L95">
        <v>1</v>
      </c>
      <c r="M95">
        <v>1</v>
      </c>
      <c r="N95">
        <v>2.1</v>
      </c>
      <c r="O95">
        <v>17.600000000000001</v>
      </c>
      <c r="P95">
        <v>32.700000000000003</v>
      </c>
    </row>
    <row r="96" spans="1:16" x14ac:dyDescent="0.25">
      <c r="A96" t="s">
        <v>441</v>
      </c>
      <c r="B96" t="s">
        <v>362</v>
      </c>
      <c r="C96" t="s">
        <v>5</v>
      </c>
      <c r="D96">
        <v>9</v>
      </c>
      <c r="E96">
        <v>26.1</v>
      </c>
      <c r="F96" s="42">
        <v>0.52400000000000002</v>
      </c>
      <c r="G96" s="42">
        <v>0.70699999999999996</v>
      </c>
      <c r="H96" s="42">
        <v>0</v>
      </c>
      <c r="I96">
        <v>0</v>
      </c>
      <c r="J96">
        <v>7</v>
      </c>
      <c r="K96">
        <v>3</v>
      </c>
      <c r="L96">
        <v>1</v>
      </c>
      <c r="M96">
        <v>2</v>
      </c>
      <c r="N96">
        <v>2.1</v>
      </c>
      <c r="O96">
        <v>16</v>
      </c>
      <c r="P96">
        <v>32.4</v>
      </c>
    </row>
    <row r="97" spans="1:16" x14ac:dyDescent="0.25">
      <c r="A97" t="s">
        <v>442</v>
      </c>
      <c r="B97" t="s">
        <v>4</v>
      </c>
      <c r="C97" t="s">
        <v>5</v>
      </c>
      <c r="D97">
        <v>10</v>
      </c>
      <c r="E97">
        <v>33.9</v>
      </c>
      <c r="F97" s="42">
        <v>0.496</v>
      </c>
      <c r="G97" s="42">
        <v>0.77400000000000002</v>
      </c>
      <c r="H97" s="42">
        <v>0.4</v>
      </c>
      <c r="I97">
        <v>0.4</v>
      </c>
      <c r="J97">
        <v>7</v>
      </c>
      <c r="K97">
        <v>1</v>
      </c>
      <c r="L97">
        <v>1</v>
      </c>
      <c r="M97">
        <v>3</v>
      </c>
      <c r="N97">
        <v>0.9</v>
      </c>
      <c r="O97">
        <v>14.6</v>
      </c>
      <c r="P97">
        <v>29.8</v>
      </c>
    </row>
    <row r="98" spans="1:16" x14ac:dyDescent="0.25">
      <c r="A98" t="s">
        <v>443</v>
      </c>
      <c r="B98" t="s">
        <v>117</v>
      </c>
      <c r="C98" t="s">
        <v>5</v>
      </c>
      <c r="D98">
        <v>10</v>
      </c>
      <c r="E98">
        <v>31.8</v>
      </c>
      <c r="F98" s="42">
        <v>0.45300000000000001</v>
      </c>
      <c r="G98" s="42">
        <v>0.74299999999999999</v>
      </c>
      <c r="H98" s="42">
        <v>0</v>
      </c>
      <c r="I98">
        <v>0</v>
      </c>
      <c r="J98">
        <v>10</v>
      </c>
      <c r="K98">
        <v>2</v>
      </c>
      <c r="L98">
        <v>1</v>
      </c>
      <c r="M98">
        <v>1</v>
      </c>
      <c r="N98">
        <v>1.3</v>
      </c>
      <c r="O98">
        <v>17.2</v>
      </c>
      <c r="P98">
        <v>34.1</v>
      </c>
    </row>
    <row r="99" spans="1:16" x14ac:dyDescent="0.25">
      <c r="A99" t="s">
        <v>444</v>
      </c>
      <c r="B99" t="s">
        <v>118</v>
      </c>
      <c r="C99" t="s">
        <v>5</v>
      </c>
      <c r="D99">
        <v>10</v>
      </c>
      <c r="E99">
        <v>24.7</v>
      </c>
      <c r="F99" s="42">
        <v>0.45300000000000001</v>
      </c>
      <c r="G99" s="42">
        <v>0.77800000000000002</v>
      </c>
      <c r="I99">
        <v>0</v>
      </c>
      <c r="J99">
        <v>7</v>
      </c>
      <c r="K99">
        <v>1</v>
      </c>
      <c r="L99">
        <v>1</v>
      </c>
      <c r="M99">
        <v>0</v>
      </c>
      <c r="N99">
        <v>2</v>
      </c>
      <c r="O99">
        <v>12</v>
      </c>
      <c r="P99">
        <v>22.3</v>
      </c>
    </row>
    <row r="100" spans="1:16" x14ac:dyDescent="0.25">
      <c r="A100" t="s">
        <v>445</v>
      </c>
      <c r="B100" t="s">
        <v>113</v>
      </c>
      <c r="C100" t="s">
        <v>5</v>
      </c>
      <c r="D100">
        <v>1</v>
      </c>
      <c r="E100">
        <v>16.899999999999999</v>
      </c>
      <c r="F100" s="42">
        <v>0.55600000000000005</v>
      </c>
      <c r="G100" s="42">
        <v>0</v>
      </c>
      <c r="I100">
        <v>0</v>
      </c>
      <c r="J100">
        <v>0</v>
      </c>
      <c r="K100">
        <v>1</v>
      </c>
      <c r="L100">
        <v>1</v>
      </c>
      <c r="M100">
        <v>0</v>
      </c>
      <c r="N100">
        <v>0</v>
      </c>
      <c r="O100">
        <v>10</v>
      </c>
      <c r="P100">
        <v>13.5</v>
      </c>
    </row>
    <row r="101" spans="1:16" x14ac:dyDescent="0.25">
      <c r="A101" t="s">
        <v>446</v>
      </c>
      <c r="B101" t="s">
        <v>114</v>
      </c>
      <c r="C101" t="s">
        <v>5</v>
      </c>
      <c r="D101">
        <v>9</v>
      </c>
      <c r="E101">
        <v>34.1</v>
      </c>
      <c r="F101" s="42">
        <v>0.42399999999999999</v>
      </c>
      <c r="G101" s="42">
        <v>0.93500000000000005</v>
      </c>
      <c r="H101" s="42">
        <v>0.33300000000000002</v>
      </c>
      <c r="I101">
        <v>0.1</v>
      </c>
      <c r="J101">
        <v>7</v>
      </c>
      <c r="K101">
        <v>3</v>
      </c>
      <c r="L101">
        <v>0</v>
      </c>
      <c r="M101">
        <v>1</v>
      </c>
      <c r="N101">
        <v>1.3</v>
      </c>
      <c r="O101">
        <v>13</v>
      </c>
      <c r="P101">
        <v>27.7</v>
      </c>
    </row>
    <row r="102" spans="1:16" x14ac:dyDescent="0.25">
      <c r="A102" t="s">
        <v>447</v>
      </c>
      <c r="B102" t="s">
        <v>118</v>
      </c>
      <c r="C102" t="s">
        <v>5</v>
      </c>
      <c r="D102">
        <v>10</v>
      </c>
      <c r="E102">
        <v>28.2</v>
      </c>
      <c r="F102" s="42">
        <v>0.49</v>
      </c>
      <c r="G102" s="42">
        <v>0.82799999999999996</v>
      </c>
      <c r="H102" s="42">
        <v>0</v>
      </c>
      <c r="I102">
        <v>0</v>
      </c>
      <c r="J102">
        <v>8</v>
      </c>
      <c r="K102">
        <v>1</v>
      </c>
      <c r="L102">
        <v>1</v>
      </c>
      <c r="M102">
        <v>2</v>
      </c>
      <c r="N102">
        <v>1.2</v>
      </c>
      <c r="O102">
        <v>12.4</v>
      </c>
      <c r="P102">
        <v>26.2</v>
      </c>
    </row>
    <row r="103" spans="1:16" x14ac:dyDescent="0.25">
      <c r="A103" t="s">
        <v>448</v>
      </c>
      <c r="B103" t="s">
        <v>449</v>
      </c>
      <c r="C103" t="s">
        <v>5</v>
      </c>
      <c r="D103">
        <v>9</v>
      </c>
      <c r="E103">
        <v>27</v>
      </c>
      <c r="F103" s="42">
        <v>0.55200000000000005</v>
      </c>
      <c r="G103" s="42">
        <v>0.93100000000000005</v>
      </c>
      <c r="H103" s="42">
        <v>0.44900000000000001</v>
      </c>
      <c r="I103">
        <v>2.2000000000000002</v>
      </c>
      <c r="J103">
        <v>4</v>
      </c>
      <c r="K103">
        <v>2</v>
      </c>
      <c r="L103">
        <v>1</v>
      </c>
      <c r="M103">
        <v>0</v>
      </c>
      <c r="N103">
        <v>1.7</v>
      </c>
      <c r="O103">
        <v>14.4</v>
      </c>
      <c r="P103">
        <v>23</v>
      </c>
    </row>
    <row r="104" spans="1:16" x14ac:dyDescent="0.25">
      <c r="A104" t="s">
        <v>450</v>
      </c>
      <c r="B104" t="s">
        <v>46</v>
      </c>
      <c r="C104" t="s">
        <v>5</v>
      </c>
      <c r="D104">
        <v>10</v>
      </c>
      <c r="E104">
        <v>26.8</v>
      </c>
      <c r="F104" s="42">
        <v>0.53700000000000003</v>
      </c>
      <c r="G104" s="42">
        <v>0.83699999999999997</v>
      </c>
      <c r="I104">
        <v>0</v>
      </c>
      <c r="J104">
        <v>9</v>
      </c>
      <c r="K104">
        <v>1</v>
      </c>
      <c r="L104">
        <v>1</v>
      </c>
      <c r="M104">
        <v>1</v>
      </c>
      <c r="N104">
        <v>0.9</v>
      </c>
      <c r="O104">
        <v>10.8</v>
      </c>
      <c r="P104">
        <v>23.9</v>
      </c>
    </row>
    <row r="105" spans="1:16" x14ac:dyDescent="0.25">
      <c r="A105" t="s">
        <v>451</v>
      </c>
      <c r="B105" t="s">
        <v>44</v>
      </c>
      <c r="C105" t="s">
        <v>5</v>
      </c>
      <c r="D105">
        <v>9</v>
      </c>
      <c r="E105">
        <v>25.1</v>
      </c>
      <c r="F105" s="42">
        <v>0.54600000000000004</v>
      </c>
      <c r="G105" s="42">
        <v>0.65600000000000003</v>
      </c>
      <c r="H105" s="42">
        <v>0.25</v>
      </c>
      <c r="I105">
        <v>0.3</v>
      </c>
      <c r="J105">
        <v>6</v>
      </c>
      <c r="K105">
        <v>1</v>
      </c>
      <c r="L105">
        <v>1</v>
      </c>
      <c r="M105">
        <v>1</v>
      </c>
      <c r="N105">
        <v>0.6</v>
      </c>
      <c r="O105">
        <v>14.2</v>
      </c>
      <c r="P105">
        <v>27.1</v>
      </c>
    </row>
    <row r="106" spans="1:16" x14ac:dyDescent="0.25">
      <c r="A106" t="s">
        <v>452</v>
      </c>
      <c r="B106" t="s">
        <v>378</v>
      </c>
      <c r="C106" t="s">
        <v>5</v>
      </c>
      <c r="D106">
        <v>10</v>
      </c>
      <c r="E106">
        <v>24.5</v>
      </c>
      <c r="F106" s="42">
        <v>0.33800000000000002</v>
      </c>
      <c r="G106" s="42">
        <v>0.83299999999999996</v>
      </c>
      <c r="H106" s="42">
        <v>0.21299999999999999</v>
      </c>
      <c r="I106">
        <v>1</v>
      </c>
      <c r="J106">
        <v>4</v>
      </c>
      <c r="K106">
        <v>1</v>
      </c>
      <c r="L106">
        <v>1</v>
      </c>
      <c r="M106">
        <v>1</v>
      </c>
      <c r="N106">
        <v>0.8</v>
      </c>
      <c r="O106">
        <v>6.3</v>
      </c>
      <c r="P106">
        <v>14.5</v>
      </c>
    </row>
    <row r="107" spans="1:16" x14ac:dyDescent="0.25">
      <c r="A107" t="s">
        <v>453</v>
      </c>
      <c r="B107" t="s">
        <v>116</v>
      </c>
      <c r="C107" t="s">
        <v>5</v>
      </c>
      <c r="D107">
        <v>10</v>
      </c>
      <c r="E107">
        <v>28.8</v>
      </c>
      <c r="F107" s="42">
        <v>0.50700000000000001</v>
      </c>
      <c r="G107" s="42">
        <v>0.74099999999999999</v>
      </c>
      <c r="I107">
        <v>0</v>
      </c>
      <c r="J107">
        <v>10</v>
      </c>
      <c r="K107">
        <v>2</v>
      </c>
      <c r="L107">
        <v>2</v>
      </c>
      <c r="M107">
        <v>1</v>
      </c>
      <c r="N107">
        <v>2.1</v>
      </c>
      <c r="O107">
        <v>18.600000000000001</v>
      </c>
      <c r="P107">
        <v>36.299999999999997</v>
      </c>
    </row>
    <row r="108" spans="1:16" x14ac:dyDescent="0.25">
      <c r="A108" t="s">
        <v>454</v>
      </c>
      <c r="B108" t="s">
        <v>146</v>
      </c>
      <c r="C108" t="s">
        <v>5</v>
      </c>
      <c r="D108">
        <v>10</v>
      </c>
      <c r="E108">
        <v>10.8</v>
      </c>
      <c r="F108" s="42">
        <v>0.57099999999999995</v>
      </c>
      <c r="G108" s="42">
        <v>0.75</v>
      </c>
      <c r="I108">
        <v>0</v>
      </c>
      <c r="J108">
        <v>3</v>
      </c>
      <c r="K108">
        <v>0</v>
      </c>
      <c r="L108">
        <v>1</v>
      </c>
      <c r="M108">
        <v>0</v>
      </c>
      <c r="N108">
        <v>0.6</v>
      </c>
      <c r="O108">
        <v>3.8</v>
      </c>
      <c r="P108">
        <v>7.9</v>
      </c>
    </row>
    <row r="109" spans="1:16" x14ac:dyDescent="0.25">
      <c r="A109" t="s">
        <v>455</v>
      </c>
      <c r="B109" t="s">
        <v>50</v>
      </c>
      <c r="C109" t="s">
        <v>5</v>
      </c>
      <c r="D109">
        <v>10</v>
      </c>
      <c r="E109">
        <v>27.7</v>
      </c>
      <c r="F109" s="42">
        <v>0.59699999999999998</v>
      </c>
      <c r="G109" s="42">
        <v>0.875</v>
      </c>
      <c r="H109" s="42">
        <v>0</v>
      </c>
      <c r="I109">
        <v>0</v>
      </c>
      <c r="J109">
        <v>5</v>
      </c>
      <c r="K109">
        <v>1</v>
      </c>
      <c r="L109">
        <v>0</v>
      </c>
      <c r="M109">
        <v>1</v>
      </c>
      <c r="N109">
        <v>1.2</v>
      </c>
      <c r="O109">
        <v>11.3</v>
      </c>
      <c r="P109">
        <v>18.5</v>
      </c>
    </row>
    <row r="110" spans="1:16" x14ac:dyDescent="0.25">
      <c r="A110" t="s">
        <v>456</v>
      </c>
      <c r="B110" t="s">
        <v>110</v>
      </c>
      <c r="C110" t="s">
        <v>5</v>
      </c>
      <c r="D110">
        <v>10</v>
      </c>
      <c r="E110">
        <v>23.2</v>
      </c>
      <c r="F110" s="42">
        <v>0.52400000000000002</v>
      </c>
      <c r="G110" s="42">
        <v>0.54800000000000004</v>
      </c>
      <c r="I110">
        <v>0</v>
      </c>
      <c r="J110">
        <v>6</v>
      </c>
      <c r="K110">
        <v>2</v>
      </c>
      <c r="L110">
        <v>1</v>
      </c>
      <c r="M110">
        <v>1</v>
      </c>
      <c r="N110">
        <v>1.1000000000000001</v>
      </c>
      <c r="O110">
        <v>10.5</v>
      </c>
      <c r="P110">
        <v>22.3</v>
      </c>
    </row>
    <row r="111" spans="1:16" x14ac:dyDescent="0.25">
      <c r="A111" t="s">
        <v>457</v>
      </c>
      <c r="B111" t="s">
        <v>110</v>
      </c>
      <c r="C111" t="s">
        <v>5</v>
      </c>
      <c r="D111">
        <v>2</v>
      </c>
      <c r="E111">
        <v>21.4</v>
      </c>
      <c r="F111" s="42">
        <v>0.5</v>
      </c>
      <c r="G111" s="42">
        <v>1</v>
      </c>
      <c r="H111" s="42">
        <v>0</v>
      </c>
      <c r="I111">
        <v>0</v>
      </c>
      <c r="J111">
        <v>4</v>
      </c>
      <c r="K111">
        <v>0</v>
      </c>
      <c r="L111">
        <v>0</v>
      </c>
      <c r="M111">
        <v>0</v>
      </c>
      <c r="N111">
        <v>0</v>
      </c>
      <c r="O111">
        <v>12.5</v>
      </c>
      <c r="P111">
        <v>16.7</v>
      </c>
    </row>
    <row r="112" spans="1:16" x14ac:dyDescent="0.25">
      <c r="A112" t="s">
        <v>458</v>
      </c>
      <c r="B112" t="s">
        <v>167</v>
      </c>
      <c r="C112" t="s">
        <v>5</v>
      </c>
      <c r="D112">
        <v>7</v>
      </c>
      <c r="E112">
        <v>26.1</v>
      </c>
      <c r="F112" s="42">
        <v>0.55600000000000005</v>
      </c>
      <c r="G112" s="42">
        <v>0.16700000000000001</v>
      </c>
      <c r="H112" s="42">
        <v>0.33300000000000002</v>
      </c>
      <c r="I112">
        <v>0.1</v>
      </c>
      <c r="J112">
        <v>6</v>
      </c>
      <c r="K112">
        <v>1</v>
      </c>
      <c r="L112">
        <v>1</v>
      </c>
      <c r="M112">
        <v>1</v>
      </c>
      <c r="N112">
        <v>1.3</v>
      </c>
      <c r="O112">
        <v>6.3</v>
      </c>
      <c r="P112">
        <v>16.600000000000001</v>
      </c>
    </row>
    <row r="113" spans="1:16" x14ac:dyDescent="0.25">
      <c r="A113" t="s">
        <v>459</v>
      </c>
      <c r="B113" t="s">
        <v>378</v>
      </c>
      <c r="C113" t="s">
        <v>5</v>
      </c>
      <c r="D113">
        <v>10</v>
      </c>
      <c r="E113">
        <v>29.6</v>
      </c>
      <c r="F113" s="42">
        <v>0.52</v>
      </c>
      <c r="G113" s="42">
        <v>0.83799999999999997</v>
      </c>
      <c r="H113" s="42">
        <v>0.57099999999999995</v>
      </c>
      <c r="I113">
        <v>0.8</v>
      </c>
      <c r="J113">
        <v>7</v>
      </c>
      <c r="K113">
        <v>2</v>
      </c>
      <c r="L113">
        <v>1</v>
      </c>
      <c r="M113">
        <v>1</v>
      </c>
      <c r="N113">
        <v>2</v>
      </c>
      <c r="O113">
        <v>14.1</v>
      </c>
      <c r="P113">
        <v>27.5</v>
      </c>
    </row>
    <row r="114" spans="1:16" x14ac:dyDescent="0.25">
      <c r="A114" t="s">
        <v>460</v>
      </c>
      <c r="B114" t="s">
        <v>109</v>
      </c>
      <c r="C114" t="s">
        <v>5</v>
      </c>
      <c r="D114">
        <v>10</v>
      </c>
      <c r="E114">
        <v>17</v>
      </c>
      <c r="F114" s="42">
        <v>0.53500000000000003</v>
      </c>
      <c r="G114" s="42">
        <v>0.69199999999999995</v>
      </c>
      <c r="H114" s="42">
        <v>0.23799999999999999</v>
      </c>
      <c r="I114">
        <v>0.5</v>
      </c>
      <c r="J114">
        <v>3</v>
      </c>
      <c r="K114">
        <v>1</v>
      </c>
      <c r="L114">
        <v>0</v>
      </c>
      <c r="M114">
        <v>0</v>
      </c>
      <c r="N114">
        <v>1.3</v>
      </c>
      <c r="O114">
        <v>9</v>
      </c>
      <c r="P114">
        <v>12.5</v>
      </c>
    </row>
    <row r="115" spans="1:16" x14ac:dyDescent="0.25">
      <c r="A115" t="s">
        <v>461</v>
      </c>
      <c r="B115" t="s">
        <v>59</v>
      </c>
      <c r="C115" t="s">
        <v>5</v>
      </c>
    </row>
    <row r="116" spans="1:16" x14ac:dyDescent="0.25">
      <c r="A116" t="s">
        <v>462</v>
      </c>
      <c r="B116" t="s">
        <v>167</v>
      </c>
      <c r="C116" t="s">
        <v>5</v>
      </c>
      <c r="D116">
        <v>5</v>
      </c>
      <c r="E116">
        <v>25.2</v>
      </c>
      <c r="F116" s="42">
        <v>0.41699999999999998</v>
      </c>
      <c r="G116" s="42">
        <v>0.42899999999999999</v>
      </c>
      <c r="H116" s="42">
        <v>0.35299999999999998</v>
      </c>
      <c r="I116">
        <v>1.2</v>
      </c>
      <c r="J116">
        <v>4</v>
      </c>
      <c r="K116">
        <v>1</v>
      </c>
      <c r="L116">
        <v>1</v>
      </c>
      <c r="M116">
        <v>1</v>
      </c>
      <c r="N116">
        <v>0.6</v>
      </c>
      <c r="O116">
        <v>7.8</v>
      </c>
      <c r="P116">
        <v>16.7</v>
      </c>
    </row>
    <row r="117" spans="1:16" x14ac:dyDescent="0.25">
      <c r="A117" t="s">
        <v>463</v>
      </c>
      <c r="B117" t="s">
        <v>119</v>
      </c>
      <c r="C117" t="s">
        <v>5</v>
      </c>
      <c r="D117">
        <v>4</v>
      </c>
      <c r="E117">
        <v>7.1</v>
      </c>
      <c r="F117" s="42">
        <v>0.24199999999999999</v>
      </c>
      <c r="H117" s="42">
        <v>0</v>
      </c>
      <c r="I117">
        <v>0</v>
      </c>
      <c r="J117">
        <v>2</v>
      </c>
      <c r="K117">
        <v>0</v>
      </c>
      <c r="L117">
        <v>0</v>
      </c>
      <c r="M117">
        <v>0</v>
      </c>
      <c r="N117">
        <v>0.5</v>
      </c>
      <c r="O117">
        <v>1.5</v>
      </c>
      <c r="P117">
        <v>5.0999999999999996</v>
      </c>
    </row>
    <row r="118" spans="1:16" x14ac:dyDescent="0.25">
      <c r="A118" t="s">
        <v>464</v>
      </c>
      <c r="B118" t="s">
        <v>147</v>
      </c>
      <c r="C118" t="s">
        <v>5</v>
      </c>
      <c r="D118">
        <v>7</v>
      </c>
      <c r="E118">
        <v>33.1</v>
      </c>
      <c r="F118" s="42">
        <v>0.52600000000000002</v>
      </c>
      <c r="G118" s="42">
        <v>0.92900000000000005</v>
      </c>
      <c r="H118" s="42">
        <v>0.35899999999999999</v>
      </c>
      <c r="I118">
        <v>1.4</v>
      </c>
      <c r="J118">
        <v>4</v>
      </c>
      <c r="K118">
        <v>4</v>
      </c>
      <c r="L118">
        <v>1</v>
      </c>
      <c r="M118">
        <v>1</v>
      </c>
      <c r="N118">
        <v>0.9</v>
      </c>
      <c r="O118">
        <v>10.7</v>
      </c>
      <c r="P118">
        <v>23.7</v>
      </c>
    </row>
    <row r="119" spans="1:16" x14ac:dyDescent="0.25">
      <c r="A119" t="s">
        <v>465</v>
      </c>
      <c r="B119" t="s">
        <v>449</v>
      </c>
      <c r="C119" t="s">
        <v>5</v>
      </c>
      <c r="D119">
        <v>10</v>
      </c>
      <c r="E119">
        <v>22.9</v>
      </c>
      <c r="F119" s="42">
        <v>0.41899999999999998</v>
      </c>
      <c r="G119" s="42">
        <v>0.8</v>
      </c>
      <c r="H119" s="42">
        <v>0.40600000000000003</v>
      </c>
      <c r="I119">
        <v>2.8</v>
      </c>
      <c r="J119">
        <v>4</v>
      </c>
      <c r="K119">
        <v>1</v>
      </c>
      <c r="L119">
        <v>1</v>
      </c>
      <c r="M119">
        <v>0</v>
      </c>
      <c r="N119">
        <v>0.7</v>
      </c>
      <c r="O119">
        <v>11.4</v>
      </c>
      <c r="P119">
        <v>17.899999999999999</v>
      </c>
    </row>
    <row r="120" spans="1:16" x14ac:dyDescent="0.25">
      <c r="A120" t="s">
        <v>466</v>
      </c>
      <c r="B120" t="s">
        <v>111</v>
      </c>
      <c r="C120" t="s">
        <v>5</v>
      </c>
      <c r="D120">
        <v>9</v>
      </c>
      <c r="E120">
        <v>25.9</v>
      </c>
      <c r="F120" s="42">
        <v>0.58399999999999996</v>
      </c>
      <c r="G120" s="42">
        <v>0.8</v>
      </c>
      <c r="I120">
        <v>0</v>
      </c>
      <c r="J120">
        <v>9</v>
      </c>
      <c r="K120">
        <v>0</v>
      </c>
      <c r="L120">
        <v>1</v>
      </c>
      <c r="M120">
        <v>1</v>
      </c>
      <c r="N120">
        <v>1</v>
      </c>
      <c r="O120">
        <v>16.3</v>
      </c>
      <c r="P120">
        <v>30.7</v>
      </c>
    </row>
    <row r="121" spans="1:16" x14ac:dyDescent="0.25">
      <c r="A121" t="s">
        <v>467</v>
      </c>
      <c r="B121" t="s">
        <v>50</v>
      </c>
      <c r="C121" t="s">
        <v>5</v>
      </c>
      <c r="D121">
        <v>8</v>
      </c>
      <c r="E121">
        <v>18.5</v>
      </c>
      <c r="F121" s="42">
        <v>0.49199999999999999</v>
      </c>
      <c r="G121" s="42">
        <v>0.82099999999999995</v>
      </c>
      <c r="I121">
        <v>0</v>
      </c>
      <c r="J121">
        <v>4</v>
      </c>
      <c r="K121">
        <v>1</v>
      </c>
      <c r="L121">
        <v>0</v>
      </c>
      <c r="M121">
        <v>1</v>
      </c>
      <c r="N121">
        <v>0.8</v>
      </c>
      <c r="O121">
        <v>8.3000000000000007</v>
      </c>
      <c r="P121">
        <v>15.6</v>
      </c>
    </row>
    <row r="122" spans="1:16" x14ac:dyDescent="0.25">
      <c r="A122" t="s">
        <v>468</v>
      </c>
      <c r="B122" t="s">
        <v>114</v>
      </c>
      <c r="C122" t="s">
        <v>5</v>
      </c>
      <c r="D122">
        <v>10</v>
      </c>
      <c r="E122">
        <v>16.399999999999999</v>
      </c>
      <c r="F122" s="42">
        <v>0.45200000000000001</v>
      </c>
      <c r="G122" s="42">
        <v>0.75</v>
      </c>
      <c r="H122" s="42">
        <v>0</v>
      </c>
      <c r="I122">
        <v>0</v>
      </c>
      <c r="J122">
        <v>4</v>
      </c>
      <c r="K122">
        <v>1</v>
      </c>
      <c r="L122">
        <v>0</v>
      </c>
      <c r="M122">
        <v>0</v>
      </c>
      <c r="N122">
        <v>0.6</v>
      </c>
      <c r="O122">
        <v>7.5</v>
      </c>
      <c r="P122">
        <v>13.8</v>
      </c>
    </row>
    <row r="123" spans="1:16" x14ac:dyDescent="0.25">
      <c r="A123" t="s">
        <v>469</v>
      </c>
      <c r="B123" t="s">
        <v>115</v>
      </c>
      <c r="C123" t="s">
        <v>5</v>
      </c>
      <c r="D123">
        <v>6</v>
      </c>
      <c r="E123">
        <v>5.0999999999999996</v>
      </c>
      <c r="F123" s="42">
        <v>0.44400000000000001</v>
      </c>
      <c r="H123" s="42">
        <v>0</v>
      </c>
      <c r="I123">
        <v>0</v>
      </c>
      <c r="J123">
        <v>1</v>
      </c>
      <c r="K123">
        <v>0</v>
      </c>
      <c r="L123">
        <v>0</v>
      </c>
      <c r="M123">
        <v>0</v>
      </c>
      <c r="N123">
        <v>0</v>
      </c>
      <c r="O123">
        <v>1.7</v>
      </c>
      <c r="P123">
        <v>3.3</v>
      </c>
    </row>
    <row r="124" spans="1:16" x14ac:dyDescent="0.25">
      <c r="A124" t="s">
        <v>470</v>
      </c>
      <c r="B124" t="s">
        <v>108</v>
      </c>
      <c r="C124" t="s">
        <v>5</v>
      </c>
      <c r="D124">
        <v>10</v>
      </c>
      <c r="E124">
        <v>22.1</v>
      </c>
      <c r="F124" s="42">
        <v>0.54</v>
      </c>
      <c r="G124" s="42">
        <v>0.47799999999999998</v>
      </c>
      <c r="I124">
        <v>0</v>
      </c>
      <c r="J124">
        <v>6</v>
      </c>
      <c r="K124">
        <v>0</v>
      </c>
      <c r="L124">
        <v>1</v>
      </c>
      <c r="M124">
        <v>1</v>
      </c>
      <c r="N124">
        <v>1.1000000000000001</v>
      </c>
      <c r="O124">
        <v>6.5</v>
      </c>
      <c r="P124">
        <v>16.399999999999999</v>
      </c>
    </row>
    <row r="125" spans="1:16" x14ac:dyDescent="0.25">
      <c r="A125" t="s">
        <v>471</v>
      </c>
      <c r="B125" t="s">
        <v>44</v>
      </c>
      <c r="C125" t="s">
        <v>5</v>
      </c>
      <c r="D125">
        <v>8</v>
      </c>
      <c r="E125">
        <v>15.1</v>
      </c>
      <c r="F125" s="42">
        <v>0.34899999999999998</v>
      </c>
      <c r="G125" s="42">
        <v>0.61499999999999999</v>
      </c>
      <c r="H125" s="42">
        <v>0.27800000000000002</v>
      </c>
      <c r="I125">
        <v>0.5</v>
      </c>
      <c r="J125">
        <v>3</v>
      </c>
      <c r="K125">
        <v>1</v>
      </c>
      <c r="L125">
        <v>0</v>
      </c>
      <c r="M125">
        <v>0</v>
      </c>
      <c r="N125">
        <v>0.9</v>
      </c>
      <c r="O125">
        <v>4.3</v>
      </c>
      <c r="P125">
        <v>9.9</v>
      </c>
    </row>
    <row r="126" spans="1:16" x14ac:dyDescent="0.25">
      <c r="A126" t="s">
        <v>472</v>
      </c>
      <c r="B126" t="s">
        <v>111</v>
      </c>
      <c r="C126" t="s">
        <v>5</v>
      </c>
      <c r="D126">
        <v>10</v>
      </c>
      <c r="E126">
        <v>25.1</v>
      </c>
      <c r="F126" s="42">
        <v>0.40500000000000003</v>
      </c>
      <c r="G126" s="42">
        <v>0.76</v>
      </c>
      <c r="H126" s="42">
        <v>0.29599999999999999</v>
      </c>
      <c r="I126">
        <v>0.8</v>
      </c>
      <c r="J126">
        <v>4</v>
      </c>
      <c r="K126">
        <v>3</v>
      </c>
      <c r="L126">
        <v>1</v>
      </c>
      <c r="M126">
        <v>1</v>
      </c>
      <c r="N126">
        <v>0.5</v>
      </c>
      <c r="O126">
        <v>9.1</v>
      </c>
      <c r="P126">
        <v>21.3</v>
      </c>
    </row>
    <row r="127" spans="1:16" x14ac:dyDescent="0.25">
      <c r="A127" t="s">
        <v>473</v>
      </c>
      <c r="B127" t="s">
        <v>59</v>
      </c>
      <c r="C127" t="s">
        <v>5</v>
      </c>
      <c r="D127">
        <v>9</v>
      </c>
      <c r="E127">
        <v>12.2</v>
      </c>
      <c r="F127" s="42">
        <v>0.4</v>
      </c>
      <c r="G127" s="42">
        <v>0.25</v>
      </c>
      <c r="I127">
        <v>0</v>
      </c>
      <c r="J127">
        <v>2</v>
      </c>
      <c r="K127">
        <v>1</v>
      </c>
      <c r="L127">
        <v>0</v>
      </c>
      <c r="M127">
        <v>0</v>
      </c>
      <c r="N127">
        <v>0.8</v>
      </c>
      <c r="O127">
        <v>2.6</v>
      </c>
      <c r="P127">
        <v>6.8</v>
      </c>
    </row>
    <row r="128" spans="1:16" x14ac:dyDescent="0.25">
      <c r="A128" t="s">
        <v>474</v>
      </c>
      <c r="B128" t="s">
        <v>113</v>
      </c>
      <c r="C128" t="s">
        <v>5</v>
      </c>
      <c r="D128">
        <v>9</v>
      </c>
      <c r="E128">
        <v>15.3</v>
      </c>
      <c r="F128" s="42">
        <v>0.41099999999999998</v>
      </c>
      <c r="G128" s="42">
        <v>0.75</v>
      </c>
      <c r="H128" s="42">
        <v>0.33300000000000002</v>
      </c>
      <c r="I128">
        <v>0.9</v>
      </c>
      <c r="J128">
        <v>2</v>
      </c>
      <c r="K128">
        <v>1</v>
      </c>
      <c r="L128">
        <v>0</v>
      </c>
      <c r="M128">
        <v>0</v>
      </c>
      <c r="N128">
        <v>1</v>
      </c>
      <c r="O128">
        <v>6.8</v>
      </c>
      <c r="P128">
        <v>10.199999999999999</v>
      </c>
    </row>
    <row r="129" spans="1:16" x14ac:dyDescent="0.25">
      <c r="A129" t="s">
        <v>475</v>
      </c>
      <c r="B129" t="s">
        <v>113</v>
      </c>
      <c r="C129" t="s">
        <v>5</v>
      </c>
      <c r="D129">
        <v>10</v>
      </c>
      <c r="E129">
        <v>22.1</v>
      </c>
      <c r="F129" s="42">
        <v>0.47099999999999997</v>
      </c>
      <c r="G129" s="42">
        <v>0.82399999999999995</v>
      </c>
      <c r="I129">
        <v>0</v>
      </c>
      <c r="J129">
        <v>4</v>
      </c>
      <c r="K129">
        <v>1</v>
      </c>
      <c r="L129">
        <v>1</v>
      </c>
      <c r="M129">
        <v>1</v>
      </c>
      <c r="N129">
        <v>0.7</v>
      </c>
      <c r="O129">
        <v>6.2</v>
      </c>
      <c r="P129">
        <v>16.399999999999999</v>
      </c>
    </row>
    <row r="130" spans="1:16" x14ac:dyDescent="0.25">
      <c r="A130" t="s">
        <v>476</v>
      </c>
      <c r="B130" t="s">
        <v>112</v>
      </c>
      <c r="C130" t="s">
        <v>5</v>
      </c>
      <c r="D130">
        <v>9</v>
      </c>
      <c r="E130">
        <v>16.7</v>
      </c>
      <c r="F130" s="42">
        <v>0.56100000000000005</v>
      </c>
      <c r="G130" s="42">
        <v>0.5</v>
      </c>
      <c r="H130" s="42">
        <v>0</v>
      </c>
      <c r="I130">
        <v>0</v>
      </c>
      <c r="J130">
        <v>3</v>
      </c>
      <c r="K130">
        <v>2</v>
      </c>
      <c r="L130">
        <v>1</v>
      </c>
      <c r="M130">
        <v>1</v>
      </c>
      <c r="N130">
        <v>1</v>
      </c>
      <c r="O130">
        <v>7</v>
      </c>
      <c r="P130">
        <v>15.1</v>
      </c>
    </row>
    <row r="131" spans="1:16" x14ac:dyDescent="0.25">
      <c r="A131" t="s">
        <v>477</v>
      </c>
      <c r="B131" t="s">
        <v>115</v>
      </c>
      <c r="C131" t="s">
        <v>5</v>
      </c>
      <c r="D131">
        <v>7</v>
      </c>
      <c r="E131">
        <v>12.8</v>
      </c>
      <c r="F131" s="42">
        <v>0.60499999999999998</v>
      </c>
      <c r="G131" s="42">
        <v>0.57899999999999996</v>
      </c>
      <c r="I131">
        <v>0</v>
      </c>
      <c r="J131">
        <v>3</v>
      </c>
      <c r="K131">
        <v>0</v>
      </c>
      <c r="L131">
        <v>0</v>
      </c>
      <c r="M131">
        <v>0</v>
      </c>
      <c r="N131">
        <v>0.4</v>
      </c>
      <c r="O131">
        <v>6.3</v>
      </c>
      <c r="P131">
        <v>12</v>
      </c>
    </row>
    <row r="132" spans="1:16" x14ac:dyDescent="0.25">
      <c r="A132" t="s">
        <v>478</v>
      </c>
      <c r="B132" t="s">
        <v>54</v>
      </c>
      <c r="C132" t="s">
        <v>5</v>
      </c>
      <c r="D132">
        <v>9</v>
      </c>
      <c r="E132">
        <v>12.4</v>
      </c>
      <c r="F132" s="42">
        <v>0.35</v>
      </c>
      <c r="G132" s="42">
        <v>0.75</v>
      </c>
      <c r="H132" s="42">
        <v>0.28599999999999998</v>
      </c>
      <c r="I132">
        <v>0.2</v>
      </c>
      <c r="J132">
        <v>2</v>
      </c>
      <c r="K132">
        <v>0</v>
      </c>
      <c r="L132">
        <v>0</v>
      </c>
      <c r="M132">
        <v>0</v>
      </c>
      <c r="N132">
        <v>0.4</v>
      </c>
      <c r="O132">
        <v>3.4</v>
      </c>
      <c r="P132">
        <v>6</v>
      </c>
    </row>
    <row r="133" spans="1:16" x14ac:dyDescent="0.25">
      <c r="A133" t="s">
        <v>479</v>
      </c>
      <c r="B133" t="s">
        <v>111</v>
      </c>
      <c r="C133" t="s">
        <v>5</v>
      </c>
    </row>
    <row r="134" spans="1:16" x14ac:dyDescent="0.25">
      <c r="A134" t="s">
        <v>480</v>
      </c>
      <c r="B134" t="s">
        <v>449</v>
      </c>
      <c r="C134" t="s">
        <v>5</v>
      </c>
      <c r="D134">
        <v>4</v>
      </c>
      <c r="E134">
        <v>17</v>
      </c>
      <c r="F134" s="42">
        <v>0.65</v>
      </c>
      <c r="G134" s="42">
        <v>0.5</v>
      </c>
      <c r="I134">
        <v>0</v>
      </c>
      <c r="J134">
        <v>3</v>
      </c>
      <c r="K134">
        <v>2</v>
      </c>
      <c r="L134">
        <v>1</v>
      </c>
      <c r="M134">
        <v>0</v>
      </c>
      <c r="N134">
        <v>0.3</v>
      </c>
      <c r="O134">
        <v>3</v>
      </c>
      <c r="P134">
        <v>11.6</v>
      </c>
    </row>
    <row r="135" spans="1:16" x14ac:dyDescent="0.25">
      <c r="A135" t="s">
        <v>481</v>
      </c>
      <c r="B135" t="s">
        <v>359</v>
      </c>
      <c r="C135" t="s">
        <v>5</v>
      </c>
      <c r="D135">
        <v>9</v>
      </c>
      <c r="E135">
        <v>17.3</v>
      </c>
      <c r="F135" s="42">
        <v>0.32700000000000001</v>
      </c>
      <c r="G135" s="42">
        <v>0.88900000000000001</v>
      </c>
      <c r="H135" s="42">
        <v>0.313</v>
      </c>
      <c r="I135">
        <v>1</v>
      </c>
      <c r="J135">
        <v>2</v>
      </c>
      <c r="K135">
        <v>1</v>
      </c>
      <c r="L135">
        <v>0</v>
      </c>
      <c r="M135">
        <v>0</v>
      </c>
      <c r="N135">
        <v>0.3</v>
      </c>
      <c r="O135">
        <v>5.0999999999999996</v>
      </c>
      <c r="P135">
        <v>10.7</v>
      </c>
    </row>
    <row r="136" spans="1:16" x14ac:dyDescent="0.25">
      <c r="A136" t="s">
        <v>482</v>
      </c>
      <c r="B136" t="s">
        <v>373</v>
      </c>
      <c r="C136" t="s">
        <v>5</v>
      </c>
    </row>
    <row r="137" spans="1:16" x14ac:dyDescent="0.25">
      <c r="A137" t="s">
        <v>483</v>
      </c>
      <c r="B137" t="s">
        <v>147</v>
      </c>
      <c r="C137" t="s">
        <v>5</v>
      </c>
      <c r="D137">
        <v>10</v>
      </c>
      <c r="E137">
        <v>20.7</v>
      </c>
      <c r="F137" s="42">
        <v>0.54700000000000004</v>
      </c>
      <c r="G137" s="42">
        <v>0.66700000000000004</v>
      </c>
      <c r="I137">
        <v>0</v>
      </c>
      <c r="J137">
        <v>6</v>
      </c>
      <c r="K137">
        <v>1</v>
      </c>
      <c r="L137">
        <v>0</v>
      </c>
      <c r="M137">
        <v>1</v>
      </c>
      <c r="N137">
        <v>1.3</v>
      </c>
      <c r="O137">
        <v>8.6</v>
      </c>
      <c r="P137">
        <v>18</v>
      </c>
    </row>
    <row r="138" spans="1:16" x14ac:dyDescent="0.25">
      <c r="A138" t="s">
        <v>484</v>
      </c>
      <c r="B138" t="s">
        <v>167</v>
      </c>
      <c r="C138" t="s">
        <v>5</v>
      </c>
      <c r="D138">
        <v>9</v>
      </c>
      <c r="E138">
        <v>10.9</v>
      </c>
      <c r="F138" s="42">
        <v>0.5</v>
      </c>
      <c r="G138" s="42">
        <v>0.52400000000000002</v>
      </c>
      <c r="I138">
        <v>0</v>
      </c>
      <c r="J138">
        <v>3</v>
      </c>
      <c r="K138">
        <v>1</v>
      </c>
      <c r="L138">
        <v>0</v>
      </c>
      <c r="M138">
        <v>0</v>
      </c>
      <c r="N138">
        <v>0.3</v>
      </c>
      <c r="O138">
        <v>2.9</v>
      </c>
      <c r="P138">
        <v>7.8</v>
      </c>
    </row>
    <row r="139" spans="1:16" x14ac:dyDescent="0.25">
      <c r="A139" t="s">
        <v>485</v>
      </c>
      <c r="B139" t="s">
        <v>116</v>
      </c>
      <c r="C139" t="s">
        <v>5</v>
      </c>
      <c r="D139">
        <v>10</v>
      </c>
      <c r="E139">
        <v>21.4</v>
      </c>
      <c r="F139" s="42">
        <v>0.35499999999999998</v>
      </c>
      <c r="G139" s="42">
        <v>0.82399999999999995</v>
      </c>
      <c r="H139" s="42">
        <v>0.30599999999999999</v>
      </c>
      <c r="I139">
        <v>1.1000000000000001</v>
      </c>
      <c r="J139">
        <v>4</v>
      </c>
      <c r="K139">
        <v>1</v>
      </c>
      <c r="L139">
        <v>1</v>
      </c>
      <c r="M139">
        <v>1</v>
      </c>
      <c r="N139">
        <v>1.6</v>
      </c>
      <c r="O139">
        <v>7.9</v>
      </c>
      <c r="P139">
        <v>16.600000000000001</v>
      </c>
    </row>
    <row r="140" spans="1:16" x14ac:dyDescent="0.25">
      <c r="A140" t="s">
        <v>486</v>
      </c>
      <c r="B140" t="s">
        <v>344</v>
      </c>
      <c r="C140" t="s">
        <v>5</v>
      </c>
    </row>
    <row r="141" spans="1:16" x14ac:dyDescent="0.25">
      <c r="A141" t="s">
        <v>487</v>
      </c>
      <c r="B141" t="s">
        <v>119</v>
      </c>
      <c r="C141" t="s">
        <v>5</v>
      </c>
      <c r="D141">
        <v>8</v>
      </c>
      <c r="E141">
        <v>17.5</v>
      </c>
      <c r="F141" s="42">
        <v>0.5</v>
      </c>
      <c r="G141" s="42">
        <v>0</v>
      </c>
      <c r="H141" s="42">
        <v>0.6</v>
      </c>
      <c r="I141">
        <v>0.9</v>
      </c>
      <c r="J141">
        <v>2</v>
      </c>
      <c r="K141">
        <v>1</v>
      </c>
      <c r="L141">
        <v>1</v>
      </c>
      <c r="M141">
        <v>0</v>
      </c>
      <c r="N141">
        <v>0.8</v>
      </c>
      <c r="O141">
        <v>3.4</v>
      </c>
      <c r="P141">
        <v>8.5</v>
      </c>
    </row>
    <row r="142" spans="1:16" x14ac:dyDescent="0.25">
      <c r="A142" t="s">
        <v>488</v>
      </c>
      <c r="B142" t="s">
        <v>148</v>
      </c>
      <c r="C142" t="s">
        <v>5</v>
      </c>
      <c r="D142">
        <v>10</v>
      </c>
      <c r="E142">
        <v>15</v>
      </c>
      <c r="F142" s="42">
        <v>0.58699999999999997</v>
      </c>
      <c r="G142" s="42">
        <v>0.5</v>
      </c>
      <c r="I142">
        <v>0</v>
      </c>
      <c r="J142">
        <v>5</v>
      </c>
      <c r="K142">
        <v>1</v>
      </c>
      <c r="L142">
        <v>0</v>
      </c>
      <c r="M142">
        <v>0</v>
      </c>
      <c r="N142">
        <v>1.6</v>
      </c>
      <c r="O142">
        <v>6.1</v>
      </c>
      <c r="P142">
        <v>12.4</v>
      </c>
    </row>
    <row r="143" spans="1:16" x14ac:dyDescent="0.25">
      <c r="A143" t="s">
        <v>489</v>
      </c>
      <c r="B143" t="s">
        <v>116</v>
      </c>
      <c r="C143" t="s">
        <v>5</v>
      </c>
      <c r="D143">
        <v>10</v>
      </c>
      <c r="E143">
        <v>21.3</v>
      </c>
      <c r="F143" s="42">
        <v>0.35599999999999998</v>
      </c>
      <c r="G143" s="42">
        <v>0.61499999999999999</v>
      </c>
      <c r="H143" s="42">
        <v>0.38500000000000001</v>
      </c>
      <c r="I143">
        <v>1</v>
      </c>
      <c r="J143">
        <v>3</v>
      </c>
      <c r="K143">
        <v>1</v>
      </c>
      <c r="L143">
        <v>1</v>
      </c>
      <c r="M143">
        <v>1</v>
      </c>
      <c r="N143">
        <v>1</v>
      </c>
      <c r="O143">
        <v>7</v>
      </c>
      <c r="P143">
        <v>15</v>
      </c>
    </row>
    <row r="144" spans="1:16" x14ac:dyDescent="0.25">
      <c r="A144" t="s">
        <v>490</v>
      </c>
      <c r="B144" t="s">
        <v>117</v>
      </c>
      <c r="C144" t="s">
        <v>5</v>
      </c>
      <c r="D144">
        <v>2</v>
      </c>
      <c r="E144">
        <v>6.6</v>
      </c>
      <c r="F144" s="42">
        <v>0</v>
      </c>
      <c r="H144" s="42">
        <v>0</v>
      </c>
      <c r="I144">
        <v>0</v>
      </c>
      <c r="J144">
        <v>1</v>
      </c>
      <c r="K144">
        <v>0</v>
      </c>
      <c r="L144">
        <v>0</v>
      </c>
      <c r="M144">
        <v>1</v>
      </c>
      <c r="N144">
        <v>0</v>
      </c>
      <c r="O144">
        <v>0</v>
      </c>
      <c r="P144">
        <v>1.6</v>
      </c>
    </row>
    <row r="145" spans="1:16" x14ac:dyDescent="0.25">
      <c r="A145" t="s">
        <v>491</v>
      </c>
      <c r="B145" t="s">
        <v>4</v>
      </c>
      <c r="C145" t="s">
        <v>5</v>
      </c>
      <c r="D145">
        <v>10</v>
      </c>
      <c r="E145">
        <v>17.600000000000001</v>
      </c>
      <c r="F145" s="42">
        <v>0.60499999999999998</v>
      </c>
      <c r="G145" s="42">
        <v>0.6</v>
      </c>
      <c r="H145" s="42">
        <v>0.66700000000000004</v>
      </c>
      <c r="I145">
        <v>0.2</v>
      </c>
      <c r="J145">
        <v>4</v>
      </c>
      <c r="K145">
        <v>1</v>
      </c>
      <c r="L145">
        <v>1</v>
      </c>
      <c r="M145">
        <v>0</v>
      </c>
      <c r="N145">
        <v>1.2</v>
      </c>
      <c r="O145">
        <v>5.4</v>
      </c>
      <c r="P145">
        <v>12.3</v>
      </c>
    </row>
    <row r="146" spans="1:16" x14ac:dyDescent="0.25">
      <c r="A146" t="s">
        <v>492</v>
      </c>
      <c r="B146" t="s">
        <v>344</v>
      </c>
      <c r="C146" t="s">
        <v>5</v>
      </c>
    </row>
    <row r="147" spans="1:16" x14ac:dyDescent="0.25">
      <c r="A147" t="s">
        <v>493</v>
      </c>
      <c r="B147" t="s">
        <v>108</v>
      </c>
      <c r="C147" t="s">
        <v>5</v>
      </c>
    </row>
    <row r="148" spans="1:16" x14ac:dyDescent="0.25">
      <c r="A148" t="s">
        <v>494</v>
      </c>
      <c r="B148" t="s">
        <v>59</v>
      </c>
      <c r="C148" t="s">
        <v>5</v>
      </c>
    </row>
    <row r="149" spans="1:16" x14ac:dyDescent="0.25">
      <c r="A149" t="s">
        <v>495</v>
      </c>
      <c r="B149" t="s">
        <v>46</v>
      </c>
      <c r="C149" t="s">
        <v>5</v>
      </c>
    </row>
    <row r="150" spans="1:16" x14ac:dyDescent="0.25">
      <c r="A150" t="s">
        <v>496</v>
      </c>
      <c r="B150" t="s">
        <v>119</v>
      </c>
      <c r="C150" t="s">
        <v>5</v>
      </c>
      <c r="D150">
        <v>9</v>
      </c>
      <c r="E150">
        <v>19.3</v>
      </c>
      <c r="F150" s="42">
        <v>0.47499999999999998</v>
      </c>
      <c r="G150" s="42">
        <v>0.92900000000000005</v>
      </c>
      <c r="H150" s="42">
        <v>0.39300000000000002</v>
      </c>
      <c r="I150">
        <v>1.1000000000000001</v>
      </c>
      <c r="J150">
        <v>2</v>
      </c>
      <c r="K150">
        <v>1</v>
      </c>
      <c r="L150">
        <v>1</v>
      </c>
      <c r="M150">
        <v>0</v>
      </c>
      <c r="N150">
        <v>0.7</v>
      </c>
      <c r="O150">
        <v>8</v>
      </c>
      <c r="P150">
        <v>13.3</v>
      </c>
    </row>
    <row r="151" spans="1:16" x14ac:dyDescent="0.25">
      <c r="A151" t="s">
        <v>497</v>
      </c>
      <c r="B151" t="s">
        <v>110</v>
      </c>
      <c r="C151" t="s">
        <v>5</v>
      </c>
      <c r="D151">
        <v>10</v>
      </c>
      <c r="E151">
        <v>30.2</v>
      </c>
      <c r="F151" s="42">
        <v>0.495</v>
      </c>
      <c r="G151" s="42">
        <v>0.73499999999999999</v>
      </c>
      <c r="I151">
        <v>0</v>
      </c>
      <c r="J151">
        <v>8</v>
      </c>
      <c r="K151">
        <v>2</v>
      </c>
      <c r="L151">
        <v>1</v>
      </c>
      <c r="M151">
        <v>1</v>
      </c>
      <c r="N151">
        <v>1.2</v>
      </c>
      <c r="O151">
        <v>13.3</v>
      </c>
      <c r="P151">
        <v>26.8</v>
      </c>
    </row>
    <row r="152" spans="1:16" x14ac:dyDescent="0.25">
      <c r="A152" t="s">
        <v>498</v>
      </c>
      <c r="B152" t="s">
        <v>146</v>
      </c>
      <c r="C152" t="s">
        <v>5</v>
      </c>
    </row>
    <row r="153" spans="1:16" x14ac:dyDescent="0.25">
      <c r="A153" t="s">
        <v>499</v>
      </c>
      <c r="B153" t="s">
        <v>344</v>
      </c>
      <c r="C153" t="s">
        <v>5</v>
      </c>
      <c r="D153">
        <v>6</v>
      </c>
      <c r="E153">
        <v>3.7</v>
      </c>
      <c r="F153" s="42">
        <v>0.38500000000000001</v>
      </c>
      <c r="G153" s="42">
        <v>0</v>
      </c>
      <c r="I153">
        <v>0</v>
      </c>
      <c r="J153">
        <v>1</v>
      </c>
      <c r="K153">
        <v>0</v>
      </c>
      <c r="L153">
        <v>0</v>
      </c>
      <c r="M153">
        <v>0</v>
      </c>
      <c r="N153">
        <v>0.3</v>
      </c>
      <c r="O153">
        <v>1</v>
      </c>
      <c r="P153">
        <v>2</v>
      </c>
    </row>
    <row r="154" spans="1:16" x14ac:dyDescent="0.25">
      <c r="A154" t="s">
        <v>500</v>
      </c>
      <c r="B154" t="s">
        <v>110</v>
      </c>
      <c r="C154" t="s">
        <v>5</v>
      </c>
      <c r="D154">
        <v>5</v>
      </c>
      <c r="E154">
        <v>16.100000000000001</v>
      </c>
      <c r="F154" s="42">
        <v>0.4</v>
      </c>
      <c r="G154" s="42">
        <v>0.5</v>
      </c>
      <c r="I154">
        <v>0</v>
      </c>
      <c r="J154">
        <v>2</v>
      </c>
      <c r="K154">
        <v>1</v>
      </c>
      <c r="L154">
        <v>0</v>
      </c>
      <c r="M154">
        <v>1</v>
      </c>
      <c r="N154">
        <v>0.6</v>
      </c>
      <c r="O154">
        <v>2.6</v>
      </c>
      <c r="P154">
        <v>8</v>
      </c>
    </row>
    <row r="155" spans="1:16" x14ac:dyDescent="0.25">
      <c r="A155" t="s">
        <v>501</v>
      </c>
      <c r="B155" t="s">
        <v>113</v>
      </c>
      <c r="C155" t="s">
        <v>5</v>
      </c>
      <c r="D155">
        <v>2</v>
      </c>
      <c r="E155">
        <v>3.5</v>
      </c>
      <c r="F155" s="42">
        <v>0</v>
      </c>
      <c r="G155" s="42">
        <v>0.5</v>
      </c>
      <c r="I155">
        <v>0</v>
      </c>
      <c r="J155">
        <v>1</v>
      </c>
      <c r="K155">
        <v>0</v>
      </c>
      <c r="L155">
        <v>0</v>
      </c>
      <c r="M155">
        <v>0</v>
      </c>
      <c r="N155">
        <v>1</v>
      </c>
      <c r="O155">
        <v>0.5</v>
      </c>
      <c r="P155">
        <v>0.1</v>
      </c>
    </row>
    <row r="156" spans="1:16" x14ac:dyDescent="0.25">
      <c r="A156" t="s">
        <v>502</v>
      </c>
      <c r="B156" t="s">
        <v>378</v>
      </c>
      <c r="C156" t="s">
        <v>5</v>
      </c>
      <c r="D156">
        <v>5</v>
      </c>
      <c r="E156">
        <v>6.3</v>
      </c>
      <c r="F156" s="42">
        <v>0.6</v>
      </c>
      <c r="G156" s="42">
        <v>1</v>
      </c>
      <c r="I156">
        <v>0</v>
      </c>
      <c r="J156">
        <v>2</v>
      </c>
      <c r="K156">
        <v>0</v>
      </c>
      <c r="L156">
        <v>0</v>
      </c>
      <c r="M156">
        <v>0</v>
      </c>
      <c r="N156">
        <v>0</v>
      </c>
      <c r="O156">
        <v>1.4</v>
      </c>
      <c r="P156">
        <v>4.5999999999999996</v>
      </c>
    </row>
    <row r="157" spans="1:16" x14ac:dyDescent="0.25">
      <c r="A157" t="s">
        <v>503</v>
      </c>
      <c r="B157" t="s">
        <v>4</v>
      </c>
      <c r="C157" t="s">
        <v>5</v>
      </c>
      <c r="D157">
        <v>5</v>
      </c>
      <c r="E157">
        <v>5.2</v>
      </c>
      <c r="F157" s="42">
        <v>0.33300000000000002</v>
      </c>
      <c r="H157" s="42">
        <v>0.5</v>
      </c>
      <c r="I157">
        <v>0.2</v>
      </c>
      <c r="J157">
        <v>1</v>
      </c>
      <c r="K157">
        <v>0</v>
      </c>
      <c r="L157">
        <v>0</v>
      </c>
      <c r="M157">
        <v>0</v>
      </c>
      <c r="N157">
        <v>0.2</v>
      </c>
      <c r="O157">
        <v>1.4</v>
      </c>
      <c r="P157">
        <v>3.2</v>
      </c>
    </row>
    <row r="158" spans="1:16" x14ac:dyDescent="0.25">
      <c r="A158" t="s">
        <v>504</v>
      </c>
      <c r="B158" t="s">
        <v>108</v>
      </c>
      <c r="C158" t="s">
        <v>5</v>
      </c>
      <c r="D158">
        <v>9</v>
      </c>
      <c r="E158">
        <v>20.7</v>
      </c>
      <c r="F158" s="42">
        <v>0.438</v>
      </c>
      <c r="G158" s="42">
        <v>0.71399999999999997</v>
      </c>
      <c r="I158">
        <v>0</v>
      </c>
      <c r="J158">
        <v>7</v>
      </c>
      <c r="K158">
        <v>1</v>
      </c>
      <c r="L158">
        <v>1</v>
      </c>
      <c r="M158">
        <v>0</v>
      </c>
      <c r="N158">
        <v>1.8</v>
      </c>
      <c r="O158">
        <v>3.9</v>
      </c>
      <c r="P158">
        <v>13.9</v>
      </c>
    </row>
    <row r="159" spans="1:16" x14ac:dyDescent="0.25">
      <c r="A159" t="s">
        <v>505</v>
      </c>
      <c r="B159" t="s">
        <v>114</v>
      </c>
      <c r="C159" t="s">
        <v>5</v>
      </c>
      <c r="D159">
        <v>7</v>
      </c>
      <c r="E159">
        <v>8.6</v>
      </c>
      <c r="F159" s="42">
        <v>0.57599999999999996</v>
      </c>
      <c r="G159" s="42">
        <v>0</v>
      </c>
      <c r="H159" s="42">
        <v>0.5</v>
      </c>
      <c r="I159">
        <v>1</v>
      </c>
      <c r="J159">
        <v>1</v>
      </c>
      <c r="K159">
        <v>1</v>
      </c>
      <c r="L159">
        <v>0</v>
      </c>
      <c r="M159">
        <v>0</v>
      </c>
      <c r="N159">
        <v>0.6</v>
      </c>
      <c r="O159">
        <v>4.7</v>
      </c>
      <c r="P159">
        <v>7</v>
      </c>
    </row>
    <row r="160" spans="1:16" x14ac:dyDescent="0.25">
      <c r="A160" t="s">
        <v>506</v>
      </c>
      <c r="B160" t="s">
        <v>167</v>
      </c>
      <c r="C160" t="s">
        <v>5</v>
      </c>
      <c r="D160">
        <v>8</v>
      </c>
      <c r="E160">
        <v>10.3</v>
      </c>
      <c r="F160" s="42">
        <v>0.44800000000000001</v>
      </c>
      <c r="G160" s="42">
        <v>1</v>
      </c>
      <c r="H160" s="42">
        <v>0.4</v>
      </c>
      <c r="I160">
        <v>1</v>
      </c>
      <c r="J160">
        <v>1</v>
      </c>
      <c r="K160">
        <v>0</v>
      </c>
      <c r="L160">
        <v>1</v>
      </c>
      <c r="M160">
        <v>0</v>
      </c>
      <c r="N160">
        <v>0.1</v>
      </c>
      <c r="O160">
        <v>3.6</v>
      </c>
      <c r="P160">
        <v>5.6</v>
      </c>
    </row>
    <row r="161" spans="1:16" x14ac:dyDescent="0.25">
      <c r="A161" t="s">
        <v>507</v>
      </c>
      <c r="B161" t="s">
        <v>116</v>
      </c>
      <c r="C161" t="s">
        <v>5</v>
      </c>
      <c r="D161">
        <v>7</v>
      </c>
      <c r="E161">
        <v>19.8</v>
      </c>
      <c r="F161" s="42">
        <v>0.56599999999999995</v>
      </c>
      <c r="G161" s="42">
        <v>0.46200000000000002</v>
      </c>
      <c r="I161">
        <v>0</v>
      </c>
      <c r="J161">
        <v>5</v>
      </c>
      <c r="K161">
        <v>1</v>
      </c>
      <c r="L161">
        <v>1</v>
      </c>
      <c r="M161">
        <v>1</v>
      </c>
      <c r="N161">
        <v>0.7</v>
      </c>
      <c r="O161">
        <v>6.6</v>
      </c>
      <c r="P161">
        <v>18.5</v>
      </c>
    </row>
    <row r="162" spans="1:16" x14ac:dyDescent="0.25">
      <c r="A162" t="s">
        <v>508</v>
      </c>
      <c r="B162" t="s">
        <v>117</v>
      </c>
      <c r="C162" t="s">
        <v>5</v>
      </c>
      <c r="D162">
        <v>10</v>
      </c>
      <c r="E162">
        <v>20.2</v>
      </c>
      <c r="F162" s="42">
        <v>0.43099999999999999</v>
      </c>
      <c r="G162" s="42">
        <v>0.86699999999999999</v>
      </c>
      <c r="H162" s="42">
        <v>0.40699999999999997</v>
      </c>
      <c r="I162">
        <v>1.1000000000000001</v>
      </c>
      <c r="J162">
        <v>6</v>
      </c>
      <c r="K162">
        <v>1</v>
      </c>
      <c r="L162">
        <v>1</v>
      </c>
      <c r="M162">
        <v>0</v>
      </c>
      <c r="N162">
        <v>0.6</v>
      </c>
      <c r="O162">
        <v>7.4</v>
      </c>
      <c r="P162">
        <v>16.399999999999999</v>
      </c>
    </row>
    <row r="163" spans="1:16" x14ac:dyDescent="0.25">
      <c r="A163" t="s">
        <v>509</v>
      </c>
      <c r="B163" t="s">
        <v>362</v>
      </c>
      <c r="C163" t="s">
        <v>5</v>
      </c>
      <c r="D163">
        <v>2</v>
      </c>
      <c r="E163">
        <v>16.2</v>
      </c>
      <c r="F163" s="42">
        <v>0.5</v>
      </c>
      <c r="H163" s="42">
        <v>0.33300000000000002</v>
      </c>
      <c r="I163">
        <v>0.5</v>
      </c>
      <c r="J163">
        <v>2</v>
      </c>
      <c r="K163">
        <v>2</v>
      </c>
      <c r="L163">
        <v>0</v>
      </c>
      <c r="M163">
        <v>0</v>
      </c>
      <c r="N163">
        <v>0</v>
      </c>
      <c r="O163">
        <v>5.5</v>
      </c>
      <c r="P163">
        <v>10.199999999999999</v>
      </c>
    </row>
    <row r="164" spans="1:16" x14ac:dyDescent="0.25">
      <c r="A164" t="s">
        <v>510</v>
      </c>
      <c r="B164" t="s">
        <v>117</v>
      </c>
      <c r="C164" t="s">
        <v>5</v>
      </c>
    </row>
    <row r="165" spans="1:16" x14ac:dyDescent="0.25">
      <c r="A165" t="s">
        <v>511</v>
      </c>
      <c r="B165" t="s">
        <v>108</v>
      </c>
      <c r="C165" t="s">
        <v>5</v>
      </c>
      <c r="D165">
        <v>6</v>
      </c>
      <c r="E165">
        <v>13</v>
      </c>
      <c r="F165" s="42">
        <v>0.435</v>
      </c>
      <c r="G165" s="42">
        <v>0.58299999999999996</v>
      </c>
      <c r="H165" s="42">
        <v>0</v>
      </c>
      <c r="I165">
        <v>0</v>
      </c>
      <c r="J165">
        <v>4</v>
      </c>
      <c r="K165">
        <v>0</v>
      </c>
      <c r="L165">
        <v>1</v>
      </c>
      <c r="M165">
        <v>0</v>
      </c>
      <c r="N165">
        <v>0.3</v>
      </c>
      <c r="O165">
        <v>2.7</v>
      </c>
      <c r="P165">
        <v>9.1999999999999993</v>
      </c>
    </row>
    <row r="166" spans="1:16" x14ac:dyDescent="0.25">
      <c r="A166" t="s">
        <v>512</v>
      </c>
      <c r="B166" t="s">
        <v>119</v>
      </c>
      <c r="C166" t="s">
        <v>5</v>
      </c>
      <c r="D166">
        <v>7</v>
      </c>
      <c r="E166">
        <v>22</v>
      </c>
      <c r="F166" s="42">
        <v>0.6</v>
      </c>
      <c r="G166" s="42">
        <v>0.77800000000000002</v>
      </c>
      <c r="I166">
        <v>0</v>
      </c>
      <c r="J166">
        <v>6</v>
      </c>
      <c r="K166">
        <v>1</v>
      </c>
      <c r="L166">
        <v>0</v>
      </c>
      <c r="M166">
        <v>1</v>
      </c>
      <c r="N166">
        <v>0.6</v>
      </c>
      <c r="O166">
        <v>6.7</v>
      </c>
      <c r="P166">
        <v>15.7</v>
      </c>
    </row>
    <row r="167" spans="1:16" x14ac:dyDescent="0.25">
      <c r="A167" t="s">
        <v>513</v>
      </c>
      <c r="B167" t="s">
        <v>53</v>
      </c>
      <c r="C167" t="s">
        <v>5</v>
      </c>
      <c r="D167">
        <v>7</v>
      </c>
      <c r="E167">
        <v>11.5</v>
      </c>
      <c r="F167" s="42">
        <v>0.54200000000000004</v>
      </c>
      <c r="G167" s="42">
        <v>0.58799999999999997</v>
      </c>
      <c r="H167" s="42">
        <v>0.16700000000000001</v>
      </c>
      <c r="I167">
        <v>0.1</v>
      </c>
      <c r="J167">
        <v>3</v>
      </c>
      <c r="K167">
        <v>0</v>
      </c>
      <c r="L167">
        <v>0</v>
      </c>
      <c r="M167">
        <v>0</v>
      </c>
      <c r="N167">
        <v>0.6</v>
      </c>
      <c r="O167">
        <v>3.7</v>
      </c>
      <c r="P167">
        <v>7.6</v>
      </c>
    </row>
    <row r="168" spans="1:16" x14ac:dyDescent="0.25">
      <c r="A168" t="s">
        <v>514</v>
      </c>
      <c r="B168" t="s">
        <v>53</v>
      </c>
      <c r="C168" t="s">
        <v>5</v>
      </c>
    </row>
    <row r="169" spans="1:16" x14ac:dyDescent="0.25">
      <c r="A169" t="s">
        <v>515</v>
      </c>
      <c r="B169" t="s">
        <v>44</v>
      </c>
      <c r="C169" t="s">
        <v>5</v>
      </c>
      <c r="D169">
        <v>1</v>
      </c>
      <c r="E169">
        <v>11.1</v>
      </c>
      <c r="F169" s="42">
        <v>0.66700000000000004</v>
      </c>
      <c r="H169" s="42">
        <v>1</v>
      </c>
      <c r="I169">
        <v>1</v>
      </c>
      <c r="J169">
        <v>2</v>
      </c>
      <c r="K169">
        <v>0</v>
      </c>
      <c r="L169">
        <v>1</v>
      </c>
      <c r="M169">
        <v>0</v>
      </c>
      <c r="N169">
        <v>1</v>
      </c>
      <c r="O169">
        <v>5</v>
      </c>
      <c r="P169">
        <v>8.4</v>
      </c>
    </row>
    <row r="170" spans="1:16" x14ac:dyDescent="0.25">
      <c r="A170" t="s">
        <v>516</v>
      </c>
      <c r="B170" t="s">
        <v>148</v>
      </c>
      <c r="C170" t="s">
        <v>5</v>
      </c>
      <c r="D170">
        <v>5</v>
      </c>
      <c r="E170">
        <v>6.8</v>
      </c>
      <c r="F170" s="42">
        <v>0.28599999999999998</v>
      </c>
      <c r="H170" s="42">
        <v>0</v>
      </c>
      <c r="I170">
        <v>0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0.8</v>
      </c>
      <c r="P170">
        <v>2.2999999999999998</v>
      </c>
    </row>
    <row r="171" spans="1:16" x14ac:dyDescent="0.25">
      <c r="A171" t="s">
        <v>517</v>
      </c>
      <c r="B171" t="s">
        <v>359</v>
      </c>
      <c r="C171" t="s">
        <v>5</v>
      </c>
    </row>
    <row r="172" spans="1:16" x14ac:dyDescent="0.25">
      <c r="A172" t="s">
        <v>518</v>
      </c>
      <c r="B172" t="s">
        <v>362</v>
      </c>
      <c r="C172" t="s">
        <v>5</v>
      </c>
      <c r="D172">
        <v>8</v>
      </c>
      <c r="E172">
        <v>9.6999999999999993</v>
      </c>
      <c r="F172" s="42">
        <v>0.4</v>
      </c>
      <c r="H172" s="42">
        <v>0.42299999999999999</v>
      </c>
      <c r="I172">
        <v>1.1000000000000001</v>
      </c>
      <c r="J172">
        <v>2</v>
      </c>
      <c r="K172">
        <v>1</v>
      </c>
      <c r="L172">
        <v>0</v>
      </c>
      <c r="M172">
        <v>0</v>
      </c>
      <c r="N172">
        <v>0.4</v>
      </c>
      <c r="O172">
        <v>4.5999999999999996</v>
      </c>
      <c r="P172">
        <v>8.6</v>
      </c>
    </row>
    <row r="173" spans="1:16" x14ac:dyDescent="0.25">
      <c r="A173" t="s">
        <v>519</v>
      </c>
      <c r="B173" t="s">
        <v>59</v>
      </c>
      <c r="C173" t="s">
        <v>5</v>
      </c>
      <c r="D173">
        <v>1</v>
      </c>
      <c r="E173">
        <v>2.2000000000000002</v>
      </c>
      <c r="I173">
        <v>0</v>
      </c>
      <c r="J173">
        <v>1</v>
      </c>
      <c r="K173">
        <v>0</v>
      </c>
      <c r="L173">
        <v>0</v>
      </c>
      <c r="M173">
        <v>0</v>
      </c>
      <c r="N173">
        <v>2</v>
      </c>
      <c r="O173">
        <v>0</v>
      </c>
      <c r="P173">
        <v>-0.8</v>
      </c>
    </row>
    <row r="174" spans="1:16" x14ac:dyDescent="0.25">
      <c r="A174" t="s">
        <v>520</v>
      </c>
      <c r="B174" t="s">
        <v>359</v>
      </c>
      <c r="C174" t="s">
        <v>5</v>
      </c>
    </row>
    <row r="175" spans="1:16" x14ac:dyDescent="0.25">
      <c r="A175" t="s">
        <v>521</v>
      </c>
      <c r="B175" t="s">
        <v>4</v>
      </c>
      <c r="C175" t="s">
        <v>5</v>
      </c>
    </row>
    <row r="176" spans="1:16" x14ac:dyDescent="0.25">
      <c r="A176" t="s">
        <v>426</v>
      </c>
      <c r="B176" t="s">
        <v>117</v>
      </c>
      <c r="C176" t="s">
        <v>5</v>
      </c>
      <c r="D176">
        <v>4</v>
      </c>
      <c r="E176">
        <v>5.2</v>
      </c>
      <c r="F176" s="42">
        <v>0.375</v>
      </c>
      <c r="G176" s="42">
        <v>0.8</v>
      </c>
      <c r="I176">
        <v>0</v>
      </c>
      <c r="J176">
        <v>2</v>
      </c>
      <c r="K176">
        <v>0</v>
      </c>
      <c r="L176">
        <v>1</v>
      </c>
      <c r="M176">
        <v>0</v>
      </c>
      <c r="N176">
        <v>0.3</v>
      </c>
      <c r="O176">
        <v>1.3</v>
      </c>
      <c r="P176">
        <v>5.5</v>
      </c>
    </row>
    <row r="177" spans="1:3" x14ac:dyDescent="0.25">
      <c r="A177" t="s">
        <v>522</v>
      </c>
      <c r="B177" t="s">
        <v>46</v>
      </c>
      <c r="C177" t="s">
        <v>5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I19" sqref="I19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F15" sqref="F15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22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24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11</v>
      </c>
      <c r="C15" s="15"/>
      <c r="D15" s="38">
        <f>'DraftKings Basketball  Solver'!O11</f>
        <v>0</v>
      </c>
      <c r="E15" s="36"/>
      <c r="F15" s="41" t="e">
        <f>'DraftKings Basketball  Solver'!O17</f>
        <v>#N/A</v>
      </c>
      <c r="G15" s="40" t="e">
        <f>'DraftKings Basketball  Solver'!O18</f>
        <v>#N/A</v>
      </c>
      <c r="H15" s="41" t="e">
        <f>'DraftKings Basketball  Solver'!O19</f>
        <v>#N/A</v>
      </c>
      <c r="I15" s="40" t="e">
        <f>'DraftKings Basketball  Solver'!O20</f>
        <v>#N/A</v>
      </c>
      <c r="J15" s="41" t="e">
        <f>'DraftKings Basketball  Solver'!O25</f>
        <v>#N/A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12</v>
      </c>
      <c r="C16" s="15"/>
      <c r="D16" s="39">
        <f>'DraftKings Basketball  Solver'!O8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Solver'!O21</f>
        <v>#N/A</v>
      </c>
      <c r="G17" s="41" t="e">
        <f>'DraftKings Basketball  Solver'!O22</f>
        <v>#N/A</v>
      </c>
      <c r="H17" s="40" t="e">
        <f>'DraftKings Basketball  Solver'!O23</f>
        <v>#N/A</v>
      </c>
      <c r="I17" s="41" t="e">
        <f>'DraftKings Basketball  Solver'!O24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DraftKings Basketball  Solver</vt:lpstr>
      <vt:lpstr>RawData</vt:lpstr>
      <vt:lpstr>Sheet2</vt:lpstr>
      <vt:lpstr>Sheet3</vt:lpstr>
      <vt:lpstr>Sheet1</vt:lpstr>
      <vt:lpstr>Sheet2!nba_player_stats_last_10_forwards_181904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2017-10-23T03:08:19Z</dcterms:modified>
</cp:coreProperties>
</file>