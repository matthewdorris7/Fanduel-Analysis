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Solver'!$O$8</definedName>
    <definedName name="solver_lhs4" localSheetId="0" hidden="1">'DraftKings Basketball  Solver'!$P$2</definedName>
    <definedName name="solver_lhs5" localSheetId="0" hidden="1">'DraftKings Basketball  Solver'!$P$3</definedName>
    <definedName name="solver_lhs6" localSheetId="0" hidden="1">'DraftKings Basketball  Solver'!$P$4</definedName>
    <definedName name="solver_lhs7" localSheetId="0" hidden="1">'DraftKings Basketball  Solver'!$P$5</definedName>
    <definedName name="solver_lhs8" localSheetId="0" hidden="1">'DraftKings Basketball  Solver'!$P$4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7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1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1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Solver'!$O$9</definedName>
    <definedName name="solver_rhs4" localSheetId="0" hidden="1">'DraftKings Basketball  Solver'!$O$2</definedName>
    <definedName name="solver_rhs5" localSheetId="0" hidden="1">'DraftKings Basketball  Solver'!$O$3</definedName>
    <definedName name="solver_rhs6" localSheetId="0" hidden="1">'DraftKings Basketball  Solver'!$O$4</definedName>
    <definedName name="solver_rhs7" localSheetId="0" hidden="1">'DraftKings Basketball  Solver'!$O$5</definedName>
    <definedName name="solver_rhs8" localSheetId="0" hidden="1">'DraftKings Basketball  Solver'!$O$4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G2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O13" i="2" l="1"/>
  <c r="O11" i="2" l="1"/>
  <c r="D15" i="4" s="1"/>
  <c r="O8" i="2"/>
  <c r="D16" i="4" s="1"/>
  <c r="O9" i="2"/>
  <c r="O14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18" i="2"/>
  <c r="J18" i="2"/>
  <c r="K18" i="2"/>
  <c r="L18" i="2"/>
  <c r="I19" i="2"/>
  <c r="J19" i="2"/>
  <c r="K19" i="2"/>
  <c r="L19" i="2"/>
  <c r="I20" i="2"/>
  <c r="J20" i="2"/>
  <c r="K20" i="2"/>
  <c r="L20" i="2"/>
  <c r="I21" i="2"/>
  <c r="J21" i="2"/>
  <c r="K21" i="2"/>
  <c r="L21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/>
  <c r="J37" i="2"/>
  <c r="K37" i="2"/>
  <c r="L37" i="2"/>
  <c r="I38" i="2"/>
  <c r="J38" i="2"/>
  <c r="K38" i="2"/>
  <c r="L38" i="2"/>
  <c r="I39" i="2"/>
  <c r="J39" i="2"/>
  <c r="K39" i="2"/>
  <c r="L39" i="2"/>
  <c r="I40" i="2"/>
  <c r="J40" i="2"/>
  <c r="K40" i="2"/>
  <c r="L40" i="2"/>
  <c r="I41" i="2"/>
  <c r="J41" i="2"/>
  <c r="K41" i="2"/>
  <c r="L41" i="2"/>
  <c r="I42" i="2"/>
  <c r="J42" i="2"/>
  <c r="K42" i="2"/>
  <c r="L42" i="2"/>
  <c r="I43" i="2"/>
  <c r="J43" i="2"/>
  <c r="K43" i="2"/>
  <c r="L43" i="2"/>
  <c r="I44" i="2"/>
  <c r="J44" i="2"/>
  <c r="K44" i="2"/>
  <c r="L44" i="2"/>
  <c r="I45" i="2"/>
  <c r="J45" i="2"/>
  <c r="K45" i="2"/>
  <c r="L45" i="2"/>
  <c r="I46" i="2"/>
  <c r="J46" i="2"/>
  <c r="K46" i="2"/>
  <c r="L46" i="2"/>
  <c r="I47" i="2"/>
  <c r="J47" i="2"/>
  <c r="K47" i="2"/>
  <c r="L47" i="2"/>
  <c r="I48" i="2"/>
  <c r="J48" i="2"/>
  <c r="K48" i="2"/>
  <c r="L48" i="2"/>
  <c r="I49" i="2"/>
  <c r="J49" i="2"/>
  <c r="K49" i="2"/>
  <c r="L49" i="2"/>
  <c r="I50" i="2"/>
  <c r="J50" i="2"/>
  <c r="K50" i="2"/>
  <c r="L50" i="2"/>
  <c r="I51" i="2"/>
  <c r="J51" i="2"/>
  <c r="K51" i="2"/>
  <c r="L51" i="2"/>
  <c r="I52" i="2"/>
  <c r="J52" i="2"/>
  <c r="K52" i="2"/>
  <c r="L52" i="2"/>
  <c r="I53" i="2"/>
  <c r="J53" i="2"/>
  <c r="K53" i="2"/>
  <c r="L53" i="2"/>
  <c r="I54" i="2"/>
  <c r="J54" i="2"/>
  <c r="K54" i="2"/>
  <c r="L54" i="2"/>
  <c r="I55" i="2"/>
  <c r="J55" i="2"/>
  <c r="K55" i="2"/>
  <c r="L55" i="2"/>
  <c r="I56" i="2"/>
  <c r="J56" i="2"/>
  <c r="K56" i="2"/>
  <c r="L56" i="2"/>
  <c r="I57" i="2"/>
  <c r="J57" i="2"/>
  <c r="K57" i="2"/>
  <c r="L57" i="2"/>
  <c r="I58" i="2"/>
  <c r="J58" i="2"/>
  <c r="K58" i="2"/>
  <c r="L58" i="2"/>
  <c r="I59" i="2"/>
  <c r="J59" i="2"/>
  <c r="K59" i="2"/>
  <c r="L59" i="2"/>
  <c r="I60" i="2"/>
  <c r="J60" i="2"/>
  <c r="K60" i="2"/>
  <c r="L60" i="2"/>
  <c r="I61" i="2"/>
  <c r="J61" i="2"/>
  <c r="K61" i="2"/>
  <c r="L61" i="2"/>
  <c r="I62" i="2"/>
  <c r="J62" i="2"/>
  <c r="K62" i="2"/>
  <c r="L62" i="2"/>
  <c r="I63" i="2"/>
  <c r="J63" i="2"/>
  <c r="K63" i="2"/>
  <c r="L63" i="2"/>
  <c r="I64" i="2"/>
  <c r="J64" i="2"/>
  <c r="K64" i="2"/>
  <c r="L64" i="2"/>
  <c r="I65" i="2"/>
  <c r="J65" i="2"/>
  <c r="K65" i="2"/>
  <c r="L65" i="2"/>
  <c r="I66" i="2"/>
  <c r="J66" i="2"/>
  <c r="K66" i="2"/>
  <c r="L66" i="2"/>
  <c r="I67" i="2"/>
  <c r="J67" i="2"/>
  <c r="K67" i="2"/>
  <c r="L67" i="2"/>
  <c r="I68" i="2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6" i="2"/>
  <c r="J86" i="2"/>
  <c r="K86" i="2"/>
  <c r="L86" i="2"/>
  <c r="I87" i="2"/>
  <c r="J87" i="2"/>
  <c r="K87" i="2"/>
  <c r="L87" i="2"/>
  <c r="I88" i="2"/>
  <c r="J88" i="2"/>
  <c r="K88" i="2"/>
  <c r="L88" i="2"/>
  <c r="I89" i="2"/>
  <c r="J89" i="2"/>
  <c r="K89" i="2"/>
  <c r="L89" i="2"/>
  <c r="I90" i="2"/>
  <c r="J90" i="2"/>
  <c r="K90" i="2"/>
  <c r="L90" i="2"/>
  <c r="I91" i="2"/>
  <c r="J91" i="2"/>
  <c r="K91" i="2"/>
  <c r="L91" i="2"/>
  <c r="I92" i="2"/>
  <c r="J92" i="2"/>
  <c r="K92" i="2"/>
  <c r="L92" i="2"/>
  <c r="I93" i="2"/>
  <c r="J93" i="2"/>
  <c r="K93" i="2"/>
  <c r="L93" i="2"/>
  <c r="I94" i="2"/>
  <c r="J94" i="2"/>
  <c r="K94" i="2"/>
  <c r="L94" i="2"/>
  <c r="I95" i="2"/>
  <c r="J95" i="2"/>
  <c r="K95" i="2"/>
  <c r="L95" i="2"/>
  <c r="I96" i="2"/>
  <c r="J96" i="2"/>
  <c r="K96" i="2"/>
  <c r="L96" i="2"/>
  <c r="I97" i="2"/>
  <c r="J97" i="2"/>
  <c r="K97" i="2"/>
  <c r="L97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2" i="2"/>
  <c r="B5" i="2" l="1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4" i="2" l="1"/>
  <c r="G17" i="4" s="1"/>
  <c r="O25" i="2"/>
  <c r="H17" i="4" s="1"/>
  <c r="O23" i="2"/>
  <c r="F17" i="4" s="1"/>
  <c r="O22" i="2"/>
  <c r="I17" i="4"/>
  <c r="O20" i="2"/>
  <c r="I15" i="4" s="1"/>
  <c r="O19" i="2"/>
  <c r="H15" i="4" s="1"/>
  <c r="O21" i="2"/>
  <c r="O18" i="2"/>
  <c r="G15" i="4" s="1"/>
  <c r="O17" i="2"/>
  <c r="F15" i="4" s="1"/>
</calcChain>
</file>

<file path=xl/sharedStrings.xml><?xml version="1.0" encoding="utf-8"?>
<sst xmlns="http://schemas.openxmlformats.org/spreadsheetml/2006/main" count="4330" uniqueCount="1542">
  <si>
    <t>Position</t>
  </si>
  <si>
    <t>PF</t>
  </si>
  <si>
    <t>SF</t>
  </si>
  <si>
    <t>C</t>
  </si>
  <si>
    <t>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</si>
  <si>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</si>
  <si>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</si>
  <si>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</si>
  <si>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</si>
  <si>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</si>
  <si>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</si>
  <si>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</si>
  <si>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</si>
  <si>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</si>
  <si>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</si>
  <si>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</si>
  <si>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</si>
  <si>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</si>
  <si>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</si>
  <si>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</si>
  <si>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D</t>
  </si>
  <si>
    <t>W</t>
  </si>
  <si>
    <t>Hockey Optimization Analysis</t>
  </si>
  <si>
    <t>C 1</t>
  </si>
  <si>
    <t>C 2</t>
  </si>
  <si>
    <t>W 1</t>
  </si>
  <si>
    <t>W 2</t>
  </si>
  <si>
    <t>W 3</t>
  </si>
  <si>
    <t>W 4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</si>
  <si>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</si>
  <si>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</si>
  <si>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</si>
  <si>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</si>
  <si>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</si>
  <si>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</si>
  <si>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</si>
  <si>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</si>
  <si>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</si>
  <si>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</si>
  <si>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</si>
  <si>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Injury Details</t>
  </si>
  <si>
    <t>17934-9416</t>
  </si>
  <si>
    <t>Braden</t>
  </si>
  <si>
    <t>Holtby</t>
  </si>
  <si>
    <t>DET@WAS</t>
  </si>
  <si>
    <t>WAS</t>
  </si>
  <si>
    <t>DET</t>
  </si>
  <si>
    <t>17934-8452</t>
  </si>
  <si>
    <t>Carey</t>
  </si>
  <si>
    <t>Price</t>
  </si>
  <si>
    <t>MON@ARI</t>
  </si>
  <si>
    <t>MON</t>
  </si>
  <si>
    <t>ARI</t>
  </si>
  <si>
    <t>17934-42869</t>
  </si>
  <si>
    <t>Matt</t>
  </si>
  <si>
    <t>Murray</t>
  </si>
  <si>
    <t>PIT@COL</t>
  </si>
  <si>
    <t>PIT</t>
  </si>
  <si>
    <t>COL</t>
  </si>
  <si>
    <t>17934-9278</t>
  </si>
  <si>
    <t>Martin</t>
  </si>
  <si>
    <t>Jones</t>
  </si>
  <si>
    <t>SJ@BOS</t>
  </si>
  <si>
    <t>SJ</t>
  </si>
  <si>
    <t>BOS</t>
  </si>
  <si>
    <t>17934-8472</t>
  </si>
  <si>
    <t>Pekka</t>
  </si>
  <si>
    <t>Rinne</t>
  </si>
  <si>
    <t>NSH@NYR</t>
  </si>
  <si>
    <t>NSH</t>
  </si>
  <si>
    <t>NYR</t>
  </si>
  <si>
    <t>17934-15268</t>
  </si>
  <si>
    <t>John</t>
  </si>
  <si>
    <t>Gibson</t>
  </si>
  <si>
    <t>ANH@BUF</t>
  </si>
  <si>
    <t>ANH</t>
  </si>
  <si>
    <t>BUF</t>
  </si>
  <si>
    <t>17934-8594</t>
  </si>
  <si>
    <t>Sidney</t>
  </si>
  <si>
    <t>Crosby</t>
  </si>
  <si>
    <t>17934-8718</t>
  </si>
  <si>
    <t>Alex</t>
  </si>
  <si>
    <t>Ovechkin</t>
  </si>
  <si>
    <t>17934-8193</t>
  </si>
  <si>
    <t>Tuukka</t>
  </si>
  <si>
    <t>Rask</t>
  </si>
  <si>
    <t>17934-8532</t>
  </si>
  <si>
    <t>Henrik</t>
  </si>
  <si>
    <t>Lundqvist</t>
  </si>
  <si>
    <t>17934-8595</t>
  </si>
  <si>
    <t>Evgeni</t>
  </si>
  <si>
    <t>Malkin</t>
  </si>
  <si>
    <t>IR</t>
  </si>
  <si>
    <t>Knee</t>
  </si>
  <si>
    <t>17934-40050</t>
  </si>
  <si>
    <t>Antti</t>
  </si>
  <si>
    <t>Raanta</t>
  </si>
  <si>
    <t>17934-23072</t>
  </si>
  <si>
    <t>Frederik</t>
  </si>
  <si>
    <t>Andersen</t>
  </si>
  <si>
    <t>STL@TOR</t>
  </si>
  <si>
    <t>TOR</t>
  </si>
  <si>
    <t>STL</t>
  </si>
  <si>
    <t>17934-8292</t>
  </si>
  <si>
    <t>Craig</t>
  </si>
  <si>
    <t>Anderson</t>
  </si>
  <si>
    <t>DAL@OTT</t>
  </si>
  <si>
    <t>OTT</t>
  </si>
  <si>
    <t>DAL</t>
  </si>
  <si>
    <t>O</t>
  </si>
  <si>
    <t>Personal</t>
  </si>
  <si>
    <t>17934-8293</t>
  </si>
  <si>
    <t>Peter</t>
  </si>
  <si>
    <t>Budaj</t>
  </si>
  <si>
    <t>LA@FLA</t>
  </si>
  <si>
    <t>LA</t>
  </si>
  <si>
    <t>FLA</t>
  </si>
  <si>
    <t>17934-12417</t>
  </si>
  <si>
    <t>Tyler</t>
  </si>
  <si>
    <t>Seguin</t>
  </si>
  <si>
    <t>17934-8426</t>
  </si>
  <si>
    <t>Brent</t>
  </si>
  <si>
    <t>Burns</t>
  </si>
  <si>
    <t>17934-8633</t>
  </si>
  <si>
    <t>Thomas</t>
  </si>
  <si>
    <t>Greiss</t>
  </si>
  <si>
    <t>NYI@PHI</t>
  </si>
  <si>
    <t>NYI</t>
  </si>
  <si>
    <t>PHI</t>
  </si>
  <si>
    <t>17934-8712</t>
  </si>
  <si>
    <t>Roberto</t>
  </si>
  <si>
    <t>Luongo</t>
  </si>
  <si>
    <t>17934-12163</t>
  </si>
  <si>
    <t>Sergei</t>
  </si>
  <si>
    <t>Bobrovsky</t>
  </si>
  <si>
    <t>VAN@CLS</t>
  </si>
  <si>
    <t>CLS</t>
  </si>
  <si>
    <t>VAN</t>
  </si>
  <si>
    <t>17934-8212</t>
  </si>
  <si>
    <t>Ryan</t>
  </si>
  <si>
    <t>Miller</t>
  </si>
  <si>
    <t>17934-8593</t>
  </si>
  <si>
    <t>Al</t>
  </si>
  <si>
    <t>Montoya</t>
  </si>
  <si>
    <t>17934-8612</t>
  </si>
  <si>
    <t>Marc-Andre</t>
  </si>
  <si>
    <t>Fleury</t>
  </si>
  <si>
    <t>17934-12697</t>
  </si>
  <si>
    <t>Philipp</t>
  </si>
  <si>
    <t>Grubauer</t>
  </si>
  <si>
    <t>17934-8780</t>
  </si>
  <si>
    <t>Jonathan</t>
  </si>
  <si>
    <t>Bernier</t>
  </si>
  <si>
    <t>17934-8986</t>
  </si>
  <si>
    <t>Jamie</t>
  </si>
  <si>
    <t>Benn</t>
  </si>
  <si>
    <t>17934-39844</t>
  </si>
  <si>
    <t>Mike</t>
  </si>
  <si>
    <t>Condon</t>
  </si>
  <si>
    <t>17934-58904</t>
  </si>
  <si>
    <t>Aaron</t>
  </si>
  <si>
    <t>Dell</t>
  </si>
  <si>
    <t>17934-8494</t>
  </si>
  <si>
    <t>Tavares</t>
  </si>
  <si>
    <t>17934-9112</t>
  </si>
  <si>
    <t>Jake</t>
  </si>
  <si>
    <t>Allen</t>
  </si>
  <si>
    <t>17934-8672</t>
  </si>
  <si>
    <t>Smith</t>
  </si>
  <si>
    <t>17934-23071</t>
  </si>
  <si>
    <t>Vladimir</t>
  </si>
  <si>
    <t>Tarasenko</t>
  </si>
  <si>
    <t>17934-9052</t>
  </si>
  <si>
    <t>James</t>
  </si>
  <si>
    <t>Reimer</t>
  </si>
  <si>
    <t>17934-11133</t>
  </si>
  <si>
    <t>Carter</t>
  </si>
  <si>
    <t>Hutton</t>
  </si>
  <si>
    <t>17934-39251</t>
  </si>
  <si>
    <t>Jared</t>
  </si>
  <si>
    <t>Coreau</t>
  </si>
  <si>
    <t>17934-8864</t>
  </si>
  <si>
    <t>Robin</t>
  </si>
  <si>
    <t>Lehner</t>
  </si>
  <si>
    <t>17934-66411</t>
  </si>
  <si>
    <t>Juuse</t>
  </si>
  <si>
    <t>Saros</t>
  </si>
  <si>
    <t>17934-8172</t>
  </si>
  <si>
    <t>Kari</t>
  </si>
  <si>
    <t>Lehtonen</t>
  </si>
  <si>
    <t>17934-12283</t>
  </si>
  <si>
    <t>Jacob</t>
  </si>
  <si>
    <t>Markstrom</t>
  </si>
  <si>
    <t>17934-9288</t>
  </si>
  <si>
    <t>Niemi</t>
  </si>
  <si>
    <t>17934-9302</t>
  </si>
  <si>
    <t>Michal</t>
  </si>
  <si>
    <t>Neuvirth</t>
  </si>
  <si>
    <t>DTD</t>
  </si>
  <si>
    <t>Illness</t>
  </si>
  <si>
    <t>17934-14468</t>
  </si>
  <si>
    <t>Anders</t>
  </si>
  <si>
    <t>Nilsson</t>
  </si>
  <si>
    <t>17934-15400</t>
  </si>
  <si>
    <t>Petr</t>
  </si>
  <si>
    <t>Mrazek</t>
  </si>
  <si>
    <t>17934-8233</t>
  </si>
  <si>
    <t>Curtis</t>
  </si>
  <si>
    <t>McElhinney</t>
  </si>
  <si>
    <t>17934-8312</t>
  </si>
  <si>
    <t>Steve</t>
  </si>
  <si>
    <t>Mason</t>
  </si>
  <si>
    <t>17934-8555</t>
  </si>
  <si>
    <t>Jeff</t>
  </si>
  <si>
    <t>17934-8732</t>
  </si>
  <si>
    <t>Semyon</t>
  </si>
  <si>
    <t>Varlamov</t>
  </si>
  <si>
    <t>Groin</t>
  </si>
  <si>
    <t>17934-66599</t>
  </si>
  <si>
    <t>Zane</t>
  </si>
  <si>
    <t>McIntyre</t>
  </si>
  <si>
    <t>17934-8353</t>
  </si>
  <si>
    <t>Jimmy</t>
  </si>
  <si>
    <t>Howard</t>
  </si>
  <si>
    <t>17934-8615</t>
  </si>
  <si>
    <t>Joe</t>
  </si>
  <si>
    <t>Pavelski</t>
  </si>
  <si>
    <t>17934-38930</t>
  </si>
  <si>
    <t>Andrew</t>
  </si>
  <si>
    <t>Hammond</t>
  </si>
  <si>
    <t>17934-40023</t>
  </si>
  <si>
    <t>Anton</t>
  </si>
  <si>
    <t>Forsberg</t>
  </si>
  <si>
    <t>17934-8441</t>
  </si>
  <si>
    <t>Pacioretty</t>
  </si>
  <si>
    <t>17934-8763</t>
  </si>
  <si>
    <t>Brad</t>
  </si>
  <si>
    <t>Marchand</t>
  </si>
  <si>
    <t>17934-54065</t>
  </si>
  <si>
    <t>Joonas</t>
  </si>
  <si>
    <t>Korpisalo</t>
  </si>
  <si>
    <t>17934-43033</t>
  </si>
  <si>
    <t>Antoine</t>
  </si>
  <si>
    <t>Bibeau</t>
  </si>
  <si>
    <t>17934-8556</t>
  </si>
  <si>
    <t>Claude</t>
  </si>
  <si>
    <t>Giroux</t>
  </si>
  <si>
    <t>17934-12654</t>
  </si>
  <si>
    <t>Calvin</t>
  </si>
  <si>
    <t>Pickard</t>
  </si>
  <si>
    <t>17934-12749</t>
  </si>
  <si>
    <t>Jean-Francois</t>
  </si>
  <si>
    <t>Berube</t>
  </si>
  <si>
    <t>17934-8797</t>
  </si>
  <si>
    <t>van Riemsdyk</t>
  </si>
  <si>
    <t>17934-8958</t>
  </si>
  <si>
    <t>Zatkoff</t>
  </si>
  <si>
    <t>17934-39691</t>
  </si>
  <si>
    <t>Marek</t>
  </si>
  <si>
    <t>Mazanec</t>
  </si>
  <si>
    <t>17934-9005</t>
  </si>
  <si>
    <t>Jhonas</t>
  </si>
  <si>
    <t>Enroth</t>
  </si>
  <si>
    <t>17934-14483</t>
  </si>
  <si>
    <t>Louis</t>
  </si>
  <si>
    <t>Domingue</t>
  </si>
  <si>
    <t>17934-70899</t>
  </si>
  <si>
    <t>Auston</t>
  </si>
  <si>
    <t>Matthews</t>
  </si>
  <si>
    <t>17934-8682</t>
  </si>
  <si>
    <t>Phil</t>
  </si>
  <si>
    <t>Kessel</t>
  </si>
  <si>
    <t>17934-64100</t>
  </si>
  <si>
    <t>Jack</t>
  </si>
  <si>
    <t>Eichel</t>
  </si>
  <si>
    <t>17934-42643</t>
  </si>
  <si>
    <t>Spencer</t>
  </si>
  <si>
    <t>17934-8134</t>
  </si>
  <si>
    <t>Getzlaf</t>
  </si>
  <si>
    <t>17934-9366</t>
  </si>
  <si>
    <t>Dustin</t>
  </si>
  <si>
    <t>Tokarski</t>
  </si>
  <si>
    <t>17934-39253</t>
  </si>
  <si>
    <t>Filip</t>
  </si>
  <si>
    <t>17934-8551</t>
  </si>
  <si>
    <t>Erik</t>
  </si>
  <si>
    <t>Karlsson</t>
  </si>
  <si>
    <t>17934-14056</t>
  </si>
  <si>
    <t>Cam</t>
  </si>
  <si>
    <t>Atkinson</t>
  </si>
  <si>
    <t>17934-54028</t>
  </si>
  <si>
    <t>Pheonix</t>
  </si>
  <si>
    <t>Copley</t>
  </si>
  <si>
    <t>17934-52475</t>
  </si>
  <si>
    <t>Evgeny</t>
  </si>
  <si>
    <t>Kuznetsov</t>
  </si>
  <si>
    <t>17934-8608</t>
  </si>
  <si>
    <t>Kris</t>
  </si>
  <si>
    <t>Letang</t>
  </si>
  <si>
    <t>17934-8765</t>
  </si>
  <si>
    <t>Patric</t>
  </si>
  <si>
    <t>Hornqvist</t>
  </si>
  <si>
    <t>17934-9269</t>
  </si>
  <si>
    <t>Logan</t>
  </si>
  <si>
    <t>Couture</t>
  </si>
  <si>
    <t>17934-8175</t>
  </si>
  <si>
    <t>Patrice</t>
  </si>
  <si>
    <t>Bergeron</t>
  </si>
  <si>
    <t>17934-8635</t>
  </si>
  <si>
    <t>T.J.</t>
  </si>
  <si>
    <t>Oshie</t>
  </si>
  <si>
    <t>17934-9259</t>
  </si>
  <si>
    <t>Hoffman</t>
  </si>
  <si>
    <t>17934-66683</t>
  </si>
  <si>
    <t>Mitchell</t>
  </si>
  <si>
    <t>Marner</t>
  </si>
  <si>
    <t>17934-8404</t>
  </si>
  <si>
    <t>Wayne</t>
  </si>
  <si>
    <t>Simmonds</t>
  </si>
  <si>
    <t>17934-41393</t>
  </si>
  <si>
    <t>Aleksander</t>
  </si>
  <si>
    <t>Barkov</t>
  </si>
  <si>
    <t>17934-8714</t>
  </si>
  <si>
    <t>Nicklas</t>
  </si>
  <si>
    <t>Backstrom</t>
  </si>
  <si>
    <t>17934-8741</t>
  </si>
  <si>
    <t>Nazem</t>
  </si>
  <si>
    <t>Kadri</t>
  </si>
  <si>
    <t>17934-59218</t>
  </si>
  <si>
    <t>David</t>
  </si>
  <si>
    <t>Pastrnak</t>
  </si>
  <si>
    <t>17934-21546</t>
  </si>
  <si>
    <t>Alexander</t>
  </si>
  <si>
    <t>Radulov</t>
  </si>
  <si>
    <t>17934-8319</t>
  </si>
  <si>
    <t>Neal</t>
  </si>
  <si>
    <t>17934-8394</t>
  </si>
  <si>
    <t>Anze</t>
  </si>
  <si>
    <t>Kopitar</t>
  </si>
  <si>
    <t>17934-8539</t>
  </si>
  <si>
    <t>Nick</t>
  </si>
  <si>
    <t>Foligno</t>
  </si>
  <si>
    <t>17934-41391</t>
  </si>
  <si>
    <t>Nathan</t>
  </si>
  <si>
    <t>MacKinnon</t>
  </si>
  <si>
    <t>17934-8702</t>
  </si>
  <si>
    <t>Kesler</t>
  </si>
  <si>
    <t>17934-8303</t>
  </si>
  <si>
    <t>Jakub</t>
  </si>
  <si>
    <t>Voracek</t>
  </si>
  <si>
    <t>17934-12253</t>
  </si>
  <si>
    <t>Mats</t>
  </si>
  <si>
    <t>Zuccarello</t>
  </si>
  <si>
    <t>17934-12592</t>
  </si>
  <si>
    <t>Johansen</t>
  </si>
  <si>
    <t>17934-8619</t>
  </si>
  <si>
    <t>Patrick</t>
  </si>
  <si>
    <t>Marleau</t>
  </si>
  <si>
    <t>17934-23233</t>
  </si>
  <si>
    <t>Galchenyuk</t>
  </si>
  <si>
    <t>17934-8142</t>
  </si>
  <si>
    <t>Corey</t>
  </si>
  <si>
    <t>Perry</t>
  </si>
  <si>
    <t>17934-12448</t>
  </si>
  <si>
    <t>Derek</t>
  </si>
  <si>
    <t>Stepan</t>
  </si>
  <si>
    <t>17934-21927</t>
  </si>
  <si>
    <t>Chris</t>
  </si>
  <si>
    <t>Kreider</t>
  </si>
  <si>
    <t>17934-8641</t>
  </si>
  <si>
    <t>Steen</t>
  </si>
  <si>
    <t>17934-8302</t>
  </si>
  <si>
    <t>Rick</t>
  </si>
  <si>
    <t>Nash</t>
  </si>
  <si>
    <t>17934-12628</t>
  </si>
  <si>
    <t>Mark</t>
  </si>
  <si>
    <t>Stone</t>
  </si>
  <si>
    <t>17934-54743</t>
  </si>
  <si>
    <t>Wennberg</t>
  </si>
  <si>
    <t>17934-9092</t>
  </si>
  <si>
    <t>Evander</t>
  </si>
  <si>
    <t>Kane</t>
  </si>
  <si>
    <t>17934-15283</t>
  </si>
  <si>
    <t>Vincent</t>
  </si>
  <si>
    <t>Trocheck</t>
  </si>
  <si>
    <t>17934-8275</t>
  </si>
  <si>
    <t>Duchene</t>
  </si>
  <si>
    <t>17934-8534</t>
  </si>
  <si>
    <t>Jason</t>
  </si>
  <si>
    <t>Spezza</t>
  </si>
  <si>
    <t>Undisclosed</t>
  </si>
  <si>
    <t>17934-9077</t>
  </si>
  <si>
    <t>Kyle</t>
  </si>
  <si>
    <t>Turris</t>
  </si>
  <si>
    <t>17934-12262</t>
  </si>
  <si>
    <t>Roman</t>
  </si>
  <si>
    <t>Josi</t>
  </si>
  <si>
    <t>17934-8406</t>
  </si>
  <si>
    <t>Drew</t>
  </si>
  <si>
    <t>Doughty</t>
  </si>
  <si>
    <t>17934-8502</t>
  </si>
  <si>
    <t>Okposo</t>
  </si>
  <si>
    <t>17934-15280</t>
  </si>
  <si>
    <t>Brandon</t>
  </si>
  <si>
    <t>Saad</t>
  </si>
  <si>
    <t>17934-8698</t>
  </si>
  <si>
    <t>Daniel</t>
  </si>
  <si>
    <t>Sedin</t>
  </si>
  <si>
    <t>17934-15217</t>
  </si>
  <si>
    <t>Huberdeau</t>
  </si>
  <si>
    <t>17934-15269</t>
  </si>
  <si>
    <t>Rickard</t>
  </si>
  <si>
    <t>Rakell</t>
  </si>
  <si>
    <t>17934-15360</t>
  </si>
  <si>
    <t>J.T.</t>
  </si>
  <si>
    <t>17934-8467</t>
  </si>
  <si>
    <t>Shea</t>
  </si>
  <si>
    <t>Weber</t>
  </si>
  <si>
    <t>17934-58877</t>
  </si>
  <si>
    <t>Conor</t>
  </si>
  <si>
    <t>Sheary</t>
  </si>
  <si>
    <t>Upper body</t>
  </si>
  <si>
    <t>17934-9266</t>
  </si>
  <si>
    <t>Brayden</t>
  </si>
  <si>
    <t>Schenn</t>
  </si>
  <si>
    <t>17934-8274</t>
  </si>
  <si>
    <t>Paul</t>
  </si>
  <si>
    <t>Stastny</t>
  </si>
  <si>
    <t>17934-14457</t>
  </si>
  <si>
    <t>Klingberg</t>
  </si>
  <si>
    <t>17934-8335</t>
  </si>
  <si>
    <t>Zetterberg</t>
  </si>
  <si>
    <t>17934-21648</t>
  </si>
  <si>
    <t>Torey</t>
  </si>
  <si>
    <t>Krug</t>
  </si>
  <si>
    <t>17934-8972</t>
  </si>
  <si>
    <t>Bozak</t>
  </si>
  <si>
    <t>17934-9124</t>
  </si>
  <si>
    <t>O'Reilly</t>
  </si>
  <si>
    <t>17934-11365</t>
  </si>
  <si>
    <t>Kevin</t>
  </si>
  <si>
    <t>Shattenkirk</t>
  </si>
  <si>
    <t>17934-9325</t>
  </si>
  <si>
    <t>Eaves</t>
  </si>
  <si>
    <t>17934-14473</t>
  </si>
  <si>
    <t>Jakob</t>
  </si>
  <si>
    <t>Silfverberg</t>
  </si>
  <si>
    <t>17934-8495</t>
  </si>
  <si>
    <t>Josh</t>
  </si>
  <si>
    <t>Bailey</t>
  </si>
  <si>
    <t>17934-12624</t>
  </si>
  <si>
    <t>Toffoli</t>
  </si>
  <si>
    <t>17934-9015</t>
  </si>
  <si>
    <t>Carlson</t>
  </si>
  <si>
    <t>17934-37968</t>
  </si>
  <si>
    <t>Marchessault</t>
  </si>
  <si>
    <t>17934-12411</t>
  </si>
  <si>
    <t>McDonagh</t>
  </si>
  <si>
    <t>17934-14565</t>
  </si>
  <si>
    <t>Mika</t>
  </si>
  <si>
    <t>Zibanejad</t>
  </si>
  <si>
    <t>17934-8583</t>
  </si>
  <si>
    <t>Radim</t>
  </si>
  <si>
    <t>Vrbata</t>
  </si>
  <si>
    <t>17934-58990</t>
  </si>
  <si>
    <t>Hayes</t>
  </si>
  <si>
    <t>17934-15306</t>
  </si>
  <si>
    <t>Brendan</t>
  </si>
  <si>
    <t>Gallagher</t>
  </si>
  <si>
    <t>Hand</t>
  </si>
  <si>
    <t>17934-8258</t>
  </si>
  <si>
    <t>Sharp</t>
  </si>
  <si>
    <t>17934-8294</t>
  </si>
  <si>
    <t>Derick</t>
  </si>
  <si>
    <t>Brassard</t>
  </si>
  <si>
    <t>17934-9321</t>
  </si>
  <si>
    <t>Tomas</t>
  </si>
  <si>
    <t>Tatar</t>
  </si>
  <si>
    <t>17934-8651</t>
  </si>
  <si>
    <t>Pietrangelo</t>
  </si>
  <si>
    <t>17934-59207</t>
  </si>
  <si>
    <t>Viktor</t>
  </si>
  <si>
    <t>Arvidsson</t>
  </si>
  <si>
    <t>17934-59276</t>
  </si>
  <si>
    <t>William</t>
  </si>
  <si>
    <t>Nylander</t>
  </si>
  <si>
    <t>17934-9107</t>
  </si>
  <si>
    <t>P.K.</t>
  </si>
  <si>
    <t>Subban</t>
  </si>
  <si>
    <t>17934-68640</t>
  </si>
  <si>
    <t>Zach</t>
  </si>
  <si>
    <t>Werenski</t>
  </si>
  <si>
    <t>17934-14697</t>
  </si>
  <si>
    <t>Gabriel</t>
  </si>
  <si>
    <t>Landeskog</t>
  </si>
  <si>
    <t>17934-21122</t>
  </si>
  <si>
    <t>Jaden</t>
  </si>
  <si>
    <t>Schwartz</t>
  </si>
  <si>
    <t>17934-12244</t>
  </si>
  <si>
    <t>Oliver</t>
  </si>
  <si>
    <t>Ekman-Larsson</t>
  </si>
  <si>
    <t>17934-8403</t>
  </si>
  <si>
    <t>Justin</t>
  </si>
  <si>
    <t>Williams</t>
  </si>
  <si>
    <t>17934-39238</t>
  </si>
  <si>
    <t>Lee</t>
  </si>
  <si>
    <t>17934-8643</t>
  </si>
  <si>
    <t>Backes</t>
  </si>
  <si>
    <t>17934-23228</t>
  </si>
  <si>
    <t>Schultz</t>
  </si>
  <si>
    <t>17934-42833</t>
  </si>
  <si>
    <t>Andre</t>
  </si>
  <si>
    <t>Burakovsky</t>
  </si>
  <si>
    <t>17934-39870</t>
  </si>
  <si>
    <t>Tanner</t>
  </si>
  <si>
    <t>Pearson</t>
  </si>
  <si>
    <t>17934-8176</t>
  </si>
  <si>
    <t>Krejci</t>
  </si>
  <si>
    <t>17934-8198</t>
  </si>
  <si>
    <t>Vanek</t>
  </si>
  <si>
    <t>17934-8322</t>
  </si>
  <si>
    <t>Loui</t>
  </si>
  <si>
    <t>Eriksson</t>
  </si>
  <si>
    <t>17934-8575</t>
  </si>
  <si>
    <t>Hanzal</t>
  </si>
  <si>
    <t>17934-8614</t>
  </si>
  <si>
    <t>Thornton</t>
  </si>
  <si>
    <t>17934-9079</t>
  </si>
  <si>
    <t>Keith</t>
  </si>
  <si>
    <t>Yandle</t>
  </si>
  <si>
    <t>17934-15277</t>
  </si>
  <si>
    <t>Phillip</t>
  </si>
  <si>
    <t>Danault</t>
  </si>
  <si>
    <t>17934-8259</t>
  </si>
  <si>
    <t>Ladd</t>
  </si>
  <si>
    <t>17934-55375</t>
  </si>
  <si>
    <t>Sam</t>
  </si>
  <si>
    <t>Reinhart</t>
  </si>
  <si>
    <t>17934-62788</t>
  </si>
  <si>
    <t>Dylan</t>
  </si>
  <si>
    <t>Larkin</t>
  </si>
  <si>
    <t>17934-41394</t>
  </si>
  <si>
    <t>Seth</t>
  </si>
  <si>
    <t>17934-8694</t>
  </si>
  <si>
    <t>17934-11170</t>
  </si>
  <si>
    <t>Leddy</t>
  </si>
  <si>
    <t>17934-8138</t>
  </si>
  <si>
    <t>Bobby</t>
  </si>
  <si>
    <t>17934-55607</t>
  </si>
  <si>
    <t>Ekblad</t>
  </si>
  <si>
    <t>17934-13982</t>
  </si>
  <si>
    <t>Gustav</t>
  </si>
  <si>
    <t>Nyquist</t>
  </si>
  <si>
    <t>17934-61246</t>
  </si>
  <si>
    <t>Colton</t>
  </si>
  <si>
    <t>Parayko</t>
  </si>
  <si>
    <t>17934-42993</t>
  </si>
  <si>
    <t>Rasmus</t>
  </si>
  <si>
    <t>Ristolainen</t>
  </si>
  <si>
    <t>17934-40036</t>
  </si>
  <si>
    <t>Hertl</t>
  </si>
  <si>
    <t>17934-8328</t>
  </si>
  <si>
    <t>Niskanen</t>
  </si>
  <si>
    <t>17934-13472</t>
  </si>
  <si>
    <t>Dmitry</t>
  </si>
  <si>
    <t>Orlov</t>
  </si>
  <si>
    <t>17934-14561</t>
  </si>
  <si>
    <t>Jaromir</t>
  </si>
  <si>
    <t>Jagr</t>
  </si>
  <si>
    <t>17934-8436</t>
  </si>
  <si>
    <t>Plekanec</t>
  </si>
  <si>
    <t>17934-8497</t>
  </si>
  <si>
    <t>Frans</t>
  </si>
  <si>
    <t>Nielsen</t>
  </si>
  <si>
    <t>17934-8522</t>
  </si>
  <si>
    <t>Marian</t>
  </si>
  <si>
    <t>Gaborik</t>
  </si>
  <si>
    <t>17934-8810</t>
  </si>
  <si>
    <t>Michael</t>
  </si>
  <si>
    <t>Grabner</t>
  </si>
  <si>
    <t>17934-41592</t>
  </si>
  <si>
    <t>Domi</t>
  </si>
  <si>
    <t>17934-8967</t>
  </si>
  <si>
    <t>Alec</t>
  </si>
  <si>
    <t>Martinez</t>
  </si>
  <si>
    <t>17934-11148</t>
  </si>
  <si>
    <t>Byron</t>
  </si>
  <si>
    <t>17934-8241</t>
  </si>
  <si>
    <t>Jussi</t>
  </si>
  <si>
    <t>Jokinen</t>
  </si>
  <si>
    <t>17934-43134</t>
  </si>
  <si>
    <t>Anthony</t>
  </si>
  <si>
    <t>Mantha</t>
  </si>
  <si>
    <t>17934-12460</t>
  </si>
  <si>
    <t>Fowler</t>
  </si>
  <si>
    <t>17934-8442</t>
  </si>
  <si>
    <t>Brian</t>
  </si>
  <si>
    <t>Gionta</t>
  </si>
  <si>
    <t>17934-8446</t>
  </si>
  <si>
    <t>Andrei</t>
  </si>
  <si>
    <t>Markov</t>
  </si>
  <si>
    <t>17934-8515</t>
  </si>
  <si>
    <t>Dubinsky</t>
  </si>
  <si>
    <t>17934-21897</t>
  </si>
  <si>
    <t>Brock</t>
  </si>
  <si>
    <t>Nelson</t>
  </si>
  <si>
    <t>17934-8598</t>
  </si>
  <si>
    <t>Kunitz</t>
  </si>
  <si>
    <t>17934-8640</t>
  </si>
  <si>
    <t>Perron</t>
  </si>
  <si>
    <t>17934-8647</t>
  </si>
  <si>
    <t>Johnson</t>
  </si>
  <si>
    <t>Leg</t>
  </si>
  <si>
    <t>17934-8726</t>
  </si>
  <si>
    <t>Green</t>
  </si>
  <si>
    <t>17934-8838</t>
  </si>
  <si>
    <t>Johnny</t>
  </si>
  <si>
    <t>Boychuk</t>
  </si>
  <si>
    <t>17934-13981</t>
  </si>
  <si>
    <t>Tyson</t>
  </si>
  <si>
    <t>Barrie</t>
  </si>
  <si>
    <t>Lower body</t>
  </si>
  <si>
    <t>17934-8932</t>
  </si>
  <si>
    <t>Zack</t>
  </si>
  <si>
    <t>17934-15251</t>
  </si>
  <si>
    <t>Boone</t>
  </si>
  <si>
    <t>Jenner</t>
  </si>
  <si>
    <t>17934-15287</t>
  </si>
  <si>
    <t>Jean-Gabriel</t>
  </si>
  <si>
    <t>Pageau</t>
  </si>
  <si>
    <t>17934-11201</t>
  </si>
  <si>
    <t>Petry</t>
  </si>
  <si>
    <t>17934-11204</t>
  </si>
  <si>
    <t>Muzzin</t>
  </si>
  <si>
    <t>17934-21689</t>
  </si>
  <si>
    <t>Reilly</t>
  </si>
  <si>
    <t>17934-12609</t>
  </si>
  <si>
    <t>Hyman</t>
  </si>
  <si>
    <t>17934-8535</t>
  </si>
  <si>
    <t>Fisher</t>
  </si>
  <si>
    <t>17934-42478</t>
  </si>
  <si>
    <t>Bo</t>
  </si>
  <si>
    <t>Horvat</t>
  </si>
  <si>
    <t>17934-12220</t>
  </si>
  <si>
    <t>Marcus</t>
  </si>
  <si>
    <t>Johansson</t>
  </si>
  <si>
    <t>17934-8201</t>
  </si>
  <si>
    <t>Clarke</t>
  </si>
  <si>
    <t>MacArthur</t>
  </si>
  <si>
    <t>Concussion</t>
  </si>
  <si>
    <t>17934-8228</t>
  </si>
  <si>
    <t>Dion</t>
  </si>
  <si>
    <t>Phaneuf</t>
  </si>
  <si>
    <t>17934-8237</t>
  </si>
  <si>
    <t>Sutter</t>
  </si>
  <si>
    <t>17934-8356</t>
  </si>
  <si>
    <t>Gagner</t>
  </si>
  <si>
    <t>17934-12667</t>
  </si>
  <si>
    <t>Spooner</t>
  </si>
  <si>
    <t>17934-23054</t>
  </si>
  <si>
    <t>Leo</t>
  </si>
  <si>
    <t>Komarov</t>
  </si>
  <si>
    <t>17934-9083</t>
  </si>
  <si>
    <t>Ellis</t>
  </si>
  <si>
    <t>17934-66511</t>
  </si>
  <si>
    <t>Ivan</t>
  </si>
  <si>
    <t>Provorov</t>
  </si>
  <si>
    <t>17934-15386</t>
  </si>
  <si>
    <t>Strome</t>
  </si>
  <si>
    <t>17934-8327</t>
  </si>
  <si>
    <t>Trevor</t>
  </si>
  <si>
    <t>Daley</t>
  </si>
  <si>
    <t>17934-66737</t>
  </si>
  <si>
    <t>Mikko</t>
  </si>
  <si>
    <t>Rantanen</t>
  </si>
  <si>
    <t>17934-54477</t>
  </si>
  <si>
    <t>Bryan</t>
  </si>
  <si>
    <t>Rust</t>
  </si>
  <si>
    <t>17934-54503</t>
  </si>
  <si>
    <t>Dzingel</t>
  </si>
  <si>
    <t>17934-39146</t>
  </si>
  <si>
    <t>Tobias</t>
  </si>
  <si>
    <t>Rieder</t>
  </si>
  <si>
    <t>17934-39249</t>
  </si>
  <si>
    <t>Bjugstad</t>
  </si>
  <si>
    <t>17934-8562</t>
  </si>
  <si>
    <t>Scott</t>
  </si>
  <si>
    <t>Hartnell</t>
  </si>
  <si>
    <t>17934-8628</t>
  </si>
  <si>
    <t>Marc-Edouard</t>
  </si>
  <si>
    <t>Vlasic</t>
  </si>
  <si>
    <t>17934-39464</t>
  </si>
  <si>
    <t>Hampus</t>
  </si>
  <si>
    <t>Lindholm</t>
  </si>
  <si>
    <t>17934-8811</t>
  </si>
  <si>
    <t>Jannik</t>
  </si>
  <si>
    <t>Hansen</t>
  </si>
  <si>
    <t>17934-70375</t>
  </si>
  <si>
    <t>Nikita</t>
  </si>
  <si>
    <t>Zaitsev</t>
  </si>
  <si>
    <t>17934-15270</t>
  </si>
  <si>
    <t>Sven</t>
  </si>
  <si>
    <t>Baertschi</t>
  </si>
  <si>
    <t>17934-43022</t>
  </si>
  <si>
    <t>Connor</t>
  </si>
  <si>
    <t>Brown</t>
  </si>
  <si>
    <t>17934-14456</t>
  </si>
  <si>
    <t>Mattias</t>
  </si>
  <si>
    <t>Ekholm</t>
  </si>
  <si>
    <t>17934-8464</t>
  </si>
  <si>
    <t>Colin</t>
  </si>
  <si>
    <t>Wilson</t>
  </si>
  <si>
    <t>17934-8611</t>
  </si>
  <si>
    <t>Goligoski</t>
  </si>
  <si>
    <t>17934-8791</t>
  </si>
  <si>
    <t>Moulson</t>
  </si>
  <si>
    <t>17934-15308</t>
  </si>
  <si>
    <t>Sean</t>
  </si>
  <si>
    <t>Couturier</t>
  </si>
  <si>
    <t>17934-66508</t>
  </si>
  <si>
    <t>Travis</t>
  </si>
  <si>
    <t>Konecny</t>
  </si>
  <si>
    <t>17934-37881</t>
  </si>
  <si>
    <t>Morgan</t>
  </si>
  <si>
    <t>Rielly</t>
  </si>
  <si>
    <t>17934-15357</t>
  </si>
  <si>
    <t>Carl</t>
  </si>
  <si>
    <t>Hagelin</t>
  </si>
  <si>
    <t>17934-43139</t>
  </si>
  <si>
    <t>Andreas</t>
  </si>
  <si>
    <t>Athanasiou</t>
  </si>
  <si>
    <t>17934-8357</t>
  </si>
  <si>
    <t>Cogliano</t>
  </si>
  <si>
    <t>17934-12494</t>
  </si>
  <si>
    <t>Jiri</t>
  </si>
  <si>
    <t>Hudler</t>
  </si>
  <si>
    <t>17934-8506</t>
  </si>
  <si>
    <t>Streit</t>
  </si>
  <si>
    <t>17934-23928</t>
  </si>
  <si>
    <t>Radek</t>
  </si>
  <si>
    <t>Faksa</t>
  </si>
  <si>
    <t>17934-8578</t>
  </si>
  <si>
    <t>Shane</t>
  </si>
  <si>
    <t>Doan</t>
  </si>
  <si>
    <t>17934-61860</t>
  </si>
  <si>
    <t>Ben</t>
  </si>
  <si>
    <t>17934-8709</t>
  </si>
  <si>
    <t>Edler</t>
  </si>
  <si>
    <t>17934-12952</t>
  </si>
  <si>
    <t>Gardiner</t>
  </si>
  <si>
    <t>17934-9006</t>
  </si>
  <si>
    <t>Ennis</t>
  </si>
  <si>
    <t>17934-11122</t>
  </si>
  <si>
    <t>Bonino</t>
  </si>
  <si>
    <t>17934-15239</t>
  </si>
  <si>
    <t>17934-8186</t>
  </si>
  <si>
    <t>Zdeno</t>
  </si>
  <si>
    <t>Chara</t>
  </si>
  <si>
    <t>17934-39990</t>
  </si>
  <si>
    <t>17934-8295</t>
  </si>
  <si>
    <t>Vermette</t>
  </si>
  <si>
    <t>17934-61549</t>
  </si>
  <si>
    <t>Frank</t>
  </si>
  <si>
    <t>Vatrano</t>
  </si>
  <si>
    <t>17934-14474</t>
  </si>
  <si>
    <t>Sami</t>
  </si>
  <si>
    <t>Vatanen</t>
  </si>
  <si>
    <t>17934-54521</t>
  </si>
  <si>
    <t>Shayne</t>
  </si>
  <si>
    <t>Gostisbehere</t>
  </si>
  <si>
    <t>17934-70169</t>
  </si>
  <si>
    <t>Troy</t>
  </si>
  <si>
    <t>Stecher</t>
  </si>
  <si>
    <t>17934-61245</t>
  </si>
  <si>
    <t>Devin</t>
  </si>
  <si>
    <t>Shore</t>
  </si>
  <si>
    <t>17934-70513</t>
  </si>
  <si>
    <t>Pavel</t>
  </si>
  <si>
    <t>Buchnevich</t>
  </si>
  <si>
    <t>17934-73826</t>
  </si>
  <si>
    <t>Vesey</t>
  </si>
  <si>
    <t>17934-8402</t>
  </si>
  <si>
    <t>17934-39264</t>
  </si>
  <si>
    <t>Forbort</t>
  </si>
  <si>
    <t>17934-8674</t>
  </si>
  <si>
    <t>Mikhail</t>
  </si>
  <si>
    <t>Grabovski</t>
  </si>
  <si>
    <t>17934-10842</t>
  </si>
  <si>
    <t>Holden</t>
  </si>
  <si>
    <t>17934-12289</t>
  </si>
  <si>
    <t>Jori</t>
  </si>
  <si>
    <t>Lehtera</t>
  </si>
  <si>
    <t>17934-8222</t>
  </si>
  <si>
    <t>Jarome</t>
  </si>
  <si>
    <t>Iginla</t>
  </si>
  <si>
    <t>17934-9270</t>
  </si>
  <si>
    <t>Demers</t>
  </si>
  <si>
    <t>17934-8341</t>
  </si>
  <si>
    <t>Abdelkader</t>
  </si>
  <si>
    <t>17934-8348</t>
  </si>
  <si>
    <t>Niklas</t>
  </si>
  <si>
    <t>Kronwall</t>
  </si>
  <si>
    <t>17934-43196</t>
  </si>
  <si>
    <t>Alan</t>
  </si>
  <si>
    <t>Quine</t>
  </si>
  <si>
    <t>17934-8397</t>
  </si>
  <si>
    <t>Richardson</t>
  </si>
  <si>
    <t>17934-8584</t>
  </si>
  <si>
    <t>Mikkel</t>
  </si>
  <si>
    <t>Boedker</t>
  </si>
  <si>
    <t>17934-8956</t>
  </si>
  <si>
    <t>17934-42772</t>
  </si>
  <si>
    <t>17934-9036</t>
  </si>
  <si>
    <t>Hamonic</t>
  </si>
  <si>
    <t>17934-15281</t>
  </si>
  <si>
    <t>Shaw</t>
  </si>
  <si>
    <t>17934-11254</t>
  </si>
  <si>
    <t>Ian</t>
  </si>
  <si>
    <t>Cole</t>
  </si>
  <si>
    <t>17934-66606</t>
  </si>
  <si>
    <t>Carlo</t>
  </si>
  <si>
    <t>17934-39145</t>
  </si>
  <si>
    <t>Danny</t>
  </si>
  <si>
    <t>DeKeyser</t>
  </si>
  <si>
    <t>17934-12613</t>
  </si>
  <si>
    <t>Radko</t>
  </si>
  <si>
    <t>Gudas</t>
  </si>
  <si>
    <t>17934-39295</t>
  </si>
  <si>
    <t>Soderberg</t>
  </si>
  <si>
    <t>17934-8636</t>
  </si>
  <si>
    <t>Patrik</t>
  </si>
  <si>
    <t>Berglund</t>
  </si>
  <si>
    <t>17934-58928</t>
  </si>
  <si>
    <t>DeAngelo</t>
  </si>
  <si>
    <t>17934-59117</t>
  </si>
  <si>
    <t>Ritchie</t>
  </si>
  <si>
    <t>17934-62277</t>
  </si>
  <si>
    <t>Matheson</t>
  </si>
  <si>
    <t>17934-62294</t>
  </si>
  <si>
    <t>Brady</t>
  </si>
  <si>
    <t>Skjei</t>
  </si>
  <si>
    <t>17934-9058</t>
  </si>
  <si>
    <t>Beleskey</t>
  </si>
  <si>
    <t>17934-11150</t>
  </si>
  <si>
    <t>17934-70571</t>
  </si>
  <si>
    <t>Guentzel</t>
  </si>
  <si>
    <t>17934-42994</t>
  </si>
  <si>
    <t>Zadorov</t>
  </si>
  <si>
    <t>17934-11284</t>
  </si>
  <si>
    <t>Cody</t>
  </si>
  <si>
    <t>Eakin</t>
  </si>
  <si>
    <t>17934-54575</t>
  </si>
  <si>
    <t>Esa</t>
  </si>
  <si>
    <t>Lindell</t>
  </si>
  <si>
    <t>17934-62783</t>
  </si>
  <si>
    <t>Donskoi</t>
  </si>
  <si>
    <t>17934-39356</t>
  </si>
  <si>
    <t>Markus</t>
  </si>
  <si>
    <t>Granlund</t>
  </si>
  <si>
    <t>17934-8687</t>
  </si>
  <si>
    <t>Francois</t>
  </si>
  <si>
    <t>Beauchemin</t>
  </si>
  <si>
    <t>17934-54867</t>
  </si>
  <si>
    <t>Melker</t>
  </si>
  <si>
    <t>17934-23286</t>
  </si>
  <si>
    <t>17934-8992</t>
  </si>
  <si>
    <t>Sceviour</t>
  </si>
  <si>
    <t>17934-9040</t>
  </si>
  <si>
    <t>de Haan</t>
  </si>
  <si>
    <t>17934-15333</t>
  </si>
  <si>
    <t>Roussel</t>
  </si>
  <si>
    <t>17934-37883</t>
  </si>
  <si>
    <t>Ceci</t>
  </si>
  <si>
    <t>17934-8218</t>
  </si>
  <si>
    <t>Rene</t>
  </si>
  <si>
    <t>Bourque</t>
  </si>
  <si>
    <t>17934-8226</t>
  </si>
  <si>
    <t>Jay</t>
  </si>
  <si>
    <t>Bouwmeester</t>
  </si>
  <si>
    <t>17934-8391</t>
  </si>
  <si>
    <t>Dennis</t>
  </si>
  <si>
    <t>Seidenberg</t>
  </si>
  <si>
    <t>17934-70914</t>
  </si>
  <si>
    <t>Chychrun</t>
  </si>
  <si>
    <t>17934-8459</t>
  </si>
  <si>
    <t>Joel</t>
  </si>
  <si>
    <t>Ward</t>
  </si>
  <si>
    <t>17934-8470</t>
  </si>
  <si>
    <t>Franson</t>
  </si>
  <si>
    <t>17934-8486</t>
  </si>
  <si>
    <t>17934-8503</t>
  </si>
  <si>
    <t>Blake</t>
  </si>
  <si>
    <t>Comeau</t>
  </si>
  <si>
    <t>17934-39235</t>
  </si>
  <si>
    <t>Tierney</t>
  </si>
  <si>
    <t>17934-8531</t>
  </si>
  <si>
    <t>Del Zotto</t>
  </si>
  <si>
    <t>17934-21926</t>
  </si>
  <si>
    <t>Dumoulin</t>
  </si>
  <si>
    <t>17934-8684</t>
  </si>
  <si>
    <t>Nikolay</t>
  </si>
  <si>
    <t>Kulemin</t>
  </si>
  <si>
    <t>17934-23061</t>
  </si>
  <si>
    <t>Calle</t>
  </si>
  <si>
    <t>Jarnkrok</t>
  </si>
  <si>
    <t>17934-13932</t>
  </si>
  <si>
    <t>Read</t>
  </si>
  <si>
    <t>17934-70483</t>
  </si>
  <si>
    <t>Artturi</t>
  </si>
  <si>
    <t>Lehkonen</t>
  </si>
  <si>
    <t>17934-15302</t>
  </si>
  <si>
    <t>Beaulieu</t>
  </si>
  <si>
    <t>17934-12291</t>
  </si>
  <si>
    <t>Christopher</t>
  </si>
  <si>
    <t>Tanev</t>
  </si>
  <si>
    <t>17934-43014</t>
  </si>
  <si>
    <t>Carrier</t>
  </si>
  <si>
    <t>17934-12299</t>
  </si>
  <si>
    <t>Savard</t>
  </si>
  <si>
    <t>Back</t>
  </si>
  <si>
    <t>17934-40039</t>
  </si>
  <si>
    <t>Raffl</t>
  </si>
  <si>
    <t>17934-8311</t>
  </si>
  <si>
    <t>Marc</t>
  </si>
  <si>
    <t>Methot</t>
  </si>
  <si>
    <t>17934-11387</t>
  </si>
  <si>
    <t>Irwin</t>
  </si>
  <si>
    <t>17934-21690</t>
  </si>
  <si>
    <t>Wideman</t>
  </si>
  <si>
    <t>17934-54481</t>
  </si>
  <si>
    <t>McCabe</t>
  </si>
  <si>
    <t>17934-54482</t>
  </si>
  <si>
    <t>Stephen</t>
  </si>
  <si>
    <t>Johns</t>
  </si>
  <si>
    <t>17934-8410</t>
  </si>
  <si>
    <t>17934-8411</t>
  </si>
  <si>
    <t>Hickey</t>
  </si>
  <si>
    <t>17934-12682</t>
  </si>
  <si>
    <t>Pirri</t>
  </si>
  <si>
    <t>17934-23222</t>
  </si>
  <si>
    <t>Zemgus</t>
  </si>
  <si>
    <t>Girgensons</t>
  </si>
  <si>
    <t>17934-39643</t>
  </si>
  <si>
    <t>Nesterov</t>
  </si>
  <si>
    <t>17934-59120</t>
  </si>
  <si>
    <t>Christian</t>
  </si>
  <si>
    <t>Dvorak</t>
  </si>
  <si>
    <t>17934-14151</t>
  </si>
  <si>
    <t>Austin</t>
  </si>
  <si>
    <t>Watson</t>
  </si>
  <si>
    <t>17934-42844</t>
  </si>
  <si>
    <t>Carrick</t>
  </si>
  <si>
    <t>17934-14184</t>
  </si>
  <si>
    <t>Marincin</t>
  </si>
  <si>
    <t>17934-9074</t>
  </si>
  <si>
    <t>Schlemko</t>
  </si>
  <si>
    <t>17934-15289</t>
  </si>
  <si>
    <t>Puempel</t>
  </si>
  <si>
    <t>17934-12259</t>
  </si>
  <si>
    <t>17934-43008</t>
  </si>
  <si>
    <t>Jordan</t>
  </si>
  <si>
    <t>Martinook</t>
  </si>
  <si>
    <t>17934-15380</t>
  </si>
  <si>
    <t>Jordie</t>
  </si>
  <si>
    <t>17934-15395</t>
  </si>
  <si>
    <t>Brett</t>
  </si>
  <si>
    <t>17934-8300</t>
  </si>
  <si>
    <t>Chimera</t>
  </si>
  <si>
    <t>17934-14451</t>
  </si>
  <si>
    <t>Oscar</t>
  </si>
  <si>
    <t>Lindberg</t>
  </si>
  <si>
    <t>17934-8314</t>
  </si>
  <si>
    <t>Ribeiro</t>
  </si>
  <si>
    <t>17934-14481</t>
  </si>
  <si>
    <t>Alexei</t>
  </si>
  <si>
    <t>Emelin</t>
  </si>
  <si>
    <t>17934-21651</t>
  </si>
  <si>
    <t>Sproul</t>
  </si>
  <si>
    <t>17934-8340</t>
  </si>
  <si>
    <t>Darren</t>
  </si>
  <si>
    <t>Helm</t>
  </si>
  <si>
    <t>17934-8430</t>
  </si>
  <si>
    <t>17934-12611</t>
  </si>
  <si>
    <t>Petrovic</t>
  </si>
  <si>
    <t>17934-39271</t>
  </si>
  <si>
    <t>Griffith</t>
  </si>
  <si>
    <t>17934-12793</t>
  </si>
  <si>
    <t>McNabb</t>
  </si>
  <si>
    <t>17934-8703</t>
  </si>
  <si>
    <t>Alexandre</t>
  </si>
  <si>
    <t>Burrows</t>
  </si>
  <si>
    <t>17934-23069</t>
  </si>
  <si>
    <t>Adam</t>
  </si>
  <si>
    <t>Clendening</t>
  </si>
  <si>
    <t>17934-58974</t>
  </si>
  <si>
    <t>Julius</t>
  </si>
  <si>
    <t>Honka</t>
  </si>
  <si>
    <t>17934-8878</t>
  </si>
  <si>
    <t>Kulikov</t>
  </si>
  <si>
    <t>17934-59118</t>
  </si>
  <si>
    <t>Perlini</t>
  </si>
  <si>
    <t>17934-8966</t>
  </si>
  <si>
    <t>Lewis</t>
  </si>
  <si>
    <t>17934-9990</t>
  </si>
  <si>
    <t>Lars</t>
  </si>
  <si>
    <t>Eller</t>
  </si>
  <si>
    <t>17934-14149</t>
  </si>
  <si>
    <t>17934-9033</t>
  </si>
  <si>
    <t>Casey</t>
  </si>
  <si>
    <t>Cizikas</t>
  </si>
  <si>
    <t>17934-9061</t>
  </si>
  <si>
    <t>Holland</t>
  </si>
  <si>
    <t>17934-9066</t>
  </si>
  <si>
    <t>Luca</t>
  </si>
  <si>
    <t>Sbisa</t>
  </si>
  <si>
    <t>17934-42862</t>
  </si>
  <si>
    <t>Olli</t>
  </si>
  <si>
    <t>Maatta</t>
  </si>
  <si>
    <t>17934-9073</t>
  </si>
  <si>
    <t>Lauri</t>
  </si>
  <si>
    <t>Korpikoski</t>
  </si>
  <si>
    <t>17934-9104</t>
  </si>
  <si>
    <t>Desharnais</t>
  </si>
  <si>
    <t>17934-15252</t>
  </si>
  <si>
    <t>Lukas</t>
  </si>
  <si>
    <t>Sedlak</t>
  </si>
  <si>
    <t>17934-54194</t>
  </si>
  <si>
    <t>Manson</t>
  </si>
  <si>
    <t>17934-15288</t>
  </si>
  <si>
    <t>Prince</t>
  </si>
  <si>
    <t>17934-8169</t>
  </si>
  <si>
    <t>Bogosian</t>
  </si>
  <si>
    <t>Abdomen</t>
  </si>
  <si>
    <t>17934-15340</t>
  </si>
  <si>
    <t>Edmundson</t>
  </si>
  <si>
    <t>17934-9203</t>
  </si>
  <si>
    <t>Tom</t>
  </si>
  <si>
    <t>Pyatt</t>
  </si>
  <si>
    <t>17934-15374</t>
  </si>
  <si>
    <t>Harrington</t>
  </si>
  <si>
    <t>17934-11303</t>
  </si>
  <si>
    <t>Wiercioch</t>
  </si>
  <si>
    <t>17934-15401</t>
  </si>
  <si>
    <t>Kevan</t>
  </si>
  <si>
    <t>17934-43093</t>
  </si>
  <si>
    <t>Theodore</t>
  </si>
  <si>
    <t>17934-8288</t>
  </si>
  <si>
    <t>John-Michael</t>
  </si>
  <si>
    <t>Liles</t>
  </si>
  <si>
    <t>17934-14462</t>
  </si>
  <si>
    <t>Johan</t>
  </si>
  <si>
    <t>Larsson</t>
  </si>
  <si>
    <t>Wrist</t>
  </si>
  <si>
    <t>17934-66686</t>
  </si>
  <si>
    <t>Beauvillier</t>
  </si>
  <si>
    <t>17934-11410</t>
  </si>
  <si>
    <t>Braun</t>
  </si>
  <si>
    <t>17934-21650</t>
  </si>
  <si>
    <t>Xavier</t>
  </si>
  <si>
    <t>Ouellet</t>
  </si>
  <si>
    <t>17934-66709</t>
  </si>
  <si>
    <t>McCann</t>
  </si>
  <si>
    <t>17934-12438</t>
  </si>
  <si>
    <t>Riley</t>
  </si>
  <si>
    <t>17934-54478</t>
  </si>
  <si>
    <t>Nic</t>
  </si>
  <si>
    <t>Dowd</t>
  </si>
  <si>
    <t>17934-8425</t>
  </si>
  <si>
    <t>Cal</t>
  </si>
  <si>
    <t>Clutterbuck</t>
  </si>
  <si>
    <t>17934-73963</t>
  </si>
  <si>
    <t>A.J.</t>
  </si>
  <si>
    <t>Greer</t>
  </si>
  <si>
    <t>17934-8469</t>
  </si>
  <si>
    <t>Klein</t>
  </si>
  <si>
    <t>17934-8487</t>
  </si>
  <si>
    <t>Oduya</t>
  </si>
  <si>
    <t>17934-13629</t>
  </si>
  <si>
    <t>Taylor</t>
  </si>
  <si>
    <t>Fedun</t>
  </si>
  <si>
    <t>17934-39234</t>
  </si>
  <si>
    <t>Nieto</t>
  </si>
  <si>
    <t>17934-12646</t>
  </si>
  <si>
    <t>Burmistrov</t>
  </si>
  <si>
    <t>17934-21936</t>
  </si>
  <si>
    <t>DeMelo</t>
  </si>
  <si>
    <t>17934-8711</t>
  </si>
  <si>
    <t>Bieksa</t>
  </si>
  <si>
    <t>17934-58891</t>
  </si>
  <si>
    <t>Labanc</t>
  </si>
  <si>
    <t>17934-58985</t>
  </si>
  <si>
    <t>Vrana</t>
  </si>
  <si>
    <t>17934-53866</t>
  </si>
  <si>
    <t>Pelech</t>
  </si>
  <si>
    <t>17934-8827</t>
  </si>
  <si>
    <t>MacDonald</t>
  </si>
  <si>
    <t>17934-42705</t>
  </si>
  <si>
    <t>Sissons</t>
  </si>
  <si>
    <t>17934-8965</t>
  </si>
  <si>
    <t>Dwight</t>
  </si>
  <si>
    <t>King</t>
  </si>
  <si>
    <t>17934-42791</t>
  </si>
  <si>
    <t>Andrighetto</t>
  </si>
  <si>
    <t>17934-9014</t>
  </si>
  <si>
    <t>Beagle</t>
  </si>
  <si>
    <t>17934-59208</t>
  </si>
  <si>
    <t>Fiala</t>
  </si>
  <si>
    <t>17934-11225</t>
  </si>
  <si>
    <t>Dale</t>
  </si>
  <si>
    <t>Weise</t>
  </si>
  <si>
    <t>17934-68608</t>
  </si>
  <si>
    <t>Tryamkin</t>
  </si>
  <si>
    <t>17934-43011</t>
  </si>
  <si>
    <t>Laurent</t>
  </si>
  <si>
    <t>Dauphin</t>
  </si>
  <si>
    <t>17934-11293</t>
  </si>
  <si>
    <t>Colborne</t>
  </si>
  <si>
    <t>17934-8236</t>
  </si>
  <si>
    <t>Cullen</t>
  </si>
  <si>
    <t>17934-8309</t>
  </si>
  <si>
    <t>Fedor</t>
  </si>
  <si>
    <t>Tyutin</t>
  </si>
  <si>
    <t>17934-66685</t>
  </si>
  <si>
    <t>Mathew</t>
  </si>
  <si>
    <t>Barzal</t>
  </si>
  <si>
    <t>17934-43133</t>
  </si>
  <si>
    <t>Luke</t>
  </si>
  <si>
    <t>Glendening</t>
  </si>
  <si>
    <t>17934-66690</t>
  </si>
  <si>
    <t>Timo</t>
  </si>
  <si>
    <t>Meier</t>
  </si>
  <si>
    <t>17934-12447</t>
  </si>
  <si>
    <t>Gudbranson</t>
  </si>
  <si>
    <t>17934-21687</t>
  </si>
  <si>
    <t>Greg</t>
  </si>
  <si>
    <t>Pateryn</t>
  </si>
  <si>
    <t>17934-70907</t>
  </si>
  <si>
    <t>Sergachev</t>
  </si>
  <si>
    <t>17934-73981</t>
  </si>
  <si>
    <t>Denis</t>
  </si>
  <si>
    <t>Malgin</t>
  </si>
  <si>
    <t>17934-62724</t>
  </si>
  <si>
    <t>Martinsen</t>
  </si>
  <si>
    <t>17934-8468</t>
  </si>
  <si>
    <t>Dan</t>
  </si>
  <si>
    <t>Hamhuis</t>
  </si>
  <si>
    <t>17934-39242</t>
  </si>
  <si>
    <t>Tim</t>
  </si>
  <si>
    <t>Schaller</t>
  </si>
  <si>
    <t>17934-39243</t>
  </si>
  <si>
    <t>Nate</t>
  </si>
  <si>
    <t>Schmidt</t>
  </si>
  <si>
    <t>17934-8526</t>
  </si>
  <si>
    <t>Girardi</t>
  </si>
  <si>
    <t>17934-8580</t>
  </si>
  <si>
    <t>Winnik</t>
  </si>
  <si>
    <t>17934-39309</t>
  </si>
  <si>
    <t>Chad</t>
  </si>
  <si>
    <t>Ruhwedel</t>
  </si>
  <si>
    <t>17934-21921</t>
  </si>
  <si>
    <t>Sheahan</t>
  </si>
  <si>
    <t>17934-8616</t>
  </si>
  <si>
    <t>Torrey</t>
  </si>
  <si>
    <t>17934-21935</t>
  </si>
  <si>
    <t>Murphy</t>
  </si>
  <si>
    <t>17934-12738</t>
  </si>
  <si>
    <t>Nolan</t>
  </si>
  <si>
    <t>17934-8688</t>
  </si>
  <si>
    <t>17934-8731</t>
  </si>
  <si>
    <t>Karl</t>
  </si>
  <si>
    <t>Alzner</t>
  </si>
  <si>
    <t>17934-8841</t>
  </si>
  <si>
    <t>McQuaid</t>
  </si>
  <si>
    <t>17934-54951</t>
  </si>
  <si>
    <t>Pierre-Edouard</t>
  </si>
  <si>
    <t>Bellemare</t>
  </si>
  <si>
    <t>17934-23226</t>
  </si>
  <si>
    <t>17934-70416</t>
  </si>
  <si>
    <t>Nutivaara</t>
  </si>
  <si>
    <t>17934-8990</t>
  </si>
  <si>
    <t>Philip</t>
  </si>
  <si>
    <t>Larsen</t>
  </si>
  <si>
    <t>17934-39710</t>
  </si>
  <si>
    <t>Jensen</t>
  </si>
  <si>
    <t>17934-9043</t>
  </si>
  <si>
    <t>Kindl</t>
  </si>
  <si>
    <t>17934-70565</t>
  </si>
  <si>
    <t>17934-42924</t>
  </si>
  <si>
    <t>17934-15293</t>
  </si>
  <si>
    <t>Oleksiak</t>
  </si>
  <si>
    <t>17934-12288</t>
  </si>
  <si>
    <t>Tommy</t>
  </si>
  <si>
    <t>Wingels</t>
  </si>
  <si>
    <t>17934-15369</t>
  </si>
  <si>
    <t>Reid</t>
  </si>
  <si>
    <t>Boucher</t>
  </si>
  <si>
    <t>17934-43024</t>
  </si>
  <si>
    <t>Gauthier</t>
  </si>
  <si>
    <t>17934-11296</t>
  </si>
  <si>
    <t>Olver</t>
  </si>
  <si>
    <t>17934-15398</t>
  </si>
  <si>
    <t>Manning</t>
  </si>
  <si>
    <t>17934-68649</t>
  </si>
  <si>
    <t>Rob</t>
  </si>
  <si>
    <t>O'Gara</t>
  </si>
  <si>
    <t>17934-66611</t>
  </si>
  <si>
    <t>Lawson</t>
  </si>
  <si>
    <t>Crouse</t>
  </si>
  <si>
    <t>17934-68658</t>
  </si>
  <si>
    <t>O'Regan</t>
  </si>
  <si>
    <t>17934-9275</t>
  </si>
  <si>
    <t>Clifford</t>
  </si>
  <si>
    <t>17934-66620</t>
  </si>
  <si>
    <t>Fischer</t>
  </si>
  <si>
    <t>17934-9299</t>
  </si>
  <si>
    <t>Skille</t>
  </si>
  <si>
    <t>17934-13406</t>
  </si>
  <si>
    <t>Brenden</t>
  </si>
  <si>
    <t>Dillon</t>
  </si>
  <si>
    <t>17934-43120</t>
  </si>
  <si>
    <t>Duclair</t>
  </si>
  <si>
    <t>17934-8305</t>
  </si>
  <si>
    <t>Dorsett</t>
  </si>
  <si>
    <t>Neck</t>
  </si>
  <si>
    <t>17934-9330</t>
  </si>
  <si>
    <t>Yannick</t>
  </si>
  <si>
    <t>17934-12449</t>
  </si>
  <si>
    <t>Connolly</t>
  </si>
  <si>
    <t>17934-9393</t>
  </si>
  <si>
    <t>Eric</t>
  </si>
  <si>
    <t>Fehr</t>
  </si>
  <si>
    <t>17934-39105</t>
  </si>
  <si>
    <t>Kenny</t>
  </si>
  <si>
    <t>Agostino</t>
  </si>
  <si>
    <t>17934-73932</t>
  </si>
  <si>
    <t>Lyubimov</t>
  </si>
  <si>
    <t>17934-8400</t>
  </si>
  <si>
    <t>Teddy</t>
  </si>
  <si>
    <t>Purcell</t>
  </si>
  <si>
    <t>17934-8409</t>
  </si>
  <si>
    <t>Greene</t>
  </si>
  <si>
    <t>17934-8417</t>
  </si>
  <si>
    <t>Brodziak</t>
  </si>
  <si>
    <t>Foot</t>
  </si>
  <si>
    <t>17934-21729</t>
  </si>
  <si>
    <t>Flynn</t>
  </si>
  <si>
    <t>17934-54528</t>
  </si>
  <si>
    <t>Carr</t>
  </si>
  <si>
    <t>17934-62723</t>
  </si>
  <si>
    <t>Ondrej</t>
  </si>
  <si>
    <t>Kase</t>
  </si>
  <si>
    <t>17934-39248</t>
  </si>
  <si>
    <t>Dmitrij</t>
  </si>
  <si>
    <t>Jaskin</t>
  </si>
  <si>
    <t>17934-8536</t>
  </si>
  <si>
    <t>Kelly</t>
  </si>
  <si>
    <t>17934-39261</t>
  </si>
  <si>
    <t>Mayfield</t>
  </si>
  <si>
    <t>17934-8579</t>
  </si>
  <si>
    <t>Scottie</t>
  </si>
  <si>
    <t>Upshall</t>
  </si>
  <si>
    <t>17934-39311</t>
  </si>
  <si>
    <t>17934-12696</t>
  </si>
  <si>
    <t>Stanislav</t>
  </si>
  <si>
    <t>Galiev</t>
  </si>
  <si>
    <t>17934-8607</t>
  </si>
  <si>
    <t>Brooks</t>
  </si>
  <si>
    <t>Orpik</t>
  </si>
  <si>
    <t>17934-8620</t>
  </si>
  <si>
    <t>McGinn</t>
  </si>
  <si>
    <t>17934-13743</t>
  </si>
  <si>
    <t>Borowiecki</t>
  </si>
  <si>
    <t>17934-12732</t>
  </si>
  <si>
    <t>Sgarbossa</t>
  </si>
  <si>
    <t>17934-12744</t>
  </si>
  <si>
    <t>Pysyk</t>
  </si>
  <si>
    <t>17934-58879</t>
  </si>
  <si>
    <t>17934-23053</t>
  </si>
  <si>
    <t>Jesper</t>
  </si>
  <si>
    <t>Fast</t>
  </si>
  <si>
    <t>17934-8746</t>
  </si>
  <si>
    <t>Calvert</t>
  </si>
  <si>
    <t>17934-8759</t>
  </si>
  <si>
    <t>MacKenzie</t>
  </si>
  <si>
    <t>17934-8764</t>
  </si>
  <si>
    <t>Gunnarsson</t>
  </si>
  <si>
    <t>17934-62019</t>
  </si>
  <si>
    <t>Soshnikov</t>
  </si>
  <si>
    <t>17934-8849</t>
  </si>
  <si>
    <t>Simon</t>
  </si>
  <si>
    <t>Despres</t>
  </si>
  <si>
    <t>Head</t>
  </si>
  <si>
    <t>17934-23224</t>
  </si>
  <si>
    <t>Grigorenko</t>
  </si>
  <si>
    <t>17934-8923</t>
  </si>
  <si>
    <t>Chorney</t>
  </si>
  <si>
    <t>17934-39677</t>
  </si>
  <si>
    <t>Gaunce</t>
  </si>
  <si>
    <t>17934-62254</t>
  </si>
  <si>
    <t>Rau</t>
  </si>
  <si>
    <t>17934-12121</t>
  </si>
  <si>
    <t>Goloubef</t>
  </si>
  <si>
    <t>17934-42860</t>
  </si>
  <si>
    <t>Lazar</t>
  </si>
  <si>
    <t>17934-15259</t>
  </si>
  <si>
    <t>Corrado</t>
  </si>
  <si>
    <t>17934-15307</t>
  </si>
  <si>
    <t>Cousins</t>
  </si>
  <si>
    <t>17934-42970</t>
  </si>
  <si>
    <t>Jooris</t>
  </si>
  <si>
    <t>17934-62442</t>
  </si>
  <si>
    <t>Hannikainen</t>
  </si>
  <si>
    <t>17934-62443</t>
  </si>
  <si>
    <t>Jaycob</t>
  </si>
  <si>
    <t>Megna</t>
  </si>
  <si>
    <t>17934-12280</t>
  </si>
  <si>
    <t>Magnus</t>
  </si>
  <si>
    <t>Paajarvi</t>
  </si>
  <si>
    <t>17934-8191</t>
  </si>
  <si>
    <t>Hunwick</t>
  </si>
  <si>
    <t>17934-12294</t>
  </si>
  <si>
    <t>Rodin</t>
  </si>
  <si>
    <t>17934-37894</t>
  </si>
  <si>
    <t>Jayson</t>
  </si>
  <si>
    <t>17934-59413</t>
  </si>
  <si>
    <t>Virtanen</t>
  </si>
  <si>
    <t>17934-8320</t>
  </si>
  <si>
    <t>Ott</t>
  </si>
  <si>
    <t>17934-14480</t>
  </si>
  <si>
    <t>Nicolas</t>
  </si>
  <si>
    <t>Deslauriers</t>
  </si>
  <si>
    <t>17934-9390</t>
  </si>
  <si>
    <t>Dominic</t>
  </si>
  <si>
    <t>Moore</t>
  </si>
  <si>
    <t>17934-43200</t>
  </si>
  <si>
    <t>Pulock</t>
  </si>
  <si>
    <t>17934-21732</t>
  </si>
  <si>
    <t>Bitetto</t>
  </si>
  <si>
    <t>17934-8451</t>
  </si>
  <si>
    <t>Gorges</t>
  </si>
  <si>
    <t>17934-8528</t>
  </si>
  <si>
    <t>Staal</t>
  </si>
  <si>
    <t>17934-12630</t>
  </si>
  <si>
    <t>Chaput</t>
  </si>
  <si>
    <t>17934-62826</t>
  </si>
  <si>
    <t>Blidh</t>
  </si>
  <si>
    <t>17934-8576</t>
  </si>
  <si>
    <t>Vernon</t>
  </si>
  <si>
    <t>Fiddler</t>
  </si>
  <si>
    <t>17934-12672</t>
  </si>
  <si>
    <t>McKegg</t>
  </si>
  <si>
    <t>17934-62858</t>
  </si>
  <si>
    <t>Dean</t>
  </si>
  <si>
    <t>Kukan</t>
  </si>
  <si>
    <t>17934-61859</t>
  </si>
  <si>
    <t>Montour</t>
  </si>
  <si>
    <t>17934-8622</t>
  </si>
  <si>
    <t>Setoguchi</t>
  </si>
  <si>
    <t>17934-8650</t>
  </si>
  <si>
    <t>Polak</t>
  </si>
  <si>
    <t>17934-39395</t>
  </si>
  <si>
    <t>17934-8676</t>
  </si>
  <si>
    <t>17934-8758</t>
  </si>
  <si>
    <t>Blunden</t>
  </si>
  <si>
    <t>17934-13913</t>
  </si>
  <si>
    <t>Kuhnhackl</t>
  </si>
  <si>
    <t>17934-10886</t>
  </si>
  <si>
    <t>17934-42636</t>
  </si>
  <si>
    <t>Bigras</t>
  </si>
  <si>
    <t>17934-8847</t>
  </si>
  <si>
    <t>Robert</t>
  </si>
  <si>
    <t>Bortuzzo</t>
  </si>
  <si>
    <t>17934-10924</t>
  </si>
  <si>
    <t>Cracknell</t>
  </si>
  <si>
    <t>17934-8895</t>
  </si>
  <si>
    <t>Falk</t>
  </si>
  <si>
    <t>17934-42786</t>
  </si>
  <si>
    <t>Dowling</t>
  </si>
  <si>
    <t>17934-12094</t>
  </si>
  <si>
    <t>Connauton</t>
  </si>
  <si>
    <t>17934-62276</t>
  </si>
  <si>
    <t>Czarnik</t>
  </si>
  <si>
    <t>17934-42863</t>
  </si>
  <si>
    <t>Derrick</t>
  </si>
  <si>
    <t>Pouliot</t>
  </si>
  <si>
    <t>17934-14217</t>
  </si>
  <si>
    <t>Nemeth</t>
  </si>
  <si>
    <t>17934-15255</t>
  </si>
  <si>
    <t>Leivo</t>
  </si>
  <si>
    <t>17934-42908</t>
  </si>
  <si>
    <t>Hunt</t>
  </si>
  <si>
    <t>17934-15267</t>
  </si>
  <si>
    <t>Joseph</t>
  </si>
  <si>
    <t>Cramarossa</t>
  </si>
  <si>
    <t>17934-9158</t>
  </si>
  <si>
    <t>Clayton</t>
  </si>
  <si>
    <t>Stoner</t>
  </si>
  <si>
    <t>17934-12241</t>
  </si>
  <si>
    <t>Gelinas</t>
  </si>
  <si>
    <t>17934-12249</t>
  </si>
  <si>
    <t>Biega</t>
  </si>
  <si>
    <t>17934-12265</t>
  </si>
  <si>
    <t>Barberio</t>
  </si>
  <si>
    <t>17934-12266</t>
  </si>
  <si>
    <t>Korbinian</t>
  </si>
  <si>
    <t>Holzer</t>
  </si>
  <si>
    <t>17934-9196</t>
  </si>
  <si>
    <t>17934-42998</t>
  </si>
  <si>
    <t>Leier</t>
  </si>
  <si>
    <t>17934-15363</t>
  </si>
  <si>
    <t>Jurco</t>
  </si>
  <si>
    <t>17934-15365</t>
  </si>
  <si>
    <t>Andy</t>
  </si>
  <si>
    <t>Andreoff</t>
  </si>
  <si>
    <t>17934-9230</t>
  </si>
  <si>
    <t>Cameron</t>
  </si>
  <si>
    <t>17934-68651</t>
  </si>
  <si>
    <t>Kalle</t>
  </si>
  <si>
    <t>Kossila</t>
  </si>
  <si>
    <t>17934-8278</t>
  </si>
  <si>
    <t>McLeod</t>
  </si>
  <si>
    <t>17934-40030</t>
  </si>
  <si>
    <t>Alexey</t>
  </si>
  <si>
    <t>Marchenko</t>
  </si>
  <si>
    <t>17934-8304</t>
  </si>
  <si>
    <t>Boll</t>
  </si>
  <si>
    <t>17934-43135</t>
  </si>
  <si>
    <t>Bertuzzi</t>
  </si>
  <si>
    <t>17934-43140</t>
  </si>
  <si>
    <t>Barclay</t>
  </si>
  <si>
    <t>Goodrow</t>
  </si>
  <si>
    <t>17934-11401</t>
  </si>
  <si>
    <t>17934-11405</t>
  </si>
  <si>
    <t>17934-8350</t>
  </si>
  <si>
    <t>Ericsson</t>
  </si>
  <si>
    <t>17934-43169</t>
  </si>
  <si>
    <t>17934-8368</t>
  </si>
  <si>
    <t>Gilbert</t>
  </si>
  <si>
    <t>17934-8376</t>
  </si>
  <si>
    <t>Gregory</t>
  </si>
  <si>
    <t>Campbell</t>
  </si>
  <si>
    <t>17934-53465</t>
  </si>
  <si>
    <t>Hudson</t>
  </si>
  <si>
    <t>Fasching</t>
  </si>
  <si>
    <t>17934-54502</t>
  </si>
  <si>
    <t>Kerdiles</t>
  </si>
  <si>
    <t>17934-66791</t>
  </si>
  <si>
    <t>Rowney</t>
  </si>
  <si>
    <t>17934-8455</t>
  </si>
  <si>
    <t>Legwand</t>
  </si>
  <si>
    <t>17934-54577</t>
  </si>
  <si>
    <t>Pontus</t>
  </si>
  <si>
    <t>Aberg</t>
  </si>
  <si>
    <t>17934-74041</t>
  </si>
  <si>
    <t>Sanford</t>
  </si>
  <si>
    <t>17934-12601</t>
  </si>
  <si>
    <t>Dalton</t>
  </si>
  <si>
    <t>Prout</t>
  </si>
  <si>
    <t>17934-13631</t>
  </si>
  <si>
    <t>Harry</t>
  </si>
  <si>
    <t>Zolnierczyk</t>
  </si>
  <si>
    <t>17934-13657</t>
  </si>
  <si>
    <t>Grant</t>
  </si>
  <si>
    <t>17934-8545</t>
  </si>
  <si>
    <t>Neil</t>
  </si>
  <si>
    <t>17934-39296</t>
  </si>
  <si>
    <t>McKenzie</t>
  </si>
  <si>
    <t>17934-21895</t>
  </si>
  <si>
    <t>Wagner</t>
  </si>
  <si>
    <t>17934-62861</t>
  </si>
  <si>
    <t>Noel</t>
  </si>
  <si>
    <t>Acciari</t>
  </si>
  <si>
    <t>17934-38289</t>
  </si>
  <si>
    <t>Oleksy</t>
  </si>
  <si>
    <t>17934-49563</t>
  </si>
  <si>
    <t>Gaudet</t>
  </si>
  <si>
    <t>17934-12719</t>
  </si>
  <si>
    <t>VandeVelde</t>
  </si>
  <si>
    <t>17934-8649</t>
  </si>
  <si>
    <t>Colaiacovo</t>
  </si>
  <si>
    <t>17934-12756</t>
  </si>
  <si>
    <t>McIlrath</t>
  </si>
  <si>
    <t>17934-8664</t>
  </si>
  <si>
    <t>17934-58880</t>
  </si>
  <si>
    <t>Barbashev</t>
  </si>
  <si>
    <t>17934-8717</t>
  </si>
  <si>
    <t>Boyd</t>
  </si>
  <si>
    <t>Gordon</t>
  </si>
  <si>
    <t>17934-23060</t>
  </si>
  <si>
    <t>Heed</t>
  </si>
  <si>
    <t>17934-23063</t>
  </si>
  <si>
    <t>Hrivik</t>
  </si>
  <si>
    <t>17934-54822</t>
  </si>
  <si>
    <t>Dickinson</t>
  </si>
  <si>
    <t>17934-58919</t>
  </si>
  <si>
    <t>Scherbak</t>
  </si>
  <si>
    <t>17934-8753</t>
  </si>
  <si>
    <t>Glass</t>
  </si>
  <si>
    <t>17934-62033</t>
  </si>
  <si>
    <t>17934-8829</t>
  </si>
  <si>
    <t>Thompson</t>
  </si>
  <si>
    <t>17934-13954</t>
  </si>
  <si>
    <t>Warsofsky</t>
  </si>
  <si>
    <t>17934-8863</t>
  </si>
  <si>
    <t>Sestito</t>
  </si>
  <si>
    <t>17934-70325</t>
  </si>
  <si>
    <t>Ladue</t>
  </si>
  <si>
    <t>17934-8887</t>
  </si>
  <si>
    <t>Reaves</t>
  </si>
  <si>
    <t>17934-23229</t>
  </si>
  <si>
    <t>Nail</t>
  </si>
  <si>
    <t>Yakupov</t>
  </si>
  <si>
    <t>17934-14084</t>
  </si>
  <si>
    <t>17934-59140</t>
  </si>
  <si>
    <t>Gravel</t>
  </si>
  <si>
    <t>17934-42795</t>
  </si>
  <si>
    <t>McCarron</t>
  </si>
  <si>
    <t>17934-14159</t>
  </si>
  <si>
    <t>Redmond</t>
  </si>
  <si>
    <t>17934-66409</t>
  </si>
  <si>
    <t>17934-42866</t>
  </si>
  <si>
    <t>Farnham</t>
  </si>
  <si>
    <t>17934-9085</t>
  </si>
  <si>
    <t>17934-9109</t>
  </si>
  <si>
    <t>White</t>
  </si>
  <si>
    <t>17934-70552</t>
  </si>
  <si>
    <t>Sorensen</t>
  </si>
  <si>
    <t>17934-15264</t>
  </si>
  <si>
    <t>17934-54200</t>
  </si>
  <si>
    <t>Carpenter</t>
  </si>
  <si>
    <t>17934-42984</t>
  </si>
  <si>
    <t>17934-9194</t>
  </si>
  <si>
    <t>Micheal</t>
  </si>
  <si>
    <t>Haley</t>
  </si>
  <si>
    <t>17934-15349</t>
  </si>
  <si>
    <t>Morrow</t>
  </si>
  <si>
    <t>17934-8185</t>
  </si>
  <si>
    <t>Shawn</t>
  </si>
  <si>
    <t>Injury?</t>
  </si>
  <si>
    <t>D 1</t>
  </si>
  <si>
    <t>D 2</t>
  </si>
  <si>
    <t>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</si>
</sst>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66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26" fillId="36" borderId="0" xfId="42" applyFont="1" applyFill="1"/>
    <xf numFmtId="0" fontId="27" fillId="36" borderId="0" xfId="0" applyFont="1" applyFill="1"/>
    <xf numFmtId="0" fontId="0" fillId="36" borderId="0" xfId="0" applyFill="1"/>
    <xf numFmtId="3" fontId="0" fillId="0" borderId="0" xfId="0" applyNumberFormat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8" fillId="37" borderId="18" xfId="42" applyFill="1" applyBorder="1"/>
    <xf numFmtId="0" fontId="18" fillId="37" borderId="19" xfId="42" applyFill="1" applyBorder="1"/>
    <xf numFmtId="0" fontId="18" fillId="37" borderId="20" xfId="42" applyFill="1" applyBorder="1"/>
    <xf numFmtId="0" fontId="18" fillId="37" borderId="13" xfId="42" applyFill="1" applyBorder="1"/>
    <xf numFmtId="0" fontId="18" fillId="37" borderId="0" xfId="42" applyFill="1" applyBorder="1"/>
    <xf numFmtId="0" fontId="0" fillId="37" borderId="0" xfId="0" applyFill="1"/>
    <xf numFmtId="0" fontId="18" fillId="37" borderId="14" xfId="42" applyFill="1" applyBorder="1"/>
    <xf numFmtId="0" fontId="26" fillId="37" borderId="0" xfId="42" applyFont="1" applyFill="1" applyBorder="1"/>
    <xf numFmtId="0" fontId="27" fillId="37" borderId="0" xfId="0" applyFont="1" applyFill="1"/>
    <xf numFmtId="0" fontId="18" fillId="37" borderId="21" xfId="42" applyFill="1" applyBorder="1"/>
    <xf numFmtId="0" fontId="18" fillId="37" borderId="22" xfId="42" applyFill="1" applyBorder="1"/>
    <xf numFmtId="0" fontId="18" fillId="37" borderId="23" xfId="42" applyFill="1" applyBorder="1"/>
    <xf numFmtId="0" fontId="26" fillId="38" borderId="0" xfId="42" applyFont="1" applyFill="1"/>
    <xf numFmtId="0" fontId="18" fillId="38" borderId="0" xfId="42" applyFill="1"/>
    <xf numFmtId="0" fontId="28" fillId="38" borderId="0" xfId="42" applyFont="1" applyFill="1"/>
    <xf numFmtId="0" fontId="29" fillId="38" borderId="0" xfId="42" applyFont="1" applyFill="1"/>
    <xf numFmtId="0" fontId="21" fillId="38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0066"/>
      <color rgb="FFFF9900"/>
      <color rgb="FF33CC33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C2" sqref="C2"/>
    </sheetView>
  </sheetViews>
  <sheetFormatPr defaultRowHeight="15" x14ac:dyDescent="0.25"/>
  <cols>
    <col min="2" max="2" width="10.5703125" bestFit="1" customWidth="1"/>
    <col min="5" max="5" width="23.5703125" bestFit="1" customWidth="1"/>
    <col min="7" max="7" width="7.42578125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9</v>
      </c>
      <c r="C1" t="s">
        <v>10</v>
      </c>
      <c r="D1" t="s">
        <v>5</v>
      </c>
      <c r="E1" t="s">
        <v>6</v>
      </c>
      <c r="F1" t="s">
        <v>7</v>
      </c>
      <c r="G1" t="s">
        <v>8</v>
      </c>
      <c r="H1" t="s">
        <v>3</v>
      </c>
      <c r="I1" t="s">
        <v>21</v>
      </c>
      <c r="J1" t="s">
        <v>2</v>
      </c>
      <c r="K1" t="s">
        <v>1</v>
      </c>
      <c r="L1" t="s">
        <v>3</v>
      </c>
      <c r="M1" t="s">
        <v>1538</v>
      </c>
      <c r="N1" t="s">
        <v>0</v>
      </c>
      <c r="O1" t="s">
        <v>11</v>
      </c>
      <c r="P1" t="s">
        <v>12</v>
      </c>
      <c r="T1">
        <v>8</v>
      </c>
    </row>
    <row r="2" spans="1:20" x14ac:dyDescent="0.25">
      <c r="A2" s="1">
        <f t="shared" ref="A2:A65" si="0">IF(C2=1,D2,0)</f>
        <v>0</v>
      </c>
      <c r="B2" s="1" t="str">
        <f>IF(C2=0,0,A2&amp;" "&amp;COUNTIF($A$1:$A2,A2))</f>
        <v>0 1</v>
      </c>
      <c r="C2" s="1">
        <v>0.98969072164948457</v>
      </c>
      <c r="D2" t="str">
        <f>RawData!B2</f>
        <v>G</v>
      </c>
      <c r="E2" t="str">
        <f>RawData!E2</f>
        <v>Holtby</v>
      </c>
      <c r="F2">
        <f>(RawData!F2)*M2</f>
        <v>21.873170433974799</v>
      </c>
      <c r="G2" s="21">
        <f>RawData!H2</f>
        <v>9700</v>
      </c>
      <c r="H2">
        <f>IF($D2=H$1,$C2*1,0)</f>
        <v>0</v>
      </c>
      <c r="I2">
        <f t="shared" ref="I2:L2" si="1">IF($D2=I$1,$C2*1,0)</f>
        <v>0</v>
      </c>
      <c r="J2">
        <f t="shared" si="1"/>
        <v>0</v>
      </c>
      <c r="K2">
        <f t="shared" si="1"/>
        <v>0</v>
      </c>
      <c r="L2">
        <f t="shared" si="1"/>
        <v>0</v>
      </c>
      <c r="M2">
        <f>IF(RawData!L2=0,1,0)</f>
        <v>1</v>
      </c>
      <c r="N2" t="s">
        <v>3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si="0"/>
        <v>0</v>
      </c>
      <c r="B3">
        <f>IF(C3=0,0,A3&amp;" "&amp;COUNTIF($A$1:$A3,A3))</f>
        <v>0</v>
      </c>
      <c r="C3" s="1">
        <v>0</v>
      </c>
      <c r="D3" s="2" t="str">
        <f>RawData!B3</f>
        <v>G</v>
      </c>
      <c r="E3" s="2" t="str">
        <f>RawData!E3</f>
        <v>Price</v>
      </c>
      <c r="F3" s="2">
        <f>(RawData!F3)*M3</f>
        <v>19.3951222489519</v>
      </c>
      <c r="G3" s="21">
        <f>RawData!H3</f>
        <v>9500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21</v>
      </c>
      <c r="O3">
        <v>4</v>
      </c>
      <c r="P3">
        <f>SUM(I2:I339)</f>
        <v>4</v>
      </c>
    </row>
    <row r="4" spans="1:20" x14ac:dyDescent="0.25">
      <c r="A4">
        <f t="shared" si="0"/>
        <v>0</v>
      </c>
      <c r="B4">
        <f>IF(C4=0,0,A4&amp;" "&amp;COUNTIF($A$1:$A4,A4))</f>
        <v>0</v>
      </c>
      <c r="C4" s="1">
        <v>0</v>
      </c>
      <c r="D4" s="2" t="str">
        <f>RawData!B4</f>
        <v>G</v>
      </c>
      <c r="E4" s="2" t="str">
        <f>RawData!E4</f>
        <v>Murray</v>
      </c>
      <c r="F4" s="2">
        <f>(RawData!F4)*M4</f>
        <v>20.386207317483802</v>
      </c>
      <c r="G4" s="21">
        <f>RawData!H4</f>
        <v>9200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20</v>
      </c>
      <c r="O4">
        <v>2</v>
      </c>
      <c r="P4">
        <f>SUM(J2:J339)</f>
        <v>0</v>
      </c>
    </row>
    <row r="5" spans="1:20" x14ac:dyDescent="0.25">
      <c r="A5">
        <f t="shared" si="0"/>
        <v>0</v>
      </c>
      <c r="B5">
        <f>IF(C5=0,0,A5&amp;" "&amp;COUNTIF($A$1:$A5,A5))</f>
        <v>0</v>
      </c>
      <c r="C5" s="1">
        <v>0</v>
      </c>
      <c r="D5" s="2" t="str">
        <f>RawData!B5</f>
        <v>G</v>
      </c>
      <c r="E5" s="2" t="str">
        <f>RawData!E5</f>
        <v>Jones</v>
      </c>
      <c r="F5" s="2">
        <f>(RawData!F5)*M5</f>
        <v>18.086956521739101</v>
      </c>
      <c r="G5" s="21">
        <f>RawData!H5</f>
        <v>9100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1</v>
      </c>
      <c r="P5">
        <f>SUM(K2:K339)</f>
        <v>0</v>
      </c>
    </row>
    <row r="6" spans="1:20" x14ac:dyDescent="0.25">
      <c r="A6">
        <f t="shared" si="0"/>
        <v>0</v>
      </c>
      <c r="B6">
        <f>IF(C6=0,0,A6&amp;" "&amp;COUNTIF($A$1:$A6,A6))</f>
        <v>0</v>
      </c>
      <c r="C6" s="1">
        <v>0</v>
      </c>
      <c r="D6" s="2" t="str">
        <f>RawData!B6</f>
        <v>G</v>
      </c>
      <c r="E6" s="2" t="str">
        <f>RawData!E6</f>
        <v>Rinne</v>
      </c>
      <c r="F6" s="2">
        <f>(RawData!F6)*M6</f>
        <v>19.180488400342899</v>
      </c>
      <c r="G6" s="21">
        <f>RawData!H6</f>
        <v>9100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</row>
    <row r="7" spans="1:20" x14ac:dyDescent="0.25">
      <c r="A7">
        <f t="shared" si="0"/>
        <v>0</v>
      </c>
      <c r="B7">
        <f>IF(C7=0,0,A7&amp;" "&amp;COUNTIF($A$1:$A7,A7))</f>
        <v>0</v>
      </c>
      <c r="C7" s="1">
        <v>0</v>
      </c>
      <c r="D7" s="2" t="str">
        <f>RawData!B7</f>
        <v>G</v>
      </c>
      <c r="E7" s="2" t="str">
        <f>RawData!E7</f>
        <v>Gibson</v>
      </c>
      <c r="F7" s="2">
        <f>(RawData!F7)*M7</f>
        <v>17.485714867001398</v>
      </c>
      <c r="G7" s="21">
        <f>RawData!H7</f>
        <v>9100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 t="str">
        <f t="shared" si="0"/>
        <v>C</v>
      </c>
      <c r="B8" t="str">
        <f>IF(C8=0,0,A8&amp;" "&amp;COUNTIF($A$1:$A8,A8))</f>
        <v>C 1</v>
      </c>
      <c r="C8" s="1">
        <v>1</v>
      </c>
      <c r="D8" s="2" t="str">
        <f>RawData!B8</f>
        <v>C</v>
      </c>
      <c r="E8" s="2" t="str">
        <f>RawData!E8</f>
        <v>Crosby</v>
      </c>
      <c r="F8" s="2">
        <f>(RawData!F8)*M8</f>
        <v>19.0021733823029</v>
      </c>
      <c r="G8" s="21">
        <f>RawData!H8</f>
        <v>8900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1</v>
      </c>
      <c r="M8" s="2">
        <f>IF(RawData!L8=0,1,0)</f>
        <v>1</v>
      </c>
      <c r="N8" t="s">
        <v>13</v>
      </c>
      <c r="O8">
        <f>SUMPRODUCT(C2:C239,G2:G239)</f>
        <v>60000</v>
      </c>
    </row>
    <row r="9" spans="1:20" x14ac:dyDescent="0.25">
      <c r="A9" t="str">
        <f t="shared" si="0"/>
        <v>W</v>
      </c>
      <c r="B9" t="str">
        <f>IF(C9=0,0,A9&amp;" "&amp;COUNTIF($A$1:$A9,A9))</f>
        <v>W 1</v>
      </c>
      <c r="C9" s="1">
        <v>1</v>
      </c>
      <c r="D9" s="2" t="str">
        <f>RawData!B9</f>
        <v>W</v>
      </c>
      <c r="E9" s="2" t="str">
        <f>RawData!E9</f>
        <v>Ovechkin</v>
      </c>
      <c r="F9" s="2">
        <f>(RawData!F9)*M9</f>
        <v>16.246296070240099</v>
      </c>
      <c r="G9" s="21">
        <f>RawData!H9</f>
        <v>8900</v>
      </c>
      <c r="H9">
        <f t="shared" si="2"/>
        <v>0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14</v>
      </c>
      <c r="O9">
        <f>60000</f>
        <v>60000</v>
      </c>
    </row>
    <row r="10" spans="1:20" x14ac:dyDescent="0.25">
      <c r="A10">
        <f t="shared" si="0"/>
        <v>0</v>
      </c>
      <c r="B10">
        <f>IF(C10=0,0,A10&amp;" "&amp;COUNTIF($A$1:$A10,A10))</f>
        <v>0</v>
      </c>
      <c r="C10" s="1">
        <v>0</v>
      </c>
      <c r="D10" s="2" t="str">
        <f>RawData!B10</f>
        <v>G</v>
      </c>
      <c r="E10" s="2" t="str">
        <f>RawData!E10</f>
        <v>Rask</v>
      </c>
      <c r="F10" s="2">
        <f>(RawData!F10)*M10</f>
        <v>16.8727278275923</v>
      </c>
      <c r="G10" s="21">
        <f>RawData!H10</f>
        <v>8700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0"/>
        <v>0</v>
      </c>
      <c r="B11">
        <f>IF(C11=0,0,A11&amp;" "&amp;COUNTIF($A$1:$A11,A11))</f>
        <v>0</v>
      </c>
      <c r="C11" s="1">
        <v>0</v>
      </c>
      <c r="D11" s="2" t="str">
        <f>RawData!B11</f>
        <v>G</v>
      </c>
      <c r="E11" s="2" t="str">
        <f>RawData!E11</f>
        <v>Lundqvist</v>
      </c>
      <c r="F11" s="2">
        <f>(RawData!F11)*M11</f>
        <v>17.780000305175701</v>
      </c>
      <c r="G11" s="21">
        <f>RawData!H11</f>
        <v>8700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1</v>
      </c>
      <c r="N11" t="s">
        <v>15</v>
      </c>
      <c r="O11">
        <f>SUMPRODUCT(C2:C339,F2:F339)</f>
        <v>101.37925345482309</v>
      </c>
    </row>
    <row r="12" spans="1:20" x14ac:dyDescent="0.25">
      <c r="A12" t="str">
        <f t="shared" si="0"/>
        <v>C</v>
      </c>
      <c r="B12" t="str">
        <f>IF(C12=0,0,A12&amp;" "&amp;COUNTIF($A$1:$A12,A12))</f>
        <v>C 2</v>
      </c>
      <c r="C12" s="1">
        <v>1</v>
      </c>
      <c r="D12" s="2" t="str">
        <f>RawData!B12</f>
        <v>C</v>
      </c>
      <c r="E12" s="2" t="str">
        <f>RawData!E12</f>
        <v>Malkin</v>
      </c>
      <c r="F12" s="2">
        <f>(RawData!F12)*M12</f>
        <v>0</v>
      </c>
      <c r="G12" s="21">
        <f>RawData!H12</f>
        <v>8700</v>
      </c>
      <c r="H12">
        <f t="shared" si="2"/>
        <v>1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1</v>
      </c>
      <c r="M12" s="2">
        <f>IF(RawData!L12=0,1,0)</f>
        <v>0</v>
      </c>
    </row>
    <row r="13" spans="1:20" x14ac:dyDescent="0.25">
      <c r="A13">
        <f t="shared" si="0"/>
        <v>0</v>
      </c>
      <c r="B13">
        <f>IF(C13=0,0,A13&amp;" "&amp;COUNTIF($A$1:$A13,A13))</f>
        <v>0</v>
      </c>
      <c r="C13" s="1">
        <v>0</v>
      </c>
      <c r="D13" s="2" t="str">
        <f>RawData!B13</f>
        <v>G</v>
      </c>
      <c r="E13" s="2" t="str">
        <f>RawData!E13</f>
        <v>Raanta</v>
      </c>
      <c r="F13" s="2">
        <f>(RawData!F13)*M13</f>
        <v>16.884209883840398</v>
      </c>
      <c r="G13" s="21">
        <f>RawData!H13</f>
        <v>8600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16</v>
      </c>
      <c r="O13">
        <f>SUM(O2:O5)</f>
        <v>9</v>
      </c>
    </row>
    <row r="14" spans="1:20" x14ac:dyDescent="0.25">
      <c r="A14">
        <f t="shared" si="0"/>
        <v>0</v>
      </c>
      <c r="B14">
        <f>IF(C14=0,0,A14&amp;" "&amp;COUNTIF($A$1:$A14,A14))</f>
        <v>0</v>
      </c>
      <c r="C14" s="1">
        <v>0</v>
      </c>
      <c r="D14" s="2" t="str">
        <f>RawData!B14</f>
        <v>G</v>
      </c>
      <c r="E14" s="2" t="str">
        <f>RawData!E14</f>
        <v>Andersen</v>
      </c>
      <c r="F14" s="2">
        <f>(RawData!F14)*M14</f>
        <v>18.9395354514898</v>
      </c>
      <c r="G14" s="21">
        <f>RawData!H14</f>
        <v>8600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17</v>
      </c>
      <c r="O14">
        <f>SUM(C:C)</f>
        <v>9</v>
      </c>
    </row>
    <row r="15" spans="1:20" x14ac:dyDescent="0.25">
      <c r="A15">
        <f t="shared" si="0"/>
        <v>0</v>
      </c>
      <c r="B15">
        <f>IF(C15=0,0,A15&amp;" "&amp;COUNTIF($A$1:$A15,A15))</f>
        <v>0</v>
      </c>
      <c r="C15" s="1">
        <v>0</v>
      </c>
      <c r="D15" s="2" t="str">
        <f>RawData!B15</f>
        <v>G</v>
      </c>
      <c r="E15" s="2" t="str">
        <f>RawData!E15</f>
        <v>Anderson</v>
      </c>
      <c r="F15" s="2">
        <f>(RawData!F15)*M15</f>
        <v>0</v>
      </c>
      <c r="G15" s="21">
        <f>RawData!H15</f>
        <v>8500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0</v>
      </c>
    </row>
    <row r="16" spans="1:20" x14ac:dyDescent="0.25">
      <c r="A16">
        <f t="shared" si="0"/>
        <v>0</v>
      </c>
      <c r="B16">
        <f>IF(C16=0,0,A16&amp;" "&amp;COUNTIF($A$1:$A16,A16))</f>
        <v>0</v>
      </c>
      <c r="C16" s="1">
        <v>0</v>
      </c>
      <c r="D16" s="2" t="str">
        <f>RawData!B16</f>
        <v>G</v>
      </c>
      <c r="E16" s="2" t="str">
        <f>RawData!E16</f>
        <v>Budaj</v>
      </c>
      <c r="F16" s="2">
        <f>(RawData!F16)*M16</f>
        <v>17.208510378573799</v>
      </c>
      <c r="G16" s="21">
        <f>RawData!H16</f>
        <v>8500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19</v>
      </c>
    </row>
    <row r="17" spans="1:15" x14ac:dyDescent="0.25">
      <c r="A17">
        <f t="shared" si="0"/>
        <v>0</v>
      </c>
      <c r="B17">
        <f>IF(C17=0,0,A17&amp;" "&amp;COUNTIF($A$1:$A17,A17))</f>
        <v>0</v>
      </c>
      <c r="C17" s="1">
        <v>0</v>
      </c>
      <c r="D17" s="2" t="str">
        <f>RawData!B17</f>
        <v>C</v>
      </c>
      <c r="E17" s="2" t="str">
        <f>RawData!E17</f>
        <v>Seguin</v>
      </c>
      <c r="F17" s="2">
        <f>(RawData!F17)*M17</f>
        <v>15.5037039297598</v>
      </c>
      <c r="G17" s="21">
        <f>RawData!H17</f>
        <v>8500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23</v>
      </c>
      <c r="O17" t="str">
        <f>VLOOKUP(N17,B2:F101,4,FALSE)</f>
        <v>Crosby</v>
      </c>
    </row>
    <row r="18" spans="1:15" x14ac:dyDescent="0.25">
      <c r="A18">
        <f t="shared" si="0"/>
        <v>0</v>
      </c>
      <c r="B18">
        <f>IF(C18=0,0,A18&amp;" "&amp;COUNTIF($A$1:$A18,A18))</f>
        <v>0</v>
      </c>
      <c r="C18" s="1">
        <v>0</v>
      </c>
      <c r="D18" s="2" t="str">
        <f>RawData!B18</f>
        <v>D</v>
      </c>
      <c r="E18" s="2" t="str">
        <f>RawData!E18</f>
        <v>Burns</v>
      </c>
      <c r="F18" s="2">
        <f>(RawData!F18)*M18</f>
        <v>19.157407407407401</v>
      </c>
      <c r="G18" s="21">
        <f>RawData!H18</f>
        <v>8500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24</v>
      </c>
      <c r="O18" s="2" t="str">
        <f>VLOOKUP(N18,B2:F102,4,FALSE)</f>
        <v>Malkin</v>
      </c>
    </row>
    <row r="19" spans="1:15" x14ac:dyDescent="0.25">
      <c r="A19">
        <f t="shared" si="0"/>
        <v>0</v>
      </c>
      <c r="B19">
        <f>IF(C19=0,0,A19&amp;" "&amp;COUNTIF($A$1:$A19,A19))</f>
        <v>0</v>
      </c>
      <c r="C19" s="1">
        <v>0</v>
      </c>
      <c r="D19" s="2" t="str">
        <f>RawData!B19</f>
        <v>G</v>
      </c>
      <c r="E19" s="2" t="str">
        <f>RawData!E19</f>
        <v>Greiss</v>
      </c>
      <c r="F19" s="2">
        <f>(RawData!F19)*M19</f>
        <v>20.057141985211999</v>
      </c>
      <c r="G19" s="21">
        <f>RawData!H19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25</v>
      </c>
      <c r="O19" s="2" t="str">
        <f>VLOOKUP(N19,B2:F103,4,FALSE)</f>
        <v>Ovechkin</v>
      </c>
    </row>
    <row r="20" spans="1:15" x14ac:dyDescent="0.25">
      <c r="A20">
        <f t="shared" si="0"/>
        <v>0</v>
      </c>
      <c r="B20">
        <f>IF(C20=0,0,A20&amp;" "&amp;COUNTIF($A$1:$A20,A20))</f>
        <v>0</v>
      </c>
      <c r="C20" s="1">
        <v>0</v>
      </c>
      <c r="D20" s="2" t="str">
        <f>RawData!B20</f>
        <v>G</v>
      </c>
      <c r="E20" s="2" t="str">
        <f>RawData!E20</f>
        <v>Luongo</v>
      </c>
      <c r="F20" s="2">
        <f>(RawData!F20)*M20</f>
        <v>18.327272357362599</v>
      </c>
      <c r="G20" s="21">
        <f>RawData!H20</f>
        <v>8500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26</v>
      </c>
      <c r="O20" s="2" t="str">
        <f>VLOOKUP(N20,B2:F104,4,FALSE)</f>
        <v>Benn</v>
      </c>
    </row>
    <row r="21" spans="1:15" x14ac:dyDescent="0.25">
      <c r="A21">
        <f t="shared" si="0"/>
        <v>0</v>
      </c>
      <c r="B21">
        <f>IF(C21=0,0,A21&amp;" "&amp;COUNTIF($A$1:$A21,A21))</f>
        <v>0</v>
      </c>
      <c r="C21" s="1">
        <v>0</v>
      </c>
      <c r="D21" s="2" t="str">
        <f>RawData!B21</f>
        <v>G</v>
      </c>
      <c r="E21" s="2" t="str">
        <f>RawData!E21</f>
        <v>Bobrovsky</v>
      </c>
      <c r="F21" s="2">
        <f>(RawData!F21)*M21</f>
        <v>21.428571428571399</v>
      </c>
      <c r="G21" s="21">
        <f>RawData!H21</f>
        <v>8500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s="2" t="s">
        <v>27</v>
      </c>
      <c r="O21" s="2" t="str">
        <f>VLOOKUP(N21,B2:F105,4,FALSE)</f>
        <v>Tarasenko</v>
      </c>
    </row>
    <row r="22" spans="1:15" x14ac:dyDescent="0.25">
      <c r="A22">
        <f t="shared" si="0"/>
        <v>0</v>
      </c>
      <c r="B22">
        <f>IF(C22=0,0,A22&amp;" "&amp;COUNTIF($A$1:$A22,A22))</f>
        <v>0</v>
      </c>
      <c r="C22" s="1">
        <v>0</v>
      </c>
      <c r="D22" s="2" t="str">
        <f>RawData!B22</f>
        <v>G</v>
      </c>
      <c r="E22" s="2" t="str">
        <f>RawData!E22</f>
        <v>Miller</v>
      </c>
      <c r="F22" s="2">
        <f>(RawData!F22)*M22</f>
        <v>17.9500007629394</v>
      </c>
      <c r="G22" s="21">
        <f>RawData!H22</f>
        <v>8400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s="2" t="s">
        <v>28</v>
      </c>
      <c r="O22" s="2" t="str">
        <f>VLOOKUP(N22,B2:F106,4,FALSE)</f>
        <v>Pavelski</v>
      </c>
    </row>
    <row r="23" spans="1:15" x14ac:dyDescent="0.25">
      <c r="A23">
        <f t="shared" si="0"/>
        <v>0</v>
      </c>
      <c r="B23">
        <f>IF(C23=0,0,A23&amp;" "&amp;COUNTIF($A$1:$A23,A23))</f>
        <v>0</v>
      </c>
      <c r="C23" s="1">
        <v>0</v>
      </c>
      <c r="D23" s="2" t="str">
        <f>RawData!B23</f>
        <v>G</v>
      </c>
      <c r="E23" s="2" t="str">
        <f>RawData!E23</f>
        <v>Montoya</v>
      </c>
      <c r="F23" s="2">
        <f>(RawData!F23)*M23</f>
        <v>18.133333333333301</v>
      </c>
      <c r="G23" s="21">
        <f>RawData!H23</f>
        <v>8400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1539</v>
      </c>
      <c r="O23" s="2" t="e">
        <f>VLOOKUP(N23,B2:F106,4,FALSE)</f>
        <v>#N/A</v>
      </c>
    </row>
    <row r="24" spans="1:15" x14ac:dyDescent="0.25">
      <c r="A24">
        <f t="shared" si="0"/>
        <v>0</v>
      </c>
      <c r="B24">
        <f>IF(C24=0,0,A24&amp;" "&amp;COUNTIF($A$1:$A24,A24))</f>
        <v>0</v>
      </c>
      <c r="C24" s="1">
        <v>0</v>
      </c>
      <c r="D24" s="2" t="str">
        <f>RawData!B24</f>
        <v>G</v>
      </c>
      <c r="E24" s="2" t="str">
        <f>RawData!E24</f>
        <v>Fleury</v>
      </c>
      <c r="F24" s="2">
        <f>(RawData!F24)*M24</f>
        <v>16.542857578822499</v>
      </c>
      <c r="G24" s="21">
        <f>RawData!H24</f>
        <v>8400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1540</v>
      </c>
      <c r="O24" s="2" t="e">
        <f t="shared" ref="O24:O25" si="3">VLOOKUP(N24,B3:F107,4,FALSE)</f>
        <v>#N/A</v>
      </c>
    </row>
    <row r="25" spans="1:15" x14ac:dyDescent="0.25">
      <c r="A25">
        <f t="shared" si="0"/>
        <v>0</v>
      </c>
      <c r="B25">
        <f>IF(C25=0,0,A25&amp;" "&amp;COUNTIF($A$1:$A25,A25))</f>
        <v>0</v>
      </c>
      <c r="C25" s="1">
        <v>0</v>
      </c>
      <c r="D25" s="2" t="str">
        <f>RawData!B25</f>
        <v>G</v>
      </c>
      <c r="E25" s="2" t="str">
        <f>RawData!E25</f>
        <v>Grubauer</v>
      </c>
      <c r="F25" s="2">
        <f>(RawData!F25)*M25</f>
        <v>22.4</v>
      </c>
      <c r="G25" s="21">
        <f>RawData!H25</f>
        <v>8300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1541</v>
      </c>
      <c r="O25" s="2" t="e">
        <f t="shared" si="3"/>
        <v>#N/A</v>
      </c>
    </row>
    <row r="26" spans="1:15" x14ac:dyDescent="0.25">
      <c r="A26">
        <f t="shared" si="0"/>
        <v>0</v>
      </c>
      <c r="B26">
        <f>IF(C26=0,0,A26&amp;" "&amp;COUNTIF($A$1:$A26,A26))</f>
        <v>0</v>
      </c>
      <c r="C26" s="1">
        <v>0</v>
      </c>
      <c r="D26" s="2" t="str">
        <f>RawData!B26</f>
        <v>G</v>
      </c>
      <c r="E26" s="2" t="str">
        <f>RawData!E26</f>
        <v>Bernier</v>
      </c>
      <c r="F26" s="2">
        <f>(RawData!F26)*M26</f>
        <v>13.2399993896484</v>
      </c>
      <c r="G26" s="21">
        <f>RawData!H26</f>
        <v>8300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  <c r="O26" s="2"/>
    </row>
    <row r="27" spans="1:15" x14ac:dyDescent="0.25">
      <c r="A27" t="str">
        <f t="shared" si="0"/>
        <v>W</v>
      </c>
      <c r="B27" t="str">
        <f>IF(C27=0,0,A27&amp;" "&amp;COUNTIF($A$1:$A27,A27))</f>
        <v>W 2</v>
      </c>
      <c r="C27" s="1">
        <v>1</v>
      </c>
      <c r="D27" s="2" t="str">
        <f>RawData!B27</f>
        <v>W</v>
      </c>
      <c r="E27" s="2" t="str">
        <f>RawData!E27</f>
        <v>Benn</v>
      </c>
      <c r="F27" s="2">
        <f>(RawData!F27)*M27</f>
        <v>13.9719995117187</v>
      </c>
      <c r="G27" s="21">
        <f>RawData!H27</f>
        <v>8300</v>
      </c>
      <c r="H27">
        <f t="shared" si="2"/>
        <v>0</v>
      </c>
      <c r="I27">
        <f t="shared" si="2"/>
        <v>1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>
        <f t="shared" si="0"/>
        <v>0</v>
      </c>
      <c r="B28">
        <f>IF(C28=0,0,A28&amp;" "&amp;COUNTIF($A$1:$A28,A28))</f>
        <v>0</v>
      </c>
      <c r="C28" s="1">
        <v>0</v>
      </c>
      <c r="D28" s="2" t="str">
        <f>RawData!B28</f>
        <v>G</v>
      </c>
      <c r="E28" s="2" t="str">
        <f>RawData!E28</f>
        <v>Condon</v>
      </c>
      <c r="F28" s="2">
        <f>(RawData!F28)*M28</f>
        <v>16.851613690776201</v>
      </c>
      <c r="G28" s="21">
        <f>RawData!H28</f>
        <v>8300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0"/>
        <v>0</v>
      </c>
      <c r="B29">
        <f>IF(C29=0,0,A29&amp;" "&amp;COUNTIF($A$1:$A29,A29))</f>
        <v>0</v>
      </c>
      <c r="C29" s="1">
        <v>0</v>
      </c>
      <c r="D29" s="2" t="str">
        <f>RawData!B29</f>
        <v>G</v>
      </c>
      <c r="E29" s="2" t="str">
        <f>RawData!E29</f>
        <v>Dell</v>
      </c>
      <c r="F29" s="2">
        <f>(RawData!F29)*M29</f>
        <v>21.422222561306398</v>
      </c>
      <c r="G29" s="21">
        <f>RawData!H29</f>
        <v>8200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0"/>
        <v>0</v>
      </c>
      <c r="B30">
        <f>IF(C30=0,0,A30&amp;" "&amp;COUNTIF($A$1:$A30,A30))</f>
        <v>0</v>
      </c>
      <c r="C30" s="1">
        <v>0</v>
      </c>
      <c r="D30" s="2" t="str">
        <f>RawData!B30</f>
        <v>C</v>
      </c>
      <c r="E30" s="2" t="str">
        <f>RawData!E30</f>
        <v>Tavares</v>
      </c>
      <c r="F30" s="2">
        <f>(RawData!F30)*M30</f>
        <v>14.023529651118199</v>
      </c>
      <c r="G30" s="21">
        <f>RawData!H30</f>
        <v>8100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0"/>
        <v>0</v>
      </c>
      <c r="B31">
        <f>IF(C31=0,0,A31&amp;" "&amp;COUNTIF($A$1:$A31,A31))</f>
        <v>0</v>
      </c>
      <c r="C31" s="1">
        <v>0</v>
      </c>
      <c r="D31" s="2" t="str">
        <f>RawData!B31</f>
        <v>G</v>
      </c>
      <c r="E31" s="2" t="str">
        <f>RawData!E31</f>
        <v>Allen</v>
      </c>
      <c r="F31" s="2">
        <f>(RawData!F31)*M31</f>
        <v>14.215385241386199</v>
      </c>
      <c r="G31" s="21">
        <f>RawData!H31</f>
        <v>8100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0"/>
        <v>0</v>
      </c>
      <c r="B32">
        <f>IF(C32=0,0,A32&amp;" "&amp;COUNTIF($A$1:$A32,A32))</f>
        <v>0</v>
      </c>
      <c r="C32" s="1">
        <v>0</v>
      </c>
      <c r="D32" s="2" t="str">
        <f>RawData!B32</f>
        <v>G</v>
      </c>
      <c r="E32" s="2" t="str">
        <f>RawData!E32</f>
        <v>Smith</v>
      </c>
      <c r="F32" s="2">
        <f>(RawData!F32)*M32</f>
        <v>17.866665926846501</v>
      </c>
      <c r="G32" s="21">
        <f>RawData!H32</f>
        <v>8000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 t="str">
        <f t="shared" si="0"/>
        <v>W</v>
      </c>
      <c r="B33" t="str">
        <f>IF(C33=0,0,A33&amp;" "&amp;COUNTIF($A$1:$A33,A33))</f>
        <v>W 3</v>
      </c>
      <c r="C33" s="1">
        <v>1</v>
      </c>
      <c r="D33" s="2" t="str">
        <f>RawData!B33</f>
        <v>W</v>
      </c>
      <c r="E33" s="2" t="str">
        <f>RawData!E33</f>
        <v>Tarasenko</v>
      </c>
      <c r="F33" s="2">
        <f>(RawData!F33)*M33</f>
        <v>15.3518518518518</v>
      </c>
      <c r="G33" s="21">
        <f>RawData!H33</f>
        <v>8000</v>
      </c>
      <c r="H33">
        <f t="shared" si="2"/>
        <v>0</v>
      </c>
      <c r="I33">
        <f t="shared" si="2"/>
        <v>1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0"/>
        <v>0</v>
      </c>
      <c r="B34">
        <f>IF(C34=0,0,A34&amp;" "&amp;COUNTIF($A$1:$A34,A34))</f>
        <v>0</v>
      </c>
      <c r="C34" s="1">
        <v>0</v>
      </c>
      <c r="D34" s="2" t="str">
        <f>RawData!B34</f>
        <v>G</v>
      </c>
      <c r="E34" s="2" t="str">
        <f>RawData!E34</f>
        <v>Reimer</v>
      </c>
      <c r="F34" s="2">
        <f>(RawData!F34)*M34</f>
        <v>16.609523228236601</v>
      </c>
      <c r="G34" s="21">
        <f>RawData!H34</f>
        <v>8000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0"/>
        <v>0</v>
      </c>
      <c r="B35">
        <f>IF(C35=0,0,A35&amp;" "&amp;COUNTIF($A$1:$A35,A35))</f>
        <v>0</v>
      </c>
      <c r="C35" s="1">
        <v>0</v>
      </c>
      <c r="D35" s="2" t="str">
        <f>RawData!B35</f>
        <v>G</v>
      </c>
      <c r="E35" s="2" t="str">
        <f>RawData!E35</f>
        <v>Hutton</v>
      </c>
      <c r="F35" s="2">
        <f>(RawData!F35)*M35</f>
        <v>12.208695121433401</v>
      </c>
      <c r="G35" s="21">
        <f>RawData!H35</f>
        <v>8000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0"/>
        <v>0</v>
      </c>
      <c r="B36">
        <f>IF(C36=0,0,A36&amp;" "&amp;COUNTIF($A$1:$A36,A36))</f>
        <v>0</v>
      </c>
      <c r="C36" s="1">
        <v>0</v>
      </c>
      <c r="D36" s="2" t="str">
        <f>RawData!B36</f>
        <v>G</v>
      </c>
      <c r="E36" s="2" t="str">
        <f>RawData!E36</f>
        <v>Coreau</v>
      </c>
      <c r="F36" s="2">
        <f>(RawData!F36)*M36</f>
        <v>15.133333841959599</v>
      </c>
      <c r="G36" s="21">
        <f>RawData!H36</f>
        <v>7900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0"/>
        <v>0</v>
      </c>
      <c r="B37">
        <f>IF(C37=0,0,A37&amp;" "&amp;COUNTIF($A$1:$A37,A37))</f>
        <v>0</v>
      </c>
      <c r="C37" s="1">
        <v>0</v>
      </c>
      <c r="D37" s="2" t="str">
        <f>RawData!B37</f>
        <v>G</v>
      </c>
      <c r="E37" s="2" t="str">
        <f>RawData!E37</f>
        <v>Lehner</v>
      </c>
      <c r="F37" s="2">
        <f>(RawData!F37)*M37</f>
        <v>18.559999302455299</v>
      </c>
      <c r="G37" s="21">
        <f>RawData!H37</f>
        <v>7900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0"/>
        <v>0</v>
      </c>
      <c r="B38">
        <f>IF(C38=0,0,A38&amp;" "&amp;COUNTIF($A$1:$A38,A38))</f>
        <v>0</v>
      </c>
      <c r="C38" s="1">
        <v>0</v>
      </c>
      <c r="D38" s="2" t="str">
        <f>RawData!B38</f>
        <v>G</v>
      </c>
      <c r="E38" s="2" t="str">
        <f>RawData!E38</f>
        <v>Saros</v>
      </c>
      <c r="F38" s="2">
        <f>(RawData!F38)*M38</f>
        <v>22.639999389648398</v>
      </c>
      <c r="G38" s="21">
        <f>RawData!H38</f>
        <v>7900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0"/>
        <v>0</v>
      </c>
      <c r="B39">
        <f>IF(C39=0,0,A39&amp;" "&amp;COUNTIF($A$1:$A39,A39))</f>
        <v>0</v>
      </c>
      <c r="C39" s="1">
        <v>0</v>
      </c>
      <c r="D39" s="2" t="str">
        <f>RawData!B39</f>
        <v>G</v>
      </c>
      <c r="E39" s="2" t="str">
        <f>RawData!E39</f>
        <v>Lehtonen</v>
      </c>
      <c r="F39" s="2">
        <f>(RawData!F39)*M39</f>
        <v>12.4444444444444</v>
      </c>
      <c r="G39" s="21">
        <f>RawData!H39</f>
        <v>7900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0"/>
        <v>0</v>
      </c>
      <c r="B40">
        <f>IF(C40=0,0,A40&amp;" "&amp;COUNTIF($A$1:$A40,A40))</f>
        <v>0</v>
      </c>
      <c r="C40" s="1">
        <v>0</v>
      </c>
      <c r="D40" s="2" t="str">
        <f>RawData!B40</f>
        <v>G</v>
      </c>
      <c r="E40" s="2" t="str">
        <f>RawData!E40</f>
        <v>Markstrom</v>
      </c>
      <c r="F40" s="2">
        <f>(RawData!F40)*M40</f>
        <v>14.733333587646401</v>
      </c>
      <c r="G40" s="21">
        <f>RawData!H40</f>
        <v>7900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>
        <f t="shared" si="0"/>
        <v>0</v>
      </c>
      <c r="B41">
        <f>IF(C41=0,0,A41&amp;" "&amp;COUNTIF($A$1:$A41,A41))</f>
        <v>0</v>
      </c>
      <c r="C41" s="1">
        <v>0</v>
      </c>
      <c r="D41" s="2" t="str">
        <f>RawData!B41</f>
        <v>G</v>
      </c>
      <c r="E41" s="2" t="str">
        <f>RawData!E41</f>
        <v>Niemi</v>
      </c>
      <c r="F41" s="2">
        <f>(RawData!F41)*M41</f>
        <v>12.400000435965399</v>
      </c>
      <c r="G41" s="21">
        <f>RawData!H41</f>
        <v>7800</v>
      </c>
      <c r="H41">
        <f t="shared" si="2"/>
        <v>0</v>
      </c>
      <c r="I41">
        <f t="shared" si="2"/>
        <v>0</v>
      </c>
      <c r="J41">
        <f t="shared" ref="I41:L56" si="4">IF($D41=J$1,$C41*1,0)</f>
        <v>0</v>
      </c>
      <c r="K41">
        <f t="shared" si="4"/>
        <v>0</v>
      </c>
      <c r="L41">
        <f t="shared" si="4"/>
        <v>0</v>
      </c>
      <c r="M41" s="2">
        <f>IF(RawData!L41=0,1,0)</f>
        <v>1</v>
      </c>
    </row>
    <row r="42" spans="1:13" x14ac:dyDescent="0.25">
      <c r="A42">
        <f t="shared" si="0"/>
        <v>0</v>
      </c>
      <c r="B42">
        <f>IF(C42=0,0,A42&amp;" "&amp;COUNTIF($A$1:$A42,A42))</f>
        <v>0</v>
      </c>
      <c r="C42" s="1">
        <v>0</v>
      </c>
      <c r="D42" s="2" t="str">
        <f>RawData!B42</f>
        <v>G</v>
      </c>
      <c r="E42" s="2" t="str">
        <f>RawData!E42</f>
        <v>Neuvirth</v>
      </c>
      <c r="F42" s="2">
        <f>(RawData!F42)*M42</f>
        <v>0</v>
      </c>
      <c r="G42" s="21">
        <f>RawData!H42</f>
        <v>7800</v>
      </c>
      <c r="H42">
        <f t="shared" si="2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  <c r="M42" s="2">
        <f>IF(RawData!L42=0,1,0)</f>
        <v>0</v>
      </c>
    </row>
    <row r="43" spans="1:13" x14ac:dyDescent="0.25">
      <c r="A43">
        <f t="shared" si="0"/>
        <v>0</v>
      </c>
      <c r="B43">
        <f>IF(C43=0,0,A43&amp;" "&amp;COUNTIF($A$1:$A43,A43))</f>
        <v>0</v>
      </c>
      <c r="C43" s="1">
        <v>0</v>
      </c>
      <c r="D43" s="2" t="str">
        <f>RawData!B43</f>
        <v>G</v>
      </c>
      <c r="E43" s="2" t="str">
        <f>RawData!E43</f>
        <v>Nilsson</v>
      </c>
      <c r="F43" s="2">
        <f>(RawData!F43)*M43</f>
        <v>19.839999389648401</v>
      </c>
      <c r="G43" s="21">
        <f>RawData!H43</f>
        <v>7800</v>
      </c>
      <c r="H43">
        <f t="shared" si="2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  <c r="M43" s="2">
        <f>IF(RawData!L43=0,1,0)</f>
        <v>1</v>
      </c>
    </row>
    <row r="44" spans="1:13" x14ac:dyDescent="0.25">
      <c r="A44">
        <f t="shared" si="0"/>
        <v>0</v>
      </c>
      <c r="B44">
        <f>IF(C44=0,0,A44&amp;" "&amp;COUNTIF($A$1:$A44,A44))</f>
        <v>0</v>
      </c>
      <c r="C44" s="1">
        <v>0</v>
      </c>
      <c r="D44" s="2" t="str">
        <f>RawData!B44</f>
        <v>G</v>
      </c>
      <c r="E44" s="2" t="str">
        <f>RawData!E44</f>
        <v>Mrazek</v>
      </c>
      <c r="F44" s="2">
        <f>(RawData!F44)*M44</f>
        <v>13.703225412676399</v>
      </c>
      <c r="G44" s="21">
        <f>RawData!H44</f>
        <v>7700</v>
      </c>
      <c r="H44">
        <f t="shared" si="2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  <c r="M44" s="2">
        <f>IF(RawData!L44=0,1,0)</f>
        <v>1</v>
      </c>
    </row>
    <row r="45" spans="1:13" x14ac:dyDescent="0.25">
      <c r="A45">
        <f t="shared" si="0"/>
        <v>0</v>
      </c>
      <c r="B45">
        <f>IF(C45=0,0,A45&amp;" "&amp;COUNTIF($A$1:$A45,A45))</f>
        <v>0</v>
      </c>
      <c r="C45" s="1">
        <v>0</v>
      </c>
      <c r="D45" s="2" t="str">
        <f>RawData!B45</f>
        <v>G</v>
      </c>
      <c r="E45" s="2" t="str">
        <f>RawData!E45</f>
        <v>McElhinney</v>
      </c>
      <c r="F45" s="2">
        <f>(RawData!F45)*M45</f>
        <v>17.672726717862201</v>
      </c>
      <c r="G45" s="21">
        <f>RawData!H45</f>
        <v>7700</v>
      </c>
      <c r="H45">
        <f t="shared" si="2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  <c r="M45" s="2">
        <f>IF(RawData!L45=0,1,0)</f>
        <v>1</v>
      </c>
    </row>
    <row r="46" spans="1:13" x14ac:dyDescent="0.25">
      <c r="A46">
        <f t="shared" si="0"/>
        <v>0</v>
      </c>
      <c r="B46">
        <f>IF(C46=0,0,A46&amp;" "&amp;COUNTIF($A$1:$A46,A46))</f>
        <v>0</v>
      </c>
      <c r="C46" s="1">
        <v>0</v>
      </c>
      <c r="D46" s="2" t="str">
        <f>RawData!B46</f>
        <v>G</v>
      </c>
      <c r="E46" s="2" t="str">
        <f>RawData!E46</f>
        <v>Mason</v>
      </c>
      <c r="F46" s="2">
        <f>(RawData!F46)*M46</f>
        <v>13.209755502096</v>
      </c>
      <c r="G46" s="21">
        <f>RawData!H46</f>
        <v>7700</v>
      </c>
      <c r="H46">
        <f t="shared" si="2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 s="2">
        <f>IF(RawData!L46=0,1,0)</f>
        <v>1</v>
      </c>
    </row>
    <row r="47" spans="1:13" x14ac:dyDescent="0.25">
      <c r="A47">
        <f t="shared" si="0"/>
        <v>0</v>
      </c>
      <c r="B47">
        <f>IF(C47=0,0,A47&amp;" "&amp;COUNTIF($A$1:$A47,A47))</f>
        <v>0</v>
      </c>
      <c r="C47" s="1">
        <v>0</v>
      </c>
      <c r="D47" s="2" t="str">
        <f>RawData!B47</f>
        <v>C</v>
      </c>
      <c r="E47" s="2" t="str">
        <f>RawData!E47</f>
        <v>Carter</v>
      </c>
      <c r="F47" s="2">
        <f>(RawData!F47)*M47</f>
        <v>14.857407181351199</v>
      </c>
      <c r="G47" s="21">
        <f>RawData!H47</f>
        <v>7700</v>
      </c>
      <c r="H47">
        <f t="shared" si="2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  <c r="M47" s="2">
        <f>IF(RawData!L47=0,1,0)</f>
        <v>1</v>
      </c>
    </row>
    <row r="48" spans="1:13" x14ac:dyDescent="0.25">
      <c r="A48">
        <f t="shared" si="0"/>
        <v>0</v>
      </c>
      <c r="B48">
        <f>IF(C48=0,0,A48&amp;" "&amp;COUNTIF($A$1:$A48,A48))</f>
        <v>0</v>
      </c>
      <c r="C48" s="1">
        <v>0</v>
      </c>
      <c r="D48" s="2" t="str">
        <f>RawData!B48</f>
        <v>G</v>
      </c>
      <c r="E48" s="2" t="str">
        <f>RawData!E48</f>
        <v>Varlamov</v>
      </c>
      <c r="F48" s="2">
        <f>(RawData!F48)*M48</f>
        <v>0</v>
      </c>
      <c r="G48" s="21">
        <f>RawData!H48</f>
        <v>7700</v>
      </c>
      <c r="H48">
        <f t="shared" si="2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  <c r="M48" s="2">
        <f>IF(RawData!L48=0,1,0)</f>
        <v>0</v>
      </c>
    </row>
    <row r="49" spans="1:13" x14ac:dyDescent="0.25">
      <c r="A49">
        <f t="shared" si="0"/>
        <v>0</v>
      </c>
      <c r="B49">
        <f>IF(C49=0,0,A49&amp;" "&amp;COUNTIF($A$1:$A49,A49))</f>
        <v>0</v>
      </c>
      <c r="C49" s="1">
        <v>0</v>
      </c>
      <c r="D49" s="2" t="str">
        <f>RawData!B49</f>
        <v>G</v>
      </c>
      <c r="E49" s="2" t="str">
        <f>RawData!E49</f>
        <v>McIntyre</v>
      </c>
      <c r="F49" s="2">
        <f>(RawData!F49)*M49</f>
        <v>2.2999999523162802</v>
      </c>
      <c r="G49" s="21">
        <f>RawData!H49</f>
        <v>7600</v>
      </c>
      <c r="H49">
        <f t="shared" si="2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  <c r="M49" s="2">
        <f>IF(RawData!L49=0,1,0)</f>
        <v>1</v>
      </c>
    </row>
    <row r="50" spans="1:13" x14ac:dyDescent="0.25">
      <c r="A50">
        <f t="shared" si="0"/>
        <v>0</v>
      </c>
      <c r="B50">
        <f>IF(C50=0,0,A50&amp;" "&amp;COUNTIF($A$1:$A50,A50))</f>
        <v>0</v>
      </c>
      <c r="C50" s="1">
        <v>0</v>
      </c>
      <c r="D50" s="2" t="str">
        <f>RawData!B50</f>
        <v>G</v>
      </c>
      <c r="E50" s="2" t="str">
        <f>RawData!E50</f>
        <v>Howard</v>
      </c>
      <c r="F50" s="2">
        <f>(RawData!F50)*M50</f>
        <v>0</v>
      </c>
      <c r="G50" s="21">
        <f>RawData!H50</f>
        <v>7600</v>
      </c>
      <c r="H50">
        <f t="shared" si="2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  <c r="M50" s="2">
        <f>IF(RawData!L50=0,1,0)</f>
        <v>0</v>
      </c>
    </row>
    <row r="51" spans="1:13" x14ac:dyDescent="0.25">
      <c r="A51" t="str">
        <f t="shared" si="0"/>
        <v>W</v>
      </c>
      <c r="B51" t="str">
        <f>IF(C51=0,0,A51&amp;" "&amp;COUNTIF($A$1:$A51,A51))</f>
        <v>W 4</v>
      </c>
      <c r="C51" s="1">
        <v>1</v>
      </c>
      <c r="D51" s="2" t="str">
        <f>RawData!B51</f>
        <v>W</v>
      </c>
      <c r="E51" s="2" t="str">
        <f>RawData!E51</f>
        <v>Pavelski</v>
      </c>
      <c r="F51" s="2">
        <f>(RawData!F51)*M51</f>
        <v>15.1592588071469</v>
      </c>
      <c r="G51" s="21">
        <f>RawData!H51</f>
        <v>7600</v>
      </c>
      <c r="H51">
        <f t="shared" si="2"/>
        <v>0</v>
      </c>
      <c r="I51">
        <f t="shared" si="4"/>
        <v>1</v>
      </c>
      <c r="J51">
        <f t="shared" si="4"/>
        <v>0</v>
      </c>
      <c r="K51">
        <f t="shared" si="4"/>
        <v>0</v>
      </c>
      <c r="L51">
        <f t="shared" si="4"/>
        <v>0</v>
      </c>
      <c r="M51" s="2">
        <f>IF(RawData!L51=0,1,0)</f>
        <v>1</v>
      </c>
    </row>
    <row r="52" spans="1:13" x14ac:dyDescent="0.25">
      <c r="A52">
        <f t="shared" si="0"/>
        <v>0</v>
      </c>
      <c r="B52">
        <f>IF(C52=0,0,A52&amp;" "&amp;COUNTIF($A$1:$A52,A52))</f>
        <v>0</v>
      </c>
      <c r="C52" s="1">
        <v>0</v>
      </c>
      <c r="D52" s="2" t="str">
        <f>RawData!B52</f>
        <v>G</v>
      </c>
      <c r="E52" s="2" t="str">
        <f>RawData!E52</f>
        <v>Hammond</v>
      </c>
      <c r="F52" s="2">
        <f>(RawData!F52)*M52</f>
        <v>0.26666667064030902</v>
      </c>
      <c r="G52" s="21">
        <f>RawData!H52</f>
        <v>7500</v>
      </c>
      <c r="H52">
        <f t="shared" si="2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  <c r="M52" s="2">
        <f>IF(RawData!L52=0,1,0)</f>
        <v>1</v>
      </c>
    </row>
    <row r="53" spans="1:13" x14ac:dyDescent="0.25">
      <c r="A53">
        <f t="shared" si="0"/>
        <v>0</v>
      </c>
      <c r="B53">
        <f>IF(C53=0,0,A53&amp;" "&amp;COUNTIF($A$1:$A53,A53))</f>
        <v>0</v>
      </c>
      <c r="C53" s="1">
        <v>0</v>
      </c>
      <c r="D53" s="2" t="str">
        <f>RawData!B53</f>
        <v>G</v>
      </c>
      <c r="E53" s="2" t="str">
        <f>RawData!E53</f>
        <v>Forsberg</v>
      </c>
      <c r="F53" s="2">
        <f>(RawData!F53)*M53</f>
        <v>2.4000000953674299</v>
      </c>
      <c r="G53" s="21">
        <f>RawData!H53</f>
        <v>7500</v>
      </c>
      <c r="H53">
        <f t="shared" si="2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  <c r="M53" s="2">
        <f>IF(RawData!L53=0,1,0)</f>
        <v>1</v>
      </c>
    </row>
    <row r="54" spans="1:13" x14ac:dyDescent="0.25">
      <c r="A54">
        <f t="shared" si="0"/>
        <v>0</v>
      </c>
      <c r="B54">
        <f>IF(C54=0,0,A54&amp;" "&amp;COUNTIF($A$1:$A54,A54))</f>
        <v>0</v>
      </c>
      <c r="C54" s="1">
        <v>0</v>
      </c>
      <c r="D54" s="2" t="str">
        <f>RawData!B54</f>
        <v>W</v>
      </c>
      <c r="E54" s="2" t="str">
        <f>RawData!E54</f>
        <v>Pacioretty</v>
      </c>
      <c r="F54" s="2">
        <f>(RawData!F54)*M54</f>
        <v>13.841817959872101</v>
      </c>
      <c r="G54" s="21">
        <f>RawData!H54</f>
        <v>7500</v>
      </c>
      <c r="H54">
        <f t="shared" si="2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  <c r="M54" s="2">
        <f>IF(RawData!L54=0,1,0)</f>
        <v>1</v>
      </c>
    </row>
    <row r="55" spans="1:13" x14ac:dyDescent="0.25">
      <c r="A55">
        <f t="shared" si="0"/>
        <v>0</v>
      </c>
      <c r="B55">
        <f>IF(C55=0,0,A55&amp;" "&amp;COUNTIF($A$1:$A55,A55))</f>
        <v>0</v>
      </c>
      <c r="C55" s="1">
        <v>0</v>
      </c>
      <c r="D55" s="2" t="str">
        <f>RawData!B55</f>
        <v>W</v>
      </c>
      <c r="E55" s="2" t="str">
        <f>RawData!E55</f>
        <v>Marchand</v>
      </c>
      <c r="F55" s="2">
        <f>(RawData!F55)*M55</f>
        <v>15.461818625710199</v>
      </c>
      <c r="G55" s="21">
        <f>RawData!H55</f>
        <v>7500</v>
      </c>
      <c r="H55">
        <f t="shared" si="2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  <c r="M55" s="2">
        <f>IF(RawData!L55=0,1,0)</f>
        <v>1</v>
      </c>
    </row>
    <row r="56" spans="1:13" x14ac:dyDescent="0.25">
      <c r="A56">
        <f t="shared" si="0"/>
        <v>0</v>
      </c>
      <c r="B56">
        <f>IF(C56=0,0,A56&amp;" "&amp;COUNTIF($A$1:$A56,A56))</f>
        <v>0</v>
      </c>
      <c r="C56" s="1">
        <v>0</v>
      </c>
      <c r="D56" s="2" t="str">
        <f>RawData!B56</f>
        <v>G</v>
      </c>
      <c r="E56" s="2" t="str">
        <f>RawData!E56</f>
        <v>Korpisalo</v>
      </c>
      <c r="F56" s="2">
        <f>(RawData!F56)*M56</f>
        <v>15.2</v>
      </c>
      <c r="G56" s="21">
        <f>RawData!H56</f>
        <v>7500</v>
      </c>
      <c r="H56">
        <f t="shared" si="2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  <c r="M56" s="2">
        <f>IF(RawData!L56=0,1,0)</f>
        <v>1</v>
      </c>
    </row>
    <row r="57" spans="1:13" x14ac:dyDescent="0.25">
      <c r="A57">
        <f t="shared" si="0"/>
        <v>0</v>
      </c>
      <c r="B57">
        <f>IF(C57=0,0,A57&amp;" "&amp;COUNTIF($A$1:$A57,A57))</f>
        <v>0</v>
      </c>
      <c r="C57" s="1">
        <v>0</v>
      </c>
      <c r="D57" s="2" t="str">
        <f>RawData!B57</f>
        <v>G</v>
      </c>
      <c r="E57" s="2" t="str">
        <f>RawData!E57</f>
        <v>Bibeau</v>
      </c>
      <c r="F57" s="2">
        <f>(RawData!F57)*M57</f>
        <v>18.399999618530199</v>
      </c>
      <c r="G57" s="21">
        <f>RawData!H57</f>
        <v>7400</v>
      </c>
      <c r="H57">
        <f t="shared" si="2"/>
        <v>0</v>
      </c>
      <c r="I57">
        <f t="shared" ref="I57:L66" si="5">IF($D57=I$1,$C57*1,0)</f>
        <v>0</v>
      </c>
      <c r="J57">
        <f t="shared" si="5"/>
        <v>0</v>
      </c>
      <c r="K57">
        <f t="shared" si="5"/>
        <v>0</v>
      </c>
      <c r="L57">
        <f t="shared" si="5"/>
        <v>0</v>
      </c>
      <c r="M57" s="2">
        <f>IF(RawData!L57=0,1,0)</f>
        <v>1</v>
      </c>
    </row>
    <row r="58" spans="1:13" x14ac:dyDescent="0.25">
      <c r="A58">
        <f t="shared" si="0"/>
        <v>0</v>
      </c>
      <c r="B58">
        <f>IF(C58=0,0,A58&amp;" "&amp;COUNTIF($A$1:$A58,A58))</f>
        <v>0</v>
      </c>
      <c r="C58" s="1">
        <v>0</v>
      </c>
      <c r="D58" s="2" t="str">
        <f>RawData!B58</f>
        <v>C</v>
      </c>
      <c r="E58" s="2" t="str">
        <f>RawData!E58</f>
        <v>Giroux</v>
      </c>
      <c r="F58" s="2">
        <f>(RawData!F58)*M58</f>
        <v>11.6999997739438</v>
      </c>
      <c r="G58" s="21">
        <f>RawData!H58</f>
        <v>7400</v>
      </c>
      <c r="H58">
        <f t="shared" si="2"/>
        <v>0</v>
      </c>
      <c r="I58">
        <f t="shared" si="5"/>
        <v>0</v>
      </c>
      <c r="J58">
        <f t="shared" si="5"/>
        <v>0</v>
      </c>
      <c r="K58">
        <f t="shared" si="5"/>
        <v>0</v>
      </c>
      <c r="L58">
        <f t="shared" si="5"/>
        <v>0</v>
      </c>
      <c r="M58" s="2">
        <f>IF(RawData!L58=0,1,0)</f>
        <v>1</v>
      </c>
    </row>
    <row r="59" spans="1:13" x14ac:dyDescent="0.25">
      <c r="A59">
        <f t="shared" si="0"/>
        <v>0</v>
      </c>
      <c r="B59">
        <f>IF(C59=0,0,A59&amp;" "&amp;COUNTIF($A$1:$A59,A59))</f>
        <v>0</v>
      </c>
      <c r="C59" s="1">
        <v>0</v>
      </c>
      <c r="D59" s="2" t="str">
        <f>RawData!B59</f>
        <v>G</v>
      </c>
      <c r="E59" s="2" t="str">
        <f>RawData!E59</f>
        <v>Pickard</v>
      </c>
      <c r="F59" s="2">
        <f>(RawData!F59)*M59</f>
        <v>15.1076918381911</v>
      </c>
      <c r="G59" s="21">
        <f>RawData!H59</f>
        <v>7400</v>
      </c>
      <c r="H59">
        <f t="shared" si="2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  <c r="M59" s="2">
        <f>IF(RawData!L59=0,1,0)</f>
        <v>1</v>
      </c>
    </row>
    <row r="60" spans="1:13" x14ac:dyDescent="0.25">
      <c r="A60">
        <f t="shared" si="0"/>
        <v>0</v>
      </c>
      <c r="B60">
        <f>IF(C60=0,0,A60&amp;" "&amp;COUNTIF($A$1:$A60,A60))</f>
        <v>0</v>
      </c>
      <c r="C60" s="1">
        <v>0</v>
      </c>
      <c r="D60" s="2" t="str">
        <f>RawData!B60</f>
        <v>G</v>
      </c>
      <c r="E60" s="2" t="str">
        <f>RawData!E60</f>
        <v>Berube</v>
      </c>
      <c r="F60" s="2">
        <f>(RawData!F60)*M60</f>
        <v>7.8857143947056301</v>
      </c>
      <c r="G60" s="21">
        <f>RawData!H60</f>
        <v>7400</v>
      </c>
      <c r="H60">
        <f t="shared" si="2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  <c r="M60" s="2">
        <f>IF(RawData!L60=0,1,0)</f>
        <v>1</v>
      </c>
    </row>
    <row r="61" spans="1:13" x14ac:dyDescent="0.25">
      <c r="A61">
        <f t="shared" si="0"/>
        <v>0</v>
      </c>
      <c r="B61">
        <f>IF(C61=0,0,A61&amp;" "&amp;COUNTIF($A$1:$A61,A61))</f>
        <v>0</v>
      </c>
      <c r="C61" s="1">
        <v>0</v>
      </c>
      <c r="D61" s="2" t="str">
        <f>RawData!B61</f>
        <v>W</v>
      </c>
      <c r="E61" s="2" t="str">
        <f>RawData!E61</f>
        <v>van Riemsdyk</v>
      </c>
      <c r="F61" s="2">
        <f>(RawData!F61)*M61</f>
        <v>13.359615619365901</v>
      </c>
      <c r="G61" s="21">
        <f>RawData!H61</f>
        <v>7400</v>
      </c>
      <c r="H61">
        <f t="shared" si="2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  <c r="M61" s="2">
        <f>IF(RawData!L61=0,1,0)</f>
        <v>1</v>
      </c>
    </row>
    <row r="62" spans="1:13" x14ac:dyDescent="0.25">
      <c r="A62">
        <f t="shared" si="0"/>
        <v>0</v>
      </c>
      <c r="B62">
        <f>IF(C62=0,0,A62&amp;" "&amp;COUNTIF($A$1:$A62,A62))</f>
        <v>0</v>
      </c>
      <c r="C62" s="1">
        <v>0</v>
      </c>
      <c r="D62" s="2" t="str">
        <f>RawData!B62</f>
        <v>G</v>
      </c>
      <c r="E62" s="2" t="str">
        <f>RawData!E62</f>
        <v>Zatkoff</v>
      </c>
      <c r="F62" s="2">
        <f>(RawData!F62)*M62</f>
        <v>5.6000002347505999</v>
      </c>
      <c r="G62" s="21">
        <f>RawData!H62</f>
        <v>7400</v>
      </c>
      <c r="H62">
        <f t="shared" si="2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  <c r="M62" s="2">
        <f>IF(RawData!L62=0,1,0)</f>
        <v>1</v>
      </c>
    </row>
    <row r="63" spans="1:13" x14ac:dyDescent="0.25">
      <c r="A63">
        <f t="shared" si="0"/>
        <v>0</v>
      </c>
      <c r="B63">
        <f>IF(C63=0,0,A63&amp;" "&amp;COUNTIF($A$1:$A63,A63))</f>
        <v>0</v>
      </c>
      <c r="C63" s="1">
        <v>0</v>
      </c>
      <c r="D63" s="2" t="str">
        <f>RawData!B63</f>
        <v>G</v>
      </c>
      <c r="E63" s="2" t="str">
        <f>RawData!E63</f>
        <v>Mazanec</v>
      </c>
      <c r="F63" s="2">
        <f>(RawData!F63)*M63</f>
        <v>0.60000002384185702</v>
      </c>
      <c r="G63" s="21">
        <f>RawData!H63</f>
        <v>7400</v>
      </c>
      <c r="H63">
        <f t="shared" si="2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  <c r="M63" s="2">
        <f>IF(RawData!L63=0,1,0)</f>
        <v>1</v>
      </c>
    </row>
    <row r="64" spans="1:13" x14ac:dyDescent="0.25">
      <c r="A64">
        <f t="shared" si="0"/>
        <v>0</v>
      </c>
      <c r="B64">
        <f>IF(C64=0,0,A64&amp;" "&amp;COUNTIF($A$1:$A64,A64))</f>
        <v>0</v>
      </c>
      <c r="C64" s="1">
        <v>0</v>
      </c>
      <c r="D64" s="2" t="str">
        <f>RawData!B64</f>
        <v>G</v>
      </c>
      <c r="E64" s="2" t="str">
        <f>RawData!E64</f>
        <v>Enroth</v>
      </c>
      <c r="F64" s="2">
        <f>(RawData!F64)*M64</f>
        <v>4.3999999364217102</v>
      </c>
      <c r="G64" s="21">
        <f>RawData!H64</f>
        <v>7400</v>
      </c>
      <c r="H64">
        <f t="shared" si="2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  <c r="M64" s="2">
        <f>IF(RawData!L64=0,1,0)</f>
        <v>1</v>
      </c>
    </row>
    <row r="65" spans="1:13" x14ac:dyDescent="0.25">
      <c r="A65">
        <f t="shared" si="0"/>
        <v>0</v>
      </c>
      <c r="B65">
        <f>IF(C65=0,0,A65&amp;" "&amp;COUNTIF($A$1:$A65,A65))</f>
        <v>0</v>
      </c>
      <c r="C65" s="1">
        <v>0</v>
      </c>
      <c r="D65" s="2" t="str">
        <f>RawData!B65</f>
        <v>G</v>
      </c>
      <c r="E65" s="2" t="str">
        <f>RawData!E65</f>
        <v>Domingue</v>
      </c>
      <c r="F65" s="2">
        <f>(RawData!F65)*M65</f>
        <v>10.7047620500837</v>
      </c>
      <c r="G65" s="21">
        <f>RawData!H65</f>
        <v>7300</v>
      </c>
      <c r="H65">
        <f t="shared" si="2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  <c r="M65" s="2">
        <f>IF(RawData!L65=0,1,0)</f>
        <v>1</v>
      </c>
    </row>
    <row r="66" spans="1:13" x14ac:dyDescent="0.25">
      <c r="A66">
        <f t="shared" ref="A66:A101" si="6">IF(C66=1,D66,0)</f>
        <v>0</v>
      </c>
      <c r="B66">
        <f>IF(C66=0,0,A66&amp;" "&amp;COUNTIF($A$1:$A66,A66))</f>
        <v>0</v>
      </c>
      <c r="C66" s="1">
        <v>0</v>
      </c>
      <c r="D66" s="2" t="str">
        <f>RawData!B66</f>
        <v>C</v>
      </c>
      <c r="E66" s="2" t="str">
        <f>RawData!E66</f>
        <v>Matthews</v>
      </c>
      <c r="F66" s="2">
        <f>(RawData!F66)*M66</f>
        <v>15.7307692307692</v>
      </c>
      <c r="G66" s="21">
        <f>RawData!H66</f>
        <v>7300</v>
      </c>
      <c r="H66">
        <f t="shared" si="2"/>
        <v>0</v>
      </c>
      <c r="I66">
        <f t="shared" si="5"/>
        <v>0</v>
      </c>
      <c r="J66">
        <f t="shared" si="5"/>
        <v>0</v>
      </c>
      <c r="K66">
        <f t="shared" si="5"/>
        <v>0</v>
      </c>
      <c r="L66">
        <f t="shared" si="5"/>
        <v>0</v>
      </c>
      <c r="M66" s="2">
        <f>IF(RawData!L66=0,1,0)</f>
        <v>1</v>
      </c>
    </row>
    <row r="67" spans="1:13" x14ac:dyDescent="0.25">
      <c r="A67">
        <f t="shared" si="6"/>
        <v>0</v>
      </c>
      <c r="B67">
        <f>IF(C67=0,0,A67&amp;" "&amp;COUNTIF($A$1:$A67,A67))</f>
        <v>0</v>
      </c>
      <c r="C67" s="1">
        <v>0</v>
      </c>
      <c r="D67" s="2" t="str">
        <f>RawData!B67</f>
        <v>W</v>
      </c>
      <c r="E67" s="2" t="str">
        <f>RawData!E67</f>
        <v>Kessel</v>
      </c>
      <c r="F67" s="2">
        <f>(RawData!F67)*M67</f>
        <v>14.113462007962699</v>
      </c>
      <c r="G67" s="21">
        <f>RawData!H67</f>
        <v>7300</v>
      </c>
      <c r="H67">
        <f t="shared" ref="H67:L101" si="7">IF($D67=H$1,$C67*1,0)</f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  <c r="M67" s="2">
        <f>IF(RawData!L67=0,1,0)</f>
        <v>1</v>
      </c>
    </row>
    <row r="68" spans="1:13" x14ac:dyDescent="0.25">
      <c r="A68">
        <f t="shared" si="6"/>
        <v>0</v>
      </c>
      <c r="B68">
        <f>IF(C68=0,0,A68&amp;" "&amp;COUNTIF($A$1:$A68,A68))</f>
        <v>0</v>
      </c>
      <c r="C68" s="1">
        <v>0</v>
      </c>
      <c r="D68" s="2" t="str">
        <f>RawData!B68</f>
        <v>C</v>
      </c>
      <c r="E68" s="2" t="str">
        <f>RawData!E68</f>
        <v>Eichel</v>
      </c>
      <c r="F68" s="2">
        <f>(RawData!F68)*M68</f>
        <v>15.471875190734799</v>
      </c>
      <c r="G68" s="21">
        <f>RawData!H68</f>
        <v>7300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  <c r="M68" s="2">
        <f>IF(RawData!L68=0,1,0)</f>
        <v>1</v>
      </c>
    </row>
    <row r="69" spans="1:13" x14ac:dyDescent="0.25">
      <c r="A69">
        <f t="shared" si="6"/>
        <v>0</v>
      </c>
      <c r="B69">
        <f>IF(C69=0,0,A69&amp;" "&amp;COUNTIF($A$1:$A69,A69))</f>
        <v>0</v>
      </c>
      <c r="C69" s="1">
        <v>0</v>
      </c>
      <c r="D69" s="2" t="str">
        <f>RawData!B69</f>
        <v>G</v>
      </c>
      <c r="E69" s="2" t="str">
        <f>RawData!E69</f>
        <v>Martin</v>
      </c>
      <c r="F69" s="2">
        <f>(RawData!F69)*M69</f>
        <v>4.7999998728434203</v>
      </c>
      <c r="G69" s="21">
        <f>RawData!H69</f>
        <v>7300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  <c r="M69" s="2">
        <f>IF(RawData!L69=0,1,0)</f>
        <v>1</v>
      </c>
    </row>
    <row r="70" spans="1:13" x14ac:dyDescent="0.25">
      <c r="A70">
        <f t="shared" si="6"/>
        <v>0</v>
      </c>
      <c r="B70">
        <f>IF(C70=0,0,A70&amp;" "&amp;COUNTIF($A$1:$A70,A70))</f>
        <v>0</v>
      </c>
      <c r="C70" s="1">
        <v>0</v>
      </c>
      <c r="D70" s="2" t="str">
        <f>RawData!B70</f>
        <v>C</v>
      </c>
      <c r="E70" s="2" t="str">
        <f>RawData!E70</f>
        <v>Getzlaf</v>
      </c>
      <c r="F70" s="2">
        <f>(RawData!F70)*M70</f>
        <v>12.097916920979801</v>
      </c>
      <c r="G70" s="21">
        <f>RawData!H70</f>
        <v>7300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 s="2">
        <f>IF(RawData!L70=0,1,0)</f>
        <v>1</v>
      </c>
    </row>
    <row r="71" spans="1:13" x14ac:dyDescent="0.25">
      <c r="A71">
        <f t="shared" si="6"/>
        <v>0</v>
      </c>
      <c r="B71">
        <f>IF(C71=0,0,A71&amp;" "&amp;COUNTIF($A$1:$A71,A71))</f>
        <v>0</v>
      </c>
      <c r="C71" s="1">
        <v>0</v>
      </c>
      <c r="D71" s="2" t="str">
        <f>RawData!B71</f>
        <v>G</v>
      </c>
      <c r="E71" s="2" t="str">
        <f>RawData!E71</f>
        <v>Tokarski</v>
      </c>
      <c r="F71" s="2">
        <f>(RawData!F71)*M71</f>
        <v>4</v>
      </c>
      <c r="G71" s="21">
        <f>RawData!H71</f>
        <v>7200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 s="2">
        <f>IF(RawData!L71=0,1,0)</f>
        <v>1</v>
      </c>
    </row>
    <row r="72" spans="1:13" x14ac:dyDescent="0.25">
      <c r="A72">
        <f t="shared" si="6"/>
        <v>0</v>
      </c>
      <c r="B72">
        <f>IF(C72=0,0,A72&amp;" "&amp;COUNTIF($A$1:$A72,A72))</f>
        <v>0</v>
      </c>
      <c r="C72" s="1">
        <v>0</v>
      </c>
      <c r="D72" s="2" t="str">
        <f>RawData!B72</f>
        <v>W</v>
      </c>
      <c r="E72" s="2" t="str">
        <f>RawData!E72</f>
        <v>Forsberg</v>
      </c>
      <c r="F72" s="2">
        <f>(RawData!F72)*M72</f>
        <v>11.2886790149616</v>
      </c>
      <c r="G72" s="21">
        <f>RawData!H72</f>
        <v>7200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 s="2">
        <f>IF(RawData!L72=0,1,0)</f>
        <v>1</v>
      </c>
    </row>
    <row r="73" spans="1:13" x14ac:dyDescent="0.25">
      <c r="A73">
        <f t="shared" si="6"/>
        <v>0</v>
      </c>
      <c r="B73">
        <f>IF(C73=0,0,A73&amp;" "&amp;COUNTIF($A$1:$A73,A73))</f>
        <v>0</v>
      </c>
      <c r="C73" s="1">
        <v>0</v>
      </c>
      <c r="D73" s="2" t="str">
        <f>RawData!B73</f>
        <v>D</v>
      </c>
      <c r="E73" s="2" t="str">
        <f>RawData!E73</f>
        <v>Karlsson</v>
      </c>
      <c r="F73" s="2">
        <f>(RawData!F73)*M73</f>
        <v>15.8823529411764</v>
      </c>
      <c r="G73" s="21">
        <f>RawData!H73</f>
        <v>7200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 s="2">
        <f>IF(RawData!L73=0,1,0)</f>
        <v>1</v>
      </c>
    </row>
    <row r="74" spans="1:13" x14ac:dyDescent="0.25">
      <c r="A74">
        <f t="shared" si="6"/>
        <v>0</v>
      </c>
      <c r="B74">
        <f>IF(C74=0,0,A74&amp;" "&amp;COUNTIF($A$1:$A74,A74))</f>
        <v>0</v>
      </c>
      <c r="C74" s="1">
        <v>0</v>
      </c>
      <c r="D74" s="2" t="str">
        <f>RawData!B74</f>
        <v>W</v>
      </c>
      <c r="E74" s="2" t="str">
        <f>RawData!E74</f>
        <v>Atkinson</v>
      </c>
      <c r="F74" s="2">
        <f>(RawData!F74)*M74</f>
        <v>14.9980773925781</v>
      </c>
      <c r="G74" s="21">
        <f>RawData!H74</f>
        <v>7200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 s="2">
        <f>IF(RawData!L74=0,1,0)</f>
        <v>1</v>
      </c>
    </row>
    <row r="75" spans="1:13" x14ac:dyDescent="0.25">
      <c r="A75">
        <f t="shared" si="6"/>
        <v>0</v>
      </c>
      <c r="B75">
        <f>IF(C75=0,0,A75&amp;" "&amp;COUNTIF($A$1:$A75,A75))</f>
        <v>0</v>
      </c>
      <c r="C75" s="1">
        <v>0</v>
      </c>
      <c r="D75" s="2" t="str">
        <f>RawData!B75</f>
        <v>G</v>
      </c>
      <c r="E75" s="2" t="str">
        <f>RawData!E75</f>
        <v>Copley</v>
      </c>
      <c r="F75" s="2">
        <f>(RawData!F75)*M75</f>
        <v>-0.80000001192092896</v>
      </c>
      <c r="G75" s="21">
        <f>RawData!H75</f>
        <v>7200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 s="2">
        <f>IF(RawData!L75=0,1,0)</f>
        <v>1</v>
      </c>
    </row>
    <row r="76" spans="1:13" x14ac:dyDescent="0.25">
      <c r="A76">
        <f t="shared" si="6"/>
        <v>0</v>
      </c>
      <c r="B76">
        <f>IF(C76=0,0,A76&amp;" "&amp;COUNTIF($A$1:$A76,A76))</f>
        <v>0</v>
      </c>
      <c r="C76" s="1">
        <v>0</v>
      </c>
      <c r="D76" s="2" t="str">
        <f>RawData!B76</f>
        <v>C</v>
      </c>
      <c r="E76" s="2" t="str">
        <f>RawData!E76</f>
        <v>Kuznetsov</v>
      </c>
      <c r="F76" s="2">
        <f>(RawData!F76)*M76</f>
        <v>10.829629403573399</v>
      </c>
      <c r="G76" s="21">
        <f>RawData!H76</f>
        <v>7100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 s="2">
        <f>IF(RawData!L76=0,1,0)</f>
        <v>1</v>
      </c>
    </row>
    <row r="77" spans="1:13" x14ac:dyDescent="0.25">
      <c r="A77">
        <f t="shared" si="6"/>
        <v>0</v>
      </c>
      <c r="B77">
        <f>IF(C77=0,0,A77&amp;" "&amp;COUNTIF($A$1:$A77,A77))</f>
        <v>0</v>
      </c>
      <c r="C77" s="1">
        <v>0</v>
      </c>
      <c r="D77" s="2" t="str">
        <f>RawData!B77</f>
        <v>D</v>
      </c>
      <c r="E77" s="2" t="str">
        <f>RawData!E77</f>
        <v>Letang</v>
      </c>
      <c r="F77" s="2">
        <f>(RawData!F77)*M77</f>
        <v>14.647058823529401</v>
      </c>
      <c r="G77" s="21">
        <f>RawData!H77</f>
        <v>7100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 s="2">
        <f>IF(RawData!L77=0,1,0)</f>
        <v>1</v>
      </c>
    </row>
    <row r="78" spans="1:13" x14ac:dyDescent="0.25">
      <c r="A78">
        <f t="shared" si="6"/>
        <v>0</v>
      </c>
      <c r="B78">
        <f>IF(C78=0,0,A78&amp;" "&amp;COUNTIF($A$1:$A78,A78))</f>
        <v>0</v>
      </c>
      <c r="C78" s="1">
        <v>0</v>
      </c>
      <c r="D78" s="2" t="str">
        <f>RawData!B78</f>
        <v>W</v>
      </c>
      <c r="E78" s="2" t="str">
        <f>RawData!E78</f>
        <v>Hornqvist</v>
      </c>
      <c r="F78" s="2">
        <f>(RawData!F78)*M78</f>
        <v>13.4000005307404</v>
      </c>
      <c r="G78" s="21">
        <f>RawData!H78</f>
        <v>7100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 s="2">
        <f>IF(RawData!L78=0,1,0)</f>
        <v>1</v>
      </c>
    </row>
    <row r="79" spans="1:13" x14ac:dyDescent="0.25">
      <c r="A79">
        <f t="shared" si="6"/>
        <v>0</v>
      </c>
      <c r="B79">
        <f>IF(C79=0,0,A79&amp;" "&amp;COUNTIF($A$1:$A79,A79))</f>
        <v>0</v>
      </c>
      <c r="C79" s="1">
        <v>0</v>
      </c>
      <c r="D79" s="2" t="str">
        <f>RawData!B79</f>
        <v>C</v>
      </c>
      <c r="E79" s="2" t="str">
        <f>RawData!E79</f>
        <v>Couture</v>
      </c>
      <c r="F79" s="2">
        <f>(RawData!F79)*M79</f>
        <v>12.839622641509401</v>
      </c>
      <c r="G79" s="21">
        <f>RawData!H79</f>
        <v>7000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  <c r="M79" s="2">
        <f>IF(RawData!L79=0,1,0)</f>
        <v>1</v>
      </c>
    </row>
    <row r="80" spans="1:13" x14ac:dyDescent="0.25">
      <c r="A80">
        <f t="shared" si="6"/>
        <v>0</v>
      </c>
      <c r="B80">
        <f>IF(C80=0,0,A80&amp;" "&amp;COUNTIF($A$1:$A80,A80))</f>
        <v>0</v>
      </c>
      <c r="C80" s="1">
        <v>0</v>
      </c>
      <c r="D80" s="2" t="str">
        <f>RawData!B80</f>
        <v>C</v>
      </c>
      <c r="E80" s="2" t="str">
        <f>RawData!E80</f>
        <v>Bergeron</v>
      </c>
      <c r="F80" s="2">
        <f>(RawData!F80)*M80</f>
        <v>12.649999765249399</v>
      </c>
      <c r="G80" s="21">
        <f>RawData!H80</f>
        <v>7000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  <c r="M80" s="2">
        <f>IF(RawData!L80=0,1,0)</f>
        <v>1</v>
      </c>
    </row>
    <row r="81" spans="1:13" x14ac:dyDescent="0.25">
      <c r="A81">
        <f t="shared" si="6"/>
        <v>0</v>
      </c>
      <c r="B81">
        <f>IF(C81=0,0,A81&amp;" "&amp;COUNTIF($A$1:$A81,A81))</f>
        <v>0</v>
      </c>
      <c r="C81" s="1">
        <v>0</v>
      </c>
      <c r="D81" s="2" t="str">
        <f>RawData!B81</f>
        <v>W</v>
      </c>
      <c r="E81" s="2" t="str">
        <f>RawData!E81</f>
        <v>Oshie</v>
      </c>
      <c r="F81" s="2">
        <f>(RawData!F81)*M81</f>
        <v>12.691110568576301</v>
      </c>
      <c r="G81" s="21">
        <f>RawData!H81</f>
        <v>6900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  <c r="M81" s="2">
        <f>IF(RawData!L81=0,1,0)</f>
        <v>1</v>
      </c>
    </row>
    <row r="82" spans="1:13" x14ac:dyDescent="0.25">
      <c r="A82">
        <f t="shared" si="6"/>
        <v>0</v>
      </c>
      <c r="B82">
        <f>IF(C82=0,0,A82&amp;" "&amp;COUNTIF($A$1:$A82,A82))</f>
        <v>0</v>
      </c>
      <c r="C82" s="1">
        <v>0</v>
      </c>
      <c r="D82" s="2" t="str">
        <f>RawData!B82</f>
        <v>W</v>
      </c>
      <c r="E82" s="2" t="str">
        <f>RawData!E82</f>
        <v>Hoffman</v>
      </c>
      <c r="F82" s="2">
        <f>(RawData!F82)*M82</f>
        <v>13.6804345172384</v>
      </c>
      <c r="G82" s="21">
        <f>RawData!H82</f>
        <v>6800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  <c r="M82" s="2">
        <f>IF(RawData!L82=0,1,0)</f>
        <v>1</v>
      </c>
    </row>
    <row r="83" spans="1:13" x14ac:dyDescent="0.25">
      <c r="A83">
        <f t="shared" si="6"/>
        <v>0</v>
      </c>
      <c r="B83">
        <f>IF(C83=0,0,A83&amp;" "&amp;COUNTIF($A$1:$A83,A83))</f>
        <v>0</v>
      </c>
      <c r="C83" s="1">
        <v>0</v>
      </c>
      <c r="D83" s="2" t="str">
        <f>RawData!B83</f>
        <v>W</v>
      </c>
      <c r="E83" s="2" t="str">
        <f>RawData!E83</f>
        <v>Marner</v>
      </c>
      <c r="F83" s="2">
        <f>(RawData!F83)*M83</f>
        <v>13.2115384615384</v>
      </c>
      <c r="G83" s="21">
        <f>RawData!H83</f>
        <v>6800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  <c r="M83" s="2">
        <f>IF(RawData!L83=0,1,0)</f>
        <v>1</v>
      </c>
    </row>
    <row r="84" spans="1:13" x14ac:dyDescent="0.25">
      <c r="A84">
        <f t="shared" si="6"/>
        <v>0</v>
      </c>
      <c r="B84">
        <f>IF(C84=0,0,A84&amp;" "&amp;COUNTIF($A$1:$A84,A84))</f>
        <v>0</v>
      </c>
      <c r="C84" s="1">
        <v>0</v>
      </c>
      <c r="D84" s="2" t="str">
        <f>RawData!B84</f>
        <v>W</v>
      </c>
      <c r="E84" s="2" t="str">
        <f>RawData!E84</f>
        <v>Simmonds</v>
      </c>
      <c r="F84" s="2">
        <f>(RawData!F84)*M84</f>
        <v>12.574074074074</v>
      </c>
      <c r="G84" s="21">
        <f>RawData!H84</f>
        <v>6800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  <c r="M84" s="2">
        <f>IF(RawData!L84=0,1,0)</f>
        <v>1</v>
      </c>
    </row>
    <row r="85" spans="1:13" x14ac:dyDescent="0.25">
      <c r="A85">
        <f t="shared" si="6"/>
        <v>0</v>
      </c>
      <c r="B85">
        <f>IF(C85=0,0,A85&amp;" "&amp;COUNTIF($A$1:$A85,A85))</f>
        <v>0</v>
      </c>
      <c r="C85" s="1">
        <v>0</v>
      </c>
      <c r="D85" s="2" t="str">
        <f>RawData!B85</f>
        <v>C</v>
      </c>
      <c r="E85" s="2" t="str">
        <f>RawData!E85</f>
        <v>Barkov</v>
      </c>
      <c r="F85" s="2">
        <f>(RawData!F85)*M85</f>
        <v>11.791891561972101</v>
      </c>
      <c r="G85" s="21">
        <f>RawData!H85</f>
        <v>6800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  <c r="M85" s="2">
        <f>IF(RawData!L85=0,1,0)</f>
        <v>1</v>
      </c>
    </row>
    <row r="86" spans="1:13" x14ac:dyDescent="0.25">
      <c r="A86">
        <f t="shared" si="6"/>
        <v>0</v>
      </c>
      <c r="B86">
        <f>IF(C86=0,0,A86&amp;" "&amp;COUNTIF($A$1:$A86,A86))</f>
        <v>0</v>
      </c>
      <c r="C86" s="1">
        <v>0</v>
      </c>
      <c r="D86" s="2" t="str">
        <f>RawData!B86</f>
        <v>C</v>
      </c>
      <c r="E86" s="2" t="str">
        <f>RawData!E86</f>
        <v>Backstrom</v>
      </c>
      <c r="F86" s="2">
        <f>(RawData!F86)*M86</f>
        <v>12.8611111111111</v>
      </c>
      <c r="G86" s="21">
        <f>RawData!H86</f>
        <v>6800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  <c r="M86" s="2">
        <f>IF(RawData!L86=0,1,0)</f>
        <v>1</v>
      </c>
    </row>
    <row r="87" spans="1:13" x14ac:dyDescent="0.25">
      <c r="A87">
        <f t="shared" si="6"/>
        <v>0</v>
      </c>
      <c r="B87">
        <f>IF(C87=0,0,A87&amp;" "&amp;COUNTIF($A$1:$A87,A87))</f>
        <v>0</v>
      </c>
      <c r="C87" s="1">
        <v>0</v>
      </c>
      <c r="D87" s="2" t="str">
        <f>RawData!B87</f>
        <v>C</v>
      </c>
      <c r="E87" s="2" t="str">
        <f>RawData!E87</f>
        <v>Kadri</v>
      </c>
      <c r="F87" s="2">
        <f>(RawData!F87)*M87</f>
        <v>13.036538931039599</v>
      </c>
      <c r="G87" s="21">
        <f>RawData!H87</f>
        <v>6800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  <c r="M87" s="2">
        <f>IF(RawData!L87=0,1,0)</f>
        <v>1</v>
      </c>
    </row>
    <row r="88" spans="1:13" x14ac:dyDescent="0.25">
      <c r="A88">
        <f t="shared" si="6"/>
        <v>0</v>
      </c>
      <c r="B88">
        <f>IF(C88=0,0,A88&amp;" "&amp;COUNTIF($A$1:$A88,A88))</f>
        <v>0</v>
      </c>
      <c r="C88" s="1">
        <v>0</v>
      </c>
      <c r="D88" s="2" t="str">
        <f>RawData!B88</f>
        <v>W</v>
      </c>
      <c r="E88" s="2" t="str">
        <f>RawData!E88</f>
        <v>Pastrnak</v>
      </c>
      <c r="F88" s="2">
        <f>(RawData!F88)*M88</f>
        <v>15.691666920979801</v>
      </c>
      <c r="G88" s="21">
        <f>RawData!H88</f>
        <v>6800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  <c r="M88" s="2">
        <f>IF(RawData!L88=0,1,0)</f>
        <v>1</v>
      </c>
    </row>
    <row r="89" spans="1:13" x14ac:dyDescent="0.25">
      <c r="A89">
        <f t="shared" si="6"/>
        <v>0</v>
      </c>
      <c r="B89">
        <f>IF(C89=0,0,A89&amp;" "&amp;COUNTIF($A$1:$A89,A89))</f>
        <v>0</v>
      </c>
      <c r="C89" s="1">
        <v>0</v>
      </c>
      <c r="D89" s="2" t="str">
        <f>RawData!B89</f>
        <v>W</v>
      </c>
      <c r="E89" s="2" t="str">
        <f>RawData!E89</f>
        <v>Radulov</v>
      </c>
      <c r="F89" s="2">
        <f>(RawData!F89)*M89</f>
        <v>11.1150938789799</v>
      </c>
      <c r="G89" s="21">
        <f>RawData!H89</f>
        <v>6700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  <c r="M89" s="2">
        <f>IF(RawData!L89=0,1,0)</f>
        <v>1</v>
      </c>
    </row>
    <row r="90" spans="1:13" x14ac:dyDescent="0.25">
      <c r="A90">
        <f t="shared" si="6"/>
        <v>0</v>
      </c>
      <c r="B90">
        <f>IF(C90=0,0,A90&amp;" "&amp;COUNTIF($A$1:$A90,A90))</f>
        <v>0</v>
      </c>
      <c r="C90" s="1">
        <v>0</v>
      </c>
      <c r="D90" s="2" t="str">
        <f>RawData!B90</f>
        <v>W</v>
      </c>
      <c r="E90" s="2" t="str">
        <f>RawData!E90</f>
        <v>Neal</v>
      </c>
      <c r="F90" s="2">
        <f>(RawData!F90)*M90</f>
        <v>11.5409088134765</v>
      </c>
      <c r="G90" s="21">
        <f>RawData!H90</f>
        <v>6700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  <c r="M90" s="2">
        <f>IF(RawData!L90=0,1,0)</f>
        <v>1</v>
      </c>
    </row>
    <row r="91" spans="1:13" x14ac:dyDescent="0.25">
      <c r="A91">
        <f t="shared" si="6"/>
        <v>0</v>
      </c>
      <c r="B91">
        <f>IF(C91=0,0,A91&amp;" "&amp;COUNTIF($A$1:$A91,A91))</f>
        <v>0</v>
      </c>
      <c r="C91" s="1">
        <v>0</v>
      </c>
      <c r="D91" s="2" t="str">
        <f>RawData!B91</f>
        <v>C</v>
      </c>
      <c r="E91" s="2" t="str">
        <f>RawData!E91</f>
        <v>Kopitar</v>
      </c>
      <c r="F91" s="2">
        <f>(RawData!F91)*M91</f>
        <v>10.435416539509999</v>
      </c>
      <c r="G91" s="21">
        <f>RawData!H91</f>
        <v>6700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  <c r="M91" s="2">
        <f>IF(RawData!L91=0,1,0)</f>
        <v>1</v>
      </c>
    </row>
    <row r="92" spans="1:13" x14ac:dyDescent="0.25">
      <c r="A92">
        <f t="shared" si="6"/>
        <v>0</v>
      </c>
      <c r="B92">
        <f>IF(C92=0,0,A92&amp;" "&amp;COUNTIF($A$1:$A92,A92))</f>
        <v>0</v>
      </c>
      <c r="C92" s="1">
        <v>0</v>
      </c>
      <c r="D92" s="2" t="str">
        <f>RawData!B92</f>
        <v>W</v>
      </c>
      <c r="E92" s="2" t="str">
        <f>RawData!E92</f>
        <v>Foligno</v>
      </c>
      <c r="F92" s="2">
        <f>(RawData!F92)*M92</f>
        <v>12.8840002441406</v>
      </c>
      <c r="G92" s="21">
        <f>RawData!H92</f>
        <v>6700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  <c r="M92" s="2">
        <f>IF(RawData!L92=0,1,0)</f>
        <v>1</v>
      </c>
    </row>
    <row r="93" spans="1:13" x14ac:dyDescent="0.25">
      <c r="A93">
        <f t="shared" si="6"/>
        <v>0</v>
      </c>
      <c r="B93">
        <f>IF(C93=0,0,A93&amp;" "&amp;COUNTIF($A$1:$A93,A93))</f>
        <v>0</v>
      </c>
      <c r="C93" s="1">
        <v>0</v>
      </c>
      <c r="D93" s="2" t="str">
        <f>RawData!B93</f>
        <v>C</v>
      </c>
      <c r="E93" s="2" t="str">
        <f>RawData!E93</f>
        <v>MacKinnon</v>
      </c>
      <c r="F93" s="2">
        <f>(RawData!F93)*M93</f>
        <v>12.948000488281201</v>
      </c>
      <c r="G93" s="21">
        <f>RawData!H93</f>
        <v>6700</v>
      </c>
      <c r="H93">
        <f t="shared" si="7"/>
        <v>0</v>
      </c>
      <c r="I93">
        <f t="shared" si="7"/>
        <v>0</v>
      </c>
      <c r="J93">
        <f t="shared" si="7"/>
        <v>0</v>
      </c>
      <c r="K93">
        <f t="shared" si="7"/>
        <v>0</v>
      </c>
      <c r="L93">
        <f t="shared" si="7"/>
        <v>0</v>
      </c>
      <c r="M93" s="2">
        <f>IF(RawData!L93=0,1,0)</f>
        <v>1</v>
      </c>
    </row>
    <row r="94" spans="1:13" x14ac:dyDescent="0.25">
      <c r="A94">
        <f t="shared" si="6"/>
        <v>0</v>
      </c>
      <c r="B94">
        <f>IF(C94=0,0,A94&amp;" "&amp;COUNTIF($A$1:$A94,A94))</f>
        <v>0</v>
      </c>
      <c r="C94" s="1">
        <v>0</v>
      </c>
      <c r="D94" s="2" t="str">
        <f>RawData!B94</f>
        <v>C</v>
      </c>
      <c r="E94" s="2" t="str">
        <f>RawData!E94</f>
        <v>Kesler</v>
      </c>
      <c r="F94" s="2">
        <f>(RawData!F94)*M94</f>
        <v>12.6636363636363</v>
      </c>
      <c r="G94" s="21">
        <f>RawData!H94</f>
        <v>6700</v>
      </c>
      <c r="H94">
        <f t="shared" si="7"/>
        <v>0</v>
      </c>
      <c r="I94">
        <f t="shared" si="7"/>
        <v>0</v>
      </c>
      <c r="J94">
        <f t="shared" si="7"/>
        <v>0</v>
      </c>
      <c r="K94">
        <f t="shared" si="7"/>
        <v>0</v>
      </c>
      <c r="L94">
        <f t="shared" si="7"/>
        <v>0</v>
      </c>
      <c r="M94" s="2">
        <f>IF(RawData!L94=0,1,0)</f>
        <v>1</v>
      </c>
    </row>
    <row r="95" spans="1:13" x14ac:dyDescent="0.25">
      <c r="A95">
        <f t="shared" si="6"/>
        <v>0</v>
      </c>
      <c r="B95">
        <f>IF(C95=0,0,A95&amp;" "&amp;COUNTIF($A$1:$A95,A95))</f>
        <v>0</v>
      </c>
      <c r="C95" s="1">
        <v>0</v>
      </c>
      <c r="D95" s="2" t="str">
        <f>RawData!B95</f>
        <v>W</v>
      </c>
      <c r="E95" s="2" t="str">
        <f>RawData!E95</f>
        <v>Voracek</v>
      </c>
      <c r="F95" s="2">
        <f>(RawData!F95)*M95</f>
        <v>13.4314812554253</v>
      </c>
      <c r="G95" s="21">
        <f>RawData!H95</f>
        <v>6600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 s="2">
        <f>IF(RawData!L95=0,1,0)</f>
        <v>1</v>
      </c>
    </row>
    <row r="96" spans="1:13" x14ac:dyDescent="0.25">
      <c r="A96">
        <f t="shared" si="6"/>
        <v>0</v>
      </c>
      <c r="B96">
        <f>IF(C96=0,0,A96&amp;" "&amp;COUNTIF($A$1:$A96,A96))</f>
        <v>0</v>
      </c>
      <c r="C96" s="1">
        <v>0</v>
      </c>
      <c r="D96" s="2" t="str">
        <f>RawData!B96</f>
        <v>W</v>
      </c>
      <c r="E96" s="2" t="str">
        <f>RawData!E96</f>
        <v>Zuccarello</v>
      </c>
      <c r="F96" s="2">
        <f>(RawData!F96)*M96</f>
        <v>11.9849058906987</v>
      </c>
      <c r="G96" s="21">
        <f>RawData!H96</f>
        <v>6600</v>
      </c>
      <c r="H96">
        <f t="shared" si="7"/>
        <v>0</v>
      </c>
      <c r="I96">
        <f t="shared" si="7"/>
        <v>0</v>
      </c>
      <c r="J96">
        <f t="shared" si="7"/>
        <v>0</v>
      </c>
      <c r="K96">
        <f t="shared" si="7"/>
        <v>0</v>
      </c>
      <c r="L96">
        <f t="shared" si="7"/>
        <v>0</v>
      </c>
      <c r="M96" s="2">
        <f>IF(RawData!L96=0,1,0)</f>
        <v>1</v>
      </c>
    </row>
    <row r="97" spans="1:13" x14ac:dyDescent="0.25">
      <c r="A97">
        <f t="shared" si="6"/>
        <v>0</v>
      </c>
      <c r="B97">
        <f>IF(C97=0,0,A97&amp;" "&amp;COUNTIF($A$1:$A97,A97))</f>
        <v>0</v>
      </c>
      <c r="C97" s="1">
        <v>0</v>
      </c>
      <c r="D97" s="2" t="str">
        <f>RawData!B97</f>
        <v>C</v>
      </c>
      <c r="E97" s="2" t="str">
        <f>RawData!E97</f>
        <v>Johansen</v>
      </c>
      <c r="F97" s="2">
        <f>(RawData!F97)*M97</f>
        <v>10.649057064416199</v>
      </c>
      <c r="G97" s="21">
        <f>RawData!H97</f>
        <v>6500</v>
      </c>
      <c r="H97">
        <f t="shared" si="7"/>
        <v>0</v>
      </c>
      <c r="I97">
        <f t="shared" si="7"/>
        <v>0</v>
      </c>
      <c r="J97">
        <f t="shared" si="7"/>
        <v>0</v>
      </c>
      <c r="K97">
        <f t="shared" si="7"/>
        <v>0</v>
      </c>
      <c r="L97">
        <f t="shared" si="7"/>
        <v>0</v>
      </c>
      <c r="M97" s="2">
        <f>IF(RawData!L97=0,1,0)</f>
        <v>1</v>
      </c>
    </row>
    <row r="98" spans="1:13" x14ac:dyDescent="0.25">
      <c r="A98">
        <f t="shared" si="6"/>
        <v>0</v>
      </c>
      <c r="B98">
        <f>IF(C98=0,0,A98&amp;" "&amp;COUNTIF($A$1:$A98,A98))</f>
        <v>0</v>
      </c>
      <c r="C98" s="1">
        <v>0</v>
      </c>
      <c r="D98" s="2" t="str">
        <f>RawData!B98</f>
        <v>W</v>
      </c>
      <c r="E98" s="2" t="str">
        <f>RawData!E98</f>
        <v>Marleau</v>
      </c>
      <c r="F98" s="2">
        <f>(RawData!F98)*M98</f>
        <v>10.6944444444444</v>
      </c>
      <c r="G98" s="21">
        <f>RawData!H98</f>
        <v>6500</v>
      </c>
      <c r="H98">
        <f t="shared" si="7"/>
        <v>0</v>
      </c>
      <c r="I98">
        <f t="shared" si="7"/>
        <v>0</v>
      </c>
      <c r="J98">
        <f t="shared" si="7"/>
        <v>0</v>
      </c>
      <c r="K98">
        <f t="shared" si="7"/>
        <v>0</v>
      </c>
      <c r="L98">
        <f t="shared" si="7"/>
        <v>0</v>
      </c>
      <c r="M98" s="2">
        <f>IF(RawData!L98=0,1,0)</f>
        <v>1</v>
      </c>
    </row>
    <row r="99" spans="1:13" x14ac:dyDescent="0.25">
      <c r="A99">
        <f t="shared" si="6"/>
        <v>0</v>
      </c>
      <c r="B99">
        <f>IF(C99=0,0,A99&amp;" "&amp;COUNTIF($A$1:$A99,A99))</f>
        <v>0</v>
      </c>
      <c r="C99" s="1">
        <v>0</v>
      </c>
      <c r="D99" s="2" t="str">
        <f>RawData!B99</f>
        <v>C</v>
      </c>
      <c r="E99" s="2" t="str">
        <f>RawData!E99</f>
        <v>Galchenyuk</v>
      </c>
      <c r="F99" s="2">
        <f>(RawData!F99)*M99</f>
        <v>11.7147055233226</v>
      </c>
      <c r="G99" s="21">
        <f>RawData!H99</f>
        <v>6500</v>
      </c>
      <c r="H99">
        <f t="shared" si="7"/>
        <v>0</v>
      </c>
      <c r="I99">
        <f t="shared" si="7"/>
        <v>0</v>
      </c>
      <c r="J99">
        <f t="shared" si="7"/>
        <v>0</v>
      </c>
      <c r="K99">
        <f t="shared" si="7"/>
        <v>0</v>
      </c>
      <c r="L99">
        <f t="shared" si="7"/>
        <v>0</v>
      </c>
      <c r="M99" s="2">
        <f>IF(RawData!L99=0,1,0)</f>
        <v>1</v>
      </c>
    </row>
    <row r="100" spans="1:13" x14ac:dyDescent="0.25">
      <c r="A100">
        <f t="shared" si="6"/>
        <v>0</v>
      </c>
      <c r="B100">
        <f>IF(C100=0,0,A100&amp;" "&amp;COUNTIF($A$1:$A100,A100))</f>
        <v>0</v>
      </c>
      <c r="C100" s="1">
        <v>0</v>
      </c>
      <c r="D100" s="2" t="str">
        <f>RawData!B100</f>
        <v>W</v>
      </c>
      <c r="E100" s="2" t="str">
        <f>RawData!E100</f>
        <v>Perry</v>
      </c>
      <c r="F100" s="2">
        <f>(RawData!F100)*M100</f>
        <v>10.9327270507812</v>
      </c>
      <c r="G100" s="21">
        <f>RawData!H100</f>
        <v>6500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  <c r="M100" s="2">
        <f>IF(RawData!L100=0,1,0)</f>
        <v>1</v>
      </c>
    </row>
    <row r="101" spans="1:13" x14ac:dyDescent="0.25">
      <c r="A101">
        <f t="shared" si="6"/>
        <v>0</v>
      </c>
      <c r="B101">
        <f>IF(C101=0,0,A101&amp;" "&amp;COUNTIF($A$1:$A101,A101))</f>
        <v>0</v>
      </c>
      <c r="C101" s="1">
        <v>0</v>
      </c>
      <c r="D101" s="2" t="str">
        <f>RawData!B101</f>
        <v>C</v>
      </c>
      <c r="E101" s="2" t="str">
        <f>RawData!E101</f>
        <v>Stepan</v>
      </c>
      <c r="F101" s="2">
        <f>(RawData!F101)*M101</f>
        <v>11.824528532208101</v>
      </c>
      <c r="G101" s="21">
        <f>RawData!H101</f>
        <v>6400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  <c r="M101" s="2">
        <f>IF(RawData!L101=0,1,0)</f>
        <v>1</v>
      </c>
    </row>
    <row r="102" spans="1:13" x14ac:dyDescent="0.25">
      <c r="C102" s="1">
        <v>1.0309278350515427E-2</v>
      </c>
      <c r="E102" s="2"/>
      <c r="M102" s="2">
        <f>IF(RawData!L102=0,1,0)</f>
        <v>1</v>
      </c>
    </row>
    <row r="103" spans="1:13" x14ac:dyDescent="0.25">
      <c r="C103" s="1">
        <v>0</v>
      </c>
      <c r="E103" s="2"/>
      <c r="M103" s="2">
        <f>IF(RawData!L103=0,1,0)</f>
        <v>1</v>
      </c>
    </row>
    <row r="104" spans="1:13" x14ac:dyDescent="0.25">
      <c r="C104" s="1">
        <v>0</v>
      </c>
      <c r="E104" s="2"/>
      <c r="M104" s="2">
        <f>IF(RawData!L104=0,1,0)</f>
        <v>1</v>
      </c>
    </row>
    <row r="105" spans="1:13" x14ac:dyDescent="0.25">
      <c r="C105" s="1">
        <v>0</v>
      </c>
      <c r="E105" s="2"/>
      <c r="M105" s="2">
        <f>IF(RawData!L105=0,1,0)</f>
        <v>1</v>
      </c>
    </row>
    <row r="106" spans="1:13" x14ac:dyDescent="0.25">
      <c r="C106" s="1">
        <v>0</v>
      </c>
      <c r="E106" s="2"/>
      <c r="M106" s="2">
        <f>IF(RawData!L106=0,1,0)</f>
        <v>1</v>
      </c>
    </row>
    <row r="107" spans="1:13" x14ac:dyDescent="0.25">
      <c r="C107" s="1">
        <v>0</v>
      </c>
      <c r="E107" s="2"/>
      <c r="M107" s="2">
        <f>IF(RawData!L107=0,1,0)</f>
        <v>1</v>
      </c>
    </row>
    <row r="108" spans="1:13" x14ac:dyDescent="0.25">
      <c r="C108" s="1">
        <v>0</v>
      </c>
      <c r="E108" s="2"/>
      <c r="M108" s="2">
        <f>IF(RawData!L108=0,1,0)</f>
        <v>1</v>
      </c>
    </row>
    <row r="109" spans="1:13" x14ac:dyDescent="0.25">
      <c r="C109" s="1">
        <v>0</v>
      </c>
      <c r="E109" s="2"/>
      <c r="M109" s="2">
        <f>IF(RawData!L109=0,1,0)</f>
        <v>1</v>
      </c>
    </row>
    <row r="110" spans="1:13" x14ac:dyDescent="0.25">
      <c r="C110" s="1">
        <v>0</v>
      </c>
      <c r="E110" s="2"/>
      <c r="M110" s="2">
        <f>IF(RawData!L110=0,1,0)</f>
        <v>0</v>
      </c>
    </row>
    <row r="111" spans="1:13" x14ac:dyDescent="0.25">
      <c r="C111" s="1">
        <v>0</v>
      </c>
      <c r="E111" s="2"/>
      <c r="M111" s="2">
        <f>IF(RawData!L111=0,1,0)</f>
        <v>1</v>
      </c>
    </row>
    <row r="112" spans="1:13" x14ac:dyDescent="0.25">
      <c r="C112" s="1">
        <v>0</v>
      </c>
      <c r="E112" s="2"/>
      <c r="M112" s="2">
        <f>IF(RawData!L112=0,1,0)</f>
        <v>1</v>
      </c>
    </row>
    <row r="113" spans="3:13" x14ac:dyDescent="0.25">
      <c r="C113" s="1">
        <v>0</v>
      </c>
      <c r="E113" s="2"/>
      <c r="M113" s="2">
        <f>IF(RawData!L113=0,1,0)</f>
        <v>1</v>
      </c>
    </row>
    <row r="114" spans="3:13" x14ac:dyDescent="0.25">
      <c r="C114" s="1">
        <v>0</v>
      </c>
      <c r="E114" s="2"/>
      <c r="M114" s="2">
        <f>IF(RawData!L114=0,1,0)</f>
        <v>1</v>
      </c>
    </row>
    <row r="115" spans="3:13" x14ac:dyDescent="0.25">
      <c r="C115" s="1">
        <v>0</v>
      </c>
      <c r="E115" s="2"/>
      <c r="M115" s="2">
        <f>IF(RawData!L115=0,1,0)</f>
        <v>1</v>
      </c>
    </row>
    <row r="116" spans="3:13" x14ac:dyDescent="0.25">
      <c r="C116" s="1">
        <v>0</v>
      </c>
      <c r="E116" s="2"/>
      <c r="M116" s="2">
        <f>IF(RawData!L116=0,1,0)</f>
        <v>1</v>
      </c>
    </row>
    <row r="117" spans="3:13" x14ac:dyDescent="0.25">
      <c r="C117" s="1">
        <v>0</v>
      </c>
      <c r="E117" s="2"/>
      <c r="M117" s="2">
        <f>IF(RawData!L117=0,1,0)</f>
        <v>1</v>
      </c>
    </row>
    <row r="118" spans="3:13" x14ac:dyDescent="0.25">
      <c r="C118" s="1">
        <v>0</v>
      </c>
      <c r="E118" s="2"/>
      <c r="M118" s="2">
        <f>IF(RawData!L118=0,1,0)</f>
        <v>1</v>
      </c>
    </row>
    <row r="119" spans="3:13" x14ac:dyDescent="0.25">
      <c r="C119" s="1">
        <v>0</v>
      </c>
      <c r="E119" s="2"/>
      <c r="M119" s="2">
        <f>IF(RawData!L119=0,1,0)</f>
        <v>1</v>
      </c>
    </row>
    <row r="120" spans="3:13" x14ac:dyDescent="0.25">
      <c r="C120" s="1">
        <v>0</v>
      </c>
      <c r="E120" s="2"/>
      <c r="M120" s="2">
        <f>IF(RawData!L120=0,1,0)</f>
        <v>1</v>
      </c>
    </row>
    <row r="121" spans="3:13" x14ac:dyDescent="0.25">
      <c r="C121" s="1">
        <v>0</v>
      </c>
      <c r="E121" s="2"/>
      <c r="M121" s="2">
        <f>IF(RawData!L121=0,1,0)</f>
        <v>0</v>
      </c>
    </row>
    <row r="122" spans="3:13" x14ac:dyDescent="0.25">
      <c r="C122" s="1">
        <v>0</v>
      </c>
      <c r="E122" s="2"/>
      <c r="M122" s="2">
        <f>IF(RawData!L122=0,1,0)</f>
        <v>1</v>
      </c>
    </row>
    <row r="123" spans="3:13" x14ac:dyDescent="0.25">
      <c r="C123" s="1">
        <v>0</v>
      </c>
      <c r="E123" s="2"/>
      <c r="M123" s="2">
        <f>IF(RawData!L123=0,1,0)</f>
        <v>1</v>
      </c>
    </row>
    <row r="124" spans="3:13" x14ac:dyDescent="0.25">
      <c r="C124" s="1">
        <v>0</v>
      </c>
      <c r="E124" s="2"/>
      <c r="M124" s="2">
        <f>IF(RawData!L124=0,1,0)</f>
        <v>1</v>
      </c>
    </row>
    <row r="125" spans="3:13" x14ac:dyDescent="0.25">
      <c r="C125" s="1">
        <v>0</v>
      </c>
      <c r="E125" s="2"/>
      <c r="M125" s="2">
        <f>IF(RawData!L125=0,1,0)</f>
        <v>1</v>
      </c>
    </row>
    <row r="126" spans="3:13" x14ac:dyDescent="0.25">
      <c r="C126" s="1">
        <v>0</v>
      </c>
      <c r="E126" s="2"/>
      <c r="M126" s="2">
        <f>IF(RawData!L126=0,1,0)</f>
        <v>1</v>
      </c>
    </row>
    <row r="127" spans="3:13" x14ac:dyDescent="0.25">
      <c r="C127" s="1">
        <v>0</v>
      </c>
      <c r="E127" s="2"/>
      <c r="M127" s="2">
        <f>IF(RawData!L127=0,1,0)</f>
        <v>1</v>
      </c>
    </row>
    <row r="128" spans="3:13" x14ac:dyDescent="0.25">
      <c r="C128" s="1">
        <v>0</v>
      </c>
      <c r="E128" s="2"/>
      <c r="M128" s="2">
        <f>IF(RawData!L128=0,1,0)</f>
        <v>1</v>
      </c>
    </row>
    <row r="129" spans="3:13" x14ac:dyDescent="0.25">
      <c r="C129" s="1">
        <v>0</v>
      </c>
      <c r="E129" s="2"/>
      <c r="M129" s="2">
        <f>IF(RawData!L129=0,1,0)</f>
        <v>1</v>
      </c>
    </row>
    <row r="130" spans="3:13" x14ac:dyDescent="0.25">
      <c r="C130" s="1">
        <v>0</v>
      </c>
      <c r="E130" s="2"/>
      <c r="M130" s="2">
        <f>IF(RawData!L130=0,1,0)</f>
        <v>1</v>
      </c>
    </row>
    <row r="131" spans="3:13" x14ac:dyDescent="0.25">
      <c r="C131" s="1">
        <v>0</v>
      </c>
      <c r="E131" s="2"/>
      <c r="M131" s="2">
        <f>IF(RawData!L131=0,1,0)</f>
        <v>1</v>
      </c>
    </row>
    <row r="132" spans="3:13" x14ac:dyDescent="0.25">
      <c r="C132" s="1">
        <v>0</v>
      </c>
      <c r="E132" s="2"/>
      <c r="M132" s="2">
        <f>IF(RawData!L132=0,1,0)</f>
        <v>1</v>
      </c>
    </row>
    <row r="133" spans="3:13" x14ac:dyDescent="0.25">
      <c r="C133" s="1">
        <v>0</v>
      </c>
      <c r="E133" s="2"/>
      <c r="M133" s="2">
        <f>IF(RawData!L133=0,1,0)</f>
        <v>1</v>
      </c>
    </row>
    <row r="134" spans="3:13" x14ac:dyDescent="0.25">
      <c r="C134" s="1">
        <v>0</v>
      </c>
      <c r="E134" s="2"/>
      <c r="M134" s="2">
        <f>IF(RawData!L134=0,1,0)</f>
        <v>1</v>
      </c>
    </row>
    <row r="135" spans="3:13" x14ac:dyDescent="0.25">
      <c r="C135" s="1">
        <v>0</v>
      </c>
      <c r="E135" s="2"/>
      <c r="M135" s="2">
        <f>IF(RawData!L135=0,1,0)</f>
        <v>0</v>
      </c>
    </row>
    <row r="136" spans="3:13" x14ac:dyDescent="0.25">
      <c r="C136" s="1">
        <v>0</v>
      </c>
      <c r="E136" s="2"/>
      <c r="M136" s="2">
        <f>IF(RawData!L136=0,1,0)</f>
        <v>1</v>
      </c>
    </row>
    <row r="137" spans="3:13" x14ac:dyDescent="0.25">
      <c r="C137" s="1">
        <v>0</v>
      </c>
      <c r="E137" s="2"/>
      <c r="M137" s="2">
        <f>IF(RawData!L137=0,1,0)</f>
        <v>1</v>
      </c>
    </row>
    <row r="138" spans="3:13" x14ac:dyDescent="0.25">
      <c r="C138" s="1">
        <v>0</v>
      </c>
      <c r="E138" s="2"/>
      <c r="M138" s="2">
        <f>IF(RawData!L138=0,1,0)</f>
        <v>1</v>
      </c>
    </row>
    <row r="139" spans="3:13" x14ac:dyDescent="0.25">
      <c r="C139" s="1">
        <v>0</v>
      </c>
      <c r="E139" s="2"/>
      <c r="M139" s="2">
        <f>IF(RawData!L139=0,1,0)</f>
        <v>1</v>
      </c>
    </row>
    <row r="140" spans="3:13" x14ac:dyDescent="0.25">
      <c r="C140" s="1">
        <v>0</v>
      </c>
      <c r="E140" s="2"/>
      <c r="M140" s="2">
        <f>IF(RawData!L140=0,1,0)</f>
        <v>0</v>
      </c>
    </row>
    <row r="141" spans="3:13" x14ac:dyDescent="0.25">
      <c r="C141" s="1">
        <v>0</v>
      </c>
      <c r="E141" s="2"/>
      <c r="M141" s="2">
        <f>IF(RawData!L141=0,1,0)</f>
        <v>1</v>
      </c>
    </row>
    <row r="142" spans="3:13" x14ac:dyDescent="0.25">
      <c r="C142" s="1">
        <v>0</v>
      </c>
      <c r="E142" s="2"/>
      <c r="M142" s="2">
        <f>IF(RawData!L142=0,1,0)</f>
        <v>1</v>
      </c>
    </row>
    <row r="143" spans="3:13" x14ac:dyDescent="0.25">
      <c r="C143" s="1">
        <v>0</v>
      </c>
      <c r="E143" s="2"/>
      <c r="M143" s="2">
        <f>IF(RawData!L143=0,1,0)</f>
        <v>1</v>
      </c>
    </row>
    <row r="144" spans="3:13" x14ac:dyDescent="0.25">
      <c r="C144" s="1">
        <v>0</v>
      </c>
      <c r="E144" s="2"/>
      <c r="M144" s="2">
        <f>IF(RawData!L144=0,1,0)</f>
        <v>1</v>
      </c>
    </row>
    <row r="145" spans="3:13" x14ac:dyDescent="0.25">
      <c r="C145" s="1">
        <v>0</v>
      </c>
      <c r="E145" s="2"/>
      <c r="M145" s="2">
        <f>IF(RawData!L145=0,1,0)</f>
        <v>1</v>
      </c>
    </row>
    <row r="146" spans="3:13" x14ac:dyDescent="0.25">
      <c r="C146" s="1">
        <v>0</v>
      </c>
      <c r="E146" s="2"/>
      <c r="M146" s="2">
        <f>IF(RawData!L146=0,1,0)</f>
        <v>1</v>
      </c>
    </row>
    <row r="147" spans="3:13" x14ac:dyDescent="0.25">
      <c r="C147" s="1">
        <v>0</v>
      </c>
      <c r="E147" s="2"/>
      <c r="M147" s="2">
        <f>IF(RawData!L147=0,1,0)</f>
        <v>1</v>
      </c>
    </row>
    <row r="148" spans="3:13" x14ac:dyDescent="0.25">
      <c r="C148" s="1">
        <v>0</v>
      </c>
      <c r="E148" s="2"/>
      <c r="M148" s="2">
        <f>IF(RawData!L148=0,1,0)</f>
        <v>1</v>
      </c>
    </row>
    <row r="149" spans="3:13" x14ac:dyDescent="0.25">
      <c r="C149" s="1">
        <v>1</v>
      </c>
      <c r="E149" s="2"/>
      <c r="M149" s="2">
        <f>IF(RawData!L149=0,1,0)</f>
        <v>1</v>
      </c>
    </row>
    <row r="150" spans="3:13" x14ac:dyDescent="0.25">
      <c r="C150" s="1">
        <v>1</v>
      </c>
      <c r="E150" s="2"/>
      <c r="M150" s="2">
        <f>IF(RawData!L150=0,1,0)</f>
        <v>1</v>
      </c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9"/>
  <sheetViews>
    <sheetView workbookViewId="0">
      <selection activeCell="M41" sqref="M41"/>
    </sheetView>
  </sheetViews>
  <sheetFormatPr defaultRowHeight="15" x14ac:dyDescent="0.25"/>
  <cols>
    <col min="1" max="1" width="3" customWidth="1"/>
    <col min="2" max="2" width="4.140625" customWidth="1"/>
    <col min="3" max="3" width="23.5703125" bestFit="1" customWidth="1"/>
    <col min="4" max="4" width="2.42578125" customWidth="1"/>
    <col min="5" max="5" width="14.28515625" bestFit="1" customWidth="1"/>
    <col min="6" max="6" width="12.7109375" bestFit="1" customWidth="1"/>
    <col min="7" max="7" width="5.85546875" customWidth="1"/>
    <col min="8" max="8" width="6.5703125" customWidth="1"/>
    <col min="9" max="9" width="7.5703125" customWidth="1"/>
    <col min="10" max="10" width="7" customWidth="1"/>
    <col min="11" max="11" width="4.85546875" customWidth="1"/>
    <col min="12" max="12" width="7.42578125" customWidth="1"/>
    <col min="13" max="13" width="5.28515625" customWidth="1"/>
    <col min="14" max="14" width="6.5703125" customWidth="1"/>
    <col min="15" max="15" width="6.140625" customWidth="1"/>
    <col min="16" max="16" width="22.5703125" customWidth="1"/>
  </cols>
  <sheetData>
    <row r="1" spans="1:13" x14ac:dyDescent="0.25">
      <c r="A1" s="2" t="s">
        <v>29</v>
      </c>
      <c r="B1" s="2" t="s">
        <v>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38</v>
      </c>
      <c r="L1" s="2" t="s">
        <v>39</v>
      </c>
      <c r="M1" s="2" t="s">
        <v>40</v>
      </c>
    </row>
    <row r="2" spans="1:13" x14ac:dyDescent="0.25">
      <c r="A2" s="2" t="s">
        <v>41</v>
      </c>
      <c r="B2" s="2" t="s">
        <v>4</v>
      </c>
      <c r="C2" s="2" t="s">
        <v>42</v>
      </c>
      <c r="D2" s="2"/>
      <c r="E2" s="2" t="s">
        <v>43</v>
      </c>
      <c r="F2" s="2">
        <v>21.873170433974799</v>
      </c>
      <c r="G2" s="2">
        <v>41</v>
      </c>
      <c r="H2" s="2">
        <v>9700</v>
      </c>
      <c r="I2" s="2" t="s">
        <v>44</v>
      </c>
      <c r="J2" s="2" t="s">
        <v>45</v>
      </c>
      <c r="K2" s="2" t="s">
        <v>46</v>
      </c>
      <c r="L2" s="2"/>
      <c r="M2" s="2"/>
    </row>
    <row r="3" spans="1:13" x14ac:dyDescent="0.25">
      <c r="A3" s="2" t="s">
        <v>47</v>
      </c>
      <c r="B3" s="2" t="s">
        <v>4</v>
      </c>
      <c r="C3" s="2" t="s">
        <v>48</v>
      </c>
      <c r="D3" s="2"/>
      <c r="E3" s="2" t="s">
        <v>49</v>
      </c>
      <c r="F3" s="2">
        <v>19.3951222489519</v>
      </c>
      <c r="G3" s="2">
        <v>41</v>
      </c>
      <c r="H3" s="2">
        <v>9500</v>
      </c>
      <c r="I3" s="2" t="s">
        <v>50</v>
      </c>
      <c r="J3" s="2" t="s">
        <v>51</v>
      </c>
      <c r="K3" s="2" t="s">
        <v>52</v>
      </c>
      <c r="L3" s="2"/>
      <c r="M3" s="2"/>
    </row>
    <row r="4" spans="1:13" x14ac:dyDescent="0.25">
      <c r="A4" s="2" t="s">
        <v>53</v>
      </c>
      <c r="B4" s="2" t="s">
        <v>4</v>
      </c>
      <c r="C4" s="2" t="s">
        <v>54</v>
      </c>
      <c r="D4" s="2"/>
      <c r="E4" s="2" t="s">
        <v>55</v>
      </c>
      <c r="F4" s="2">
        <v>20.386207317483802</v>
      </c>
      <c r="G4" s="2">
        <v>29</v>
      </c>
      <c r="H4" s="2">
        <v>9200</v>
      </c>
      <c r="I4" s="2" t="s">
        <v>56</v>
      </c>
      <c r="J4" s="2" t="s">
        <v>57</v>
      </c>
      <c r="K4" s="2" t="s">
        <v>58</v>
      </c>
      <c r="L4" s="2"/>
      <c r="M4" s="2"/>
    </row>
    <row r="5" spans="1:13" x14ac:dyDescent="0.25">
      <c r="A5" s="2" t="s">
        <v>59</v>
      </c>
      <c r="B5" s="2" t="s">
        <v>4</v>
      </c>
      <c r="C5" s="2" t="s">
        <v>60</v>
      </c>
      <c r="D5" s="2"/>
      <c r="E5" s="2" t="s">
        <v>61</v>
      </c>
      <c r="F5" s="2">
        <v>18.086956521739101</v>
      </c>
      <c r="G5" s="2">
        <v>46</v>
      </c>
      <c r="H5" s="2">
        <v>9100</v>
      </c>
      <c r="I5" s="2" t="s">
        <v>62</v>
      </c>
      <c r="J5" s="2" t="s">
        <v>63</v>
      </c>
      <c r="K5" s="2" t="s">
        <v>64</v>
      </c>
      <c r="L5" s="2"/>
      <c r="M5" s="2"/>
    </row>
    <row r="6" spans="1:13" x14ac:dyDescent="0.25">
      <c r="A6" s="2" t="s">
        <v>65</v>
      </c>
      <c r="B6" s="2" t="s">
        <v>4</v>
      </c>
      <c r="C6" s="2" t="s">
        <v>66</v>
      </c>
      <c r="D6" s="2"/>
      <c r="E6" s="2" t="s">
        <v>67</v>
      </c>
      <c r="F6" s="2">
        <v>19.180488400342899</v>
      </c>
      <c r="G6" s="2">
        <v>41</v>
      </c>
      <c r="H6" s="2">
        <v>9100</v>
      </c>
      <c r="I6" s="2" t="s">
        <v>68</v>
      </c>
      <c r="J6" s="2" t="s">
        <v>69</v>
      </c>
      <c r="K6" s="2" t="s">
        <v>70</v>
      </c>
      <c r="L6" s="2"/>
      <c r="M6" s="2"/>
    </row>
    <row r="7" spans="1:13" x14ac:dyDescent="0.25">
      <c r="A7" s="2" t="s">
        <v>71</v>
      </c>
      <c r="B7" s="2" t="s">
        <v>4</v>
      </c>
      <c r="C7" s="2" t="s">
        <v>72</v>
      </c>
      <c r="D7" s="2"/>
      <c r="E7" s="2" t="s">
        <v>73</v>
      </c>
      <c r="F7" s="2">
        <v>17.485714867001398</v>
      </c>
      <c r="G7" s="2">
        <v>42</v>
      </c>
      <c r="H7" s="2">
        <v>9100</v>
      </c>
      <c r="I7" s="2" t="s">
        <v>74</v>
      </c>
      <c r="J7" s="2" t="s">
        <v>75</v>
      </c>
      <c r="K7" s="2" t="s">
        <v>76</v>
      </c>
      <c r="L7" s="2"/>
      <c r="M7" s="2"/>
    </row>
    <row r="8" spans="1:13" x14ac:dyDescent="0.25">
      <c r="A8" s="2" t="s">
        <v>77</v>
      </c>
      <c r="B8" s="2" t="s">
        <v>3</v>
      </c>
      <c r="C8" s="2" t="s">
        <v>78</v>
      </c>
      <c r="D8" s="2"/>
      <c r="E8" s="2" t="s">
        <v>79</v>
      </c>
      <c r="F8" s="2">
        <v>19.0021733823029</v>
      </c>
      <c r="G8" s="2">
        <v>46</v>
      </c>
      <c r="H8" s="2">
        <v>8900</v>
      </c>
      <c r="I8" s="2" t="s">
        <v>56</v>
      </c>
      <c r="J8" s="2" t="s">
        <v>57</v>
      </c>
      <c r="K8" s="2" t="s">
        <v>58</v>
      </c>
      <c r="L8" s="2"/>
      <c r="M8" s="2"/>
    </row>
    <row r="9" spans="1:13" x14ac:dyDescent="0.25">
      <c r="A9" s="2" t="s">
        <v>80</v>
      </c>
      <c r="B9" s="2" t="s">
        <v>21</v>
      </c>
      <c r="C9" s="2" t="s">
        <v>81</v>
      </c>
      <c r="D9" s="2"/>
      <c r="E9" s="2" t="s">
        <v>82</v>
      </c>
      <c r="F9" s="2">
        <v>16.246296070240099</v>
      </c>
      <c r="G9" s="2">
        <v>54</v>
      </c>
      <c r="H9" s="2">
        <v>8900</v>
      </c>
      <c r="I9" s="2" t="s">
        <v>44</v>
      </c>
      <c r="J9" s="2" t="s">
        <v>45</v>
      </c>
      <c r="K9" s="2" t="s">
        <v>46</v>
      </c>
      <c r="L9" s="2"/>
      <c r="M9" s="2"/>
    </row>
    <row r="10" spans="1:13" x14ac:dyDescent="0.25">
      <c r="A10" s="2" t="s">
        <v>83</v>
      </c>
      <c r="B10" s="2" t="s">
        <v>4</v>
      </c>
      <c r="C10" s="2" t="s">
        <v>84</v>
      </c>
      <c r="D10" s="2"/>
      <c r="E10" s="2" t="s">
        <v>85</v>
      </c>
      <c r="F10" s="2">
        <v>16.8727278275923</v>
      </c>
      <c r="G10" s="2">
        <v>44</v>
      </c>
      <c r="H10" s="2">
        <v>8700</v>
      </c>
      <c r="I10" s="2" t="s">
        <v>62</v>
      </c>
      <c r="J10" s="2" t="s">
        <v>64</v>
      </c>
      <c r="K10" s="2" t="s">
        <v>63</v>
      </c>
      <c r="L10" s="2"/>
      <c r="M10" s="2"/>
    </row>
    <row r="11" spans="1:13" x14ac:dyDescent="0.25">
      <c r="A11" s="2" t="s">
        <v>86</v>
      </c>
      <c r="B11" s="2" t="s">
        <v>4</v>
      </c>
      <c r="C11" s="2" t="s">
        <v>87</v>
      </c>
      <c r="D11" s="2"/>
      <c r="E11" s="2" t="s">
        <v>88</v>
      </c>
      <c r="F11" s="2">
        <v>17.780000305175701</v>
      </c>
      <c r="G11" s="2">
        <v>40</v>
      </c>
      <c r="H11" s="2">
        <v>8700</v>
      </c>
      <c r="I11" s="2" t="s">
        <v>68</v>
      </c>
      <c r="J11" s="2" t="s">
        <v>70</v>
      </c>
      <c r="K11" s="2" t="s">
        <v>69</v>
      </c>
      <c r="L11" s="2"/>
      <c r="M11" s="2"/>
    </row>
    <row r="12" spans="1:13" x14ac:dyDescent="0.25">
      <c r="A12" s="2" t="s">
        <v>89</v>
      </c>
      <c r="B12" s="2" t="s">
        <v>3</v>
      </c>
      <c r="C12" s="2" t="s">
        <v>90</v>
      </c>
      <c r="D12" s="2"/>
      <c r="E12" s="2" t="s">
        <v>91</v>
      </c>
      <c r="F12" s="2">
        <v>16.780851323553801</v>
      </c>
      <c r="G12" s="2">
        <v>47</v>
      </c>
      <c r="H12" s="2">
        <v>8700</v>
      </c>
      <c r="I12" s="2" t="s">
        <v>56</v>
      </c>
      <c r="J12" s="2" t="s">
        <v>57</v>
      </c>
      <c r="K12" s="2" t="s">
        <v>58</v>
      </c>
      <c r="L12" s="2" t="s">
        <v>92</v>
      </c>
      <c r="M12" s="2" t="s">
        <v>93</v>
      </c>
    </row>
    <row r="13" spans="1:13" x14ac:dyDescent="0.25">
      <c r="A13" s="2" t="s">
        <v>94</v>
      </c>
      <c r="B13" s="2" t="s">
        <v>4</v>
      </c>
      <c r="C13" s="2" t="s">
        <v>95</v>
      </c>
      <c r="D13" s="2"/>
      <c r="E13" s="2" t="s">
        <v>96</v>
      </c>
      <c r="F13" s="2">
        <v>16.884209883840398</v>
      </c>
      <c r="G13" s="2">
        <v>19</v>
      </c>
      <c r="H13" s="2">
        <v>8600</v>
      </c>
      <c r="I13" s="2" t="s">
        <v>68</v>
      </c>
      <c r="J13" s="2" t="s">
        <v>70</v>
      </c>
      <c r="K13" s="2" t="s">
        <v>69</v>
      </c>
      <c r="L13" s="2"/>
      <c r="M13" s="2"/>
    </row>
    <row r="14" spans="1:13" x14ac:dyDescent="0.25">
      <c r="A14" s="2" t="s">
        <v>97</v>
      </c>
      <c r="B14" s="2" t="s">
        <v>4</v>
      </c>
      <c r="C14" s="2" t="s">
        <v>98</v>
      </c>
      <c r="D14" s="2"/>
      <c r="E14" s="2" t="s">
        <v>99</v>
      </c>
      <c r="F14" s="2">
        <v>18.9395354514898</v>
      </c>
      <c r="G14" s="2">
        <v>43</v>
      </c>
      <c r="H14" s="2">
        <v>8600</v>
      </c>
      <c r="I14" s="2" t="s">
        <v>100</v>
      </c>
      <c r="J14" s="2" t="s">
        <v>101</v>
      </c>
      <c r="K14" s="2" t="s">
        <v>102</v>
      </c>
      <c r="L14" s="2"/>
      <c r="M14" s="2"/>
    </row>
    <row r="15" spans="1:13" x14ac:dyDescent="0.25">
      <c r="A15" s="2" t="s">
        <v>103</v>
      </c>
      <c r="B15" s="2" t="s">
        <v>4</v>
      </c>
      <c r="C15" s="2" t="s">
        <v>104</v>
      </c>
      <c r="D15" s="2"/>
      <c r="E15" s="2" t="s">
        <v>105</v>
      </c>
      <c r="F15" s="2">
        <v>22.863157573499102</v>
      </c>
      <c r="G15" s="2">
        <v>19</v>
      </c>
      <c r="H15" s="2">
        <v>8500</v>
      </c>
      <c r="I15" s="2" t="s">
        <v>106</v>
      </c>
      <c r="J15" s="2" t="s">
        <v>107</v>
      </c>
      <c r="K15" s="2" t="s">
        <v>108</v>
      </c>
      <c r="L15" s="2" t="s">
        <v>109</v>
      </c>
      <c r="M15" s="2" t="s">
        <v>110</v>
      </c>
    </row>
    <row r="16" spans="1:13" x14ac:dyDescent="0.25">
      <c r="A16" s="2" t="s">
        <v>111</v>
      </c>
      <c r="B16" s="2" t="s">
        <v>4</v>
      </c>
      <c r="C16" s="2" t="s">
        <v>112</v>
      </c>
      <c r="D16" s="2"/>
      <c r="E16" s="2" t="s">
        <v>113</v>
      </c>
      <c r="F16" s="2">
        <v>17.208510378573799</v>
      </c>
      <c r="G16" s="2">
        <v>47</v>
      </c>
      <c r="H16" s="2">
        <v>8500</v>
      </c>
      <c r="I16" s="2" t="s">
        <v>114</v>
      </c>
      <c r="J16" s="2" t="s">
        <v>115</v>
      </c>
      <c r="K16" s="2" t="s">
        <v>116</v>
      </c>
      <c r="L16" s="2"/>
      <c r="M16" s="2"/>
    </row>
    <row r="17" spans="1:13" x14ac:dyDescent="0.25">
      <c r="A17" s="2" t="s">
        <v>117</v>
      </c>
      <c r="B17" s="2" t="s">
        <v>3</v>
      </c>
      <c r="C17" s="2" t="s">
        <v>118</v>
      </c>
      <c r="D17" s="2"/>
      <c r="E17" s="2" t="s">
        <v>119</v>
      </c>
      <c r="F17" s="2">
        <v>15.5037039297598</v>
      </c>
      <c r="G17" s="2">
        <v>54</v>
      </c>
      <c r="H17" s="2">
        <v>8500</v>
      </c>
      <c r="I17" s="2" t="s">
        <v>106</v>
      </c>
      <c r="J17" s="2" t="s">
        <v>108</v>
      </c>
      <c r="K17" s="2" t="s">
        <v>107</v>
      </c>
      <c r="L17" s="2"/>
      <c r="M17" s="2"/>
    </row>
    <row r="18" spans="1:13" x14ac:dyDescent="0.25">
      <c r="A18" s="2" t="s">
        <v>120</v>
      </c>
      <c r="B18" s="2" t="s">
        <v>20</v>
      </c>
      <c r="C18" s="2" t="s">
        <v>121</v>
      </c>
      <c r="D18" s="2"/>
      <c r="E18" s="2" t="s">
        <v>122</v>
      </c>
      <c r="F18" s="2">
        <v>19.157407407407401</v>
      </c>
      <c r="G18" s="2">
        <v>54</v>
      </c>
      <c r="H18" s="2">
        <v>8500</v>
      </c>
      <c r="I18" s="2" t="s">
        <v>62</v>
      </c>
      <c r="J18" s="2" t="s">
        <v>63</v>
      </c>
      <c r="K18" s="2" t="s">
        <v>64</v>
      </c>
      <c r="L18" s="2"/>
      <c r="M18" s="2"/>
    </row>
    <row r="19" spans="1:13" x14ac:dyDescent="0.25">
      <c r="A19" s="2" t="s">
        <v>123</v>
      </c>
      <c r="B19" s="2" t="s">
        <v>4</v>
      </c>
      <c r="C19" s="2" t="s">
        <v>124</v>
      </c>
      <c r="D19" s="2"/>
      <c r="E19" s="2" t="s">
        <v>125</v>
      </c>
      <c r="F19" s="2">
        <v>20.057141985211999</v>
      </c>
      <c r="G19" s="2">
        <v>28</v>
      </c>
      <c r="H19" s="2">
        <v>8500</v>
      </c>
      <c r="I19" s="2" t="s">
        <v>126</v>
      </c>
      <c r="J19" s="2" t="s">
        <v>127</v>
      </c>
      <c r="K19" s="2" t="s">
        <v>128</v>
      </c>
      <c r="L19" s="2"/>
      <c r="M19" s="2"/>
    </row>
    <row r="20" spans="1:13" x14ac:dyDescent="0.25">
      <c r="A20" s="2" t="s">
        <v>129</v>
      </c>
      <c r="B20" s="2" t="s">
        <v>4</v>
      </c>
      <c r="C20" s="2" t="s">
        <v>130</v>
      </c>
      <c r="D20" s="2"/>
      <c r="E20" s="2" t="s">
        <v>131</v>
      </c>
      <c r="F20" s="2">
        <v>18.327272357362599</v>
      </c>
      <c r="G20" s="2">
        <v>33</v>
      </c>
      <c r="H20" s="2">
        <v>8500</v>
      </c>
      <c r="I20" s="2" t="s">
        <v>114</v>
      </c>
      <c r="J20" s="2" t="s">
        <v>116</v>
      </c>
      <c r="K20" s="2" t="s">
        <v>115</v>
      </c>
      <c r="L20" s="2"/>
      <c r="M20" s="2"/>
    </row>
    <row r="21" spans="1:13" x14ac:dyDescent="0.25">
      <c r="A21" s="2" t="s">
        <v>132</v>
      </c>
      <c r="B21" s="2" t="s">
        <v>4</v>
      </c>
      <c r="C21" s="2" t="s">
        <v>133</v>
      </c>
      <c r="D21" s="2"/>
      <c r="E21" s="2" t="s">
        <v>134</v>
      </c>
      <c r="F21" s="2">
        <v>21.428571428571399</v>
      </c>
      <c r="G21" s="2">
        <v>42</v>
      </c>
      <c r="H21" s="2">
        <v>8500</v>
      </c>
      <c r="I21" s="2" t="s">
        <v>135</v>
      </c>
      <c r="J21" s="2" t="s">
        <v>136</v>
      </c>
      <c r="K21" s="2" t="s">
        <v>137</v>
      </c>
      <c r="L21" s="2"/>
      <c r="M21" s="2"/>
    </row>
    <row r="22" spans="1:13" x14ac:dyDescent="0.25">
      <c r="A22" s="2" t="s">
        <v>138</v>
      </c>
      <c r="B22" s="2" t="s">
        <v>4</v>
      </c>
      <c r="C22" s="2" t="s">
        <v>139</v>
      </c>
      <c r="D22" s="2"/>
      <c r="E22" s="2" t="s">
        <v>140</v>
      </c>
      <c r="F22" s="2">
        <v>17.9500007629394</v>
      </c>
      <c r="G22" s="2">
        <v>32</v>
      </c>
      <c r="H22" s="2">
        <v>8400</v>
      </c>
      <c r="I22" s="2" t="s">
        <v>135</v>
      </c>
      <c r="J22" s="2" t="s">
        <v>137</v>
      </c>
      <c r="K22" s="2" t="s">
        <v>136</v>
      </c>
      <c r="L22" s="2"/>
      <c r="M22" s="2"/>
    </row>
    <row r="23" spans="1:13" x14ac:dyDescent="0.25">
      <c r="A23" s="2" t="s">
        <v>141</v>
      </c>
      <c r="B23" s="2" t="s">
        <v>4</v>
      </c>
      <c r="C23" s="2" t="s">
        <v>142</v>
      </c>
      <c r="D23" s="2"/>
      <c r="E23" s="2" t="s">
        <v>143</v>
      </c>
      <c r="F23" s="2">
        <v>18.133333333333301</v>
      </c>
      <c r="G23" s="2">
        <v>15</v>
      </c>
      <c r="H23" s="2">
        <v>8400</v>
      </c>
      <c r="I23" s="2" t="s">
        <v>50</v>
      </c>
      <c r="J23" s="2" t="s">
        <v>51</v>
      </c>
      <c r="K23" s="2" t="s">
        <v>52</v>
      </c>
      <c r="L23" s="2"/>
      <c r="M23" s="2"/>
    </row>
    <row r="24" spans="1:13" x14ac:dyDescent="0.25">
      <c r="A24" s="2" t="s">
        <v>144</v>
      </c>
      <c r="B24" s="2" t="s">
        <v>4</v>
      </c>
      <c r="C24" s="2" t="s">
        <v>145</v>
      </c>
      <c r="D24" s="2"/>
      <c r="E24" s="2" t="s">
        <v>146</v>
      </c>
      <c r="F24" s="2">
        <v>16.542857578822499</v>
      </c>
      <c r="G24" s="2">
        <v>28</v>
      </c>
      <c r="H24" s="2">
        <v>8400</v>
      </c>
      <c r="I24" s="2" t="s">
        <v>56</v>
      </c>
      <c r="J24" s="2" t="s">
        <v>57</v>
      </c>
      <c r="K24" s="2" t="s">
        <v>58</v>
      </c>
      <c r="L24" s="2"/>
      <c r="M24" s="2"/>
    </row>
    <row r="25" spans="1:13" x14ac:dyDescent="0.25">
      <c r="A25" s="2" t="s">
        <v>147</v>
      </c>
      <c r="B25" s="2" t="s">
        <v>4</v>
      </c>
      <c r="C25" s="2" t="s">
        <v>148</v>
      </c>
      <c r="D25" s="2"/>
      <c r="E25" s="2" t="s">
        <v>149</v>
      </c>
      <c r="F25" s="2">
        <v>22.4</v>
      </c>
      <c r="G25" s="2">
        <v>15</v>
      </c>
      <c r="H25" s="2">
        <v>8300</v>
      </c>
      <c r="I25" s="2" t="s">
        <v>44</v>
      </c>
      <c r="J25" s="2" t="s">
        <v>45</v>
      </c>
      <c r="K25" s="2" t="s">
        <v>46</v>
      </c>
      <c r="L25" s="2"/>
      <c r="M25" s="2"/>
    </row>
    <row r="26" spans="1:13" x14ac:dyDescent="0.25">
      <c r="A26" s="2" t="s">
        <v>150</v>
      </c>
      <c r="B26" s="2" t="s">
        <v>4</v>
      </c>
      <c r="C26" s="2" t="s">
        <v>151</v>
      </c>
      <c r="D26" s="2"/>
      <c r="E26" s="2" t="s">
        <v>152</v>
      </c>
      <c r="F26" s="2">
        <v>13.2399993896484</v>
      </c>
      <c r="G26" s="2">
        <v>20</v>
      </c>
      <c r="H26" s="2">
        <v>8300</v>
      </c>
      <c r="I26" s="2" t="s">
        <v>74</v>
      </c>
      <c r="J26" s="2" t="s">
        <v>75</v>
      </c>
      <c r="K26" s="2" t="s">
        <v>76</v>
      </c>
      <c r="L26" s="2"/>
      <c r="M26" s="2"/>
    </row>
    <row r="27" spans="1:13" x14ac:dyDescent="0.25">
      <c r="A27" s="2" t="s">
        <v>153</v>
      </c>
      <c r="B27" s="2" t="s">
        <v>21</v>
      </c>
      <c r="C27" s="2" t="s">
        <v>154</v>
      </c>
      <c r="D27" s="2"/>
      <c r="E27" s="2" t="s">
        <v>155</v>
      </c>
      <c r="F27" s="2">
        <v>13.9719995117187</v>
      </c>
      <c r="G27" s="2">
        <v>50</v>
      </c>
      <c r="H27" s="2">
        <v>8300</v>
      </c>
      <c r="I27" s="2" t="s">
        <v>106</v>
      </c>
      <c r="J27" s="2" t="s">
        <v>108</v>
      </c>
      <c r="K27" s="2" t="s">
        <v>107</v>
      </c>
      <c r="L27" s="2"/>
      <c r="M27" s="2"/>
    </row>
    <row r="28" spans="1:13" x14ac:dyDescent="0.25">
      <c r="A28" s="2" t="s">
        <v>156</v>
      </c>
      <c r="B28" s="2" t="s">
        <v>4</v>
      </c>
      <c r="C28" s="2" t="s">
        <v>157</v>
      </c>
      <c r="D28" s="2"/>
      <c r="E28" s="2" t="s">
        <v>158</v>
      </c>
      <c r="F28" s="2">
        <v>16.851613690776201</v>
      </c>
      <c r="G28" s="2">
        <v>31</v>
      </c>
      <c r="H28" s="2">
        <v>8300</v>
      </c>
      <c r="I28" s="2" t="s">
        <v>106</v>
      </c>
      <c r="J28" s="2" t="s">
        <v>107</v>
      </c>
      <c r="K28" s="2" t="s">
        <v>108</v>
      </c>
      <c r="L28" s="2"/>
      <c r="M28" s="2"/>
    </row>
    <row r="29" spans="1:13" x14ac:dyDescent="0.25">
      <c r="A29" s="2" t="s">
        <v>159</v>
      </c>
      <c r="B29" s="2" t="s">
        <v>4</v>
      </c>
      <c r="C29" s="2" t="s">
        <v>160</v>
      </c>
      <c r="D29" s="2"/>
      <c r="E29" s="2" t="s">
        <v>161</v>
      </c>
      <c r="F29" s="2">
        <v>21.422222561306398</v>
      </c>
      <c r="G29" s="2">
        <v>9</v>
      </c>
      <c r="H29" s="2">
        <v>8200</v>
      </c>
      <c r="I29" s="2" t="s">
        <v>62</v>
      </c>
      <c r="J29" s="2" t="s">
        <v>63</v>
      </c>
      <c r="K29" s="2" t="s">
        <v>64</v>
      </c>
      <c r="L29" s="2"/>
      <c r="M29" s="2"/>
    </row>
    <row r="30" spans="1:13" x14ac:dyDescent="0.25">
      <c r="A30" s="2" t="s">
        <v>162</v>
      </c>
      <c r="B30" s="2" t="s">
        <v>3</v>
      </c>
      <c r="C30" s="2" t="s">
        <v>72</v>
      </c>
      <c r="D30" s="2"/>
      <c r="E30" s="2" t="s">
        <v>163</v>
      </c>
      <c r="F30" s="2">
        <v>14.023529651118199</v>
      </c>
      <c r="G30" s="2">
        <v>51</v>
      </c>
      <c r="H30" s="2">
        <v>8100</v>
      </c>
      <c r="I30" s="2" t="s">
        <v>126</v>
      </c>
      <c r="J30" s="2" t="s">
        <v>127</v>
      </c>
      <c r="K30" s="2" t="s">
        <v>128</v>
      </c>
      <c r="L30" s="2"/>
      <c r="M30" s="2"/>
    </row>
    <row r="31" spans="1:13" x14ac:dyDescent="0.25">
      <c r="A31" s="2" t="s">
        <v>164</v>
      </c>
      <c r="B31" s="2" t="s">
        <v>4</v>
      </c>
      <c r="C31" s="2" t="s">
        <v>165</v>
      </c>
      <c r="D31" s="2"/>
      <c r="E31" s="2" t="s">
        <v>166</v>
      </c>
      <c r="F31" s="2">
        <v>14.215385241386199</v>
      </c>
      <c r="G31" s="2">
        <v>39</v>
      </c>
      <c r="H31" s="2">
        <v>8100</v>
      </c>
      <c r="I31" s="2" t="s">
        <v>100</v>
      </c>
      <c r="J31" s="2" t="s">
        <v>102</v>
      </c>
      <c r="K31" s="2" t="s">
        <v>101</v>
      </c>
      <c r="L31" s="2"/>
      <c r="M31" s="2"/>
    </row>
    <row r="32" spans="1:13" x14ac:dyDescent="0.25">
      <c r="A32" s="2" t="s">
        <v>167</v>
      </c>
      <c r="B32" s="2" t="s">
        <v>4</v>
      </c>
      <c r="C32" s="2" t="s">
        <v>157</v>
      </c>
      <c r="D32" s="2"/>
      <c r="E32" s="2" t="s">
        <v>168</v>
      </c>
      <c r="F32" s="2">
        <v>17.866665926846501</v>
      </c>
      <c r="G32" s="2">
        <v>33</v>
      </c>
      <c r="H32" s="2">
        <v>8000</v>
      </c>
      <c r="I32" s="2" t="s">
        <v>50</v>
      </c>
      <c r="J32" s="2" t="s">
        <v>52</v>
      </c>
      <c r="K32" s="2" t="s">
        <v>51</v>
      </c>
      <c r="L32" s="2"/>
      <c r="M32" s="2"/>
    </row>
    <row r="33" spans="1:13" x14ac:dyDescent="0.25">
      <c r="A33" s="2" t="s">
        <v>169</v>
      </c>
      <c r="B33" s="2" t="s">
        <v>21</v>
      </c>
      <c r="C33" s="2" t="s">
        <v>170</v>
      </c>
      <c r="D33" s="2"/>
      <c r="E33" s="2" t="s">
        <v>171</v>
      </c>
      <c r="F33" s="2">
        <v>15.3518518518518</v>
      </c>
      <c r="G33" s="2">
        <v>54</v>
      </c>
      <c r="H33" s="2">
        <v>8000</v>
      </c>
      <c r="I33" s="2" t="s">
        <v>100</v>
      </c>
      <c r="J33" s="2" t="s">
        <v>102</v>
      </c>
      <c r="K33" s="2" t="s">
        <v>101</v>
      </c>
      <c r="L33" s="2"/>
      <c r="M33" s="2"/>
    </row>
    <row r="34" spans="1:13" x14ac:dyDescent="0.25">
      <c r="A34" s="2" t="s">
        <v>172</v>
      </c>
      <c r="B34" s="2" t="s">
        <v>4</v>
      </c>
      <c r="C34" s="2" t="s">
        <v>173</v>
      </c>
      <c r="D34" s="2"/>
      <c r="E34" s="2" t="s">
        <v>174</v>
      </c>
      <c r="F34" s="2">
        <v>16.609523228236601</v>
      </c>
      <c r="G34" s="2">
        <v>21</v>
      </c>
      <c r="H34" s="2">
        <v>8000</v>
      </c>
      <c r="I34" s="2" t="s">
        <v>114</v>
      </c>
      <c r="J34" s="2" t="s">
        <v>116</v>
      </c>
      <c r="K34" s="2" t="s">
        <v>115</v>
      </c>
      <c r="L34" s="2"/>
      <c r="M34" s="2"/>
    </row>
    <row r="35" spans="1:13" x14ac:dyDescent="0.25">
      <c r="A35" s="2" t="s">
        <v>175</v>
      </c>
      <c r="B35" s="2" t="s">
        <v>4</v>
      </c>
      <c r="C35" s="2" t="s">
        <v>176</v>
      </c>
      <c r="D35" s="2"/>
      <c r="E35" s="2" t="s">
        <v>177</v>
      </c>
      <c r="F35" s="2">
        <v>12.208695121433401</v>
      </c>
      <c r="G35" s="2">
        <v>23</v>
      </c>
      <c r="H35" s="2">
        <v>8000</v>
      </c>
      <c r="I35" s="2" t="s">
        <v>100</v>
      </c>
      <c r="J35" s="2" t="s">
        <v>102</v>
      </c>
      <c r="K35" s="2" t="s">
        <v>101</v>
      </c>
      <c r="L35" s="2"/>
      <c r="M35" s="2"/>
    </row>
    <row r="36" spans="1:13" x14ac:dyDescent="0.25">
      <c r="A36" s="2" t="s">
        <v>178</v>
      </c>
      <c r="B36" s="2" t="s">
        <v>4</v>
      </c>
      <c r="C36" s="2" t="s">
        <v>179</v>
      </c>
      <c r="D36" s="2"/>
      <c r="E36" s="2" t="s">
        <v>180</v>
      </c>
      <c r="F36" s="2">
        <v>15.133333841959599</v>
      </c>
      <c r="G36" s="2">
        <v>12</v>
      </c>
      <c r="H36" s="2">
        <v>7900</v>
      </c>
      <c r="I36" s="2" t="s">
        <v>44</v>
      </c>
      <c r="J36" s="2" t="s">
        <v>46</v>
      </c>
      <c r="K36" s="2" t="s">
        <v>45</v>
      </c>
      <c r="L36" s="2"/>
      <c r="M36" s="2"/>
    </row>
    <row r="37" spans="1:13" x14ac:dyDescent="0.25">
      <c r="A37" s="2" t="s">
        <v>181</v>
      </c>
      <c r="B37" s="2" t="s">
        <v>4</v>
      </c>
      <c r="C37" s="2" t="s">
        <v>182</v>
      </c>
      <c r="D37" s="2"/>
      <c r="E37" s="2" t="s">
        <v>183</v>
      </c>
      <c r="F37" s="2">
        <v>18.559999302455299</v>
      </c>
      <c r="G37" s="2">
        <v>35</v>
      </c>
      <c r="H37" s="2">
        <v>7900</v>
      </c>
      <c r="I37" s="2" t="s">
        <v>74</v>
      </c>
      <c r="J37" s="2" t="s">
        <v>76</v>
      </c>
      <c r="K37" s="2" t="s">
        <v>75</v>
      </c>
      <c r="L37" s="2"/>
      <c r="M37" s="2"/>
    </row>
    <row r="38" spans="1:13" x14ac:dyDescent="0.25">
      <c r="A38" s="2" t="s">
        <v>184</v>
      </c>
      <c r="B38" s="2" t="s">
        <v>4</v>
      </c>
      <c r="C38" s="2" t="s">
        <v>185</v>
      </c>
      <c r="D38" s="2"/>
      <c r="E38" s="2" t="s">
        <v>186</v>
      </c>
      <c r="F38" s="2">
        <v>22.639999389648398</v>
      </c>
      <c r="G38" s="2">
        <v>10</v>
      </c>
      <c r="H38" s="2">
        <v>7900</v>
      </c>
      <c r="I38" s="2" t="s">
        <v>68</v>
      </c>
      <c r="J38" s="2" t="s">
        <v>69</v>
      </c>
      <c r="K38" s="2" t="s">
        <v>70</v>
      </c>
      <c r="L38" s="2"/>
      <c r="M38" s="2"/>
    </row>
    <row r="39" spans="1:13" x14ac:dyDescent="0.25">
      <c r="A39" s="2" t="s">
        <v>187</v>
      </c>
      <c r="B39" s="2" t="s">
        <v>4</v>
      </c>
      <c r="C39" s="2" t="s">
        <v>188</v>
      </c>
      <c r="D39" s="2"/>
      <c r="E39" s="2" t="s">
        <v>189</v>
      </c>
      <c r="F39" s="2">
        <v>12.4444444444444</v>
      </c>
      <c r="G39" s="2">
        <v>36</v>
      </c>
      <c r="H39" s="2">
        <v>7900</v>
      </c>
      <c r="I39" s="2" t="s">
        <v>106</v>
      </c>
      <c r="J39" s="2" t="s">
        <v>108</v>
      </c>
      <c r="K39" s="2" t="s">
        <v>107</v>
      </c>
      <c r="L39" s="2"/>
      <c r="M39" s="2"/>
    </row>
    <row r="40" spans="1:13" x14ac:dyDescent="0.25">
      <c r="A40" s="2" t="s">
        <v>190</v>
      </c>
      <c r="B40" s="2" t="s">
        <v>4</v>
      </c>
      <c r="C40" s="2" t="s">
        <v>191</v>
      </c>
      <c r="D40" s="2"/>
      <c r="E40" s="2" t="s">
        <v>192</v>
      </c>
      <c r="F40" s="2">
        <v>14.733333587646401</v>
      </c>
      <c r="G40" s="2">
        <v>24</v>
      </c>
      <c r="H40" s="2">
        <v>7900</v>
      </c>
      <c r="I40" s="2" t="s">
        <v>135</v>
      </c>
      <c r="J40" s="2" t="s">
        <v>137</v>
      </c>
      <c r="K40" s="2" t="s">
        <v>136</v>
      </c>
      <c r="L40" s="2"/>
      <c r="M40" s="2"/>
    </row>
    <row r="41" spans="1:13" x14ac:dyDescent="0.25">
      <c r="A41" s="2" t="s">
        <v>193</v>
      </c>
      <c r="B41" s="2" t="s">
        <v>4</v>
      </c>
      <c r="C41" s="2" t="s">
        <v>95</v>
      </c>
      <c r="D41" s="2"/>
      <c r="E41" s="2" t="s">
        <v>194</v>
      </c>
      <c r="F41" s="2">
        <v>12.400000435965399</v>
      </c>
      <c r="G41" s="2">
        <v>28</v>
      </c>
      <c r="H41" s="2">
        <v>7800</v>
      </c>
      <c r="I41" s="2" t="s">
        <v>106</v>
      </c>
      <c r="J41" s="2" t="s">
        <v>108</v>
      </c>
      <c r="K41" s="2" t="s">
        <v>107</v>
      </c>
      <c r="L41" s="2"/>
      <c r="M41" s="2"/>
    </row>
    <row r="42" spans="1:13" x14ac:dyDescent="0.25">
      <c r="A42" s="2" t="s">
        <v>195</v>
      </c>
      <c r="B42" s="2" t="s">
        <v>4</v>
      </c>
      <c r="C42" s="2" t="s">
        <v>196</v>
      </c>
      <c r="D42" s="2"/>
      <c r="E42" s="2" t="s">
        <v>197</v>
      </c>
      <c r="F42" s="2">
        <v>11.2444441053602</v>
      </c>
      <c r="G42" s="2">
        <v>18</v>
      </c>
      <c r="H42" s="2">
        <v>7800</v>
      </c>
      <c r="I42" s="2" t="s">
        <v>126</v>
      </c>
      <c r="J42" s="2" t="s">
        <v>128</v>
      </c>
      <c r="K42" s="2" t="s">
        <v>127</v>
      </c>
      <c r="L42" s="2" t="s">
        <v>198</v>
      </c>
      <c r="M42" s="2" t="s">
        <v>199</v>
      </c>
    </row>
    <row r="43" spans="1:13" x14ac:dyDescent="0.25">
      <c r="A43" s="2" t="s">
        <v>200</v>
      </c>
      <c r="B43" s="2" t="s">
        <v>4</v>
      </c>
      <c r="C43" s="2" t="s">
        <v>201</v>
      </c>
      <c r="D43" s="2"/>
      <c r="E43" s="2" t="s">
        <v>202</v>
      </c>
      <c r="F43" s="2">
        <v>19.839999389648401</v>
      </c>
      <c r="G43" s="2">
        <v>20</v>
      </c>
      <c r="H43" s="2">
        <v>7800</v>
      </c>
      <c r="I43" s="2" t="s">
        <v>74</v>
      </c>
      <c r="J43" s="2" t="s">
        <v>76</v>
      </c>
      <c r="K43" s="2" t="s">
        <v>75</v>
      </c>
      <c r="L43" s="2"/>
      <c r="M43" s="2"/>
    </row>
    <row r="44" spans="1:13" x14ac:dyDescent="0.25">
      <c r="A44" s="2" t="s">
        <v>203</v>
      </c>
      <c r="B44" s="2" t="s">
        <v>4</v>
      </c>
      <c r="C44" s="2" t="s">
        <v>204</v>
      </c>
      <c r="D44" s="2"/>
      <c r="E44" s="2" t="s">
        <v>205</v>
      </c>
      <c r="F44" s="2">
        <v>13.703225412676399</v>
      </c>
      <c r="G44" s="2">
        <v>31</v>
      </c>
      <c r="H44" s="2">
        <v>7700</v>
      </c>
      <c r="I44" s="2" t="s">
        <v>44</v>
      </c>
      <c r="J44" s="2" t="s">
        <v>46</v>
      </c>
      <c r="K44" s="2" t="s">
        <v>45</v>
      </c>
      <c r="L44" s="2"/>
      <c r="M44" s="2"/>
    </row>
    <row r="45" spans="1:13" x14ac:dyDescent="0.25">
      <c r="A45" s="2" t="s">
        <v>206</v>
      </c>
      <c r="B45" s="2" t="s">
        <v>4</v>
      </c>
      <c r="C45" s="2" t="s">
        <v>207</v>
      </c>
      <c r="D45" s="2"/>
      <c r="E45" s="2" t="s">
        <v>208</v>
      </c>
      <c r="F45" s="2">
        <v>17.672726717862201</v>
      </c>
      <c r="G45" s="2">
        <v>11</v>
      </c>
      <c r="H45" s="2">
        <v>7700</v>
      </c>
      <c r="I45" s="2" t="s">
        <v>100</v>
      </c>
      <c r="J45" s="2" t="s">
        <v>101</v>
      </c>
      <c r="K45" s="2" t="s">
        <v>102</v>
      </c>
      <c r="L45" s="2"/>
      <c r="M45" s="2"/>
    </row>
    <row r="46" spans="1:13" x14ac:dyDescent="0.25">
      <c r="A46" s="2" t="s">
        <v>209</v>
      </c>
      <c r="B46" s="2" t="s">
        <v>4</v>
      </c>
      <c r="C46" s="2" t="s">
        <v>210</v>
      </c>
      <c r="D46" s="2"/>
      <c r="E46" s="2" t="s">
        <v>211</v>
      </c>
      <c r="F46" s="2">
        <v>13.209755502096</v>
      </c>
      <c r="G46" s="2">
        <v>41</v>
      </c>
      <c r="H46" s="2">
        <v>7700</v>
      </c>
      <c r="I46" s="2" t="s">
        <v>126</v>
      </c>
      <c r="J46" s="2" t="s">
        <v>128</v>
      </c>
      <c r="K46" s="2" t="s">
        <v>127</v>
      </c>
      <c r="L46" s="2"/>
      <c r="M46" s="2"/>
    </row>
    <row r="47" spans="1:13" x14ac:dyDescent="0.25">
      <c r="A47" s="2" t="s">
        <v>212</v>
      </c>
      <c r="B47" s="2" t="s">
        <v>3</v>
      </c>
      <c r="C47" s="2" t="s">
        <v>213</v>
      </c>
      <c r="D47" s="2"/>
      <c r="E47" s="2" t="s">
        <v>176</v>
      </c>
      <c r="F47" s="2">
        <v>14.857407181351199</v>
      </c>
      <c r="G47" s="2">
        <v>54</v>
      </c>
      <c r="H47" s="2">
        <v>7700</v>
      </c>
      <c r="I47" s="2" t="s">
        <v>114</v>
      </c>
      <c r="J47" s="2" t="s">
        <v>115</v>
      </c>
      <c r="K47" s="2" t="s">
        <v>116</v>
      </c>
      <c r="L47" s="2"/>
      <c r="M47" s="2"/>
    </row>
    <row r="48" spans="1:13" x14ac:dyDescent="0.25">
      <c r="A48" s="2" t="s">
        <v>214</v>
      </c>
      <c r="B48" s="2" t="s">
        <v>4</v>
      </c>
      <c r="C48" s="2" t="s">
        <v>215</v>
      </c>
      <c r="D48" s="2"/>
      <c r="E48" s="2" t="s">
        <v>216</v>
      </c>
      <c r="F48" s="2">
        <v>12.966667175292899</v>
      </c>
      <c r="G48" s="2">
        <v>24</v>
      </c>
      <c r="H48" s="2">
        <v>7700</v>
      </c>
      <c r="I48" s="2" t="s">
        <v>56</v>
      </c>
      <c r="J48" s="2" t="s">
        <v>58</v>
      </c>
      <c r="K48" s="2" t="s">
        <v>57</v>
      </c>
      <c r="L48" s="2" t="s">
        <v>92</v>
      </c>
      <c r="M48" s="2" t="s">
        <v>217</v>
      </c>
    </row>
    <row r="49" spans="1:13" x14ac:dyDescent="0.25">
      <c r="A49" s="2" t="s">
        <v>218</v>
      </c>
      <c r="B49" s="2" t="s">
        <v>4</v>
      </c>
      <c r="C49" s="2" t="s">
        <v>219</v>
      </c>
      <c r="D49" s="2"/>
      <c r="E49" s="2" t="s">
        <v>220</v>
      </c>
      <c r="F49" s="2">
        <v>2.2999999523162802</v>
      </c>
      <c r="G49" s="2">
        <v>8</v>
      </c>
      <c r="H49" s="2">
        <v>7600</v>
      </c>
      <c r="I49" s="2" t="s">
        <v>62</v>
      </c>
      <c r="J49" s="2" t="s">
        <v>64</v>
      </c>
      <c r="K49" s="2" t="s">
        <v>63</v>
      </c>
      <c r="L49" s="2"/>
      <c r="M49" s="2"/>
    </row>
    <row r="50" spans="1:13" x14ac:dyDescent="0.25">
      <c r="A50" s="2" t="s">
        <v>221</v>
      </c>
      <c r="B50" s="2" t="s">
        <v>4</v>
      </c>
      <c r="C50" s="2" t="s">
        <v>222</v>
      </c>
      <c r="D50" s="2"/>
      <c r="E50" s="2" t="s">
        <v>223</v>
      </c>
      <c r="F50" s="2">
        <v>16.1411761115579</v>
      </c>
      <c r="G50" s="2">
        <v>17</v>
      </c>
      <c r="H50" s="2">
        <v>7600</v>
      </c>
      <c r="I50" s="2" t="s">
        <v>44</v>
      </c>
      <c r="J50" s="2" t="s">
        <v>46</v>
      </c>
      <c r="K50" s="2" t="s">
        <v>45</v>
      </c>
      <c r="L50" s="2" t="s">
        <v>92</v>
      </c>
      <c r="M50" s="2" t="s">
        <v>93</v>
      </c>
    </row>
    <row r="51" spans="1:13" x14ac:dyDescent="0.25">
      <c r="A51" s="2" t="s">
        <v>224</v>
      </c>
      <c r="B51" s="2" t="s">
        <v>21</v>
      </c>
      <c r="C51" s="2" t="s">
        <v>225</v>
      </c>
      <c r="D51" s="2"/>
      <c r="E51" s="2" t="s">
        <v>226</v>
      </c>
      <c r="F51" s="2">
        <v>15.1592588071469</v>
      </c>
      <c r="G51" s="2">
        <v>54</v>
      </c>
      <c r="H51" s="2">
        <v>7600</v>
      </c>
      <c r="I51" s="2" t="s">
        <v>62</v>
      </c>
      <c r="J51" s="2" t="s">
        <v>63</v>
      </c>
      <c r="K51" s="2" t="s">
        <v>64</v>
      </c>
      <c r="L51" s="2"/>
      <c r="M51" s="2"/>
    </row>
    <row r="52" spans="1:13" x14ac:dyDescent="0.25">
      <c r="A52" s="2" t="s">
        <v>227</v>
      </c>
      <c r="B52" s="2" t="s">
        <v>4</v>
      </c>
      <c r="C52" s="2" t="s">
        <v>228</v>
      </c>
      <c r="D52" s="2"/>
      <c r="E52" s="2" t="s">
        <v>229</v>
      </c>
      <c r="F52" s="2">
        <v>0.26666667064030902</v>
      </c>
      <c r="G52" s="2">
        <v>6</v>
      </c>
      <c r="H52" s="2">
        <v>7500</v>
      </c>
      <c r="I52" s="2" t="s">
        <v>106</v>
      </c>
      <c r="J52" s="2" t="s">
        <v>107</v>
      </c>
      <c r="K52" s="2" t="s">
        <v>108</v>
      </c>
      <c r="L52" s="2"/>
      <c r="M52" s="2"/>
    </row>
    <row r="53" spans="1:13" x14ac:dyDescent="0.25">
      <c r="A53" s="2" t="s">
        <v>230</v>
      </c>
      <c r="B53" s="2" t="s">
        <v>4</v>
      </c>
      <c r="C53" s="2" t="s">
        <v>231</v>
      </c>
      <c r="D53" s="2"/>
      <c r="E53" s="2" t="s">
        <v>232</v>
      </c>
      <c r="F53" s="2">
        <v>2.4000000953674299</v>
      </c>
      <c r="G53" s="2">
        <v>1</v>
      </c>
      <c r="H53" s="2">
        <v>7500</v>
      </c>
      <c r="I53" s="2" t="s">
        <v>135</v>
      </c>
      <c r="J53" s="2" t="s">
        <v>136</v>
      </c>
      <c r="K53" s="2" t="s">
        <v>137</v>
      </c>
      <c r="L53" s="2"/>
      <c r="M53" s="2"/>
    </row>
    <row r="54" spans="1:13" x14ac:dyDescent="0.25">
      <c r="A54" s="2" t="s">
        <v>233</v>
      </c>
      <c r="B54" s="2" t="s">
        <v>21</v>
      </c>
      <c r="C54" s="2" t="s">
        <v>11</v>
      </c>
      <c r="D54" s="2"/>
      <c r="E54" s="2" t="s">
        <v>234</v>
      </c>
      <c r="F54" s="2">
        <v>13.841817959872101</v>
      </c>
      <c r="G54" s="2">
        <v>55</v>
      </c>
      <c r="H54" s="2">
        <v>7500</v>
      </c>
      <c r="I54" s="2" t="s">
        <v>50</v>
      </c>
      <c r="J54" s="2" t="s">
        <v>51</v>
      </c>
      <c r="K54" s="2" t="s">
        <v>52</v>
      </c>
      <c r="L54" s="2"/>
      <c r="M54" s="2"/>
    </row>
    <row r="55" spans="1:13" x14ac:dyDescent="0.25">
      <c r="A55" s="2" t="s">
        <v>235</v>
      </c>
      <c r="B55" s="2" t="s">
        <v>21</v>
      </c>
      <c r="C55" s="2" t="s">
        <v>236</v>
      </c>
      <c r="D55" s="2"/>
      <c r="E55" s="2" t="s">
        <v>237</v>
      </c>
      <c r="F55" s="2">
        <v>15.461818625710199</v>
      </c>
      <c r="G55" s="2">
        <v>55</v>
      </c>
      <c r="H55" s="2">
        <v>7500</v>
      </c>
      <c r="I55" s="2" t="s">
        <v>62</v>
      </c>
      <c r="J55" s="2" t="s">
        <v>64</v>
      </c>
      <c r="K55" s="2" t="s">
        <v>63</v>
      </c>
      <c r="L55" s="2"/>
      <c r="M55" s="2"/>
    </row>
    <row r="56" spans="1:13" x14ac:dyDescent="0.25">
      <c r="A56" s="2" t="s">
        <v>238</v>
      </c>
      <c r="B56" s="2" t="s">
        <v>4</v>
      </c>
      <c r="C56" s="2" t="s">
        <v>239</v>
      </c>
      <c r="D56" s="2"/>
      <c r="E56" s="2" t="s">
        <v>240</v>
      </c>
      <c r="F56" s="2">
        <v>15.2</v>
      </c>
      <c r="G56" s="2">
        <v>5</v>
      </c>
      <c r="H56" s="2">
        <v>7500</v>
      </c>
      <c r="I56" s="2" t="s">
        <v>135</v>
      </c>
      <c r="J56" s="2" t="s">
        <v>136</v>
      </c>
      <c r="K56" s="2" t="s">
        <v>137</v>
      </c>
      <c r="L56" s="2"/>
      <c r="M56" s="2"/>
    </row>
    <row r="57" spans="1:13" x14ac:dyDescent="0.25">
      <c r="A57" s="2" t="s">
        <v>241</v>
      </c>
      <c r="B57" s="2" t="s">
        <v>4</v>
      </c>
      <c r="C57" s="2" t="s">
        <v>242</v>
      </c>
      <c r="D57" s="2"/>
      <c r="E57" s="2" t="s">
        <v>243</v>
      </c>
      <c r="F57" s="2">
        <v>18.399999618530199</v>
      </c>
      <c r="G57" s="2">
        <v>2</v>
      </c>
      <c r="H57" s="2">
        <v>7400</v>
      </c>
      <c r="I57" s="2" t="s">
        <v>100</v>
      </c>
      <c r="J57" s="2" t="s">
        <v>101</v>
      </c>
      <c r="K57" s="2" t="s">
        <v>102</v>
      </c>
      <c r="L57" s="2"/>
      <c r="M57" s="2"/>
    </row>
    <row r="58" spans="1:13" x14ac:dyDescent="0.25">
      <c r="A58" s="2" t="s">
        <v>244</v>
      </c>
      <c r="B58" s="2" t="s">
        <v>3</v>
      </c>
      <c r="C58" s="2" t="s">
        <v>245</v>
      </c>
      <c r="D58" s="2"/>
      <c r="E58" s="2" t="s">
        <v>246</v>
      </c>
      <c r="F58" s="2">
        <v>11.6999997739438</v>
      </c>
      <c r="G58" s="2">
        <v>54</v>
      </c>
      <c r="H58" s="2">
        <v>7400</v>
      </c>
      <c r="I58" s="2" t="s">
        <v>126</v>
      </c>
      <c r="J58" s="2" t="s">
        <v>128</v>
      </c>
      <c r="K58" s="2" t="s">
        <v>127</v>
      </c>
      <c r="L58" s="2"/>
      <c r="M58" s="2"/>
    </row>
    <row r="59" spans="1:13" x14ac:dyDescent="0.25">
      <c r="A59" s="2" t="s">
        <v>247</v>
      </c>
      <c r="B59" s="2" t="s">
        <v>4</v>
      </c>
      <c r="C59" s="2" t="s">
        <v>248</v>
      </c>
      <c r="D59" s="2"/>
      <c r="E59" s="2" t="s">
        <v>249</v>
      </c>
      <c r="F59" s="2">
        <v>15.1076918381911</v>
      </c>
      <c r="G59" s="2">
        <v>26</v>
      </c>
      <c r="H59" s="2">
        <v>7400</v>
      </c>
      <c r="I59" s="2" t="s">
        <v>56</v>
      </c>
      <c r="J59" s="2" t="s">
        <v>58</v>
      </c>
      <c r="K59" s="2" t="s">
        <v>57</v>
      </c>
      <c r="L59" s="2"/>
      <c r="M59" s="2"/>
    </row>
    <row r="60" spans="1:13" x14ac:dyDescent="0.25">
      <c r="A60" s="2" t="s">
        <v>250</v>
      </c>
      <c r="B60" s="2" t="s">
        <v>4</v>
      </c>
      <c r="C60" s="2" t="s">
        <v>251</v>
      </c>
      <c r="D60" s="2"/>
      <c r="E60" s="2" t="s">
        <v>252</v>
      </c>
      <c r="F60" s="2">
        <v>7.8857143947056301</v>
      </c>
      <c r="G60" s="2">
        <v>7</v>
      </c>
      <c r="H60" s="2">
        <v>7400</v>
      </c>
      <c r="I60" s="2" t="s">
        <v>126</v>
      </c>
      <c r="J60" s="2" t="s">
        <v>127</v>
      </c>
      <c r="K60" s="2" t="s">
        <v>128</v>
      </c>
      <c r="L60" s="2"/>
      <c r="M60" s="2"/>
    </row>
    <row r="61" spans="1:13" x14ac:dyDescent="0.25">
      <c r="A61" s="2" t="s">
        <v>253</v>
      </c>
      <c r="B61" s="2" t="s">
        <v>21</v>
      </c>
      <c r="C61" s="2" t="s">
        <v>173</v>
      </c>
      <c r="D61" s="2"/>
      <c r="E61" s="2" t="s">
        <v>254</v>
      </c>
      <c r="F61" s="2">
        <v>13.359615619365901</v>
      </c>
      <c r="G61" s="2">
        <v>52</v>
      </c>
      <c r="H61" s="2">
        <v>7400</v>
      </c>
      <c r="I61" s="2" t="s">
        <v>100</v>
      </c>
      <c r="J61" s="2" t="s">
        <v>101</v>
      </c>
      <c r="K61" s="2" t="s">
        <v>102</v>
      </c>
      <c r="L61" s="2"/>
      <c r="M61" s="2"/>
    </row>
    <row r="62" spans="1:13" x14ac:dyDescent="0.25">
      <c r="A62" s="2" t="s">
        <v>255</v>
      </c>
      <c r="B62" s="2" t="s">
        <v>4</v>
      </c>
      <c r="C62" s="2" t="s">
        <v>213</v>
      </c>
      <c r="D62" s="2"/>
      <c r="E62" s="2" t="s">
        <v>256</v>
      </c>
      <c r="F62" s="2">
        <v>5.6000002347505999</v>
      </c>
      <c r="G62" s="2">
        <v>13</v>
      </c>
      <c r="H62" s="2">
        <v>7400</v>
      </c>
      <c r="I62" s="2" t="s">
        <v>114</v>
      </c>
      <c r="J62" s="2" t="s">
        <v>115</v>
      </c>
      <c r="K62" s="2" t="s">
        <v>116</v>
      </c>
      <c r="L62" s="2"/>
      <c r="M62" s="2"/>
    </row>
    <row r="63" spans="1:13" x14ac:dyDescent="0.25">
      <c r="A63" s="2" t="s">
        <v>257</v>
      </c>
      <c r="B63" s="2" t="s">
        <v>4</v>
      </c>
      <c r="C63" s="2" t="s">
        <v>258</v>
      </c>
      <c r="D63" s="2"/>
      <c r="E63" s="2" t="s">
        <v>259</v>
      </c>
      <c r="F63" s="2">
        <v>0.60000002384185702</v>
      </c>
      <c r="G63" s="2">
        <v>4</v>
      </c>
      <c r="H63" s="2">
        <v>7400</v>
      </c>
      <c r="I63" s="2" t="s">
        <v>68</v>
      </c>
      <c r="J63" s="2" t="s">
        <v>69</v>
      </c>
      <c r="K63" s="2" t="s">
        <v>70</v>
      </c>
      <c r="L63" s="2"/>
      <c r="M63" s="2"/>
    </row>
    <row r="64" spans="1:13" x14ac:dyDescent="0.25">
      <c r="A64" s="2" t="s">
        <v>260</v>
      </c>
      <c r="B64" s="2" t="s">
        <v>4</v>
      </c>
      <c r="C64" s="2" t="s">
        <v>261</v>
      </c>
      <c r="D64" s="2"/>
      <c r="E64" s="2" t="s">
        <v>262</v>
      </c>
      <c r="F64" s="2">
        <v>4.3999999364217102</v>
      </c>
      <c r="G64" s="2">
        <v>6</v>
      </c>
      <c r="H64" s="2">
        <v>7400</v>
      </c>
      <c r="I64" s="2" t="s">
        <v>74</v>
      </c>
      <c r="J64" s="2" t="s">
        <v>75</v>
      </c>
      <c r="K64" s="2" t="s">
        <v>76</v>
      </c>
      <c r="L64" s="2"/>
      <c r="M64" s="2"/>
    </row>
    <row r="65" spans="1:13" x14ac:dyDescent="0.25">
      <c r="A65" s="2" t="s">
        <v>263</v>
      </c>
      <c r="B65" s="2" t="s">
        <v>4</v>
      </c>
      <c r="C65" s="2" t="s">
        <v>264</v>
      </c>
      <c r="D65" s="2"/>
      <c r="E65" s="2" t="s">
        <v>265</v>
      </c>
      <c r="F65" s="2">
        <v>10.7047620500837</v>
      </c>
      <c r="G65" s="2">
        <v>21</v>
      </c>
      <c r="H65" s="2">
        <v>7300</v>
      </c>
      <c r="I65" s="2" t="s">
        <v>50</v>
      </c>
      <c r="J65" s="2" t="s">
        <v>52</v>
      </c>
      <c r="K65" s="2" t="s">
        <v>51</v>
      </c>
      <c r="L65" s="2"/>
      <c r="M65" s="2"/>
    </row>
    <row r="66" spans="1:13" x14ac:dyDescent="0.25">
      <c r="A66" s="2" t="s">
        <v>266</v>
      </c>
      <c r="B66" s="2" t="s">
        <v>3</v>
      </c>
      <c r="C66" s="2" t="s">
        <v>267</v>
      </c>
      <c r="D66" s="2"/>
      <c r="E66" s="2" t="s">
        <v>268</v>
      </c>
      <c r="F66" s="2">
        <v>15.7307692307692</v>
      </c>
      <c r="G66" s="2">
        <v>52</v>
      </c>
      <c r="H66" s="2">
        <v>7300</v>
      </c>
      <c r="I66" s="2" t="s">
        <v>100</v>
      </c>
      <c r="J66" s="2" t="s">
        <v>101</v>
      </c>
      <c r="K66" s="2" t="s">
        <v>102</v>
      </c>
      <c r="L66" s="2"/>
      <c r="M66" s="2"/>
    </row>
    <row r="67" spans="1:13" x14ac:dyDescent="0.25">
      <c r="A67" s="2" t="s">
        <v>269</v>
      </c>
      <c r="B67" s="2" t="s">
        <v>21</v>
      </c>
      <c r="C67" s="2" t="s">
        <v>270</v>
      </c>
      <c r="D67" s="2"/>
      <c r="E67" s="2" t="s">
        <v>271</v>
      </c>
      <c r="F67" s="2">
        <v>14.113462007962699</v>
      </c>
      <c r="G67" s="2">
        <v>52</v>
      </c>
      <c r="H67" s="2">
        <v>7300</v>
      </c>
      <c r="I67" s="2" t="s">
        <v>56</v>
      </c>
      <c r="J67" s="2" t="s">
        <v>57</v>
      </c>
      <c r="K67" s="2" t="s">
        <v>58</v>
      </c>
      <c r="L67" s="2"/>
      <c r="M67" s="2"/>
    </row>
    <row r="68" spans="1:13" x14ac:dyDescent="0.25">
      <c r="A68" s="2" t="s">
        <v>272</v>
      </c>
      <c r="B68" s="2" t="s">
        <v>3</v>
      </c>
      <c r="C68" s="2" t="s">
        <v>273</v>
      </c>
      <c r="D68" s="2"/>
      <c r="E68" s="2" t="s">
        <v>274</v>
      </c>
      <c r="F68" s="2">
        <v>15.471875190734799</v>
      </c>
      <c r="G68" s="2">
        <v>32</v>
      </c>
      <c r="H68" s="2">
        <v>7300</v>
      </c>
      <c r="I68" s="2" t="s">
        <v>74</v>
      </c>
      <c r="J68" s="2" t="s">
        <v>76</v>
      </c>
      <c r="K68" s="2" t="s">
        <v>75</v>
      </c>
      <c r="L68" s="2"/>
      <c r="M68" s="2"/>
    </row>
    <row r="69" spans="1:13" x14ac:dyDescent="0.25">
      <c r="A69" s="2" t="s">
        <v>275</v>
      </c>
      <c r="B69" s="2" t="s">
        <v>4</v>
      </c>
      <c r="C69" s="2" t="s">
        <v>276</v>
      </c>
      <c r="D69" s="2"/>
      <c r="E69" s="2" t="s">
        <v>60</v>
      </c>
      <c r="F69" s="2">
        <v>4.7999998728434203</v>
      </c>
      <c r="G69" s="2">
        <v>3</v>
      </c>
      <c r="H69" s="2">
        <v>7300</v>
      </c>
      <c r="I69" s="2" t="s">
        <v>56</v>
      </c>
      <c r="J69" s="2" t="s">
        <v>58</v>
      </c>
      <c r="K69" s="2" t="s">
        <v>57</v>
      </c>
      <c r="L69" s="2"/>
      <c r="M69" s="2"/>
    </row>
    <row r="70" spans="1:13" x14ac:dyDescent="0.25">
      <c r="A70" s="2" t="s">
        <v>277</v>
      </c>
      <c r="B70" s="2" t="s">
        <v>3</v>
      </c>
      <c r="C70" s="2" t="s">
        <v>139</v>
      </c>
      <c r="D70" s="2"/>
      <c r="E70" s="2" t="s">
        <v>278</v>
      </c>
      <c r="F70" s="2">
        <v>12.097916920979801</v>
      </c>
      <c r="G70" s="2">
        <v>48</v>
      </c>
      <c r="H70" s="2">
        <v>7300</v>
      </c>
      <c r="I70" s="2" t="s">
        <v>74</v>
      </c>
      <c r="J70" s="2" t="s">
        <v>75</v>
      </c>
      <c r="K70" s="2" t="s">
        <v>76</v>
      </c>
      <c r="L70" s="2"/>
      <c r="M70" s="2"/>
    </row>
    <row r="71" spans="1:13" x14ac:dyDescent="0.25">
      <c r="A71" s="2" t="s">
        <v>279</v>
      </c>
      <c r="B71" s="2" t="s">
        <v>4</v>
      </c>
      <c r="C71" s="2" t="s">
        <v>280</v>
      </c>
      <c r="D71" s="2"/>
      <c r="E71" s="2" t="s">
        <v>281</v>
      </c>
      <c r="F71" s="2">
        <v>4</v>
      </c>
      <c r="G71" s="2">
        <v>1</v>
      </c>
      <c r="H71" s="2">
        <v>7200</v>
      </c>
      <c r="I71" s="2" t="s">
        <v>74</v>
      </c>
      <c r="J71" s="2" t="s">
        <v>75</v>
      </c>
      <c r="K71" s="2" t="s">
        <v>76</v>
      </c>
      <c r="L71" s="2"/>
      <c r="M71" s="2"/>
    </row>
    <row r="72" spans="1:13" x14ac:dyDescent="0.25">
      <c r="A72" s="2" t="s">
        <v>282</v>
      </c>
      <c r="B72" s="2" t="s">
        <v>21</v>
      </c>
      <c r="C72" s="2" t="s">
        <v>283</v>
      </c>
      <c r="D72" s="2"/>
      <c r="E72" s="2" t="s">
        <v>232</v>
      </c>
      <c r="F72" s="2">
        <v>11.2886790149616</v>
      </c>
      <c r="G72" s="2">
        <v>53</v>
      </c>
      <c r="H72" s="2">
        <v>7200</v>
      </c>
      <c r="I72" s="2" t="s">
        <v>68</v>
      </c>
      <c r="J72" s="2" t="s">
        <v>69</v>
      </c>
      <c r="K72" s="2" t="s">
        <v>70</v>
      </c>
      <c r="L72" s="2"/>
      <c r="M72" s="2"/>
    </row>
    <row r="73" spans="1:13" x14ac:dyDescent="0.25">
      <c r="A73" s="2" t="s">
        <v>284</v>
      </c>
      <c r="B73" s="2" t="s">
        <v>20</v>
      </c>
      <c r="C73" s="2" t="s">
        <v>285</v>
      </c>
      <c r="D73" s="2"/>
      <c r="E73" s="2" t="s">
        <v>286</v>
      </c>
      <c r="F73" s="2">
        <v>15.8823529411764</v>
      </c>
      <c r="G73" s="2">
        <v>51</v>
      </c>
      <c r="H73" s="2">
        <v>7200</v>
      </c>
      <c r="I73" s="2" t="s">
        <v>106</v>
      </c>
      <c r="J73" s="2" t="s">
        <v>107</v>
      </c>
      <c r="K73" s="2" t="s">
        <v>108</v>
      </c>
      <c r="L73" s="2"/>
      <c r="M73" s="2"/>
    </row>
    <row r="74" spans="1:13" x14ac:dyDescent="0.25">
      <c r="A74" s="2" t="s">
        <v>287</v>
      </c>
      <c r="B74" s="2" t="s">
        <v>21</v>
      </c>
      <c r="C74" s="2" t="s">
        <v>288</v>
      </c>
      <c r="D74" s="2"/>
      <c r="E74" s="2" t="s">
        <v>289</v>
      </c>
      <c r="F74" s="2">
        <v>14.9980773925781</v>
      </c>
      <c r="G74" s="2">
        <v>52</v>
      </c>
      <c r="H74" s="2">
        <v>7200</v>
      </c>
      <c r="I74" s="2" t="s">
        <v>135</v>
      </c>
      <c r="J74" s="2" t="s">
        <v>136</v>
      </c>
      <c r="K74" s="2" t="s">
        <v>137</v>
      </c>
      <c r="L74" s="2"/>
      <c r="M74" s="2"/>
    </row>
    <row r="75" spans="1:13" x14ac:dyDescent="0.25">
      <c r="A75" s="2" t="s">
        <v>290</v>
      </c>
      <c r="B75" s="2" t="s">
        <v>4</v>
      </c>
      <c r="C75" s="2" t="s">
        <v>291</v>
      </c>
      <c r="D75" s="2"/>
      <c r="E75" s="2" t="s">
        <v>292</v>
      </c>
      <c r="F75" s="2">
        <v>-0.80000001192092896</v>
      </c>
      <c r="G75" s="2">
        <v>1</v>
      </c>
      <c r="H75" s="2">
        <v>7200</v>
      </c>
      <c r="I75" s="2" t="s">
        <v>100</v>
      </c>
      <c r="J75" s="2" t="s">
        <v>102</v>
      </c>
      <c r="K75" s="2" t="s">
        <v>101</v>
      </c>
      <c r="L75" s="2"/>
      <c r="M75" s="2"/>
    </row>
    <row r="76" spans="1:13" x14ac:dyDescent="0.25">
      <c r="A76" s="2" t="s">
        <v>293</v>
      </c>
      <c r="B76" s="2" t="s">
        <v>3</v>
      </c>
      <c r="C76" s="2" t="s">
        <v>294</v>
      </c>
      <c r="D76" s="2"/>
      <c r="E76" s="2" t="s">
        <v>295</v>
      </c>
      <c r="F76" s="2">
        <v>10.829629403573399</v>
      </c>
      <c r="G76" s="2">
        <v>54</v>
      </c>
      <c r="H76" s="2">
        <v>7100</v>
      </c>
      <c r="I76" s="2" t="s">
        <v>44</v>
      </c>
      <c r="J76" s="2" t="s">
        <v>45</v>
      </c>
      <c r="K76" s="2" t="s">
        <v>46</v>
      </c>
      <c r="L76" s="2"/>
      <c r="M76" s="2"/>
    </row>
    <row r="77" spans="1:13" x14ac:dyDescent="0.25">
      <c r="A77" s="2" t="s">
        <v>296</v>
      </c>
      <c r="B77" s="2" t="s">
        <v>20</v>
      </c>
      <c r="C77" s="2" t="s">
        <v>297</v>
      </c>
      <c r="D77" s="2"/>
      <c r="E77" s="2" t="s">
        <v>298</v>
      </c>
      <c r="F77" s="2">
        <v>14.647058823529401</v>
      </c>
      <c r="G77" s="2">
        <v>34</v>
      </c>
      <c r="H77" s="2">
        <v>7100</v>
      </c>
      <c r="I77" s="2" t="s">
        <v>56</v>
      </c>
      <c r="J77" s="2" t="s">
        <v>57</v>
      </c>
      <c r="K77" s="2" t="s">
        <v>58</v>
      </c>
      <c r="L77" s="2"/>
      <c r="M77" s="2"/>
    </row>
    <row r="78" spans="1:13" x14ac:dyDescent="0.25">
      <c r="A78" s="2" t="s">
        <v>299</v>
      </c>
      <c r="B78" s="2" t="s">
        <v>21</v>
      </c>
      <c r="C78" s="2" t="s">
        <v>300</v>
      </c>
      <c r="D78" s="2"/>
      <c r="E78" s="2" t="s">
        <v>301</v>
      </c>
      <c r="F78" s="2">
        <v>13.4000005307404</v>
      </c>
      <c r="G78" s="2">
        <v>46</v>
      </c>
      <c r="H78" s="2">
        <v>7100</v>
      </c>
      <c r="I78" s="2" t="s">
        <v>56</v>
      </c>
      <c r="J78" s="2" t="s">
        <v>57</v>
      </c>
      <c r="K78" s="2" t="s">
        <v>58</v>
      </c>
      <c r="L78" s="2"/>
      <c r="M78" s="2"/>
    </row>
    <row r="79" spans="1:13" x14ac:dyDescent="0.25">
      <c r="A79" s="2" t="s">
        <v>302</v>
      </c>
      <c r="B79" s="2" t="s">
        <v>3</v>
      </c>
      <c r="C79" s="2" t="s">
        <v>303</v>
      </c>
      <c r="D79" s="2"/>
      <c r="E79" s="2" t="s">
        <v>304</v>
      </c>
      <c r="F79" s="2">
        <v>12.839622641509401</v>
      </c>
      <c r="G79" s="2">
        <v>53</v>
      </c>
      <c r="H79" s="2">
        <v>7000</v>
      </c>
      <c r="I79" s="2" t="s">
        <v>62</v>
      </c>
      <c r="J79" s="2" t="s">
        <v>63</v>
      </c>
      <c r="K79" s="2" t="s">
        <v>64</v>
      </c>
      <c r="L79" s="2"/>
      <c r="M79" s="2"/>
    </row>
    <row r="80" spans="1:13" x14ac:dyDescent="0.25">
      <c r="A80" s="2" t="s">
        <v>305</v>
      </c>
      <c r="B80" s="2" t="s">
        <v>3</v>
      </c>
      <c r="C80" s="2" t="s">
        <v>306</v>
      </c>
      <c r="D80" s="2"/>
      <c r="E80" s="2" t="s">
        <v>307</v>
      </c>
      <c r="F80" s="2">
        <v>12.649999765249399</v>
      </c>
      <c r="G80" s="2">
        <v>52</v>
      </c>
      <c r="H80" s="2">
        <v>7000</v>
      </c>
      <c r="I80" s="2" t="s">
        <v>62</v>
      </c>
      <c r="J80" s="2" t="s">
        <v>64</v>
      </c>
      <c r="K80" s="2" t="s">
        <v>63</v>
      </c>
      <c r="L80" s="2"/>
      <c r="M80" s="2"/>
    </row>
    <row r="81" spans="1:13" x14ac:dyDescent="0.25">
      <c r="A81" s="2" t="s">
        <v>308</v>
      </c>
      <c r="B81" s="2" t="s">
        <v>21</v>
      </c>
      <c r="C81" s="2" t="s">
        <v>309</v>
      </c>
      <c r="D81" s="2"/>
      <c r="E81" s="2" t="s">
        <v>310</v>
      </c>
      <c r="F81" s="2">
        <v>12.691110568576301</v>
      </c>
      <c r="G81" s="2">
        <v>45</v>
      </c>
      <c r="H81" s="2">
        <v>6900</v>
      </c>
      <c r="I81" s="2" t="s">
        <v>44</v>
      </c>
      <c r="J81" s="2" t="s">
        <v>45</v>
      </c>
      <c r="K81" s="2" t="s">
        <v>46</v>
      </c>
      <c r="L81" s="2"/>
      <c r="M81" s="2"/>
    </row>
    <row r="82" spans="1:13" x14ac:dyDescent="0.25">
      <c r="A82" s="2" t="s">
        <v>311</v>
      </c>
      <c r="B82" s="2" t="s">
        <v>21</v>
      </c>
      <c r="C82" s="2" t="s">
        <v>157</v>
      </c>
      <c r="D82" s="2"/>
      <c r="E82" s="2" t="s">
        <v>312</v>
      </c>
      <c r="F82" s="2">
        <v>13.6804345172384</v>
      </c>
      <c r="G82" s="2">
        <v>46</v>
      </c>
      <c r="H82" s="2">
        <v>6800</v>
      </c>
      <c r="I82" s="2" t="s">
        <v>106</v>
      </c>
      <c r="J82" s="2" t="s">
        <v>107</v>
      </c>
      <c r="K82" s="2" t="s">
        <v>108</v>
      </c>
      <c r="L82" s="2"/>
      <c r="M82" s="2"/>
    </row>
    <row r="83" spans="1:13" x14ac:dyDescent="0.25">
      <c r="A83" s="2" t="s">
        <v>313</v>
      </c>
      <c r="B83" s="2" t="s">
        <v>21</v>
      </c>
      <c r="C83" s="2" t="s">
        <v>314</v>
      </c>
      <c r="D83" s="2"/>
      <c r="E83" s="2" t="s">
        <v>315</v>
      </c>
      <c r="F83" s="2">
        <v>13.2115384615384</v>
      </c>
      <c r="G83" s="2">
        <v>52</v>
      </c>
      <c r="H83" s="2">
        <v>6800</v>
      </c>
      <c r="I83" s="2" t="s">
        <v>100</v>
      </c>
      <c r="J83" s="2" t="s">
        <v>101</v>
      </c>
      <c r="K83" s="2" t="s">
        <v>102</v>
      </c>
      <c r="L83" s="2"/>
      <c r="M83" s="2"/>
    </row>
    <row r="84" spans="1:13" x14ac:dyDescent="0.25">
      <c r="A84" s="2" t="s">
        <v>316</v>
      </c>
      <c r="B84" s="2" t="s">
        <v>21</v>
      </c>
      <c r="C84" s="2" t="s">
        <v>317</v>
      </c>
      <c r="D84" s="2"/>
      <c r="E84" s="2" t="s">
        <v>318</v>
      </c>
      <c r="F84" s="2">
        <v>12.574074074074</v>
      </c>
      <c r="G84" s="2">
        <v>54</v>
      </c>
      <c r="H84" s="2">
        <v>6800</v>
      </c>
      <c r="I84" s="2" t="s">
        <v>126</v>
      </c>
      <c r="J84" s="2" t="s">
        <v>128</v>
      </c>
      <c r="K84" s="2" t="s">
        <v>127</v>
      </c>
      <c r="L84" s="2"/>
      <c r="M84" s="2"/>
    </row>
    <row r="85" spans="1:13" x14ac:dyDescent="0.25">
      <c r="A85" s="2" t="s">
        <v>319</v>
      </c>
      <c r="B85" s="2" t="s">
        <v>3</v>
      </c>
      <c r="C85" s="2" t="s">
        <v>320</v>
      </c>
      <c r="D85" s="2"/>
      <c r="E85" s="2" t="s">
        <v>321</v>
      </c>
      <c r="F85" s="2">
        <v>11.791891561972101</v>
      </c>
      <c r="G85" s="2">
        <v>37</v>
      </c>
      <c r="H85" s="2">
        <v>6800</v>
      </c>
      <c r="I85" s="2" t="s">
        <v>114</v>
      </c>
      <c r="J85" s="2" t="s">
        <v>116</v>
      </c>
      <c r="K85" s="2" t="s">
        <v>115</v>
      </c>
      <c r="L85" s="2"/>
      <c r="M85" s="2"/>
    </row>
    <row r="86" spans="1:13" x14ac:dyDescent="0.25">
      <c r="A86" s="2" t="s">
        <v>322</v>
      </c>
      <c r="B86" s="2" t="s">
        <v>3</v>
      </c>
      <c r="C86" s="2" t="s">
        <v>323</v>
      </c>
      <c r="D86" s="2"/>
      <c r="E86" s="2" t="s">
        <v>324</v>
      </c>
      <c r="F86" s="2">
        <v>12.8611111111111</v>
      </c>
      <c r="G86" s="2">
        <v>54</v>
      </c>
      <c r="H86" s="2">
        <v>6800</v>
      </c>
      <c r="I86" s="2" t="s">
        <v>44</v>
      </c>
      <c r="J86" s="2" t="s">
        <v>45</v>
      </c>
      <c r="K86" s="2" t="s">
        <v>46</v>
      </c>
      <c r="L86" s="2"/>
      <c r="M86" s="2"/>
    </row>
    <row r="87" spans="1:13" x14ac:dyDescent="0.25">
      <c r="A87" s="2" t="s">
        <v>325</v>
      </c>
      <c r="B87" s="2" t="s">
        <v>3</v>
      </c>
      <c r="C87" s="2" t="s">
        <v>326</v>
      </c>
      <c r="D87" s="2"/>
      <c r="E87" s="2" t="s">
        <v>327</v>
      </c>
      <c r="F87" s="2">
        <v>13.036538931039599</v>
      </c>
      <c r="G87" s="2">
        <v>52</v>
      </c>
      <c r="H87" s="2">
        <v>6800</v>
      </c>
      <c r="I87" s="2" t="s">
        <v>100</v>
      </c>
      <c r="J87" s="2" t="s">
        <v>101</v>
      </c>
      <c r="K87" s="2" t="s">
        <v>102</v>
      </c>
      <c r="L87" s="2"/>
      <c r="M87" s="2"/>
    </row>
    <row r="88" spans="1:13" x14ac:dyDescent="0.25">
      <c r="A88" s="2" t="s">
        <v>328</v>
      </c>
      <c r="B88" s="2" t="s">
        <v>21</v>
      </c>
      <c r="C88" s="2" t="s">
        <v>329</v>
      </c>
      <c r="D88" s="2"/>
      <c r="E88" s="2" t="s">
        <v>330</v>
      </c>
      <c r="F88" s="2">
        <v>15.691666920979801</v>
      </c>
      <c r="G88" s="2">
        <v>48</v>
      </c>
      <c r="H88" s="2">
        <v>6800</v>
      </c>
      <c r="I88" s="2" t="s">
        <v>62</v>
      </c>
      <c r="J88" s="2" t="s">
        <v>64</v>
      </c>
      <c r="K88" s="2" t="s">
        <v>63</v>
      </c>
      <c r="L88" s="2"/>
      <c r="M88" s="2"/>
    </row>
    <row r="89" spans="1:13" x14ac:dyDescent="0.25">
      <c r="A89" s="2" t="s">
        <v>331</v>
      </c>
      <c r="B89" s="2" t="s">
        <v>21</v>
      </c>
      <c r="C89" s="2" t="s">
        <v>332</v>
      </c>
      <c r="D89" s="2"/>
      <c r="E89" s="2" t="s">
        <v>333</v>
      </c>
      <c r="F89" s="2">
        <v>11.1150938789799</v>
      </c>
      <c r="G89" s="2">
        <v>53</v>
      </c>
      <c r="H89" s="2">
        <v>6700</v>
      </c>
      <c r="I89" s="2" t="s">
        <v>50</v>
      </c>
      <c r="J89" s="2" t="s">
        <v>51</v>
      </c>
      <c r="K89" s="2" t="s">
        <v>52</v>
      </c>
      <c r="L89" s="2"/>
      <c r="M89" s="2"/>
    </row>
    <row r="90" spans="1:13" x14ac:dyDescent="0.25">
      <c r="A90" s="2" t="s">
        <v>334</v>
      </c>
      <c r="B90" s="2" t="s">
        <v>21</v>
      </c>
      <c r="C90" s="2" t="s">
        <v>173</v>
      </c>
      <c r="D90" s="2"/>
      <c r="E90" s="2" t="s">
        <v>335</v>
      </c>
      <c r="F90" s="2">
        <v>11.5409088134765</v>
      </c>
      <c r="G90" s="2">
        <v>44</v>
      </c>
      <c r="H90" s="2">
        <v>6700</v>
      </c>
      <c r="I90" s="2" t="s">
        <v>68</v>
      </c>
      <c r="J90" s="2" t="s">
        <v>69</v>
      </c>
      <c r="K90" s="2" t="s">
        <v>70</v>
      </c>
      <c r="L90" s="2"/>
      <c r="M90" s="2"/>
    </row>
    <row r="91" spans="1:13" x14ac:dyDescent="0.25">
      <c r="A91" s="2" t="s">
        <v>336</v>
      </c>
      <c r="B91" s="2" t="s">
        <v>3</v>
      </c>
      <c r="C91" s="2" t="s">
        <v>337</v>
      </c>
      <c r="D91" s="2"/>
      <c r="E91" s="2" t="s">
        <v>338</v>
      </c>
      <c r="F91" s="2">
        <v>10.435416539509999</v>
      </c>
      <c r="G91" s="2">
        <v>48</v>
      </c>
      <c r="H91" s="2">
        <v>6700</v>
      </c>
      <c r="I91" s="2" t="s">
        <v>114</v>
      </c>
      <c r="J91" s="2" t="s">
        <v>115</v>
      </c>
      <c r="K91" s="2" t="s">
        <v>116</v>
      </c>
      <c r="L91" s="2"/>
      <c r="M91" s="2"/>
    </row>
    <row r="92" spans="1:13" x14ac:dyDescent="0.25">
      <c r="A92" s="2" t="s">
        <v>339</v>
      </c>
      <c r="B92" s="2" t="s">
        <v>21</v>
      </c>
      <c r="C92" s="2" t="s">
        <v>340</v>
      </c>
      <c r="D92" s="2"/>
      <c r="E92" s="2" t="s">
        <v>341</v>
      </c>
      <c r="F92" s="2">
        <v>12.8840002441406</v>
      </c>
      <c r="G92" s="2">
        <v>50</v>
      </c>
      <c r="H92" s="2">
        <v>6700</v>
      </c>
      <c r="I92" s="2" t="s">
        <v>135</v>
      </c>
      <c r="J92" s="2" t="s">
        <v>136</v>
      </c>
      <c r="K92" s="2" t="s">
        <v>137</v>
      </c>
      <c r="L92" s="2"/>
      <c r="M92" s="2"/>
    </row>
    <row r="93" spans="1:13" x14ac:dyDescent="0.25">
      <c r="A93" s="2" t="s">
        <v>342</v>
      </c>
      <c r="B93" s="2" t="s">
        <v>3</v>
      </c>
      <c r="C93" s="2" t="s">
        <v>343</v>
      </c>
      <c r="D93" s="2"/>
      <c r="E93" s="2" t="s">
        <v>344</v>
      </c>
      <c r="F93" s="2">
        <v>12.948000488281201</v>
      </c>
      <c r="G93" s="2">
        <v>50</v>
      </c>
      <c r="H93" s="2">
        <v>6700</v>
      </c>
      <c r="I93" s="2" t="s">
        <v>56</v>
      </c>
      <c r="J93" s="2" t="s">
        <v>58</v>
      </c>
      <c r="K93" s="2" t="s">
        <v>57</v>
      </c>
      <c r="L93" s="2"/>
      <c r="M93" s="2"/>
    </row>
    <row r="94" spans="1:13" x14ac:dyDescent="0.25">
      <c r="A94" s="2" t="s">
        <v>345</v>
      </c>
      <c r="B94" s="2" t="s">
        <v>3</v>
      </c>
      <c r="C94" s="2" t="s">
        <v>139</v>
      </c>
      <c r="D94" s="2"/>
      <c r="E94" s="2" t="s">
        <v>346</v>
      </c>
      <c r="F94" s="2">
        <v>12.6636363636363</v>
      </c>
      <c r="G94" s="2">
        <v>55</v>
      </c>
      <c r="H94" s="2">
        <v>6700</v>
      </c>
      <c r="I94" s="2" t="s">
        <v>74</v>
      </c>
      <c r="J94" s="2" t="s">
        <v>75</v>
      </c>
      <c r="K94" s="2" t="s">
        <v>76</v>
      </c>
      <c r="L94" s="2"/>
      <c r="M94" s="2"/>
    </row>
    <row r="95" spans="1:13" x14ac:dyDescent="0.25">
      <c r="A95" s="2" t="s">
        <v>347</v>
      </c>
      <c r="B95" s="2" t="s">
        <v>21</v>
      </c>
      <c r="C95" s="2" t="s">
        <v>348</v>
      </c>
      <c r="D95" s="2"/>
      <c r="E95" s="2" t="s">
        <v>349</v>
      </c>
      <c r="F95" s="2">
        <v>13.4314812554253</v>
      </c>
      <c r="G95" s="2">
        <v>54</v>
      </c>
      <c r="H95" s="2">
        <v>6600</v>
      </c>
      <c r="I95" s="2" t="s">
        <v>126</v>
      </c>
      <c r="J95" s="2" t="s">
        <v>128</v>
      </c>
      <c r="K95" s="2" t="s">
        <v>127</v>
      </c>
      <c r="L95" s="2"/>
      <c r="M95" s="2"/>
    </row>
    <row r="96" spans="1:13" x14ac:dyDescent="0.25">
      <c r="A96" s="2" t="s">
        <v>350</v>
      </c>
      <c r="B96" s="2" t="s">
        <v>21</v>
      </c>
      <c r="C96" s="2" t="s">
        <v>351</v>
      </c>
      <c r="D96" s="2"/>
      <c r="E96" s="2" t="s">
        <v>352</v>
      </c>
      <c r="F96" s="2">
        <v>11.9849058906987</v>
      </c>
      <c r="G96" s="2">
        <v>53</v>
      </c>
      <c r="H96" s="2">
        <v>6600</v>
      </c>
      <c r="I96" s="2" t="s">
        <v>68</v>
      </c>
      <c r="J96" s="2" t="s">
        <v>70</v>
      </c>
      <c r="K96" s="2" t="s">
        <v>69</v>
      </c>
      <c r="L96" s="2"/>
      <c r="M96" s="2"/>
    </row>
    <row r="97" spans="1:13" x14ac:dyDescent="0.25">
      <c r="A97" s="2" t="s">
        <v>353</v>
      </c>
      <c r="B97" s="2" t="s">
        <v>3</v>
      </c>
      <c r="C97" s="2" t="s">
        <v>139</v>
      </c>
      <c r="D97" s="2"/>
      <c r="E97" s="2" t="s">
        <v>354</v>
      </c>
      <c r="F97" s="2">
        <v>10.649057064416199</v>
      </c>
      <c r="G97" s="2">
        <v>53</v>
      </c>
      <c r="H97" s="2">
        <v>6500</v>
      </c>
      <c r="I97" s="2" t="s">
        <v>68</v>
      </c>
      <c r="J97" s="2" t="s">
        <v>69</v>
      </c>
      <c r="K97" s="2" t="s">
        <v>70</v>
      </c>
      <c r="L97" s="2"/>
      <c r="M97" s="2"/>
    </row>
    <row r="98" spans="1:13" x14ac:dyDescent="0.25">
      <c r="A98" s="2" t="s">
        <v>355</v>
      </c>
      <c r="B98" s="2" t="s">
        <v>21</v>
      </c>
      <c r="C98" s="2" t="s">
        <v>356</v>
      </c>
      <c r="D98" s="2"/>
      <c r="E98" s="2" t="s">
        <v>357</v>
      </c>
      <c r="F98" s="2">
        <v>10.6944444444444</v>
      </c>
      <c r="G98" s="2">
        <v>54</v>
      </c>
      <c r="H98" s="2">
        <v>6500</v>
      </c>
      <c r="I98" s="2" t="s">
        <v>62</v>
      </c>
      <c r="J98" s="2" t="s">
        <v>63</v>
      </c>
      <c r="K98" s="2" t="s">
        <v>64</v>
      </c>
      <c r="L98" s="2"/>
      <c r="M98" s="2"/>
    </row>
    <row r="99" spans="1:13" x14ac:dyDescent="0.25">
      <c r="A99" s="2" t="s">
        <v>358</v>
      </c>
      <c r="B99" s="2" t="s">
        <v>3</v>
      </c>
      <c r="C99" s="2" t="s">
        <v>81</v>
      </c>
      <c r="D99" s="2"/>
      <c r="E99" s="2" t="s">
        <v>359</v>
      </c>
      <c r="F99" s="2">
        <v>11.7147055233226</v>
      </c>
      <c r="G99" s="2">
        <v>34</v>
      </c>
      <c r="H99" s="2">
        <v>6500</v>
      </c>
      <c r="I99" s="2" t="s">
        <v>50</v>
      </c>
      <c r="J99" s="2" t="s">
        <v>51</v>
      </c>
      <c r="K99" s="2" t="s">
        <v>52</v>
      </c>
      <c r="L99" s="2"/>
      <c r="M99" s="2"/>
    </row>
    <row r="100" spans="1:13" x14ac:dyDescent="0.25">
      <c r="A100" s="2" t="s">
        <v>360</v>
      </c>
      <c r="B100" s="2" t="s">
        <v>21</v>
      </c>
      <c r="C100" s="2" t="s">
        <v>361</v>
      </c>
      <c r="D100" s="2"/>
      <c r="E100" s="2" t="s">
        <v>362</v>
      </c>
      <c r="F100" s="2">
        <v>10.9327270507812</v>
      </c>
      <c r="G100" s="2">
        <v>55</v>
      </c>
      <c r="H100" s="2">
        <v>6500</v>
      </c>
      <c r="I100" s="2" t="s">
        <v>74</v>
      </c>
      <c r="J100" s="2" t="s">
        <v>75</v>
      </c>
      <c r="K100" s="2" t="s">
        <v>76</v>
      </c>
      <c r="L100" s="2"/>
      <c r="M100" s="2"/>
    </row>
    <row r="101" spans="1:13" x14ac:dyDescent="0.25">
      <c r="A101" s="2" t="s">
        <v>363</v>
      </c>
      <c r="B101" s="2" t="s">
        <v>3</v>
      </c>
      <c r="C101" s="2" t="s">
        <v>364</v>
      </c>
      <c r="D101" s="2"/>
      <c r="E101" s="2" t="s">
        <v>365</v>
      </c>
      <c r="F101" s="2">
        <v>11.824528532208101</v>
      </c>
      <c r="G101" s="2">
        <v>53</v>
      </c>
      <c r="H101" s="2">
        <v>6400</v>
      </c>
      <c r="I101" s="2" t="s">
        <v>68</v>
      </c>
      <c r="J101" s="2" t="s">
        <v>70</v>
      </c>
      <c r="K101" s="2" t="s">
        <v>69</v>
      </c>
      <c r="L101" s="2"/>
      <c r="M101" s="2"/>
    </row>
    <row r="102" spans="1:13" x14ac:dyDescent="0.25">
      <c r="A102" s="2" t="s">
        <v>366</v>
      </c>
      <c r="B102" s="2" t="s">
        <v>21</v>
      </c>
      <c r="C102" s="2" t="s">
        <v>367</v>
      </c>
      <c r="D102" s="2"/>
      <c r="E102" s="2" t="s">
        <v>368</v>
      </c>
      <c r="F102" s="2">
        <v>13.491488842253901</v>
      </c>
      <c r="G102" s="2">
        <v>47</v>
      </c>
      <c r="H102" s="2">
        <v>6400</v>
      </c>
      <c r="I102" s="2" t="s">
        <v>68</v>
      </c>
      <c r="J102" s="2" t="s">
        <v>70</v>
      </c>
      <c r="K102" s="2" t="s">
        <v>69</v>
      </c>
      <c r="L102" s="2"/>
      <c r="M102" s="2"/>
    </row>
    <row r="103" spans="1:13" x14ac:dyDescent="0.25">
      <c r="A103" s="2" t="s">
        <v>369</v>
      </c>
      <c r="B103" s="2" t="s">
        <v>21</v>
      </c>
      <c r="C103" s="2" t="s">
        <v>332</v>
      </c>
      <c r="D103" s="2"/>
      <c r="E103" s="2" t="s">
        <v>370</v>
      </c>
      <c r="F103" s="2">
        <v>11.03125</v>
      </c>
      <c r="G103" s="2">
        <v>48</v>
      </c>
      <c r="H103" s="2">
        <v>6400</v>
      </c>
      <c r="I103" s="2" t="s">
        <v>100</v>
      </c>
      <c r="J103" s="2" t="s">
        <v>102</v>
      </c>
      <c r="K103" s="2" t="s">
        <v>101</v>
      </c>
      <c r="L103" s="2"/>
      <c r="M103" s="2"/>
    </row>
    <row r="104" spans="1:13" x14ac:dyDescent="0.25">
      <c r="A104" s="2" t="s">
        <v>371</v>
      </c>
      <c r="B104" s="2" t="s">
        <v>21</v>
      </c>
      <c r="C104" s="2" t="s">
        <v>372</v>
      </c>
      <c r="D104" s="2"/>
      <c r="E104" s="2" t="s">
        <v>373</v>
      </c>
      <c r="F104" s="2">
        <v>12.0951218023532</v>
      </c>
      <c r="G104" s="2">
        <v>41</v>
      </c>
      <c r="H104" s="2">
        <v>6300</v>
      </c>
      <c r="I104" s="2" t="s">
        <v>68</v>
      </c>
      <c r="J104" s="2" t="s">
        <v>70</v>
      </c>
      <c r="K104" s="2" t="s">
        <v>69</v>
      </c>
      <c r="L104" s="2"/>
      <c r="M104" s="2"/>
    </row>
    <row r="105" spans="1:13" x14ac:dyDescent="0.25">
      <c r="A105" s="2" t="s">
        <v>374</v>
      </c>
      <c r="B105" s="2" t="s">
        <v>21</v>
      </c>
      <c r="C105" s="2" t="s">
        <v>375</v>
      </c>
      <c r="D105" s="2"/>
      <c r="E105" s="2" t="s">
        <v>376</v>
      </c>
      <c r="F105" s="2">
        <v>12.0240002441406</v>
      </c>
      <c r="G105" s="2">
        <v>50</v>
      </c>
      <c r="H105" s="2">
        <v>6300</v>
      </c>
      <c r="I105" s="2" t="s">
        <v>106</v>
      </c>
      <c r="J105" s="2" t="s">
        <v>107</v>
      </c>
      <c r="K105" s="2" t="s">
        <v>108</v>
      </c>
      <c r="L105" s="2"/>
      <c r="M105" s="2"/>
    </row>
    <row r="106" spans="1:13" x14ac:dyDescent="0.25">
      <c r="A106" s="2" t="s">
        <v>377</v>
      </c>
      <c r="B106" s="2" t="s">
        <v>3</v>
      </c>
      <c r="C106" s="2" t="s">
        <v>332</v>
      </c>
      <c r="D106" s="2"/>
      <c r="E106" s="2" t="s">
        <v>378</v>
      </c>
      <c r="F106" s="2">
        <v>11.053845919095499</v>
      </c>
      <c r="G106" s="2">
        <v>52</v>
      </c>
      <c r="H106" s="2">
        <v>6300</v>
      </c>
      <c r="I106" s="2" t="s">
        <v>135</v>
      </c>
      <c r="J106" s="2" t="s">
        <v>136</v>
      </c>
      <c r="K106" s="2" t="s">
        <v>137</v>
      </c>
      <c r="L106" s="2"/>
      <c r="M106" s="2"/>
    </row>
    <row r="107" spans="1:13" x14ac:dyDescent="0.25">
      <c r="A107" s="2" t="s">
        <v>379</v>
      </c>
      <c r="B107" s="2" t="s">
        <v>21</v>
      </c>
      <c r="C107" s="2" t="s">
        <v>380</v>
      </c>
      <c r="D107" s="2"/>
      <c r="E107" s="2" t="s">
        <v>381</v>
      </c>
      <c r="F107" s="2">
        <v>12.871427990141299</v>
      </c>
      <c r="G107" s="2">
        <v>42</v>
      </c>
      <c r="H107" s="2">
        <v>6300</v>
      </c>
      <c r="I107" s="2" t="s">
        <v>74</v>
      </c>
      <c r="J107" s="2" t="s">
        <v>76</v>
      </c>
      <c r="K107" s="2" t="s">
        <v>75</v>
      </c>
      <c r="L107" s="2"/>
      <c r="M107" s="2"/>
    </row>
    <row r="108" spans="1:13" x14ac:dyDescent="0.25">
      <c r="A108" s="2" t="s">
        <v>382</v>
      </c>
      <c r="B108" s="2" t="s">
        <v>3</v>
      </c>
      <c r="C108" s="2" t="s">
        <v>383</v>
      </c>
      <c r="D108" s="2"/>
      <c r="E108" s="2" t="s">
        <v>384</v>
      </c>
      <c r="F108" s="2">
        <v>12.3615382267878</v>
      </c>
      <c r="G108" s="2">
        <v>52</v>
      </c>
      <c r="H108" s="2">
        <v>6300</v>
      </c>
      <c r="I108" s="2" t="s">
        <v>114</v>
      </c>
      <c r="J108" s="2" t="s">
        <v>116</v>
      </c>
      <c r="K108" s="2" t="s">
        <v>115</v>
      </c>
      <c r="L108" s="2"/>
      <c r="M108" s="2"/>
    </row>
    <row r="109" spans="1:13" x14ac:dyDescent="0.25">
      <c r="A109" s="2" t="s">
        <v>385</v>
      </c>
      <c r="B109" s="2" t="s">
        <v>3</v>
      </c>
      <c r="C109" s="2" t="s">
        <v>54</v>
      </c>
      <c r="D109" s="2"/>
      <c r="E109" s="2" t="s">
        <v>386</v>
      </c>
      <c r="F109" s="2">
        <v>12.028888617621501</v>
      </c>
      <c r="G109" s="2">
        <v>45</v>
      </c>
      <c r="H109" s="2">
        <v>6200</v>
      </c>
      <c r="I109" s="2" t="s">
        <v>56</v>
      </c>
      <c r="J109" s="2" t="s">
        <v>58</v>
      </c>
      <c r="K109" s="2" t="s">
        <v>57</v>
      </c>
      <c r="L109" s="2"/>
      <c r="M109" s="2"/>
    </row>
    <row r="110" spans="1:13" x14ac:dyDescent="0.25">
      <c r="A110" s="2" t="s">
        <v>387</v>
      </c>
      <c r="B110" s="2" t="s">
        <v>3</v>
      </c>
      <c r="C110" s="2" t="s">
        <v>388</v>
      </c>
      <c r="D110" s="2"/>
      <c r="E110" s="2" t="s">
        <v>389</v>
      </c>
      <c r="F110" s="2">
        <v>10.628888617621501</v>
      </c>
      <c r="G110" s="2">
        <v>45</v>
      </c>
      <c r="H110" s="2">
        <v>6200</v>
      </c>
      <c r="I110" s="2" t="s">
        <v>106</v>
      </c>
      <c r="J110" s="2" t="s">
        <v>108</v>
      </c>
      <c r="K110" s="2" t="s">
        <v>107</v>
      </c>
      <c r="L110" s="2" t="s">
        <v>92</v>
      </c>
      <c r="M110" s="2" t="s">
        <v>390</v>
      </c>
    </row>
    <row r="111" spans="1:13" x14ac:dyDescent="0.25">
      <c r="A111" s="2" t="s">
        <v>391</v>
      </c>
      <c r="B111" s="2" t="s">
        <v>3</v>
      </c>
      <c r="C111" s="2" t="s">
        <v>392</v>
      </c>
      <c r="D111" s="2"/>
      <c r="E111" s="2" t="s">
        <v>393</v>
      </c>
      <c r="F111" s="2">
        <v>11.9666664273131</v>
      </c>
      <c r="G111" s="2">
        <v>51</v>
      </c>
      <c r="H111" s="2">
        <v>6200</v>
      </c>
      <c r="I111" s="2" t="s">
        <v>106</v>
      </c>
      <c r="J111" s="2" t="s">
        <v>107</v>
      </c>
      <c r="K111" s="2" t="s">
        <v>108</v>
      </c>
      <c r="L111" s="2"/>
      <c r="M111" s="2"/>
    </row>
    <row r="112" spans="1:13" x14ac:dyDescent="0.25">
      <c r="A112" s="2" t="s">
        <v>394</v>
      </c>
      <c r="B112" s="2" t="s">
        <v>20</v>
      </c>
      <c r="C112" s="2" t="s">
        <v>395</v>
      </c>
      <c r="D112" s="2"/>
      <c r="E112" s="2" t="s">
        <v>396</v>
      </c>
      <c r="F112" s="2">
        <v>12.0931812633167</v>
      </c>
      <c r="G112" s="2">
        <v>44</v>
      </c>
      <c r="H112" s="2">
        <v>6200</v>
      </c>
      <c r="I112" s="2" t="s">
        <v>68</v>
      </c>
      <c r="J112" s="2" t="s">
        <v>69</v>
      </c>
      <c r="K112" s="2" t="s">
        <v>70</v>
      </c>
      <c r="L112" s="2"/>
      <c r="M112" s="2"/>
    </row>
    <row r="113" spans="1:13" x14ac:dyDescent="0.25">
      <c r="A113" s="2" t="s">
        <v>397</v>
      </c>
      <c r="B113" s="2" t="s">
        <v>20</v>
      </c>
      <c r="C113" s="2" t="s">
        <v>398</v>
      </c>
      <c r="D113" s="2"/>
      <c r="E113" s="2" t="s">
        <v>399</v>
      </c>
      <c r="F113" s="2">
        <v>11.357407181351199</v>
      </c>
      <c r="G113" s="2">
        <v>54</v>
      </c>
      <c r="H113" s="2">
        <v>6100</v>
      </c>
      <c r="I113" s="2" t="s">
        <v>114</v>
      </c>
      <c r="J113" s="2" t="s">
        <v>115</v>
      </c>
      <c r="K113" s="2" t="s">
        <v>116</v>
      </c>
      <c r="L113" s="2"/>
      <c r="M113" s="2"/>
    </row>
    <row r="114" spans="1:13" x14ac:dyDescent="0.25">
      <c r="A114" s="2" t="s">
        <v>400</v>
      </c>
      <c r="B114" s="2" t="s">
        <v>21</v>
      </c>
      <c r="C114" s="2" t="s">
        <v>392</v>
      </c>
      <c r="D114" s="2"/>
      <c r="E114" s="2" t="s">
        <v>401</v>
      </c>
      <c r="F114" s="2">
        <v>11.3480764535757</v>
      </c>
      <c r="G114" s="2">
        <v>52</v>
      </c>
      <c r="H114" s="2">
        <v>6100</v>
      </c>
      <c r="I114" s="2" t="s">
        <v>74</v>
      </c>
      <c r="J114" s="2" t="s">
        <v>76</v>
      </c>
      <c r="K114" s="2" t="s">
        <v>75</v>
      </c>
      <c r="L114" s="2"/>
      <c r="M114" s="2"/>
    </row>
    <row r="115" spans="1:13" x14ac:dyDescent="0.25">
      <c r="A115" s="2" t="s">
        <v>402</v>
      </c>
      <c r="B115" s="2" t="s">
        <v>21</v>
      </c>
      <c r="C115" s="2" t="s">
        <v>403</v>
      </c>
      <c r="D115" s="2"/>
      <c r="E115" s="2" t="s">
        <v>404</v>
      </c>
      <c r="F115" s="2">
        <v>11.6346153846153</v>
      </c>
      <c r="G115" s="2">
        <v>52</v>
      </c>
      <c r="H115" s="2">
        <v>6100</v>
      </c>
      <c r="I115" s="2" t="s">
        <v>135</v>
      </c>
      <c r="J115" s="2" t="s">
        <v>136</v>
      </c>
      <c r="K115" s="2" t="s">
        <v>137</v>
      </c>
      <c r="L115" s="2"/>
      <c r="M115" s="2"/>
    </row>
    <row r="116" spans="1:13" x14ac:dyDescent="0.25">
      <c r="A116" s="2" t="s">
        <v>405</v>
      </c>
      <c r="B116" s="2" t="s">
        <v>21</v>
      </c>
      <c r="C116" s="2" t="s">
        <v>406</v>
      </c>
      <c r="D116" s="2"/>
      <c r="E116" s="2" t="s">
        <v>407</v>
      </c>
      <c r="F116" s="2">
        <v>9.6584904508770606</v>
      </c>
      <c r="G116" s="2">
        <v>53</v>
      </c>
      <c r="H116" s="2">
        <v>6000</v>
      </c>
      <c r="I116" s="2" t="s">
        <v>135</v>
      </c>
      <c r="J116" s="2" t="s">
        <v>137</v>
      </c>
      <c r="K116" s="2" t="s">
        <v>136</v>
      </c>
      <c r="L116" s="2"/>
      <c r="M116" s="2"/>
    </row>
    <row r="117" spans="1:13" x14ac:dyDescent="0.25">
      <c r="A117" s="2" t="s">
        <v>408</v>
      </c>
      <c r="B117" s="2" t="s">
        <v>21</v>
      </c>
      <c r="C117" s="2" t="s">
        <v>151</v>
      </c>
      <c r="D117" s="2"/>
      <c r="E117" s="2" t="s">
        <v>409</v>
      </c>
      <c r="F117" s="2">
        <v>21.600000381469702</v>
      </c>
      <c r="G117" s="2">
        <v>1</v>
      </c>
      <c r="H117" s="2">
        <v>6000</v>
      </c>
      <c r="I117" s="2" t="s">
        <v>114</v>
      </c>
      <c r="J117" s="2" t="s">
        <v>116</v>
      </c>
      <c r="K117" s="2" t="s">
        <v>115</v>
      </c>
      <c r="L117" s="2"/>
      <c r="M117" s="2"/>
    </row>
    <row r="118" spans="1:13" x14ac:dyDescent="0.25">
      <c r="A118" s="2" t="s">
        <v>410</v>
      </c>
      <c r="B118" s="2" t="s">
        <v>21</v>
      </c>
      <c r="C118" s="2" t="s">
        <v>411</v>
      </c>
      <c r="D118" s="2"/>
      <c r="E118" s="2" t="s">
        <v>412</v>
      </c>
      <c r="F118" s="2">
        <v>11.756817904385599</v>
      </c>
      <c r="G118" s="2">
        <v>44</v>
      </c>
      <c r="H118" s="2">
        <v>6000</v>
      </c>
      <c r="I118" s="2" t="s">
        <v>74</v>
      </c>
      <c r="J118" s="2" t="s">
        <v>75</v>
      </c>
      <c r="K118" s="2" t="s">
        <v>76</v>
      </c>
      <c r="L118" s="2"/>
      <c r="M118" s="2"/>
    </row>
    <row r="119" spans="1:13" x14ac:dyDescent="0.25">
      <c r="A119" s="2" t="s">
        <v>413</v>
      </c>
      <c r="B119" s="2" t="s">
        <v>3</v>
      </c>
      <c r="C119" s="2" t="s">
        <v>414</v>
      </c>
      <c r="D119" s="2"/>
      <c r="E119" s="2" t="s">
        <v>140</v>
      </c>
      <c r="F119" s="2">
        <v>11.852830419000499</v>
      </c>
      <c r="G119" s="2">
        <v>53</v>
      </c>
      <c r="H119" s="2">
        <v>5900</v>
      </c>
      <c r="I119" s="2" t="s">
        <v>68</v>
      </c>
      <c r="J119" s="2" t="s">
        <v>70</v>
      </c>
      <c r="K119" s="2" t="s">
        <v>69</v>
      </c>
      <c r="L119" s="2"/>
      <c r="M119" s="2"/>
    </row>
    <row r="120" spans="1:13" x14ac:dyDescent="0.25">
      <c r="A120" s="2" t="s">
        <v>415</v>
      </c>
      <c r="B120" s="2" t="s">
        <v>20</v>
      </c>
      <c r="C120" s="2" t="s">
        <v>416</v>
      </c>
      <c r="D120" s="2"/>
      <c r="E120" s="2" t="s">
        <v>417</v>
      </c>
      <c r="F120" s="2">
        <v>12.7454545454545</v>
      </c>
      <c r="G120" s="2">
        <v>55</v>
      </c>
      <c r="H120" s="2">
        <v>5900</v>
      </c>
      <c r="I120" s="2" t="s">
        <v>50</v>
      </c>
      <c r="J120" s="2" t="s">
        <v>51</v>
      </c>
      <c r="K120" s="2" t="s">
        <v>52</v>
      </c>
      <c r="L120" s="2"/>
      <c r="M120" s="2"/>
    </row>
    <row r="121" spans="1:13" x14ac:dyDescent="0.25">
      <c r="A121" s="2" t="s">
        <v>418</v>
      </c>
      <c r="B121" s="2" t="s">
        <v>21</v>
      </c>
      <c r="C121" s="2" t="s">
        <v>419</v>
      </c>
      <c r="D121" s="2"/>
      <c r="E121" s="2" t="s">
        <v>420</v>
      </c>
      <c r="F121" s="2">
        <v>12.8428577241443</v>
      </c>
      <c r="G121" s="2">
        <v>42</v>
      </c>
      <c r="H121" s="2">
        <v>5900</v>
      </c>
      <c r="I121" s="2" t="s">
        <v>56</v>
      </c>
      <c r="J121" s="2" t="s">
        <v>57</v>
      </c>
      <c r="K121" s="2" t="s">
        <v>58</v>
      </c>
      <c r="L121" s="2" t="s">
        <v>92</v>
      </c>
      <c r="M121" s="2" t="s">
        <v>421</v>
      </c>
    </row>
    <row r="122" spans="1:13" x14ac:dyDescent="0.25">
      <c r="A122" s="2" t="s">
        <v>422</v>
      </c>
      <c r="B122" s="2" t="s">
        <v>21</v>
      </c>
      <c r="C122" s="2" t="s">
        <v>423</v>
      </c>
      <c r="D122" s="2"/>
      <c r="E122" s="2" t="s">
        <v>424</v>
      </c>
      <c r="F122" s="2">
        <v>11.4372546626072</v>
      </c>
      <c r="G122" s="2">
        <v>51</v>
      </c>
      <c r="H122" s="2">
        <v>5800</v>
      </c>
      <c r="I122" s="2" t="s">
        <v>126</v>
      </c>
      <c r="J122" s="2" t="s">
        <v>128</v>
      </c>
      <c r="K122" s="2" t="s">
        <v>127</v>
      </c>
      <c r="L122" s="2"/>
      <c r="M122" s="2"/>
    </row>
    <row r="123" spans="1:13" x14ac:dyDescent="0.25">
      <c r="A123" s="2" t="s">
        <v>425</v>
      </c>
      <c r="B123" s="2" t="s">
        <v>3</v>
      </c>
      <c r="C123" s="2" t="s">
        <v>426</v>
      </c>
      <c r="D123" s="2"/>
      <c r="E123" s="2" t="s">
        <v>427</v>
      </c>
      <c r="F123" s="2">
        <v>10.0415096642836</v>
      </c>
      <c r="G123" s="2">
        <v>53</v>
      </c>
      <c r="H123" s="2">
        <v>5800</v>
      </c>
      <c r="I123" s="2" t="s">
        <v>100</v>
      </c>
      <c r="J123" s="2" t="s">
        <v>102</v>
      </c>
      <c r="K123" s="2" t="s">
        <v>101</v>
      </c>
      <c r="L123" s="2"/>
      <c r="M123" s="2"/>
    </row>
    <row r="124" spans="1:13" x14ac:dyDescent="0.25">
      <c r="A124" s="2" t="s">
        <v>428</v>
      </c>
      <c r="B124" s="2" t="s">
        <v>20</v>
      </c>
      <c r="C124" s="2" t="s">
        <v>72</v>
      </c>
      <c r="D124" s="2"/>
      <c r="E124" s="2" t="s">
        <v>429</v>
      </c>
      <c r="F124" s="2">
        <v>10.515384380634</v>
      </c>
      <c r="G124" s="2">
        <v>52</v>
      </c>
      <c r="H124" s="2">
        <v>5800</v>
      </c>
      <c r="I124" s="2" t="s">
        <v>106</v>
      </c>
      <c r="J124" s="2" t="s">
        <v>108</v>
      </c>
      <c r="K124" s="2" t="s">
        <v>107</v>
      </c>
      <c r="L124" s="2"/>
      <c r="M124" s="2"/>
    </row>
    <row r="125" spans="1:13" x14ac:dyDescent="0.25">
      <c r="A125" s="2" t="s">
        <v>430</v>
      </c>
      <c r="B125" s="2" t="s">
        <v>3</v>
      </c>
      <c r="C125" s="2" t="s">
        <v>87</v>
      </c>
      <c r="D125" s="2"/>
      <c r="E125" s="2" t="s">
        <v>431</v>
      </c>
      <c r="F125" s="2">
        <v>10.749056834094899</v>
      </c>
      <c r="G125" s="2">
        <v>53</v>
      </c>
      <c r="H125" s="2">
        <v>5800</v>
      </c>
      <c r="I125" s="2" t="s">
        <v>44</v>
      </c>
      <c r="J125" s="2" t="s">
        <v>46</v>
      </c>
      <c r="K125" s="2" t="s">
        <v>45</v>
      </c>
      <c r="L125" s="2"/>
      <c r="M125" s="2"/>
    </row>
    <row r="126" spans="1:13" x14ac:dyDescent="0.25">
      <c r="A126" s="2" t="s">
        <v>432</v>
      </c>
      <c r="B126" s="2" t="s">
        <v>20</v>
      </c>
      <c r="C126" s="2" t="s">
        <v>433</v>
      </c>
      <c r="D126" s="2"/>
      <c r="E126" s="2" t="s">
        <v>434</v>
      </c>
      <c r="F126" s="2">
        <v>11.1763638583096</v>
      </c>
      <c r="G126" s="2">
        <v>55</v>
      </c>
      <c r="H126" s="2">
        <v>5800</v>
      </c>
      <c r="I126" s="2" t="s">
        <v>62</v>
      </c>
      <c r="J126" s="2" t="s">
        <v>64</v>
      </c>
      <c r="K126" s="2" t="s">
        <v>63</v>
      </c>
      <c r="L126" s="2"/>
      <c r="M126" s="2"/>
    </row>
    <row r="127" spans="1:13" x14ac:dyDescent="0.25">
      <c r="A127" s="2" t="s">
        <v>435</v>
      </c>
      <c r="B127" s="2" t="s">
        <v>3</v>
      </c>
      <c r="C127" s="2" t="s">
        <v>118</v>
      </c>
      <c r="D127" s="2"/>
      <c r="E127" s="2" t="s">
        <v>436</v>
      </c>
      <c r="F127" s="2">
        <v>10.479591836734601</v>
      </c>
      <c r="G127" s="2">
        <v>49</v>
      </c>
      <c r="H127" s="2">
        <v>5800</v>
      </c>
      <c r="I127" s="2" t="s">
        <v>100</v>
      </c>
      <c r="J127" s="2" t="s">
        <v>101</v>
      </c>
      <c r="K127" s="2" t="s">
        <v>102</v>
      </c>
      <c r="L127" s="2"/>
      <c r="M127" s="2"/>
    </row>
    <row r="128" spans="1:13" x14ac:dyDescent="0.25">
      <c r="A128" s="2" t="s">
        <v>437</v>
      </c>
      <c r="B128" s="2" t="s">
        <v>3</v>
      </c>
      <c r="C128" s="2" t="s">
        <v>139</v>
      </c>
      <c r="D128" s="2"/>
      <c r="E128" s="2" t="s">
        <v>438</v>
      </c>
      <c r="F128" s="2">
        <v>12.881395916606101</v>
      </c>
      <c r="G128" s="2">
        <v>43</v>
      </c>
      <c r="H128" s="2">
        <v>5800</v>
      </c>
      <c r="I128" s="2" t="s">
        <v>74</v>
      </c>
      <c r="J128" s="2" t="s">
        <v>76</v>
      </c>
      <c r="K128" s="2" t="s">
        <v>75</v>
      </c>
      <c r="L128" s="2"/>
      <c r="M128" s="2"/>
    </row>
    <row r="129" spans="1:13" x14ac:dyDescent="0.25">
      <c r="A129" s="2" t="s">
        <v>439</v>
      </c>
      <c r="B129" s="2" t="s">
        <v>20</v>
      </c>
      <c r="C129" s="2" t="s">
        <v>440</v>
      </c>
      <c r="D129" s="2"/>
      <c r="E129" s="2" t="s">
        <v>441</v>
      </c>
      <c r="F129" s="2">
        <v>11.2925923665364</v>
      </c>
      <c r="G129" s="2">
        <v>54</v>
      </c>
      <c r="H129" s="2">
        <v>5700</v>
      </c>
      <c r="I129" s="2" t="s">
        <v>100</v>
      </c>
      <c r="J129" s="2" t="s">
        <v>102</v>
      </c>
      <c r="K129" s="2" t="s">
        <v>101</v>
      </c>
      <c r="L129" s="2"/>
      <c r="M129" s="2"/>
    </row>
    <row r="130" spans="1:13" x14ac:dyDescent="0.25">
      <c r="A130" s="2" t="s">
        <v>442</v>
      </c>
      <c r="B130" s="2" t="s">
        <v>21</v>
      </c>
      <c r="C130" s="2" t="s">
        <v>356</v>
      </c>
      <c r="D130" s="2"/>
      <c r="E130" s="2" t="s">
        <v>443</v>
      </c>
      <c r="F130" s="2">
        <v>11.447170041642099</v>
      </c>
      <c r="G130" s="2">
        <v>53</v>
      </c>
      <c r="H130" s="2">
        <v>5700</v>
      </c>
      <c r="I130" s="2" t="s">
        <v>106</v>
      </c>
      <c r="J130" s="2" t="s">
        <v>108</v>
      </c>
      <c r="K130" s="2" t="s">
        <v>107</v>
      </c>
      <c r="L130" s="2"/>
      <c r="M130" s="2"/>
    </row>
    <row r="131" spans="1:13" x14ac:dyDescent="0.25">
      <c r="A131" s="2" t="s">
        <v>444</v>
      </c>
      <c r="B131" s="2" t="s">
        <v>21</v>
      </c>
      <c r="C131" s="2" t="s">
        <v>445</v>
      </c>
      <c r="D131" s="2"/>
      <c r="E131" s="2" t="s">
        <v>446</v>
      </c>
      <c r="F131" s="2">
        <v>11.6346153846153</v>
      </c>
      <c r="G131" s="2">
        <v>52</v>
      </c>
      <c r="H131" s="2">
        <v>5700</v>
      </c>
      <c r="I131" s="2" t="s">
        <v>74</v>
      </c>
      <c r="J131" s="2" t="s">
        <v>75</v>
      </c>
      <c r="K131" s="2" t="s">
        <v>76</v>
      </c>
      <c r="L131" s="2"/>
      <c r="M131" s="2"/>
    </row>
    <row r="132" spans="1:13" x14ac:dyDescent="0.25">
      <c r="A132" s="2" t="s">
        <v>447</v>
      </c>
      <c r="B132" s="2" t="s">
        <v>21</v>
      </c>
      <c r="C132" s="2" t="s">
        <v>448</v>
      </c>
      <c r="D132" s="2"/>
      <c r="E132" s="2" t="s">
        <v>449</v>
      </c>
      <c r="F132" s="2">
        <v>11.721568388097401</v>
      </c>
      <c r="G132" s="2">
        <v>51</v>
      </c>
      <c r="H132" s="2">
        <v>5700</v>
      </c>
      <c r="I132" s="2" t="s">
        <v>126</v>
      </c>
      <c r="J132" s="2" t="s">
        <v>127</v>
      </c>
      <c r="K132" s="2" t="s">
        <v>128</v>
      </c>
      <c r="L132" s="2"/>
      <c r="M132" s="2"/>
    </row>
    <row r="133" spans="1:13" x14ac:dyDescent="0.25">
      <c r="A133" s="2" t="s">
        <v>450</v>
      </c>
      <c r="B133" s="2" t="s">
        <v>21</v>
      </c>
      <c r="C133" s="2" t="s">
        <v>118</v>
      </c>
      <c r="D133" s="2"/>
      <c r="E133" s="2" t="s">
        <v>451</v>
      </c>
      <c r="F133" s="2">
        <v>10.2942853655133</v>
      </c>
      <c r="G133" s="2">
        <v>35</v>
      </c>
      <c r="H133" s="2">
        <v>5700</v>
      </c>
      <c r="I133" s="2" t="s">
        <v>114</v>
      </c>
      <c r="J133" s="2" t="s">
        <v>115</v>
      </c>
      <c r="K133" s="2" t="s">
        <v>116</v>
      </c>
      <c r="L133" s="2"/>
      <c r="M133" s="2"/>
    </row>
    <row r="134" spans="1:13" x14ac:dyDescent="0.25">
      <c r="A134" s="2" t="s">
        <v>452</v>
      </c>
      <c r="B134" s="2" t="s">
        <v>20</v>
      </c>
      <c r="C134" s="2" t="s">
        <v>72</v>
      </c>
      <c r="D134" s="2"/>
      <c r="E134" s="2" t="s">
        <v>453</v>
      </c>
      <c r="F134" s="2">
        <v>11.362500508626299</v>
      </c>
      <c r="G134" s="2">
        <v>48</v>
      </c>
      <c r="H134" s="2">
        <v>5700</v>
      </c>
      <c r="I134" s="2" t="s">
        <v>44</v>
      </c>
      <c r="J134" s="2" t="s">
        <v>45</v>
      </c>
      <c r="K134" s="2" t="s">
        <v>46</v>
      </c>
      <c r="L134" s="2"/>
      <c r="M134" s="2"/>
    </row>
    <row r="135" spans="1:13" x14ac:dyDescent="0.25">
      <c r="A135" s="2" t="s">
        <v>454</v>
      </c>
      <c r="B135" s="2" t="s">
        <v>21</v>
      </c>
      <c r="C135" s="2" t="s">
        <v>151</v>
      </c>
      <c r="D135" s="2"/>
      <c r="E135" s="2" t="s">
        <v>455</v>
      </c>
      <c r="F135" s="2">
        <v>11.5888888888888</v>
      </c>
      <c r="G135" s="2">
        <v>45</v>
      </c>
      <c r="H135" s="2">
        <v>5600</v>
      </c>
      <c r="I135" s="2" t="s">
        <v>114</v>
      </c>
      <c r="J135" s="2" t="s">
        <v>116</v>
      </c>
      <c r="K135" s="2" t="s">
        <v>115</v>
      </c>
      <c r="L135" s="2" t="s">
        <v>198</v>
      </c>
      <c r="M135" s="2" t="s">
        <v>390</v>
      </c>
    </row>
    <row r="136" spans="1:13" x14ac:dyDescent="0.25">
      <c r="A136" s="2" t="s">
        <v>456</v>
      </c>
      <c r="B136" s="2" t="s">
        <v>20</v>
      </c>
      <c r="C136" s="2" t="s">
        <v>139</v>
      </c>
      <c r="D136" s="2"/>
      <c r="E136" s="2" t="s">
        <v>457</v>
      </c>
      <c r="F136" s="2">
        <v>10.976922842172399</v>
      </c>
      <c r="G136" s="2">
        <v>52</v>
      </c>
      <c r="H136" s="2">
        <v>5600</v>
      </c>
      <c r="I136" s="2" t="s">
        <v>68</v>
      </c>
      <c r="J136" s="2" t="s">
        <v>70</v>
      </c>
      <c r="K136" s="2" t="s">
        <v>69</v>
      </c>
      <c r="L136" s="2"/>
      <c r="M136" s="2"/>
    </row>
    <row r="137" spans="1:13" x14ac:dyDescent="0.25">
      <c r="A137" s="2" t="s">
        <v>458</v>
      </c>
      <c r="B137" s="2" t="s">
        <v>3</v>
      </c>
      <c r="C137" s="2" t="s">
        <v>459</v>
      </c>
      <c r="D137" s="2"/>
      <c r="E137" s="2" t="s">
        <v>460</v>
      </c>
      <c r="F137" s="2">
        <v>11.3178569248744</v>
      </c>
      <c r="G137" s="2">
        <v>28</v>
      </c>
      <c r="H137" s="2">
        <v>5600</v>
      </c>
      <c r="I137" s="2" t="s">
        <v>68</v>
      </c>
      <c r="J137" s="2" t="s">
        <v>70</v>
      </c>
      <c r="K137" s="2" t="s">
        <v>69</v>
      </c>
      <c r="L137" s="2"/>
      <c r="M137" s="2"/>
    </row>
    <row r="138" spans="1:13" x14ac:dyDescent="0.25">
      <c r="A138" s="2" t="s">
        <v>461</v>
      </c>
      <c r="B138" s="2" t="s">
        <v>21</v>
      </c>
      <c r="C138" s="2" t="s">
        <v>462</v>
      </c>
      <c r="D138" s="2"/>
      <c r="E138" s="2" t="s">
        <v>463</v>
      </c>
      <c r="F138" s="2">
        <v>11.856862984451499</v>
      </c>
      <c r="G138" s="2">
        <v>51</v>
      </c>
      <c r="H138" s="2">
        <v>5600</v>
      </c>
      <c r="I138" s="2" t="s">
        <v>50</v>
      </c>
      <c r="J138" s="2" t="s">
        <v>52</v>
      </c>
      <c r="K138" s="2" t="s">
        <v>51</v>
      </c>
      <c r="L138" s="2"/>
      <c r="M138" s="2"/>
    </row>
    <row r="139" spans="1:13" x14ac:dyDescent="0.25">
      <c r="A139" s="2" t="s">
        <v>464</v>
      </c>
      <c r="B139" s="2" t="s">
        <v>3</v>
      </c>
      <c r="C139" s="2" t="s">
        <v>440</v>
      </c>
      <c r="D139" s="2"/>
      <c r="E139" s="2" t="s">
        <v>465</v>
      </c>
      <c r="F139" s="2">
        <v>11.0437494913736</v>
      </c>
      <c r="G139" s="2">
        <v>48</v>
      </c>
      <c r="H139" s="2">
        <v>5600</v>
      </c>
      <c r="I139" s="2" t="s">
        <v>68</v>
      </c>
      <c r="J139" s="2" t="s">
        <v>70</v>
      </c>
      <c r="K139" s="2" t="s">
        <v>69</v>
      </c>
      <c r="L139" s="2"/>
      <c r="M139" s="2"/>
    </row>
    <row r="140" spans="1:13" x14ac:dyDescent="0.25">
      <c r="A140" s="2" t="s">
        <v>466</v>
      </c>
      <c r="B140" s="2" t="s">
        <v>21</v>
      </c>
      <c r="C140" s="2" t="s">
        <v>467</v>
      </c>
      <c r="D140" s="2"/>
      <c r="E140" s="2" t="s">
        <v>468</v>
      </c>
      <c r="F140" s="2">
        <v>9.4205126640124206</v>
      </c>
      <c r="G140" s="2">
        <v>39</v>
      </c>
      <c r="H140" s="2">
        <v>5600</v>
      </c>
      <c r="I140" s="2" t="s">
        <v>50</v>
      </c>
      <c r="J140" s="2" t="s">
        <v>51</v>
      </c>
      <c r="K140" s="2" t="s">
        <v>52</v>
      </c>
      <c r="L140" s="2" t="s">
        <v>92</v>
      </c>
      <c r="M140" s="2" t="s">
        <v>469</v>
      </c>
    </row>
    <row r="141" spans="1:13" x14ac:dyDescent="0.25">
      <c r="A141" s="2" t="s">
        <v>470</v>
      </c>
      <c r="B141" s="2" t="s">
        <v>21</v>
      </c>
      <c r="C141" s="2" t="s">
        <v>356</v>
      </c>
      <c r="D141" s="2"/>
      <c r="E141" s="2" t="s">
        <v>471</v>
      </c>
      <c r="F141" s="2">
        <v>9.5571430751255502</v>
      </c>
      <c r="G141" s="2">
        <v>28</v>
      </c>
      <c r="H141" s="2">
        <v>5500</v>
      </c>
      <c r="I141" s="2" t="s">
        <v>106</v>
      </c>
      <c r="J141" s="2" t="s">
        <v>108</v>
      </c>
      <c r="K141" s="2" t="s">
        <v>107</v>
      </c>
      <c r="L141" s="2"/>
      <c r="M141" s="2"/>
    </row>
    <row r="142" spans="1:13" x14ac:dyDescent="0.25">
      <c r="A142" s="2" t="s">
        <v>472</v>
      </c>
      <c r="B142" s="2" t="s">
        <v>3</v>
      </c>
      <c r="C142" s="2" t="s">
        <v>473</v>
      </c>
      <c r="D142" s="2"/>
      <c r="E142" s="2" t="s">
        <v>474</v>
      </c>
      <c r="F142" s="2">
        <v>9.4039216883042194</v>
      </c>
      <c r="G142" s="2">
        <v>51</v>
      </c>
      <c r="H142" s="2">
        <v>5500</v>
      </c>
      <c r="I142" s="2" t="s">
        <v>106</v>
      </c>
      <c r="J142" s="2" t="s">
        <v>107</v>
      </c>
      <c r="K142" s="2" t="s">
        <v>108</v>
      </c>
      <c r="L142" s="2"/>
      <c r="M142" s="2"/>
    </row>
    <row r="143" spans="1:13" x14ac:dyDescent="0.25">
      <c r="A143" s="2" t="s">
        <v>475</v>
      </c>
      <c r="B143" s="2" t="s">
        <v>21</v>
      </c>
      <c r="C143" s="2" t="s">
        <v>476</v>
      </c>
      <c r="D143" s="2"/>
      <c r="E143" s="2" t="s">
        <v>477</v>
      </c>
      <c r="F143" s="2">
        <v>8.5622639206220494</v>
      </c>
      <c r="G143" s="2">
        <v>53</v>
      </c>
      <c r="H143" s="2">
        <v>5500</v>
      </c>
      <c r="I143" s="2" t="s">
        <v>44</v>
      </c>
      <c r="J143" s="2" t="s">
        <v>46</v>
      </c>
      <c r="K143" s="2" t="s">
        <v>45</v>
      </c>
      <c r="L143" s="2"/>
      <c r="M143" s="2"/>
    </row>
    <row r="144" spans="1:13" x14ac:dyDescent="0.25">
      <c r="A144" s="2" t="s">
        <v>478</v>
      </c>
      <c r="B144" s="2" t="s">
        <v>20</v>
      </c>
      <c r="C144" s="2" t="s">
        <v>81</v>
      </c>
      <c r="D144" s="2"/>
      <c r="E144" s="2" t="s">
        <v>479</v>
      </c>
      <c r="F144" s="2">
        <v>11.354716750810701</v>
      </c>
      <c r="G144" s="2">
        <v>53</v>
      </c>
      <c r="H144" s="2">
        <v>5500</v>
      </c>
      <c r="I144" s="2" t="s">
        <v>100</v>
      </c>
      <c r="J144" s="2" t="s">
        <v>102</v>
      </c>
      <c r="K144" s="2" t="s">
        <v>101</v>
      </c>
      <c r="L144" s="2"/>
      <c r="M144" s="2"/>
    </row>
    <row r="145" spans="1:13" x14ac:dyDescent="0.25">
      <c r="A145" s="2" t="s">
        <v>480</v>
      </c>
      <c r="B145" s="2" t="s">
        <v>21</v>
      </c>
      <c r="C145" s="2" t="s">
        <v>481</v>
      </c>
      <c r="D145" s="2"/>
      <c r="E145" s="2" t="s">
        <v>482</v>
      </c>
      <c r="F145" s="2">
        <v>12.9058825922947</v>
      </c>
      <c r="G145" s="2">
        <v>51</v>
      </c>
      <c r="H145" s="2">
        <v>5500</v>
      </c>
      <c r="I145" s="2" t="s">
        <v>68</v>
      </c>
      <c r="J145" s="2" t="s">
        <v>69</v>
      </c>
      <c r="K145" s="2" t="s">
        <v>70</v>
      </c>
      <c r="L145" s="2"/>
      <c r="M145" s="2"/>
    </row>
    <row r="146" spans="1:13" x14ac:dyDescent="0.25">
      <c r="A146" s="2" t="s">
        <v>483</v>
      </c>
      <c r="B146" s="2" t="s">
        <v>21</v>
      </c>
      <c r="C146" s="2" t="s">
        <v>484</v>
      </c>
      <c r="D146" s="2"/>
      <c r="E146" s="2" t="s">
        <v>485</v>
      </c>
      <c r="F146" s="2">
        <v>11.262745576746299</v>
      </c>
      <c r="G146" s="2">
        <v>51</v>
      </c>
      <c r="H146" s="2">
        <v>5500</v>
      </c>
      <c r="I146" s="2" t="s">
        <v>100</v>
      </c>
      <c r="J146" s="2" t="s">
        <v>101</v>
      </c>
      <c r="K146" s="2" t="s">
        <v>102</v>
      </c>
      <c r="L146" s="2"/>
      <c r="M146" s="2"/>
    </row>
    <row r="147" spans="1:13" x14ac:dyDescent="0.25">
      <c r="A147" s="2" t="s">
        <v>486</v>
      </c>
      <c r="B147" s="2" t="s">
        <v>20</v>
      </c>
      <c r="C147" s="2" t="s">
        <v>487</v>
      </c>
      <c r="D147" s="2"/>
      <c r="E147" s="2" t="s">
        <v>488</v>
      </c>
      <c r="F147" s="2">
        <v>11.575675345755901</v>
      </c>
      <c r="G147" s="2">
        <v>37</v>
      </c>
      <c r="H147" s="2">
        <v>5500</v>
      </c>
      <c r="I147" s="2" t="s">
        <v>68</v>
      </c>
      <c r="J147" s="2" t="s">
        <v>69</v>
      </c>
      <c r="K147" s="2" t="s">
        <v>70</v>
      </c>
      <c r="L147" s="2"/>
      <c r="M147" s="2"/>
    </row>
    <row r="148" spans="1:13" x14ac:dyDescent="0.25">
      <c r="A148" s="2" t="s">
        <v>489</v>
      </c>
      <c r="B148" s="2" t="s">
        <v>20</v>
      </c>
      <c r="C148" s="2" t="s">
        <v>490</v>
      </c>
      <c r="D148" s="2"/>
      <c r="E148" s="2" t="s">
        <v>491</v>
      </c>
      <c r="F148" s="2">
        <v>11.271153376652601</v>
      </c>
      <c r="G148" s="2">
        <v>52</v>
      </c>
      <c r="H148" s="2">
        <v>5400</v>
      </c>
      <c r="I148" s="2" t="s">
        <v>135</v>
      </c>
      <c r="J148" s="2" t="s">
        <v>136</v>
      </c>
      <c r="K148" s="2" t="s">
        <v>137</v>
      </c>
      <c r="L148" s="2"/>
      <c r="M148" s="2"/>
    </row>
    <row r="149" spans="1:13" x14ac:dyDescent="0.25">
      <c r="A149" s="2" t="s">
        <v>492</v>
      </c>
      <c r="B149" s="2" t="s">
        <v>21</v>
      </c>
      <c r="C149" s="2" t="s">
        <v>493</v>
      </c>
      <c r="D149" s="2"/>
      <c r="E149" s="2" t="s">
        <v>494</v>
      </c>
      <c r="F149" s="2">
        <v>9.3775001525878903</v>
      </c>
      <c r="G149" s="2">
        <v>40</v>
      </c>
      <c r="H149" s="2">
        <v>5400</v>
      </c>
      <c r="I149" s="2" t="s">
        <v>56</v>
      </c>
      <c r="J149" s="2" t="s">
        <v>58</v>
      </c>
      <c r="K149" s="2" t="s">
        <v>57</v>
      </c>
      <c r="L149" s="2"/>
      <c r="M149" s="2"/>
    </row>
    <row r="150" spans="1:13" x14ac:dyDescent="0.25">
      <c r="A150" s="2" t="s">
        <v>495</v>
      </c>
      <c r="B150" s="2" t="s">
        <v>21</v>
      </c>
      <c r="C150" s="2" t="s">
        <v>496</v>
      </c>
      <c r="D150" s="2"/>
      <c r="E150" s="2" t="s">
        <v>497</v>
      </c>
      <c r="F150" s="2">
        <v>10.3059997558593</v>
      </c>
      <c r="G150" s="2">
        <v>50</v>
      </c>
      <c r="H150" s="2">
        <v>5400</v>
      </c>
      <c r="I150" s="2" t="s">
        <v>100</v>
      </c>
      <c r="J150" s="2" t="s">
        <v>102</v>
      </c>
      <c r="K150" s="2" t="s">
        <v>101</v>
      </c>
      <c r="L150" s="2"/>
      <c r="M150" s="2"/>
    </row>
    <row r="151" spans="1:13" x14ac:dyDescent="0.25">
      <c r="A151" s="2" t="s">
        <v>498</v>
      </c>
      <c r="B151" s="2" t="s">
        <v>20</v>
      </c>
      <c r="C151" s="2" t="s">
        <v>499</v>
      </c>
      <c r="D151" s="2"/>
      <c r="E151" s="2" t="s">
        <v>500</v>
      </c>
      <c r="F151" s="2">
        <v>9.9568625057444802</v>
      </c>
      <c r="G151" s="2">
        <v>51</v>
      </c>
      <c r="H151" s="2">
        <v>5400</v>
      </c>
      <c r="I151" s="2" t="s">
        <v>50</v>
      </c>
      <c r="J151" s="2" t="s">
        <v>52</v>
      </c>
      <c r="K151" s="2" t="s">
        <v>51</v>
      </c>
      <c r="L151" s="2"/>
      <c r="M151" s="2"/>
    </row>
    <row r="152" spans="1:13" x14ac:dyDescent="0.25">
      <c r="A152" s="2" t="s">
        <v>501</v>
      </c>
      <c r="B152" s="2" t="s">
        <v>21</v>
      </c>
      <c r="C152" s="2" t="s">
        <v>502</v>
      </c>
      <c r="D152" s="2"/>
      <c r="E152" s="2" t="s">
        <v>503</v>
      </c>
      <c r="F152" s="2">
        <v>10.2301889095666</v>
      </c>
      <c r="G152" s="2">
        <v>53</v>
      </c>
      <c r="H152" s="2">
        <v>5300</v>
      </c>
      <c r="I152" s="2" t="s">
        <v>44</v>
      </c>
      <c r="J152" s="2" t="s">
        <v>45</v>
      </c>
      <c r="K152" s="2" t="s">
        <v>46</v>
      </c>
      <c r="L152" s="2"/>
      <c r="M152" s="2"/>
    </row>
    <row r="153" spans="1:13" x14ac:dyDescent="0.25">
      <c r="A153" s="2" t="s">
        <v>504</v>
      </c>
      <c r="B153" s="2" t="s">
        <v>21</v>
      </c>
      <c r="C153" s="2" t="s">
        <v>201</v>
      </c>
      <c r="D153" s="2"/>
      <c r="E153" s="2" t="s">
        <v>505</v>
      </c>
      <c r="F153" s="2">
        <v>10.991999511718699</v>
      </c>
      <c r="G153" s="2">
        <v>50</v>
      </c>
      <c r="H153" s="2">
        <v>5300</v>
      </c>
      <c r="I153" s="2" t="s">
        <v>126</v>
      </c>
      <c r="J153" s="2" t="s">
        <v>127</v>
      </c>
      <c r="K153" s="2" t="s">
        <v>128</v>
      </c>
      <c r="L153" s="2"/>
      <c r="M153" s="2"/>
    </row>
    <row r="154" spans="1:13" x14ac:dyDescent="0.25">
      <c r="A154" s="2" t="s">
        <v>506</v>
      </c>
      <c r="B154" s="2" t="s">
        <v>21</v>
      </c>
      <c r="C154" s="2" t="s">
        <v>329</v>
      </c>
      <c r="D154" s="2"/>
      <c r="E154" s="2" t="s">
        <v>507</v>
      </c>
      <c r="F154" s="2">
        <v>9.9765956148188106</v>
      </c>
      <c r="G154" s="2">
        <v>47</v>
      </c>
      <c r="H154" s="2">
        <v>5300</v>
      </c>
      <c r="I154" s="2" t="s">
        <v>62</v>
      </c>
      <c r="J154" s="2" t="s">
        <v>64</v>
      </c>
      <c r="K154" s="2" t="s">
        <v>63</v>
      </c>
      <c r="L154" s="2"/>
      <c r="M154" s="2"/>
    </row>
    <row r="155" spans="1:13" x14ac:dyDescent="0.25">
      <c r="A155" s="2" t="s">
        <v>508</v>
      </c>
      <c r="B155" s="2" t="s">
        <v>20</v>
      </c>
      <c r="C155" s="2" t="s">
        <v>502</v>
      </c>
      <c r="D155" s="2"/>
      <c r="E155" s="2" t="s">
        <v>509</v>
      </c>
      <c r="F155" s="2">
        <v>11.546154315655</v>
      </c>
      <c r="G155" s="2">
        <v>52</v>
      </c>
      <c r="H155" s="2">
        <v>5300</v>
      </c>
      <c r="I155" s="2" t="s">
        <v>56</v>
      </c>
      <c r="J155" s="2" t="s">
        <v>57</v>
      </c>
      <c r="K155" s="2" t="s">
        <v>58</v>
      </c>
      <c r="L155" s="2"/>
      <c r="M155" s="2"/>
    </row>
    <row r="156" spans="1:13" x14ac:dyDescent="0.25">
      <c r="A156" s="2" t="s">
        <v>510</v>
      </c>
      <c r="B156" s="2" t="s">
        <v>21</v>
      </c>
      <c r="C156" s="2" t="s">
        <v>511</v>
      </c>
      <c r="D156" s="2"/>
      <c r="E156" s="2" t="s">
        <v>512</v>
      </c>
      <c r="F156" s="2">
        <v>8.8078433766084494</v>
      </c>
      <c r="G156" s="2">
        <v>51</v>
      </c>
      <c r="H156" s="2">
        <v>5300</v>
      </c>
      <c r="I156" s="2" t="s">
        <v>44</v>
      </c>
      <c r="J156" s="2" t="s">
        <v>45</v>
      </c>
      <c r="K156" s="2" t="s">
        <v>46</v>
      </c>
      <c r="L156" s="2"/>
      <c r="M156" s="2"/>
    </row>
    <row r="157" spans="1:13" x14ac:dyDescent="0.25">
      <c r="A157" s="2" t="s">
        <v>513</v>
      </c>
      <c r="B157" s="2" t="s">
        <v>21</v>
      </c>
      <c r="C157" s="2" t="s">
        <v>514</v>
      </c>
      <c r="D157" s="2"/>
      <c r="E157" s="2" t="s">
        <v>515</v>
      </c>
      <c r="F157" s="2">
        <v>9.2307692307692299</v>
      </c>
      <c r="G157" s="2">
        <v>52</v>
      </c>
      <c r="H157" s="2">
        <v>5300</v>
      </c>
      <c r="I157" s="2" t="s">
        <v>114</v>
      </c>
      <c r="J157" s="2" t="s">
        <v>115</v>
      </c>
      <c r="K157" s="2" t="s">
        <v>116</v>
      </c>
      <c r="L157" s="2"/>
      <c r="M157" s="2"/>
    </row>
    <row r="158" spans="1:13" x14ac:dyDescent="0.25">
      <c r="A158" s="2" t="s">
        <v>516</v>
      </c>
      <c r="B158" s="2" t="s">
        <v>3</v>
      </c>
      <c r="C158" s="2" t="s">
        <v>329</v>
      </c>
      <c r="D158" s="2"/>
      <c r="E158" s="2" t="s">
        <v>517</v>
      </c>
      <c r="F158" s="2">
        <v>10.665454101562499</v>
      </c>
      <c r="G158" s="2">
        <v>55</v>
      </c>
      <c r="H158" s="2">
        <v>5300</v>
      </c>
      <c r="I158" s="2" t="s">
        <v>62</v>
      </c>
      <c r="J158" s="2" t="s">
        <v>64</v>
      </c>
      <c r="K158" s="2" t="s">
        <v>63</v>
      </c>
      <c r="L158" s="2"/>
      <c r="M158" s="2"/>
    </row>
    <row r="159" spans="1:13" x14ac:dyDescent="0.25">
      <c r="A159" s="2" t="s">
        <v>518</v>
      </c>
      <c r="B159" s="2" t="s">
        <v>21</v>
      </c>
      <c r="C159" s="2" t="s">
        <v>124</v>
      </c>
      <c r="D159" s="2"/>
      <c r="E159" s="2" t="s">
        <v>519</v>
      </c>
      <c r="F159" s="2">
        <v>11.3951222489519</v>
      </c>
      <c r="G159" s="2">
        <v>41</v>
      </c>
      <c r="H159" s="2">
        <v>5200</v>
      </c>
      <c r="I159" s="2" t="s">
        <v>44</v>
      </c>
      <c r="J159" s="2" t="s">
        <v>46</v>
      </c>
      <c r="K159" s="2" t="s">
        <v>45</v>
      </c>
      <c r="L159" s="2"/>
      <c r="M159" s="2"/>
    </row>
    <row r="160" spans="1:13" x14ac:dyDescent="0.25">
      <c r="A160" s="2" t="s">
        <v>520</v>
      </c>
      <c r="B160" s="2" t="s">
        <v>21</v>
      </c>
      <c r="C160" s="2" t="s">
        <v>521</v>
      </c>
      <c r="D160" s="2"/>
      <c r="E160" s="2" t="s">
        <v>522</v>
      </c>
      <c r="F160" s="2">
        <v>8.0641508282355492</v>
      </c>
      <c r="G160" s="2">
        <v>53</v>
      </c>
      <c r="H160" s="2">
        <v>5200</v>
      </c>
      <c r="I160" s="2" t="s">
        <v>135</v>
      </c>
      <c r="J160" s="2" t="s">
        <v>137</v>
      </c>
      <c r="K160" s="2" t="s">
        <v>136</v>
      </c>
      <c r="L160" s="2"/>
      <c r="M160" s="2"/>
    </row>
    <row r="161" spans="1:13" x14ac:dyDescent="0.25">
      <c r="A161" s="2" t="s">
        <v>523</v>
      </c>
      <c r="B161" s="2" t="s">
        <v>3</v>
      </c>
      <c r="C161" s="2" t="s">
        <v>60</v>
      </c>
      <c r="D161" s="2"/>
      <c r="E161" s="2" t="s">
        <v>524</v>
      </c>
      <c r="F161" s="2">
        <v>9.7558139534883708</v>
      </c>
      <c r="G161" s="2">
        <v>43</v>
      </c>
      <c r="H161" s="2">
        <v>5200</v>
      </c>
      <c r="I161" s="2" t="s">
        <v>50</v>
      </c>
      <c r="J161" s="2" t="s">
        <v>52</v>
      </c>
      <c r="K161" s="2" t="s">
        <v>51</v>
      </c>
      <c r="L161" s="2" t="s">
        <v>198</v>
      </c>
      <c r="M161" s="2" t="s">
        <v>199</v>
      </c>
    </row>
    <row r="162" spans="1:13" x14ac:dyDescent="0.25">
      <c r="A162" s="2" t="s">
        <v>525</v>
      </c>
      <c r="B162" s="2" t="s">
        <v>3</v>
      </c>
      <c r="C162" s="2" t="s">
        <v>225</v>
      </c>
      <c r="D162" s="2"/>
      <c r="E162" s="2" t="s">
        <v>526</v>
      </c>
      <c r="F162" s="2">
        <v>7.5129631890190902</v>
      </c>
      <c r="G162" s="2">
        <v>54</v>
      </c>
      <c r="H162" s="2">
        <v>5200</v>
      </c>
      <c r="I162" s="2" t="s">
        <v>62</v>
      </c>
      <c r="J162" s="2" t="s">
        <v>63</v>
      </c>
      <c r="K162" s="2" t="s">
        <v>64</v>
      </c>
      <c r="L162" s="2"/>
      <c r="M162" s="2"/>
    </row>
    <row r="163" spans="1:13" x14ac:dyDescent="0.25">
      <c r="A163" s="2" t="s">
        <v>527</v>
      </c>
      <c r="B163" s="2" t="s">
        <v>20</v>
      </c>
      <c r="C163" s="2" t="s">
        <v>528</v>
      </c>
      <c r="D163" s="2"/>
      <c r="E163" s="2" t="s">
        <v>529</v>
      </c>
      <c r="F163" s="2">
        <v>9.88269277719351</v>
      </c>
      <c r="G163" s="2">
        <v>52</v>
      </c>
      <c r="H163" s="2">
        <v>5200</v>
      </c>
      <c r="I163" s="2" t="s">
        <v>114</v>
      </c>
      <c r="J163" s="2" t="s">
        <v>116</v>
      </c>
      <c r="K163" s="2" t="s">
        <v>115</v>
      </c>
      <c r="L163" s="2"/>
      <c r="M163" s="2"/>
    </row>
    <row r="164" spans="1:13" x14ac:dyDescent="0.25">
      <c r="A164" s="2" t="s">
        <v>530</v>
      </c>
      <c r="B164" s="2" t="s">
        <v>3</v>
      </c>
      <c r="C164" s="2" t="s">
        <v>531</v>
      </c>
      <c r="D164" s="2"/>
      <c r="E164" s="2" t="s">
        <v>532</v>
      </c>
      <c r="F164" s="2">
        <v>8.3945456764914699</v>
      </c>
      <c r="G164" s="2">
        <v>55</v>
      </c>
      <c r="H164" s="2">
        <v>5200</v>
      </c>
      <c r="I164" s="2" t="s">
        <v>50</v>
      </c>
      <c r="J164" s="2" t="s">
        <v>51</v>
      </c>
      <c r="K164" s="2" t="s">
        <v>52</v>
      </c>
      <c r="L164" s="2"/>
      <c r="M164" s="2"/>
    </row>
    <row r="165" spans="1:13" x14ac:dyDescent="0.25">
      <c r="A165" s="2" t="s">
        <v>533</v>
      </c>
      <c r="B165" s="2" t="s">
        <v>21</v>
      </c>
      <c r="C165" s="2" t="s">
        <v>228</v>
      </c>
      <c r="D165" s="2"/>
      <c r="E165" s="2" t="s">
        <v>534</v>
      </c>
      <c r="F165" s="2">
        <v>7.8510638297872299</v>
      </c>
      <c r="G165" s="2">
        <v>47</v>
      </c>
      <c r="H165" s="2">
        <v>5100</v>
      </c>
      <c r="I165" s="2" t="s">
        <v>126</v>
      </c>
      <c r="J165" s="2" t="s">
        <v>127</v>
      </c>
      <c r="K165" s="2" t="s">
        <v>128</v>
      </c>
      <c r="L165" s="2"/>
      <c r="M165" s="2"/>
    </row>
    <row r="166" spans="1:13" x14ac:dyDescent="0.25">
      <c r="A166" s="2" t="s">
        <v>535</v>
      </c>
      <c r="B166" s="2" t="s">
        <v>21</v>
      </c>
      <c r="C166" s="2" t="s">
        <v>536</v>
      </c>
      <c r="D166" s="2"/>
      <c r="E166" s="2" t="s">
        <v>537</v>
      </c>
      <c r="F166" s="2">
        <v>10.009433962264101</v>
      </c>
      <c r="G166" s="2">
        <v>53</v>
      </c>
      <c r="H166" s="2">
        <v>5100</v>
      </c>
      <c r="I166" s="2" t="s">
        <v>74</v>
      </c>
      <c r="J166" s="2" t="s">
        <v>76</v>
      </c>
      <c r="K166" s="2" t="s">
        <v>75</v>
      </c>
      <c r="L166" s="2"/>
      <c r="M166" s="2"/>
    </row>
    <row r="167" spans="1:13" x14ac:dyDescent="0.25">
      <c r="A167" s="2" t="s">
        <v>538</v>
      </c>
      <c r="B167" s="2" t="s">
        <v>21</v>
      </c>
      <c r="C167" s="2" t="s">
        <v>539</v>
      </c>
      <c r="D167" s="2"/>
      <c r="E167" s="2" t="s">
        <v>540</v>
      </c>
      <c r="F167" s="2">
        <v>8.2803919175091902</v>
      </c>
      <c r="G167" s="2">
        <v>51</v>
      </c>
      <c r="H167" s="2">
        <v>5100</v>
      </c>
      <c r="I167" s="2" t="s">
        <v>44</v>
      </c>
      <c r="J167" s="2" t="s">
        <v>46</v>
      </c>
      <c r="K167" s="2" t="s">
        <v>45</v>
      </c>
      <c r="L167" s="2"/>
      <c r="M167" s="2"/>
    </row>
    <row r="168" spans="1:13" x14ac:dyDescent="0.25">
      <c r="A168" s="2" t="s">
        <v>541</v>
      </c>
      <c r="B168" s="2" t="s">
        <v>20</v>
      </c>
      <c r="C168" s="2" t="s">
        <v>542</v>
      </c>
      <c r="D168" s="2"/>
      <c r="E168" s="2" t="s">
        <v>61</v>
      </c>
      <c r="F168" s="2">
        <v>12.043478260869501</v>
      </c>
      <c r="G168" s="2">
        <v>46</v>
      </c>
      <c r="H168" s="2">
        <v>5100</v>
      </c>
      <c r="I168" s="2" t="s">
        <v>135</v>
      </c>
      <c r="J168" s="2" t="s">
        <v>136</v>
      </c>
      <c r="K168" s="2" t="s">
        <v>137</v>
      </c>
      <c r="L168" s="2"/>
      <c r="M168" s="2"/>
    </row>
    <row r="169" spans="1:13" x14ac:dyDescent="0.25">
      <c r="A169" s="2" t="s">
        <v>543</v>
      </c>
      <c r="B169" s="2" t="s">
        <v>3</v>
      </c>
      <c r="C169" s="2" t="s">
        <v>87</v>
      </c>
      <c r="D169" s="2"/>
      <c r="E169" s="2" t="s">
        <v>407</v>
      </c>
      <c r="F169" s="2">
        <v>7.9981130923864896</v>
      </c>
      <c r="G169" s="2">
        <v>53</v>
      </c>
      <c r="H169" s="2">
        <v>5100</v>
      </c>
      <c r="I169" s="2" t="s">
        <v>135</v>
      </c>
      <c r="J169" s="2" t="s">
        <v>137</v>
      </c>
      <c r="K169" s="2" t="s">
        <v>136</v>
      </c>
      <c r="L169" s="2"/>
      <c r="M169" s="2"/>
    </row>
    <row r="170" spans="1:13" x14ac:dyDescent="0.25">
      <c r="A170" s="2" t="s">
        <v>544</v>
      </c>
      <c r="B170" s="2" t="s">
        <v>20</v>
      </c>
      <c r="C170" s="2" t="s">
        <v>340</v>
      </c>
      <c r="D170" s="2"/>
      <c r="E170" s="2" t="s">
        <v>545</v>
      </c>
      <c r="F170" s="2">
        <v>10.564000244140599</v>
      </c>
      <c r="G170" s="2">
        <v>50</v>
      </c>
      <c r="H170" s="2">
        <v>5100</v>
      </c>
      <c r="I170" s="2" t="s">
        <v>126</v>
      </c>
      <c r="J170" s="2" t="s">
        <v>127</v>
      </c>
      <c r="K170" s="2" t="s">
        <v>128</v>
      </c>
      <c r="L170" s="2"/>
      <c r="M170" s="2"/>
    </row>
    <row r="171" spans="1:13" x14ac:dyDescent="0.25">
      <c r="A171" s="2" t="s">
        <v>546</v>
      </c>
      <c r="B171" s="2" t="s">
        <v>21</v>
      </c>
      <c r="C171" s="2" t="s">
        <v>547</v>
      </c>
      <c r="D171" s="2"/>
      <c r="E171" s="2" t="s">
        <v>139</v>
      </c>
      <c r="F171" s="2">
        <v>8.31111111111111</v>
      </c>
      <c r="G171" s="2">
        <v>45</v>
      </c>
      <c r="H171" s="2">
        <v>5100</v>
      </c>
      <c r="I171" s="2" t="s">
        <v>106</v>
      </c>
      <c r="J171" s="2" t="s">
        <v>107</v>
      </c>
      <c r="K171" s="2" t="s">
        <v>108</v>
      </c>
      <c r="L171" s="2"/>
      <c r="M171" s="2"/>
    </row>
    <row r="172" spans="1:13" x14ac:dyDescent="0.25">
      <c r="A172" s="2" t="s">
        <v>548</v>
      </c>
      <c r="B172" s="2" t="s">
        <v>20</v>
      </c>
      <c r="C172" s="2" t="s">
        <v>160</v>
      </c>
      <c r="D172" s="2"/>
      <c r="E172" s="2" t="s">
        <v>549</v>
      </c>
      <c r="F172" s="2">
        <v>9.3249998826246898</v>
      </c>
      <c r="G172" s="2">
        <v>52</v>
      </c>
      <c r="H172" s="2">
        <v>5000</v>
      </c>
      <c r="I172" s="2" t="s">
        <v>114</v>
      </c>
      <c r="J172" s="2" t="s">
        <v>116</v>
      </c>
      <c r="K172" s="2" t="s">
        <v>115</v>
      </c>
      <c r="L172" s="2"/>
      <c r="M172" s="2"/>
    </row>
    <row r="173" spans="1:13" x14ac:dyDescent="0.25">
      <c r="A173" s="2" t="s">
        <v>550</v>
      </c>
      <c r="B173" s="2" t="s">
        <v>21</v>
      </c>
      <c r="C173" s="2" t="s">
        <v>551</v>
      </c>
      <c r="D173" s="2"/>
      <c r="E173" s="2" t="s">
        <v>552</v>
      </c>
      <c r="F173" s="2">
        <v>8.3547167508107307</v>
      </c>
      <c r="G173" s="2">
        <v>53</v>
      </c>
      <c r="H173" s="2">
        <v>5000</v>
      </c>
      <c r="I173" s="2" t="s">
        <v>44</v>
      </c>
      <c r="J173" s="2" t="s">
        <v>46</v>
      </c>
      <c r="K173" s="2" t="s">
        <v>45</v>
      </c>
      <c r="L173" s="2"/>
      <c r="M173" s="2"/>
    </row>
    <row r="174" spans="1:13" x14ac:dyDescent="0.25">
      <c r="A174" s="2" t="s">
        <v>553</v>
      </c>
      <c r="B174" s="2" t="s">
        <v>20</v>
      </c>
      <c r="C174" s="2" t="s">
        <v>554</v>
      </c>
      <c r="D174" s="2"/>
      <c r="E174" s="2" t="s">
        <v>555</v>
      </c>
      <c r="F174" s="2">
        <v>10.690740514684601</v>
      </c>
      <c r="G174" s="2">
        <v>54</v>
      </c>
      <c r="H174" s="2">
        <v>5000</v>
      </c>
      <c r="I174" s="2" t="s">
        <v>100</v>
      </c>
      <c r="J174" s="2" t="s">
        <v>102</v>
      </c>
      <c r="K174" s="2" t="s">
        <v>101</v>
      </c>
      <c r="L174" s="2"/>
      <c r="M174" s="2"/>
    </row>
    <row r="175" spans="1:13" x14ac:dyDescent="0.25">
      <c r="A175" s="2" t="s">
        <v>556</v>
      </c>
      <c r="B175" s="2" t="s">
        <v>20</v>
      </c>
      <c r="C175" s="2" t="s">
        <v>557</v>
      </c>
      <c r="D175" s="2"/>
      <c r="E175" s="2" t="s">
        <v>558</v>
      </c>
      <c r="F175" s="2">
        <v>12.2603771281692</v>
      </c>
      <c r="G175" s="2">
        <v>53</v>
      </c>
      <c r="H175" s="2">
        <v>5000</v>
      </c>
      <c r="I175" s="2" t="s">
        <v>74</v>
      </c>
      <c r="J175" s="2" t="s">
        <v>76</v>
      </c>
      <c r="K175" s="2" t="s">
        <v>75</v>
      </c>
      <c r="L175" s="2"/>
      <c r="M175" s="2"/>
    </row>
    <row r="176" spans="1:13" x14ac:dyDescent="0.25">
      <c r="A176" s="2" t="s">
        <v>559</v>
      </c>
      <c r="B176" s="2" t="s">
        <v>21</v>
      </c>
      <c r="C176" s="2" t="s">
        <v>476</v>
      </c>
      <c r="D176" s="2"/>
      <c r="E176" s="2" t="s">
        <v>560</v>
      </c>
      <c r="F176" s="2">
        <v>9.0272730047052505</v>
      </c>
      <c r="G176" s="2">
        <v>22</v>
      </c>
      <c r="H176" s="2">
        <v>4900</v>
      </c>
      <c r="I176" s="2" t="s">
        <v>62</v>
      </c>
      <c r="J176" s="2" t="s">
        <v>63</v>
      </c>
      <c r="K176" s="2" t="s">
        <v>64</v>
      </c>
      <c r="L176" s="2"/>
      <c r="M176" s="2"/>
    </row>
    <row r="177" spans="1:13" x14ac:dyDescent="0.25">
      <c r="A177" s="2" t="s">
        <v>561</v>
      </c>
      <c r="B177" s="2" t="s">
        <v>20</v>
      </c>
      <c r="C177" s="2" t="s">
        <v>54</v>
      </c>
      <c r="D177" s="2"/>
      <c r="E177" s="2" t="s">
        <v>562</v>
      </c>
      <c r="F177" s="2">
        <v>10.4773582602446</v>
      </c>
      <c r="G177" s="2">
        <v>53</v>
      </c>
      <c r="H177" s="2">
        <v>4900</v>
      </c>
      <c r="I177" s="2" t="s">
        <v>44</v>
      </c>
      <c r="J177" s="2" t="s">
        <v>45</v>
      </c>
      <c r="K177" s="2" t="s">
        <v>46</v>
      </c>
      <c r="L177" s="2"/>
      <c r="M177" s="2"/>
    </row>
    <row r="178" spans="1:13" x14ac:dyDescent="0.25">
      <c r="A178" s="2" t="s">
        <v>563</v>
      </c>
      <c r="B178" s="2" t="s">
        <v>20</v>
      </c>
      <c r="C178" s="2" t="s">
        <v>564</v>
      </c>
      <c r="D178" s="2"/>
      <c r="E178" s="2" t="s">
        <v>565</v>
      </c>
      <c r="F178" s="2">
        <v>8.5592594853153905</v>
      </c>
      <c r="G178" s="2">
        <v>54</v>
      </c>
      <c r="H178" s="2">
        <v>4900</v>
      </c>
      <c r="I178" s="2" t="s">
        <v>44</v>
      </c>
      <c r="J178" s="2" t="s">
        <v>45</v>
      </c>
      <c r="K178" s="2" t="s">
        <v>46</v>
      </c>
      <c r="L178" s="2"/>
      <c r="M178" s="2"/>
    </row>
    <row r="179" spans="1:13" x14ac:dyDescent="0.25">
      <c r="A179" s="2" t="s">
        <v>566</v>
      </c>
      <c r="B179" s="2" t="s">
        <v>21</v>
      </c>
      <c r="C179" s="2" t="s">
        <v>567</v>
      </c>
      <c r="D179" s="2"/>
      <c r="E179" s="2" t="s">
        <v>568</v>
      </c>
      <c r="F179" s="2">
        <v>8.7788461538461497</v>
      </c>
      <c r="G179" s="2">
        <v>52</v>
      </c>
      <c r="H179" s="2">
        <v>4900</v>
      </c>
      <c r="I179" s="2" t="s">
        <v>114</v>
      </c>
      <c r="J179" s="2" t="s">
        <v>116</v>
      </c>
      <c r="K179" s="2" t="s">
        <v>115</v>
      </c>
      <c r="L179" s="2"/>
      <c r="M179" s="2"/>
    </row>
    <row r="180" spans="1:13" x14ac:dyDescent="0.25">
      <c r="A180" s="2" t="s">
        <v>569</v>
      </c>
      <c r="B180" s="2" t="s">
        <v>3</v>
      </c>
      <c r="C180" s="2" t="s">
        <v>476</v>
      </c>
      <c r="D180" s="2"/>
      <c r="E180" s="2" t="s">
        <v>570</v>
      </c>
      <c r="F180" s="2">
        <v>7.91818181818181</v>
      </c>
      <c r="G180" s="2">
        <v>55</v>
      </c>
      <c r="H180" s="2">
        <v>4900</v>
      </c>
      <c r="I180" s="2" t="s">
        <v>50</v>
      </c>
      <c r="J180" s="2" t="s">
        <v>51</v>
      </c>
      <c r="K180" s="2" t="s">
        <v>52</v>
      </c>
      <c r="L180" s="2"/>
      <c r="M180" s="2"/>
    </row>
    <row r="181" spans="1:13" x14ac:dyDescent="0.25">
      <c r="A181" s="2" t="s">
        <v>571</v>
      </c>
      <c r="B181" s="2" t="s">
        <v>3</v>
      </c>
      <c r="C181" s="2" t="s">
        <v>572</v>
      </c>
      <c r="D181" s="2"/>
      <c r="E181" s="2" t="s">
        <v>573</v>
      </c>
      <c r="F181" s="2">
        <v>9.3176472981770804</v>
      </c>
      <c r="G181" s="2">
        <v>51</v>
      </c>
      <c r="H181" s="2">
        <v>4900</v>
      </c>
      <c r="I181" s="2" t="s">
        <v>44</v>
      </c>
      <c r="J181" s="2" t="s">
        <v>46</v>
      </c>
      <c r="K181" s="2" t="s">
        <v>45</v>
      </c>
      <c r="L181" s="2" t="s">
        <v>92</v>
      </c>
      <c r="M181" s="2" t="s">
        <v>421</v>
      </c>
    </row>
    <row r="182" spans="1:13" x14ac:dyDescent="0.25">
      <c r="A182" s="2" t="s">
        <v>574</v>
      </c>
      <c r="B182" s="2" t="s">
        <v>21</v>
      </c>
      <c r="C182" s="2" t="s">
        <v>575</v>
      </c>
      <c r="D182" s="2"/>
      <c r="E182" s="2" t="s">
        <v>576</v>
      </c>
      <c r="F182" s="2">
        <v>7.9812498092651296</v>
      </c>
      <c r="G182" s="2">
        <v>32</v>
      </c>
      <c r="H182" s="2">
        <v>4900</v>
      </c>
      <c r="I182" s="2" t="s">
        <v>114</v>
      </c>
      <c r="J182" s="2" t="s">
        <v>115</v>
      </c>
      <c r="K182" s="2" t="s">
        <v>116</v>
      </c>
      <c r="L182" s="2"/>
      <c r="M182" s="2"/>
    </row>
    <row r="183" spans="1:13" x14ac:dyDescent="0.25">
      <c r="A183" s="2" t="s">
        <v>577</v>
      </c>
      <c r="B183" s="2" t="s">
        <v>21</v>
      </c>
      <c r="C183" s="2" t="s">
        <v>578</v>
      </c>
      <c r="D183" s="2"/>
      <c r="E183" s="2" t="s">
        <v>579</v>
      </c>
      <c r="F183" s="2">
        <v>11.7230764535757</v>
      </c>
      <c r="G183" s="2">
        <v>52</v>
      </c>
      <c r="H183" s="2">
        <v>4900</v>
      </c>
      <c r="I183" s="2" t="s">
        <v>68</v>
      </c>
      <c r="J183" s="2" t="s">
        <v>70</v>
      </c>
      <c r="K183" s="2" t="s">
        <v>69</v>
      </c>
      <c r="L183" s="2"/>
      <c r="M183" s="2"/>
    </row>
    <row r="184" spans="1:13" x14ac:dyDescent="0.25">
      <c r="A184" s="2" t="s">
        <v>580</v>
      </c>
      <c r="B184" s="2" t="s">
        <v>21</v>
      </c>
      <c r="C184" s="2" t="s">
        <v>11</v>
      </c>
      <c r="D184" s="2"/>
      <c r="E184" s="2" t="s">
        <v>581</v>
      </c>
      <c r="F184" s="2">
        <v>9.2999997820172897</v>
      </c>
      <c r="G184" s="2">
        <v>28</v>
      </c>
      <c r="H184" s="2">
        <v>4900</v>
      </c>
      <c r="I184" s="2" t="s">
        <v>50</v>
      </c>
      <c r="J184" s="2" t="s">
        <v>52</v>
      </c>
      <c r="K184" s="2" t="s">
        <v>51</v>
      </c>
      <c r="L184" s="2"/>
      <c r="M184" s="2"/>
    </row>
    <row r="185" spans="1:13" x14ac:dyDescent="0.25">
      <c r="A185" s="2" t="s">
        <v>582</v>
      </c>
      <c r="B185" s="2" t="s">
        <v>20</v>
      </c>
      <c r="C185" s="2" t="s">
        <v>583</v>
      </c>
      <c r="D185" s="2"/>
      <c r="E185" s="2" t="s">
        <v>584</v>
      </c>
      <c r="F185" s="2">
        <v>10.953703703703701</v>
      </c>
      <c r="G185" s="2">
        <v>54</v>
      </c>
      <c r="H185" s="2">
        <v>4900</v>
      </c>
      <c r="I185" s="2" t="s">
        <v>114</v>
      </c>
      <c r="J185" s="2" t="s">
        <v>115</v>
      </c>
      <c r="K185" s="2" t="s">
        <v>116</v>
      </c>
      <c r="L185" s="2"/>
      <c r="M185" s="2"/>
    </row>
    <row r="186" spans="1:13" x14ac:dyDescent="0.25">
      <c r="A186" s="2" t="s">
        <v>585</v>
      </c>
      <c r="B186" s="2" t="s">
        <v>21</v>
      </c>
      <c r="C186" s="2" t="s">
        <v>426</v>
      </c>
      <c r="D186" s="2"/>
      <c r="E186" s="2" t="s">
        <v>586</v>
      </c>
      <c r="F186" s="2">
        <v>8.0055553294994208</v>
      </c>
      <c r="G186" s="2">
        <v>54</v>
      </c>
      <c r="H186" s="2">
        <v>4900</v>
      </c>
      <c r="I186" s="2" t="s">
        <v>50</v>
      </c>
      <c r="J186" s="2" t="s">
        <v>51</v>
      </c>
      <c r="K186" s="2" t="s">
        <v>52</v>
      </c>
      <c r="L186" s="2"/>
      <c r="M186" s="2"/>
    </row>
    <row r="187" spans="1:13" x14ac:dyDescent="0.25">
      <c r="A187" s="2" t="s">
        <v>587</v>
      </c>
      <c r="B187" s="2" t="s">
        <v>21</v>
      </c>
      <c r="C187" s="2" t="s">
        <v>588</v>
      </c>
      <c r="D187" s="2"/>
      <c r="E187" s="2" t="s">
        <v>589</v>
      </c>
      <c r="F187" s="2">
        <v>6.7428574335007401</v>
      </c>
      <c r="G187" s="2">
        <v>42</v>
      </c>
      <c r="H187" s="2">
        <v>4800</v>
      </c>
      <c r="I187" s="2" t="s">
        <v>114</v>
      </c>
      <c r="J187" s="2" t="s">
        <v>116</v>
      </c>
      <c r="K187" s="2" t="s">
        <v>115</v>
      </c>
      <c r="L187" s="2"/>
      <c r="M187" s="2"/>
    </row>
    <row r="188" spans="1:13" x14ac:dyDescent="0.25">
      <c r="A188" s="2" t="s">
        <v>590</v>
      </c>
      <c r="B188" s="2" t="s">
        <v>21</v>
      </c>
      <c r="C188" s="2" t="s">
        <v>591</v>
      </c>
      <c r="D188" s="2"/>
      <c r="E188" s="2" t="s">
        <v>592</v>
      </c>
      <c r="F188" s="2">
        <v>11.365789313065299</v>
      </c>
      <c r="G188" s="2">
        <v>38</v>
      </c>
      <c r="H188" s="2">
        <v>4800</v>
      </c>
      <c r="I188" s="2" t="s">
        <v>44</v>
      </c>
      <c r="J188" s="2" t="s">
        <v>46</v>
      </c>
      <c r="K188" s="2" t="s">
        <v>45</v>
      </c>
      <c r="L188" s="2"/>
      <c r="M188" s="2"/>
    </row>
    <row r="189" spans="1:13" x14ac:dyDescent="0.25">
      <c r="A189" s="2" t="s">
        <v>593</v>
      </c>
      <c r="B189" s="2" t="s">
        <v>20</v>
      </c>
      <c r="C189" s="2" t="s">
        <v>288</v>
      </c>
      <c r="D189" s="2"/>
      <c r="E189" s="2" t="s">
        <v>594</v>
      </c>
      <c r="F189" s="2">
        <v>10.950908868962999</v>
      </c>
      <c r="G189" s="2">
        <v>55</v>
      </c>
      <c r="H189" s="2">
        <v>4800</v>
      </c>
      <c r="I189" s="2" t="s">
        <v>74</v>
      </c>
      <c r="J189" s="2" t="s">
        <v>75</v>
      </c>
      <c r="K189" s="2" t="s">
        <v>76</v>
      </c>
      <c r="L189" s="2"/>
      <c r="M189" s="2"/>
    </row>
    <row r="190" spans="1:13" x14ac:dyDescent="0.25">
      <c r="A190" s="2" t="s">
        <v>595</v>
      </c>
      <c r="B190" s="2" t="s">
        <v>21</v>
      </c>
      <c r="C190" s="2" t="s">
        <v>596</v>
      </c>
      <c r="D190" s="2"/>
      <c r="E190" s="2" t="s">
        <v>597</v>
      </c>
      <c r="F190" s="2">
        <v>8.8905662680571904</v>
      </c>
      <c r="G190" s="2">
        <v>53</v>
      </c>
      <c r="H190" s="2">
        <v>4800</v>
      </c>
      <c r="I190" s="2" t="s">
        <v>74</v>
      </c>
      <c r="J190" s="2" t="s">
        <v>76</v>
      </c>
      <c r="K190" s="2" t="s">
        <v>75</v>
      </c>
      <c r="L190" s="2"/>
      <c r="M190" s="2"/>
    </row>
    <row r="191" spans="1:13" x14ac:dyDescent="0.25">
      <c r="A191" s="2" t="s">
        <v>598</v>
      </c>
      <c r="B191" s="2" t="s">
        <v>20</v>
      </c>
      <c r="C191" s="2" t="s">
        <v>599</v>
      </c>
      <c r="D191" s="2"/>
      <c r="E191" s="2" t="s">
        <v>600</v>
      </c>
      <c r="F191" s="2">
        <v>9.1888885498046804</v>
      </c>
      <c r="G191" s="2">
        <v>36</v>
      </c>
      <c r="H191" s="2">
        <v>4800</v>
      </c>
      <c r="I191" s="2" t="s">
        <v>50</v>
      </c>
      <c r="J191" s="2" t="s">
        <v>51</v>
      </c>
      <c r="K191" s="2" t="s">
        <v>52</v>
      </c>
      <c r="L191" s="2"/>
      <c r="M191" s="2"/>
    </row>
    <row r="192" spans="1:13" x14ac:dyDescent="0.25">
      <c r="A192" s="2" t="s">
        <v>601</v>
      </c>
      <c r="B192" s="2" t="s">
        <v>3</v>
      </c>
      <c r="C192" s="2" t="s">
        <v>403</v>
      </c>
      <c r="D192" s="2"/>
      <c r="E192" s="2" t="s">
        <v>602</v>
      </c>
      <c r="F192" s="2">
        <v>7.9179998779296801</v>
      </c>
      <c r="G192" s="2">
        <v>50</v>
      </c>
      <c r="H192" s="2">
        <v>4800</v>
      </c>
      <c r="I192" s="2" t="s">
        <v>135</v>
      </c>
      <c r="J192" s="2" t="s">
        <v>136</v>
      </c>
      <c r="K192" s="2" t="s">
        <v>137</v>
      </c>
      <c r="L192" s="2"/>
      <c r="M192" s="2"/>
    </row>
    <row r="193" spans="1:13" x14ac:dyDescent="0.25">
      <c r="A193" s="2" t="s">
        <v>603</v>
      </c>
      <c r="B193" s="2" t="s">
        <v>21</v>
      </c>
      <c r="C193" s="2" t="s">
        <v>604</v>
      </c>
      <c r="D193" s="2"/>
      <c r="E193" s="2" t="s">
        <v>605</v>
      </c>
      <c r="F193" s="2">
        <v>10.5509799134497</v>
      </c>
      <c r="G193" s="2">
        <v>51</v>
      </c>
      <c r="H193" s="2">
        <v>4800</v>
      </c>
      <c r="I193" s="2" t="s">
        <v>126</v>
      </c>
      <c r="J193" s="2" t="s">
        <v>127</v>
      </c>
      <c r="K193" s="2" t="s">
        <v>128</v>
      </c>
      <c r="L193" s="2"/>
      <c r="M193" s="2"/>
    </row>
    <row r="194" spans="1:13" x14ac:dyDescent="0.25">
      <c r="A194" s="2" t="s">
        <v>606</v>
      </c>
      <c r="B194" s="2" t="s">
        <v>21</v>
      </c>
      <c r="C194" s="2" t="s">
        <v>367</v>
      </c>
      <c r="D194" s="2"/>
      <c r="E194" s="2" t="s">
        <v>607</v>
      </c>
      <c r="F194" s="2">
        <v>8.2934782608695592</v>
      </c>
      <c r="G194" s="2">
        <v>46</v>
      </c>
      <c r="H194" s="2">
        <v>4800</v>
      </c>
      <c r="I194" s="2" t="s">
        <v>56</v>
      </c>
      <c r="J194" s="2" t="s">
        <v>57</v>
      </c>
      <c r="K194" s="2" t="s">
        <v>58</v>
      </c>
      <c r="L194" s="2"/>
      <c r="M194" s="2"/>
    </row>
    <row r="195" spans="1:13" x14ac:dyDescent="0.25">
      <c r="A195" s="2" t="s">
        <v>608</v>
      </c>
      <c r="B195" s="2" t="s">
        <v>21</v>
      </c>
      <c r="C195" s="2" t="s">
        <v>329</v>
      </c>
      <c r="D195" s="2"/>
      <c r="E195" s="2" t="s">
        <v>609</v>
      </c>
      <c r="F195" s="2">
        <v>8.86851840549045</v>
      </c>
      <c r="G195" s="2">
        <v>54</v>
      </c>
      <c r="H195" s="2">
        <v>4800</v>
      </c>
      <c r="I195" s="2" t="s">
        <v>100</v>
      </c>
      <c r="J195" s="2" t="s">
        <v>102</v>
      </c>
      <c r="K195" s="2" t="s">
        <v>101</v>
      </c>
      <c r="L195" s="2"/>
      <c r="M195" s="2"/>
    </row>
    <row r="196" spans="1:13" x14ac:dyDescent="0.25">
      <c r="A196" s="2" t="s">
        <v>610</v>
      </c>
      <c r="B196" s="2" t="s">
        <v>20</v>
      </c>
      <c r="C196" s="2" t="s">
        <v>285</v>
      </c>
      <c r="D196" s="2"/>
      <c r="E196" s="2" t="s">
        <v>611</v>
      </c>
      <c r="F196" s="2">
        <v>11.691304082455799</v>
      </c>
      <c r="G196" s="2">
        <v>23</v>
      </c>
      <c r="H196" s="2">
        <v>4800</v>
      </c>
      <c r="I196" s="2" t="s">
        <v>56</v>
      </c>
      <c r="J196" s="2" t="s">
        <v>58</v>
      </c>
      <c r="K196" s="2" t="s">
        <v>57</v>
      </c>
      <c r="L196" s="2" t="s">
        <v>92</v>
      </c>
      <c r="M196" s="2" t="s">
        <v>612</v>
      </c>
    </row>
    <row r="197" spans="1:13" x14ac:dyDescent="0.25">
      <c r="A197" s="2" t="s">
        <v>613</v>
      </c>
      <c r="B197" s="2" t="s">
        <v>20</v>
      </c>
      <c r="C197" s="2" t="s">
        <v>157</v>
      </c>
      <c r="D197" s="2"/>
      <c r="E197" s="2" t="s">
        <v>614</v>
      </c>
      <c r="F197" s="2">
        <v>10.7088887532552</v>
      </c>
      <c r="G197" s="2">
        <v>45</v>
      </c>
      <c r="H197" s="2">
        <v>4800</v>
      </c>
      <c r="I197" s="2" t="s">
        <v>44</v>
      </c>
      <c r="J197" s="2" t="s">
        <v>46</v>
      </c>
      <c r="K197" s="2" t="s">
        <v>45</v>
      </c>
      <c r="L197" s="2"/>
      <c r="M197" s="2"/>
    </row>
    <row r="198" spans="1:13" x14ac:dyDescent="0.25">
      <c r="A198" s="2" t="s">
        <v>615</v>
      </c>
      <c r="B198" s="2" t="s">
        <v>20</v>
      </c>
      <c r="C198" s="2" t="s">
        <v>616</v>
      </c>
      <c r="D198" s="2"/>
      <c r="E198" s="2" t="s">
        <v>617</v>
      </c>
      <c r="F198" s="2">
        <v>10.446808510638199</v>
      </c>
      <c r="G198" s="2">
        <v>47</v>
      </c>
      <c r="H198" s="2">
        <v>4800</v>
      </c>
      <c r="I198" s="2" t="s">
        <v>126</v>
      </c>
      <c r="J198" s="2" t="s">
        <v>127</v>
      </c>
      <c r="K198" s="2" t="s">
        <v>128</v>
      </c>
      <c r="L198" s="2"/>
      <c r="M198" s="2"/>
    </row>
    <row r="199" spans="1:13" x14ac:dyDescent="0.25">
      <c r="A199" s="2" t="s">
        <v>618</v>
      </c>
      <c r="B199" s="2" t="s">
        <v>20</v>
      </c>
      <c r="C199" s="2" t="s">
        <v>619</v>
      </c>
      <c r="D199" s="2"/>
      <c r="E199" s="2" t="s">
        <v>620</v>
      </c>
      <c r="F199" s="2">
        <v>10.1340907703746</v>
      </c>
      <c r="G199" s="2">
        <v>44</v>
      </c>
      <c r="H199" s="2">
        <v>4800</v>
      </c>
      <c r="I199" s="2" t="s">
        <v>56</v>
      </c>
      <c r="J199" s="2" t="s">
        <v>58</v>
      </c>
      <c r="K199" s="2" t="s">
        <v>57</v>
      </c>
      <c r="L199" s="2" t="s">
        <v>198</v>
      </c>
      <c r="M199" s="2" t="s">
        <v>621</v>
      </c>
    </row>
    <row r="200" spans="1:13" x14ac:dyDescent="0.25">
      <c r="A200" s="2" t="s">
        <v>622</v>
      </c>
      <c r="B200" s="2" t="s">
        <v>21</v>
      </c>
      <c r="C200" s="2" t="s">
        <v>623</v>
      </c>
      <c r="D200" s="2"/>
      <c r="E200" s="2" t="s">
        <v>168</v>
      </c>
      <c r="F200" s="2">
        <v>9.3326528121014007</v>
      </c>
      <c r="G200" s="2">
        <v>49</v>
      </c>
      <c r="H200" s="2">
        <v>4800</v>
      </c>
      <c r="I200" s="2" t="s">
        <v>106</v>
      </c>
      <c r="J200" s="2" t="s">
        <v>107</v>
      </c>
      <c r="K200" s="2" t="s">
        <v>108</v>
      </c>
      <c r="L200" s="2"/>
      <c r="M200" s="2"/>
    </row>
    <row r="201" spans="1:13" x14ac:dyDescent="0.25">
      <c r="A201" s="2" t="s">
        <v>624</v>
      </c>
      <c r="B201" s="2" t="s">
        <v>21</v>
      </c>
      <c r="C201" s="2" t="s">
        <v>625</v>
      </c>
      <c r="D201" s="2"/>
      <c r="E201" s="2" t="s">
        <v>626</v>
      </c>
      <c r="F201" s="2">
        <v>8.6173078096829894</v>
      </c>
      <c r="G201" s="2">
        <v>52</v>
      </c>
      <c r="H201" s="2">
        <v>4800</v>
      </c>
      <c r="I201" s="2" t="s">
        <v>135</v>
      </c>
      <c r="J201" s="2" t="s">
        <v>136</v>
      </c>
      <c r="K201" s="2" t="s">
        <v>137</v>
      </c>
      <c r="L201" s="2"/>
      <c r="M201" s="2"/>
    </row>
    <row r="202" spans="1:13" x14ac:dyDescent="0.25">
      <c r="A202" s="2" t="s">
        <v>627</v>
      </c>
      <c r="B202" s="2" t="s">
        <v>3</v>
      </c>
      <c r="C202" s="2" t="s">
        <v>628</v>
      </c>
      <c r="D202" s="2"/>
      <c r="E202" s="2" t="s">
        <v>629</v>
      </c>
      <c r="F202" s="2">
        <v>7.4823530608532396</v>
      </c>
      <c r="G202" s="2">
        <v>51</v>
      </c>
      <c r="H202" s="2">
        <v>4800</v>
      </c>
      <c r="I202" s="2" t="s">
        <v>106</v>
      </c>
      <c r="J202" s="2" t="s">
        <v>107</v>
      </c>
      <c r="K202" s="2" t="s">
        <v>108</v>
      </c>
      <c r="L202" s="2"/>
      <c r="M202" s="2"/>
    </row>
    <row r="203" spans="1:13" x14ac:dyDescent="0.25">
      <c r="A203" s="2" t="s">
        <v>630</v>
      </c>
      <c r="B203" s="2" t="s">
        <v>20</v>
      </c>
      <c r="C203" s="2" t="s">
        <v>213</v>
      </c>
      <c r="D203" s="2"/>
      <c r="E203" s="2" t="s">
        <v>631</v>
      </c>
      <c r="F203" s="2">
        <v>11.135849286925099</v>
      </c>
      <c r="G203" s="2">
        <v>53</v>
      </c>
      <c r="H203" s="2">
        <v>4800</v>
      </c>
      <c r="I203" s="2" t="s">
        <v>50</v>
      </c>
      <c r="J203" s="2" t="s">
        <v>51</v>
      </c>
      <c r="K203" s="2" t="s">
        <v>52</v>
      </c>
      <c r="L203" s="2"/>
      <c r="M203" s="2"/>
    </row>
    <row r="204" spans="1:13" x14ac:dyDescent="0.25">
      <c r="A204" s="2" t="s">
        <v>632</v>
      </c>
      <c r="B204" s="2" t="s">
        <v>20</v>
      </c>
      <c r="C204" s="2" t="s">
        <v>165</v>
      </c>
      <c r="D204" s="2"/>
      <c r="E204" s="2" t="s">
        <v>633</v>
      </c>
      <c r="F204" s="2">
        <v>9.1074071813512703</v>
      </c>
      <c r="G204" s="2">
        <v>54</v>
      </c>
      <c r="H204" s="2">
        <v>4800</v>
      </c>
      <c r="I204" s="2" t="s">
        <v>114</v>
      </c>
      <c r="J204" s="2" t="s">
        <v>115</v>
      </c>
      <c r="K204" s="2" t="s">
        <v>116</v>
      </c>
      <c r="L204" s="2"/>
      <c r="M204" s="2"/>
    </row>
    <row r="205" spans="1:13" x14ac:dyDescent="0.25">
      <c r="A205" s="2" t="s">
        <v>634</v>
      </c>
      <c r="B205" s="2" t="s">
        <v>21</v>
      </c>
      <c r="C205" s="2" t="s">
        <v>635</v>
      </c>
      <c r="D205" s="2"/>
      <c r="E205" s="2" t="s">
        <v>168</v>
      </c>
      <c r="F205" s="2">
        <v>8.3120001220703106</v>
      </c>
      <c r="G205" s="2">
        <v>50</v>
      </c>
      <c r="H205" s="2">
        <v>4700</v>
      </c>
      <c r="I205" s="2" t="s">
        <v>114</v>
      </c>
      <c r="J205" s="2" t="s">
        <v>116</v>
      </c>
      <c r="K205" s="2" t="s">
        <v>115</v>
      </c>
      <c r="L205" s="2"/>
      <c r="M205" s="2"/>
    </row>
    <row r="206" spans="1:13" x14ac:dyDescent="0.25">
      <c r="A206" s="2" t="s">
        <v>636</v>
      </c>
      <c r="B206" s="2" t="s">
        <v>21</v>
      </c>
      <c r="C206" s="2" t="s">
        <v>490</v>
      </c>
      <c r="D206" s="2"/>
      <c r="E206" s="2" t="s">
        <v>637</v>
      </c>
      <c r="F206" s="2">
        <v>8.6999998826246898</v>
      </c>
      <c r="G206" s="2">
        <v>52</v>
      </c>
      <c r="H206" s="2">
        <v>4700</v>
      </c>
      <c r="I206" s="2" t="s">
        <v>100</v>
      </c>
      <c r="J206" s="2" t="s">
        <v>101</v>
      </c>
      <c r="K206" s="2" t="s">
        <v>102</v>
      </c>
      <c r="L206" s="2"/>
      <c r="M206" s="2"/>
    </row>
    <row r="207" spans="1:13" x14ac:dyDescent="0.25">
      <c r="A207" s="2" t="s">
        <v>638</v>
      </c>
      <c r="B207" s="2" t="s">
        <v>3</v>
      </c>
      <c r="C207" s="2" t="s">
        <v>157</v>
      </c>
      <c r="D207" s="2"/>
      <c r="E207" s="2" t="s">
        <v>639</v>
      </c>
      <c r="F207" s="2">
        <v>10.238775759327099</v>
      </c>
      <c r="G207" s="2">
        <v>49</v>
      </c>
      <c r="H207" s="2">
        <v>4700</v>
      </c>
      <c r="I207" s="2" t="s">
        <v>68</v>
      </c>
      <c r="J207" s="2" t="s">
        <v>69</v>
      </c>
      <c r="K207" s="2" t="s">
        <v>70</v>
      </c>
      <c r="L207" s="2"/>
      <c r="M207" s="2"/>
    </row>
    <row r="208" spans="1:13" x14ac:dyDescent="0.25">
      <c r="A208" s="2" t="s">
        <v>640</v>
      </c>
      <c r="B208" s="2" t="s">
        <v>3</v>
      </c>
      <c r="C208" s="2" t="s">
        <v>641</v>
      </c>
      <c r="D208" s="2"/>
      <c r="E208" s="2" t="s">
        <v>642</v>
      </c>
      <c r="F208" s="2">
        <v>9.9584903357163892</v>
      </c>
      <c r="G208" s="2">
        <v>53</v>
      </c>
      <c r="H208" s="2">
        <v>4700</v>
      </c>
      <c r="I208" s="2" t="s">
        <v>135</v>
      </c>
      <c r="J208" s="2" t="s">
        <v>137</v>
      </c>
      <c r="K208" s="2" t="s">
        <v>136</v>
      </c>
      <c r="L208" s="2"/>
      <c r="M208" s="2"/>
    </row>
    <row r="209" spans="1:13" x14ac:dyDescent="0.25">
      <c r="A209" s="2" t="s">
        <v>643</v>
      </c>
      <c r="B209" s="2" t="s">
        <v>21</v>
      </c>
      <c r="C209" s="2" t="s">
        <v>644</v>
      </c>
      <c r="D209" s="2"/>
      <c r="E209" s="2" t="s">
        <v>645</v>
      </c>
      <c r="F209" s="2">
        <v>9.4314812554253393</v>
      </c>
      <c r="G209" s="2">
        <v>54</v>
      </c>
      <c r="H209" s="2">
        <v>4700</v>
      </c>
      <c r="I209" s="2" t="s">
        <v>44</v>
      </c>
      <c r="J209" s="2" t="s">
        <v>45</v>
      </c>
      <c r="K209" s="2" t="s">
        <v>46</v>
      </c>
      <c r="L209" s="2"/>
      <c r="M209" s="2"/>
    </row>
    <row r="210" spans="1:13" x14ac:dyDescent="0.25">
      <c r="A210" s="2" t="s">
        <v>646</v>
      </c>
      <c r="B210" s="2" t="s">
        <v>21</v>
      </c>
      <c r="C210" s="2" t="s">
        <v>647</v>
      </c>
      <c r="D210" s="2"/>
      <c r="E210" s="2" t="s">
        <v>648</v>
      </c>
      <c r="F210" s="2">
        <v>2</v>
      </c>
      <c r="G210" s="2">
        <v>4</v>
      </c>
      <c r="H210" s="2">
        <v>4600</v>
      </c>
      <c r="I210" s="2" t="s">
        <v>106</v>
      </c>
      <c r="J210" s="2" t="s">
        <v>107</v>
      </c>
      <c r="K210" s="2" t="s">
        <v>108</v>
      </c>
      <c r="L210" s="2" t="s">
        <v>92</v>
      </c>
      <c r="M210" s="2" t="s">
        <v>649</v>
      </c>
    </row>
    <row r="211" spans="1:13" x14ac:dyDescent="0.25">
      <c r="A211" s="2" t="s">
        <v>650</v>
      </c>
      <c r="B211" s="2" t="s">
        <v>20</v>
      </c>
      <c r="C211" s="2" t="s">
        <v>651</v>
      </c>
      <c r="D211" s="2"/>
      <c r="E211" s="2" t="s">
        <v>652</v>
      </c>
      <c r="F211" s="2">
        <v>10.084313486136599</v>
      </c>
      <c r="G211" s="2">
        <v>51</v>
      </c>
      <c r="H211" s="2">
        <v>4600</v>
      </c>
      <c r="I211" s="2" t="s">
        <v>106</v>
      </c>
      <c r="J211" s="2" t="s">
        <v>107</v>
      </c>
      <c r="K211" s="2" t="s">
        <v>108</v>
      </c>
      <c r="L211" s="2"/>
      <c r="M211" s="2"/>
    </row>
    <row r="212" spans="1:13" x14ac:dyDescent="0.25">
      <c r="A212" s="2" t="s">
        <v>653</v>
      </c>
      <c r="B212" s="2" t="s">
        <v>3</v>
      </c>
      <c r="C212" s="2" t="s">
        <v>403</v>
      </c>
      <c r="D212" s="2"/>
      <c r="E212" s="2" t="s">
        <v>654</v>
      </c>
      <c r="F212" s="2">
        <v>9.3037737000663299</v>
      </c>
      <c r="G212" s="2">
        <v>53</v>
      </c>
      <c r="H212" s="2">
        <v>4600</v>
      </c>
      <c r="I212" s="2" t="s">
        <v>135</v>
      </c>
      <c r="J212" s="2" t="s">
        <v>137</v>
      </c>
      <c r="K212" s="2" t="s">
        <v>136</v>
      </c>
      <c r="L212" s="2"/>
      <c r="M212" s="2"/>
    </row>
    <row r="213" spans="1:13" x14ac:dyDescent="0.25">
      <c r="A213" s="2" t="s">
        <v>655</v>
      </c>
      <c r="B213" s="2" t="s">
        <v>21</v>
      </c>
      <c r="C213" s="2" t="s">
        <v>536</v>
      </c>
      <c r="D213" s="2"/>
      <c r="E213" s="2" t="s">
        <v>656</v>
      </c>
      <c r="F213" s="2">
        <v>10.4058825922947</v>
      </c>
      <c r="G213" s="2">
        <v>51</v>
      </c>
      <c r="H213" s="2">
        <v>4600</v>
      </c>
      <c r="I213" s="2" t="s">
        <v>135</v>
      </c>
      <c r="J213" s="2" t="s">
        <v>136</v>
      </c>
      <c r="K213" s="2" t="s">
        <v>137</v>
      </c>
      <c r="L213" s="2"/>
      <c r="M213" s="2"/>
    </row>
    <row r="214" spans="1:13" x14ac:dyDescent="0.25">
      <c r="A214" s="2" t="s">
        <v>657</v>
      </c>
      <c r="B214" s="2" t="s">
        <v>3</v>
      </c>
      <c r="C214" s="2" t="s">
        <v>139</v>
      </c>
      <c r="D214" s="2"/>
      <c r="E214" s="2" t="s">
        <v>658</v>
      </c>
      <c r="F214" s="2">
        <v>8.31851874457465</v>
      </c>
      <c r="G214" s="2">
        <v>54</v>
      </c>
      <c r="H214" s="2">
        <v>4600</v>
      </c>
      <c r="I214" s="2" t="s">
        <v>62</v>
      </c>
      <c r="J214" s="2" t="s">
        <v>64</v>
      </c>
      <c r="K214" s="2" t="s">
        <v>63</v>
      </c>
      <c r="L214" s="2"/>
      <c r="M214" s="2"/>
    </row>
    <row r="215" spans="1:13" x14ac:dyDescent="0.25">
      <c r="A215" s="2" t="s">
        <v>659</v>
      </c>
      <c r="B215" s="2" t="s">
        <v>21</v>
      </c>
      <c r="C215" s="2" t="s">
        <v>660</v>
      </c>
      <c r="D215" s="2"/>
      <c r="E215" s="2" t="s">
        <v>661</v>
      </c>
      <c r="F215" s="2">
        <v>6.2307692307692299</v>
      </c>
      <c r="G215" s="2">
        <v>52</v>
      </c>
      <c r="H215" s="2">
        <v>4600</v>
      </c>
      <c r="I215" s="2" t="s">
        <v>100</v>
      </c>
      <c r="J215" s="2" t="s">
        <v>101</v>
      </c>
      <c r="K215" s="2" t="s">
        <v>102</v>
      </c>
      <c r="L215" s="2"/>
      <c r="M215" s="2"/>
    </row>
    <row r="216" spans="1:13" x14ac:dyDescent="0.25">
      <c r="A216" s="2" t="s">
        <v>662</v>
      </c>
      <c r="B216" s="2" t="s">
        <v>20</v>
      </c>
      <c r="C216" s="2" t="s">
        <v>139</v>
      </c>
      <c r="D216" s="2"/>
      <c r="E216" s="2" t="s">
        <v>663</v>
      </c>
      <c r="F216" s="2">
        <v>10.091111246744701</v>
      </c>
      <c r="G216" s="2">
        <v>45</v>
      </c>
      <c r="H216" s="2">
        <v>4600</v>
      </c>
      <c r="I216" s="2" t="s">
        <v>68</v>
      </c>
      <c r="J216" s="2" t="s">
        <v>69</v>
      </c>
      <c r="K216" s="2" t="s">
        <v>70</v>
      </c>
      <c r="L216" s="2"/>
      <c r="M216" s="2"/>
    </row>
    <row r="217" spans="1:13" x14ac:dyDescent="0.25">
      <c r="A217" s="2" t="s">
        <v>664</v>
      </c>
      <c r="B217" s="2" t="s">
        <v>20</v>
      </c>
      <c r="C217" s="2" t="s">
        <v>665</v>
      </c>
      <c r="D217" s="2"/>
      <c r="E217" s="2" t="s">
        <v>666</v>
      </c>
      <c r="F217" s="2">
        <v>9.8351847330729107</v>
      </c>
      <c r="G217" s="2">
        <v>54</v>
      </c>
      <c r="H217" s="2">
        <v>4600</v>
      </c>
      <c r="I217" s="2" t="s">
        <v>126</v>
      </c>
      <c r="J217" s="2" t="s">
        <v>128</v>
      </c>
      <c r="K217" s="2" t="s">
        <v>127</v>
      </c>
      <c r="L217" s="2"/>
      <c r="M217" s="2"/>
    </row>
    <row r="218" spans="1:13" x14ac:dyDescent="0.25">
      <c r="A218" s="2" t="s">
        <v>667</v>
      </c>
      <c r="B218" s="2" t="s">
        <v>3</v>
      </c>
      <c r="C218" s="2" t="s">
        <v>139</v>
      </c>
      <c r="D218" s="2"/>
      <c r="E218" s="2" t="s">
        <v>668</v>
      </c>
      <c r="F218" s="2">
        <v>7.4520835876464799</v>
      </c>
      <c r="G218" s="2">
        <v>48</v>
      </c>
      <c r="H218" s="2">
        <v>4500</v>
      </c>
      <c r="I218" s="2" t="s">
        <v>126</v>
      </c>
      <c r="J218" s="2" t="s">
        <v>127</v>
      </c>
      <c r="K218" s="2" t="s">
        <v>128</v>
      </c>
      <c r="L218" s="2"/>
      <c r="M218" s="2"/>
    </row>
    <row r="219" spans="1:13" x14ac:dyDescent="0.25">
      <c r="A219" s="2" t="s">
        <v>669</v>
      </c>
      <c r="B219" s="2" t="s">
        <v>20</v>
      </c>
      <c r="C219" s="2" t="s">
        <v>670</v>
      </c>
      <c r="D219" s="2"/>
      <c r="E219" s="2" t="s">
        <v>671</v>
      </c>
      <c r="F219" s="2">
        <v>8.7489364299368297</v>
      </c>
      <c r="G219" s="2">
        <v>47</v>
      </c>
      <c r="H219" s="2">
        <v>4500</v>
      </c>
      <c r="I219" s="2" t="s">
        <v>56</v>
      </c>
      <c r="J219" s="2" t="s">
        <v>57</v>
      </c>
      <c r="K219" s="2" t="s">
        <v>58</v>
      </c>
      <c r="L219" s="2"/>
      <c r="M219" s="2"/>
    </row>
    <row r="220" spans="1:13" x14ac:dyDescent="0.25">
      <c r="A220" s="2" t="s">
        <v>672</v>
      </c>
      <c r="B220" s="2" t="s">
        <v>21</v>
      </c>
      <c r="C220" s="2" t="s">
        <v>673</v>
      </c>
      <c r="D220" s="2"/>
      <c r="E220" s="2" t="s">
        <v>674</v>
      </c>
      <c r="F220" s="2">
        <v>8.7111111111111104</v>
      </c>
      <c r="G220" s="2">
        <v>45</v>
      </c>
      <c r="H220" s="2">
        <v>4500</v>
      </c>
      <c r="I220" s="2" t="s">
        <v>56</v>
      </c>
      <c r="J220" s="2" t="s">
        <v>58</v>
      </c>
      <c r="K220" s="2" t="s">
        <v>57</v>
      </c>
      <c r="L220" s="2"/>
      <c r="M220" s="2"/>
    </row>
    <row r="221" spans="1:13" x14ac:dyDescent="0.25">
      <c r="A221" s="2" t="s">
        <v>675</v>
      </c>
      <c r="B221" s="2" t="s">
        <v>21</v>
      </c>
      <c r="C221" s="2" t="s">
        <v>676</v>
      </c>
      <c r="D221" s="2"/>
      <c r="E221" s="2" t="s">
        <v>677</v>
      </c>
      <c r="F221" s="2">
        <v>8.7591839225924701</v>
      </c>
      <c r="G221" s="2">
        <v>49</v>
      </c>
      <c r="H221" s="2">
        <v>4500</v>
      </c>
      <c r="I221" s="2" t="s">
        <v>56</v>
      </c>
      <c r="J221" s="2" t="s">
        <v>57</v>
      </c>
      <c r="K221" s="2" t="s">
        <v>58</v>
      </c>
      <c r="L221" s="2"/>
      <c r="M221" s="2"/>
    </row>
    <row r="222" spans="1:13" x14ac:dyDescent="0.25">
      <c r="A222" s="2" t="s">
        <v>678</v>
      </c>
      <c r="B222" s="2" t="s">
        <v>21</v>
      </c>
      <c r="C222" s="2" t="s">
        <v>139</v>
      </c>
      <c r="D222" s="2"/>
      <c r="E222" s="2" t="s">
        <v>679</v>
      </c>
      <c r="F222" s="2">
        <v>8.1156861548330195</v>
      </c>
      <c r="G222" s="2">
        <v>51</v>
      </c>
      <c r="H222" s="2">
        <v>4500</v>
      </c>
      <c r="I222" s="2" t="s">
        <v>106</v>
      </c>
      <c r="J222" s="2" t="s">
        <v>107</v>
      </c>
      <c r="K222" s="2" t="s">
        <v>108</v>
      </c>
      <c r="L222" s="2"/>
      <c r="M222" s="2"/>
    </row>
    <row r="223" spans="1:13" x14ac:dyDescent="0.25">
      <c r="A223" s="2" t="s">
        <v>680</v>
      </c>
      <c r="B223" s="2" t="s">
        <v>21</v>
      </c>
      <c r="C223" s="2" t="s">
        <v>681</v>
      </c>
      <c r="D223" s="2"/>
      <c r="E223" s="2" t="s">
        <v>682</v>
      </c>
      <c r="F223" s="2">
        <v>8.1959184919084809</v>
      </c>
      <c r="G223" s="2">
        <v>49</v>
      </c>
      <c r="H223" s="2">
        <v>4500</v>
      </c>
      <c r="I223" s="2" t="s">
        <v>50</v>
      </c>
      <c r="J223" s="2" t="s">
        <v>52</v>
      </c>
      <c r="K223" s="2" t="s">
        <v>51</v>
      </c>
      <c r="L223" s="2"/>
      <c r="M223" s="2"/>
    </row>
    <row r="224" spans="1:13" x14ac:dyDescent="0.25">
      <c r="A224" s="2" t="s">
        <v>683</v>
      </c>
      <c r="B224" s="2" t="s">
        <v>3</v>
      </c>
      <c r="C224" s="2" t="s">
        <v>340</v>
      </c>
      <c r="D224" s="2"/>
      <c r="E224" s="2" t="s">
        <v>684</v>
      </c>
      <c r="F224" s="2">
        <v>4.1875</v>
      </c>
      <c r="G224" s="2">
        <v>24</v>
      </c>
      <c r="H224" s="2">
        <v>4500</v>
      </c>
      <c r="I224" s="2" t="s">
        <v>114</v>
      </c>
      <c r="J224" s="2" t="s">
        <v>116</v>
      </c>
      <c r="K224" s="2" t="s">
        <v>115</v>
      </c>
      <c r="L224" s="2"/>
      <c r="M224" s="2"/>
    </row>
    <row r="225" spans="1:13" x14ac:dyDescent="0.25">
      <c r="A225" s="2" t="s">
        <v>685</v>
      </c>
      <c r="B225" s="2" t="s">
        <v>21</v>
      </c>
      <c r="C225" s="2" t="s">
        <v>686</v>
      </c>
      <c r="D225" s="2"/>
      <c r="E225" s="2" t="s">
        <v>687</v>
      </c>
      <c r="F225" s="2">
        <v>8.6596151498647806</v>
      </c>
      <c r="G225" s="2">
        <v>52</v>
      </c>
      <c r="H225" s="2">
        <v>4500</v>
      </c>
      <c r="I225" s="2" t="s">
        <v>135</v>
      </c>
      <c r="J225" s="2" t="s">
        <v>136</v>
      </c>
      <c r="K225" s="2" t="s">
        <v>137</v>
      </c>
      <c r="L225" s="2"/>
      <c r="M225" s="2"/>
    </row>
    <row r="226" spans="1:13" x14ac:dyDescent="0.25">
      <c r="A226" s="2" t="s">
        <v>688</v>
      </c>
      <c r="B226" s="2" t="s">
        <v>20</v>
      </c>
      <c r="C226" s="2" t="s">
        <v>689</v>
      </c>
      <c r="D226" s="2"/>
      <c r="E226" s="2" t="s">
        <v>690</v>
      </c>
      <c r="F226" s="2">
        <v>9.3183674715003093</v>
      </c>
      <c r="G226" s="2">
        <v>49</v>
      </c>
      <c r="H226" s="2">
        <v>4500</v>
      </c>
      <c r="I226" s="2" t="s">
        <v>62</v>
      </c>
      <c r="J226" s="2" t="s">
        <v>63</v>
      </c>
      <c r="K226" s="2" t="s">
        <v>64</v>
      </c>
      <c r="L226" s="2"/>
      <c r="M226" s="2"/>
    </row>
    <row r="227" spans="1:13" x14ac:dyDescent="0.25">
      <c r="A227" s="2" t="s">
        <v>691</v>
      </c>
      <c r="B227" s="2" t="s">
        <v>20</v>
      </c>
      <c r="C227" s="2" t="s">
        <v>692</v>
      </c>
      <c r="D227" s="2"/>
      <c r="E227" s="2" t="s">
        <v>693</v>
      </c>
      <c r="F227" s="2">
        <v>6.6642855689639102</v>
      </c>
      <c r="G227" s="2">
        <v>42</v>
      </c>
      <c r="H227" s="2">
        <v>4500</v>
      </c>
      <c r="I227" s="2" t="s">
        <v>74</v>
      </c>
      <c r="J227" s="2" t="s">
        <v>75</v>
      </c>
      <c r="K227" s="2" t="s">
        <v>76</v>
      </c>
      <c r="L227" s="2"/>
      <c r="M227" s="2"/>
    </row>
    <row r="228" spans="1:13" x14ac:dyDescent="0.25">
      <c r="A228" s="2" t="s">
        <v>694</v>
      </c>
      <c r="B228" s="2" t="s">
        <v>21</v>
      </c>
      <c r="C228" s="2" t="s">
        <v>695</v>
      </c>
      <c r="D228" s="2"/>
      <c r="E228" s="2" t="s">
        <v>696</v>
      </c>
      <c r="F228" s="2">
        <v>8.2800003051757791</v>
      </c>
      <c r="G228" s="2">
        <v>20</v>
      </c>
      <c r="H228" s="2">
        <v>4500</v>
      </c>
      <c r="I228" s="2" t="s">
        <v>135</v>
      </c>
      <c r="J228" s="2" t="s">
        <v>137</v>
      </c>
      <c r="K228" s="2" t="s">
        <v>136</v>
      </c>
      <c r="L228" s="2"/>
      <c r="M228" s="2"/>
    </row>
    <row r="229" spans="1:13" x14ac:dyDescent="0.25">
      <c r="A229" s="2" t="s">
        <v>697</v>
      </c>
      <c r="B229" s="2" t="s">
        <v>20</v>
      </c>
      <c r="C229" s="2" t="s">
        <v>698</v>
      </c>
      <c r="D229" s="2"/>
      <c r="E229" s="2" t="s">
        <v>699</v>
      </c>
      <c r="F229" s="2">
        <v>8.9365386962890607</v>
      </c>
      <c r="G229" s="2">
        <v>52</v>
      </c>
      <c r="H229" s="2">
        <v>4500</v>
      </c>
      <c r="I229" s="2" t="s">
        <v>100</v>
      </c>
      <c r="J229" s="2" t="s">
        <v>101</v>
      </c>
      <c r="K229" s="2" t="s">
        <v>102</v>
      </c>
      <c r="L229" s="2"/>
      <c r="M229" s="2"/>
    </row>
    <row r="230" spans="1:13" x14ac:dyDescent="0.25">
      <c r="A230" s="2" t="s">
        <v>700</v>
      </c>
      <c r="B230" s="2" t="s">
        <v>21</v>
      </c>
      <c r="C230" s="2" t="s">
        <v>701</v>
      </c>
      <c r="D230" s="2"/>
      <c r="E230" s="2" t="s">
        <v>702</v>
      </c>
      <c r="F230" s="2">
        <v>8.8979998779296796</v>
      </c>
      <c r="G230" s="2">
        <v>50</v>
      </c>
      <c r="H230" s="2">
        <v>4500</v>
      </c>
      <c r="I230" s="2" t="s">
        <v>135</v>
      </c>
      <c r="J230" s="2" t="s">
        <v>137</v>
      </c>
      <c r="K230" s="2" t="s">
        <v>136</v>
      </c>
      <c r="L230" s="2" t="s">
        <v>198</v>
      </c>
      <c r="M230" s="2" t="s">
        <v>649</v>
      </c>
    </row>
    <row r="231" spans="1:13" x14ac:dyDescent="0.25">
      <c r="A231" s="2" t="s">
        <v>703</v>
      </c>
      <c r="B231" s="2" t="s">
        <v>21</v>
      </c>
      <c r="C231" s="2" t="s">
        <v>704</v>
      </c>
      <c r="D231" s="2"/>
      <c r="E231" s="2" t="s">
        <v>705</v>
      </c>
      <c r="F231" s="2">
        <v>8.1288463885967506</v>
      </c>
      <c r="G231" s="2">
        <v>52</v>
      </c>
      <c r="H231" s="2">
        <v>4400</v>
      </c>
      <c r="I231" s="2" t="s">
        <v>100</v>
      </c>
      <c r="J231" s="2" t="s">
        <v>101</v>
      </c>
      <c r="K231" s="2" t="s">
        <v>102</v>
      </c>
      <c r="L231" s="2"/>
      <c r="M231" s="2"/>
    </row>
    <row r="232" spans="1:13" x14ac:dyDescent="0.25">
      <c r="A232" s="2" t="s">
        <v>706</v>
      </c>
      <c r="B232" s="2" t="s">
        <v>20</v>
      </c>
      <c r="C232" s="2" t="s">
        <v>707</v>
      </c>
      <c r="D232" s="2"/>
      <c r="E232" s="2" t="s">
        <v>708</v>
      </c>
      <c r="F232" s="2">
        <v>7.7037733545843103</v>
      </c>
      <c r="G232" s="2">
        <v>53</v>
      </c>
      <c r="H232" s="2">
        <v>4400</v>
      </c>
      <c r="I232" s="2" t="s">
        <v>68</v>
      </c>
      <c r="J232" s="2" t="s">
        <v>69</v>
      </c>
      <c r="K232" s="2" t="s">
        <v>70</v>
      </c>
      <c r="L232" s="2"/>
      <c r="M232" s="2"/>
    </row>
    <row r="233" spans="1:13" x14ac:dyDescent="0.25">
      <c r="A233" s="2" t="s">
        <v>709</v>
      </c>
      <c r="B233" s="2" t="s">
        <v>21</v>
      </c>
      <c r="C233" s="2" t="s">
        <v>710</v>
      </c>
      <c r="D233" s="2"/>
      <c r="E233" s="2" t="s">
        <v>711</v>
      </c>
      <c r="F233" s="2">
        <v>7.7840909090909003</v>
      </c>
      <c r="G233" s="2">
        <v>44</v>
      </c>
      <c r="H233" s="2">
        <v>4400</v>
      </c>
      <c r="I233" s="2" t="s">
        <v>68</v>
      </c>
      <c r="J233" s="2" t="s">
        <v>69</v>
      </c>
      <c r="K233" s="2" t="s">
        <v>70</v>
      </c>
      <c r="L233" s="2"/>
      <c r="M233" s="2"/>
    </row>
    <row r="234" spans="1:13" x14ac:dyDescent="0.25">
      <c r="A234" s="2" t="s">
        <v>712</v>
      </c>
      <c r="B234" s="2" t="s">
        <v>20</v>
      </c>
      <c r="C234" s="2" t="s">
        <v>81</v>
      </c>
      <c r="D234" s="2"/>
      <c r="E234" s="2" t="s">
        <v>713</v>
      </c>
      <c r="F234" s="2">
        <v>7.6568627450980298</v>
      </c>
      <c r="G234" s="2">
        <v>51</v>
      </c>
      <c r="H234" s="2">
        <v>4400</v>
      </c>
      <c r="I234" s="2" t="s">
        <v>50</v>
      </c>
      <c r="J234" s="2" t="s">
        <v>52</v>
      </c>
      <c r="K234" s="2" t="s">
        <v>51</v>
      </c>
      <c r="L234" s="2"/>
      <c r="M234" s="2"/>
    </row>
    <row r="235" spans="1:13" x14ac:dyDescent="0.25">
      <c r="A235" s="2" t="s">
        <v>714</v>
      </c>
      <c r="B235" s="2" t="s">
        <v>21</v>
      </c>
      <c r="C235" s="2" t="s">
        <v>54</v>
      </c>
      <c r="D235" s="2"/>
      <c r="E235" s="2" t="s">
        <v>715</v>
      </c>
      <c r="F235" s="2">
        <v>7.2716979980468697</v>
      </c>
      <c r="G235" s="2">
        <v>53</v>
      </c>
      <c r="H235" s="2">
        <v>4400</v>
      </c>
      <c r="I235" s="2" t="s">
        <v>74</v>
      </c>
      <c r="J235" s="2" t="s">
        <v>76</v>
      </c>
      <c r="K235" s="2" t="s">
        <v>75</v>
      </c>
      <c r="L235" s="2"/>
      <c r="M235" s="2"/>
    </row>
    <row r="236" spans="1:13" x14ac:dyDescent="0.25">
      <c r="A236" s="2" t="s">
        <v>716</v>
      </c>
      <c r="B236" s="2" t="s">
        <v>3</v>
      </c>
      <c r="C236" s="2" t="s">
        <v>717</v>
      </c>
      <c r="D236" s="2"/>
      <c r="E236" s="2" t="s">
        <v>718</v>
      </c>
      <c r="F236" s="2">
        <v>7.9315787867495802</v>
      </c>
      <c r="G236" s="2">
        <v>38</v>
      </c>
      <c r="H236" s="2">
        <v>4400</v>
      </c>
      <c r="I236" s="2" t="s">
        <v>126</v>
      </c>
      <c r="J236" s="2" t="s">
        <v>128</v>
      </c>
      <c r="K236" s="2" t="s">
        <v>127</v>
      </c>
      <c r="L236" s="2"/>
      <c r="M236" s="2"/>
    </row>
    <row r="237" spans="1:13" x14ac:dyDescent="0.25">
      <c r="A237" s="2" t="s">
        <v>719</v>
      </c>
      <c r="B237" s="2" t="s">
        <v>21</v>
      </c>
      <c r="C237" s="2" t="s">
        <v>720</v>
      </c>
      <c r="D237" s="2"/>
      <c r="E237" s="2" t="s">
        <v>721</v>
      </c>
      <c r="F237" s="2">
        <v>8.0235296511182597</v>
      </c>
      <c r="G237" s="2">
        <v>51</v>
      </c>
      <c r="H237" s="2">
        <v>4400</v>
      </c>
      <c r="I237" s="2" t="s">
        <v>126</v>
      </c>
      <c r="J237" s="2" t="s">
        <v>128</v>
      </c>
      <c r="K237" s="2" t="s">
        <v>127</v>
      </c>
      <c r="L237" s="2" t="s">
        <v>109</v>
      </c>
      <c r="M237" s="2" t="s">
        <v>621</v>
      </c>
    </row>
    <row r="238" spans="1:13" x14ac:dyDescent="0.25">
      <c r="A238" s="2" t="s">
        <v>722</v>
      </c>
      <c r="B238" s="2" t="s">
        <v>20</v>
      </c>
      <c r="C238" s="2" t="s">
        <v>723</v>
      </c>
      <c r="D238" s="2"/>
      <c r="E238" s="2" t="s">
        <v>724</v>
      </c>
      <c r="F238" s="2">
        <v>9.6260866911514906</v>
      </c>
      <c r="G238" s="2">
        <v>46</v>
      </c>
      <c r="H238" s="2">
        <v>4400</v>
      </c>
      <c r="I238" s="2" t="s">
        <v>100</v>
      </c>
      <c r="J238" s="2" t="s">
        <v>101</v>
      </c>
      <c r="K238" s="2" t="s">
        <v>102</v>
      </c>
      <c r="L238" s="2"/>
      <c r="M238" s="2"/>
    </row>
    <row r="239" spans="1:13" x14ac:dyDescent="0.25">
      <c r="A239" s="2" t="s">
        <v>725</v>
      </c>
      <c r="B239" s="2" t="s">
        <v>21</v>
      </c>
      <c r="C239" s="2" t="s">
        <v>726</v>
      </c>
      <c r="D239" s="2"/>
      <c r="E239" s="2" t="s">
        <v>727</v>
      </c>
      <c r="F239" s="2">
        <v>7.4745100432751199</v>
      </c>
      <c r="G239" s="2">
        <v>51</v>
      </c>
      <c r="H239" s="2">
        <v>4400</v>
      </c>
      <c r="I239" s="2" t="s">
        <v>56</v>
      </c>
      <c r="J239" s="2" t="s">
        <v>57</v>
      </c>
      <c r="K239" s="2" t="s">
        <v>58</v>
      </c>
      <c r="L239" s="2" t="s">
        <v>198</v>
      </c>
      <c r="M239" s="2" t="s">
        <v>649</v>
      </c>
    </row>
    <row r="240" spans="1:13" x14ac:dyDescent="0.25">
      <c r="A240" s="2" t="s">
        <v>728</v>
      </c>
      <c r="B240" s="2" t="s">
        <v>21</v>
      </c>
      <c r="C240" s="2" t="s">
        <v>729</v>
      </c>
      <c r="D240" s="2"/>
      <c r="E240" s="2" t="s">
        <v>730</v>
      </c>
      <c r="F240" s="2">
        <v>8.0631577341180094</v>
      </c>
      <c r="G240" s="2">
        <v>38</v>
      </c>
      <c r="H240" s="2">
        <v>4300</v>
      </c>
      <c r="I240" s="2" t="s">
        <v>44</v>
      </c>
      <c r="J240" s="2" t="s">
        <v>46</v>
      </c>
      <c r="K240" s="2" t="s">
        <v>45</v>
      </c>
      <c r="L240" s="2"/>
      <c r="M240" s="2"/>
    </row>
    <row r="241" spans="1:13" x14ac:dyDescent="0.25">
      <c r="A241" s="2" t="s">
        <v>731</v>
      </c>
      <c r="B241" s="2" t="s">
        <v>21</v>
      </c>
      <c r="C241" s="2" t="s">
        <v>228</v>
      </c>
      <c r="D241" s="2"/>
      <c r="E241" s="2" t="s">
        <v>732</v>
      </c>
      <c r="F241" s="2">
        <v>8.1309093128551098</v>
      </c>
      <c r="G241" s="2">
        <v>55</v>
      </c>
      <c r="H241" s="2">
        <v>4300</v>
      </c>
      <c r="I241" s="2" t="s">
        <v>74</v>
      </c>
      <c r="J241" s="2" t="s">
        <v>75</v>
      </c>
      <c r="K241" s="2" t="s">
        <v>76</v>
      </c>
      <c r="L241" s="2"/>
      <c r="M241" s="2"/>
    </row>
    <row r="242" spans="1:13" x14ac:dyDescent="0.25">
      <c r="A242" s="2" t="s">
        <v>733</v>
      </c>
      <c r="B242" s="2" t="s">
        <v>21</v>
      </c>
      <c r="C242" s="2" t="s">
        <v>734</v>
      </c>
      <c r="D242" s="2"/>
      <c r="E242" s="2" t="s">
        <v>735</v>
      </c>
      <c r="F242" s="2">
        <v>4.2434781945270004</v>
      </c>
      <c r="G242" s="2">
        <v>23</v>
      </c>
      <c r="H242" s="2">
        <v>4300</v>
      </c>
      <c r="I242" s="2" t="s">
        <v>106</v>
      </c>
      <c r="J242" s="2" t="s">
        <v>108</v>
      </c>
      <c r="K242" s="2" t="s">
        <v>107</v>
      </c>
      <c r="L242" s="2"/>
      <c r="M242" s="2"/>
    </row>
    <row r="243" spans="1:13" x14ac:dyDescent="0.25">
      <c r="A243" s="2" t="s">
        <v>736</v>
      </c>
      <c r="B243" s="2" t="s">
        <v>20</v>
      </c>
      <c r="C243" s="2" t="s">
        <v>375</v>
      </c>
      <c r="D243" s="2"/>
      <c r="E243" s="2" t="s">
        <v>737</v>
      </c>
      <c r="F243" s="2">
        <v>9.3268291194264403</v>
      </c>
      <c r="G243" s="2">
        <v>41</v>
      </c>
      <c r="H243" s="2">
        <v>4300</v>
      </c>
      <c r="I243" s="2" t="s">
        <v>126</v>
      </c>
      <c r="J243" s="2" t="s">
        <v>128</v>
      </c>
      <c r="K243" s="2" t="s">
        <v>127</v>
      </c>
      <c r="L243" s="2"/>
      <c r="M243" s="2"/>
    </row>
    <row r="244" spans="1:13" x14ac:dyDescent="0.25">
      <c r="A244" s="2" t="s">
        <v>738</v>
      </c>
      <c r="B244" s="2" t="s">
        <v>3</v>
      </c>
      <c r="C244" s="2" t="s">
        <v>739</v>
      </c>
      <c r="D244" s="2"/>
      <c r="E244" s="2" t="s">
        <v>740</v>
      </c>
      <c r="F244" s="2">
        <v>8.5538459190955507</v>
      </c>
      <c r="G244" s="2">
        <v>52</v>
      </c>
      <c r="H244" s="2">
        <v>4300</v>
      </c>
      <c r="I244" s="2" t="s">
        <v>106</v>
      </c>
      <c r="J244" s="2" t="s">
        <v>108</v>
      </c>
      <c r="K244" s="2" t="s">
        <v>107</v>
      </c>
      <c r="L244" s="2"/>
      <c r="M244" s="2"/>
    </row>
    <row r="245" spans="1:13" x14ac:dyDescent="0.25">
      <c r="A245" s="2" t="s">
        <v>741</v>
      </c>
      <c r="B245" s="2" t="s">
        <v>21</v>
      </c>
      <c r="C245" s="2" t="s">
        <v>742</v>
      </c>
      <c r="D245" s="2"/>
      <c r="E245" s="2" t="s">
        <v>743</v>
      </c>
      <c r="F245" s="2">
        <v>6.9882351744408702</v>
      </c>
      <c r="G245" s="2">
        <v>51</v>
      </c>
      <c r="H245" s="2">
        <v>4300</v>
      </c>
      <c r="I245" s="2" t="s">
        <v>50</v>
      </c>
      <c r="J245" s="2" t="s">
        <v>52</v>
      </c>
      <c r="K245" s="2" t="s">
        <v>51</v>
      </c>
      <c r="L245" s="2"/>
      <c r="M245" s="2"/>
    </row>
    <row r="246" spans="1:13" x14ac:dyDescent="0.25">
      <c r="A246" s="2" t="s">
        <v>744</v>
      </c>
      <c r="B246" s="2" t="s">
        <v>20</v>
      </c>
      <c r="C246" s="2" t="s">
        <v>745</v>
      </c>
      <c r="D246" s="2"/>
      <c r="E246" s="2" t="s">
        <v>177</v>
      </c>
      <c r="F246" s="2">
        <v>8.0833333333333304</v>
      </c>
      <c r="G246" s="2">
        <v>42</v>
      </c>
      <c r="H246" s="2">
        <v>4300</v>
      </c>
      <c r="I246" s="2" t="s">
        <v>135</v>
      </c>
      <c r="J246" s="2" t="s">
        <v>137</v>
      </c>
      <c r="K246" s="2" t="s">
        <v>136</v>
      </c>
      <c r="L246" s="2"/>
      <c r="M246" s="2"/>
    </row>
    <row r="247" spans="1:13" x14ac:dyDescent="0.25">
      <c r="A247" s="2" t="s">
        <v>746</v>
      </c>
      <c r="B247" s="2" t="s">
        <v>20</v>
      </c>
      <c r="C247" s="2" t="s">
        <v>332</v>
      </c>
      <c r="D247" s="2"/>
      <c r="E247" s="2" t="s">
        <v>747</v>
      </c>
      <c r="F247" s="2">
        <v>8.7358977488982301</v>
      </c>
      <c r="G247" s="2">
        <v>39</v>
      </c>
      <c r="H247" s="2">
        <v>4300</v>
      </c>
      <c r="I247" s="2" t="s">
        <v>135</v>
      </c>
      <c r="J247" s="2" t="s">
        <v>137</v>
      </c>
      <c r="K247" s="2" t="s">
        <v>136</v>
      </c>
      <c r="L247" s="2"/>
      <c r="M247" s="2"/>
    </row>
    <row r="248" spans="1:13" x14ac:dyDescent="0.25">
      <c r="A248" s="2" t="s">
        <v>748</v>
      </c>
      <c r="B248" s="2" t="s">
        <v>20</v>
      </c>
      <c r="C248" s="2" t="s">
        <v>165</v>
      </c>
      <c r="D248" s="2"/>
      <c r="E248" s="2" t="s">
        <v>749</v>
      </c>
      <c r="F248" s="2">
        <v>8.5538459190955507</v>
      </c>
      <c r="G248" s="2">
        <v>52</v>
      </c>
      <c r="H248" s="2">
        <v>4300</v>
      </c>
      <c r="I248" s="2" t="s">
        <v>100</v>
      </c>
      <c r="J248" s="2" t="s">
        <v>101</v>
      </c>
      <c r="K248" s="2" t="s">
        <v>102</v>
      </c>
      <c r="L248" s="2"/>
      <c r="M248" s="2"/>
    </row>
    <row r="249" spans="1:13" x14ac:dyDescent="0.25">
      <c r="A249" s="2" t="s">
        <v>750</v>
      </c>
      <c r="B249" s="2" t="s">
        <v>21</v>
      </c>
      <c r="C249" s="2" t="s">
        <v>118</v>
      </c>
      <c r="D249" s="2"/>
      <c r="E249" s="2" t="s">
        <v>751</v>
      </c>
      <c r="F249" s="2">
        <v>6.9681819568980803</v>
      </c>
      <c r="G249" s="2">
        <v>22</v>
      </c>
      <c r="H249" s="2">
        <v>4300</v>
      </c>
      <c r="I249" s="2" t="s">
        <v>74</v>
      </c>
      <c r="J249" s="2" t="s">
        <v>76</v>
      </c>
      <c r="K249" s="2" t="s">
        <v>75</v>
      </c>
      <c r="L249" s="2"/>
      <c r="M249" s="2"/>
    </row>
    <row r="250" spans="1:13" x14ac:dyDescent="0.25">
      <c r="A250" s="2" t="s">
        <v>752</v>
      </c>
      <c r="B250" s="2" t="s">
        <v>3</v>
      </c>
      <c r="C250" s="2" t="s">
        <v>340</v>
      </c>
      <c r="D250" s="2"/>
      <c r="E250" s="2" t="s">
        <v>753</v>
      </c>
      <c r="F250" s="2">
        <v>8.7634617732121391</v>
      </c>
      <c r="G250" s="2">
        <v>52</v>
      </c>
      <c r="H250" s="2">
        <v>4300</v>
      </c>
      <c r="I250" s="2" t="s">
        <v>56</v>
      </c>
      <c r="J250" s="2" t="s">
        <v>57</v>
      </c>
      <c r="K250" s="2" t="s">
        <v>58</v>
      </c>
      <c r="L250" s="2"/>
      <c r="M250" s="2"/>
    </row>
    <row r="251" spans="1:13" x14ac:dyDescent="0.25">
      <c r="A251" s="2" t="s">
        <v>754</v>
      </c>
      <c r="B251" s="2" t="s">
        <v>21</v>
      </c>
      <c r="C251" s="2" t="s">
        <v>104</v>
      </c>
      <c r="D251" s="2"/>
      <c r="E251" s="2" t="s">
        <v>168</v>
      </c>
      <c r="F251" s="2">
        <v>6.5392156862745097</v>
      </c>
      <c r="G251" s="2">
        <v>51</v>
      </c>
      <c r="H251" s="2">
        <v>4300</v>
      </c>
      <c r="I251" s="2" t="s">
        <v>68</v>
      </c>
      <c r="J251" s="2" t="s">
        <v>69</v>
      </c>
      <c r="K251" s="2" t="s">
        <v>70</v>
      </c>
      <c r="L251" s="2"/>
      <c r="M251" s="2"/>
    </row>
    <row r="252" spans="1:13" x14ac:dyDescent="0.25">
      <c r="A252" s="2" t="s">
        <v>755</v>
      </c>
      <c r="B252" s="2" t="s">
        <v>20</v>
      </c>
      <c r="C252" s="2" t="s">
        <v>756</v>
      </c>
      <c r="D252" s="2"/>
      <c r="E252" s="2" t="s">
        <v>757</v>
      </c>
      <c r="F252" s="2">
        <v>8.6632653061224492</v>
      </c>
      <c r="G252" s="2">
        <v>49</v>
      </c>
      <c r="H252" s="2">
        <v>4300</v>
      </c>
      <c r="I252" s="2" t="s">
        <v>62</v>
      </c>
      <c r="J252" s="2" t="s">
        <v>64</v>
      </c>
      <c r="K252" s="2" t="s">
        <v>63</v>
      </c>
      <c r="L252" s="2" t="s">
        <v>198</v>
      </c>
      <c r="M252" s="2" t="s">
        <v>199</v>
      </c>
    </row>
    <row r="253" spans="1:13" x14ac:dyDescent="0.25">
      <c r="A253" s="2" t="s">
        <v>758</v>
      </c>
      <c r="B253" s="2" t="s">
        <v>3</v>
      </c>
      <c r="C253" s="2" t="s">
        <v>484</v>
      </c>
      <c r="D253" s="2"/>
      <c r="E253" s="2" t="s">
        <v>286</v>
      </c>
      <c r="F253" s="2">
        <v>5.8711536114032397</v>
      </c>
      <c r="G253" s="2">
        <v>52</v>
      </c>
      <c r="H253" s="2">
        <v>4200</v>
      </c>
      <c r="I253" s="2" t="s">
        <v>135</v>
      </c>
      <c r="J253" s="2" t="s">
        <v>136</v>
      </c>
      <c r="K253" s="2" t="s">
        <v>137</v>
      </c>
      <c r="L253" s="2"/>
      <c r="M253" s="2"/>
    </row>
    <row r="254" spans="1:13" x14ac:dyDescent="0.25">
      <c r="A254" s="2" t="s">
        <v>759</v>
      </c>
      <c r="B254" s="2" t="s">
        <v>3</v>
      </c>
      <c r="C254" s="2" t="s">
        <v>242</v>
      </c>
      <c r="D254" s="2"/>
      <c r="E254" s="2" t="s">
        <v>760</v>
      </c>
      <c r="F254" s="2">
        <v>6.8945456764914699</v>
      </c>
      <c r="G254" s="2">
        <v>55</v>
      </c>
      <c r="H254" s="2">
        <v>4200</v>
      </c>
      <c r="I254" s="2" t="s">
        <v>74</v>
      </c>
      <c r="J254" s="2" t="s">
        <v>75</v>
      </c>
      <c r="K254" s="2" t="s">
        <v>76</v>
      </c>
      <c r="L254" s="2"/>
      <c r="M254" s="2"/>
    </row>
    <row r="255" spans="1:13" x14ac:dyDescent="0.25">
      <c r="A255" s="2" t="s">
        <v>761</v>
      </c>
      <c r="B255" s="2" t="s">
        <v>21</v>
      </c>
      <c r="C255" s="2" t="s">
        <v>762</v>
      </c>
      <c r="D255" s="2"/>
      <c r="E255" s="2" t="s">
        <v>763</v>
      </c>
      <c r="F255" s="2">
        <v>9.6190476190476097</v>
      </c>
      <c r="G255" s="2">
        <v>21</v>
      </c>
      <c r="H255" s="2">
        <v>4200</v>
      </c>
      <c r="I255" s="2" t="s">
        <v>62</v>
      </c>
      <c r="J255" s="2" t="s">
        <v>64</v>
      </c>
      <c r="K255" s="2" t="s">
        <v>63</v>
      </c>
      <c r="L255" s="2"/>
      <c r="M255" s="2"/>
    </row>
    <row r="256" spans="1:13" x14ac:dyDescent="0.25">
      <c r="A256" s="2" t="s">
        <v>764</v>
      </c>
      <c r="B256" s="2" t="s">
        <v>20</v>
      </c>
      <c r="C256" s="2" t="s">
        <v>765</v>
      </c>
      <c r="D256" s="2"/>
      <c r="E256" s="2" t="s">
        <v>766</v>
      </c>
      <c r="F256" s="2">
        <v>8.4061223244180407</v>
      </c>
      <c r="G256" s="2">
        <v>49</v>
      </c>
      <c r="H256" s="2">
        <v>4200</v>
      </c>
      <c r="I256" s="2" t="s">
        <v>74</v>
      </c>
      <c r="J256" s="2" t="s">
        <v>75</v>
      </c>
      <c r="K256" s="2" t="s">
        <v>76</v>
      </c>
      <c r="L256" s="2" t="s">
        <v>198</v>
      </c>
      <c r="M256" s="2" t="s">
        <v>621</v>
      </c>
    </row>
    <row r="257" spans="1:13" x14ac:dyDescent="0.25">
      <c r="A257" s="2" t="s">
        <v>767</v>
      </c>
      <c r="B257" s="2" t="s">
        <v>20</v>
      </c>
      <c r="C257" s="2" t="s">
        <v>768</v>
      </c>
      <c r="D257" s="2"/>
      <c r="E257" s="2" t="s">
        <v>769</v>
      </c>
      <c r="F257" s="2">
        <v>9.7020835876464808</v>
      </c>
      <c r="G257" s="2">
        <v>48</v>
      </c>
      <c r="H257" s="2">
        <v>4200</v>
      </c>
      <c r="I257" s="2" t="s">
        <v>126</v>
      </c>
      <c r="J257" s="2" t="s">
        <v>128</v>
      </c>
      <c r="K257" s="2" t="s">
        <v>127</v>
      </c>
      <c r="L257" s="2"/>
      <c r="M257" s="2"/>
    </row>
    <row r="258" spans="1:13" x14ac:dyDescent="0.25">
      <c r="A258" s="2" t="s">
        <v>770</v>
      </c>
      <c r="B258" s="2" t="s">
        <v>20</v>
      </c>
      <c r="C258" s="2" t="s">
        <v>771</v>
      </c>
      <c r="D258" s="2"/>
      <c r="E258" s="2" t="s">
        <v>772</v>
      </c>
      <c r="F258" s="2">
        <v>7.5954548228870697</v>
      </c>
      <c r="G258" s="2">
        <v>44</v>
      </c>
      <c r="H258" s="2">
        <v>4200</v>
      </c>
      <c r="I258" s="2" t="s">
        <v>135</v>
      </c>
      <c r="J258" s="2" t="s">
        <v>137</v>
      </c>
      <c r="K258" s="2" t="s">
        <v>136</v>
      </c>
      <c r="L258" s="2"/>
      <c r="M258" s="2"/>
    </row>
    <row r="259" spans="1:13" x14ac:dyDescent="0.25">
      <c r="A259" s="2" t="s">
        <v>773</v>
      </c>
      <c r="B259" s="2" t="s">
        <v>21</v>
      </c>
      <c r="C259" s="2" t="s">
        <v>774</v>
      </c>
      <c r="D259" s="2"/>
      <c r="E259" s="2" t="s">
        <v>775</v>
      </c>
      <c r="F259" s="2">
        <v>7.76111122413917</v>
      </c>
      <c r="G259" s="2">
        <v>54</v>
      </c>
      <c r="H259" s="2">
        <v>4200</v>
      </c>
      <c r="I259" s="2" t="s">
        <v>106</v>
      </c>
      <c r="J259" s="2" t="s">
        <v>108</v>
      </c>
      <c r="K259" s="2" t="s">
        <v>107</v>
      </c>
      <c r="L259" s="2"/>
      <c r="M259" s="2"/>
    </row>
    <row r="260" spans="1:13" x14ac:dyDescent="0.25">
      <c r="A260" s="2" t="s">
        <v>776</v>
      </c>
      <c r="B260" s="2" t="s">
        <v>21</v>
      </c>
      <c r="C260" s="2" t="s">
        <v>777</v>
      </c>
      <c r="D260" s="2"/>
      <c r="E260" s="2" t="s">
        <v>778</v>
      </c>
      <c r="F260" s="2">
        <v>9.7476189022972406</v>
      </c>
      <c r="G260" s="2">
        <v>21</v>
      </c>
      <c r="H260" s="2">
        <v>4200</v>
      </c>
      <c r="I260" s="2" t="s">
        <v>68</v>
      </c>
      <c r="J260" s="2" t="s">
        <v>70</v>
      </c>
      <c r="K260" s="2" t="s">
        <v>69</v>
      </c>
      <c r="L260" s="2"/>
      <c r="M260" s="2"/>
    </row>
    <row r="261" spans="1:13" x14ac:dyDescent="0.25">
      <c r="A261" s="2" t="s">
        <v>779</v>
      </c>
      <c r="B261" s="2" t="s">
        <v>21</v>
      </c>
      <c r="C261" s="2" t="s">
        <v>222</v>
      </c>
      <c r="D261" s="2"/>
      <c r="E261" s="2" t="s">
        <v>780</v>
      </c>
      <c r="F261" s="2">
        <v>7.0519233116736704</v>
      </c>
      <c r="G261" s="2">
        <v>52</v>
      </c>
      <c r="H261" s="2">
        <v>4100</v>
      </c>
      <c r="I261" s="2" t="s">
        <v>68</v>
      </c>
      <c r="J261" s="2" t="s">
        <v>70</v>
      </c>
      <c r="K261" s="2" t="s">
        <v>69</v>
      </c>
      <c r="L261" s="2"/>
      <c r="M261" s="2"/>
    </row>
    <row r="262" spans="1:13" x14ac:dyDescent="0.25">
      <c r="A262" s="2" t="s">
        <v>781</v>
      </c>
      <c r="B262" s="2" t="s">
        <v>21</v>
      </c>
      <c r="C262" s="2" t="s">
        <v>280</v>
      </c>
      <c r="D262" s="2"/>
      <c r="E262" s="2" t="s">
        <v>705</v>
      </c>
      <c r="F262" s="2">
        <v>8.3173076923076898</v>
      </c>
      <c r="G262" s="2">
        <v>52</v>
      </c>
      <c r="H262" s="2">
        <v>4100</v>
      </c>
      <c r="I262" s="2" t="s">
        <v>114</v>
      </c>
      <c r="J262" s="2" t="s">
        <v>115</v>
      </c>
      <c r="K262" s="2" t="s">
        <v>116</v>
      </c>
      <c r="L262" s="2"/>
      <c r="M262" s="2"/>
    </row>
    <row r="263" spans="1:13" x14ac:dyDescent="0.25">
      <c r="A263" s="2" t="s">
        <v>782</v>
      </c>
      <c r="B263" s="2" t="s">
        <v>20</v>
      </c>
      <c r="C263" s="2" t="s">
        <v>364</v>
      </c>
      <c r="D263" s="2"/>
      <c r="E263" s="2" t="s">
        <v>783</v>
      </c>
      <c r="F263" s="2">
        <v>7.2888890019169503</v>
      </c>
      <c r="G263" s="2">
        <v>54</v>
      </c>
      <c r="H263" s="2">
        <v>4100</v>
      </c>
      <c r="I263" s="2" t="s">
        <v>114</v>
      </c>
      <c r="J263" s="2" t="s">
        <v>115</v>
      </c>
      <c r="K263" s="2" t="s">
        <v>116</v>
      </c>
      <c r="L263" s="2"/>
      <c r="M263" s="2"/>
    </row>
    <row r="264" spans="1:13" x14ac:dyDescent="0.25">
      <c r="A264" s="2" t="s">
        <v>784</v>
      </c>
      <c r="B264" s="2" t="s">
        <v>3</v>
      </c>
      <c r="C264" s="2" t="s">
        <v>785</v>
      </c>
      <c r="D264" s="2"/>
      <c r="E264" s="2" t="s">
        <v>786</v>
      </c>
      <c r="F264" s="2">
        <v>7.1017240326979998</v>
      </c>
      <c r="G264" s="2">
        <v>58</v>
      </c>
      <c r="H264" s="2">
        <v>4100</v>
      </c>
      <c r="I264" s="2" t="s">
        <v>126</v>
      </c>
      <c r="J264" s="2" t="s">
        <v>127</v>
      </c>
      <c r="K264" s="2" t="s">
        <v>128</v>
      </c>
      <c r="L264" s="2" t="s">
        <v>92</v>
      </c>
      <c r="M264" s="2" t="s">
        <v>649</v>
      </c>
    </row>
    <row r="265" spans="1:13" x14ac:dyDescent="0.25">
      <c r="A265" s="2" t="s">
        <v>787</v>
      </c>
      <c r="B265" s="2" t="s">
        <v>20</v>
      </c>
      <c r="C265" s="2" t="s">
        <v>340</v>
      </c>
      <c r="D265" s="2"/>
      <c r="E265" s="2" t="s">
        <v>788</v>
      </c>
      <c r="F265" s="2">
        <v>7.7641509433962197</v>
      </c>
      <c r="G265" s="2">
        <v>53</v>
      </c>
      <c r="H265" s="2">
        <v>4100</v>
      </c>
      <c r="I265" s="2" t="s">
        <v>68</v>
      </c>
      <c r="J265" s="2" t="s">
        <v>70</v>
      </c>
      <c r="K265" s="2" t="s">
        <v>69</v>
      </c>
      <c r="L265" s="2"/>
      <c r="M265" s="2"/>
    </row>
    <row r="266" spans="1:13" x14ac:dyDescent="0.25">
      <c r="A266" s="2" t="s">
        <v>789</v>
      </c>
      <c r="B266" s="2" t="s">
        <v>3</v>
      </c>
      <c r="C266" s="2" t="s">
        <v>790</v>
      </c>
      <c r="D266" s="2"/>
      <c r="E266" s="2" t="s">
        <v>791</v>
      </c>
      <c r="F266" s="2">
        <v>5.19591849190848</v>
      </c>
      <c r="G266" s="2">
        <v>49</v>
      </c>
      <c r="H266" s="2">
        <v>4000</v>
      </c>
      <c r="I266" s="2" t="s">
        <v>100</v>
      </c>
      <c r="J266" s="2" t="s">
        <v>102</v>
      </c>
      <c r="K266" s="2" t="s">
        <v>101</v>
      </c>
      <c r="L266" s="2"/>
      <c r="M266" s="2"/>
    </row>
    <row r="267" spans="1:13" x14ac:dyDescent="0.25">
      <c r="A267" s="2" t="s">
        <v>792</v>
      </c>
      <c r="B267" s="2" t="s">
        <v>21</v>
      </c>
      <c r="C267" s="2" t="s">
        <v>793</v>
      </c>
      <c r="D267" s="2"/>
      <c r="E267" s="2" t="s">
        <v>794</v>
      </c>
      <c r="F267" s="2">
        <v>6.5920001220703099</v>
      </c>
      <c r="G267" s="2">
        <v>50</v>
      </c>
      <c r="H267" s="2">
        <v>4000</v>
      </c>
      <c r="I267" s="2" t="s">
        <v>56</v>
      </c>
      <c r="J267" s="2" t="s">
        <v>58</v>
      </c>
      <c r="K267" s="2" t="s">
        <v>57</v>
      </c>
      <c r="L267" s="2"/>
      <c r="M267" s="2"/>
    </row>
    <row r="268" spans="1:13" x14ac:dyDescent="0.25">
      <c r="A268" s="2" t="s">
        <v>795</v>
      </c>
      <c r="B268" s="2" t="s">
        <v>20</v>
      </c>
      <c r="C268" s="2" t="s">
        <v>388</v>
      </c>
      <c r="D268" s="2"/>
      <c r="E268" s="2" t="s">
        <v>796</v>
      </c>
      <c r="F268" s="2">
        <v>7.9153847327599101</v>
      </c>
      <c r="G268" s="2">
        <v>52</v>
      </c>
      <c r="H268" s="2">
        <v>4000</v>
      </c>
      <c r="I268" s="2" t="s">
        <v>114</v>
      </c>
      <c r="J268" s="2" t="s">
        <v>116</v>
      </c>
      <c r="K268" s="2" t="s">
        <v>115</v>
      </c>
      <c r="L268" s="2"/>
      <c r="M268" s="2"/>
    </row>
    <row r="269" spans="1:13" x14ac:dyDescent="0.25">
      <c r="A269" s="2" t="s">
        <v>797</v>
      </c>
      <c r="B269" s="2" t="s">
        <v>21</v>
      </c>
      <c r="C269" s="2" t="s">
        <v>502</v>
      </c>
      <c r="D269" s="2"/>
      <c r="E269" s="2" t="s">
        <v>798</v>
      </c>
      <c r="F269" s="2">
        <v>6.3171430315290102</v>
      </c>
      <c r="G269" s="2">
        <v>35</v>
      </c>
      <c r="H269" s="2">
        <v>4000</v>
      </c>
      <c r="I269" s="2" t="s">
        <v>44</v>
      </c>
      <c r="J269" s="2" t="s">
        <v>46</v>
      </c>
      <c r="K269" s="2" t="s">
        <v>45</v>
      </c>
      <c r="L269" s="2"/>
      <c r="M269" s="2"/>
    </row>
    <row r="270" spans="1:13" x14ac:dyDescent="0.25">
      <c r="A270" s="2" t="s">
        <v>799</v>
      </c>
      <c r="B270" s="2" t="s">
        <v>20</v>
      </c>
      <c r="C270" s="2" t="s">
        <v>800</v>
      </c>
      <c r="D270" s="2"/>
      <c r="E270" s="2" t="s">
        <v>801</v>
      </c>
      <c r="F270" s="2">
        <v>5.4733332316080698</v>
      </c>
      <c r="G270" s="2">
        <v>30</v>
      </c>
      <c r="H270" s="2">
        <v>4000</v>
      </c>
      <c r="I270" s="2" t="s">
        <v>44</v>
      </c>
      <c r="J270" s="2" t="s">
        <v>46</v>
      </c>
      <c r="K270" s="2" t="s">
        <v>45</v>
      </c>
      <c r="L270" s="2" t="s">
        <v>198</v>
      </c>
      <c r="M270" s="2" t="s">
        <v>621</v>
      </c>
    </row>
    <row r="271" spans="1:13" x14ac:dyDescent="0.25">
      <c r="A271" s="2" t="s">
        <v>802</v>
      </c>
      <c r="B271" s="2" t="s">
        <v>3</v>
      </c>
      <c r="C271" s="2" t="s">
        <v>803</v>
      </c>
      <c r="D271" s="2"/>
      <c r="E271" s="2" t="s">
        <v>804</v>
      </c>
      <c r="F271" s="2">
        <v>5.8195123439881797</v>
      </c>
      <c r="G271" s="2">
        <v>41</v>
      </c>
      <c r="H271" s="2">
        <v>4000</v>
      </c>
      <c r="I271" s="2" t="s">
        <v>126</v>
      </c>
      <c r="J271" s="2" t="s">
        <v>127</v>
      </c>
      <c r="K271" s="2" t="s">
        <v>128</v>
      </c>
      <c r="L271" s="2"/>
      <c r="M271" s="2"/>
    </row>
    <row r="272" spans="1:13" x14ac:dyDescent="0.25">
      <c r="A272" s="2" t="s">
        <v>805</v>
      </c>
      <c r="B272" s="2" t="s">
        <v>3</v>
      </c>
      <c r="C272" s="2" t="s">
        <v>236</v>
      </c>
      <c r="D272" s="2"/>
      <c r="E272" s="2" t="s">
        <v>806</v>
      </c>
      <c r="F272" s="2">
        <v>9.3249998092651296</v>
      </c>
      <c r="G272" s="2">
        <v>16</v>
      </c>
      <c r="H272" s="2">
        <v>4000</v>
      </c>
      <c r="I272" s="2" t="s">
        <v>50</v>
      </c>
      <c r="J272" s="2" t="s">
        <v>52</v>
      </c>
      <c r="K272" s="2" t="s">
        <v>51</v>
      </c>
      <c r="L272" s="2" t="s">
        <v>92</v>
      </c>
      <c r="M272" s="2" t="s">
        <v>612</v>
      </c>
    </row>
    <row r="273" spans="1:13" x14ac:dyDescent="0.25">
      <c r="A273" s="2" t="s">
        <v>807</v>
      </c>
      <c r="B273" s="2" t="s">
        <v>21</v>
      </c>
      <c r="C273" s="2" t="s">
        <v>808</v>
      </c>
      <c r="D273" s="2"/>
      <c r="E273" s="2" t="s">
        <v>809</v>
      </c>
      <c r="F273" s="2">
        <v>6.3188678093676298</v>
      </c>
      <c r="G273" s="2">
        <v>53</v>
      </c>
      <c r="H273" s="2">
        <v>4000</v>
      </c>
      <c r="I273" s="2" t="s">
        <v>62</v>
      </c>
      <c r="J273" s="2" t="s">
        <v>63</v>
      </c>
      <c r="K273" s="2" t="s">
        <v>64</v>
      </c>
      <c r="L273" s="2"/>
      <c r="M273" s="2"/>
    </row>
    <row r="274" spans="1:13" x14ac:dyDescent="0.25">
      <c r="A274" s="2" t="s">
        <v>810</v>
      </c>
      <c r="B274" s="2" t="s">
        <v>20</v>
      </c>
      <c r="C274" s="2" t="s">
        <v>578</v>
      </c>
      <c r="D274" s="2"/>
      <c r="E274" s="2" t="s">
        <v>376</v>
      </c>
      <c r="F274" s="2">
        <v>7.9615384615384599</v>
      </c>
      <c r="G274" s="2">
        <v>39</v>
      </c>
      <c r="H274" s="2">
        <v>4000</v>
      </c>
      <c r="I274" s="2" t="s">
        <v>50</v>
      </c>
      <c r="J274" s="2" t="s">
        <v>52</v>
      </c>
      <c r="K274" s="2" t="s">
        <v>51</v>
      </c>
      <c r="L274" s="2"/>
      <c r="M274" s="2"/>
    </row>
    <row r="275" spans="1:13" x14ac:dyDescent="0.25">
      <c r="A275" s="2" t="s">
        <v>811</v>
      </c>
      <c r="B275" s="2" t="s">
        <v>21</v>
      </c>
      <c r="C275" s="2" t="s">
        <v>448</v>
      </c>
      <c r="D275" s="2"/>
      <c r="E275" s="2" t="s">
        <v>105</v>
      </c>
      <c r="F275" s="2">
        <v>7.0901961981081403</v>
      </c>
      <c r="G275" s="2">
        <v>51</v>
      </c>
      <c r="H275" s="2">
        <v>4000</v>
      </c>
      <c r="I275" s="2" t="s">
        <v>135</v>
      </c>
      <c r="J275" s="2" t="s">
        <v>136</v>
      </c>
      <c r="K275" s="2" t="s">
        <v>137</v>
      </c>
      <c r="L275" s="2" t="s">
        <v>198</v>
      </c>
      <c r="M275" s="2" t="s">
        <v>649</v>
      </c>
    </row>
    <row r="276" spans="1:13" x14ac:dyDescent="0.25">
      <c r="A276" s="2" t="s">
        <v>812</v>
      </c>
      <c r="B276" s="2" t="s">
        <v>20</v>
      </c>
      <c r="C276" s="2" t="s">
        <v>720</v>
      </c>
      <c r="D276" s="2"/>
      <c r="E276" s="2" t="s">
        <v>813</v>
      </c>
      <c r="F276" s="2">
        <v>8.9742858886718704</v>
      </c>
      <c r="G276" s="2">
        <v>35</v>
      </c>
      <c r="H276" s="2">
        <v>4000</v>
      </c>
      <c r="I276" s="2" t="s">
        <v>126</v>
      </c>
      <c r="J276" s="2" t="s">
        <v>127</v>
      </c>
      <c r="K276" s="2" t="s">
        <v>128</v>
      </c>
      <c r="L276" s="2" t="s">
        <v>92</v>
      </c>
      <c r="M276" s="2" t="s">
        <v>93</v>
      </c>
    </row>
    <row r="277" spans="1:13" x14ac:dyDescent="0.25">
      <c r="A277" s="2" t="s">
        <v>814</v>
      </c>
      <c r="B277" s="2" t="s">
        <v>21</v>
      </c>
      <c r="C277" s="2" t="s">
        <v>228</v>
      </c>
      <c r="D277" s="2"/>
      <c r="E277" s="2" t="s">
        <v>815</v>
      </c>
      <c r="F277" s="2">
        <v>8.2365856635861192</v>
      </c>
      <c r="G277" s="2">
        <v>41</v>
      </c>
      <c r="H277" s="2">
        <v>4000</v>
      </c>
      <c r="I277" s="2" t="s">
        <v>50</v>
      </c>
      <c r="J277" s="2" t="s">
        <v>51</v>
      </c>
      <c r="K277" s="2" t="s">
        <v>52</v>
      </c>
      <c r="L277" s="2"/>
      <c r="M277" s="2"/>
    </row>
    <row r="278" spans="1:13" x14ac:dyDescent="0.25">
      <c r="A278" s="2" t="s">
        <v>816</v>
      </c>
      <c r="B278" s="2" t="s">
        <v>20</v>
      </c>
      <c r="C278" s="2" t="s">
        <v>817</v>
      </c>
      <c r="D278" s="2"/>
      <c r="E278" s="2" t="s">
        <v>818</v>
      </c>
      <c r="F278" s="2">
        <v>8.6403843806340106</v>
      </c>
      <c r="G278" s="2">
        <v>52</v>
      </c>
      <c r="H278" s="2">
        <v>4000</v>
      </c>
      <c r="I278" s="2" t="s">
        <v>56</v>
      </c>
      <c r="J278" s="2" t="s">
        <v>57</v>
      </c>
      <c r="K278" s="2" t="s">
        <v>58</v>
      </c>
      <c r="L278" s="2"/>
      <c r="M278" s="2"/>
    </row>
    <row r="279" spans="1:13" x14ac:dyDescent="0.25">
      <c r="A279" s="2" t="s">
        <v>819</v>
      </c>
      <c r="B279" s="2" t="s">
        <v>20</v>
      </c>
      <c r="C279" s="2" t="s">
        <v>403</v>
      </c>
      <c r="D279" s="2"/>
      <c r="E279" s="2" t="s">
        <v>820</v>
      </c>
      <c r="F279" s="2">
        <v>6.2036365855823803</v>
      </c>
      <c r="G279" s="2">
        <v>55</v>
      </c>
      <c r="H279" s="2">
        <v>3900</v>
      </c>
      <c r="I279" s="2" t="s">
        <v>62</v>
      </c>
      <c r="J279" s="2" t="s">
        <v>64</v>
      </c>
      <c r="K279" s="2" t="s">
        <v>63</v>
      </c>
      <c r="L279" s="2"/>
      <c r="M279" s="2"/>
    </row>
    <row r="280" spans="1:13" x14ac:dyDescent="0.25">
      <c r="A280" s="2" t="s">
        <v>821</v>
      </c>
      <c r="B280" s="2" t="s">
        <v>20</v>
      </c>
      <c r="C280" s="2" t="s">
        <v>822</v>
      </c>
      <c r="D280" s="2"/>
      <c r="E280" s="2" t="s">
        <v>823</v>
      </c>
      <c r="F280" s="2">
        <v>6.2037733545843103</v>
      </c>
      <c r="G280" s="2">
        <v>53</v>
      </c>
      <c r="H280" s="2">
        <v>3900</v>
      </c>
      <c r="I280" s="2" t="s">
        <v>44</v>
      </c>
      <c r="J280" s="2" t="s">
        <v>46</v>
      </c>
      <c r="K280" s="2" t="s">
        <v>45</v>
      </c>
      <c r="L280" s="2"/>
      <c r="M280" s="2"/>
    </row>
    <row r="281" spans="1:13" x14ac:dyDescent="0.25">
      <c r="A281" s="2" t="s">
        <v>824</v>
      </c>
      <c r="B281" s="2" t="s">
        <v>20</v>
      </c>
      <c r="C281" s="2" t="s">
        <v>825</v>
      </c>
      <c r="D281" s="2"/>
      <c r="E281" s="2" t="s">
        <v>826</v>
      </c>
      <c r="F281" s="2">
        <v>8.7558139534883708</v>
      </c>
      <c r="G281" s="2">
        <v>43</v>
      </c>
      <c r="H281" s="2">
        <v>3900</v>
      </c>
      <c r="I281" s="2" t="s">
        <v>126</v>
      </c>
      <c r="J281" s="2" t="s">
        <v>128</v>
      </c>
      <c r="K281" s="2" t="s">
        <v>127</v>
      </c>
      <c r="L281" s="2"/>
      <c r="M281" s="2"/>
    </row>
    <row r="282" spans="1:13" x14ac:dyDescent="0.25">
      <c r="A282" s="2" t="s">
        <v>827</v>
      </c>
      <c r="B282" s="2" t="s">
        <v>3</v>
      </c>
      <c r="C282" s="2" t="s">
        <v>726</v>
      </c>
      <c r="D282" s="2"/>
      <c r="E282" s="2" t="s">
        <v>828</v>
      </c>
      <c r="F282" s="2">
        <v>6.3940002441406198</v>
      </c>
      <c r="G282" s="2">
        <v>50</v>
      </c>
      <c r="H282" s="2">
        <v>3900</v>
      </c>
      <c r="I282" s="2" t="s">
        <v>56</v>
      </c>
      <c r="J282" s="2" t="s">
        <v>58</v>
      </c>
      <c r="K282" s="2" t="s">
        <v>57</v>
      </c>
      <c r="L282" s="2"/>
      <c r="M282" s="2"/>
    </row>
    <row r="283" spans="1:13" x14ac:dyDescent="0.25">
      <c r="A283" s="2" t="s">
        <v>829</v>
      </c>
      <c r="B283" s="2" t="s">
        <v>3</v>
      </c>
      <c r="C283" s="2" t="s">
        <v>830</v>
      </c>
      <c r="D283" s="2"/>
      <c r="E283" s="2" t="s">
        <v>831</v>
      </c>
      <c r="F283" s="2">
        <v>7.56851874457465</v>
      </c>
      <c r="G283" s="2">
        <v>54</v>
      </c>
      <c r="H283" s="2">
        <v>3900</v>
      </c>
      <c r="I283" s="2" t="s">
        <v>100</v>
      </c>
      <c r="J283" s="2" t="s">
        <v>102</v>
      </c>
      <c r="K283" s="2" t="s">
        <v>101</v>
      </c>
      <c r="L283" s="2"/>
      <c r="M283" s="2"/>
    </row>
    <row r="284" spans="1:13" x14ac:dyDescent="0.25">
      <c r="A284" s="2" t="s">
        <v>832</v>
      </c>
      <c r="B284" s="2" t="s">
        <v>20</v>
      </c>
      <c r="C284" s="2" t="s">
        <v>591</v>
      </c>
      <c r="D284" s="2"/>
      <c r="E284" s="2" t="s">
        <v>833</v>
      </c>
      <c r="F284" s="2">
        <v>9.6300003051757805</v>
      </c>
      <c r="G284" s="2">
        <v>20</v>
      </c>
      <c r="H284" s="2">
        <v>3900</v>
      </c>
      <c r="I284" s="2" t="s">
        <v>50</v>
      </c>
      <c r="J284" s="2" t="s">
        <v>52</v>
      </c>
      <c r="K284" s="2" t="s">
        <v>51</v>
      </c>
      <c r="L284" s="2"/>
      <c r="M284" s="2"/>
    </row>
    <row r="285" spans="1:13" x14ac:dyDescent="0.25">
      <c r="A285" s="2" t="s">
        <v>834</v>
      </c>
      <c r="B285" s="2" t="s">
        <v>21</v>
      </c>
      <c r="C285" s="2" t="s">
        <v>340</v>
      </c>
      <c r="D285" s="2"/>
      <c r="E285" s="2" t="s">
        <v>835</v>
      </c>
      <c r="F285" s="2">
        <v>7.09811343786851</v>
      </c>
      <c r="G285" s="2">
        <v>53</v>
      </c>
      <c r="H285" s="2">
        <v>3900</v>
      </c>
      <c r="I285" s="2" t="s">
        <v>74</v>
      </c>
      <c r="J285" s="2" t="s">
        <v>75</v>
      </c>
      <c r="K285" s="2" t="s">
        <v>76</v>
      </c>
      <c r="L285" s="2"/>
      <c r="M285" s="2"/>
    </row>
    <row r="286" spans="1:13" x14ac:dyDescent="0.25">
      <c r="A286" s="2" t="s">
        <v>836</v>
      </c>
      <c r="B286" s="2" t="s">
        <v>20</v>
      </c>
      <c r="C286" s="2" t="s">
        <v>578</v>
      </c>
      <c r="D286" s="2"/>
      <c r="E286" s="2" t="s">
        <v>837</v>
      </c>
      <c r="F286" s="2">
        <v>8.4647061217064898</v>
      </c>
      <c r="G286" s="2">
        <v>51</v>
      </c>
      <c r="H286" s="2">
        <v>3900</v>
      </c>
      <c r="I286" s="2" t="s">
        <v>114</v>
      </c>
      <c r="J286" s="2" t="s">
        <v>116</v>
      </c>
      <c r="K286" s="2" t="s">
        <v>115</v>
      </c>
      <c r="L286" s="2"/>
      <c r="M286" s="2"/>
    </row>
    <row r="287" spans="1:13" x14ac:dyDescent="0.25">
      <c r="A287" s="2" t="s">
        <v>838</v>
      </c>
      <c r="B287" s="2" t="s">
        <v>20</v>
      </c>
      <c r="C287" s="2" t="s">
        <v>839</v>
      </c>
      <c r="D287" s="2"/>
      <c r="E287" s="2" t="s">
        <v>840</v>
      </c>
      <c r="F287" s="2">
        <v>7.5365383441631604</v>
      </c>
      <c r="G287" s="2">
        <v>52</v>
      </c>
      <c r="H287" s="2">
        <v>3900</v>
      </c>
      <c r="I287" s="2" t="s">
        <v>68</v>
      </c>
      <c r="J287" s="2" t="s">
        <v>70</v>
      </c>
      <c r="K287" s="2" t="s">
        <v>69</v>
      </c>
      <c r="L287" s="2"/>
      <c r="M287" s="2"/>
    </row>
    <row r="288" spans="1:13" x14ac:dyDescent="0.25">
      <c r="A288" s="2" t="s">
        <v>841</v>
      </c>
      <c r="B288" s="2" t="s">
        <v>21</v>
      </c>
      <c r="C288" s="2" t="s">
        <v>54</v>
      </c>
      <c r="D288" s="2"/>
      <c r="E288" s="2" t="s">
        <v>842</v>
      </c>
      <c r="F288" s="2">
        <v>5.7096774193548301</v>
      </c>
      <c r="G288" s="2">
        <v>31</v>
      </c>
      <c r="H288" s="2">
        <v>3900</v>
      </c>
      <c r="I288" s="2" t="s">
        <v>62</v>
      </c>
      <c r="J288" s="2" t="s">
        <v>64</v>
      </c>
      <c r="K288" s="2" t="s">
        <v>63</v>
      </c>
      <c r="L288" s="2"/>
      <c r="M288" s="2"/>
    </row>
    <row r="289" spans="1:13" x14ac:dyDescent="0.25">
      <c r="A289" s="2" t="s">
        <v>843</v>
      </c>
      <c r="B289" s="2" t="s">
        <v>21</v>
      </c>
      <c r="C289" s="2" t="s">
        <v>644</v>
      </c>
      <c r="D289" s="2"/>
      <c r="E289" s="2" t="s">
        <v>341</v>
      </c>
      <c r="F289" s="2">
        <v>6.4150943396226401</v>
      </c>
      <c r="G289" s="2">
        <v>53</v>
      </c>
      <c r="H289" s="2">
        <v>3900</v>
      </c>
      <c r="I289" s="2" t="s">
        <v>74</v>
      </c>
      <c r="J289" s="2" t="s">
        <v>76</v>
      </c>
      <c r="K289" s="2" t="s">
        <v>75</v>
      </c>
      <c r="L289" s="2"/>
      <c r="M289" s="2"/>
    </row>
    <row r="290" spans="1:13" x14ac:dyDescent="0.25">
      <c r="A290" s="2" t="s">
        <v>844</v>
      </c>
      <c r="B290" s="2" t="s">
        <v>21</v>
      </c>
      <c r="C290" s="2" t="s">
        <v>165</v>
      </c>
      <c r="D290" s="2"/>
      <c r="E290" s="2" t="s">
        <v>845</v>
      </c>
      <c r="F290" s="2">
        <v>8.5866668701171793</v>
      </c>
      <c r="G290" s="2">
        <v>15</v>
      </c>
      <c r="H290" s="2">
        <v>3900</v>
      </c>
      <c r="I290" s="2" t="s">
        <v>56</v>
      </c>
      <c r="J290" s="2" t="s">
        <v>57</v>
      </c>
      <c r="K290" s="2" t="s">
        <v>58</v>
      </c>
      <c r="L290" s="2"/>
      <c r="M290" s="2"/>
    </row>
    <row r="291" spans="1:13" x14ac:dyDescent="0.25">
      <c r="A291" s="2" t="s">
        <v>846</v>
      </c>
      <c r="B291" s="2" t="s">
        <v>20</v>
      </c>
      <c r="C291" s="2" t="s">
        <v>698</v>
      </c>
      <c r="D291" s="2"/>
      <c r="E291" s="2" t="s">
        <v>847</v>
      </c>
      <c r="F291" s="2">
        <v>5.1795918990154597</v>
      </c>
      <c r="G291" s="2">
        <v>49</v>
      </c>
      <c r="H291" s="2">
        <v>3900</v>
      </c>
      <c r="I291" s="2" t="s">
        <v>56</v>
      </c>
      <c r="J291" s="2" t="s">
        <v>58</v>
      </c>
      <c r="K291" s="2" t="s">
        <v>57</v>
      </c>
      <c r="L291" s="2"/>
      <c r="M291" s="2"/>
    </row>
    <row r="292" spans="1:13" x14ac:dyDescent="0.25">
      <c r="A292" s="2" t="s">
        <v>848</v>
      </c>
      <c r="B292" s="2" t="s">
        <v>3</v>
      </c>
      <c r="C292" s="2" t="s">
        <v>849</v>
      </c>
      <c r="D292" s="2"/>
      <c r="E292" s="2" t="s">
        <v>850</v>
      </c>
      <c r="F292" s="2">
        <v>4.2562499046325604</v>
      </c>
      <c r="G292" s="2">
        <v>32</v>
      </c>
      <c r="H292" s="2">
        <v>3800</v>
      </c>
      <c r="I292" s="2" t="s">
        <v>106</v>
      </c>
      <c r="J292" s="2" t="s">
        <v>108</v>
      </c>
      <c r="K292" s="2" t="s">
        <v>107</v>
      </c>
      <c r="L292" s="2"/>
      <c r="M292" s="2"/>
    </row>
    <row r="293" spans="1:13" x14ac:dyDescent="0.25">
      <c r="A293" s="2" t="s">
        <v>851</v>
      </c>
      <c r="B293" s="2" t="s">
        <v>20</v>
      </c>
      <c r="C293" s="2" t="s">
        <v>852</v>
      </c>
      <c r="D293" s="2"/>
      <c r="E293" s="2" t="s">
        <v>853</v>
      </c>
      <c r="F293" s="2">
        <v>6.1977776421440902</v>
      </c>
      <c r="G293" s="2">
        <v>45</v>
      </c>
      <c r="H293" s="2">
        <v>3800</v>
      </c>
      <c r="I293" s="2" t="s">
        <v>106</v>
      </c>
      <c r="J293" s="2" t="s">
        <v>108</v>
      </c>
      <c r="K293" s="2" t="s">
        <v>107</v>
      </c>
      <c r="L293" s="2"/>
      <c r="M293" s="2"/>
    </row>
    <row r="294" spans="1:13" x14ac:dyDescent="0.25">
      <c r="A294" s="2" t="s">
        <v>854</v>
      </c>
      <c r="B294" s="2" t="s">
        <v>21</v>
      </c>
      <c r="C294" s="2" t="s">
        <v>239</v>
      </c>
      <c r="D294" s="2"/>
      <c r="E294" s="2" t="s">
        <v>855</v>
      </c>
      <c r="F294" s="2">
        <v>6.9909092296253501</v>
      </c>
      <c r="G294" s="2">
        <v>44</v>
      </c>
      <c r="H294" s="2">
        <v>3800</v>
      </c>
      <c r="I294" s="2" t="s">
        <v>62</v>
      </c>
      <c r="J294" s="2" t="s">
        <v>63</v>
      </c>
      <c r="K294" s="2" t="s">
        <v>64</v>
      </c>
      <c r="L294" s="2" t="s">
        <v>109</v>
      </c>
      <c r="M294" s="2" t="s">
        <v>421</v>
      </c>
    </row>
    <row r="295" spans="1:13" x14ac:dyDescent="0.25">
      <c r="A295" s="2" t="s">
        <v>856</v>
      </c>
      <c r="B295" s="2" t="s">
        <v>21</v>
      </c>
      <c r="C295" s="2" t="s">
        <v>857</v>
      </c>
      <c r="D295" s="2"/>
      <c r="E295" s="2" t="s">
        <v>858</v>
      </c>
      <c r="F295" s="2">
        <v>6.9962261847729899</v>
      </c>
      <c r="G295" s="2">
        <v>53</v>
      </c>
      <c r="H295" s="2">
        <v>3800</v>
      </c>
      <c r="I295" s="2" t="s">
        <v>135</v>
      </c>
      <c r="J295" s="2" t="s">
        <v>137</v>
      </c>
      <c r="K295" s="2" t="s">
        <v>136</v>
      </c>
      <c r="L295" s="2"/>
      <c r="M295" s="2"/>
    </row>
    <row r="296" spans="1:13" x14ac:dyDescent="0.25">
      <c r="A296" s="2" t="s">
        <v>859</v>
      </c>
      <c r="B296" s="2" t="s">
        <v>20</v>
      </c>
      <c r="C296" s="2" t="s">
        <v>860</v>
      </c>
      <c r="D296" s="2"/>
      <c r="E296" s="2" t="s">
        <v>861</v>
      </c>
      <c r="F296" s="2">
        <v>8.1285711794483397</v>
      </c>
      <c r="G296" s="2">
        <v>49</v>
      </c>
      <c r="H296" s="2">
        <v>3800</v>
      </c>
      <c r="I296" s="2" t="s">
        <v>56</v>
      </c>
      <c r="J296" s="2" t="s">
        <v>58</v>
      </c>
      <c r="K296" s="2" t="s">
        <v>57</v>
      </c>
      <c r="L296" s="2"/>
      <c r="M296" s="2"/>
    </row>
    <row r="297" spans="1:13" x14ac:dyDescent="0.25">
      <c r="A297" s="2" t="s">
        <v>862</v>
      </c>
      <c r="B297" s="2" t="s">
        <v>21</v>
      </c>
      <c r="C297" s="2" t="s">
        <v>863</v>
      </c>
      <c r="D297" s="2"/>
      <c r="E297" s="2" t="s">
        <v>286</v>
      </c>
      <c r="F297" s="2">
        <v>6.01702101687167</v>
      </c>
      <c r="G297" s="2">
        <v>47</v>
      </c>
      <c r="H297" s="2">
        <v>3800</v>
      </c>
      <c r="I297" s="2" t="s">
        <v>62</v>
      </c>
      <c r="J297" s="2" t="s">
        <v>63</v>
      </c>
      <c r="K297" s="2" t="s">
        <v>64</v>
      </c>
      <c r="L297" s="2"/>
      <c r="M297" s="2"/>
    </row>
    <row r="298" spans="1:13" x14ac:dyDescent="0.25">
      <c r="A298" s="2" t="s">
        <v>864</v>
      </c>
      <c r="B298" s="2" t="s">
        <v>20</v>
      </c>
      <c r="C298" s="2" t="s">
        <v>139</v>
      </c>
      <c r="D298" s="2"/>
      <c r="E298" s="2" t="s">
        <v>55</v>
      </c>
      <c r="F298" s="2">
        <v>5.6872337828291197</v>
      </c>
      <c r="G298" s="2">
        <v>47</v>
      </c>
      <c r="H298" s="2">
        <v>3800</v>
      </c>
      <c r="I298" s="2" t="s">
        <v>135</v>
      </c>
      <c r="J298" s="2" t="s">
        <v>136</v>
      </c>
      <c r="K298" s="2" t="s">
        <v>137</v>
      </c>
      <c r="L298" s="2"/>
      <c r="M298" s="2"/>
    </row>
    <row r="299" spans="1:13" x14ac:dyDescent="0.25">
      <c r="A299" s="2" t="s">
        <v>865</v>
      </c>
      <c r="B299" s="2" t="s">
        <v>21</v>
      </c>
      <c r="C299" s="2" t="s">
        <v>554</v>
      </c>
      <c r="D299" s="2"/>
      <c r="E299" s="2" t="s">
        <v>866</v>
      </c>
      <c r="F299" s="2">
        <v>7.4059997558593702</v>
      </c>
      <c r="G299" s="2">
        <v>50</v>
      </c>
      <c r="H299" s="2">
        <v>3800</v>
      </c>
      <c r="I299" s="2" t="s">
        <v>114</v>
      </c>
      <c r="J299" s="2" t="s">
        <v>116</v>
      </c>
      <c r="K299" s="2" t="s">
        <v>115</v>
      </c>
      <c r="L299" s="2"/>
      <c r="M299" s="2"/>
    </row>
    <row r="300" spans="1:13" x14ac:dyDescent="0.25">
      <c r="A300" s="2" t="s">
        <v>867</v>
      </c>
      <c r="B300" s="2" t="s">
        <v>20</v>
      </c>
      <c r="C300" s="2" t="s">
        <v>248</v>
      </c>
      <c r="D300" s="2"/>
      <c r="E300" s="2" t="s">
        <v>868</v>
      </c>
      <c r="F300" s="2">
        <v>8.9352943570006094</v>
      </c>
      <c r="G300" s="2">
        <v>51</v>
      </c>
      <c r="H300" s="2">
        <v>3800</v>
      </c>
      <c r="I300" s="2" t="s">
        <v>126</v>
      </c>
      <c r="J300" s="2" t="s">
        <v>127</v>
      </c>
      <c r="K300" s="2" t="s">
        <v>128</v>
      </c>
      <c r="L300" s="2"/>
      <c r="M300" s="2"/>
    </row>
    <row r="301" spans="1:13" x14ac:dyDescent="0.25">
      <c r="A301" s="2" t="s">
        <v>869</v>
      </c>
      <c r="B301" s="2" t="s">
        <v>21</v>
      </c>
      <c r="C301" s="2" t="s">
        <v>242</v>
      </c>
      <c r="D301" s="2"/>
      <c r="E301" s="2" t="s">
        <v>870</v>
      </c>
      <c r="F301" s="2">
        <v>6.9579998779296801</v>
      </c>
      <c r="G301" s="2">
        <v>50</v>
      </c>
      <c r="H301" s="2">
        <v>3800</v>
      </c>
      <c r="I301" s="2" t="s">
        <v>106</v>
      </c>
      <c r="J301" s="2" t="s">
        <v>108</v>
      </c>
      <c r="K301" s="2" t="s">
        <v>107</v>
      </c>
      <c r="L301" s="2"/>
      <c r="M301" s="2"/>
    </row>
    <row r="302" spans="1:13" x14ac:dyDescent="0.25">
      <c r="A302" s="2" t="s">
        <v>871</v>
      </c>
      <c r="B302" s="2" t="s">
        <v>20</v>
      </c>
      <c r="C302" s="2" t="s">
        <v>849</v>
      </c>
      <c r="D302" s="2"/>
      <c r="E302" s="2" t="s">
        <v>872</v>
      </c>
      <c r="F302" s="2">
        <v>7.4588234097349799</v>
      </c>
      <c r="G302" s="2">
        <v>51</v>
      </c>
      <c r="H302" s="2">
        <v>3800</v>
      </c>
      <c r="I302" s="2" t="s">
        <v>106</v>
      </c>
      <c r="J302" s="2" t="s">
        <v>107</v>
      </c>
      <c r="K302" s="2" t="s">
        <v>108</v>
      </c>
      <c r="L302" s="2"/>
      <c r="M302" s="2"/>
    </row>
    <row r="303" spans="1:13" x14ac:dyDescent="0.25">
      <c r="A303" s="2" t="s">
        <v>873</v>
      </c>
      <c r="B303" s="2" t="s">
        <v>21</v>
      </c>
      <c r="C303" s="2" t="s">
        <v>874</v>
      </c>
      <c r="D303" s="2"/>
      <c r="E303" s="2" t="s">
        <v>875</v>
      </c>
      <c r="F303" s="2">
        <v>6.8511629326398902</v>
      </c>
      <c r="G303" s="2">
        <v>43</v>
      </c>
      <c r="H303" s="2">
        <v>3700</v>
      </c>
      <c r="I303" s="2" t="s">
        <v>56</v>
      </c>
      <c r="J303" s="2" t="s">
        <v>58</v>
      </c>
      <c r="K303" s="2" t="s">
        <v>57</v>
      </c>
      <c r="L303" s="2" t="s">
        <v>198</v>
      </c>
      <c r="M303" s="2" t="s">
        <v>621</v>
      </c>
    </row>
    <row r="304" spans="1:13" x14ac:dyDescent="0.25">
      <c r="A304" s="2" t="s">
        <v>876</v>
      </c>
      <c r="B304" s="2" t="s">
        <v>20</v>
      </c>
      <c r="C304" s="2" t="s">
        <v>877</v>
      </c>
      <c r="D304" s="2"/>
      <c r="E304" s="2" t="s">
        <v>878</v>
      </c>
      <c r="F304" s="2">
        <v>5.17735837540536</v>
      </c>
      <c r="G304" s="2">
        <v>53</v>
      </c>
      <c r="H304" s="2">
        <v>3700</v>
      </c>
      <c r="I304" s="2" t="s">
        <v>100</v>
      </c>
      <c r="J304" s="2" t="s">
        <v>102</v>
      </c>
      <c r="K304" s="2" t="s">
        <v>101</v>
      </c>
      <c r="L304" s="2"/>
      <c r="M304" s="2"/>
    </row>
    <row r="305" spans="1:13" x14ac:dyDescent="0.25">
      <c r="A305" s="2" t="s">
        <v>879</v>
      </c>
      <c r="B305" s="2" t="s">
        <v>20</v>
      </c>
      <c r="C305" s="2" t="s">
        <v>880</v>
      </c>
      <c r="D305" s="2"/>
      <c r="E305" s="2" t="s">
        <v>881</v>
      </c>
      <c r="F305" s="2">
        <v>8.2909088134765607</v>
      </c>
      <c r="G305" s="2">
        <v>44</v>
      </c>
      <c r="H305" s="2">
        <v>3700</v>
      </c>
      <c r="I305" s="2" t="s">
        <v>126</v>
      </c>
      <c r="J305" s="2" t="s">
        <v>127</v>
      </c>
      <c r="K305" s="2" t="s">
        <v>128</v>
      </c>
      <c r="L305" s="2"/>
      <c r="M305" s="2"/>
    </row>
    <row r="306" spans="1:13" x14ac:dyDescent="0.25">
      <c r="A306" s="2" t="s">
        <v>882</v>
      </c>
      <c r="B306" s="2" t="s">
        <v>20</v>
      </c>
      <c r="C306" s="2" t="s">
        <v>445</v>
      </c>
      <c r="D306" s="2"/>
      <c r="E306" s="2" t="s">
        <v>883</v>
      </c>
      <c r="F306" s="2">
        <v>6.6476193382626398</v>
      </c>
      <c r="G306" s="2">
        <v>42</v>
      </c>
      <c r="H306" s="2">
        <v>3700</v>
      </c>
      <c r="I306" s="2" t="s">
        <v>50</v>
      </c>
      <c r="J306" s="2" t="s">
        <v>52</v>
      </c>
      <c r="K306" s="2" t="s">
        <v>51</v>
      </c>
      <c r="L306" s="2"/>
      <c r="M306" s="2"/>
    </row>
    <row r="307" spans="1:13" x14ac:dyDescent="0.25">
      <c r="A307" s="2" t="s">
        <v>884</v>
      </c>
      <c r="B307" s="2" t="s">
        <v>21</v>
      </c>
      <c r="C307" s="2" t="s">
        <v>885</v>
      </c>
      <c r="D307" s="2"/>
      <c r="E307" s="2" t="s">
        <v>886</v>
      </c>
      <c r="F307" s="2">
        <v>6.7826925424429003</v>
      </c>
      <c r="G307" s="2">
        <v>52</v>
      </c>
      <c r="H307" s="2">
        <v>3700</v>
      </c>
      <c r="I307" s="2" t="s">
        <v>62</v>
      </c>
      <c r="J307" s="2" t="s">
        <v>63</v>
      </c>
      <c r="K307" s="2" t="s">
        <v>64</v>
      </c>
      <c r="L307" s="2"/>
      <c r="M307" s="2"/>
    </row>
    <row r="308" spans="1:13" x14ac:dyDescent="0.25">
      <c r="A308" s="2" t="s">
        <v>887</v>
      </c>
      <c r="B308" s="2" t="s">
        <v>20</v>
      </c>
      <c r="C308" s="2" t="s">
        <v>849</v>
      </c>
      <c r="D308" s="2"/>
      <c r="E308" s="2" t="s">
        <v>888</v>
      </c>
      <c r="F308" s="2">
        <v>6.66</v>
      </c>
      <c r="G308" s="2">
        <v>50</v>
      </c>
      <c r="H308" s="2">
        <v>3700</v>
      </c>
      <c r="I308" s="2" t="s">
        <v>74</v>
      </c>
      <c r="J308" s="2" t="s">
        <v>76</v>
      </c>
      <c r="K308" s="2" t="s">
        <v>75</v>
      </c>
      <c r="L308" s="2"/>
      <c r="M308" s="2"/>
    </row>
    <row r="309" spans="1:13" x14ac:dyDescent="0.25">
      <c r="A309" s="2" t="s">
        <v>889</v>
      </c>
      <c r="B309" s="2" t="s">
        <v>20</v>
      </c>
      <c r="C309" s="2" t="s">
        <v>426</v>
      </c>
      <c r="D309" s="2"/>
      <c r="E309" s="2" t="s">
        <v>60</v>
      </c>
      <c r="F309" s="2">
        <v>6.2370368109809</v>
      </c>
      <c r="G309" s="2">
        <v>54</v>
      </c>
      <c r="H309" s="2">
        <v>3700</v>
      </c>
      <c r="I309" s="2" t="s">
        <v>62</v>
      </c>
      <c r="J309" s="2" t="s">
        <v>63</v>
      </c>
      <c r="K309" s="2" t="s">
        <v>64</v>
      </c>
      <c r="L309" s="2"/>
      <c r="M309" s="2"/>
    </row>
    <row r="310" spans="1:13" x14ac:dyDescent="0.25">
      <c r="A310" s="2" t="s">
        <v>890</v>
      </c>
      <c r="B310" s="2" t="s">
        <v>21</v>
      </c>
      <c r="C310" s="2" t="s">
        <v>891</v>
      </c>
      <c r="D310" s="2"/>
      <c r="E310" s="2" t="s">
        <v>892</v>
      </c>
      <c r="F310" s="2">
        <v>5.1956521739130404</v>
      </c>
      <c r="G310" s="2">
        <v>46</v>
      </c>
      <c r="H310" s="2">
        <v>3700</v>
      </c>
      <c r="I310" s="2" t="s">
        <v>56</v>
      </c>
      <c r="J310" s="2" t="s">
        <v>58</v>
      </c>
      <c r="K310" s="2" t="s">
        <v>57</v>
      </c>
      <c r="L310" s="2"/>
      <c r="M310" s="2"/>
    </row>
    <row r="311" spans="1:13" x14ac:dyDescent="0.25">
      <c r="A311" s="2" t="s">
        <v>893</v>
      </c>
      <c r="B311" s="2" t="s">
        <v>3</v>
      </c>
      <c r="C311" s="2" t="s">
        <v>367</v>
      </c>
      <c r="D311" s="2"/>
      <c r="E311" s="2" t="s">
        <v>894</v>
      </c>
      <c r="F311" s="2">
        <v>5.3574071813512703</v>
      </c>
      <c r="G311" s="2">
        <v>54</v>
      </c>
      <c r="H311" s="2">
        <v>3700</v>
      </c>
      <c r="I311" s="2" t="s">
        <v>62</v>
      </c>
      <c r="J311" s="2" t="s">
        <v>63</v>
      </c>
      <c r="K311" s="2" t="s">
        <v>64</v>
      </c>
      <c r="L311" s="2"/>
      <c r="M311" s="2"/>
    </row>
    <row r="312" spans="1:13" x14ac:dyDescent="0.25">
      <c r="A312" s="2" t="s">
        <v>895</v>
      </c>
      <c r="B312" s="2" t="s">
        <v>20</v>
      </c>
      <c r="C312" s="2" t="s">
        <v>578</v>
      </c>
      <c r="D312" s="2"/>
      <c r="E312" s="2" t="s">
        <v>896</v>
      </c>
      <c r="F312" s="2">
        <v>9.1733337402343693</v>
      </c>
      <c r="G312" s="2">
        <v>30</v>
      </c>
      <c r="H312" s="2">
        <v>3700</v>
      </c>
      <c r="I312" s="2" t="s">
        <v>126</v>
      </c>
      <c r="J312" s="2" t="s">
        <v>128</v>
      </c>
      <c r="K312" s="2" t="s">
        <v>127</v>
      </c>
      <c r="L312" s="2" t="s">
        <v>198</v>
      </c>
      <c r="M312" s="2" t="s">
        <v>621</v>
      </c>
    </row>
    <row r="313" spans="1:13" x14ac:dyDescent="0.25">
      <c r="A313" s="2" t="s">
        <v>897</v>
      </c>
      <c r="B313" s="2" t="s">
        <v>20</v>
      </c>
      <c r="C313" s="2" t="s">
        <v>596</v>
      </c>
      <c r="D313" s="2"/>
      <c r="E313" s="2" t="s">
        <v>898</v>
      </c>
      <c r="F313" s="2">
        <v>5.7609755353229799</v>
      </c>
      <c r="G313" s="2">
        <v>41</v>
      </c>
      <c r="H313" s="2">
        <v>3700</v>
      </c>
      <c r="I313" s="2" t="s">
        <v>56</v>
      </c>
      <c r="J313" s="2" t="s">
        <v>57</v>
      </c>
      <c r="K313" s="2" t="s">
        <v>58</v>
      </c>
      <c r="L313" s="2"/>
      <c r="M313" s="2"/>
    </row>
    <row r="314" spans="1:13" x14ac:dyDescent="0.25">
      <c r="A314" s="2" t="s">
        <v>899</v>
      </c>
      <c r="B314" s="2" t="s">
        <v>21</v>
      </c>
      <c r="C314" s="2" t="s">
        <v>900</v>
      </c>
      <c r="D314" s="2"/>
      <c r="E314" s="2" t="s">
        <v>901</v>
      </c>
      <c r="F314" s="2">
        <v>6.2387757593271598</v>
      </c>
      <c r="G314" s="2">
        <v>49</v>
      </c>
      <c r="H314" s="2">
        <v>3700</v>
      </c>
      <c r="I314" s="2" t="s">
        <v>126</v>
      </c>
      <c r="J314" s="2" t="s">
        <v>127</v>
      </c>
      <c r="K314" s="2" t="s">
        <v>128</v>
      </c>
      <c r="L314" s="2"/>
      <c r="M314" s="2"/>
    </row>
    <row r="315" spans="1:13" x14ac:dyDescent="0.25">
      <c r="A315" s="2" t="s">
        <v>902</v>
      </c>
      <c r="B315" s="2" t="s">
        <v>3</v>
      </c>
      <c r="C315" s="2" t="s">
        <v>903</v>
      </c>
      <c r="D315" s="2"/>
      <c r="E315" s="2" t="s">
        <v>904</v>
      </c>
      <c r="F315" s="2">
        <v>6.4188681548496396</v>
      </c>
      <c r="G315" s="2">
        <v>53</v>
      </c>
      <c r="H315" s="2">
        <v>3700</v>
      </c>
      <c r="I315" s="2" t="s">
        <v>68</v>
      </c>
      <c r="J315" s="2" t="s">
        <v>69</v>
      </c>
      <c r="K315" s="2" t="s">
        <v>70</v>
      </c>
      <c r="L315" s="2"/>
      <c r="M315" s="2"/>
    </row>
    <row r="316" spans="1:13" x14ac:dyDescent="0.25">
      <c r="A316" s="2" t="s">
        <v>905</v>
      </c>
      <c r="B316" s="2" t="s">
        <v>21</v>
      </c>
      <c r="C316" s="2" t="s">
        <v>54</v>
      </c>
      <c r="D316" s="2"/>
      <c r="E316" s="2" t="s">
        <v>906</v>
      </c>
      <c r="F316" s="2">
        <v>6.2049999237060502</v>
      </c>
      <c r="G316" s="2">
        <v>40</v>
      </c>
      <c r="H316" s="2">
        <v>3700</v>
      </c>
      <c r="I316" s="2" t="s">
        <v>126</v>
      </c>
      <c r="J316" s="2" t="s">
        <v>128</v>
      </c>
      <c r="K316" s="2" t="s">
        <v>127</v>
      </c>
      <c r="L316" s="2"/>
      <c r="M316" s="2"/>
    </row>
    <row r="317" spans="1:13" x14ac:dyDescent="0.25">
      <c r="A317" s="2" t="s">
        <v>907</v>
      </c>
      <c r="B317" s="2" t="s">
        <v>21</v>
      </c>
      <c r="C317" s="2" t="s">
        <v>908</v>
      </c>
      <c r="D317" s="2"/>
      <c r="E317" s="2" t="s">
        <v>909</v>
      </c>
      <c r="F317" s="2">
        <v>7.5391301694123598</v>
      </c>
      <c r="G317" s="2">
        <v>46</v>
      </c>
      <c r="H317" s="2">
        <v>3700</v>
      </c>
      <c r="I317" s="2" t="s">
        <v>50</v>
      </c>
      <c r="J317" s="2" t="s">
        <v>51</v>
      </c>
      <c r="K317" s="2" t="s">
        <v>52</v>
      </c>
      <c r="L317" s="2"/>
      <c r="M317" s="2"/>
    </row>
    <row r="318" spans="1:13" x14ac:dyDescent="0.25">
      <c r="A318" s="2" t="s">
        <v>910</v>
      </c>
      <c r="B318" s="2" t="s">
        <v>20</v>
      </c>
      <c r="C318" s="2" t="s">
        <v>343</v>
      </c>
      <c r="D318" s="2"/>
      <c r="E318" s="2" t="s">
        <v>911</v>
      </c>
      <c r="F318" s="2">
        <v>8.4938778001434905</v>
      </c>
      <c r="G318" s="2">
        <v>49</v>
      </c>
      <c r="H318" s="2">
        <v>3700</v>
      </c>
      <c r="I318" s="2" t="s">
        <v>50</v>
      </c>
      <c r="J318" s="2" t="s">
        <v>51</v>
      </c>
      <c r="K318" s="2" t="s">
        <v>52</v>
      </c>
      <c r="L318" s="2"/>
      <c r="M318" s="2"/>
    </row>
    <row r="319" spans="1:13" x14ac:dyDescent="0.25">
      <c r="A319" s="2" t="s">
        <v>912</v>
      </c>
      <c r="B319" s="2" t="s">
        <v>20</v>
      </c>
      <c r="C319" s="2" t="s">
        <v>913</v>
      </c>
      <c r="D319" s="2"/>
      <c r="E319" s="2" t="s">
        <v>914</v>
      </c>
      <c r="F319" s="2">
        <v>5.4068966569571604</v>
      </c>
      <c r="G319" s="2">
        <v>29</v>
      </c>
      <c r="H319" s="2">
        <v>3600</v>
      </c>
      <c r="I319" s="2" t="s">
        <v>135</v>
      </c>
      <c r="J319" s="2" t="s">
        <v>137</v>
      </c>
      <c r="K319" s="2" t="s">
        <v>136</v>
      </c>
      <c r="L319" s="2"/>
      <c r="M319" s="2"/>
    </row>
    <row r="320" spans="1:13" x14ac:dyDescent="0.25">
      <c r="A320" s="2" t="s">
        <v>915</v>
      </c>
      <c r="B320" s="2" t="s">
        <v>21</v>
      </c>
      <c r="C320" s="2" t="s">
        <v>484</v>
      </c>
      <c r="D320" s="2"/>
      <c r="E320" s="2" t="s">
        <v>916</v>
      </c>
      <c r="F320" s="2">
        <v>4.0228572300502199</v>
      </c>
      <c r="G320" s="2">
        <v>35</v>
      </c>
      <c r="H320" s="2">
        <v>3600</v>
      </c>
      <c r="I320" s="2" t="s">
        <v>74</v>
      </c>
      <c r="J320" s="2" t="s">
        <v>76</v>
      </c>
      <c r="K320" s="2" t="s">
        <v>75</v>
      </c>
      <c r="L320" s="2" t="s">
        <v>109</v>
      </c>
      <c r="M320" s="2" t="s">
        <v>93</v>
      </c>
    </row>
    <row r="321" spans="1:13" x14ac:dyDescent="0.25">
      <c r="A321" s="2" t="s">
        <v>917</v>
      </c>
      <c r="B321" s="2" t="s">
        <v>20</v>
      </c>
      <c r="C321" s="2" t="s">
        <v>329</v>
      </c>
      <c r="D321" s="2"/>
      <c r="E321" s="2" t="s">
        <v>918</v>
      </c>
      <c r="F321" s="2">
        <v>7.3244445800781204</v>
      </c>
      <c r="G321" s="2">
        <v>45</v>
      </c>
      <c r="H321" s="2">
        <v>3600</v>
      </c>
      <c r="I321" s="2" t="s">
        <v>135</v>
      </c>
      <c r="J321" s="2" t="s">
        <v>136</v>
      </c>
      <c r="K321" s="2" t="s">
        <v>137</v>
      </c>
      <c r="L321" s="2" t="s">
        <v>198</v>
      </c>
      <c r="M321" s="2" t="s">
        <v>919</v>
      </c>
    </row>
    <row r="322" spans="1:13" x14ac:dyDescent="0.25">
      <c r="A322" s="2" t="s">
        <v>920</v>
      </c>
      <c r="B322" s="2" t="s">
        <v>21</v>
      </c>
      <c r="C322" s="2" t="s">
        <v>578</v>
      </c>
      <c r="D322" s="2"/>
      <c r="E322" s="2" t="s">
        <v>921</v>
      </c>
      <c r="F322" s="2">
        <v>5.4909092296253501</v>
      </c>
      <c r="G322" s="2">
        <v>44</v>
      </c>
      <c r="H322" s="2">
        <v>3600</v>
      </c>
      <c r="I322" s="2" t="s">
        <v>126</v>
      </c>
      <c r="J322" s="2" t="s">
        <v>128</v>
      </c>
      <c r="K322" s="2" t="s">
        <v>127</v>
      </c>
      <c r="L322" s="2"/>
      <c r="M322" s="2"/>
    </row>
    <row r="323" spans="1:13" x14ac:dyDescent="0.25">
      <c r="A323" s="2" t="s">
        <v>922</v>
      </c>
      <c r="B323" s="2" t="s">
        <v>20</v>
      </c>
      <c r="C323" s="2" t="s">
        <v>923</v>
      </c>
      <c r="D323" s="2"/>
      <c r="E323" s="2" t="s">
        <v>924</v>
      </c>
      <c r="F323" s="2">
        <v>5.0723402956698802</v>
      </c>
      <c r="G323" s="2">
        <v>47</v>
      </c>
      <c r="H323" s="2">
        <v>3600</v>
      </c>
      <c r="I323" s="2" t="s">
        <v>106</v>
      </c>
      <c r="J323" s="2" t="s">
        <v>107</v>
      </c>
      <c r="K323" s="2" t="s">
        <v>108</v>
      </c>
      <c r="L323" s="2"/>
      <c r="M323" s="2"/>
    </row>
    <row r="324" spans="1:13" x14ac:dyDescent="0.25">
      <c r="A324" s="2" t="s">
        <v>925</v>
      </c>
      <c r="B324" s="2" t="s">
        <v>20</v>
      </c>
      <c r="C324" s="2" t="s">
        <v>54</v>
      </c>
      <c r="D324" s="2"/>
      <c r="E324" s="2" t="s">
        <v>926</v>
      </c>
      <c r="F324" s="2">
        <v>7.4127658275847699</v>
      </c>
      <c r="G324" s="2">
        <v>47</v>
      </c>
      <c r="H324" s="2">
        <v>3600</v>
      </c>
      <c r="I324" s="2" t="s">
        <v>68</v>
      </c>
      <c r="J324" s="2" t="s">
        <v>69</v>
      </c>
      <c r="K324" s="2" t="s">
        <v>70</v>
      </c>
      <c r="L324" s="2"/>
      <c r="M324" s="2"/>
    </row>
    <row r="325" spans="1:13" x14ac:dyDescent="0.25">
      <c r="A325" s="2" t="s">
        <v>927</v>
      </c>
      <c r="B325" s="2" t="s">
        <v>20</v>
      </c>
      <c r="C325" s="2" t="s">
        <v>367</v>
      </c>
      <c r="D325" s="2"/>
      <c r="E325" s="2" t="s">
        <v>928</v>
      </c>
      <c r="F325" s="2">
        <v>6.1717389977496602</v>
      </c>
      <c r="G325" s="2">
        <v>46</v>
      </c>
      <c r="H325" s="2">
        <v>3600</v>
      </c>
      <c r="I325" s="2" t="s">
        <v>106</v>
      </c>
      <c r="J325" s="2" t="s">
        <v>107</v>
      </c>
      <c r="K325" s="2" t="s">
        <v>108</v>
      </c>
      <c r="L325" s="2"/>
      <c r="M325" s="2"/>
    </row>
    <row r="326" spans="1:13" x14ac:dyDescent="0.25">
      <c r="A326" s="2" t="s">
        <v>929</v>
      </c>
      <c r="B326" s="2" t="s">
        <v>20</v>
      </c>
      <c r="C326" s="2" t="s">
        <v>165</v>
      </c>
      <c r="D326" s="2"/>
      <c r="E326" s="2" t="s">
        <v>930</v>
      </c>
      <c r="F326" s="2">
        <v>5.40416653951009</v>
      </c>
      <c r="G326" s="2">
        <v>48</v>
      </c>
      <c r="H326" s="2">
        <v>3600</v>
      </c>
      <c r="I326" s="2" t="s">
        <v>74</v>
      </c>
      <c r="J326" s="2" t="s">
        <v>76</v>
      </c>
      <c r="K326" s="2" t="s">
        <v>75</v>
      </c>
      <c r="L326" s="2"/>
      <c r="M326" s="2"/>
    </row>
    <row r="327" spans="1:13" x14ac:dyDescent="0.25">
      <c r="A327" s="2" t="s">
        <v>931</v>
      </c>
      <c r="B327" s="2" t="s">
        <v>20</v>
      </c>
      <c r="C327" s="2" t="s">
        <v>932</v>
      </c>
      <c r="D327" s="2"/>
      <c r="E327" s="2" t="s">
        <v>933</v>
      </c>
      <c r="F327" s="2">
        <v>7.28000030517578</v>
      </c>
      <c r="G327" s="2">
        <v>40</v>
      </c>
      <c r="H327" s="2">
        <v>3600</v>
      </c>
      <c r="I327" s="2" t="s">
        <v>106</v>
      </c>
      <c r="J327" s="2" t="s">
        <v>108</v>
      </c>
      <c r="K327" s="2" t="s">
        <v>107</v>
      </c>
      <c r="L327" s="2"/>
      <c r="M327" s="2"/>
    </row>
    <row r="328" spans="1:13" x14ac:dyDescent="0.25">
      <c r="A328" s="2" t="s">
        <v>934</v>
      </c>
      <c r="B328" s="2" t="s">
        <v>20</v>
      </c>
      <c r="C328" s="2" t="s">
        <v>273</v>
      </c>
      <c r="D328" s="2"/>
      <c r="E328" s="2" t="s">
        <v>611</v>
      </c>
      <c r="F328" s="2">
        <v>7.27115396352914</v>
      </c>
      <c r="G328" s="2">
        <v>52</v>
      </c>
      <c r="H328" s="2">
        <v>3600</v>
      </c>
      <c r="I328" s="2" t="s">
        <v>135</v>
      </c>
      <c r="J328" s="2" t="s">
        <v>136</v>
      </c>
      <c r="K328" s="2" t="s">
        <v>137</v>
      </c>
      <c r="L328" s="2"/>
      <c r="M328" s="2"/>
    </row>
    <row r="329" spans="1:13" x14ac:dyDescent="0.25">
      <c r="A329" s="2" t="s">
        <v>935</v>
      </c>
      <c r="B329" s="2" t="s">
        <v>20</v>
      </c>
      <c r="C329" s="2" t="s">
        <v>124</v>
      </c>
      <c r="D329" s="2"/>
      <c r="E329" s="2" t="s">
        <v>936</v>
      </c>
      <c r="F329" s="2">
        <v>6.8938773018973203</v>
      </c>
      <c r="G329" s="2">
        <v>49</v>
      </c>
      <c r="H329" s="2">
        <v>3600</v>
      </c>
      <c r="I329" s="2" t="s">
        <v>126</v>
      </c>
      <c r="J329" s="2" t="s">
        <v>127</v>
      </c>
      <c r="K329" s="2" t="s">
        <v>128</v>
      </c>
      <c r="L329" s="2"/>
      <c r="M329" s="2"/>
    </row>
    <row r="330" spans="1:13" x14ac:dyDescent="0.25">
      <c r="A330" s="2" t="s">
        <v>937</v>
      </c>
      <c r="B330" s="2" t="s">
        <v>21</v>
      </c>
      <c r="C330" s="2" t="s">
        <v>403</v>
      </c>
      <c r="D330" s="2"/>
      <c r="E330" s="2" t="s">
        <v>938</v>
      </c>
      <c r="F330" s="2">
        <v>6.3270835876464799</v>
      </c>
      <c r="G330" s="2">
        <v>48</v>
      </c>
      <c r="H330" s="2">
        <v>3600</v>
      </c>
      <c r="I330" s="2" t="s">
        <v>68</v>
      </c>
      <c r="J330" s="2" t="s">
        <v>70</v>
      </c>
      <c r="K330" s="2" t="s">
        <v>69</v>
      </c>
      <c r="L330" s="2"/>
      <c r="M330" s="2"/>
    </row>
    <row r="331" spans="1:13" x14ac:dyDescent="0.25">
      <c r="A331" s="2" t="s">
        <v>939</v>
      </c>
      <c r="B331" s="2" t="s">
        <v>3</v>
      </c>
      <c r="C331" s="2" t="s">
        <v>940</v>
      </c>
      <c r="D331" s="2"/>
      <c r="E331" s="2" t="s">
        <v>941</v>
      </c>
      <c r="F331" s="2">
        <v>5.4339622641509404</v>
      </c>
      <c r="G331" s="2">
        <v>53</v>
      </c>
      <c r="H331" s="2">
        <v>3600</v>
      </c>
      <c r="I331" s="2" t="s">
        <v>74</v>
      </c>
      <c r="J331" s="2" t="s">
        <v>76</v>
      </c>
      <c r="K331" s="2" t="s">
        <v>75</v>
      </c>
      <c r="L331" s="2"/>
      <c r="M331" s="2"/>
    </row>
    <row r="332" spans="1:13" x14ac:dyDescent="0.25">
      <c r="A332" s="2" t="s">
        <v>942</v>
      </c>
      <c r="B332" s="2" t="s">
        <v>20</v>
      </c>
      <c r="C332" s="2" t="s">
        <v>698</v>
      </c>
      <c r="D332" s="2"/>
      <c r="E332" s="2" t="s">
        <v>943</v>
      </c>
      <c r="F332" s="2">
        <v>5.9849998474120998</v>
      </c>
      <c r="G332" s="2">
        <v>40</v>
      </c>
      <c r="H332" s="2">
        <v>3600</v>
      </c>
      <c r="I332" s="2" t="s">
        <v>50</v>
      </c>
      <c r="J332" s="2" t="s">
        <v>51</v>
      </c>
      <c r="K332" s="2" t="s">
        <v>52</v>
      </c>
      <c r="L332" s="2"/>
      <c r="M332" s="2"/>
    </row>
    <row r="333" spans="1:13" x14ac:dyDescent="0.25">
      <c r="A333" s="2" t="s">
        <v>944</v>
      </c>
      <c r="B333" s="2" t="s">
        <v>3</v>
      </c>
      <c r="C333" s="2" t="s">
        <v>945</v>
      </c>
      <c r="D333" s="2"/>
      <c r="E333" s="2" t="s">
        <v>946</v>
      </c>
      <c r="F333" s="2">
        <v>5.4744678253823098</v>
      </c>
      <c r="G333" s="2">
        <v>47</v>
      </c>
      <c r="H333" s="2">
        <v>3600</v>
      </c>
      <c r="I333" s="2" t="s">
        <v>50</v>
      </c>
      <c r="J333" s="2" t="s">
        <v>52</v>
      </c>
      <c r="K333" s="2" t="s">
        <v>51</v>
      </c>
      <c r="L333" s="2"/>
      <c r="M333" s="2"/>
    </row>
    <row r="334" spans="1:13" x14ac:dyDescent="0.25">
      <c r="A334" s="2" t="s">
        <v>947</v>
      </c>
      <c r="B334" s="2" t="s">
        <v>21</v>
      </c>
      <c r="C334" s="2" t="s">
        <v>948</v>
      </c>
      <c r="D334" s="2"/>
      <c r="E334" s="2" t="s">
        <v>949</v>
      </c>
      <c r="F334" s="2">
        <v>5.5265303631218101</v>
      </c>
      <c r="G334" s="2">
        <v>49</v>
      </c>
      <c r="H334" s="2">
        <v>3600</v>
      </c>
      <c r="I334" s="2" t="s">
        <v>68</v>
      </c>
      <c r="J334" s="2" t="s">
        <v>69</v>
      </c>
      <c r="K334" s="2" t="s">
        <v>70</v>
      </c>
      <c r="L334" s="2"/>
      <c r="M334" s="2"/>
    </row>
    <row r="335" spans="1:13" x14ac:dyDescent="0.25">
      <c r="A335" s="2" t="s">
        <v>950</v>
      </c>
      <c r="B335" s="2" t="s">
        <v>20</v>
      </c>
      <c r="C335" s="2" t="s">
        <v>704</v>
      </c>
      <c r="D335" s="2"/>
      <c r="E335" s="2" t="s">
        <v>951</v>
      </c>
      <c r="F335" s="2">
        <v>5.81041653951009</v>
      </c>
      <c r="G335" s="2">
        <v>48</v>
      </c>
      <c r="H335" s="2">
        <v>3600</v>
      </c>
      <c r="I335" s="2" t="s">
        <v>100</v>
      </c>
      <c r="J335" s="2" t="s">
        <v>101</v>
      </c>
      <c r="K335" s="2" t="s">
        <v>102</v>
      </c>
      <c r="L335" s="2"/>
      <c r="M335" s="2"/>
    </row>
    <row r="336" spans="1:13" x14ac:dyDescent="0.25">
      <c r="A336" s="2" t="s">
        <v>952</v>
      </c>
      <c r="B336" s="2" t="s">
        <v>20</v>
      </c>
      <c r="C336" s="2" t="s">
        <v>60</v>
      </c>
      <c r="D336" s="2"/>
      <c r="E336" s="2" t="s">
        <v>953</v>
      </c>
      <c r="F336" s="2">
        <v>6.1043475607167101</v>
      </c>
      <c r="G336" s="2">
        <v>23</v>
      </c>
      <c r="H336" s="2">
        <v>3600</v>
      </c>
      <c r="I336" s="2" t="s">
        <v>100</v>
      </c>
      <c r="J336" s="2" t="s">
        <v>101</v>
      </c>
      <c r="K336" s="2" t="s">
        <v>102</v>
      </c>
      <c r="L336" s="2"/>
      <c r="M336" s="2"/>
    </row>
    <row r="337" spans="1:13" x14ac:dyDescent="0.25">
      <c r="A337" s="2" t="s">
        <v>954</v>
      </c>
      <c r="B337" s="2" t="s">
        <v>20</v>
      </c>
      <c r="C337" s="2" t="s">
        <v>329</v>
      </c>
      <c r="D337" s="2"/>
      <c r="E337" s="2" t="s">
        <v>955</v>
      </c>
      <c r="F337" s="2">
        <v>7.8071427118210499</v>
      </c>
      <c r="G337" s="2">
        <v>42</v>
      </c>
      <c r="H337" s="2">
        <v>3600</v>
      </c>
      <c r="I337" s="2" t="s">
        <v>62</v>
      </c>
      <c r="J337" s="2" t="s">
        <v>63</v>
      </c>
      <c r="K337" s="2" t="s">
        <v>64</v>
      </c>
      <c r="L337" s="2"/>
      <c r="M337" s="2"/>
    </row>
    <row r="338" spans="1:13" x14ac:dyDescent="0.25">
      <c r="A338" s="2" t="s">
        <v>956</v>
      </c>
      <c r="B338" s="2" t="s">
        <v>21</v>
      </c>
      <c r="C338" s="2" t="s">
        <v>54</v>
      </c>
      <c r="D338" s="2"/>
      <c r="E338" s="2" t="s">
        <v>957</v>
      </c>
      <c r="F338" s="2">
        <v>4.84838719521799</v>
      </c>
      <c r="G338" s="2">
        <v>31</v>
      </c>
      <c r="H338" s="2">
        <v>3600</v>
      </c>
      <c r="I338" s="2" t="s">
        <v>68</v>
      </c>
      <c r="J338" s="2" t="s">
        <v>70</v>
      </c>
      <c r="K338" s="2" t="s">
        <v>69</v>
      </c>
      <c r="L338" s="2"/>
      <c r="M338" s="2"/>
    </row>
    <row r="339" spans="1:13" x14ac:dyDescent="0.25">
      <c r="A339" s="2" t="s">
        <v>958</v>
      </c>
      <c r="B339" s="2" t="s">
        <v>20</v>
      </c>
      <c r="C339" s="2" t="s">
        <v>467</v>
      </c>
      <c r="D339" s="2"/>
      <c r="E339" s="2" t="s">
        <v>168</v>
      </c>
      <c r="F339" s="2">
        <v>5.8423074575570899</v>
      </c>
      <c r="G339" s="2">
        <v>26</v>
      </c>
      <c r="H339" s="2">
        <v>3600</v>
      </c>
      <c r="I339" s="2" t="s">
        <v>44</v>
      </c>
      <c r="J339" s="2" t="s">
        <v>46</v>
      </c>
      <c r="K339" s="2" t="s">
        <v>45</v>
      </c>
      <c r="L339" s="2"/>
      <c r="M339" s="2"/>
    </row>
    <row r="340" spans="1:13" x14ac:dyDescent="0.25">
      <c r="A340" s="2" t="s">
        <v>959</v>
      </c>
      <c r="B340" s="2" t="s">
        <v>3</v>
      </c>
      <c r="C340" s="2" t="s">
        <v>960</v>
      </c>
      <c r="D340" s="2"/>
      <c r="E340" s="2" t="s">
        <v>961</v>
      </c>
      <c r="F340" s="2">
        <v>7.1326088283372897</v>
      </c>
      <c r="G340" s="2">
        <v>46</v>
      </c>
      <c r="H340" s="2">
        <v>3500</v>
      </c>
      <c r="I340" s="2" t="s">
        <v>50</v>
      </c>
      <c r="J340" s="2" t="s">
        <v>52</v>
      </c>
      <c r="K340" s="2" t="s">
        <v>51</v>
      </c>
      <c r="L340" s="2"/>
      <c r="M340" s="2"/>
    </row>
    <row r="341" spans="1:13" x14ac:dyDescent="0.25">
      <c r="A341" s="2" t="s">
        <v>962</v>
      </c>
      <c r="B341" s="2" t="s">
        <v>20</v>
      </c>
      <c r="C341" s="2" t="s">
        <v>963</v>
      </c>
      <c r="D341" s="2"/>
      <c r="E341" s="2" t="s">
        <v>155</v>
      </c>
      <c r="F341" s="2">
        <v>7.0040002441406202</v>
      </c>
      <c r="G341" s="2">
        <v>50</v>
      </c>
      <c r="H341" s="2">
        <v>3500</v>
      </c>
      <c r="I341" s="2" t="s">
        <v>106</v>
      </c>
      <c r="J341" s="2" t="s">
        <v>108</v>
      </c>
      <c r="K341" s="2" t="s">
        <v>107</v>
      </c>
      <c r="L341" s="2"/>
      <c r="M341" s="2"/>
    </row>
    <row r="342" spans="1:13" x14ac:dyDescent="0.25">
      <c r="A342" s="2" t="s">
        <v>964</v>
      </c>
      <c r="B342" s="2" t="s">
        <v>21</v>
      </c>
      <c r="C342" s="2" t="s">
        <v>965</v>
      </c>
      <c r="D342" s="2"/>
      <c r="E342" s="2" t="s">
        <v>835</v>
      </c>
      <c r="F342" s="2">
        <v>7.0249997652493903</v>
      </c>
      <c r="G342" s="2">
        <v>52</v>
      </c>
      <c r="H342" s="2">
        <v>3500</v>
      </c>
      <c r="I342" s="2" t="s">
        <v>106</v>
      </c>
      <c r="J342" s="2" t="s">
        <v>108</v>
      </c>
      <c r="K342" s="2" t="s">
        <v>107</v>
      </c>
      <c r="L342" s="2"/>
      <c r="M342" s="2"/>
    </row>
    <row r="343" spans="1:13" x14ac:dyDescent="0.25">
      <c r="A343" s="2" t="s">
        <v>966</v>
      </c>
      <c r="B343" s="2" t="s">
        <v>21</v>
      </c>
      <c r="C343" s="2" t="s">
        <v>388</v>
      </c>
      <c r="D343" s="2"/>
      <c r="E343" s="2" t="s">
        <v>967</v>
      </c>
      <c r="F343" s="2">
        <v>6.7372550216375604</v>
      </c>
      <c r="G343" s="2">
        <v>51</v>
      </c>
      <c r="H343" s="2">
        <v>3500</v>
      </c>
      <c r="I343" s="2" t="s">
        <v>126</v>
      </c>
      <c r="J343" s="2" t="s">
        <v>127</v>
      </c>
      <c r="K343" s="2" t="s">
        <v>128</v>
      </c>
      <c r="L343" s="2"/>
      <c r="M343" s="2"/>
    </row>
    <row r="344" spans="1:13" x14ac:dyDescent="0.25">
      <c r="A344" s="2" t="s">
        <v>968</v>
      </c>
      <c r="B344" s="2" t="s">
        <v>3</v>
      </c>
      <c r="C344" s="2" t="s">
        <v>969</v>
      </c>
      <c r="D344" s="2"/>
      <c r="E344" s="2" t="s">
        <v>970</v>
      </c>
      <c r="F344" s="2">
        <v>5.08055538601345</v>
      </c>
      <c r="G344" s="2">
        <v>36</v>
      </c>
      <c r="H344" s="2">
        <v>3500</v>
      </c>
      <c r="I344" s="2" t="s">
        <v>68</v>
      </c>
      <c r="J344" s="2" t="s">
        <v>70</v>
      </c>
      <c r="K344" s="2" t="s">
        <v>69</v>
      </c>
      <c r="L344" s="2"/>
      <c r="M344" s="2"/>
    </row>
    <row r="345" spans="1:13" x14ac:dyDescent="0.25">
      <c r="A345" s="2" t="s">
        <v>971</v>
      </c>
      <c r="B345" s="2" t="s">
        <v>3</v>
      </c>
      <c r="C345" s="2" t="s">
        <v>157</v>
      </c>
      <c r="D345" s="2"/>
      <c r="E345" s="2" t="s">
        <v>972</v>
      </c>
      <c r="F345" s="2">
        <v>6.3021737803583502</v>
      </c>
      <c r="G345" s="2">
        <v>46</v>
      </c>
      <c r="H345" s="2">
        <v>3500</v>
      </c>
      <c r="I345" s="2" t="s">
        <v>68</v>
      </c>
      <c r="J345" s="2" t="s">
        <v>69</v>
      </c>
      <c r="K345" s="2" t="s">
        <v>70</v>
      </c>
      <c r="L345" s="2"/>
      <c r="M345" s="2"/>
    </row>
    <row r="346" spans="1:13" x14ac:dyDescent="0.25">
      <c r="A346" s="2" t="s">
        <v>973</v>
      </c>
      <c r="B346" s="2" t="s">
        <v>20</v>
      </c>
      <c r="C346" s="2" t="s">
        <v>974</v>
      </c>
      <c r="D346" s="2"/>
      <c r="E346" s="2" t="s">
        <v>975</v>
      </c>
      <c r="F346" s="2">
        <v>5.82641486401827</v>
      </c>
      <c r="G346" s="2">
        <v>53</v>
      </c>
      <c r="H346" s="2">
        <v>3500</v>
      </c>
      <c r="I346" s="2" t="s">
        <v>50</v>
      </c>
      <c r="J346" s="2" t="s">
        <v>51</v>
      </c>
      <c r="K346" s="2" t="s">
        <v>52</v>
      </c>
      <c r="L346" s="2"/>
      <c r="M346" s="2"/>
    </row>
    <row r="347" spans="1:13" x14ac:dyDescent="0.25">
      <c r="A347" s="2" t="s">
        <v>976</v>
      </c>
      <c r="B347" s="2" t="s">
        <v>20</v>
      </c>
      <c r="C347" s="2" t="s">
        <v>139</v>
      </c>
      <c r="D347" s="2"/>
      <c r="E347" s="2" t="s">
        <v>977</v>
      </c>
      <c r="F347" s="2">
        <v>6.3571428571428497</v>
      </c>
      <c r="G347" s="2">
        <v>21</v>
      </c>
      <c r="H347" s="2">
        <v>3500</v>
      </c>
      <c r="I347" s="2" t="s">
        <v>44</v>
      </c>
      <c r="J347" s="2" t="s">
        <v>46</v>
      </c>
      <c r="K347" s="2" t="s">
        <v>45</v>
      </c>
      <c r="L347" s="2"/>
      <c r="M347" s="2"/>
    </row>
    <row r="348" spans="1:13" x14ac:dyDescent="0.25">
      <c r="A348" s="2" t="s">
        <v>978</v>
      </c>
      <c r="B348" s="2" t="s">
        <v>3</v>
      </c>
      <c r="C348" s="2" t="s">
        <v>979</v>
      </c>
      <c r="D348" s="2"/>
      <c r="E348" s="2" t="s">
        <v>980</v>
      </c>
      <c r="F348" s="2">
        <v>7.8840002441406201</v>
      </c>
      <c r="G348" s="2">
        <v>25</v>
      </c>
      <c r="H348" s="2">
        <v>3500</v>
      </c>
      <c r="I348" s="2" t="s">
        <v>44</v>
      </c>
      <c r="J348" s="2" t="s">
        <v>46</v>
      </c>
      <c r="K348" s="2" t="s">
        <v>45</v>
      </c>
      <c r="L348" s="2"/>
      <c r="M348" s="2"/>
    </row>
    <row r="349" spans="1:13" x14ac:dyDescent="0.25">
      <c r="A349" s="2" t="s">
        <v>981</v>
      </c>
      <c r="B349" s="2" t="s">
        <v>20</v>
      </c>
      <c r="C349" s="2" t="s">
        <v>340</v>
      </c>
      <c r="D349" s="2"/>
      <c r="E349" s="2" t="s">
        <v>509</v>
      </c>
      <c r="F349" s="2">
        <v>6.6999998092651296</v>
      </c>
      <c r="G349" s="2">
        <v>16</v>
      </c>
      <c r="H349" s="2">
        <v>3500</v>
      </c>
      <c r="I349" s="2" t="s">
        <v>126</v>
      </c>
      <c r="J349" s="2" t="s">
        <v>128</v>
      </c>
      <c r="K349" s="2" t="s">
        <v>127</v>
      </c>
      <c r="L349" s="2"/>
      <c r="M349" s="2"/>
    </row>
    <row r="350" spans="1:13" x14ac:dyDescent="0.25">
      <c r="A350" s="2" t="s">
        <v>982</v>
      </c>
      <c r="B350" s="2" t="s">
        <v>20</v>
      </c>
      <c r="C350" s="2" t="s">
        <v>81</v>
      </c>
      <c r="D350" s="2"/>
      <c r="E350" s="2" t="s">
        <v>983</v>
      </c>
      <c r="F350" s="2">
        <v>6.1052631578947301</v>
      </c>
      <c r="G350" s="2">
        <v>19</v>
      </c>
      <c r="H350" s="2">
        <v>3500</v>
      </c>
      <c r="I350" s="2" t="s">
        <v>114</v>
      </c>
      <c r="J350" s="2" t="s">
        <v>116</v>
      </c>
      <c r="K350" s="2" t="s">
        <v>115</v>
      </c>
      <c r="L350" s="2"/>
      <c r="M350" s="2"/>
    </row>
    <row r="351" spans="1:13" x14ac:dyDescent="0.25">
      <c r="A351" s="2" t="s">
        <v>984</v>
      </c>
      <c r="B351" s="2" t="s">
        <v>21</v>
      </c>
      <c r="C351" s="2" t="s">
        <v>542</v>
      </c>
      <c r="D351" s="2"/>
      <c r="E351" s="2" t="s">
        <v>985</v>
      </c>
      <c r="F351" s="2">
        <v>3.4208332697550401</v>
      </c>
      <c r="G351" s="2">
        <v>24</v>
      </c>
      <c r="H351" s="2">
        <v>3500</v>
      </c>
      <c r="I351" s="2" t="s">
        <v>100</v>
      </c>
      <c r="J351" s="2" t="s">
        <v>101</v>
      </c>
      <c r="K351" s="2" t="s">
        <v>102</v>
      </c>
      <c r="L351" s="2"/>
      <c r="M351" s="2"/>
    </row>
    <row r="352" spans="1:13" x14ac:dyDescent="0.25">
      <c r="A352" s="2" t="s">
        <v>986</v>
      </c>
      <c r="B352" s="2" t="s">
        <v>20</v>
      </c>
      <c r="C352" s="2" t="s">
        <v>423</v>
      </c>
      <c r="D352" s="2"/>
      <c r="E352" s="2" t="s">
        <v>987</v>
      </c>
      <c r="F352" s="2">
        <v>4.8</v>
      </c>
      <c r="G352" s="2">
        <v>25</v>
      </c>
      <c r="H352" s="2">
        <v>3500</v>
      </c>
      <c r="I352" s="2" t="s">
        <v>114</v>
      </c>
      <c r="J352" s="2" t="s">
        <v>115</v>
      </c>
      <c r="K352" s="2" t="s">
        <v>116</v>
      </c>
      <c r="L352" s="2"/>
      <c r="M352" s="2"/>
    </row>
    <row r="353" spans="1:13" x14ac:dyDescent="0.25">
      <c r="A353" s="2" t="s">
        <v>988</v>
      </c>
      <c r="B353" s="2" t="s">
        <v>21</v>
      </c>
      <c r="C353" s="2" t="s">
        <v>989</v>
      </c>
      <c r="D353" s="2"/>
      <c r="E353" s="2" t="s">
        <v>990</v>
      </c>
      <c r="F353" s="2">
        <v>7.1063829787234001</v>
      </c>
      <c r="G353" s="2">
        <v>47</v>
      </c>
      <c r="H353" s="2">
        <v>3500</v>
      </c>
      <c r="I353" s="2" t="s">
        <v>135</v>
      </c>
      <c r="J353" s="2" t="s">
        <v>137</v>
      </c>
      <c r="K353" s="2" t="s">
        <v>136</v>
      </c>
      <c r="L353" s="2"/>
      <c r="M353" s="2"/>
    </row>
    <row r="354" spans="1:13" x14ac:dyDescent="0.25">
      <c r="A354" s="2" t="s">
        <v>991</v>
      </c>
      <c r="B354" s="2" t="s">
        <v>20</v>
      </c>
      <c r="C354" s="2" t="s">
        <v>992</v>
      </c>
      <c r="D354" s="2"/>
      <c r="E354" s="2" t="s">
        <v>993</v>
      </c>
      <c r="F354" s="2">
        <v>7.3888888888888804</v>
      </c>
      <c r="G354" s="2">
        <v>18</v>
      </c>
      <c r="H354" s="2">
        <v>3500</v>
      </c>
      <c r="I354" s="2" t="s">
        <v>68</v>
      </c>
      <c r="J354" s="2" t="s">
        <v>70</v>
      </c>
      <c r="K354" s="2" t="s">
        <v>69</v>
      </c>
      <c r="L354" s="2"/>
      <c r="M354" s="2"/>
    </row>
    <row r="355" spans="1:13" x14ac:dyDescent="0.25">
      <c r="A355" s="2" t="s">
        <v>994</v>
      </c>
      <c r="B355" s="2" t="s">
        <v>20</v>
      </c>
      <c r="C355" s="2" t="s">
        <v>995</v>
      </c>
      <c r="D355" s="2"/>
      <c r="E355" s="2" t="s">
        <v>996</v>
      </c>
      <c r="F355" s="2">
        <v>7.5699996948242099</v>
      </c>
      <c r="G355" s="2">
        <v>10</v>
      </c>
      <c r="H355" s="2">
        <v>3500</v>
      </c>
      <c r="I355" s="2" t="s">
        <v>106</v>
      </c>
      <c r="J355" s="2" t="s">
        <v>108</v>
      </c>
      <c r="K355" s="2" t="s">
        <v>107</v>
      </c>
      <c r="L355" s="2"/>
      <c r="M355" s="2"/>
    </row>
    <row r="356" spans="1:13" x14ac:dyDescent="0.25">
      <c r="A356" s="2" t="s">
        <v>997</v>
      </c>
      <c r="B356" s="2" t="s">
        <v>20</v>
      </c>
      <c r="C356" s="2" t="s">
        <v>564</v>
      </c>
      <c r="D356" s="2"/>
      <c r="E356" s="2" t="s">
        <v>998</v>
      </c>
      <c r="F356" s="2">
        <v>4.8888888888888804</v>
      </c>
      <c r="G356" s="2">
        <v>27</v>
      </c>
      <c r="H356" s="2">
        <v>3500</v>
      </c>
      <c r="I356" s="2" t="s">
        <v>74</v>
      </c>
      <c r="J356" s="2" t="s">
        <v>76</v>
      </c>
      <c r="K356" s="2" t="s">
        <v>75</v>
      </c>
      <c r="L356" s="2"/>
      <c r="M356" s="2"/>
    </row>
    <row r="357" spans="1:13" x14ac:dyDescent="0.25">
      <c r="A357" s="2" t="s">
        <v>999</v>
      </c>
      <c r="B357" s="2" t="s">
        <v>21</v>
      </c>
      <c r="C357" s="2" t="s">
        <v>467</v>
      </c>
      <c r="D357" s="2"/>
      <c r="E357" s="2" t="s">
        <v>1000</v>
      </c>
      <c r="F357" s="2">
        <v>8.1000002347506008</v>
      </c>
      <c r="G357" s="2">
        <v>26</v>
      </c>
      <c r="H357" s="2">
        <v>3500</v>
      </c>
      <c r="I357" s="2" t="s">
        <v>50</v>
      </c>
      <c r="J357" s="2" t="s">
        <v>52</v>
      </c>
      <c r="K357" s="2" t="s">
        <v>51</v>
      </c>
      <c r="L357" s="2"/>
      <c r="M357" s="2"/>
    </row>
    <row r="358" spans="1:13" x14ac:dyDescent="0.25">
      <c r="A358" s="2" t="s">
        <v>1001</v>
      </c>
      <c r="B358" s="2" t="s">
        <v>21</v>
      </c>
      <c r="C358" s="2" t="s">
        <v>670</v>
      </c>
      <c r="D358" s="2"/>
      <c r="E358" s="2" t="s">
        <v>1002</v>
      </c>
      <c r="F358" s="2">
        <v>6.5129631890190902</v>
      </c>
      <c r="G358" s="2">
        <v>54</v>
      </c>
      <c r="H358" s="2">
        <v>3500</v>
      </c>
      <c r="I358" s="2" t="s">
        <v>114</v>
      </c>
      <c r="J358" s="2" t="s">
        <v>115</v>
      </c>
      <c r="K358" s="2" t="s">
        <v>116</v>
      </c>
      <c r="L358" s="2"/>
      <c r="M358" s="2"/>
    </row>
    <row r="359" spans="1:13" x14ac:dyDescent="0.25">
      <c r="A359" s="2" t="s">
        <v>1003</v>
      </c>
      <c r="B359" s="2" t="s">
        <v>3</v>
      </c>
      <c r="C359" s="2" t="s">
        <v>1004</v>
      </c>
      <c r="D359" s="2"/>
      <c r="E359" s="2" t="s">
        <v>1005</v>
      </c>
      <c r="F359" s="2">
        <v>6.4377360793779399</v>
      </c>
      <c r="G359" s="2">
        <v>53</v>
      </c>
      <c r="H359" s="2">
        <v>3500</v>
      </c>
      <c r="I359" s="2" t="s">
        <v>44</v>
      </c>
      <c r="J359" s="2" t="s">
        <v>45</v>
      </c>
      <c r="K359" s="2" t="s">
        <v>46</v>
      </c>
      <c r="L359" s="2"/>
      <c r="M359" s="2"/>
    </row>
    <row r="360" spans="1:13" x14ac:dyDescent="0.25">
      <c r="A360" s="2" t="s">
        <v>1006</v>
      </c>
      <c r="B360" s="2" t="s">
        <v>21</v>
      </c>
      <c r="C360" s="2" t="s">
        <v>222</v>
      </c>
      <c r="D360" s="2"/>
      <c r="E360" s="2" t="s">
        <v>465</v>
      </c>
      <c r="F360" s="2">
        <v>3.5200000762939401</v>
      </c>
      <c r="G360" s="2">
        <v>40</v>
      </c>
      <c r="H360" s="2">
        <v>3500</v>
      </c>
      <c r="I360" s="2" t="s">
        <v>62</v>
      </c>
      <c r="J360" s="2" t="s">
        <v>64</v>
      </c>
      <c r="K360" s="2" t="s">
        <v>63</v>
      </c>
      <c r="L360" s="2"/>
      <c r="M360" s="2"/>
    </row>
    <row r="361" spans="1:13" x14ac:dyDescent="0.25">
      <c r="A361" s="2" t="s">
        <v>1007</v>
      </c>
      <c r="B361" s="2" t="s">
        <v>3</v>
      </c>
      <c r="C361" s="2" t="s">
        <v>1008</v>
      </c>
      <c r="D361" s="2"/>
      <c r="E361" s="2" t="s">
        <v>1009</v>
      </c>
      <c r="F361" s="2">
        <v>7.8511108398437504</v>
      </c>
      <c r="G361" s="2">
        <v>45</v>
      </c>
      <c r="H361" s="2">
        <v>3500</v>
      </c>
      <c r="I361" s="2" t="s">
        <v>126</v>
      </c>
      <c r="J361" s="2" t="s">
        <v>127</v>
      </c>
      <c r="K361" s="2" t="s">
        <v>128</v>
      </c>
      <c r="L361" s="2"/>
      <c r="M361" s="2"/>
    </row>
    <row r="362" spans="1:13" x14ac:dyDescent="0.25">
      <c r="A362" s="2" t="s">
        <v>1010</v>
      </c>
      <c r="B362" s="2" t="s">
        <v>3</v>
      </c>
      <c r="C362" s="2" t="s">
        <v>112</v>
      </c>
      <c r="D362" s="2"/>
      <c r="E362" s="2" t="s">
        <v>1011</v>
      </c>
      <c r="F362" s="2">
        <v>4.7076923663799501</v>
      </c>
      <c r="G362" s="2">
        <v>26</v>
      </c>
      <c r="H362" s="2">
        <v>3500</v>
      </c>
      <c r="I362" s="2" t="s">
        <v>50</v>
      </c>
      <c r="J362" s="2" t="s">
        <v>52</v>
      </c>
      <c r="K362" s="2" t="s">
        <v>51</v>
      </c>
      <c r="L362" s="2"/>
      <c r="M362" s="2"/>
    </row>
    <row r="363" spans="1:13" x14ac:dyDescent="0.25">
      <c r="A363" s="2" t="s">
        <v>1012</v>
      </c>
      <c r="B363" s="2" t="s">
        <v>20</v>
      </c>
      <c r="C363" s="2" t="s">
        <v>1013</v>
      </c>
      <c r="D363" s="2"/>
      <c r="E363" s="2" t="s">
        <v>1014</v>
      </c>
      <c r="F363" s="2">
        <v>5.7962266454156799</v>
      </c>
      <c r="G363" s="2">
        <v>53</v>
      </c>
      <c r="H363" s="2">
        <v>3500</v>
      </c>
      <c r="I363" s="2" t="s">
        <v>135</v>
      </c>
      <c r="J363" s="2" t="s">
        <v>137</v>
      </c>
      <c r="K363" s="2" t="s">
        <v>136</v>
      </c>
      <c r="L363" s="2"/>
      <c r="M363" s="2"/>
    </row>
    <row r="364" spans="1:13" x14ac:dyDescent="0.25">
      <c r="A364" s="2" t="s">
        <v>1015</v>
      </c>
      <c r="B364" s="2" t="s">
        <v>20</v>
      </c>
      <c r="C364" s="2" t="s">
        <v>1016</v>
      </c>
      <c r="D364" s="2"/>
      <c r="E364" s="2" t="s">
        <v>1017</v>
      </c>
      <c r="F364" s="2">
        <v>6.1920001220703096</v>
      </c>
      <c r="G364" s="2">
        <v>50</v>
      </c>
      <c r="H364" s="2">
        <v>3500</v>
      </c>
      <c r="I364" s="2" t="s">
        <v>56</v>
      </c>
      <c r="J364" s="2" t="s">
        <v>57</v>
      </c>
      <c r="K364" s="2" t="s">
        <v>58</v>
      </c>
      <c r="L364" s="2"/>
      <c r="M364" s="2"/>
    </row>
    <row r="365" spans="1:13" x14ac:dyDescent="0.25">
      <c r="A365" s="2" t="s">
        <v>1018</v>
      </c>
      <c r="B365" s="2" t="s">
        <v>21</v>
      </c>
      <c r="C365" s="2" t="s">
        <v>1019</v>
      </c>
      <c r="D365" s="2"/>
      <c r="E365" s="2" t="s">
        <v>1020</v>
      </c>
      <c r="F365" s="2">
        <v>6.9153847327599101</v>
      </c>
      <c r="G365" s="2">
        <v>52</v>
      </c>
      <c r="H365" s="2">
        <v>3500</v>
      </c>
      <c r="I365" s="2" t="s">
        <v>106</v>
      </c>
      <c r="J365" s="2" t="s">
        <v>108</v>
      </c>
      <c r="K365" s="2" t="s">
        <v>107</v>
      </c>
      <c r="L365" s="2"/>
      <c r="M365" s="2"/>
    </row>
    <row r="366" spans="1:13" x14ac:dyDescent="0.25">
      <c r="A366" s="2" t="s">
        <v>1021</v>
      </c>
      <c r="B366" s="2" t="s">
        <v>21</v>
      </c>
      <c r="C366" s="2" t="s">
        <v>329</v>
      </c>
      <c r="D366" s="2"/>
      <c r="E366" s="2" t="s">
        <v>1022</v>
      </c>
      <c r="F366" s="2">
        <v>5.2758620689655098</v>
      </c>
      <c r="G366" s="2">
        <v>29</v>
      </c>
      <c r="H366" s="2">
        <v>3500</v>
      </c>
      <c r="I366" s="2" t="s">
        <v>50</v>
      </c>
      <c r="J366" s="2" t="s">
        <v>51</v>
      </c>
      <c r="K366" s="2" t="s">
        <v>52</v>
      </c>
      <c r="L366" s="2"/>
      <c r="M366" s="2"/>
    </row>
    <row r="367" spans="1:13" x14ac:dyDescent="0.25">
      <c r="A367" s="2" t="s">
        <v>1023</v>
      </c>
      <c r="B367" s="2" t="s">
        <v>3</v>
      </c>
      <c r="C367" s="2" t="s">
        <v>1024</v>
      </c>
      <c r="D367" s="2"/>
      <c r="E367" s="2" t="s">
        <v>1025</v>
      </c>
      <c r="F367" s="2">
        <v>4.6079998779296796</v>
      </c>
      <c r="G367" s="2">
        <v>50</v>
      </c>
      <c r="H367" s="2">
        <v>3500</v>
      </c>
      <c r="I367" s="2" t="s">
        <v>135</v>
      </c>
      <c r="J367" s="2" t="s">
        <v>136</v>
      </c>
      <c r="K367" s="2" t="s">
        <v>137</v>
      </c>
      <c r="L367" s="2"/>
      <c r="M367" s="2"/>
    </row>
    <row r="368" spans="1:13" x14ac:dyDescent="0.25">
      <c r="A368" s="2" t="s">
        <v>1026</v>
      </c>
      <c r="B368" s="2" t="s">
        <v>20</v>
      </c>
      <c r="C368" s="2" t="s">
        <v>448</v>
      </c>
      <c r="D368" s="2"/>
      <c r="E368" s="2" t="s">
        <v>1027</v>
      </c>
      <c r="F368" s="2">
        <v>4.6181818181818102</v>
      </c>
      <c r="G368" s="2">
        <v>55</v>
      </c>
      <c r="H368" s="2">
        <v>3500</v>
      </c>
      <c r="I368" s="2" t="s">
        <v>74</v>
      </c>
      <c r="J368" s="2" t="s">
        <v>75</v>
      </c>
      <c r="K368" s="2" t="s">
        <v>76</v>
      </c>
      <c r="L368" s="2"/>
      <c r="M368" s="2"/>
    </row>
    <row r="369" spans="1:13" x14ac:dyDescent="0.25">
      <c r="A369" s="2" t="s">
        <v>1028</v>
      </c>
      <c r="B369" s="2" t="s">
        <v>21</v>
      </c>
      <c r="C369" s="2" t="s">
        <v>742</v>
      </c>
      <c r="D369" s="2"/>
      <c r="E369" s="2" t="s">
        <v>1029</v>
      </c>
      <c r="F369" s="2">
        <v>6.4449996948242099</v>
      </c>
      <c r="G369" s="2">
        <v>40</v>
      </c>
      <c r="H369" s="2">
        <v>3500</v>
      </c>
      <c r="I369" s="2" t="s">
        <v>126</v>
      </c>
      <c r="J369" s="2" t="s">
        <v>127</v>
      </c>
      <c r="K369" s="2" t="s">
        <v>128</v>
      </c>
      <c r="L369" s="2"/>
      <c r="M369" s="2"/>
    </row>
    <row r="370" spans="1:13" x14ac:dyDescent="0.25">
      <c r="A370" s="2" t="s">
        <v>1030</v>
      </c>
      <c r="B370" s="2" t="s">
        <v>20</v>
      </c>
      <c r="C370" s="2" t="s">
        <v>490</v>
      </c>
      <c r="D370" s="2"/>
      <c r="E370" s="2" t="s">
        <v>1031</v>
      </c>
      <c r="F370" s="2">
        <v>6.4799997965494702</v>
      </c>
      <c r="G370" s="2">
        <v>30</v>
      </c>
      <c r="H370" s="2">
        <v>3500</v>
      </c>
      <c r="I370" s="2" t="s">
        <v>74</v>
      </c>
      <c r="J370" s="2" t="s">
        <v>76</v>
      </c>
      <c r="K370" s="2" t="s">
        <v>75</v>
      </c>
      <c r="L370" s="2" t="s">
        <v>198</v>
      </c>
      <c r="M370" s="2" t="s">
        <v>1032</v>
      </c>
    </row>
    <row r="371" spans="1:13" x14ac:dyDescent="0.25">
      <c r="A371" s="2" t="s">
        <v>1033</v>
      </c>
      <c r="B371" s="2" t="s">
        <v>20</v>
      </c>
      <c r="C371" s="2" t="s">
        <v>885</v>
      </c>
      <c r="D371" s="2"/>
      <c r="E371" s="2" t="s">
        <v>1034</v>
      </c>
      <c r="F371" s="2">
        <v>6.5365853658536501</v>
      </c>
      <c r="G371" s="2">
        <v>41</v>
      </c>
      <c r="H371" s="2">
        <v>3500</v>
      </c>
      <c r="I371" s="2" t="s">
        <v>100</v>
      </c>
      <c r="J371" s="2" t="s">
        <v>102</v>
      </c>
      <c r="K371" s="2" t="s">
        <v>101</v>
      </c>
      <c r="L371" s="2"/>
      <c r="M371" s="2"/>
    </row>
    <row r="372" spans="1:13" x14ac:dyDescent="0.25">
      <c r="A372" s="2" t="s">
        <v>1035</v>
      </c>
      <c r="B372" s="2" t="s">
        <v>21</v>
      </c>
      <c r="C372" s="2" t="s">
        <v>1036</v>
      </c>
      <c r="D372" s="2"/>
      <c r="E372" s="2" t="s">
        <v>1037</v>
      </c>
      <c r="F372" s="2">
        <v>6.7607840743719301</v>
      </c>
      <c r="G372" s="2">
        <v>51</v>
      </c>
      <c r="H372" s="2">
        <v>3500</v>
      </c>
      <c r="I372" s="2" t="s">
        <v>106</v>
      </c>
      <c r="J372" s="2" t="s">
        <v>107</v>
      </c>
      <c r="K372" s="2" t="s">
        <v>108</v>
      </c>
      <c r="L372" s="2"/>
      <c r="M372" s="2"/>
    </row>
    <row r="373" spans="1:13" x14ac:dyDescent="0.25">
      <c r="A373" s="2" t="s">
        <v>1038</v>
      </c>
      <c r="B373" s="2" t="s">
        <v>20</v>
      </c>
      <c r="C373" s="2" t="s">
        <v>686</v>
      </c>
      <c r="D373" s="2"/>
      <c r="E373" s="2" t="s">
        <v>1039</v>
      </c>
      <c r="F373" s="2">
        <v>4.8666667938232404</v>
      </c>
      <c r="G373" s="2">
        <v>12</v>
      </c>
      <c r="H373" s="2">
        <v>3400</v>
      </c>
      <c r="I373" s="2" t="s">
        <v>135</v>
      </c>
      <c r="J373" s="2" t="s">
        <v>136</v>
      </c>
      <c r="K373" s="2" t="s">
        <v>137</v>
      </c>
      <c r="L373" s="2"/>
      <c r="M373" s="2"/>
    </row>
    <row r="374" spans="1:13" x14ac:dyDescent="0.25">
      <c r="A374" s="2" t="s">
        <v>1040</v>
      </c>
      <c r="B374" s="2" t="s">
        <v>20</v>
      </c>
      <c r="C374" s="2" t="s">
        <v>356</v>
      </c>
      <c r="D374" s="2"/>
      <c r="E374" s="2" t="s">
        <v>1041</v>
      </c>
      <c r="F374" s="2">
        <v>5.6545455239035798</v>
      </c>
      <c r="G374" s="2">
        <v>44</v>
      </c>
      <c r="H374" s="2">
        <v>3400</v>
      </c>
      <c r="I374" s="2" t="s">
        <v>56</v>
      </c>
      <c r="J374" s="2" t="s">
        <v>58</v>
      </c>
      <c r="K374" s="2" t="s">
        <v>57</v>
      </c>
      <c r="L374" s="2"/>
      <c r="M374" s="2"/>
    </row>
    <row r="375" spans="1:13" x14ac:dyDescent="0.25">
      <c r="A375" s="2" t="s">
        <v>1042</v>
      </c>
      <c r="B375" s="2" t="s">
        <v>20</v>
      </c>
      <c r="C375" s="2" t="s">
        <v>1043</v>
      </c>
      <c r="D375" s="2"/>
      <c r="E375" s="2" t="s">
        <v>140</v>
      </c>
      <c r="F375" s="2">
        <v>5.4064518097908199</v>
      </c>
      <c r="G375" s="2">
        <v>31</v>
      </c>
      <c r="H375" s="2">
        <v>3400</v>
      </c>
      <c r="I375" s="2" t="s">
        <v>62</v>
      </c>
      <c r="J375" s="2" t="s">
        <v>64</v>
      </c>
      <c r="K375" s="2" t="s">
        <v>63</v>
      </c>
      <c r="L375" s="2"/>
      <c r="M375" s="2"/>
    </row>
    <row r="376" spans="1:13" x14ac:dyDescent="0.25">
      <c r="A376" s="2" t="s">
        <v>1044</v>
      </c>
      <c r="B376" s="2" t="s">
        <v>20</v>
      </c>
      <c r="C376" s="2" t="s">
        <v>416</v>
      </c>
      <c r="D376" s="2"/>
      <c r="E376" s="2" t="s">
        <v>1045</v>
      </c>
      <c r="F376" s="2">
        <v>6.5407409667968697</v>
      </c>
      <c r="G376" s="2">
        <v>27</v>
      </c>
      <c r="H376" s="2">
        <v>3400</v>
      </c>
      <c r="I376" s="2" t="s">
        <v>74</v>
      </c>
      <c r="J376" s="2" t="s">
        <v>75</v>
      </c>
      <c r="K376" s="2" t="s">
        <v>76</v>
      </c>
      <c r="L376" s="2"/>
      <c r="M376" s="2"/>
    </row>
    <row r="377" spans="1:13" x14ac:dyDescent="0.25">
      <c r="A377" s="2" t="s">
        <v>1046</v>
      </c>
      <c r="B377" s="2" t="s">
        <v>20</v>
      </c>
      <c r="C377" s="2" t="s">
        <v>1047</v>
      </c>
      <c r="D377" s="2"/>
      <c r="E377" s="2" t="s">
        <v>1048</v>
      </c>
      <c r="F377" s="2">
        <v>4.7413793103448203</v>
      </c>
      <c r="G377" s="2">
        <v>29</v>
      </c>
      <c r="H377" s="2">
        <v>3400</v>
      </c>
      <c r="I377" s="2" t="s">
        <v>62</v>
      </c>
      <c r="J377" s="2" t="s">
        <v>64</v>
      </c>
      <c r="K377" s="2" t="s">
        <v>63</v>
      </c>
      <c r="L377" s="2"/>
      <c r="M377" s="2"/>
    </row>
    <row r="378" spans="1:13" x14ac:dyDescent="0.25">
      <c r="A378" s="2" t="s">
        <v>1049</v>
      </c>
      <c r="B378" s="2" t="s">
        <v>3</v>
      </c>
      <c r="C378" s="2" t="s">
        <v>1050</v>
      </c>
      <c r="D378" s="2"/>
      <c r="E378" s="2" t="s">
        <v>1051</v>
      </c>
      <c r="F378" s="2">
        <v>6.3249999152289398</v>
      </c>
      <c r="G378" s="2">
        <v>36</v>
      </c>
      <c r="H378" s="2">
        <v>3400</v>
      </c>
      <c r="I378" s="2" t="s">
        <v>74</v>
      </c>
      <c r="J378" s="2" t="s">
        <v>76</v>
      </c>
      <c r="K378" s="2" t="s">
        <v>75</v>
      </c>
      <c r="L378" s="2" t="s">
        <v>92</v>
      </c>
      <c r="M378" s="2" t="s">
        <v>1052</v>
      </c>
    </row>
    <row r="379" spans="1:13" x14ac:dyDescent="0.25">
      <c r="A379" s="2" t="s">
        <v>1053</v>
      </c>
      <c r="B379" s="2" t="s">
        <v>21</v>
      </c>
      <c r="C379" s="2" t="s">
        <v>591</v>
      </c>
      <c r="D379" s="2"/>
      <c r="E379" s="2" t="s">
        <v>1054</v>
      </c>
      <c r="F379" s="2">
        <v>5.8378378378378297</v>
      </c>
      <c r="G379" s="2">
        <v>37</v>
      </c>
      <c r="H379" s="2">
        <v>3400</v>
      </c>
      <c r="I379" s="2" t="s">
        <v>126</v>
      </c>
      <c r="J379" s="2" t="s">
        <v>127</v>
      </c>
      <c r="K379" s="2" t="s">
        <v>128</v>
      </c>
      <c r="L379" s="2"/>
      <c r="M379" s="2"/>
    </row>
    <row r="380" spans="1:13" x14ac:dyDescent="0.25">
      <c r="A380" s="2" t="s">
        <v>1055</v>
      </c>
      <c r="B380" s="2" t="s">
        <v>20</v>
      </c>
      <c r="C380" s="2" t="s">
        <v>502</v>
      </c>
      <c r="D380" s="2"/>
      <c r="E380" s="2" t="s">
        <v>1056</v>
      </c>
      <c r="F380" s="2">
        <v>5.9333332203052596</v>
      </c>
      <c r="G380" s="2">
        <v>54</v>
      </c>
      <c r="H380" s="2">
        <v>3400</v>
      </c>
      <c r="I380" s="2" t="s">
        <v>62</v>
      </c>
      <c r="J380" s="2" t="s">
        <v>63</v>
      </c>
      <c r="K380" s="2" t="s">
        <v>64</v>
      </c>
      <c r="L380" s="2"/>
      <c r="M380" s="2"/>
    </row>
    <row r="381" spans="1:13" x14ac:dyDescent="0.25">
      <c r="A381" s="2" t="s">
        <v>1057</v>
      </c>
      <c r="B381" s="2" t="s">
        <v>20</v>
      </c>
      <c r="C381" s="2" t="s">
        <v>1058</v>
      </c>
      <c r="D381" s="2"/>
      <c r="E381" s="2" t="s">
        <v>1059</v>
      </c>
      <c r="F381" s="2">
        <v>6.0631577341180103</v>
      </c>
      <c r="G381" s="2">
        <v>38</v>
      </c>
      <c r="H381" s="2">
        <v>3400</v>
      </c>
      <c r="I381" s="2" t="s">
        <v>44</v>
      </c>
      <c r="J381" s="2" t="s">
        <v>46</v>
      </c>
      <c r="K381" s="2" t="s">
        <v>45</v>
      </c>
      <c r="L381" s="2"/>
      <c r="M381" s="2"/>
    </row>
    <row r="382" spans="1:13" x14ac:dyDescent="0.25">
      <c r="A382" s="2" t="s">
        <v>1060</v>
      </c>
      <c r="B382" s="2" t="s">
        <v>3</v>
      </c>
      <c r="C382" s="2" t="s">
        <v>179</v>
      </c>
      <c r="D382" s="2"/>
      <c r="E382" s="2" t="s">
        <v>1061</v>
      </c>
      <c r="F382" s="2">
        <v>4.8448275862068897</v>
      </c>
      <c r="G382" s="2">
        <v>29</v>
      </c>
      <c r="H382" s="2">
        <v>3400</v>
      </c>
      <c r="I382" s="2" t="s">
        <v>114</v>
      </c>
      <c r="J382" s="2" t="s">
        <v>116</v>
      </c>
      <c r="K382" s="2" t="s">
        <v>115</v>
      </c>
      <c r="L382" s="2"/>
      <c r="M382" s="2"/>
    </row>
    <row r="383" spans="1:13" x14ac:dyDescent="0.25">
      <c r="A383" s="2" t="s">
        <v>1062</v>
      </c>
      <c r="B383" s="2" t="s">
        <v>3</v>
      </c>
      <c r="C383" s="2" t="s">
        <v>1063</v>
      </c>
      <c r="D383" s="2"/>
      <c r="E383" s="2" t="s">
        <v>373</v>
      </c>
      <c r="F383" s="2">
        <v>4.5018182927911896</v>
      </c>
      <c r="G383" s="2">
        <v>55</v>
      </c>
      <c r="H383" s="2">
        <v>3400</v>
      </c>
      <c r="I383" s="2" t="s">
        <v>62</v>
      </c>
      <c r="J383" s="2" t="s">
        <v>64</v>
      </c>
      <c r="K383" s="2" t="s">
        <v>63</v>
      </c>
      <c r="L383" s="2"/>
      <c r="M383" s="2"/>
    </row>
    <row r="384" spans="1:13" x14ac:dyDescent="0.25">
      <c r="A384" s="2" t="s">
        <v>1064</v>
      </c>
      <c r="B384" s="2" t="s">
        <v>3</v>
      </c>
      <c r="C384" s="2" t="s">
        <v>1065</v>
      </c>
      <c r="D384" s="2"/>
      <c r="E384" s="2" t="s">
        <v>1066</v>
      </c>
      <c r="F384" s="2">
        <v>6.0659575766705398</v>
      </c>
      <c r="G384" s="2">
        <v>47</v>
      </c>
      <c r="H384" s="2">
        <v>3400</v>
      </c>
      <c r="I384" s="2" t="s">
        <v>114</v>
      </c>
      <c r="J384" s="2" t="s">
        <v>115</v>
      </c>
      <c r="K384" s="2" t="s">
        <v>116</v>
      </c>
      <c r="L384" s="2"/>
      <c r="M384" s="2"/>
    </row>
    <row r="385" spans="1:13" x14ac:dyDescent="0.25">
      <c r="A385" s="2" t="s">
        <v>1067</v>
      </c>
      <c r="B385" s="2" t="s">
        <v>21</v>
      </c>
      <c r="C385" s="2" t="s">
        <v>1068</v>
      </c>
      <c r="D385" s="2"/>
      <c r="E385" s="2" t="s">
        <v>1069</v>
      </c>
      <c r="F385" s="2">
        <v>6.3204546841708096</v>
      </c>
      <c r="G385" s="2">
        <v>44</v>
      </c>
      <c r="H385" s="2">
        <v>3400</v>
      </c>
      <c r="I385" s="2" t="s">
        <v>126</v>
      </c>
      <c r="J385" s="2" t="s">
        <v>127</v>
      </c>
      <c r="K385" s="2" t="s">
        <v>128</v>
      </c>
      <c r="L385" s="2" t="s">
        <v>198</v>
      </c>
      <c r="M385" s="2" t="s">
        <v>621</v>
      </c>
    </row>
    <row r="386" spans="1:13" x14ac:dyDescent="0.25">
      <c r="A386" s="2" t="s">
        <v>1070</v>
      </c>
      <c r="B386" s="2" t="s">
        <v>21</v>
      </c>
      <c r="C386" s="2" t="s">
        <v>1071</v>
      </c>
      <c r="D386" s="2"/>
      <c r="E386" s="2" t="s">
        <v>1072</v>
      </c>
      <c r="F386" s="2">
        <v>5.1200000762939402</v>
      </c>
      <c r="G386" s="2">
        <v>5</v>
      </c>
      <c r="H386" s="2">
        <v>3400</v>
      </c>
      <c r="I386" s="2" t="s">
        <v>56</v>
      </c>
      <c r="J386" s="2" t="s">
        <v>58</v>
      </c>
      <c r="K386" s="2" t="s">
        <v>57</v>
      </c>
      <c r="L386" s="2"/>
      <c r="M386" s="2"/>
    </row>
    <row r="387" spans="1:13" x14ac:dyDescent="0.25">
      <c r="A387" s="2" t="s">
        <v>1073</v>
      </c>
      <c r="B387" s="2" t="s">
        <v>20</v>
      </c>
      <c r="C387" s="2" t="s">
        <v>440</v>
      </c>
      <c r="D387" s="2"/>
      <c r="E387" s="2" t="s">
        <v>1074</v>
      </c>
      <c r="F387" s="2">
        <v>7.05510228993941</v>
      </c>
      <c r="G387" s="2">
        <v>49</v>
      </c>
      <c r="H387" s="2">
        <v>3400</v>
      </c>
      <c r="I387" s="2" t="s">
        <v>68</v>
      </c>
      <c r="J387" s="2" t="s">
        <v>70</v>
      </c>
      <c r="K387" s="2" t="s">
        <v>69</v>
      </c>
      <c r="L387" s="2"/>
      <c r="M387" s="2"/>
    </row>
    <row r="388" spans="1:13" x14ac:dyDescent="0.25">
      <c r="A388" s="2" t="s">
        <v>1075</v>
      </c>
      <c r="B388" s="2" t="s">
        <v>20</v>
      </c>
      <c r="C388" s="2" t="s">
        <v>616</v>
      </c>
      <c r="D388" s="2"/>
      <c r="E388" s="2" t="s">
        <v>1076</v>
      </c>
      <c r="F388" s="2">
        <v>6.2444445292154898</v>
      </c>
      <c r="G388" s="2">
        <v>36</v>
      </c>
      <c r="H388" s="2">
        <v>3400</v>
      </c>
      <c r="I388" s="2" t="s">
        <v>106</v>
      </c>
      <c r="J388" s="2" t="s">
        <v>108</v>
      </c>
      <c r="K388" s="2" t="s">
        <v>107</v>
      </c>
      <c r="L388" s="2" t="s">
        <v>92</v>
      </c>
      <c r="M388" s="2" t="s">
        <v>621</v>
      </c>
    </row>
    <row r="389" spans="1:13" x14ac:dyDescent="0.25">
      <c r="A389" s="2" t="s">
        <v>1077</v>
      </c>
      <c r="B389" s="2" t="s">
        <v>20</v>
      </c>
      <c r="C389" s="2" t="s">
        <v>1078</v>
      </c>
      <c r="D389" s="2"/>
      <c r="E389" s="2" t="s">
        <v>1079</v>
      </c>
      <c r="F389" s="2">
        <v>5.3521738467009099</v>
      </c>
      <c r="G389" s="2">
        <v>23</v>
      </c>
      <c r="H389" s="2">
        <v>3400</v>
      </c>
      <c r="I389" s="2" t="s">
        <v>74</v>
      </c>
      <c r="J389" s="2" t="s">
        <v>76</v>
      </c>
      <c r="K389" s="2" t="s">
        <v>75</v>
      </c>
      <c r="L389" s="2"/>
      <c r="M389" s="2"/>
    </row>
    <row r="390" spans="1:13" x14ac:dyDescent="0.25">
      <c r="A390" s="2" t="s">
        <v>1080</v>
      </c>
      <c r="B390" s="2" t="s">
        <v>21</v>
      </c>
      <c r="C390" s="2" t="s">
        <v>54</v>
      </c>
      <c r="D390" s="2"/>
      <c r="E390" s="2" t="s">
        <v>1081</v>
      </c>
      <c r="F390" s="2">
        <v>6.5142854963030103</v>
      </c>
      <c r="G390" s="2">
        <v>28</v>
      </c>
      <c r="H390" s="2">
        <v>3400</v>
      </c>
      <c r="I390" s="2" t="s">
        <v>56</v>
      </c>
      <c r="J390" s="2" t="s">
        <v>58</v>
      </c>
      <c r="K390" s="2" t="s">
        <v>57</v>
      </c>
      <c r="L390" s="2" t="s">
        <v>198</v>
      </c>
      <c r="M390" s="2" t="s">
        <v>612</v>
      </c>
    </row>
    <row r="391" spans="1:13" x14ac:dyDescent="0.25">
      <c r="A391" s="2" t="s">
        <v>1082</v>
      </c>
      <c r="B391" s="2" t="s">
        <v>3</v>
      </c>
      <c r="C391" s="2" t="s">
        <v>81</v>
      </c>
      <c r="D391" s="2"/>
      <c r="E391" s="2" t="s">
        <v>1083</v>
      </c>
      <c r="F391" s="2">
        <v>3.96875</v>
      </c>
      <c r="G391" s="2">
        <v>32</v>
      </c>
      <c r="H391" s="2">
        <v>3400</v>
      </c>
      <c r="I391" s="2" t="s">
        <v>50</v>
      </c>
      <c r="J391" s="2" t="s">
        <v>52</v>
      </c>
      <c r="K391" s="2" t="s">
        <v>51</v>
      </c>
      <c r="L391" s="2"/>
      <c r="M391" s="2"/>
    </row>
    <row r="392" spans="1:13" x14ac:dyDescent="0.25">
      <c r="A392" s="2" t="s">
        <v>1084</v>
      </c>
      <c r="B392" s="2" t="s">
        <v>20</v>
      </c>
      <c r="C392" s="2" t="s">
        <v>539</v>
      </c>
      <c r="D392" s="2"/>
      <c r="E392" s="2" t="s">
        <v>1085</v>
      </c>
      <c r="F392" s="2">
        <v>6.1142856052943602</v>
      </c>
      <c r="G392" s="2">
        <v>14</v>
      </c>
      <c r="H392" s="2">
        <v>3400</v>
      </c>
      <c r="I392" s="2" t="s">
        <v>62</v>
      </c>
      <c r="J392" s="2" t="s">
        <v>63</v>
      </c>
      <c r="K392" s="2" t="s">
        <v>64</v>
      </c>
      <c r="L392" s="2" t="s">
        <v>92</v>
      </c>
      <c r="M392" s="2" t="s">
        <v>1052</v>
      </c>
    </row>
    <row r="393" spans="1:13" x14ac:dyDescent="0.25">
      <c r="A393" s="2" t="s">
        <v>1086</v>
      </c>
      <c r="B393" s="2" t="s">
        <v>20</v>
      </c>
      <c r="C393" s="2" t="s">
        <v>440</v>
      </c>
      <c r="D393" s="2"/>
      <c r="E393" s="2" t="s">
        <v>1087</v>
      </c>
      <c r="F393" s="2">
        <v>4.9345453435724398</v>
      </c>
      <c r="G393" s="2">
        <v>55</v>
      </c>
      <c r="H393" s="2">
        <v>3400</v>
      </c>
      <c r="I393" s="2" t="s">
        <v>74</v>
      </c>
      <c r="J393" s="2" t="s">
        <v>75</v>
      </c>
      <c r="K393" s="2" t="s">
        <v>76</v>
      </c>
      <c r="L393" s="2"/>
      <c r="M393" s="2"/>
    </row>
    <row r="394" spans="1:13" x14ac:dyDescent="0.25">
      <c r="A394" s="2" t="s">
        <v>1088</v>
      </c>
      <c r="B394" s="2" t="s">
        <v>21</v>
      </c>
      <c r="C394" s="2" t="s">
        <v>440</v>
      </c>
      <c r="D394" s="2"/>
      <c r="E394" s="2" t="s">
        <v>1089</v>
      </c>
      <c r="F394" s="2">
        <v>5.8325000762939396</v>
      </c>
      <c r="G394" s="2">
        <v>40</v>
      </c>
      <c r="H394" s="2">
        <v>3400</v>
      </c>
      <c r="I394" s="2" t="s">
        <v>62</v>
      </c>
      <c r="J394" s="2" t="s">
        <v>63</v>
      </c>
      <c r="K394" s="2" t="s">
        <v>64</v>
      </c>
      <c r="L394" s="2"/>
      <c r="M394" s="2"/>
    </row>
    <row r="395" spans="1:13" x14ac:dyDescent="0.25">
      <c r="A395" s="2" t="s">
        <v>1090</v>
      </c>
      <c r="B395" s="2" t="s">
        <v>21</v>
      </c>
      <c r="C395" s="2" t="s">
        <v>348</v>
      </c>
      <c r="D395" s="2"/>
      <c r="E395" s="2" t="s">
        <v>1091</v>
      </c>
      <c r="F395" s="2">
        <v>6.0166664123535103</v>
      </c>
      <c r="G395" s="2">
        <v>12</v>
      </c>
      <c r="H395" s="2">
        <v>3400</v>
      </c>
      <c r="I395" s="2" t="s">
        <v>44</v>
      </c>
      <c r="J395" s="2" t="s">
        <v>45</v>
      </c>
      <c r="K395" s="2" t="s">
        <v>46</v>
      </c>
      <c r="L395" s="2"/>
      <c r="M395" s="2"/>
    </row>
    <row r="396" spans="1:13" x14ac:dyDescent="0.25">
      <c r="A396" s="2" t="s">
        <v>1092</v>
      </c>
      <c r="B396" s="2" t="s">
        <v>20</v>
      </c>
      <c r="C396" s="2" t="s">
        <v>992</v>
      </c>
      <c r="D396" s="2"/>
      <c r="E396" s="2" t="s">
        <v>1093</v>
      </c>
      <c r="F396" s="2">
        <v>5.5636364329944898</v>
      </c>
      <c r="G396" s="2">
        <v>22</v>
      </c>
      <c r="H396" s="2">
        <v>3400</v>
      </c>
      <c r="I396" s="2" t="s">
        <v>126</v>
      </c>
      <c r="J396" s="2" t="s">
        <v>127</v>
      </c>
      <c r="K396" s="2" t="s">
        <v>128</v>
      </c>
      <c r="L396" s="2"/>
      <c r="M396" s="2"/>
    </row>
    <row r="397" spans="1:13" x14ac:dyDescent="0.25">
      <c r="A397" s="2" t="s">
        <v>1094</v>
      </c>
      <c r="B397" s="2" t="s">
        <v>20</v>
      </c>
      <c r="C397" s="2" t="s">
        <v>228</v>
      </c>
      <c r="D397" s="2"/>
      <c r="E397" s="2" t="s">
        <v>1095</v>
      </c>
      <c r="F397" s="2">
        <v>6.8869562563688804</v>
      </c>
      <c r="G397" s="2">
        <v>46</v>
      </c>
      <c r="H397" s="2">
        <v>3400</v>
      </c>
      <c r="I397" s="2" t="s">
        <v>126</v>
      </c>
      <c r="J397" s="2" t="s">
        <v>128</v>
      </c>
      <c r="K397" s="2" t="s">
        <v>127</v>
      </c>
      <c r="L397" s="2"/>
      <c r="M397" s="2"/>
    </row>
    <row r="398" spans="1:13" x14ac:dyDescent="0.25">
      <c r="A398" s="2" t="s">
        <v>1096</v>
      </c>
      <c r="B398" s="2" t="s">
        <v>21</v>
      </c>
      <c r="C398" s="2" t="s">
        <v>554</v>
      </c>
      <c r="D398" s="2"/>
      <c r="E398" s="2" t="s">
        <v>1097</v>
      </c>
      <c r="F398" s="2">
        <v>3.5999998434995901</v>
      </c>
      <c r="G398" s="2">
        <v>39</v>
      </c>
      <c r="H398" s="2">
        <v>3400</v>
      </c>
      <c r="I398" s="2" t="s">
        <v>68</v>
      </c>
      <c r="J398" s="2" t="s">
        <v>69</v>
      </c>
      <c r="K398" s="2" t="s">
        <v>70</v>
      </c>
      <c r="L398" s="2"/>
      <c r="M398" s="2"/>
    </row>
    <row r="399" spans="1:13" x14ac:dyDescent="0.25">
      <c r="A399" s="2" t="s">
        <v>1098</v>
      </c>
      <c r="B399" s="2" t="s">
        <v>21</v>
      </c>
      <c r="C399" s="2" t="s">
        <v>1099</v>
      </c>
      <c r="D399" s="2"/>
      <c r="E399" s="2" t="s">
        <v>1100</v>
      </c>
      <c r="F399" s="2">
        <v>5.1259256998697902</v>
      </c>
      <c r="G399" s="2">
        <v>54</v>
      </c>
      <c r="H399" s="2">
        <v>3400</v>
      </c>
      <c r="I399" s="2" t="s">
        <v>114</v>
      </c>
      <c r="J399" s="2" t="s">
        <v>115</v>
      </c>
      <c r="K399" s="2" t="s">
        <v>116</v>
      </c>
      <c r="L399" s="2"/>
      <c r="M399" s="2"/>
    </row>
    <row r="400" spans="1:13" x14ac:dyDescent="0.25">
      <c r="A400" s="2" t="s">
        <v>1101</v>
      </c>
      <c r="B400" s="2" t="s">
        <v>21</v>
      </c>
      <c r="C400" s="2" t="s">
        <v>701</v>
      </c>
      <c r="D400" s="2"/>
      <c r="E400" s="2" t="s">
        <v>1102</v>
      </c>
      <c r="F400" s="2">
        <v>5.7260868238366101</v>
      </c>
      <c r="G400" s="2">
        <v>23</v>
      </c>
      <c r="H400" s="2">
        <v>3400</v>
      </c>
      <c r="I400" s="2" t="s">
        <v>50</v>
      </c>
      <c r="J400" s="2" t="s">
        <v>51</v>
      </c>
      <c r="K400" s="2" t="s">
        <v>52</v>
      </c>
      <c r="L400" s="2"/>
      <c r="M400" s="2"/>
    </row>
    <row r="401" spans="1:13" x14ac:dyDescent="0.25">
      <c r="A401" s="2" t="s">
        <v>1103</v>
      </c>
      <c r="B401" s="2" t="s">
        <v>3</v>
      </c>
      <c r="C401" s="2" t="s">
        <v>877</v>
      </c>
      <c r="D401" s="2"/>
      <c r="E401" s="2" t="s">
        <v>1104</v>
      </c>
      <c r="F401" s="2">
        <v>7.2528300735185702</v>
      </c>
      <c r="G401" s="2">
        <v>53</v>
      </c>
      <c r="H401" s="2">
        <v>3400</v>
      </c>
      <c r="I401" s="2" t="s">
        <v>44</v>
      </c>
      <c r="J401" s="2" t="s">
        <v>45</v>
      </c>
      <c r="K401" s="2" t="s">
        <v>46</v>
      </c>
      <c r="L401" s="2"/>
      <c r="M401" s="2"/>
    </row>
    <row r="402" spans="1:13" x14ac:dyDescent="0.25">
      <c r="A402" s="2" t="s">
        <v>1105</v>
      </c>
      <c r="B402" s="2" t="s">
        <v>21</v>
      </c>
      <c r="C402" s="2" t="s">
        <v>440</v>
      </c>
      <c r="D402" s="2"/>
      <c r="E402" s="2" t="s">
        <v>1106</v>
      </c>
      <c r="F402" s="2">
        <v>7.1999998092651296</v>
      </c>
      <c r="G402" s="2">
        <v>32</v>
      </c>
      <c r="H402" s="2">
        <v>3400</v>
      </c>
      <c r="I402" s="2" t="s">
        <v>68</v>
      </c>
      <c r="J402" s="2" t="s">
        <v>69</v>
      </c>
      <c r="K402" s="2" t="s">
        <v>70</v>
      </c>
      <c r="L402" s="2"/>
      <c r="M402" s="2"/>
    </row>
    <row r="403" spans="1:13" x14ac:dyDescent="0.25">
      <c r="A403" s="2" t="s">
        <v>1107</v>
      </c>
      <c r="B403" s="2" t="s">
        <v>21</v>
      </c>
      <c r="C403" s="2" t="s">
        <v>1108</v>
      </c>
      <c r="D403" s="2"/>
      <c r="E403" s="2" t="s">
        <v>1109</v>
      </c>
      <c r="F403" s="2">
        <v>3.6954546841707998</v>
      </c>
      <c r="G403" s="2">
        <v>44</v>
      </c>
      <c r="H403" s="2">
        <v>3400</v>
      </c>
      <c r="I403" s="2" t="s">
        <v>126</v>
      </c>
      <c r="J403" s="2" t="s">
        <v>128</v>
      </c>
      <c r="K403" s="2" t="s">
        <v>127</v>
      </c>
      <c r="L403" s="2"/>
      <c r="M403" s="2"/>
    </row>
    <row r="404" spans="1:13" x14ac:dyDescent="0.25">
      <c r="A404" s="2" t="s">
        <v>1110</v>
      </c>
      <c r="B404" s="2" t="s">
        <v>20</v>
      </c>
      <c r="C404" s="2" t="s">
        <v>698</v>
      </c>
      <c r="D404" s="2"/>
      <c r="E404" s="2" t="s">
        <v>1111</v>
      </c>
      <c r="F404" s="2">
        <v>4.9674420024073402</v>
      </c>
      <c r="G404" s="2">
        <v>43</v>
      </c>
      <c r="H404" s="2">
        <v>3300</v>
      </c>
      <c r="I404" s="2" t="s">
        <v>135</v>
      </c>
      <c r="J404" s="2" t="s">
        <v>137</v>
      </c>
      <c r="K404" s="2" t="s">
        <v>136</v>
      </c>
      <c r="L404" s="2"/>
      <c r="M404" s="2"/>
    </row>
    <row r="405" spans="1:13" x14ac:dyDescent="0.25">
      <c r="A405" s="2" t="s">
        <v>1112</v>
      </c>
      <c r="B405" s="2" t="s">
        <v>3</v>
      </c>
      <c r="C405" s="2" t="s">
        <v>1113</v>
      </c>
      <c r="D405" s="2"/>
      <c r="E405" s="2" t="s">
        <v>1114</v>
      </c>
      <c r="F405" s="2">
        <v>4.2833334604899003</v>
      </c>
      <c r="G405" s="2">
        <v>24</v>
      </c>
      <c r="H405" s="2">
        <v>3300</v>
      </c>
      <c r="I405" s="2" t="s">
        <v>50</v>
      </c>
      <c r="J405" s="2" t="s">
        <v>52</v>
      </c>
      <c r="K405" s="2" t="s">
        <v>51</v>
      </c>
      <c r="L405" s="2"/>
      <c r="M405" s="2"/>
    </row>
    <row r="406" spans="1:13" x14ac:dyDescent="0.25">
      <c r="A406" s="2" t="s">
        <v>1115</v>
      </c>
      <c r="B406" s="2" t="s">
        <v>21</v>
      </c>
      <c r="C406" s="2" t="s">
        <v>225</v>
      </c>
      <c r="D406" s="2"/>
      <c r="E406" s="2" t="s">
        <v>1116</v>
      </c>
      <c r="F406" s="2">
        <v>2.8850000381469698</v>
      </c>
      <c r="G406" s="2">
        <v>40</v>
      </c>
      <c r="H406" s="2">
        <v>3300</v>
      </c>
      <c r="I406" s="2" t="s">
        <v>56</v>
      </c>
      <c r="J406" s="2" t="s">
        <v>58</v>
      </c>
      <c r="K406" s="2" t="s">
        <v>57</v>
      </c>
      <c r="L406" s="2"/>
      <c r="M406" s="2"/>
    </row>
    <row r="407" spans="1:13" x14ac:dyDescent="0.25">
      <c r="A407" s="2" t="s">
        <v>1117</v>
      </c>
      <c r="B407" s="2" t="s">
        <v>3</v>
      </c>
      <c r="C407" s="2" t="s">
        <v>54</v>
      </c>
      <c r="D407" s="2"/>
      <c r="E407" s="2" t="s">
        <v>1118</v>
      </c>
      <c r="F407" s="2">
        <v>6.0586959175441502</v>
      </c>
      <c r="G407" s="2">
        <v>46</v>
      </c>
      <c r="H407" s="2">
        <v>3300</v>
      </c>
      <c r="I407" s="2" t="s">
        <v>56</v>
      </c>
      <c r="J407" s="2" t="s">
        <v>57</v>
      </c>
      <c r="K407" s="2" t="s">
        <v>58</v>
      </c>
      <c r="L407" s="2"/>
      <c r="M407" s="2"/>
    </row>
    <row r="408" spans="1:13" x14ac:dyDescent="0.25">
      <c r="A408" s="2" t="s">
        <v>1119</v>
      </c>
      <c r="B408" s="2" t="s">
        <v>20</v>
      </c>
      <c r="C408" s="2" t="s">
        <v>1120</v>
      </c>
      <c r="D408" s="2"/>
      <c r="E408" s="2" t="s">
        <v>1121</v>
      </c>
      <c r="F408" s="2">
        <v>4.8195123439881797</v>
      </c>
      <c r="G408" s="2">
        <v>41</v>
      </c>
      <c r="H408" s="2">
        <v>3300</v>
      </c>
      <c r="I408" s="2" t="s">
        <v>56</v>
      </c>
      <c r="J408" s="2" t="s">
        <v>58</v>
      </c>
      <c r="K408" s="2" t="s">
        <v>57</v>
      </c>
      <c r="L408" s="2"/>
      <c r="M408" s="2"/>
    </row>
    <row r="409" spans="1:13" x14ac:dyDescent="0.25">
      <c r="A409" s="2" t="s">
        <v>1122</v>
      </c>
      <c r="B409" s="2" t="s">
        <v>3</v>
      </c>
      <c r="C409" s="2" t="s">
        <v>1123</v>
      </c>
      <c r="D409" s="2"/>
      <c r="E409" s="2" t="s">
        <v>1124</v>
      </c>
      <c r="F409" s="2">
        <v>0</v>
      </c>
      <c r="G409" s="2">
        <v>2</v>
      </c>
      <c r="H409" s="2">
        <v>3300</v>
      </c>
      <c r="I409" s="2" t="s">
        <v>126</v>
      </c>
      <c r="J409" s="2" t="s">
        <v>127</v>
      </c>
      <c r="K409" s="2" t="s">
        <v>128</v>
      </c>
      <c r="L409" s="2"/>
      <c r="M409" s="2"/>
    </row>
    <row r="410" spans="1:13" x14ac:dyDescent="0.25">
      <c r="A410" s="2" t="s">
        <v>1125</v>
      </c>
      <c r="B410" s="2" t="s">
        <v>21</v>
      </c>
      <c r="C410" s="2" t="s">
        <v>1126</v>
      </c>
      <c r="D410" s="2"/>
      <c r="E410" s="2" t="s">
        <v>1127</v>
      </c>
      <c r="F410" s="2">
        <v>5.4132074320091297</v>
      </c>
      <c r="G410" s="2">
        <v>53</v>
      </c>
      <c r="H410" s="2">
        <v>3300</v>
      </c>
      <c r="I410" s="2" t="s">
        <v>44</v>
      </c>
      <c r="J410" s="2" t="s">
        <v>46</v>
      </c>
      <c r="K410" s="2" t="s">
        <v>45</v>
      </c>
      <c r="L410" s="2"/>
      <c r="M410" s="2"/>
    </row>
    <row r="411" spans="1:13" x14ac:dyDescent="0.25">
      <c r="A411" s="2" t="s">
        <v>1128</v>
      </c>
      <c r="B411" s="2" t="s">
        <v>21</v>
      </c>
      <c r="C411" s="2" t="s">
        <v>1129</v>
      </c>
      <c r="D411" s="2"/>
      <c r="E411" s="2" t="s">
        <v>1130</v>
      </c>
      <c r="F411" s="2">
        <v>6.4000001387162602</v>
      </c>
      <c r="G411" s="2">
        <v>22</v>
      </c>
      <c r="H411" s="2">
        <v>3300</v>
      </c>
      <c r="I411" s="2" t="s">
        <v>62</v>
      </c>
      <c r="J411" s="2" t="s">
        <v>63</v>
      </c>
      <c r="K411" s="2" t="s">
        <v>64</v>
      </c>
      <c r="L411" s="2"/>
      <c r="M411" s="2"/>
    </row>
    <row r="412" spans="1:13" x14ac:dyDescent="0.25">
      <c r="A412" s="2" t="s">
        <v>1131</v>
      </c>
      <c r="B412" s="2" t="s">
        <v>20</v>
      </c>
      <c r="C412" s="2" t="s">
        <v>285</v>
      </c>
      <c r="D412" s="2"/>
      <c r="E412" s="2" t="s">
        <v>1132</v>
      </c>
      <c r="F412" s="2">
        <v>6.2133331298828098</v>
      </c>
      <c r="G412" s="2">
        <v>30</v>
      </c>
      <c r="H412" s="2">
        <v>3300</v>
      </c>
      <c r="I412" s="2" t="s">
        <v>135</v>
      </c>
      <c r="J412" s="2" t="s">
        <v>137</v>
      </c>
      <c r="K412" s="2" t="s">
        <v>136</v>
      </c>
      <c r="L412" s="2" t="s">
        <v>92</v>
      </c>
      <c r="M412" s="2" t="s">
        <v>1052</v>
      </c>
    </row>
    <row r="413" spans="1:13" x14ac:dyDescent="0.25">
      <c r="A413" s="2" t="s">
        <v>1133</v>
      </c>
      <c r="B413" s="2" t="s">
        <v>20</v>
      </c>
      <c r="C413" s="2" t="s">
        <v>1134</v>
      </c>
      <c r="D413" s="2"/>
      <c r="E413" s="2" t="s">
        <v>1135</v>
      </c>
      <c r="F413" s="2">
        <v>7.1599998474120996</v>
      </c>
      <c r="G413" s="2">
        <v>20</v>
      </c>
      <c r="H413" s="2">
        <v>3300</v>
      </c>
      <c r="I413" s="2" t="s">
        <v>50</v>
      </c>
      <c r="J413" s="2" t="s">
        <v>51</v>
      </c>
      <c r="K413" s="2" t="s">
        <v>52</v>
      </c>
      <c r="L413" s="2"/>
      <c r="M413" s="2"/>
    </row>
    <row r="414" spans="1:13" x14ac:dyDescent="0.25">
      <c r="A414" s="2" t="s">
        <v>1136</v>
      </c>
      <c r="B414" s="2" t="s">
        <v>20</v>
      </c>
      <c r="C414" s="2" t="s">
        <v>785</v>
      </c>
      <c r="D414" s="2"/>
      <c r="E414" s="2" t="s">
        <v>1137</v>
      </c>
      <c r="F414" s="2">
        <v>2.13333336512247</v>
      </c>
      <c r="G414" s="2">
        <v>3</v>
      </c>
      <c r="H414" s="2">
        <v>3300</v>
      </c>
      <c r="I414" s="2" t="s">
        <v>50</v>
      </c>
      <c r="J414" s="2" t="s">
        <v>51</v>
      </c>
      <c r="K414" s="2" t="s">
        <v>52</v>
      </c>
      <c r="L414" s="2"/>
      <c r="M414" s="2"/>
    </row>
    <row r="415" spans="1:13" x14ac:dyDescent="0.25">
      <c r="A415" s="2" t="s">
        <v>1138</v>
      </c>
      <c r="B415" s="2" t="s">
        <v>21</v>
      </c>
      <c r="C415" s="2" t="s">
        <v>1139</v>
      </c>
      <c r="D415" s="2"/>
      <c r="E415" s="2" t="s">
        <v>1140</v>
      </c>
      <c r="F415" s="2">
        <v>4.5666668231670604</v>
      </c>
      <c r="G415" s="2">
        <v>39</v>
      </c>
      <c r="H415" s="2">
        <v>3300</v>
      </c>
      <c r="I415" s="2" t="s">
        <v>114</v>
      </c>
      <c r="J415" s="2" t="s">
        <v>116</v>
      </c>
      <c r="K415" s="2" t="s">
        <v>115</v>
      </c>
      <c r="L415" s="2"/>
      <c r="M415" s="2"/>
    </row>
    <row r="416" spans="1:13" x14ac:dyDescent="0.25">
      <c r="A416" s="2" t="s">
        <v>1141</v>
      </c>
      <c r="B416" s="2" t="s">
        <v>21</v>
      </c>
      <c r="C416" s="2" t="s">
        <v>729</v>
      </c>
      <c r="D416" s="2"/>
      <c r="E416" s="2" t="s">
        <v>1142</v>
      </c>
      <c r="F416" s="2">
        <v>3.7727272727272698</v>
      </c>
      <c r="G416" s="2">
        <v>44</v>
      </c>
      <c r="H416" s="2">
        <v>3300</v>
      </c>
      <c r="I416" s="2" t="s">
        <v>56</v>
      </c>
      <c r="J416" s="2" t="s">
        <v>58</v>
      </c>
      <c r="K416" s="2" t="s">
        <v>57</v>
      </c>
      <c r="L416" s="2"/>
      <c r="M416" s="2"/>
    </row>
    <row r="417" spans="1:13" x14ac:dyDescent="0.25">
      <c r="A417" s="2" t="s">
        <v>1143</v>
      </c>
      <c r="B417" s="2" t="s">
        <v>20</v>
      </c>
      <c r="C417" s="2" t="s">
        <v>1144</v>
      </c>
      <c r="D417" s="2"/>
      <c r="E417" s="2" t="s">
        <v>1145</v>
      </c>
      <c r="F417" s="2">
        <v>5.9480766883263199</v>
      </c>
      <c r="G417" s="2">
        <v>52</v>
      </c>
      <c r="H417" s="2">
        <v>3300</v>
      </c>
      <c r="I417" s="2" t="s">
        <v>106</v>
      </c>
      <c r="J417" s="2" t="s">
        <v>108</v>
      </c>
      <c r="K417" s="2" t="s">
        <v>107</v>
      </c>
      <c r="L417" s="2"/>
      <c r="M417" s="2"/>
    </row>
    <row r="418" spans="1:13" x14ac:dyDescent="0.25">
      <c r="A418" s="2" t="s">
        <v>1146</v>
      </c>
      <c r="B418" s="2" t="s">
        <v>21</v>
      </c>
      <c r="C418" s="2" t="s">
        <v>1147</v>
      </c>
      <c r="D418" s="2"/>
      <c r="E418" s="2" t="s">
        <v>1148</v>
      </c>
      <c r="F418" s="2">
        <v>6.2040816326530601</v>
      </c>
      <c r="G418" s="2">
        <v>49</v>
      </c>
      <c r="H418" s="2">
        <v>3300</v>
      </c>
      <c r="I418" s="2" t="s">
        <v>62</v>
      </c>
      <c r="J418" s="2" t="s">
        <v>64</v>
      </c>
      <c r="K418" s="2" t="s">
        <v>63</v>
      </c>
      <c r="L418" s="2"/>
      <c r="M418" s="2"/>
    </row>
    <row r="419" spans="1:13" x14ac:dyDescent="0.25">
      <c r="A419" s="2" t="s">
        <v>1149</v>
      </c>
      <c r="B419" s="2" t="s">
        <v>20</v>
      </c>
      <c r="C419" s="2" t="s">
        <v>1150</v>
      </c>
      <c r="D419" s="2"/>
      <c r="E419" s="2" t="s">
        <v>1151</v>
      </c>
      <c r="F419" s="2">
        <v>5.0638297872340399</v>
      </c>
      <c r="G419" s="2">
        <v>47</v>
      </c>
      <c r="H419" s="2">
        <v>3300</v>
      </c>
      <c r="I419" s="2" t="s">
        <v>44</v>
      </c>
      <c r="J419" s="2" t="s">
        <v>45</v>
      </c>
      <c r="K419" s="2" t="s">
        <v>46</v>
      </c>
      <c r="L419" s="2"/>
      <c r="M419" s="2"/>
    </row>
    <row r="420" spans="1:13" x14ac:dyDescent="0.25">
      <c r="A420" s="2" t="s">
        <v>1152</v>
      </c>
      <c r="B420" s="2" t="s">
        <v>20</v>
      </c>
      <c r="C420" s="2" t="s">
        <v>1144</v>
      </c>
      <c r="D420" s="2"/>
      <c r="E420" s="2" t="s">
        <v>1153</v>
      </c>
      <c r="F420" s="2">
        <v>7.6979594327965497</v>
      </c>
      <c r="G420" s="2">
        <v>49</v>
      </c>
      <c r="H420" s="2">
        <v>3300</v>
      </c>
      <c r="I420" s="2" t="s">
        <v>68</v>
      </c>
      <c r="J420" s="2" t="s">
        <v>70</v>
      </c>
      <c r="K420" s="2" t="s">
        <v>69</v>
      </c>
      <c r="L420" s="2"/>
      <c r="M420" s="2"/>
    </row>
    <row r="421" spans="1:13" x14ac:dyDescent="0.25">
      <c r="A421" s="2" t="s">
        <v>1154</v>
      </c>
      <c r="B421" s="2" t="s">
        <v>21</v>
      </c>
      <c r="C421" s="2" t="s">
        <v>406</v>
      </c>
      <c r="D421" s="2"/>
      <c r="E421" s="2" t="s">
        <v>1155</v>
      </c>
      <c r="F421" s="2">
        <v>5.9727269952947397</v>
      </c>
      <c r="G421" s="2">
        <v>44</v>
      </c>
      <c r="H421" s="2">
        <v>3300</v>
      </c>
      <c r="I421" s="2" t="s">
        <v>44</v>
      </c>
      <c r="J421" s="2" t="s">
        <v>45</v>
      </c>
      <c r="K421" s="2" t="s">
        <v>46</v>
      </c>
      <c r="L421" s="2"/>
      <c r="M421" s="2"/>
    </row>
    <row r="422" spans="1:13" x14ac:dyDescent="0.25">
      <c r="A422" s="2" t="s">
        <v>1156</v>
      </c>
      <c r="B422" s="2" t="s">
        <v>20</v>
      </c>
      <c r="C422" s="2" t="s">
        <v>1157</v>
      </c>
      <c r="D422" s="2"/>
      <c r="E422" s="2" t="s">
        <v>1158</v>
      </c>
      <c r="F422" s="2">
        <v>6.0363637750799004</v>
      </c>
      <c r="G422" s="2">
        <v>11</v>
      </c>
      <c r="H422" s="2">
        <v>3300</v>
      </c>
      <c r="I422" s="2" t="s">
        <v>56</v>
      </c>
      <c r="J422" s="2" t="s">
        <v>57</v>
      </c>
      <c r="K422" s="2" t="s">
        <v>58</v>
      </c>
      <c r="L422" s="2"/>
      <c r="M422" s="2"/>
    </row>
    <row r="423" spans="1:13" x14ac:dyDescent="0.25">
      <c r="A423" s="2" t="s">
        <v>1159</v>
      </c>
      <c r="B423" s="2" t="s">
        <v>3</v>
      </c>
      <c r="C423" s="2" t="s">
        <v>1063</v>
      </c>
      <c r="D423" s="2"/>
      <c r="E423" s="2" t="s">
        <v>1160</v>
      </c>
      <c r="F423" s="2">
        <v>4.3078430774165097</v>
      </c>
      <c r="G423" s="2">
        <v>51</v>
      </c>
      <c r="H423" s="2">
        <v>3300</v>
      </c>
      <c r="I423" s="2" t="s">
        <v>44</v>
      </c>
      <c r="J423" s="2" t="s">
        <v>46</v>
      </c>
      <c r="K423" s="2" t="s">
        <v>45</v>
      </c>
      <c r="L423" s="2"/>
      <c r="M423" s="2"/>
    </row>
    <row r="424" spans="1:13" x14ac:dyDescent="0.25">
      <c r="A424" s="2" t="s">
        <v>1161</v>
      </c>
      <c r="B424" s="2" t="s">
        <v>3</v>
      </c>
      <c r="C424" s="2" t="s">
        <v>1162</v>
      </c>
      <c r="D424" s="2"/>
      <c r="E424" s="2" t="s">
        <v>314</v>
      </c>
      <c r="F424" s="2">
        <v>5.3963634144176096</v>
      </c>
      <c r="G424" s="2">
        <v>55</v>
      </c>
      <c r="H424" s="2">
        <v>3300</v>
      </c>
      <c r="I424" s="2" t="s">
        <v>50</v>
      </c>
      <c r="J424" s="2" t="s">
        <v>51</v>
      </c>
      <c r="K424" s="2" t="s">
        <v>52</v>
      </c>
      <c r="L424" s="2"/>
      <c r="M424" s="2"/>
    </row>
    <row r="425" spans="1:13" x14ac:dyDescent="0.25">
      <c r="A425" s="2" t="s">
        <v>1163</v>
      </c>
      <c r="B425" s="2" t="s">
        <v>20</v>
      </c>
      <c r="C425" s="2" t="s">
        <v>704</v>
      </c>
      <c r="D425" s="2"/>
      <c r="E425" s="2" t="s">
        <v>1164</v>
      </c>
      <c r="F425" s="2">
        <v>5.3217391967773402</v>
      </c>
      <c r="G425" s="2">
        <v>46</v>
      </c>
      <c r="H425" s="2">
        <v>3300</v>
      </c>
      <c r="I425" s="2" t="s">
        <v>50</v>
      </c>
      <c r="J425" s="2" t="s">
        <v>52</v>
      </c>
      <c r="K425" s="2" t="s">
        <v>51</v>
      </c>
      <c r="L425" s="2"/>
      <c r="M425" s="2"/>
    </row>
    <row r="426" spans="1:13" x14ac:dyDescent="0.25">
      <c r="A426" s="2" t="s">
        <v>1165</v>
      </c>
      <c r="B426" s="2" t="s">
        <v>21</v>
      </c>
      <c r="C426" s="2" t="s">
        <v>960</v>
      </c>
      <c r="D426" s="2"/>
      <c r="E426" s="2" t="s">
        <v>1166</v>
      </c>
      <c r="F426" s="2">
        <v>3.62926836711604</v>
      </c>
      <c r="G426" s="2">
        <v>41</v>
      </c>
      <c r="H426" s="2">
        <v>3300</v>
      </c>
      <c r="I426" s="2" t="s">
        <v>114</v>
      </c>
      <c r="J426" s="2" t="s">
        <v>115</v>
      </c>
      <c r="K426" s="2" t="s">
        <v>116</v>
      </c>
      <c r="L426" s="2" t="s">
        <v>92</v>
      </c>
      <c r="M426" s="2" t="s">
        <v>621</v>
      </c>
    </row>
    <row r="427" spans="1:13" x14ac:dyDescent="0.25">
      <c r="A427" s="2" t="s">
        <v>1167</v>
      </c>
      <c r="B427" s="2" t="s">
        <v>20</v>
      </c>
      <c r="C427" s="2" t="s">
        <v>1126</v>
      </c>
      <c r="D427" s="2"/>
      <c r="E427" s="2" t="s">
        <v>424</v>
      </c>
      <c r="F427" s="2">
        <v>4.8340424882604696</v>
      </c>
      <c r="G427" s="2">
        <v>47</v>
      </c>
      <c r="H427" s="2">
        <v>3300</v>
      </c>
      <c r="I427" s="2" t="s">
        <v>50</v>
      </c>
      <c r="J427" s="2" t="s">
        <v>52</v>
      </c>
      <c r="K427" s="2" t="s">
        <v>51</v>
      </c>
      <c r="L427" s="2"/>
      <c r="M427" s="2"/>
    </row>
    <row r="428" spans="1:13" x14ac:dyDescent="0.25">
      <c r="A428" s="2" t="s">
        <v>1168</v>
      </c>
      <c r="B428" s="2" t="s">
        <v>20</v>
      </c>
      <c r="C428" s="2" t="s">
        <v>1169</v>
      </c>
      <c r="D428" s="2"/>
      <c r="E428" s="2" t="s">
        <v>1170</v>
      </c>
      <c r="F428" s="2">
        <v>6.3555557816116899</v>
      </c>
      <c r="G428" s="2">
        <v>54</v>
      </c>
      <c r="H428" s="2">
        <v>3300</v>
      </c>
      <c r="I428" s="2" t="s">
        <v>44</v>
      </c>
      <c r="J428" s="2" t="s">
        <v>45</v>
      </c>
      <c r="K428" s="2" t="s">
        <v>46</v>
      </c>
      <c r="L428" s="2"/>
      <c r="M428" s="2"/>
    </row>
    <row r="429" spans="1:13" x14ac:dyDescent="0.25">
      <c r="A429" s="2" t="s">
        <v>1171</v>
      </c>
      <c r="B429" s="2" t="s">
        <v>20</v>
      </c>
      <c r="C429" s="2" t="s">
        <v>992</v>
      </c>
      <c r="D429" s="2"/>
      <c r="E429" s="2" t="s">
        <v>1172</v>
      </c>
      <c r="F429" s="2">
        <v>5.04</v>
      </c>
      <c r="G429" s="2">
        <v>50</v>
      </c>
      <c r="H429" s="2">
        <v>3300</v>
      </c>
      <c r="I429" s="2" t="s">
        <v>62</v>
      </c>
      <c r="J429" s="2" t="s">
        <v>64</v>
      </c>
      <c r="K429" s="2" t="s">
        <v>63</v>
      </c>
      <c r="L429" s="2"/>
      <c r="M429" s="2"/>
    </row>
    <row r="430" spans="1:13" x14ac:dyDescent="0.25">
      <c r="A430" s="2" t="s">
        <v>1173</v>
      </c>
      <c r="B430" s="2" t="s">
        <v>3</v>
      </c>
      <c r="C430" s="2" t="s">
        <v>1174</v>
      </c>
      <c r="D430" s="2"/>
      <c r="E430" s="2" t="s">
        <v>1175</v>
      </c>
      <c r="F430" s="2">
        <v>4.6148147583007804</v>
      </c>
      <c r="G430" s="2">
        <v>54</v>
      </c>
      <c r="H430" s="2">
        <v>3300</v>
      </c>
      <c r="I430" s="2" t="s">
        <v>126</v>
      </c>
      <c r="J430" s="2" t="s">
        <v>128</v>
      </c>
      <c r="K430" s="2" t="s">
        <v>127</v>
      </c>
      <c r="L430" s="2"/>
      <c r="M430" s="2"/>
    </row>
    <row r="431" spans="1:13" x14ac:dyDescent="0.25">
      <c r="A431" s="2" t="s">
        <v>1176</v>
      </c>
      <c r="B431" s="2" t="s">
        <v>21</v>
      </c>
      <c r="C431" s="2" t="s">
        <v>1036</v>
      </c>
      <c r="D431" s="2"/>
      <c r="E431" s="2" t="s">
        <v>711</v>
      </c>
      <c r="F431" s="2">
        <v>4.2814814249674402</v>
      </c>
      <c r="G431" s="2">
        <v>54</v>
      </c>
      <c r="H431" s="2">
        <v>3300</v>
      </c>
      <c r="I431" s="2" t="s">
        <v>44</v>
      </c>
      <c r="J431" s="2" t="s">
        <v>45</v>
      </c>
      <c r="K431" s="2" t="s">
        <v>46</v>
      </c>
      <c r="L431" s="2"/>
      <c r="M431" s="2"/>
    </row>
    <row r="432" spans="1:13" x14ac:dyDescent="0.25">
      <c r="A432" s="2" t="s">
        <v>1177</v>
      </c>
      <c r="B432" s="2" t="s">
        <v>20</v>
      </c>
      <c r="C432" s="2" t="s">
        <v>857</v>
      </c>
      <c r="D432" s="2"/>
      <c r="E432" s="2" t="s">
        <v>1178</v>
      </c>
      <c r="F432" s="2">
        <v>3.8181818181818099</v>
      </c>
      <c r="G432" s="2">
        <v>44</v>
      </c>
      <c r="H432" s="2">
        <v>3300</v>
      </c>
      <c r="I432" s="2" t="s">
        <v>135</v>
      </c>
      <c r="J432" s="2" t="s">
        <v>136</v>
      </c>
      <c r="K432" s="2" t="s">
        <v>137</v>
      </c>
      <c r="L432" s="2"/>
      <c r="M432" s="2"/>
    </row>
    <row r="433" spans="1:13" x14ac:dyDescent="0.25">
      <c r="A433" s="2" t="s">
        <v>1179</v>
      </c>
      <c r="B433" s="2" t="s">
        <v>20</v>
      </c>
      <c r="C433" s="2" t="s">
        <v>1180</v>
      </c>
      <c r="D433" s="2"/>
      <c r="E433" s="2" t="s">
        <v>1181</v>
      </c>
      <c r="F433" s="2">
        <v>6.0900001525878897</v>
      </c>
      <c r="G433" s="2">
        <v>20</v>
      </c>
      <c r="H433" s="2">
        <v>3300</v>
      </c>
      <c r="I433" s="2" t="s">
        <v>135</v>
      </c>
      <c r="J433" s="2" t="s">
        <v>137</v>
      </c>
      <c r="K433" s="2" t="s">
        <v>136</v>
      </c>
      <c r="L433" s="2"/>
      <c r="M433" s="2"/>
    </row>
    <row r="434" spans="1:13" x14ac:dyDescent="0.25">
      <c r="A434" s="2" t="s">
        <v>1182</v>
      </c>
      <c r="B434" s="2" t="s">
        <v>20</v>
      </c>
      <c r="C434" s="2" t="s">
        <v>340</v>
      </c>
      <c r="D434" s="2"/>
      <c r="E434" s="2" t="s">
        <v>1183</v>
      </c>
      <c r="F434" s="2">
        <v>6.5599998474121097</v>
      </c>
      <c r="G434" s="2">
        <v>20</v>
      </c>
      <c r="H434" s="2">
        <v>3300</v>
      </c>
      <c r="I434" s="2" t="s">
        <v>44</v>
      </c>
      <c r="J434" s="2" t="s">
        <v>46</v>
      </c>
      <c r="K434" s="2" t="s">
        <v>45</v>
      </c>
      <c r="L434" s="2"/>
      <c r="M434" s="2"/>
    </row>
    <row r="435" spans="1:13" x14ac:dyDescent="0.25">
      <c r="A435" s="2" t="s">
        <v>1184</v>
      </c>
      <c r="B435" s="2" t="s">
        <v>20</v>
      </c>
      <c r="C435" s="2" t="s">
        <v>348</v>
      </c>
      <c r="D435" s="2"/>
      <c r="E435" s="2" t="s">
        <v>1185</v>
      </c>
      <c r="F435" s="2">
        <v>4.5142857687813898</v>
      </c>
      <c r="G435" s="2">
        <v>28</v>
      </c>
      <c r="H435" s="2">
        <v>3300</v>
      </c>
      <c r="I435" s="2" t="s">
        <v>114</v>
      </c>
      <c r="J435" s="2" t="s">
        <v>116</v>
      </c>
      <c r="K435" s="2" t="s">
        <v>115</v>
      </c>
      <c r="L435" s="2"/>
      <c r="M435" s="2"/>
    </row>
    <row r="436" spans="1:13" x14ac:dyDescent="0.25">
      <c r="A436" s="2" t="s">
        <v>1186</v>
      </c>
      <c r="B436" s="2" t="s">
        <v>20</v>
      </c>
      <c r="C436" s="2" t="s">
        <v>191</v>
      </c>
      <c r="D436" s="2"/>
      <c r="E436" s="2" t="s">
        <v>1051</v>
      </c>
      <c r="F436" s="2">
        <v>1.20000004768371</v>
      </c>
      <c r="G436" s="2">
        <v>4</v>
      </c>
      <c r="H436" s="2">
        <v>3300</v>
      </c>
      <c r="I436" s="2" t="s">
        <v>74</v>
      </c>
      <c r="J436" s="2" t="s">
        <v>75</v>
      </c>
      <c r="K436" s="2" t="s">
        <v>76</v>
      </c>
      <c r="L436" s="2"/>
      <c r="M436" s="2"/>
    </row>
    <row r="437" spans="1:13" x14ac:dyDescent="0.25">
      <c r="A437" s="2" t="s">
        <v>1187</v>
      </c>
      <c r="B437" s="2" t="s">
        <v>20</v>
      </c>
      <c r="C437" s="2" t="s">
        <v>710</v>
      </c>
      <c r="D437" s="2"/>
      <c r="E437" s="2" t="s">
        <v>140</v>
      </c>
      <c r="F437" s="2">
        <v>5.4615384615384599</v>
      </c>
      <c r="G437" s="2">
        <v>39</v>
      </c>
      <c r="H437" s="2">
        <v>3300</v>
      </c>
      <c r="I437" s="2" t="s">
        <v>62</v>
      </c>
      <c r="J437" s="2" t="s">
        <v>64</v>
      </c>
      <c r="K437" s="2" t="s">
        <v>63</v>
      </c>
      <c r="L437" s="2"/>
      <c r="M437" s="2"/>
    </row>
    <row r="438" spans="1:13" x14ac:dyDescent="0.25">
      <c r="A438" s="2" t="s">
        <v>1188</v>
      </c>
      <c r="B438" s="2" t="s">
        <v>20</v>
      </c>
      <c r="C438" s="2" t="s">
        <v>154</v>
      </c>
      <c r="D438" s="2"/>
      <c r="E438" s="2" t="s">
        <v>1189</v>
      </c>
      <c r="F438" s="2">
        <v>7.3400001525878897</v>
      </c>
      <c r="G438" s="2">
        <v>20</v>
      </c>
      <c r="H438" s="2">
        <v>3300</v>
      </c>
      <c r="I438" s="2" t="s">
        <v>106</v>
      </c>
      <c r="J438" s="2" t="s">
        <v>108</v>
      </c>
      <c r="K438" s="2" t="s">
        <v>107</v>
      </c>
      <c r="L438" s="2" t="s">
        <v>92</v>
      </c>
      <c r="M438" s="2" t="s">
        <v>469</v>
      </c>
    </row>
    <row r="439" spans="1:13" x14ac:dyDescent="0.25">
      <c r="A439" s="2" t="s">
        <v>1190</v>
      </c>
      <c r="B439" s="2" t="s">
        <v>21</v>
      </c>
      <c r="C439" s="2" t="s">
        <v>1191</v>
      </c>
      <c r="D439" s="2"/>
      <c r="E439" s="2" t="s">
        <v>1192</v>
      </c>
      <c r="F439" s="2">
        <v>4.9142855689639102</v>
      </c>
      <c r="G439" s="2">
        <v>42</v>
      </c>
      <c r="H439" s="2">
        <v>3200</v>
      </c>
      <c r="I439" s="2" t="s">
        <v>106</v>
      </c>
      <c r="J439" s="2" t="s">
        <v>107</v>
      </c>
      <c r="K439" s="2" t="s">
        <v>108</v>
      </c>
      <c r="L439" s="2"/>
      <c r="M439" s="2"/>
    </row>
    <row r="440" spans="1:13" x14ac:dyDescent="0.25">
      <c r="A440" s="2" t="s">
        <v>1193</v>
      </c>
      <c r="B440" s="2" t="s">
        <v>21</v>
      </c>
      <c r="C440" s="2" t="s">
        <v>1194</v>
      </c>
      <c r="D440" s="2"/>
      <c r="E440" s="2" t="s">
        <v>1195</v>
      </c>
      <c r="F440" s="2">
        <v>4.8615385202261097</v>
      </c>
      <c r="G440" s="2">
        <v>13</v>
      </c>
      <c r="H440" s="2">
        <v>3200</v>
      </c>
      <c r="I440" s="2" t="s">
        <v>135</v>
      </c>
      <c r="J440" s="2" t="s">
        <v>137</v>
      </c>
      <c r="K440" s="2" t="s">
        <v>136</v>
      </c>
      <c r="L440" s="2"/>
      <c r="M440" s="2"/>
    </row>
    <row r="441" spans="1:13" x14ac:dyDescent="0.25">
      <c r="A441" s="2" t="s">
        <v>1196</v>
      </c>
      <c r="B441" s="2" t="s">
        <v>3</v>
      </c>
      <c r="C441" s="2" t="s">
        <v>98</v>
      </c>
      <c r="D441" s="2"/>
      <c r="E441" s="2" t="s">
        <v>1197</v>
      </c>
      <c r="F441" s="2">
        <v>4.08888880411783</v>
      </c>
      <c r="G441" s="2">
        <v>18</v>
      </c>
      <c r="H441" s="2">
        <v>3200</v>
      </c>
      <c r="I441" s="2" t="s">
        <v>100</v>
      </c>
      <c r="J441" s="2" t="s">
        <v>101</v>
      </c>
      <c r="K441" s="2" t="s">
        <v>102</v>
      </c>
      <c r="L441" s="2"/>
      <c r="M441" s="2"/>
    </row>
    <row r="442" spans="1:13" x14ac:dyDescent="0.25">
      <c r="A442" s="2" t="s">
        <v>1198</v>
      </c>
      <c r="B442" s="2" t="s">
        <v>3</v>
      </c>
      <c r="C442" s="2" t="s">
        <v>375</v>
      </c>
      <c r="D442" s="2"/>
      <c r="E442" s="2" t="s">
        <v>1199</v>
      </c>
      <c r="F442" s="2">
        <v>0</v>
      </c>
      <c r="G442" s="2">
        <v>0</v>
      </c>
      <c r="H442" s="2">
        <v>3200</v>
      </c>
      <c r="I442" s="2" t="s">
        <v>50</v>
      </c>
      <c r="J442" s="2" t="s">
        <v>52</v>
      </c>
      <c r="K442" s="2" t="s">
        <v>51</v>
      </c>
      <c r="L442" s="2"/>
      <c r="M442" s="2"/>
    </row>
    <row r="443" spans="1:13" x14ac:dyDescent="0.25">
      <c r="A443" s="2" t="s">
        <v>1200</v>
      </c>
      <c r="B443" s="2" t="s">
        <v>20</v>
      </c>
      <c r="C443" s="2" t="s">
        <v>403</v>
      </c>
      <c r="D443" s="2"/>
      <c r="E443" s="2" t="s">
        <v>1201</v>
      </c>
      <c r="F443" s="2">
        <v>5.5913046131963302</v>
      </c>
      <c r="G443" s="2">
        <v>46</v>
      </c>
      <c r="H443" s="2">
        <v>3200</v>
      </c>
      <c r="I443" s="2" t="s">
        <v>126</v>
      </c>
      <c r="J443" s="2" t="s">
        <v>128</v>
      </c>
      <c r="K443" s="2" t="s">
        <v>127</v>
      </c>
      <c r="L443" s="2"/>
      <c r="M443" s="2"/>
    </row>
    <row r="444" spans="1:13" x14ac:dyDescent="0.25">
      <c r="A444" s="2" t="s">
        <v>1202</v>
      </c>
      <c r="B444" s="2" t="s">
        <v>20</v>
      </c>
      <c r="C444" s="2" t="s">
        <v>1203</v>
      </c>
      <c r="D444" s="2"/>
      <c r="E444" s="2" t="s">
        <v>1204</v>
      </c>
      <c r="F444" s="2">
        <v>4.7999998728434203</v>
      </c>
      <c r="G444" s="2">
        <v>3</v>
      </c>
      <c r="H444" s="2">
        <v>3200</v>
      </c>
      <c r="I444" s="2" t="s">
        <v>62</v>
      </c>
      <c r="J444" s="2" t="s">
        <v>64</v>
      </c>
      <c r="K444" s="2" t="s">
        <v>63</v>
      </c>
      <c r="L444" s="2"/>
      <c r="M444" s="2"/>
    </row>
    <row r="445" spans="1:13" x14ac:dyDescent="0.25">
      <c r="A445" s="2" t="s">
        <v>1205</v>
      </c>
      <c r="B445" s="2" t="s">
        <v>21</v>
      </c>
      <c r="C445" s="2" t="s">
        <v>1206</v>
      </c>
      <c r="D445" s="2"/>
      <c r="E445" s="2" t="s">
        <v>1207</v>
      </c>
      <c r="F445" s="2">
        <v>4.0340426830535199</v>
      </c>
      <c r="G445" s="2">
        <v>47</v>
      </c>
      <c r="H445" s="2">
        <v>3200</v>
      </c>
      <c r="I445" s="2" t="s">
        <v>50</v>
      </c>
      <c r="J445" s="2" t="s">
        <v>52</v>
      </c>
      <c r="K445" s="2" t="s">
        <v>51</v>
      </c>
      <c r="L445" s="2"/>
      <c r="M445" s="2"/>
    </row>
    <row r="446" spans="1:13" x14ac:dyDescent="0.25">
      <c r="A446" s="2" t="s">
        <v>1208</v>
      </c>
      <c r="B446" s="2" t="s">
        <v>3</v>
      </c>
      <c r="C446" s="2" t="s">
        <v>406</v>
      </c>
      <c r="D446" s="2"/>
      <c r="E446" s="2" t="s">
        <v>1209</v>
      </c>
      <c r="F446" s="2">
        <v>3.20000004768371</v>
      </c>
      <c r="G446" s="2">
        <v>1</v>
      </c>
      <c r="H446" s="2">
        <v>3200</v>
      </c>
      <c r="I446" s="2" t="s">
        <v>62</v>
      </c>
      <c r="J446" s="2" t="s">
        <v>63</v>
      </c>
      <c r="K446" s="2" t="s">
        <v>64</v>
      </c>
      <c r="L446" s="2"/>
      <c r="M446" s="2"/>
    </row>
    <row r="447" spans="1:13" x14ac:dyDescent="0.25">
      <c r="A447" s="2" t="s">
        <v>1210</v>
      </c>
      <c r="B447" s="2" t="s">
        <v>21</v>
      </c>
      <c r="C447" s="2" t="s">
        <v>392</v>
      </c>
      <c r="D447" s="2"/>
      <c r="E447" s="2" t="s">
        <v>1211</v>
      </c>
      <c r="F447" s="2">
        <v>5.0212765957446797</v>
      </c>
      <c r="G447" s="2">
        <v>47</v>
      </c>
      <c r="H447" s="2">
        <v>3200</v>
      </c>
      <c r="I447" s="2" t="s">
        <v>114</v>
      </c>
      <c r="J447" s="2" t="s">
        <v>115</v>
      </c>
      <c r="K447" s="2" t="s">
        <v>116</v>
      </c>
      <c r="L447" s="2"/>
      <c r="M447" s="2"/>
    </row>
    <row r="448" spans="1:13" x14ac:dyDescent="0.25">
      <c r="A448" s="2" t="s">
        <v>1212</v>
      </c>
      <c r="B448" s="2" t="s">
        <v>21</v>
      </c>
      <c r="C448" s="2" t="s">
        <v>945</v>
      </c>
      <c r="D448" s="2"/>
      <c r="E448" s="2" t="s">
        <v>1213</v>
      </c>
      <c r="F448" s="2">
        <v>9.0666669209798094</v>
      </c>
      <c r="G448" s="2">
        <v>3</v>
      </c>
      <c r="H448" s="2">
        <v>3200</v>
      </c>
      <c r="I448" s="2" t="s">
        <v>50</v>
      </c>
      <c r="J448" s="2" t="s">
        <v>52</v>
      </c>
      <c r="K448" s="2" t="s">
        <v>51</v>
      </c>
      <c r="L448" s="2"/>
      <c r="M448" s="2"/>
    </row>
    <row r="449" spans="1:13" x14ac:dyDescent="0.25">
      <c r="A449" s="2" t="s">
        <v>1214</v>
      </c>
      <c r="B449" s="2" t="s">
        <v>21</v>
      </c>
      <c r="C449" s="2" t="s">
        <v>273</v>
      </c>
      <c r="D449" s="2"/>
      <c r="E449" s="2" t="s">
        <v>1215</v>
      </c>
      <c r="F449" s="2">
        <v>4.3478260869565197</v>
      </c>
      <c r="G449" s="2">
        <v>46</v>
      </c>
      <c r="H449" s="2">
        <v>3200</v>
      </c>
      <c r="I449" s="2" t="s">
        <v>135</v>
      </c>
      <c r="J449" s="2" t="s">
        <v>137</v>
      </c>
      <c r="K449" s="2" t="s">
        <v>136</v>
      </c>
      <c r="L449" s="2"/>
      <c r="M449" s="2"/>
    </row>
    <row r="450" spans="1:13" x14ac:dyDescent="0.25">
      <c r="A450" s="2" t="s">
        <v>1216</v>
      </c>
      <c r="B450" s="2" t="s">
        <v>20</v>
      </c>
      <c r="C450" s="2" t="s">
        <v>1217</v>
      </c>
      <c r="D450" s="2"/>
      <c r="E450" s="2" t="s">
        <v>1218</v>
      </c>
      <c r="F450" s="2">
        <v>4.1509433962264097</v>
      </c>
      <c r="G450" s="2">
        <v>53</v>
      </c>
      <c r="H450" s="2">
        <v>3200</v>
      </c>
      <c r="I450" s="2" t="s">
        <v>62</v>
      </c>
      <c r="J450" s="2" t="s">
        <v>63</v>
      </c>
      <c r="K450" s="2" t="s">
        <v>64</v>
      </c>
      <c r="L450" s="2"/>
      <c r="M450" s="2"/>
    </row>
    <row r="451" spans="1:13" x14ac:dyDescent="0.25">
      <c r="A451" s="2" t="s">
        <v>1219</v>
      </c>
      <c r="B451" s="2" t="s">
        <v>21</v>
      </c>
      <c r="C451" s="2" t="s">
        <v>591</v>
      </c>
      <c r="D451" s="2"/>
      <c r="E451" s="2" t="s">
        <v>1220</v>
      </c>
      <c r="F451" s="2">
        <v>4.9097561719940899</v>
      </c>
      <c r="G451" s="2">
        <v>41</v>
      </c>
      <c r="H451" s="2">
        <v>3200</v>
      </c>
      <c r="I451" s="2" t="s">
        <v>50</v>
      </c>
      <c r="J451" s="2" t="s">
        <v>52</v>
      </c>
      <c r="K451" s="2" t="s">
        <v>51</v>
      </c>
      <c r="L451" s="2"/>
      <c r="M451" s="2"/>
    </row>
    <row r="452" spans="1:13" x14ac:dyDescent="0.25">
      <c r="A452" s="2" t="s">
        <v>1221</v>
      </c>
      <c r="B452" s="2" t="s">
        <v>21</v>
      </c>
      <c r="C452" s="2" t="s">
        <v>364</v>
      </c>
      <c r="D452" s="2"/>
      <c r="E452" s="2" t="s">
        <v>1222</v>
      </c>
      <c r="F452" s="2">
        <v>6</v>
      </c>
      <c r="G452" s="2">
        <v>14</v>
      </c>
      <c r="H452" s="2">
        <v>3200</v>
      </c>
      <c r="I452" s="2" t="s">
        <v>135</v>
      </c>
      <c r="J452" s="2" t="s">
        <v>137</v>
      </c>
      <c r="K452" s="2" t="s">
        <v>136</v>
      </c>
      <c r="L452" s="2" t="s">
        <v>92</v>
      </c>
      <c r="M452" s="2" t="s">
        <v>1223</v>
      </c>
    </row>
    <row r="453" spans="1:13" x14ac:dyDescent="0.25">
      <c r="A453" s="2" t="s">
        <v>1224</v>
      </c>
      <c r="B453" s="2" t="s">
        <v>20</v>
      </c>
      <c r="C453" s="2" t="s">
        <v>1225</v>
      </c>
      <c r="D453" s="2"/>
      <c r="E453" s="2" t="s">
        <v>417</v>
      </c>
      <c r="F453" s="2">
        <v>3.6769230182354198</v>
      </c>
      <c r="G453" s="2">
        <v>52</v>
      </c>
      <c r="H453" s="2">
        <v>3200</v>
      </c>
      <c r="I453" s="2" t="s">
        <v>68</v>
      </c>
      <c r="J453" s="2" t="s">
        <v>69</v>
      </c>
      <c r="K453" s="2" t="s">
        <v>70</v>
      </c>
      <c r="L453" s="2"/>
      <c r="M453" s="2"/>
    </row>
    <row r="454" spans="1:13" x14ac:dyDescent="0.25">
      <c r="A454" s="2" t="s">
        <v>1226</v>
      </c>
      <c r="B454" s="2" t="s">
        <v>21</v>
      </c>
      <c r="C454" s="2" t="s">
        <v>965</v>
      </c>
      <c r="D454" s="2"/>
      <c r="E454" s="2" t="s">
        <v>1227</v>
      </c>
      <c r="F454" s="2">
        <v>6.83249969482421</v>
      </c>
      <c r="G454" s="2">
        <v>40</v>
      </c>
      <c r="H454" s="2">
        <v>3200</v>
      </c>
      <c r="I454" s="2" t="s">
        <v>44</v>
      </c>
      <c r="J454" s="2" t="s">
        <v>45</v>
      </c>
      <c r="K454" s="2" t="s">
        <v>46</v>
      </c>
      <c r="L454" s="2"/>
      <c r="M454" s="2"/>
    </row>
    <row r="455" spans="1:13" x14ac:dyDescent="0.25">
      <c r="A455" s="2" t="s">
        <v>1228</v>
      </c>
      <c r="B455" s="2" t="s">
        <v>21</v>
      </c>
      <c r="C455" s="2" t="s">
        <v>1229</v>
      </c>
      <c r="D455" s="2"/>
      <c r="E455" s="2" t="s">
        <v>1230</v>
      </c>
      <c r="F455" s="2">
        <v>5.3090910478071702</v>
      </c>
      <c r="G455" s="2">
        <v>44</v>
      </c>
      <c r="H455" s="2">
        <v>3200</v>
      </c>
      <c r="I455" s="2" t="s">
        <v>56</v>
      </c>
      <c r="J455" s="2" t="s">
        <v>57</v>
      </c>
      <c r="K455" s="2" t="s">
        <v>58</v>
      </c>
      <c r="L455" s="2"/>
      <c r="M455" s="2"/>
    </row>
    <row r="456" spans="1:13" x14ac:dyDescent="0.25">
      <c r="A456" s="2" t="s">
        <v>1231</v>
      </c>
      <c r="B456" s="2" t="s">
        <v>21</v>
      </c>
      <c r="C456" s="2" t="s">
        <v>1232</v>
      </c>
      <c r="D456" s="2"/>
      <c r="E456" s="2" t="s">
        <v>1233</v>
      </c>
      <c r="F456" s="2">
        <v>18.25</v>
      </c>
      <c r="G456" s="2">
        <v>2</v>
      </c>
      <c r="H456" s="2">
        <v>3200</v>
      </c>
      <c r="I456" s="2" t="s">
        <v>100</v>
      </c>
      <c r="J456" s="2" t="s">
        <v>102</v>
      </c>
      <c r="K456" s="2" t="s">
        <v>101</v>
      </c>
      <c r="L456" s="2"/>
      <c r="M456" s="2"/>
    </row>
    <row r="457" spans="1:13" x14ac:dyDescent="0.25">
      <c r="A457" s="2" t="s">
        <v>1234</v>
      </c>
      <c r="B457" s="2" t="s">
        <v>21</v>
      </c>
      <c r="C457" s="2" t="s">
        <v>395</v>
      </c>
      <c r="D457" s="2"/>
      <c r="E457" s="2" t="s">
        <v>1235</v>
      </c>
      <c r="F457" s="2">
        <v>3.4</v>
      </c>
      <c r="G457" s="2">
        <v>40</v>
      </c>
      <c r="H457" s="2">
        <v>3200</v>
      </c>
      <c r="I457" s="2" t="s">
        <v>126</v>
      </c>
      <c r="J457" s="2" t="s">
        <v>128</v>
      </c>
      <c r="K457" s="2" t="s">
        <v>127</v>
      </c>
      <c r="L457" s="2"/>
      <c r="M457" s="2"/>
    </row>
    <row r="458" spans="1:13" x14ac:dyDescent="0.25">
      <c r="A458" s="2" t="s">
        <v>1236</v>
      </c>
      <c r="B458" s="2" t="s">
        <v>21</v>
      </c>
      <c r="C458" s="2" t="s">
        <v>1237</v>
      </c>
      <c r="D458" s="2"/>
      <c r="E458" s="2" t="s">
        <v>1238</v>
      </c>
      <c r="F458" s="2">
        <v>2.9333333969116202</v>
      </c>
      <c r="G458" s="2">
        <v>12</v>
      </c>
      <c r="H458" s="2">
        <v>3200</v>
      </c>
      <c r="I458" s="2" t="s">
        <v>114</v>
      </c>
      <c r="J458" s="2" t="s">
        <v>115</v>
      </c>
      <c r="K458" s="2" t="s">
        <v>116</v>
      </c>
      <c r="L458" s="2"/>
      <c r="M458" s="2"/>
    </row>
    <row r="459" spans="1:13" x14ac:dyDescent="0.25">
      <c r="A459" s="2" t="s">
        <v>1239</v>
      </c>
      <c r="B459" s="2" t="s">
        <v>20</v>
      </c>
      <c r="C459" s="2" t="s">
        <v>54</v>
      </c>
      <c r="D459" s="2"/>
      <c r="E459" s="2" t="s">
        <v>1240</v>
      </c>
      <c r="F459" s="2">
        <v>3.2923076336200401</v>
      </c>
      <c r="G459" s="2">
        <v>26</v>
      </c>
      <c r="H459" s="2">
        <v>3200</v>
      </c>
      <c r="I459" s="2" t="s">
        <v>114</v>
      </c>
      <c r="J459" s="2" t="s">
        <v>115</v>
      </c>
      <c r="K459" s="2" t="s">
        <v>116</v>
      </c>
      <c r="L459" s="2" t="s">
        <v>92</v>
      </c>
      <c r="M459" s="2" t="s">
        <v>390</v>
      </c>
    </row>
    <row r="460" spans="1:13" x14ac:dyDescent="0.25">
      <c r="A460" s="2" t="s">
        <v>1241</v>
      </c>
      <c r="B460" s="2" t="s">
        <v>3</v>
      </c>
      <c r="C460" s="2" t="s">
        <v>392</v>
      </c>
      <c r="D460" s="2"/>
      <c r="E460" s="2" t="s">
        <v>1242</v>
      </c>
      <c r="F460" s="2">
        <v>4.4595745979471397</v>
      </c>
      <c r="G460" s="2">
        <v>47</v>
      </c>
      <c r="H460" s="2">
        <v>3200</v>
      </c>
      <c r="I460" s="2" t="s">
        <v>100</v>
      </c>
      <c r="J460" s="2" t="s">
        <v>102</v>
      </c>
      <c r="K460" s="2" t="s">
        <v>101</v>
      </c>
      <c r="L460" s="2" t="s">
        <v>92</v>
      </c>
      <c r="M460" s="2" t="s">
        <v>1243</v>
      </c>
    </row>
    <row r="461" spans="1:13" x14ac:dyDescent="0.25">
      <c r="A461" s="2" t="s">
        <v>1244</v>
      </c>
      <c r="B461" s="2" t="s">
        <v>21</v>
      </c>
      <c r="C461" s="2" t="s">
        <v>596</v>
      </c>
      <c r="D461" s="2"/>
      <c r="E461" s="2" t="s">
        <v>1245</v>
      </c>
      <c r="F461" s="2">
        <v>4.9860463696856803</v>
      </c>
      <c r="G461" s="2">
        <v>43</v>
      </c>
      <c r="H461" s="2">
        <v>3200</v>
      </c>
      <c r="I461" s="2" t="s">
        <v>50</v>
      </c>
      <c r="J461" s="2" t="s">
        <v>51</v>
      </c>
      <c r="K461" s="2" t="s">
        <v>52</v>
      </c>
      <c r="L461" s="2"/>
      <c r="M461" s="2"/>
    </row>
    <row r="462" spans="1:13" x14ac:dyDescent="0.25">
      <c r="A462" s="2" t="s">
        <v>1246</v>
      </c>
      <c r="B462" s="2" t="s">
        <v>21</v>
      </c>
      <c r="C462" s="2" t="s">
        <v>406</v>
      </c>
      <c r="D462" s="2"/>
      <c r="E462" s="2" t="s">
        <v>1247</v>
      </c>
      <c r="F462" s="2">
        <v>5.1612903225806397</v>
      </c>
      <c r="G462" s="2">
        <v>31</v>
      </c>
      <c r="H462" s="2">
        <v>3200</v>
      </c>
      <c r="I462" s="2" t="s">
        <v>50</v>
      </c>
      <c r="J462" s="2" t="s">
        <v>51</v>
      </c>
      <c r="K462" s="2" t="s">
        <v>52</v>
      </c>
      <c r="L462" s="2"/>
      <c r="M462" s="2"/>
    </row>
    <row r="463" spans="1:13" x14ac:dyDescent="0.25">
      <c r="A463" s="2" t="s">
        <v>1248</v>
      </c>
      <c r="B463" s="2" t="s">
        <v>21</v>
      </c>
      <c r="C463" s="2" t="s">
        <v>1249</v>
      </c>
      <c r="D463" s="2"/>
      <c r="E463" s="2" t="s">
        <v>1250</v>
      </c>
      <c r="F463" s="2">
        <v>5.8526314183285297</v>
      </c>
      <c r="G463" s="2">
        <v>38</v>
      </c>
      <c r="H463" s="2">
        <v>3200</v>
      </c>
      <c r="I463" s="2" t="s">
        <v>74</v>
      </c>
      <c r="J463" s="2" t="s">
        <v>75</v>
      </c>
      <c r="K463" s="2" t="s">
        <v>76</v>
      </c>
      <c r="L463" s="2"/>
      <c r="M463" s="2"/>
    </row>
    <row r="464" spans="1:13" x14ac:dyDescent="0.25">
      <c r="A464" s="2" t="s">
        <v>1251</v>
      </c>
      <c r="B464" s="2" t="s">
        <v>21</v>
      </c>
      <c r="C464" s="2" t="s">
        <v>1252</v>
      </c>
      <c r="D464" s="2"/>
      <c r="E464" s="2" t="s">
        <v>1253</v>
      </c>
      <c r="F464" s="2">
        <v>4.2599998474121001</v>
      </c>
      <c r="G464" s="2">
        <v>40</v>
      </c>
      <c r="H464" s="2">
        <v>3200</v>
      </c>
      <c r="I464" s="2" t="s">
        <v>100</v>
      </c>
      <c r="J464" s="2" t="s">
        <v>102</v>
      </c>
      <c r="K464" s="2" t="s">
        <v>101</v>
      </c>
      <c r="L464" s="2"/>
      <c r="M464" s="2"/>
    </row>
    <row r="465" spans="1:13" x14ac:dyDescent="0.25">
      <c r="A465" s="2" t="s">
        <v>1254</v>
      </c>
      <c r="B465" s="2" t="s">
        <v>3</v>
      </c>
      <c r="C465" s="2" t="s">
        <v>367</v>
      </c>
      <c r="D465" s="2"/>
      <c r="E465" s="2" t="s">
        <v>1255</v>
      </c>
      <c r="F465" s="2">
        <v>4.4313725490196001</v>
      </c>
      <c r="G465" s="2">
        <v>51</v>
      </c>
      <c r="H465" s="2">
        <v>3200</v>
      </c>
      <c r="I465" s="2" t="s">
        <v>106</v>
      </c>
      <c r="J465" s="2" t="s">
        <v>107</v>
      </c>
      <c r="K465" s="2" t="s">
        <v>108</v>
      </c>
      <c r="L465" s="2"/>
      <c r="M465" s="2"/>
    </row>
    <row r="466" spans="1:13" x14ac:dyDescent="0.25">
      <c r="A466" s="2" t="s">
        <v>1256</v>
      </c>
      <c r="B466" s="2" t="s">
        <v>20</v>
      </c>
      <c r="C466" s="2" t="s">
        <v>686</v>
      </c>
      <c r="D466" s="2"/>
      <c r="E466" s="2" t="s">
        <v>1257</v>
      </c>
      <c r="F466" s="2">
        <v>8.1000003814697195</v>
      </c>
      <c r="G466" s="2">
        <v>8</v>
      </c>
      <c r="H466" s="2">
        <v>3200</v>
      </c>
      <c r="I466" s="2" t="s">
        <v>126</v>
      </c>
      <c r="J466" s="2" t="s">
        <v>127</v>
      </c>
      <c r="K466" s="2" t="s">
        <v>128</v>
      </c>
      <c r="L466" s="2"/>
      <c r="M466" s="2"/>
    </row>
    <row r="467" spans="1:13" x14ac:dyDescent="0.25">
      <c r="A467" s="2" t="s">
        <v>1258</v>
      </c>
      <c r="B467" s="2" t="s">
        <v>21</v>
      </c>
      <c r="C467" s="2" t="s">
        <v>1259</v>
      </c>
      <c r="D467" s="2"/>
      <c r="E467" s="2" t="s">
        <v>1260</v>
      </c>
      <c r="F467" s="2">
        <v>3.7833334604898998</v>
      </c>
      <c r="G467" s="2">
        <v>48</v>
      </c>
      <c r="H467" s="2">
        <v>3200</v>
      </c>
      <c r="I467" s="2" t="s">
        <v>100</v>
      </c>
      <c r="J467" s="2" t="s">
        <v>102</v>
      </c>
      <c r="K467" s="2" t="s">
        <v>101</v>
      </c>
      <c r="L467" s="2"/>
      <c r="M467" s="2"/>
    </row>
    <row r="468" spans="1:13" x14ac:dyDescent="0.25">
      <c r="A468" s="2" t="s">
        <v>1261</v>
      </c>
      <c r="B468" s="2" t="s">
        <v>3</v>
      </c>
      <c r="C468" s="2" t="s">
        <v>340</v>
      </c>
      <c r="D468" s="2"/>
      <c r="E468" s="2" t="s">
        <v>775</v>
      </c>
      <c r="F468" s="2">
        <v>3.96226415094339</v>
      </c>
      <c r="G468" s="2">
        <v>53</v>
      </c>
      <c r="H468" s="2">
        <v>3200</v>
      </c>
      <c r="I468" s="2" t="s">
        <v>114</v>
      </c>
      <c r="J468" s="2" t="s">
        <v>115</v>
      </c>
      <c r="K468" s="2" t="s">
        <v>116</v>
      </c>
      <c r="L468" s="2"/>
      <c r="M468" s="2"/>
    </row>
    <row r="469" spans="1:13" x14ac:dyDescent="0.25">
      <c r="A469" s="2" t="s">
        <v>1262</v>
      </c>
      <c r="B469" s="2" t="s">
        <v>21</v>
      </c>
      <c r="C469" s="2" t="s">
        <v>1263</v>
      </c>
      <c r="D469" s="2"/>
      <c r="E469" s="2" t="s">
        <v>1264</v>
      </c>
      <c r="F469" s="2">
        <v>3.2666667302449501</v>
      </c>
      <c r="G469" s="2">
        <v>24</v>
      </c>
      <c r="H469" s="2">
        <v>3200</v>
      </c>
      <c r="I469" s="2" t="s">
        <v>44</v>
      </c>
      <c r="J469" s="2" t="s">
        <v>45</v>
      </c>
      <c r="K469" s="2" t="s">
        <v>46</v>
      </c>
      <c r="L469" s="2"/>
      <c r="M469" s="2"/>
    </row>
    <row r="470" spans="1:13" x14ac:dyDescent="0.25">
      <c r="A470" s="2" t="s">
        <v>1265</v>
      </c>
      <c r="B470" s="2" t="s">
        <v>20</v>
      </c>
      <c r="C470" s="2" t="s">
        <v>1266</v>
      </c>
      <c r="D470" s="2"/>
      <c r="E470" s="2" t="s">
        <v>1267</v>
      </c>
      <c r="F470" s="2">
        <v>5.95555566858362</v>
      </c>
      <c r="G470" s="2">
        <v>54</v>
      </c>
      <c r="H470" s="2">
        <v>3200</v>
      </c>
      <c r="I470" s="2" t="s">
        <v>44</v>
      </c>
      <c r="J470" s="2" t="s">
        <v>45</v>
      </c>
      <c r="K470" s="2" t="s">
        <v>46</v>
      </c>
      <c r="L470" s="2"/>
      <c r="M470" s="2"/>
    </row>
    <row r="471" spans="1:13" x14ac:dyDescent="0.25">
      <c r="A471" s="2" t="s">
        <v>1268</v>
      </c>
      <c r="B471" s="2" t="s">
        <v>21</v>
      </c>
      <c r="C471" s="2" t="s">
        <v>154</v>
      </c>
      <c r="D471" s="2"/>
      <c r="E471" s="2" t="s">
        <v>1269</v>
      </c>
      <c r="F471" s="2">
        <v>6.2826086956521703</v>
      </c>
      <c r="G471" s="2">
        <v>46</v>
      </c>
      <c r="H471" s="2">
        <v>3200</v>
      </c>
      <c r="I471" s="2" t="s">
        <v>50</v>
      </c>
      <c r="J471" s="2" t="s">
        <v>52</v>
      </c>
      <c r="K471" s="2" t="s">
        <v>51</v>
      </c>
      <c r="L471" s="2"/>
      <c r="M471" s="2"/>
    </row>
    <row r="472" spans="1:13" x14ac:dyDescent="0.25">
      <c r="A472" s="2" t="s">
        <v>1270</v>
      </c>
      <c r="B472" s="2" t="s">
        <v>20</v>
      </c>
      <c r="C472" s="2" t="s">
        <v>375</v>
      </c>
      <c r="D472" s="2"/>
      <c r="E472" s="2" t="s">
        <v>1271</v>
      </c>
      <c r="F472" s="2">
        <v>3.29302339775617</v>
      </c>
      <c r="G472" s="2">
        <v>43</v>
      </c>
      <c r="H472" s="2">
        <v>3200</v>
      </c>
      <c r="I472" s="2" t="s">
        <v>106</v>
      </c>
      <c r="J472" s="2" t="s">
        <v>107</v>
      </c>
      <c r="K472" s="2" t="s">
        <v>108</v>
      </c>
      <c r="L472" s="2"/>
      <c r="M472" s="2"/>
    </row>
    <row r="473" spans="1:13" x14ac:dyDescent="0.25">
      <c r="A473" s="2" t="s">
        <v>1272</v>
      </c>
      <c r="B473" s="2" t="s">
        <v>21</v>
      </c>
      <c r="C473" s="2" t="s">
        <v>578</v>
      </c>
      <c r="D473" s="2"/>
      <c r="E473" s="2" t="s">
        <v>1273</v>
      </c>
      <c r="F473" s="2">
        <v>4.9679998779296799</v>
      </c>
      <c r="G473" s="2">
        <v>25</v>
      </c>
      <c r="H473" s="2">
        <v>3200</v>
      </c>
      <c r="I473" s="2" t="s">
        <v>114</v>
      </c>
      <c r="J473" s="2" t="s">
        <v>116</v>
      </c>
      <c r="K473" s="2" t="s">
        <v>115</v>
      </c>
      <c r="L473" s="2"/>
      <c r="M473" s="2"/>
    </row>
    <row r="474" spans="1:13" x14ac:dyDescent="0.25">
      <c r="A474" s="2" t="s">
        <v>1274</v>
      </c>
      <c r="B474" s="2" t="s">
        <v>20</v>
      </c>
      <c r="C474" s="2" t="s">
        <v>375</v>
      </c>
      <c r="D474" s="2"/>
      <c r="E474" s="2" t="s">
        <v>1275</v>
      </c>
      <c r="F474" s="2">
        <v>4.9230769230769198</v>
      </c>
      <c r="G474" s="2">
        <v>52</v>
      </c>
      <c r="H474" s="2">
        <v>3200</v>
      </c>
      <c r="I474" s="2" t="s">
        <v>114</v>
      </c>
      <c r="J474" s="2" t="s">
        <v>116</v>
      </c>
      <c r="K474" s="2" t="s">
        <v>115</v>
      </c>
      <c r="L474" s="2"/>
      <c r="M474" s="2"/>
    </row>
    <row r="475" spans="1:13" x14ac:dyDescent="0.25">
      <c r="A475" s="2" t="s">
        <v>1276</v>
      </c>
      <c r="B475" s="2" t="s">
        <v>21</v>
      </c>
      <c r="C475" s="2" t="s">
        <v>686</v>
      </c>
      <c r="D475" s="2"/>
      <c r="E475" s="2" t="s">
        <v>711</v>
      </c>
      <c r="F475" s="2">
        <v>6.2204079141422097</v>
      </c>
      <c r="G475" s="2">
        <v>49</v>
      </c>
      <c r="H475" s="2">
        <v>3200</v>
      </c>
      <c r="I475" s="2" t="s">
        <v>56</v>
      </c>
      <c r="J475" s="2" t="s">
        <v>57</v>
      </c>
      <c r="K475" s="2" t="s">
        <v>58</v>
      </c>
      <c r="L475" s="2"/>
      <c r="M475" s="2"/>
    </row>
    <row r="476" spans="1:13" x14ac:dyDescent="0.25">
      <c r="A476" s="2" t="s">
        <v>1277</v>
      </c>
      <c r="B476" s="2" t="s">
        <v>21</v>
      </c>
      <c r="C476" s="2" t="s">
        <v>1278</v>
      </c>
      <c r="D476" s="2"/>
      <c r="E476" s="2" t="s">
        <v>1279</v>
      </c>
      <c r="F476" s="2">
        <v>5.1918366101323299</v>
      </c>
      <c r="G476" s="2">
        <v>49</v>
      </c>
      <c r="H476" s="2">
        <v>3200</v>
      </c>
      <c r="I476" s="2" t="s">
        <v>68</v>
      </c>
      <c r="J476" s="2" t="s">
        <v>70</v>
      </c>
      <c r="K476" s="2" t="s">
        <v>69</v>
      </c>
      <c r="L476" s="2"/>
      <c r="M476" s="2"/>
    </row>
    <row r="477" spans="1:13" x14ac:dyDescent="0.25">
      <c r="A477" s="2" t="s">
        <v>1280</v>
      </c>
      <c r="B477" s="2" t="s">
        <v>21</v>
      </c>
      <c r="C477" s="2" t="s">
        <v>54</v>
      </c>
      <c r="D477" s="2"/>
      <c r="E477" s="2" t="s">
        <v>1281</v>
      </c>
      <c r="F477" s="2">
        <v>5.8222222222222202</v>
      </c>
      <c r="G477" s="2">
        <v>45</v>
      </c>
      <c r="H477" s="2">
        <v>3200</v>
      </c>
      <c r="I477" s="2" t="s">
        <v>135</v>
      </c>
      <c r="J477" s="2" t="s">
        <v>136</v>
      </c>
      <c r="K477" s="2" t="s">
        <v>137</v>
      </c>
      <c r="L477" s="2"/>
      <c r="M477" s="2"/>
    </row>
    <row r="478" spans="1:13" x14ac:dyDescent="0.25">
      <c r="A478" s="2" t="s">
        <v>1282</v>
      </c>
      <c r="B478" s="2" t="s">
        <v>3</v>
      </c>
      <c r="C478" s="2" t="s">
        <v>364</v>
      </c>
      <c r="D478" s="2"/>
      <c r="E478" s="2" t="s">
        <v>1283</v>
      </c>
      <c r="F478" s="2">
        <v>5.0307693481445304</v>
      </c>
      <c r="G478" s="2">
        <v>52</v>
      </c>
      <c r="H478" s="2">
        <v>3200</v>
      </c>
      <c r="I478" s="2" t="s">
        <v>114</v>
      </c>
      <c r="J478" s="2" t="s">
        <v>116</v>
      </c>
      <c r="K478" s="2" t="s">
        <v>115</v>
      </c>
      <c r="L478" s="2"/>
      <c r="M478" s="2"/>
    </row>
    <row r="479" spans="1:13" x14ac:dyDescent="0.25">
      <c r="A479" s="2" t="s">
        <v>1284</v>
      </c>
      <c r="B479" s="2" t="s">
        <v>20</v>
      </c>
      <c r="C479" s="2" t="s">
        <v>726</v>
      </c>
      <c r="D479" s="2"/>
      <c r="E479" s="2" t="s">
        <v>1285</v>
      </c>
      <c r="F479" s="2">
        <v>3.33714294433593</v>
      </c>
      <c r="G479" s="2">
        <v>35</v>
      </c>
      <c r="H479" s="2">
        <v>3200</v>
      </c>
      <c r="I479" s="2" t="s">
        <v>100</v>
      </c>
      <c r="J479" s="2" t="s">
        <v>102</v>
      </c>
      <c r="K479" s="2" t="s">
        <v>101</v>
      </c>
      <c r="L479" s="2"/>
      <c r="M479" s="2"/>
    </row>
    <row r="480" spans="1:13" x14ac:dyDescent="0.25">
      <c r="A480" s="2" t="s">
        <v>1286</v>
      </c>
      <c r="B480" s="2" t="s">
        <v>21</v>
      </c>
      <c r="C480" s="2" t="s">
        <v>698</v>
      </c>
      <c r="D480" s="2"/>
      <c r="E480" s="2" t="s">
        <v>1287</v>
      </c>
      <c r="F480" s="2">
        <v>4.4309525262741802</v>
      </c>
      <c r="G480" s="2">
        <v>42</v>
      </c>
      <c r="H480" s="2">
        <v>3200</v>
      </c>
      <c r="I480" s="2" t="s">
        <v>100</v>
      </c>
      <c r="J480" s="2" t="s">
        <v>101</v>
      </c>
      <c r="K480" s="2" t="s">
        <v>102</v>
      </c>
      <c r="L480" s="2"/>
      <c r="M480" s="2"/>
    </row>
    <row r="481" spans="1:13" x14ac:dyDescent="0.25">
      <c r="A481" s="2" t="s">
        <v>1288</v>
      </c>
      <c r="B481" s="2" t="s">
        <v>20</v>
      </c>
      <c r="C481" s="2" t="s">
        <v>1289</v>
      </c>
      <c r="D481" s="2"/>
      <c r="E481" s="2" t="s">
        <v>1290</v>
      </c>
      <c r="F481" s="2">
        <v>3.20000004768371</v>
      </c>
      <c r="G481" s="2">
        <v>1</v>
      </c>
      <c r="H481" s="2">
        <v>3200</v>
      </c>
      <c r="I481" s="2" t="s">
        <v>74</v>
      </c>
      <c r="J481" s="2" t="s">
        <v>75</v>
      </c>
      <c r="K481" s="2" t="s">
        <v>76</v>
      </c>
      <c r="L481" s="2" t="s">
        <v>92</v>
      </c>
      <c r="M481" s="2" t="s">
        <v>1291</v>
      </c>
    </row>
    <row r="482" spans="1:13" x14ac:dyDescent="0.25">
      <c r="A482" s="2" t="s">
        <v>1292</v>
      </c>
      <c r="B482" s="2" t="s">
        <v>21</v>
      </c>
      <c r="C482" s="2" t="s">
        <v>785</v>
      </c>
      <c r="D482" s="2"/>
      <c r="E482" s="2" t="s">
        <v>1293</v>
      </c>
      <c r="F482" s="2">
        <v>5.7787235341173497</v>
      </c>
      <c r="G482" s="2">
        <v>47</v>
      </c>
      <c r="H482" s="2">
        <v>3200</v>
      </c>
      <c r="I482" s="2" t="s">
        <v>56</v>
      </c>
      <c r="J482" s="2" t="s">
        <v>58</v>
      </c>
      <c r="K482" s="2" t="s">
        <v>57</v>
      </c>
      <c r="L482" s="2"/>
      <c r="M482" s="2"/>
    </row>
    <row r="483" spans="1:13" x14ac:dyDescent="0.25">
      <c r="A483" s="2" t="s">
        <v>1294</v>
      </c>
      <c r="B483" s="2" t="s">
        <v>20</v>
      </c>
      <c r="C483" s="2" t="s">
        <v>1078</v>
      </c>
      <c r="D483" s="2"/>
      <c r="E483" s="2" t="s">
        <v>1295</v>
      </c>
      <c r="F483" s="2">
        <v>6</v>
      </c>
      <c r="G483" s="2">
        <v>14</v>
      </c>
      <c r="H483" s="2">
        <v>3200</v>
      </c>
      <c r="I483" s="2" t="s">
        <v>44</v>
      </c>
      <c r="J483" s="2" t="s">
        <v>45</v>
      </c>
      <c r="K483" s="2" t="s">
        <v>46</v>
      </c>
      <c r="L483" s="2"/>
      <c r="M483" s="2"/>
    </row>
    <row r="484" spans="1:13" x14ac:dyDescent="0.25">
      <c r="A484" s="2" t="s">
        <v>1296</v>
      </c>
      <c r="B484" s="2" t="s">
        <v>3</v>
      </c>
      <c r="C484" s="2" t="s">
        <v>467</v>
      </c>
      <c r="D484" s="2"/>
      <c r="E484" s="2" t="s">
        <v>1297</v>
      </c>
      <c r="F484" s="2">
        <v>2.3489362026782699</v>
      </c>
      <c r="G484" s="2">
        <v>47</v>
      </c>
      <c r="H484" s="2">
        <v>3200</v>
      </c>
      <c r="I484" s="2" t="s">
        <v>135</v>
      </c>
      <c r="J484" s="2" t="s">
        <v>137</v>
      </c>
      <c r="K484" s="2" t="s">
        <v>136</v>
      </c>
      <c r="L484" s="2"/>
      <c r="M484" s="2"/>
    </row>
    <row r="485" spans="1:13" x14ac:dyDescent="0.25">
      <c r="A485" s="2" t="s">
        <v>1298</v>
      </c>
      <c r="B485" s="2" t="s">
        <v>21</v>
      </c>
      <c r="C485" s="2" t="s">
        <v>392</v>
      </c>
      <c r="D485" s="2"/>
      <c r="E485" s="2" t="s">
        <v>1299</v>
      </c>
      <c r="F485" s="2">
        <v>2.9333333969116202</v>
      </c>
      <c r="G485" s="2">
        <v>24</v>
      </c>
      <c r="H485" s="2">
        <v>3200</v>
      </c>
      <c r="I485" s="2" t="s">
        <v>114</v>
      </c>
      <c r="J485" s="2" t="s">
        <v>116</v>
      </c>
      <c r="K485" s="2" t="s">
        <v>115</v>
      </c>
      <c r="L485" s="2"/>
      <c r="M485" s="2"/>
    </row>
    <row r="486" spans="1:13" x14ac:dyDescent="0.25">
      <c r="A486" s="2" t="s">
        <v>1300</v>
      </c>
      <c r="B486" s="2" t="s">
        <v>20</v>
      </c>
      <c r="C486" s="2" t="s">
        <v>849</v>
      </c>
      <c r="D486" s="2"/>
      <c r="E486" s="2" t="s">
        <v>1301</v>
      </c>
      <c r="F486" s="2">
        <v>4.4952381678989903</v>
      </c>
      <c r="G486" s="2">
        <v>21</v>
      </c>
      <c r="H486" s="2">
        <v>3200</v>
      </c>
      <c r="I486" s="2" t="s">
        <v>56</v>
      </c>
      <c r="J486" s="2" t="s">
        <v>58</v>
      </c>
      <c r="K486" s="2" t="s">
        <v>57</v>
      </c>
      <c r="L486" s="2"/>
      <c r="M486" s="2"/>
    </row>
    <row r="487" spans="1:13" x14ac:dyDescent="0.25">
      <c r="A487" s="2" t="s">
        <v>1302</v>
      </c>
      <c r="B487" s="2" t="s">
        <v>21</v>
      </c>
      <c r="C487" s="2" t="s">
        <v>207</v>
      </c>
      <c r="D487" s="2"/>
      <c r="E487" s="2" t="s">
        <v>1303</v>
      </c>
      <c r="F487" s="2">
        <v>2.0965516978296699</v>
      </c>
      <c r="G487" s="2">
        <v>29</v>
      </c>
      <c r="H487" s="2">
        <v>3200</v>
      </c>
      <c r="I487" s="2" t="s">
        <v>106</v>
      </c>
      <c r="J487" s="2" t="s">
        <v>107</v>
      </c>
      <c r="K487" s="2" t="s">
        <v>108</v>
      </c>
      <c r="L487" s="2"/>
      <c r="M487" s="2"/>
    </row>
    <row r="488" spans="1:13" x14ac:dyDescent="0.25">
      <c r="A488" s="2" t="s">
        <v>1304</v>
      </c>
      <c r="B488" s="2" t="s">
        <v>20</v>
      </c>
      <c r="C488" s="2" t="s">
        <v>762</v>
      </c>
      <c r="D488" s="2"/>
      <c r="E488" s="2" t="s">
        <v>1305</v>
      </c>
      <c r="F488" s="2">
        <v>3.20000004768371</v>
      </c>
      <c r="G488" s="2">
        <v>2</v>
      </c>
      <c r="H488" s="2">
        <v>3200</v>
      </c>
      <c r="I488" s="2" t="s">
        <v>100</v>
      </c>
      <c r="J488" s="2" t="s">
        <v>101</v>
      </c>
      <c r="K488" s="2" t="s">
        <v>102</v>
      </c>
      <c r="L488" s="2"/>
      <c r="M488" s="2"/>
    </row>
    <row r="489" spans="1:13" x14ac:dyDescent="0.25">
      <c r="A489" s="2" t="s">
        <v>1306</v>
      </c>
      <c r="B489" s="2" t="s">
        <v>3</v>
      </c>
      <c r="C489" s="2" t="s">
        <v>340</v>
      </c>
      <c r="D489" s="2"/>
      <c r="E489" s="2" t="s">
        <v>1307</v>
      </c>
      <c r="F489" s="2">
        <v>5.9066663953993004</v>
      </c>
      <c r="G489" s="2">
        <v>45</v>
      </c>
      <c r="H489" s="2">
        <v>3200</v>
      </c>
      <c r="I489" s="2" t="s">
        <v>126</v>
      </c>
      <c r="J489" s="2" t="s">
        <v>128</v>
      </c>
      <c r="K489" s="2" t="s">
        <v>127</v>
      </c>
      <c r="L489" s="2"/>
      <c r="M489" s="2"/>
    </row>
    <row r="490" spans="1:13" x14ac:dyDescent="0.25">
      <c r="A490" s="2" t="s">
        <v>1308</v>
      </c>
      <c r="B490" s="2" t="s">
        <v>3</v>
      </c>
      <c r="C490" s="2" t="s">
        <v>448</v>
      </c>
      <c r="D490" s="2"/>
      <c r="E490" s="2" t="s">
        <v>1309</v>
      </c>
      <c r="F490" s="2">
        <v>4.0615384028508101</v>
      </c>
      <c r="G490" s="2">
        <v>26</v>
      </c>
      <c r="H490" s="2">
        <v>3200</v>
      </c>
      <c r="I490" s="2" t="s">
        <v>50</v>
      </c>
      <c r="J490" s="2" t="s">
        <v>52</v>
      </c>
      <c r="K490" s="2" t="s">
        <v>51</v>
      </c>
      <c r="L490" s="2"/>
      <c r="M490" s="2"/>
    </row>
    <row r="491" spans="1:13" x14ac:dyDescent="0.25">
      <c r="A491" s="2" t="s">
        <v>1310</v>
      </c>
      <c r="B491" s="2" t="s">
        <v>21</v>
      </c>
      <c r="C491" s="2" t="s">
        <v>857</v>
      </c>
      <c r="D491" s="2"/>
      <c r="E491" s="2" t="s">
        <v>1311</v>
      </c>
      <c r="F491" s="2">
        <v>4</v>
      </c>
      <c r="G491" s="2">
        <v>7</v>
      </c>
      <c r="H491" s="2">
        <v>3200</v>
      </c>
      <c r="I491" s="2" t="s">
        <v>135</v>
      </c>
      <c r="J491" s="2" t="s">
        <v>136</v>
      </c>
      <c r="K491" s="2" t="s">
        <v>137</v>
      </c>
      <c r="L491" s="2"/>
      <c r="M491" s="2"/>
    </row>
    <row r="492" spans="1:13" x14ac:dyDescent="0.25">
      <c r="A492" s="2" t="s">
        <v>1312</v>
      </c>
      <c r="B492" s="2" t="s">
        <v>20</v>
      </c>
      <c r="C492" s="2" t="s">
        <v>1313</v>
      </c>
      <c r="D492" s="2"/>
      <c r="E492" s="2" t="s">
        <v>1314</v>
      </c>
      <c r="F492" s="2">
        <v>0</v>
      </c>
      <c r="G492" s="2">
        <v>0</v>
      </c>
      <c r="H492" s="2">
        <v>3200</v>
      </c>
      <c r="I492" s="2" t="s">
        <v>74</v>
      </c>
      <c r="J492" s="2" t="s">
        <v>75</v>
      </c>
      <c r="K492" s="2" t="s">
        <v>76</v>
      </c>
      <c r="L492" s="2"/>
      <c r="M492" s="2"/>
    </row>
    <row r="493" spans="1:13" x14ac:dyDescent="0.25">
      <c r="A493" s="2" t="s">
        <v>1315</v>
      </c>
      <c r="B493" s="2" t="s">
        <v>21</v>
      </c>
      <c r="C493" s="2" t="s">
        <v>1316</v>
      </c>
      <c r="D493" s="2"/>
      <c r="E493" s="2" t="s">
        <v>1317</v>
      </c>
      <c r="F493" s="2">
        <v>9.6000003814697195</v>
      </c>
      <c r="G493" s="2">
        <v>4</v>
      </c>
      <c r="H493" s="2">
        <v>3200</v>
      </c>
      <c r="I493" s="2" t="s">
        <v>100</v>
      </c>
      <c r="J493" s="2" t="s">
        <v>102</v>
      </c>
      <c r="K493" s="2" t="s">
        <v>101</v>
      </c>
      <c r="L493" s="2"/>
      <c r="M493" s="2"/>
    </row>
    <row r="494" spans="1:13" x14ac:dyDescent="0.25">
      <c r="A494" s="2" t="s">
        <v>1318</v>
      </c>
      <c r="B494" s="2" t="s">
        <v>20</v>
      </c>
      <c r="C494" s="2" t="s">
        <v>54</v>
      </c>
      <c r="D494" s="2"/>
      <c r="E494" s="2" t="s">
        <v>1319</v>
      </c>
      <c r="F494" s="2">
        <v>6.0952380952380896</v>
      </c>
      <c r="G494" s="2">
        <v>42</v>
      </c>
      <c r="H494" s="2">
        <v>3200</v>
      </c>
      <c r="I494" s="2" t="s">
        <v>100</v>
      </c>
      <c r="J494" s="2" t="s">
        <v>101</v>
      </c>
      <c r="K494" s="2" t="s">
        <v>102</v>
      </c>
      <c r="L494" s="2"/>
      <c r="M494" s="2"/>
    </row>
    <row r="495" spans="1:13" x14ac:dyDescent="0.25">
      <c r="A495" s="2" t="s">
        <v>1320</v>
      </c>
      <c r="B495" s="2" t="s">
        <v>21</v>
      </c>
      <c r="C495" s="2" t="s">
        <v>231</v>
      </c>
      <c r="D495" s="2"/>
      <c r="E495" s="2" t="s">
        <v>1321</v>
      </c>
      <c r="F495" s="2">
        <v>4.2666667302449497</v>
      </c>
      <c r="G495" s="2">
        <v>3</v>
      </c>
      <c r="H495" s="2">
        <v>3100</v>
      </c>
      <c r="I495" s="2" t="s">
        <v>135</v>
      </c>
      <c r="J495" s="2" t="s">
        <v>137</v>
      </c>
      <c r="K495" s="2" t="s">
        <v>136</v>
      </c>
      <c r="L495" s="2" t="s">
        <v>92</v>
      </c>
      <c r="M495" s="2" t="s">
        <v>93</v>
      </c>
    </row>
    <row r="496" spans="1:13" x14ac:dyDescent="0.25">
      <c r="A496" s="2" t="s">
        <v>1322</v>
      </c>
      <c r="B496" s="2" t="s">
        <v>21</v>
      </c>
      <c r="C496" s="2" t="s">
        <v>1323</v>
      </c>
      <c r="D496" s="2"/>
      <c r="E496" s="2" t="s">
        <v>1314</v>
      </c>
      <c r="F496" s="2">
        <v>4.0852939381318896</v>
      </c>
      <c r="G496" s="2">
        <v>34</v>
      </c>
      <c r="H496" s="2">
        <v>3100</v>
      </c>
      <c r="I496" s="2" t="s">
        <v>135</v>
      </c>
      <c r="J496" s="2" t="s">
        <v>137</v>
      </c>
      <c r="K496" s="2" t="s">
        <v>136</v>
      </c>
      <c r="L496" s="2"/>
      <c r="M496" s="2"/>
    </row>
    <row r="497" spans="1:13" x14ac:dyDescent="0.25">
      <c r="A497" s="2" t="s">
        <v>1324</v>
      </c>
      <c r="B497" s="2" t="s">
        <v>21</v>
      </c>
      <c r="C497" s="2" t="s">
        <v>165</v>
      </c>
      <c r="D497" s="2"/>
      <c r="E497" s="2" t="s">
        <v>1325</v>
      </c>
      <c r="F497" s="2">
        <v>3.5200000762939401</v>
      </c>
      <c r="G497" s="2">
        <v>10</v>
      </c>
      <c r="H497" s="2">
        <v>3100</v>
      </c>
      <c r="I497" s="2" t="s">
        <v>135</v>
      </c>
      <c r="J497" s="2" t="s">
        <v>137</v>
      </c>
      <c r="K497" s="2" t="s">
        <v>136</v>
      </c>
      <c r="L497" s="2"/>
      <c r="M497" s="2"/>
    </row>
    <row r="498" spans="1:13" x14ac:dyDescent="0.25">
      <c r="A498" s="2" t="s">
        <v>1326</v>
      </c>
      <c r="B498" s="2" t="s">
        <v>21</v>
      </c>
      <c r="C498" s="2" t="s">
        <v>210</v>
      </c>
      <c r="D498" s="2"/>
      <c r="E498" s="2" t="s">
        <v>1327</v>
      </c>
      <c r="F498" s="2">
        <v>2.94054062302048</v>
      </c>
      <c r="G498" s="2">
        <v>37</v>
      </c>
      <c r="H498" s="2">
        <v>3100</v>
      </c>
      <c r="I498" s="2" t="s">
        <v>44</v>
      </c>
      <c r="J498" s="2" t="s">
        <v>46</v>
      </c>
      <c r="K498" s="2" t="s">
        <v>45</v>
      </c>
      <c r="L498" s="2"/>
      <c r="M498" s="2"/>
    </row>
    <row r="499" spans="1:13" x14ac:dyDescent="0.25">
      <c r="A499" s="2" t="s">
        <v>1328</v>
      </c>
      <c r="B499" s="2" t="s">
        <v>21</v>
      </c>
      <c r="C499" s="2" t="s">
        <v>1329</v>
      </c>
      <c r="D499" s="2"/>
      <c r="E499" s="2" t="s">
        <v>1330</v>
      </c>
      <c r="F499" s="2">
        <v>1.00740743566442</v>
      </c>
      <c r="G499" s="2">
        <v>27</v>
      </c>
      <c r="H499" s="2">
        <v>3100</v>
      </c>
      <c r="I499" s="2" t="s">
        <v>74</v>
      </c>
      <c r="J499" s="2" t="s">
        <v>76</v>
      </c>
      <c r="K499" s="2" t="s">
        <v>75</v>
      </c>
      <c r="L499" s="2"/>
      <c r="M499" s="2"/>
    </row>
    <row r="500" spans="1:13" x14ac:dyDescent="0.25">
      <c r="A500" s="2" t="s">
        <v>1331</v>
      </c>
      <c r="B500" s="2" t="s">
        <v>3</v>
      </c>
      <c r="C500" s="2" t="s">
        <v>1332</v>
      </c>
      <c r="D500" s="2"/>
      <c r="E500" s="2" t="s">
        <v>1333</v>
      </c>
      <c r="F500" s="2">
        <v>5.4836364746093702</v>
      </c>
      <c r="G500" s="2">
        <v>55</v>
      </c>
      <c r="H500" s="2">
        <v>3100</v>
      </c>
      <c r="I500" s="2" t="s">
        <v>62</v>
      </c>
      <c r="J500" s="2" t="s">
        <v>64</v>
      </c>
      <c r="K500" s="2" t="s">
        <v>63</v>
      </c>
      <c r="L500" s="2"/>
      <c r="M500" s="2"/>
    </row>
    <row r="501" spans="1:13" x14ac:dyDescent="0.25">
      <c r="A501" s="2" t="s">
        <v>1334</v>
      </c>
      <c r="B501" s="2" t="s">
        <v>20</v>
      </c>
      <c r="C501" s="2" t="s">
        <v>139</v>
      </c>
      <c r="D501" s="2"/>
      <c r="E501" s="2" t="s">
        <v>1335</v>
      </c>
      <c r="F501" s="2">
        <v>1.6000000238418499</v>
      </c>
      <c r="G501" s="2">
        <v>1</v>
      </c>
      <c r="H501" s="2">
        <v>3100</v>
      </c>
      <c r="I501" s="2" t="s">
        <v>126</v>
      </c>
      <c r="J501" s="2" t="s">
        <v>127</v>
      </c>
      <c r="K501" s="2" t="s">
        <v>128</v>
      </c>
      <c r="L501" s="2"/>
      <c r="M501" s="2"/>
    </row>
    <row r="502" spans="1:13" x14ac:dyDescent="0.25">
      <c r="A502" s="2" t="s">
        <v>1336</v>
      </c>
      <c r="B502" s="2" t="s">
        <v>20</v>
      </c>
      <c r="C502" s="2" t="s">
        <v>591</v>
      </c>
      <c r="D502" s="2"/>
      <c r="E502" s="2" t="s">
        <v>1337</v>
      </c>
      <c r="F502" s="2">
        <v>3.9111111958821598</v>
      </c>
      <c r="G502" s="2">
        <v>18</v>
      </c>
      <c r="H502" s="2">
        <v>3100</v>
      </c>
      <c r="I502" s="2" t="s">
        <v>68</v>
      </c>
      <c r="J502" s="2" t="s">
        <v>69</v>
      </c>
      <c r="K502" s="2" t="s">
        <v>70</v>
      </c>
      <c r="L502" s="2"/>
      <c r="M502" s="2"/>
    </row>
    <row r="503" spans="1:13" x14ac:dyDescent="0.25">
      <c r="A503" s="2" t="s">
        <v>1338</v>
      </c>
      <c r="B503" s="2" t="s">
        <v>20</v>
      </c>
      <c r="C503" s="2" t="s">
        <v>448</v>
      </c>
      <c r="D503" s="2"/>
      <c r="E503" s="2" t="s">
        <v>1339</v>
      </c>
      <c r="F503" s="2">
        <v>4.0648646999049802</v>
      </c>
      <c r="G503" s="2">
        <v>37</v>
      </c>
      <c r="H503" s="2">
        <v>3100</v>
      </c>
      <c r="I503" s="2" t="s">
        <v>74</v>
      </c>
      <c r="J503" s="2" t="s">
        <v>76</v>
      </c>
      <c r="K503" s="2" t="s">
        <v>75</v>
      </c>
      <c r="L503" s="2"/>
      <c r="M503" s="2"/>
    </row>
    <row r="504" spans="1:13" x14ac:dyDescent="0.25">
      <c r="A504" s="2" t="s">
        <v>1340</v>
      </c>
      <c r="B504" s="2" t="s">
        <v>20</v>
      </c>
      <c r="C504" s="2" t="s">
        <v>923</v>
      </c>
      <c r="D504" s="2"/>
      <c r="E504" s="2" t="s">
        <v>1341</v>
      </c>
      <c r="F504" s="2">
        <v>5.5181818875399502</v>
      </c>
      <c r="G504" s="2">
        <v>44</v>
      </c>
      <c r="H504" s="2">
        <v>3100</v>
      </c>
      <c r="I504" s="2" t="s">
        <v>68</v>
      </c>
      <c r="J504" s="2" t="s">
        <v>70</v>
      </c>
      <c r="K504" s="2" t="s">
        <v>69</v>
      </c>
      <c r="L504" s="2"/>
      <c r="M504" s="2"/>
    </row>
    <row r="505" spans="1:13" x14ac:dyDescent="0.25">
      <c r="A505" s="2" t="s">
        <v>1342</v>
      </c>
      <c r="B505" s="2" t="s">
        <v>3</v>
      </c>
      <c r="C505" s="2" t="s">
        <v>578</v>
      </c>
      <c r="D505" s="2"/>
      <c r="E505" s="2" t="s">
        <v>1343</v>
      </c>
      <c r="F505" s="2">
        <v>2.5170730962985899</v>
      </c>
      <c r="G505" s="2">
        <v>41</v>
      </c>
      <c r="H505" s="2">
        <v>3100</v>
      </c>
      <c r="I505" s="2" t="s">
        <v>135</v>
      </c>
      <c r="J505" s="2" t="s">
        <v>137</v>
      </c>
      <c r="K505" s="2" t="s">
        <v>136</v>
      </c>
      <c r="L505" s="2"/>
      <c r="M505" s="2"/>
    </row>
    <row r="506" spans="1:13" x14ac:dyDescent="0.25">
      <c r="A506" s="2" t="s">
        <v>1344</v>
      </c>
      <c r="B506" s="2" t="s">
        <v>21</v>
      </c>
      <c r="C506" s="2" t="s">
        <v>231</v>
      </c>
      <c r="D506" s="2"/>
      <c r="E506" s="2" t="s">
        <v>1345</v>
      </c>
      <c r="F506" s="2">
        <v>3.57894736842105</v>
      </c>
      <c r="G506" s="2">
        <v>19</v>
      </c>
      <c r="H506" s="2">
        <v>3100</v>
      </c>
      <c r="I506" s="2" t="s">
        <v>62</v>
      </c>
      <c r="J506" s="2" t="s">
        <v>64</v>
      </c>
      <c r="K506" s="2" t="s">
        <v>63</v>
      </c>
      <c r="L506" s="2"/>
      <c r="M506" s="2"/>
    </row>
    <row r="507" spans="1:13" x14ac:dyDescent="0.25">
      <c r="A507" s="2" t="s">
        <v>1346</v>
      </c>
      <c r="B507" s="2" t="s">
        <v>3</v>
      </c>
      <c r="C507" s="2" t="s">
        <v>1347</v>
      </c>
      <c r="D507" s="2"/>
      <c r="E507" s="2" t="s">
        <v>1348</v>
      </c>
      <c r="F507" s="2">
        <v>3.0700000762939399</v>
      </c>
      <c r="G507" s="2">
        <v>40</v>
      </c>
      <c r="H507" s="2">
        <v>3100</v>
      </c>
      <c r="I507" s="2" t="s">
        <v>68</v>
      </c>
      <c r="J507" s="2" t="s">
        <v>69</v>
      </c>
      <c r="K507" s="2" t="s">
        <v>70</v>
      </c>
      <c r="L507" s="2"/>
      <c r="M507" s="2"/>
    </row>
    <row r="508" spans="1:13" x14ac:dyDescent="0.25">
      <c r="A508" s="2" t="s">
        <v>1349</v>
      </c>
      <c r="B508" s="2" t="s">
        <v>21</v>
      </c>
      <c r="C508" s="2" t="s">
        <v>1134</v>
      </c>
      <c r="D508" s="2"/>
      <c r="E508" s="2" t="s">
        <v>1350</v>
      </c>
      <c r="F508" s="2">
        <v>4.1655173466123303</v>
      </c>
      <c r="G508" s="2">
        <v>29</v>
      </c>
      <c r="H508" s="2">
        <v>3100</v>
      </c>
      <c r="I508" s="2" t="s">
        <v>114</v>
      </c>
      <c r="J508" s="2" t="s">
        <v>116</v>
      </c>
      <c r="K508" s="2" t="s">
        <v>115</v>
      </c>
      <c r="L508" s="2"/>
      <c r="M508" s="2"/>
    </row>
    <row r="509" spans="1:13" x14ac:dyDescent="0.25">
      <c r="A509" s="2" t="s">
        <v>1351</v>
      </c>
      <c r="B509" s="2" t="s">
        <v>20</v>
      </c>
      <c r="C509" s="2" t="s">
        <v>1352</v>
      </c>
      <c r="D509" s="2"/>
      <c r="E509" s="2" t="s">
        <v>1353</v>
      </c>
      <c r="F509" s="2">
        <v>2.5999999046325599</v>
      </c>
      <c r="G509" s="2">
        <v>8</v>
      </c>
      <c r="H509" s="2">
        <v>3100</v>
      </c>
      <c r="I509" s="2" t="s">
        <v>135</v>
      </c>
      <c r="J509" s="2" t="s">
        <v>136</v>
      </c>
      <c r="K509" s="2" t="s">
        <v>137</v>
      </c>
      <c r="L509" s="2"/>
      <c r="M509" s="2"/>
    </row>
    <row r="510" spans="1:13" x14ac:dyDescent="0.25">
      <c r="A510" s="2" t="s">
        <v>1354</v>
      </c>
      <c r="B510" s="2" t="s">
        <v>20</v>
      </c>
      <c r="C510" s="2" t="s">
        <v>403</v>
      </c>
      <c r="D510" s="2"/>
      <c r="E510" s="2" t="s">
        <v>1355</v>
      </c>
      <c r="F510" s="2">
        <v>6.7428572518484904</v>
      </c>
      <c r="G510" s="2">
        <v>7</v>
      </c>
      <c r="H510" s="2">
        <v>3100</v>
      </c>
      <c r="I510" s="2" t="s">
        <v>74</v>
      </c>
      <c r="J510" s="2" t="s">
        <v>75</v>
      </c>
      <c r="K510" s="2" t="s">
        <v>76</v>
      </c>
      <c r="L510" s="2"/>
      <c r="M510" s="2"/>
    </row>
    <row r="511" spans="1:13" x14ac:dyDescent="0.25">
      <c r="A511" s="2" t="s">
        <v>1356</v>
      </c>
      <c r="B511" s="2" t="s">
        <v>21</v>
      </c>
      <c r="C511" s="2" t="s">
        <v>774</v>
      </c>
      <c r="D511" s="2"/>
      <c r="E511" s="2" t="s">
        <v>1357</v>
      </c>
      <c r="F511" s="2">
        <v>4.98888888888888</v>
      </c>
      <c r="G511" s="2">
        <v>45</v>
      </c>
      <c r="H511" s="2">
        <v>3100</v>
      </c>
      <c r="I511" s="2" t="s">
        <v>114</v>
      </c>
      <c r="J511" s="2" t="s">
        <v>115</v>
      </c>
      <c r="K511" s="2" t="s">
        <v>116</v>
      </c>
      <c r="L511" s="2"/>
      <c r="M511" s="2"/>
    </row>
    <row r="512" spans="1:13" x14ac:dyDescent="0.25">
      <c r="A512" s="2" t="s">
        <v>1358</v>
      </c>
      <c r="B512" s="2" t="s">
        <v>20</v>
      </c>
      <c r="C512" s="2" t="s">
        <v>395</v>
      </c>
      <c r="D512" s="2"/>
      <c r="E512" s="2" t="s">
        <v>1359</v>
      </c>
      <c r="F512" s="2">
        <v>5.3957448107130901</v>
      </c>
      <c r="G512" s="2">
        <v>47</v>
      </c>
      <c r="H512" s="2">
        <v>3100</v>
      </c>
      <c r="I512" s="2" t="s">
        <v>100</v>
      </c>
      <c r="J512" s="2" t="s">
        <v>101</v>
      </c>
      <c r="K512" s="2" t="s">
        <v>102</v>
      </c>
      <c r="L512" s="2"/>
      <c r="M512" s="2"/>
    </row>
    <row r="513" spans="1:13" x14ac:dyDescent="0.25">
      <c r="A513" s="2" t="s">
        <v>1360</v>
      </c>
      <c r="B513" s="2" t="s">
        <v>21</v>
      </c>
      <c r="C513" s="2" t="s">
        <v>303</v>
      </c>
      <c r="D513" s="2"/>
      <c r="E513" s="2" t="s">
        <v>815</v>
      </c>
      <c r="F513" s="2">
        <v>3.62285723005022</v>
      </c>
      <c r="G513" s="2">
        <v>35</v>
      </c>
      <c r="H513" s="2">
        <v>3100</v>
      </c>
      <c r="I513" s="2" t="s">
        <v>74</v>
      </c>
      <c r="J513" s="2" t="s">
        <v>75</v>
      </c>
      <c r="K513" s="2" t="s">
        <v>76</v>
      </c>
      <c r="L513" s="2"/>
      <c r="M513" s="2"/>
    </row>
    <row r="514" spans="1:13" x14ac:dyDescent="0.25">
      <c r="A514" s="2" t="s">
        <v>1361</v>
      </c>
      <c r="B514" s="2" t="s">
        <v>3</v>
      </c>
      <c r="C514" s="2" t="s">
        <v>72</v>
      </c>
      <c r="D514" s="2"/>
      <c r="E514" s="2" t="s">
        <v>314</v>
      </c>
      <c r="F514" s="2">
        <v>2.9523809523809499</v>
      </c>
      <c r="G514" s="2">
        <v>42</v>
      </c>
      <c r="H514" s="2">
        <v>3100</v>
      </c>
      <c r="I514" s="2" t="s">
        <v>56</v>
      </c>
      <c r="J514" s="2" t="s">
        <v>58</v>
      </c>
      <c r="K514" s="2" t="s">
        <v>57</v>
      </c>
      <c r="L514" s="2"/>
      <c r="M514" s="2"/>
    </row>
    <row r="515" spans="1:13" x14ac:dyDescent="0.25">
      <c r="A515" s="2" t="s">
        <v>1362</v>
      </c>
      <c r="B515" s="2" t="s">
        <v>21</v>
      </c>
      <c r="C515" s="2" t="s">
        <v>157</v>
      </c>
      <c r="D515" s="2"/>
      <c r="E515" s="2" t="s">
        <v>1363</v>
      </c>
      <c r="F515" s="2">
        <v>0</v>
      </c>
      <c r="G515" s="2">
        <v>1</v>
      </c>
      <c r="H515" s="2">
        <v>3100</v>
      </c>
      <c r="I515" s="2" t="s">
        <v>106</v>
      </c>
      <c r="J515" s="2" t="s">
        <v>107</v>
      </c>
      <c r="K515" s="2" t="s">
        <v>108</v>
      </c>
      <c r="L515" s="2"/>
      <c r="M515" s="2"/>
    </row>
    <row r="516" spans="1:13" x14ac:dyDescent="0.25">
      <c r="A516" s="2" t="s">
        <v>1364</v>
      </c>
      <c r="B516" s="2" t="s">
        <v>21</v>
      </c>
      <c r="C516" s="2" t="s">
        <v>1036</v>
      </c>
      <c r="D516" s="2"/>
      <c r="E516" s="2" t="s">
        <v>1365</v>
      </c>
      <c r="F516" s="2">
        <v>4.0296297426576899</v>
      </c>
      <c r="G516" s="2">
        <v>27</v>
      </c>
      <c r="H516" s="2">
        <v>3100</v>
      </c>
      <c r="I516" s="2" t="s">
        <v>56</v>
      </c>
      <c r="J516" s="2" t="s">
        <v>57</v>
      </c>
      <c r="K516" s="2" t="s">
        <v>58</v>
      </c>
      <c r="L516" s="2"/>
      <c r="M516" s="2"/>
    </row>
    <row r="517" spans="1:13" x14ac:dyDescent="0.25">
      <c r="A517" s="2" t="s">
        <v>1366</v>
      </c>
      <c r="B517" s="2" t="s">
        <v>21</v>
      </c>
      <c r="C517" s="2" t="s">
        <v>932</v>
      </c>
      <c r="D517" s="2"/>
      <c r="E517" s="2" t="s">
        <v>597</v>
      </c>
      <c r="F517" s="2">
        <v>3.5999999046325599</v>
      </c>
      <c r="G517" s="2">
        <v>4</v>
      </c>
      <c r="H517" s="2">
        <v>3100</v>
      </c>
      <c r="I517" s="2" t="s">
        <v>126</v>
      </c>
      <c r="J517" s="2" t="s">
        <v>127</v>
      </c>
      <c r="K517" s="2" t="s">
        <v>128</v>
      </c>
      <c r="L517" s="2"/>
      <c r="M517" s="2"/>
    </row>
    <row r="518" spans="1:13" x14ac:dyDescent="0.25">
      <c r="A518" s="2" t="s">
        <v>1367</v>
      </c>
      <c r="B518" s="2" t="s">
        <v>20</v>
      </c>
      <c r="C518" s="2" t="s">
        <v>367</v>
      </c>
      <c r="D518" s="2"/>
      <c r="E518" s="2" t="s">
        <v>1368</v>
      </c>
      <c r="F518" s="2">
        <v>2.8645162274760501</v>
      </c>
      <c r="G518" s="2">
        <v>31</v>
      </c>
      <c r="H518" s="2">
        <v>3100</v>
      </c>
      <c r="I518" s="2" t="s">
        <v>56</v>
      </c>
      <c r="J518" s="2" t="s">
        <v>58</v>
      </c>
      <c r="K518" s="2" t="s">
        <v>57</v>
      </c>
      <c r="L518" s="2"/>
      <c r="M518" s="2"/>
    </row>
    <row r="519" spans="1:13" x14ac:dyDescent="0.25">
      <c r="A519" s="2" t="s">
        <v>1369</v>
      </c>
      <c r="B519" s="2" t="s">
        <v>20</v>
      </c>
      <c r="C519" s="2" t="s">
        <v>1370</v>
      </c>
      <c r="D519" s="2"/>
      <c r="E519" s="2" t="s">
        <v>1371</v>
      </c>
      <c r="F519" s="2">
        <v>6.3599998474120998</v>
      </c>
      <c r="G519" s="2">
        <v>20</v>
      </c>
      <c r="H519" s="2">
        <v>3100</v>
      </c>
      <c r="I519" s="2" t="s">
        <v>100</v>
      </c>
      <c r="J519" s="2" t="s">
        <v>102</v>
      </c>
      <c r="K519" s="2" t="s">
        <v>101</v>
      </c>
      <c r="L519" s="2"/>
      <c r="M519" s="2"/>
    </row>
    <row r="520" spans="1:13" x14ac:dyDescent="0.25">
      <c r="A520" s="2" t="s">
        <v>1372</v>
      </c>
      <c r="B520" s="2" t="s">
        <v>21</v>
      </c>
      <c r="C520" s="2" t="s">
        <v>992</v>
      </c>
      <c r="D520" s="2"/>
      <c r="E520" s="2" t="s">
        <v>1373</v>
      </c>
      <c r="F520" s="2">
        <v>5.0042552542179104</v>
      </c>
      <c r="G520" s="2">
        <v>47</v>
      </c>
      <c r="H520" s="2">
        <v>3100</v>
      </c>
      <c r="I520" s="2" t="s">
        <v>106</v>
      </c>
      <c r="J520" s="2" t="s">
        <v>108</v>
      </c>
      <c r="K520" s="2" t="s">
        <v>107</v>
      </c>
      <c r="L520" s="2"/>
      <c r="M520" s="2"/>
    </row>
    <row r="521" spans="1:13" x14ac:dyDescent="0.25">
      <c r="A521" s="2" t="s">
        <v>1374</v>
      </c>
      <c r="B521" s="2" t="s">
        <v>20</v>
      </c>
      <c r="C521" s="2" t="s">
        <v>502</v>
      </c>
      <c r="D521" s="2"/>
      <c r="E521" s="2" t="s">
        <v>1375</v>
      </c>
      <c r="F521" s="2">
        <v>2.9777776930067201</v>
      </c>
      <c r="G521" s="2">
        <v>36</v>
      </c>
      <c r="H521" s="2">
        <v>3100</v>
      </c>
      <c r="I521" s="2" t="s">
        <v>74</v>
      </c>
      <c r="J521" s="2" t="s">
        <v>76</v>
      </c>
      <c r="K521" s="2" t="s">
        <v>75</v>
      </c>
      <c r="L521" s="2"/>
      <c r="M521" s="2"/>
    </row>
    <row r="522" spans="1:13" x14ac:dyDescent="0.25">
      <c r="A522" s="2" t="s">
        <v>1376</v>
      </c>
      <c r="B522" s="2" t="s">
        <v>21</v>
      </c>
      <c r="C522" s="2" t="s">
        <v>502</v>
      </c>
      <c r="D522" s="2"/>
      <c r="E522" s="2" t="s">
        <v>1377</v>
      </c>
      <c r="F522" s="2">
        <v>6.1799999237060499</v>
      </c>
      <c r="G522" s="2">
        <v>5</v>
      </c>
      <c r="H522" s="2">
        <v>3100</v>
      </c>
      <c r="I522" s="2" t="s">
        <v>106</v>
      </c>
      <c r="J522" s="2" t="s">
        <v>108</v>
      </c>
      <c r="K522" s="2" t="s">
        <v>107</v>
      </c>
      <c r="L522" s="2"/>
      <c r="M522" s="2"/>
    </row>
    <row r="523" spans="1:13" x14ac:dyDescent="0.25">
      <c r="A523" s="2" t="s">
        <v>1378</v>
      </c>
      <c r="B523" s="2" t="s">
        <v>20</v>
      </c>
      <c r="C523" s="2" t="s">
        <v>440</v>
      </c>
      <c r="D523" s="2"/>
      <c r="E523" s="2" t="s">
        <v>1379</v>
      </c>
      <c r="F523" s="2">
        <v>3.6000000635782801</v>
      </c>
      <c r="G523" s="2">
        <v>12</v>
      </c>
      <c r="H523" s="2">
        <v>3100</v>
      </c>
      <c r="I523" s="2" t="s">
        <v>50</v>
      </c>
      <c r="J523" s="2" t="s">
        <v>52</v>
      </c>
      <c r="K523" s="2" t="s">
        <v>51</v>
      </c>
      <c r="L523" s="2"/>
      <c r="M523" s="2"/>
    </row>
    <row r="524" spans="1:13" x14ac:dyDescent="0.25">
      <c r="A524" s="2" t="s">
        <v>1380</v>
      </c>
      <c r="B524" s="2" t="s">
        <v>3</v>
      </c>
      <c r="C524" s="2" t="s">
        <v>948</v>
      </c>
      <c r="D524" s="2"/>
      <c r="E524" s="2" t="s">
        <v>1381</v>
      </c>
      <c r="F524" s="2">
        <v>5.7680852362450103</v>
      </c>
      <c r="G524" s="2">
        <v>47</v>
      </c>
      <c r="H524" s="2">
        <v>3100</v>
      </c>
      <c r="I524" s="2" t="s">
        <v>62</v>
      </c>
      <c r="J524" s="2" t="s">
        <v>64</v>
      </c>
      <c r="K524" s="2" t="s">
        <v>63</v>
      </c>
      <c r="L524" s="2" t="s">
        <v>92</v>
      </c>
      <c r="M524" s="2" t="s">
        <v>621</v>
      </c>
    </row>
    <row r="525" spans="1:13" x14ac:dyDescent="0.25">
      <c r="A525" s="2" t="s">
        <v>1382</v>
      </c>
      <c r="B525" s="2" t="s">
        <v>20</v>
      </c>
      <c r="C525" s="2" t="s">
        <v>1383</v>
      </c>
      <c r="D525" s="2"/>
      <c r="E525" s="2" t="s">
        <v>1384</v>
      </c>
      <c r="F525" s="2">
        <v>3.4285714285714199</v>
      </c>
      <c r="G525" s="2">
        <v>7</v>
      </c>
      <c r="H525" s="2">
        <v>3100</v>
      </c>
      <c r="I525" s="2" t="s">
        <v>56</v>
      </c>
      <c r="J525" s="2" t="s">
        <v>57</v>
      </c>
      <c r="K525" s="2" t="s">
        <v>58</v>
      </c>
      <c r="L525" s="2"/>
      <c r="M525" s="2"/>
    </row>
    <row r="526" spans="1:13" x14ac:dyDescent="0.25">
      <c r="A526" s="2" t="s">
        <v>1385</v>
      </c>
      <c r="B526" s="2" t="s">
        <v>20</v>
      </c>
      <c r="C526" s="2" t="s">
        <v>830</v>
      </c>
      <c r="D526" s="2"/>
      <c r="E526" s="2" t="s">
        <v>1386</v>
      </c>
      <c r="F526" s="2">
        <v>4.5217391304347796</v>
      </c>
      <c r="G526" s="2">
        <v>23</v>
      </c>
      <c r="H526" s="2">
        <v>3100</v>
      </c>
      <c r="I526" s="2" t="s">
        <v>106</v>
      </c>
      <c r="J526" s="2" t="s">
        <v>108</v>
      </c>
      <c r="K526" s="2" t="s">
        <v>107</v>
      </c>
      <c r="L526" s="2"/>
      <c r="M526" s="2"/>
    </row>
    <row r="527" spans="1:13" x14ac:dyDescent="0.25">
      <c r="A527" s="2" t="s">
        <v>1387</v>
      </c>
      <c r="B527" s="2" t="s">
        <v>21</v>
      </c>
      <c r="C527" s="2" t="s">
        <v>448</v>
      </c>
      <c r="D527" s="2"/>
      <c r="E527" s="2" t="s">
        <v>1388</v>
      </c>
      <c r="F527" s="2">
        <v>1.6000000238418499</v>
      </c>
      <c r="G527" s="2">
        <v>2</v>
      </c>
      <c r="H527" s="2">
        <v>3100</v>
      </c>
      <c r="I527" s="2" t="s">
        <v>100</v>
      </c>
      <c r="J527" s="2" t="s">
        <v>101</v>
      </c>
      <c r="K527" s="2" t="s">
        <v>102</v>
      </c>
      <c r="L527" s="2"/>
      <c r="M527" s="2"/>
    </row>
    <row r="528" spans="1:13" x14ac:dyDescent="0.25">
      <c r="A528" s="2" t="s">
        <v>1389</v>
      </c>
      <c r="B528" s="2" t="s">
        <v>20</v>
      </c>
      <c r="C528" s="2" t="s">
        <v>236</v>
      </c>
      <c r="D528" s="2"/>
      <c r="E528" s="2" t="s">
        <v>1390</v>
      </c>
      <c r="F528" s="2">
        <v>7.3111114501953098</v>
      </c>
      <c r="G528" s="2">
        <v>9</v>
      </c>
      <c r="H528" s="2">
        <v>3100</v>
      </c>
      <c r="I528" s="2" t="s">
        <v>68</v>
      </c>
      <c r="J528" s="2" t="s">
        <v>69</v>
      </c>
      <c r="K528" s="2" t="s">
        <v>70</v>
      </c>
      <c r="L528" s="2"/>
      <c r="M528" s="2"/>
    </row>
    <row r="529" spans="1:13" x14ac:dyDescent="0.25">
      <c r="A529" s="2" t="s">
        <v>1391</v>
      </c>
      <c r="B529" s="2" t="s">
        <v>21</v>
      </c>
      <c r="C529" s="2" t="s">
        <v>1392</v>
      </c>
      <c r="D529" s="2"/>
      <c r="E529" s="2" t="s">
        <v>1393</v>
      </c>
      <c r="F529" s="2">
        <v>3.6465116988780801</v>
      </c>
      <c r="G529" s="2">
        <v>43</v>
      </c>
      <c r="H529" s="2">
        <v>3100</v>
      </c>
      <c r="I529" s="2" t="s">
        <v>74</v>
      </c>
      <c r="J529" s="2" t="s">
        <v>75</v>
      </c>
      <c r="K529" s="2" t="s">
        <v>76</v>
      </c>
      <c r="L529" s="2"/>
      <c r="M529" s="2"/>
    </row>
    <row r="530" spans="1:13" x14ac:dyDescent="0.25">
      <c r="A530" s="2" t="s">
        <v>1394</v>
      </c>
      <c r="B530" s="2" t="s">
        <v>20</v>
      </c>
      <c r="C530" s="2" t="s">
        <v>1395</v>
      </c>
      <c r="D530" s="2"/>
      <c r="E530" s="2" t="s">
        <v>1396</v>
      </c>
      <c r="F530" s="2">
        <v>5.7714287894112699</v>
      </c>
      <c r="G530" s="2">
        <v>14</v>
      </c>
      <c r="H530" s="2">
        <v>3100</v>
      </c>
      <c r="I530" s="2" t="s">
        <v>74</v>
      </c>
      <c r="J530" s="2" t="s">
        <v>75</v>
      </c>
      <c r="K530" s="2" t="s">
        <v>76</v>
      </c>
      <c r="L530" s="2" t="s">
        <v>92</v>
      </c>
      <c r="M530" s="2" t="s">
        <v>1032</v>
      </c>
    </row>
    <row r="531" spans="1:13" x14ac:dyDescent="0.25">
      <c r="A531" s="2" t="s">
        <v>1397</v>
      </c>
      <c r="B531" s="2" t="s">
        <v>20</v>
      </c>
      <c r="C531" s="2" t="s">
        <v>1229</v>
      </c>
      <c r="D531" s="2"/>
      <c r="E531" s="2" t="s">
        <v>1398</v>
      </c>
      <c r="F531" s="2">
        <v>2.9629629629629601</v>
      </c>
      <c r="G531" s="2">
        <v>27</v>
      </c>
      <c r="H531" s="2">
        <v>3100</v>
      </c>
      <c r="I531" s="2" t="s">
        <v>56</v>
      </c>
      <c r="J531" s="2" t="s">
        <v>58</v>
      </c>
      <c r="K531" s="2" t="s">
        <v>57</v>
      </c>
      <c r="L531" s="2"/>
      <c r="M531" s="2"/>
    </row>
    <row r="532" spans="1:13" x14ac:dyDescent="0.25">
      <c r="A532" s="2" t="s">
        <v>1399</v>
      </c>
      <c r="B532" s="2" t="s">
        <v>20</v>
      </c>
      <c r="C532" s="2" t="s">
        <v>81</v>
      </c>
      <c r="D532" s="2"/>
      <c r="E532" s="2" t="s">
        <v>1400</v>
      </c>
      <c r="F532" s="2">
        <v>4.08888880411783</v>
      </c>
      <c r="G532" s="2">
        <v>18</v>
      </c>
      <c r="H532" s="2">
        <v>3100</v>
      </c>
      <c r="I532" s="2" t="s">
        <v>135</v>
      </c>
      <c r="J532" s="2" t="s">
        <v>137</v>
      </c>
      <c r="K532" s="2" t="s">
        <v>136</v>
      </c>
      <c r="L532" s="2"/>
      <c r="M532" s="2"/>
    </row>
    <row r="533" spans="1:13" x14ac:dyDescent="0.25">
      <c r="A533" s="2" t="s">
        <v>1401</v>
      </c>
      <c r="B533" s="2" t="s">
        <v>20</v>
      </c>
      <c r="C533" s="2" t="s">
        <v>375</v>
      </c>
      <c r="D533" s="2"/>
      <c r="E533" s="2" t="s">
        <v>1402</v>
      </c>
      <c r="F533" s="2">
        <v>4.8357140677315797</v>
      </c>
      <c r="G533" s="2">
        <v>28</v>
      </c>
      <c r="H533" s="2">
        <v>3100</v>
      </c>
      <c r="I533" s="2" t="s">
        <v>56</v>
      </c>
      <c r="J533" s="2" t="s">
        <v>58</v>
      </c>
      <c r="K533" s="2" t="s">
        <v>57</v>
      </c>
      <c r="L533" s="2"/>
      <c r="M533" s="2"/>
    </row>
    <row r="534" spans="1:13" x14ac:dyDescent="0.25">
      <c r="A534" s="2" t="s">
        <v>1403</v>
      </c>
      <c r="B534" s="2" t="s">
        <v>20</v>
      </c>
      <c r="C534" s="2" t="s">
        <v>1404</v>
      </c>
      <c r="D534" s="2"/>
      <c r="E534" s="2" t="s">
        <v>1405</v>
      </c>
      <c r="F534" s="2">
        <v>4.9090909090909003</v>
      </c>
      <c r="G534" s="2">
        <v>22</v>
      </c>
      <c r="H534" s="2">
        <v>3100</v>
      </c>
      <c r="I534" s="2" t="s">
        <v>74</v>
      </c>
      <c r="J534" s="2" t="s">
        <v>75</v>
      </c>
      <c r="K534" s="2" t="s">
        <v>76</v>
      </c>
      <c r="L534" s="2"/>
      <c r="M534" s="2"/>
    </row>
    <row r="535" spans="1:13" x14ac:dyDescent="0.25">
      <c r="A535" s="2" t="s">
        <v>1406</v>
      </c>
      <c r="B535" s="2" t="s">
        <v>21</v>
      </c>
      <c r="C535" s="2" t="s">
        <v>54</v>
      </c>
      <c r="D535" s="2"/>
      <c r="E535" s="2" t="s">
        <v>60</v>
      </c>
      <c r="F535" s="2">
        <v>2.9538462712214502</v>
      </c>
      <c r="G535" s="2">
        <v>52</v>
      </c>
      <c r="H535" s="2">
        <v>3100</v>
      </c>
      <c r="I535" s="2" t="s">
        <v>100</v>
      </c>
      <c r="J535" s="2" t="s">
        <v>101</v>
      </c>
      <c r="K535" s="2" t="s">
        <v>102</v>
      </c>
      <c r="L535" s="2"/>
      <c r="M535" s="2"/>
    </row>
    <row r="536" spans="1:13" x14ac:dyDescent="0.25">
      <c r="A536" s="2" t="s">
        <v>1407</v>
      </c>
      <c r="B536" s="2" t="s">
        <v>21</v>
      </c>
      <c r="C536" s="2" t="s">
        <v>1078</v>
      </c>
      <c r="D536" s="2"/>
      <c r="E536" s="2" t="s">
        <v>1408</v>
      </c>
      <c r="F536" s="2">
        <v>3.1200000762939402</v>
      </c>
      <c r="G536" s="2">
        <v>10</v>
      </c>
      <c r="H536" s="2">
        <v>3100</v>
      </c>
      <c r="I536" s="2" t="s">
        <v>126</v>
      </c>
      <c r="J536" s="2" t="s">
        <v>128</v>
      </c>
      <c r="K536" s="2" t="s">
        <v>127</v>
      </c>
      <c r="L536" s="2"/>
      <c r="M536" s="2"/>
    </row>
    <row r="537" spans="1:13" x14ac:dyDescent="0.25">
      <c r="A537" s="2" t="s">
        <v>1409</v>
      </c>
      <c r="B537" s="2" t="s">
        <v>21</v>
      </c>
      <c r="C537" s="2" t="s">
        <v>476</v>
      </c>
      <c r="D537" s="2"/>
      <c r="E537" s="2" t="s">
        <v>1410</v>
      </c>
      <c r="F537" s="2">
        <v>1.4933333079020099</v>
      </c>
      <c r="G537" s="2">
        <v>15</v>
      </c>
      <c r="H537" s="2">
        <v>3000</v>
      </c>
      <c r="I537" s="2" t="s">
        <v>44</v>
      </c>
      <c r="J537" s="2" t="s">
        <v>46</v>
      </c>
      <c r="K537" s="2" t="s">
        <v>45</v>
      </c>
      <c r="L537" s="2"/>
      <c r="M537" s="2"/>
    </row>
    <row r="538" spans="1:13" x14ac:dyDescent="0.25">
      <c r="A538" s="2" t="s">
        <v>1411</v>
      </c>
      <c r="B538" s="2" t="s">
        <v>3</v>
      </c>
      <c r="C538" s="2" t="s">
        <v>1412</v>
      </c>
      <c r="D538" s="2"/>
      <c r="E538" s="2" t="s">
        <v>1413</v>
      </c>
      <c r="F538" s="2">
        <v>2.6181817488236798</v>
      </c>
      <c r="G538" s="2">
        <v>22</v>
      </c>
      <c r="H538" s="2">
        <v>3000</v>
      </c>
      <c r="I538" s="2" t="s">
        <v>114</v>
      </c>
      <c r="J538" s="2" t="s">
        <v>115</v>
      </c>
      <c r="K538" s="2" t="s">
        <v>116</v>
      </c>
      <c r="L538" s="2"/>
      <c r="M538" s="2"/>
    </row>
    <row r="539" spans="1:13" x14ac:dyDescent="0.25">
      <c r="A539" s="2" t="s">
        <v>1414</v>
      </c>
      <c r="B539" s="2" t="s">
        <v>20</v>
      </c>
      <c r="C539" s="2" t="s">
        <v>1415</v>
      </c>
      <c r="D539" s="2"/>
      <c r="E539" s="2" t="s">
        <v>1297</v>
      </c>
      <c r="F539" s="2">
        <v>8</v>
      </c>
      <c r="G539" s="2">
        <v>3</v>
      </c>
      <c r="H539" s="2">
        <v>3000</v>
      </c>
      <c r="I539" s="2" t="s">
        <v>56</v>
      </c>
      <c r="J539" s="2" t="s">
        <v>57</v>
      </c>
      <c r="K539" s="2" t="s">
        <v>58</v>
      </c>
      <c r="L539" s="2"/>
      <c r="M539" s="2"/>
    </row>
    <row r="540" spans="1:13" x14ac:dyDescent="0.25">
      <c r="A540" s="2" t="s">
        <v>1416</v>
      </c>
      <c r="B540" s="2" t="s">
        <v>3</v>
      </c>
      <c r="C540" s="2" t="s">
        <v>1417</v>
      </c>
      <c r="D540" s="2"/>
      <c r="E540" s="2" t="s">
        <v>1418</v>
      </c>
      <c r="F540" s="2">
        <v>1.6000000238418499</v>
      </c>
      <c r="G540" s="2">
        <v>1</v>
      </c>
      <c r="H540" s="2">
        <v>3000</v>
      </c>
      <c r="I540" s="2" t="s">
        <v>74</v>
      </c>
      <c r="J540" s="2" t="s">
        <v>75</v>
      </c>
      <c r="K540" s="2" t="s">
        <v>76</v>
      </c>
      <c r="L540" s="2"/>
      <c r="M540" s="2"/>
    </row>
    <row r="541" spans="1:13" x14ac:dyDescent="0.25">
      <c r="A541" s="2" t="s">
        <v>1419</v>
      </c>
      <c r="B541" s="2" t="s">
        <v>21</v>
      </c>
      <c r="C541" s="2" t="s">
        <v>849</v>
      </c>
      <c r="D541" s="2"/>
      <c r="E541" s="2" t="s">
        <v>1420</v>
      </c>
      <c r="F541" s="2">
        <v>2.1538461538461502</v>
      </c>
      <c r="G541" s="2">
        <v>39</v>
      </c>
      <c r="H541" s="2">
        <v>3000</v>
      </c>
      <c r="I541" s="2" t="s">
        <v>68</v>
      </c>
      <c r="J541" s="2" t="s">
        <v>69</v>
      </c>
      <c r="K541" s="2" t="s">
        <v>70</v>
      </c>
      <c r="L541" s="2"/>
      <c r="M541" s="2"/>
    </row>
    <row r="542" spans="1:13" x14ac:dyDescent="0.25">
      <c r="A542" s="2" t="s">
        <v>1421</v>
      </c>
      <c r="B542" s="2" t="s">
        <v>20</v>
      </c>
      <c r="C542" s="2" t="s">
        <v>1422</v>
      </c>
      <c r="D542" s="2"/>
      <c r="E542" s="2" t="s">
        <v>1423</v>
      </c>
      <c r="F542" s="2">
        <v>5.45333353678385</v>
      </c>
      <c r="G542" s="2">
        <v>30</v>
      </c>
      <c r="H542" s="2">
        <v>3000</v>
      </c>
      <c r="I542" s="2" t="s">
        <v>100</v>
      </c>
      <c r="J542" s="2" t="s">
        <v>101</v>
      </c>
      <c r="K542" s="2" t="s">
        <v>102</v>
      </c>
      <c r="L542" s="2"/>
      <c r="M542" s="2"/>
    </row>
    <row r="543" spans="1:13" x14ac:dyDescent="0.25">
      <c r="A543" s="2" t="s">
        <v>1424</v>
      </c>
      <c r="B543" s="2" t="s">
        <v>21</v>
      </c>
      <c r="C543" s="2" t="s">
        <v>179</v>
      </c>
      <c r="D543" s="2"/>
      <c r="E543" s="2" t="s">
        <v>1425</v>
      </c>
      <c r="F543" s="2">
        <v>1.2000000211927599</v>
      </c>
      <c r="G543" s="2">
        <v>36</v>
      </c>
      <c r="H543" s="2">
        <v>3000</v>
      </c>
      <c r="I543" s="2" t="s">
        <v>74</v>
      </c>
      <c r="J543" s="2" t="s">
        <v>75</v>
      </c>
      <c r="K543" s="2" t="s">
        <v>76</v>
      </c>
      <c r="L543" s="2"/>
      <c r="M543" s="2"/>
    </row>
    <row r="544" spans="1:13" x14ac:dyDescent="0.25">
      <c r="A544" s="2" t="s">
        <v>1426</v>
      </c>
      <c r="B544" s="2" t="s">
        <v>21</v>
      </c>
      <c r="C544" s="2" t="s">
        <v>118</v>
      </c>
      <c r="D544" s="2"/>
      <c r="E544" s="2" t="s">
        <v>1427</v>
      </c>
      <c r="F544" s="2">
        <v>0.68571431296212304</v>
      </c>
      <c r="G544" s="2">
        <v>7</v>
      </c>
      <c r="H544" s="2">
        <v>3000</v>
      </c>
      <c r="I544" s="2" t="s">
        <v>44</v>
      </c>
      <c r="J544" s="2" t="s">
        <v>46</v>
      </c>
      <c r="K544" s="2" t="s">
        <v>45</v>
      </c>
      <c r="L544" s="2"/>
      <c r="M544" s="2"/>
    </row>
    <row r="545" spans="1:13" x14ac:dyDescent="0.25">
      <c r="A545" s="2" t="s">
        <v>1428</v>
      </c>
      <c r="B545" s="2" t="s">
        <v>3</v>
      </c>
      <c r="C545" s="2" t="s">
        <v>1429</v>
      </c>
      <c r="D545" s="2"/>
      <c r="E545" s="2" t="s">
        <v>1430</v>
      </c>
      <c r="F545" s="2">
        <v>3.20000004768371</v>
      </c>
      <c r="G545" s="2">
        <v>1</v>
      </c>
      <c r="H545" s="2">
        <v>3000</v>
      </c>
      <c r="I545" s="2" t="s">
        <v>62</v>
      </c>
      <c r="J545" s="2" t="s">
        <v>63</v>
      </c>
      <c r="K545" s="2" t="s">
        <v>64</v>
      </c>
      <c r="L545" s="2"/>
      <c r="M545" s="2"/>
    </row>
    <row r="546" spans="1:13" x14ac:dyDescent="0.25">
      <c r="A546" s="2" t="s">
        <v>1431</v>
      </c>
      <c r="B546" s="2" t="s">
        <v>21</v>
      </c>
      <c r="C546" s="2" t="s">
        <v>493</v>
      </c>
      <c r="D546" s="2"/>
      <c r="E546" s="2" t="s">
        <v>875</v>
      </c>
      <c r="F546" s="2">
        <v>2.6666666666666599</v>
      </c>
      <c r="G546" s="2">
        <v>6</v>
      </c>
      <c r="H546" s="2">
        <v>3000</v>
      </c>
      <c r="I546" s="2" t="s">
        <v>56</v>
      </c>
      <c r="J546" s="2" t="s">
        <v>58</v>
      </c>
      <c r="K546" s="2" t="s">
        <v>57</v>
      </c>
      <c r="L546" s="2"/>
      <c r="M546" s="2"/>
    </row>
    <row r="547" spans="1:13" x14ac:dyDescent="0.25">
      <c r="A547" s="2" t="s">
        <v>1432</v>
      </c>
      <c r="B547" s="2" t="s">
        <v>3</v>
      </c>
      <c r="C547" s="2" t="s">
        <v>745</v>
      </c>
      <c r="D547" s="2"/>
      <c r="E547" s="2" t="s">
        <v>168</v>
      </c>
      <c r="F547" s="2">
        <v>3.9000000953674299</v>
      </c>
      <c r="G547" s="2">
        <v>32</v>
      </c>
      <c r="H547" s="2">
        <v>3000</v>
      </c>
      <c r="I547" s="2" t="s">
        <v>100</v>
      </c>
      <c r="J547" s="2" t="s">
        <v>101</v>
      </c>
      <c r="K547" s="2" t="s">
        <v>102</v>
      </c>
      <c r="L547" s="2"/>
      <c r="M547" s="2"/>
    </row>
    <row r="548" spans="1:13" x14ac:dyDescent="0.25">
      <c r="A548" s="2" t="s">
        <v>1433</v>
      </c>
      <c r="B548" s="2" t="s">
        <v>20</v>
      </c>
      <c r="C548" s="2" t="s">
        <v>151</v>
      </c>
      <c r="D548" s="2"/>
      <c r="E548" s="2" t="s">
        <v>1434</v>
      </c>
      <c r="F548" s="2">
        <v>4.04799987792968</v>
      </c>
      <c r="G548" s="2">
        <v>50</v>
      </c>
      <c r="H548" s="2">
        <v>3000</v>
      </c>
      <c r="I548" s="2" t="s">
        <v>44</v>
      </c>
      <c r="J548" s="2" t="s">
        <v>46</v>
      </c>
      <c r="K548" s="2" t="s">
        <v>45</v>
      </c>
      <c r="L548" s="2"/>
      <c r="M548" s="2"/>
    </row>
    <row r="549" spans="1:13" x14ac:dyDescent="0.25">
      <c r="A549" s="2" t="s">
        <v>1435</v>
      </c>
      <c r="B549" s="2" t="s">
        <v>20</v>
      </c>
      <c r="C549" s="2" t="s">
        <v>960</v>
      </c>
      <c r="D549" s="2"/>
      <c r="E549" s="2" t="s">
        <v>488</v>
      </c>
      <c r="F549" s="2">
        <v>0</v>
      </c>
      <c r="G549" s="2">
        <v>0</v>
      </c>
      <c r="H549" s="2">
        <v>3000</v>
      </c>
      <c r="I549" s="2" t="s">
        <v>135</v>
      </c>
      <c r="J549" s="2" t="s">
        <v>137</v>
      </c>
      <c r="K549" s="2" t="s">
        <v>136</v>
      </c>
      <c r="L549" s="2"/>
      <c r="M549" s="2"/>
    </row>
    <row r="550" spans="1:13" x14ac:dyDescent="0.25">
      <c r="A550" s="2" t="s">
        <v>1436</v>
      </c>
      <c r="B550" s="2" t="s">
        <v>20</v>
      </c>
      <c r="C550" s="2" t="s">
        <v>1036</v>
      </c>
      <c r="D550" s="2"/>
      <c r="E550" s="2" t="s">
        <v>1437</v>
      </c>
      <c r="F550" s="2">
        <v>6.0277777777777697</v>
      </c>
      <c r="G550" s="2">
        <v>18</v>
      </c>
      <c r="H550" s="2">
        <v>3000</v>
      </c>
      <c r="I550" s="2" t="s">
        <v>114</v>
      </c>
      <c r="J550" s="2" t="s">
        <v>115</v>
      </c>
      <c r="K550" s="2" t="s">
        <v>116</v>
      </c>
      <c r="L550" s="2"/>
      <c r="M550" s="2"/>
    </row>
    <row r="551" spans="1:13" x14ac:dyDescent="0.25">
      <c r="A551" s="2" t="s">
        <v>1438</v>
      </c>
      <c r="B551" s="2" t="s">
        <v>3</v>
      </c>
      <c r="C551" s="2" t="s">
        <v>1439</v>
      </c>
      <c r="D551" s="2"/>
      <c r="E551" s="2" t="s">
        <v>1440</v>
      </c>
      <c r="F551" s="2">
        <v>3.4439023645912701</v>
      </c>
      <c r="G551" s="2">
        <v>82</v>
      </c>
      <c r="H551" s="2">
        <v>3000</v>
      </c>
      <c r="I551" s="2" t="s">
        <v>135</v>
      </c>
      <c r="J551" s="2" t="s">
        <v>136</v>
      </c>
      <c r="K551" s="2" t="s">
        <v>137</v>
      </c>
      <c r="L551" s="2"/>
      <c r="M551" s="2"/>
    </row>
    <row r="552" spans="1:13" x14ac:dyDescent="0.25">
      <c r="A552" s="2" t="s">
        <v>1441</v>
      </c>
      <c r="B552" s="2" t="s">
        <v>21</v>
      </c>
      <c r="C552" s="2" t="s">
        <v>1442</v>
      </c>
      <c r="D552" s="2"/>
      <c r="E552" s="2" t="s">
        <v>1443</v>
      </c>
      <c r="F552" s="2">
        <v>1.0666666825612301</v>
      </c>
      <c r="G552" s="2">
        <v>6</v>
      </c>
      <c r="H552" s="2">
        <v>3000</v>
      </c>
      <c r="I552" s="2" t="s">
        <v>74</v>
      </c>
      <c r="J552" s="2" t="s">
        <v>76</v>
      </c>
      <c r="K552" s="2" t="s">
        <v>75</v>
      </c>
      <c r="L552" s="2"/>
      <c r="M552" s="2"/>
    </row>
    <row r="553" spans="1:13" x14ac:dyDescent="0.25">
      <c r="A553" s="2" t="s">
        <v>1444</v>
      </c>
      <c r="B553" s="2" t="s">
        <v>21</v>
      </c>
      <c r="C553" s="2" t="s">
        <v>1065</v>
      </c>
      <c r="D553" s="2"/>
      <c r="E553" s="2" t="s">
        <v>1445</v>
      </c>
      <c r="F553" s="2">
        <v>0</v>
      </c>
      <c r="G553" s="2">
        <v>0</v>
      </c>
      <c r="H553" s="2">
        <v>3000</v>
      </c>
      <c r="I553" s="2" t="s">
        <v>74</v>
      </c>
      <c r="J553" s="2" t="s">
        <v>75</v>
      </c>
      <c r="K553" s="2" t="s">
        <v>76</v>
      </c>
      <c r="L553" s="2"/>
      <c r="M553" s="2"/>
    </row>
    <row r="554" spans="1:13" x14ac:dyDescent="0.25">
      <c r="A554" s="2" t="s">
        <v>1446</v>
      </c>
      <c r="B554" s="2" t="s">
        <v>21</v>
      </c>
      <c r="C554" s="2" t="s">
        <v>176</v>
      </c>
      <c r="D554" s="2"/>
      <c r="E554" s="2" t="s">
        <v>1447</v>
      </c>
      <c r="F554" s="2">
        <v>4.4000000953674299</v>
      </c>
      <c r="G554" s="2">
        <v>4</v>
      </c>
      <c r="H554" s="2">
        <v>3000</v>
      </c>
      <c r="I554" s="2" t="s">
        <v>56</v>
      </c>
      <c r="J554" s="2" t="s">
        <v>57</v>
      </c>
      <c r="K554" s="2" t="s">
        <v>58</v>
      </c>
      <c r="L554" s="2"/>
      <c r="M554" s="2"/>
    </row>
    <row r="555" spans="1:13" x14ac:dyDescent="0.25">
      <c r="A555" s="2" t="s">
        <v>1448</v>
      </c>
      <c r="B555" s="2" t="s">
        <v>3</v>
      </c>
      <c r="C555" s="2" t="s">
        <v>329</v>
      </c>
      <c r="D555" s="2"/>
      <c r="E555" s="2" t="s">
        <v>1449</v>
      </c>
      <c r="F555" s="2">
        <v>3.3278480240061299</v>
      </c>
      <c r="G555" s="2">
        <v>79</v>
      </c>
      <c r="H555" s="2">
        <v>3000</v>
      </c>
      <c r="I555" s="2" t="s">
        <v>74</v>
      </c>
      <c r="J555" s="2" t="s">
        <v>76</v>
      </c>
      <c r="K555" s="2" t="s">
        <v>75</v>
      </c>
      <c r="L555" s="2"/>
      <c r="M555" s="2"/>
    </row>
    <row r="556" spans="1:13" x14ac:dyDescent="0.25">
      <c r="A556" s="2" t="s">
        <v>1450</v>
      </c>
      <c r="B556" s="2" t="s">
        <v>21</v>
      </c>
      <c r="C556" s="2" t="s">
        <v>1451</v>
      </c>
      <c r="D556" s="2"/>
      <c r="E556" s="2" t="s">
        <v>1452</v>
      </c>
      <c r="F556" s="2">
        <v>3.1333332061767498</v>
      </c>
      <c r="G556" s="2">
        <v>12</v>
      </c>
      <c r="H556" s="2">
        <v>3000</v>
      </c>
      <c r="I556" s="2" t="s">
        <v>68</v>
      </c>
      <c r="J556" s="2" t="s">
        <v>69</v>
      </c>
      <c r="K556" s="2" t="s">
        <v>70</v>
      </c>
      <c r="L556" s="2"/>
      <c r="M556" s="2"/>
    </row>
    <row r="557" spans="1:13" x14ac:dyDescent="0.25">
      <c r="A557" s="2" t="s">
        <v>1453</v>
      </c>
      <c r="B557" s="2" t="s">
        <v>3</v>
      </c>
      <c r="C557" s="2" t="s">
        <v>490</v>
      </c>
      <c r="D557" s="2"/>
      <c r="E557" s="2" t="s">
        <v>1454</v>
      </c>
      <c r="F557" s="2">
        <v>2.23999996185302</v>
      </c>
      <c r="G557" s="2">
        <v>20</v>
      </c>
      <c r="H557" s="2">
        <v>3000</v>
      </c>
      <c r="I557" s="2" t="s">
        <v>44</v>
      </c>
      <c r="J557" s="2" t="s">
        <v>45</v>
      </c>
      <c r="K557" s="2" t="s">
        <v>46</v>
      </c>
      <c r="L557" s="2"/>
      <c r="M557" s="2"/>
    </row>
    <row r="558" spans="1:13" x14ac:dyDescent="0.25">
      <c r="A558" s="2" t="s">
        <v>1455</v>
      </c>
      <c r="B558" s="2" t="s">
        <v>20</v>
      </c>
      <c r="C558" s="2" t="s">
        <v>1456</v>
      </c>
      <c r="D558" s="2"/>
      <c r="E558" s="2" t="s">
        <v>1457</v>
      </c>
      <c r="F558" s="2">
        <v>3.9466667175292902</v>
      </c>
      <c r="G558" s="2">
        <v>15</v>
      </c>
      <c r="H558" s="2">
        <v>3000</v>
      </c>
      <c r="I558" s="2" t="s">
        <v>135</v>
      </c>
      <c r="J558" s="2" t="s">
        <v>136</v>
      </c>
      <c r="K558" s="2" t="s">
        <v>137</v>
      </c>
      <c r="L558" s="2"/>
      <c r="M558" s="2"/>
    </row>
    <row r="559" spans="1:13" x14ac:dyDescent="0.25">
      <c r="A559" s="2" t="s">
        <v>1458</v>
      </c>
      <c r="B559" s="2" t="s">
        <v>21</v>
      </c>
      <c r="C559" s="2" t="s">
        <v>1459</v>
      </c>
      <c r="D559" s="2"/>
      <c r="E559" s="2" t="s">
        <v>1460</v>
      </c>
      <c r="F559" s="2">
        <v>4.1066665649414</v>
      </c>
      <c r="G559" s="2">
        <v>15</v>
      </c>
      <c r="H559" s="2">
        <v>3000</v>
      </c>
      <c r="I559" s="2" t="s">
        <v>68</v>
      </c>
      <c r="J559" s="2" t="s">
        <v>69</v>
      </c>
      <c r="K559" s="2" t="s">
        <v>70</v>
      </c>
      <c r="L559" s="2" t="s">
        <v>92</v>
      </c>
      <c r="M559" s="2" t="s">
        <v>390</v>
      </c>
    </row>
    <row r="560" spans="1:13" x14ac:dyDescent="0.25">
      <c r="A560" s="2" t="s">
        <v>1461</v>
      </c>
      <c r="B560" s="2" t="s">
        <v>21</v>
      </c>
      <c r="C560" s="2" t="s">
        <v>364</v>
      </c>
      <c r="D560" s="2"/>
      <c r="E560" s="2" t="s">
        <v>1462</v>
      </c>
      <c r="F560" s="2">
        <v>3.1999999255668801</v>
      </c>
      <c r="G560" s="2">
        <v>41</v>
      </c>
      <c r="H560" s="2">
        <v>3000</v>
      </c>
      <c r="I560" s="2" t="s">
        <v>74</v>
      </c>
      <c r="J560" s="2" t="s">
        <v>76</v>
      </c>
      <c r="K560" s="2" t="s">
        <v>75</v>
      </c>
      <c r="L560" s="2"/>
      <c r="M560" s="2"/>
    </row>
    <row r="561" spans="1:13" x14ac:dyDescent="0.25">
      <c r="A561" s="2" t="s">
        <v>1463</v>
      </c>
      <c r="B561" s="2" t="s">
        <v>21</v>
      </c>
      <c r="C561" s="2" t="s">
        <v>367</v>
      </c>
      <c r="D561" s="2"/>
      <c r="E561" s="2" t="s">
        <v>1464</v>
      </c>
      <c r="F561" s="2">
        <v>2.4340425856569898</v>
      </c>
      <c r="G561" s="2">
        <v>47</v>
      </c>
      <c r="H561" s="2">
        <v>3000</v>
      </c>
      <c r="I561" s="2" t="s">
        <v>106</v>
      </c>
      <c r="J561" s="2" t="s">
        <v>107</v>
      </c>
      <c r="K561" s="2" t="s">
        <v>108</v>
      </c>
      <c r="L561" s="2"/>
      <c r="M561" s="2"/>
    </row>
    <row r="562" spans="1:13" x14ac:dyDescent="0.25">
      <c r="A562" s="2" t="s">
        <v>1465</v>
      </c>
      <c r="B562" s="2" t="s">
        <v>21</v>
      </c>
      <c r="C562" s="2" t="s">
        <v>207</v>
      </c>
      <c r="D562" s="2"/>
      <c r="E562" s="2" t="s">
        <v>1466</v>
      </c>
      <c r="F562" s="2">
        <v>5.7750000953674299</v>
      </c>
      <c r="G562" s="2">
        <v>32</v>
      </c>
      <c r="H562" s="2">
        <v>3000</v>
      </c>
      <c r="I562" s="2" t="s">
        <v>106</v>
      </c>
      <c r="J562" s="2" t="s">
        <v>108</v>
      </c>
      <c r="K562" s="2" t="s">
        <v>107</v>
      </c>
      <c r="L562" s="2"/>
      <c r="M562" s="2"/>
    </row>
    <row r="563" spans="1:13" x14ac:dyDescent="0.25">
      <c r="A563" s="2" t="s">
        <v>1467</v>
      </c>
      <c r="B563" s="2" t="s">
        <v>21</v>
      </c>
      <c r="C563" s="2" t="s">
        <v>367</v>
      </c>
      <c r="D563" s="2"/>
      <c r="E563" s="2" t="s">
        <v>1468</v>
      </c>
      <c r="F563" s="2">
        <v>4</v>
      </c>
      <c r="G563" s="2">
        <v>25</v>
      </c>
      <c r="H563" s="2">
        <v>3000</v>
      </c>
      <c r="I563" s="2" t="s">
        <v>74</v>
      </c>
      <c r="J563" s="2" t="s">
        <v>75</v>
      </c>
      <c r="K563" s="2" t="s">
        <v>76</v>
      </c>
      <c r="L563" s="2"/>
      <c r="M563" s="2"/>
    </row>
    <row r="564" spans="1:13" x14ac:dyDescent="0.25">
      <c r="A564" s="2" t="s">
        <v>1469</v>
      </c>
      <c r="B564" s="2" t="s">
        <v>21</v>
      </c>
      <c r="C564" s="2" t="s">
        <v>1470</v>
      </c>
      <c r="D564" s="2"/>
      <c r="E564" s="2" t="s">
        <v>1471</v>
      </c>
      <c r="F564" s="2">
        <v>2.3578946966873899</v>
      </c>
      <c r="G564" s="2">
        <v>19</v>
      </c>
      <c r="H564" s="2">
        <v>3000</v>
      </c>
      <c r="I564" s="2" t="s">
        <v>62</v>
      </c>
      <c r="J564" s="2" t="s">
        <v>64</v>
      </c>
      <c r="K564" s="2" t="s">
        <v>63</v>
      </c>
      <c r="L564" s="2"/>
      <c r="M564" s="2"/>
    </row>
    <row r="565" spans="1:13" x14ac:dyDescent="0.25">
      <c r="A565" s="2" t="s">
        <v>1472</v>
      </c>
      <c r="B565" s="2" t="s">
        <v>20</v>
      </c>
      <c r="C565" s="2" t="s">
        <v>210</v>
      </c>
      <c r="D565" s="2"/>
      <c r="E565" s="2" t="s">
        <v>1473</v>
      </c>
      <c r="F565" s="2">
        <v>4.6222220526801197</v>
      </c>
      <c r="G565" s="2">
        <v>9</v>
      </c>
      <c r="H565" s="2">
        <v>3000</v>
      </c>
      <c r="I565" s="2" t="s">
        <v>56</v>
      </c>
      <c r="J565" s="2" t="s">
        <v>57</v>
      </c>
      <c r="K565" s="2" t="s">
        <v>58</v>
      </c>
      <c r="L565" s="2"/>
      <c r="M565" s="2"/>
    </row>
    <row r="566" spans="1:13" x14ac:dyDescent="0.25">
      <c r="A566" s="2" t="s">
        <v>1474</v>
      </c>
      <c r="B566" s="2" t="s">
        <v>3</v>
      </c>
      <c r="C566" s="2" t="s">
        <v>118</v>
      </c>
      <c r="D566" s="2"/>
      <c r="E566" s="2" t="s">
        <v>1475</v>
      </c>
      <c r="F566" s="2">
        <v>3.5999999046325599</v>
      </c>
      <c r="G566" s="2">
        <v>4</v>
      </c>
      <c r="H566" s="2">
        <v>3000</v>
      </c>
      <c r="I566" s="2" t="s">
        <v>50</v>
      </c>
      <c r="J566" s="2" t="s">
        <v>52</v>
      </c>
      <c r="K566" s="2" t="s">
        <v>51</v>
      </c>
      <c r="L566" s="2"/>
      <c r="M566" s="2"/>
    </row>
    <row r="567" spans="1:13" x14ac:dyDescent="0.25">
      <c r="A567" s="2" t="s">
        <v>1476</v>
      </c>
      <c r="B567" s="2" t="s">
        <v>21</v>
      </c>
      <c r="C567" s="2" t="s">
        <v>367</v>
      </c>
      <c r="D567" s="2"/>
      <c r="E567" s="2" t="s">
        <v>1477</v>
      </c>
      <c r="F567" s="2">
        <v>4.5481482611762099</v>
      </c>
      <c r="G567" s="2">
        <v>54</v>
      </c>
      <c r="H567" s="2">
        <v>3000</v>
      </c>
      <c r="I567" s="2" t="s">
        <v>126</v>
      </c>
      <c r="J567" s="2" t="s">
        <v>128</v>
      </c>
      <c r="K567" s="2" t="s">
        <v>127</v>
      </c>
      <c r="L567" s="2"/>
      <c r="M567" s="2"/>
    </row>
    <row r="568" spans="1:13" x14ac:dyDescent="0.25">
      <c r="A568" s="2" t="s">
        <v>1478</v>
      </c>
      <c r="B568" s="2" t="s">
        <v>20</v>
      </c>
      <c r="C568" s="2" t="s">
        <v>820</v>
      </c>
      <c r="D568" s="2"/>
      <c r="E568" s="2" t="s">
        <v>1479</v>
      </c>
      <c r="F568" s="2">
        <v>4.3472222222222197</v>
      </c>
      <c r="G568" s="2">
        <v>36</v>
      </c>
      <c r="H568" s="2">
        <v>3000</v>
      </c>
      <c r="I568" s="2" t="s">
        <v>74</v>
      </c>
      <c r="J568" s="2" t="s">
        <v>76</v>
      </c>
      <c r="K568" s="2" t="s">
        <v>75</v>
      </c>
      <c r="L568" s="2"/>
      <c r="M568" s="2"/>
    </row>
    <row r="569" spans="1:13" x14ac:dyDescent="0.25">
      <c r="A569" s="2" t="s">
        <v>1480</v>
      </c>
      <c r="B569" s="2" t="s">
        <v>20</v>
      </c>
      <c r="C569" s="2" t="s">
        <v>539</v>
      </c>
      <c r="D569" s="2"/>
      <c r="E569" s="2" t="s">
        <v>1481</v>
      </c>
      <c r="F569" s="2">
        <v>3.86666679382324</v>
      </c>
      <c r="G569" s="2">
        <v>6</v>
      </c>
      <c r="H569" s="2">
        <v>3000</v>
      </c>
      <c r="I569" s="2" t="s">
        <v>114</v>
      </c>
      <c r="J569" s="2" t="s">
        <v>116</v>
      </c>
      <c r="K569" s="2" t="s">
        <v>115</v>
      </c>
      <c r="L569" s="2"/>
      <c r="M569" s="2"/>
    </row>
    <row r="570" spans="1:13" x14ac:dyDescent="0.25">
      <c r="A570" s="2" t="s">
        <v>1482</v>
      </c>
      <c r="B570" s="2" t="s">
        <v>21</v>
      </c>
      <c r="C570" s="2" t="s">
        <v>398</v>
      </c>
      <c r="D570" s="2"/>
      <c r="E570" s="2" t="s">
        <v>140</v>
      </c>
      <c r="F570" s="2">
        <v>4.7771427699497702</v>
      </c>
      <c r="G570" s="2">
        <v>35</v>
      </c>
      <c r="H570" s="2">
        <v>3000</v>
      </c>
      <c r="I570" s="2" t="s">
        <v>44</v>
      </c>
      <c r="J570" s="2" t="s">
        <v>46</v>
      </c>
      <c r="K570" s="2" t="s">
        <v>45</v>
      </c>
      <c r="L570" s="2"/>
      <c r="M570" s="2"/>
    </row>
    <row r="571" spans="1:13" x14ac:dyDescent="0.25">
      <c r="A571" s="2" t="s">
        <v>1483</v>
      </c>
      <c r="B571" s="2" t="s">
        <v>3</v>
      </c>
      <c r="C571" s="2" t="s">
        <v>665</v>
      </c>
      <c r="D571" s="2"/>
      <c r="E571" s="2" t="s">
        <v>1484</v>
      </c>
      <c r="F571" s="2">
        <v>4.1333332061767498</v>
      </c>
      <c r="G571" s="2">
        <v>6</v>
      </c>
      <c r="H571" s="2">
        <v>3000</v>
      </c>
      <c r="I571" s="2" t="s">
        <v>100</v>
      </c>
      <c r="J571" s="2" t="s">
        <v>102</v>
      </c>
      <c r="K571" s="2" t="s">
        <v>101</v>
      </c>
      <c r="L571" s="2"/>
      <c r="M571" s="2"/>
    </row>
    <row r="572" spans="1:13" x14ac:dyDescent="0.25">
      <c r="A572" s="2" t="s">
        <v>1485</v>
      </c>
      <c r="B572" s="2" t="s">
        <v>3</v>
      </c>
      <c r="C572" s="2" t="s">
        <v>1486</v>
      </c>
      <c r="D572" s="2"/>
      <c r="E572" s="2" t="s">
        <v>1487</v>
      </c>
      <c r="F572" s="2">
        <v>2.7692307692307598</v>
      </c>
      <c r="G572" s="2">
        <v>13</v>
      </c>
      <c r="H572" s="2">
        <v>3000</v>
      </c>
      <c r="I572" s="2" t="s">
        <v>126</v>
      </c>
      <c r="J572" s="2" t="s">
        <v>128</v>
      </c>
      <c r="K572" s="2" t="s">
        <v>127</v>
      </c>
      <c r="L572" s="2"/>
      <c r="M572" s="2"/>
    </row>
    <row r="573" spans="1:13" x14ac:dyDescent="0.25">
      <c r="A573" s="2" t="s">
        <v>1488</v>
      </c>
      <c r="B573" s="2" t="s">
        <v>20</v>
      </c>
      <c r="C573" s="2" t="s">
        <v>1147</v>
      </c>
      <c r="D573" s="2"/>
      <c r="E573" s="2" t="s">
        <v>1489</v>
      </c>
      <c r="F573" s="2">
        <v>4.8000001907348597</v>
      </c>
      <c r="G573" s="2">
        <v>1</v>
      </c>
      <c r="H573" s="2">
        <v>3000</v>
      </c>
      <c r="I573" s="2" t="s">
        <v>62</v>
      </c>
      <c r="J573" s="2" t="s">
        <v>63</v>
      </c>
      <c r="K573" s="2" t="s">
        <v>64</v>
      </c>
      <c r="L573" s="2"/>
      <c r="M573" s="2"/>
    </row>
    <row r="574" spans="1:13" x14ac:dyDescent="0.25">
      <c r="A574" s="2" t="s">
        <v>1490</v>
      </c>
      <c r="B574" s="2" t="s">
        <v>21</v>
      </c>
      <c r="C574" s="2" t="s">
        <v>258</v>
      </c>
      <c r="D574" s="2"/>
      <c r="E574" s="2" t="s">
        <v>1491</v>
      </c>
      <c r="F574" s="2">
        <v>3.03125</v>
      </c>
      <c r="G574" s="2">
        <v>16</v>
      </c>
      <c r="H574" s="2">
        <v>3000</v>
      </c>
      <c r="I574" s="2" t="s">
        <v>68</v>
      </c>
      <c r="J574" s="2" t="s">
        <v>70</v>
      </c>
      <c r="K574" s="2" t="s">
        <v>69</v>
      </c>
      <c r="L574" s="2"/>
      <c r="M574" s="2"/>
    </row>
    <row r="575" spans="1:13" x14ac:dyDescent="0.25">
      <c r="A575" s="2" t="s">
        <v>1492</v>
      </c>
      <c r="B575" s="2" t="s">
        <v>21</v>
      </c>
      <c r="C575" s="2" t="s">
        <v>388</v>
      </c>
      <c r="D575" s="2"/>
      <c r="E575" s="2" t="s">
        <v>1493</v>
      </c>
      <c r="F575" s="2">
        <v>0.80000001192092896</v>
      </c>
      <c r="G575" s="2">
        <v>2</v>
      </c>
      <c r="H575" s="2">
        <v>3000</v>
      </c>
      <c r="I575" s="2" t="s">
        <v>106</v>
      </c>
      <c r="J575" s="2" t="s">
        <v>108</v>
      </c>
      <c r="K575" s="2" t="s">
        <v>107</v>
      </c>
      <c r="L575" s="2"/>
      <c r="M575" s="2"/>
    </row>
    <row r="576" spans="1:13" x14ac:dyDescent="0.25">
      <c r="A576" s="2" t="s">
        <v>1494</v>
      </c>
      <c r="B576" s="2" t="s">
        <v>21</v>
      </c>
      <c r="C576" s="2" t="s">
        <v>698</v>
      </c>
      <c r="D576" s="2"/>
      <c r="E576" s="2" t="s">
        <v>1495</v>
      </c>
      <c r="F576" s="2">
        <v>6.2999998728434203</v>
      </c>
      <c r="G576" s="2">
        <v>3</v>
      </c>
      <c r="H576" s="2">
        <v>3000</v>
      </c>
      <c r="I576" s="2" t="s">
        <v>50</v>
      </c>
      <c r="J576" s="2" t="s">
        <v>51</v>
      </c>
      <c r="K576" s="2" t="s">
        <v>52</v>
      </c>
      <c r="L576" s="2"/>
      <c r="M576" s="2"/>
    </row>
    <row r="577" spans="1:13" x14ac:dyDescent="0.25">
      <c r="A577" s="2" t="s">
        <v>1496</v>
      </c>
      <c r="B577" s="2" t="s">
        <v>21</v>
      </c>
      <c r="C577" s="2" t="s">
        <v>514</v>
      </c>
      <c r="D577" s="2"/>
      <c r="E577" s="2" t="s">
        <v>1497</v>
      </c>
      <c r="F577" s="2">
        <v>3.1438595955831898</v>
      </c>
      <c r="G577" s="2">
        <v>57</v>
      </c>
      <c r="H577" s="2">
        <v>3000</v>
      </c>
      <c r="I577" s="2" t="s">
        <v>68</v>
      </c>
      <c r="J577" s="2" t="s">
        <v>70</v>
      </c>
      <c r="K577" s="2" t="s">
        <v>69</v>
      </c>
      <c r="L577" s="2"/>
      <c r="M577" s="2"/>
    </row>
    <row r="578" spans="1:13" x14ac:dyDescent="0.25">
      <c r="A578" s="2" t="s">
        <v>1498</v>
      </c>
      <c r="B578" s="2" t="s">
        <v>21</v>
      </c>
      <c r="C578" s="2" t="s">
        <v>1008</v>
      </c>
      <c r="D578" s="2"/>
      <c r="E578" s="2" t="s">
        <v>449</v>
      </c>
      <c r="F578" s="2">
        <v>1.2800000190734799</v>
      </c>
      <c r="G578" s="2">
        <v>5</v>
      </c>
      <c r="H578" s="2">
        <v>3000</v>
      </c>
      <c r="I578" s="2" t="s">
        <v>106</v>
      </c>
      <c r="J578" s="2" t="s">
        <v>107</v>
      </c>
      <c r="K578" s="2" t="s">
        <v>108</v>
      </c>
      <c r="L578" s="2"/>
      <c r="M578" s="2"/>
    </row>
    <row r="579" spans="1:13" x14ac:dyDescent="0.25">
      <c r="A579" s="2" t="s">
        <v>1499</v>
      </c>
      <c r="B579" s="2" t="s">
        <v>3</v>
      </c>
      <c r="C579" s="2" t="s">
        <v>1150</v>
      </c>
      <c r="D579" s="2"/>
      <c r="E579" s="2" t="s">
        <v>1500</v>
      </c>
      <c r="F579" s="2">
        <v>2.4000000953674299</v>
      </c>
      <c r="G579" s="2">
        <v>4</v>
      </c>
      <c r="H579" s="2">
        <v>3000</v>
      </c>
      <c r="I579" s="2" t="s">
        <v>74</v>
      </c>
      <c r="J579" s="2" t="s">
        <v>75</v>
      </c>
      <c r="K579" s="2" t="s">
        <v>76</v>
      </c>
      <c r="L579" s="2"/>
      <c r="M579" s="2"/>
    </row>
    <row r="580" spans="1:13" x14ac:dyDescent="0.25">
      <c r="A580" s="2" t="s">
        <v>1501</v>
      </c>
      <c r="B580" s="2" t="s">
        <v>20</v>
      </c>
      <c r="C580" s="2" t="s">
        <v>329</v>
      </c>
      <c r="D580" s="2"/>
      <c r="E580" s="2" t="s">
        <v>1502</v>
      </c>
      <c r="F580" s="2">
        <v>5.06666660308837</v>
      </c>
      <c r="G580" s="2">
        <v>6</v>
      </c>
      <c r="H580" s="2">
        <v>3000</v>
      </c>
      <c r="I580" s="2" t="s">
        <v>56</v>
      </c>
      <c r="J580" s="2" t="s">
        <v>57</v>
      </c>
      <c r="K580" s="2" t="s">
        <v>58</v>
      </c>
      <c r="L580" s="2"/>
      <c r="M580" s="2"/>
    </row>
    <row r="581" spans="1:13" x14ac:dyDescent="0.25">
      <c r="A581" s="2" t="s">
        <v>1503</v>
      </c>
      <c r="B581" s="2" t="s">
        <v>21</v>
      </c>
      <c r="C581" s="2" t="s">
        <v>1036</v>
      </c>
      <c r="D581" s="2"/>
      <c r="E581" s="2" t="s">
        <v>1504</v>
      </c>
      <c r="F581" s="2">
        <v>1.6000000238418499</v>
      </c>
      <c r="G581" s="2">
        <v>8</v>
      </c>
      <c r="H581" s="2">
        <v>3000</v>
      </c>
      <c r="I581" s="2" t="s">
        <v>56</v>
      </c>
      <c r="J581" s="2" t="s">
        <v>57</v>
      </c>
      <c r="K581" s="2" t="s">
        <v>58</v>
      </c>
      <c r="L581" s="2"/>
      <c r="M581" s="2"/>
    </row>
    <row r="582" spans="1:13" x14ac:dyDescent="0.25">
      <c r="A582" s="2" t="s">
        <v>1505</v>
      </c>
      <c r="B582" s="2" t="s">
        <v>20</v>
      </c>
      <c r="C582" s="2" t="s">
        <v>426</v>
      </c>
      <c r="D582" s="2"/>
      <c r="E582" s="2" t="s">
        <v>1506</v>
      </c>
      <c r="F582" s="2">
        <v>1.6000000238418499</v>
      </c>
      <c r="G582" s="2">
        <v>1</v>
      </c>
      <c r="H582" s="2">
        <v>3000</v>
      </c>
      <c r="I582" s="2" t="s">
        <v>114</v>
      </c>
      <c r="J582" s="2" t="s">
        <v>115</v>
      </c>
      <c r="K582" s="2" t="s">
        <v>116</v>
      </c>
      <c r="L582" s="2"/>
      <c r="M582" s="2"/>
    </row>
    <row r="583" spans="1:13" x14ac:dyDescent="0.25">
      <c r="A583" s="2" t="s">
        <v>1507</v>
      </c>
      <c r="B583" s="2" t="s">
        <v>21</v>
      </c>
      <c r="C583" s="2" t="s">
        <v>139</v>
      </c>
      <c r="D583" s="2"/>
      <c r="E583" s="2" t="s">
        <v>1508</v>
      </c>
      <c r="F583" s="2">
        <v>2.6307692894568802</v>
      </c>
      <c r="G583" s="2">
        <v>52</v>
      </c>
      <c r="H583" s="2">
        <v>3000</v>
      </c>
      <c r="I583" s="2" t="s">
        <v>100</v>
      </c>
      <c r="J583" s="2" t="s">
        <v>102</v>
      </c>
      <c r="K583" s="2" t="s">
        <v>101</v>
      </c>
      <c r="L583" s="2"/>
      <c r="M583" s="2"/>
    </row>
    <row r="584" spans="1:13" x14ac:dyDescent="0.25">
      <c r="A584" s="2" t="s">
        <v>1509</v>
      </c>
      <c r="B584" s="2" t="s">
        <v>21</v>
      </c>
      <c r="C584" s="2" t="s">
        <v>1510</v>
      </c>
      <c r="D584" s="2"/>
      <c r="E584" s="2" t="s">
        <v>1511</v>
      </c>
      <c r="F584" s="2">
        <v>3.58709667574974</v>
      </c>
      <c r="G584" s="2">
        <v>31</v>
      </c>
      <c r="H584" s="2">
        <v>3000</v>
      </c>
      <c r="I584" s="2" t="s">
        <v>100</v>
      </c>
      <c r="J584" s="2" t="s">
        <v>102</v>
      </c>
      <c r="K584" s="2" t="s">
        <v>101</v>
      </c>
      <c r="L584" s="2"/>
      <c r="M584" s="2"/>
    </row>
    <row r="585" spans="1:13" x14ac:dyDescent="0.25">
      <c r="A585" s="2" t="s">
        <v>1512</v>
      </c>
      <c r="B585" s="2" t="s">
        <v>3</v>
      </c>
      <c r="C585" s="2" t="s">
        <v>426</v>
      </c>
      <c r="D585" s="2"/>
      <c r="E585" s="2" t="s">
        <v>1500</v>
      </c>
      <c r="F585" s="2">
        <v>3.8095238095238</v>
      </c>
      <c r="G585" s="2">
        <v>21</v>
      </c>
      <c r="H585" s="2">
        <v>3000</v>
      </c>
      <c r="I585" s="2" t="s">
        <v>114</v>
      </c>
      <c r="J585" s="2" t="s">
        <v>116</v>
      </c>
      <c r="K585" s="2" t="s">
        <v>115</v>
      </c>
      <c r="L585" s="2"/>
      <c r="M585" s="2"/>
    </row>
    <row r="586" spans="1:13" x14ac:dyDescent="0.25">
      <c r="A586" s="2" t="s">
        <v>1513</v>
      </c>
      <c r="B586" s="2" t="s">
        <v>20</v>
      </c>
      <c r="C586" s="2" t="s">
        <v>440</v>
      </c>
      <c r="D586" s="2"/>
      <c r="E586" s="2" t="s">
        <v>1514</v>
      </c>
      <c r="F586" s="2">
        <v>4.3078946565326799</v>
      </c>
      <c r="G586" s="2">
        <v>38</v>
      </c>
      <c r="H586" s="2">
        <v>3000</v>
      </c>
      <c r="I586" s="2" t="s">
        <v>114</v>
      </c>
      <c r="J586" s="2" t="s">
        <v>115</v>
      </c>
      <c r="K586" s="2" t="s">
        <v>116</v>
      </c>
      <c r="L586" s="2"/>
      <c r="M586" s="2"/>
    </row>
    <row r="587" spans="1:13" x14ac:dyDescent="0.25">
      <c r="A587" s="2" t="s">
        <v>1515</v>
      </c>
      <c r="B587" s="2" t="s">
        <v>21</v>
      </c>
      <c r="C587" s="2" t="s">
        <v>578</v>
      </c>
      <c r="D587" s="2"/>
      <c r="E587" s="2" t="s">
        <v>1516</v>
      </c>
      <c r="F587" s="2">
        <v>4.9600001017252602</v>
      </c>
      <c r="G587" s="2">
        <v>15</v>
      </c>
      <c r="H587" s="2">
        <v>3000</v>
      </c>
      <c r="I587" s="2" t="s">
        <v>50</v>
      </c>
      <c r="J587" s="2" t="s">
        <v>51</v>
      </c>
      <c r="K587" s="2" t="s">
        <v>52</v>
      </c>
      <c r="L587" s="2"/>
      <c r="M587" s="2"/>
    </row>
    <row r="588" spans="1:13" x14ac:dyDescent="0.25">
      <c r="A588" s="2" t="s">
        <v>1517</v>
      </c>
      <c r="B588" s="2" t="s">
        <v>20</v>
      </c>
      <c r="C588" s="2" t="s">
        <v>490</v>
      </c>
      <c r="D588" s="2"/>
      <c r="E588" s="2" t="s">
        <v>1518</v>
      </c>
      <c r="F588" s="2">
        <v>5</v>
      </c>
      <c r="G588" s="2">
        <v>16</v>
      </c>
      <c r="H588" s="2">
        <v>3000</v>
      </c>
      <c r="I588" s="2" t="s">
        <v>50</v>
      </c>
      <c r="J588" s="2" t="s">
        <v>51</v>
      </c>
      <c r="K588" s="2" t="s">
        <v>52</v>
      </c>
      <c r="L588" s="2"/>
      <c r="M588" s="2"/>
    </row>
    <row r="589" spans="1:13" x14ac:dyDescent="0.25">
      <c r="A589" s="2" t="s">
        <v>1519</v>
      </c>
      <c r="B589" s="2" t="s">
        <v>20</v>
      </c>
      <c r="C589" s="2" t="s">
        <v>989</v>
      </c>
      <c r="D589" s="2"/>
      <c r="E589" s="2" t="s">
        <v>916</v>
      </c>
      <c r="F589" s="2">
        <v>1.6000000238418499</v>
      </c>
      <c r="G589" s="2">
        <v>2</v>
      </c>
      <c r="H589" s="2">
        <v>3000</v>
      </c>
      <c r="I589" s="2" t="s">
        <v>68</v>
      </c>
      <c r="J589" s="2" t="s">
        <v>69</v>
      </c>
      <c r="K589" s="2" t="s">
        <v>70</v>
      </c>
      <c r="L589" s="2"/>
      <c r="M589" s="2"/>
    </row>
    <row r="590" spans="1:13" x14ac:dyDescent="0.25">
      <c r="A590" s="2" t="s">
        <v>1520</v>
      </c>
      <c r="B590" s="2" t="s">
        <v>21</v>
      </c>
      <c r="C590" s="2" t="s">
        <v>547</v>
      </c>
      <c r="D590" s="2"/>
      <c r="E590" s="2" t="s">
        <v>1521</v>
      </c>
      <c r="F590" s="2">
        <v>3.2000001271565699</v>
      </c>
      <c r="G590" s="2">
        <v>3</v>
      </c>
      <c r="H590" s="2">
        <v>3000</v>
      </c>
      <c r="I590" s="2" t="s">
        <v>50</v>
      </c>
      <c r="J590" s="2" t="s">
        <v>51</v>
      </c>
      <c r="K590" s="2" t="s">
        <v>52</v>
      </c>
      <c r="L590" s="2"/>
      <c r="M590" s="2"/>
    </row>
    <row r="591" spans="1:13" x14ac:dyDescent="0.25">
      <c r="A591" s="2" t="s">
        <v>1522</v>
      </c>
      <c r="B591" s="2" t="s">
        <v>21</v>
      </c>
      <c r="C591" s="2" t="s">
        <v>1068</v>
      </c>
      <c r="D591" s="2"/>
      <c r="E591" s="2" t="s">
        <v>438</v>
      </c>
      <c r="F591" s="2">
        <v>1.6000000346790599</v>
      </c>
      <c r="G591" s="2">
        <v>11</v>
      </c>
      <c r="H591" s="2">
        <v>3000</v>
      </c>
      <c r="I591" s="2" t="s">
        <v>74</v>
      </c>
      <c r="J591" s="2" t="s">
        <v>76</v>
      </c>
      <c r="K591" s="2" t="s">
        <v>75</v>
      </c>
      <c r="L591" s="2"/>
      <c r="M591" s="2"/>
    </row>
    <row r="592" spans="1:13" x14ac:dyDescent="0.25">
      <c r="A592" s="2" t="s">
        <v>1523</v>
      </c>
      <c r="B592" s="2" t="s">
        <v>21</v>
      </c>
      <c r="C592" s="2" t="s">
        <v>139</v>
      </c>
      <c r="D592" s="2"/>
      <c r="E592" s="2" t="s">
        <v>1524</v>
      </c>
      <c r="F592" s="2">
        <v>4.8216214566617399</v>
      </c>
      <c r="G592" s="2">
        <v>37</v>
      </c>
      <c r="H592" s="2">
        <v>3000</v>
      </c>
      <c r="I592" s="2" t="s">
        <v>50</v>
      </c>
      <c r="J592" s="2" t="s">
        <v>52</v>
      </c>
      <c r="K592" s="2" t="s">
        <v>51</v>
      </c>
      <c r="L592" s="2"/>
      <c r="M592" s="2"/>
    </row>
    <row r="593" spans="1:13" x14ac:dyDescent="0.25">
      <c r="A593" s="2" t="s">
        <v>1525</v>
      </c>
      <c r="B593" s="2" t="s">
        <v>21</v>
      </c>
      <c r="C593" s="2" t="s">
        <v>644</v>
      </c>
      <c r="D593" s="2"/>
      <c r="E593" s="2" t="s">
        <v>1526</v>
      </c>
      <c r="F593" s="2">
        <v>11.199999809265099</v>
      </c>
      <c r="G593" s="2">
        <v>1</v>
      </c>
      <c r="H593" s="2">
        <v>3000</v>
      </c>
      <c r="I593" s="2" t="s">
        <v>62</v>
      </c>
      <c r="J593" s="2" t="s">
        <v>63</v>
      </c>
      <c r="K593" s="2" t="s">
        <v>64</v>
      </c>
      <c r="L593" s="2"/>
      <c r="M593" s="2"/>
    </row>
    <row r="594" spans="1:13" x14ac:dyDescent="0.25">
      <c r="A594" s="2" t="s">
        <v>1527</v>
      </c>
      <c r="B594" s="2" t="s">
        <v>21</v>
      </c>
      <c r="C594" s="2" t="s">
        <v>323</v>
      </c>
      <c r="D594" s="2"/>
      <c r="E594" s="2" t="s">
        <v>1183</v>
      </c>
      <c r="F594" s="2">
        <v>2.2857142857142798</v>
      </c>
      <c r="G594" s="2">
        <v>7</v>
      </c>
      <c r="H594" s="2">
        <v>3000</v>
      </c>
      <c r="I594" s="2" t="s">
        <v>68</v>
      </c>
      <c r="J594" s="2" t="s">
        <v>70</v>
      </c>
      <c r="K594" s="2" t="s">
        <v>69</v>
      </c>
      <c r="L594" s="2"/>
      <c r="M594" s="2"/>
    </row>
    <row r="595" spans="1:13" x14ac:dyDescent="0.25">
      <c r="A595" s="2" t="s">
        <v>1528</v>
      </c>
      <c r="B595" s="2" t="s">
        <v>3</v>
      </c>
      <c r="C595" s="2" t="s">
        <v>139</v>
      </c>
      <c r="D595" s="2"/>
      <c r="E595" s="2" t="s">
        <v>1529</v>
      </c>
      <c r="F595" s="2">
        <v>7.3599998474120998</v>
      </c>
      <c r="G595" s="2">
        <v>10</v>
      </c>
      <c r="H595" s="2">
        <v>3000</v>
      </c>
      <c r="I595" s="2" t="s">
        <v>62</v>
      </c>
      <c r="J595" s="2" t="s">
        <v>63</v>
      </c>
      <c r="K595" s="2" t="s">
        <v>64</v>
      </c>
      <c r="L595" s="2"/>
      <c r="M595" s="2"/>
    </row>
    <row r="596" spans="1:13" x14ac:dyDescent="0.25">
      <c r="A596" s="2" t="s">
        <v>1530</v>
      </c>
      <c r="B596" s="2" t="s">
        <v>21</v>
      </c>
      <c r="C596" s="2" t="s">
        <v>502</v>
      </c>
      <c r="D596" s="2"/>
      <c r="E596" s="2" t="s">
        <v>449</v>
      </c>
      <c r="F596" s="2">
        <v>3.3999999364217102</v>
      </c>
      <c r="G596" s="2">
        <v>12</v>
      </c>
      <c r="H596" s="2">
        <v>3000</v>
      </c>
      <c r="I596" s="2" t="s">
        <v>74</v>
      </c>
      <c r="J596" s="2" t="s">
        <v>76</v>
      </c>
      <c r="K596" s="2" t="s">
        <v>75</v>
      </c>
      <c r="L596" s="2"/>
      <c r="M596" s="2"/>
    </row>
    <row r="597" spans="1:13" x14ac:dyDescent="0.25">
      <c r="A597" s="2" t="s">
        <v>1531</v>
      </c>
      <c r="B597" s="2" t="s">
        <v>21</v>
      </c>
      <c r="C597" s="2" t="s">
        <v>1532</v>
      </c>
      <c r="D597" s="2"/>
      <c r="E597" s="2" t="s">
        <v>1533</v>
      </c>
      <c r="F597" s="2">
        <v>3.39393939393939</v>
      </c>
      <c r="G597" s="2">
        <v>33</v>
      </c>
      <c r="H597" s="2">
        <v>3000</v>
      </c>
      <c r="I597" s="2" t="s">
        <v>62</v>
      </c>
      <c r="J597" s="2" t="s">
        <v>63</v>
      </c>
      <c r="K597" s="2" t="s">
        <v>64</v>
      </c>
      <c r="L597" s="2"/>
      <c r="M597" s="2"/>
    </row>
    <row r="598" spans="1:13" x14ac:dyDescent="0.25">
      <c r="A598" s="2" t="s">
        <v>1534</v>
      </c>
      <c r="B598" s="2" t="s">
        <v>20</v>
      </c>
      <c r="C598" s="2" t="s">
        <v>225</v>
      </c>
      <c r="D598" s="2"/>
      <c r="E598" s="2" t="s">
        <v>1535</v>
      </c>
      <c r="F598" s="2">
        <v>4.0470590030445699</v>
      </c>
      <c r="G598" s="2">
        <v>17</v>
      </c>
      <c r="H598" s="2">
        <v>3000</v>
      </c>
      <c r="I598" s="2" t="s">
        <v>62</v>
      </c>
      <c r="J598" s="2" t="s">
        <v>64</v>
      </c>
      <c r="K598" s="2" t="s">
        <v>63</v>
      </c>
      <c r="L598" s="2"/>
      <c r="M598" s="2"/>
    </row>
    <row r="599" spans="1:13" x14ac:dyDescent="0.25">
      <c r="A599" s="2" t="s">
        <v>1536</v>
      </c>
      <c r="B599" s="2" t="s">
        <v>21</v>
      </c>
      <c r="C599" s="2" t="s">
        <v>1537</v>
      </c>
      <c r="D599" s="2"/>
      <c r="E599" s="2" t="s">
        <v>526</v>
      </c>
      <c r="F599" s="2">
        <v>1.9384615971491801</v>
      </c>
      <c r="G599" s="2">
        <v>26</v>
      </c>
      <c r="H599" s="2">
        <v>3000</v>
      </c>
      <c r="I599" s="2" t="s">
        <v>114</v>
      </c>
      <c r="J599" s="2" t="s">
        <v>116</v>
      </c>
      <c r="K599" s="2" t="s">
        <v>115</v>
      </c>
      <c r="L599" s="2"/>
      <c r="M59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1" sqref="E11"/>
    </sheetView>
  </sheetViews>
  <sheetFormatPr defaultRowHeight="15" x14ac:dyDescent="0.25"/>
  <cols>
    <col min="1" max="1" width="9.140625" style="19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38"/>
      <c r="B1" s="3"/>
      <c r="C1" s="4"/>
      <c r="D1" s="4"/>
      <c r="E1" s="4"/>
      <c r="F1" s="4"/>
      <c r="G1" s="4"/>
      <c r="H1" s="4"/>
      <c r="I1" s="4"/>
      <c r="J1" s="4"/>
      <c r="K1" s="5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20"/>
      <c r="AO1" s="20"/>
      <c r="AP1" s="20"/>
      <c r="AQ1" s="20"/>
      <c r="AR1" s="20"/>
      <c r="AS1" s="20"/>
      <c r="AT1" s="20"/>
    </row>
    <row r="2" spans="1:46" ht="20.25" x14ac:dyDescent="0.3">
      <c r="A2" s="38"/>
      <c r="B2" s="6"/>
      <c r="C2" s="7"/>
      <c r="D2" s="44" t="s">
        <v>18</v>
      </c>
      <c r="E2" s="44"/>
      <c r="F2" s="44"/>
      <c r="G2" s="44"/>
      <c r="H2" s="44"/>
      <c r="I2" s="44"/>
      <c r="J2" s="7"/>
      <c r="K2" s="8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20"/>
      <c r="AO2" s="20"/>
      <c r="AP2" s="20"/>
      <c r="AQ2" s="20"/>
      <c r="AR2" s="20"/>
      <c r="AS2" s="20"/>
      <c r="AT2" s="20"/>
    </row>
    <row r="3" spans="1:46" ht="20.25" x14ac:dyDescent="0.3">
      <c r="A3" s="38"/>
      <c r="B3" s="6"/>
      <c r="C3" s="7"/>
      <c r="D3" s="45" t="s">
        <v>22</v>
      </c>
      <c r="E3" s="45"/>
      <c r="F3" s="45"/>
      <c r="G3" s="45"/>
      <c r="H3" s="45"/>
      <c r="I3" s="45"/>
      <c r="J3" s="7"/>
      <c r="K3" s="8"/>
      <c r="L3" s="39"/>
      <c r="M3" s="43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20"/>
      <c r="AO3" s="20"/>
      <c r="AP3" s="20"/>
      <c r="AQ3" s="20"/>
      <c r="AR3" s="20"/>
      <c r="AS3" s="20"/>
      <c r="AT3" s="20"/>
    </row>
    <row r="4" spans="1:46" ht="15.75" thickBot="1" x14ac:dyDescent="0.3">
      <c r="A4" s="38"/>
      <c r="B4" s="9"/>
      <c r="C4" s="10"/>
      <c r="D4" s="10"/>
      <c r="E4" s="10"/>
      <c r="F4" s="10"/>
      <c r="G4" s="10"/>
      <c r="H4" s="10"/>
      <c r="I4" s="10"/>
      <c r="J4" s="10"/>
      <c r="K4" s="11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20"/>
      <c r="AO4" s="20"/>
      <c r="AP4" s="20"/>
      <c r="AQ4" s="20"/>
      <c r="AR4" s="20"/>
      <c r="AS4" s="20"/>
      <c r="AT4" s="20"/>
    </row>
    <row r="5" spans="1:46" ht="15.75" thickTop="1" x14ac:dyDescent="0.25">
      <c r="A5" s="38"/>
      <c r="B5" s="26"/>
      <c r="C5" s="27"/>
      <c r="D5" s="27"/>
      <c r="E5" s="27"/>
      <c r="F5" s="27"/>
      <c r="G5" s="27"/>
      <c r="H5" s="27"/>
      <c r="I5" s="27"/>
      <c r="J5" s="27"/>
      <c r="K5" s="28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20"/>
      <c r="AO5" s="20"/>
      <c r="AP5" s="20"/>
      <c r="AQ5" s="20"/>
      <c r="AR5" s="20"/>
      <c r="AS5" s="20"/>
      <c r="AT5" s="20"/>
    </row>
    <row r="6" spans="1:46" x14ac:dyDescent="0.25">
      <c r="A6" s="38"/>
      <c r="B6" s="29"/>
      <c r="C6" s="30"/>
      <c r="D6" s="30"/>
      <c r="E6" s="30"/>
      <c r="F6" s="31"/>
      <c r="G6" s="30"/>
      <c r="H6" s="31"/>
      <c r="I6" s="31"/>
      <c r="J6" s="30"/>
      <c r="K6" s="32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20"/>
      <c r="AO6" s="20"/>
      <c r="AP6" s="20"/>
      <c r="AQ6" s="20"/>
      <c r="AR6" s="20"/>
      <c r="AS6" s="20"/>
      <c r="AT6" s="20"/>
    </row>
    <row r="7" spans="1:46" x14ac:dyDescent="0.25">
      <c r="A7" s="38"/>
      <c r="B7" s="29"/>
      <c r="C7" s="30"/>
      <c r="D7" s="30"/>
      <c r="E7" s="30"/>
      <c r="F7" s="30"/>
      <c r="G7" s="33"/>
      <c r="H7" s="30"/>
      <c r="I7" s="34"/>
      <c r="J7" s="30"/>
      <c r="K7" s="32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20"/>
      <c r="AO7" s="20"/>
      <c r="AP7" s="20"/>
      <c r="AQ7" s="20"/>
      <c r="AR7" s="20"/>
      <c r="AS7" s="20"/>
      <c r="AT7" s="20"/>
    </row>
    <row r="8" spans="1:46" x14ac:dyDescent="0.25">
      <c r="A8" s="38"/>
      <c r="B8" s="29"/>
      <c r="C8" s="30"/>
      <c r="D8" s="30"/>
      <c r="E8" s="30"/>
      <c r="F8" s="30"/>
      <c r="G8" s="30"/>
      <c r="H8" s="30"/>
      <c r="I8" s="30"/>
      <c r="J8" s="30"/>
      <c r="K8" s="32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20"/>
      <c r="AO8" s="20"/>
      <c r="AP8" s="20"/>
      <c r="AQ8" s="20"/>
      <c r="AR8" s="20"/>
      <c r="AS8" s="20"/>
      <c r="AT8" s="20"/>
    </row>
    <row r="9" spans="1:46" x14ac:dyDescent="0.25">
      <c r="A9" s="38"/>
      <c r="B9" s="29"/>
      <c r="C9" s="30"/>
      <c r="D9" s="30"/>
      <c r="E9" s="30"/>
      <c r="F9" s="30"/>
      <c r="G9" s="30"/>
      <c r="H9" s="30"/>
      <c r="I9" s="31"/>
      <c r="J9" s="30"/>
      <c r="K9" s="32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20"/>
      <c r="AO9" s="20"/>
      <c r="AP9" s="20"/>
      <c r="AQ9" s="20"/>
      <c r="AR9" s="20"/>
      <c r="AS9" s="20"/>
      <c r="AT9" s="20"/>
    </row>
    <row r="10" spans="1:46" x14ac:dyDescent="0.25">
      <c r="A10" s="38"/>
      <c r="B10" s="29"/>
      <c r="C10" s="30"/>
      <c r="D10" s="30"/>
      <c r="E10" s="30"/>
      <c r="F10" s="30"/>
      <c r="G10" s="30"/>
      <c r="H10" s="30"/>
      <c r="I10" s="31"/>
      <c r="J10" s="30"/>
      <c r="K10" s="32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20"/>
      <c r="AO10" s="20"/>
      <c r="AP10" s="20"/>
      <c r="AQ10" s="20"/>
      <c r="AR10" s="20"/>
      <c r="AS10" s="20"/>
      <c r="AT10" s="20"/>
    </row>
    <row r="11" spans="1:46" x14ac:dyDescent="0.25">
      <c r="A11" s="38"/>
      <c r="B11" s="29"/>
      <c r="C11" s="30"/>
      <c r="D11" s="30"/>
      <c r="E11" s="30"/>
      <c r="F11" s="30"/>
      <c r="G11" s="30"/>
      <c r="H11" s="30"/>
      <c r="I11" s="30"/>
      <c r="J11" s="30"/>
      <c r="K11" s="32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20"/>
      <c r="AO11" s="20"/>
      <c r="AP11" s="20"/>
      <c r="AQ11" s="20"/>
      <c r="AR11" s="20"/>
      <c r="AS11" s="20"/>
      <c r="AT11" s="20"/>
    </row>
    <row r="12" spans="1:46" ht="15.75" thickBot="1" x14ac:dyDescent="0.3">
      <c r="A12" s="38"/>
      <c r="B12" s="35"/>
      <c r="C12" s="36"/>
      <c r="D12" s="36"/>
      <c r="E12" s="36"/>
      <c r="F12" s="36"/>
      <c r="G12" s="36"/>
      <c r="H12" s="36"/>
      <c r="I12" s="36"/>
      <c r="J12" s="36"/>
      <c r="K12" s="37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20"/>
      <c r="AO12" s="20"/>
      <c r="AP12" s="20"/>
      <c r="AQ12" s="20"/>
      <c r="AR12" s="20"/>
      <c r="AS12" s="20"/>
      <c r="AT12" s="20"/>
    </row>
    <row r="13" spans="1:46" ht="15.75" thickTop="1" x14ac:dyDescent="0.25">
      <c r="A13" s="38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20"/>
      <c r="AO13" s="20"/>
      <c r="AP13" s="20"/>
      <c r="AQ13" s="20"/>
      <c r="AR13" s="20"/>
      <c r="AS13" s="20"/>
      <c r="AT13" s="20"/>
    </row>
    <row r="14" spans="1:46" x14ac:dyDescent="0.25">
      <c r="A14" s="38"/>
      <c r="B14" s="12"/>
      <c r="C14" s="12"/>
      <c r="D14" s="12"/>
      <c r="E14" s="40"/>
      <c r="F14" s="12"/>
      <c r="G14" s="12"/>
      <c r="H14" s="12"/>
      <c r="I14" s="12"/>
      <c r="J14" s="12"/>
      <c r="K14" s="12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20"/>
      <c r="AO14" s="20"/>
      <c r="AP14" s="20"/>
      <c r="AQ14" s="20"/>
      <c r="AR14" s="20"/>
      <c r="AS14" s="20"/>
      <c r="AT14" s="20"/>
    </row>
    <row r="15" spans="1:46" ht="34.5" x14ac:dyDescent="0.45">
      <c r="A15" s="38"/>
      <c r="B15" s="13" t="s">
        <v>7</v>
      </c>
      <c r="C15" s="15"/>
      <c r="D15" s="22">
        <f>'DraftKings Basketball  Solver'!O11</f>
        <v>101.37925345482309</v>
      </c>
      <c r="E15" s="40"/>
      <c r="F15" s="25" t="str">
        <f>'DraftKings Basketball  Solver'!O17</f>
        <v>Crosby</v>
      </c>
      <c r="G15" s="24" t="str">
        <f>'DraftKings Basketball  Solver'!O18</f>
        <v>Malkin</v>
      </c>
      <c r="H15" s="25" t="str">
        <f>'DraftKings Basketball  Solver'!O19</f>
        <v>Ovechkin</v>
      </c>
      <c r="I15" s="24" t="str">
        <f>'DraftKings Basketball  Solver'!O20</f>
        <v>Benn</v>
      </c>
      <c r="J15" s="24"/>
      <c r="K15" s="12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20"/>
      <c r="AO15" s="20"/>
      <c r="AP15" s="20"/>
      <c r="AQ15" s="20"/>
      <c r="AR15" s="20"/>
      <c r="AS15" s="20"/>
      <c r="AT15" s="20"/>
    </row>
    <row r="16" spans="1:46" ht="27" x14ac:dyDescent="0.35">
      <c r="A16" s="38"/>
      <c r="B16" s="13" t="s">
        <v>8</v>
      </c>
      <c r="C16" s="15"/>
      <c r="D16" s="23">
        <f>'DraftKings Basketball  Solver'!O8</f>
        <v>60000</v>
      </c>
      <c r="E16" s="40"/>
      <c r="F16" s="24"/>
      <c r="G16" s="24"/>
      <c r="H16" s="24"/>
      <c r="I16" s="24"/>
      <c r="J16" s="24"/>
      <c r="K16" s="12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20"/>
      <c r="AO16" s="20"/>
      <c r="AP16" s="20"/>
      <c r="AQ16" s="20"/>
      <c r="AR16" s="20"/>
      <c r="AS16" s="20"/>
      <c r="AT16" s="20"/>
    </row>
    <row r="17" spans="1:46" ht="27" x14ac:dyDescent="0.35">
      <c r="A17" s="38"/>
      <c r="B17" s="13"/>
      <c r="C17" s="16"/>
      <c r="D17" s="14"/>
      <c r="E17" s="41"/>
      <c r="F17" s="24" t="e">
        <f>'DraftKings Basketball  Solver'!O23</f>
        <v>#N/A</v>
      </c>
      <c r="G17" s="25" t="e">
        <f>'DraftKings Basketball  Solver'!O24</f>
        <v>#N/A</v>
      </c>
      <c r="H17" s="24" t="e">
        <f>'DraftKings Basketball  Solver'!O25</f>
        <v>#N/A</v>
      </c>
      <c r="I17" s="25">
        <f>'DraftKings Basketball  Solver'!O26</f>
        <v>0</v>
      </c>
      <c r="J17" s="24"/>
      <c r="K17" s="17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20"/>
      <c r="AO17" s="20"/>
      <c r="AP17" s="20"/>
      <c r="AQ17" s="20"/>
      <c r="AR17" s="20"/>
      <c r="AS17" s="20"/>
      <c r="AT17" s="20"/>
    </row>
    <row r="18" spans="1:46" x14ac:dyDescent="0.25">
      <c r="A18" s="38"/>
      <c r="B18" s="12"/>
      <c r="C18" s="17"/>
      <c r="D18" s="17"/>
      <c r="E18" s="41"/>
      <c r="F18" s="12"/>
      <c r="G18" s="17"/>
      <c r="H18" s="17"/>
      <c r="I18" s="17"/>
      <c r="J18" s="17"/>
      <c r="K18" s="17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20"/>
      <c r="AO18" s="20"/>
      <c r="AP18" s="20"/>
      <c r="AQ18" s="20"/>
      <c r="AR18" s="20"/>
      <c r="AS18" s="20"/>
      <c r="AT18" s="20"/>
    </row>
    <row r="19" spans="1:46" x14ac:dyDescent="0.25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20"/>
      <c r="AO19" s="20"/>
      <c r="AP19" s="20"/>
      <c r="AQ19" s="20"/>
      <c r="AR19" s="20"/>
      <c r="AS19" s="20"/>
      <c r="AT19" s="20"/>
    </row>
    <row r="20" spans="1:46" x14ac:dyDescent="0.25">
      <c r="A20" s="3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20"/>
      <c r="AO20" s="20"/>
      <c r="AP20" s="20"/>
      <c r="AQ20" s="20"/>
      <c r="AR20" s="20"/>
      <c r="AS20" s="20"/>
      <c r="AT20" s="20"/>
    </row>
    <row r="21" spans="1:46" x14ac:dyDescent="0.25">
      <c r="A21" s="38"/>
      <c r="B21" s="42"/>
      <c r="C21" s="43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39"/>
      <c r="W21" s="39"/>
      <c r="X21" s="39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20"/>
      <c r="AO21" s="20"/>
      <c r="AP21" s="20"/>
      <c r="AQ21" s="20"/>
      <c r="AR21" s="20"/>
      <c r="AS21" s="20"/>
      <c r="AT21" s="20"/>
    </row>
    <row r="22" spans="1:46" x14ac:dyDescent="0.25">
      <c r="A22" s="38"/>
      <c r="B22" s="42"/>
      <c r="C22" s="43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39"/>
      <c r="W22" s="39"/>
      <c r="X22" s="39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20"/>
      <c r="AO22" s="20"/>
      <c r="AP22" s="20"/>
      <c r="AQ22" s="20"/>
      <c r="AR22" s="20"/>
      <c r="AS22" s="20"/>
      <c r="AT22" s="20"/>
    </row>
    <row r="23" spans="1:46" x14ac:dyDescent="0.25">
      <c r="A23" s="38"/>
      <c r="B23" s="42"/>
      <c r="C23" s="43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39"/>
      <c r="W23" s="39"/>
      <c r="X23" s="39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20"/>
      <c r="AO23" s="20"/>
      <c r="AP23" s="20"/>
      <c r="AQ23" s="20"/>
      <c r="AR23" s="20"/>
      <c r="AS23" s="20"/>
      <c r="AT23" s="20"/>
    </row>
    <row r="24" spans="1:46" x14ac:dyDescent="0.25">
      <c r="A24" s="38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39"/>
      <c r="W24" s="39"/>
      <c r="X24" s="39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20"/>
      <c r="AO24" s="20"/>
      <c r="AP24" s="20"/>
      <c r="AQ24" s="20"/>
      <c r="AR24" s="20"/>
      <c r="AS24" s="20"/>
      <c r="AT24" s="20"/>
    </row>
    <row r="25" spans="1:46" x14ac:dyDescent="0.25">
      <c r="A25" s="38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39"/>
      <c r="W25" s="39"/>
      <c r="X25" s="39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20"/>
      <c r="AO25" s="20"/>
      <c r="AP25" s="20"/>
      <c r="AQ25" s="20"/>
      <c r="AR25" s="20"/>
      <c r="AS25" s="20"/>
      <c r="AT25" s="20"/>
    </row>
    <row r="26" spans="1:46" x14ac:dyDescent="0.25">
      <c r="A26" s="38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39"/>
      <c r="W26" s="39"/>
      <c r="X26" s="39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20"/>
      <c r="AO26" s="20"/>
      <c r="AP26" s="20"/>
      <c r="AQ26" s="20"/>
      <c r="AR26" s="20"/>
      <c r="AS26" s="20"/>
      <c r="AT26" s="20"/>
    </row>
    <row r="27" spans="1:46" x14ac:dyDescent="0.25">
      <c r="A27" s="38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20"/>
      <c r="AO27" s="20"/>
      <c r="AP27" s="20"/>
      <c r="AQ27" s="20"/>
      <c r="AR27" s="20"/>
      <c r="AS27" s="20"/>
      <c r="AT27" s="20"/>
    </row>
    <row r="28" spans="1:46" x14ac:dyDescent="0.25">
      <c r="A28" s="38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20"/>
      <c r="AO28" s="20"/>
      <c r="AP28" s="20"/>
      <c r="AQ28" s="20"/>
      <c r="AR28" s="20"/>
      <c r="AS28" s="20"/>
      <c r="AT28" s="20"/>
    </row>
    <row r="29" spans="1:46" x14ac:dyDescent="0.25">
      <c r="A29" s="38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20"/>
      <c r="AO29" s="20"/>
      <c r="AP29" s="20"/>
      <c r="AQ29" s="20"/>
      <c r="AR29" s="20"/>
      <c r="AS29" s="20"/>
      <c r="AT29" s="20"/>
    </row>
    <row r="30" spans="1:46" x14ac:dyDescent="0.25">
      <c r="A30" s="38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20"/>
      <c r="AO30" s="20"/>
      <c r="AP30" s="20"/>
      <c r="AQ30" s="20"/>
      <c r="AR30" s="20"/>
      <c r="AS30" s="20"/>
      <c r="AT30" s="20"/>
    </row>
    <row r="31" spans="1:46" x14ac:dyDescent="0.25">
      <c r="A31" s="38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20"/>
      <c r="AO31" s="20"/>
      <c r="AP31" s="20"/>
      <c r="AQ31" s="20"/>
      <c r="AR31" s="20"/>
      <c r="AS31" s="20"/>
      <c r="AT31" s="20"/>
    </row>
    <row r="32" spans="1:46" x14ac:dyDescent="0.25">
      <c r="A32" s="38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20"/>
      <c r="AO32" s="20"/>
      <c r="AP32" s="20"/>
      <c r="AQ32" s="20"/>
      <c r="AR32" s="20"/>
      <c r="AS32" s="20"/>
      <c r="AT32" s="20"/>
    </row>
    <row r="33" spans="1:46" x14ac:dyDescent="0.25">
      <c r="A33" s="38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20"/>
      <c r="AO33" s="20"/>
      <c r="AP33" s="20"/>
      <c r="AQ33" s="20"/>
      <c r="AR33" s="20"/>
      <c r="AS33" s="20"/>
      <c r="AT33" s="20"/>
    </row>
    <row r="34" spans="1:46" x14ac:dyDescent="0.25">
      <c r="A34" s="38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20"/>
      <c r="AO34" s="20"/>
      <c r="AP34" s="20"/>
      <c r="AQ34" s="20"/>
      <c r="AR34" s="20"/>
      <c r="AS34" s="20"/>
      <c r="AT34" s="20"/>
    </row>
    <row r="35" spans="1:46" x14ac:dyDescent="0.25">
      <c r="A35" s="38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20"/>
      <c r="AO35" s="20"/>
      <c r="AP35" s="20"/>
      <c r="AQ35" s="20"/>
      <c r="AR35" s="20"/>
      <c r="AS35" s="20"/>
      <c r="AT35" s="20"/>
    </row>
    <row r="36" spans="1:46" x14ac:dyDescent="0.25">
      <c r="A36" s="38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20"/>
      <c r="AO36" s="20"/>
      <c r="AP36" s="20"/>
      <c r="AQ36" s="20"/>
      <c r="AR36" s="20"/>
      <c r="AS36" s="20"/>
      <c r="AT36" s="20"/>
    </row>
    <row r="37" spans="1:46" x14ac:dyDescent="0.25">
      <c r="A37" s="38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20"/>
      <c r="AO37" s="20"/>
      <c r="AP37" s="20"/>
      <c r="AQ37" s="20"/>
      <c r="AR37" s="20"/>
      <c r="AS37" s="20"/>
      <c r="AT37" s="20"/>
    </row>
    <row r="38" spans="1:46" x14ac:dyDescent="0.25">
      <c r="A38" s="38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20"/>
      <c r="AO38" s="20"/>
      <c r="AP38" s="20"/>
      <c r="AQ38" s="20"/>
      <c r="AR38" s="20"/>
      <c r="AS38" s="20"/>
      <c r="AT38" s="20"/>
    </row>
    <row r="39" spans="1:46" x14ac:dyDescent="0.25">
      <c r="A39" s="38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20"/>
      <c r="AO39" s="20"/>
      <c r="AP39" s="20"/>
      <c r="AQ39" s="20"/>
      <c r="AR39" s="20"/>
      <c r="AS39" s="20"/>
      <c r="AT39" s="20"/>
    </row>
    <row r="40" spans="1:46" x14ac:dyDescent="0.25">
      <c r="A40" s="38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20"/>
      <c r="AO40" s="20"/>
      <c r="AP40" s="20"/>
      <c r="AQ40" s="20"/>
      <c r="AR40" s="20"/>
      <c r="AS40" s="20"/>
      <c r="AT40" s="20"/>
    </row>
    <row r="41" spans="1:46" x14ac:dyDescent="0.25">
      <c r="A41" s="38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20"/>
      <c r="AO41" s="20"/>
      <c r="AP41" s="20"/>
      <c r="AQ41" s="20"/>
      <c r="AR41" s="20"/>
      <c r="AS41" s="20"/>
      <c r="AT41" s="20"/>
    </row>
    <row r="42" spans="1:46" x14ac:dyDescent="0.25">
      <c r="A42" s="18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20"/>
      <c r="AO42" s="20"/>
      <c r="AP42" s="20"/>
      <c r="AQ42" s="20"/>
      <c r="AR42" s="20"/>
      <c r="AS42" s="20"/>
      <c r="AT42" s="20"/>
    </row>
    <row r="43" spans="1:46" x14ac:dyDescent="0.25">
      <c r="A43" s="18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20"/>
      <c r="AO43" s="20"/>
      <c r="AP43" s="20"/>
      <c r="AQ43" s="20"/>
      <c r="AR43" s="20"/>
      <c r="AS43" s="20"/>
      <c r="AT43" s="20"/>
    </row>
    <row r="44" spans="1:46" x14ac:dyDescent="0.25">
      <c r="A44" s="18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20"/>
      <c r="AO44" s="20"/>
      <c r="AP44" s="20"/>
      <c r="AQ44" s="20"/>
      <c r="AR44" s="20"/>
      <c r="AS44" s="20"/>
      <c r="AT44" s="20"/>
    </row>
    <row r="45" spans="1:46" x14ac:dyDescent="0.25">
      <c r="A45" s="18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20"/>
      <c r="AO45" s="20"/>
      <c r="AP45" s="20"/>
      <c r="AQ45" s="20"/>
      <c r="AR45" s="20"/>
      <c r="AS45" s="20"/>
      <c r="AT45" s="20"/>
    </row>
    <row r="46" spans="1:46" x14ac:dyDescent="0.25">
      <c r="A46" s="18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20"/>
      <c r="AO46" s="20"/>
      <c r="AP46" s="20"/>
      <c r="AQ46" s="20"/>
      <c r="AR46" s="20"/>
      <c r="AS46" s="20"/>
      <c r="AT46" s="20"/>
    </row>
    <row r="47" spans="1:46" x14ac:dyDescent="0.25">
      <c r="A47" s="18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20"/>
      <c r="AO47" s="20"/>
      <c r="AP47" s="20"/>
      <c r="AQ47" s="20"/>
      <c r="AR47" s="20"/>
      <c r="AS47" s="20"/>
      <c r="AT47" s="20"/>
    </row>
    <row r="48" spans="1:46" x14ac:dyDescent="0.25">
      <c r="A48" s="18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20"/>
      <c r="AO48" s="20"/>
      <c r="AP48" s="20"/>
      <c r="AQ48" s="20"/>
      <c r="AR48" s="20"/>
      <c r="AS48" s="20"/>
      <c r="AT48" s="20"/>
    </row>
    <row r="49" spans="1:46" x14ac:dyDescent="0.25">
      <c r="A49" s="18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20"/>
      <c r="AO49" s="20"/>
      <c r="AP49" s="20"/>
      <c r="AQ49" s="20"/>
      <c r="AR49" s="20"/>
      <c r="AS49" s="20"/>
      <c r="AT49" s="20"/>
    </row>
    <row r="50" spans="1:46" x14ac:dyDescent="0.25">
      <c r="A50" s="18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20"/>
      <c r="AO50" s="20"/>
      <c r="AP50" s="20"/>
      <c r="AQ50" s="20"/>
      <c r="AR50" s="20"/>
      <c r="AS50" s="20"/>
      <c r="AT50" s="20"/>
    </row>
    <row r="51" spans="1:46" x14ac:dyDescent="0.25">
      <c r="A51" s="18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20"/>
      <c r="AO51" s="20"/>
      <c r="AP51" s="20"/>
      <c r="AQ51" s="20"/>
      <c r="AR51" s="20"/>
      <c r="AS51" s="20"/>
      <c r="AT51" s="20"/>
    </row>
    <row r="52" spans="1:46" x14ac:dyDescent="0.25">
      <c r="A52" s="18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20"/>
      <c r="AO52" s="20"/>
      <c r="AP52" s="20"/>
      <c r="AQ52" s="20"/>
      <c r="AR52" s="20"/>
      <c r="AS52" s="20"/>
      <c r="AT52" s="20"/>
    </row>
    <row r="53" spans="1:46" x14ac:dyDescent="0.25">
      <c r="A53" s="18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20"/>
      <c r="AO53" s="20"/>
      <c r="AP53" s="20"/>
      <c r="AQ53" s="20"/>
      <c r="AR53" s="20"/>
      <c r="AS53" s="20"/>
      <c r="AT53" s="20"/>
    </row>
    <row r="54" spans="1:46" x14ac:dyDescent="0.25">
      <c r="A54" s="18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20"/>
      <c r="AO54" s="20"/>
      <c r="AP54" s="20"/>
      <c r="AQ54" s="20"/>
      <c r="AR54" s="20"/>
      <c r="AS54" s="20"/>
      <c r="AT54" s="20"/>
    </row>
    <row r="55" spans="1:46" x14ac:dyDescent="0.25">
      <c r="A55" s="18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20"/>
      <c r="AO55" s="20"/>
      <c r="AP55" s="20"/>
      <c r="AQ55" s="20"/>
      <c r="AR55" s="20"/>
      <c r="AS55" s="20"/>
      <c r="AT55" s="20"/>
    </row>
    <row r="56" spans="1:46" x14ac:dyDescent="0.25">
      <c r="A56" s="18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20"/>
      <c r="AO56" s="20"/>
      <c r="AP56" s="20"/>
      <c r="AQ56" s="20"/>
      <c r="AR56" s="20"/>
      <c r="AS56" s="20"/>
      <c r="AT56" s="20"/>
    </row>
    <row r="57" spans="1:46" x14ac:dyDescent="0.25">
      <c r="A57" s="18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20"/>
      <c r="AO57" s="20"/>
      <c r="AP57" s="20"/>
      <c r="AQ57" s="20"/>
      <c r="AR57" s="20"/>
      <c r="AS57" s="20"/>
      <c r="AT57" s="20"/>
    </row>
    <row r="58" spans="1:46" x14ac:dyDescent="0.25">
      <c r="A58" s="18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20"/>
      <c r="AO58" s="20"/>
      <c r="AP58" s="20"/>
      <c r="AQ58" s="20"/>
      <c r="AR58" s="20"/>
      <c r="AS58" s="20"/>
      <c r="AT58" s="20"/>
    </row>
    <row r="59" spans="1:46" x14ac:dyDescent="0.25">
      <c r="A59" s="18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20"/>
      <c r="AO59" s="20"/>
      <c r="AP59" s="20"/>
      <c r="AQ59" s="20"/>
      <c r="AR59" s="20"/>
      <c r="AS59" s="20"/>
      <c r="AT59" s="20"/>
    </row>
    <row r="60" spans="1:46" x14ac:dyDescent="0.25">
      <c r="A60" s="18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20"/>
      <c r="AO60" s="20"/>
      <c r="AP60" s="20"/>
      <c r="AQ60" s="20"/>
      <c r="AR60" s="20"/>
      <c r="AS60" s="20"/>
      <c r="AT60" s="20"/>
    </row>
    <row r="61" spans="1:46" x14ac:dyDescent="0.25">
      <c r="A61" s="18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20"/>
      <c r="AO61" s="20"/>
      <c r="AP61" s="20"/>
      <c r="AQ61" s="20"/>
      <c r="AR61" s="20"/>
      <c r="AS61" s="20"/>
      <c r="AT61" s="20"/>
    </row>
    <row r="62" spans="1:46" x14ac:dyDescent="0.25">
      <c r="A62" s="18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20"/>
      <c r="AO62" s="20"/>
      <c r="AP62" s="20"/>
      <c r="AQ62" s="20"/>
      <c r="AR62" s="20"/>
      <c r="AS62" s="20"/>
      <c r="AT62" s="20"/>
    </row>
    <row r="63" spans="1:46" x14ac:dyDescent="0.25">
      <c r="A63" s="18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20"/>
      <c r="AO63" s="20"/>
      <c r="AP63" s="20"/>
      <c r="AQ63" s="20"/>
      <c r="AR63" s="20"/>
      <c r="AS63" s="20"/>
      <c r="AT63" s="20"/>
    </row>
    <row r="64" spans="1:46" x14ac:dyDescent="0.25">
      <c r="A64" s="18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20"/>
      <c r="AO64" s="20"/>
      <c r="AP64" s="20"/>
      <c r="AQ64" s="20"/>
      <c r="AR64" s="20"/>
      <c r="AS64" s="20"/>
      <c r="AT64" s="20"/>
    </row>
    <row r="65" spans="1:46" x14ac:dyDescent="0.25">
      <c r="A65" s="18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20"/>
      <c r="AO65" s="20"/>
      <c r="AP65" s="20"/>
      <c r="AQ65" s="20"/>
      <c r="AR65" s="20"/>
      <c r="AS65" s="20"/>
      <c r="AT65" s="20"/>
    </row>
    <row r="66" spans="1:46" x14ac:dyDescent="0.25">
      <c r="A66" s="18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20"/>
      <c r="AO66" s="20"/>
      <c r="AP66" s="20"/>
      <c r="AQ66" s="20"/>
      <c r="AR66" s="20"/>
      <c r="AS66" s="20"/>
      <c r="AT66" s="20"/>
    </row>
    <row r="67" spans="1:46" x14ac:dyDescent="0.25">
      <c r="A67" s="18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20"/>
      <c r="AO67" s="20"/>
      <c r="AP67" s="20"/>
      <c r="AQ67" s="20"/>
      <c r="AR67" s="20"/>
      <c r="AS67" s="20"/>
      <c r="AT67" s="20"/>
    </row>
    <row r="68" spans="1:46" x14ac:dyDescent="0.25">
      <c r="A68" s="18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20"/>
      <c r="AO68" s="20"/>
      <c r="AP68" s="20"/>
      <c r="AQ68" s="20"/>
      <c r="AR68" s="20"/>
      <c r="AS68" s="20"/>
      <c r="AT68" s="20"/>
    </row>
    <row r="69" spans="1:46" x14ac:dyDescent="0.25">
      <c r="A69" s="18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20"/>
      <c r="AO69" s="20"/>
      <c r="AP69" s="20"/>
      <c r="AQ69" s="20"/>
      <c r="AR69" s="20"/>
      <c r="AS69" s="20"/>
      <c r="AT69" s="20"/>
    </row>
    <row r="70" spans="1:46" x14ac:dyDescent="0.25">
      <c r="A70" s="18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20"/>
      <c r="AO70" s="20"/>
      <c r="AP70" s="20"/>
      <c r="AQ70" s="20"/>
      <c r="AR70" s="20"/>
      <c r="AS70" s="20"/>
      <c r="AT70" s="20"/>
    </row>
    <row r="71" spans="1:46" x14ac:dyDescent="0.25">
      <c r="A71" s="18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20"/>
      <c r="AO71" s="20"/>
      <c r="AP71" s="20"/>
      <c r="AQ71" s="20"/>
      <c r="AR71" s="20"/>
      <c r="AS71" s="20"/>
      <c r="AT71" s="20"/>
    </row>
    <row r="72" spans="1:46" x14ac:dyDescent="0.25">
      <c r="A72" s="18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20"/>
      <c r="AO72" s="20"/>
      <c r="AP72" s="20"/>
      <c r="AQ72" s="20"/>
      <c r="AR72" s="20"/>
      <c r="AS72" s="20"/>
      <c r="AT72" s="20"/>
    </row>
    <row r="73" spans="1:46" x14ac:dyDescent="0.25">
      <c r="A73" s="18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20"/>
      <c r="AO73" s="20"/>
      <c r="AP73" s="20"/>
      <c r="AQ73" s="20"/>
      <c r="AR73" s="20"/>
      <c r="AS73" s="20"/>
      <c r="AT73" s="20"/>
    </row>
    <row r="74" spans="1:46" x14ac:dyDescent="0.25">
      <c r="A74" s="18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20"/>
      <c r="AO74" s="20"/>
      <c r="AP74" s="20"/>
      <c r="AQ74" s="20"/>
      <c r="AR74" s="20"/>
      <c r="AS74" s="20"/>
      <c r="AT74" s="20"/>
    </row>
    <row r="75" spans="1:46" x14ac:dyDescent="0.25">
      <c r="A75" s="18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20"/>
      <c r="AO75" s="20"/>
      <c r="AP75" s="20"/>
      <c r="AQ75" s="20"/>
      <c r="AR75" s="20"/>
      <c r="AS75" s="20"/>
      <c r="AT75" s="20"/>
    </row>
    <row r="76" spans="1:46" x14ac:dyDescent="0.25">
      <c r="A76" s="18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20"/>
      <c r="AO76" s="20"/>
      <c r="AP76" s="20"/>
      <c r="AQ76" s="20"/>
      <c r="AR76" s="20"/>
      <c r="AS76" s="20"/>
      <c r="AT76" s="20"/>
    </row>
    <row r="77" spans="1:46" x14ac:dyDescent="0.25">
      <c r="A77" s="18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20"/>
      <c r="AO77" s="20"/>
      <c r="AP77" s="20"/>
      <c r="AQ77" s="20"/>
      <c r="AR77" s="20"/>
      <c r="AS77" s="20"/>
      <c r="AT77" s="20"/>
    </row>
    <row r="78" spans="1:46" x14ac:dyDescent="0.25">
      <c r="A78" s="18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20"/>
      <c r="AO78" s="20"/>
      <c r="AP78" s="20"/>
      <c r="AQ78" s="20"/>
      <c r="AR78" s="20"/>
      <c r="AS78" s="20"/>
      <c r="AT78" s="20"/>
    </row>
    <row r="79" spans="1:46" x14ac:dyDescent="0.25">
      <c r="A79" s="18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20"/>
      <c r="AO79" s="20"/>
      <c r="AP79" s="20"/>
      <c r="AQ79" s="20"/>
      <c r="AR79" s="20"/>
      <c r="AS79" s="20"/>
      <c r="AT79" s="20"/>
    </row>
    <row r="80" spans="1:46" x14ac:dyDescent="0.25">
      <c r="A80" s="18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20"/>
      <c r="AO80" s="20"/>
      <c r="AP80" s="20"/>
      <c r="AQ80" s="20"/>
      <c r="AR80" s="20"/>
      <c r="AS80" s="20"/>
      <c r="AT80" s="20"/>
    </row>
    <row r="81" spans="1:46" x14ac:dyDescent="0.25">
      <c r="A81" s="18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20"/>
      <c r="AO81" s="20"/>
      <c r="AP81" s="20"/>
      <c r="AQ81" s="20"/>
      <c r="AR81" s="20"/>
      <c r="AS81" s="20"/>
      <c r="AT81" s="20"/>
    </row>
    <row r="82" spans="1:46" x14ac:dyDescent="0.25">
      <c r="A82" s="18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20"/>
      <c r="AO82" s="20"/>
      <c r="AP82" s="20"/>
      <c r="AQ82" s="20"/>
      <c r="AR82" s="20"/>
      <c r="AS82" s="20"/>
      <c r="AT82" s="20"/>
    </row>
    <row r="83" spans="1:46" x14ac:dyDescent="0.25">
      <c r="A83" s="18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20"/>
      <c r="AO83" s="20"/>
      <c r="AP83" s="20"/>
      <c r="AQ83" s="20"/>
      <c r="AR83" s="20"/>
      <c r="AS83" s="20"/>
      <c r="AT83" s="20"/>
    </row>
    <row r="84" spans="1:46" x14ac:dyDescent="0.25">
      <c r="A84" s="18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20"/>
      <c r="AO84" s="20"/>
      <c r="AP84" s="20"/>
      <c r="AQ84" s="20"/>
      <c r="AR84" s="20"/>
      <c r="AS84" s="20"/>
      <c r="AT84" s="20"/>
    </row>
    <row r="85" spans="1:46" x14ac:dyDescent="0.25">
      <c r="A85" s="18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20"/>
      <c r="AO85" s="20"/>
      <c r="AP85" s="20"/>
      <c r="AQ85" s="20"/>
      <c r="AR85" s="20"/>
      <c r="AS85" s="20"/>
      <c r="AT85" s="20"/>
    </row>
    <row r="86" spans="1:46" x14ac:dyDescent="0.25">
      <c r="A86" s="18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20"/>
      <c r="AO86" s="20"/>
      <c r="AP86" s="20"/>
      <c r="AQ86" s="20"/>
      <c r="AR86" s="20"/>
      <c r="AS86" s="20"/>
      <c r="AT86" s="20"/>
    </row>
    <row r="87" spans="1:46" x14ac:dyDescent="0.25">
      <c r="A87" s="18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20"/>
      <c r="AO87" s="20"/>
      <c r="AP87" s="20"/>
      <c r="AQ87" s="20"/>
      <c r="AR87" s="20"/>
      <c r="AS87" s="20"/>
      <c r="AT87" s="20"/>
    </row>
    <row r="88" spans="1:46" x14ac:dyDescent="0.25">
      <c r="A88" s="18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20"/>
      <c r="AO88" s="20"/>
      <c r="AP88" s="20"/>
      <c r="AQ88" s="20"/>
      <c r="AR88" s="20"/>
      <c r="AS88" s="20"/>
      <c r="AT88" s="20"/>
    </row>
    <row r="89" spans="1:46" x14ac:dyDescent="0.25"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20"/>
      <c r="AO89" s="20"/>
      <c r="AP89" s="20"/>
      <c r="AQ89" s="20"/>
      <c r="AR89" s="20"/>
      <c r="AS89" s="20"/>
      <c r="AT89" s="20"/>
    </row>
    <row r="90" spans="1:46" x14ac:dyDescent="0.25"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20"/>
      <c r="AO90" s="20"/>
      <c r="AP90" s="20"/>
      <c r="AQ90" s="20"/>
      <c r="AR90" s="20"/>
      <c r="AS90" s="20"/>
      <c r="AT90" s="20"/>
    </row>
    <row r="91" spans="1:46" x14ac:dyDescent="0.25"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20"/>
      <c r="AO91" s="20"/>
      <c r="AP91" s="20"/>
      <c r="AQ91" s="20"/>
      <c r="AR91" s="20"/>
      <c r="AS91" s="20"/>
      <c r="AT91" s="20"/>
    </row>
    <row r="92" spans="1:46" x14ac:dyDescent="0.25"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20"/>
      <c r="AO92" s="20"/>
      <c r="AP92" s="20"/>
      <c r="AQ92" s="20"/>
      <c r="AR92" s="20"/>
      <c r="AS92" s="20"/>
      <c r="AT92" s="20"/>
    </row>
    <row r="93" spans="1:46" x14ac:dyDescent="0.25"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20"/>
      <c r="AO93" s="20"/>
      <c r="AP93" s="20"/>
      <c r="AQ93" s="20"/>
      <c r="AR93" s="20"/>
      <c r="AS93" s="20"/>
      <c r="AT93" s="20"/>
    </row>
    <row r="94" spans="1:46" x14ac:dyDescent="0.25"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20"/>
      <c r="AO94" s="20"/>
      <c r="AP94" s="20"/>
      <c r="AQ94" s="20"/>
      <c r="AR94" s="20"/>
      <c r="AS94" s="20"/>
      <c r="AT94" s="20"/>
    </row>
    <row r="95" spans="1:46" x14ac:dyDescent="0.25"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20"/>
      <c r="AO95" s="20"/>
      <c r="AP95" s="20"/>
      <c r="AQ95" s="20"/>
      <c r="AR95" s="20"/>
      <c r="AS95" s="20"/>
      <c r="AT95" s="20"/>
    </row>
    <row r="96" spans="1:46" x14ac:dyDescent="0.25"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20"/>
      <c r="AO96" s="20"/>
      <c r="AP96" s="20"/>
      <c r="AQ96" s="20"/>
      <c r="AR96" s="20"/>
      <c r="AS96" s="20"/>
      <c r="AT96" s="20"/>
    </row>
    <row r="97" spans="2:46" x14ac:dyDescent="0.25"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20"/>
      <c r="AO97" s="20"/>
      <c r="AP97" s="20"/>
      <c r="AQ97" s="20"/>
      <c r="AR97" s="20"/>
      <c r="AS97" s="20"/>
      <c r="AT97" s="20"/>
    </row>
    <row r="98" spans="2:46" x14ac:dyDescent="0.25"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20"/>
      <c r="AO98" s="20"/>
      <c r="AP98" s="20"/>
      <c r="AQ98" s="20"/>
      <c r="AR98" s="20"/>
      <c r="AS98" s="20"/>
      <c r="AT98" s="20"/>
    </row>
    <row r="99" spans="2:46" x14ac:dyDescent="0.25"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20"/>
      <c r="AO99" s="20"/>
      <c r="AP99" s="20"/>
      <c r="AQ99" s="20"/>
      <c r="AR99" s="20"/>
      <c r="AS99" s="20"/>
      <c r="AT99" s="20"/>
    </row>
    <row r="100" spans="2:46" x14ac:dyDescent="0.25"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20"/>
      <c r="AO100" s="20"/>
      <c r="AP100" s="20"/>
      <c r="AQ100" s="20"/>
      <c r="AR100" s="20"/>
      <c r="AS100" s="20"/>
      <c r="AT100" s="20"/>
    </row>
    <row r="101" spans="2:46" x14ac:dyDescent="0.25"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20"/>
      <c r="AO101" s="20"/>
      <c r="AP101" s="20"/>
      <c r="AQ101" s="20"/>
      <c r="AR101" s="20"/>
      <c r="AS101" s="20"/>
      <c r="AT101" s="20"/>
    </row>
    <row r="102" spans="2:46" x14ac:dyDescent="0.25"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20"/>
      <c r="AO102" s="20"/>
      <c r="AP102" s="20"/>
      <c r="AQ102" s="20"/>
      <c r="AR102" s="20"/>
      <c r="AS102" s="20"/>
      <c r="AT102" s="20"/>
    </row>
    <row r="103" spans="2:46" x14ac:dyDescent="0.25"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20"/>
      <c r="AO103" s="20"/>
      <c r="AP103" s="20"/>
      <c r="AQ103" s="20"/>
      <c r="AR103" s="20"/>
      <c r="AS103" s="20"/>
      <c r="AT103" s="20"/>
    </row>
    <row r="104" spans="2:46" x14ac:dyDescent="0.25"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20"/>
      <c r="AO104" s="20"/>
      <c r="AP104" s="20"/>
      <c r="AQ104" s="20"/>
      <c r="AR104" s="20"/>
      <c r="AS104" s="20"/>
      <c r="AT104" s="20"/>
    </row>
    <row r="105" spans="2:46" x14ac:dyDescent="0.25"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20"/>
      <c r="AO105" s="20"/>
      <c r="AP105" s="20"/>
      <c r="AQ105" s="20"/>
      <c r="AR105" s="20"/>
      <c r="AS105" s="20"/>
      <c r="AT105" s="20"/>
    </row>
    <row r="106" spans="2:46" x14ac:dyDescent="0.25"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20"/>
      <c r="AO106" s="20"/>
      <c r="AP106" s="20"/>
      <c r="AQ106" s="20"/>
      <c r="AR106" s="20"/>
      <c r="AS106" s="20"/>
      <c r="AT106" s="20"/>
    </row>
    <row r="107" spans="2:46" x14ac:dyDescent="0.25"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20"/>
      <c r="AO107" s="20"/>
      <c r="AP107" s="20"/>
      <c r="AQ107" s="20"/>
      <c r="AR107" s="20"/>
      <c r="AS107" s="20"/>
      <c r="AT107" s="20"/>
    </row>
    <row r="108" spans="2:46" x14ac:dyDescent="0.25"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20"/>
      <c r="AO108" s="20"/>
      <c r="AP108" s="20"/>
      <c r="AQ108" s="20"/>
      <c r="AR108" s="20"/>
      <c r="AS108" s="20"/>
      <c r="AT108" s="20"/>
    </row>
    <row r="109" spans="2:46" x14ac:dyDescent="0.25"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20"/>
      <c r="AO109" s="20"/>
      <c r="AP109" s="20"/>
      <c r="AQ109" s="20"/>
      <c r="AR109" s="20"/>
      <c r="AS109" s="20"/>
      <c r="AT109" s="20"/>
    </row>
    <row r="110" spans="2:46" x14ac:dyDescent="0.25"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20"/>
      <c r="AO110" s="20"/>
      <c r="AP110" s="20"/>
      <c r="AQ110" s="20"/>
      <c r="AR110" s="20"/>
      <c r="AS110" s="20"/>
      <c r="AT110" s="20"/>
    </row>
    <row r="111" spans="2:46" x14ac:dyDescent="0.25"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20"/>
      <c r="AO111" s="20"/>
      <c r="AP111" s="20"/>
      <c r="AQ111" s="20"/>
      <c r="AR111" s="20"/>
      <c r="AS111" s="20"/>
      <c r="AT111" s="20"/>
    </row>
    <row r="112" spans="2:46" x14ac:dyDescent="0.25"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20"/>
      <c r="AO112" s="20"/>
      <c r="AP112" s="20"/>
      <c r="AQ112" s="20"/>
      <c r="AR112" s="20"/>
      <c r="AS112" s="20"/>
      <c r="AT112" s="20"/>
    </row>
    <row r="113" spans="2:46" x14ac:dyDescent="0.25"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20"/>
      <c r="AO113" s="20"/>
      <c r="AP113" s="20"/>
      <c r="AQ113" s="20"/>
      <c r="AR113" s="20"/>
      <c r="AS113" s="20"/>
      <c r="AT113" s="20"/>
    </row>
    <row r="114" spans="2:46" x14ac:dyDescent="0.25"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</row>
    <row r="115" spans="2:46" x14ac:dyDescent="0.25"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</row>
    <row r="116" spans="2:46" x14ac:dyDescent="0.25"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</row>
    <row r="117" spans="2:46" x14ac:dyDescent="0.25"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</row>
    <row r="118" spans="2:46" x14ac:dyDescent="0.25"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</row>
    <row r="119" spans="2:46" x14ac:dyDescent="0.25"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</row>
    <row r="120" spans="2:46" x14ac:dyDescent="0.25"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</row>
    <row r="121" spans="2:46" x14ac:dyDescent="0.25"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</row>
    <row r="122" spans="2:46" x14ac:dyDescent="0.25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</row>
    <row r="123" spans="2:46" x14ac:dyDescent="0.25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DraftKings Basketball  Solver</vt:lpstr>
      <vt:lpstr>RawData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2017-02-09T02:58:11Z</dcterms:modified>
</cp:coreProperties>
</file>