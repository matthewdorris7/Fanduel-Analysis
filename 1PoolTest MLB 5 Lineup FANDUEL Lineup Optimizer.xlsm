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tt\Desktop\"/>
    </mc:Choice>
  </mc:AlternateContent>
  <bookViews>
    <workbookView xWindow="0" yWindow="0" windowWidth="20490" windowHeight="7530" activeTab="1"/>
  </bookViews>
  <sheets>
    <sheet name="Fanduel MLB Solver" sheetId="2" r:id="rId1"/>
    <sheet name="Optimizer" sheetId="4" r:id="rId2"/>
    <sheet name="Batters" sheetId="21" r:id="rId3"/>
    <sheet name="Fandual" sheetId="20" r:id="rId4"/>
    <sheet name="Pitchers" sheetId="23" r:id="rId5"/>
    <sheet name="Starter" sheetId="24" r:id="rId6"/>
    <sheet name="Stack" sheetId="22" r:id="rId7"/>
    <sheet name="Offense" sheetId="25" r:id="rId8"/>
    <sheet name="5Lineups" sheetId="26" r:id="rId9"/>
  </sheets>
  <definedNames>
    <definedName name="_xlnm._FilterDatabase" localSheetId="0" hidden="1">'Fanduel MLB Solver'!$A$1:$D$340</definedName>
    <definedName name="solver_adj" localSheetId="0" hidden="1">'Fanduel MLB Solver'!$C$2:$C$200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0" localSheetId="0" hidden="1">'Fanduel MLB Solver'!$R$4</definedName>
    <definedName name="solver_lhs1" localSheetId="0" hidden="1">'Fanduel MLB Solver'!$Q$13</definedName>
    <definedName name="solver_lhs10" localSheetId="0" hidden="1">'Fanduel MLB Solver'!$C$2:$C$200</definedName>
    <definedName name="solver_lhs11" localSheetId="0" hidden="1">'Fanduel MLB Solver'!$Q$16</definedName>
    <definedName name="solver_lhs12" localSheetId="0" hidden="1">'Fanduel MLB Solver'!$Q$10</definedName>
    <definedName name="solver_lhs13" localSheetId="0" hidden="1">'Fanduel MLB Solver'!$R$7</definedName>
    <definedName name="solver_lhs14" localSheetId="0" hidden="1">'Fanduel MLB Solver'!#REF!</definedName>
    <definedName name="solver_lhs15" localSheetId="0" hidden="1">'Fanduel MLB Solver'!$R$7</definedName>
    <definedName name="solver_lhs16" localSheetId="0" hidden="1">'Fanduel MLB Solver'!$R$5</definedName>
    <definedName name="solver_lhs17" localSheetId="0" hidden="1">'Fanduel MLB Solver'!#REF!</definedName>
    <definedName name="solver_lhs2" localSheetId="0" hidden="1">'Fanduel MLB Solver'!$R$8</definedName>
    <definedName name="solver_lhs3" localSheetId="0" hidden="1">'Fanduel MLB Solver'!$Q$19</definedName>
    <definedName name="solver_lhs4" localSheetId="0" hidden="1">'Fanduel MLB Solver'!$R$5</definedName>
    <definedName name="solver_lhs5" localSheetId="0" hidden="1">'Fanduel MLB Solver'!$R$4</definedName>
    <definedName name="solver_lhs6" localSheetId="0" hidden="1">'Fanduel MLB Solver'!$R$7</definedName>
    <definedName name="solver_lhs7" localSheetId="0" hidden="1">'Fanduel MLB Solver'!$R$3</definedName>
    <definedName name="solver_lhs8" localSheetId="0" hidden="1">'Fanduel MLB Solver'!$R$6</definedName>
    <definedName name="solver_lhs9" localSheetId="0" hidden="1">'Fanduel MLB Solver'!$R$2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0" hidden="1">12</definedName>
    <definedName name="solver_num" localSheetId="1" hidden="1">0</definedName>
    <definedName name="solver_nwt" localSheetId="0" hidden="1">1</definedName>
    <definedName name="solver_opt" localSheetId="0" hidden="1">'Fanduel MLB Solver'!$Q$13</definedName>
    <definedName name="solver_opt" localSheetId="1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1</definedName>
    <definedName name="solver_rel10" localSheetId="0" hidden="1">5</definedName>
    <definedName name="solver_rel11" localSheetId="0" hidden="1">2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2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2</definedName>
    <definedName name="solver_rhs0" localSheetId="0" hidden="1">'Fanduel MLB Solver'!$Q$4</definedName>
    <definedName name="solver_rhs1" localSheetId="0" hidden="1">'Fanduel MLB Solver'!$R$13</definedName>
    <definedName name="solver_rhs10" localSheetId="0" hidden="1">binary</definedName>
    <definedName name="solver_rhs11" localSheetId="0" hidden="1">'Fanduel MLB Solver'!$Q$15</definedName>
    <definedName name="solver_rhs12" localSheetId="0" hidden="1">'Fanduel MLB Solver'!$Q$11</definedName>
    <definedName name="solver_rhs13" localSheetId="0" hidden="1">'Fanduel MLB Solver'!#REF!</definedName>
    <definedName name="solver_rhs14" localSheetId="0" hidden="1">'Fanduel MLB Solver'!#REF!</definedName>
    <definedName name="solver_rhs15" localSheetId="0" hidden="1">'Fanduel MLB Solver'!#REF!</definedName>
    <definedName name="solver_rhs16" localSheetId="0" hidden="1">'Fanduel MLB Solver'!$Q$5</definedName>
    <definedName name="solver_rhs17" localSheetId="0" hidden="1">'Fanduel MLB Solver'!#REF!</definedName>
    <definedName name="solver_rhs2" localSheetId="0" hidden="1">'Fanduel MLB Solver'!$Q$8</definedName>
    <definedName name="solver_rhs3" localSheetId="0" hidden="1">'Fanduel MLB Solver'!$P$19</definedName>
    <definedName name="solver_rhs4" localSheetId="0" hidden="1">'Fanduel MLB Solver'!$Q$5</definedName>
    <definedName name="solver_rhs5" localSheetId="0" hidden="1">'Fanduel MLB Solver'!$Q$4</definedName>
    <definedName name="solver_rhs6" localSheetId="0" hidden="1">'Fanduel MLB Solver'!$Q$7</definedName>
    <definedName name="solver_rhs7" localSheetId="0" hidden="1">'Fanduel MLB Solver'!$Q$3</definedName>
    <definedName name="solver_rhs8" localSheetId="0" hidden="1">'Fanduel MLB Solver'!$Q$6</definedName>
    <definedName name="solver_rhs9" localSheetId="0" hidden="1">'Fanduel MLB Solver'!$Q$2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71027"/>
</workbook>
</file>

<file path=xl/calcChain.xml><?xml version="1.0" encoding="utf-8"?>
<calcChain xmlns="http://schemas.openxmlformats.org/spreadsheetml/2006/main">
  <c r="G3" i="24" l="1"/>
  <c r="G4" i="24"/>
  <c r="G5" i="24"/>
  <c r="G6" i="24"/>
  <c r="G7" i="24"/>
  <c r="G8" i="24"/>
  <c r="G9" i="24"/>
  <c r="G10" i="24"/>
  <c r="G11" i="24"/>
  <c r="G12" i="24"/>
  <c r="G13" i="24"/>
  <c r="G14" i="24"/>
  <c r="G15" i="24"/>
  <c r="G16" i="24"/>
  <c r="G17" i="24"/>
  <c r="G18" i="24"/>
  <c r="G19" i="24"/>
  <c r="G20" i="24"/>
  <c r="G21" i="24"/>
  <c r="G22" i="24"/>
  <c r="G23" i="24"/>
  <c r="G24" i="24"/>
  <c r="G25" i="24"/>
  <c r="G26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2" i="24"/>
  <c r="L3" i="21" l="1"/>
  <c r="L4" i="21"/>
  <c r="L5" i="21"/>
  <c r="L6" i="21"/>
  <c r="L7" i="21"/>
  <c r="L8" i="21"/>
  <c r="L9" i="21"/>
  <c r="L10" i="21"/>
  <c r="L11" i="21"/>
  <c r="L12" i="21"/>
  <c r="L13" i="21"/>
  <c r="L14" i="21"/>
  <c r="L15" i="21"/>
  <c r="L16" i="21"/>
  <c r="L17" i="21"/>
  <c r="L18" i="21"/>
  <c r="L19" i="21"/>
  <c r="L20" i="21"/>
  <c r="L21" i="21"/>
  <c r="L22" i="21"/>
  <c r="L23" i="21"/>
  <c r="L24" i="21"/>
  <c r="L25" i="21"/>
  <c r="L26" i="21"/>
  <c r="L27" i="21"/>
  <c r="L28" i="21"/>
  <c r="L29" i="21"/>
  <c r="L30" i="21"/>
  <c r="L31" i="21"/>
  <c r="L32" i="21"/>
  <c r="L33" i="21"/>
  <c r="L34" i="21"/>
  <c r="L35" i="21"/>
  <c r="L36" i="21"/>
  <c r="L37" i="21"/>
  <c r="L38" i="21"/>
  <c r="L39" i="21"/>
  <c r="L40" i="21"/>
  <c r="L41" i="21"/>
  <c r="L42" i="21"/>
  <c r="L43" i="21"/>
  <c r="L44" i="21"/>
  <c r="L45" i="21"/>
  <c r="L46" i="21"/>
  <c r="L47" i="21"/>
  <c r="L48" i="21"/>
  <c r="L49" i="21"/>
  <c r="L50" i="21"/>
  <c r="L51" i="21"/>
  <c r="L52" i="21"/>
  <c r="L53" i="21"/>
  <c r="L54" i="21"/>
  <c r="L55" i="21"/>
  <c r="L56" i="21"/>
  <c r="L57" i="21"/>
  <c r="L58" i="21"/>
  <c r="L59" i="21"/>
  <c r="L60" i="21"/>
  <c r="L61" i="21"/>
  <c r="L62" i="21"/>
  <c r="L63" i="21"/>
  <c r="L64" i="21"/>
  <c r="L65" i="21"/>
  <c r="L66" i="21"/>
  <c r="L67" i="21"/>
  <c r="L68" i="21"/>
  <c r="L69" i="21"/>
  <c r="L70" i="21"/>
  <c r="L71" i="21"/>
  <c r="L72" i="21"/>
  <c r="L73" i="21"/>
  <c r="L74" i="21"/>
  <c r="L75" i="21"/>
  <c r="L76" i="21"/>
  <c r="L77" i="21"/>
  <c r="L78" i="21"/>
  <c r="L79" i="21"/>
  <c r="L80" i="21"/>
  <c r="L81" i="21"/>
  <c r="L82" i="21"/>
  <c r="L83" i="21"/>
  <c r="L84" i="21"/>
  <c r="L85" i="21"/>
  <c r="L86" i="21"/>
  <c r="L87" i="21"/>
  <c r="L88" i="21"/>
  <c r="L89" i="21"/>
  <c r="L90" i="21"/>
  <c r="L91" i="21"/>
  <c r="L92" i="21"/>
  <c r="L93" i="21"/>
  <c r="L94" i="21"/>
  <c r="L95" i="21"/>
  <c r="L96" i="21"/>
  <c r="L97" i="21"/>
  <c r="L98" i="21"/>
  <c r="L99" i="21"/>
  <c r="L100" i="21"/>
  <c r="L101" i="21"/>
  <c r="L102" i="21"/>
  <c r="L103" i="21"/>
  <c r="L104" i="21"/>
  <c r="L105" i="21"/>
  <c r="L106" i="21"/>
  <c r="L107" i="21"/>
  <c r="L108" i="21"/>
  <c r="L109" i="21"/>
  <c r="L110" i="21"/>
  <c r="L111" i="21"/>
  <c r="L112" i="21"/>
  <c r="L113" i="21"/>
  <c r="L114" i="21"/>
  <c r="L115" i="21"/>
  <c r="L116" i="21"/>
  <c r="L117" i="21"/>
  <c r="L118" i="21"/>
  <c r="L119" i="21"/>
  <c r="L120" i="21"/>
  <c r="L121" i="21"/>
  <c r="L122" i="21"/>
  <c r="L123" i="21"/>
  <c r="L124" i="21"/>
  <c r="L125" i="21"/>
  <c r="L126" i="21"/>
  <c r="L127" i="21"/>
  <c r="L128" i="21"/>
  <c r="L129" i="21"/>
  <c r="L130" i="21"/>
  <c r="L131" i="21"/>
  <c r="L132" i="21"/>
  <c r="L133" i="21"/>
  <c r="L134" i="21"/>
  <c r="L135" i="21"/>
  <c r="L136" i="21"/>
  <c r="L137" i="21"/>
  <c r="L138" i="21"/>
  <c r="L139" i="21"/>
  <c r="L140" i="21"/>
  <c r="L141" i="21"/>
  <c r="L142" i="21"/>
  <c r="L143" i="21"/>
  <c r="L144" i="21"/>
  <c r="L145" i="21"/>
  <c r="L146" i="21"/>
  <c r="L147" i="21"/>
  <c r="L148" i="21"/>
  <c r="L149" i="21"/>
  <c r="L150" i="21"/>
  <c r="L151" i="21"/>
  <c r="L152" i="21"/>
  <c r="L153" i="21"/>
  <c r="L154" i="21"/>
  <c r="L155" i="21"/>
  <c r="L156" i="21"/>
  <c r="L157" i="21"/>
  <c r="L158" i="21"/>
  <c r="L159" i="21"/>
  <c r="L160" i="21"/>
  <c r="L161" i="21"/>
  <c r="L162" i="21"/>
  <c r="L163" i="21"/>
  <c r="L164" i="21"/>
  <c r="L165" i="21"/>
  <c r="L166" i="21"/>
  <c r="L167" i="21"/>
  <c r="L168" i="21"/>
  <c r="L169" i="21"/>
  <c r="L170" i="21"/>
  <c r="L171" i="21"/>
  <c r="L172" i="21"/>
  <c r="L173" i="21"/>
  <c r="L174" i="21"/>
  <c r="L175" i="21"/>
  <c r="L176" i="21"/>
  <c r="L177" i="21"/>
  <c r="L178" i="21"/>
  <c r="L179" i="21"/>
  <c r="L180" i="21"/>
  <c r="L181" i="21"/>
  <c r="L182" i="21"/>
  <c r="L183" i="21"/>
  <c r="L184" i="21"/>
  <c r="L185" i="21"/>
  <c r="L186" i="21"/>
  <c r="L187" i="21"/>
  <c r="L188" i="21"/>
  <c r="L189" i="21"/>
  <c r="L190" i="21"/>
  <c r="L191" i="21"/>
  <c r="L192" i="21"/>
  <c r="L193" i="21"/>
  <c r="L194" i="21"/>
  <c r="L195" i="21"/>
  <c r="L196" i="21"/>
  <c r="L197" i="21"/>
  <c r="L198" i="21"/>
  <c r="L199" i="21"/>
  <c r="L200" i="21"/>
  <c r="L201" i="21"/>
  <c r="L202" i="21"/>
  <c r="L203" i="21"/>
  <c r="L204" i="21"/>
  <c r="L205" i="21"/>
  <c r="L206" i="21"/>
  <c r="L207" i="21"/>
  <c r="L208" i="21"/>
  <c r="L209" i="21"/>
  <c r="L210" i="21"/>
  <c r="L211" i="21"/>
  <c r="L212" i="21"/>
  <c r="L213" i="21"/>
  <c r="L214" i="21"/>
  <c r="L215" i="21"/>
  <c r="L216" i="21"/>
  <c r="L217" i="21"/>
  <c r="L218" i="21"/>
  <c r="L219" i="21"/>
  <c r="L220" i="21"/>
  <c r="L221" i="21"/>
  <c r="L222" i="21"/>
  <c r="L223" i="21"/>
  <c r="L224" i="21"/>
  <c r="L225" i="21"/>
  <c r="L226" i="21"/>
  <c r="L227" i="21"/>
  <c r="L228" i="21"/>
  <c r="L229" i="21"/>
  <c r="L230" i="21"/>
  <c r="L231" i="21"/>
  <c r="L232" i="21"/>
  <c r="L233" i="21"/>
  <c r="L234" i="21"/>
  <c r="L235" i="21"/>
  <c r="L236" i="21"/>
  <c r="L237" i="21"/>
  <c r="L238" i="21"/>
  <c r="L239" i="21"/>
  <c r="L240" i="21"/>
  <c r="L241" i="21"/>
  <c r="L242" i="21"/>
  <c r="L243" i="21"/>
  <c r="L244" i="21"/>
  <c r="L245" i="21"/>
  <c r="L246" i="21"/>
  <c r="L247" i="21"/>
  <c r="L248" i="21"/>
  <c r="L249" i="21"/>
  <c r="L250" i="21"/>
  <c r="L251" i="21"/>
  <c r="L252" i="21"/>
  <c r="L253" i="21"/>
  <c r="L254" i="21"/>
  <c r="L255" i="21"/>
  <c r="L256" i="21"/>
  <c r="L257" i="21"/>
  <c r="L258" i="21"/>
  <c r="L259" i="21"/>
  <c r="L260" i="21"/>
  <c r="L261" i="21"/>
  <c r="L262" i="21"/>
  <c r="L263" i="21"/>
  <c r="L264" i="21"/>
  <c r="L265" i="21"/>
  <c r="L266" i="21"/>
  <c r="L267" i="21"/>
  <c r="L268" i="21"/>
  <c r="L269" i="21"/>
  <c r="L270" i="21"/>
  <c r="L271" i="21"/>
  <c r="L272" i="21"/>
  <c r="L273" i="21"/>
  <c r="L274" i="21"/>
  <c r="L275" i="21"/>
  <c r="L276" i="21"/>
  <c r="L277" i="21"/>
  <c r="L278" i="21"/>
  <c r="L279" i="21"/>
  <c r="L280" i="21"/>
  <c r="L281" i="21"/>
  <c r="L282" i="21"/>
  <c r="L283" i="21"/>
  <c r="L284" i="21"/>
  <c r="L285" i="21"/>
  <c r="L286" i="21"/>
  <c r="L287" i="21"/>
  <c r="L288" i="21"/>
  <c r="L289" i="21"/>
  <c r="L290" i="21"/>
  <c r="L291" i="21"/>
  <c r="L292" i="21"/>
  <c r="L293" i="21"/>
  <c r="L294" i="21"/>
  <c r="L295" i="21"/>
  <c r="L296" i="21"/>
  <c r="L297" i="21"/>
  <c r="L298" i="21"/>
  <c r="L299" i="21"/>
  <c r="L300" i="21"/>
  <c r="L301" i="21"/>
  <c r="L302" i="21"/>
  <c r="L303" i="21"/>
  <c r="L304" i="21"/>
  <c r="L305" i="21"/>
  <c r="L306" i="21"/>
  <c r="L307" i="21"/>
  <c r="L308" i="21"/>
  <c r="L309" i="21"/>
  <c r="L310" i="21"/>
  <c r="L311" i="21"/>
  <c r="L312" i="21"/>
  <c r="L313" i="21"/>
  <c r="L314" i="21"/>
  <c r="L315" i="21"/>
  <c r="L316" i="21"/>
  <c r="L317" i="21"/>
  <c r="L318" i="21"/>
  <c r="L319" i="21"/>
  <c r="L320" i="21"/>
  <c r="L321" i="21"/>
  <c r="L322" i="21"/>
  <c r="L323" i="21"/>
  <c r="L324" i="21"/>
  <c r="L325" i="21"/>
  <c r="L326" i="21"/>
  <c r="L327" i="21"/>
  <c r="L328" i="21"/>
  <c r="L329" i="21"/>
  <c r="L330" i="21"/>
  <c r="L331" i="21"/>
  <c r="L332" i="21"/>
  <c r="L333" i="21"/>
  <c r="L334" i="21"/>
  <c r="L335" i="21"/>
  <c r="L336" i="21"/>
  <c r="L337" i="21"/>
  <c r="L338" i="21"/>
  <c r="L339" i="21"/>
  <c r="L340" i="21"/>
  <c r="L341" i="21"/>
  <c r="L342" i="21"/>
  <c r="L343" i="21"/>
  <c r="L344" i="21"/>
  <c r="L345" i="21"/>
  <c r="L346" i="21"/>
  <c r="L347" i="21"/>
  <c r="L348" i="21"/>
  <c r="L349" i="21"/>
  <c r="L350" i="21"/>
  <c r="L351" i="21"/>
  <c r="L352" i="21"/>
  <c r="L353" i="21"/>
  <c r="L354" i="21"/>
  <c r="L355" i="21"/>
  <c r="L356" i="21"/>
  <c r="L357" i="21"/>
  <c r="L358" i="21"/>
  <c r="L359" i="21"/>
  <c r="L360" i="21"/>
  <c r="L361" i="21"/>
  <c r="L362" i="21"/>
  <c r="L363" i="21"/>
  <c r="L364" i="21"/>
  <c r="L365" i="21"/>
  <c r="L366" i="21"/>
  <c r="L367" i="21"/>
  <c r="L368" i="21"/>
  <c r="L369" i="21"/>
  <c r="L370" i="21"/>
  <c r="L371" i="21"/>
  <c r="L372" i="21"/>
  <c r="L373" i="21"/>
  <c r="L374" i="21"/>
  <c r="L375" i="21"/>
  <c r="L376" i="21"/>
  <c r="L377" i="21"/>
  <c r="L378" i="21"/>
  <c r="L379" i="21"/>
  <c r="L380" i="21"/>
  <c r="L381" i="21"/>
  <c r="L382" i="21"/>
  <c r="L383" i="21"/>
  <c r="L384" i="21"/>
  <c r="L385" i="21"/>
  <c r="L386" i="21"/>
  <c r="L387" i="21"/>
  <c r="L388" i="21"/>
  <c r="L389" i="21"/>
  <c r="L390" i="21"/>
  <c r="L391" i="21"/>
  <c r="L392" i="21"/>
  <c r="L393" i="21"/>
  <c r="L394" i="21"/>
  <c r="L395" i="21"/>
  <c r="L396" i="21"/>
  <c r="L397" i="21"/>
  <c r="L398" i="21"/>
  <c r="L399" i="21"/>
  <c r="L400" i="21"/>
  <c r="L401" i="21"/>
  <c r="L402" i="21"/>
  <c r="L403" i="21"/>
  <c r="L404" i="21"/>
  <c r="L405" i="21"/>
  <c r="L406" i="21"/>
  <c r="L407" i="21"/>
  <c r="L408" i="21"/>
  <c r="L409" i="21"/>
  <c r="L410" i="21"/>
  <c r="L411" i="21"/>
  <c r="L412" i="21"/>
  <c r="L413" i="21"/>
  <c r="L414" i="21"/>
  <c r="L415" i="21"/>
  <c r="L416" i="21"/>
  <c r="L417" i="21"/>
  <c r="L418" i="21"/>
  <c r="L419" i="21"/>
  <c r="L420" i="21"/>
  <c r="L421" i="21"/>
  <c r="L422" i="21"/>
  <c r="L423" i="21"/>
  <c r="L424" i="21"/>
  <c r="L425" i="21"/>
  <c r="L426" i="21"/>
  <c r="L427" i="21"/>
  <c r="L428" i="21"/>
  <c r="L429" i="21"/>
  <c r="L430" i="21"/>
  <c r="L431" i="21"/>
  <c r="L432" i="21"/>
  <c r="L433" i="21"/>
  <c r="L434" i="21"/>
  <c r="L435" i="21"/>
  <c r="L436" i="21"/>
  <c r="L437" i="21"/>
  <c r="L438" i="21"/>
  <c r="L439" i="21"/>
  <c r="L440" i="21"/>
  <c r="L441" i="21"/>
  <c r="L442" i="21"/>
  <c r="L443" i="21"/>
  <c r="L444" i="21"/>
  <c r="L445" i="21"/>
  <c r="L446" i="21"/>
  <c r="L447" i="21"/>
  <c r="L448" i="21"/>
  <c r="L449" i="21"/>
  <c r="L450" i="21"/>
  <c r="L451" i="21"/>
  <c r="L452" i="21"/>
  <c r="L453" i="21"/>
  <c r="L454" i="21"/>
  <c r="L455" i="21"/>
  <c r="L456" i="21"/>
  <c r="L457" i="21"/>
  <c r="L458" i="21"/>
  <c r="L459" i="21"/>
  <c r="L460" i="21"/>
  <c r="L461" i="21"/>
  <c r="L462" i="21"/>
  <c r="L463" i="21"/>
  <c r="L464" i="21"/>
  <c r="L465" i="21"/>
  <c r="L466" i="21"/>
  <c r="L467" i="21"/>
  <c r="L468" i="21"/>
  <c r="L469" i="21"/>
  <c r="L470" i="21"/>
  <c r="L471" i="21"/>
  <c r="L472" i="21"/>
  <c r="L473" i="21"/>
  <c r="L474" i="21"/>
  <c r="L475" i="21"/>
  <c r="L476" i="21"/>
  <c r="L477" i="21"/>
  <c r="L478" i="21"/>
  <c r="L479" i="21"/>
  <c r="L480" i="21"/>
  <c r="L481" i="21"/>
  <c r="L482" i="21"/>
  <c r="L483" i="21"/>
  <c r="L484" i="21"/>
  <c r="L485" i="21"/>
  <c r="L486" i="21"/>
  <c r="L487" i="21"/>
  <c r="L488" i="21"/>
  <c r="L489" i="21"/>
  <c r="L490" i="21"/>
  <c r="L491" i="21"/>
  <c r="L492" i="21"/>
  <c r="L493" i="21"/>
  <c r="L494" i="21"/>
  <c r="L495" i="21"/>
  <c r="L496" i="21"/>
  <c r="L497" i="21"/>
  <c r="L498" i="21"/>
  <c r="L499" i="21"/>
  <c r="L500" i="21"/>
  <c r="L501" i="21"/>
  <c r="L502" i="21"/>
  <c r="L503" i="21"/>
  <c r="L504" i="21"/>
  <c r="L505" i="21"/>
  <c r="L506" i="21"/>
  <c r="L507" i="21"/>
  <c r="L508" i="21"/>
  <c r="L509" i="21"/>
  <c r="L510" i="21"/>
  <c r="L511" i="21"/>
  <c r="L512" i="21"/>
  <c r="L513" i="21"/>
  <c r="L514" i="21"/>
  <c r="L515" i="21"/>
  <c r="L516" i="21"/>
  <c r="L517" i="21"/>
  <c r="L518" i="21"/>
  <c r="L519" i="21"/>
  <c r="L520" i="21"/>
  <c r="L521" i="21"/>
  <c r="L522" i="21"/>
  <c r="L523" i="21"/>
  <c r="L524" i="21"/>
  <c r="L525" i="21"/>
  <c r="L526" i="21"/>
  <c r="L527" i="21"/>
  <c r="L528" i="21"/>
  <c r="L529" i="21"/>
  <c r="L530" i="21"/>
  <c r="L531" i="21"/>
  <c r="L532" i="21"/>
  <c r="L533" i="21"/>
  <c r="L534" i="21"/>
  <c r="L535" i="21"/>
  <c r="L536" i="21"/>
  <c r="L537" i="21"/>
  <c r="L538" i="21"/>
  <c r="L539" i="21"/>
  <c r="L540" i="21"/>
  <c r="L541" i="21"/>
  <c r="L542" i="21"/>
  <c r="L543" i="21"/>
  <c r="L544" i="21"/>
  <c r="L545" i="21"/>
  <c r="L546" i="21"/>
  <c r="L547" i="21"/>
  <c r="L548" i="21"/>
  <c r="L549" i="21"/>
  <c r="L550" i="21"/>
  <c r="L551" i="21"/>
  <c r="L552" i="21"/>
  <c r="L553" i="21"/>
  <c r="L554" i="21"/>
  <c r="L555" i="21"/>
  <c r="L556" i="21"/>
  <c r="L557" i="21"/>
  <c r="L558" i="21"/>
  <c r="L559" i="21"/>
  <c r="L560" i="21"/>
  <c r="L561" i="21"/>
  <c r="L562" i="21"/>
  <c r="L563" i="21"/>
  <c r="L564" i="21"/>
  <c r="L565" i="21"/>
  <c r="L566" i="21"/>
  <c r="L567" i="21"/>
  <c r="L568" i="21"/>
  <c r="L569" i="21"/>
  <c r="L570" i="21"/>
  <c r="L571" i="21"/>
  <c r="L572" i="21"/>
  <c r="L573" i="21"/>
  <c r="L574" i="21"/>
  <c r="L575" i="21"/>
  <c r="L576" i="21"/>
  <c r="L577" i="21"/>
  <c r="L578" i="21"/>
  <c r="L579" i="21"/>
  <c r="L580" i="21"/>
  <c r="L581" i="21"/>
  <c r="L582" i="21"/>
  <c r="L583" i="21"/>
  <c r="L584" i="21"/>
  <c r="L585" i="21"/>
  <c r="L586" i="21"/>
  <c r="L587" i="21"/>
  <c r="L588" i="21"/>
  <c r="L589" i="21"/>
  <c r="L590" i="21"/>
  <c r="L591" i="21"/>
  <c r="L592" i="21"/>
  <c r="L593" i="21"/>
  <c r="L594" i="21"/>
  <c r="L595" i="21"/>
  <c r="L596" i="21"/>
  <c r="L597" i="21"/>
  <c r="L598" i="21"/>
  <c r="L599" i="21"/>
  <c r="L600" i="21"/>
  <c r="L601" i="21"/>
  <c r="L602" i="21"/>
  <c r="L603" i="21"/>
  <c r="L604" i="21"/>
  <c r="L605" i="21"/>
  <c r="L606" i="21"/>
  <c r="L607" i="21"/>
  <c r="L608" i="21"/>
  <c r="L609" i="21"/>
  <c r="L610" i="21"/>
  <c r="L611" i="21"/>
  <c r="L612" i="21"/>
  <c r="L613" i="21"/>
  <c r="L614" i="21"/>
  <c r="L615" i="21"/>
  <c r="L616" i="21"/>
  <c r="L617" i="21"/>
  <c r="L618" i="21"/>
  <c r="L619" i="21"/>
  <c r="L620" i="21"/>
  <c r="L621" i="21"/>
  <c r="L622" i="21"/>
  <c r="L623" i="21"/>
  <c r="L624" i="21"/>
  <c r="L625" i="21"/>
  <c r="L626" i="21"/>
  <c r="L627" i="21"/>
  <c r="L628" i="21"/>
  <c r="L629" i="21"/>
  <c r="L630" i="21"/>
  <c r="L631" i="21"/>
  <c r="L632" i="21"/>
  <c r="L633" i="21"/>
  <c r="L634" i="21"/>
  <c r="L635" i="21"/>
  <c r="L636" i="21"/>
  <c r="L637" i="21"/>
  <c r="L638" i="21"/>
  <c r="L639" i="21"/>
  <c r="L640" i="21"/>
  <c r="L641" i="21"/>
  <c r="L642" i="21"/>
  <c r="L643" i="21"/>
  <c r="L644" i="21"/>
  <c r="L645" i="21"/>
  <c r="L646" i="21"/>
  <c r="L647" i="21"/>
  <c r="L648" i="21"/>
  <c r="L649" i="21"/>
  <c r="L650" i="21"/>
  <c r="L651" i="21"/>
  <c r="L652" i="21"/>
  <c r="L653" i="21"/>
  <c r="L654" i="21"/>
  <c r="L655" i="21"/>
  <c r="L656" i="21"/>
  <c r="L657" i="21"/>
  <c r="L658" i="21"/>
  <c r="L659" i="21"/>
  <c r="L660" i="21"/>
  <c r="L661" i="21"/>
  <c r="L662" i="21"/>
  <c r="L663" i="21"/>
  <c r="L664" i="21"/>
  <c r="L665" i="21"/>
  <c r="L666" i="21"/>
  <c r="L667" i="21"/>
  <c r="L668" i="21"/>
  <c r="L669" i="21"/>
  <c r="L670" i="21"/>
  <c r="L671" i="21"/>
  <c r="L672" i="21"/>
  <c r="L673" i="21"/>
  <c r="L674" i="21"/>
  <c r="L675" i="21"/>
  <c r="L676" i="21"/>
  <c r="L677" i="21"/>
  <c r="L678" i="21"/>
  <c r="L679" i="21"/>
  <c r="L680" i="21"/>
  <c r="L681" i="21"/>
  <c r="L682" i="21"/>
  <c r="L683" i="21"/>
  <c r="L684" i="21"/>
  <c r="L685" i="21"/>
  <c r="L686" i="21"/>
  <c r="L687" i="21"/>
  <c r="L688" i="21"/>
  <c r="L689" i="21"/>
  <c r="L690" i="21"/>
  <c r="L691" i="21"/>
  <c r="L692" i="21"/>
  <c r="L693" i="21"/>
  <c r="L694" i="21"/>
  <c r="L695" i="21"/>
  <c r="L696" i="21"/>
  <c r="L697" i="21"/>
  <c r="L698" i="21"/>
  <c r="L699" i="21"/>
  <c r="L700" i="21"/>
  <c r="L701" i="21"/>
  <c r="L702" i="21"/>
  <c r="L703" i="21"/>
  <c r="L704" i="21"/>
  <c r="L705" i="21"/>
  <c r="L706" i="21"/>
  <c r="L707" i="21"/>
  <c r="L708" i="21"/>
  <c r="L709" i="21"/>
  <c r="L710" i="21"/>
  <c r="L711" i="21"/>
  <c r="L712" i="21"/>
  <c r="L713" i="21"/>
  <c r="L714" i="21"/>
  <c r="L715" i="21"/>
  <c r="L716" i="21"/>
  <c r="L717" i="21"/>
  <c r="L718" i="21"/>
  <c r="L719" i="21"/>
  <c r="L720" i="21"/>
  <c r="L721" i="21"/>
  <c r="L722" i="21"/>
  <c r="L723" i="21"/>
  <c r="L724" i="21"/>
  <c r="L725" i="21"/>
  <c r="L726" i="21"/>
  <c r="L727" i="21"/>
  <c r="L728" i="21"/>
  <c r="L729" i="21"/>
  <c r="L730" i="21"/>
  <c r="L731" i="21"/>
  <c r="L732" i="21"/>
  <c r="L733" i="21"/>
  <c r="L734" i="21"/>
  <c r="L735" i="21"/>
  <c r="L736" i="21"/>
  <c r="L737" i="21"/>
  <c r="L738" i="21"/>
  <c r="L739" i="21"/>
  <c r="L740" i="21"/>
  <c r="L741" i="21"/>
  <c r="L742" i="21"/>
  <c r="L743" i="21"/>
  <c r="L744" i="21"/>
  <c r="L745" i="21"/>
  <c r="L746" i="21"/>
  <c r="L747" i="21"/>
  <c r="L748" i="21"/>
  <c r="L749" i="21"/>
  <c r="L750" i="21"/>
  <c r="L751" i="21"/>
  <c r="L752" i="21"/>
  <c r="L753" i="21"/>
  <c r="L754" i="21"/>
  <c r="L755" i="21"/>
  <c r="L756" i="21"/>
  <c r="L757" i="21"/>
  <c r="L758" i="21"/>
  <c r="L759" i="21"/>
  <c r="L760" i="21"/>
  <c r="L761" i="21"/>
  <c r="L762" i="21"/>
  <c r="L763" i="21"/>
  <c r="L764" i="21"/>
  <c r="L765" i="21"/>
  <c r="L766" i="21"/>
  <c r="L767" i="21"/>
  <c r="L768" i="21"/>
  <c r="L769" i="21"/>
  <c r="L770" i="21"/>
  <c r="L771" i="21"/>
  <c r="L772" i="21"/>
  <c r="L773" i="21"/>
  <c r="L774" i="21"/>
  <c r="L775" i="21"/>
  <c r="L776" i="21"/>
  <c r="L777" i="21"/>
  <c r="L778" i="21"/>
  <c r="L779" i="21"/>
  <c r="L780" i="21"/>
  <c r="L781" i="21"/>
  <c r="L782" i="21"/>
  <c r="L783" i="21"/>
  <c r="L784" i="21"/>
  <c r="L785" i="21"/>
  <c r="L786" i="21"/>
  <c r="L787" i="21"/>
  <c r="L788" i="21"/>
  <c r="L789" i="21"/>
  <c r="L790" i="21"/>
  <c r="L791" i="21"/>
  <c r="L792" i="21"/>
  <c r="L793" i="21"/>
  <c r="L794" i="21"/>
  <c r="L795" i="21"/>
  <c r="L796" i="21"/>
  <c r="L797" i="21"/>
  <c r="L798" i="21"/>
  <c r="L799" i="21"/>
  <c r="L800" i="21"/>
  <c r="L801" i="21"/>
  <c r="L802" i="21"/>
  <c r="L803" i="21"/>
  <c r="L804" i="21"/>
  <c r="L805" i="21"/>
  <c r="L806" i="21"/>
  <c r="L807" i="21"/>
  <c r="L808" i="21"/>
  <c r="L809" i="21"/>
  <c r="L810" i="21"/>
  <c r="L811" i="21"/>
  <c r="L812" i="21"/>
  <c r="L813" i="21"/>
  <c r="L814" i="21"/>
  <c r="L815" i="21"/>
  <c r="L816" i="21"/>
  <c r="L817" i="21"/>
  <c r="L818" i="21"/>
  <c r="L819" i="21"/>
  <c r="L820" i="21"/>
  <c r="L821" i="21"/>
  <c r="L822" i="21"/>
  <c r="L823" i="21"/>
  <c r="L824" i="21"/>
  <c r="L825" i="21"/>
  <c r="L826" i="21"/>
  <c r="L827" i="21"/>
  <c r="L828" i="21"/>
  <c r="L829" i="21"/>
  <c r="L830" i="21"/>
  <c r="L831" i="21"/>
  <c r="L832" i="21"/>
  <c r="L833" i="21"/>
  <c r="L834" i="21"/>
  <c r="L835" i="21"/>
  <c r="L836" i="21"/>
  <c r="L837" i="21"/>
  <c r="L838" i="21"/>
  <c r="L839" i="21"/>
  <c r="L840" i="21"/>
  <c r="L841" i="21"/>
  <c r="L842" i="21"/>
  <c r="L843" i="21"/>
  <c r="L844" i="21"/>
  <c r="L845" i="21"/>
  <c r="L846" i="21"/>
  <c r="L847" i="21"/>
  <c r="L848" i="21"/>
  <c r="L849" i="21"/>
  <c r="L850" i="21"/>
  <c r="L851" i="21"/>
  <c r="L852" i="21"/>
  <c r="L853" i="21"/>
  <c r="L854" i="21"/>
  <c r="L855" i="21"/>
  <c r="L856" i="21"/>
  <c r="L857" i="21"/>
  <c r="L858" i="21"/>
  <c r="L859" i="21"/>
  <c r="L860" i="21"/>
  <c r="L861" i="21"/>
  <c r="L862" i="21"/>
  <c r="L863" i="21"/>
  <c r="L864" i="21"/>
  <c r="L865" i="21"/>
  <c r="L866" i="21"/>
  <c r="L867" i="21"/>
  <c r="L868" i="21"/>
  <c r="L869" i="21"/>
  <c r="L870" i="21"/>
  <c r="L871" i="21"/>
  <c r="L872" i="21"/>
  <c r="L873" i="21"/>
  <c r="L874" i="21"/>
  <c r="L875" i="21"/>
  <c r="L876" i="21"/>
  <c r="L877" i="21"/>
  <c r="L878" i="21"/>
  <c r="L879" i="21"/>
  <c r="L880" i="21"/>
  <c r="L881" i="21"/>
  <c r="L882" i="21"/>
  <c r="L883" i="21"/>
  <c r="L884" i="21"/>
  <c r="L885" i="21"/>
  <c r="L886" i="21"/>
  <c r="L887" i="21"/>
  <c r="L888" i="21"/>
  <c r="L889" i="21"/>
  <c r="L890" i="21"/>
  <c r="L891" i="21"/>
  <c r="L892" i="21"/>
  <c r="L893" i="21"/>
  <c r="L894" i="21"/>
  <c r="L895" i="21"/>
  <c r="L896" i="21"/>
  <c r="L897" i="21"/>
  <c r="L898" i="21"/>
  <c r="L899" i="21"/>
  <c r="L900" i="21"/>
  <c r="L901" i="21"/>
  <c r="L902" i="21"/>
  <c r="L903" i="21"/>
  <c r="L904" i="21"/>
  <c r="L905" i="21"/>
  <c r="L906" i="21"/>
  <c r="L907" i="21"/>
  <c r="L908" i="21"/>
  <c r="L909" i="21"/>
  <c r="L910" i="21"/>
  <c r="L911" i="21"/>
  <c r="L912" i="21"/>
  <c r="L913" i="21"/>
  <c r="L914" i="21"/>
  <c r="L915" i="21"/>
  <c r="L916" i="21"/>
  <c r="L917" i="21"/>
  <c r="L918" i="21"/>
  <c r="L919" i="21"/>
  <c r="L920" i="21"/>
  <c r="L921" i="21"/>
  <c r="L922" i="21"/>
  <c r="L923" i="21"/>
  <c r="L924" i="21"/>
  <c r="L925" i="21"/>
  <c r="L926" i="21"/>
  <c r="L927" i="21"/>
  <c r="L928" i="21"/>
  <c r="L929" i="21"/>
  <c r="L930" i="21"/>
  <c r="L931" i="21"/>
  <c r="L932" i="21"/>
  <c r="L933" i="21"/>
  <c r="L934" i="21"/>
  <c r="L935" i="21"/>
  <c r="L936" i="21"/>
  <c r="L937" i="21"/>
  <c r="L938" i="21"/>
  <c r="L939" i="21"/>
  <c r="L940" i="21"/>
  <c r="L941" i="21"/>
  <c r="L942" i="21"/>
  <c r="L943" i="21"/>
  <c r="L944" i="21"/>
  <c r="L945" i="21"/>
  <c r="L946" i="21"/>
  <c r="L947" i="21"/>
  <c r="L948" i="21"/>
  <c r="L949" i="21"/>
  <c r="L950" i="21"/>
  <c r="L951" i="21"/>
  <c r="L952" i="21"/>
  <c r="L953" i="21"/>
  <c r="L954" i="21"/>
  <c r="L955" i="21"/>
  <c r="L956" i="21"/>
  <c r="L957" i="21"/>
  <c r="L958" i="21"/>
  <c r="L959" i="21"/>
  <c r="L960" i="21"/>
  <c r="L961" i="21"/>
  <c r="L962" i="21"/>
  <c r="L963" i="21"/>
  <c r="L964" i="21"/>
  <c r="L965" i="21"/>
  <c r="L966" i="21"/>
  <c r="L967" i="21"/>
  <c r="L968" i="21"/>
  <c r="L969" i="21"/>
  <c r="L970" i="21"/>
  <c r="L971" i="21"/>
  <c r="L972" i="21"/>
  <c r="L973" i="21"/>
  <c r="L974" i="21"/>
  <c r="L975" i="21"/>
  <c r="L976" i="21"/>
  <c r="L977" i="21"/>
  <c r="L978" i="21"/>
  <c r="L979" i="21"/>
  <c r="L980" i="21"/>
  <c r="L981" i="21"/>
  <c r="L982" i="21"/>
  <c r="L983" i="21"/>
  <c r="L984" i="21"/>
  <c r="L985" i="21"/>
  <c r="L986" i="21"/>
  <c r="L987" i="21"/>
  <c r="L988" i="21"/>
  <c r="L989" i="21"/>
  <c r="L990" i="21"/>
  <c r="L991" i="21"/>
  <c r="L992" i="21"/>
  <c r="L993" i="21"/>
  <c r="L994" i="21"/>
  <c r="L995" i="21"/>
  <c r="L996" i="21"/>
  <c r="L997" i="21"/>
  <c r="L998" i="21"/>
  <c r="L999" i="21"/>
  <c r="L1000" i="21"/>
  <c r="L1001" i="21"/>
  <c r="L1002" i="21"/>
  <c r="L1003" i="21"/>
  <c r="L1004" i="21"/>
  <c r="L1005" i="21"/>
  <c r="L1006" i="21"/>
  <c r="L1007" i="21"/>
  <c r="L1008" i="21"/>
  <c r="L1009" i="21"/>
  <c r="L1010" i="21"/>
  <c r="L1011" i="21"/>
  <c r="L1012" i="21"/>
  <c r="L1013" i="21"/>
  <c r="L1014" i="21"/>
  <c r="L1015" i="21"/>
  <c r="L1016" i="21"/>
  <c r="L1017" i="21"/>
  <c r="L1018" i="21"/>
  <c r="L1019" i="21"/>
  <c r="L1020" i="21"/>
  <c r="L1021" i="21"/>
  <c r="L1022" i="21"/>
  <c r="L1023" i="21"/>
  <c r="L1024" i="21"/>
  <c r="L1025" i="21"/>
  <c r="L1026" i="21"/>
  <c r="L1027" i="21"/>
  <c r="L1028" i="21"/>
  <c r="L1029" i="21"/>
  <c r="L1030" i="21"/>
  <c r="L1031" i="21"/>
  <c r="L1032" i="21"/>
  <c r="L1033" i="21"/>
  <c r="L1034" i="21"/>
  <c r="L1035" i="21"/>
  <c r="L1036" i="21"/>
  <c r="L1037" i="21"/>
  <c r="L1038" i="21"/>
  <c r="L1039" i="21"/>
  <c r="L1040" i="21"/>
  <c r="L1041" i="21"/>
  <c r="L1042" i="21"/>
  <c r="L1043" i="21"/>
  <c r="L1044" i="21"/>
  <c r="L1045" i="21"/>
  <c r="L1046" i="21"/>
  <c r="L1047" i="21"/>
  <c r="L1048" i="21"/>
  <c r="L1049" i="21"/>
  <c r="L1050" i="21"/>
  <c r="L1051" i="21"/>
  <c r="L1052" i="21"/>
  <c r="L1053" i="21"/>
  <c r="L1054" i="21"/>
  <c r="L1055" i="21"/>
  <c r="L1056" i="21"/>
  <c r="L1057" i="21"/>
  <c r="L1058" i="21"/>
  <c r="L1059" i="21"/>
  <c r="L1060" i="21"/>
  <c r="L1061" i="21"/>
  <c r="L1062" i="21"/>
  <c r="L1063" i="21"/>
  <c r="L1064" i="21"/>
  <c r="L1065" i="21"/>
  <c r="L1066" i="21"/>
  <c r="L1067" i="21"/>
  <c r="L1068" i="21"/>
  <c r="L1069" i="21"/>
  <c r="L1070" i="21"/>
  <c r="L1071" i="21"/>
  <c r="L1072" i="21"/>
  <c r="L1073" i="21"/>
  <c r="L1074" i="21"/>
  <c r="L1075" i="21"/>
  <c r="L1076" i="21"/>
  <c r="L1077" i="21"/>
  <c r="L1078" i="21"/>
  <c r="L1079" i="21"/>
  <c r="L1080" i="21"/>
  <c r="L1081" i="21"/>
  <c r="L1082" i="21"/>
  <c r="L1083" i="21"/>
  <c r="L1084" i="21"/>
  <c r="L1085" i="21"/>
  <c r="L1086" i="21"/>
  <c r="L1087" i="21"/>
  <c r="L1088" i="21"/>
  <c r="L1089" i="21"/>
  <c r="L1090" i="21"/>
  <c r="L1091" i="21"/>
  <c r="L1092" i="21"/>
  <c r="L1093" i="21"/>
  <c r="L1094" i="21"/>
  <c r="L1095" i="21"/>
  <c r="L1096" i="21"/>
  <c r="L1097" i="21"/>
  <c r="L1098" i="21"/>
  <c r="L1099" i="21"/>
  <c r="L1100" i="21"/>
  <c r="L1101" i="21"/>
  <c r="L1102" i="21"/>
  <c r="L1103" i="21"/>
  <c r="L1104" i="21"/>
  <c r="L1105" i="21"/>
  <c r="L1106" i="21"/>
  <c r="L1107" i="21"/>
  <c r="L1108" i="21"/>
  <c r="L1109" i="21"/>
  <c r="L1110" i="21"/>
  <c r="L1111" i="21"/>
  <c r="L1112" i="21"/>
  <c r="L1113" i="21"/>
  <c r="L1114" i="21"/>
  <c r="L1115" i="21"/>
  <c r="L1116" i="21"/>
  <c r="L1117" i="21"/>
  <c r="L1118" i="21"/>
  <c r="L1119" i="21"/>
  <c r="L1120" i="21"/>
  <c r="L1121" i="21"/>
  <c r="L1122" i="21"/>
  <c r="L1123" i="21"/>
  <c r="L1124" i="21"/>
  <c r="L2" i="21"/>
  <c r="C2" i="21"/>
  <c r="E503" i="24"/>
  <c r="F503" i="24" s="1"/>
  <c r="E502" i="24"/>
  <c r="F502" i="24" s="1"/>
  <c r="E501" i="24"/>
  <c r="F501" i="24" s="1"/>
  <c r="E500" i="24"/>
  <c r="F500" i="24" s="1"/>
  <c r="E499" i="24"/>
  <c r="F499" i="24" s="1"/>
  <c r="E498" i="24"/>
  <c r="F498" i="24" s="1"/>
  <c r="E497" i="24"/>
  <c r="F497" i="24" s="1"/>
  <c r="E496" i="24"/>
  <c r="F496" i="24" s="1"/>
  <c r="E495" i="24"/>
  <c r="F495" i="24" s="1"/>
  <c r="E494" i="24"/>
  <c r="F494" i="24" s="1"/>
  <c r="E493" i="24"/>
  <c r="F493" i="24" s="1"/>
  <c r="E492" i="24"/>
  <c r="F492" i="24" s="1"/>
  <c r="E491" i="24"/>
  <c r="F491" i="24" s="1"/>
  <c r="E490" i="24"/>
  <c r="F490" i="24" s="1"/>
  <c r="E489" i="24"/>
  <c r="F489" i="24" s="1"/>
  <c r="E488" i="24"/>
  <c r="F488" i="24" s="1"/>
  <c r="E487" i="24"/>
  <c r="F487" i="24" s="1"/>
  <c r="E486" i="24"/>
  <c r="F486" i="24" s="1"/>
  <c r="E485" i="24"/>
  <c r="F485" i="24" s="1"/>
  <c r="E484" i="24"/>
  <c r="F484" i="24" s="1"/>
  <c r="E483" i="24"/>
  <c r="F483" i="24" s="1"/>
  <c r="E482" i="24"/>
  <c r="F482" i="24" s="1"/>
  <c r="E481" i="24"/>
  <c r="F481" i="24" s="1"/>
  <c r="E480" i="24"/>
  <c r="F480" i="24" s="1"/>
  <c r="E479" i="24"/>
  <c r="F479" i="24" s="1"/>
  <c r="E478" i="24"/>
  <c r="F478" i="24" s="1"/>
  <c r="E477" i="24"/>
  <c r="F477" i="24" s="1"/>
  <c r="E476" i="24"/>
  <c r="F476" i="24" s="1"/>
  <c r="E475" i="24"/>
  <c r="F475" i="24" s="1"/>
  <c r="E474" i="24"/>
  <c r="F474" i="24" s="1"/>
  <c r="E473" i="24"/>
  <c r="F473" i="24" s="1"/>
  <c r="E472" i="24"/>
  <c r="F472" i="24" s="1"/>
  <c r="E471" i="24"/>
  <c r="F471" i="24" s="1"/>
  <c r="E470" i="24"/>
  <c r="F470" i="24" s="1"/>
  <c r="E469" i="24"/>
  <c r="F469" i="24" s="1"/>
  <c r="E468" i="24"/>
  <c r="F468" i="24" s="1"/>
  <c r="E467" i="24"/>
  <c r="F467" i="24" s="1"/>
  <c r="E466" i="24"/>
  <c r="F466" i="24" s="1"/>
  <c r="E465" i="24"/>
  <c r="F465" i="24" s="1"/>
  <c r="E464" i="24"/>
  <c r="F464" i="24" s="1"/>
  <c r="E463" i="24"/>
  <c r="F463" i="24" s="1"/>
  <c r="E462" i="24"/>
  <c r="F462" i="24" s="1"/>
  <c r="E461" i="24"/>
  <c r="F461" i="24" s="1"/>
  <c r="E460" i="24"/>
  <c r="F460" i="24" s="1"/>
  <c r="E459" i="24"/>
  <c r="F459" i="24" s="1"/>
  <c r="E458" i="24"/>
  <c r="F458" i="24" s="1"/>
  <c r="E457" i="24"/>
  <c r="F457" i="24" s="1"/>
  <c r="E456" i="24"/>
  <c r="F456" i="24" s="1"/>
  <c r="E455" i="24"/>
  <c r="F455" i="24" s="1"/>
  <c r="E454" i="24"/>
  <c r="F454" i="24" s="1"/>
  <c r="E453" i="24"/>
  <c r="F453" i="24" s="1"/>
  <c r="E452" i="24"/>
  <c r="F452" i="24" s="1"/>
  <c r="E451" i="24"/>
  <c r="F451" i="24" s="1"/>
  <c r="E450" i="24"/>
  <c r="F450" i="24" s="1"/>
  <c r="E449" i="24"/>
  <c r="F449" i="24" s="1"/>
  <c r="E448" i="24"/>
  <c r="F448" i="24" s="1"/>
  <c r="E447" i="24"/>
  <c r="F447" i="24" s="1"/>
  <c r="E446" i="24"/>
  <c r="F446" i="24" s="1"/>
  <c r="E445" i="24"/>
  <c r="F445" i="24" s="1"/>
  <c r="E444" i="24"/>
  <c r="F444" i="24" s="1"/>
  <c r="E443" i="24"/>
  <c r="F443" i="24" s="1"/>
  <c r="E442" i="24"/>
  <c r="F442" i="24" s="1"/>
  <c r="E441" i="24"/>
  <c r="F441" i="24" s="1"/>
  <c r="E440" i="24"/>
  <c r="F440" i="24" s="1"/>
  <c r="E439" i="24"/>
  <c r="F439" i="24" s="1"/>
  <c r="E438" i="24"/>
  <c r="F438" i="24" s="1"/>
  <c r="E437" i="24"/>
  <c r="F437" i="24" s="1"/>
  <c r="E436" i="24"/>
  <c r="F436" i="24" s="1"/>
  <c r="E435" i="24"/>
  <c r="F435" i="24" s="1"/>
  <c r="E434" i="24"/>
  <c r="F434" i="24" s="1"/>
  <c r="E433" i="24"/>
  <c r="F433" i="24" s="1"/>
  <c r="E432" i="24"/>
  <c r="F432" i="24" s="1"/>
  <c r="E431" i="24"/>
  <c r="F431" i="24" s="1"/>
  <c r="E430" i="24"/>
  <c r="F430" i="24" s="1"/>
  <c r="E429" i="24"/>
  <c r="F429" i="24" s="1"/>
  <c r="E428" i="24"/>
  <c r="F428" i="24" s="1"/>
  <c r="E427" i="24"/>
  <c r="F427" i="24" s="1"/>
  <c r="E426" i="24"/>
  <c r="F426" i="24" s="1"/>
  <c r="E425" i="24"/>
  <c r="F425" i="24" s="1"/>
  <c r="E424" i="24"/>
  <c r="F424" i="24" s="1"/>
  <c r="E423" i="24"/>
  <c r="F423" i="24" s="1"/>
  <c r="E422" i="24"/>
  <c r="F422" i="24" s="1"/>
  <c r="E421" i="24"/>
  <c r="F421" i="24" s="1"/>
  <c r="E420" i="24"/>
  <c r="F420" i="24" s="1"/>
  <c r="E419" i="24"/>
  <c r="F419" i="24" s="1"/>
  <c r="E418" i="24"/>
  <c r="F418" i="24" s="1"/>
  <c r="E417" i="24"/>
  <c r="F417" i="24" s="1"/>
  <c r="E416" i="24"/>
  <c r="F416" i="24" s="1"/>
  <c r="E415" i="24"/>
  <c r="F415" i="24" s="1"/>
  <c r="E414" i="24"/>
  <c r="F414" i="24" s="1"/>
  <c r="E413" i="24"/>
  <c r="F413" i="24" s="1"/>
  <c r="E412" i="24"/>
  <c r="F412" i="24" s="1"/>
  <c r="E411" i="24"/>
  <c r="F411" i="24" s="1"/>
  <c r="E410" i="24"/>
  <c r="F410" i="24" s="1"/>
  <c r="E409" i="24"/>
  <c r="F409" i="24" s="1"/>
  <c r="E408" i="24"/>
  <c r="F408" i="24" s="1"/>
  <c r="E407" i="24"/>
  <c r="F407" i="24" s="1"/>
  <c r="E406" i="24"/>
  <c r="F406" i="24" s="1"/>
  <c r="E405" i="24"/>
  <c r="F405" i="24" s="1"/>
  <c r="E404" i="24"/>
  <c r="F404" i="24" s="1"/>
  <c r="E403" i="24"/>
  <c r="F403" i="24" s="1"/>
  <c r="E402" i="24"/>
  <c r="F402" i="24" s="1"/>
  <c r="E401" i="24"/>
  <c r="F401" i="24" s="1"/>
  <c r="E400" i="24"/>
  <c r="F400" i="24" s="1"/>
  <c r="E399" i="24"/>
  <c r="F399" i="24" s="1"/>
  <c r="E398" i="24"/>
  <c r="F398" i="24" s="1"/>
  <c r="E397" i="24"/>
  <c r="F397" i="24" s="1"/>
  <c r="E396" i="24"/>
  <c r="F396" i="24" s="1"/>
  <c r="E395" i="24"/>
  <c r="F395" i="24" s="1"/>
  <c r="E394" i="24"/>
  <c r="F394" i="24" s="1"/>
  <c r="E393" i="24"/>
  <c r="F393" i="24" s="1"/>
  <c r="E392" i="24"/>
  <c r="F392" i="24" s="1"/>
  <c r="E391" i="24"/>
  <c r="F391" i="24" s="1"/>
  <c r="E390" i="24"/>
  <c r="F390" i="24" s="1"/>
  <c r="E389" i="24"/>
  <c r="F389" i="24" s="1"/>
  <c r="E388" i="24"/>
  <c r="F388" i="24" s="1"/>
  <c r="E387" i="24"/>
  <c r="F387" i="24" s="1"/>
  <c r="E386" i="24"/>
  <c r="F386" i="24" s="1"/>
  <c r="E385" i="24"/>
  <c r="F385" i="24" s="1"/>
  <c r="E384" i="24"/>
  <c r="F384" i="24" s="1"/>
  <c r="E383" i="24"/>
  <c r="F383" i="24" s="1"/>
  <c r="E382" i="24"/>
  <c r="F382" i="24" s="1"/>
  <c r="E381" i="24"/>
  <c r="F381" i="24" s="1"/>
  <c r="E380" i="24"/>
  <c r="F380" i="24" s="1"/>
  <c r="E379" i="24"/>
  <c r="F379" i="24" s="1"/>
  <c r="E378" i="24"/>
  <c r="F378" i="24" s="1"/>
  <c r="E377" i="24"/>
  <c r="F377" i="24" s="1"/>
  <c r="E376" i="24"/>
  <c r="F376" i="24" s="1"/>
  <c r="E375" i="24"/>
  <c r="F375" i="24" s="1"/>
  <c r="E374" i="24"/>
  <c r="F374" i="24" s="1"/>
  <c r="E373" i="24"/>
  <c r="F373" i="24" s="1"/>
  <c r="E372" i="24"/>
  <c r="F372" i="24" s="1"/>
  <c r="E371" i="24"/>
  <c r="F371" i="24" s="1"/>
  <c r="E370" i="24"/>
  <c r="F370" i="24" s="1"/>
  <c r="E369" i="24"/>
  <c r="F369" i="24" s="1"/>
  <c r="E368" i="24"/>
  <c r="F368" i="24" s="1"/>
  <c r="E367" i="24"/>
  <c r="F367" i="24" s="1"/>
  <c r="E366" i="24"/>
  <c r="F366" i="24" s="1"/>
  <c r="E365" i="24"/>
  <c r="F365" i="24" s="1"/>
  <c r="E364" i="24"/>
  <c r="F364" i="24" s="1"/>
  <c r="E363" i="24"/>
  <c r="F363" i="24" s="1"/>
  <c r="E362" i="24"/>
  <c r="F362" i="24" s="1"/>
  <c r="E361" i="24"/>
  <c r="F361" i="24" s="1"/>
  <c r="E360" i="24"/>
  <c r="F360" i="24" s="1"/>
  <c r="E359" i="24"/>
  <c r="F359" i="24" s="1"/>
  <c r="E358" i="24"/>
  <c r="F358" i="24" s="1"/>
  <c r="E357" i="24"/>
  <c r="F357" i="24" s="1"/>
  <c r="E356" i="24"/>
  <c r="F356" i="24" s="1"/>
  <c r="E355" i="24"/>
  <c r="F355" i="24" s="1"/>
  <c r="E354" i="24"/>
  <c r="F354" i="24" s="1"/>
  <c r="E353" i="24"/>
  <c r="F353" i="24" s="1"/>
  <c r="E352" i="24"/>
  <c r="F352" i="24" s="1"/>
  <c r="E351" i="24"/>
  <c r="F351" i="24" s="1"/>
  <c r="E350" i="24"/>
  <c r="F350" i="24" s="1"/>
  <c r="E349" i="24"/>
  <c r="F349" i="24" s="1"/>
  <c r="E348" i="24"/>
  <c r="F348" i="24" s="1"/>
  <c r="E347" i="24"/>
  <c r="F347" i="24" s="1"/>
  <c r="E346" i="24"/>
  <c r="F346" i="24" s="1"/>
  <c r="E345" i="24"/>
  <c r="F345" i="24" s="1"/>
  <c r="E344" i="24"/>
  <c r="F344" i="24" s="1"/>
  <c r="E343" i="24"/>
  <c r="F343" i="24" s="1"/>
  <c r="E342" i="24"/>
  <c r="F342" i="24" s="1"/>
  <c r="E341" i="24"/>
  <c r="F341" i="24" s="1"/>
  <c r="E340" i="24"/>
  <c r="F340" i="24" s="1"/>
  <c r="E339" i="24"/>
  <c r="F339" i="24" s="1"/>
  <c r="E338" i="24"/>
  <c r="F338" i="24" s="1"/>
  <c r="E337" i="24"/>
  <c r="F337" i="24" s="1"/>
  <c r="E336" i="24"/>
  <c r="F336" i="24" s="1"/>
  <c r="E335" i="24"/>
  <c r="F335" i="24" s="1"/>
  <c r="E334" i="24"/>
  <c r="F334" i="24" s="1"/>
  <c r="E333" i="24"/>
  <c r="F333" i="24" s="1"/>
  <c r="E332" i="24"/>
  <c r="F332" i="24" s="1"/>
  <c r="E331" i="24"/>
  <c r="F331" i="24" s="1"/>
  <c r="E330" i="24"/>
  <c r="F330" i="24" s="1"/>
  <c r="E329" i="24"/>
  <c r="F329" i="24" s="1"/>
  <c r="E328" i="24"/>
  <c r="F328" i="24" s="1"/>
  <c r="E327" i="24"/>
  <c r="F327" i="24" s="1"/>
  <c r="E326" i="24"/>
  <c r="F326" i="24" s="1"/>
  <c r="E325" i="24"/>
  <c r="F325" i="24" s="1"/>
  <c r="E324" i="24"/>
  <c r="F324" i="24" s="1"/>
  <c r="E323" i="24"/>
  <c r="F323" i="24" s="1"/>
  <c r="E322" i="24"/>
  <c r="F322" i="24" s="1"/>
  <c r="E321" i="24"/>
  <c r="F321" i="24" s="1"/>
  <c r="E320" i="24"/>
  <c r="F320" i="24" s="1"/>
  <c r="E319" i="24"/>
  <c r="F319" i="24" s="1"/>
  <c r="E318" i="24"/>
  <c r="F318" i="24" s="1"/>
  <c r="E317" i="24"/>
  <c r="F317" i="24" s="1"/>
  <c r="E316" i="24"/>
  <c r="F316" i="24" s="1"/>
  <c r="E315" i="24"/>
  <c r="F315" i="24" s="1"/>
  <c r="E314" i="24"/>
  <c r="F314" i="24" s="1"/>
  <c r="E313" i="24"/>
  <c r="F313" i="24" s="1"/>
  <c r="E312" i="24"/>
  <c r="F312" i="24" s="1"/>
  <c r="E311" i="24"/>
  <c r="F311" i="24" s="1"/>
  <c r="E310" i="24"/>
  <c r="F310" i="24" s="1"/>
  <c r="E309" i="24"/>
  <c r="F309" i="24" s="1"/>
  <c r="E308" i="24"/>
  <c r="F308" i="24" s="1"/>
  <c r="E307" i="24"/>
  <c r="F307" i="24" s="1"/>
  <c r="E306" i="24"/>
  <c r="F306" i="24" s="1"/>
  <c r="E305" i="24"/>
  <c r="F305" i="24" s="1"/>
  <c r="E304" i="24"/>
  <c r="F304" i="24" s="1"/>
  <c r="E303" i="24"/>
  <c r="F303" i="24" s="1"/>
  <c r="E302" i="24"/>
  <c r="F302" i="24" s="1"/>
  <c r="E301" i="24"/>
  <c r="F301" i="24" s="1"/>
  <c r="E300" i="24"/>
  <c r="F300" i="24" s="1"/>
  <c r="E299" i="24"/>
  <c r="F299" i="24" s="1"/>
  <c r="E298" i="24"/>
  <c r="F298" i="24" s="1"/>
  <c r="E297" i="24"/>
  <c r="F297" i="24" s="1"/>
  <c r="E296" i="24"/>
  <c r="F296" i="24" s="1"/>
  <c r="E295" i="24"/>
  <c r="F295" i="24" s="1"/>
  <c r="E294" i="24"/>
  <c r="F294" i="24" s="1"/>
  <c r="E293" i="24"/>
  <c r="F293" i="24" s="1"/>
  <c r="E292" i="24"/>
  <c r="F292" i="24" s="1"/>
  <c r="E291" i="24"/>
  <c r="F291" i="24" s="1"/>
  <c r="E290" i="24"/>
  <c r="F290" i="24" s="1"/>
  <c r="E289" i="24"/>
  <c r="F289" i="24" s="1"/>
  <c r="E288" i="24"/>
  <c r="F288" i="24" s="1"/>
  <c r="E287" i="24"/>
  <c r="F287" i="24" s="1"/>
  <c r="E286" i="24"/>
  <c r="F286" i="24" s="1"/>
  <c r="E285" i="24"/>
  <c r="F285" i="24" s="1"/>
  <c r="E284" i="24"/>
  <c r="F284" i="24" s="1"/>
  <c r="E283" i="24"/>
  <c r="F283" i="24" s="1"/>
  <c r="E282" i="24"/>
  <c r="F282" i="24" s="1"/>
  <c r="E281" i="24"/>
  <c r="F281" i="24" s="1"/>
  <c r="E280" i="24"/>
  <c r="F280" i="24" s="1"/>
  <c r="E279" i="24"/>
  <c r="F279" i="24" s="1"/>
  <c r="E278" i="24"/>
  <c r="F278" i="24" s="1"/>
  <c r="E277" i="24"/>
  <c r="F277" i="24" s="1"/>
  <c r="E276" i="24"/>
  <c r="F276" i="24" s="1"/>
  <c r="E275" i="24"/>
  <c r="F275" i="24" s="1"/>
  <c r="E274" i="24"/>
  <c r="F274" i="24" s="1"/>
  <c r="E273" i="24"/>
  <c r="F273" i="24" s="1"/>
  <c r="E272" i="24"/>
  <c r="F272" i="24" s="1"/>
  <c r="E271" i="24"/>
  <c r="F271" i="24" s="1"/>
  <c r="E270" i="24"/>
  <c r="F270" i="24" s="1"/>
  <c r="E269" i="24"/>
  <c r="F269" i="24" s="1"/>
  <c r="E268" i="24"/>
  <c r="F268" i="24" s="1"/>
  <c r="E267" i="24"/>
  <c r="F267" i="24" s="1"/>
  <c r="E266" i="24"/>
  <c r="F266" i="24" s="1"/>
  <c r="E265" i="24"/>
  <c r="F265" i="24" s="1"/>
  <c r="E264" i="24"/>
  <c r="F264" i="24" s="1"/>
  <c r="E263" i="24"/>
  <c r="F263" i="24" s="1"/>
  <c r="E262" i="24"/>
  <c r="F262" i="24" s="1"/>
  <c r="E261" i="24"/>
  <c r="F261" i="24" s="1"/>
  <c r="E260" i="24"/>
  <c r="F260" i="24" s="1"/>
  <c r="E259" i="24"/>
  <c r="F259" i="24" s="1"/>
  <c r="E258" i="24"/>
  <c r="F258" i="24" s="1"/>
  <c r="E257" i="24"/>
  <c r="F257" i="24" s="1"/>
  <c r="E256" i="24"/>
  <c r="F256" i="24" s="1"/>
  <c r="E255" i="24"/>
  <c r="F255" i="24" s="1"/>
  <c r="E254" i="24"/>
  <c r="F254" i="24" s="1"/>
  <c r="E253" i="24"/>
  <c r="F253" i="24" s="1"/>
  <c r="E252" i="24"/>
  <c r="F252" i="24" s="1"/>
  <c r="E251" i="24"/>
  <c r="F251" i="24" s="1"/>
  <c r="E250" i="24"/>
  <c r="F250" i="24" s="1"/>
  <c r="E249" i="24"/>
  <c r="F249" i="24" s="1"/>
  <c r="E248" i="24"/>
  <c r="F248" i="24" s="1"/>
  <c r="E247" i="24"/>
  <c r="F247" i="24" s="1"/>
  <c r="E246" i="24"/>
  <c r="F246" i="24" s="1"/>
  <c r="E245" i="24"/>
  <c r="F245" i="24" s="1"/>
  <c r="E244" i="24"/>
  <c r="F244" i="24" s="1"/>
  <c r="E243" i="24"/>
  <c r="F243" i="24" s="1"/>
  <c r="E242" i="24"/>
  <c r="F242" i="24" s="1"/>
  <c r="E241" i="24"/>
  <c r="F241" i="24" s="1"/>
  <c r="E240" i="24"/>
  <c r="F240" i="24" s="1"/>
  <c r="E239" i="24"/>
  <c r="F239" i="24" s="1"/>
  <c r="E238" i="24"/>
  <c r="F238" i="24" s="1"/>
  <c r="E237" i="24"/>
  <c r="F237" i="24" s="1"/>
  <c r="E236" i="24"/>
  <c r="F236" i="24" s="1"/>
  <c r="E235" i="24"/>
  <c r="F235" i="24" s="1"/>
  <c r="E234" i="24"/>
  <c r="F234" i="24" s="1"/>
  <c r="E233" i="24"/>
  <c r="F233" i="24" s="1"/>
  <c r="E232" i="24"/>
  <c r="F232" i="24" s="1"/>
  <c r="E231" i="24"/>
  <c r="F231" i="24" s="1"/>
  <c r="E230" i="24"/>
  <c r="F230" i="24" s="1"/>
  <c r="E229" i="24"/>
  <c r="F229" i="24" s="1"/>
  <c r="E228" i="24"/>
  <c r="F228" i="24" s="1"/>
  <c r="E227" i="24"/>
  <c r="F227" i="24" s="1"/>
  <c r="E226" i="24"/>
  <c r="F226" i="24" s="1"/>
  <c r="E225" i="24"/>
  <c r="F225" i="24" s="1"/>
  <c r="E224" i="24"/>
  <c r="F224" i="24" s="1"/>
  <c r="E223" i="24"/>
  <c r="F223" i="24" s="1"/>
  <c r="E222" i="24"/>
  <c r="F222" i="24" s="1"/>
  <c r="E221" i="24"/>
  <c r="F221" i="24" s="1"/>
  <c r="E220" i="24"/>
  <c r="F220" i="24" s="1"/>
  <c r="E219" i="24"/>
  <c r="F219" i="24" s="1"/>
  <c r="E218" i="24"/>
  <c r="F218" i="24" s="1"/>
  <c r="E217" i="24"/>
  <c r="F217" i="24" s="1"/>
  <c r="E216" i="24"/>
  <c r="F216" i="24" s="1"/>
  <c r="E215" i="24"/>
  <c r="F215" i="24" s="1"/>
  <c r="E214" i="24"/>
  <c r="F214" i="24" s="1"/>
  <c r="E213" i="24"/>
  <c r="F213" i="24" s="1"/>
  <c r="E212" i="24"/>
  <c r="F212" i="24" s="1"/>
  <c r="E211" i="24"/>
  <c r="F211" i="24" s="1"/>
  <c r="E210" i="24"/>
  <c r="F210" i="24" s="1"/>
  <c r="E209" i="24"/>
  <c r="F209" i="24" s="1"/>
  <c r="E208" i="24"/>
  <c r="F208" i="24" s="1"/>
  <c r="E207" i="24"/>
  <c r="F207" i="24" s="1"/>
  <c r="E206" i="24"/>
  <c r="F206" i="24" s="1"/>
  <c r="E205" i="24"/>
  <c r="F205" i="24" s="1"/>
  <c r="E204" i="24"/>
  <c r="F204" i="24" s="1"/>
  <c r="E203" i="24"/>
  <c r="F203" i="24" s="1"/>
  <c r="E202" i="24"/>
  <c r="F202" i="24" s="1"/>
  <c r="E201" i="24"/>
  <c r="F201" i="24" s="1"/>
  <c r="E200" i="24"/>
  <c r="F200" i="24" s="1"/>
  <c r="E199" i="24"/>
  <c r="F199" i="24" s="1"/>
  <c r="E198" i="24"/>
  <c r="F198" i="24" s="1"/>
  <c r="E197" i="24"/>
  <c r="F197" i="24" s="1"/>
  <c r="E196" i="24"/>
  <c r="F196" i="24" s="1"/>
  <c r="E195" i="24"/>
  <c r="F195" i="24" s="1"/>
  <c r="E194" i="24"/>
  <c r="F194" i="24" s="1"/>
  <c r="E193" i="24"/>
  <c r="F193" i="24" s="1"/>
  <c r="E192" i="24"/>
  <c r="F192" i="24" s="1"/>
  <c r="E191" i="24"/>
  <c r="F191" i="24" s="1"/>
  <c r="E190" i="24"/>
  <c r="F190" i="24" s="1"/>
  <c r="E189" i="24"/>
  <c r="F189" i="24" s="1"/>
  <c r="E188" i="24"/>
  <c r="F188" i="24" s="1"/>
  <c r="E187" i="24"/>
  <c r="F187" i="24" s="1"/>
  <c r="E186" i="24"/>
  <c r="F186" i="24" s="1"/>
  <c r="E185" i="24"/>
  <c r="F185" i="24" s="1"/>
  <c r="E184" i="24"/>
  <c r="F184" i="24" s="1"/>
  <c r="E183" i="24"/>
  <c r="F183" i="24" s="1"/>
  <c r="E182" i="24"/>
  <c r="F182" i="24" s="1"/>
  <c r="E181" i="24"/>
  <c r="F181" i="24" s="1"/>
  <c r="E180" i="24"/>
  <c r="F180" i="24" s="1"/>
  <c r="E179" i="24"/>
  <c r="F179" i="24" s="1"/>
  <c r="E178" i="24"/>
  <c r="F178" i="24" s="1"/>
  <c r="E177" i="24"/>
  <c r="F177" i="24" s="1"/>
  <c r="E176" i="24"/>
  <c r="F176" i="24" s="1"/>
  <c r="E175" i="24"/>
  <c r="F175" i="24" s="1"/>
  <c r="E174" i="24"/>
  <c r="F174" i="24" s="1"/>
  <c r="E173" i="24"/>
  <c r="F173" i="24" s="1"/>
  <c r="E172" i="24"/>
  <c r="F172" i="24" s="1"/>
  <c r="E171" i="24"/>
  <c r="F171" i="24" s="1"/>
  <c r="E170" i="24"/>
  <c r="F170" i="24" s="1"/>
  <c r="E169" i="24"/>
  <c r="F169" i="24" s="1"/>
  <c r="E168" i="24"/>
  <c r="F168" i="24" s="1"/>
  <c r="E167" i="24"/>
  <c r="F167" i="24" s="1"/>
  <c r="E166" i="24"/>
  <c r="F166" i="24" s="1"/>
  <c r="E165" i="24"/>
  <c r="F165" i="24" s="1"/>
  <c r="E164" i="24"/>
  <c r="F164" i="24" s="1"/>
  <c r="E163" i="24"/>
  <c r="F163" i="24" s="1"/>
  <c r="E162" i="24"/>
  <c r="F162" i="24" s="1"/>
  <c r="E161" i="24"/>
  <c r="F161" i="24" s="1"/>
  <c r="E160" i="24"/>
  <c r="F160" i="24" s="1"/>
  <c r="E159" i="24"/>
  <c r="F159" i="24" s="1"/>
  <c r="E158" i="24"/>
  <c r="F158" i="24" s="1"/>
  <c r="E157" i="24"/>
  <c r="F157" i="24" s="1"/>
  <c r="E156" i="24"/>
  <c r="F156" i="24" s="1"/>
  <c r="E155" i="24"/>
  <c r="F155" i="24" s="1"/>
  <c r="E154" i="24"/>
  <c r="F154" i="24" s="1"/>
  <c r="E153" i="24"/>
  <c r="F153" i="24" s="1"/>
  <c r="E152" i="24"/>
  <c r="F152" i="24" s="1"/>
  <c r="E151" i="24"/>
  <c r="F151" i="24" s="1"/>
  <c r="E150" i="24"/>
  <c r="F150" i="24" s="1"/>
  <c r="E149" i="24"/>
  <c r="F149" i="24" s="1"/>
  <c r="E148" i="24"/>
  <c r="F148" i="24" s="1"/>
  <c r="E147" i="24"/>
  <c r="F147" i="24" s="1"/>
  <c r="E146" i="24"/>
  <c r="F146" i="24" s="1"/>
  <c r="E145" i="24"/>
  <c r="F145" i="24" s="1"/>
  <c r="E144" i="24"/>
  <c r="F144" i="24" s="1"/>
  <c r="E143" i="24"/>
  <c r="F143" i="24" s="1"/>
  <c r="E142" i="24"/>
  <c r="F142" i="24" s="1"/>
  <c r="E141" i="24"/>
  <c r="F141" i="24" s="1"/>
  <c r="E140" i="24"/>
  <c r="F140" i="24" s="1"/>
  <c r="E139" i="24"/>
  <c r="F139" i="24" s="1"/>
  <c r="E138" i="24"/>
  <c r="F138" i="24" s="1"/>
  <c r="E137" i="24"/>
  <c r="F137" i="24" s="1"/>
  <c r="E136" i="24"/>
  <c r="F136" i="24" s="1"/>
  <c r="E135" i="24"/>
  <c r="F135" i="24" s="1"/>
  <c r="E134" i="24"/>
  <c r="F134" i="24" s="1"/>
  <c r="E133" i="24"/>
  <c r="F133" i="24" s="1"/>
  <c r="E132" i="24"/>
  <c r="F132" i="24" s="1"/>
  <c r="E131" i="24"/>
  <c r="F131" i="24" s="1"/>
  <c r="E130" i="24"/>
  <c r="F130" i="24" s="1"/>
  <c r="E129" i="24"/>
  <c r="F129" i="24" s="1"/>
  <c r="E128" i="24"/>
  <c r="F128" i="24" s="1"/>
  <c r="E127" i="24"/>
  <c r="F127" i="24" s="1"/>
  <c r="E126" i="24"/>
  <c r="F126" i="24" s="1"/>
  <c r="E125" i="24"/>
  <c r="F125" i="24" s="1"/>
  <c r="E124" i="24"/>
  <c r="F124" i="24" s="1"/>
  <c r="E123" i="24"/>
  <c r="F123" i="24" s="1"/>
  <c r="E122" i="24"/>
  <c r="F122" i="24" s="1"/>
  <c r="E121" i="24"/>
  <c r="F121" i="24" s="1"/>
  <c r="E120" i="24"/>
  <c r="F120" i="24" s="1"/>
  <c r="E119" i="24"/>
  <c r="F119" i="24" s="1"/>
  <c r="E118" i="24"/>
  <c r="F118" i="24" s="1"/>
  <c r="E117" i="24"/>
  <c r="F117" i="24" s="1"/>
  <c r="E116" i="24"/>
  <c r="F116" i="24" s="1"/>
  <c r="E115" i="24"/>
  <c r="F115" i="24" s="1"/>
  <c r="E114" i="24"/>
  <c r="F114" i="24" s="1"/>
  <c r="E113" i="24"/>
  <c r="F113" i="24" s="1"/>
  <c r="E112" i="24"/>
  <c r="F112" i="24" s="1"/>
  <c r="E111" i="24"/>
  <c r="F111" i="24" s="1"/>
  <c r="E110" i="24"/>
  <c r="F110" i="24" s="1"/>
  <c r="E109" i="24"/>
  <c r="F109" i="24" s="1"/>
  <c r="E108" i="24"/>
  <c r="F108" i="24" s="1"/>
  <c r="E107" i="24"/>
  <c r="F107" i="24" s="1"/>
  <c r="E106" i="24"/>
  <c r="F106" i="24" s="1"/>
  <c r="E105" i="24"/>
  <c r="F105" i="24" s="1"/>
  <c r="E104" i="24"/>
  <c r="F104" i="24" s="1"/>
  <c r="E103" i="24"/>
  <c r="F103" i="24" s="1"/>
  <c r="E102" i="24"/>
  <c r="F102" i="24" s="1"/>
  <c r="E101" i="24"/>
  <c r="F101" i="24" s="1"/>
  <c r="E100" i="24"/>
  <c r="F100" i="24" s="1"/>
  <c r="E99" i="24"/>
  <c r="F99" i="24" s="1"/>
  <c r="E98" i="24"/>
  <c r="F98" i="24" s="1"/>
  <c r="E97" i="24"/>
  <c r="F97" i="24" s="1"/>
  <c r="E96" i="24"/>
  <c r="F96" i="24" s="1"/>
  <c r="E95" i="24"/>
  <c r="F95" i="24" s="1"/>
  <c r="E94" i="24"/>
  <c r="F94" i="24" s="1"/>
  <c r="E93" i="24"/>
  <c r="F93" i="24" s="1"/>
  <c r="E92" i="24"/>
  <c r="F92" i="24" s="1"/>
  <c r="E91" i="24"/>
  <c r="F91" i="24" s="1"/>
  <c r="E90" i="24"/>
  <c r="F90" i="24" s="1"/>
  <c r="E89" i="24"/>
  <c r="F89" i="24" s="1"/>
  <c r="E88" i="24"/>
  <c r="F88" i="24" s="1"/>
  <c r="E87" i="24"/>
  <c r="F87" i="24" s="1"/>
  <c r="E86" i="24"/>
  <c r="F86" i="24" s="1"/>
  <c r="E85" i="24"/>
  <c r="F85" i="24" s="1"/>
  <c r="E84" i="24"/>
  <c r="F84" i="24" s="1"/>
  <c r="E83" i="24"/>
  <c r="F83" i="24" s="1"/>
  <c r="E82" i="24"/>
  <c r="F82" i="24" s="1"/>
  <c r="E81" i="24"/>
  <c r="F81" i="24" s="1"/>
  <c r="E80" i="24"/>
  <c r="F80" i="24" s="1"/>
  <c r="E79" i="24"/>
  <c r="F79" i="24" s="1"/>
  <c r="E78" i="24"/>
  <c r="F78" i="24" s="1"/>
  <c r="E77" i="24"/>
  <c r="F77" i="24" s="1"/>
  <c r="E76" i="24"/>
  <c r="F76" i="24" s="1"/>
  <c r="E75" i="24"/>
  <c r="F75" i="24" s="1"/>
  <c r="E74" i="24"/>
  <c r="F74" i="24" s="1"/>
  <c r="E73" i="24"/>
  <c r="F73" i="24" s="1"/>
  <c r="E72" i="24"/>
  <c r="F72" i="24" s="1"/>
  <c r="E71" i="24"/>
  <c r="F71" i="24" s="1"/>
  <c r="E70" i="24"/>
  <c r="F70" i="24" s="1"/>
  <c r="E69" i="24"/>
  <c r="F69" i="24" s="1"/>
  <c r="E68" i="24"/>
  <c r="F68" i="24" s="1"/>
  <c r="E67" i="24"/>
  <c r="F67" i="24" s="1"/>
  <c r="E66" i="24"/>
  <c r="F66" i="24" s="1"/>
  <c r="E65" i="24"/>
  <c r="F65" i="24" s="1"/>
  <c r="E64" i="24"/>
  <c r="F64" i="24" s="1"/>
  <c r="E63" i="24"/>
  <c r="F63" i="24" s="1"/>
  <c r="E62" i="24"/>
  <c r="F62" i="24" s="1"/>
  <c r="E61" i="24"/>
  <c r="F61" i="24" s="1"/>
  <c r="E60" i="24"/>
  <c r="F60" i="24" s="1"/>
  <c r="E59" i="24"/>
  <c r="F59" i="24" s="1"/>
  <c r="E58" i="24"/>
  <c r="F58" i="24" s="1"/>
  <c r="E57" i="24"/>
  <c r="F57" i="24" s="1"/>
  <c r="E56" i="24"/>
  <c r="F56" i="24" s="1"/>
  <c r="E55" i="24"/>
  <c r="F55" i="24" s="1"/>
  <c r="E54" i="24"/>
  <c r="F54" i="24" s="1"/>
  <c r="E53" i="24"/>
  <c r="F53" i="24" s="1"/>
  <c r="E52" i="24"/>
  <c r="F52" i="24" s="1"/>
  <c r="E51" i="24"/>
  <c r="F51" i="24" s="1"/>
  <c r="E50" i="24"/>
  <c r="F50" i="24" s="1"/>
  <c r="E49" i="24"/>
  <c r="F49" i="24" s="1"/>
  <c r="E48" i="24"/>
  <c r="F48" i="24" s="1"/>
  <c r="E47" i="24"/>
  <c r="F47" i="24" s="1"/>
  <c r="E46" i="24"/>
  <c r="F46" i="24" s="1"/>
  <c r="E45" i="24"/>
  <c r="F45" i="24" s="1"/>
  <c r="E44" i="24"/>
  <c r="F44" i="24" s="1"/>
  <c r="E43" i="24"/>
  <c r="F43" i="24" s="1"/>
  <c r="E42" i="24"/>
  <c r="F42" i="24" s="1"/>
  <c r="E41" i="24"/>
  <c r="F41" i="24" s="1"/>
  <c r="E40" i="24"/>
  <c r="F40" i="24" s="1"/>
  <c r="E39" i="24"/>
  <c r="F39" i="24" s="1"/>
  <c r="E38" i="24"/>
  <c r="F38" i="24" s="1"/>
  <c r="E37" i="24"/>
  <c r="F37" i="24" s="1"/>
  <c r="E36" i="24"/>
  <c r="F36" i="24" s="1"/>
  <c r="E35" i="24"/>
  <c r="F35" i="24" s="1"/>
  <c r="E34" i="24"/>
  <c r="F34" i="24" s="1"/>
  <c r="E33" i="24"/>
  <c r="F33" i="24" s="1"/>
  <c r="E32" i="24"/>
  <c r="F32" i="24" s="1"/>
  <c r="E31" i="24"/>
  <c r="F31" i="24" s="1"/>
  <c r="E30" i="24"/>
  <c r="F30" i="24" s="1"/>
  <c r="E29" i="24"/>
  <c r="F29" i="24" s="1"/>
  <c r="E28" i="24"/>
  <c r="F28" i="24" s="1"/>
  <c r="E27" i="24"/>
  <c r="F27" i="24" s="1"/>
  <c r="E26" i="24"/>
  <c r="F26" i="24" s="1"/>
  <c r="E25" i="24"/>
  <c r="F25" i="24" s="1"/>
  <c r="E24" i="24"/>
  <c r="F24" i="24" s="1"/>
  <c r="E23" i="24"/>
  <c r="F23" i="24" s="1"/>
  <c r="E22" i="24"/>
  <c r="F22" i="24" s="1"/>
  <c r="E21" i="24"/>
  <c r="F21" i="24" s="1"/>
  <c r="E20" i="24"/>
  <c r="F20" i="24" s="1"/>
  <c r="E19" i="24"/>
  <c r="F19" i="24" s="1"/>
  <c r="E18" i="24"/>
  <c r="F18" i="24" s="1"/>
  <c r="E17" i="24"/>
  <c r="F17" i="24" s="1"/>
  <c r="E16" i="24"/>
  <c r="F16" i="24" s="1"/>
  <c r="E15" i="24"/>
  <c r="F15" i="24" s="1"/>
  <c r="E14" i="24"/>
  <c r="F14" i="24" s="1"/>
  <c r="E13" i="24"/>
  <c r="F13" i="24" s="1"/>
  <c r="E12" i="24"/>
  <c r="F12" i="24" s="1"/>
  <c r="E11" i="24"/>
  <c r="F11" i="24" s="1"/>
  <c r="E10" i="24"/>
  <c r="F10" i="24" s="1"/>
  <c r="E9" i="24"/>
  <c r="F9" i="24" s="1"/>
  <c r="E8" i="24"/>
  <c r="F8" i="24" s="1"/>
  <c r="E7" i="24"/>
  <c r="F7" i="24" s="1"/>
  <c r="E6" i="24"/>
  <c r="F6" i="24" s="1"/>
  <c r="E5" i="24"/>
  <c r="F5" i="24" s="1"/>
  <c r="E4" i="24"/>
  <c r="F4" i="24" s="1"/>
  <c r="E3" i="24"/>
  <c r="F3" i="24" s="1"/>
  <c r="E2" i="24"/>
  <c r="F2" i="24" s="1"/>
  <c r="J3" i="21" l="1"/>
  <c r="J4" i="21"/>
  <c r="J5" i="21"/>
  <c r="J6" i="21"/>
  <c r="J7" i="21"/>
  <c r="J8" i="21"/>
  <c r="J9" i="21"/>
  <c r="J10" i="21"/>
  <c r="J11" i="21"/>
  <c r="J12" i="21"/>
  <c r="J13" i="21"/>
  <c r="J14" i="21"/>
  <c r="J15" i="21"/>
  <c r="J16" i="21"/>
  <c r="J17" i="21"/>
  <c r="J18" i="21"/>
  <c r="J19" i="21"/>
  <c r="J20" i="21"/>
  <c r="J21" i="21"/>
  <c r="J22" i="21"/>
  <c r="J23" i="21"/>
  <c r="J24" i="21"/>
  <c r="J25" i="21"/>
  <c r="J26" i="21"/>
  <c r="J27" i="21"/>
  <c r="J28" i="21"/>
  <c r="J29" i="21"/>
  <c r="J30" i="21"/>
  <c r="J31" i="21"/>
  <c r="J32" i="21"/>
  <c r="J33" i="21"/>
  <c r="J34" i="21"/>
  <c r="J35" i="21"/>
  <c r="J36" i="21"/>
  <c r="J37" i="21"/>
  <c r="J38" i="21"/>
  <c r="J39" i="21"/>
  <c r="J40" i="21"/>
  <c r="J41" i="21"/>
  <c r="J42" i="21"/>
  <c r="J43" i="21"/>
  <c r="J44" i="21"/>
  <c r="J45" i="21"/>
  <c r="J46" i="21"/>
  <c r="J47" i="21"/>
  <c r="J48" i="21"/>
  <c r="J49" i="21"/>
  <c r="J50" i="21"/>
  <c r="J51" i="21"/>
  <c r="J52" i="21"/>
  <c r="J53" i="21"/>
  <c r="J54" i="21"/>
  <c r="J55" i="21"/>
  <c r="J56" i="21"/>
  <c r="J57" i="21"/>
  <c r="J58" i="21"/>
  <c r="J59" i="21"/>
  <c r="J60" i="21"/>
  <c r="J61" i="21"/>
  <c r="J62" i="21"/>
  <c r="J63" i="21"/>
  <c r="J64" i="21"/>
  <c r="J65" i="21"/>
  <c r="J66" i="21"/>
  <c r="J67" i="21"/>
  <c r="J68" i="21"/>
  <c r="J69" i="21"/>
  <c r="J70" i="21"/>
  <c r="J71" i="21"/>
  <c r="J72" i="21"/>
  <c r="J73" i="21"/>
  <c r="J74" i="21"/>
  <c r="J75" i="21"/>
  <c r="J76" i="21"/>
  <c r="J77" i="21"/>
  <c r="J78" i="21"/>
  <c r="J79" i="21"/>
  <c r="J80" i="21"/>
  <c r="J81" i="21"/>
  <c r="J82" i="21"/>
  <c r="J83" i="21"/>
  <c r="J84" i="21"/>
  <c r="J85" i="21"/>
  <c r="J86" i="21"/>
  <c r="J87" i="21"/>
  <c r="J88" i="21"/>
  <c r="J89" i="21"/>
  <c r="J90" i="21"/>
  <c r="J91" i="21"/>
  <c r="J92" i="21"/>
  <c r="J93" i="21"/>
  <c r="J94" i="21"/>
  <c r="J95" i="21"/>
  <c r="J96" i="21"/>
  <c r="J97" i="21"/>
  <c r="J98" i="21"/>
  <c r="J99" i="21"/>
  <c r="J100" i="21"/>
  <c r="J101" i="21"/>
  <c r="J102" i="21"/>
  <c r="J103" i="21"/>
  <c r="J104" i="21"/>
  <c r="J105" i="21"/>
  <c r="J106" i="21"/>
  <c r="J107" i="21"/>
  <c r="J108" i="21"/>
  <c r="J109" i="21"/>
  <c r="J110" i="21"/>
  <c r="J111" i="21"/>
  <c r="J112" i="21"/>
  <c r="J113" i="21"/>
  <c r="J114" i="21"/>
  <c r="J115" i="21"/>
  <c r="J116" i="21"/>
  <c r="J117" i="21"/>
  <c r="J118" i="21"/>
  <c r="J119" i="21"/>
  <c r="J120" i="21"/>
  <c r="J121" i="21"/>
  <c r="J122" i="21"/>
  <c r="J123" i="21"/>
  <c r="J124" i="21"/>
  <c r="J125" i="21"/>
  <c r="J126" i="21"/>
  <c r="J127" i="21"/>
  <c r="J128" i="21"/>
  <c r="J129" i="21"/>
  <c r="J130" i="21"/>
  <c r="J131" i="21"/>
  <c r="J132" i="21"/>
  <c r="J133" i="21"/>
  <c r="J134" i="21"/>
  <c r="J135" i="21"/>
  <c r="J136" i="21"/>
  <c r="J137" i="21"/>
  <c r="J138" i="21"/>
  <c r="J139" i="21"/>
  <c r="J140" i="21"/>
  <c r="J141" i="21"/>
  <c r="J142" i="21"/>
  <c r="J143" i="21"/>
  <c r="J144" i="21"/>
  <c r="J145" i="21"/>
  <c r="J146" i="21"/>
  <c r="J147" i="21"/>
  <c r="J148" i="21"/>
  <c r="J149" i="21"/>
  <c r="J150" i="21"/>
  <c r="J151" i="21"/>
  <c r="J152" i="21"/>
  <c r="J153" i="21"/>
  <c r="J154" i="21"/>
  <c r="J155" i="21"/>
  <c r="J156" i="21"/>
  <c r="J157" i="21"/>
  <c r="J158" i="21"/>
  <c r="J159" i="21"/>
  <c r="J160" i="21"/>
  <c r="J161" i="21"/>
  <c r="J162" i="21"/>
  <c r="J163" i="21"/>
  <c r="J164" i="21"/>
  <c r="J165" i="21"/>
  <c r="J166" i="21"/>
  <c r="J167" i="21"/>
  <c r="J168" i="21"/>
  <c r="J169" i="21"/>
  <c r="J170" i="21"/>
  <c r="J171" i="21"/>
  <c r="J172" i="21"/>
  <c r="J173" i="21"/>
  <c r="J174" i="21"/>
  <c r="J175" i="21"/>
  <c r="J176" i="21"/>
  <c r="J177" i="21"/>
  <c r="J178" i="21"/>
  <c r="J179" i="21"/>
  <c r="J180" i="21"/>
  <c r="J181" i="21"/>
  <c r="J182" i="21"/>
  <c r="J183" i="21"/>
  <c r="J184" i="21"/>
  <c r="J185" i="21"/>
  <c r="J186" i="21"/>
  <c r="J187" i="21"/>
  <c r="J188" i="21"/>
  <c r="J189" i="21"/>
  <c r="J190" i="21"/>
  <c r="J191" i="21"/>
  <c r="J192" i="21"/>
  <c r="J193" i="21"/>
  <c r="J194" i="21"/>
  <c r="J195" i="21"/>
  <c r="J196" i="21"/>
  <c r="J197" i="21"/>
  <c r="J198" i="21"/>
  <c r="J199" i="21"/>
  <c r="J200" i="21"/>
  <c r="J201" i="21"/>
  <c r="J202" i="21"/>
  <c r="J203" i="21"/>
  <c r="J204" i="21"/>
  <c r="J205" i="21"/>
  <c r="J206" i="21"/>
  <c r="J207" i="21"/>
  <c r="J208" i="21"/>
  <c r="J209" i="21"/>
  <c r="J210" i="21"/>
  <c r="J211" i="21"/>
  <c r="J212" i="21"/>
  <c r="J213" i="21"/>
  <c r="J214" i="21"/>
  <c r="J215" i="21"/>
  <c r="J216" i="21"/>
  <c r="J217" i="21"/>
  <c r="J218" i="21"/>
  <c r="J219" i="21"/>
  <c r="J220" i="21"/>
  <c r="J221" i="21"/>
  <c r="J222" i="21"/>
  <c r="J223" i="21"/>
  <c r="J224" i="21"/>
  <c r="J225" i="21"/>
  <c r="J226" i="21"/>
  <c r="J227" i="21"/>
  <c r="J228" i="21"/>
  <c r="J229" i="21"/>
  <c r="J230" i="21"/>
  <c r="J231" i="21"/>
  <c r="J232" i="21"/>
  <c r="J233" i="21"/>
  <c r="J234" i="21"/>
  <c r="J235" i="21"/>
  <c r="J236" i="21"/>
  <c r="J237" i="21"/>
  <c r="J238" i="21"/>
  <c r="J239" i="21"/>
  <c r="J240" i="21"/>
  <c r="J241" i="21"/>
  <c r="J242" i="21"/>
  <c r="J243" i="21"/>
  <c r="J244" i="21"/>
  <c r="J245" i="21"/>
  <c r="J246" i="21"/>
  <c r="J247" i="21"/>
  <c r="J248" i="21"/>
  <c r="J249" i="21"/>
  <c r="J250" i="21"/>
  <c r="J251" i="21"/>
  <c r="J252" i="21"/>
  <c r="J253" i="21"/>
  <c r="J254" i="21"/>
  <c r="J255" i="21"/>
  <c r="J256" i="21"/>
  <c r="J257" i="21"/>
  <c r="J258" i="21"/>
  <c r="J259" i="21"/>
  <c r="J260" i="21"/>
  <c r="J261" i="21"/>
  <c r="J262" i="21"/>
  <c r="J263" i="21"/>
  <c r="J264" i="21"/>
  <c r="J265" i="21"/>
  <c r="J266" i="21"/>
  <c r="J267" i="21"/>
  <c r="J268" i="21"/>
  <c r="J269" i="21"/>
  <c r="J270" i="21"/>
  <c r="J271" i="21"/>
  <c r="J272" i="21"/>
  <c r="J273" i="21"/>
  <c r="J274" i="21"/>
  <c r="J275" i="21"/>
  <c r="J276" i="21"/>
  <c r="J277" i="21"/>
  <c r="J278" i="21"/>
  <c r="J279" i="21"/>
  <c r="J280" i="21"/>
  <c r="J281" i="21"/>
  <c r="J282" i="21"/>
  <c r="J283" i="21"/>
  <c r="J284" i="21"/>
  <c r="J285" i="21"/>
  <c r="J286" i="21"/>
  <c r="J287" i="21"/>
  <c r="J288" i="21"/>
  <c r="J289" i="21"/>
  <c r="J290" i="21"/>
  <c r="J291" i="21"/>
  <c r="J292" i="21"/>
  <c r="J293" i="21"/>
  <c r="J294" i="21"/>
  <c r="J295" i="21"/>
  <c r="J296" i="21"/>
  <c r="J297" i="21"/>
  <c r="J298" i="21"/>
  <c r="J299" i="21"/>
  <c r="J300" i="21"/>
  <c r="J301" i="21"/>
  <c r="J302" i="21"/>
  <c r="J303" i="21"/>
  <c r="J304" i="21"/>
  <c r="J305" i="21"/>
  <c r="J306" i="21"/>
  <c r="J307" i="21"/>
  <c r="J308" i="21"/>
  <c r="J309" i="21"/>
  <c r="J310" i="21"/>
  <c r="J311" i="21"/>
  <c r="J312" i="21"/>
  <c r="J313" i="21"/>
  <c r="J314" i="21"/>
  <c r="J315" i="21"/>
  <c r="J316" i="21"/>
  <c r="J317" i="21"/>
  <c r="J318" i="21"/>
  <c r="J319" i="21"/>
  <c r="J320" i="21"/>
  <c r="J321" i="21"/>
  <c r="J322" i="21"/>
  <c r="J323" i="21"/>
  <c r="J324" i="21"/>
  <c r="J325" i="21"/>
  <c r="J326" i="21"/>
  <c r="J327" i="21"/>
  <c r="J328" i="21"/>
  <c r="J329" i="21"/>
  <c r="J330" i="21"/>
  <c r="J331" i="21"/>
  <c r="J332" i="21"/>
  <c r="J333" i="21"/>
  <c r="J334" i="21"/>
  <c r="J335" i="21"/>
  <c r="J336" i="21"/>
  <c r="J337" i="21"/>
  <c r="J338" i="21"/>
  <c r="J339" i="21"/>
  <c r="J340" i="21"/>
  <c r="J341" i="21"/>
  <c r="J342" i="21"/>
  <c r="J343" i="21"/>
  <c r="J344" i="21"/>
  <c r="J345" i="21"/>
  <c r="J346" i="21"/>
  <c r="J347" i="21"/>
  <c r="J348" i="21"/>
  <c r="J349" i="21"/>
  <c r="J350" i="21"/>
  <c r="J351" i="21"/>
  <c r="J352" i="21"/>
  <c r="J353" i="21"/>
  <c r="J354" i="21"/>
  <c r="J355" i="21"/>
  <c r="J356" i="21"/>
  <c r="J357" i="21"/>
  <c r="J358" i="21"/>
  <c r="J359" i="21"/>
  <c r="J360" i="21"/>
  <c r="J361" i="21"/>
  <c r="J362" i="21"/>
  <c r="J363" i="21"/>
  <c r="J364" i="21"/>
  <c r="J365" i="21"/>
  <c r="J366" i="21"/>
  <c r="J367" i="21"/>
  <c r="J368" i="21"/>
  <c r="J369" i="21"/>
  <c r="J370" i="21"/>
  <c r="J371" i="21"/>
  <c r="J372" i="21"/>
  <c r="J373" i="21"/>
  <c r="J374" i="21"/>
  <c r="J375" i="21"/>
  <c r="J376" i="21"/>
  <c r="J377" i="21"/>
  <c r="J378" i="21"/>
  <c r="J379" i="21"/>
  <c r="J380" i="21"/>
  <c r="J381" i="21"/>
  <c r="J382" i="21"/>
  <c r="J383" i="21"/>
  <c r="J384" i="21"/>
  <c r="J385" i="21"/>
  <c r="J386" i="21"/>
  <c r="J387" i="21"/>
  <c r="J388" i="21"/>
  <c r="J389" i="21"/>
  <c r="J390" i="21"/>
  <c r="J391" i="21"/>
  <c r="J392" i="21"/>
  <c r="J393" i="21"/>
  <c r="J394" i="21"/>
  <c r="J395" i="21"/>
  <c r="J396" i="21"/>
  <c r="J397" i="21"/>
  <c r="J398" i="21"/>
  <c r="J399" i="21"/>
  <c r="J400" i="21"/>
  <c r="J401" i="21"/>
  <c r="J402" i="21"/>
  <c r="J403" i="21"/>
  <c r="J404" i="21"/>
  <c r="J405" i="21"/>
  <c r="J406" i="21"/>
  <c r="J407" i="21"/>
  <c r="J408" i="21"/>
  <c r="J409" i="21"/>
  <c r="J410" i="21"/>
  <c r="J411" i="21"/>
  <c r="J412" i="21"/>
  <c r="J413" i="21"/>
  <c r="J414" i="21"/>
  <c r="J415" i="21"/>
  <c r="J416" i="21"/>
  <c r="J417" i="21"/>
  <c r="J418" i="21"/>
  <c r="J419" i="21"/>
  <c r="J420" i="21"/>
  <c r="J421" i="21"/>
  <c r="J422" i="21"/>
  <c r="J423" i="21"/>
  <c r="J424" i="21"/>
  <c r="J425" i="21"/>
  <c r="J426" i="21"/>
  <c r="J427" i="21"/>
  <c r="J428" i="21"/>
  <c r="J429" i="21"/>
  <c r="J430" i="21"/>
  <c r="J431" i="21"/>
  <c r="J432" i="21"/>
  <c r="J433" i="21"/>
  <c r="J434" i="21"/>
  <c r="J435" i="21"/>
  <c r="J436" i="21"/>
  <c r="J437" i="21"/>
  <c r="J438" i="21"/>
  <c r="J439" i="21"/>
  <c r="J440" i="21"/>
  <c r="J441" i="21"/>
  <c r="J442" i="21"/>
  <c r="J443" i="21"/>
  <c r="J444" i="21"/>
  <c r="J445" i="21"/>
  <c r="J446" i="21"/>
  <c r="J447" i="21"/>
  <c r="J448" i="21"/>
  <c r="J449" i="21"/>
  <c r="J450" i="21"/>
  <c r="J451" i="21"/>
  <c r="J452" i="21"/>
  <c r="J453" i="21"/>
  <c r="J454" i="21"/>
  <c r="J455" i="21"/>
  <c r="J456" i="21"/>
  <c r="J457" i="21"/>
  <c r="J458" i="21"/>
  <c r="J459" i="21"/>
  <c r="J460" i="21"/>
  <c r="J461" i="21"/>
  <c r="J462" i="21"/>
  <c r="J463" i="21"/>
  <c r="J464" i="21"/>
  <c r="J465" i="21"/>
  <c r="J466" i="21"/>
  <c r="J467" i="21"/>
  <c r="J468" i="21"/>
  <c r="J469" i="21"/>
  <c r="J470" i="21"/>
  <c r="J471" i="21"/>
  <c r="J472" i="21"/>
  <c r="J473" i="21"/>
  <c r="J474" i="21"/>
  <c r="J475" i="21"/>
  <c r="J476" i="21"/>
  <c r="J477" i="21"/>
  <c r="J478" i="21"/>
  <c r="J479" i="21"/>
  <c r="J480" i="21"/>
  <c r="J481" i="21"/>
  <c r="J482" i="21"/>
  <c r="J483" i="21"/>
  <c r="J484" i="21"/>
  <c r="J485" i="21"/>
  <c r="J486" i="21"/>
  <c r="J487" i="21"/>
  <c r="J488" i="21"/>
  <c r="J489" i="21"/>
  <c r="J490" i="21"/>
  <c r="J491" i="21"/>
  <c r="J492" i="21"/>
  <c r="J493" i="21"/>
  <c r="J494" i="21"/>
  <c r="J495" i="21"/>
  <c r="J496" i="21"/>
  <c r="J497" i="21"/>
  <c r="J498" i="21"/>
  <c r="J499" i="21"/>
  <c r="J500" i="21"/>
  <c r="J501" i="21"/>
  <c r="J502" i="21"/>
  <c r="J503" i="21"/>
  <c r="J504" i="21"/>
  <c r="J505" i="21"/>
  <c r="J506" i="21"/>
  <c r="J507" i="21"/>
  <c r="J508" i="21"/>
  <c r="J509" i="21"/>
  <c r="J510" i="21"/>
  <c r="J511" i="21"/>
  <c r="J512" i="21"/>
  <c r="J513" i="21"/>
  <c r="J514" i="21"/>
  <c r="J515" i="21"/>
  <c r="J516" i="21"/>
  <c r="J517" i="21"/>
  <c r="J518" i="21"/>
  <c r="J519" i="21"/>
  <c r="J520" i="21"/>
  <c r="J521" i="21"/>
  <c r="J522" i="21"/>
  <c r="J523" i="21"/>
  <c r="J524" i="21"/>
  <c r="J525" i="21"/>
  <c r="J526" i="21"/>
  <c r="J527" i="21"/>
  <c r="J528" i="21"/>
  <c r="J529" i="21"/>
  <c r="J530" i="21"/>
  <c r="J531" i="21"/>
  <c r="J532" i="21"/>
  <c r="J533" i="21"/>
  <c r="J534" i="21"/>
  <c r="J535" i="21"/>
  <c r="J536" i="21"/>
  <c r="J537" i="21"/>
  <c r="J538" i="21"/>
  <c r="J539" i="21"/>
  <c r="J540" i="21"/>
  <c r="J541" i="21"/>
  <c r="J542" i="21"/>
  <c r="J543" i="21"/>
  <c r="J544" i="21"/>
  <c r="J545" i="21"/>
  <c r="J546" i="21"/>
  <c r="J547" i="21"/>
  <c r="J548" i="21"/>
  <c r="J549" i="21"/>
  <c r="J550" i="21"/>
  <c r="J551" i="21"/>
  <c r="J552" i="21"/>
  <c r="J553" i="21"/>
  <c r="J554" i="21"/>
  <c r="J555" i="21"/>
  <c r="J556" i="21"/>
  <c r="J557" i="21"/>
  <c r="J558" i="21"/>
  <c r="J559" i="21"/>
  <c r="J560" i="21"/>
  <c r="J561" i="21"/>
  <c r="J562" i="21"/>
  <c r="J563" i="21"/>
  <c r="J564" i="21"/>
  <c r="J565" i="21"/>
  <c r="J566" i="21"/>
  <c r="J567" i="21"/>
  <c r="J568" i="21"/>
  <c r="J569" i="21"/>
  <c r="J570" i="21"/>
  <c r="J571" i="21"/>
  <c r="J572" i="21"/>
  <c r="J573" i="21"/>
  <c r="J574" i="21"/>
  <c r="J575" i="21"/>
  <c r="J576" i="21"/>
  <c r="J577" i="21"/>
  <c r="J578" i="21"/>
  <c r="J579" i="21"/>
  <c r="J580" i="21"/>
  <c r="J581" i="21"/>
  <c r="J582" i="21"/>
  <c r="J583" i="21"/>
  <c r="J584" i="21"/>
  <c r="J585" i="21"/>
  <c r="J586" i="21"/>
  <c r="J587" i="21"/>
  <c r="J588" i="21"/>
  <c r="J589" i="21"/>
  <c r="J590" i="21"/>
  <c r="J591" i="21"/>
  <c r="J592" i="21"/>
  <c r="J593" i="21"/>
  <c r="J594" i="21"/>
  <c r="J595" i="21"/>
  <c r="J596" i="21"/>
  <c r="J597" i="21"/>
  <c r="J598" i="21"/>
  <c r="J599" i="21"/>
  <c r="J600" i="21"/>
  <c r="J601" i="21"/>
  <c r="J602" i="21"/>
  <c r="J603" i="21"/>
  <c r="J604" i="21"/>
  <c r="J605" i="21"/>
  <c r="J606" i="21"/>
  <c r="J607" i="21"/>
  <c r="J608" i="21"/>
  <c r="J609" i="21"/>
  <c r="J610" i="21"/>
  <c r="J611" i="21"/>
  <c r="J612" i="21"/>
  <c r="J613" i="21"/>
  <c r="J614" i="21"/>
  <c r="J615" i="21"/>
  <c r="J616" i="21"/>
  <c r="J617" i="21"/>
  <c r="J618" i="21"/>
  <c r="J619" i="21"/>
  <c r="J620" i="21"/>
  <c r="J621" i="21"/>
  <c r="J622" i="21"/>
  <c r="J623" i="21"/>
  <c r="J624" i="21"/>
  <c r="J625" i="21"/>
  <c r="J626" i="21"/>
  <c r="J627" i="21"/>
  <c r="J628" i="21"/>
  <c r="J629" i="21"/>
  <c r="J630" i="21"/>
  <c r="J631" i="21"/>
  <c r="J632" i="21"/>
  <c r="J633" i="21"/>
  <c r="J634" i="21"/>
  <c r="J635" i="21"/>
  <c r="J636" i="21"/>
  <c r="J637" i="21"/>
  <c r="J638" i="21"/>
  <c r="J639" i="21"/>
  <c r="J640" i="21"/>
  <c r="J641" i="21"/>
  <c r="J642" i="21"/>
  <c r="J643" i="21"/>
  <c r="J644" i="21"/>
  <c r="J645" i="21"/>
  <c r="J646" i="21"/>
  <c r="J647" i="21"/>
  <c r="J648" i="21"/>
  <c r="J649" i="21"/>
  <c r="J650" i="21"/>
  <c r="J651" i="21"/>
  <c r="J652" i="21"/>
  <c r="J653" i="21"/>
  <c r="J654" i="21"/>
  <c r="J655" i="21"/>
  <c r="J656" i="21"/>
  <c r="J657" i="21"/>
  <c r="J658" i="21"/>
  <c r="J659" i="21"/>
  <c r="J660" i="21"/>
  <c r="J661" i="21"/>
  <c r="J662" i="21"/>
  <c r="J663" i="21"/>
  <c r="J664" i="21"/>
  <c r="J665" i="21"/>
  <c r="J666" i="21"/>
  <c r="J667" i="21"/>
  <c r="J668" i="21"/>
  <c r="J669" i="21"/>
  <c r="J670" i="21"/>
  <c r="J671" i="21"/>
  <c r="J672" i="21"/>
  <c r="J673" i="21"/>
  <c r="J674" i="21"/>
  <c r="J675" i="21"/>
  <c r="J676" i="21"/>
  <c r="J677" i="21"/>
  <c r="J678" i="21"/>
  <c r="J679" i="21"/>
  <c r="J680" i="21"/>
  <c r="J681" i="21"/>
  <c r="J682" i="21"/>
  <c r="J683" i="21"/>
  <c r="J684" i="21"/>
  <c r="J685" i="21"/>
  <c r="J686" i="21"/>
  <c r="J687" i="21"/>
  <c r="J688" i="21"/>
  <c r="J689" i="21"/>
  <c r="J690" i="21"/>
  <c r="J691" i="21"/>
  <c r="J692" i="21"/>
  <c r="J693" i="21"/>
  <c r="J694" i="21"/>
  <c r="J695" i="21"/>
  <c r="J696" i="21"/>
  <c r="J697" i="21"/>
  <c r="J698" i="21"/>
  <c r="J699" i="21"/>
  <c r="J700" i="21"/>
  <c r="J701" i="21"/>
  <c r="J702" i="21"/>
  <c r="J703" i="21"/>
  <c r="J704" i="21"/>
  <c r="J705" i="21"/>
  <c r="J706" i="21"/>
  <c r="J707" i="21"/>
  <c r="J708" i="21"/>
  <c r="J709" i="21"/>
  <c r="J710" i="21"/>
  <c r="J711" i="21"/>
  <c r="J712" i="21"/>
  <c r="J713" i="21"/>
  <c r="J714" i="21"/>
  <c r="J715" i="21"/>
  <c r="J716" i="21"/>
  <c r="J717" i="21"/>
  <c r="J718" i="21"/>
  <c r="J719" i="21"/>
  <c r="J720" i="21"/>
  <c r="J721" i="21"/>
  <c r="J722" i="21"/>
  <c r="J723" i="21"/>
  <c r="J724" i="21"/>
  <c r="J725" i="21"/>
  <c r="J726" i="21"/>
  <c r="J727" i="21"/>
  <c r="J728" i="21"/>
  <c r="J729" i="21"/>
  <c r="J730" i="21"/>
  <c r="J731" i="21"/>
  <c r="J732" i="21"/>
  <c r="J733" i="21"/>
  <c r="J734" i="21"/>
  <c r="J735" i="21"/>
  <c r="J736" i="21"/>
  <c r="J737" i="21"/>
  <c r="J738" i="21"/>
  <c r="J739" i="21"/>
  <c r="J740" i="21"/>
  <c r="J741" i="21"/>
  <c r="J742" i="21"/>
  <c r="J743" i="21"/>
  <c r="J744" i="21"/>
  <c r="J745" i="21"/>
  <c r="J746" i="21"/>
  <c r="J747" i="21"/>
  <c r="J748" i="21"/>
  <c r="J749" i="21"/>
  <c r="J750" i="21"/>
  <c r="J751" i="21"/>
  <c r="J752" i="21"/>
  <c r="J753" i="21"/>
  <c r="J754" i="21"/>
  <c r="J755" i="21"/>
  <c r="J756" i="21"/>
  <c r="J757" i="21"/>
  <c r="J758" i="21"/>
  <c r="J759" i="21"/>
  <c r="J760" i="21"/>
  <c r="J761" i="21"/>
  <c r="J762" i="21"/>
  <c r="J763" i="21"/>
  <c r="J764" i="21"/>
  <c r="J765" i="21"/>
  <c r="J766" i="21"/>
  <c r="J767" i="21"/>
  <c r="J768" i="21"/>
  <c r="J769" i="21"/>
  <c r="J770" i="21"/>
  <c r="J771" i="21"/>
  <c r="J772" i="21"/>
  <c r="J773" i="21"/>
  <c r="J774" i="21"/>
  <c r="J775" i="21"/>
  <c r="J776" i="21"/>
  <c r="J777" i="21"/>
  <c r="J778" i="21"/>
  <c r="J779" i="21"/>
  <c r="J780" i="21"/>
  <c r="J781" i="21"/>
  <c r="J782" i="21"/>
  <c r="J783" i="21"/>
  <c r="J784" i="21"/>
  <c r="J785" i="21"/>
  <c r="J786" i="21"/>
  <c r="J787" i="21"/>
  <c r="J788" i="21"/>
  <c r="J789" i="21"/>
  <c r="J790" i="21"/>
  <c r="J791" i="21"/>
  <c r="J792" i="21"/>
  <c r="J793" i="21"/>
  <c r="J794" i="21"/>
  <c r="J795" i="21"/>
  <c r="J796" i="21"/>
  <c r="J797" i="21"/>
  <c r="J798" i="21"/>
  <c r="J799" i="21"/>
  <c r="J800" i="21"/>
  <c r="J801" i="21"/>
  <c r="J802" i="21"/>
  <c r="J803" i="21"/>
  <c r="J804" i="21"/>
  <c r="J805" i="21"/>
  <c r="J806" i="21"/>
  <c r="J807" i="21"/>
  <c r="J808" i="21"/>
  <c r="J809" i="21"/>
  <c r="J810" i="21"/>
  <c r="J811" i="21"/>
  <c r="J812" i="21"/>
  <c r="J813" i="21"/>
  <c r="J814" i="21"/>
  <c r="J815" i="21"/>
  <c r="J816" i="21"/>
  <c r="J817" i="21"/>
  <c r="J818" i="21"/>
  <c r="J819" i="21"/>
  <c r="J820" i="21"/>
  <c r="J821" i="21"/>
  <c r="J822" i="21"/>
  <c r="J823" i="21"/>
  <c r="J824" i="21"/>
  <c r="J825" i="21"/>
  <c r="J826" i="21"/>
  <c r="J827" i="21"/>
  <c r="J828" i="21"/>
  <c r="J829" i="21"/>
  <c r="J830" i="21"/>
  <c r="J831" i="21"/>
  <c r="J832" i="21"/>
  <c r="J833" i="21"/>
  <c r="J834" i="21"/>
  <c r="J835" i="21"/>
  <c r="J836" i="21"/>
  <c r="J837" i="21"/>
  <c r="J838" i="21"/>
  <c r="J839" i="21"/>
  <c r="J840" i="21"/>
  <c r="J841" i="21"/>
  <c r="J842" i="21"/>
  <c r="J843" i="21"/>
  <c r="J844" i="21"/>
  <c r="J845" i="21"/>
  <c r="J846" i="21"/>
  <c r="J847" i="21"/>
  <c r="J848" i="21"/>
  <c r="J849" i="21"/>
  <c r="J850" i="21"/>
  <c r="J851" i="21"/>
  <c r="J852" i="21"/>
  <c r="J853" i="21"/>
  <c r="J854" i="21"/>
  <c r="J855" i="21"/>
  <c r="J856" i="21"/>
  <c r="J857" i="21"/>
  <c r="J858" i="21"/>
  <c r="J859" i="21"/>
  <c r="J860" i="21"/>
  <c r="J861" i="21"/>
  <c r="J862" i="21"/>
  <c r="J863" i="21"/>
  <c r="J864" i="21"/>
  <c r="J865" i="21"/>
  <c r="J866" i="21"/>
  <c r="J867" i="21"/>
  <c r="J868" i="21"/>
  <c r="J869" i="21"/>
  <c r="J870" i="21"/>
  <c r="J871" i="21"/>
  <c r="J872" i="21"/>
  <c r="J873" i="21"/>
  <c r="J874" i="21"/>
  <c r="J875" i="21"/>
  <c r="J876" i="21"/>
  <c r="J877" i="21"/>
  <c r="J878" i="21"/>
  <c r="J879" i="21"/>
  <c r="J880" i="21"/>
  <c r="J881" i="21"/>
  <c r="J882" i="21"/>
  <c r="J883" i="21"/>
  <c r="J884" i="21"/>
  <c r="J885" i="21"/>
  <c r="J886" i="21"/>
  <c r="J887" i="21"/>
  <c r="J888" i="21"/>
  <c r="J889" i="21"/>
  <c r="J890" i="21"/>
  <c r="J891" i="21"/>
  <c r="J892" i="21"/>
  <c r="J893" i="21"/>
  <c r="J894" i="21"/>
  <c r="J895" i="21"/>
  <c r="J896" i="21"/>
  <c r="J897" i="21"/>
  <c r="J898" i="21"/>
  <c r="J899" i="21"/>
  <c r="J900" i="21"/>
  <c r="J901" i="21"/>
  <c r="J902" i="21"/>
  <c r="J903" i="21"/>
  <c r="J904" i="21"/>
  <c r="J905" i="21"/>
  <c r="J906" i="21"/>
  <c r="J907" i="21"/>
  <c r="J908" i="21"/>
  <c r="J909" i="21"/>
  <c r="J910" i="21"/>
  <c r="J911" i="21"/>
  <c r="J912" i="21"/>
  <c r="J913" i="21"/>
  <c r="J914" i="21"/>
  <c r="J915" i="21"/>
  <c r="J916" i="21"/>
  <c r="J917" i="21"/>
  <c r="J918" i="21"/>
  <c r="J919" i="21"/>
  <c r="J920" i="21"/>
  <c r="J921" i="21"/>
  <c r="J922" i="21"/>
  <c r="J923" i="21"/>
  <c r="J924" i="21"/>
  <c r="J925" i="21"/>
  <c r="J926" i="21"/>
  <c r="J927" i="21"/>
  <c r="J928" i="21"/>
  <c r="J929" i="21"/>
  <c r="J930" i="21"/>
  <c r="J931" i="21"/>
  <c r="J932" i="21"/>
  <c r="J933" i="21"/>
  <c r="J934" i="21"/>
  <c r="J935" i="21"/>
  <c r="J936" i="21"/>
  <c r="J937" i="21"/>
  <c r="J938" i="21"/>
  <c r="J939" i="21"/>
  <c r="J940" i="21"/>
  <c r="J941" i="21"/>
  <c r="J942" i="21"/>
  <c r="J943" i="21"/>
  <c r="J944" i="21"/>
  <c r="J945" i="21"/>
  <c r="J946" i="21"/>
  <c r="J947" i="21"/>
  <c r="J948" i="21"/>
  <c r="J949" i="21"/>
  <c r="J950" i="21"/>
  <c r="J951" i="21"/>
  <c r="J952" i="21"/>
  <c r="J953" i="21"/>
  <c r="J954" i="21"/>
  <c r="J955" i="21"/>
  <c r="J956" i="21"/>
  <c r="J957" i="21"/>
  <c r="J958" i="21"/>
  <c r="J959" i="21"/>
  <c r="J960" i="21"/>
  <c r="J961" i="21"/>
  <c r="J962" i="21"/>
  <c r="J963" i="21"/>
  <c r="J964" i="21"/>
  <c r="J965" i="21"/>
  <c r="J966" i="21"/>
  <c r="J967" i="21"/>
  <c r="J968" i="21"/>
  <c r="J969" i="21"/>
  <c r="J970" i="21"/>
  <c r="J971" i="21"/>
  <c r="J972" i="21"/>
  <c r="J973" i="21"/>
  <c r="J974" i="21"/>
  <c r="J975" i="21"/>
  <c r="J976" i="21"/>
  <c r="J977" i="21"/>
  <c r="J978" i="21"/>
  <c r="J979" i="21"/>
  <c r="J980" i="21"/>
  <c r="J981" i="21"/>
  <c r="J982" i="21"/>
  <c r="J983" i="21"/>
  <c r="J984" i="21"/>
  <c r="J985" i="21"/>
  <c r="J986" i="21"/>
  <c r="J987" i="21"/>
  <c r="J988" i="21"/>
  <c r="J989" i="21"/>
  <c r="J990" i="21"/>
  <c r="J991" i="21"/>
  <c r="J992" i="21"/>
  <c r="J993" i="21"/>
  <c r="J994" i="21"/>
  <c r="J995" i="21"/>
  <c r="J996" i="21"/>
  <c r="J997" i="21"/>
  <c r="J998" i="21"/>
  <c r="J999" i="21"/>
  <c r="J1000" i="21"/>
  <c r="J1001" i="21"/>
  <c r="J1002" i="21"/>
  <c r="J1003" i="21"/>
  <c r="J1004" i="21"/>
  <c r="J1005" i="21"/>
  <c r="J1006" i="21"/>
  <c r="J1007" i="21"/>
  <c r="J1008" i="21"/>
  <c r="J1009" i="21"/>
  <c r="J1010" i="21"/>
  <c r="J1011" i="21"/>
  <c r="J1012" i="21"/>
  <c r="J1013" i="21"/>
  <c r="J1014" i="21"/>
  <c r="J1015" i="21"/>
  <c r="J1016" i="21"/>
  <c r="J1017" i="21"/>
  <c r="J1018" i="21"/>
  <c r="J1019" i="21"/>
  <c r="J1020" i="21"/>
  <c r="J1021" i="21"/>
  <c r="J1022" i="21"/>
  <c r="J1023" i="21"/>
  <c r="J1024" i="21"/>
  <c r="J1025" i="21"/>
  <c r="J1026" i="21"/>
  <c r="J1027" i="21"/>
  <c r="J1028" i="21"/>
  <c r="J1029" i="21"/>
  <c r="J1030" i="21"/>
  <c r="J1031" i="21"/>
  <c r="J1032" i="21"/>
  <c r="J1033" i="21"/>
  <c r="J1034" i="21"/>
  <c r="J1035" i="21"/>
  <c r="J1036" i="21"/>
  <c r="J1037" i="21"/>
  <c r="J1038" i="21"/>
  <c r="J1039" i="21"/>
  <c r="J1040" i="21"/>
  <c r="J1041" i="21"/>
  <c r="J1042" i="21"/>
  <c r="J1043" i="21"/>
  <c r="J1044" i="21"/>
  <c r="J1045" i="21"/>
  <c r="J1046" i="21"/>
  <c r="J1047" i="21"/>
  <c r="J1048" i="21"/>
  <c r="J1049" i="21"/>
  <c r="J1050" i="21"/>
  <c r="J1051" i="21"/>
  <c r="J1052" i="21"/>
  <c r="J1053" i="21"/>
  <c r="J1054" i="21"/>
  <c r="J1055" i="21"/>
  <c r="J1056" i="21"/>
  <c r="J1057" i="21"/>
  <c r="J1058" i="21"/>
  <c r="J1059" i="21"/>
  <c r="J1060" i="21"/>
  <c r="J1061" i="21"/>
  <c r="J1062" i="21"/>
  <c r="J1063" i="21"/>
  <c r="J1064" i="21"/>
  <c r="J1065" i="21"/>
  <c r="J1066" i="21"/>
  <c r="J1067" i="21"/>
  <c r="J1068" i="21"/>
  <c r="J1069" i="21"/>
  <c r="J1070" i="21"/>
  <c r="J1071" i="21"/>
  <c r="J1072" i="21"/>
  <c r="J1073" i="21"/>
  <c r="J1074" i="21"/>
  <c r="J1075" i="21"/>
  <c r="J1076" i="21"/>
  <c r="J1077" i="21"/>
  <c r="J1078" i="21"/>
  <c r="J1079" i="21"/>
  <c r="J1080" i="21"/>
  <c r="J1081" i="21"/>
  <c r="J1082" i="21"/>
  <c r="J1083" i="21"/>
  <c r="J1084" i="21"/>
  <c r="J1085" i="21"/>
  <c r="J1086" i="21"/>
  <c r="J1087" i="21"/>
  <c r="J1088" i="21"/>
  <c r="J1089" i="21"/>
  <c r="J1090" i="21"/>
  <c r="J1091" i="21"/>
  <c r="J1092" i="21"/>
  <c r="J1093" i="21"/>
  <c r="J1094" i="21"/>
  <c r="J1095" i="21"/>
  <c r="J1096" i="21"/>
  <c r="J1097" i="21"/>
  <c r="J1098" i="21"/>
  <c r="J1099" i="21"/>
  <c r="J1100" i="21"/>
  <c r="J1101" i="21"/>
  <c r="J1102" i="21"/>
  <c r="J1103" i="21"/>
  <c r="J1104" i="21"/>
  <c r="J1105" i="21"/>
  <c r="J1106" i="21"/>
  <c r="J1107" i="21"/>
  <c r="J1108" i="21"/>
  <c r="J1109" i="21"/>
  <c r="J1110" i="21"/>
  <c r="J1111" i="21"/>
  <c r="J1112" i="21"/>
  <c r="J1113" i="21"/>
  <c r="J1114" i="21"/>
  <c r="J1115" i="21"/>
  <c r="J1116" i="21"/>
  <c r="J1117" i="21"/>
  <c r="J1118" i="21"/>
  <c r="J1119" i="21"/>
  <c r="J1120" i="21"/>
  <c r="J1121" i="21"/>
  <c r="J1122" i="21"/>
  <c r="J1123" i="21"/>
  <c r="J1124" i="21"/>
  <c r="J2" i="21"/>
  <c r="I2" i="21"/>
  <c r="I3" i="21"/>
  <c r="I4" i="21"/>
  <c r="I5" i="21"/>
  <c r="I6" i="21"/>
  <c r="I7" i="21"/>
  <c r="I8" i="21"/>
  <c r="I9" i="21"/>
  <c r="I10" i="21"/>
  <c r="I11" i="21"/>
  <c r="I12" i="21"/>
  <c r="I13" i="21"/>
  <c r="I14" i="21"/>
  <c r="I15" i="21"/>
  <c r="I16" i="21"/>
  <c r="I17" i="21"/>
  <c r="I18" i="21"/>
  <c r="I19" i="21"/>
  <c r="I20" i="21"/>
  <c r="I21" i="21"/>
  <c r="I22" i="21"/>
  <c r="I23" i="21"/>
  <c r="I24" i="21"/>
  <c r="I25" i="21"/>
  <c r="I26" i="21"/>
  <c r="I27" i="21"/>
  <c r="I28" i="21"/>
  <c r="I29" i="21"/>
  <c r="I30" i="21"/>
  <c r="I31" i="21"/>
  <c r="I32" i="21"/>
  <c r="I33" i="21"/>
  <c r="I34" i="21"/>
  <c r="I35" i="21"/>
  <c r="I36" i="21"/>
  <c r="I37" i="21"/>
  <c r="I38" i="21"/>
  <c r="I39" i="21"/>
  <c r="I40" i="21"/>
  <c r="I41" i="21"/>
  <c r="I42" i="21"/>
  <c r="I43" i="21"/>
  <c r="I44" i="21"/>
  <c r="I45" i="21"/>
  <c r="I46" i="21"/>
  <c r="I47" i="21"/>
  <c r="I48" i="21"/>
  <c r="I49" i="21"/>
  <c r="I50" i="21"/>
  <c r="I51" i="21"/>
  <c r="I52" i="21"/>
  <c r="I53" i="21"/>
  <c r="I54" i="21"/>
  <c r="I55" i="21"/>
  <c r="I56" i="21"/>
  <c r="I57" i="21"/>
  <c r="I58" i="21"/>
  <c r="I59" i="21"/>
  <c r="I60" i="21"/>
  <c r="I61" i="21"/>
  <c r="I62" i="21"/>
  <c r="I63" i="21"/>
  <c r="I64" i="21"/>
  <c r="I65" i="21"/>
  <c r="I66" i="21"/>
  <c r="I67" i="21"/>
  <c r="I68" i="21"/>
  <c r="I69" i="21"/>
  <c r="I70" i="21"/>
  <c r="I71" i="21"/>
  <c r="I72" i="21"/>
  <c r="I73" i="21"/>
  <c r="I74" i="21"/>
  <c r="I75" i="21"/>
  <c r="I76" i="21"/>
  <c r="I77" i="21"/>
  <c r="I78" i="21"/>
  <c r="I79" i="21"/>
  <c r="I80" i="21"/>
  <c r="I81" i="21"/>
  <c r="I82" i="21"/>
  <c r="I83" i="21"/>
  <c r="I84" i="21"/>
  <c r="I85" i="21"/>
  <c r="I86" i="21"/>
  <c r="I87" i="21"/>
  <c r="I88" i="21"/>
  <c r="I89" i="21"/>
  <c r="I90" i="21"/>
  <c r="I91" i="21"/>
  <c r="I92" i="21"/>
  <c r="I93" i="21"/>
  <c r="I94" i="21"/>
  <c r="I95" i="21"/>
  <c r="I96" i="21"/>
  <c r="I97" i="21"/>
  <c r="I98" i="21"/>
  <c r="I99" i="21"/>
  <c r="I100" i="21"/>
  <c r="I101" i="21"/>
  <c r="I102" i="21"/>
  <c r="I103" i="21"/>
  <c r="I104" i="21"/>
  <c r="I105" i="21"/>
  <c r="I106" i="21"/>
  <c r="I107" i="21"/>
  <c r="I108" i="21"/>
  <c r="I109" i="21"/>
  <c r="I110" i="21"/>
  <c r="I111" i="21"/>
  <c r="I112" i="21"/>
  <c r="I113" i="21"/>
  <c r="I114" i="21"/>
  <c r="I115" i="21"/>
  <c r="I116" i="21"/>
  <c r="I117" i="21"/>
  <c r="I118" i="21"/>
  <c r="I119" i="21"/>
  <c r="I120" i="21"/>
  <c r="I121" i="21"/>
  <c r="I122" i="21"/>
  <c r="I123" i="21"/>
  <c r="I124" i="21"/>
  <c r="I125" i="21"/>
  <c r="I126" i="21"/>
  <c r="I127" i="21"/>
  <c r="I128" i="21"/>
  <c r="I129" i="21"/>
  <c r="I130" i="21"/>
  <c r="I131" i="21"/>
  <c r="I132" i="21"/>
  <c r="I133" i="21"/>
  <c r="I134" i="21"/>
  <c r="I135" i="21"/>
  <c r="I136" i="21"/>
  <c r="I137" i="21"/>
  <c r="I138" i="21"/>
  <c r="I139" i="21"/>
  <c r="I140" i="21"/>
  <c r="I141" i="21"/>
  <c r="I142" i="21"/>
  <c r="I143" i="21"/>
  <c r="I144" i="21"/>
  <c r="I145" i="21"/>
  <c r="I146" i="21"/>
  <c r="I147" i="21"/>
  <c r="I148" i="21"/>
  <c r="I149" i="21"/>
  <c r="I150" i="21"/>
  <c r="I151" i="21"/>
  <c r="I152" i="21"/>
  <c r="I153" i="21"/>
  <c r="I154" i="21"/>
  <c r="I155" i="21"/>
  <c r="I156" i="21"/>
  <c r="I157" i="21"/>
  <c r="I158" i="21"/>
  <c r="I159" i="21"/>
  <c r="I160" i="21"/>
  <c r="I161" i="21"/>
  <c r="I162" i="21"/>
  <c r="I163" i="21"/>
  <c r="I164" i="21"/>
  <c r="I165" i="21"/>
  <c r="I166" i="21"/>
  <c r="I167" i="21"/>
  <c r="I168" i="21"/>
  <c r="I169" i="21"/>
  <c r="I170" i="21"/>
  <c r="I171" i="21"/>
  <c r="I172" i="21"/>
  <c r="I173" i="21"/>
  <c r="I174" i="21"/>
  <c r="I175" i="21"/>
  <c r="I176" i="21"/>
  <c r="I177" i="21"/>
  <c r="I178" i="21"/>
  <c r="I179" i="21"/>
  <c r="I180" i="21"/>
  <c r="I181" i="21"/>
  <c r="I182" i="21"/>
  <c r="I183" i="21"/>
  <c r="I184" i="21"/>
  <c r="I185" i="21"/>
  <c r="I186" i="21"/>
  <c r="I187" i="21"/>
  <c r="I188" i="21"/>
  <c r="I189" i="21"/>
  <c r="I190" i="21"/>
  <c r="I191" i="21"/>
  <c r="I192" i="21"/>
  <c r="I193" i="21"/>
  <c r="I194" i="21"/>
  <c r="I195" i="21"/>
  <c r="I196" i="21"/>
  <c r="I197" i="21"/>
  <c r="I198" i="21"/>
  <c r="I199" i="21"/>
  <c r="I200" i="21"/>
  <c r="I201" i="21"/>
  <c r="I202" i="21"/>
  <c r="I203" i="21"/>
  <c r="I204" i="21"/>
  <c r="I205" i="21"/>
  <c r="I206" i="21"/>
  <c r="I207" i="21"/>
  <c r="I208" i="21"/>
  <c r="I209" i="21"/>
  <c r="I210" i="21"/>
  <c r="I211" i="21"/>
  <c r="I212" i="21"/>
  <c r="I213" i="21"/>
  <c r="I214" i="21"/>
  <c r="I215" i="21"/>
  <c r="I216" i="21"/>
  <c r="I217" i="21"/>
  <c r="I218" i="21"/>
  <c r="I219" i="21"/>
  <c r="I220" i="21"/>
  <c r="I221" i="21"/>
  <c r="I222" i="21"/>
  <c r="I223" i="21"/>
  <c r="I224" i="21"/>
  <c r="I225" i="21"/>
  <c r="I226" i="21"/>
  <c r="I227" i="21"/>
  <c r="I228" i="21"/>
  <c r="I229" i="21"/>
  <c r="I230" i="21"/>
  <c r="I231" i="21"/>
  <c r="I232" i="21"/>
  <c r="I233" i="21"/>
  <c r="I234" i="21"/>
  <c r="I235" i="21"/>
  <c r="I236" i="21"/>
  <c r="I237" i="21"/>
  <c r="I238" i="21"/>
  <c r="I239" i="21"/>
  <c r="I240" i="21"/>
  <c r="I241" i="21"/>
  <c r="I242" i="21"/>
  <c r="I243" i="21"/>
  <c r="I244" i="21"/>
  <c r="I245" i="21"/>
  <c r="I246" i="21"/>
  <c r="I247" i="21"/>
  <c r="I248" i="21"/>
  <c r="I249" i="21"/>
  <c r="I250" i="21"/>
  <c r="I251" i="21"/>
  <c r="I252" i="21"/>
  <c r="I253" i="21"/>
  <c r="I254" i="21"/>
  <c r="I255" i="21"/>
  <c r="I256" i="21"/>
  <c r="I257" i="21"/>
  <c r="I258" i="21"/>
  <c r="I259" i="21"/>
  <c r="I260" i="21"/>
  <c r="I261" i="21"/>
  <c r="I262" i="21"/>
  <c r="I263" i="21"/>
  <c r="I264" i="21"/>
  <c r="I265" i="21"/>
  <c r="I266" i="21"/>
  <c r="I267" i="21"/>
  <c r="I268" i="21"/>
  <c r="I269" i="21"/>
  <c r="I270" i="21"/>
  <c r="I271" i="21"/>
  <c r="I272" i="21"/>
  <c r="I273" i="21"/>
  <c r="I274" i="21"/>
  <c r="I275" i="21"/>
  <c r="I276" i="21"/>
  <c r="I277" i="21"/>
  <c r="I278" i="21"/>
  <c r="I279" i="21"/>
  <c r="I280" i="21"/>
  <c r="I281" i="21"/>
  <c r="I282" i="21"/>
  <c r="I283" i="21"/>
  <c r="I284" i="21"/>
  <c r="I285" i="21"/>
  <c r="I286" i="21"/>
  <c r="I287" i="21"/>
  <c r="I288" i="21"/>
  <c r="I289" i="21"/>
  <c r="I290" i="21"/>
  <c r="I291" i="21"/>
  <c r="I292" i="21"/>
  <c r="I293" i="21"/>
  <c r="I294" i="21"/>
  <c r="I295" i="21"/>
  <c r="I296" i="21"/>
  <c r="I297" i="21"/>
  <c r="I298" i="21"/>
  <c r="I299" i="21"/>
  <c r="I300" i="21"/>
  <c r="I301" i="21"/>
  <c r="I302" i="21"/>
  <c r="I303" i="21"/>
  <c r="I304" i="21"/>
  <c r="I305" i="21"/>
  <c r="I306" i="21"/>
  <c r="I307" i="21"/>
  <c r="I308" i="21"/>
  <c r="I309" i="21"/>
  <c r="I310" i="21"/>
  <c r="I311" i="21"/>
  <c r="I312" i="21"/>
  <c r="I313" i="21"/>
  <c r="I314" i="21"/>
  <c r="I315" i="21"/>
  <c r="I316" i="21"/>
  <c r="I317" i="21"/>
  <c r="I318" i="21"/>
  <c r="I319" i="21"/>
  <c r="I320" i="21"/>
  <c r="I321" i="21"/>
  <c r="I322" i="21"/>
  <c r="I323" i="21"/>
  <c r="I324" i="21"/>
  <c r="I325" i="21"/>
  <c r="I326" i="21"/>
  <c r="I327" i="21"/>
  <c r="I328" i="21"/>
  <c r="I329" i="21"/>
  <c r="I330" i="21"/>
  <c r="I331" i="21"/>
  <c r="I332" i="21"/>
  <c r="I333" i="21"/>
  <c r="I334" i="21"/>
  <c r="I335" i="21"/>
  <c r="I336" i="21"/>
  <c r="I337" i="21"/>
  <c r="I338" i="21"/>
  <c r="I339" i="21"/>
  <c r="I340" i="21"/>
  <c r="I341" i="21"/>
  <c r="I342" i="21"/>
  <c r="I343" i="21"/>
  <c r="I344" i="21"/>
  <c r="I345" i="21"/>
  <c r="I346" i="21"/>
  <c r="I347" i="21"/>
  <c r="I348" i="21"/>
  <c r="I349" i="21"/>
  <c r="I350" i="21"/>
  <c r="I351" i="21"/>
  <c r="I352" i="21"/>
  <c r="I353" i="21"/>
  <c r="I354" i="21"/>
  <c r="I355" i="21"/>
  <c r="I356" i="21"/>
  <c r="I357" i="21"/>
  <c r="I358" i="21"/>
  <c r="I359" i="21"/>
  <c r="I360" i="21"/>
  <c r="I361" i="21"/>
  <c r="I362" i="21"/>
  <c r="I363" i="21"/>
  <c r="I364" i="21"/>
  <c r="I365" i="21"/>
  <c r="I366" i="21"/>
  <c r="I367" i="21"/>
  <c r="I368" i="21"/>
  <c r="I369" i="21"/>
  <c r="I370" i="21"/>
  <c r="I371" i="21"/>
  <c r="I372" i="21"/>
  <c r="I373" i="21"/>
  <c r="I374" i="21"/>
  <c r="I375" i="21"/>
  <c r="I376" i="21"/>
  <c r="I377" i="21"/>
  <c r="I378" i="21"/>
  <c r="I379" i="21"/>
  <c r="I380" i="21"/>
  <c r="I381" i="21"/>
  <c r="I382" i="21"/>
  <c r="I383" i="21"/>
  <c r="I384" i="21"/>
  <c r="I385" i="21"/>
  <c r="I386" i="21"/>
  <c r="I387" i="21"/>
  <c r="I388" i="21"/>
  <c r="I389" i="21"/>
  <c r="I390" i="21"/>
  <c r="I391" i="21"/>
  <c r="I392" i="21"/>
  <c r="I393" i="21"/>
  <c r="I394" i="21"/>
  <c r="I395" i="21"/>
  <c r="I396" i="21"/>
  <c r="I397" i="21"/>
  <c r="I398" i="21"/>
  <c r="I399" i="21"/>
  <c r="I400" i="21"/>
  <c r="I401" i="21"/>
  <c r="I402" i="21"/>
  <c r="I403" i="21"/>
  <c r="I404" i="21"/>
  <c r="I405" i="21"/>
  <c r="I406" i="21"/>
  <c r="I407" i="21"/>
  <c r="I408" i="21"/>
  <c r="I409" i="21"/>
  <c r="I410" i="21"/>
  <c r="I411" i="21"/>
  <c r="I412" i="21"/>
  <c r="I413" i="21"/>
  <c r="I414" i="21"/>
  <c r="I415" i="21"/>
  <c r="I416" i="21"/>
  <c r="I417" i="21"/>
  <c r="I418" i="21"/>
  <c r="I419" i="21"/>
  <c r="I420" i="21"/>
  <c r="I421" i="21"/>
  <c r="I422" i="21"/>
  <c r="I423" i="21"/>
  <c r="I424" i="21"/>
  <c r="I425" i="21"/>
  <c r="I426" i="21"/>
  <c r="I427" i="21"/>
  <c r="I428" i="21"/>
  <c r="I429" i="21"/>
  <c r="I430" i="21"/>
  <c r="I431" i="21"/>
  <c r="I432" i="21"/>
  <c r="I433" i="21"/>
  <c r="I434" i="21"/>
  <c r="I435" i="21"/>
  <c r="I436" i="21"/>
  <c r="I437" i="21"/>
  <c r="I438" i="21"/>
  <c r="I439" i="21"/>
  <c r="I440" i="21"/>
  <c r="I441" i="21"/>
  <c r="I442" i="21"/>
  <c r="I443" i="21"/>
  <c r="I444" i="21"/>
  <c r="I445" i="21"/>
  <c r="I446" i="21"/>
  <c r="I447" i="21"/>
  <c r="I448" i="21"/>
  <c r="I449" i="21"/>
  <c r="I450" i="21"/>
  <c r="I451" i="21"/>
  <c r="I452" i="21"/>
  <c r="I453" i="21"/>
  <c r="I454" i="21"/>
  <c r="I455" i="21"/>
  <c r="I456" i="21"/>
  <c r="I457" i="21"/>
  <c r="I458" i="21"/>
  <c r="I459" i="21"/>
  <c r="I460" i="21"/>
  <c r="I461" i="21"/>
  <c r="I462" i="21"/>
  <c r="I463" i="21"/>
  <c r="I464" i="21"/>
  <c r="I465" i="21"/>
  <c r="I466" i="21"/>
  <c r="I467" i="21"/>
  <c r="I468" i="21"/>
  <c r="I469" i="21"/>
  <c r="I470" i="21"/>
  <c r="I471" i="21"/>
  <c r="I472" i="21"/>
  <c r="I473" i="21"/>
  <c r="I474" i="21"/>
  <c r="I475" i="21"/>
  <c r="I476" i="21"/>
  <c r="I477" i="21"/>
  <c r="I478" i="21"/>
  <c r="I479" i="21"/>
  <c r="I480" i="21"/>
  <c r="I481" i="21"/>
  <c r="I482" i="21"/>
  <c r="I483" i="21"/>
  <c r="I484" i="21"/>
  <c r="I485" i="21"/>
  <c r="I486" i="21"/>
  <c r="I487" i="21"/>
  <c r="I488" i="21"/>
  <c r="I489" i="21"/>
  <c r="I490" i="21"/>
  <c r="I491" i="21"/>
  <c r="I492" i="21"/>
  <c r="I493" i="21"/>
  <c r="I494" i="21"/>
  <c r="I495" i="21"/>
  <c r="I496" i="21"/>
  <c r="I497" i="21"/>
  <c r="I498" i="21"/>
  <c r="I499" i="21"/>
  <c r="I500" i="21"/>
  <c r="I501" i="21"/>
  <c r="I502" i="21"/>
  <c r="I503" i="21"/>
  <c r="I504" i="21"/>
  <c r="I505" i="21"/>
  <c r="I506" i="21"/>
  <c r="I507" i="21"/>
  <c r="I508" i="21"/>
  <c r="I509" i="21"/>
  <c r="I510" i="21"/>
  <c r="I511" i="21"/>
  <c r="I512" i="21"/>
  <c r="I513" i="21"/>
  <c r="I514" i="21"/>
  <c r="I515" i="21"/>
  <c r="I516" i="21"/>
  <c r="I517" i="21"/>
  <c r="I518" i="21"/>
  <c r="I519" i="21"/>
  <c r="I520" i="21"/>
  <c r="I521" i="21"/>
  <c r="I522" i="21"/>
  <c r="I523" i="21"/>
  <c r="I524" i="21"/>
  <c r="I525" i="21"/>
  <c r="I526" i="21"/>
  <c r="I527" i="21"/>
  <c r="I528" i="21"/>
  <c r="I529" i="21"/>
  <c r="I530" i="21"/>
  <c r="I531" i="21"/>
  <c r="I532" i="21"/>
  <c r="I533" i="21"/>
  <c r="I534" i="21"/>
  <c r="I535" i="21"/>
  <c r="I536" i="21"/>
  <c r="I537" i="21"/>
  <c r="I538" i="21"/>
  <c r="I539" i="21"/>
  <c r="I540" i="21"/>
  <c r="I541" i="21"/>
  <c r="I542" i="21"/>
  <c r="I543" i="21"/>
  <c r="I544" i="21"/>
  <c r="I545" i="21"/>
  <c r="I546" i="21"/>
  <c r="I547" i="21"/>
  <c r="I548" i="21"/>
  <c r="I549" i="21"/>
  <c r="I550" i="21"/>
  <c r="I551" i="21"/>
  <c r="I552" i="21"/>
  <c r="I553" i="21"/>
  <c r="I554" i="21"/>
  <c r="I555" i="21"/>
  <c r="I556" i="21"/>
  <c r="I557" i="21"/>
  <c r="I558" i="21"/>
  <c r="I559" i="21"/>
  <c r="I560" i="21"/>
  <c r="I561" i="21"/>
  <c r="I562" i="21"/>
  <c r="I563" i="21"/>
  <c r="I564" i="21"/>
  <c r="I565" i="21"/>
  <c r="I566" i="21"/>
  <c r="I567" i="21"/>
  <c r="I568" i="21"/>
  <c r="I569" i="21"/>
  <c r="I570" i="21"/>
  <c r="I571" i="21"/>
  <c r="I572" i="21"/>
  <c r="I573" i="21"/>
  <c r="I574" i="21"/>
  <c r="I575" i="21"/>
  <c r="I576" i="21"/>
  <c r="I577" i="21"/>
  <c r="I578" i="21"/>
  <c r="I579" i="21"/>
  <c r="I580" i="21"/>
  <c r="I581" i="21"/>
  <c r="I582" i="21"/>
  <c r="I583" i="21"/>
  <c r="I584" i="21"/>
  <c r="I585" i="21"/>
  <c r="I586" i="21"/>
  <c r="I587" i="21"/>
  <c r="I588" i="21"/>
  <c r="I589" i="21"/>
  <c r="I590" i="21"/>
  <c r="I591" i="21"/>
  <c r="I592" i="21"/>
  <c r="I593" i="21"/>
  <c r="I594" i="21"/>
  <c r="I595" i="21"/>
  <c r="I596" i="21"/>
  <c r="I597" i="21"/>
  <c r="I598" i="21"/>
  <c r="I599" i="21"/>
  <c r="I600" i="21"/>
  <c r="I601" i="21"/>
  <c r="I602" i="21"/>
  <c r="I603" i="21"/>
  <c r="I604" i="21"/>
  <c r="I605" i="21"/>
  <c r="I606" i="21"/>
  <c r="I607" i="21"/>
  <c r="I608" i="21"/>
  <c r="I609" i="21"/>
  <c r="I610" i="21"/>
  <c r="I611" i="21"/>
  <c r="I612" i="21"/>
  <c r="I613" i="21"/>
  <c r="I614" i="21"/>
  <c r="I615" i="21"/>
  <c r="I616" i="21"/>
  <c r="I617" i="21"/>
  <c r="I618" i="21"/>
  <c r="I619" i="21"/>
  <c r="I620" i="21"/>
  <c r="I621" i="21"/>
  <c r="I622" i="21"/>
  <c r="I623" i="21"/>
  <c r="I624" i="21"/>
  <c r="I625" i="21"/>
  <c r="I626" i="21"/>
  <c r="I627" i="21"/>
  <c r="I628" i="21"/>
  <c r="I629" i="21"/>
  <c r="I630" i="21"/>
  <c r="I631" i="21"/>
  <c r="I632" i="21"/>
  <c r="I633" i="21"/>
  <c r="I634" i="21"/>
  <c r="I635" i="21"/>
  <c r="I636" i="21"/>
  <c r="I637" i="21"/>
  <c r="I638" i="21"/>
  <c r="I639" i="21"/>
  <c r="I640" i="21"/>
  <c r="I641" i="21"/>
  <c r="I642" i="21"/>
  <c r="I643" i="21"/>
  <c r="I644" i="21"/>
  <c r="I645" i="21"/>
  <c r="I646" i="21"/>
  <c r="I647" i="21"/>
  <c r="I648" i="21"/>
  <c r="I649" i="21"/>
  <c r="I650" i="21"/>
  <c r="I651" i="21"/>
  <c r="I652" i="21"/>
  <c r="I653" i="21"/>
  <c r="I654" i="21"/>
  <c r="I655" i="21"/>
  <c r="I656" i="21"/>
  <c r="I657" i="21"/>
  <c r="I658" i="21"/>
  <c r="I659" i="21"/>
  <c r="I660" i="21"/>
  <c r="I661" i="21"/>
  <c r="I662" i="21"/>
  <c r="I663" i="21"/>
  <c r="I664" i="21"/>
  <c r="I665" i="21"/>
  <c r="I666" i="21"/>
  <c r="I667" i="21"/>
  <c r="I668" i="21"/>
  <c r="I669" i="21"/>
  <c r="I670" i="21"/>
  <c r="I671" i="21"/>
  <c r="I672" i="21"/>
  <c r="I673" i="21"/>
  <c r="I674" i="21"/>
  <c r="I675" i="21"/>
  <c r="I676" i="21"/>
  <c r="I677" i="21"/>
  <c r="I678" i="21"/>
  <c r="I679" i="21"/>
  <c r="I680" i="21"/>
  <c r="I681" i="21"/>
  <c r="I682" i="21"/>
  <c r="I683" i="21"/>
  <c r="I684" i="21"/>
  <c r="I685" i="21"/>
  <c r="I686" i="21"/>
  <c r="I687" i="21"/>
  <c r="I688" i="21"/>
  <c r="I689" i="21"/>
  <c r="I690" i="21"/>
  <c r="I691" i="21"/>
  <c r="I692" i="21"/>
  <c r="I693" i="21"/>
  <c r="I694" i="21"/>
  <c r="I695" i="21"/>
  <c r="I696" i="21"/>
  <c r="I697" i="21"/>
  <c r="I698" i="21"/>
  <c r="I699" i="21"/>
  <c r="I700" i="21"/>
  <c r="I701" i="21"/>
  <c r="I702" i="21"/>
  <c r="I703" i="21"/>
  <c r="I704" i="21"/>
  <c r="I705" i="21"/>
  <c r="I706" i="21"/>
  <c r="I707" i="21"/>
  <c r="I708" i="21"/>
  <c r="I709" i="21"/>
  <c r="I710" i="21"/>
  <c r="I711" i="21"/>
  <c r="I712" i="21"/>
  <c r="I713" i="21"/>
  <c r="I714" i="21"/>
  <c r="I715" i="21"/>
  <c r="I716" i="21"/>
  <c r="I717" i="21"/>
  <c r="I718" i="21"/>
  <c r="I719" i="21"/>
  <c r="I720" i="21"/>
  <c r="I721" i="21"/>
  <c r="I722" i="21"/>
  <c r="I723" i="21"/>
  <c r="I724" i="21"/>
  <c r="I725" i="21"/>
  <c r="I726" i="21"/>
  <c r="I727" i="21"/>
  <c r="I728" i="21"/>
  <c r="I729" i="21"/>
  <c r="I730" i="21"/>
  <c r="I731" i="21"/>
  <c r="I732" i="21"/>
  <c r="I733" i="21"/>
  <c r="I734" i="21"/>
  <c r="I735" i="21"/>
  <c r="I736" i="21"/>
  <c r="I737" i="21"/>
  <c r="I738" i="21"/>
  <c r="I739" i="21"/>
  <c r="I740" i="21"/>
  <c r="I741" i="21"/>
  <c r="I742" i="21"/>
  <c r="I743" i="21"/>
  <c r="I744" i="21"/>
  <c r="I745" i="21"/>
  <c r="I746" i="21"/>
  <c r="I747" i="21"/>
  <c r="I748" i="21"/>
  <c r="I749" i="21"/>
  <c r="I750" i="21"/>
  <c r="I751" i="21"/>
  <c r="I752" i="21"/>
  <c r="I753" i="21"/>
  <c r="I754" i="21"/>
  <c r="I755" i="21"/>
  <c r="I756" i="21"/>
  <c r="I757" i="21"/>
  <c r="I758" i="21"/>
  <c r="I759" i="21"/>
  <c r="I760" i="21"/>
  <c r="I761" i="21"/>
  <c r="I762" i="21"/>
  <c r="I763" i="21"/>
  <c r="I764" i="21"/>
  <c r="I765" i="21"/>
  <c r="I766" i="21"/>
  <c r="I767" i="21"/>
  <c r="I768" i="21"/>
  <c r="I769" i="21"/>
  <c r="I770" i="21"/>
  <c r="I771" i="21"/>
  <c r="I772" i="21"/>
  <c r="I773" i="21"/>
  <c r="I774" i="21"/>
  <c r="I775" i="21"/>
  <c r="I776" i="21"/>
  <c r="I777" i="21"/>
  <c r="I778" i="21"/>
  <c r="I779" i="21"/>
  <c r="I780" i="21"/>
  <c r="I781" i="21"/>
  <c r="I782" i="21"/>
  <c r="I783" i="21"/>
  <c r="I784" i="21"/>
  <c r="I785" i="21"/>
  <c r="I786" i="21"/>
  <c r="I787" i="21"/>
  <c r="I788" i="21"/>
  <c r="I789" i="21"/>
  <c r="I790" i="21"/>
  <c r="I791" i="21"/>
  <c r="I792" i="21"/>
  <c r="I793" i="21"/>
  <c r="I794" i="21"/>
  <c r="I795" i="21"/>
  <c r="I796" i="21"/>
  <c r="I797" i="21"/>
  <c r="I798" i="21"/>
  <c r="I799" i="21"/>
  <c r="I800" i="21"/>
  <c r="I801" i="21"/>
  <c r="I802" i="21"/>
  <c r="I803" i="21"/>
  <c r="I804" i="21"/>
  <c r="I805" i="21"/>
  <c r="I806" i="21"/>
  <c r="I807" i="21"/>
  <c r="I808" i="21"/>
  <c r="I809" i="21"/>
  <c r="I810" i="21"/>
  <c r="I811" i="21"/>
  <c r="I812" i="21"/>
  <c r="I813" i="21"/>
  <c r="I814" i="21"/>
  <c r="I815" i="21"/>
  <c r="I816" i="21"/>
  <c r="I817" i="21"/>
  <c r="I818" i="21"/>
  <c r="I819" i="21"/>
  <c r="I820" i="21"/>
  <c r="I821" i="21"/>
  <c r="I822" i="21"/>
  <c r="I823" i="21"/>
  <c r="I824" i="21"/>
  <c r="I825" i="21"/>
  <c r="I826" i="21"/>
  <c r="I827" i="21"/>
  <c r="I828" i="21"/>
  <c r="I829" i="21"/>
  <c r="I830" i="21"/>
  <c r="I831" i="21"/>
  <c r="I832" i="21"/>
  <c r="I833" i="21"/>
  <c r="I834" i="21"/>
  <c r="I835" i="21"/>
  <c r="I836" i="21"/>
  <c r="I837" i="21"/>
  <c r="I838" i="21"/>
  <c r="I839" i="21"/>
  <c r="I840" i="21"/>
  <c r="I841" i="21"/>
  <c r="I842" i="21"/>
  <c r="I843" i="21"/>
  <c r="I844" i="21"/>
  <c r="I845" i="21"/>
  <c r="I846" i="21"/>
  <c r="I847" i="21"/>
  <c r="I848" i="21"/>
  <c r="I849" i="21"/>
  <c r="I850" i="21"/>
  <c r="I851" i="21"/>
  <c r="I852" i="21"/>
  <c r="I853" i="21"/>
  <c r="I854" i="21"/>
  <c r="I855" i="21"/>
  <c r="I856" i="21"/>
  <c r="I857" i="21"/>
  <c r="I858" i="21"/>
  <c r="I859" i="21"/>
  <c r="I860" i="21"/>
  <c r="I861" i="21"/>
  <c r="I862" i="21"/>
  <c r="I863" i="21"/>
  <c r="I864" i="21"/>
  <c r="I865" i="21"/>
  <c r="I866" i="21"/>
  <c r="I867" i="21"/>
  <c r="I868" i="21"/>
  <c r="I869" i="21"/>
  <c r="I870" i="21"/>
  <c r="I871" i="21"/>
  <c r="I872" i="21"/>
  <c r="I873" i="21"/>
  <c r="I874" i="21"/>
  <c r="I875" i="21"/>
  <c r="I876" i="21"/>
  <c r="I877" i="21"/>
  <c r="I878" i="21"/>
  <c r="I879" i="21"/>
  <c r="I880" i="21"/>
  <c r="I881" i="21"/>
  <c r="I882" i="21"/>
  <c r="I883" i="21"/>
  <c r="I884" i="21"/>
  <c r="I885" i="21"/>
  <c r="I886" i="21"/>
  <c r="I887" i="21"/>
  <c r="I888" i="21"/>
  <c r="I889" i="21"/>
  <c r="I890" i="21"/>
  <c r="I891" i="21"/>
  <c r="I892" i="21"/>
  <c r="I893" i="21"/>
  <c r="I894" i="21"/>
  <c r="I895" i="21"/>
  <c r="I896" i="21"/>
  <c r="I897" i="21"/>
  <c r="I898" i="21"/>
  <c r="I899" i="21"/>
  <c r="I900" i="21"/>
  <c r="I901" i="21"/>
  <c r="I902" i="21"/>
  <c r="I903" i="21"/>
  <c r="I904" i="21"/>
  <c r="I905" i="21"/>
  <c r="I906" i="21"/>
  <c r="I907" i="21"/>
  <c r="I908" i="21"/>
  <c r="I909" i="21"/>
  <c r="I910" i="21"/>
  <c r="I911" i="21"/>
  <c r="I912" i="21"/>
  <c r="I913" i="21"/>
  <c r="I914" i="21"/>
  <c r="I915" i="21"/>
  <c r="I916" i="21"/>
  <c r="I917" i="21"/>
  <c r="I918" i="21"/>
  <c r="I919" i="21"/>
  <c r="I920" i="21"/>
  <c r="I921" i="21"/>
  <c r="I922" i="21"/>
  <c r="I923" i="21"/>
  <c r="I924" i="21"/>
  <c r="I925" i="21"/>
  <c r="I926" i="21"/>
  <c r="I927" i="21"/>
  <c r="I928" i="21"/>
  <c r="I929" i="21"/>
  <c r="I930" i="21"/>
  <c r="I931" i="21"/>
  <c r="I932" i="21"/>
  <c r="I933" i="21"/>
  <c r="I934" i="21"/>
  <c r="I935" i="21"/>
  <c r="I936" i="21"/>
  <c r="I937" i="21"/>
  <c r="I938" i="21"/>
  <c r="I939" i="21"/>
  <c r="I940" i="21"/>
  <c r="I941" i="21"/>
  <c r="I942" i="21"/>
  <c r="I943" i="21"/>
  <c r="I944" i="21"/>
  <c r="I945" i="21"/>
  <c r="I946" i="21"/>
  <c r="I947" i="21"/>
  <c r="I948" i="21"/>
  <c r="I949" i="21"/>
  <c r="I950" i="21"/>
  <c r="I951" i="21"/>
  <c r="I952" i="21"/>
  <c r="I953" i="21"/>
  <c r="I954" i="21"/>
  <c r="I955" i="21"/>
  <c r="I956" i="21"/>
  <c r="I957" i="21"/>
  <c r="I958" i="21"/>
  <c r="I959" i="21"/>
  <c r="I960" i="21"/>
  <c r="I961" i="21"/>
  <c r="I962" i="21"/>
  <c r="I963" i="21"/>
  <c r="I964" i="21"/>
  <c r="I965" i="21"/>
  <c r="I966" i="21"/>
  <c r="I967" i="21"/>
  <c r="I968" i="21"/>
  <c r="I969" i="21"/>
  <c r="I970" i="21"/>
  <c r="I971" i="21"/>
  <c r="I972" i="21"/>
  <c r="I973" i="21"/>
  <c r="I974" i="21"/>
  <c r="I975" i="21"/>
  <c r="I976" i="21"/>
  <c r="I977" i="21"/>
  <c r="I978" i="21"/>
  <c r="I979" i="21"/>
  <c r="I980" i="21"/>
  <c r="I981" i="21"/>
  <c r="I982" i="21"/>
  <c r="I983" i="21"/>
  <c r="I984" i="21"/>
  <c r="I985" i="21"/>
  <c r="I986" i="21"/>
  <c r="I987" i="21"/>
  <c r="I988" i="21"/>
  <c r="I989" i="21"/>
  <c r="I990" i="21"/>
  <c r="I991" i="21"/>
  <c r="I992" i="21"/>
  <c r="I993" i="21"/>
  <c r="I994" i="21"/>
  <c r="I995" i="21"/>
  <c r="I996" i="21"/>
  <c r="I997" i="21"/>
  <c r="I998" i="21"/>
  <c r="I999" i="21"/>
  <c r="I1000" i="21"/>
  <c r="I1001" i="21"/>
  <c r="I1002" i="21"/>
  <c r="I1003" i="21"/>
  <c r="I1004" i="21"/>
  <c r="I1005" i="21"/>
  <c r="I1006" i="21"/>
  <c r="I1007" i="21"/>
  <c r="I1008" i="21"/>
  <c r="I1009" i="21"/>
  <c r="I1010" i="21"/>
  <c r="I1011" i="21"/>
  <c r="I1012" i="21"/>
  <c r="I1013" i="21"/>
  <c r="I1014" i="21"/>
  <c r="I1015" i="21"/>
  <c r="I1016" i="21"/>
  <c r="I1017" i="21"/>
  <c r="I1018" i="21"/>
  <c r="I1019" i="21"/>
  <c r="I1020" i="21"/>
  <c r="I1021" i="21"/>
  <c r="I1022" i="21"/>
  <c r="I1023" i="21"/>
  <c r="I1024" i="21"/>
  <c r="I1025" i="21"/>
  <c r="I1026" i="21"/>
  <c r="I1027" i="21"/>
  <c r="I1028" i="21"/>
  <c r="I1029" i="21"/>
  <c r="I1030" i="21"/>
  <c r="I1031" i="21"/>
  <c r="I1032" i="21"/>
  <c r="I1033" i="21"/>
  <c r="I1034" i="21"/>
  <c r="I1035" i="21"/>
  <c r="I1036" i="21"/>
  <c r="I1037" i="21"/>
  <c r="I1038" i="21"/>
  <c r="I1039" i="21"/>
  <c r="I1040" i="21"/>
  <c r="I1041" i="21"/>
  <c r="I1042" i="21"/>
  <c r="I1043" i="21"/>
  <c r="I1044" i="21"/>
  <c r="I1045" i="21"/>
  <c r="I1046" i="21"/>
  <c r="I1047" i="21"/>
  <c r="I1048" i="21"/>
  <c r="I1049" i="21"/>
  <c r="I1050" i="21"/>
  <c r="I1051" i="21"/>
  <c r="I1052" i="21"/>
  <c r="I1053" i="21"/>
  <c r="I1054" i="21"/>
  <c r="I1055" i="21"/>
  <c r="I1056" i="21"/>
  <c r="I1057" i="21"/>
  <c r="I1058" i="21"/>
  <c r="I1059" i="21"/>
  <c r="I1060" i="21"/>
  <c r="I1061" i="21"/>
  <c r="I1062" i="21"/>
  <c r="I1063" i="21"/>
  <c r="I1064" i="21"/>
  <c r="I1065" i="21"/>
  <c r="I1066" i="21"/>
  <c r="I1067" i="21"/>
  <c r="I1068" i="21"/>
  <c r="I1069" i="21"/>
  <c r="I1070" i="21"/>
  <c r="I1071" i="21"/>
  <c r="I1072" i="21"/>
  <c r="I1073" i="21"/>
  <c r="I1074" i="21"/>
  <c r="I1075" i="21"/>
  <c r="I1076" i="21"/>
  <c r="I1077" i="21"/>
  <c r="I1078" i="21"/>
  <c r="I1079" i="21"/>
  <c r="I1080" i="21"/>
  <c r="I1081" i="21"/>
  <c r="I1082" i="21"/>
  <c r="I1083" i="21"/>
  <c r="I1084" i="21"/>
  <c r="I1085" i="21"/>
  <c r="I1086" i="21"/>
  <c r="I1087" i="21"/>
  <c r="I1088" i="21"/>
  <c r="I1089" i="21"/>
  <c r="I1090" i="21"/>
  <c r="I1091" i="21"/>
  <c r="I1092" i="21"/>
  <c r="I1093" i="21"/>
  <c r="I1094" i="21"/>
  <c r="I1095" i="21"/>
  <c r="I1096" i="21"/>
  <c r="I1097" i="21"/>
  <c r="I1098" i="21"/>
  <c r="I1099" i="21"/>
  <c r="I1100" i="21"/>
  <c r="I1101" i="21"/>
  <c r="I1102" i="21"/>
  <c r="I1103" i="21"/>
  <c r="I1104" i="21"/>
  <c r="I1105" i="21"/>
  <c r="I1106" i="21"/>
  <c r="I1107" i="21"/>
  <c r="I1108" i="21"/>
  <c r="I1109" i="21"/>
  <c r="I1110" i="21"/>
  <c r="I1111" i="21"/>
  <c r="I1112" i="21"/>
  <c r="I1113" i="21"/>
  <c r="I1114" i="21"/>
  <c r="I1115" i="21"/>
  <c r="I1116" i="21"/>
  <c r="I1117" i="21"/>
  <c r="I1118" i="21"/>
  <c r="I1119" i="21"/>
  <c r="I1120" i="21"/>
  <c r="I1121" i="21"/>
  <c r="I1122" i="21"/>
  <c r="I1123" i="21"/>
  <c r="I1124" i="21"/>
  <c r="A2" i="21"/>
  <c r="D3" i="23" l="1"/>
  <c r="D4" i="23"/>
  <c r="D5" i="23"/>
  <c r="A5" i="23" s="1"/>
  <c r="D6" i="23"/>
  <c r="C6" i="23" s="1"/>
  <c r="D7" i="23"/>
  <c r="C7" i="23" s="1"/>
  <c r="D8" i="23"/>
  <c r="D9" i="23"/>
  <c r="D10" i="23"/>
  <c r="B10" i="23" s="1"/>
  <c r="D11" i="23"/>
  <c r="D12" i="23"/>
  <c r="D13" i="23"/>
  <c r="D14" i="23"/>
  <c r="D15" i="23"/>
  <c r="D16" i="23"/>
  <c r="D17" i="23"/>
  <c r="D18" i="23"/>
  <c r="B18" i="23" s="1"/>
  <c r="D19" i="23"/>
  <c r="D20" i="23"/>
  <c r="D21" i="23"/>
  <c r="A21" i="23" s="1"/>
  <c r="D22" i="23"/>
  <c r="C22" i="23" s="1"/>
  <c r="D23" i="23"/>
  <c r="C23" i="23" s="1"/>
  <c r="D24" i="23"/>
  <c r="D25" i="23"/>
  <c r="D26" i="23"/>
  <c r="B26" i="23" s="1"/>
  <c r="D27" i="23"/>
  <c r="D28" i="23"/>
  <c r="D29" i="23"/>
  <c r="D30" i="23"/>
  <c r="D31" i="23"/>
  <c r="D32" i="23"/>
  <c r="D33" i="23"/>
  <c r="D34" i="23"/>
  <c r="B34" i="23" s="1"/>
  <c r="D35" i="23"/>
  <c r="D36" i="23"/>
  <c r="D37" i="23"/>
  <c r="D38" i="23"/>
  <c r="C38" i="23" s="1"/>
  <c r="D39" i="23"/>
  <c r="C39" i="23" s="1"/>
  <c r="D40" i="23"/>
  <c r="D41" i="23"/>
  <c r="D42" i="23"/>
  <c r="B42" i="23" s="1"/>
  <c r="D43" i="23"/>
  <c r="D44" i="23"/>
  <c r="D45" i="23"/>
  <c r="D46" i="23"/>
  <c r="D47" i="23"/>
  <c r="D48" i="23"/>
  <c r="D49" i="23"/>
  <c r="B49" i="23" s="1"/>
  <c r="D50" i="23"/>
  <c r="B50" i="23" s="1"/>
  <c r="D51" i="23"/>
  <c r="D52" i="23"/>
  <c r="D53" i="23"/>
  <c r="D54" i="23"/>
  <c r="C54" i="23" s="1"/>
  <c r="D55" i="23"/>
  <c r="C55" i="23" s="1"/>
  <c r="D56" i="23"/>
  <c r="D57" i="23"/>
  <c r="D58" i="23"/>
  <c r="B58" i="23" s="1"/>
  <c r="D59" i="23"/>
  <c r="D60" i="23"/>
  <c r="A60" i="23" s="1"/>
  <c r="D61" i="23"/>
  <c r="A61" i="23" s="1"/>
  <c r="D62" i="23"/>
  <c r="D63" i="23"/>
  <c r="D64" i="23"/>
  <c r="D65" i="23"/>
  <c r="D66" i="23"/>
  <c r="B66" i="23" s="1"/>
  <c r="D67" i="23"/>
  <c r="D68" i="23"/>
  <c r="D69" i="23"/>
  <c r="A69" i="23" s="1"/>
  <c r="D70" i="23"/>
  <c r="C70" i="23" s="1"/>
  <c r="D71" i="23"/>
  <c r="C71" i="23" s="1"/>
  <c r="D72" i="23"/>
  <c r="D73" i="23"/>
  <c r="D74" i="23"/>
  <c r="B74" i="23" s="1"/>
  <c r="D75" i="23"/>
  <c r="D76" i="23"/>
  <c r="A76" i="23" s="1"/>
  <c r="D77" i="23"/>
  <c r="D78" i="23"/>
  <c r="D79" i="23"/>
  <c r="D80" i="23"/>
  <c r="D81" i="23"/>
  <c r="D82" i="23"/>
  <c r="B82" i="23" s="1"/>
  <c r="D83" i="23"/>
  <c r="D84" i="23"/>
  <c r="D85" i="23"/>
  <c r="A85" i="23" s="1"/>
  <c r="D86" i="23"/>
  <c r="C86" i="23" s="1"/>
  <c r="D87" i="23"/>
  <c r="C87" i="23" s="1"/>
  <c r="D88" i="23"/>
  <c r="D89" i="23"/>
  <c r="D90" i="23"/>
  <c r="B90" i="23" s="1"/>
  <c r="D91" i="23"/>
  <c r="D92" i="23"/>
  <c r="D93" i="23"/>
  <c r="A93" i="23" s="1"/>
  <c r="D94" i="23"/>
  <c r="D95" i="23"/>
  <c r="D96" i="23"/>
  <c r="D97" i="23"/>
  <c r="D98" i="23"/>
  <c r="B98" i="23" s="1"/>
  <c r="D99" i="23"/>
  <c r="D100" i="23"/>
  <c r="D101" i="23"/>
  <c r="D102" i="23"/>
  <c r="C102" i="23" s="1"/>
  <c r="D103" i="23"/>
  <c r="C103" i="23" s="1"/>
  <c r="D104" i="23"/>
  <c r="D105" i="23"/>
  <c r="D106" i="23"/>
  <c r="B106" i="23" s="1"/>
  <c r="D107" i="23"/>
  <c r="D108" i="23"/>
  <c r="D109" i="23"/>
  <c r="D110" i="23"/>
  <c r="D111" i="23"/>
  <c r="D112" i="23"/>
  <c r="D113" i="23"/>
  <c r="B113" i="23" s="1"/>
  <c r="D114" i="23"/>
  <c r="B114" i="23" s="1"/>
  <c r="D115" i="23"/>
  <c r="D116" i="23"/>
  <c r="D117" i="23"/>
  <c r="D118" i="23"/>
  <c r="C118" i="23" s="1"/>
  <c r="D119" i="23"/>
  <c r="C119" i="23" s="1"/>
  <c r="D120" i="23"/>
  <c r="D121" i="23"/>
  <c r="D122" i="23"/>
  <c r="B122" i="23" s="1"/>
  <c r="D123" i="23"/>
  <c r="D124" i="23"/>
  <c r="D125" i="23"/>
  <c r="D126" i="23"/>
  <c r="D127" i="23"/>
  <c r="D128" i="23"/>
  <c r="D129" i="23"/>
  <c r="B129" i="23" s="1"/>
  <c r="D130" i="23"/>
  <c r="B130" i="23" s="1"/>
  <c r="D131" i="23"/>
  <c r="D132" i="23"/>
  <c r="D133" i="23"/>
  <c r="D134" i="23"/>
  <c r="C134" i="23" s="1"/>
  <c r="D135" i="23"/>
  <c r="C135" i="23" s="1"/>
  <c r="D136" i="23"/>
  <c r="D137" i="23"/>
  <c r="D138" i="23"/>
  <c r="B138" i="23" s="1"/>
  <c r="D139" i="23"/>
  <c r="D140" i="23"/>
  <c r="D141" i="23"/>
  <c r="D142" i="23"/>
  <c r="D143" i="23"/>
  <c r="D144" i="23"/>
  <c r="D145" i="23"/>
  <c r="D146" i="23"/>
  <c r="B146" i="23" s="1"/>
  <c r="D147" i="23"/>
  <c r="D148" i="23"/>
  <c r="D149" i="23"/>
  <c r="D150" i="23"/>
  <c r="C150" i="23" s="1"/>
  <c r="D151" i="23"/>
  <c r="C151" i="23" s="1"/>
  <c r="D152" i="23"/>
  <c r="D153" i="23"/>
  <c r="D154" i="23"/>
  <c r="B154" i="23" s="1"/>
  <c r="D155" i="23"/>
  <c r="D156" i="23"/>
  <c r="D157" i="23"/>
  <c r="D158" i="23"/>
  <c r="D159" i="23"/>
  <c r="D160" i="23"/>
  <c r="D161" i="23"/>
  <c r="B161" i="23" s="1"/>
  <c r="D162" i="23"/>
  <c r="B162" i="23" s="1"/>
  <c r="D163" i="23"/>
  <c r="D164" i="23"/>
  <c r="D165" i="23"/>
  <c r="D166" i="23"/>
  <c r="C166" i="23" s="1"/>
  <c r="D167" i="23"/>
  <c r="C167" i="23" s="1"/>
  <c r="D168" i="23"/>
  <c r="D169" i="23"/>
  <c r="D170" i="23"/>
  <c r="B170" i="23" s="1"/>
  <c r="D171" i="23"/>
  <c r="D172" i="23"/>
  <c r="D173" i="23"/>
  <c r="A173" i="23" s="1"/>
  <c r="D174" i="23"/>
  <c r="D175" i="23"/>
  <c r="D176" i="23"/>
  <c r="D177" i="23"/>
  <c r="D178" i="23"/>
  <c r="B178" i="23" s="1"/>
  <c r="D179" i="23"/>
  <c r="D180" i="23"/>
  <c r="D181" i="23"/>
  <c r="A181" i="23" s="1"/>
  <c r="D182" i="23"/>
  <c r="C182" i="23" s="1"/>
  <c r="D183" i="23"/>
  <c r="C183" i="23" s="1"/>
  <c r="D184" i="23"/>
  <c r="D185" i="23"/>
  <c r="D186" i="23"/>
  <c r="B186" i="23" s="1"/>
  <c r="D187" i="23"/>
  <c r="D188" i="23"/>
  <c r="D189" i="23"/>
  <c r="D190" i="23"/>
  <c r="D191" i="23"/>
  <c r="D192" i="23"/>
  <c r="D193" i="23"/>
  <c r="D194" i="23"/>
  <c r="B194" i="23" s="1"/>
  <c r="D195" i="23"/>
  <c r="D196" i="23"/>
  <c r="D197" i="23"/>
  <c r="A197" i="23" s="1"/>
  <c r="D198" i="23"/>
  <c r="C198" i="23" s="1"/>
  <c r="D199" i="23"/>
  <c r="C199" i="23" s="1"/>
  <c r="D200" i="23"/>
  <c r="D201" i="23"/>
  <c r="D202" i="23"/>
  <c r="B202" i="23" s="1"/>
  <c r="D203" i="23"/>
  <c r="D204" i="23"/>
  <c r="D205" i="23"/>
  <c r="D206" i="23"/>
  <c r="D207" i="23"/>
  <c r="D208" i="23"/>
  <c r="D209" i="23"/>
  <c r="D210" i="23"/>
  <c r="A210" i="23" s="1"/>
  <c r="D211" i="23"/>
  <c r="D212" i="23"/>
  <c r="B212" i="23" s="1"/>
  <c r="D213" i="23"/>
  <c r="D214" i="23"/>
  <c r="C214" i="23" s="1"/>
  <c r="D215" i="23"/>
  <c r="C215" i="23" s="1"/>
  <c r="D216" i="23"/>
  <c r="A216" i="23" s="1"/>
  <c r="D217" i="23"/>
  <c r="D218" i="23"/>
  <c r="A218" i="23" s="1"/>
  <c r="D219" i="23"/>
  <c r="A219" i="23" s="1"/>
  <c r="D220" i="23"/>
  <c r="D221" i="23"/>
  <c r="C221" i="23" s="1"/>
  <c r="D222" i="23"/>
  <c r="C222" i="23" s="1"/>
  <c r="D223" i="23"/>
  <c r="B223" i="23" s="1"/>
  <c r="D224" i="23"/>
  <c r="D225" i="23"/>
  <c r="D226" i="23"/>
  <c r="A226" i="23" s="1"/>
  <c r="D227" i="23"/>
  <c r="D228" i="23"/>
  <c r="B228" i="23" s="1"/>
  <c r="D229" i="23"/>
  <c r="D230" i="23"/>
  <c r="C230" i="23" s="1"/>
  <c r="D231" i="23"/>
  <c r="D232" i="23"/>
  <c r="D233" i="23"/>
  <c r="B233" i="23" s="1"/>
  <c r="D234" i="23"/>
  <c r="A234" i="23" s="1"/>
  <c r="D235" i="23"/>
  <c r="A235" i="23" s="1"/>
  <c r="D236" i="23"/>
  <c r="D237" i="23"/>
  <c r="C237" i="23" s="1"/>
  <c r="D238" i="23"/>
  <c r="D239" i="23"/>
  <c r="D240" i="23"/>
  <c r="D241" i="23"/>
  <c r="A241" i="23" s="1"/>
  <c r="D242" i="23"/>
  <c r="A242" i="23" s="1"/>
  <c r="D243" i="23"/>
  <c r="D244" i="23"/>
  <c r="B244" i="23" s="1"/>
  <c r="D245" i="23"/>
  <c r="D246" i="23"/>
  <c r="C246" i="23" s="1"/>
  <c r="D247" i="23"/>
  <c r="C247" i="23" s="1"/>
  <c r="D248" i="23"/>
  <c r="A248" i="23" s="1"/>
  <c r="D249" i="23"/>
  <c r="D250" i="23"/>
  <c r="A250" i="23" s="1"/>
  <c r="D251" i="23"/>
  <c r="A251" i="23" s="1"/>
  <c r="D252" i="23"/>
  <c r="D253" i="23"/>
  <c r="C253" i="23" s="1"/>
  <c r="D254" i="23"/>
  <c r="C254" i="23" s="1"/>
  <c r="D255" i="23"/>
  <c r="B255" i="23" s="1"/>
  <c r="D256" i="23"/>
  <c r="D257" i="23"/>
  <c r="D258" i="23"/>
  <c r="A258" i="23" s="1"/>
  <c r="D259" i="23"/>
  <c r="D260" i="23"/>
  <c r="B260" i="23" s="1"/>
  <c r="D261" i="23"/>
  <c r="D262" i="23"/>
  <c r="C262" i="23" s="1"/>
  <c r="D263" i="23"/>
  <c r="D264" i="23"/>
  <c r="D265" i="23"/>
  <c r="D266" i="23"/>
  <c r="A266" i="23" s="1"/>
  <c r="D267" i="23"/>
  <c r="A267" i="23" s="1"/>
  <c r="D268" i="23"/>
  <c r="D269" i="23"/>
  <c r="C269" i="23" s="1"/>
  <c r="D270" i="23"/>
  <c r="D271" i="23"/>
  <c r="D272" i="23"/>
  <c r="C272" i="23" s="1"/>
  <c r="D273" i="23"/>
  <c r="A273" i="23" s="1"/>
  <c r="D274" i="23"/>
  <c r="C274" i="23" s="1"/>
  <c r="D275" i="23"/>
  <c r="A275" i="23" s="1"/>
  <c r="D276" i="23"/>
  <c r="C276" i="23" s="1"/>
  <c r="D277" i="23"/>
  <c r="A277" i="23" s="1"/>
  <c r="D278" i="23"/>
  <c r="D279" i="23"/>
  <c r="D280" i="23"/>
  <c r="C280" i="23" s="1"/>
  <c r="D281" i="23"/>
  <c r="A281" i="23" s="1"/>
  <c r="D282" i="23"/>
  <c r="C282" i="23" s="1"/>
  <c r="D283" i="23"/>
  <c r="A283" i="23" s="1"/>
  <c r="D284" i="23"/>
  <c r="C284" i="23" s="1"/>
  <c r="D285" i="23"/>
  <c r="A285" i="23" s="1"/>
  <c r="D286" i="23"/>
  <c r="D287" i="23"/>
  <c r="D288" i="23"/>
  <c r="C288" i="23" s="1"/>
  <c r="D289" i="23"/>
  <c r="A289" i="23" s="1"/>
  <c r="D290" i="23"/>
  <c r="C290" i="23" s="1"/>
  <c r="D291" i="23"/>
  <c r="A291" i="23" s="1"/>
  <c r="D292" i="23"/>
  <c r="C292" i="23" s="1"/>
  <c r="D293" i="23"/>
  <c r="A293" i="23" s="1"/>
  <c r="D294" i="23"/>
  <c r="D295" i="23"/>
  <c r="D296" i="23"/>
  <c r="C296" i="23" s="1"/>
  <c r="D297" i="23"/>
  <c r="A297" i="23" s="1"/>
  <c r="D298" i="23"/>
  <c r="C298" i="23" s="1"/>
  <c r="D299" i="23"/>
  <c r="A299" i="23" s="1"/>
  <c r="D300" i="23"/>
  <c r="C300" i="23" s="1"/>
  <c r="D301" i="23"/>
  <c r="A301" i="23" s="1"/>
  <c r="D302" i="23"/>
  <c r="D303" i="23"/>
  <c r="D304" i="23"/>
  <c r="C304" i="23" s="1"/>
  <c r="D305" i="23"/>
  <c r="A305" i="23" s="1"/>
  <c r="D306" i="23"/>
  <c r="C306" i="23" s="1"/>
  <c r="D307" i="23"/>
  <c r="A307" i="23" s="1"/>
  <c r="D308" i="23"/>
  <c r="C308" i="23" s="1"/>
  <c r="D309" i="23"/>
  <c r="A309" i="23" s="1"/>
  <c r="D310" i="23"/>
  <c r="D311" i="23"/>
  <c r="D312" i="23"/>
  <c r="C312" i="23" s="1"/>
  <c r="D313" i="23"/>
  <c r="A313" i="23" s="1"/>
  <c r="D314" i="23"/>
  <c r="C314" i="23" s="1"/>
  <c r="D315" i="23"/>
  <c r="A315" i="23" s="1"/>
  <c r="D316" i="23"/>
  <c r="C316" i="23" s="1"/>
  <c r="D317" i="23"/>
  <c r="A317" i="23" s="1"/>
  <c r="D318" i="23"/>
  <c r="D319" i="23"/>
  <c r="D320" i="23"/>
  <c r="C320" i="23" s="1"/>
  <c r="D321" i="23"/>
  <c r="A321" i="23" s="1"/>
  <c r="D322" i="23"/>
  <c r="C322" i="23" s="1"/>
  <c r="D323" i="23"/>
  <c r="A323" i="23" s="1"/>
  <c r="D324" i="23"/>
  <c r="C324" i="23" s="1"/>
  <c r="D325" i="23"/>
  <c r="A325" i="23" s="1"/>
  <c r="D326" i="23"/>
  <c r="D327" i="23"/>
  <c r="D328" i="23"/>
  <c r="C328" i="23" s="1"/>
  <c r="D329" i="23"/>
  <c r="A329" i="23" s="1"/>
  <c r="D330" i="23"/>
  <c r="C330" i="23" s="1"/>
  <c r="D331" i="23"/>
  <c r="A331" i="23" s="1"/>
  <c r="D332" i="23"/>
  <c r="C332" i="23" s="1"/>
  <c r="D333" i="23"/>
  <c r="A333" i="23" s="1"/>
  <c r="D334" i="23"/>
  <c r="D335" i="23"/>
  <c r="D336" i="23"/>
  <c r="C336" i="23" s="1"/>
  <c r="D337" i="23"/>
  <c r="A337" i="23" s="1"/>
  <c r="D338" i="23"/>
  <c r="C338" i="23" s="1"/>
  <c r="D339" i="23"/>
  <c r="A339" i="23" s="1"/>
  <c r="D340" i="23"/>
  <c r="C340" i="23" s="1"/>
  <c r="D341" i="23"/>
  <c r="A341" i="23" s="1"/>
  <c r="D342" i="23"/>
  <c r="D343" i="23"/>
  <c r="D344" i="23"/>
  <c r="C344" i="23" s="1"/>
  <c r="D345" i="23"/>
  <c r="A345" i="23" s="1"/>
  <c r="D346" i="23"/>
  <c r="C346" i="23" s="1"/>
  <c r="D347" i="23"/>
  <c r="A347" i="23" s="1"/>
  <c r="D348" i="23"/>
  <c r="C348" i="23" s="1"/>
  <c r="D349" i="23"/>
  <c r="A349" i="23" s="1"/>
  <c r="D350" i="23"/>
  <c r="D351" i="23"/>
  <c r="D352" i="23"/>
  <c r="C352" i="23" s="1"/>
  <c r="D353" i="23"/>
  <c r="A353" i="23" s="1"/>
  <c r="D354" i="23"/>
  <c r="C354" i="23" s="1"/>
  <c r="D355" i="23"/>
  <c r="A355" i="23" s="1"/>
  <c r="D356" i="23"/>
  <c r="C356" i="23" s="1"/>
  <c r="D357" i="23"/>
  <c r="A357" i="23" s="1"/>
  <c r="D358" i="23"/>
  <c r="D359" i="23"/>
  <c r="D360" i="23"/>
  <c r="C360" i="23" s="1"/>
  <c r="D361" i="23"/>
  <c r="A361" i="23" s="1"/>
  <c r="D362" i="23"/>
  <c r="C362" i="23" s="1"/>
  <c r="D363" i="23"/>
  <c r="A363" i="23" s="1"/>
  <c r="D364" i="23"/>
  <c r="C364" i="23" s="1"/>
  <c r="D365" i="23"/>
  <c r="A365" i="23" s="1"/>
  <c r="D366" i="23"/>
  <c r="D367" i="23"/>
  <c r="D368" i="23"/>
  <c r="C368" i="23" s="1"/>
  <c r="D369" i="23"/>
  <c r="A369" i="23" s="1"/>
  <c r="D370" i="23"/>
  <c r="C370" i="23" s="1"/>
  <c r="D371" i="23"/>
  <c r="A371" i="23" s="1"/>
  <c r="D372" i="23"/>
  <c r="C372" i="23" s="1"/>
  <c r="D373" i="23"/>
  <c r="A373" i="23" s="1"/>
  <c r="D374" i="23"/>
  <c r="D375" i="23"/>
  <c r="D376" i="23"/>
  <c r="C376" i="23" s="1"/>
  <c r="D377" i="23"/>
  <c r="A377" i="23" s="1"/>
  <c r="D378" i="23"/>
  <c r="C378" i="23" s="1"/>
  <c r="D379" i="23"/>
  <c r="A379" i="23" s="1"/>
  <c r="D380" i="23"/>
  <c r="C380" i="23" s="1"/>
  <c r="D381" i="23"/>
  <c r="A381" i="23" s="1"/>
  <c r="D382" i="23"/>
  <c r="D383" i="23"/>
  <c r="D384" i="23"/>
  <c r="C384" i="23" s="1"/>
  <c r="D385" i="23"/>
  <c r="A385" i="23" s="1"/>
  <c r="D386" i="23"/>
  <c r="C386" i="23" s="1"/>
  <c r="D387" i="23"/>
  <c r="A387" i="23" s="1"/>
  <c r="D388" i="23"/>
  <c r="C388" i="23" s="1"/>
  <c r="D389" i="23"/>
  <c r="A389" i="23" s="1"/>
  <c r="D390" i="23"/>
  <c r="D391" i="23"/>
  <c r="D392" i="23"/>
  <c r="C392" i="23" s="1"/>
  <c r="D393" i="23"/>
  <c r="A393" i="23" s="1"/>
  <c r="D394" i="23"/>
  <c r="C394" i="23" s="1"/>
  <c r="D395" i="23"/>
  <c r="A395" i="23" s="1"/>
  <c r="D396" i="23"/>
  <c r="C396" i="23" s="1"/>
  <c r="D397" i="23"/>
  <c r="A397" i="23" s="1"/>
  <c r="D398" i="23"/>
  <c r="D399" i="23"/>
  <c r="D400" i="23"/>
  <c r="C400" i="23" s="1"/>
  <c r="D401" i="23"/>
  <c r="A401" i="23" s="1"/>
  <c r="D402" i="23"/>
  <c r="C402" i="23" s="1"/>
  <c r="D403" i="23"/>
  <c r="A403" i="23" s="1"/>
  <c r="D404" i="23"/>
  <c r="C404" i="23" s="1"/>
  <c r="D405" i="23"/>
  <c r="A405" i="23" s="1"/>
  <c r="D406" i="23"/>
  <c r="D407" i="23"/>
  <c r="D408" i="23"/>
  <c r="C408" i="23" s="1"/>
  <c r="D409" i="23"/>
  <c r="A409" i="23" s="1"/>
  <c r="D410" i="23"/>
  <c r="C410" i="23" s="1"/>
  <c r="D411" i="23"/>
  <c r="A411" i="23" s="1"/>
  <c r="D412" i="23"/>
  <c r="C412" i="23" s="1"/>
  <c r="D413" i="23"/>
  <c r="A413" i="23" s="1"/>
  <c r="D414" i="23"/>
  <c r="D415" i="23"/>
  <c r="D416" i="23"/>
  <c r="C416" i="23" s="1"/>
  <c r="D417" i="23"/>
  <c r="A417" i="23" s="1"/>
  <c r="D418" i="23"/>
  <c r="C418" i="23" s="1"/>
  <c r="D419" i="23"/>
  <c r="A419" i="23" s="1"/>
  <c r="D420" i="23"/>
  <c r="C420" i="23" s="1"/>
  <c r="D421" i="23"/>
  <c r="A421" i="23" s="1"/>
  <c r="D422" i="23"/>
  <c r="D423" i="23"/>
  <c r="D424" i="23"/>
  <c r="C424" i="23" s="1"/>
  <c r="D425" i="23"/>
  <c r="A425" i="23" s="1"/>
  <c r="D426" i="23"/>
  <c r="C426" i="23" s="1"/>
  <c r="D427" i="23"/>
  <c r="A427" i="23" s="1"/>
  <c r="D428" i="23"/>
  <c r="C428" i="23" s="1"/>
  <c r="D429" i="23"/>
  <c r="A429" i="23" s="1"/>
  <c r="D430" i="23"/>
  <c r="D431" i="23"/>
  <c r="D432" i="23"/>
  <c r="C432" i="23" s="1"/>
  <c r="D433" i="23"/>
  <c r="A433" i="23" s="1"/>
  <c r="D434" i="23"/>
  <c r="C434" i="23" s="1"/>
  <c r="D435" i="23"/>
  <c r="A435" i="23" s="1"/>
  <c r="D436" i="23"/>
  <c r="C436" i="23" s="1"/>
  <c r="D437" i="23"/>
  <c r="A437" i="23" s="1"/>
  <c r="D438" i="23"/>
  <c r="D439" i="23"/>
  <c r="D440" i="23"/>
  <c r="C440" i="23" s="1"/>
  <c r="D441" i="23"/>
  <c r="A441" i="23" s="1"/>
  <c r="D442" i="23"/>
  <c r="B442" i="23" s="1"/>
  <c r="D443" i="23"/>
  <c r="C443" i="23" s="1"/>
  <c r="D444" i="23"/>
  <c r="C444" i="23" s="1"/>
  <c r="D445" i="23"/>
  <c r="A445" i="23" s="1"/>
  <c r="D446" i="23"/>
  <c r="B446" i="23" s="1"/>
  <c r="D447" i="23"/>
  <c r="C447" i="23" s="1"/>
  <c r="D448" i="23"/>
  <c r="B448" i="23" s="1"/>
  <c r="D449" i="23"/>
  <c r="A449" i="23" s="1"/>
  <c r="D450" i="23"/>
  <c r="B450" i="23" s="1"/>
  <c r="D451" i="23"/>
  <c r="C451" i="23" s="1"/>
  <c r="D452" i="23"/>
  <c r="A452" i="23" s="1"/>
  <c r="D453" i="23"/>
  <c r="A453" i="23" s="1"/>
  <c r="D454" i="23"/>
  <c r="B454" i="23" s="1"/>
  <c r="D455" i="23"/>
  <c r="C455" i="23" s="1"/>
  <c r="D456" i="23"/>
  <c r="B456" i="23" s="1"/>
  <c r="D457" i="23"/>
  <c r="A457" i="23" s="1"/>
  <c r="D458" i="23"/>
  <c r="B458" i="23" s="1"/>
  <c r="D459" i="23"/>
  <c r="C459" i="23" s="1"/>
  <c r="D460" i="23"/>
  <c r="C460" i="23" s="1"/>
  <c r="D461" i="23"/>
  <c r="A461" i="23" s="1"/>
  <c r="D462" i="23"/>
  <c r="B462" i="23" s="1"/>
  <c r="D463" i="23"/>
  <c r="C463" i="23" s="1"/>
  <c r="D464" i="23"/>
  <c r="B464" i="23" s="1"/>
  <c r="D465" i="23"/>
  <c r="A465" i="23" s="1"/>
  <c r="D466" i="23"/>
  <c r="B466" i="23" s="1"/>
  <c r="D467" i="23"/>
  <c r="C467" i="23" s="1"/>
  <c r="D468" i="23"/>
  <c r="A468" i="23" s="1"/>
  <c r="D469" i="23"/>
  <c r="A469" i="23" s="1"/>
  <c r="D470" i="23"/>
  <c r="B470" i="23" s="1"/>
  <c r="D471" i="23"/>
  <c r="C471" i="23" s="1"/>
  <c r="D472" i="23"/>
  <c r="B472" i="23" s="1"/>
  <c r="D473" i="23"/>
  <c r="A473" i="23" s="1"/>
  <c r="D474" i="23"/>
  <c r="B474" i="23" s="1"/>
  <c r="D475" i="23"/>
  <c r="C475" i="23" s="1"/>
  <c r="D476" i="23"/>
  <c r="C476" i="23" s="1"/>
  <c r="D477" i="23"/>
  <c r="A477" i="23" s="1"/>
  <c r="D478" i="23"/>
  <c r="B478" i="23" s="1"/>
  <c r="D479" i="23"/>
  <c r="C479" i="23" s="1"/>
  <c r="D480" i="23"/>
  <c r="B480" i="23" s="1"/>
  <c r="D481" i="23"/>
  <c r="A481" i="23" s="1"/>
  <c r="D482" i="23"/>
  <c r="B482" i="23" s="1"/>
  <c r="D483" i="23"/>
  <c r="C483" i="23" s="1"/>
  <c r="D484" i="23"/>
  <c r="A484" i="23" s="1"/>
  <c r="D485" i="23"/>
  <c r="A485" i="23" s="1"/>
  <c r="D486" i="23"/>
  <c r="B486" i="23" s="1"/>
  <c r="D487" i="23"/>
  <c r="C487" i="23" s="1"/>
  <c r="D488" i="23"/>
  <c r="A488" i="23" s="1"/>
  <c r="D489" i="23"/>
  <c r="A489" i="23" s="1"/>
  <c r="D490" i="23"/>
  <c r="B490" i="23" s="1"/>
  <c r="D491" i="23"/>
  <c r="C491" i="23" s="1"/>
  <c r="D492" i="23"/>
  <c r="C492" i="23" s="1"/>
  <c r="D493" i="23"/>
  <c r="A493" i="23" s="1"/>
  <c r="D494" i="23"/>
  <c r="B494" i="23" s="1"/>
  <c r="D495" i="23"/>
  <c r="C495" i="23" s="1"/>
  <c r="D496" i="23"/>
  <c r="B496" i="23" s="1"/>
  <c r="D497" i="23"/>
  <c r="A497" i="23" s="1"/>
  <c r="D498" i="23"/>
  <c r="B498" i="23" s="1"/>
  <c r="D499" i="23"/>
  <c r="C499" i="23" s="1"/>
  <c r="D500" i="23"/>
  <c r="A500" i="23" s="1"/>
  <c r="D501" i="23"/>
  <c r="A501" i="23" s="1"/>
  <c r="D502" i="23"/>
  <c r="B502" i="23" s="1"/>
  <c r="D503" i="23"/>
  <c r="B503" i="23" s="1"/>
  <c r="D2" i="23"/>
  <c r="A2" i="23" s="1"/>
  <c r="C502" i="23" l="1"/>
  <c r="B495" i="23"/>
  <c r="A490" i="23"/>
  <c r="B483" i="23"/>
  <c r="A478" i="23"/>
  <c r="C472" i="23"/>
  <c r="A467" i="23"/>
  <c r="B460" i="23"/>
  <c r="A455" i="23"/>
  <c r="A448" i="23"/>
  <c r="C442" i="23"/>
  <c r="B424" i="23"/>
  <c r="B392" i="23"/>
  <c r="B360" i="23"/>
  <c r="B328" i="23"/>
  <c r="B296" i="23"/>
  <c r="A262" i="23"/>
  <c r="A230" i="23"/>
  <c r="B499" i="23"/>
  <c r="A494" i="23"/>
  <c r="C488" i="23"/>
  <c r="A483" i="23"/>
  <c r="B476" i="23"/>
  <c r="A471" i="23"/>
  <c r="A464" i="23"/>
  <c r="C458" i="23"/>
  <c r="C454" i="23"/>
  <c r="B447" i="23"/>
  <c r="A442" i="23"/>
  <c r="B432" i="23"/>
  <c r="B400" i="23"/>
  <c r="B368" i="23"/>
  <c r="B336" i="23"/>
  <c r="B304" i="23"/>
  <c r="B272" i="23"/>
  <c r="C258" i="23"/>
  <c r="C251" i="23"/>
  <c r="C244" i="23"/>
  <c r="C226" i="23"/>
  <c r="C219" i="23"/>
  <c r="C212" i="23"/>
  <c r="B2" i="23"/>
  <c r="A499" i="23"/>
  <c r="B492" i="23"/>
  <c r="A487" i="23"/>
  <c r="A480" i="23"/>
  <c r="C474" i="23"/>
  <c r="C470" i="23"/>
  <c r="B463" i="23"/>
  <c r="A458" i="23"/>
  <c r="B451" i="23"/>
  <c r="A446" i="23"/>
  <c r="B440" i="23"/>
  <c r="B408" i="23"/>
  <c r="B376" i="23"/>
  <c r="B344" i="23"/>
  <c r="B312" i="23"/>
  <c r="B280" i="23"/>
  <c r="B258" i="23"/>
  <c r="B251" i="23"/>
  <c r="B226" i="23"/>
  <c r="B219" i="23"/>
  <c r="A503" i="23"/>
  <c r="A496" i="23"/>
  <c r="C490" i="23"/>
  <c r="C486" i="23"/>
  <c r="B479" i="23"/>
  <c r="A474" i="23"/>
  <c r="B467" i="23"/>
  <c r="A462" i="23"/>
  <c r="C456" i="23"/>
  <c r="A451" i="23"/>
  <c r="B444" i="23"/>
  <c r="B416" i="23"/>
  <c r="B384" i="23"/>
  <c r="B352" i="23"/>
  <c r="B320" i="23"/>
  <c r="B288" i="23"/>
  <c r="B262" i="23"/>
  <c r="B230" i="23"/>
  <c r="C261" i="23"/>
  <c r="A261" i="23"/>
  <c r="B261" i="23"/>
  <c r="C257" i="23"/>
  <c r="B257" i="23"/>
  <c r="C245" i="23"/>
  <c r="A245" i="23"/>
  <c r="B245" i="23"/>
  <c r="C229" i="23"/>
  <c r="A229" i="23"/>
  <c r="B229" i="23"/>
  <c r="C225" i="23"/>
  <c r="B225" i="23"/>
  <c r="C217" i="23"/>
  <c r="A217" i="23"/>
  <c r="C209" i="23"/>
  <c r="B209" i="23"/>
  <c r="C201" i="23"/>
  <c r="A201" i="23"/>
  <c r="C193" i="23"/>
  <c r="A193" i="23"/>
  <c r="C185" i="23"/>
  <c r="A185" i="23"/>
  <c r="C177" i="23"/>
  <c r="A177" i="23"/>
  <c r="C165" i="23"/>
  <c r="B165" i="23"/>
  <c r="C157" i="23"/>
  <c r="B157" i="23"/>
  <c r="C149" i="23"/>
  <c r="B149" i="23"/>
  <c r="C141" i="23"/>
  <c r="B141" i="23"/>
  <c r="C133" i="23"/>
  <c r="B133" i="23"/>
  <c r="C125" i="23"/>
  <c r="B125" i="23"/>
  <c r="C117" i="23"/>
  <c r="B117" i="23"/>
  <c r="C109" i="23"/>
  <c r="B109" i="23"/>
  <c r="C101" i="23"/>
  <c r="B101" i="23"/>
  <c r="C97" i="23"/>
  <c r="A97" i="23"/>
  <c r="C89" i="23"/>
  <c r="A89" i="23"/>
  <c r="C81" i="23"/>
  <c r="A81" i="23"/>
  <c r="C73" i="23"/>
  <c r="A73" i="23"/>
  <c r="C65" i="23"/>
  <c r="A65" i="23"/>
  <c r="C57" i="23"/>
  <c r="A57" i="23"/>
  <c r="C53" i="23"/>
  <c r="B53" i="23"/>
  <c r="C45" i="23"/>
  <c r="B45" i="23"/>
  <c r="C37" i="23"/>
  <c r="B37" i="23"/>
  <c r="C25" i="23"/>
  <c r="A25" i="23"/>
  <c r="C17" i="23"/>
  <c r="A17" i="23"/>
  <c r="C9" i="23"/>
  <c r="A9" i="23"/>
  <c r="B501" i="23"/>
  <c r="B469" i="23"/>
  <c r="C449" i="23"/>
  <c r="C437" i="23"/>
  <c r="C413" i="23"/>
  <c r="C397" i="23"/>
  <c r="C381" i="23"/>
  <c r="C365" i="23"/>
  <c r="C341" i="23"/>
  <c r="C317" i="23"/>
  <c r="C301" i="23"/>
  <c r="C285" i="23"/>
  <c r="B269" i="23"/>
  <c r="B237" i="23"/>
  <c r="A209" i="23"/>
  <c r="A141" i="23"/>
  <c r="B268" i="23"/>
  <c r="A268" i="23"/>
  <c r="C268" i="23"/>
  <c r="B264" i="23"/>
  <c r="C264" i="23"/>
  <c r="B252" i="23"/>
  <c r="A252" i="23"/>
  <c r="C252" i="23"/>
  <c r="B236" i="23"/>
  <c r="A236" i="23"/>
  <c r="C236" i="23"/>
  <c r="B232" i="23"/>
  <c r="C232" i="23"/>
  <c r="B224" i="23"/>
  <c r="A224" i="23"/>
  <c r="B204" i="23"/>
  <c r="C204" i="23"/>
  <c r="B196" i="23"/>
  <c r="C196" i="23"/>
  <c r="B188" i="23"/>
  <c r="C188" i="23"/>
  <c r="B180" i="23"/>
  <c r="C180" i="23"/>
  <c r="B172" i="23"/>
  <c r="C172" i="23"/>
  <c r="B164" i="23"/>
  <c r="C164" i="23"/>
  <c r="B156" i="23"/>
  <c r="C156" i="23"/>
  <c r="B148" i="23"/>
  <c r="C148" i="23"/>
  <c r="B140" i="23"/>
  <c r="C140" i="23"/>
  <c r="B132" i="23"/>
  <c r="C132" i="23"/>
  <c r="B124" i="23"/>
  <c r="C124" i="23"/>
  <c r="B116" i="23"/>
  <c r="C116" i="23"/>
  <c r="B108" i="23"/>
  <c r="C108" i="23"/>
  <c r="B100" i="23"/>
  <c r="C100" i="23"/>
  <c r="B92" i="23"/>
  <c r="C92" i="23"/>
  <c r="B88" i="23"/>
  <c r="C88" i="23"/>
  <c r="A88" i="23"/>
  <c r="B80" i="23"/>
  <c r="C80" i="23"/>
  <c r="A80" i="23"/>
  <c r="B72" i="23"/>
  <c r="C72" i="23"/>
  <c r="A72" i="23"/>
  <c r="B64" i="23"/>
  <c r="C64" i="23"/>
  <c r="A64" i="23"/>
  <c r="B56" i="23"/>
  <c r="C56" i="23"/>
  <c r="A56" i="23"/>
  <c r="B48" i="23"/>
  <c r="C48" i="23"/>
  <c r="A48" i="23"/>
  <c r="B40" i="23"/>
  <c r="C40" i="23"/>
  <c r="A40" i="23"/>
  <c r="B32" i="23"/>
  <c r="C32" i="23"/>
  <c r="A32" i="23"/>
  <c r="B24" i="23"/>
  <c r="C24" i="23"/>
  <c r="A24" i="23"/>
  <c r="B16" i="23"/>
  <c r="C16" i="23"/>
  <c r="A16" i="23"/>
  <c r="B8" i="23"/>
  <c r="C8" i="23"/>
  <c r="A8" i="23"/>
  <c r="C500" i="23"/>
  <c r="B497" i="23"/>
  <c r="C493" i="23"/>
  <c r="B488" i="23"/>
  <c r="A476" i="23"/>
  <c r="B465" i="23"/>
  <c r="C461" i="23"/>
  <c r="B449" i="23"/>
  <c r="C445" i="23"/>
  <c r="B429" i="23"/>
  <c r="A424" i="23"/>
  <c r="B421" i="23"/>
  <c r="A416" i="23"/>
  <c r="B413" i="23"/>
  <c r="A408" i="23"/>
  <c r="B389" i="23"/>
  <c r="A384" i="23"/>
  <c r="B381" i="23"/>
  <c r="A376" i="23"/>
  <c r="B365" i="23"/>
  <c r="A360" i="23"/>
  <c r="B357" i="23"/>
  <c r="A352" i="23"/>
  <c r="B349" i="23"/>
  <c r="A344" i="23"/>
  <c r="B341" i="23"/>
  <c r="B309" i="23"/>
  <c r="A304" i="23"/>
  <c r="B301" i="23"/>
  <c r="A296" i="23"/>
  <c r="B277" i="23"/>
  <c r="A269" i="23"/>
  <c r="A244" i="23"/>
  <c r="A237" i="23"/>
  <c r="A212" i="23"/>
  <c r="A204" i="23"/>
  <c r="B193" i="23"/>
  <c r="A172" i="23"/>
  <c r="A140" i="23"/>
  <c r="B97" i="23"/>
  <c r="A92" i="23"/>
  <c r="B81" i="23"/>
  <c r="B65" i="23"/>
  <c r="B439" i="23"/>
  <c r="C439" i="23"/>
  <c r="B435" i="23"/>
  <c r="C435" i="23"/>
  <c r="B431" i="23"/>
  <c r="C431" i="23"/>
  <c r="B427" i="23"/>
  <c r="C427" i="23"/>
  <c r="B423" i="23"/>
  <c r="C423" i="23"/>
  <c r="B419" i="23"/>
  <c r="C419" i="23"/>
  <c r="B415" i="23"/>
  <c r="C415" i="23"/>
  <c r="B411" i="23"/>
  <c r="C411" i="23"/>
  <c r="B407" i="23"/>
  <c r="C407" i="23"/>
  <c r="B403" i="23"/>
  <c r="C403" i="23"/>
  <c r="B399" i="23"/>
  <c r="C399" i="23"/>
  <c r="B395" i="23"/>
  <c r="C395" i="23"/>
  <c r="B391" i="23"/>
  <c r="C391" i="23"/>
  <c r="B387" i="23"/>
  <c r="C387" i="23"/>
  <c r="B383" i="23"/>
  <c r="C383" i="23"/>
  <c r="B379" i="23"/>
  <c r="C379" i="23"/>
  <c r="B375" i="23"/>
  <c r="C375" i="23"/>
  <c r="B371" i="23"/>
  <c r="C371" i="23"/>
  <c r="B367" i="23"/>
  <c r="C367" i="23"/>
  <c r="B363" i="23"/>
  <c r="C363" i="23"/>
  <c r="B359" i="23"/>
  <c r="C359" i="23"/>
  <c r="B355" i="23"/>
  <c r="C355" i="23"/>
  <c r="B351" i="23"/>
  <c r="C351" i="23"/>
  <c r="B347" i="23"/>
  <c r="C347" i="23"/>
  <c r="B343" i="23"/>
  <c r="C343" i="23"/>
  <c r="B339" i="23"/>
  <c r="C339" i="23"/>
  <c r="B335" i="23"/>
  <c r="C335" i="23"/>
  <c r="B331" i="23"/>
  <c r="C331" i="23"/>
  <c r="B327" i="23"/>
  <c r="C327" i="23"/>
  <c r="B323" i="23"/>
  <c r="C323" i="23"/>
  <c r="B319" i="23"/>
  <c r="C319" i="23"/>
  <c r="B315" i="23"/>
  <c r="C315" i="23"/>
  <c r="B311" i="23"/>
  <c r="C311" i="23"/>
  <c r="B307" i="23"/>
  <c r="C307" i="23"/>
  <c r="B303" i="23"/>
  <c r="C303" i="23"/>
  <c r="B299" i="23"/>
  <c r="C299" i="23"/>
  <c r="B295" i="23"/>
  <c r="C295" i="23"/>
  <c r="B291" i="23"/>
  <c r="C291" i="23"/>
  <c r="B287" i="23"/>
  <c r="C287" i="23"/>
  <c r="B283" i="23"/>
  <c r="C283" i="23"/>
  <c r="B279" i="23"/>
  <c r="C279" i="23"/>
  <c r="B275" i="23"/>
  <c r="C275" i="23"/>
  <c r="B271" i="23"/>
  <c r="C271" i="23"/>
  <c r="A263" i="23"/>
  <c r="B263" i="23"/>
  <c r="A259" i="23"/>
  <c r="B259" i="23"/>
  <c r="C259" i="23"/>
  <c r="A255" i="23"/>
  <c r="C255" i="23"/>
  <c r="A247" i="23"/>
  <c r="B247" i="23"/>
  <c r="A243" i="23"/>
  <c r="B243" i="23"/>
  <c r="C243" i="23"/>
  <c r="A239" i="23"/>
  <c r="C239" i="23"/>
  <c r="A231" i="23"/>
  <c r="B231" i="23"/>
  <c r="A227" i="23"/>
  <c r="B227" i="23"/>
  <c r="C227" i="23"/>
  <c r="A223" i="23"/>
  <c r="C223" i="23"/>
  <c r="A215" i="23"/>
  <c r="B215" i="23"/>
  <c r="A211" i="23"/>
  <c r="B211" i="23"/>
  <c r="C211" i="23"/>
  <c r="A207" i="23"/>
  <c r="C207" i="23"/>
  <c r="A203" i="23"/>
  <c r="B203" i="23"/>
  <c r="C203" i="23"/>
  <c r="A199" i="23"/>
  <c r="B199" i="23"/>
  <c r="A195" i="23"/>
  <c r="B195" i="23"/>
  <c r="C195" i="23"/>
  <c r="A191" i="23"/>
  <c r="B191" i="23"/>
  <c r="A187" i="23"/>
  <c r="B187" i="23"/>
  <c r="C187" i="23"/>
  <c r="A183" i="23"/>
  <c r="B183" i="23"/>
  <c r="A179" i="23"/>
  <c r="B179" i="23"/>
  <c r="C179" i="23"/>
  <c r="A175" i="23"/>
  <c r="B175" i="23"/>
  <c r="A171" i="23"/>
  <c r="B171" i="23"/>
  <c r="C171" i="23"/>
  <c r="A167" i="23"/>
  <c r="B167" i="23"/>
  <c r="A163" i="23"/>
  <c r="B163" i="23"/>
  <c r="C163" i="23"/>
  <c r="A159" i="23"/>
  <c r="B159" i="23"/>
  <c r="A155" i="23"/>
  <c r="B155" i="23"/>
  <c r="C155" i="23"/>
  <c r="A151" i="23"/>
  <c r="B151" i="23"/>
  <c r="A147" i="23"/>
  <c r="B147" i="23"/>
  <c r="C147" i="23"/>
  <c r="A143" i="23"/>
  <c r="B143" i="23"/>
  <c r="A139" i="23"/>
  <c r="B139" i="23"/>
  <c r="C139" i="23"/>
  <c r="A135" i="23"/>
  <c r="B135" i="23"/>
  <c r="A131" i="23"/>
  <c r="B131" i="23"/>
  <c r="C131" i="23"/>
  <c r="A127" i="23"/>
  <c r="B127" i="23"/>
  <c r="A123" i="23"/>
  <c r="B123" i="23"/>
  <c r="C123" i="23"/>
  <c r="A119" i="23"/>
  <c r="B119" i="23"/>
  <c r="A115" i="23"/>
  <c r="B115" i="23"/>
  <c r="C115" i="23"/>
  <c r="A111" i="23"/>
  <c r="B111" i="23"/>
  <c r="A107" i="23"/>
  <c r="B107" i="23"/>
  <c r="C107" i="23"/>
  <c r="A103" i="23"/>
  <c r="B103" i="23"/>
  <c r="A99" i="23"/>
  <c r="B99" i="23"/>
  <c r="C99" i="23"/>
  <c r="A95" i="23"/>
  <c r="B95" i="23"/>
  <c r="A91" i="23"/>
  <c r="B91" i="23"/>
  <c r="C91" i="23"/>
  <c r="A87" i="23"/>
  <c r="B87" i="23"/>
  <c r="A83" i="23"/>
  <c r="B83" i="23"/>
  <c r="C83" i="23"/>
  <c r="A79" i="23"/>
  <c r="B79" i="23"/>
  <c r="A75" i="23"/>
  <c r="B75" i="23"/>
  <c r="C75" i="23"/>
  <c r="A71" i="23"/>
  <c r="B71" i="23"/>
  <c r="A67" i="23"/>
  <c r="B67" i="23"/>
  <c r="C67" i="23"/>
  <c r="A63" i="23"/>
  <c r="B63" i="23"/>
  <c r="A59" i="23"/>
  <c r="B59" i="23"/>
  <c r="C59" i="23"/>
  <c r="A55" i="23"/>
  <c r="B55" i="23"/>
  <c r="A51" i="23"/>
  <c r="B51" i="23"/>
  <c r="C51" i="23"/>
  <c r="A47" i="23"/>
  <c r="B47" i="23"/>
  <c r="A43" i="23"/>
  <c r="B43" i="23"/>
  <c r="C43" i="23"/>
  <c r="A39" i="23"/>
  <c r="B39" i="23"/>
  <c r="A35" i="23"/>
  <c r="B35" i="23"/>
  <c r="C35" i="23"/>
  <c r="A31" i="23"/>
  <c r="B31" i="23"/>
  <c r="A27" i="23"/>
  <c r="B27" i="23"/>
  <c r="C27" i="23"/>
  <c r="A23" i="23"/>
  <c r="B23" i="23"/>
  <c r="A19" i="23"/>
  <c r="B19" i="23"/>
  <c r="C19" i="23"/>
  <c r="A15" i="23"/>
  <c r="B15" i="23"/>
  <c r="A11" i="23"/>
  <c r="B11" i="23"/>
  <c r="C11" i="23"/>
  <c r="A7" i="23"/>
  <c r="B7" i="23"/>
  <c r="A3" i="23"/>
  <c r="B3" i="23"/>
  <c r="C3" i="23"/>
  <c r="C503" i="23"/>
  <c r="A502" i="23"/>
  <c r="B500" i="23"/>
  <c r="C498" i="23"/>
  <c r="C496" i="23"/>
  <c r="A495" i="23"/>
  <c r="B493" i="23"/>
  <c r="B491" i="23"/>
  <c r="C489" i="23"/>
  <c r="A486" i="23"/>
  <c r="B484" i="23"/>
  <c r="C482" i="23"/>
  <c r="C480" i="23"/>
  <c r="A479" i="23"/>
  <c r="B477" i="23"/>
  <c r="B475" i="23"/>
  <c r="C473" i="23"/>
  <c r="A472" i="23"/>
  <c r="A470" i="23"/>
  <c r="B468" i="23"/>
  <c r="C466" i="23"/>
  <c r="C464" i="23"/>
  <c r="A463" i="23"/>
  <c r="B461" i="23"/>
  <c r="B459" i="23"/>
  <c r="C457" i="23"/>
  <c r="A456" i="23"/>
  <c r="A454" i="23"/>
  <c r="B452" i="23"/>
  <c r="C450" i="23"/>
  <c r="C448" i="23"/>
  <c r="A447" i="23"/>
  <c r="B445" i="23"/>
  <c r="B443" i="23"/>
  <c r="C441" i="23"/>
  <c r="A439" i="23"/>
  <c r="B436" i="23"/>
  <c r="C433" i="23"/>
  <c r="A431" i="23"/>
  <c r="B428" i="23"/>
  <c r="C425" i="23"/>
  <c r="A423" i="23"/>
  <c r="B420" i="23"/>
  <c r="C417" i="23"/>
  <c r="A415" i="23"/>
  <c r="B412" i="23"/>
  <c r="C409" i="23"/>
  <c r="A407" i="23"/>
  <c r="B404" i="23"/>
  <c r="C401" i="23"/>
  <c r="A399" i="23"/>
  <c r="B396" i="23"/>
  <c r="C393" i="23"/>
  <c r="A391" i="23"/>
  <c r="B388" i="23"/>
  <c r="C385" i="23"/>
  <c r="A383" i="23"/>
  <c r="B380" i="23"/>
  <c r="C377" i="23"/>
  <c r="A375" i="23"/>
  <c r="B372" i="23"/>
  <c r="C369" i="23"/>
  <c r="A367" i="23"/>
  <c r="B364" i="23"/>
  <c r="C361" i="23"/>
  <c r="A359" i="23"/>
  <c r="B356" i="23"/>
  <c r="C353" i="23"/>
  <c r="A351" i="23"/>
  <c r="B348" i="23"/>
  <c r="C345" i="23"/>
  <c r="A343" i="23"/>
  <c r="B340" i="23"/>
  <c r="C337" i="23"/>
  <c r="A335" i="23"/>
  <c r="B332" i="23"/>
  <c r="C329" i="23"/>
  <c r="A327" i="23"/>
  <c r="B324" i="23"/>
  <c r="C321" i="23"/>
  <c r="A319" i="23"/>
  <c r="B316" i="23"/>
  <c r="C313" i="23"/>
  <c r="A311" i="23"/>
  <c r="B308" i="23"/>
  <c r="C305" i="23"/>
  <c r="A303" i="23"/>
  <c r="B300" i="23"/>
  <c r="C297" i="23"/>
  <c r="A295" i="23"/>
  <c r="B292" i="23"/>
  <c r="C289" i="23"/>
  <c r="A287" i="23"/>
  <c r="B284" i="23"/>
  <c r="C281" i="23"/>
  <c r="A279" i="23"/>
  <c r="B276" i="23"/>
  <c r="C273" i="23"/>
  <c r="A271" i="23"/>
  <c r="C267" i="23"/>
  <c r="A264" i="23"/>
  <c r="C260" i="23"/>
  <c r="A257" i="23"/>
  <c r="B253" i="23"/>
  <c r="B246" i="23"/>
  <c r="C242" i="23"/>
  <c r="B239" i="23"/>
  <c r="C235" i="23"/>
  <c r="A232" i="23"/>
  <c r="C228" i="23"/>
  <c r="A225" i="23"/>
  <c r="B221" i="23"/>
  <c r="B214" i="23"/>
  <c r="C210" i="23"/>
  <c r="B207" i="23"/>
  <c r="C191" i="23"/>
  <c r="C175" i="23"/>
  <c r="A165" i="23"/>
  <c r="C159" i="23"/>
  <c r="A149" i="23"/>
  <c r="C143" i="23"/>
  <c r="A133" i="23"/>
  <c r="C127" i="23"/>
  <c r="A117" i="23"/>
  <c r="C111" i="23"/>
  <c r="A101" i="23"/>
  <c r="C95" i="23"/>
  <c r="C79" i="23"/>
  <c r="C63" i="23"/>
  <c r="A53" i="23"/>
  <c r="C47" i="23"/>
  <c r="A37" i="23"/>
  <c r="C31" i="23"/>
  <c r="C15" i="23"/>
  <c r="C265" i="23"/>
  <c r="A265" i="23"/>
  <c r="C249" i="23"/>
  <c r="A249" i="23"/>
  <c r="C241" i="23"/>
  <c r="B241" i="23"/>
  <c r="C233" i="23"/>
  <c r="A233" i="23"/>
  <c r="C213" i="23"/>
  <c r="A213" i="23"/>
  <c r="B213" i="23"/>
  <c r="C205" i="23"/>
  <c r="B205" i="23"/>
  <c r="C197" i="23"/>
  <c r="B197" i="23"/>
  <c r="C189" i="23"/>
  <c r="B189" i="23"/>
  <c r="C181" i="23"/>
  <c r="B181" i="23"/>
  <c r="C173" i="23"/>
  <c r="B173" i="23"/>
  <c r="C169" i="23"/>
  <c r="A169" i="23"/>
  <c r="C161" i="23"/>
  <c r="A161" i="23"/>
  <c r="C153" i="23"/>
  <c r="A153" i="23"/>
  <c r="C145" i="23"/>
  <c r="A145" i="23"/>
  <c r="C137" i="23"/>
  <c r="A137" i="23"/>
  <c r="C129" i="23"/>
  <c r="A129" i="23"/>
  <c r="C121" i="23"/>
  <c r="A121" i="23"/>
  <c r="C113" i="23"/>
  <c r="A113" i="23"/>
  <c r="C105" i="23"/>
  <c r="A105" i="23"/>
  <c r="C93" i="23"/>
  <c r="B93" i="23"/>
  <c r="C85" i="23"/>
  <c r="B85" i="23"/>
  <c r="C77" i="23"/>
  <c r="B77" i="23"/>
  <c r="C69" i="23"/>
  <c r="B69" i="23"/>
  <c r="C61" i="23"/>
  <c r="B61" i="23"/>
  <c r="C49" i="23"/>
  <c r="A49" i="23"/>
  <c r="C41" i="23"/>
  <c r="A41" i="23"/>
  <c r="C33" i="23"/>
  <c r="A33" i="23"/>
  <c r="C29" i="23"/>
  <c r="B29" i="23"/>
  <c r="C21" i="23"/>
  <c r="B21" i="23"/>
  <c r="C13" i="23"/>
  <c r="B13" i="23"/>
  <c r="C5" i="23"/>
  <c r="B5" i="23"/>
  <c r="C497" i="23"/>
  <c r="B485" i="23"/>
  <c r="C481" i="23"/>
  <c r="C465" i="23"/>
  <c r="B453" i="23"/>
  <c r="C429" i="23"/>
  <c r="C421" i="23"/>
  <c r="C405" i="23"/>
  <c r="C389" i="23"/>
  <c r="C373" i="23"/>
  <c r="C357" i="23"/>
  <c r="C349" i="23"/>
  <c r="C333" i="23"/>
  <c r="C325" i="23"/>
  <c r="C309" i="23"/>
  <c r="C293" i="23"/>
  <c r="C277" i="23"/>
  <c r="A205" i="23"/>
  <c r="A189" i="23"/>
  <c r="A157" i="23"/>
  <c r="A125" i="23"/>
  <c r="A109" i="23"/>
  <c r="A77" i="23"/>
  <c r="A45" i="23"/>
  <c r="A29" i="23"/>
  <c r="A13" i="23"/>
  <c r="B256" i="23"/>
  <c r="A256" i="23"/>
  <c r="B248" i="23"/>
  <c r="C248" i="23"/>
  <c r="B240" i="23"/>
  <c r="A240" i="23"/>
  <c r="B220" i="23"/>
  <c r="A220" i="23"/>
  <c r="C220" i="23"/>
  <c r="B216" i="23"/>
  <c r="C216" i="23"/>
  <c r="B208" i="23"/>
  <c r="A208" i="23"/>
  <c r="B200" i="23"/>
  <c r="C200" i="23"/>
  <c r="A200" i="23"/>
  <c r="B192" i="23"/>
  <c r="C192" i="23"/>
  <c r="A192" i="23"/>
  <c r="B184" i="23"/>
  <c r="C184" i="23"/>
  <c r="A184" i="23"/>
  <c r="B176" i="23"/>
  <c r="C176" i="23"/>
  <c r="A176" i="23"/>
  <c r="B168" i="23"/>
  <c r="C168" i="23"/>
  <c r="A168" i="23"/>
  <c r="B160" i="23"/>
  <c r="C160" i="23"/>
  <c r="A160" i="23"/>
  <c r="B152" i="23"/>
  <c r="C152" i="23"/>
  <c r="A152" i="23"/>
  <c r="B144" i="23"/>
  <c r="C144" i="23"/>
  <c r="A144" i="23"/>
  <c r="B136" i="23"/>
  <c r="C136" i="23"/>
  <c r="A136" i="23"/>
  <c r="B128" i="23"/>
  <c r="C128" i="23"/>
  <c r="A128" i="23"/>
  <c r="B120" i="23"/>
  <c r="C120" i="23"/>
  <c r="A120" i="23"/>
  <c r="B112" i="23"/>
  <c r="C112" i="23"/>
  <c r="A112" i="23"/>
  <c r="B104" i="23"/>
  <c r="C104" i="23"/>
  <c r="A104" i="23"/>
  <c r="B96" i="23"/>
  <c r="C96" i="23"/>
  <c r="A96" i="23"/>
  <c r="B84" i="23"/>
  <c r="C84" i="23"/>
  <c r="B76" i="23"/>
  <c r="C76" i="23"/>
  <c r="B68" i="23"/>
  <c r="C68" i="23"/>
  <c r="B60" i="23"/>
  <c r="C60" i="23"/>
  <c r="B52" i="23"/>
  <c r="C52" i="23"/>
  <c r="B44" i="23"/>
  <c r="C44" i="23"/>
  <c r="B36" i="23"/>
  <c r="C36" i="23"/>
  <c r="B28" i="23"/>
  <c r="C28" i="23"/>
  <c r="B20" i="23"/>
  <c r="C20" i="23"/>
  <c r="B12" i="23"/>
  <c r="C12" i="23"/>
  <c r="B4" i="23"/>
  <c r="C4" i="23"/>
  <c r="C2" i="23"/>
  <c r="A492" i="23"/>
  <c r="C484" i="23"/>
  <c r="B481" i="23"/>
  <c r="C477" i="23"/>
  <c r="C468" i="23"/>
  <c r="A460" i="23"/>
  <c r="C452" i="23"/>
  <c r="A444" i="23"/>
  <c r="A440" i="23"/>
  <c r="B437" i="23"/>
  <c r="A432" i="23"/>
  <c r="B405" i="23"/>
  <c r="A400" i="23"/>
  <c r="B397" i="23"/>
  <c r="A392" i="23"/>
  <c r="B373" i="23"/>
  <c r="A368" i="23"/>
  <c r="A336" i="23"/>
  <c r="B333" i="23"/>
  <c r="A328" i="23"/>
  <c r="B325" i="23"/>
  <c r="A320" i="23"/>
  <c r="B317" i="23"/>
  <c r="A312" i="23"/>
  <c r="B293" i="23"/>
  <c r="A288" i="23"/>
  <c r="B285" i="23"/>
  <c r="A280" i="23"/>
  <c r="A272" i="23"/>
  <c r="B265" i="23"/>
  <c r="C240" i="23"/>
  <c r="C208" i="23"/>
  <c r="A188" i="23"/>
  <c r="B177" i="23"/>
  <c r="A156" i="23"/>
  <c r="B145" i="23"/>
  <c r="A124" i="23"/>
  <c r="A108" i="23"/>
  <c r="A44" i="23"/>
  <c r="B33" i="23"/>
  <c r="A28" i="23"/>
  <c r="B17" i="23"/>
  <c r="A12" i="23"/>
  <c r="A438" i="23"/>
  <c r="B438" i="23"/>
  <c r="A434" i="23"/>
  <c r="B434" i="23"/>
  <c r="A430" i="23"/>
  <c r="B430" i="23"/>
  <c r="A426" i="23"/>
  <c r="B426" i="23"/>
  <c r="A422" i="23"/>
  <c r="B422" i="23"/>
  <c r="A418" i="23"/>
  <c r="B418" i="23"/>
  <c r="A414" i="23"/>
  <c r="B414" i="23"/>
  <c r="A410" i="23"/>
  <c r="B410" i="23"/>
  <c r="A406" i="23"/>
  <c r="B406" i="23"/>
  <c r="A402" i="23"/>
  <c r="B402" i="23"/>
  <c r="A398" i="23"/>
  <c r="B398" i="23"/>
  <c r="A394" i="23"/>
  <c r="B394" i="23"/>
  <c r="A390" i="23"/>
  <c r="B390" i="23"/>
  <c r="A386" i="23"/>
  <c r="B386" i="23"/>
  <c r="A382" i="23"/>
  <c r="B382" i="23"/>
  <c r="A378" i="23"/>
  <c r="B378" i="23"/>
  <c r="A374" i="23"/>
  <c r="B374" i="23"/>
  <c r="A370" i="23"/>
  <c r="B370" i="23"/>
  <c r="A366" i="23"/>
  <c r="B366" i="23"/>
  <c r="A362" i="23"/>
  <c r="B362" i="23"/>
  <c r="A358" i="23"/>
  <c r="B358" i="23"/>
  <c r="A354" i="23"/>
  <c r="B354" i="23"/>
  <c r="A350" i="23"/>
  <c r="B350" i="23"/>
  <c r="A346" i="23"/>
  <c r="B346" i="23"/>
  <c r="A342" i="23"/>
  <c r="B342" i="23"/>
  <c r="A338" i="23"/>
  <c r="B338" i="23"/>
  <c r="A334" i="23"/>
  <c r="B334" i="23"/>
  <c r="A330" i="23"/>
  <c r="B330" i="23"/>
  <c r="A326" i="23"/>
  <c r="B326" i="23"/>
  <c r="A322" i="23"/>
  <c r="B322" i="23"/>
  <c r="A318" i="23"/>
  <c r="B318" i="23"/>
  <c r="A314" i="23"/>
  <c r="B314" i="23"/>
  <c r="A310" i="23"/>
  <c r="B310" i="23"/>
  <c r="A306" i="23"/>
  <c r="B306" i="23"/>
  <c r="A302" i="23"/>
  <c r="B302" i="23"/>
  <c r="A298" i="23"/>
  <c r="B298" i="23"/>
  <c r="A294" i="23"/>
  <c r="B294" i="23"/>
  <c r="A290" i="23"/>
  <c r="B290" i="23"/>
  <c r="A286" i="23"/>
  <c r="B286" i="23"/>
  <c r="A282" i="23"/>
  <c r="B282" i="23"/>
  <c r="A278" i="23"/>
  <c r="B278" i="23"/>
  <c r="A274" i="23"/>
  <c r="B274" i="23"/>
  <c r="A270" i="23"/>
  <c r="B270" i="23"/>
  <c r="B266" i="23"/>
  <c r="C266" i="23"/>
  <c r="A254" i="23"/>
  <c r="B254" i="23"/>
  <c r="B250" i="23"/>
  <c r="C250" i="23"/>
  <c r="A238" i="23"/>
  <c r="B238" i="23"/>
  <c r="B234" i="23"/>
  <c r="C234" i="23"/>
  <c r="A222" i="23"/>
  <c r="B222" i="23"/>
  <c r="B218" i="23"/>
  <c r="C218" i="23"/>
  <c r="A206" i="23"/>
  <c r="B206" i="23"/>
  <c r="A202" i="23"/>
  <c r="C202" i="23"/>
  <c r="A198" i="23"/>
  <c r="B198" i="23"/>
  <c r="A194" i="23"/>
  <c r="C194" i="23"/>
  <c r="A190" i="23"/>
  <c r="B190" i="23"/>
  <c r="A186" i="23"/>
  <c r="C186" i="23"/>
  <c r="A182" i="23"/>
  <c r="B182" i="23"/>
  <c r="A178" i="23"/>
  <c r="C178" i="23"/>
  <c r="A174" i="23"/>
  <c r="B174" i="23"/>
  <c r="A170" i="23"/>
  <c r="C170" i="23"/>
  <c r="A166" i="23"/>
  <c r="B166" i="23"/>
  <c r="A162" i="23"/>
  <c r="C162" i="23"/>
  <c r="A158" i="23"/>
  <c r="B158" i="23"/>
  <c r="A154" i="23"/>
  <c r="C154" i="23"/>
  <c r="A150" i="23"/>
  <c r="B150" i="23"/>
  <c r="A146" i="23"/>
  <c r="C146" i="23"/>
  <c r="A142" i="23"/>
  <c r="B142" i="23"/>
  <c r="A138" i="23"/>
  <c r="C138" i="23"/>
  <c r="A134" i="23"/>
  <c r="B134" i="23"/>
  <c r="A130" i="23"/>
  <c r="C130" i="23"/>
  <c r="A126" i="23"/>
  <c r="B126" i="23"/>
  <c r="A122" i="23"/>
  <c r="C122" i="23"/>
  <c r="A118" i="23"/>
  <c r="B118" i="23"/>
  <c r="A114" i="23"/>
  <c r="C114" i="23"/>
  <c r="A110" i="23"/>
  <c r="B110" i="23"/>
  <c r="A106" i="23"/>
  <c r="C106" i="23"/>
  <c r="A102" i="23"/>
  <c r="B102" i="23"/>
  <c r="A98" i="23"/>
  <c r="C98" i="23"/>
  <c r="A94" i="23"/>
  <c r="B94" i="23"/>
  <c r="A90" i="23"/>
  <c r="C90" i="23"/>
  <c r="A86" i="23"/>
  <c r="B86" i="23"/>
  <c r="A82" i="23"/>
  <c r="C82" i="23"/>
  <c r="A78" i="23"/>
  <c r="B78" i="23"/>
  <c r="A74" i="23"/>
  <c r="C74" i="23"/>
  <c r="A70" i="23"/>
  <c r="B70" i="23"/>
  <c r="A66" i="23"/>
  <c r="C66" i="23"/>
  <c r="A62" i="23"/>
  <c r="B62" i="23"/>
  <c r="A58" i="23"/>
  <c r="C58" i="23"/>
  <c r="A54" i="23"/>
  <c r="B54" i="23"/>
  <c r="A50" i="23"/>
  <c r="C50" i="23"/>
  <c r="A46" i="23"/>
  <c r="B46" i="23"/>
  <c r="A42" i="23"/>
  <c r="C42" i="23"/>
  <c r="A38" i="23"/>
  <c r="B38" i="23"/>
  <c r="A34" i="23"/>
  <c r="C34" i="23"/>
  <c r="A30" i="23"/>
  <c r="B30" i="23"/>
  <c r="A26" i="23"/>
  <c r="C26" i="23"/>
  <c r="A22" i="23"/>
  <c r="B22" i="23"/>
  <c r="A18" i="23"/>
  <c r="C18" i="23"/>
  <c r="A14" i="23"/>
  <c r="B14" i="23"/>
  <c r="A10" i="23"/>
  <c r="C10" i="23"/>
  <c r="A6" i="23"/>
  <c r="B6" i="23"/>
  <c r="C501" i="23"/>
  <c r="A498" i="23"/>
  <c r="C494" i="23"/>
  <c r="A491" i="23"/>
  <c r="B489" i="23"/>
  <c r="B487" i="23"/>
  <c r="C485" i="23"/>
  <c r="A482" i="23"/>
  <c r="C478" i="23"/>
  <c r="A475" i="23"/>
  <c r="B473" i="23"/>
  <c r="B471" i="23"/>
  <c r="C469" i="23"/>
  <c r="A466" i="23"/>
  <c r="C462" i="23"/>
  <c r="A459" i="23"/>
  <c r="B457" i="23"/>
  <c r="B455" i="23"/>
  <c r="C453" i="23"/>
  <c r="A450" i="23"/>
  <c r="C446" i="23"/>
  <c r="A443" i="23"/>
  <c r="B441" i="23"/>
  <c r="C438" i="23"/>
  <c r="A436" i="23"/>
  <c r="B433" i="23"/>
  <c r="C430" i="23"/>
  <c r="A428" i="23"/>
  <c r="B425" i="23"/>
  <c r="C422" i="23"/>
  <c r="A420" i="23"/>
  <c r="B417" i="23"/>
  <c r="C414" i="23"/>
  <c r="A412" i="23"/>
  <c r="B409" i="23"/>
  <c r="C406" i="23"/>
  <c r="A404" i="23"/>
  <c r="B401" i="23"/>
  <c r="C398" i="23"/>
  <c r="A396" i="23"/>
  <c r="B393" i="23"/>
  <c r="C390" i="23"/>
  <c r="A388" i="23"/>
  <c r="B385" i="23"/>
  <c r="C382" i="23"/>
  <c r="A380" i="23"/>
  <c r="B377" i="23"/>
  <c r="C374" i="23"/>
  <c r="A372" i="23"/>
  <c r="B369" i="23"/>
  <c r="C366" i="23"/>
  <c r="A364" i="23"/>
  <c r="B361" i="23"/>
  <c r="C358" i="23"/>
  <c r="A356" i="23"/>
  <c r="B353" i="23"/>
  <c r="C350" i="23"/>
  <c r="A348" i="23"/>
  <c r="B345" i="23"/>
  <c r="C342" i="23"/>
  <c r="A340" i="23"/>
  <c r="B337" i="23"/>
  <c r="C334" i="23"/>
  <c r="A332" i="23"/>
  <c r="B329" i="23"/>
  <c r="C326" i="23"/>
  <c r="A324" i="23"/>
  <c r="B321" i="23"/>
  <c r="C318" i="23"/>
  <c r="A316" i="23"/>
  <c r="B313" i="23"/>
  <c r="C310" i="23"/>
  <c r="A308" i="23"/>
  <c r="B305" i="23"/>
  <c r="C302" i="23"/>
  <c r="A300" i="23"/>
  <c r="B297" i="23"/>
  <c r="C294" i="23"/>
  <c r="A292" i="23"/>
  <c r="B289" i="23"/>
  <c r="C286" i="23"/>
  <c r="A284" i="23"/>
  <c r="B281" i="23"/>
  <c r="C278" i="23"/>
  <c r="A276" i="23"/>
  <c r="B273" i="23"/>
  <c r="C270" i="23"/>
  <c r="B267" i="23"/>
  <c r="C263" i="23"/>
  <c r="A260" i="23"/>
  <c r="C256" i="23"/>
  <c r="A253" i="23"/>
  <c r="B249" i="23"/>
  <c r="A246" i="23"/>
  <c r="B242" i="23"/>
  <c r="C238" i="23"/>
  <c r="B235" i="23"/>
  <c r="C231" i="23"/>
  <c r="A228" i="23"/>
  <c r="C224" i="23"/>
  <c r="A221" i="23"/>
  <c r="B217" i="23"/>
  <c r="A214" i="23"/>
  <c r="B210" i="23"/>
  <c r="C206" i="23"/>
  <c r="B201" i="23"/>
  <c r="A196" i="23"/>
  <c r="C190" i="23"/>
  <c r="B185" i="23"/>
  <c r="A180" i="23"/>
  <c r="C174" i="23"/>
  <c r="B169" i="23"/>
  <c r="A164" i="23"/>
  <c r="C158" i="23"/>
  <c r="B153" i="23"/>
  <c r="A148" i="23"/>
  <c r="C142" i="23"/>
  <c r="B137" i="23"/>
  <c r="A132" i="23"/>
  <c r="C126" i="23"/>
  <c r="B121" i="23"/>
  <c r="A116" i="23"/>
  <c r="C110" i="23"/>
  <c r="B105" i="23"/>
  <c r="A100" i="23"/>
  <c r="C94" i="23"/>
  <c r="B89" i="23"/>
  <c r="A84" i="23"/>
  <c r="C78" i="23"/>
  <c r="B73" i="23"/>
  <c r="A68" i="23"/>
  <c r="C62" i="23"/>
  <c r="B57" i="23"/>
  <c r="A52" i="23"/>
  <c r="C46" i="23"/>
  <c r="B41" i="23"/>
  <c r="A36" i="23"/>
  <c r="C30" i="23"/>
  <c r="B25" i="23"/>
  <c r="A20" i="23"/>
  <c r="C14" i="23"/>
  <c r="B9" i="23"/>
  <c r="A4" i="23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51" i="21"/>
  <c r="C52" i="21"/>
  <c r="C53" i="21"/>
  <c r="C54" i="21"/>
  <c r="C55" i="21"/>
  <c r="C56" i="21"/>
  <c r="C57" i="21"/>
  <c r="C58" i="21"/>
  <c r="C59" i="21"/>
  <c r="C60" i="21"/>
  <c r="C61" i="21"/>
  <c r="C62" i="21"/>
  <c r="C63" i="21"/>
  <c r="C64" i="21"/>
  <c r="C65" i="21"/>
  <c r="C66" i="21"/>
  <c r="C67" i="21"/>
  <c r="C68" i="21"/>
  <c r="C69" i="21"/>
  <c r="C70" i="21"/>
  <c r="C71" i="21"/>
  <c r="C72" i="21"/>
  <c r="C73" i="21"/>
  <c r="C74" i="21"/>
  <c r="C75" i="21"/>
  <c r="C76" i="21"/>
  <c r="C77" i="21"/>
  <c r="C78" i="21"/>
  <c r="C79" i="21"/>
  <c r="C80" i="21"/>
  <c r="C81" i="21"/>
  <c r="C82" i="21"/>
  <c r="C83" i="21"/>
  <c r="C84" i="21"/>
  <c r="C85" i="21"/>
  <c r="C86" i="21"/>
  <c r="C87" i="21"/>
  <c r="C88" i="21"/>
  <c r="C89" i="21"/>
  <c r="C90" i="21"/>
  <c r="C91" i="21"/>
  <c r="C92" i="21"/>
  <c r="C93" i="21"/>
  <c r="C94" i="21"/>
  <c r="C95" i="21"/>
  <c r="C96" i="21"/>
  <c r="C97" i="21"/>
  <c r="C98" i="21"/>
  <c r="C99" i="21"/>
  <c r="C100" i="21"/>
  <c r="C101" i="21"/>
  <c r="C102" i="21"/>
  <c r="C103" i="21"/>
  <c r="C104" i="21"/>
  <c r="C105" i="21"/>
  <c r="C106" i="21"/>
  <c r="C107" i="21"/>
  <c r="C108" i="21"/>
  <c r="C109" i="21"/>
  <c r="C110" i="21"/>
  <c r="C111" i="21"/>
  <c r="C112" i="21"/>
  <c r="C113" i="21"/>
  <c r="C114" i="21"/>
  <c r="C115" i="21"/>
  <c r="C116" i="21"/>
  <c r="C117" i="21"/>
  <c r="C118" i="21"/>
  <c r="C119" i="21"/>
  <c r="C120" i="21"/>
  <c r="C121" i="21"/>
  <c r="C122" i="21"/>
  <c r="C123" i="21"/>
  <c r="C124" i="21"/>
  <c r="C125" i="21"/>
  <c r="C126" i="21"/>
  <c r="C127" i="21"/>
  <c r="C128" i="21"/>
  <c r="C129" i="21"/>
  <c r="C130" i="21"/>
  <c r="C131" i="21"/>
  <c r="C132" i="21"/>
  <c r="C133" i="21"/>
  <c r="C134" i="21"/>
  <c r="C135" i="21"/>
  <c r="C136" i="21"/>
  <c r="C137" i="21"/>
  <c r="C138" i="21"/>
  <c r="C139" i="21"/>
  <c r="C140" i="21"/>
  <c r="C141" i="21"/>
  <c r="C142" i="21"/>
  <c r="C143" i="21"/>
  <c r="C144" i="21"/>
  <c r="C145" i="21"/>
  <c r="C146" i="21"/>
  <c r="C147" i="21"/>
  <c r="C148" i="21"/>
  <c r="C149" i="21"/>
  <c r="C150" i="21"/>
  <c r="C151" i="21"/>
  <c r="C152" i="21"/>
  <c r="C153" i="21"/>
  <c r="C154" i="21"/>
  <c r="C155" i="21"/>
  <c r="C156" i="21"/>
  <c r="C157" i="21"/>
  <c r="C158" i="21"/>
  <c r="C159" i="21"/>
  <c r="C160" i="21"/>
  <c r="C161" i="21"/>
  <c r="C162" i="21"/>
  <c r="C163" i="21"/>
  <c r="C164" i="21"/>
  <c r="C165" i="21"/>
  <c r="C166" i="21"/>
  <c r="C167" i="21"/>
  <c r="C168" i="21"/>
  <c r="C169" i="21"/>
  <c r="C170" i="21"/>
  <c r="C171" i="21"/>
  <c r="C172" i="21"/>
  <c r="C173" i="21"/>
  <c r="C174" i="21"/>
  <c r="C175" i="21"/>
  <c r="C176" i="21"/>
  <c r="C177" i="21"/>
  <c r="C178" i="21"/>
  <c r="C179" i="21"/>
  <c r="C180" i="21"/>
  <c r="C181" i="21"/>
  <c r="C182" i="21"/>
  <c r="C183" i="21"/>
  <c r="C184" i="21"/>
  <c r="C185" i="21"/>
  <c r="C186" i="21"/>
  <c r="C187" i="21"/>
  <c r="C188" i="21"/>
  <c r="C189" i="21"/>
  <c r="C190" i="21"/>
  <c r="C191" i="21"/>
  <c r="C192" i="21"/>
  <c r="C193" i="21"/>
  <c r="C194" i="21"/>
  <c r="C195" i="21"/>
  <c r="C196" i="21"/>
  <c r="C197" i="21"/>
  <c r="C198" i="21"/>
  <c r="C199" i="21"/>
  <c r="C200" i="21"/>
  <c r="C201" i="21"/>
  <c r="C202" i="21"/>
  <c r="C203" i="21"/>
  <c r="C204" i="21"/>
  <c r="C205" i="21"/>
  <c r="C206" i="21"/>
  <c r="C207" i="21"/>
  <c r="C208" i="21"/>
  <c r="C209" i="21"/>
  <c r="C210" i="21"/>
  <c r="C211" i="21"/>
  <c r="C212" i="21"/>
  <c r="C213" i="21"/>
  <c r="C214" i="21"/>
  <c r="C215" i="21"/>
  <c r="C216" i="21"/>
  <c r="C217" i="21"/>
  <c r="C218" i="21"/>
  <c r="C219" i="21"/>
  <c r="C220" i="21"/>
  <c r="C221" i="21"/>
  <c r="C222" i="21"/>
  <c r="C223" i="21"/>
  <c r="C224" i="21"/>
  <c r="C225" i="21"/>
  <c r="C226" i="21"/>
  <c r="C227" i="21"/>
  <c r="C228" i="21"/>
  <c r="C229" i="21"/>
  <c r="C230" i="21"/>
  <c r="C231" i="21"/>
  <c r="C232" i="21"/>
  <c r="C233" i="21"/>
  <c r="C234" i="21"/>
  <c r="C235" i="21"/>
  <c r="C236" i="21"/>
  <c r="C237" i="21"/>
  <c r="C238" i="21"/>
  <c r="C239" i="21"/>
  <c r="C240" i="21"/>
  <c r="C241" i="21"/>
  <c r="C242" i="21"/>
  <c r="C243" i="21"/>
  <c r="C244" i="21"/>
  <c r="C245" i="21"/>
  <c r="C246" i="21"/>
  <c r="C247" i="21"/>
  <c r="C248" i="21"/>
  <c r="C249" i="21"/>
  <c r="C250" i="21"/>
  <c r="C251" i="21"/>
  <c r="C252" i="21"/>
  <c r="C253" i="21"/>
  <c r="C254" i="21"/>
  <c r="C255" i="21"/>
  <c r="C256" i="21"/>
  <c r="C257" i="21"/>
  <c r="C258" i="21"/>
  <c r="C259" i="21"/>
  <c r="C260" i="21"/>
  <c r="C261" i="21"/>
  <c r="C262" i="21"/>
  <c r="C263" i="21"/>
  <c r="C264" i="21"/>
  <c r="C265" i="21"/>
  <c r="C266" i="21"/>
  <c r="C267" i="21"/>
  <c r="C268" i="21"/>
  <c r="C269" i="21"/>
  <c r="C270" i="21"/>
  <c r="C271" i="21"/>
  <c r="C272" i="21"/>
  <c r="C273" i="21"/>
  <c r="C274" i="21"/>
  <c r="C275" i="21"/>
  <c r="C276" i="21"/>
  <c r="C277" i="21"/>
  <c r="C278" i="21"/>
  <c r="C279" i="21"/>
  <c r="C280" i="21"/>
  <c r="C281" i="21"/>
  <c r="C282" i="21"/>
  <c r="C283" i="21"/>
  <c r="C284" i="21"/>
  <c r="C285" i="21"/>
  <c r="C286" i="21"/>
  <c r="C287" i="21"/>
  <c r="C288" i="21"/>
  <c r="C289" i="21"/>
  <c r="C290" i="21"/>
  <c r="C291" i="21"/>
  <c r="C292" i="21"/>
  <c r="C293" i="21"/>
  <c r="C294" i="21"/>
  <c r="C295" i="21"/>
  <c r="C296" i="21"/>
  <c r="C297" i="21"/>
  <c r="C298" i="21"/>
  <c r="C299" i="21"/>
  <c r="C300" i="21"/>
  <c r="C301" i="21"/>
  <c r="C302" i="21"/>
  <c r="C303" i="21"/>
  <c r="C304" i="21"/>
  <c r="C305" i="21"/>
  <c r="C306" i="21"/>
  <c r="C307" i="21"/>
  <c r="C308" i="21"/>
  <c r="C309" i="21"/>
  <c r="C310" i="21"/>
  <c r="C311" i="21"/>
  <c r="C312" i="21"/>
  <c r="C313" i="21"/>
  <c r="C314" i="21"/>
  <c r="C315" i="21"/>
  <c r="C316" i="21"/>
  <c r="C317" i="21"/>
  <c r="C318" i="21"/>
  <c r="C319" i="21"/>
  <c r="C320" i="21"/>
  <c r="C321" i="21"/>
  <c r="C322" i="21"/>
  <c r="C323" i="21"/>
  <c r="C324" i="21"/>
  <c r="C325" i="21"/>
  <c r="C326" i="21"/>
  <c r="C327" i="21"/>
  <c r="C328" i="21"/>
  <c r="C329" i="21"/>
  <c r="C330" i="21"/>
  <c r="C331" i="21"/>
  <c r="C332" i="21"/>
  <c r="C333" i="21"/>
  <c r="C334" i="21"/>
  <c r="C335" i="21"/>
  <c r="C336" i="21"/>
  <c r="C337" i="21"/>
  <c r="C338" i="21"/>
  <c r="C339" i="21"/>
  <c r="C340" i="21"/>
  <c r="C341" i="21"/>
  <c r="C342" i="21"/>
  <c r="C343" i="21"/>
  <c r="C344" i="21"/>
  <c r="C345" i="21"/>
  <c r="C346" i="21"/>
  <c r="C347" i="21"/>
  <c r="C348" i="21"/>
  <c r="C349" i="21"/>
  <c r="C350" i="21"/>
  <c r="C351" i="21"/>
  <c r="C352" i="21"/>
  <c r="C353" i="21"/>
  <c r="C354" i="21"/>
  <c r="C355" i="21"/>
  <c r="C356" i="21"/>
  <c r="C357" i="21"/>
  <c r="C358" i="21"/>
  <c r="C359" i="21"/>
  <c r="C360" i="21"/>
  <c r="C361" i="21"/>
  <c r="C362" i="21"/>
  <c r="C363" i="21"/>
  <c r="C364" i="21"/>
  <c r="C365" i="21"/>
  <c r="C366" i="21"/>
  <c r="C367" i="21"/>
  <c r="C368" i="21"/>
  <c r="C369" i="21"/>
  <c r="C370" i="21"/>
  <c r="C371" i="21"/>
  <c r="C372" i="21"/>
  <c r="C373" i="21"/>
  <c r="C374" i="21"/>
  <c r="C375" i="21"/>
  <c r="C376" i="21"/>
  <c r="C377" i="21"/>
  <c r="C378" i="21"/>
  <c r="C379" i="21"/>
  <c r="C380" i="21"/>
  <c r="C381" i="21"/>
  <c r="C382" i="21"/>
  <c r="C383" i="21"/>
  <c r="C384" i="21"/>
  <c r="C385" i="21"/>
  <c r="C386" i="21"/>
  <c r="C387" i="21"/>
  <c r="C388" i="21"/>
  <c r="C389" i="21"/>
  <c r="C390" i="21"/>
  <c r="C391" i="21"/>
  <c r="C392" i="21"/>
  <c r="C393" i="21"/>
  <c r="C394" i="21"/>
  <c r="C395" i="21"/>
  <c r="C396" i="21"/>
  <c r="C397" i="21"/>
  <c r="C398" i="21"/>
  <c r="C399" i="21"/>
  <c r="C400" i="21"/>
  <c r="C401" i="21"/>
  <c r="C402" i="21"/>
  <c r="C403" i="21"/>
  <c r="C404" i="21"/>
  <c r="C405" i="21"/>
  <c r="C406" i="21"/>
  <c r="C407" i="21"/>
  <c r="C408" i="21"/>
  <c r="C409" i="21"/>
  <c r="C410" i="21"/>
  <c r="C411" i="21"/>
  <c r="C412" i="21"/>
  <c r="C413" i="21"/>
  <c r="C414" i="21"/>
  <c r="C415" i="21"/>
  <c r="C416" i="21"/>
  <c r="C417" i="21"/>
  <c r="C418" i="21"/>
  <c r="C419" i="21"/>
  <c r="C420" i="21"/>
  <c r="C421" i="21"/>
  <c r="C422" i="21"/>
  <c r="C423" i="21"/>
  <c r="C424" i="21"/>
  <c r="C425" i="21"/>
  <c r="C426" i="21"/>
  <c r="C427" i="21"/>
  <c r="C428" i="21"/>
  <c r="C429" i="21"/>
  <c r="C430" i="21"/>
  <c r="C431" i="21"/>
  <c r="C432" i="21"/>
  <c r="C433" i="21"/>
  <c r="C434" i="21"/>
  <c r="C435" i="21"/>
  <c r="C436" i="21"/>
  <c r="C437" i="21"/>
  <c r="C438" i="21"/>
  <c r="C439" i="21"/>
  <c r="C440" i="21"/>
  <c r="C441" i="21"/>
  <c r="C442" i="21"/>
  <c r="C443" i="21"/>
  <c r="C444" i="21"/>
  <c r="C445" i="21"/>
  <c r="C446" i="21"/>
  <c r="C447" i="21"/>
  <c r="C448" i="21"/>
  <c r="C449" i="21"/>
  <c r="C450" i="21"/>
  <c r="C451" i="21"/>
  <c r="C452" i="21"/>
  <c r="C453" i="21"/>
  <c r="C454" i="21"/>
  <c r="C455" i="21"/>
  <c r="C456" i="21"/>
  <c r="C457" i="21"/>
  <c r="C458" i="21"/>
  <c r="C459" i="21"/>
  <c r="C460" i="21"/>
  <c r="C461" i="21"/>
  <c r="C462" i="21"/>
  <c r="C463" i="21"/>
  <c r="C464" i="21"/>
  <c r="C465" i="21"/>
  <c r="C466" i="21"/>
  <c r="C467" i="21"/>
  <c r="C468" i="21"/>
  <c r="C469" i="21"/>
  <c r="C470" i="21"/>
  <c r="C471" i="21"/>
  <c r="C472" i="21"/>
  <c r="C473" i="21"/>
  <c r="C474" i="21"/>
  <c r="C475" i="21"/>
  <c r="C476" i="21"/>
  <c r="C477" i="21"/>
  <c r="C478" i="21"/>
  <c r="C479" i="21"/>
  <c r="C480" i="21"/>
  <c r="C481" i="21"/>
  <c r="C482" i="21"/>
  <c r="C483" i="21"/>
  <c r="C484" i="21"/>
  <c r="C485" i="21"/>
  <c r="C486" i="21"/>
  <c r="C487" i="21"/>
  <c r="C488" i="21"/>
  <c r="C489" i="21"/>
  <c r="C490" i="21"/>
  <c r="C491" i="21"/>
  <c r="C492" i="21"/>
  <c r="C493" i="21"/>
  <c r="C494" i="21"/>
  <c r="C495" i="21"/>
  <c r="C496" i="21"/>
  <c r="C497" i="21"/>
  <c r="C498" i="21"/>
  <c r="C499" i="21"/>
  <c r="C500" i="21"/>
  <c r="C501" i="21"/>
  <c r="C502" i="21"/>
  <c r="C503" i="21"/>
  <c r="C504" i="21"/>
  <c r="C505" i="21"/>
  <c r="C506" i="21"/>
  <c r="C507" i="21"/>
  <c r="C508" i="21"/>
  <c r="C509" i="21"/>
  <c r="C510" i="21"/>
  <c r="C511" i="21"/>
  <c r="C512" i="21"/>
  <c r="C513" i="21"/>
  <c r="C514" i="21"/>
  <c r="C515" i="21"/>
  <c r="C516" i="21"/>
  <c r="C517" i="21"/>
  <c r="C518" i="21"/>
  <c r="C519" i="21"/>
  <c r="C520" i="21"/>
  <c r="C521" i="21"/>
  <c r="C522" i="21"/>
  <c r="C523" i="21"/>
  <c r="C524" i="21"/>
  <c r="C525" i="21"/>
  <c r="C526" i="21"/>
  <c r="C527" i="21"/>
  <c r="C528" i="21"/>
  <c r="C529" i="21"/>
  <c r="C530" i="21"/>
  <c r="C531" i="21"/>
  <c r="C532" i="21"/>
  <c r="C533" i="21"/>
  <c r="C534" i="21"/>
  <c r="C535" i="21"/>
  <c r="C536" i="21"/>
  <c r="C537" i="21"/>
  <c r="C538" i="21"/>
  <c r="C539" i="21"/>
  <c r="C540" i="21"/>
  <c r="C541" i="21"/>
  <c r="C542" i="21"/>
  <c r="C543" i="21"/>
  <c r="C544" i="21"/>
  <c r="C545" i="21"/>
  <c r="C546" i="21"/>
  <c r="C547" i="21"/>
  <c r="C548" i="21"/>
  <c r="C549" i="21"/>
  <c r="C550" i="21"/>
  <c r="C551" i="21"/>
  <c r="C552" i="21"/>
  <c r="C553" i="21"/>
  <c r="C554" i="21"/>
  <c r="C555" i="21"/>
  <c r="C556" i="21"/>
  <c r="C557" i="21"/>
  <c r="C558" i="21"/>
  <c r="C559" i="21"/>
  <c r="C560" i="21"/>
  <c r="C561" i="21"/>
  <c r="C562" i="21"/>
  <c r="C563" i="21"/>
  <c r="C564" i="21"/>
  <c r="C565" i="21"/>
  <c r="C566" i="21"/>
  <c r="C567" i="21"/>
  <c r="C568" i="21"/>
  <c r="C569" i="21"/>
  <c r="C570" i="21"/>
  <c r="C571" i="21"/>
  <c r="C572" i="21"/>
  <c r="C573" i="21"/>
  <c r="C574" i="21"/>
  <c r="C575" i="21"/>
  <c r="C576" i="21"/>
  <c r="C577" i="21"/>
  <c r="C578" i="21"/>
  <c r="C579" i="21"/>
  <c r="C580" i="21"/>
  <c r="C581" i="21"/>
  <c r="C582" i="21"/>
  <c r="C583" i="21"/>
  <c r="C584" i="21"/>
  <c r="C585" i="21"/>
  <c r="C586" i="21"/>
  <c r="C587" i="21"/>
  <c r="C588" i="21"/>
  <c r="C589" i="21"/>
  <c r="C590" i="21"/>
  <c r="C591" i="21"/>
  <c r="C592" i="21"/>
  <c r="C593" i="21"/>
  <c r="C594" i="21"/>
  <c r="C595" i="21"/>
  <c r="C596" i="21"/>
  <c r="C597" i="21"/>
  <c r="C598" i="21"/>
  <c r="C599" i="21"/>
  <c r="C600" i="21"/>
  <c r="C601" i="21"/>
  <c r="C602" i="21"/>
  <c r="C603" i="21"/>
  <c r="C604" i="21"/>
  <c r="C605" i="21"/>
  <c r="C606" i="21"/>
  <c r="C607" i="21"/>
  <c r="C608" i="21"/>
  <c r="C609" i="21"/>
  <c r="C610" i="21"/>
  <c r="C611" i="21"/>
  <c r="C612" i="21"/>
  <c r="C613" i="21"/>
  <c r="C614" i="21"/>
  <c r="C615" i="21"/>
  <c r="C616" i="21"/>
  <c r="C617" i="21"/>
  <c r="C618" i="21"/>
  <c r="C619" i="21"/>
  <c r="C620" i="21"/>
  <c r="C621" i="21"/>
  <c r="C622" i="21"/>
  <c r="C623" i="21"/>
  <c r="C624" i="21"/>
  <c r="C625" i="21"/>
  <c r="C626" i="21"/>
  <c r="C627" i="21"/>
  <c r="C628" i="21"/>
  <c r="C629" i="21"/>
  <c r="C630" i="21"/>
  <c r="C631" i="21"/>
  <c r="C632" i="21"/>
  <c r="C633" i="21"/>
  <c r="C634" i="21"/>
  <c r="C635" i="21"/>
  <c r="C636" i="21"/>
  <c r="C637" i="21"/>
  <c r="C638" i="21"/>
  <c r="C639" i="21"/>
  <c r="C640" i="21"/>
  <c r="C641" i="21"/>
  <c r="C642" i="21"/>
  <c r="C643" i="21"/>
  <c r="C644" i="21"/>
  <c r="C645" i="21"/>
  <c r="C646" i="21"/>
  <c r="C647" i="21"/>
  <c r="C648" i="21"/>
  <c r="C649" i="21"/>
  <c r="C650" i="21"/>
  <c r="C651" i="21"/>
  <c r="C652" i="21"/>
  <c r="C653" i="21"/>
  <c r="C654" i="21"/>
  <c r="C655" i="21"/>
  <c r="C656" i="21"/>
  <c r="C657" i="21"/>
  <c r="C658" i="21"/>
  <c r="C659" i="21"/>
  <c r="C660" i="21"/>
  <c r="C661" i="21"/>
  <c r="C662" i="21"/>
  <c r="C663" i="21"/>
  <c r="C664" i="21"/>
  <c r="C665" i="21"/>
  <c r="C666" i="21"/>
  <c r="C667" i="21"/>
  <c r="C668" i="21"/>
  <c r="C669" i="21"/>
  <c r="C670" i="21"/>
  <c r="C671" i="21"/>
  <c r="C672" i="21"/>
  <c r="C673" i="21"/>
  <c r="C674" i="21"/>
  <c r="C675" i="21"/>
  <c r="C676" i="21"/>
  <c r="C677" i="21"/>
  <c r="C678" i="21"/>
  <c r="C679" i="21"/>
  <c r="C680" i="21"/>
  <c r="C681" i="21"/>
  <c r="C682" i="21"/>
  <c r="C683" i="21"/>
  <c r="C684" i="21"/>
  <c r="C685" i="21"/>
  <c r="C686" i="21"/>
  <c r="C687" i="21"/>
  <c r="C688" i="21"/>
  <c r="C689" i="21"/>
  <c r="C690" i="21"/>
  <c r="C691" i="21"/>
  <c r="C692" i="21"/>
  <c r="C693" i="21"/>
  <c r="C694" i="21"/>
  <c r="C695" i="21"/>
  <c r="C696" i="21"/>
  <c r="C697" i="21"/>
  <c r="C698" i="21"/>
  <c r="C699" i="21"/>
  <c r="C700" i="21"/>
  <c r="C701" i="21"/>
  <c r="C702" i="21"/>
  <c r="C703" i="21"/>
  <c r="C704" i="21"/>
  <c r="C705" i="21"/>
  <c r="C706" i="21"/>
  <c r="C707" i="21"/>
  <c r="C708" i="21"/>
  <c r="C709" i="21"/>
  <c r="C710" i="21"/>
  <c r="C711" i="21"/>
  <c r="C712" i="21"/>
  <c r="C713" i="21"/>
  <c r="C714" i="21"/>
  <c r="C715" i="21"/>
  <c r="C716" i="21"/>
  <c r="C717" i="21"/>
  <c r="C718" i="21"/>
  <c r="C719" i="21"/>
  <c r="C720" i="21"/>
  <c r="C721" i="21"/>
  <c r="C722" i="21"/>
  <c r="C723" i="21"/>
  <c r="C724" i="21"/>
  <c r="C725" i="21"/>
  <c r="C726" i="21"/>
  <c r="C727" i="21"/>
  <c r="C728" i="21"/>
  <c r="C729" i="21"/>
  <c r="C730" i="21"/>
  <c r="C731" i="21"/>
  <c r="C732" i="21"/>
  <c r="C733" i="21"/>
  <c r="C734" i="21"/>
  <c r="C735" i="21"/>
  <c r="C736" i="21"/>
  <c r="C737" i="21"/>
  <c r="C738" i="21"/>
  <c r="C739" i="21"/>
  <c r="C740" i="21"/>
  <c r="C741" i="21"/>
  <c r="C742" i="21"/>
  <c r="C743" i="21"/>
  <c r="C744" i="21"/>
  <c r="C745" i="21"/>
  <c r="C746" i="21"/>
  <c r="C747" i="21"/>
  <c r="C748" i="21"/>
  <c r="C749" i="21"/>
  <c r="C750" i="21"/>
  <c r="C751" i="21"/>
  <c r="C752" i="21"/>
  <c r="C753" i="21"/>
  <c r="C754" i="21"/>
  <c r="C755" i="21"/>
  <c r="C756" i="21"/>
  <c r="C757" i="21"/>
  <c r="C758" i="21"/>
  <c r="C759" i="21"/>
  <c r="C760" i="21"/>
  <c r="C761" i="21"/>
  <c r="C762" i="21"/>
  <c r="C763" i="21"/>
  <c r="C764" i="21"/>
  <c r="C765" i="21"/>
  <c r="C766" i="21"/>
  <c r="C767" i="21"/>
  <c r="C768" i="21"/>
  <c r="C769" i="21"/>
  <c r="C770" i="21"/>
  <c r="C771" i="21"/>
  <c r="C772" i="21"/>
  <c r="C773" i="21"/>
  <c r="C774" i="21"/>
  <c r="C775" i="21"/>
  <c r="C776" i="21"/>
  <c r="C777" i="21"/>
  <c r="C778" i="21"/>
  <c r="C779" i="21"/>
  <c r="C780" i="21"/>
  <c r="C781" i="21"/>
  <c r="C782" i="21"/>
  <c r="C783" i="21"/>
  <c r="C784" i="21"/>
  <c r="C785" i="21"/>
  <c r="C786" i="21"/>
  <c r="C787" i="21"/>
  <c r="C788" i="21"/>
  <c r="C789" i="21"/>
  <c r="C790" i="21"/>
  <c r="C791" i="21"/>
  <c r="C792" i="21"/>
  <c r="C793" i="21"/>
  <c r="C794" i="21"/>
  <c r="C795" i="21"/>
  <c r="C796" i="21"/>
  <c r="C797" i="21"/>
  <c r="C798" i="21"/>
  <c r="C799" i="21"/>
  <c r="C800" i="21"/>
  <c r="C801" i="21"/>
  <c r="C802" i="21"/>
  <c r="C803" i="21"/>
  <c r="C804" i="21"/>
  <c r="C805" i="21"/>
  <c r="C806" i="21"/>
  <c r="C807" i="21"/>
  <c r="C808" i="21"/>
  <c r="C809" i="21"/>
  <c r="C810" i="21"/>
  <c r="C811" i="21"/>
  <c r="C812" i="21"/>
  <c r="C813" i="21"/>
  <c r="C814" i="21"/>
  <c r="C815" i="21"/>
  <c r="C816" i="21"/>
  <c r="C817" i="21"/>
  <c r="C818" i="21"/>
  <c r="C819" i="21"/>
  <c r="C820" i="21"/>
  <c r="C821" i="21"/>
  <c r="C822" i="21"/>
  <c r="C823" i="21"/>
  <c r="C824" i="21"/>
  <c r="C825" i="21"/>
  <c r="C826" i="21"/>
  <c r="C827" i="21"/>
  <c r="C828" i="21"/>
  <c r="C829" i="21"/>
  <c r="C830" i="21"/>
  <c r="C831" i="21"/>
  <c r="C832" i="21"/>
  <c r="C833" i="21"/>
  <c r="C834" i="21"/>
  <c r="C835" i="21"/>
  <c r="C836" i="21"/>
  <c r="C837" i="21"/>
  <c r="C838" i="21"/>
  <c r="C839" i="21"/>
  <c r="C840" i="21"/>
  <c r="C841" i="21"/>
  <c r="C842" i="21"/>
  <c r="C843" i="21"/>
  <c r="C844" i="21"/>
  <c r="C845" i="21"/>
  <c r="C846" i="21"/>
  <c r="C847" i="21"/>
  <c r="C848" i="21"/>
  <c r="C849" i="21"/>
  <c r="C850" i="21"/>
  <c r="C851" i="21"/>
  <c r="C852" i="21"/>
  <c r="C853" i="21"/>
  <c r="C854" i="21"/>
  <c r="C855" i="21"/>
  <c r="C856" i="21"/>
  <c r="C857" i="21"/>
  <c r="C858" i="21"/>
  <c r="C859" i="21"/>
  <c r="C860" i="21"/>
  <c r="C861" i="21"/>
  <c r="C862" i="21"/>
  <c r="C863" i="21"/>
  <c r="C864" i="21"/>
  <c r="C865" i="21"/>
  <c r="C866" i="21"/>
  <c r="C867" i="21"/>
  <c r="C868" i="21"/>
  <c r="C869" i="21"/>
  <c r="C870" i="21"/>
  <c r="C871" i="21"/>
  <c r="C872" i="21"/>
  <c r="C873" i="21"/>
  <c r="C874" i="21"/>
  <c r="C875" i="21"/>
  <c r="C876" i="21"/>
  <c r="C877" i="21"/>
  <c r="C878" i="21"/>
  <c r="C879" i="21"/>
  <c r="C880" i="21"/>
  <c r="C881" i="21"/>
  <c r="C882" i="21"/>
  <c r="C883" i="21"/>
  <c r="C884" i="21"/>
  <c r="C885" i="21"/>
  <c r="C886" i="21"/>
  <c r="C887" i="21"/>
  <c r="C888" i="21"/>
  <c r="C889" i="21"/>
  <c r="C890" i="21"/>
  <c r="C891" i="21"/>
  <c r="C892" i="21"/>
  <c r="C893" i="21"/>
  <c r="C894" i="21"/>
  <c r="C895" i="21"/>
  <c r="C896" i="21"/>
  <c r="C897" i="21"/>
  <c r="C898" i="21"/>
  <c r="C899" i="21"/>
  <c r="C900" i="21"/>
  <c r="C901" i="21"/>
  <c r="C902" i="21"/>
  <c r="C903" i="21"/>
  <c r="C904" i="21"/>
  <c r="C905" i="21"/>
  <c r="C906" i="21"/>
  <c r="C907" i="21"/>
  <c r="C908" i="21"/>
  <c r="C909" i="21"/>
  <c r="C910" i="21"/>
  <c r="C911" i="21"/>
  <c r="C912" i="21"/>
  <c r="C913" i="21"/>
  <c r="C914" i="21"/>
  <c r="C915" i="21"/>
  <c r="C916" i="21"/>
  <c r="C917" i="21"/>
  <c r="C918" i="21"/>
  <c r="C919" i="21"/>
  <c r="C920" i="21"/>
  <c r="C921" i="21"/>
  <c r="C922" i="21"/>
  <c r="C923" i="21"/>
  <c r="C924" i="21"/>
  <c r="C925" i="21"/>
  <c r="C926" i="21"/>
  <c r="C927" i="21"/>
  <c r="C928" i="21"/>
  <c r="C929" i="21"/>
  <c r="C930" i="21"/>
  <c r="C931" i="21"/>
  <c r="C932" i="21"/>
  <c r="C933" i="21"/>
  <c r="C934" i="21"/>
  <c r="C935" i="21"/>
  <c r="C936" i="21"/>
  <c r="C937" i="21"/>
  <c r="C938" i="21"/>
  <c r="C939" i="21"/>
  <c r="C940" i="21"/>
  <c r="C941" i="21"/>
  <c r="C942" i="21"/>
  <c r="C943" i="21"/>
  <c r="C944" i="21"/>
  <c r="C945" i="21"/>
  <c r="C946" i="21"/>
  <c r="C947" i="21"/>
  <c r="C948" i="21"/>
  <c r="C949" i="21"/>
  <c r="C950" i="21"/>
  <c r="C951" i="21"/>
  <c r="C952" i="21"/>
  <c r="C953" i="21"/>
  <c r="C954" i="21"/>
  <c r="C955" i="21"/>
  <c r="C956" i="21"/>
  <c r="C957" i="21"/>
  <c r="C958" i="21"/>
  <c r="C959" i="21"/>
  <c r="C960" i="21"/>
  <c r="C961" i="21"/>
  <c r="C962" i="21"/>
  <c r="C963" i="21"/>
  <c r="C964" i="21"/>
  <c r="C965" i="21"/>
  <c r="C966" i="21"/>
  <c r="C967" i="21"/>
  <c r="C968" i="21"/>
  <c r="C969" i="21"/>
  <c r="C970" i="21"/>
  <c r="C971" i="21"/>
  <c r="C972" i="21"/>
  <c r="C973" i="21"/>
  <c r="C974" i="21"/>
  <c r="C975" i="21"/>
  <c r="C976" i="21"/>
  <c r="C977" i="21"/>
  <c r="C978" i="21"/>
  <c r="C979" i="21"/>
  <c r="C980" i="21"/>
  <c r="C981" i="21"/>
  <c r="C982" i="21"/>
  <c r="C983" i="21"/>
  <c r="C984" i="21"/>
  <c r="C985" i="21"/>
  <c r="C986" i="21"/>
  <c r="C987" i="21"/>
  <c r="C988" i="21"/>
  <c r="C989" i="21"/>
  <c r="C990" i="21"/>
  <c r="C991" i="21"/>
  <c r="C992" i="21"/>
  <c r="C993" i="21"/>
  <c r="C994" i="21"/>
  <c r="C995" i="21"/>
  <c r="C996" i="21"/>
  <c r="C997" i="21"/>
  <c r="C998" i="21"/>
  <c r="C999" i="21"/>
  <c r="C1000" i="21"/>
  <c r="C1001" i="21"/>
  <c r="C1002" i="21"/>
  <c r="C1003" i="21"/>
  <c r="C1004" i="21"/>
  <c r="C1005" i="21"/>
  <c r="C1006" i="21"/>
  <c r="C1007" i="21"/>
  <c r="C1008" i="21"/>
  <c r="C1009" i="21"/>
  <c r="C1010" i="21"/>
  <c r="C1011" i="21"/>
  <c r="C1012" i="21"/>
  <c r="C1013" i="21"/>
  <c r="C1014" i="21"/>
  <c r="C1015" i="21"/>
  <c r="C1016" i="21"/>
  <c r="C1017" i="21"/>
  <c r="C1018" i="21"/>
  <c r="C1019" i="21"/>
  <c r="C1020" i="21"/>
  <c r="C1021" i="21"/>
  <c r="C1022" i="21"/>
  <c r="C1023" i="21"/>
  <c r="C1024" i="21"/>
  <c r="C1025" i="21"/>
  <c r="C1026" i="21"/>
  <c r="C1027" i="21"/>
  <c r="C1028" i="21"/>
  <c r="C1029" i="21"/>
  <c r="C1030" i="21"/>
  <c r="C1031" i="21"/>
  <c r="C1032" i="21"/>
  <c r="C1033" i="21"/>
  <c r="C1034" i="21"/>
  <c r="C1035" i="21"/>
  <c r="C1036" i="21"/>
  <c r="C1037" i="21"/>
  <c r="C1038" i="21"/>
  <c r="C1039" i="21"/>
  <c r="C1040" i="21"/>
  <c r="C1041" i="21"/>
  <c r="C1042" i="21"/>
  <c r="C1043" i="21"/>
  <c r="C1044" i="21"/>
  <c r="C1045" i="21"/>
  <c r="C1046" i="21"/>
  <c r="C1047" i="21"/>
  <c r="C1048" i="21"/>
  <c r="C1049" i="21"/>
  <c r="C1050" i="21"/>
  <c r="C1051" i="21"/>
  <c r="C1052" i="21"/>
  <c r="C1053" i="21"/>
  <c r="C1054" i="21"/>
  <c r="C1055" i="21"/>
  <c r="C1056" i="21"/>
  <c r="C1057" i="21"/>
  <c r="C1058" i="21"/>
  <c r="C1059" i="21"/>
  <c r="C1060" i="21"/>
  <c r="C1061" i="21"/>
  <c r="C1062" i="21"/>
  <c r="C1063" i="21"/>
  <c r="C1064" i="21"/>
  <c r="C1065" i="21"/>
  <c r="C1066" i="21"/>
  <c r="C1067" i="21"/>
  <c r="C1068" i="21"/>
  <c r="C1069" i="21"/>
  <c r="C1070" i="21"/>
  <c r="C1071" i="21"/>
  <c r="C1072" i="21"/>
  <c r="C1073" i="21"/>
  <c r="C1074" i="21"/>
  <c r="C1075" i="21"/>
  <c r="C1076" i="21"/>
  <c r="C1077" i="21"/>
  <c r="C1078" i="21"/>
  <c r="C1079" i="21"/>
  <c r="C1080" i="21"/>
  <c r="C1081" i="21"/>
  <c r="C1082" i="21"/>
  <c r="C1083" i="21"/>
  <c r="C1084" i="21"/>
  <c r="C1085" i="21"/>
  <c r="C1086" i="21"/>
  <c r="C1087" i="21"/>
  <c r="C1088" i="21"/>
  <c r="C1089" i="21"/>
  <c r="C1090" i="21"/>
  <c r="C1091" i="21"/>
  <c r="C1092" i="21"/>
  <c r="C1093" i="21"/>
  <c r="C1094" i="21"/>
  <c r="C1095" i="21"/>
  <c r="C1096" i="21"/>
  <c r="C1097" i="21"/>
  <c r="C1098" i="21"/>
  <c r="C1099" i="21"/>
  <c r="C1100" i="21"/>
  <c r="C1101" i="21"/>
  <c r="C1102" i="21"/>
  <c r="C1103" i="21"/>
  <c r="C1104" i="21"/>
  <c r="C1105" i="21"/>
  <c r="C1106" i="21"/>
  <c r="C1107" i="21"/>
  <c r="C1108" i="21"/>
  <c r="C1109" i="21"/>
  <c r="C1110" i="21"/>
  <c r="C1111" i="21"/>
  <c r="C1112" i="21"/>
  <c r="C1113" i="21"/>
  <c r="C1114" i="21"/>
  <c r="C1115" i="21"/>
  <c r="C1116" i="21"/>
  <c r="C1117" i="21"/>
  <c r="C1118" i="21"/>
  <c r="C1119" i="21"/>
  <c r="C1120" i="21"/>
  <c r="C1121" i="21"/>
  <c r="C1122" i="21"/>
  <c r="C1123" i="21"/>
  <c r="C1124" i="2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B205" i="21"/>
  <c r="B206" i="21"/>
  <c r="B207" i="21"/>
  <c r="B208" i="21"/>
  <c r="B209" i="21"/>
  <c r="B210" i="21"/>
  <c r="B211" i="21"/>
  <c r="B212" i="21"/>
  <c r="B213" i="21"/>
  <c r="B214" i="21"/>
  <c r="B215" i="21"/>
  <c r="B216" i="21"/>
  <c r="B217" i="21"/>
  <c r="B218" i="21"/>
  <c r="B219" i="21"/>
  <c r="B220" i="21"/>
  <c r="B221" i="21"/>
  <c r="B222" i="21"/>
  <c r="B223" i="21"/>
  <c r="B224" i="21"/>
  <c r="B225" i="21"/>
  <c r="B226" i="21"/>
  <c r="B227" i="21"/>
  <c r="B228" i="21"/>
  <c r="B229" i="21"/>
  <c r="B230" i="21"/>
  <c r="B231" i="21"/>
  <c r="B232" i="21"/>
  <c r="B233" i="21"/>
  <c r="B234" i="21"/>
  <c r="B235" i="21"/>
  <c r="B236" i="21"/>
  <c r="B237" i="21"/>
  <c r="B238" i="21"/>
  <c r="B239" i="21"/>
  <c r="B240" i="21"/>
  <c r="B241" i="21"/>
  <c r="B242" i="21"/>
  <c r="B243" i="21"/>
  <c r="B244" i="21"/>
  <c r="B245" i="21"/>
  <c r="B246" i="21"/>
  <c r="B247" i="21"/>
  <c r="B248" i="21"/>
  <c r="B249" i="21"/>
  <c r="B250" i="21"/>
  <c r="B251" i="21"/>
  <c r="B252" i="21"/>
  <c r="B253" i="21"/>
  <c r="B254" i="21"/>
  <c r="B255" i="21"/>
  <c r="B256" i="21"/>
  <c r="B257" i="21"/>
  <c r="B258" i="21"/>
  <c r="B259" i="21"/>
  <c r="B260" i="21"/>
  <c r="B261" i="21"/>
  <c r="B262" i="21"/>
  <c r="B263" i="21"/>
  <c r="B264" i="21"/>
  <c r="B265" i="21"/>
  <c r="B266" i="21"/>
  <c r="B267" i="21"/>
  <c r="B268" i="21"/>
  <c r="B269" i="21"/>
  <c r="B270" i="21"/>
  <c r="B271" i="21"/>
  <c r="B272" i="21"/>
  <c r="B273" i="21"/>
  <c r="B274" i="21"/>
  <c r="B275" i="21"/>
  <c r="B276" i="21"/>
  <c r="B277" i="21"/>
  <c r="B278" i="21"/>
  <c r="B279" i="21"/>
  <c r="B280" i="21"/>
  <c r="B281" i="21"/>
  <c r="B282" i="21"/>
  <c r="B283" i="21"/>
  <c r="B284" i="21"/>
  <c r="B285" i="21"/>
  <c r="B286" i="21"/>
  <c r="B287" i="21"/>
  <c r="B288" i="21"/>
  <c r="B289" i="21"/>
  <c r="B290" i="21"/>
  <c r="B291" i="21"/>
  <c r="B292" i="21"/>
  <c r="B293" i="21"/>
  <c r="B294" i="21"/>
  <c r="B295" i="21"/>
  <c r="B296" i="21"/>
  <c r="B297" i="21"/>
  <c r="B298" i="21"/>
  <c r="B299" i="21"/>
  <c r="B300" i="21"/>
  <c r="B301" i="21"/>
  <c r="B302" i="21"/>
  <c r="B303" i="21"/>
  <c r="B304" i="21"/>
  <c r="B305" i="21"/>
  <c r="B306" i="21"/>
  <c r="B307" i="21"/>
  <c r="B308" i="21"/>
  <c r="B309" i="21"/>
  <c r="B310" i="21"/>
  <c r="B311" i="21"/>
  <c r="B312" i="21"/>
  <c r="B313" i="21"/>
  <c r="B314" i="21"/>
  <c r="B315" i="21"/>
  <c r="B316" i="21"/>
  <c r="B317" i="21"/>
  <c r="B318" i="21"/>
  <c r="B319" i="21"/>
  <c r="B320" i="21"/>
  <c r="B321" i="21"/>
  <c r="B322" i="21"/>
  <c r="B323" i="21"/>
  <c r="B324" i="21"/>
  <c r="B325" i="21"/>
  <c r="B326" i="21"/>
  <c r="B327" i="21"/>
  <c r="B328" i="21"/>
  <c r="B329" i="21"/>
  <c r="B330" i="21"/>
  <c r="B331" i="21"/>
  <c r="B332" i="21"/>
  <c r="B333" i="21"/>
  <c r="B334" i="21"/>
  <c r="B335" i="21"/>
  <c r="B336" i="21"/>
  <c r="B337" i="21"/>
  <c r="B338" i="21"/>
  <c r="B339" i="21"/>
  <c r="B340" i="21"/>
  <c r="B341" i="21"/>
  <c r="B342" i="21"/>
  <c r="B343" i="21"/>
  <c r="B344" i="21"/>
  <c r="B345" i="21"/>
  <c r="B346" i="21"/>
  <c r="B347" i="21"/>
  <c r="B348" i="21"/>
  <c r="B349" i="21"/>
  <c r="B350" i="21"/>
  <c r="B351" i="21"/>
  <c r="B352" i="21"/>
  <c r="B353" i="21"/>
  <c r="B354" i="21"/>
  <c r="B355" i="21"/>
  <c r="B356" i="21"/>
  <c r="B357" i="21"/>
  <c r="B358" i="21"/>
  <c r="B359" i="21"/>
  <c r="B360" i="21"/>
  <c r="B361" i="21"/>
  <c r="B362" i="21"/>
  <c r="B363" i="21"/>
  <c r="B364" i="21"/>
  <c r="B365" i="21"/>
  <c r="B366" i="21"/>
  <c r="B367" i="21"/>
  <c r="B368" i="21"/>
  <c r="B369" i="21"/>
  <c r="B370" i="21"/>
  <c r="B371" i="21"/>
  <c r="B372" i="21"/>
  <c r="B373" i="21"/>
  <c r="B374" i="21"/>
  <c r="B375" i="21"/>
  <c r="B376" i="21"/>
  <c r="B377" i="21"/>
  <c r="B378" i="21"/>
  <c r="B379" i="21"/>
  <c r="B380" i="21"/>
  <c r="B381" i="21"/>
  <c r="B382" i="21"/>
  <c r="B383" i="21"/>
  <c r="B384" i="21"/>
  <c r="B385" i="21"/>
  <c r="B386" i="21"/>
  <c r="B387" i="21"/>
  <c r="B388" i="21"/>
  <c r="B389" i="21"/>
  <c r="B390" i="21"/>
  <c r="B391" i="21"/>
  <c r="B392" i="21"/>
  <c r="B393" i="21"/>
  <c r="B394" i="21"/>
  <c r="B395" i="21"/>
  <c r="B396" i="21"/>
  <c r="B397" i="21"/>
  <c r="B398" i="21"/>
  <c r="B399" i="21"/>
  <c r="B400" i="21"/>
  <c r="B401" i="21"/>
  <c r="B402" i="21"/>
  <c r="B403" i="21"/>
  <c r="B404" i="21"/>
  <c r="B405" i="21"/>
  <c r="B406" i="21"/>
  <c r="B407" i="21"/>
  <c r="B408" i="21"/>
  <c r="B409" i="21"/>
  <c r="B410" i="21"/>
  <c r="B411" i="21"/>
  <c r="B412" i="21"/>
  <c r="B413" i="21"/>
  <c r="B414" i="21"/>
  <c r="B415" i="21"/>
  <c r="B416" i="21"/>
  <c r="B417" i="21"/>
  <c r="B418" i="21"/>
  <c r="B419" i="21"/>
  <c r="B420" i="21"/>
  <c r="B421" i="21"/>
  <c r="B422" i="21"/>
  <c r="B423" i="21"/>
  <c r="B424" i="21"/>
  <c r="B425" i="21"/>
  <c r="B426" i="21"/>
  <c r="B427" i="21"/>
  <c r="B428" i="21"/>
  <c r="B429" i="21"/>
  <c r="B430" i="21"/>
  <c r="B431" i="21"/>
  <c r="B432" i="21"/>
  <c r="B433" i="21"/>
  <c r="B434" i="21"/>
  <c r="B435" i="21"/>
  <c r="B436" i="21"/>
  <c r="B437" i="21"/>
  <c r="B438" i="21"/>
  <c r="B439" i="21"/>
  <c r="B440" i="21"/>
  <c r="B441" i="21"/>
  <c r="B442" i="21"/>
  <c r="B443" i="21"/>
  <c r="B444" i="21"/>
  <c r="B445" i="21"/>
  <c r="B446" i="21"/>
  <c r="B447" i="21"/>
  <c r="B448" i="21"/>
  <c r="B449" i="21"/>
  <c r="B450" i="21"/>
  <c r="B451" i="21"/>
  <c r="B452" i="21"/>
  <c r="B453" i="21"/>
  <c r="B454" i="21"/>
  <c r="B455" i="21"/>
  <c r="B456" i="21"/>
  <c r="B457" i="21"/>
  <c r="B458" i="21"/>
  <c r="B459" i="21"/>
  <c r="B460" i="21"/>
  <c r="B461" i="21"/>
  <c r="B462" i="21"/>
  <c r="B463" i="21"/>
  <c r="B464" i="21"/>
  <c r="B465" i="21"/>
  <c r="B466" i="21"/>
  <c r="B467" i="21"/>
  <c r="B468" i="21"/>
  <c r="B469" i="21"/>
  <c r="B470" i="21"/>
  <c r="B471" i="21"/>
  <c r="B472" i="21"/>
  <c r="B473" i="21"/>
  <c r="B474" i="21"/>
  <c r="B475" i="21"/>
  <c r="B476" i="21"/>
  <c r="B477" i="21"/>
  <c r="B478" i="21"/>
  <c r="B479" i="21"/>
  <c r="B480" i="21"/>
  <c r="B481" i="21"/>
  <c r="B482" i="21"/>
  <c r="B483" i="21"/>
  <c r="B484" i="21"/>
  <c r="B485" i="21"/>
  <c r="B486" i="21"/>
  <c r="B487" i="21"/>
  <c r="B488" i="21"/>
  <c r="B489" i="21"/>
  <c r="B490" i="21"/>
  <c r="B491" i="21"/>
  <c r="B492" i="21"/>
  <c r="B493" i="21"/>
  <c r="B494" i="21"/>
  <c r="B495" i="21"/>
  <c r="B496" i="21"/>
  <c r="B497" i="21"/>
  <c r="B498" i="21"/>
  <c r="B499" i="21"/>
  <c r="B500" i="21"/>
  <c r="B501" i="21"/>
  <c r="B502" i="21"/>
  <c r="B503" i="21"/>
  <c r="B504" i="21"/>
  <c r="B505" i="21"/>
  <c r="B506" i="21"/>
  <c r="B507" i="21"/>
  <c r="B508" i="21"/>
  <c r="B509" i="21"/>
  <c r="B510" i="21"/>
  <c r="B511" i="21"/>
  <c r="B512" i="21"/>
  <c r="B513" i="21"/>
  <c r="B514" i="21"/>
  <c r="B515" i="21"/>
  <c r="B516" i="21"/>
  <c r="B517" i="21"/>
  <c r="B518" i="21"/>
  <c r="B519" i="21"/>
  <c r="B520" i="21"/>
  <c r="B521" i="21"/>
  <c r="B522" i="21"/>
  <c r="B523" i="21"/>
  <c r="B524" i="21"/>
  <c r="B525" i="21"/>
  <c r="B526" i="21"/>
  <c r="B527" i="21"/>
  <c r="B528" i="21"/>
  <c r="B529" i="21"/>
  <c r="B530" i="21"/>
  <c r="B531" i="21"/>
  <c r="B532" i="21"/>
  <c r="B533" i="21"/>
  <c r="B534" i="21"/>
  <c r="B535" i="21"/>
  <c r="B536" i="21"/>
  <c r="B537" i="21"/>
  <c r="B538" i="21"/>
  <c r="B539" i="21"/>
  <c r="B540" i="21"/>
  <c r="B541" i="21"/>
  <c r="B542" i="21"/>
  <c r="B543" i="21"/>
  <c r="B544" i="21"/>
  <c r="B545" i="21"/>
  <c r="B546" i="21"/>
  <c r="B547" i="21"/>
  <c r="B548" i="21"/>
  <c r="B549" i="21"/>
  <c r="B550" i="21"/>
  <c r="B551" i="21"/>
  <c r="B552" i="21"/>
  <c r="B553" i="21"/>
  <c r="B554" i="21"/>
  <c r="B555" i="21"/>
  <c r="B556" i="21"/>
  <c r="B557" i="21"/>
  <c r="B558" i="21"/>
  <c r="B559" i="21"/>
  <c r="B560" i="21"/>
  <c r="B561" i="21"/>
  <c r="B562" i="21"/>
  <c r="B563" i="21"/>
  <c r="B564" i="21"/>
  <c r="B565" i="21"/>
  <c r="B566" i="21"/>
  <c r="B567" i="21"/>
  <c r="B568" i="21"/>
  <c r="B569" i="21"/>
  <c r="B570" i="21"/>
  <c r="B571" i="21"/>
  <c r="B572" i="21"/>
  <c r="B573" i="21"/>
  <c r="B574" i="21"/>
  <c r="B575" i="21"/>
  <c r="B576" i="21"/>
  <c r="B577" i="21"/>
  <c r="B578" i="21"/>
  <c r="B579" i="21"/>
  <c r="B580" i="21"/>
  <c r="B581" i="21"/>
  <c r="B582" i="21"/>
  <c r="B583" i="21"/>
  <c r="B584" i="21"/>
  <c r="B585" i="21"/>
  <c r="B586" i="21"/>
  <c r="B587" i="21"/>
  <c r="B588" i="21"/>
  <c r="B589" i="21"/>
  <c r="B590" i="21"/>
  <c r="B591" i="21"/>
  <c r="B592" i="21"/>
  <c r="B593" i="21"/>
  <c r="B594" i="21"/>
  <c r="B595" i="21"/>
  <c r="B596" i="21"/>
  <c r="B597" i="21"/>
  <c r="B598" i="21"/>
  <c r="B599" i="21"/>
  <c r="B600" i="21"/>
  <c r="B601" i="21"/>
  <c r="B602" i="21"/>
  <c r="B603" i="21"/>
  <c r="B604" i="21"/>
  <c r="B605" i="21"/>
  <c r="B606" i="21"/>
  <c r="B607" i="21"/>
  <c r="B608" i="21"/>
  <c r="B609" i="21"/>
  <c r="B610" i="21"/>
  <c r="B611" i="21"/>
  <c r="B612" i="21"/>
  <c r="B613" i="21"/>
  <c r="B614" i="21"/>
  <c r="B615" i="21"/>
  <c r="B616" i="21"/>
  <c r="B617" i="21"/>
  <c r="B618" i="21"/>
  <c r="B619" i="21"/>
  <c r="B620" i="21"/>
  <c r="B621" i="21"/>
  <c r="B622" i="21"/>
  <c r="B623" i="21"/>
  <c r="B624" i="21"/>
  <c r="B625" i="21"/>
  <c r="B626" i="21"/>
  <c r="B627" i="21"/>
  <c r="B628" i="21"/>
  <c r="B629" i="21"/>
  <c r="B630" i="21"/>
  <c r="B631" i="21"/>
  <c r="B632" i="21"/>
  <c r="B633" i="21"/>
  <c r="B634" i="21"/>
  <c r="B635" i="21"/>
  <c r="B636" i="21"/>
  <c r="B637" i="21"/>
  <c r="B638" i="21"/>
  <c r="B639" i="21"/>
  <c r="B640" i="21"/>
  <c r="B641" i="21"/>
  <c r="B642" i="21"/>
  <c r="B643" i="21"/>
  <c r="B644" i="21"/>
  <c r="B645" i="21"/>
  <c r="B646" i="21"/>
  <c r="B647" i="21"/>
  <c r="B648" i="21"/>
  <c r="B649" i="21"/>
  <c r="B650" i="21"/>
  <c r="B651" i="21"/>
  <c r="B652" i="21"/>
  <c r="B653" i="21"/>
  <c r="B654" i="21"/>
  <c r="B655" i="21"/>
  <c r="B656" i="21"/>
  <c r="B657" i="21"/>
  <c r="B658" i="21"/>
  <c r="B659" i="21"/>
  <c r="B660" i="21"/>
  <c r="B661" i="21"/>
  <c r="B662" i="21"/>
  <c r="B663" i="21"/>
  <c r="B664" i="21"/>
  <c r="B665" i="21"/>
  <c r="B666" i="21"/>
  <c r="B667" i="21"/>
  <c r="B668" i="21"/>
  <c r="B669" i="21"/>
  <c r="B670" i="21"/>
  <c r="B671" i="21"/>
  <c r="B672" i="21"/>
  <c r="B673" i="21"/>
  <c r="B674" i="21"/>
  <c r="B675" i="21"/>
  <c r="B676" i="21"/>
  <c r="B677" i="21"/>
  <c r="B678" i="21"/>
  <c r="B679" i="21"/>
  <c r="B680" i="21"/>
  <c r="B681" i="21"/>
  <c r="B682" i="21"/>
  <c r="B683" i="21"/>
  <c r="B684" i="21"/>
  <c r="B685" i="21"/>
  <c r="B686" i="21"/>
  <c r="B687" i="21"/>
  <c r="B688" i="21"/>
  <c r="B689" i="21"/>
  <c r="B690" i="21"/>
  <c r="B691" i="21"/>
  <c r="B692" i="21"/>
  <c r="B693" i="21"/>
  <c r="B694" i="21"/>
  <c r="B695" i="21"/>
  <c r="B696" i="21"/>
  <c r="B697" i="21"/>
  <c r="B698" i="21"/>
  <c r="B699" i="21"/>
  <c r="B700" i="21"/>
  <c r="B701" i="21"/>
  <c r="B702" i="21"/>
  <c r="B703" i="21"/>
  <c r="B704" i="21"/>
  <c r="B705" i="21"/>
  <c r="B706" i="21"/>
  <c r="B707" i="21"/>
  <c r="B708" i="21"/>
  <c r="B709" i="21"/>
  <c r="B710" i="21"/>
  <c r="B711" i="21"/>
  <c r="B712" i="21"/>
  <c r="B713" i="21"/>
  <c r="B714" i="21"/>
  <c r="B715" i="21"/>
  <c r="B716" i="21"/>
  <c r="B717" i="21"/>
  <c r="B718" i="21"/>
  <c r="B719" i="21"/>
  <c r="B720" i="21"/>
  <c r="B721" i="21"/>
  <c r="B722" i="21"/>
  <c r="B723" i="21"/>
  <c r="B724" i="21"/>
  <c r="B725" i="21"/>
  <c r="B726" i="21"/>
  <c r="B727" i="21"/>
  <c r="B728" i="21"/>
  <c r="B729" i="21"/>
  <c r="B730" i="21"/>
  <c r="B731" i="21"/>
  <c r="B732" i="21"/>
  <c r="B733" i="21"/>
  <c r="B734" i="21"/>
  <c r="B735" i="21"/>
  <c r="B736" i="21"/>
  <c r="B737" i="21"/>
  <c r="B738" i="21"/>
  <c r="B739" i="21"/>
  <c r="B740" i="21"/>
  <c r="B741" i="21"/>
  <c r="B742" i="21"/>
  <c r="B743" i="21"/>
  <c r="B744" i="21"/>
  <c r="B745" i="21"/>
  <c r="B746" i="21"/>
  <c r="B747" i="21"/>
  <c r="B748" i="21"/>
  <c r="B749" i="21"/>
  <c r="B750" i="21"/>
  <c r="B751" i="21"/>
  <c r="B752" i="21"/>
  <c r="B753" i="21"/>
  <c r="B754" i="21"/>
  <c r="B755" i="21"/>
  <c r="B756" i="21"/>
  <c r="B757" i="21"/>
  <c r="B758" i="21"/>
  <c r="B759" i="21"/>
  <c r="B760" i="21"/>
  <c r="B761" i="21"/>
  <c r="B762" i="21"/>
  <c r="B763" i="21"/>
  <c r="B764" i="21"/>
  <c r="B765" i="21"/>
  <c r="B766" i="21"/>
  <c r="B767" i="21"/>
  <c r="B768" i="21"/>
  <c r="B769" i="21"/>
  <c r="B770" i="21"/>
  <c r="B771" i="21"/>
  <c r="B772" i="21"/>
  <c r="B773" i="21"/>
  <c r="B774" i="21"/>
  <c r="B775" i="21"/>
  <c r="B776" i="21"/>
  <c r="B777" i="21"/>
  <c r="B778" i="21"/>
  <c r="B779" i="21"/>
  <c r="B780" i="21"/>
  <c r="B781" i="21"/>
  <c r="B782" i="21"/>
  <c r="B783" i="21"/>
  <c r="B784" i="21"/>
  <c r="B785" i="21"/>
  <c r="B786" i="21"/>
  <c r="B787" i="21"/>
  <c r="B788" i="21"/>
  <c r="B789" i="21"/>
  <c r="B790" i="21"/>
  <c r="B791" i="21"/>
  <c r="B792" i="21"/>
  <c r="B793" i="21"/>
  <c r="B794" i="21"/>
  <c r="B795" i="21"/>
  <c r="B796" i="21"/>
  <c r="B797" i="21"/>
  <c r="B798" i="21"/>
  <c r="B799" i="21"/>
  <c r="B800" i="21"/>
  <c r="B801" i="21"/>
  <c r="B802" i="21"/>
  <c r="B803" i="21"/>
  <c r="B804" i="21"/>
  <c r="B805" i="21"/>
  <c r="B806" i="21"/>
  <c r="B807" i="21"/>
  <c r="B808" i="21"/>
  <c r="B809" i="21"/>
  <c r="B810" i="21"/>
  <c r="B811" i="21"/>
  <c r="B812" i="21"/>
  <c r="B813" i="21"/>
  <c r="B814" i="21"/>
  <c r="B815" i="21"/>
  <c r="B816" i="21"/>
  <c r="B817" i="21"/>
  <c r="B818" i="21"/>
  <c r="B819" i="21"/>
  <c r="B820" i="21"/>
  <c r="B821" i="21"/>
  <c r="B822" i="21"/>
  <c r="B823" i="21"/>
  <c r="B824" i="21"/>
  <c r="B825" i="21"/>
  <c r="B826" i="21"/>
  <c r="B827" i="21"/>
  <c r="B828" i="21"/>
  <c r="B829" i="21"/>
  <c r="B830" i="21"/>
  <c r="B831" i="21"/>
  <c r="B832" i="21"/>
  <c r="B833" i="21"/>
  <c r="B834" i="21"/>
  <c r="B835" i="21"/>
  <c r="B836" i="21"/>
  <c r="B837" i="21"/>
  <c r="B838" i="21"/>
  <c r="B839" i="21"/>
  <c r="B840" i="21"/>
  <c r="B841" i="21"/>
  <c r="B842" i="21"/>
  <c r="B843" i="21"/>
  <c r="B844" i="21"/>
  <c r="B845" i="21"/>
  <c r="B846" i="21"/>
  <c r="B847" i="21"/>
  <c r="B848" i="21"/>
  <c r="B849" i="21"/>
  <c r="B850" i="21"/>
  <c r="B851" i="21"/>
  <c r="B852" i="21"/>
  <c r="B853" i="21"/>
  <c r="B854" i="21"/>
  <c r="B855" i="21"/>
  <c r="B856" i="21"/>
  <c r="B857" i="21"/>
  <c r="B858" i="21"/>
  <c r="B859" i="21"/>
  <c r="B860" i="21"/>
  <c r="B861" i="21"/>
  <c r="B862" i="21"/>
  <c r="B863" i="21"/>
  <c r="B864" i="21"/>
  <c r="B865" i="21"/>
  <c r="B866" i="21"/>
  <c r="B867" i="21"/>
  <c r="B868" i="21"/>
  <c r="B869" i="21"/>
  <c r="B870" i="21"/>
  <c r="B871" i="21"/>
  <c r="B872" i="21"/>
  <c r="B873" i="21"/>
  <c r="B874" i="21"/>
  <c r="B875" i="21"/>
  <c r="B876" i="21"/>
  <c r="B877" i="21"/>
  <c r="B878" i="21"/>
  <c r="B879" i="21"/>
  <c r="B880" i="21"/>
  <c r="B881" i="21"/>
  <c r="B882" i="21"/>
  <c r="B883" i="21"/>
  <c r="B884" i="21"/>
  <c r="B885" i="21"/>
  <c r="B886" i="21"/>
  <c r="B887" i="21"/>
  <c r="B888" i="21"/>
  <c r="B889" i="21"/>
  <c r="B890" i="21"/>
  <c r="B891" i="21"/>
  <c r="B892" i="21"/>
  <c r="B893" i="21"/>
  <c r="B894" i="21"/>
  <c r="B895" i="21"/>
  <c r="B896" i="21"/>
  <c r="B897" i="21"/>
  <c r="B898" i="21"/>
  <c r="B899" i="21"/>
  <c r="B900" i="21"/>
  <c r="B901" i="21"/>
  <c r="B902" i="21"/>
  <c r="B903" i="21"/>
  <c r="B904" i="21"/>
  <c r="B905" i="21"/>
  <c r="B906" i="21"/>
  <c r="B907" i="21"/>
  <c r="B908" i="21"/>
  <c r="B909" i="21"/>
  <c r="B910" i="21"/>
  <c r="B911" i="21"/>
  <c r="B912" i="21"/>
  <c r="B913" i="21"/>
  <c r="B914" i="21"/>
  <c r="B915" i="21"/>
  <c r="B916" i="21"/>
  <c r="B917" i="21"/>
  <c r="B918" i="21"/>
  <c r="B919" i="21"/>
  <c r="B920" i="21"/>
  <c r="B921" i="21"/>
  <c r="B922" i="21"/>
  <c r="B923" i="21"/>
  <c r="B924" i="21"/>
  <c r="B925" i="21"/>
  <c r="B926" i="21"/>
  <c r="B927" i="21"/>
  <c r="B928" i="21"/>
  <c r="B929" i="21"/>
  <c r="B930" i="21"/>
  <c r="B931" i="21"/>
  <c r="B932" i="21"/>
  <c r="B933" i="21"/>
  <c r="B934" i="21"/>
  <c r="B935" i="21"/>
  <c r="B936" i="21"/>
  <c r="B937" i="21"/>
  <c r="B938" i="21"/>
  <c r="B939" i="21"/>
  <c r="B940" i="21"/>
  <c r="B941" i="21"/>
  <c r="B942" i="21"/>
  <c r="B943" i="21"/>
  <c r="B944" i="21"/>
  <c r="B945" i="21"/>
  <c r="B946" i="21"/>
  <c r="B947" i="21"/>
  <c r="B948" i="21"/>
  <c r="B949" i="21"/>
  <c r="B950" i="21"/>
  <c r="B951" i="21"/>
  <c r="B952" i="21"/>
  <c r="B953" i="21"/>
  <c r="B954" i="21"/>
  <c r="B955" i="21"/>
  <c r="B956" i="21"/>
  <c r="B957" i="21"/>
  <c r="B958" i="21"/>
  <c r="B959" i="21"/>
  <c r="B960" i="21"/>
  <c r="B961" i="21"/>
  <c r="B962" i="21"/>
  <c r="B963" i="21"/>
  <c r="B964" i="21"/>
  <c r="B965" i="21"/>
  <c r="B966" i="21"/>
  <c r="B967" i="21"/>
  <c r="B968" i="21"/>
  <c r="B969" i="21"/>
  <c r="B970" i="21"/>
  <c r="B971" i="21"/>
  <c r="B972" i="21"/>
  <c r="B973" i="21"/>
  <c r="B974" i="21"/>
  <c r="B975" i="21"/>
  <c r="B976" i="21"/>
  <c r="B977" i="21"/>
  <c r="B978" i="21"/>
  <c r="B979" i="21"/>
  <c r="B980" i="21"/>
  <c r="B981" i="21"/>
  <c r="B982" i="21"/>
  <c r="B983" i="21"/>
  <c r="B984" i="21"/>
  <c r="B985" i="21"/>
  <c r="B986" i="21"/>
  <c r="B987" i="21"/>
  <c r="B988" i="21"/>
  <c r="B989" i="21"/>
  <c r="B990" i="21"/>
  <c r="B991" i="21"/>
  <c r="B992" i="21"/>
  <c r="B993" i="21"/>
  <c r="B994" i="21"/>
  <c r="B995" i="21"/>
  <c r="B996" i="21"/>
  <c r="B997" i="21"/>
  <c r="B998" i="21"/>
  <c r="B999" i="21"/>
  <c r="B1000" i="21"/>
  <c r="B1001" i="21"/>
  <c r="B1002" i="21"/>
  <c r="B1003" i="21"/>
  <c r="B1004" i="21"/>
  <c r="B1005" i="21"/>
  <c r="B1006" i="21"/>
  <c r="B1007" i="21"/>
  <c r="B1008" i="21"/>
  <c r="B1009" i="21"/>
  <c r="B1010" i="21"/>
  <c r="B1011" i="21"/>
  <c r="B1012" i="21"/>
  <c r="B1013" i="21"/>
  <c r="B1014" i="21"/>
  <c r="B1015" i="21"/>
  <c r="B1016" i="21"/>
  <c r="B1017" i="21"/>
  <c r="B1018" i="21"/>
  <c r="B1019" i="21"/>
  <c r="B1020" i="21"/>
  <c r="B1021" i="21"/>
  <c r="B1022" i="21"/>
  <c r="B1023" i="21"/>
  <c r="B1024" i="21"/>
  <c r="B1025" i="21"/>
  <c r="B1026" i="21"/>
  <c r="B1027" i="21"/>
  <c r="B1028" i="21"/>
  <c r="B1029" i="21"/>
  <c r="B1030" i="21"/>
  <c r="B1031" i="21"/>
  <c r="B1032" i="21"/>
  <c r="B1033" i="21"/>
  <c r="B1034" i="21"/>
  <c r="B1035" i="21"/>
  <c r="B1036" i="21"/>
  <c r="B1037" i="21"/>
  <c r="B1038" i="21"/>
  <c r="B1039" i="21"/>
  <c r="B1040" i="21"/>
  <c r="B1041" i="21"/>
  <c r="B1042" i="21"/>
  <c r="B1043" i="21"/>
  <c r="B1044" i="21"/>
  <c r="B1045" i="21"/>
  <c r="B1046" i="21"/>
  <c r="B1047" i="21"/>
  <c r="B1048" i="21"/>
  <c r="B1049" i="21"/>
  <c r="B1050" i="21"/>
  <c r="B1051" i="21"/>
  <c r="B1052" i="21"/>
  <c r="B1053" i="21"/>
  <c r="B1054" i="21"/>
  <c r="B1055" i="21"/>
  <c r="B1056" i="21"/>
  <c r="B1057" i="21"/>
  <c r="B1058" i="21"/>
  <c r="B1059" i="21"/>
  <c r="B1060" i="21"/>
  <c r="B1061" i="21"/>
  <c r="B1062" i="21"/>
  <c r="B1063" i="21"/>
  <c r="B1064" i="21"/>
  <c r="B1065" i="21"/>
  <c r="B1066" i="21"/>
  <c r="B1067" i="21"/>
  <c r="B1068" i="21"/>
  <c r="B1069" i="21"/>
  <c r="B1070" i="21"/>
  <c r="B1071" i="21"/>
  <c r="B1072" i="21"/>
  <c r="B1073" i="21"/>
  <c r="B1074" i="21"/>
  <c r="B1075" i="21"/>
  <c r="B1076" i="21"/>
  <c r="B1077" i="21"/>
  <c r="B1078" i="21"/>
  <c r="B1079" i="21"/>
  <c r="B1080" i="21"/>
  <c r="B1081" i="21"/>
  <c r="B1082" i="21"/>
  <c r="B1083" i="21"/>
  <c r="B1084" i="21"/>
  <c r="B1085" i="21"/>
  <c r="B1086" i="21"/>
  <c r="B1087" i="21"/>
  <c r="B1088" i="21"/>
  <c r="B1089" i="21"/>
  <c r="B1090" i="21"/>
  <c r="B1091" i="21"/>
  <c r="B1092" i="21"/>
  <c r="B1093" i="21"/>
  <c r="B1094" i="21"/>
  <c r="B1095" i="21"/>
  <c r="B1096" i="21"/>
  <c r="B1097" i="21"/>
  <c r="B1098" i="21"/>
  <c r="B1099" i="21"/>
  <c r="B1100" i="21"/>
  <c r="B1101" i="21"/>
  <c r="B1102" i="21"/>
  <c r="B1103" i="21"/>
  <c r="B1104" i="21"/>
  <c r="B1105" i="21"/>
  <c r="B1106" i="21"/>
  <c r="B1107" i="21"/>
  <c r="B1108" i="21"/>
  <c r="B1109" i="21"/>
  <c r="B1110" i="21"/>
  <c r="B1111" i="21"/>
  <c r="B1112" i="21"/>
  <c r="B1113" i="21"/>
  <c r="B1114" i="21"/>
  <c r="B1115" i="21"/>
  <c r="B1116" i="21"/>
  <c r="B1117" i="21"/>
  <c r="B1118" i="21"/>
  <c r="B1119" i="21"/>
  <c r="B1120" i="21"/>
  <c r="B1121" i="21"/>
  <c r="B1122" i="21"/>
  <c r="B1123" i="21"/>
  <c r="B1124" i="21"/>
  <c r="B2" i="21"/>
  <c r="D2" i="21" s="1"/>
  <c r="A3" i="21"/>
  <c r="A4" i="21"/>
  <c r="D4" i="21" s="1"/>
  <c r="A5" i="21"/>
  <c r="A6" i="21"/>
  <c r="D6" i="21" s="1"/>
  <c r="A7" i="21"/>
  <c r="A8" i="21"/>
  <c r="D8" i="21" s="1"/>
  <c r="A9" i="21"/>
  <c r="A10" i="21"/>
  <c r="D10" i="21" s="1"/>
  <c r="A11" i="21"/>
  <c r="A12" i="21"/>
  <c r="D12" i="21" s="1"/>
  <c r="A13" i="21"/>
  <c r="A14" i="21"/>
  <c r="D14" i="21" s="1"/>
  <c r="A15" i="21"/>
  <c r="A16" i="21"/>
  <c r="D16" i="21" s="1"/>
  <c r="A17" i="21"/>
  <c r="A18" i="21"/>
  <c r="D18" i="21" s="1"/>
  <c r="A19" i="21"/>
  <c r="A20" i="21"/>
  <c r="D20" i="21" s="1"/>
  <c r="A21" i="21"/>
  <c r="A22" i="21"/>
  <c r="D22" i="21" s="1"/>
  <c r="A23" i="21"/>
  <c r="A24" i="21"/>
  <c r="D24" i="21" s="1"/>
  <c r="A25" i="21"/>
  <c r="A26" i="21"/>
  <c r="D26" i="21" s="1"/>
  <c r="A27" i="21"/>
  <c r="A28" i="21"/>
  <c r="D28" i="21" s="1"/>
  <c r="A29" i="21"/>
  <c r="A30" i="21"/>
  <c r="D30" i="21" s="1"/>
  <c r="A31" i="21"/>
  <c r="A32" i="21"/>
  <c r="D32" i="21" s="1"/>
  <c r="A33" i="21"/>
  <c r="A34" i="21"/>
  <c r="D34" i="21" s="1"/>
  <c r="A35" i="21"/>
  <c r="A36" i="21"/>
  <c r="D36" i="21" s="1"/>
  <c r="A37" i="21"/>
  <c r="A38" i="21"/>
  <c r="D38" i="21" s="1"/>
  <c r="A39" i="21"/>
  <c r="A40" i="21"/>
  <c r="D40" i="21" s="1"/>
  <c r="A41" i="21"/>
  <c r="A42" i="21"/>
  <c r="D42" i="21" s="1"/>
  <c r="A43" i="21"/>
  <c r="A44" i="21"/>
  <c r="D44" i="21" s="1"/>
  <c r="A45" i="21"/>
  <c r="A46" i="21"/>
  <c r="D46" i="21" s="1"/>
  <c r="A47" i="21"/>
  <c r="A48" i="21"/>
  <c r="D48" i="21" s="1"/>
  <c r="A49" i="21"/>
  <c r="A50" i="21"/>
  <c r="D50" i="21" s="1"/>
  <c r="A51" i="21"/>
  <c r="A52" i="21"/>
  <c r="D52" i="21" s="1"/>
  <c r="A53" i="21"/>
  <c r="A54" i="21"/>
  <c r="D54" i="21" s="1"/>
  <c r="A55" i="21"/>
  <c r="A56" i="21"/>
  <c r="D56" i="21" s="1"/>
  <c r="A57" i="21"/>
  <c r="A58" i="21"/>
  <c r="D58" i="21" s="1"/>
  <c r="A59" i="21"/>
  <c r="A60" i="21"/>
  <c r="D60" i="21" s="1"/>
  <c r="A61" i="21"/>
  <c r="A62" i="21"/>
  <c r="D62" i="21" s="1"/>
  <c r="A63" i="21"/>
  <c r="A64" i="21"/>
  <c r="D64" i="21" s="1"/>
  <c r="A65" i="21"/>
  <c r="A66" i="21"/>
  <c r="D66" i="21" s="1"/>
  <c r="A67" i="21"/>
  <c r="A68" i="21"/>
  <c r="D68" i="21" s="1"/>
  <c r="A69" i="21"/>
  <c r="A70" i="21"/>
  <c r="D70" i="21" s="1"/>
  <c r="A71" i="21"/>
  <c r="A72" i="21"/>
  <c r="D72" i="21" s="1"/>
  <c r="A73" i="21"/>
  <c r="A74" i="21"/>
  <c r="D74" i="21" s="1"/>
  <c r="A75" i="21"/>
  <c r="A76" i="21"/>
  <c r="D76" i="21" s="1"/>
  <c r="A77" i="21"/>
  <c r="A78" i="21"/>
  <c r="D78" i="21" s="1"/>
  <c r="A79" i="21"/>
  <c r="A80" i="21"/>
  <c r="D80" i="21" s="1"/>
  <c r="A81" i="21"/>
  <c r="A82" i="21"/>
  <c r="D82" i="21" s="1"/>
  <c r="A83" i="21"/>
  <c r="A84" i="21"/>
  <c r="D84" i="21" s="1"/>
  <c r="A85" i="21"/>
  <c r="A86" i="21"/>
  <c r="D86" i="21" s="1"/>
  <c r="A87" i="21"/>
  <c r="A88" i="21"/>
  <c r="D88" i="21" s="1"/>
  <c r="A89" i="21"/>
  <c r="A90" i="21"/>
  <c r="D90" i="21" s="1"/>
  <c r="A91" i="21"/>
  <c r="A92" i="21"/>
  <c r="D92" i="21" s="1"/>
  <c r="A93" i="21"/>
  <c r="A94" i="21"/>
  <c r="D94" i="21" s="1"/>
  <c r="A95" i="21"/>
  <c r="A96" i="21"/>
  <c r="D96" i="21" s="1"/>
  <c r="A97" i="21"/>
  <c r="A98" i="21"/>
  <c r="D98" i="21" s="1"/>
  <c r="A99" i="21"/>
  <c r="A100" i="21"/>
  <c r="D100" i="21" s="1"/>
  <c r="A101" i="21"/>
  <c r="A102" i="21"/>
  <c r="D102" i="21" s="1"/>
  <c r="A103" i="21"/>
  <c r="A104" i="21"/>
  <c r="D104" i="21" s="1"/>
  <c r="A105" i="21"/>
  <c r="A106" i="21"/>
  <c r="D106" i="21" s="1"/>
  <c r="A107" i="21"/>
  <c r="A108" i="21"/>
  <c r="D108" i="21" s="1"/>
  <c r="A109" i="21"/>
  <c r="A110" i="21"/>
  <c r="D110" i="21" s="1"/>
  <c r="A111" i="21"/>
  <c r="A112" i="21"/>
  <c r="D112" i="21" s="1"/>
  <c r="A113" i="21"/>
  <c r="A114" i="21"/>
  <c r="D114" i="21" s="1"/>
  <c r="A115" i="21"/>
  <c r="A116" i="21"/>
  <c r="D116" i="21" s="1"/>
  <c r="A117" i="21"/>
  <c r="A118" i="21"/>
  <c r="D118" i="21" s="1"/>
  <c r="A119" i="21"/>
  <c r="A120" i="21"/>
  <c r="D120" i="21" s="1"/>
  <c r="A121" i="21"/>
  <c r="A122" i="21"/>
  <c r="D122" i="21" s="1"/>
  <c r="A123" i="21"/>
  <c r="A124" i="21"/>
  <c r="D124" i="21" s="1"/>
  <c r="A125" i="21"/>
  <c r="A126" i="21"/>
  <c r="D126" i="21" s="1"/>
  <c r="A127" i="21"/>
  <c r="A128" i="21"/>
  <c r="D128" i="21" s="1"/>
  <c r="A129" i="21"/>
  <c r="A130" i="21"/>
  <c r="D130" i="21" s="1"/>
  <c r="A131" i="21"/>
  <c r="A132" i="21"/>
  <c r="D132" i="21" s="1"/>
  <c r="A133" i="21"/>
  <c r="A134" i="21"/>
  <c r="D134" i="21" s="1"/>
  <c r="A135" i="21"/>
  <c r="A136" i="21"/>
  <c r="D136" i="21" s="1"/>
  <c r="A137" i="21"/>
  <c r="A138" i="21"/>
  <c r="D138" i="21" s="1"/>
  <c r="A139" i="21"/>
  <c r="A140" i="21"/>
  <c r="D140" i="21" s="1"/>
  <c r="A141" i="21"/>
  <c r="A142" i="21"/>
  <c r="D142" i="21" s="1"/>
  <c r="A143" i="21"/>
  <c r="A144" i="21"/>
  <c r="D144" i="21" s="1"/>
  <c r="A145" i="21"/>
  <c r="A146" i="21"/>
  <c r="D146" i="21" s="1"/>
  <c r="A147" i="21"/>
  <c r="A148" i="21"/>
  <c r="D148" i="21" s="1"/>
  <c r="A149" i="21"/>
  <c r="A150" i="21"/>
  <c r="D150" i="21" s="1"/>
  <c r="A151" i="21"/>
  <c r="A152" i="21"/>
  <c r="D152" i="21" s="1"/>
  <c r="A153" i="21"/>
  <c r="A154" i="21"/>
  <c r="D154" i="21" s="1"/>
  <c r="A155" i="21"/>
  <c r="A156" i="21"/>
  <c r="D156" i="21" s="1"/>
  <c r="A157" i="21"/>
  <c r="A158" i="21"/>
  <c r="D158" i="21" s="1"/>
  <c r="A159" i="21"/>
  <c r="A160" i="21"/>
  <c r="D160" i="21" s="1"/>
  <c r="A161" i="21"/>
  <c r="A162" i="21"/>
  <c r="D162" i="21" s="1"/>
  <c r="A163" i="21"/>
  <c r="A164" i="21"/>
  <c r="D164" i="21" s="1"/>
  <c r="A165" i="21"/>
  <c r="A166" i="21"/>
  <c r="D166" i="21" s="1"/>
  <c r="A167" i="21"/>
  <c r="A168" i="21"/>
  <c r="D168" i="21" s="1"/>
  <c r="A169" i="21"/>
  <c r="A170" i="21"/>
  <c r="D170" i="21" s="1"/>
  <c r="A171" i="21"/>
  <c r="A172" i="21"/>
  <c r="D172" i="21" s="1"/>
  <c r="A173" i="21"/>
  <c r="A174" i="21"/>
  <c r="D174" i="21" s="1"/>
  <c r="A175" i="21"/>
  <c r="A176" i="21"/>
  <c r="D176" i="21" s="1"/>
  <c r="A177" i="21"/>
  <c r="A178" i="21"/>
  <c r="D178" i="21" s="1"/>
  <c r="A179" i="21"/>
  <c r="A180" i="21"/>
  <c r="D180" i="21" s="1"/>
  <c r="A181" i="21"/>
  <c r="A182" i="21"/>
  <c r="D182" i="21" s="1"/>
  <c r="A183" i="21"/>
  <c r="A184" i="21"/>
  <c r="D184" i="21" s="1"/>
  <c r="A185" i="21"/>
  <c r="A186" i="21"/>
  <c r="D186" i="21" s="1"/>
  <c r="A187" i="21"/>
  <c r="A188" i="21"/>
  <c r="D188" i="21" s="1"/>
  <c r="A189" i="21"/>
  <c r="A190" i="21"/>
  <c r="D190" i="21" s="1"/>
  <c r="A191" i="21"/>
  <c r="A192" i="21"/>
  <c r="D192" i="21" s="1"/>
  <c r="A193" i="21"/>
  <c r="A194" i="21"/>
  <c r="D194" i="21" s="1"/>
  <c r="A195" i="21"/>
  <c r="A196" i="21"/>
  <c r="D196" i="21" s="1"/>
  <c r="A197" i="21"/>
  <c r="A198" i="21"/>
  <c r="D198" i="21" s="1"/>
  <c r="A199" i="21"/>
  <c r="A200" i="21"/>
  <c r="D200" i="21" s="1"/>
  <c r="A201" i="21"/>
  <c r="A202" i="21"/>
  <c r="D202" i="21" s="1"/>
  <c r="A203" i="21"/>
  <c r="A204" i="21"/>
  <c r="D204" i="21" s="1"/>
  <c r="A205" i="21"/>
  <c r="A206" i="21"/>
  <c r="D206" i="21" s="1"/>
  <c r="A207" i="21"/>
  <c r="A208" i="21"/>
  <c r="D208" i="21" s="1"/>
  <c r="A209" i="21"/>
  <c r="A210" i="21"/>
  <c r="D210" i="21" s="1"/>
  <c r="A211" i="21"/>
  <c r="A212" i="21"/>
  <c r="D212" i="21" s="1"/>
  <c r="A213" i="21"/>
  <c r="A214" i="21"/>
  <c r="D214" i="21" s="1"/>
  <c r="A215" i="21"/>
  <c r="A216" i="21"/>
  <c r="D216" i="21" s="1"/>
  <c r="A217" i="21"/>
  <c r="A218" i="21"/>
  <c r="D218" i="21" s="1"/>
  <c r="A219" i="21"/>
  <c r="A220" i="21"/>
  <c r="D220" i="21" s="1"/>
  <c r="A221" i="21"/>
  <c r="A222" i="21"/>
  <c r="D222" i="21" s="1"/>
  <c r="A223" i="21"/>
  <c r="A224" i="21"/>
  <c r="D224" i="21" s="1"/>
  <c r="A225" i="21"/>
  <c r="A226" i="21"/>
  <c r="D226" i="21" s="1"/>
  <c r="A227" i="21"/>
  <c r="A228" i="21"/>
  <c r="D228" i="21" s="1"/>
  <c r="A229" i="21"/>
  <c r="A230" i="21"/>
  <c r="D230" i="21" s="1"/>
  <c r="A231" i="21"/>
  <c r="A232" i="21"/>
  <c r="D232" i="21" s="1"/>
  <c r="A233" i="21"/>
  <c r="A234" i="21"/>
  <c r="D234" i="21" s="1"/>
  <c r="A235" i="21"/>
  <c r="A236" i="21"/>
  <c r="D236" i="21" s="1"/>
  <c r="A237" i="21"/>
  <c r="A238" i="21"/>
  <c r="D238" i="21" s="1"/>
  <c r="A239" i="21"/>
  <c r="A240" i="21"/>
  <c r="D240" i="21" s="1"/>
  <c r="A241" i="21"/>
  <c r="A242" i="21"/>
  <c r="D242" i="21" s="1"/>
  <c r="A243" i="21"/>
  <c r="A244" i="21"/>
  <c r="D244" i="21" s="1"/>
  <c r="A245" i="21"/>
  <c r="A246" i="21"/>
  <c r="D246" i="21" s="1"/>
  <c r="A247" i="21"/>
  <c r="A248" i="21"/>
  <c r="D248" i="21" s="1"/>
  <c r="A249" i="21"/>
  <c r="A250" i="21"/>
  <c r="D250" i="21" s="1"/>
  <c r="A251" i="21"/>
  <c r="A252" i="21"/>
  <c r="D252" i="21" s="1"/>
  <c r="A253" i="21"/>
  <c r="A254" i="21"/>
  <c r="D254" i="21" s="1"/>
  <c r="A255" i="21"/>
  <c r="A256" i="21"/>
  <c r="D256" i="21" s="1"/>
  <c r="A257" i="21"/>
  <c r="A258" i="21"/>
  <c r="D258" i="21" s="1"/>
  <c r="A259" i="21"/>
  <c r="A260" i="21"/>
  <c r="D260" i="21" s="1"/>
  <c r="A261" i="21"/>
  <c r="A262" i="21"/>
  <c r="D262" i="21" s="1"/>
  <c r="A263" i="21"/>
  <c r="A264" i="21"/>
  <c r="D264" i="21" s="1"/>
  <c r="A265" i="21"/>
  <c r="A266" i="21"/>
  <c r="D266" i="21" s="1"/>
  <c r="A267" i="21"/>
  <c r="A268" i="21"/>
  <c r="D268" i="21" s="1"/>
  <c r="A269" i="21"/>
  <c r="A270" i="21"/>
  <c r="D270" i="21" s="1"/>
  <c r="A271" i="21"/>
  <c r="A272" i="21"/>
  <c r="D272" i="21" s="1"/>
  <c r="A273" i="21"/>
  <c r="A274" i="21"/>
  <c r="D274" i="21" s="1"/>
  <c r="A275" i="21"/>
  <c r="A276" i="21"/>
  <c r="D276" i="21" s="1"/>
  <c r="A277" i="21"/>
  <c r="A278" i="21"/>
  <c r="D278" i="21" s="1"/>
  <c r="A279" i="21"/>
  <c r="A280" i="21"/>
  <c r="D280" i="21" s="1"/>
  <c r="A281" i="21"/>
  <c r="A282" i="21"/>
  <c r="D282" i="21" s="1"/>
  <c r="A283" i="21"/>
  <c r="A284" i="21"/>
  <c r="D284" i="21" s="1"/>
  <c r="A285" i="21"/>
  <c r="A286" i="21"/>
  <c r="D286" i="21" s="1"/>
  <c r="A287" i="21"/>
  <c r="A288" i="21"/>
  <c r="D288" i="21" s="1"/>
  <c r="A289" i="21"/>
  <c r="A290" i="21"/>
  <c r="D290" i="21" s="1"/>
  <c r="A291" i="21"/>
  <c r="A292" i="21"/>
  <c r="D292" i="21" s="1"/>
  <c r="A293" i="21"/>
  <c r="A294" i="21"/>
  <c r="D294" i="21" s="1"/>
  <c r="A295" i="21"/>
  <c r="A296" i="21"/>
  <c r="D296" i="21" s="1"/>
  <c r="A297" i="21"/>
  <c r="A298" i="21"/>
  <c r="D298" i="21" s="1"/>
  <c r="A299" i="21"/>
  <c r="A300" i="21"/>
  <c r="D300" i="21" s="1"/>
  <c r="A301" i="21"/>
  <c r="A302" i="21"/>
  <c r="D302" i="21" s="1"/>
  <c r="A303" i="21"/>
  <c r="A304" i="21"/>
  <c r="D304" i="21" s="1"/>
  <c r="A305" i="21"/>
  <c r="A306" i="21"/>
  <c r="D306" i="21" s="1"/>
  <c r="A307" i="21"/>
  <c r="A308" i="21"/>
  <c r="D308" i="21" s="1"/>
  <c r="A309" i="21"/>
  <c r="A310" i="21"/>
  <c r="D310" i="21" s="1"/>
  <c r="A311" i="21"/>
  <c r="A312" i="21"/>
  <c r="D312" i="21" s="1"/>
  <c r="A313" i="21"/>
  <c r="A314" i="21"/>
  <c r="D314" i="21" s="1"/>
  <c r="A315" i="21"/>
  <c r="A316" i="21"/>
  <c r="D316" i="21" s="1"/>
  <c r="A317" i="21"/>
  <c r="A318" i="21"/>
  <c r="D318" i="21" s="1"/>
  <c r="A319" i="21"/>
  <c r="A320" i="21"/>
  <c r="D320" i="21" s="1"/>
  <c r="A321" i="21"/>
  <c r="A322" i="21"/>
  <c r="D322" i="21" s="1"/>
  <c r="A323" i="21"/>
  <c r="A324" i="21"/>
  <c r="D324" i="21" s="1"/>
  <c r="A325" i="21"/>
  <c r="A326" i="21"/>
  <c r="D326" i="21" s="1"/>
  <c r="A327" i="21"/>
  <c r="A328" i="21"/>
  <c r="D328" i="21" s="1"/>
  <c r="A329" i="21"/>
  <c r="A330" i="21"/>
  <c r="D330" i="21" s="1"/>
  <c r="A331" i="21"/>
  <c r="A332" i="21"/>
  <c r="D332" i="21" s="1"/>
  <c r="A333" i="21"/>
  <c r="A334" i="21"/>
  <c r="D334" i="21" s="1"/>
  <c r="A335" i="21"/>
  <c r="A336" i="21"/>
  <c r="D336" i="21" s="1"/>
  <c r="A337" i="21"/>
  <c r="A338" i="21"/>
  <c r="D338" i="21" s="1"/>
  <c r="A339" i="21"/>
  <c r="A340" i="21"/>
  <c r="D340" i="21" s="1"/>
  <c r="A341" i="21"/>
  <c r="A342" i="21"/>
  <c r="D342" i="21" s="1"/>
  <c r="A343" i="21"/>
  <c r="A344" i="21"/>
  <c r="D344" i="21" s="1"/>
  <c r="A345" i="21"/>
  <c r="A346" i="21"/>
  <c r="D346" i="21" s="1"/>
  <c r="A347" i="21"/>
  <c r="A348" i="21"/>
  <c r="D348" i="21" s="1"/>
  <c r="A349" i="21"/>
  <c r="A350" i="21"/>
  <c r="D350" i="21" s="1"/>
  <c r="A351" i="21"/>
  <c r="A352" i="21"/>
  <c r="D352" i="21" s="1"/>
  <c r="A353" i="21"/>
  <c r="A354" i="21"/>
  <c r="D354" i="21" s="1"/>
  <c r="A355" i="21"/>
  <c r="A356" i="21"/>
  <c r="D356" i="21" s="1"/>
  <c r="A357" i="21"/>
  <c r="A358" i="21"/>
  <c r="D358" i="21" s="1"/>
  <c r="A359" i="21"/>
  <c r="A360" i="21"/>
  <c r="D360" i="21" s="1"/>
  <c r="A361" i="21"/>
  <c r="A362" i="21"/>
  <c r="D362" i="21" s="1"/>
  <c r="A363" i="21"/>
  <c r="A364" i="21"/>
  <c r="D364" i="21" s="1"/>
  <c r="A365" i="21"/>
  <c r="A366" i="21"/>
  <c r="D366" i="21" s="1"/>
  <c r="A367" i="21"/>
  <c r="A368" i="21"/>
  <c r="D368" i="21" s="1"/>
  <c r="A369" i="21"/>
  <c r="A370" i="21"/>
  <c r="D370" i="21" s="1"/>
  <c r="A371" i="21"/>
  <c r="A372" i="21"/>
  <c r="D372" i="21" s="1"/>
  <c r="A373" i="21"/>
  <c r="A374" i="21"/>
  <c r="D374" i="21" s="1"/>
  <c r="A375" i="21"/>
  <c r="A376" i="21"/>
  <c r="D376" i="21" s="1"/>
  <c r="A377" i="21"/>
  <c r="A378" i="21"/>
  <c r="D378" i="21" s="1"/>
  <c r="A379" i="21"/>
  <c r="A380" i="21"/>
  <c r="D380" i="21" s="1"/>
  <c r="A381" i="21"/>
  <c r="A382" i="21"/>
  <c r="D382" i="21" s="1"/>
  <c r="A383" i="21"/>
  <c r="A384" i="21"/>
  <c r="D384" i="21" s="1"/>
  <c r="A385" i="21"/>
  <c r="A386" i="21"/>
  <c r="D386" i="21" s="1"/>
  <c r="A387" i="21"/>
  <c r="A388" i="21"/>
  <c r="D388" i="21" s="1"/>
  <c r="A389" i="21"/>
  <c r="A390" i="21"/>
  <c r="D390" i="21" s="1"/>
  <c r="A391" i="21"/>
  <c r="A392" i="21"/>
  <c r="D392" i="21" s="1"/>
  <c r="A393" i="21"/>
  <c r="A394" i="21"/>
  <c r="D394" i="21" s="1"/>
  <c r="A395" i="21"/>
  <c r="A396" i="21"/>
  <c r="D396" i="21" s="1"/>
  <c r="A397" i="21"/>
  <c r="A398" i="21"/>
  <c r="D398" i="21" s="1"/>
  <c r="A399" i="21"/>
  <c r="A400" i="21"/>
  <c r="D400" i="21" s="1"/>
  <c r="A401" i="21"/>
  <c r="A402" i="21"/>
  <c r="D402" i="21" s="1"/>
  <c r="A403" i="21"/>
  <c r="A404" i="21"/>
  <c r="D404" i="21" s="1"/>
  <c r="A405" i="21"/>
  <c r="A406" i="21"/>
  <c r="D406" i="21" s="1"/>
  <c r="A407" i="21"/>
  <c r="A408" i="21"/>
  <c r="D408" i="21" s="1"/>
  <c r="A409" i="21"/>
  <c r="A410" i="21"/>
  <c r="D410" i="21" s="1"/>
  <c r="A411" i="21"/>
  <c r="A412" i="21"/>
  <c r="D412" i="21" s="1"/>
  <c r="A413" i="21"/>
  <c r="A414" i="21"/>
  <c r="D414" i="21" s="1"/>
  <c r="A415" i="21"/>
  <c r="A416" i="21"/>
  <c r="D416" i="21" s="1"/>
  <c r="A417" i="21"/>
  <c r="A418" i="21"/>
  <c r="D418" i="21" s="1"/>
  <c r="A419" i="21"/>
  <c r="A420" i="21"/>
  <c r="D420" i="21" s="1"/>
  <c r="A421" i="21"/>
  <c r="A422" i="21"/>
  <c r="D422" i="21" s="1"/>
  <c r="A423" i="21"/>
  <c r="A424" i="21"/>
  <c r="D424" i="21" s="1"/>
  <c r="A425" i="21"/>
  <c r="A426" i="21"/>
  <c r="D426" i="21" s="1"/>
  <c r="A427" i="21"/>
  <c r="A428" i="21"/>
  <c r="D428" i="21" s="1"/>
  <c r="A429" i="21"/>
  <c r="A430" i="21"/>
  <c r="D430" i="21" s="1"/>
  <c r="A431" i="21"/>
  <c r="A432" i="21"/>
  <c r="D432" i="21" s="1"/>
  <c r="A433" i="21"/>
  <c r="A434" i="21"/>
  <c r="D434" i="21" s="1"/>
  <c r="A435" i="21"/>
  <c r="A436" i="21"/>
  <c r="D436" i="21" s="1"/>
  <c r="A437" i="21"/>
  <c r="A438" i="21"/>
  <c r="D438" i="21" s="1"/>
  <c r="A439" i="21"/>
  <c r="A440" i="21"/>
  <c r="D440" i="21" s="1"/>
  <c r="A441" i="21"/>
  <c r="A442" i="21"/>
  <c r="D442" i="21" s="1"/>
  <c r="A443" i="21"/>
  <c r="A444" i="21"/>
  <c r="D444" i="21" s="1"/>
  <c r="A445" i="21"/>
  <c r="A446" i="21"/>
  <c r="D446" i="21" s="1"/>
  <c r="A447" i="21"/>
  <c r="A448" i="21"/>
  <c r="D448" i="21" s="1"/>
  <c r="A449" i="21"/>
  <c r="A450" i="21"/>
  <c r="D450" i="21" s="1"/>
  <c r="A451" i="21"/>
  <c r="A452" i="21"/>
  <c r="D452" i="21" s="1"/>
  <c r="A453" i="21"/>
  <c r="A454" i="21"/>
  <c r="D454" i="21" s="1"/>
  <c r="A455" i="21"/>
  <c r="A456" i="21"/>
  <c r="D456" i="21" s="1"/>
  <c r="A457" i="21"/>
  <c r="A458" i="21"/>
  <c r="D458" i="21" s="1"/>
  <c r="A459" i="21"/>
  <c r="A460" i="21"/>
  <c r="D460" i="21" s="1"/>
  <c r="A461" i="21"/>
  <c r="A462" i="21"/>
  <c r="D462" i="21" s="1"/>
  <c r="A463" i="21"/>
  <c r="A464" i="21"/>
  <c r="D464" i="21" s="1"/>
  <c r="A465" i="21"/>
  <c r="A466" i="21"/>
  <c r="D466" i="21" s="1"/>
  <c r="A467" i="21"/>
  <c r="A468" i="21"/>
  <c r="D468" i="21" s="1"/>
  <c r="A469" i="21"/>
  <c r="A470" i="21"/>
  <c r="D470" i="21" s="1"/>
  <c r="A471" i="21"/>
  <c r="A472" i="21"/>
  <c r="D472" i="21" s="1"/>
  <c r="A473" i="21"/>
  <c r="A474" i="21"/>
  <c r="D474" i="21" s="1"/>
  <c r="A475" i="21"/>
  <c r="A476" i="21"/>
  <c r="D476" i="21" s="1"/>
  <c r="A477" i="21"/>
  <c r="A478" i="21"/>
  <c r="D478" i="21" s="1"/>
  <c r="A479" i="21"/>
  <c r="A480" i="21"/>
  <c r="D480" i="21" s="1"/>
  <c r="A481" i="21"/>
  <c r="A482" i="21"/>
  <c r="D482" i="21" s="1"/>
  <c r="A483" i="21"/>
  <c r="A484" i="21"/>
  <c r="D484" i="21" s="1"/>
  <c r="A485" i="21"/>
  <c r="A486" i="21"/>
  <c r="D486" i="21" s="1"/>
  <c r="A487" i="21"/>
  <c r="A488" i="21"/>
  <c r="D488" i="21" s="1"/>
  <c r="A489" i="21"/>
  <c r="A490" i="21"/>
  <c r="D490" i="21" s="1"/>
  <c r="A491" i="21"/>
  <c r="A492" i="21"/>
  <c r="D492" i="21" s="1"/>
  <c r="A493" i="21"/>
  <c r="A494" i="21"/>
  <c r="D494" i="21" s="1"/>
  <c r="A495" i="21"/>
  <c r="A496" i="21"/>
  <c r="D496" i="21" s="1"/>
  <c r="A497" i="21"/>
  <c r="A498" i="21"/>
  <c r="D498" i="21" s="1"/>
  <c r="A499" i="21"/>
  <c r="A500" i="21"/>
  <c r="D500" i="21" s="1"/>
  <c r="A501" i="21"/>
  <c r="A502" i="21"/>
  <c r="D502" i="21" s="1"/>
  <c r="A503" i="21"/>
  <c r="A504" i="21"/>
  <c r="D504" i="21" s="1"/>
  <c r="A505" i="21"/>
  <c r="A506" i="21"/>
  <c r="D506" i="21" s="1"/>
  <c r="A507" i="21"/>
  <c r="A508" i="21"/>
  <c r="D508" i="21" s="1"/>
  <c r="A509" i="21"/>
  <c r="A510" i="21"/>
  <c r="D510" i="21" s="1"/>
  <c r="A511" i="21"/>
  <c r="A512" i="21"/>
  <c r="D512" i="21" s="1"/>
  <c r="A513" i="21"/>
  <c r="A514" i="21"/>
  <c r="D514" i="21" s="1"/>
  <c r="A515" i="21"/>
  <c r="A516" i="21"/>
  <c r="D516" i="21" s="1"/>
  <c r="A517" i="21"/>
  <c r="A518" i="21"/>
  <c r="D518" i="21" s="1"/>
  <c r="A519" i="21"/>
  <c r="A520" i="21"/>
  <c r="D520" i="21" s="1"/>
  <c r="A521" i="21"/>
  <c r="A522" i="21"/>
  <c r="D522" i="21" s="1"/>
  <c r="A523" i="21"/>
  <c r="A524" i="21"/>
  <c r="D524" i="21" s="1"/>
  <c r="A525" i="21"/>
  <c r="A526" i="21"/>
  <c r="D526" i="21" s="1"/>
  <c r="A527" i="21"/>
  <c r="A528" i="21"/>
  <c r="D528" i="21" s="1"/>
  <c r="A529" i="21"/>
  <c r="A530" i="21"/>
  <c r="D530" i="21" s="1"/>
  <c r="A531" i="21"/>
  <c r="A532" i="21"/>
  <c r="D532" i="21" s="1"/>
  <c r="A533" i="21"/>
  <c r="A534" i="21"/>
  <c r="D534" i="21" s="1"/>
  <c r="A535" i="21"/>
  <c r="A536" i="21"/>
  <c r="D536" i="21" s="1"/>
  <c r="A537" i="21"/>
  <c r="A538" i="21"/>
  <c r="D538" i="21" s="1"/>
  <c r="A539" i="21"/>
  <c r="A540" i="21"/>
  <c r="D540" i="21" s="1"/>
  <c r="A541" i="21"/>
  <c r="A542" i="21"/>
  <c r="D542" i="21" s="1"/>
  <c r="A543" i="21"/>
  <c r="A544" i="21"/>
  <c r="D544" i="21" s="1"/>
  <c r="A545" i="21"/>
  <c r="A546" i="21"/>
  <c r="D546" i="21" s="1"/>
  <c r="A547" i="21"/>
  <c r="A548" i="21"/>
  <c r="D548" i="21" s="1"/>
  <c r="A549" i="21"/>
  <c r="A550" i="21"/>
  <c r="D550" i="21" s="1"/>
  <c r="A551" i="21"/>
  <c r="A552" i="21"/>
  <c r="D552" i="21" s="1"/>
  <c r="A553" i="21"/>
  <c r="A554" i="21"/>
  <c r="D554" i="21" s="1"/>
  <c r="A555" i="21"/>
  <c r="A556" i="21"/>
  <c r="D556" i="21" s="1"/>
  <c r="A557" i="21"/>
  <c r="A558" i="21"/>
  <c r="D558" i="21" s="1"/>
  <c r="A559" i="21"/>
  <c r="A560" i="21"/>
  <c r="D560" i="21" s="1"/>
  <c r="A561" i="21"/>
  <c r="A562" i="21"/>
  <c r="D562" i="21" s="1"/>
  <c r="A563" i="21"/>
  <c r="A564" i="21"/>
  <c r="D564" i="21" s="1"/>
  <c r="A565" i="21"/>
  <c r="A566" i="21"/>
  <c r="D566" i="21" s="1"/>
  <c r="A567" i="21"/>
  <c r="A568" i="21"/>
  <c r="D568" i="21" s="1"/>
  <c r="A569" i="21"/>
  <c r="A570" i="21"/>
  <c r="D570" i="21" s="1"/>
  <c r="A571" i="21"/>
  <c r="A572" i="21"/>
  <c r="D572" i="21" s="1"/>
  <c r="A573" i="21"/>
  <c r="A574" i="21"/>
  <c r="D574" i="21" s="1"/>
  <c r="A575" i="21"/>
  <c r="A576" i="21"/>
  <c r="D576" i="21" s="1"/>
  <c r="A577" i="21"/>
  <c r="A578" i="21"/>
  <c r="D578" i="21" s="1"/>
  <c r="A579" i="21"/>
  <c r="A580" i="21"/>
  <c r="D580" i="21" s="1"/>
  <c r="A581" i="21"/>
  <c r="A582" i="21"/>
  <c r="D582" i="21" s="1"/>
  <c r="A583" i="21"/>
  <c r="A584" i="21"/>
  <c r="D584" i="21" s="1"/>
  <c r="A585" i="21"/>
  <c r="A586" i="21"/>
  <c r="D586" i="21" s="1"/>
  <c r="A587" i="21"/>
  <c r="A588" i="21"/>
  <c r="D588" i="21" s="1"/>
  <c r="A589" i="21"/>
  <c r="A590" i="21"/>
  <c r="D590" i="21" s="1"/>
  <c r="A591" i="21"/>
  <c r="A592" i="21"/>
  <c r="D592" i="21" s="1"/>
  <c r="A593" i="21"/>
  <c r="A594" i="21"/>
  <c r="D594" i="21" s="1"/>
  <c r="A595" i="21"/>
  <c r="A596" i="21"/>
  <c r="D596" i="21" s="1"/>
  <c r="A597" i="21"/>
  <c r="A598" i="21"/>
  <c r="D598" i="21" s="1"/>
  <c r="A599" i="21"/>
  <c r="A600" i="21"/>
  <c r="D600" i="21" s="1"/>
  <c r="A601" i="21"/>
  <c r="A602" i="21"/>
  <c r="D602" i="21" s="1"/>
  <c r="A603" i="21"/>
  <c r="A604" i="21"/>
  <c r="D604" i="21" s="1"/>
  <c r="A605" i="21"/>
  <c r="A606" i="21"/>
  <c r="D606" i="21" s="1"/>
  <c r="A607" i="21"/>
  <c r="A608" i="21"/>
  <c r="D608" i="21" s="1"/>
  <c r="A609" i="21"/>
  <c r="A610" i="21"/>
  <c r="D610" i="21" s="1"/>
  <c r="A611" i="21"/>
  <c r="A612" i="21"/>
  <c r="D612" i="21" s="1"/>
  <c r="A613" i="21"/>
  <c r="A614" i="21"/>
  <c r="D614" i="21" s="1"/>
  <c r="A615" i="21"/>
  <c r="A616" i="21"/>
  <c r="D616" i="21" s="1"/>
  <c r="A617" i="21"/>
  <c r="A618" i="21"/>
  <c r="D618" i="21" s="1"/>
  <c r="A619" i="21"/>
  <c r="A620" i="21"/>
  <c r="D620" i="21" s="1"/>
  <c r="A621" i="21"/>
  <c r="A622" i="21"/>
  <c r="D622" i="21" s="1"/>
  <c r="A623" i="21"/>
  <c r="A624" i="21"/>
  <c r="D624" i="21" s="1"/>
  <c r="A625" i="21"/>
  <c r="A626" i="21"/>
  <c r="D626" i="21" s="1"/>
  <c r="A627" i="21"/>
  <c r="A628" i="21"/>
  <c r="D628" i="21" s="1"/>
  <c r="A629" i="21"/>
  <c r="A630" i="21"/>
  <c r="D630" i="21" s="1"/>
  <c r="A631" i="21"/>
  <c r="A632" i="21"/>
  <c r="D632" i="21" s="1"/>
  <c r="A633" i="21"/>
  <c r="A634" i="21"/>
  <c r="D634" i="21" s="1"/>
  <c r="A635" i="21"/>
  <c r="A636" i="21"/>
  <c r="D636" i="21" s="1"/>
  <c r="A637" i="21"/>
  <c r="A638" i="21"/>
  <c r="D638" i="21" s="1"/>
  <c r="A639" i="21"/>
  <c r="A640" i="21"/>
  <c r="D640" i="21" s="1"/>
  <c r="A641" i="21"/>
  <c r="A642" i="21"/>
  <c r="D642" i="21" s="1"/>
  <c r="A643" i="21"/>
  <c r="A644" i="21"/>
  <c r="D644" i="21" s="1"/>
  <c r="A645" i="21"/>
  <c r="A646" i="21"/>
  <c r="D646" i="21" s="1"/>
  <c r="A647" i="21"/>
  <c r="A648" i="21"/>
  <c r="D648" i="21" s="1"/>
  <c r="A649" i="21"/>
  <c r="A650" i="21"/>
  <c r="D650" i="21" s="1"/>
  <c r="A651" i="21"/>
  <c r="A652" i="21"/>
  <c r="D652" i="21" s="1"/>
  <c r="A653" i="21"/>
  <c r="A654" i="21"/>
  <c r="D654" i="21" s="1"/>
  <c r="A655" i="21"/>
  <c r="A656" i="21"/>
  <c r="D656" i="21" s="1"/>
  <c r="A657" i="21"/>
  <c r="A658" i="21"/>
  <c r="D658" i="21" s="1"/>
  <c r="A659" i="21"/>
  <c r="A660" i="21"/>
  <c r="D660" i="21" s="1"/>
  <c r="A661" i="21"/>
  <c r="A662" i="21"/>
  <c r="D662" i="21" s="1"/>
  <c r="A663" i="21"/>
  <c r="A664" i="21"/>
  <c r="D664" i="21" s="1"/>
  <c r="A665" i="21"/>
  <c r="A666" i="21"/>
  <c r="D666" i="21" s="1"/>
  <c r="A667" i="21"/>
  <c r="A668" i="21"/>
  <c r="D668" i="21" s="1"/>
  <c r="A669" i="21"/>
  <c r="A670" i="21"/>
  <c r="D670" i="21" s="1"/>
  <c r="A671" i="21"/>
  <c r="A672" i="21"/>
  <c r="D672" i="21" s="1"/>
  <c r="A673" i="21"/>
  <c r="A674" i="21"/>
  <c r="D674" i="21" s="1"/>
  <c r="A675" i="21"/>
  <c r="A676" i="21"/>
  <c r="D676" i="21" s="1"/>
  <c r="A677" i="21"/>
  <c r="A678" i="21"/>
  <c r="D678" i="21" s="1"/>
  <c r="A679" i="21"/>
  <c r="A680" i="21"/>
  <c r="D680" i="21" s="1"/>
  <c r="A681" i="21"/>
  <c r="A682" i="21"/>
  <c r="D682" i="21" s="1"/>
  <c r="A683" i="21"/>
  <c r="A684" i="21"/>
  <c r="D684" i="21" s="1"/>
  <c r="A685" i="21"/>
  <c r="A686" i="21"/>
  <c r="D686" i="21" s="1"/>
  <c r="A687" i="21"/>
  <c r="A688" i="21"/>
  <c r="D688" i="21" s="1"/>
  <c r="A689" i="21"/>
  <c r="A690" i="21"/>
  <c r="D690" i="21" s="1"/>
  <c r="A691" i="21"/>
  <c r="A692" i="21"/>
  <c r="D692" i="21" s="1"/>
  <c r="A693" i="21"/>
  <c r="A694" i="21"/>
  <c r="D694" i="21" s="1"/>
  <c r="A695" i="21"/>
  <c r="A696" i="21"/>
  <c r="D696" i="21" s="1"/>
  <c r="A697" i="21"/>
  <c r="A698" i="21"/>
  <c r="D698" i="21" s="1"/>
  <c r="A699" i="21"/>
  <c r="A700" i="21"/>
  <c r="D700" i="21" s="1"/>
  <c r="A701" i="21"/>
  <c r="A702" i="21"/>
  <c r="D702" i="21" s="1"/>
  <c r="A703" i="21"/>
  <c r="A704" i="21"/>
  <c r="D704" i="21" s="1"/>
  <c r="A705" i="21"/>
  <c r="A706" i="21"/>
  <c r="D706" i="21" s="1"/>
  <c r="A707" i="21"/>
  <c r="A708" i="21"/>
  <c r="D708" i="21" s="1"/>
  <c r="A709" i="21"/>
  <c r="A710" i="21"/>
  <c r="D710" i="21" s="1"/>
  <c r="A711" i="21"/>
  <c r="A712" i="21"/>
  <c r="D712" i="21" s="1"/>
  <c r="A713" i="21"/>
  <c r="A714" i="21"/>
  <c r="D714" i="21" s="1"/>
  <c r="A715" i="21"/>
  <c r="A716" i="21"/>
  <c r="D716" i="21" s="1"/>
  <c r="A717" i="21"/>
  <c r="A718" i="21"/>
  <c r="D718" i="21" s="1"/>
  <c r="A719" i="21"/>
  <c r="A720" i="21"/>
  <c r="D720" i="21" s="1"/>
  <c r="A721" i="21"/>
  <c r="A722" i="21"/>
  <c r="D722" i="21" s="1"/>
  <c r="A723" i="21"/>
  <c r="A724" i="21"/>
  <c r="D724" i="21" s="1"/>
  <c r="A725" i="21"/>
  <c r="A726" i="21"/>
  <c r="D726" i="21" s="1"/>
  <c r="A727" i="21"/>
  <c r="A728" i="21"/>
  <c r="D728" i="21" s="1"/>
  <c r="A729" i="21"/>
  <c r="A730" i="21"/>
  <c r="D730" i="21" s="1"/>
  <c r="A731" i="21"/>
  <c r="A732" i="21"/>
  <c r="D732" i="21" s="1"/>
  <c r="A733" i="21"/>
  <c r="A734" i="21"/>
  <c r="D734" i="21" s="1"/>
  <c r="A735" i="21"/>
  <c r="A736" i="21"/>
  <c r="D736" i="21" s="1"/>
  <c r="A737" i="21"/>
  <c r="A738" i="21"/>
  <c r="D738" i="21" s="1"/>
  <c r="A739" i="21"/>
  <c r="A740" i="21"/>
  <c r="D740" i="21" s="1"/>
  <c r="A741" i="21"/>
  <c r="A742" i="21"/>
  <c r="D742" i="21" s="1"/>
  <c r="A743" i="21"/>
  <c r="A744" i="21"/>
  <c r="D744" i="21" s="1"/>
  <c r="A745" i="21"/>
  <c r="A746" i="21"/>
  <c r="D746" i="21" s="1"/>
  <c r="A747" i="21"/>
  <c r="A748" i="21"/>
  <c r="D748" i="21" s="1"/>
  <c r="A749" i="21"/>
  <c r="A750" i="21"/>
  <c r="D750" i="21" s="1"/>
  <c r="A751" i="21"/>
  <c r="A752" i="21"/>
  <c r="D752" i="21" s="1"/>
  <c r="A753" i="21"/>
  <c r="A754" i="21"/>
  <c r="D754" i="21" s="1"/>
  <c r="A755" i="21"/>
  <c r="A756" i="21"/>
  <c r="D756" i="21" s="1"/>
  <c r="A757" i="21"/>
  <c r="A758" i="21"/>
  <c r="D758" i="21" s="1"/>
  <c r="A759" i="21"/>
  <c r="A760" i="21"/>
  <c r="D760" i="21" s="1"/>
  <c r="A761" i="21"/>
  <c r="A762" i="21"/>
  <c r="D762" i="21" s="1"/>
  <c r="A763" i="21"/>
  <c r="A764" i="21"/>
  <c r="D764" i="21" s="1"/>
  <c r="A765" i="21"/>
  <c r="A766" i="21"/>
  <c r="D766" i="21" s="1"/>
  <c r="A767" i="21"/>
  <c r="A768" i="21"/>
  <c r="D768" i="21" s="1"/>
  <c r="A769" i="21"/>
  <c r="A770" i="21"/>
  <c r="D770" i="21" s="1"/>
  <c r="A771" i="21"/>
  <c r="A772" i="21"/>
  <c r="D772" i="21" s="1"/>
  <c r="A773" i="21"/>
  <c r="A774" i="21"/>
  <c r="D774" i="21" s="1"/>
  <c r="A775" i="21"/>
  <c r="A776" i="21"/>
  <c r="D776" i="21" s="1"/>
  <c r="A777" i="21"/>
  <c r="A778" i="21"/>
  <c r="D778" i="21" s="1"/>
  <c r="A779" i="21"/>
  <c r="A780" i="21"/>
  <c r="D780" i="21" s="1"/>
  <c r="A781" i="21"/>
  <c r="A782" i="21"/>
  <c r="D782" i="21" s="1"/>
  <c r="A783" i="21"/>
  <c r="A784" i="21"/>
  <c r="D784" i="21" s="1"/>
  <c r="A785" i="21"/>
  <c r="A786" i="21"/>
  <c r="D786" i="21" s="1"/>
  <c r="A787" i="21"/>
  <c r="A788" i="21"/>
  <c r="D788" i="21" s="1"/>
  <c r="A789" i="21"/>
  <c r="A790" i="21"/>
  <c r="D790" i="21" s="1"/>
  <c r="A791" i="21"/>
  <c r="A792" i="21"/>
  <c r="D792" i="21" s="1"/>
  <c r="A793" i="21"/>
  <c r="A794" i="21"/>
  <c r="D794" i="21" s="1"/>
  <c r="A795" i="21"/>
  <c r="A796" i="21"/>
  <c r="D796" i="21" s="1"/>
  <c r="A797" i="21"/>
  <c r="A798" i="21"/>
  <c r="D798" i="21" s="1"/>
  <c r="A799" i="21"/>
  <c r="A800" i="21"/>
  <c r="D800" i="21" s="1"/>
  <c r="A801" i="21"/>
  <c r="A802" i="21"/>
  <c r="D802" i="21" s="1"/>
  <c r="A803" i="21"/>
  <c r="A804" i="21"/>
  <c r="D804" i="21" s="1"/>
  <c r="A805" i="21"/>
  <c r="A806" i="21"/>
  <c r="D806" i="21" s="1"/>
  <c r="A807" i="21"/>
  <c r="A808" i="21"/>
  <c r="D808" i="21" s="1"/>
  <c r="A809" i="21"/>
  <c r="A810" i="21"/>
  <c r="D810" i="21" s="1"/>
  <c r="A811" i="21"/>
  <c r="A812" i="21"/>
  <c r="D812" i="21" s="1"/>
  <c r="A813" i="21"/>
  <c r="A814" i="21"/>
  <c r="D814" i="21" s="1"/>
  <c r="A815" i="21"/>
  <c r="A816" i="21"/>
  <c r="D816" i="21" s="1"/>
  <c r="A817" i="21"/>
  <c r="A818" i="21"/>
  <c r="D818" i="21" s="1"/>
  <c r="A819" i="21"/>
  <c r="A820" i="21"/>
  <c r="D820" i="21" s="1"/>
  <c r="A821" i="21"/>
  <c r="A822" i="21"/>
  <c r="D822" i="21" s="1"/>
  <c r="A823" i="21"/>
  <c r="A824" i="21"/>
  <c r="D824" i="21" s="1"/>
  <c r="A825" i="21"/>
  <c r="A826" i="21"/>
  <c r="D826" i="21" s="1"/>
  <c r="A827" i="21"/>
  <c r="A828" i="21"/>
  <c r="D828" i="21" s="1"/>
  <c r="A829" i="21"/>
  <c r="A830" i="21"/>
  <c r="D830" i="21" s="1"/>
  <c r="A831" i="21"/>
  <c r="A832" i="21"/>
  <c r="D832" i="21" s="1"/>
  <c r="A833" i="21"/>
  <c r="A834" i="21"/>
  <c r="D834" i="21" s="1"/>
  <c r="A835" i="21"/>
  <c r="A836" i="21"/>
  <c r="D836" i="21" s="1"/>
  <c r="A837" i="21"/>
  <c r="A838" i="21"/>
  <c r="D838" i="21" s="1"/>
  <c r="A839" i="21"/>
  <c r="A840" i="21"/>
  <c r="D840" i="21" s="1"/>
  <c r="A841" i="21"/>
  <c r="A842" i="21"/>
  <c r="D842" i="21" s="1"/>
  <c r="A843" i="21"/>
  <c r="A844" i="21"/>
  <c r="D844" i="21" s="1"/>
  <c r="A845" i="21"/>
  <c r="A846" i="21"/>
  <c r="D846" i="21" s="1"/>
  <c r="A847" i="21"/>
  <c r="A848" i="21"/>
  <c r="D848" i="21" s="1"/>
  <c r="A849" i="21"/>
  <c r="A850" i="21"/>
  <c r="D850" i="21" s="1"/>
  <c r="A851" i="21"/>
  <c r="A852" i="21"/>
  <c r="D852" i="21" s="1"/>
  <c r="A853" i="21"/>
  <c r="A854" i="21"/>
  <c r="D854" i="21" s="1"/>
  <c r="A855" i="21"/>
  <c r="A856" i="21"/>
  <c r="D856" i="21" s="1"/>
  <c r="A857" i="21"/>
  <c r="A858" i="21"/>
  <c r="D858" i="21" s="1"/>
  <c r="A859" i="21"/>
  <c r="A860" i="21"/>
  <c r="D860" i="21" s="1"/>
  <c r="A861" i="21"/>
  <c r="A862" i="21"/>
  <c r="D862" i="21" s="1"/>
  <c r="A863" i="21"/>
  <c r="A864" i="21"/>
  <c r="D864" i="21" s="1"/>
  <c r="A865" i="21"/>
  <c r="A866" i="21"/>
  <c r="D866" i="21" s="1"/>
  <c r="A867" i="21"/>
  <c r="A868" i="21"/>
  <c r="D868" i="21" s="1"/>
  <c r="A869" i="21"/>
  <c r="A870" i="21"/>
  <c r="D870" i="21" s="1"/>
  <c r="A871" i="21"/>
  <c r="A872" i="21"/>
  <c r="D872" i="21" s="1"/>
  <c r="A873" i="21"/>
  <c r="A874" i="21"/>
  <c r="D874" i="21" s="1"/>
  <c r="A875" i="21"/>
  <c r="A876" i="21"/>
  <c r="D876" i="21" s="1"/>
  <c r="A877" i="21"/>
  <c r="A878" i="21"/>
  <c r="D878" i="21" s="1"/>
  <c r="A879" i="21"/>
  <c r="A880" i="21"/>
  <c r="D880" i="21" s="1"/>
  <c r="A881" i="21"/>
  <c r="A882" i="21"/>
  <c r="D882" i="21" s="1"/>
  <c r="A883" i="21"/>
  <c r="A884" i="21"/>
  <c r="D884" i="21" s="1"/>
  <c r="A885" i="21"/>
  <c r="A886" i="21"/>
  <c r="D886" i="21" s="1"/>
  <c r="A887" i="21"/>
  <c r="A888" i="21"/>
  <c r="D888" i="21" s="1"/>
  <c r="A889" i="21"/>
  <c r="A890" i="21"/>
  <c r="D890" i="21" s="1"/>
  <c r="A891" i="21"/>
  <c r="A892" i="21"/>
  <c r="D892" i="21" s="1"/>
  <c r="A893" i="21"/>
  <c r="A894" i="21"/>
  <c r="D894" i="21" s="1"/>
  <c r="A895" i="21"/>
  <c r="A896" i="21"/>
  <c r="D896" i="21" s="1"/>
  <c r="A897" i="21"/>
  <c r="A898" i="21"/>
  <c r="D898" i="21" s="1"/>
  <c r="A899" i="21"/>
  <c r="A900" i="21"/>
  <c r="D900" i="21" s="1"/>
  <c r="A901" i="21"/>
  <c r="A902" i="21"/>
  <c r="D902" i="21" s="1"/>
  <c r="A903" i="21"/>
  <c r="A904" i="21"/>
  <c r="D904" i="21" s="1"/>
  <c r="A905" i="21"/>
  <c r="A906" i="21"/>
  <c r="D906" i="21" s="1"/>
  <c r="A907" i="21"/>
  <c r="A908" i="21"/>
  <c r="D908" i="21" s="1"/>
  <c r="A909" i="21"/>
  <c r="A910" i="21"/>
  <c r="D910" i="21" s="1"/>
  <c r="A911" i="21"/>
  <c r="A912" i="21"/>
  <c r="D912" i="21" s="1"/>
  <c r="A913" i="21"/>
  <c r="A914" i="21"/>
  <c r="D914" i="21" s="1"/>
  <c r="A915" i="21"/>
  <c r="A916" i="21"/>
  <c r="D916" i="21" s="1"/>
  <c r="A917" i="21"/>
  <c r="A918" i="21"/>
  <c r="D918" i="21" s="1"/>
  <c r="A919" i="21"/>
  <c r="A920" i="21"/>
  <c r="D920" i="21" s="1"/>
  <c r="A921" i="21"/>
  <c r="A922" i="21"/>
  <c r="D922" i="21" s="1"/>
  <c r="A923" i="21"/>
  <c r="A924" i="21"/>
  <c r="D924" i="21" s="1"/>
  <c r="A925" i="21"/>
  <c r="A926" i="21"/>
  <c r="D926" i="21" s="1"/>
  <c r="A927" i="21"/>
  <c r="A928" i="21"/>
  <c r="D928" i="21" s="1"/>
  <c r="A929" i="21"/>
  <c r="A930" i="21"/>
  <c r="D930" i="21" s="1"/>
  <c r="A931" i="21"/>
  <c r="A932" i="21"/>
  <c r="D932" i="21" s="1"/>
  <c r="A933" i="21"/>
  <c r="A934" i="21"/>
  <c r="D934" i="21" s="1"/>
  <c r="A935" i="21"/>
  <c r="A936" i="21"/>
  <c r="D936" i="21" s="1"/>
  <c r="A937" i="21"/>
  <c r="A938" i="21"/>
  <c r="D938" i="21" s="1"/>
  <c r="A939" i="21"/>
  <c r="A940" i="21"/>
  <c r="D940" i="21" s="1"/>
  <c r="A941" i="21"/>
  <c r="A942" i="21"/>
  <c r="D942" i="21" s="1"/>
  <c r="A943" i="21"/>
  <c r="A944" i="21"/>
  <c r="D944" i="21" s="1"/>
  <c r="A945" i="21"/>
  <c r="A946" i="21"/>
  <c r="D946" i="21" s="1"/>
  <c r="A947" i="21"/>
  <c r="A948" i="21"/>
  <c r="D948" i="21" s="1"/>
  <c r="A949" i="21"/>
  <c r="A950" i="21"/>
  <c r="D950" i="21" s="1"/>
  <c r="A951" i="21"/>
  <c r="A952" i="21"/>
  <c r="D952" i="21" s="1"/>
  <c r="A953" i="21"/>
  <c r="A954" i="21"/>
  <c r="D954" i="21" s="1"/>
  <c r="A955" i="21"/>
  <c r="A956" i="21"/>
  <c r="D956" i="21" s="1"/>
  <c r="A957" i="21"/>
  <c r="A958" i="21"/>
  <c r="D958" i="21" s="1"/>
  <c r="A959" i="21"/>
  <c r="A960" i="21"/>
  <c r="D960" i="21" s="1"/>
  <c r="A961" i="21"/>
  <c r="A962" i="21"/>
  <c r="D962" i="21" s="1"/>
  <c r="A963" i="21"/>
  <c r="A964" i="21"/>
  <c r="D964" i="21" s="1"/>
  <c r="A965" i="21"/>
  <c r="A966" i="21"/>
  <c r="D966" i="21" s="1"/>
  <c r="A967" i="21"/>
  <c r="A968" i="21"/>
  <c r="D968" i="21" s="1"/>
  <c r="A969" i="21"/>
  <c r="A970" i="21"/>
  <c r="D970" i="21" s="1"/>
  <c r="A971" i="21"/>
  <c r="A972" i="21"/>
  <c r="D972" i="21" s="1"/>
  <c r="A973" i="21"/>
  <c r="A974" i="21"/>
  <c r="D974" i="21" s="1"/>
  <c r="A975" i="21"/>
  <c r="A976" i="21"/>
  <c r="D976" i="21" s="1"/>
  <c r="A977" i="21"/>
  <c r="A978" i="21"/>
  <c r="D978" i="21" s="1"/>
  <c r="A979" i="21"/>
  <c r="A980" i="21"/>
  <c r="D980" i="21" s="1"/>
  <c r="A981" i="21"/>
  <c r="A982" i="21"/>
  <c r="D982" i="21" s="1"/>
  <c r="A983" i="21"/>
  <c r="A984" i="21"/>
  <c r="D984" i="21" s="1"/>
  <c r="A985" i="21"/>
  <c r="A986" i="21"/>
  <c r="D986" i="21" s="1"/>
  <c r="A987" i="21"/>
  <c r="A988" i="21"/>
  <c r="D988" i="21" s="1"/>
  <c r="A989" i="21"/>
  <c r="A990" i="21"/>
  <c r="D990" i="21" s="1"/>
  <c r="A991" i="21"/>
  <c r="A992" i="21"/>
  <c r="D992" i="21" s="1"/>
  <c r="A993" i="21"/>
  <c r="A994" i="21"/>
  <c r="D994" i="21" s="1"/>
  <c r="A995" i="21"/>
  <c r="A996" i="21"/>
  <c r="D996" i="21" s="1"/>
  <c r="A997" i="21"/>
  <c r="A998" i="21"/>
  <c r="D998" i="21" s="1"/>
  <c r="A999" i="21"/>
  <c r="A1000" i="21"/>
  <c r="D1000" i="21" s="1"/>
  <c r="A1001" i="21"/>
  <c r="A1002" i="21"/>
  <c r="D1002" i="21" s="1"/>
  <c r="A1003" i="21"/>
  <c r="A1004" i="21"/>
  <c r="D1004" i="21" s="1"/>
  <c r="A1005" i="21"/>
  <c r="A1006" i="21"/>
  <c r="D1006" i="21" s="1"/>
  <c r="A1007" i="21"/>
  <c r="A1008" i="21"/>
  <c r="D1008" i="21" s="1"/>
  <c r="A1009" i="21"/>
  <c r="A1010" i="21"/>
  <c r="D1010" i="21" s="1"/>
  <c r="A1011" i="21"/>
  <c r="A1012" i="21"/>
  <c r="D1012" i="21" s="1"/>
  <c r="A1013" i="21"/>
  <c r="A1014" i="21"/>
  <c r="D1014" i="21" s="1"/>
  <c r="A1015" i="21"/>
  <c r="A1016" i="21"/>
  <c r="D1016" i="21" s="1"/>
  <c r="A1017" i="21"/>
  <c r="A1018" i="21"/>
  <c r="D1018" i="21" s="1"/>
  <c r="A1019" i="21"/>
  <c r="A1020" i="21"/>
  <c r="D1020" i="21" s="1"/>
  <c r="A1021" i="21"/>
  <c r="A1022" i="21"/>
  <c r="D1022" i="21" s="1"/>
  <c r="A1023" i="21"/>
  <c r="A1024" i="21"/>
  <c r="D1024" i="21" s="1"/>
  <c r="A1025" i="21"/>
  <c r="A1026" i="21"/>
  <c r="D1026" i="21" s="1"/>
  <c r="A1027" i="21"/>
  <c r="A1028" i="21"/>
  <c r="D1028" i="21" s="1"/>
  <c r="A1029" i="21"/>
  <c r="A1030" i="21"/>
  <c r="D1030" i="21" s="1"/>
  <c r="A1031" i="21"/>
  <c r="A1032" i="21"/>
  <c r="D1032" i="21" s="1"/>
  <c r="A1033" i="21"/>
  <c r="A1034" i="21"/>
  <c r="D1034" i="21" s="1"/>
  <c r="A1035" i="21"/>
  <c r="A1036" i="21"/>
  <c r="D1036" i="21" s="1"/>
  <c r="A1037" i="21"/>
  <c r="A1038" i="21"/>
  <c r="D1038" i="21" s="1"/>
  <c r="A1039" i="21"/>
  <c r="A1040" i="21"/>
  <c r="D1040" i="21" s="1"/>
  <c r="A1041" i="21"/>
  <c r="A1042" i="21"/>
  <c r="D1042" i="21" s="1"/>
  <c r="A1043" i="21"/>
  <c r="A1044" i="21"/>
  <c r="D1044" i="21" s="1"/>
  <c r="A1045" i="21"/>
  <c r="A1046" i="21"/>
  <c r="D1046" i="21" s="1"/>
  <c r="A1047" i="21"/>
  <c r="A1048" i="21"/>
  <c r="D1048" i="21" s="1"/>
  <c r="A1049" i="21"/>
  <c r="A1050" i="21"/>
  <c r="D1050" i="21" s="1"/>
  <c r="A1051" i="21"/>
  <c r="A1052" i="21"/>
  <c r="D1052" i="21" s="1"/>
  <c r="A1053" i="21"/>
  <c r="A1054" i="21"/>
  <c r="D1054" i="21" s="1"/>
  <c r="A1055" i="21"/>
  <c r="A1056" i="21"/>
  <c r="D1056" i="21" s="1"/>
  <c r="A1057" i="21"/>
  <c r="A1058" i="21"/>
  <c r="D1058" i="21" s="1"/>
  <c r="A1059" i="21"/>
  <c r="A1060" i="21"/>
  <c r="D1060" i="21" s="1"/>
  <c r="A1061" i="21"/>
  <c r="A1062" i="21"/>
  <c r="D1062" i="21" s="1"/>
  <c r="A1063" i="21"/>
  <c r="A1064" i="21"/>
  <c r="D1064" i="21" s="1"/>
  <c r="A1065" i="21"/>
  <c r="A1066" i="21"/>
  <c r="D1066" i="21" s="1"/>
  <c r="A1067" i="21"/>
  <c r="A1068" i="21"/>
  <c r="D1068" i="21" s="1"/>
  <c r="A1069" i="21"/>
  <c r="A1070" i="21"/>
  <c r="D1070" i="21" s="1"/>
  <c r="A1071" i="21"/>
  <c r="A1072" i="21"/>
  <c r="D1072" i="21" s="1"/>
  <c r="A1073" i="21"/>
  <c r="A1074" i="21"/>
  <c r="D1074" i="21" s="1"/>
  <c r="A1075" i="21"/>
  <c r="A1076" i="21"/>
  <c r="D1076" i="21" s="1"/>
  <c r="A1077" i="21"/>
  <c r="A1078" i="21"/>
  <c r="D1078" i="21" s="1"/>
  <c r="A1079" i="21"/>
  <c r="A1080" i="21"/>
  <c r="D1080" i="21" s="1"/>
  <c r="A1081" i="21"/>
  <c r="A1082" i="21"/>
  <c r="D1082" i="21" s="1"/>
  <c r="A1083" i="21"/>
  <c r="A1084" i="21"/>
  <c r="D1084" i="21" s="1"/>
  <c r="A1085" i="21"/>
  <c r="A1086" i="21"/>
  <c r="D1086" i="21" s="1"/>
  <c r="A1087" i="21"/>
  <c r="A1088" i="21"/>
  <c r="D1088" i="21" s="1"/>
  <c r="A1089" i="21"/>
  <c r="A1090" i="21"/>
  <c r="D1090" i="21" s="1"/>
  <c r="A1091" i="21"/>
  <c r="A1092" i="21"/>
  <c r="D1092" i="21" s="1"/>
  <c r="A1093" i="21"/>
  <c r="A1094" i="21"/>
  <c r="D1094" i="21" s="1"/>
  <c r="A1095" i="21"/>
  <c r="A1096" i="21"/>
  <c r="D1096" i="21" s="1"/>
  <c r="A1097" i="21"/>
  <c r="A1098" i="21"/>
  <c r="D1098" i="21" s="1"/>
  <c r="A1099" i="21"/>
  <c r="A1100" i="21"/>
  <c r="D1100" i="21" s="1"/>
  <c r="A1101" i="21"/>
  <c r="A1102" i="21"/>
  <c r="D1102" i="21" s="1"/>
  <c r="A1103" i="21"/>
  <c r="A1104" i="21"/>
  <c r="D1104" i="21" s="1"/>
  <c r="A1105" i="21"/>
  <c r="A1106" i="21"/>
  <c r="D1106" i="21" s="1"/>
  <c r="A1107" i="21"/>
  <c r="A1108" i="21"/>
  <c r="D1108" i="21" s="1"/>
  <c r="A1109" i="21"/>
  <c r="A1110" i="21"/>
  <c r="D1110" i="21" s="1"/>
  <c r="A1111" i="21"/>
  <c r="A1112" i="21"/>
  <c r="D1112" i="21" s="1"/>
  <c r="A1113" i="21"/>
  <c r="A1114" i="21"/>
  <c r="D1114" i="21" s="1"/>
  <c r="A1115" i="21"/>
  <c r="A1116" i="21"/>
  <c r="D1116" i="21" s="1"/>
  <c r="A1117" i="21"/>
  <c r="A1118" i="21"/>
  <c r="D1118" i="21" s="1"/>
  <c r="A1119" i="21"/>
  <c r="A1120" i="21"/>
  <c r="D1120" i="21" s="1"/>
  <c r="A1121" i="21"/>
  <c r="A1122" i="21"/>
  <c r="D1122" i="21" s="1"/>
  <c r="A1123" i="21"/>
  <c r="A1124" i="21"/>
  <c r="D1124" i="21" s="1"/>
  <c r="D693" i="21" l="1"/>
  <c r="D1117" i="21"/>
  <c r="D1109" i="21"/>
  <c r="H1109" i="21" s="1"/>
  <c r="D1101" i="21"/>
  <c r="H1101" i="21" s="1"/>
  <c r="D1093" i="21"/>
  <c r="D1085" i="21"/>
  <c r="D1077" i="21"/>
  <c r="D1069" i="21"/>
  <c r="G1069" i="21" s="1"/>
  <c r="D1065" i="21"/>
  <c r="D1057" i="21"/>
  <c r="D1049" i="21"/>
  <c r="D1041" i="21"/>
  <c r="H1041" i="21" s="1"/>
  <c r="D1033" i="21"/>
  <c r="D1025" i="21"/>
  <c r="D1017" i="21"/>
  <c r="D1009" i="21"/>
  <c r="D1001" i="21"/>
  <c r="D993" i="21"/>
  <c r="D985" i="21"/>
  <c r="D977" i="21"/>
  <c r="H977" i="21" s="1"/>
  <c r="D969" i="21"/>
  <c r="D961" i="21"/>
  <c r="D953" i="21"/>
  <c r="D945" i="21"/>
  <c r="D937" i="21"/>
  <c r="D929" i="21"/>
  <c r="D921" i="21"/>
  <c r="D913" i="21"/>
  <c r="H913" i="21" s="1"/>
  <c r="D905" i="21"/>
  <c r="D897" i="21"/>
  <c r="D889" i="21"/>
  <c r="D881" i="21"/>
  <c r="D873" i="21"/>
  <c r="D865" i="21"/>
  <c r="D857" i="21"/>
  <c r="D853" i="21"/>
  <c r="E853" i="21" s="1"/>
  <c r="D845" i="21"/>
  <c r="D837" i="21"/>
  <c r="E837" i="21" s="1"/>
  <c r="D829" i="21"/>
  <c r="D821" i="21"/>
  <c r="F821" i="21" s="1"/>
  <c r="D813" i="21"/>
  <c r="D805" i="21"/>
  <c r="D797" i="21"/>
  <c r="D789" i="21"/>
  <c r="K789" i="21" s="1"/>
  <c r="D781" i="21"/>
  <c r="D773" i="21"/>
  <c r="F773" i="21" s="1"/>
  <c r="D765" i="21"/>
  <c r="D761" i="21"/>
  <c r="F761" i="21" s="1"/>
  <c r="D753" i="21"/>
  <c r="D745" i="21"/>
  <c r="D737" i="21"/>
  <c r="F737" i="21" s="1"/>
  <c r="D729" i="21"/>
  <c r="K729" i="21" s="1"/>
  <c r="D721" i="21"/>
  <c r="D713" i="21"/>
  <c r="D701" i="21"/>
  <c r="K701" i="21" s="1"/>
  <c r="D1121" i="21"/>
  <c r="D1113" i="21"/>
  <c r="G1113" i="21" s="1"/>
  <c r="D1105" i="21"/>
  <c r="D1097" i="21"/>
  <c r="G1097" i="21" s="1"/>
  <c r="D1089" i="21"/>
  <c r="D1081" i="21"/>
  <c r="D1073" i="21"/>
  <c r="D1061" i="21"/>
  <c r="D1053" i="21"/>
  <c r="D1045" i="21"/>
  <c r="D1037" i="21"/>
  <c r="D1029" i="21"/>
  <c r="G1029" i="21" s="1"/>
  <c r="D1021" i="21"/>
  <c r="D1013" i="21"/>
  <c r="D1005" i="21"/>
  <c r="D997" i="21"/>
  <c r="D989" i="21"/>
  <c r="F989" i="21" s="1"/>
  <c r="D981" i="21"/>
  <c r="D973" i="21"/>
  <c r="D965" i="21"/>
  <c r="G965" i="21" s="1"/>
  <c r="D957" i="21"/>
  <c r="F957" i="21" s="1"/>
  <c r="D949" i="21"/>
  <c r="D941" i="21"/>
  <c r="D933" i="21"/>
  <c r="D925" i="21"/>
  <c r="E925" i="21" s="1"/>
  <c r="D917" i="21"/>
  <c r="D909" i="21"/>
  <c r="D901" i="21"/>
  <c r="D893" i="21"/>
  <c r="K893" i="21" s="1"/>
  <c r="D885" i="21"/>
  <c r="D877" i="21"/>
  <c r="K877" i="21" s="1"/>
  <c r="D869" i="21"/>
  <c r="D861" i="21"/>
  <c r="D849" i="21"/>
  <c r="D841" i="21"/>
  <c r="F841" i="21" s="1"/>
  <c r="D833" i="21"/>
  <c r="D825" i="21"/>
  <c r="E825" i="21" s="1"/>
  <c r="D817" i="21"/>
  <c r="D809" i="21"/>
  <c r="D801" i="21"/>
  <c r="D793" i="21"/>
  <c r="F793" i="21" s="1"/>
  <c r="D785" i="21"/>
  <c r="F785" i="21" s="1"/>
  <c r="D777" i="21"/>
  <c r="K777" i="21" s="1"/>
  <c r="D769" i="21"/>
  <c r="D757" i="21"/>
  <c r="G757" i="21" s="1"/>
  <c r="D749" i="21"/>
  <c r="K749" i="21" s="1"/>
  <c r="D741" i="21"/>
  <c r="G741" i="21" s="1"/>
  <c r="D733" i="21"/>
  <c r="D725" i="21"/>
  <c r="G725" i="21" s="1"/>
  <c r="D717" i="21"/>
  <c r="K717" i="21" s="1"/>
  <c r="D709" i="21"/>
  <c r="D705" i="21"/>
  <c r="D697" i="21"/>
  <c r="D1123" i="21"/>
  <c r="D1119" i="21"/>
  <c r="D1115" i="21"/>
  <c r="D1111" i="21"/>
  <c r="D1107" i="21"/>
  <c r="D1103" i="21"/>
  <c r="D1099" i="21"/>
  <c r="D1095" i="21"/>
  <c r="D1091" i="21"/>
  <c r="D1087" i="21"/>
  <c r="D1083" i="21"/>
  <c r="D1079" i="21"/>
  <c r="D1075" i="21"/>
  <c r="D1071" i="21"/>
  <c r="D1067" i="21"/>
  <c r="D1063" i="21"/>
  <c r="D1059" i="21"/>
  <c r="D1055" i="21"/>
  <c r="D1051" i="21"/>
  <c r="D1047" i="21"/>
  <c r="D1043" i="21"/>
  <c r="D1039" i="21"/>
  <c r="D1035" i="21"/>
  <c r="D1031" i="21"/>
  <c r="D1027" i="21"/>
  <c r="D1023" i="21"/>
  <c r="D1019" i="21"/>
  <c r="D1015" i="21"/>
  <c r="D1011" i="21"/>
  <c r="D1007" i="21"/>
  <c r="D1003" i="21"/>
  <c r="D999" i="21"/>
  <c r="D995" i="21"/>
  <c r="D991" i="21"/>
  <c r="D987" i="21"/>
  <c r="D983" i="21"/>
  <c r="D979" i="21"/>
  <c r="D975" i="21"/>
  <c r="D971" i="21"/>
  <c r="D967" i="21"/>
  <c r="D963" i="21"/>
  <c r="D959" i="21"/>
  <c r="D955" i="21"/>
  <c r="K955" i="21" s="1"/>
  <c r="D951" i="21"/>
  <c r="D947" i="21"/>
  <c r="D943" i="21"/>
  <c r="D939" i="21"/>
  <c r="D935" i="21"/>
  <c r="D931" i="21"/>
  <c r="D927" i="21"/>
  <c r="D923" i="21"/>
  <c r="K923" i="21" s="1"/>
  <c r="D919" i="21"/>
  <c r="D915" i="21"/>
  <c r="D911" i="21"/>
  <c r="D907" i="21"/>
  <c r="D903" i="21"/>
  <c r="H903" i="21" s="1"/>
  <c r="D899" i="21"/>
  <c r="D895" i="21"/>
  <c r="E895" i="21" s="1"/>
  <c r="D891" i="21"/>
  <c r="K891" i="21" s="1"/>
  <c r="D887" i="21"/>
  <c r="D883" i="21"/>
  <c r="D879" i="21"/>
  <c r="H879" i="21" s="1"/>
  <c r="D875" i="21"/>
  <c r="H875" i="21" s="1"/>
  <c r="D871" i="21"/>
  <c r="D867" i="21"/>
  <c r="D863" i="21"/>
  <c r="D859" i="21"/>
  <c r="E859" i="21" s="1"/>
  <c r="D855" i="21"/>
  <c r="D851" i="21"/>
  <c r="D847" i="21"/>
  <c r="D843" i="21"/>
  <c r="G843" i="21" s="1"/>
  <c r="D839" i="21"/>
  <c r="D835" i="21"/>
  <c r="D831" i="21"/>
  <c r="D827" i="21"/>
  <c r="D823" i="21"/>
  <c r="D819" i="21"/>
  <c r="D815" i="21"/>
  <c r="D811" i="21"/>
  <c r="D807" i="21"/>
  <c r="D803" i="21"/>
  <c r="D799" i="21"/>
  <c r="D795" i="21"/>
  <c r="D791" i="21"/>
  <c r="D787" i="21"/>
  <c r="D783" i="21"/>
  <c r="D779" i="21"/>
  <c r="D775" i="21"/>
  <c r="D771" i="21"/>
  <c r="D767" i="21"/>
  <c r="D763" i="21"/>
  <c r="D759" i="21"/>
  <c r="D755" i="21"/>
  <c r="D751" i="21"/>
  <c r="D747" i="21"/>
  <c r="D743" i="21"/>
  <c r="D739" i="21"/>
  <c r="D735" i="21"/>
  <c r="D731" i="21"/>
  <c r="D727" i="21"/>
  <c r="D723" i="21"/>
  <c r="D719" i="21"/>
  <c r="D715" i="21"/>
  <c r="D711" i="21"/>
  <c r="D707" i="21"/>
  <c r="D703" i="21"/>
  <c r="D699" i="21"/>
  <c r="D695" i="21"/>
  <c r="D691" i="21"/>
  <c r="D689" i="21"/>
  <c r="H689" i="21" s="1"/>
  <c r="D685" i="21"/>
  <c r="D681" i="21"/>
  <c r="H681" i="21" s="1"/>
  <c r="D677" i="21"/>
  <c r="D673" i="21"/>
  <c r="D669" i="21"/>
  <c r="D665" i="21"/>
  <c r="D661" i="21"/>
  <c r="D657" i="21"/>
  <c r="F657" i="21" s="1"/>
  <c r="D653" i="21"/>
  <c r="D649" i="21"/>
  <c r="D645" i="21"/>
  <c r="D641" i="21"/>
  <c r="D637" i="21"/>
  <c r="D633" i="21"/>
  <c r="D629" i="21"/>
  <c r="D625" i="21"/>
  <c r="D621" i="21"/>
  <c r="D617" i="21"/>
  <c r="H617" i="21" s="1"/>
  <c r="D613" i="21"/>
  <c r="D609" i="21"/>
  <c r="D605" i="21"/>
  <c r="D601" i="21"/>
  <c r="D597" i="21"/>
  <c r="E597" i="21" s="1"/>
  <c r="D593" i="21"/>
  <c r="E593" i="21" s="1"/>
  <c r="D589" i="21"/>
  <c r="D585" i="21"/>
  <c r="H585" i="21" s="1"/>
  <c r="D581" i="21"/>
  <c r="D577" i="21"/>
  <c r="D573" i="21"/>
  <c r="D569" i="21"/>
  <c r="D565" i="21"/>
  <c r="D561" i="21"/>
  <c r="H561" i="21" s="1"/>
  <c r="D557" i="21"/>
  <c r="D553" i="21"/>
  <c r="H553" i="21" s="1"/>
  <c r="D549" i="21"/>
  <c r="D545" i="21"/>
  <c r="D541" i="21"/>
  <c r="D537" i="21"/>
  <c r="D533" i="21"/>
  <c r="D529" i="21"/>
  <c r="D525" i="21"/>
  <c r="D521" i="21"/>
  <c r="H521" i="21" s="1"/>
  <c r="D517" i="21"/>
  <c r="D513" i="21"/>
  <c r="D509" i="21"/>
  <c r="D505" i="21"/>
  <c r="D501" i="21"/>
  <c r="D497" i="21"/>
  <c r="D493" i="21"/>
  <c r="D489" i="21"/>
  <c r="H489" i="21" s="1"/>
  <c r="D485" i="21"/>
  <c r="D481" i="21"/>
  <c r="E481" i="21" s="1"/>
  <c r="D477" i="21"/>
  <c r="D473" i="21"/>
  <c r="E473" i="21" s="1"/>
  <c r="D469" i="21"/>
  <c r="E469" i="21" s="1"/>
  <c r="D465" i="21"/>
  <c r="E465" i="21" s="1"/>
  <c r="D461" i="21"/>
  <c r="D457" i="21"/>
  <c r="G457" i="21" s="1"/>
  <c r="D453" i="21"/>
  <c r="D449" i="21"/>
  <c r="K449" i="21" s="1"/>
  <c r="D445" i="21"/>
  <c r="D441" i="21"/>
  <c r="G441" i="21" s="1"/>
  <c r="D437" i="21"/>
  <c r="D433" i="21"/>
  <c r="H433" i="21" s="1"/>
  <c r="D429" i="21"/>
  <c r="D425" i="21"/>
  <c r="E425" i="21" s="1"/>
  <c r="D421" i="21"/>
  <c r="D417" i="21"/>
  <c r="D413" i="21"/>
  <c r="D409" i="21"/>
  <c r="E409" i="21" s="1"/>
  <c r="D405" i="21"/>
  <c r="D401" i="21"/>
  <c r="F401" i="21" s="1"/>
  <c r="D397" i="21"/>
  <c r="D393" i="21"/>
  <c r="G393" i="21" s="1"/>
  <c r="D389" i="21"/>
  <c r="D385" i="21"/>
  <c r="D381" i="21"/>
  <c r="D377" i="21"/>
  <c r="E377" i="21" s="1"/>
  <c r="D373" i="21"/>
  <c r="D369" i="21"/>
  <c r="D365" i="21"/>
  <c r="D361" i="21"/>
  <c r="E361" i="21" s="1"/>
  <c r="D357" i="21"/>
  <c r="F357" i="21" s="1"/>
  <c r="D353" i="21"/>
  <c r="E353" i="21" s="1"/>
  <c r="D349" i="21"/>
  <c r="D345" i="21"/>
  <c r="G345" i="21" s="1"/>
  <c r="D341" i="21"/>
  <c r="F341" i="21" s="1"/>
  <c r="D337" i="21"/>
  <c r="D333" i="21"/>
  <c r="D329" i="21"/>
  <c r="E329" i="21" s="1"/>
  <c r="D325" i="21"/>
  <c r="F325" i="21" s="1"/>
  <c r="D321" i="21"/>
  <c r="D317" i="21"/>
  <c r="D313" i="21"/>
  <c r="D309" i="21"/>
  <c r="F309" i="21" s="1"/>
  <c r="D305" i="21"/>
  <c r="D301" i="21"/>
  <c r="D297" i="21"/>
  <c r="G297" i="21" s="1"/>
  <c r="D293" i="21"/>
  <c r="F293" i="21" s="1"/>
  <c r="D289" i="21"/>
  <c r="D285" i="21"/>
  <c r="D281" i="21"/>
  <c r="E281" i="21" s="1"/>
  <c r="D277" i="21"/>
  <c r="F277" i="21" s="1"/>
  <c r="D273" i="21"/>
  <c r="F273" i="21" s="1"/>
  <c r="D269" i="21"/>
  <c r="D265" i="21"/>
  <c r="E265" i="21" s="1"/>
  <c r="D261" i="21"/>
  <c r="F261" i="21" s="1"/>
  <c r="D257" i="21"/>
  <c r="D253" i="21"/>
  <c r="D249" i="21"/>
  <c r="G249" i="21" s="1"/>
  <c r="D245" i="21"/>
  <c r="F245" i="21" s="1"/>
  <c r="D241" i="21"/>
  <c r="D237" i="21"/>
  <c r="D233" i="21"/>
  <c r="E233" i="21" s="1"/>
  <c r="D229" i="21"/>
  <c r="D225" i="21"/>
  <c r="D221" i="21"/>
  <c r="D217" i="21"/>
  <c r="E217" i="21" s="1"/>
  <c r="D213" i="21"/>
  <c r="D209" i="21"/>
  <c r="K209" i="21" s="1"/>
  <c r="D205" i="21"/>
  <c r="D201" i="21"/>
  <c r="H201" i="21" s="1"/>
  <c r="D197" i="21"/>
  <c r="D193" i="21"/>
  <c r="D189" i="21"/>
  <c r="D185" i="21"/>
  <c r="H185" i="21" s="1"/>
  <c r="D181" i="21"/>
  <c r="D177" i="21"/>
  <c r="K177" i="21" s="1"/>
  <c r="D173" i="21"/>
  <c r="D169" i="21"/>
  <c r="H169" i="21" s="1"/>
  <c r="D165" i="21"/>
  <c r="D161" i="21"/>
  <c r="D157" i="21"/>
  <c r="D153" i="21"/>
  <c r="H153" i="21" s="1"/>
  <c r="D149" i="21"/>
  <c r="D145" i="21"/>
  <c r="K145" i="21" s="1"/>
  <c r="D141" i="21"/>
  <c r="D137" i="21"/>
  <c r="H137" i="21" s="1"/>
  <c r="D133" i="21"/>
  <c r="D129" i="21"/>
  <c r="D125" i="21"/>
  <c r="D121" i="21"/>
  <c r="H121" i="21" s="1"/>
  <c r="D117" i="21"/>
  <c r="D113" i="21"/>
  <c r="D109" i="21"/>
  <c r="D105" i="21"/>
  <c r="H105" i="21" s="1"/>
  <c r="D101" i="21"/>
  <c r="D97" i="21"/>
  <c r="D93" i="21"/>
  <c r="D89" i="21"/>
  <c r="H89" i="21" s="1"/>
  <c r="D85" i="21"/>
  <c r="D81" i="21"/>
  <c r="K81" i="21" s="1"/>
  <c r="D77" i="21"/>
  <c r="D73" i="21"/>
  <c r="H73" i="21" s="1"/>
  <c r="D69" i="21"/>
  <c r="D65" i="21"/>
  <c r="D61" i="21"/>
  <c r="D57" i="21"/>
  <c r="D53" i="21"/>
  <c r="D49" i="21"/>
  <c r="K49" i="21" s="1"/>
  <c r="D45" i="21"/>
  <c r="D41" i="21"/>
  <c r="H41" i="21" s="1"/>
  <c r="D37" i="21"/>
  <c r="G37" i="21" s="1"/>
  <c r="D33" i="21"/>
  <c r="D29" i="21"/>
  <c r="D25" i="21"/>
  <c r="H25" i="21" s="1"/>
  <c r="D21" i="21"/>
  <c r="H21" i="21" s="1"/>
  <c r="D17" i="21"/>
  <c r="D13" i="21"/>
  <c r="D9" i="21"/>
  <c r="G9" i="21" s="1"/>
  <c r="D5" i="21"/>
  <c r="D687" i="21"/>
  <c r="D683" i="21"/>
  <c r="D679" i="21"/>
  <c r="D675" i="21"/>
  <c r="D671" i="21"/>
  <c r="D667" i="21"/>
  <c r="D663" i="21"/>
  <c r="D659" i="21"/>
  <c r="D655" i="21"/>
  <c r="D651" i="21"/>
  <c r="D647" i="21"/>
  <c r="D643" i="21"/>
  <c r="D639" i="21"/>
  <c r="D635" i="21"/>
  <c r="D631" i="21"/>
  <c r="D627" i="21"/>
  <c r="D623" i="21"/>
  <c r="D619" i="21"/>
  <c r="D615" i="21"/>
  <c r="D611" i="21"/>
  <c r="D607" i="21"/>
  <c r="D603" i="21"/>
  <c r="D599" i="21"/>
  <c r="D595" i="21"/>
  <c r="D591" i="21"/>
  <c r="D587" i="21"/>
  <c r="D583" i="21"/>
  <c r="D579" i="21"/>
  <c r="D575" i="21"/>
  <c r="D571" i="21"/>
  <c r="D567" i="21"/>
  <c r="D563" i="21"/>
  <c r="D559" i="21"/>
  <c r="D555" i="21"/>
  <c r="D551" i="21"/>
  <c r="D547" i="21"/>
  <c r="D543" i="21"/>
  <c r="D539" i="21"/>
  <c r="D535" i="21"/>
  <c r="D531" i="21"/>
  <c r="D527" i="21"/>
  <c r="D523" i="21"/>
  <c r="D519" i="21"/>
  <c r="D515" i="21"/>
  <c r="D511" i="21"/>
  <c r="D507" i="21"/>
  <c r="D503" i="21"/>
  <c r="D499" i="21"/>
  <c r="D495" i="21"/>
  <c r="D491" i="21"/>
  <c r="D487" i="21"/>
  <c r="D483" i="21"/>
  <c r="D479" i="21"/>
  <c r="D475" i="21"/>
  <c r="D471" i="21"/>
  <c r="D467" i="21"/>
  <c r="D463" i="21"/>
  <c r="D459" i="21"/>
  <c r="D455" i="21"/>
  <c r="D451" i="21"/>
  <c r="D447" i="21"/>
  <c r="D443" i="21"/>
  <c r="D439" i="21"/>
  <c r="D435" i="21"/>
  <c r="D431" i="21"/>
  <c r="D427" i="21"/>
  <c r="D423" i="21"/>
  <c r="D419" i="21"/>
  <c r="D415" i="21"/>
  <c r="D411" i="21"/>
  <c r="D407" i="21"/>
  <c r="D403" i="21"/>
  <c r="D399" i="21"/>
  <c r="D395" i="21"/>
  <c r="D391" i="21"/>
  <c r="D387" i="21"/>
  <c r="D383" i="21"/>
  <c r="D379" i="21"/>
  <c r="D375" i="21"/>
  <c r="D371" i="21"/>
  <c r="D367" i="21"/>
  <c r="D363" i="21"/>
  <c r="D359" i="21"/>
  <c r="D355" i="21"/>
  <c r="D351" i="21"/>
  <c r="D347" i="21"/>
  <c r="D343" i="21"/>
  <c r="D339" i="21"/>
  <c r="D335" i="21"/>
  <c r="D331" i="21"/>
  <c r="D327" i="21"/>
  <c r="D323" i="21"/>
  <c r="D319" i="21"/>
  <c r="D315" i="21"/>
  <c r="D311" i="21"/>
  <c r="H311" i="21" s="1"/>
  <c r="D307" i="21"/>
  <c r="E307" i="21" s="1"/>
  <c r="D303" i="21"/>
  <c r="D299" i="21"/>
  <c r="H299" i="21" s="1"/>
  <c r="D295" i="21"/>
  <c r="D291" i="21"/>
  <c r="E291" i="21" s="1"/>
  <c r="D287" i="21"/>
  <c r="D283" i="21"/>
  <c r="E283" i="21" s="1"/>
  <c r="D279" i="21"/>
  <c r="F279" i="21" s="1"/>
  <c r="D275" i="21"/>
  <c r="E275" i="21" s="1"/>
  <c r="D271" i="21"/>
  <c r="D267" i="21"/>
  <c r="D263" i="21"/>
  <c r="D259" i="21"/>
  <c r="G259" i="21" s="1"/>
  <c r="D255" i="21"/>
  <c r="D251" i="21"/>
  <c r="H251" i="21" s="1"/>
  <c r="D247" i="21"/>
  <c r="H247" i="21" s="1"/>
  <c r="D243" i="21"/>
  <c r="D239" i="21"/>
  <c r="D235" i="21"/>
  <c r="G235" i="21" s="1"/>
  <c r="D231" i="21"/>
  <c r="K231" i="21" s="1"/>
  <c r="D227" i="21"/>
  <c r="G227" i="21" s="1"/>
  <c r="D223" i="21"/>
  <c r="F223" i="21" s="1"/>
  <c r="D219" i="21"/>
  <c r="D215" i="21"/>
  <c r="D211" i="21"/>
  <c r="E211" i="21" s="1"/>
  <c r="D207" i="21"/>
  <c r="D203" i="21"/>
  <c r="E203" i="21" s="1"/>
  <c r="D199" i="21"/>
  <c r="D195" i="21"/>
  <c r="G195" i="21" s="1"/>
  <c r="D191" i="21"/>
  <c r="E191" i="21" s="1"/>
  <c r="D187" i="21"/>
  <c r="E187" i="21" s="1"/>
  <c r="D183" i="21"/>
  <c r="D179" i="21"/>
  <c r="G179" i="21" s="1"/>
  <c r="D175" i="21"/>
  <c r="D171" i="21"/>
  <c r="D167" i="21"/>
  <c r="D163" i="21"/>
  <c r="F163" i="21" s="1"/>
  <c r="D159" i="21"/>
  <c r="D155" i="21"/>
  <c r="K155" i="21" s="1"/>
  <c r="D151" i="21"/>
  <c r="D147" i="21"/>
  <c r="D143" i="21"/>
  <c r="G143" i="21" s="1"/>
  <c r="D139" i="21"/>
  <c r="D135" i="21"/>
  <c r="K135" i="21" s="1"/>
  <c r="D131" i="21"/>
  <c r="E131" i="21" s="1"/>
  <c r="D127" i="21"/>
  <c r="D123" i="21"/>
  <c r="F123" i="21" s="1"/>
  <c r="D119" i="21"/>
  <c r="F119" i="21" s="1"/>
  <c r="D115" i="21"/>
  <c r="G115" i="21" s="1"/>
  <c r="D111" i="21"/>
  <c r="D107" i="21"/>
  <c r="D103" i="21"/>
  <c r="G103" i="21" s="1"/>
  <c r="D99" i="21"/>
  <c r="F99" i="21" s="1"/>
  <c r="D95" i="21"/>
  <c r="D91" i="21"/>
  <c r="E91" i="21" s="1"/>
  <c r="D87" i="21"/>
  <c r="D83" i="21"/>
  <c r="F83" i="21" s="1"/>
  <c r="D79" i="21"/>
  <c r="D75" i="21"/>
  <c r="G75" i="21" s="1"/>
  <c r="D71" i="21"/>
  <c r="G71" i="21" s="1"/>
  <c r="D67" i="21"/>
  <c r="D63" i="21"/>
  <c r="G63" i="21" s="1"/>
  <c r="D59" i="21"/>
  <c r="D55" i="21"/>
  <c r="D51" i="21"/>
  <c r="F51" i="21" s="1"/>
  <c r="D47" i="21"/>
  <c r="D43" i="21"/>
  <c r="G43" i="21" s="1"/>
  <c r="D39" i="21"/>
  <c r="D35" i="21"/>
  <c r="D31" i="21"/>
  <c r="D27" i="21"/>
  <c r="G27" i="21" s="1"/>
  <c r="D23" i="21"/>
  <c r="G23" i="21" s="1"/>
  <c r="D19" i="21"/>
  <c r="E19" i="21" s="1"/>
  <c r="D15" i="21"/>
  <c r="D11" i="21"/>
  <c r="E11" i="21" s="1"/>
  <c r="D7" i="21"/>
  <c r="G7" i="21" s="1"/>
  <c r="D3" i="21"/>
  <c r="G3" i="21" s="1"/>
  <c r="E773" i="21"/>
  <c r="F693" i="21"/>
  <c r="F597" i="21"/>
  <c r="F469" i="21"/>
  <c r="K1116" i="21"/>
  <c r="H1116" i="21"/>
  <c r="G1116" i="21"/>
  <c r="F1116" i="21"/>
  <c r="E1116" i="21"/>
  <c r="K1100" i="21"/>
  <c r="H1100" i="21"/>
  <c r="G1100" i="21"/>
  <c r="F1100" i="21"/>
  <c r="E1100" i="21"/>
  <c r="K1084" i="21"/>
  <c r="H1084" i="21"/>
  <c r="G1084" i="21"/>
  <c r="F1084" i="21"/>
  <c r="E1084" i="21"/>
  <c r="K1072" i="21"/>
  <c r="H1072" i="21"/>
  <c r="F1072" i="21"/>
  <c r="G1072" i="21"/>
  <c r="E1072" i="21"/>
  <c r="K1056" i="21"/>
  <c r="H1056" i="21"/>
  <c r="F1056" i="21"/>
  <c r="G1056" i="21"/>
  <c r="E1056" i="21"/>
  <c r="K1036" i="21"/>
  <c r="H1036" i="21"/>
  <c r="G1036" i="21"/>
  <c r="F1036" i="21"/>
  <c r="E1036" i="21"/>
  <c r="K1024" i="21"/>
  <c r="H1024" i="21"/>
  <c r="F1024" i="21"/>
  <c r="G1024" i="21"/>
  <c r="E1024" i="21"/>
  <c r="K1004" i="21"/>
  <c r="H1004" i="21"/>
  <c r="G1004" i="21"/>
  <c r="F1004" i="21"/>
  <c r="E1004" i="21"/>
  <c r="K992" i="21"/>
  <c r="H992" i="21"/>
  <c r="F992" i="21"/>
  <c r="G992" i="21"/>
  <c r="E992" i="21"/>
  <c r="K972" i="21"/>
  <c r="H972" i="21"/>
  <c r="G972" i="21"/>
  <c r="F972" i="21"/>
  <c r="E972" i="21"/>
  <c r="K956" i="21"/>
  <c r="H956" i="21"/>
  <c r="G956" i="21"/>
  <c r="F956" i="21"/>
  <c r="E956" i="21"/>
  <c r="K940" i="21"/>
  <c r="H940" i="21"/>
  <c r="G940" i="21"/>
  <c r="F940" i="21"/>
  <c r="E940" i="21"/>
  <c r="K928" i="21"/>
  <c r="H928" i="21"/>
  <c r="F928" i="21"/>
  <c r="G928" i="21"/>
  <c r="E928" i="21"/>
  <c r="K908" i="21"/>
  <c r="H908" i="21"/>
  <c r="G908" i="21"/>
  <c r="F908" i="21"/>
  <c r="E908" i="21"/>
  <c r="K892" i="21"/>
  <c r="H892" i="21"/>
  <c r="G892" i="21"/>
  <c r="F892" i="21"/>
  <c r="E892" i="21"/>
  <c r="K876" i="21"/>
  <c r="H876" i="21"/>
  <c r="G876" i="21"/>
  <c r="F876" i="21"/>
  <c r="E876" i="21"/>
  <c r="K856" i="21"/>
  <c r="H856" i="21"/>
  <c r="F856" i="21"/>
  <c r="G856" i="21"/>
  <c r="E856" i="21"/>
  <c r="K840" i="21"/>
  <c r="H840" i="21"/>
  <c r="F840" i="21"/>
  <c r="G840" i="21"/>
  <c r="E840" i="21"/>
  <c r="K824" i="21"/>
  <c r="H824" i="21"/>
  <c r="F824" i="21"/>
  <c r="G824" i="21"/>
  <c r="E824" i="21"/>
  <c r="K808" i="21"/>
  <c r="H808" i="21"/>
  <c r="F808" i="21"/>
  <c r="G808" i="21"/>
  <c r="E808" i="21"/>
  <c r="K792" i="21"/>
  <c r="H792" i="21"/>
  <c r="F792" i="21"/>
  <c r="G792" i="21"/>
  <c r="E792" i="21"/>
  <c r="K772" i="21"/>
  <c r="H772" i="21"/>
  <c r="G772" i="21"/>
  <c r="F772" i="21"/>
  <c r="E772" i="21"/>
  <c r="K760" i="21"/>
  <c r="H760" i="21"/>
  <c r="F760" i="21"/>
  <c r="G760" i="21"/>
  <c r="E760" i="21"/>
  <c r="K740" i="21"/>
  <c r="H740" i="21"/>
  <c r="G740" i="21"/>
  <c r="F740" i="21"/>
  <c r="E740" i="21"/>
  <c r="K724" i="21"/>
  <c r="H724" i="21"/>
  <c r="G724" i="21"/>
  <c r="E724" i="21"/>
  <c r="F724" i="21"/>
  <c r="K708" i="21"/>
  <c r="H708" i="21"/>
  <c r="G708" i="21"/>
  <c r="E708" i="21"/>
  <c r="F708" i="21"/>
  <c r="K692" i="21"/>
  <c r="H692" i="21"/>
  <c r="G692" i="21"/>
  <c r="E692" i="21"/>
  <c r="F692" i="21"/>
  <c r="K680" i="21"/>
  <c r="H680" i="21"/>
  <c r="E680" i="21"/>
  <c r="F680" i="21"/>
  <c r="G680" i="21"/>
  <c r="K660" i="21"/>
  <c r="H660" i="21"/>
  <c r="G660" i="21"/>
  <c r="E660" i="21"/>
  <c r="F660" i="21"/>
  <c r="K644" i="21"/>
  <c r="H644" i="21"/>
  <c r="G644" i="21"/>
  <c r="E644" i="21"/>
  <c r="F644" i="21"/>
  <c r="K628" i="21"/>
  <c r="H628" i="21"/>
  <c r="G628" i="21"/>
  <c r="E628" i="21"/>
  <c r="F628" i="21"/>
  <c r="K612" i="21"/>
  <c r="H612" i="21"/>
  <c r="G612" i="21"/>
  <c r="E612" i="21"/>
  <c r="F612" i="21"/>
  <c r="K596" i="21"/>
  <c r="H596" i="21"/>
  <c r="G596" i="21"/>
  <c r="E596" i="21"/>
  <c r="F596" i="21"/>
  <c r="K584" i="21"/>
  <c r="H584" i="21"/>
  <c r="E584" i="21"/>
  <c r="F584" i="21"/>
  <c r="G584" i="21"/>
  <c r="K564" i="21"/>
  <c r="H564" i="21"/>
  <c r="G564" i="21"/>
  <c r="E564" i="21"/>
  <c r="F564" i="21"/>
  <c r="K548" i="21"/>
  <c r="H548" i="21"/>
  <c r="G548" i="21"/>
  <c r="E548" i="21"/>
  <c r="F548" i="21"/>
  <c r="K532" i="21"/>
  <c r="H532" i="21"/>
  <c r="G532" i="21"/>
  <c r="E532" i="21"/>
  <c r="F532" i="21"/>
  <c r="K516" i="21"/>
  <c r="H516" i="21"/>
  <c r="G516" i="21"/>
  <c r="E516" i="21"/>
  <c r="F516" i="21"/>
  <c r="K500" i="21"/>
  <c r="H500" i="21"/>
  <c r="G500" i="21"/>
  <c r="E500" i="21"/>
  <c r="F500" i="21"/>
  <c r="K484" i="21"/>
  <c r="H484" i="21"/>
  <c r="G484" i="21"/>
  <c r="E484" i="21"/>
  <c r="F484" i="21"/>
  <c r="K468" i="21"/>
  <c r="H468" i="21"/>
  <c r="G468" i="21"/>
  <c r="E468" i="21"/>
  <c r="F468" i="21"/>
  <c r="K448" i="21"/>
  <c r="H448" i="21"/>
  <c r="E448" i="21"/>
  <c r="F448" i="21"/>
  <c r="G448" i="21"/>
  <c r="K432" i="21"/>
  <c r="H432" i="21"/>
  <c r="E432" i="21"/>
  <c r="F432" i="21"/>
  <c r="G432" i="21"/>
  <c r="K420" i="21"/>
  <c r="H420" i="21"/>
  <c r="G420" i="21"/>
  <c r="E420" i="21"/>
  <c r="F420" i="21"/>
  <c r="K404" i="21"/>
  <c r="H404" i="21"/>
  <c r="G404" i="21"/>
  <c r="E404" i="21"/>
  <c r="F404" i="21"/>
  <c r="K388" i="21"/>
  <c r="H388" i="21"/>
  <c r="G388" i="21"/>
  <c r="E388" i="21"/>
  <c r="F388" i="21"/>
  <c r="K372" i="21"/>
  <c r="H372" i="21"/>
  <c r="G372" i="21"/>
  <c r="E372" i="21"/>
  <c r="F372" i="21"/>
  <c r="K360" i="21"/>
  <c r="H360" i="21"/>
  <c r="E360" i="21"/>
  <c r="F360" i="21"/>
  <c r="G360" i="21"/>
  <c r="K344" i="21"/>
  <c r="H344" i="21"/>
  <c r="E344" i="21"/>
  <c r="F344" i="21"/>
  <c r="G344" i="21"/>
  <c r="K324" i="21"/>
  <c r="H324" i="21"/>
  <c r="G324" i="21"/>
  <c r="E324" i="21"/>
  <c r="F324" i="21"/>
  <c r="K308" i="21"/>
  <c r="H308" i="21"/>
  <c r="G308" i="21"/>
  <c r="E308" i="21"/>
  <c r="F308" i="21"/>
  <c r="K296" i="21"/>
  <c r="H296" i="21"/>
  <c r="E296" i="21"/>
  <c r="F296" i="21"/>
  <c r="G296" i="21"/>
  <c r="K276" i="21"/>
  <c r="H276" i="21"/>
  <c r="G276" i="21"/>
  <c r="E276" i="21"/>
  <c r="F276" i="21"/>
  <c r="K264" i="21"/>
  <c r="H264" i="21"/>
  <c r="E264" i="21"/>
  <c r="F264" i="21"/>
  <c r="G264" i="21"/>
  <c r="K248" i="21"/>
  <c r="H248" i="21"/>
  <c r="E248" i="21"/>
  <c r="F248" i="21"/>
  <c r="G248" i="21"/>
  <c r="K232" i="21"/>
  <c r="H232" i="21"/>
  <c r="G232" i="21"/>
  <c r="E232" i="21"/>
  <c r="F232" i="21"/>
  <c r="K212" i="21"/>
  <c r="H212" i="21"/>
  <c r="E212" i="21"/>
  <c r="G212" i="21"/>
  <c r="F212" i="21"/>
  <c r="K196" i="21"/>
  <c r="H196" i="21"/>
  <c r="E196" i="21"/>
  <c r="G196" i="21"/>
  <c r="F196" i="21"/>
  <c r="K180" i="21"/>
  <c r="H180" i="21"/>
  <c r="E180" i="21"/>
  <c r="G180" i="21"/>
  <c r="F180" i="21"/>
  <c r="K168" i="21"/>
  <c r="H168" i="21"/>
  <c r="E168" i="21"/>
  <c r="G168" i="21"/>
  <c r="F168" i="21"/>
  <c r="K152" i="21"/>
  <c r="H152" i="21"/>
  <c r="E152" i="21"/>
  <c r="G152" i="21"/>
  <c r="F152" i="21"/>
  <c r="K132" i="21"/>
  <c r="H132" i="21"/>
  <c r="E132" i="21"/>
  <c r="G132" i="21"/>
  <c r="F132" i="21"/>
  <c r="K112" i="21"/>
  <c r="H112" i="21"/>
  <c r="E112" i="21"/>
  <c r="F112" i="21"/>
  <c r="G112" i="21"/>
  <c r="K100" i="21"/>
  <c r="H100" i="21"/>
  <c r="E100" i="21"/>
  <c r="G100" i="21"/>
  <c r="F100" i="21"/>
  <c r="K84" i="21"/>
  <c r="H84" i="21"/>
  <c r="E84" i="21"/>
  <c r="G84" i="21"/>
  <c r="F84" i="21"/>
  <c r="K72" i="21"/>
  <c r="H72" i="21"/>
  <c r="E72" i="21"/>
  <c r="G72" i="21"/>
  <c r="F72" i="21"/>
  <c r="K56" i="21"/>
  <c r="H56" i="21"/>
  <c r="E56" i="21"/>
  <c r="G56" i="21"/>
  <c r="F56" i="21"/>
  <c r="K36" i="21"/>
  <c r="H36" i="21"/>
  <c r="E36" i="21"/>
  <c r="G36" i="21"/>
  <c r="F36" i="21"/>
  <c r="K20" i="21"/>
  <c r="H20" i="21"/>
  <c r="E20" i="21"/>
  <c r="G20" i="21"/>
  <c r="F20" i="21"/>
  <c r="K4" i="21"/>
  <c r="H4" i="21"/>
  <c r="E4" i="21"/>
  <c r="G4" i="21"/>
  <c r="F4" i="21"/>
  <c r="G955" i="21"/>
  <c r="E943" i="21"/>
  <c r="E931" i="21"/>
  <c r="H891" i="21"/>
  <c r="G867" i="21"/>
  <c r="H851" i="21"/>
  <c r="K1120" i="21"/>
  <c r="H1120" i="21"/>
  <c r="F1120" i="21"/>
  <c r="G1120" i="21"/>
  <c r="E1120" i="21"/>
  <c r="K1104" i="21"/>
  <c r="H1104" i="21"/>
  <c r="F1104" i="21"/>
  <c r="G1104" i="21"/>
  <c r="E1104" i="21"/>
  <c r="K1088" i="21"/>
  <c r="H1088" i="21"/>
  <c r="F1088" i="21"/>
  <c r="G1088" i="21"/>
  <c r="E1088" i="21"/>
  <c r="K1068" i="21"/>
  <c r="H1068" i="21"/>
  <c r="G1068" i="21"/>
  <c r="F1068" i="21"/>
  <c r="E1068" i="21"/>
  <c r="K1052" i="21"/>
  <c r="H1052" i="21"/>
  <c r="G1052" i="21"/>
  <c r="F1052" i="21"/>
  <c r="E1052" i="21"/>
  <c r="K1040" i="21"/>
  <c r="H1040" i="21"/>
  <c r="F1040" i="21"/>
  <c r="G1040" i="21"/>
  <c r="E1040" i="21"/>
  <c r="K1020" i="21"/>
  <c r="H1020" i="21"/>
  <c r="G1020" i="21"/>
  <c r="F1020" i="21"/>
  <c r="E1020" i="21"/>
  <c r="K1008" i="21"/>
  <c r="H1008" i="21"/>
  <c r="F1008" i="21"/>
  <c r="G1008" i="21"/>
  <c r="E1008" i="21"/>
  <c r="K988" i="21"/>
  <c r="H988" i="21"/>
  <c r="G988" i="21"/>
  <c r="F988" i="21"/>
  <c r="E988" i="21"/>
  <c r="K976" i="21"/>
  <c r="H976" i="21"/>
  <c r="F976" i="21"/>
  <c r="G976" i="21"/>
  <c r="E976" i="21"/>
  <c r="K960" i="21"/>
  <c r="H960" i="21"/>
  <c r="F960" i="21"/>
  <c r="G960" i="21"/>
  <c r="E960" i="21"/>
  <c r="K944" i="21"/>
  <c r="H944" i="21"/>
  <c r="F944" i="21"/>
  <c r="G944" i="21"/>
  <c r="E944" i="21"/>
  <c r="K924" i="21"/>
  <c r="H924" i="21"/>
  <c r="G924" i="21"/>
  <c r="F924" i="21"/>
  <c r="E924" i="21"/>
  <c r="K912" i="21"/>
  <c r="H912" i="21"/>
  <c r="F912" i="21"/>
  <c r="E912" i="21"/>
  <c r="G912" i="21"/>
  <c r="K896" i="21"/>
  <c r="H896" i="21"/>
  <c r="F896" i="21"/>
  <c r="E896" i="21"/>
  <c r="G896" i="21"/>
  <c r="K880" i="21"/>
  <c r="H880" i="21"/>
  <c r="F880" i="21"/>
  <c r="E880" i="21"/>
  <c r="G880" i="21"/>
  <c r="K852" i="21"/>
  <c r="H852" i="21"/>
  <c r="G852" i="21"/>
  <c r="F852" i="21"/>
  <c r="E852" i="21"/>
  <c r="K836" i="21"/>
  <c r="H836" i="21"/>
  <c r="G836" i="21"/>
  <c r="F836" i="21"/>
  <c r="E836" i="21"/>
  <c r="K820" i="21"/>
  <c r="H820" i="21"/>
  <c r="G820" i="21"/>
  <c r="F820" i="21"/>
  <c r="E820" i="21"/>
  <c r="K804" i="21"/>
  <c r="H804" i="21"/>
  <c r="G804" i="21"/>
  <c r="F804" i="21"/>
  <c r="E804" i="21"/>
  <c r="K788" i="21"/>
  <c r="H788" i="21"/>
  <c r="G788" i="21"/>
  <c r="F788" i="21"/>
  <c r="E788" i="21"/>
  <c r="K776" i="21"/>
  <c r="H776" i="21"/>
  <c r="F776" i="21"/>
  <c r="G776" i="21"/>
  <c r="E776" i="21"/>
  <c r="K756" i="21"/>
  <c r="H756" i="21"/>
  <c r="G756" i="21"/>
  <c r="F756" i="21"/>
  <c r="E756" i="21"/>
  <c r="K744" i="21"/>
  <c r="H744" i="21"/>
  <c r="F744" i="21"/>
  <c r="G744" i="21"/>
  <c r="E744" i="21"/>
  <c r="K728" i="21"/>
  <c r="H728" i="21"/>
  <c r="E728" i="21"/>
  <c r="F728" i="21"/>
  <c r="G728" i="21"/>
  <c r="K712" i="21"/>
  <c r="H712" i="21"/>
  <c r="E712" i="21"/>
  <c r="F712" i="21"/>
  <c r="G712" i="21"/>
  <c r="K696" i="21"/>
  <c r="H696" i="21"/>
  <c r="E696" i="21"/>
  <c r="F696" i="21"/>
  <c r="G696" i="21"/>
  <c r="K676" i="21"/>
  <c r="H676" i="21"/>
  <c r="G676" i="21"/>
  <c r="E676" i="21"/>
  <c r="F676" i="21"/>
  <c r="K664" i="21"/>
  <c r="H664" i="21"/>
  <c r="E664" i="21"/>
  <c r="F664" i="21"/>
  <c r="G664" i="21"/>
  <c r="K648" i="21"/>
  <c r="H648" i="21"/>
  <c r="E648" i="21"/>
  <c r="F648" i="21"/>
  <c r="G648" i="21"/>
  <c r="K632" i="21"/>
  <c r="H632" i="21"/>
  <c r="E632" i="21"/>
  <c r="F632" i="21"/>
  <c r="G632" i="21"/>
  <c r="K616" i="21"/>
  <c r="H616" i="21"/>
  <c r="E616" i="21"/>
  <c r="F616" i="21"/>
  <c r="G616" i="21"/>
  <c r="K600" i="21"/>
  <c r="H600" i="21"/>
  <c r="E600" i="21"/>
  <c r="F600" i="21"/>
  <c r="G600" i="21"/>
  <c r="K580" i="21"/>
  <c r="H580" i="21"/>
  <c r="G580" i="21"/>
  <c r="E580" i="21"/>
  <c r="F580" i="21"/>
  <c r="K568" i="21"/>
  <c r="H568" i="21"/>
  <c r="E568" i="21"/>
  <c r="F568" i="21"/>
  <c r="G568" i="21"/>
  <c r="K552" i="21"/>
  <c r="H552" i="21"/>
  <c r="E552" i="21"/>
  <c r="F552" i="21"/>
  <c r="G552" i="21"/>
  <c r="K536" i="21"/>
  <c r="H536" i="21"/>
  <c r="E536" i="21"/>
  <c r="F536" i="21"/>
  <c r="G536" i="21"/>
  <c r="K520" i="21"/>
  <c r="H520" i="21"/>
  <c r="E520" i="21"/>
  <c r="F520" i="21"/>
  <c r="G520" i="21"/>
  <c r="K504" i="21"/>
  <c r="H504" i="21"/>
  <c r="E504" i="21"/>
  <c r="F504" i="21"/>
  <c r="G504" i="21"/>
  <c r="K488" i="21"/>
  <c r="H488" i="21"/>
  <c r="E488" i="21"/>
  <c r="F488" i="21"/>
  <c r="G488" i="21"/>
  <c r="K472" i="21"/>
  <c r="H472" i="21"/>
  <c r="E472" i="21"/>
  <c r="F472" i="21"/>
  <c r="G472" i="21"/>
  <c r="K456" i="21"/>
  <c r="H456" i="21"/>
  <c r="E456" i="21"/>
  <c r="F456" i="21"/>
  <c r="G456" i="21"/>
  <c r="K436" i="21"/>
  <c r="H436" i="21"/>
  <c r="G436" i="21"/>
  <c r="E436" i="21"/>
  <c r="F436" i="21"/>
  <c r="K416" i="21"/>
  <c r="H416" i="21"/>
  <c r="E416" i="21"/>
  <c r="F416" i="21"/>
  <c r="G416" i="21"/>
  <c r="K400" i="21"/>
  <c r="H400" i="21"/>
  <c r="E400" i="21"/>
  <c r="F400" i="21"/>
  <c r="G400" i="21"/>
  <c r="K384" i="21"/>
  <c r="H384" i="21"/>
  <c r="E384" i="21"/>
  <c r="F384" i="21"/>
  <c r="G384" i="21"/>
  <c r="K364" i="21"/>
  <c r="H364" i="21"/>
  <c r="G364" i="21"/>
  <c r="E364" i="21"/>
  <c r="F364" i="21"/>
  <c r="K348" i="21"/>
  <c r="H348" i="21"/>
  <c r="G348" i="21"/>
  <c r="E348" i="21"/>
  <c r="F348" i="21"/>
  <c r="K340" i="21"/>
  <c r="H340" i="21"/>
  <c r="G340" i="21"/>
  <c r="E340" i="21"/>
  <c r="F340" i="21"/>
  <c r="K328" i="21"/>
  <c r="H328" i="21"/>
  <c r="E328" i="21"/>
  <c r="F328" i="21"/>
  <c r="G328" i="21"/>
  <c r="K312" i="21"/>
  <c r="H312" i="21"/>
  <c r="E312" i="21"/>
  <c r="F312" i="21"/>
  <c r="G312" i="21"/>
  <c r="K292" i="21"/>
  <c r="H292" i="21"/>
  <c r="G292" i="21"/>
  <c r="E292" i="21"/>
  <c r="F292" i="21"/>
  <c r="K280" i="21"/>
  <c r="H280" i="21"/>
  <c r="E280" i="21"/>
  <c r="F280" i="21"/>
  <c r="G280" i="21"/>
  <c r="K260" i="21"/>
  <c r="H260" i="21"/>
  <c r="G260" i="21"/>
  <c r="E260" i="21"/>
  <c r="F260" i="21"/>
  <c r="K244" i="21"/>
  <c r="H244" i="21"/>
  <c r="G244" i="21"/>
  <c r="E244" i="21"/>
  <c r="F244" i="21"/>
  <c r="K228" i="21"/>
  <c r="H228" i="21"/>
  <c r="G228" i="21"/>
  <c r="E228" i="21"/>
  <c r="F228" i="21"/>
  <c r="K216" i="21"/>
  <c r="H216" i="21"/>
  <c r="E216" i="21"/>
  <c r="G216" i="21"/>
  <c r="F216" i="21"/>
  <c r="K200" i="21"/>
  <c r="H200" i="21"/>
  <c r="E200" i="21"/>
  <c r="G200" i="21"/>
  <c r="F200" i="21"/>
  <c r="K184" i="21"/>
  <c r="H184" i="21"/>
  <c r="E184" i="21"/>
  <c r="G184" i="21"/>
  <c r="F184" i="21"/>
  <c r="K164" i="21"/>
  <c r="H164" i="21"/>
  <c r="E164" i="21"/>
  <c r="G164" i="21"/>
  <c r="F164" i="21"/>
  <c r="K148" i="21"/>
  <c r="H148" i="21"/>
  <c r="E148" i="21"/>
  <c r="G148" i="21"/>
  <c r="F148" i="21"/>
  <c r="K128" i="21"/>
  <c r="H128" i="21"/>
  <c r="E128" i="21"/>
  <c r="G128" i="21"/>
  <c r="F128" i="21"/>
  <c r="K116" i="21"/>
  <c r="H116" i="21"/>
  <c r="E116" i="21"/>
  <c r="G116" i="21"/>
  <c r="F116" i="21"/>
  <c r="K104" i="21"/>
  <c r="H104" i="21"/>
  <c r="E104" i="21"/>
  <c r="G104" i="21"/>
  <c r="F104" i="21"/>
  <c r="K88" i="21"/>
  <c r="H88" i="21"/>
  <c r="E88" i="21"/>
  <c r="G88" i="21"/>
  <c r="F88" i="21"/>
  <c r="K68" i="21"/>
  <c r="H68" i="21"/>
  <c r="E68" i="21"/>
  <c r="G68" i="21"/>
  <c r="F68" i="21"/>
  <c r="K52" i="21"/>
  <c r="H52" i="21"/>
  <c r="E52" i="21"/>
  <c r="G52" i="21"/>
  <c r="F52" i="21"/>
  <c r="K40" i="21"/>
  <c r="H40" i="21"/>
  <c r="E40" i="21"/>
  <c r="G40" i="21"/>
  <c r="F40" i="21"/>
  <c r="K24" i="21"/>
  <c r="H24" i="21"/>
  <c r="E24" i="21"/>
  <c r="G24" i="21"/>
  <c r="F24" i="21"/>
  <c r="K8" i="21"/>
  <c r="H8" i="21"/>
  <c r="E8" i="21"/>
  <c r="G8" i="21"/>
  <c r="F8" i="21"/>
  <c r="K1124" i="21"/>
  <c r="H1124" i="21"/>
  <c r="G1124" i="21"/>
  <c r="F1124" i="21"/>
  <c r="E1124" i="21"/>
  <c r="K1108" i="21"/>
  <c r="H1108" i="21"/>
  <c r="G1108" i="21"/>
  <c r="F1108" i="21"/>
  <c r="E1108" i="21"/>
  <c r="K1092" i="21"/>
  <c r="H1092" i="21"/>
  <c r="G1092" i="21"/>
  <c r="F1092" i="21"/>
  <c r="E1092" i="21"/>
  <c r="K1076" i="21"/>
  <c r="H1076" i="21"/>
  <c r="G1076" i="21"/>
  <c r="F1076" i="21"/>
  <c r="E1076" i="21"/>
  <c r="K1060" i="21"/>
  <c r="H1060" i="21"/>
  <c r="G1060" i="21"/>
  <c r="F1060" i="21"/>
  <c r="E1060" i="21"/>
  <c r="K1048" i="21"/>
  <c r="H1048" i="21"/>
  <c r="G1048" i="21"/>
  <c r="F1048" i="21"/>
  <c r="E1048" i="21"/>
  <c r="K1032" i="21"/>
  <c r="H1032" i="21"/>
  <c r="G1032" i="21"/>
  <c r="F1032" i="21"/>
  <c r="E1032" i="21"/>
  <c r="K1012" i="21"/>
  <c r="H1012" i="21"/>
  <c r="G1012" i="21"/>
  <c r="F1012" i="21"/>
  <c r="E1012" i="21"/>
  <c r="K996" i="21"/>
  <c r="H996" i="21"/>
  <c r="G996" i="21"/>
  <c r="F996" i="21"/>
  <c r="E996" i="21"/>
  <c r="K980" i="21"/>
  <c r="H980" i="21"/>
  <c r="G980" i="21"/>
  <c r="F980" i="21"/>
  <c r="E980" i="21"/>
  <c r="K964" i="21"/>
  <c r="H964" i="21"/>
  <c r="G964" i="21"/>
  <c r="F964" i="21"/>
  <c r="E964" i="21"/>
  <c r="K952" i="21"/>
  <c r="H952" i="21"/>
  <c r="G952" i="21"/>
  <c r="F952" i="21"/>
  <c r="E952" i="21"/>
  <c r="K936" i="21"/>
  <c r="H936" i="21"/>
  <c r="G936" i="21"/>
  <c r="F936" i="21"/>
  <c r="E936" i="21"/>
  <c r="K916" i="21"/>
  <c r="H916" i="21"/>
  <c r="G916" i="21"/>
  <c r="F916" i="21"/>
  <c r="E916" i="21"/>
  <c r="K904" i="21"/>
  <c r="H904" i="21"/>
  <c r="F904" i="21"/>
  <c r="G904" i="21"/>
  <c r="E904" i="21"/>
  <c r="K888" i="21"/>
  <c r="H888" i="21"/>
  <c r="F888" i="21"/>
  <c r="G888" i="21"/>
  <c r="E888" i="21"/>
  <c r="K868" i="21"/>
  <c r="H868" i="21"/>
  <c r="G868" i="21"/>
  <c r="F868" i="21"/>
  <c r="E868" i="21"/>
  <c r="K864" i="21"/>
  <c r="H864" i="21"/>
  <c r="F864" i="21"/>
  <c r="E864" i="21"/>
  <c r="G864" i="21"/>
  <c r="K848" i="21"/>
  <c r="H848" i="21"/>
  <c r="F848" i="21"/>
  <c r="E848" i="21"/>
  <c r="G848" i="21"/>
  <c r="K828" i="21"/>
  <c r="H828" i="21"/>
  <c r="G828" i="21"/>
  <c r="F828" i="21"/>
  <c r="E828" i="21"/>
  <c r="K812" i="21"/>
  <c r="H812" i="21"/>
  <c r="G812" i="21"/>
  <c r="F812" i="21"/>
  <c r="E812" i="21"/>
  <c r="K796" i="21"/>
  <c r="H796" i="21"/>
  <c r="G796" i="21"/>
  <c r="F796" i="21"/>
  <c r="E796" i="21"/>
  <c r="K784" i="21"/>
  <c r="H784" i="21"/>
  <c r="F784" i="21"/>
  <c r="E784" i="21"/>
  <c r="G784" i="21"/>
  <c r="K764" i="21"/>
  <c r="H764" i="21"/>
  <c r="G764" i="21"/>
  <c r="F764" i="21"/>
  <c r="E764" i="21"/>
  <c r="K748" i="21"/>
  <c r="H748" i="21"/>
  <c r="G748" i="21"/>
  <c r="F748" i="21"/>
  <c r="E748" i="21"/>
  <c r="K736" i="21"/>
  <c r="H736" i="21"/>
  <c r="E736" i="21"/>
  <c r="F736" i="21"/>
  <c r="G736" i="21"/>
  <c r="K720" i="21"/>
  <c r="H720" i="21"/>
  <c r="E720" i="21"/>
  <c r="F720" i="21"/>
  <c r="G720" i="21"/>
  <c r="K704" i="21"/>
  <c r="H704" i="21"/>
  <c r="E704" i="21"/>
  <c r="F704" i="21"/>
  <c r="G704" i="21"/>
  <c r="K684" i="21"/>
  <c r="H684" i="21"/>
  <c r="G684" i="21"/>
  <c r="E684" i="21"/>
  <c r="F684" i="21"/>
  <c r="K672" i="21"/>
  <c r="H672" i="21"/>
  <c r="E672" i="21"/>
  <c r="F672" i="21"/>
  <c r="G672" i="21"/>
  <c r="K652" i="21"/>
  <c r="H652" i="21"/>
  <c r="G652" i="21"/>
  <c r="E652" i="21"/>
  <c r="F652" i="21"/>
  <c r="K636" i="21"/>
  <c r="H636" i="21"/>
  <c r="G636" i="21"/>
  <c r="E636" i="21"/>
  <c r="F636" i="21"/>
  <c r="K624" i="21"/>
  <c r="H624" i="21"/>
  <c r="E624" i="21"/>
  <c r="F624" i="21"/>
  <c r="G624" i="21"/>
  <c r="K608" i="21"/>
  <c r="H608" i="21"/>
  <c r="E608" i="21"/>
  <c r="F608" i="21"/>
  <c r="G608" i="21"/>
  <c r="K588" i="21"/>
  <c r="H588" i="21"/>
  <c r="G588" i="21"/>
  <c r="E588" i="21"/>
  <c r="F588" i="21"/>
  <c r="K572" i="21"/>
  <c r="H572" i="21"/>
  <c r="G572" i="21"/>
  <c r="E572" i="21"/>
  <c r="F572" i="21"/>
  <c r="K556" i="21"/>
  <c r="H556" i="21"/>
  <c r="G556" i="21"/>
  <c r="E556" i="21"/>
  <c r="F556" i="21"/>
  <c r="K540" i="21"/>
  <c r="H540" i="21"/>
  <c r="G540" i="21"/>
  <c r="E540" i="21"/>
  <c r="F540" i="21"/>
  <c r="K524" i="21"/>
  <c r="H524" i="21"/>
  <c r="G524" i="21"/>
  <c r="E524" i="21"/>
  <c r="F524" i="21"/>
  <c r="K508" i="21"/>
  <c r="H508" i="21"/>
  <c r="G508" i="21"/>
  <c r="E508" i="21"/>
  <c r="F508" i="21"/>
  <c r="K492" i="21"/>
  <c r="H492" i="21"/>
  <c r="G492" i="21"/>
  <c r="E492" i="21"/>
  <c r="F492" i="21"/>
  <c r="K476" i="21"/>
  <c r="H476" i="21"/>
  <c r="G476" i="21"/>
  <c r="E476" i="21"/>
  <c r="F476" i="21"/>
  <c r="K460" i="21"/>
  <c r="H460" i="21"/>
  <c r="G460" i="21"/>
  <c r="E460" i="21"/>
  <c r="F460" i="21"/>
  <c r="K444" i="21"/>
  <c r="H444" i="21"/>
  <c r="G444" i="21"/>
  <c r="E444" i="21"/>
  <c r="F444" i="21"/>
  <c r="K428" i="21"/>
  <c r="H428" i="21"/>
  <c r="G428" i="21"/>
  <c r="E428" i="21"/>
  <c r="F428" i="21"/>
  <c r="K412" i="21"/>
  <c r="H412" i="21"/>
  <c r="G412" i="21"/>
  <c r="E412" i="21"/>
  <c r="F412" i="21"/>
  <c r="K396" i="21"/>
  <c r="H396" i="21"/>
  <c r="G396" i="21"/>
  <c r="E396" i="21"/>
  <c r="F396" i="21"/>
  <c r="K380" i="21"/>
  <c r="H380" i="21"/>
  <c r="G380" i="21"/>
  <c r="E380" i="21"/>
  <c r="F380" i="21"/>
  <c r="K368" i="21"/>
  <c r="H368" i="21"/>
  <c r="E368" i="21"/>
  <c r="F368" i="21"/>
  <c r="G368" i="21"/>
  <c r="K352" i="21"/>
  <c r="H352" i="21"/>
  <c r="E352" i="21"/>
  <c r="F352" i="21"/>
  <c r="G352" i="21"/>
  <c r="K336" i="21"/>
  <c r="H336" i="21"/>
  <c r="E336" i="21"/>
  <c r="F336" i="21"/>
  <c r="G336" i="21"/>
  <c r="K316" i="21"/>
  <c r="H316" i="21"/>
  <c r="G316" i="21"/>
  <c r="E316" i="21"/>
  <c r="F316" i="21"/>
  <c r="K300" i="21"/>
  <c r="H300" i="21"/>
  <c r="G300" i="21"/>
  <c r="E300" i="21"/>
  <c r="F300" i="21"/>
  <c r="K288" i="21"/>
  <c r="H288" i="21"/>
  <c r="E288" i="21"/>
  <c r="F288" i="21"/>
  <c r="G288" i="21"/>
  <c r="K272" i="21"/>
  <c r="H272" i="21"/>
  <c r="E272" i="21"/>
  <c r="F272" i="21"/>
  <c r="G272" i="21"/>
  <c r="K252" i="21"/>
  <c r="H252" i="21"/>
  <c r="G252" i="21"/>
  <c r="E252" i="21"/>
  <c r="F252" i="21"/>
  <c r="K236" i="21"/>
  <c r="H236" i="21"/>
  <c r="G236" i="21"/>
  <c r="E236" i="21"/>
  <c r="F236" i="21"/>
  <c r="K224" i="21"/>
  <c r="H224" i="21"/>
  <c r="G224" i="21"/>
  <c r="E224" i="21"/>
  <c r="F224" i="21"/>
  <c r="K208" i="21"/>
  <c r="H208" i="21"/>
  <c r="E208" i="21"/>
  <c r="F208" i="21"/>
  <c r="G208" i="21"/>
  <c r="K192" i="21"/>
  <c r="H192" i="21"/>
  <c r="E192" i="21"/>
  <c r="F192" i="21"/>
  <c r="G192" i="21"/>
  <c r="K176" i="21"/>
  <c r="H176" i="21"/>
  <c r="E176" i="21"/>
  <c r="G176" i="21"/>
  <c r="F176" i="21"/>
  <c r="K160" i="21"/>
  <c r="H160" i="21"/>
  <c r="E160" i="21"/>
  <c r="G160" i="21"/>
  <c r="F160" i="21"/>
  <c r="K144" i="21"/>
  <c r="H144" i="21"/>
  <c r="E144" i="21"/>
  <c r="G144" i="21"/>
  <c r="F144" i="21"/>
  <c r="K136" i="21"/>
  <c r="H136" i="21"/>
  <c r="E136" i="21"/>
  <c r="G136" i="21"/>
  <c r="F136" i="21"/>
  <c r="K120" i="21"/>
  <c r="H120" i="21"/>
  <c r="E120" i="21"/>
  <c r="G120" i="21"/>
  <c r="F120" i="21"/>
  <c r="K96" i="21"/>
  <c r="H96" i="21"/>
  <c r="E96" i="21"/>
  <c r="G96" i="21"/>
  <c r="F96" i="21"/>
  <c r="K80" i="21"/>
  <c r="H80" i="21"/>
  <c r="E80" i="21"/>
  <c r="F80" i="21"/>
  <c r="G80" i="21"/>
  <c r="K60" i="21"/>
  <c r="H60" i="21"/>
  <c r="E60" i="21"/>
  <c r="G60" i="21"/>
  <c r="F60" i="21"/>
  <c r="K44" i="21"/>
  <c r="H44" i="21"/>
  <c r="E44" i="21"/>
  <c r="G44" i="21"/>
  <c r="F44" i="21"/>
  <c r="K28" i="21"/>
  <c r="H28" i="21"/>
  <c r="E28" i="21"/>
  <c r="G28" i="21"/>
  <c r="F28" i="21"/>
  <c r="K16" i="21"/>
  <c r="H16" i="21"/>
  <c r="E16" i="21"/>
  <c r="G16" i="21"/>
  <c r="F16" i="21"/>
  <c r="G959" i="21"/>
  <c r="H959" i="21"/>
  <c r="K947" i="21"/>
  <c r="G923" i="21"/>
  <c r="H923" i="21"/>
  <c r="E923" i="21"/>
  <c r="G911" i="21"/>
  <c r="H911" i="21"/>
  <c r="K899" i="21"/>
  <c r="G899" i="21"/>
  <c r="K875" i="21"/>
  <c r="G875" i="21"/>
  <c r="E875" i="21"/>
  <c r="F875" i="21"/>
  <c r="K859" i="21"/>
  <c r="G859" i="21"/>
  <c r="H859" i="21"/>
  <c r="F859" i="21"/>
  <c r="K843" i="21"/>
  <c r="E843" i="21"/>
  <c r="H843" i="21"/>
  <c r="F843" i="21"/>
  <c r="H2" i="21"/>
  <c r="K2" i="21"/>
  <c r="K1117" i="21"/>
  <c r="H1117" i="21"/>
  <c r="G1117" i="21"/>
  <c r="F1117" i="21"/>
  <c r="E1117" i="21"/>
  <c r="K1113" i="21"/>
  <c r="H1113" i="21"/>
  <c r="F1113" i="21"/>
  <c r="K1109" i="21"/>
  <c r="E1109" i="21"/>
  <c r="E1105" i="21"/>
  <c r="F1105" i="21"/>
  <c r="F1097" i="21"/>
  <c r="K1093" i="21"/>
  <c r="H1093" i="21"/>
  <c r="G1093" i="21"/>
  <c r="F1093" i="21"/>
  <c r="E1093" i="21"/>
  <c r="K1112" i="21"/>
  <c r="H1112" i="21"/>
  <c r="G1112" i="21"/>
  <c r="F1112" i="21"/>
  <c r="E1112" i="21"/>
  <c r="K1096" i="21"/>
  <c r="H1096" i="21"/>
  <c r="G1096" i="21"/>
  <c r="F1096" i="21"/>
  <c r="E1096" i="21"/>
  <c r="K1080" i="21"/>
  <c r="H1080" i="21"/>
  <c r="G1080" i="21"/>
  <c r="F1080" i="21"/>
  <c r="E1080" i="21"/>
  <c r="K1064" i="21"/>
  <c r="H1064" i="21"/>
  <c r="G1064" i="21"/>
  <c r="F1064" i="21"/>
  <c r="E1064" i="21"/>
  <c r="K1044" i="21"/>
  <c r="H1044" i="21"/>
  <c r="G1044" i="21"/>
  <c r="F1044" i="21"/>
  <c r="E1044" i="21"/>
  <c r="K1028" i="21"/>
  <c r="H1028" i="21"/>
  <c r="G1028" i="21"/>
  <c r="F1028" i="21"/>
  <c r="E1028" i="21"/>
  <c r="K1016" i="21"/>
  <c r="H1016" i="21"/>
  <c r="G1016" i="21"/>
  <c r="F1016" i="21"/>
  <c r="E1016" i="21"/>
  <c r="K1000" i="21"/>
  <c r="H1000" i="21"/>
  <c r="G1000" i="21"/>
  <c r="F1000" i="21"/>
  <c r="E1000" i="21"/>
  <c r="K984" i="21"/>
  <c r="H984" i="21"/>
  <c r="G984" i="21"/>
  <c r="F984" i="21"/>
  <c r="E984" i="21"/>
  <c r="K968" i="21"/>
  <c r="H968" i="21"/>
  <c r="G968" i="21"/>
  <c r="F968" i="21"/>
  <c r="E968" i="21"/>
  <c r="K948" i="21"/>
  <c r="H948" i="21"/>
  <c r="G948" i="21"/>
  <c r="F948" i="21"/>
  <c r="E948" i="21"/>
  <c r="K932" i="21"/>
  <c r="H932" i="21"/>
  <c r="G932" i="21"/>
  <c r="F932" i="21"/>
  <c r="E932" i="21"/>
  <c r="K920" i="21"/>
  <c r="H920" i="21"/>
  <c r="F920" i="21"/>
  <c r="G920" i="21"/>
  <c r="E920" i="21"/>
  <c r="K900" i="21"/>
  <c r="H900" i="21"/>
  <c r="G900" i="21"/>
  <c r="F900" i="21"/>
  <c r="E900" i="21"/>
  <c r="K884" i="21"/>
  <c r="H884" i="21"/>
  <c r="G884" i="21"/>
  <c r="F884" i="21"/>
  <c r="E884" i="21"/>
  <c r="K872" i="21"/>
  <c r="H872" i="21"/>
  <c r="F872" i="21"/>
  <c r="G872" i="21"/>
  <c r="E872" i="21"/>
  <c r="K860" i="21"/>
  <c r="H860" i="21"/>
  <c r="G860" i="21"/>
  <c r="F860" i="21"/>
  <c r="E860" i="21"/>
  <c r="K844" i="21"/>
  <c r="H844" i="21"/>
  <c r="G844" i="21"/>
  <c r="F844" i="21"/>
  <c r="E844" i="21"/>
  <c r="K832" i="21"/>
  <c r="H832" i="21"/>
  <c r="F832" i="21"/>
  <c r="E832" i="21"/>
  <c r="G832" i="21"/>
  <c r="K816" i="21"/>
  <c r="H816" i="21"/>
  <c r="F816" i="21"/>
  <c r="E816" i="21"/>
  <c r="G816" i="21"/>
  <c r="K800" i="21"/>
  <c r="H800" i="21"/>
  <c r="F800" i="21"/>
  <c r="E800" i="21"/>
  <c r="G800" i="21"/>
  <c r="K780" i="21"/>
  <c r="H780" i="21"/>
  <c r="G780" i="21"/>
  <c r="F780" i="21"/>
  <c r="E780" i="21"/>
  <c r="K768" i="21"/>
  <c r="H768" i="21"/>
  <c r="F768" i="21"/>
  <c r="E768" i="21"/>
  <c r="G768" i="21"/>
  <c r="K752" i="21"/>
  <c r="H752" i="21"/>
  <c r="F752" i="21"/>
  <c r="E752" i="21"/>
  <c r="G752" i="21"/>
  <c r="K732" i="21"/>
  <c r="H732" i="21"/>
  <c r="G732" i="21"/>
  <c r="E732" i="21"/>
  <c r="F732" i="21"/>
  <c r="K716" i="21"/>
  <c r="H716" i="21"/>
  <c r="G716" i="21"/>
  <c r="E716" i="21"/>
  <c r="F716" i="21"/>
  <c r="K700" i="21"/>
  <c r="H700" i="21"/>
  <c r="G700" i="21"/>
  <c r="E700" i="21"/>
  <c r="F700" i="21"/>
  <c r="K688" i="21"/>
  <c r="H688" i="21"/>
  <c r="E688" i="21"/>
  <c r="F688" i="21"/>
  <c r="G688" i="21"/>
  <c r="K668" i="21"/>
  <c r="H668" i="21"/>
  <c r="G668" i="21"/>
  <c r="E668" i="21"/>
  <c r="F668" i="21"/>
  <c r="K656" i="21"/>
  <c r="H656" i="21"/>
  <c r="E656" i="21"/>
  <c r="F656" i="21"/>
  <c r="G656" i="21"/>
  <c r="K640" i="21"/>
  <c r="H640" i="21"/>
  <c r="E640" i="21"/>
  <c r="F640" i="21"/>
  <c r="G640" i="21"/>
  <c r="K620" i="21"/>
  <c r="H620" i="21"/>
  <c r="G620" i="21"/>
  <c r="E620" i="21"/>
  <c r="F620" i="21"/>
  <c r="K604" i="21"/>
  <c r="H604" i="21"/>
  <c r="G604" i="21"/>
  <c r="E604" i="21"/>
  <c r="F604" i="21"/>
  <c r="K592" i="21"/>
  <c r="H592" i="21"/>
  <c r="E592" i="21"/>
  <c r="F592" i="21"/>
  <c r="G592" i="21"/>
  <c r="K576" i="21"/>
  <c r="H576" i="21"/>
  <c r="E576" i="21"/>
  <c r="F576" i="21"/>
  <c r="G576" i="21"/>
  <c r="K560" i="21"/>
  <c r="H560" i="21"/>
  <c r="E560" i="21"/>
  <c r="F560" i="21"/>
  <c r="G560" i="21"/>
  <c r="K544" i="21"/>
  <c r="H544" i="21"/>
  <c r="E544" i="21"/>
  <c r="F544" i="21"/>
  <c r="G544" i="21"/>
  <c r="K528" i="21"/>
  <c r="H528" i="21"/>
  <c r="E528" i="21"/>
  <c r="F528" i="21"/>
  <c r="G528" i="21"/>
  <c r="K512" i="21"/>
  <c r="H512" i="21"/>
  <c r="E512" i="21"/>
  <c r="F512" i="21"/>
  <c r="G512" i="21"/>
  <c r="K496" i="21"/>
  <c r="H496" i="21"/>
  <c r="E496" i="21"/>
  <c r="F496" i="21"/>
  <c r="G496" i="21"/>
  <c r="K480" i="21"/>
  <c r="H480" i="21"/>
  <c r="E480" i="21"/>
  <c r="F480" i="21"/>
  <c r="G480" i="21"/>
  <c r="K464" i="21"/>
  <c r="H464" i="21"/>
  <c r="E464" i="21"/>
  <c r="F464" i="21"/>
  <c r="G464" i="21"/>
  <c r="K452" i="21"/>
  <c r="H452" i="21"/>
  <c r="G452" i="21"/>
  <c r="E452" i="21"/>
  <c r="F452" i="21"/>
  <c r="K440" i="21"/>
  <c r="H440" i="21"/>
  <c r="E440" i="21"/>
  <c r="F440" i="21"/>
  <c r="G440" i="21"/>
  <c r="K424" i="21"/>
  <c r="H424" i="21"/>
  <c r="E424" i="21"/>
  <c r="F424" i="21"/>
  <c r="G424" i="21"/>
  <c r="K408" i="21"/>
  <c r="H408" i="21"/>
  <c r="E408" i="21"/>
  <c r="F408" i="21"/>
  <c r="G408" i="21"/>
  <c r="K392" i="21"/>
  <c r="H392" i="21"/>
  <c r="E392" i="21"/>
  <c r="F392" i="21"/>
  <c r="G392" i="21"/>
  <c r="K376" i="21"/>
  <c r="H376" i="21"/>
  <c r="E376" i="21"/>
  <c r="F376" i="21"/>
  <c r="G376" i="21"/>
  <c r="K356" i="21"/>
  <c r="H356" i="21"/>
  <c r="G356" i="21"/>
  <c r="E356" i="21"/>
  <c r="F356" i="21"/>
  <c r="K332" i="21"/>
  <c r="H332" i="21"/>
  <c r="G332" i="21"/>
  <c r="E332" i="21"/>
  <c r="F332" i="21"/>
  <c r="K320" i="21"/>
  <c r="H320" i="21"/>
  <c r="E320" i="21"/>
  <c r="F320" i="21"/>
  <c r="G320" i="21"/>
  <c r="K304" i="21"/>
  <c r="H304" i="21"/>
  <c r="E304" i="21"/>
  <c r="F304" i="21"/>
  <c r="G304" i="21"/>
  <c r="K284" i="21"/>
  <c r="H284" i="21"/>
  <c r="G284" i="21"/>
  <c r="E284" i="21"/>
  <c r="F284" i="21"/>
  <c r="K268" i="21"/>
  <c r="H268" i="21"/>
  <c r="G268" i="21"/>
  <c r="E268" i="21"/>
  <c r="F268" i="21"/>
  <c r="K256" i="21"/>
  <c r="H256" i="21"/>
  <c r="E256" i="21"/>
  <c r="F256" i="21"/>
  <c r="G256" i="21"/>
  <c r="K240" i="21"/>
  <c r="H240" i="21"/>
  <c r="E240" i="21"/>
  <c r="G240" i="21"/>
  <c r="F240" i="21"/>
  <c r="K220" i="21"/>
  <c r="H220" i="21"/>
  <c r="E220" i="21"/>
  <c r="G220" i="21"/>
  <c r="F220" i="21"/>
  <c r="K204" i="21"/>
  <c r="H204" i="21"/>
  <c r="E204" i="21"/>
  <c r="G204" i="21"/>
  <c r="F204" i="21"/>
  <c r="K188" i="21"/>
  <c r="H188" i="21"/>
  <c r="E188" i="21"/>
  <c r="G188" i="21"/>
  <c r="F188" i="21"/>
  <c r="K172" i="21"/>
  <c r="H172" i="21"/>
  <c r="E172" i="21"/>
  <c r="G172" i="21"/>
  <c r="F172" i="21"/>
  <c r="K156" i="21"/>
  <c r="H156" i="21"/>
  <c r="E156" i="21"/>
  <c r="G156" i="21"/>
  <c r="F156" i="21"/>
  <c r="K140" i="21"/>
  <c r="H140" i="21"/>
  <c r="E140" i="21"/>
  <c r="G140" i="21"/>
  <c r="F140" i="21"/>
  <c r="K124" i="21"/>
  <c r="H124" i="21"/>
  <c r="E124" i="21"/>
  <c r="G124" i="21"/>
  <c r="F124" i="21"/>
  <c r="K108" i="21"/>
  <c r="H108" i="21"/>
  <c r="E108" i="21"/>
  <c r="G108" i="21"/>
  <c r="F108" i="21"/>
  <c r="K92" i="21"/>
  <c r="H92" i="21"/>
  <c r="E92" i="21"/>
  <c r="G92" i="21"/>
  <c r="F92" i="21"/>
  <c r="K76" i="21"/>
  <c r="H76" i="21"/>
  <c r="E76" i="21"/>
  <c r="G76" i="21"/>
  <c r="F76" i="21"/>
  <c r="K64" i="21"/>
  <c r="H64" i="21"/>
  <c r="E64" i="21"/>
  <c r="G64" i="21"/>
  <c r="F64" i="21"/>
  <c r="K48" i="21"/>
  <c r="H48" i="21"/>
  <c r="E48" i="21"/>
  <c r="G48" i="21"/>
  <c r="F48" i="21"/>
  <c r="K32" i="21"/>
  <c r="H32" i="21"/>
  <c r="E32" i="21"/>
  <c r="F32" i="21"/>
  <c r="G32" i="21"/>
  <c r="K12" i="21"/>
  <c r="H12" i="21"/>
  <c r="E12" i="21"/>
  <c r="G12" i="21"/>
  <c r="F12" i="21"/>
  <c r="G963" i="21"/>
  <c r="F963" i="21"/>
  <c r="H963" i="21"/>
  <c r="K939" i="21"/>
  <c r="G939" i="21"/>
  <c r="F939" i="21"/>
  <c r="H939" i="21"/>
  <c r="E939" i="21"/>
  <c r="G927" i="21"/>
  <c r="H927" i="21"/>
  <c r="K907" i="21"/>
  <c r="G907" i="21"/>
  <c r="E907" i="21"/>
  <c r="H907" i="21"/>
  <c r="F907" i="21"/>
  <c r="H895" i="21"/>
  <c r="E883" i="21"/>
  <c r="F883" i="21"/>
  <c r="G299" i="21"/>
  <c r="H287" i="21"/>
  <c r="K275" i="21"/>
  <c r="G275" i="21"/>
  <c r="F275" i="21"/>
  <c r="H275" i="21"/>
  <c r="K259" i="21"/>
  <c r="E259" i="21"/>
  <c r="F259" i="21"/>
  <c r="H259" i="21"/>
  <c r="K235" i="21"/>
  <c r="F235" i="21"/>
  <c r="K211" i="21"/>
  <c r="F211" i="21"/>
  <c r="G211" i="21"/>
  <c r="H211" i="21"/>
  <c r="K175" i="21"/>
  <c r="E175" i="21"/>
  <c r="K131" i="21"/>
  <c r="F131" i="21"/>
  <c r="G131" i="21"/>
  <c r="H131" i="21"/>
  <c r="K115" i="21"/>
  <c r="F115" i="21"/>
  <c r="E115" i="21"/>
  <c r="H115" i="21"/>
  <c r="F91" i="21"/>
  <c r="G91" i="21"/>
  <c r="H75" i="21"/>
  <c r="K51" i="21"/>
  <c r="G51" i="21"/>
  <c r="E51" i="21"/>
  <c r="H51" i="21"/>
  <c r="K27" i="21"/>
  <c r="K15" i="21"/>
  <c r="E15" i="21"/>
  <c r="H1073" i="21"/>
  <c r="E1073" i="21"/>
  <c r="K1057" i="21"/>
  <c r="H1057" i="21"/>
  <c r="E1057" i="21"/>
  <c r="F1057" i="21"/>
  <c r="K1025" i="21"/>
  <c r="H1025" i="21"/>
  <c r="E1025" i="21"/>
  <c r="F1025" i="21"/>
  <c r="K993" i="21"/>
  <c r="H993" i="21"/>
  <c r="F993" i="21"/>
  <c r="E993" i="21"/>
  <c r="K961" i="21"/>
  <c r="H961" i="21"/>
  <c r="E961" i="21"/>
  <c r="F961" i="21"/>
  <c r="K929" i="21"/>
  <c r="H929" i="21"/>
  <c r="F929" i="21"/>
  <c r="E929" i="21"/>
  <c r="K897" i="21"/>
  <c r="H897" i="21"/>
  <c r="E897" i="21"/>
  <c r="F897" i="21"/>
  <c r="K865" i="21"/>
  <c r="H865" i="21"/>
  <c r="F865" i="21"/>
  <c r="E865" i="21"/>
  <c r="K849" i="21"/>
  <c r="H849" i="21"/>
  <c r="F849" i="21"/>
  <c r="K833" i="21"/>
  <c r="H833" i="21"/>
  <c r="E833" i="21"/>
  <c r="F833" i="21"/>
  <c r="K817" i="21"/>
  <c r="H817" i="21"/>
  <c r="E817" i="21"/>
  <c r="K801" i="21"/>
  <c r="H801" i="21"/>
  <c r="E801" i="21"/>
  <c r="F801" i="21"/>
  <c r="K785" i="21"/>
  <c r="H785" i="21"/>
  <c r="E785" i="21"/>
  <c r="K769" i="21"/>
  <c r="H769" i="21"/>
  <c r="F769" i="21"/>
  <c r="E769" i="21"/>
  <c r="K753" i="21"/>
  <c r="H753" i="21"/>
  <c r="E753" i="21"/>
  <c r="F753" i="21"/>
  <c r="K737" i="21"/>
  <c r="H737" i="21"/>
  <c r="E737" i="21"/>
  <c r="K721" i="21"/>
  <c r="H721" i="21"/>
  <c r="E721" i="21"/>
  <c r="K705" i="21"/>
  <c r="H705" i="21"/>
  <c r="E705" i="21"/>
  <c r="K689" i="21"/>
  <c r="E657" i="21"/>
  <c r="H609" i="21"/>
  <c r="K561" i="21"/>
  <c r="E529" i="21"/>
  <c r="H481" i="21"/>
  <c r="K433" i="21"/>
  <c r="E401" i="21"/>
  <c r="H353" i="21"/>
  <c r="K305" i="21"/>
  <c r="E273" i="21"/>
  <c r="K225" i="21"/>
  <c r="G209" i="21"/>
  <c r="G177" i="21"/>
  <c r="G145" i="21"/>
  <c r="G113" i="21"/>
  <c r="G81" i="21"/>
  <c r="G49" i="21"/>
  <c r="G33" i="21"/>
  <c r="G17" i="21"/>
  <c r="G1073" i="21"/>
  <c r="G753" i="21"/>
  <c r="G561" i="21"/>
  <c r="K307" i="21"/>
  <c r="G307" i="21"/>
  <c r="F307" i="21"/>
  <c r="H307" i="21"/>
  <c r="K283" i="21"/>
  <c r="G283" i="21"/>
  <c r="F283" i="21"/>
  <c r="H271" i="21"/>
  <c r="K251" i="21"/>
  <c r="E251" i="21"/>
  <c r="F251" i="21"/>
  <c r="H239" i="21"/>
  <c r="K227" i="21"/>
  <c r="F227" i="21"/>
  <c r="E227" i="21"/>
  <c r="H227" i="21"/>
  <c r="F203" i="21"/>
  <c r="G203" i="21"/>
  <c r="H203" i="21"/>
  <c r="K191" i="21"/>
  <c r="K179" i="21"/>
  <c r="F179" i="21"/>
  <c r="E179" i="21"/>
  <c r="H179" i="21"/>
  <c r="K163" i="21"/>
  <c r="G163" i="21"/>
  <c r="E163" i="21"/>
  <c r="H163" i="21"/>
  <c r="K123" i="21"/>
  <c r="G123" i="21"/>
  <c r="H123" i="21"/>
  <c r="F111" i="21"/>
  <c r="K99" i="21"/>
  <c r="G99" i="21"/>
  <c r="E99" i="21"/>
  <c r="H99" i="21"/>
  <c r="F79" i="21"/>
  <c r="F67" i="21"/>
  <c r="G67" i="21"/>
  <c r="E67" i="21"/>
  <c r="K43" i="21"/>
  <c r="E43" i="21"/>
  <c r="H43" i="21"/>
  <c r="F35" i="21"/>
  <c r="G35" i="21"/>
  <c r="E35" i="21"/>
  <c r="K19" i="21"/>
  <c r="F19" i="21"/>
  <c r="G19" i="21"/>
  <c r="H19" i="21"/>
  <c r="K3" i="21"/>
  <c r="F3" i="21"/>
  <c r="E3" i="21"/>
  <c r="H3" i="21"/>
  <c r="K162" i="21"/>
  <c r="G162" i="21"/>
  <c r="E162" i="21"/>
  <c r="F162" i="21"/>
  <c r="H162" i="21"/>
  <c r="K158" i="21"/>
  <c r="G158" i="21"/>
  <c r="E158" i="21"/>
  <c r="H158" i="21"/>
  <c r="F158" i="21"/>
  <c r="K154" i="21"/>
  <c r="G154" i="21"/>
  <c r="E154" i="21"/>
  <c r="F154" i="21"/>
  <c r="H154" i="21"/>
  <c r="K150" i="21"/>
  <c r="G150" i="21"/>
  <c r="E150" i="21"/>
  <c r="H150" i="21"/>
  <c r="F150" i="21"/>
  <c r="K146" i="21"/>
  <c r="G146" i="21"/>
  <c r="E146" i="21"/>
  <c r="F146" i="21"/>
  <c r="H146" i="21"/>
  <c r="K142" i="21"/>
  <c r="G142" i="21"/>
  <c r="E142" i="21"/>
  <c r="H142" i="21"/>
  <c r="F142" i="21"/>
  <c r="K138" i="21"/>
  <c r="G138" i="21"/>
  <c r="E138" i="21"/>
  <c r="F138" i="21"/>
  <c r="H138" i="21"/>
  <c r="K134" i="21"/>
  <c r="G134" i="21"/>
  <c r="E134" i="21"/>
  <c r="H134" i="21"/>
  <c r="F134" i="21"/>
  <c r="K130" i="21"/>
  <c r="G130" i="21"/>
  <c r="E130" i="21"/>
  <c r="F130" i="21"/>
  <c r="H130" i="21"/>
  <c r="K126" i="21"/>
  <c r="G126" i="21"/>
  <c r="E126" i="21"/>
  <c r="H126" i="21"/>
  <c r="F126" i="21"/>
  <c r="K122" i="21"/>
  <c r="G122" i="21"/>
  <c r="E122" i="21"/>
  <c r="F122" i="21"/>
  <c r="H122" i="21"/>
  <c r="K118" i="21"/>
  <c r="G118" i="21"/>
  <c r="E118" i="21"/>
  <c r="H118" i="21"/>
  <c r="F118" i="21"/>
  <c r="K114" i="21"/>
  <c r="G114" i="21"/>
  <c r="E114" i="21"/>
  <c r="F114" i="21"/>
  <c r="H114" i="21"/>
  <c r="K110" i="21"/>
  <c r="G110" i="21"/>
  <c r="E110" i="21"/>
  <c r="H110" i="21"/>
  <c r="F110" i="21"/>
  <c r="K106" i="21"/>
  <c r="G106" i="21"/>
  <c r="E106" i="21"/>
  <c r="F106" i="21"/>
  <c r="H106" i="21"/>
  <c r="K102" i="21"/>
  <c r="G102" i="21"/>
  <c r="E102" i="21"/>
  <c r="H102" i="21"/>
  <c r="F102" i="21"/>
  <c r="K98" i="21"/>
  <c r="G98" i="21"/>
  <c r="E98" i="21"/>
  <c r="F98" i="21"/>
  <c r="H98" i="21"/>
  <c r="K94" i="21"/>
  <c r="G94" i="21"/>
  <c r="E94" i="21"/>
  <c r="H94" i="21"/>
  <c r="F94" i="21"/>
  <c r="K90" i="21"/>
  <c r="G90" i="21"/>
  <c r="E90" i="21"/>
  <c r="F90" i="21"/>
  <c r="H90" i="21"/>
  <c r="K86" i="21"/>
  <c r="G86" i="21"/>
  <c r="E86" i="21"/>
  <c r="H86" i="21"/>
  <c r="F86" i="21"/>
  <c r="K82" i="21"/>
  <c r="G82" i="21"/>
  <c r="E82" i="21"/>
  <c r="F82" i="21"/>
  <c r="H82" i="21"/>
  <c r="K78" i="21"/>
  <c r="G78" i="21"/>
  <c r="E78" i="21"/>
  <c r="H78" i="21"/>
  <c r="F78" i="21"/>
  <c r="K74" i="21"/>
  <c r="G74" i="21"/>
  <c r="E74" i="21"/>
  <c r="F74" i="21"/>
  <c r="H74" i="21"/>
  <c r="K70" i="21"/>
  <c r="G70" i="21"/>
  <c r="E70" i="21"/>
  <c r="H70" i="21"/>
  <c r="F70" i="21"/>
  <c r="K66" i="21"/>
  <c r="G66" i="21"/>
  <c r="E66" i="21"/>
  <c r="F66" i="21"/>
  <c r="H66" i="21"/>
  <c r="K62" i="21"/>
  <c r="G62" i="21"/>
  <c r="E62" i="21"/>
  <c r="H62" i="21"/>
  <c r="F62" i="21"/>
  <c r="K58" i="21"/>
  <c r="G58" i="21"/>
  <c r="E58" i="21"/>
  <c r="F58" i="21"/>
  <c r="H58" i="21"/>
  <c r="K54" i="21"/>
  <c r="G54" i="21"/>
  <c r="E54" i="21"/>
  <c r="H54" i="21"/>
  <c r="F54" i="21"/>
  <c r="K50" i="21"/>
  <c r="G50" i="21"/>
  <c r="E50" i="21"/>
  <c r="F50" i="21"/>
  <c r="H50" i="21"/>
  <c r="K46" i="21"/>
  <c r="G46" i="21"/>
  <c r="E46" i="21"/>
  <c r="H46" i="21"/>
  <c r="F46" i="21"/>
  <c r="K42" i="21"/>
  <c r="G42" i="21"/>
  <c r="E42" i="21"/>
  <c r="F42" i="21"/>
  <c r="H42" i="21"/>
  <c r="K38" i="21"/>
  <c r="G38" i="21"/>
  <c r="E38" i="21"/>
  <c r="H38" i="21"/>
  <c r="F38" i="21"/>
  <c r="K34" i="21"/>
  <c r="G34" i="21"/>
  <c r="E34" i="21"/>
  <c r="F34" i="21"/>
  <c r="H34" i="21"/>
  <c r="K30" i="21"/>
  <c r="G30" i="21"/>
  <c r="E30" i="21"/>
  <c r="H30" i="21"/>
  <c r="F30" i="21"/>
  <c r="K26" i="21"/>
  <c r="G26" i="21"/>
  <c r="E26" i="21"/>
  <c r="F26" i="21"/>
  <c r="H26" i="21"/>
  <c r="K22" i="21"/>
  <c r="G22" i="21"/>
  <c r="E22" i="21"/>
  <c r="H22" i="21"/>
  <c r="F22" i="21"/>
  <c r="K18" i="21"/>
  <c r="G18" i="21"/>
  <c r="E18" i="21"/>
  <c r="F18" i="21"/>
  <c r="H18" i="21"/>
  <c r="K14" i="21"/>
  <c r="G14" i="21"/>
  <c r="E14" i="21"/>
  <c r="H14" i="21"/>
  <c r="F14" i="21"/>
  <c r="K10" i="21"/>
  <c r="G10" i="21"/>
  <c r="E10" i="21"/>
  <c r="F10" i="21"/>
  <c r="H10" i="21"/>
  <c r="K6" i="21"/>
  <c r="G6" i="21"/>
  <c r="E6" i="21"/>
  <c r="H6" i="21"/>
  <c r="F6" i="21"/>
  <c r="K1085" i="21"/>
  <c r="H1085" i="21"/>
  <c r="G1085" i="21"/>
  <c r="E1085" i="21"/>
  <c r="F1085" i="21"/>
  <c r="K1037" i="21"/>
  <c r="H1037" i="21"/>
  <c r="F1037" i="21"/>
  <c r="G1005" i="21"/>
  <c r="E1005" i="21"/>
  <c r="K973" i="21"/>
  <c r="H973" i="21"/>
  <c r="E973" i="21"/>
  <c r="G941" i="21"/>
  <c r="E941" i="21"/>
  <c r="K909" i="21"/>
  <c r="H909" i="21"/>
  <c r="H877" i="21"/>
  <c r="G877" i="21"/>
  <c r="F877" i="21"/>
  <c r="K845" i="21"/>
  <c r="H845" i="21"/>
  <c r="G845" i="21"/>
  <c r="F845" i="21"/>
  <c r="H829" i="21"/>
  <c r="G829" i="21"/>
  <c r="F829" i="21"/>
  <c r="K813" i="21"/>
  <c r="H813" i="21"/>
  <c r="G813" i="21"/>
  <c r="F813" i="21"/>
  <c r="H797" i="21"/>
  <c r="G797" i="21"/>
  <c r="F797" i="21"/>
  <c r="K781" i="21"/>
  <c r="H781" i="21"/>
  <c r="G781" i="21"/>
  <c r="F781" i="21"/>
  <c r="H765" i="21"/>
  <c r="G765" i="21"/>
  <c r="F765" i="21"/>
  <c r="H749" i="21"/>
  <c r="G749" i="21"/>
  <c r="F749" i="21"/>
  <c r="K733" i="21"/>
  <c r="H733" i="21"/>
  <c r="G733" i="21"/>
  <c r="E733" i="21"/>
  <c r="H717" i="21"/>
  <c r="G717" i="21"/>
  <c r="E717" i="21"/>
  <c r="H701" i="21"/>
  <c r="G701" i="21"/>
  <c r="E701" i="21"/>
  <c r="K685" i="21"/>
  <c r="H685" i="21"/>
  <c r="G685" i="21"/>
  <c r="E685" i="21"/>
  <c r="K669" i="21"/>
  <c r="H669" i="21"/>
  <c r="G669" i="21"/>
  <c r="E669" i="21"/>
  <c r="K653" i="21"/>
  <c r="H653" i="21"/>
  <c r="G653" i="21"/>
  <c r="E653" i="21"/>
  <c r="K637" i="21"/>
  <c r="H637" i="21"/>
  <c r="G637" i="21"/>
  <c r="E637" i="21"/>
  <c r="K621" i="21"/>
  <c r="H621" i="21"/>
  <c r="G621" i="21"/>
  <c r="E621" i="21"/>
  <c r="K605" i="21"/>
  <c r="H605" i="21"/>
  <c r="G605" i="21"/>
  <c r="E605" i="21"/>
  <c r="K589" i="21"/>
  <c r="H589" i="21"/>
  <c r="G589" i="21"/>
  <c r="E589" i="21"/>
  <c r="K573" i="21"/>
  <c r="H573" i="21"/>
  <c r="G573" i="21"/>
  <c r="E573" i="21"/>
  <c r="K557" i="21"/>
  <c r="H557" i="21"/>
  <c r="G557" i="21"/>
  <c r="E557" i="21"/>
  <c r="K541" i="21"/>
  <c r="H541" i="21"/>
  <c r="G541" i="21"/>
  <c r="E541" i="21"/>
  <c r="K525" i="21"/>
  <c r="H525" i="21"/>
  <c r="G525" i="21"/>
  <c r="E525" i="21"/>
  <c r="K509" i="21"/>
  <c r="H509" i="21"/>
  <c r="G509" i="21"/>
  <c r="E509" i="21"/>
  <c r="K493" i="21"/>
  <c r="H493" i="21"/>
  <c r="G493" i="21"/>
  <c r="E493" i="21"/>
  <c r="K477" i="21"/>
  <c r="H477" i="21"/>
  <c r="G477" i="21"/>
  <c r="E477" i="21"/>
  <c r="K461" i="21"/>
  <c r="H461" i="21"/>
  <c r="G461" i="21"/>
  <c r="E461" i="21"/>
  <c r="K445" i="21"/>
  <c r="H445" i="21"/>
  <c r="G445" i="21"/>
  <c r="E445" i="21"/>
  <c r="K429" i="21"/>
  <c r="H429" i="21"/>
  <c r="G429" i="21"/>
  <c r="E429" i="21"/>
  <c r="K413" i="21"/>
  <c r="H413" i="21"/>
  <c r="G413" i="21"/>
  <c r="E413" i="21"/>
  <c r="K397" i="21"/>
  <c r="H397" i="21"/>
  <c r="G397" i="21"/>
  <c r="E397" i="21"/>
  <c r="K381" i="21"/>
  <c r="H381" i="21"/>
  <c r="G381" i="21"/>
  <c r="E381" i="21"/>
  <c r="K365" i="21"/>
  <c r="H365" i="21"/>
  <c r="G365" i="21"/>
  <c r="E365" i="21"/>
  <c r="K349" i="21"/>
  <c r="H349" i="21"/>
  <c r="G349" i="21"/>
  <c r="E349" i="21"/>
  <c r="K333" i="21"/>
  <c r="H333" i="21"/>
  <c r="G333" i="21"/>
  <c r="E333" i="21"/>
  <c r="K317" i="21"/>
  <c r="H317" i="21"/>
  <c r="G317" i="21"/>
  <c r="E317" i="21"/>
  <c r="K301" i="21"/>
  <c r="H301" i="21"/>
  <c r="G301" i="21"/>
  <c r="E301" i="21"/>
  <c r="K285" i="21"/>
  <c r="H285" i="21"/>
  <c r="G285" i="21"/>
  <c r="E285" i="21"/>
  <c r="K269" i="21"/>
  <c r="H269" i="21"/>
  <c r="G269" i="21"/>
  <c r="E269" i="21"/>
  <c r="K253" i="21"/>
  <c r="H253" i="21"/>
  <c r="G253" i="21"/>
  <c r="E253" i="21"/>
  <c r="K237" i="21"/>
  <c r="F237" i="21"/>
  <c r="H237" i="21"/>
  <c r="G237" i="21"/>
  <c r="E237" i="21"/>
  <c r="K221" i="21"/>
  <c r="F221" i="21"/>
  <c r="H221" i="21"/>
  <c r="G221" i="21"/>
  <c r="E221" i="21"/>
  <c r="K205" i="21"/>
  <c r="F205" i="21"/>
  <c r="H205" i="21"/>
  <c r="G205" i="21"/>
  <c r="E205" i="21"/>
  <c r="K189" i="21"/>
  <c r="F189" i="21"/>
  <c r="H189" i="21"/>
  <c r="G189" i="21"/>
  <c r="E189" i="21"/>
  <c r="K173" i="21"/>
  <c r="F173" i="21"/>
  <c r="H173" i="21"/>
  <c r="G173" i="21"/>
  <c r="E173" i="21"/>
  <c r="K157" i="21"/>
  <c r="F157" i="21"/>
  <c r="H157" i="21"/>
  <c r="G157" i="21"/>
  <c r="E157" i="21"/>
  <c r="K141" i="21"/>
  <c r="F141" i="21"/>
  <c r="H141" i="21"/>
  <c r="G141" i="21"/>
  <c r="E141" i="21"/>
  <c r="K125" i="21"/>
  <c r="F125" i="21"/>
  <c r="H125" i="21"/>
  <c r="G125" i="21"/>
  <c r="E125" i="21"/>
  <c r="K109" i="21"/>
  <c r="F109" i="21"/>
  <c r="H109" i="21"/>
  <c r="G109" i="21"/>
  <c r="E109" i="21"/>
  <c r="K93" i="21"/>
  <c r="F93" i="21"/>
  <c r="H93" i="21"/>
  <c r="G93" i="21"/>
  <c r="E93" i="21"/>
  <c r="K77" i="21"/>
  <c r="F77" i="21"/>
  <c r="H77" i="21"/>
  <c r="G77" i="21"/>
  <c r="E77" i="21"/>
  <c r="K61" i="21"/>
  <c r="F61" i="21"/>
  <c r="H61" i="21"/>
  <c r="G61" i="21"/>
  <c r="E61" i="21"/>
  <c r="K45" i="21"/>
  <c r="F45" i="21"/>
  <c r="H45" i="21"/>
  <c r="G45" i="21"/>
  <c r="E45" i="21"/>
  <c r="K29" i="21"/>
  <c r="F29" i="21"/>
  <c r="H29" i="21"/>
  <c r="G29" i="21"/>
  <c r="E29" i="21"/>
  <c r="K13" i="21"/>
  <c r="F13" i="21"/>
  <c r="H13" i="21"/>
  <c r="G13" i="21"/>
  <c r="E13" i="21"/>
  <c r="E33" i="21"/>
  <c r="G1057" i="21"/>
  <c r="G993" i="21"/>
  <c r="G929" i="21"/>
  <c r="G865" i="21"/>
  <c r="G801" i="21"/>
  <c r="G737" i="21"/>
  <c r="G545" i="21"/>
  <c r="G353" i="21"/>
  <c r="K315" i="21"/>
  <c r="G315" i="21"/>
  <c r="E315" i="21"/>
  <c r="H315" i="21"/>
  <c r="F315" i="21"/>
  <c r="K303" i="21"/>
  <c r="G303" i="21"/>
  <c r="F303" i="21"/>
  <c r="K291" i="21"/>
  <c r="G291" i="21"/>
  <c r="F291" i="21"/>
  <c r="H291" i="21"/>
  <c r="K267" i="21"/>
  <c r="G267" i="21"/>
  <c r="E267" i="21"/>
  <c r="H267" i="21"/>
  <c r="F267" i="21"/>
  <c r="K255" i="21"/>
  <c r="E255" i="21"/>
  <c r="F255" i="21"/>
  <c r="F243" i="21"/>
  <c r="G243" i="21"/>
  <c r="E243" i="21"/>
  <c r="K219" i="21"/>
  <c r="F219" i="21"/>
  <c r="G219" i="21"/>
  <c r="E219" i="21"/>
  <c r="H219" i="21"/>
  <c r="K207" i="21"/>
  <c r="H207" i="21"/>
  <c r="E207" i="21"/>
  <c r="K195" i="21"/>
  <c r="F195" i="21"/>
  <c r="E195" i="21"/>
  <c r="H195" i="21"/>
  <c r="K171" i="21"/>
  <c r="F171" i="21"/>
  <c r="G171" i="21"/>
  <c r="E171" i="21"/>
  <c r="H171" i="21"/>
  <c r="G159" i="21"/>
  <c r="H159" i="21"/>
  <c r="F147" i="21"/>
  <c r="G147" i="21"/>
  <c r="E147" i="21"/>
  <c r="K139" i="21"/>
  <c r="F139" i="21"/>
  <c r="G139" i="21"/>
  <c r="E139" i="21"/>
  <c r="H139" i="21"/>
  <c r="F127" i="21"/>
  <c r="G127" i="21"/>
  <c r="K107" i="21"/>
  <c r="F107" i="21"/>
  <c r="G107" i="21"/>
  <c r="E107" i="21"/>
  <c r="H107" i="21"/>
  <c r="F95" i="21"/>
  <c r="G95" i="21"/>
  <c r="K83" i="21"/>
  <c r="G83" i="21"/>
  <c r="E83" i="21"/>
  <c r="H83" i="21"/>
  <c r="K59" i="21"/>
  <c r="F59" i="21"/>
  <c r="G59" i="21"/>
  <c r="E59" i="21"/>
  <c r="H59" i="21"/>
  <c r="F47" i="21"/>
  <c r="G47" i="21"/>
  <c r="K31" i="21"/>
  <c r="F31" i="21"/>
  <c r="E31" i="21"/>
  <c r="K11" i="21"/>
  <c r="F11" i="21"/>
  <c r="G11" i="21"/>
  <c r="H11" i="21"/>
  <c r="K198" i="21"/>
  <c r="G198" i="21"/>
  <c r="E198" i="21"/>
  <c r="H198" i="21"/>
  <c r="F198" i="21"/>
  <c r="K1081" i="21"/>
  <c r="H1081" i="21"/>
  <c r="G1081" i="21"/>
  <c r="E1081" i="21"/>
  <c r="F1081" i="21"/>
  <c r="K1065" i="21"/>
  <c r="H1065" i="21"/>
  <c r="F1065" i="21"/>
  <c r="G1065" i="21"/>
  <c r="E1065" i="21"/>
  <c r="K1049" i="21"/>
  <c r="H1049" i="21"/>
  <c r="F1049" i="21"/>
  <c r="G1049" i="21"/>
  <c r="E1049" i="21"/>
  <c r="K1033" i="21"/>
  <c r="H1033" i="21"/>
  <c r="F1033" i="21"/>
  <c r="G1033" i="21"/>
  <c r="E1033" i="21"/>
  <c r="K1017" i="21"/>
  <c r="H1017" i="21"/>
  <c r="G1017" i="21"/>
  <c r="E1017" i="21"/>
  <c r="F1017" i="21"/>
  <c r="K1001" i="21"/>
  <c r="H1001" i="21"/>
  <c r="G1001" i="21"/>
  <c r="E1001" i="21"/>
  <c r="F1001" i="21"/>
  <c r="K985" i="21"/>
  <c r="H985" i="21"/>
  <c r="G985" i="21"/>
  <c r="E985" i="21"/>
  <c r="F985" i="21"/>
  <c r="K969" i="21"/>
  <c r="H969" i="21"/>
  <c r="F969" i="21"/>
  <c r="G969" i="21"/>
  <c r="E969" i="21"/>
  <c r="K953" i="21"/>
  <c r="H953" i="21"/>
  <c r="F953" i="21"/>
  <c r="G953" i="21"/>
  <c r="E953" i="21"/>
  <c r="K937" i="21"/>
  <c r="H937" i="21"/>
  <c r="G937" i="21"/>
  <c r="E937" i="21"/>
  <c r="F937" i="21"/>
  <c r="K921" i="21"/>
  <c r="H921" i="21"/>
  <c r="G921" i="21"/>
  <c r="E921" i="21"/>
  <c r="F921" i="21"/>
  <c r="K905" i="21"/>
  <c r="H905" i="21"/>
  <c r="G905" i="21"/>
  <c r="E905" i="21"/>
  <c r="F905" i="21"/>
  <c r="K889" i="21"/>
  <c r="H889" i="21"/>
  <c r="F889" i="21"/>
  <c r="G889" i="21"/>
  <c r="E889" i="21"/>
  <c r="K873" i="21"/>
  <c r="H873" i="21"/>
  <c r="F873" i="21"/>
  <c r="G873" i="21"/>
  <c r="E873" i="21"/>
  <c r="K857" i="21"/>
  <c r="H857" i="21"/>
  <c r="G857" i="21"/>
  <c r="E857" i="21"/>
  <c r="F857" i="21"/>
  <c r="K841" i="21"/>
  <c r="E841" i="21"/>
  <c r="H809" i="21"/>
  <c r="F809" i="21"/>
  <c r="E777" i="21"/>
  <c r="F777" i="21"/>
  <c r="H745" i="21"/>
  <c r="G745" i="21"/>
  <c r="K713" i="21"/>
  <c r="H713" i="21"/>
  <c r="H649" i="21"/>
  <c r="E313" i="21"/>
  <c r="H57" i="21"/>
  <c r="E909" i="21"/>
  <c r="E877" i="21"/>
  <c r="E845" i="21"/>
  <c r="E813" i="21"/>
  <c r="E781" i="21"/>
  <c r="E749" i="21"/>
  <c r="F721" i="21"/>
  <c r="F705" i="21"/>
  <c r="F593" i="21"/>
  <c r="F577" i="21"/>
  <c r="F465" i="21"/>
  <c r="F449" i="21"/>
  <c r="F337" i="21"/>
  <c r="F321" i="21"/>
  <c r="G785" i="21"/>
  <c r="G721" i="21"/>
  <c r="G593" i="21"/>
  <c r="G273" i="21"/>
  <c r="K1077" i="21"/>
  <c r="H1077" i="21"/>
  <c r="G1077" i="21"/>
  <c r="F1077" i="21"/>
  <c r="E1077" i="21"/>
  <c r="H1061" i="21"/>
  <c r="G1061" i="21"/>
  <c r="E1061" i="21"/>
  <c r="K1045" i="21"/>
  <c r="H1045" i="21"/>
  <c r="G1045" i="21"/>
  <c r="F1045" i="21"/>
  <c r="E1045" i="21"/>
  <c r="K1029" i="21"/>
  <c r="H1029" i="21"/>
  <c r="F1029" i="21"/>
  <c r="E1029" i="21"/>
  <c r="K1013" i="21"/>
  <c r="H1013" i="21"/>
  <c r="G1013" i="21"/>
  <c r="F1013" i="21"/>
  <c r="E1013" i="21"/>
  <c r="H997" i="21"/>
  <c r="G997" i="21"/>
  <c r="F997" i="21"/>
  <c r="K981" i="21"/>
  <c r="H981" i="21"/>
  <c r="G981" i="21"/>
  <c r="E981" i="21"/>
  <c r="F981" i="21"/>
  <c r="K965" i="21"/>
  <c r="H965" i="21"/>
  <c r="E965" i="21"/>
  <c r="F965" i="21"/>
  <c r="K949" i="21"/>
  <c r="H949" i="21"/>
  <c r="G949" i="21"/>
  <c r="E949" i="21"/>
  <c r="F949" i="21"/>
  <c r="H933" i="21"/>
  <c r="G933" i="21"/>
  <c r="E933" i="21"/>
  <c r="K917" i="21"/>
  <c r="H917" i="21"/>
  <c r="G917" i="21"/>
  <c r="F917" i="21"/>
  <c r="H901" i="21"/>
  <c r="G901" i="21"/>
  <c r="K885" i="21"/>
  <c r="H885" i="21"/>
  <c r="G885" i="21"/>
  <c r="F885" i="21"/>
  <c r="K869" i="21"/>
  <c r="H869" i="21"/>
  <c r="G869" i="21"/>
  <c r="K837" i="21"/>
  <c r="H837" i="21"/>
  <c r="G837" i="21"/>
  <c r="F837" i="21"/>
  <c r="K805" i="21"/>
  <c r="H805" i="21"/>
  <c r="G805" i="21"/>
  <c r="K773" i="21"/>
  <c r="H773" i="21"/>
  <c r="G773" i="21"/>
  <c r="K741" i="21"/>
  <c r="H741" i="21"/>
  <c r="K709" i="21"/>
  <c r="H709" i="21"/>
  <c r="G709" i="21"/>
  <c r="K693" i="21"/>
  <c r="H693" i="21"/>
  <c r="G693" i="21"/>
  <c r="E693" i="21"/>
  <c r="K677" i="21"/>
  <c r="H677" i="21"/>
  <c r="G677" i="21"/>
  <c r="K661" i="21"/>
  <c r="H661" i="21"/>
  <c r="G661" i="21"/>
  <c r="K645" i="21"/>
  <c r="H645" i="21"/>
  <c r="G645" i="21"/>
  <c r="K629" i="21"/>
  <c r="H629" i="21"/>
  <c r="G629" i="21"/>
  <c r="K613" i="21"/>
  <c r="H613" i="21"/>
  <c r="G613" i="21"/>
  <c r="K597" i="21"/>
  <c r="H597" i="21"/>
  <c r="G597" i="21"/>
  <c r="K581" i="21"/>
  <c r="H581" i="21"/>
  <c r="G581" i="21"/>
  <c r="K565" i="21"/>
  <c r="H565" i="21"/>
  <c r="G565" i="21"/>
  <c r="K549" i="21"/>
  <c r="H549" i="21"/>
  <c r="G549" i="21"/>
  <c r="K533" i="21"/>
  <c r="H533" i="21"/>
  <c r="G533" i="21"/>
  <c r="K517" i="21"/>
  <c r="H517" i="21"/>
  <c r="G517" i="21"/>
  <c r="K501" i="21"/>
  <c r="H501" i="21"/>
  <c r="G501" i="21"/>
  <c r="K485" i="21"/>
  <c r="H485" i="21"/>
  <c r="G485" i="21"/>
  <c r="K469" i="21"/>
  <c r="H469" i="21"/>
  <c r="G469" i="21"/>
  <c r="K453" i="21"/>
  <c r="H453" i="21"/>
  <c r="G453" i="21"/>
  <c r="K437" i="21"/>
  <c r="H437" i="21"/>
  <c r="G437" i="21"/>
  <c r="K421" i="21"/>
  <c r="H421" i="21"/>
  <c r="G421" i="21"/>
  <c r="K405" i="21"/>
  <c r="H405" i="21"/>
  <c r="G405" i="21"/>
  <c r="K389" i="21"/>
  <c r="H389" i="21"/>
  <c r="G389" i="21"/>
  <c r="K373" i="21"/>
  <c r="H373" i="21"/>
  <c r="G373" i="21"/>
  <c r="K357" i="21"/>
  <c r="H357" i="21"/>
  <c r="G357" i="21"/>
  <c r="E357" i="21"/>
  <c r="K341" i="21"/>
  <c r="H341" i="21"/>
  <c r="G341" i="21"/>
  <c r="E341" i="21"/>
  <c r="K325" i="21"/>
  <c r="H325" i="21"/>
  <c r="G325" i="21"/>
  <c r="E325" i="21"/>
  <c r="K309" i="21"/>
  <c r="H309" i="21"/>
  <c r="G309" i="21"/>
  <c r="E309" i="21"/>
  <c r="K293" i="21"/>
  <c r="H293" i="21"/>
  <c r="G293" i="21"/>
  <c r="E293" i="21"/>
  <c r="K277" i="21"/>
  <c r="H277" i="21"/>
  <c r="G277" i="21"/>
  <c r="E277" i="21"/>
  <c r="K261" i="21"/>
  <c r="H261" i="21"/>
  <c r="G261" i="21"/>
  <c r="E261" i="21"/>
  <c r="K245" i="21"/>
  <c r="H245" i="21"/>
  <c r="G245" i="21"/>
  <c r="E245" i="21"/>
  <c r="K229" i="21"/>
  <c r="F229" i="21"/>
  <c r="H229" i="21"/>
  <c r="G229" i="21"/>
  <c r="E229" i="21"/>
  <c r="K213" i="21"/>
  <c r="F213" i="21"/>
  <c r="H213" i="21"/>
  <c r="G213" i="21"/>
  <c r="E213" i="21"/>
  <c r="K197" i="21"/>
  <c r="F197" i="21"/>
  <c r="H197" i="21"/>
  <c r="G197" i="21"/>
  <c r="E197" i="21"/>
  <c r="K181" i="21"/>
  <c r="F181" i="21"/>
  <c r="H181" i="21"/>
  <c r="G181" i="21"/>
  <c r="E181" i="21"/>
  <c r="K165" i="21"/>
  <c r="F165" i="21"/>
  <c r="H165" i="21"/>
  <c r="G165" i="21"/>
  <c r="E165" i="21"/>
  <c r="K149" i="21"/>
  <c r="F149" i="21"/>
  <c r="H149" i="21"/>
  <c r="G149" i="21"/>
  <c r="E149" i="21"/>
  <c r="K133" i="21"/>
  <c r="F133" i="21"/>
  <c r="H133" i="21"/>
  <c r="G133" i="21"/>
  <c r="E133" i="21"/>
  <c r="K117" i="21"/>
  <c r="F117" i="21"/>
  <c r="H117" i="21"/>
  <c r="G117" i="21"/>
  <c r="E117" i="21"/>
  <c r="K101" i="21"/>
  <c r="F101" i="21"/>
  <c r="H101" i="21"/>
  <c r="G101" i="21"/>
  <c r="E101" i="21"/>
  <c r="K85" i="21"/>
  <c r="F85" i="21"/>
  <c r="H85" i="21"/>
  <c r="G85" i="21"/>
  <c r="E85" i="21"/>
  <c r="K69" i="21"/>
  <c r="F69" i="21"/>
  <c r="H69" i="21"/>
  <c r="G69" i="21"/>
  <c r="E69" i="21"/>
  <c r="K53" i="21"/>
  <c r="F53" i="21"/>
  <c r="H53" i="21"/>
  <c r="G53" i="21"/>
  <c r="E53" i="21"/>
  <c r="E37" i="21"/>
  <c r="E21" i="21"/>
  <c r="K5" i="21"/>
  <c r="F5" i="21"/>
  <c r="H5" i="21"/>
  <c r="G5" i="21"/>
  <c r="E5" i="21"/>
  <c r="E917" i="21"/>
  <c r="E885" i="21"/>
  <c r="F733" i="21"/>
  <c r="F717" i="21"/>
  <c r="F701" i="21"/>
  <c r="F685" i="21"/>
  <c r="F669" i="21"/>
  <c r="F653" i="21"/>
  <c r="F637" i="21"/>
  <c r="F621" i="21"/>
  <c r="F605" i="21"/>
  <c r="F589" i="21"/>
  <c r="F573" i="21"/>
  <c r="F557" i="21"/>
  <c r="F541" i="21"/>
  <c r="F525" i="21"/>
  <c r="F509" i="21"/>
  <c r="F493" i="21"/>
  <c r="F477" i="21"/>
  <c r="F461" i="21"/>
  <c r="F445" i="21"/>
  <c r="F429" i="21"/>
  <c r="F413" i="21"/>
  <c r="F397" i="21"/>
  <c r="F381" i="21"/>
  <c r="F365" i="21"/>
  <c r="F349" i="21"/>
  <c r="F333" i="21"/>
  <c r="F317" i="21"/>
  <c r="F301" i="21"/>
  <c r="F285" i="21"/>
  <c r="F269" i="21"/>
  <c r="F253" i="21"/>
  <c r="E235" i="21"/>
  <c r="E209" i="21"/>
  <c r="E177" i="21"/>
  <c r="E145" i="21"/>
  <c r="E81" i="21"/>
  <c r="E49" i="21"/>
  <c r="E17" i="21"/>
  <c r="G1025" i="21"/>
  <c r="G961" i="21"/>
  <c r="G897" i="21"/>
  <c r="G833" i="21"/>
  <c r="G769" i="21"/>
  <c r="G705" i="21"/>
  <c r="G641" i="21"/>
  <c r="G513" i="21"/>
  <c r="G449" i="21"/>
  <c r="G385" i="21"/>
  <c r="G257" i="21"/>
  <c r="E2" i="21"/>
  <c r="F2" i="21"/>
  <c r="G2" i="21"/>
  <c r="I11" i="2"/>
  <c r="I12" i="2"/>
  <c r="I13" i="2"/>
  <c r="I14" i="2"/>
  <c r="I15" i="2"/>
  <c r="H10" i="2"/>
  <c r="H11" i="2"/>
  <c r="H12" i="2"/>
  <c r="H13" i="2"/>
  <c r="H14" i="2"/>
  <c r="H15" i="2"/>
  <c r="F43" i="21" l="1"/>
  <c r="E123" i="21"/>
  <c r="K203" i="21"/>
  <c r="G251" i="21"/>
  <c r="H283" i="21"/>
  <c r="H27" i="21"/>
  <c r="F75" i="21"/>
  <c r="E155" i="21"/>
  <c r="G187" i="21"/>
  <c r="F1109" i="21"/>
  <c r="F923" i="21"/>
  <c r="E891" i="21"/>
  <c r="E955" i="21"/>
  <c r="E729" i="21"/>
  <c r="F27" i="21"/>
  <c r="K75" i="21"/>
  <c r="G155" i="21"/>
  <c r="F187" i="21"/>
  <c r="E299" i="21"/>
  <c r="G891" i="21"/>
  <c r="H955" i="21"/>
  <c r="E789" i="21"/>
  <c r="E89" i="21"/>
  <c r="H217" i="21"/>
  <c r="H7" i="21"/>
  <c r="G39" i="21"/>
  <c r="F39" i="21"/>
  <c r="E55" i="21"/>
  <c r="F55" i="21"/>
  <c r="H87" i="21"/>
  <c r="K87" i="21"/>
  <c r="H135" i="21"/>
  <c r="E135" i="21"/>
  <c r="K151" i="21"/>
  <c r="F151" i="21"/>
  <c r="H167" i="21"/>
  <c r="E167" i="21"/>
  <c r="E183" i="21"/>
  <c r="K183" i="21"/>
  <c r="H199" i="21"/>
  <c r="G199" i="21"/>
  <c r="G215" i="21"/>
  <c r="F215" i="21"/>
  <c r="H231" i="21"/>
  <c r="E231" i="21"/>
  <c r="G263" i="21"/>
  <c r="H263" i="21"/>
  <c r="K279" i="21"/>
  <c r="E279" i="21"/>
  <c r="F295" i="21"/>
  <c r="G295" i="21"/>
  <c r="F25" i="21"/>
  <c r="G25" i="21"/>
  <c r="E41" i="21"/>
  <c r="F41" i="21"/>
  <c r="G41" i="21"/>
  <c r="F57" i="21"/>
  <c r="E57" i="21"/>
  <c r="G57" i="21"/>
  <c r="E73" i="21"/>
  <c r="F73" i="21"/>
  <c r="G73" i="21"/>
  <c r="F89" i="21"/>
  <c r="G89" i="21"/>
  <c r="E105" i="21"/>
  <c r="F105" i="21"/>
  <c r="G105" i="21"/>
  <c r="F121" i="21"/>
  <c r="G121" i="21"/>
  <c r="E121" i="21"/>
  <c r="E137" i="21"/>
  <c r="F137" i="21"/>
  <c r="G137" i="21"/>
  <c r="F153" i="21"/>
  <c r="G153" i="21"/>
  <c r="E169" i="21"/>
  <c r="F169" i="21"/>
  <c r="G169" i="21"/>
  <c r="F185" i="21"/>
  <c r="E185" i="21"/>
  <c r="G185" i="21"/>
  <c r="F201" i="21"/>
  <c r="G201" i="21"/>
  <c r="F217" i="21"/>
  <c r="G217" i="21"/>
  <c r="H233" i="21"/>
  <c r="K233" i="21"/>
  <c r="G233" i="21"/>
  <c r="F249" i="21"/>
  <c r="E249" i="21"/>
  <c r="K249" i="21"/>
  <c r="F265" i="21"/>
  <c r="G265" i="21"/>
  <c r="K265" i="21"/>
  <c r="F281" i="21"/>
  <c r="G281" i="21"/>
  <c r="K281" i="21"/>
  <c r="F297" i="21"/>
  <c r="E297" i="21"/>
  <c r="K297" i="21"/>
  <c r="G313" i="21"/>
  <c r="F313" i="21"/>
  <c r="K313" i="21"/>
  <c r="F329" i="21"/>
  <c r="G329" i="21"/>
  <c r="K329" i="21"/>
  <c r="F345" i="21"/>
  <c r="E345" i="21"/>
  <c r="K345" i="21"/>
  <c r="F361" i="21"/>
  <c r="G361" i="21"/>
  <c r="K361" i="21"/>
  <c r="F377" i="21"/>
  <c r="G377" i="21"/>
  <c r="K377" i="21"/>
  <c r="F393" i="21"/>
  <c r="E393" i="21"/>
  <c r="K393" i="21"/>
  <c r="G409" i="21"/>
  <c r="F409" i="21"/>
  <c r="K409" i="21"/>
  <c r="F425" i="21"/>
  <c r="G425" i="21"/>
  <c r="K425" i="21"/>
  <c r="F441" i="21"/>
  <c r="E441" i="21"/>
  <c r="K441" i="21"/>
  <c r="F457" i="21"/>
  <c r="E457" i="21"/>
  <c r="K457" i="21"/>
  <c r="G473" i="21"/>
  <c r="K473" i="21"/>
  <c r="F489" i="21"/>
  <c r="G489" i="21"/>
  <c r="E489" i="21"/>
  <c r="K489" i="21"/>
  <c r="F505" i="21"/>
  <c r="G505" i="21"/>
  <c r="E505" i="21"/>
  <c r="K505" i="21"/>
  <c r="F521" i="21"/>
  <c r="E521" i="21"/>
  <c r="G521" i="21"/>
  <c r="K521" i="21"/>
  <c r="F537" i="21"/>
  <c r="G537" i="21"/>
  <c r="E537" i="21"/>
  <c r="K537" i="21"/>
  <c r="G553" i="21"/>
  <c r="E553" i="21"/>
  <c r="F553" i="21"/>
  <c r="K553" i="21"/>
  <c r="F569" i="21"/>
  <c r="E569" i="21"/>
  <c r="G569" i="21"/>
  <c r="K569" i="21"/>
  <c r="F585" i="21"/>
  <c r="G585" i="21"/>
  <c r="E585" i="21"/>
  <c r="K585" i="21"/>
  <c r="F601" i="21"/>
  <c r="E601" i="21"/>
  <c r="G601" i="21"/>
  <c r="K601" i="21"/>
  <c r="F617" i="21"/>
  <c r="G617" i="21"/>
  <c r="E617" i="21"/>
  <c r="K617" i="21"/>
  <c r="F633" i="21"/>
  <c r="G633" i="21"/>
  <c r="E633" i="21"/>
  <c r="K633" i="21"/>
  <c r="F649" i="21"/>
  <c r="G649" i="21"/>
  <c r="E649" i="21"/>
  <c r="K649" i="21"/>
  <c r="F665" i="21"/>
  <c r="E665" i="21"/>
  <c r="G665" i="21"/>
  <c r="K665" i="21"/>
  <c r="F681" i="21"/>
  <c r="G681" i="21"/>
  <c r="E681" i="21"/>
  <c r="K681" i="21"/>
  <c r="H839" i="21"/>
  <c r="G839" i="21"/>
  <c r="E839" i="21"/>
  <c r="E855" i="21"/>
  <c r="K855" i="21"/>
  <c r="H855" i="21"/>
  <c r="F855" i="21"/>
  <c r="K871" i="21"/>
  <c r="G871" i="21"/>
  <c r="H887" i="21"/>
  <c r="G887" i="21"/>
  <c r="E887" i="21"/>
  <c r="G919" i="21"/>
  <c r="H919" i="21"/>
  <c r="F919" i="21"/>
  <c r="K935" i="21"/>
  <c r="G935" i="21"/>
  <c r="F935" i="21"/>
  <c r="G951" i="21"/>
  <c r="K951" i="21"/>
  <c r="H951" i="21"/>
  <c r="G697" i="21"/>
  <c r="E697" i="21"/>
  <c r="F697" i="21"/>
  <c r="K697" i="21"/>
  <c r="F725" i="21"/>
  <c r="H725" i="21"/>
  <c r="E725" i="21"/>
  <c r="F757" i="21"/>
  <c r="H757" i="21"/>
  <c r="E757" i="21"/>
  <c r="H793" i="21"/>
  <c r="G793" i="21"/>
  <c r="E793" i="21"/>
  <c r="K825" i="21"/>
  <c r="F825" i="21"/>
  <c r="H825" i="21"/>
  <c r="G825" i="21"/>
  <c r="E861" i="21"/>
  <c r="H861" i="21"/>
  <c r="G861" i="21"/>
  <c r="F861" i="21"/>
  <c r="H925" i="21"/>
  <c r="G925" i="21"/>
  <c r="F925" i="21"/>
  <c r="K957" i="21"/>
  <c r="E957" i="21"/>
  <c r="H957" i="21"/>
  <c r="G957" i="21"/>
  <c r="K989" i="21"/>
  <c r="E989" i="21"/>
  <c r="H989" i="21"/>
  <c r="G989" i="21"/>
  <c r="E1021" i="21"/>
  <c r="K1021" i="21"/>
  <c r="F1021" i="21"/>
  <c r="H1021" i="21"/>
  <c r="E1053" i="21"/>
  <c r="K1053" i="21"/>
  <c r="F1053" i="21"/>
  <c r="H1053" i="21"/>
  <c r="K1089" i="21"/>
  <c r="H1089" i="21"/>
  <c r="E1089" i="21"/>
  <c r="E1121" i="21"/>
  <c r="K1121" i="21"/>
  <c r="F1121" i="21"/>
  <c r="H789" i="21"/>
  <c r="G789" i="21"/>
  <c r="K821" i="21"/>
  <c r="E821" i="21"/>
  <c r="G821" i="21"/>
  <c r="K725" i="21"/>
  <c r="K757" i="21"/>
  <c r="F789" i="21"/>
  <c r="E153" i="21"/>
  <c r="K9" i="21"/>
  <c r="K41" i="21"/>
  <c r="K73" i="21"/>
  <c r="K105" i="21"/>
  <c r="K137" i="21"/>
  <c r="K169" i="21"/>
  <c r="K201" i="21"/>
  <c r="F233" i="21"/>
  <c r="H265" i="21"/>
  <c r="H297" i="21"/>
  <c r="H329" i="21"/>
  <c r="H361" i="21"/>
  <c r="H393" i="21"/>
  <c r="H425" i="21"/>
  <c r="H457" i="21"/>
  <c r="H505" i="21"/>
  <c r="H569" i="21"/>
  <c r="H633" i="21"/>
  <c r="H697" i="21"/>
  <c r="F71" i="21"/>
  <c r="G119" i="21"/>
  <c r="G1021" i="21"/>
  <c r="G1053" i="21"/>
  <c r="G247" i="21"/>
  <c r="E311" i="21"/>
  <c r="G1121" i="21"/>
  <c r="G903" i="21"/>
  <c r="E201" i="21"/>
  <c r="F23" i="21"/>
  <c r="E87" i="21"/>
  <c r="K167" i="21"/>
  <c r="E871" i="21"/>
  <c r="G1089" i="21"/>
  <c r="H821" i="21"/>
  <c r="E25" i="21"/>
  <c r="K25" i="21"/>
  <c r="K57" i="21"/>
  <c r="K89" i="21"/>
  <c r="K121" i="21"/>
  <c r="K153" i="21"/>
  <c r="K185" i="21"/>
  <c r="K217" i="21"/>
  <c r="H249" i="21"/>
  <c r="H281" i="21"/>
  <c r="H313" i="21"/>
  <c r="H345" i="21"/>
  <c r="H377" i="21"/>
  <c r="H409" i="21"/>
  <c r="H441" i="21"/>
  <c r="H473" i="21"/>
  <c r="H537" i="21"/>
  <c r="H601" i="21"/>
  <c r="H665" i="21"/>
  <c r="G761" i="21"/>
  <c r="K793" i="21"/>
  <c r="H183" i="21"/>
  <c r="K861" i="21"/>
  <c r="H893" i="21"/>
  <c r="K925" i="21"/>
  <c r="F1089" i="21"/>
  <c r="H103" i="21"/>
  <c r="K919" i="21"/>
  <c r="F951" i="21"/>
  <c r="F473" i="21"/>
  <c r="K55" i="21"/>
  <c r="E151" i="21"/>
  <c r="K295" i="21"/>
  <c r="G855" i="21"/>
  <c r="H871" i="21"/>
  <c r="E919" i="21"/>
  <c r="E951" i="21"/>
  <c r="H1121" i="21"/>
  <c r="F839" i="21"/>
  <c r="K839" i="21"/>
  <c r="F887" i="21"/>
  <c r="K887" i="21"/>
  <c r="H935" i="21"/>
  <c r="F903" i="21"/>
  <c r="K903" i="21"/>
  <c r="E903" i="21"/>
  <c r="F871" i="21"/>
  <c r="E935" i="21"/>
  <c r="F729" i="21"/>
  <c r="H729" i="21"/>
  <c r="G729" i="21"/>
  <c r="K761" i="21"/>
  <c r="E761" i="21"/>
  <c r="H761" i="21"/>
  <c r="O65" i="2"/>
  <c r="O69" i="2"/>
  <c r="O73" i="2"/>
  <c r="O77" i="2"/>
  <c r="O81" i="2"/>
  <c r="O85" i="2"/>
  <c r="O89" i="2"/>
  <c r="O93" i="2"/>
  <c r="O97" i="2"/>
  <c r="O101" i="2"/>
  <c r="O105" i="2"/>
  <c r="O109" i="2"/>
  <c r="O113" i="2"/>
  <c r="O117" i="2"/>
  <c r="O121" i="2"/>
  <c r="O125" i="2"/>
  <c r="O129" i="2"/>
  <c r="O133" i="2"/>
  <c r="O137" i="2"/>
  <c r="O141" i="2"/>
  <c r="O145" i="2"/>
  <c r="O149" i="2"/>
  <c r="O153" i="2"/>
  <c r="O157" i="2"/>
  <c r="O161" i="2"/>
  <c r="O165" i="2"/>
  <c r="O169" i="2"/>
  <c r="O173" i="2"/>
  <c r="O177" i="2"/>
  <c r="O181" i="2"/>
  <c r="O185" i="2"/>
  <c r="O189" i="2"/>
  <c r="O193" i="2"/>
  <c r="O197" i="2"/>
  <c r="O201" i="2"/>
  <c r="O67" i="2"/>
  <c r="O79" i="2"/>
  <c r="O87" i="2"/>
  <c r="O95" i="2"/>
  <c r="O103" i="2"/>
  <c r="O111" i="2"/>
  <c r="O119" i="2"/>
  <c r="O123" i="2"/>
  <c r="O131" i="2"/>
  <c r="O143" i="2"/>
  <c r="O151" i="2"/>
  <c r="O159" i="2"/>
  <c r="O167" i="2"/>
  <c r="O175" i="2"/>
  <c r="O183" i="2"/>
  <c r="O191" i="2"/>
  <c r="O199" i="2"/>
  <c r="O68" i="2"/>
  <c r="O76" i="2"/>
  <c r="O84" i="2"/>
  <c r="O92" i="2"/>
  <c r="O100" i="2"/>
  <c r="O108" i="2"/>
  <c r="O116" i="2"/>
  <c r="O124" i="2"/>
  <c r="O132" i="2"/>
  <c r="O140" i="2"/>
  <c r="O148" i="2"/>
  <c r="O156" i="2"/>
  <c r="O164" i="2"/>
  <c r="O172" i="2"/>
  <c r="O180" i="2"/>
  <c r="O188" i="2"/>
  <c r="O196" i="2"/>
  <c r="O66" i="2"/>
  <c r="O70" i="2"/>
  <c r="O74" i="2"/>
  <c r="O78" i="2"/>
  <c r="O82" i="2"/>
  <c r="O86" i="2"/>
  <c r="O90" i="2"/>
  <c r="O94" i="2"/>
  <c r="O98" i="2"/>
  <c r="O102" i="2"/>
  <c r="O106" i="2"/>
  <c r="O110" i="2"/>
  <c r="O114" i="2"/>
  <c r="O118" i="2"/>
  <c r="O122" i="2"/>
  <c r="O126" i="2"/>
  <c r="O130" i="2"/>
  <c r="O134" i="2"/>
  <c r="O138" i="2"/>
  <c r="O142" i="2"/>
  <c r="O146" i="2"/>
  <c r="O150" i="2"/>
  <c r="O154" i="2"/>
  <c r="O158" i="2"/>
  <c r="O162" i="2"/>
  <c r="O166" i="2"/>
  <c r="O170" i="2"/>
  <c r="O174" i="2"/>
  <c r="O178" i="2"/>
  <c r="O182" i="2"/>
  <c r="O186" i="2"/>
  <c r="O190" i="2"/>
  <c r="O194" i="2"/>
  <c r="O198" i="2"/>
  <c r="O63" i="2"/>
  <c r="O71" i="2"/>
  <c r="O75" i="2"/>
  <c r="O83" i="2"/>
  <c r="O91" i="2"/>
  <c r="O99" i="2"/>
  <c r="O107" i="2"/>
  <c r="O115" i="2"/>
  <c r="O127" i="2"/>
  <c r="O135" i="2"/>
  <c r="O139" i="2"/>
  <c r="O147" i="2"/>
  <c r="O155" i="2"/>
  <c r="O163" i="2"/>
  <c r="O171" i="2"/>
  <c r="O179" i="2"/>
  <c r="O187" i="2"/>
  <c r="O195" i="2"/>
  <c r="O64" i="2"/>
  <c r="O72" i="2"/>
  <c r="O80" i="2"/>
  <c r="O88" i="2"/>
  <c r="O96" i="2"/>
  <c r="O104" i="2"/>
  <c r="O112" i="2"/>
  <c r="O120" i="2"/>
  <c r="O128" i="2"/>
  <c r="O136" i="2"/>
  <c r="O144" i="2"/>
  <c r="O152" i="2"/>
  <c r="O160" i="2"/>
  <c r="O168" i="2"/>
  <c r="O176" i="2"/>
  <c r="O184" i="2"/>
  <c r="O192" i="2"/>
  <c r="O200" i="2"/>
  <c r="F901" i="21"/>
  <c r="K901" i="21"/>
  <c r="E901" i="21"/>
  <c r="F15" i="21"/>
  <c r="G15" i="21"/>
  <c r="H15" i="21"/>
  <c r="G31" i="21"/>
  <c r="H31" i="21"/>
  <c r="H47" i="21"/>
  <c r="E47" i="21"/>
  <c r="K47" i="21"/>
  <c r="H63" i="21"/>
  <c r="K63" i="21"/>
  <c r="E63" i="21"/>
  <c r="F63" i="21"/>
  <c r="G79" i="21"/>
  <c r="H79" i="21"/>
  <c r="K79" i="21"/>
  <c r="E79" i="21"/>
  <c r="H95" i="21"/>
  <c r="K95" i="21"/>
  <c r="E95" i="21"/>
  <c r="G111" i="21"/>
  <c r="H111" i="21"/>
  <c r="K111" i="21"/>
  <c r="E111" i="21"/>
  <c r="H127" i="21"/>
  <c r="K127" i="21"/>
  <c r="E127" i="21"/>
  <c r="H143" i="21"/>
  <c r="K143" i="21"/>
  <c r="E143" i="21"/>
  <c r="F143" i="21"/>
  <c r="K159" i="21"/>
  <c r="E159" i="21"/>
  <c r="F159" i="21"/>
  <c r="F175" i="21"/>
  <c r="G175" i="21"/>
  <c r="H175" i="21"/>
  <c r="F191" i="21"/>
  <c r="G191" i="21"/>
  <c r="H191" i="21"/>
  <c r="F207" i="21"/>
  <c r="G207" i="21"/>
  <c r="G223" i="21"/>
  <c r="H223" i="21"/>
  <c r="K223" i="21"/>
  <c r="E223" i="21"/>
  <c r="K239" i="21"/>
  <c r="E239" i="21"/>
  <c r="F239" i="21"/>
  <c r="G239" i="21"/>
  <c r="G255" i="21"/>
  <c r="H255" i="21"/>
  <c r="E271" i="21"/>
  <c r="K271" i="21"/>
  <c r="F271" i="21"/>
  <c r="G271" i="21"/>
  <c r="E287" i="21"/>
  <c r="K287" i="21"/>
  <c r="F287" i="21"/>
  <c r="G287" i="21"/>
  <c r="H303" i="21"/>
  <c r="E303" i="21"/>
  <c r="K17" i="21"/>
  <c r="F17" i="21"/>
  <c r="H17" i="21"/>
  <c r="K33" i="21"/>
  <c r="F33" i="21"/>
  <c r="H33" i="21"/>
  <c r="K65" i="21"/>
  <c r="G65" i="21"/>
  <c r="K97" i="21"/>
  <c r="G97" i="21"/>
  <c r="E113" i="21"/>
  <c r="K113" i="21"/>
  <c r="K129" i="21"/>
  <c r="E129" i="21"/>
  <c r="G129" i="21"/>
  <c r="K161" i="21"/>
  <c r="E161" i="21"/>
  <c r="G161" i="21"/>
  <c r="K193" i="21"/>
  <c r="G193" i="21"/>
  <c r="F225" i="21"/>
  <c r="G225" i="21"/>
  <c r="K241" i="21"/>
  <c r="F241" i="21"/>
  <c r="K257" i="21"/>
  <c r="F257" i="21"/>
  <c r="G289" i="21"/>
  <c r="H289" i="21"/>
  <c r="E289" i="21"/>
  <c r="H305" i="21"/>
  <c r="G305" i="21"/>
  <c r="G321" i="21"/>
  <c r="K321" i="21"/>
  <c r="E337" i="21"/>
  <c r="G337" i="21"/>
  <c r="G369" i="21"/>
  <c r="K369" i="21"/>
  <c r="H369" i="21"/>
  <c r="K385" i="21"/>
  <c r="F385" i="21"/>
  <c r="H417" i="21"/>
  <c r="E417" i="21"/>
  <c r="K497" i="21"/>
  <c r="H497" i="21"/>
  <c r="K513" i="21"/>
  <c r="F513" i="21"/>
  <c r="F529" i="21"/>
  <c r="G529" i="21"/>
  <c r="H545" i="21"/>
  <c r="E545" i="21"/>
  <c r="G577" i="21"/>
  <c r="K577" i="21"/>
  <c r="E609" i="21"/>
  <c r="G609" i="21"/>
  <c r="K625" i="21"/>
  <c r="H625" i="21"/>
  <c r="G625" i="21"/>
  <c r="K641" i="21"/>
  <c r="F641" i="21"/>
  <c r="H673" i="21"/>
  <c r="E673" i="21"/>
  <c r="K847" i="21"/>
  <c r="E847" i="21"/>
  <c r="F847" i="21"/>
  <c r="G863" i="21"/>
  <c r="H863" i="21"/>
  <c r="F853" i="21"/>
  <c r="G853" i="21"/>
  <c r="K35" i="21"/>
  <c r="H35" i="21"/>
  <c r="K67" i="21"/>
  <c r="H67" i="21"/>
  <c r="K147" i="21"/>
  <c r="H147" i="21"/>
  <c r="K243" i="21"/>
  <c r="H243" i="21"/>
  <c r="F373" i="21"/>
  <c r="E373" i="21"/>
  <c r="F389" i="21"/>
  <c r="E389" i="21"/>
  <c r="E405" i="21"/>
  <c r="F405" i="21"/>
  <c r="F421" i="21"/>
  <c r="E421" i="21"/>
  <c r="E437" i="21"/>
  <c r="F437" i="21"/>
  <c r="F453" i="21"/>
  <c r="E453" i="21"/>
  <c r="F485" i="21"/>
  <c r="E485" i="21"/>
  <c r="F501" i="21"/>
  <c r="E501" i="21"/>
  <c r="F517" i="21"/>
  <c r="E517" i="21"/>
  <c r="E533" i="21"/>
  <c r="F533" i="21"/>
  <c r="F549" i="21"/>
  <c r="E549" i="21"/>
  <c r="E565" i="21"/>
  <c r="F565" i="21"/>
  <c r="F581" i="21"/>
  <c r="E581" i="21"/>
  <c r="F613" i="21"/>
  <c r="E613" i="21"/>
  <c r="F629" i="21"/>
  <c r="E629" i="21"/>
  <c r="F645" i="21"/>
  <c r="E645" i="21"/>
  <c r="E661" i="21"/>
  <c r="F661" i="21"/>
  <c r="F677" i="21"/>
  <c r="E677" i="21"/>
  <c r="G851" i="21"/>
  <c r="K851" i="21"/>
  <c r="F851" i="21"/>
  <c r="E867" i="21"/>
  <c r="H867" i="21"/>
  <c r="K867" i="21"/>
  <c r="K883" i="21"/>
  <c r="G883" i="21"/>
  <c r="E899" i="21"/>
  <c r="H899" i="21"/>
  <c r="E915" i="21"/>
  <c r="K915" i="21"/>
  <c r="G915" i="21"/>
  <c r="H915" i="21"/>
  <c r="F931" i="21"/>
  <c r="G931" i="21"/>
  <c r="E947" i="21"/>
  <c r="G947" i="21"/>
  <c r="H947" i="21"/>
  <c r="E963" i="21"/>
  <c r="K963" i="21"/>
  <c r="F817" i="21"/>
  <c r="G817" i="21"/>
  <c r="E849" i="21"/>
  <c r="G849" i="21"/>
  <c r="K933" i="21"/>
  <c r="F933" i="21"/>
  <c r="K997" i="21"/>
  <c r="E997" i="21"/>
  <c r="K1061" i="21"/>
  <c r="F1061" i="21"/>
  <c r="K1097" i="21"/>
  <c r="E1097" i="21"/>
  <c r="H1097" i="21"/>
  <c r="K765" i="21"/>
  <c r="E765" i="21"/>
  <c r="E797" i="21"/>
  <c r="K797" i="21"/>
  <c r="K829" i="21"/>
  <c r="E829" i="21"/>
  <c r="F891" i="21"/>
  <c r="F955" i="21"/>
  <c r="F881" i="21"/>
  <c r="K881" i="21"/>
  <c r="F913" i="21"/>
  <c r="K913" i="21"/>
  <c r="G913" i="21"/>
  <c r="E945" i="21"/>
  <c r="K945" i="21"/>
  <c r="G945" i="21"/>
  <c r="F977" i="21"/>
  <c r="G977" i="21"/>
  <c r="K977" i="21"/>
  <c r="E1009" i="21"/>
  <c r="G1009" i="21"/>
  <c r="K1009" i="21"/>
  <c r="F1101" i="21"/>
  <c r="K1101" i="21"/>
  <c r="E1101" i="21"/>
  <c r="G21" i="21"/>
  <c r="H37" i="21"/>
  <c r="H853" i="21"/>
  <c r="G881" i="21"/>
  <c r="E881" i="21"/>
  <c r="F945" i="21"/>
  <c r="F1009" i="21"/>
  <c r="K7" i="21"/>
  <c r="E7" i="21"/>
  <c r="F7" i="21"/>
  <c r="H23" i="21"/>
  <c r="K23" i="21"/>
  <c r="E23" i="21"/>
  <c r="H39" i="21"/>
  <c r="K39" i="21"/>
  <c r="E39" i="21"/>
  <c r="G55" i="21"/>
  <c r="H55" i="21"/>
  <c r="H71" i="21"/>
  <c r="K71" i="21"/>
  <c r="E71" i="21"/>
  <c r="F87" i="21"/>
  <c r="G87" i="21"/>
  <c r="K103" i="21"/>
  <c r="E103" i="21"/>
  <c r="F103" i="21"/>
  <c r="H119" i="21"/>
  <c r="K119" i="21"/>
  <c r="E119" i="21"/>
  <c r="F135" i="21"/>
  <c r="G135" i="21"/>
  <c r="G151" i="21"/>
  <c r="H151" i="21"/>
  <c r="F167" i="21"/>
  <c r="G167" i="21"/>
  <c r="F183" i="21"/>
  <c r="G183" i="21"/>
  <c r="K199" i="21"/>
  <c r="E199" i="21"/>
  <c r="F199" i="21"/>
  <c r="H215" i="21"/>
  <c r="K215" i="21"/>
  <c r="E215" i="21"/>
  <c r="F231" i="21"/>
  <c r="G231" i="21"/>
  <c r="E247" i="21"/>
  <c r="K247" i="21"/>
  <c r="F247" i="21"/>
  <c r="E263" i="21"/>
  <c r="K263" i="21"/>
  <c r="F263" i="21"/>
  <c r="G279" i="21"/>
  <c r="H279" i="21"/>
  <c r="H295" i="21"/>
  <c r="E295" i="21"/>
  <c r="K311" i="21"/>
  <c r="F311" i="21"/>
  <c r="G311" i="21"/>
  <c r="F9" i="21"/>
  <c r="H9" i="21"/>
  <c r="E9" i="21"/>
  <c r="G909" i="21"/>
  <c r="F909" i="21"/>
  <c r="K941" i="21"/>
  <c r="F941" i="21"/>
  <c r="H941" i="21"/>
  <c r="G973" i="21"/>
  <c r="F973" i="21"/>
  <c r="K1005" i="21"/>
  <c r="F1005" i="21"/>
  <c r="H1005" i="21"/>
  <c r="G1037" i="21"/>
  <c r="E1037" i="21"/>
  <c r="F1073" i="21"/>
  <c r="K1073" i="21"/>
  <c r="K1105" i="21"/>
  <c r="G1105" i="21"/>
  <c r="H1105" i="21"/>
  <c r="F713" i="21"/>
  <c r="E713" i="21"/>
  <c r="G713" i="21"/>
  <c r="E745" i="21"/>
  <c r="K745" i="21"/>
  <c r="F745" i="21"/>
  <c r="E805" i="21"/>
  <c r="F805" i="21"/>
  <c r="K1069" i="21"/>
  <c r="E1069" i="21"/>
  <c r="H1069" i="21"/>
  <c r="F21" i="21"/>
  <c r="F37" i="21"/>
  <c r="K853" i="21"/>
  <c r="H881" i="21"/>
  <c r="H945" i="21"/>
  <c r="H1009" i="21"/>
  <c r="G893" i="21"/>
  <c r="F893" i="21"/>
  <c r="E893" i="21"/>
  <c r="F1041" i="21"/>
  <c r="K1041" i="21"/>
  <c r="K21" i="21"/>
  <c r="K37" i="21"/>
  <c r="G1041" i="21"/>
  <c r="F1069" i="21"/>
  <c r="E913" i="21"/>
  <c r="E977" i="21"/>
  <c r="E1041" i="21"/>
  <c r="G1101" i="21"/>
  <c r="F49" i="21"/>
  <c r="H49" i="21"/>
  <c r="F65" i="21"/>
  <c r="H65" i="21"/>
  <c r="E65" i="21"/>
  <c r="F81" i="21"/>
  <c r="H81" i="21"/>
  <c r="F97" i="21"/>
  <c r="E97" i="21"/>
  <c r="H97" i="21"/>
  <c r="F113" i="21"/>
  <c r="H113" i="21"/>
  <c r="F129" i="21"/>
  <c r="H129" i="21"/>
  <c r="F145" i="21"/>
  <c r="H145" i="21"/>
  <c r="F161" i="21"/>
  <c r="H161" i="21"/>
  <c r="F177" i="21"/>
  <c r="H177" i="21"/>
  <c r="F193" i="21"/>
  <c r="H193" i="21"/>
  <c r="E193" i="21"/>
  <c r="F209" i="21"/>
  <c r="H209" i="21"/>
  <c r="H225" i="21"/>
  <c r="E225" i="21"/>
  <c r="H241" i="21"/>
  <c r="G241" i="21"/>
  <c r="E241" i="21"/>
  <c r="H257" i="21"/>
  <c r="E257" i="21"/>
  <c r="K273" i="21"/>
  <c r="H273" i="21"/>
  <c r="K289" i="21"/>
  <c r="F289" i="21"/>
  <c r="E305" i="21"/>
  <c r="F305" i="21"/>
  <c r="H321" i="21"/>
  <c r="E321" i="21"/>
  <c r="K337" i="21"/>
  <c r="H337" i="21"/>
  <c r="K353" i="21"/>
  <c r="F353" i="21"/>
  <c r="E369" i="21"/>
  <c r="F369" i="21"/>
  <c r="H385" i="21"/>
  <c r="E385" i="21"/>
  <c r="K401" i="21"/>
  <c r="H401" i="21"/>
  <c r="G401" i="21"/>
  <c r="K417" i="21"/>
  <c r="G417" i="21"/>
  <c r="F417" i="21"/>
  <c r="E433" i="21"/>
  <c r="F433" i="21"/>
  <c r="G433" i="21"/>
  <c r="H449" i="21"/>
  <c r="E449" i="21"/>
  <c r="K465" i="21"/>
  <c r="G465" i="21"/>
  <c r="H465" i="21"/>
  <c r="G481" i="21"/>
  <c r="K481" i="21"/>
  <c r="F481" i="21"/>
  <c r="E497" i="21"/>
  <c r="G497" i="21"/>
  <c r="F497" i="21"/>
  <c r="H513" i="21"/>
  <c r="E513" i="21"/>
  <c r="K529" i="21"/>
  <c r="H529" i="21"/>
  <c r="K545" i="21"/>
  <c r="F545" i="21"/>
  <c r="E561" i="21"/>
  <c r="F561" i="21"/>
  <c r="H577" i="21"/>
  <c r="E577" i="21"/>
  <c r="K593" i="21"/>
  <c r="H593" i="21"/>
  <c r="K609" i="21"/>
  <c r="F609" i="21"/>
  <c r="E625" i="21"/>
  <c r="F625" i="21"/>
  <c r="H641" i="21"/>
  <c r="E641" i="21"/>
  <c r="K657" i="21"/>
  <c r="H657" i="21"/>
  <c r="G657" i="21"/>
  <c r="K673" i="21"/>
  <c r="G673" i="21"/>
  <c r="F673" i="21"/>
  <c r="E689" i="21"/>
  <c r="F689" i="21"/>
  <c r="G689" i="21"/>
  <c r="G847" i="21"/>
  <c r="H847" i="21"/>
  <c r="E863" i="21"/>
  <c r="K863" i="21"/>
  <c r="F863" i="21"/>
  <c r="E879" i="21"/>
  <c r="K879" i="21"/>
  <c r="F879" i="21"/>
  <c r="G879" i="21"/>
  <c r="K895" i="21"/>
  <c r="F895" i="21"/>
  <c r="G895" i="21"/>
  <c r="E911" i="21"/>
  <c r="K911" i="21"/>
  <c r="F911" i="21"/>
  <c r="E927" i="21"/>
  <c r="K927" i="21"/>
  <c r="F927" i="21"/>
  <c r="K943" i="21"/>
  <c r="F943" i="21"/>
  <c r="G943" i="21"/>
  <c r="H943" i="21"/>
  <c r="E959" i="21"/>
  <c r="K959" i="21"/>
  <c r="F959" i="21"/>
  <c r="F709" i="21"/>
  <c r="E709" i="21"/>
  <c r="E741" i="21"/>
  <c r="F741" i="21"/>
  <c r="H777" i="21"/>
  <c r="G777" i="21"/>
  <c r="G809" i="21"/>
  <c r="K809" i="21"/>
  <c r="E809" i="21"/>
  <c r="H841" i="21"/>
  <c r="G841" i="21"/>
  <c r="F869" i="21"/>
  <c r="E869" i="21"/>
  <c r="E27" i="21"/>
  <c r="E75" i="21"/>
  <c r="H91" i="21"/>
  <c r="K91" i="21"/>
  <c r="F155" i="21"/>
  <c r="H187" i="21"/>
  <c r="K187" i="21"/>
  <c r="H235" i="21"/>
  <c r="F299" i="21"/>
  <c r="K299" i="21"/>
  <c r="H883" i="21"/>
  <c r="G1109" i="21"/>
  <c r="E1113" i="21"/>
  <c r="F899" i="21"/>
  <c r="F947" i="21"/>
  <c r="E851" i="21"/>
  <c r="F867" i="21"/>
  <c r="F915" i="21"/>
  <c r="H931" i="21"/>
  <c r="K931" i="21"/>
  <c r="H155" i="21"/>
  <c r="K342" i="21"/>
  <c r="G342" i="21"/>
  <c r="H342" i="21"/>
  <c r="E342" i="21"/>
  <c r="F342" i="21"/>
  <c r="K374" i="21"/>
  <c r="G374" i="21"/>
  <c r="H374" i="21"/>
  <c r="E374" i="21"/>
  <c r="F374" i="21"/>
  <c r="K406" i="21"/>
  <c r="G406" i="21"/>
  <c r="H406" i="21"/>
  <c r="E406" i="21"/>
  <c r="F406" i="21"/>
  <c r="K438" i="21"/>
  <c r="G438" i="21"/>
  <c r="H438" i="21"/>
  <c r="E438" i="21"/>
  <c r="F438" i="21"/>
  <c r="K470" i="21"/>
  <c r="G470" i="21"/>
  <c r="H470" i="21"/>
  <c r="E470" i="21"/>
  <c r="F470" i="21"/>
  <c r="K502" i="21"/>
  <c r="G502" i="21"/>
  <c r="H502" i="21"/>
  <c r="E502" i="21"/>
  <c r="F502" i="21"/>
  <c r="K534" i="21"/>
  <c r="G534" i="21"/>
  <c r="H534" i="21"/>
  <c r="E534" i="21"/>
  <c r="F534" i="21"/>
  <c r="K566" i="21"/>
  <c r="G566" i="21"/>
  <c r="H566" i="21"/>
  <c r="E566" i="21"/>
  <c r="F566" i="21"/>
  <c r="K594" i="21"/>
  <c r="G594" i="21"/>
  <c r="E594" i="21"/>
  <c r="F594" i="21"/>
  <c r="H594" i="21"/>
  <c r="K626" i="21"/>
  <c r="G626" i="21"/>
  <c r="E626" i="21"/>
  <c r="F626" i="21"/>
  <c r="H626" i="21"/>
  <c r="K658" i="21"/>
  <c r="G658" i="21"/>
  <c r="E658" i="21"/>
  <c r="F658" i="21"/>
  <c r="H658" i="21"/>
  <c r="K690" i="21"/>
  <c r="G690" i="21"/>
  <c r="E690" i="21"/>
  <c r="F690" i="21"/>
  <c r="H690" i="21"/>
  <c r="K722" i="21"/>
  <c r="G722" i="21"/>
  <c r="E722" i="21"/>
  <c r="F722" i="21"/>
  <c r="H722" i="21"/>
  <c r="K754" i="21"/>
  <c r="G754" i="21"/>
  <c r="F754" i="21"/>
  <c r="H754" i="21"/>
  <c r="E754" i="21"/>
  <c r="K786" i="21"/>
  <c r="G786" i="21"/>
  <c r="F786" i="21"/>
  <c r="H786" i="21"/>
  <c r="E786" i="21"/>
  <c r="K818" i="21"/>
  <c r="G818" i="21"/>
  <c r="F818" i="21"/>
  <c r="H818" i="21"/>
  <c r="E818" i="21"/>
  <c r="K850" i="21"/>
  <c r="G850" i="21"/>
  <c r="F850" i="21"/>
  <c r="H850" i="21"/>
  <c r="E850" i="21"/>
  <c r="K882" i="21"/>
  <c r="G882" i="21"/>
  <c r="F882" i="21"/>
  <c r="H882" i="21"/>
  <c r="E882" i="21"/>
  <c r="K914" i="21"/>
  <c r="G914" i="21"/>
  <c r="F914" i="21"/>
  <c r="H914" i="21"/>
  <c r="E914" i="21"/>
  <c r="K946" i="21"/>
  <c r="G946" i="21"/>
  <c r="F946" i="21"/>
  <c r="H946" i="21"/>
  <c r="E946" i="21"/>
  <c r="K978" i="21"/>
  <c r="G978" i="21"/>
  <c r="F978" i="21"/>
  <c r="H978" i="21"/>
  <c r="E978" i="21"/>
  <c r="K1010" i="21"/>
  <c r="G1010" i="21"/>
  <c r="F1010" i="21"/>
  <c r="H1010" i="21"/>
  <c r="E1010" i="21"/>
  <c r="K1042" i="21"/>
  <c r="G1042" i="21"/>
  <c r="F1042" i="21"/>
  <c r="H1042" i="21"/>
  <c r="E1042" i="21"/>
  <c r="K1074" i="21"/>
  <c r="G1074" i="21"/>
  <c r="F1074" i="21"/>
  <c r="H1074" i="21"/>
  <c r="E1074" i="21"/>
  <c r="K1106" i="21"/>
  <c r="G1106" i="21"/>
  <c r="F1106" i="21"/>
  <c r="H1106" i="21"/>
  <c r="E1106" i="21"/>
  <c r="K355" i="21"/>
  <c r="G355" i="21"/>
  <c r="E355" i="21"/>
  <c r="F355" i="21"/>
  <c r="H355" i="21"/>
  <c r="K399" i="21"/>
  <c r="G399" i="21"/>
  <c r="H399" i="21"/>
  <c r="E399" i="21"/>
  <c r="F399" i="21"/>
  <c r="K447" i="21"/>
  <c r="G447" i="21"/>
  <c r="H447" i="21"/>
  <c r="E447" i="21"/>
  <c r="F447" i="21"/>
  <c r="K491" i="21"/>
  <c r="G491" i="21"/>
  <c r="E491" i="21"/>
  <c r="H491" i="21"/>
  <c r="F491" i="21"/>
  <c r="K535" i="21"/>
  <c r="G535" i="21"/>
  <c r="H535" i="21"/>
  <c r="E535" i="21"/>
  <c r="F535" i="21"/>
  <c r="K587" i="21"/>
  <c r="G587" i="21"/>
  <c r="E587" i="21"/>
  <c r="H587" i="21"/>
  <c r="F587" i="21"/>
  <c r="K635" i="21"/>
  <c r="G635" i="21"/>
  <c r="E635" i="21"/>
  <c r="H635" i="21"/>
  <c r="F635" i="21"/>
  <c r="K679" i="21"/>
  <c r="G679" i="21"/>
  <c r="H679" i="21"/>
  <c r="E679" i="21"/>
  <c r="F679" i="21"/>
  <c r="K723" i="21"/>
  <c r="G723" i="21"/>
  <c r="E723" i="21"/>
  <c r="F723" i="21"/>
  <c r="H723" i="21"/>
  <c r="K775" i="21"/>
  <c r="G775" i="21"/>
  <c r="H775" i="21"/>
  <c r="E775" i="21"/>
  <c r="F775" i="21"/>
  <c r="K819" i="21"/>
  <c r="G819" i="21"/>
  <c r="E819" i="21"/>
  <c r="F819" i="21"/>
  <c r="H819" i="21"/>
  <c r="K170" i="21"/>
  <c r="G170" i="21"/>
  <c r="E170" i="21"/>
  <c r="F170" i="21"/>
  <c r="H170" i="21"/>
  <c r="K186" i="21"/>
  <c r="G186" i="21"/>
  <c r="E186" i="21"/>
  <c r="F186" i="21"/>
  <c r="H186" i="21"/>
  <c r="K206" i="21"/>
  <c r="G206" i="21"/>
  <c r="E206" i="21"/>
  <c r="H206" i="21"/>
  <c r="F206" i="21"/>
  <c r="K222" i="21"/>
  <c r="G222" i="21"/>
  <c r="E222" i="21"/>
  <c r="H222" i="21"/>
  <c r="F222" i="21"/>
  <c r="K238" i="21"/>
  <c r="G238" i="21"/>
  <c r="H238" i="21"/>
  <c r="F238" i="21"/>
  <c r="E238" i="21"/>
  <c r="K254" i="21"/>
  <c r="G254" i="21"/>
  <c r="H254" i="21"/>
  <c r="E254" i="21"/>
  <c r="F254" i="21"/>
  <c r="K270" i="21"/>
  <c r="G270" i="21"/>
  <c r="H270" i="21"/>
  <c r="E270" i="21"/>
  <c r="F270" i="21"/>
  <c r="K286" i="21"/>
  <c r="G286" i="21"/>
  <c r="H286" i="21"/>
  <c r="E286" i="21"/>
  <c r="F286" i="21"/>
  <c r="K302" i="21"/>
  <c r="G302" i="21"/>
  <c r="H302" i="21"/>
  <c r="E302" i="21"/>
  <c r="F302" i="21"/>
  <c r="K322" i="21"/>
  <c r="G322" i="21"/>
  <c r="E322" i="21"/>
  <c r="F322" i="21"/>
  <c r="H322" i="21"/>
  <c r="K354" i="21"/>
  <c r="G354" i="21"/>
  <c r="E354" i="21"/>
  <c r="F354" i="21"/>
  <c r="H354" i="21"/>
  <c r="K386" i="21"/>
  <c r="G386" i="21"/>
  <c r="E386" i="21"/>
  <c r="F386" i="21"/>
  <c r="H386" i="21"/>
  <c r="K418" i="21"/>
  <c r="G418" i="21"/>
  <c r="E418" i="21"/>
  <c r="F418" i="21"/>
  <c r="H418" i="21"/>
  <c r="K450" i="21"/>
  <c r="G450" i="21"/>
  <c r="E450" i="21"/>
  <c r="F450" i="21"/>
  <c r="H450" i="21"/>
  <c r="K482" i="21"/>
  <c r="G482" i="21"/>
  <c r="E482" i="21"/>
  <c r="F482" i="21"/>
  <c r="H482" i="21"/>
  <c r="K514" i="21"/>
  <c r="G514" i="21"/>
  <c r="E514" i="21"/>
  <c r="F514" i="21"/>
  <c r="H514" i="21"/>
  <c r="K546" i="21"/>
  <c r="G546" i="21"/>
  <c r="E546" i="21"/>
  <c r="F546" i="21"/>
  <c r="H546" i="21"/>
  <c r="K582" i="21"/>
  <c r="G582" i="21"/>
  <c r="H582" i="21"/>
  <c r="E582" i="21"/>
  <c r="F582" i="21"/>
  <c r="K614" i="21"/>
  <c r="G614" i="21"/>
  <c r="H614" i="21"/>
  <c r="E614" i="21"/>
  <c r="F614" i="21"/>
  <c r="K646" i="21"/>
  <c r="G646" i="21"/>
  <c r="H646" i="21"/>
  <c r="E646" i="21"/>
  <c r="F646" i="21"/>
  <c r="K678" i="21"/>
  <c r="G678" i="21"/>
  <c r="H678" i="21"/>
  <c r="E678" i="21"/>
  <c r="F678" i="21"/>
  <c r="K710" i="21"/>
  <c r="G710" i="21"/>
  <c r="H710" i="21"/>
  <c r="E710" i="21"/>
  <c r="F710" i="21"/>
  <c r="K742" i="21"/>
  <c r="G742" i="21"/>
  <c r="H742" i="21"/>
  <c r="F742" i="21"/>
  <c r="E742" i="21"/>
  <c r="K774" i="21"/>
  <c r="G774" i="21"/>
  <c r="H774" i="21"/>
  <c r="F774" i="21"/>
  <c r="E774" i="21"/>
  <c r="K806" i="21"/>
  <c r="G806" i="21"/>
  <c r="H806" i="21"/>
  <c r="F806" i="21"/>
  <c r="E806" i="21"/>
  <c r="K838" i="21"/>
  <c r="G838" i="21"/>
  <c r="H838" i="21"/>
  <c r="F838" i="21"/>
  <c r="E838" i="21"/>
  <c r="K870" i="21"/>
  <c r="G870" i="21"/>
  <c r="H870" i="21"/>
  <c r="F870" i="21"/>
  <c r="E870" i="21"/>
  <c r="K902" i="21"/>
  <c r="G902" i="21"/>
  <c r="H902" i="21"/>
  <c r="F902" i="21"/>
  <c r="E902" i="21"/>
  <c r="K934" i="21"/>
  <c r="G934" i="21"/>
  <c r="H934" i="21"/>
  <c r="F934" i="21"/>
  <c r="E934" i="21"/>
  <c r="K966" i="21"/>
  <c r="G966" i="21"/>
  <c r="H966" i="21"/>
  <c r="F966" i="21"/>
  <c r="E966" i="21"/>
  <c r="K998" i="21"/>
  <c r="G998" i="21"/>
  <c r="H998" i="21"/>
  <c r="F998" i="21"/>
  <c r="E998" i="21"/>
  <c r="K1030" i="21"/>
  <c r="G1030" i="21"/>
  <c r="H1030" i="21"/>
  <c r="F1030" i="21"/>
  <c r="E1030" i="21"/>
  <c r="K1062" i="21"/>
  <c r="G1062" i="21"/>
  <c r="H1062" i="21"/>
  <c r="F1062" i="21"/>
  <c r="E1062" i="21"/>
  <c r="K1094" i="21"/>
  <c r="G1094" i="21"/>
  <c r="H1094" i="21"/>
  <c r="F1094" i="21"/>
  <c r="E1094" i="21"/>
  <c r="K343" i="21"/>
  <c r="G343" i="21"/>
  <c r="H343" i="21"/>
  <c r="E343" i="21"/>
  <c r="F343" i="21"/>
  <c r="K383" i="21"/>
  <c r="G383" i="21"/>
  <c r="H383" i="21"/>
  <c r="E383" i="21"/>
  <c r="F383" i="21"/>
  <c r="K431" i="21"/>
  <c r="G431" i="21"/>
  <c r="H431" i="21"/>
  <c r="E431" i="21"/>
  <c r="F431" i="21"/>
  <c r="K479" i="21"/>
  <c r="G479" i="21"/>
  <c r="H479" i="21"/>
  <c r="E479" i="21"/>
  <c r="F479" i="21"/>
  <c r="K527" i="21"/>
  <c r="G527" i="21"/>
  <c r="H527" i="21"/>
  <c r="E527" i="21"/>
  <c r="F527" i="21"/>
  <c r="K575" i="21"/>
  <c r="G575" i="21"/>
  <c r="H575" i="21"/>
  <c r="E575" i="21"/>
  <c r="F575" i="21"/>
  <c r="K623" i="21"/>
  <c r="G623" i="21"/>
  <c r="H623" i="21"/>
  <c r="E623" i="21"/>
  <c r="F623" i="21"/>
  <c r="K667" i="21"/>
  <c r="G667" i="21"/>
  <c r="E667" i="21"/>
  <c r="H667" i="21"/>
  <c r="F667" i="21"/>
  <c r="K715" i="21"/>
  <c r="G715" i="21"/>
  <c r="E715" i="21"/>
  <c r="H715" i="21"/>
  <c r="F715" i="21"/>
  <c r="K759" i="21"/>
  <c r="G759" i="21"/>
  <c r="H759" i="21"/>
  <c r="E759" i="21"/>
  <c r="F759" i="21"/>
  <c r="K807" i="21"/>
  <c r="G807" i="21"/>
  <c r="H807" i="21"/>
  <c r="E807" i="21"/>
  <c r="F807" i="21"/>
  <c r="K323" i="21"/>
  <c r="G323" i="21"/>
  <c r="E323" i="21"/>
  <c r="F323" i="21"/>
  <c r="H323" i="21"/>
  <c r="K371" i="21"/>
  <c r="G371" i="21"/>
  <c r="E371" i="21"/>
  <c r="F371" i="21"/>
  <c r="H371" i="21"/>
  <c r="K427" i="21"/>
  <c r="G427" i="21"/>
  <c r="E427" i="21"/>
  <c r="H427" i="21"/>
  <c r="F427" i="21"/>
  <c r="K475" i="21"/>
  <c r="G475" i="21"/>
  <c r="E475" i="21"/>
  <c r="H475" i="21"/>
  <c r="F475" i="21"/>
  <c r="K531" i="21"/>
  <c r="G531" i="21"/>
  <c r="E531" i="21"/>
  <c r="F531" i="21"/>
  <c r="H531" i="21"/>
  <c r="K579" i="21"/>
  <c r="G579" i="21"/>
  <c r="E579" i="21"/>
  <c r="F579" i="21"/>
  <c r="H579" i="21"/>
  <c r="K627" i="21"/>
  <c r="G627" i="21"/>
  <c r="E627" i="21"/>
  <c r="F627" i="21"/>
  <c r="H627" i="21"/>
  <c r="K675" i="21"/>
  <c r="G675" i="21"/>
  <c r="E675" i="21"/>
  <c r="F675" i="21"/>
  <c r="H675" i="21"/>
  <c r="K731" i="21"/>
  <c r="G731" i="21"/>
  <c r="E731" i="21"/>
  <c r="H731" i="21"/>
  <c r="F731" i="21"/>
  <c r="K779" i="21"/>
  <c r="G779" i="21"/>
  <c r="E779" i="21"/>
  <c r="H779" i="21"/>
  <c r="F779" i="21"/>
  <c r="K835" i="21"/>
  <c r="G835" i="21"/>
  <c r="E835" i="21"/>
  <c r="F835" i="21"/>
  <c r="H835" i="21"/>
  <c r="K987" i="21"/>
  <c r="G987" i="21"/>
  <c r="H987" i="21"/>
  <c r="E987" i="21"/>
  <c r="F987" i="21"/>
  <c r="K1035" i="21"/>
  <c r="G1035" i="21"/>
  <c r="H1035" i="21"/>
  <c r="E1035" i="21"/>
  <c r="F1035" i="21"/>
  <c r="K1079" i="21"/>
  <c r="G1079" i="21"/>
  <c r="H1079" i="21"/>
  <c r="E1079" i="21"/>
  <c r="F1079" i="21"/>
  <c r="K1123" i="21"/>
  <c r="G1123" i="21"/>
  <c r="E1123" i="21"/>
  <c r="F1123" i="21"/>
  <c r="H1123" i="21"/>
  <c r="K995" i="21"/>
  <c r="G995" i="21"/>
  <c r="E995" i="21"/>
  <c r="F995" i="21"/>
  <c r="H995" i="21"/>
  <c r="K1043" i="21"/>
  <c r="G1043" i="21"/>
  <c r="E1043" i="21"/>
  <c r="F1043" i="21"/>
  <c r="H1043" i="21"/>
  <c r="K1095" i="21"/>
  <c r="G1095" i="21"/>
  <c r="H1095" i="21"/>
  <c r="E1095" i="21"/>
  <c r="F1095" i="21"/>
  <c r="K1003" i="21"/>
  <c r="G1003" i="21"/>
  <c r="F1003" i="21"/>
  <c r="H1003" i="21"/>
  <c r="E1003" i="21"/>
  <c r="K1051" i="21"/>
  <c r="G1051" i="21"/>
  <c r="H1051" i="21"/>
  <c r="E1051" i="21"/>
  <c r="F1051" i="21"/>
  <c r="K1107" i="21"/>
  <c r="G1107" i="21"/>
  <c r="F1107" i="21"/>
  <c r="E1107" i="21"/>
  <c r="H1107" i="21"/>
  <c r="K310" i="21"/>
  <c r="G310" i="21"/>
  <c r="H310" i="21"/>
  <c r="E310" i="21"/>
  <c r="F310" i="21"/>
  <c r="K350" i="21"/>
  <c r="G350" i="21"/>
  <c r="H350" i="21"/>
  <c r="E350" i="21"/>
  <c r="F350" i="21"/>
  <c r="K382" i="21"/>
  <c r="G382" i="21"/>
  <c r="H382" i="21"/>
  <c r="E382" i="21"/>
  <c r="F382" i="21"/>
  <c r="K414" i="21"/>
  <c r="G414" i="21"/>
  <c r="H414" i="21"/>
  <c r="E414" i="21"/>
  <c r="F414" i="21"/>
  <c r="K446" i="21"/>
  <c r="G446" i="21"/>
  <c r="H446" i="21"/>
  <c r="E446" i="21"/>
  <c r="F446" i="21"/>
  <c r="K478" i="21"/>
  <c r="G478" i="21"/>
  <c r="H478" i="21"/>
  <c r="E478" i="21"/>
  <c r="F478" i="21"/>
  <c r="K510" i="21"/>
  <c r="G510" i="21"/>
  <c r="H510" i="21"/>
  <c r="E510" i="21"/>
  <c r="F510" i="21"/>
  <c r="K542" i="21"/>
  <c r="G542" i="21"/>
  <c r="H542" i="21"/>
  <c r="E542" i="21"/>
  <c r="F542" i="21"/>
  <c r="K574" i="21"/>
  <c r="G574" i="21"/>
  <c r="H574" i="21"/>
  <c r="E574" i="21"/>
  <c r="F574" i="21"/>
  <c r="K602" i="21"/>
  <c r="G602" i="21"/>
  <c r="E602" i="21"/>
  <c r="F602" i="21"/>
  <c r="H602" i="21"/>
  <c r="K634" i="21"/>
  <c r="G634" i="21"/>
  <c r="E634" i="21"/>
  <c r="F634" i="21"/>
  <c r="H634" i="21"/>
  <c r="K666" i="21"/>
  <c r="G666" i="21"/>
  <c r="E666" i="21"/>
  <c r="F666" i="21"/>
  <c r="H666" i="21"/>
  <c r="K698" i="21"/>
  <c r="G698" i="21"/>
  <c r="E698" i="21"/>
  <c r="F698" i="21"/>
  <c r="H698" i="21"/>
  <c r="K730" i="21"/>
  <c r="G730" i="21"/>
  <c r="E730" i="21"/>
  <c r="F730" i="21"/>
  <c r="H730" i="21"/>
  <c r="K762" i="21"/>
  <c r="G762" i="21"/>
  <c r="F762" i="21"/>
  <c r="H762" i="21"/>
  <c r="E762" i="21"/>
  <c r="K794" i="21"/>
  <c r="G794" i="21"/>
  <c r="F794" i="21"/>
  <c r="H794" i="21"/>
  <c r="E794" i="21"/>
  <c r="K826" i="21"/>
  <c r="G826" i="21"/>
  <c r="F826" i="21"/>
  <c r="H826" i="21"/>
  <c r="E826" i="21"/>
  <c r="K858" i="21"/>
  <c r="G858" i="21"/>
  <c r="F858" i="21"/>
  <c r="H858" i="21"/>
  <c r="E858" i="21"/>
  <c r="K890" i="21"/>
  <c r="G890" i="21"/>
  <c r="F890" i="21"/>
  <c r="H890" i="21"/>
  <c r="E890" i="21"/>
  <c r="K922" i="21"/>
  <c r="G922" i="21"/>
  <c r="H922" i="21"/>
  <c r="F922" i="21"/>
  <c r="E922" i="21"/>
  <c r="K954" i="21"/>
  <c r="G954" i="21"/>
  <c r="H954" i="21"/>
  <c r="F954" i="21"/>
  <c r="E954" i="21"/>
  <c r="K986" i="21"/>
  <c r="G986" i="21"/>
  <c r="H986" i="21"/>
  <c r="F986" i="21"/>
  <c r="E986" i="21"/>
  <c r="K1018" i="21"/>
  <c r="G1018" i="21"/>
  <c r="H1018" i="21"/>
  <c r="F1018" i="21"/>
  <c r="E1018" i="21"/>
  <c r="K1050" i="21"/>
  <c r="G1050" i="21"/>
  <c r="H1050" i="21"/>
  <c r="F1050" i="21"/>
  <c r="E1050" i="21"/>
  <c r="K1082" i="21"/>
  <c r="G1082" i="21"/>
  <c r="H1082" i="21"/>
  <c r="F1082" i="21"/>
  <c r="E1082" i="21"/>
  <c r="K1114" i="21"/>
  <c r="G1114" i="21"/>
  <c r="H1114" i="21"/>
  <c r="F1114" i="21"/>
  <c r="E1114" i="21"/>
  <c r="K367" i="21"/>
  <c r="G367" i="21"/>
  <c r="H367" i="21"/>
  <c r="E367" i="21"/>
  <c r="F367" i="21"/>
  <c r="K411" i="21"/>
  <c r="G411" i="21"/>
  <c r="E411" i="21"/>
  <c r="H411" i="21"/>
  <c r="F411" i="21"/>
  <c r="K459" i="21"/>
  <c r="G459" i="21"/>
  <c r="E459" i="21"/>
  <c r="H459" i="21"/>
  <c r="F459" i="21"/>
  <c r="K503" i="21"/>
  <c r="G503" i="21"/>
  <c r="H503" i="21"/>
  <c r="E503" i="21"/>
  <c r="F503" i="21"/>
  <c r="K547" i="21"/>
  <c r="G547" i="21"/>
  <c r="E547" i="21"/>
  <c r="F547" i="21"/>
  <c r="H547" i="21"/>
  <c r="K595" i="21"/>
  <c r="G595" i="21"/>
  <c r="E595" i="21"/>
  <c r="F595" i="21"/>
  <c r="H595" i="21"/>
  <c r="K647" i="21"/>
  <c r="G647" i="21"/>
  <c r="H647" i="21"/>
  <c r="E647" i="21"/>
  <c r="F647" i="21"/>
  <c r="K691" i="21"/>
  <c r="G691" i="21"/>
  <c r="E691" i="21"/>
  <c r="F691" i="21"/>
  <c r="H691" i="21"/>
  <c r="K735" i="21"/>
  <c r="G735" i="21"/>
  <c r="H735" i="21"/>
  <c r="E735" i="21"/>
  <c r="F735" i="21"/>
  <c r="K787" i="21"/>
  <c r="G787" i="21"/>
  <c r="E787" i="21"/>
  <c r="F787" i="21"/>
  <c r="H787" i="21"/>
  <c r="K831" i="21"/>
  <c r="G831" i="21"/>
  <c r="H831" i="21"/>
  <c r="E831" i="21"/>
  <c r="F831" i="21"/>
  <c r="K174" i="21"/>
  <c r="G174" i="21"/>
  <c r="E174" i="21"/>
  <c r="H174" i="21"/>
  <c r="F174" i="21"/>
  <c r="K190" i="21"/>
  <c r="G190" i="21"/>
  <c r="E190" i="21"/>
  <c r="H190" i="21"/>
  <c r="F190" i="21"/>
  <c r="K210" i="21"/>
  <c r="G210" i="21"/>
  <c r="E210" i="21"/>
  <c r="F210" i="21"/>
  <c r="H210" i="21"/>
  <c r="K226" i="21"/>
  <c r="G226" i="21"/>
  <c r="E226" i="21"/>
  <c r="F226" i="21"/>
  <c r="H226" i="21"/>
  <c r="K242" i="21"/>
  <c r="G242" i="21"/>
  <c r="E242" i="21"/>
  <c r="F242" i="21"/>
  <c r="H242" i="21"/>
  <c r="K258" i="21"/>
  <c r="G258" i="21"/>
  <c r="E258" i="21"/>
  <c r="F258" i="21"/>
  <c r="H258" i="21"/>
  <c r="K274" i="21"/>
  <c r="G274" i="21"/>
  <c r="E274" i="21"/>
  <c r="F274" i="21"/>
  <c r="H274" i="21"/>
  <c r="K290" i="21"/>
  <c r="G290" i="21"/>
  <c r="E290" i="21"/>
  <c r="F290" i="21"/>
  <c r="H290" i="21"/>
  <c r="K306" i="21"/>
  <c r="G306" i="21"/>
  <c r="E306" i="21"/>
  <c r="F306" i="21"/>
  <c r="H306" i="21"/>
  <c r="K330" i="21"/>
  <c r="G330" i="21"/>
  <c r="E330" i="21"/>
  <c r="F330" i="21"/>
  <c r="H330" i="21"/>
  <c r="K362" i="21"/>
  <c r="G362" i="21"/>
  <c r="E362" i="21"/>
  <c r="F362" i="21"/>
  <c r="H362" i="21"/>
  <c r="K394" i="21"/>
  <c r="G394" i="21"/>
  <c r="E394" i="21"/>
  <c r="F394" i="21"/>
  <c r="H394" i="21"/>
  <c r="K426" i="21"/>
  <c r="G426" i="21"/>
  <c r="E426" i="21"/>
  <c r="F426" i="21"/>
  <c r="H426" i="21"/>
  <c r="K458" i="21"/>
  <c r="G458" i="21"/>
  <c r="E458" i="21"/>
  <c r="F458" i="21"/>
  <c r="H458" i="21"/>
  <c r="K490" i="21"/>
  <c r="G490" i="21"/>
  <c r="E490" i="21"/>
  <c r="F490" i="21"/>
  <c r="H490" i="21"/>
  <c r="K522" i="21"/>
  <c r="G522" i="21"/>
  <c r="E522" i="21"/>
  <c r="F522" i="21"/>
  <c r="H522" i="21"/>
  <c r="K554" i="21"/>
  <c r="G554" i="21"/>
  <c r="E554" i="21"/>
  <c r="F554" i="21"/>
  <c r="H554" i="21"/>
  <c r="K590" i="21"/>
  <c r="G590" i="21"/>
  <c r="H590" i="21"/>
  <c r="E590" i="21"/>
  <c r="F590" i="21"/>
  <c r="K622" i="21"/>
  <c r="G622" i="21"/>
  <c r="H622" i="21"/>
  <c r="E622" i="21"/>
  <c r="F622" i="21"/>
  <c r="K654" i="21"/>
  <c r="G654" i="21"/>
  <c r="H654" i="21"/>
  <c r="E654" i="21"/>
  <c r="F654" i="21"/>
  <c r="K686" i="21"/>
  <c r="G686" i="21"/>
  <c r="H686" i="21"/>
  <c r="E686" i="21"/>
  <c r="F686" i="21"/>
  <c r="K718" i="21"/>
  <c r="G718" i="21"/>
  <c r="H718" i="21"/>
  <c r="E718" i="21"/>
  <c r="F718" i="21"/>
  <c r="K750" i="21"/>
  <c r="G750" i="21"/>
  <c r="H750" i="21"/>
  <c r="F750" i="21"/>
  <c r="E750" i="21"/>
  <c r="K782" i="21"/>
  <c r="G782" i="21"/>
  <c r="H782" i="21"/>
  <c r="F782" i="21"/>
  <c r="E782" i="21"/>
  <c r="K814" i="21"/>
  <c r="G814" i="21"/>
  <c r="H814" i="21"/>
  <c r="F814" i="21"/>
  <c r="E814" i="21"/>
  <c r="K846" i="21"/>
  <c r="G846" i="21"/>
  <c r="H846" i="21"/>
  <c r="F846" i="21"/>
  <c r="E846" i="21"/>
  <c r="K878" i="21"/>
  <c r="G878" i="21"/>
  <c r="H878" i="21"/>
  <c r="F878" i="21"/>
  <c r="E878" i="21"/>
  <c r="K910" i="21"/>
  <c r="G910" i="21"/>
  <c r="H910" i="21"/>
  <c r="F910" i="21"/>
  <c r="E910" i="21"/>
  <c r="K942" i="21"/>
  <c r="G942" i="21"/>
  <c r="H942" i="21"/>
  <c r="F942" i="21"/>
  <c r="E942" i="21"/>
  <c r="K974" i="21"/>
  <c r="G974" i="21"/>
  <c r="H974" i="21"/>
  <c r="F974" i="21"/>
  <c r="E974" i="21"/>
  <c r="K1006" i="21"/>
  <c r="G1006" i="21"/>
  <c r="H1006" i="21"/>
  <c r="F1006" i="21"/>
  <c r="E1006" i="21"/>
  <c r="K1038" i="21"/>
  <c r="G1038" i="21"/>
  <c r="H1038" i="21"/>
  <c r="F1038" i="21"/>
  <c r="E1038" i="21"/>
  <c r="K1070" i="21"/>
  <c r="G1070" i="21"/>
  <c r="H1070" i="21"/>
  <c r="F1070" i="21"/>
  <c r="E1070" i="21"/>
  <c r="K1102" i="21"/>
  <c r="G1102" i="21"/>
  <c r="H1102" i="21"/>
  <c r="F1102" i="21"/>
  <c r="E1102" i="21"/>
  <c r="K351" i="21"/>
  <c r="G351" i="21"/>
  <c r="H351" i="21"/>
  <c r="E351" i="21"/>
  <c r="F351" i="21"/>
  <c r="K395" i="21"/>
  <c r="G395" i="21"/>
  <c r="E395" i="21"/>
  <c r="H395" i="21"/>
  <c r="F395" i="21"/>
  <c r="K443" i="21"/>
  <c r="G443" i="21"/>
  <c r="E443" i="21"/>
  <c r="H443" i="21"/>
  <c r="F443" i="21"/>
  <c r="K495" i="21"/>
  <c r="G495" i="21"/>
  <c r="H495" i="21"/>
  <c r="E495" i="21"/>
  <c r="F495" i="21"/>
  <c r="K539" i="21"/>
  <c r="G539" i="21"/>
  <c r="E539" i="21"/>
  <c r="H539" i="21"/>
  <c r="F539" i="21"/>
  <c r="K583" i="21"/>
  <c r="G583" i="21"/>
  <c r="H583" i="21"/>
  <c r="E583" i="21"/>
  <c r="F583" i="21"/>
  <c r="K631" i="21"/>
  <c r="G631" i="21"/>
  <c r="H631" i="21"/>
  <c r="E631" i="21"/>
  <c r="F631" i="21"/>
  <c r="K683" i="21"/>
  <c r="G683" i="21"/>
  <c r="E683" i="21"/>
  <c r="H683" i="21"/>
  <c r="F683" i="21"/>
  <c r="K727" i="21"/>
  <c r="G727" i="21"/>
  <c r="H727" i="21"/>
  <c r="E727" i="21"/>
  <c r="F727" i="21"/>
  <c r="K771" i="21"/>
  <c r="G771" i="21"/>
  <c r="E771" i="21"/>
  <c r="F771" i="21"/>
  <c r="H771" i="21"/>
  <c r="K815" i="21"/>
  <c r="G815" i="21"/>
  <c r="H815" i="21"/>
  <c r="E815" i="21"/>
  <c r="F815" i="21"/>
  <c r="K335" i="21"/>
  <c r="G335" i="21"/>
  <c r="H335" i="21"/>
  <c r="E335" i="21"/>
  <c r="F335" i="21"/>
  <c r="K387" i="21"/>
  <c r="G387" i="21"/>
  <c r="E387" i="21"/>
  <c r="F387" i="21"/>
  <c r="H387" i="21"/>
  <c r="K439" i="21"/>
  <c r="G439" i="21"/>
  <c r="H439" i="21"/>
  <c r="E439" i="21"/>
  <c r="F439" i="21"/>
  <c r="K487" i="21"/>
  <c r="G487" i="21"/>
  <c r="H487" i="21"/>
  <c r="E487" i="21"/>
  <c r="F487" i="21"/>
  <c r="K543" i="21"/>
  <c r="G543" i="21"/>
  <c r="H543" i="21"/>
  <c r="E543" i="21"/>
  <c r="F543" i="21"/>
  <c r="K591" i="21"/>
  <c r="G591" i="21"/>
  <c r="H591" i="21"/>
  <c r="E591" i="21"/>
  <c r="F591" i="21"/>
  <c r="K639" i="21"/>
  <c r="G639" i="21"/>
  <c r="H639" i="21"/>
  <c r="E639" i="21"/>
  <c r="F639" i="21"/>
  <c r="K687" i="21"/>
  <c r="G687" i="21"/>
  <c r="H687" i="21"/>
  <c r="E687" i="21"/>
  <c r="F687" i="21"/>
  <c r="K743" i="21"/>
  <c r="G743" i="21"/>
  <c r="H743" i="21"/>
  <c r="E743" i="21"/>
  <c r="F743" i="21"/>
  <c r="K791" i="21"/>
  <c r="G791" i="21"/>
  <c r="H791" i="21"/>
  <c r="E791" i="21"/>
  <c r="F791" i="21"/>
  <c r="K999" i="21"/>
  <c r="G999" i="21"/>
  <c r="H999" i="21"/>
  <c r="E999" i="21"/>
  <c r="F999" i="21"/>
  <c r="K1047" i="21"/>
  <c r="G1047" i="21"/>
  <c r="H1047" i="21"/>
  <c r="E1047" i="21"/>
  <c r="F1047" i="21"/>
  <c r="K1087" i="21"/>
  <c r="G1087" i="21"/>
  <c r="H1087" i="21"/>
  <c r="F1087" i="21"/>
  <c r="E1087" i="21"/>
  <c r="K1007" i="21"/>
  <c r="G1007" i="21"/>
  <c r="H1007" i="21"/>
  <c r="E1007" i="21"/>
  <c r="F1007" i="21"/>
  <c r="K1055" i="21"/>
  <c r="G1055" i="21"/>
  <c r="H1055" i="21"/>
  <c r="F1055" i="21"/>
  <c r="E1055" i="21"/>
  <c r="K1103" i="21"/>
  <c r="G1103" i="21"/>
  <c r="H1103" i="21"/>
  <c r="E1103" i="21"/>
  <c r="F1103" i="21"/>
  <c r="K967" i="21"/>
  <c r="G967" i="21"/>
  <c r="H967" i="21"/>
  <c r="E967" i="21"/>
  <c r="F967" i="21"/>
  <c r="K1015" i="21"/>
  <c r="G1015" i="21"/>
  <c r="H1015" i="21"/>
  <c r="E1015" i="21"/>
  <c r="F1015" i="21"/>
  <c r="K1063" i="21"/>
  <c r="G1063" i="21"/>
  <c r="H1063" i="21"/>
  <c r="E1063" i="21"/>
  <c r="F1063" i="21"/>
  <c r="K1119" i="21"/>
  <c r="G1119" i="21"/>
  <c r="H1119" i="21"/>
  <c r="E1119" i="21"/>
  <c r="F1119" i="21"/>
  <c r="K326" i="21"/>
  <c r="G326" i="21"/>
  <c r="H326" i="21"/>
  <c r="E326" i="21"/>
  <c r="F326" i="21"/>
  <c r="K358" i="21"/>
  <c r="G358" i="21"/>
  <c r="H358" i="21"/>
  <c r="E358" i="21"/>
  <c r="F358" i="21"/>
  <c r="K390" i="21"/>
  <c r="G390" i="21"/>
  <c r="H390" i="21"/>
  <c r="E390" i="21"/>
  <c r="F390" i="21"/>
  <c r="K422" i="21"/>
  <c r="G422" i="21"/>
  <c r="H422" i="21"/>
  <c r="E422" i="21"/>
  <c r="F422" i="21"/>
  <c r="K454" i="21"/>
  <c r="G454" i="21"/>
  <c r="H454" i="21"/>
  <c r="E454" i="21"/>
  <c r="F454" i="21"/>
  <c r="K486" i="21"/>
  <c r="G486" i="21"/>
  <c r="H486" i="21"/>
  <c r="E486" i="21"/>
  <c r="F486" i="21"/>
  <c r="K518" i="21"/>
  <c r="G518" i="21"/>
  <c r="H518" i="21"/>
  <c r="E518" i="21"/>
  <c r="F518" i="21"/>
  <c r="K550" i="21"/>
  <c r="G550" i="21"/>
  <c r="H550" i="21"/>
  <c r="E550" i="21"/>
  <c r="F550" i="21"/>
  <c r="K578" i="21"/>
  <c r="G578" i="21"/>
  <c r="E578" i="21"/>
  <c r="F578" i="21"/>
  <c r="H578" i="21"/>
  <c r="K610" i="21"/>
  <c r="G610" i="21"/>
  <c r="E610" i="21"/>
  <c r="F610" i="21"/>
  <c r="H610" i="21"/>
  <c r="K642" i="21"/>
  <c r="G642" i="21"/>
  <c r="E642" i="21"/>
  <c r="F642" i="21"/>
  <c r="H642" i="21"/>
  <c r="K674" i="21"/>
  <c r="G674" i="21"/>
  <c r="E674" i="21"/>
  <c r="F674" i="21"/>
  <c r="H674" i="21"/>
  <c r="K706" i="21"/>
  <c r="G706" i="21"/>
  <c r="E706" i="21"/>
  <c r="F706" i="21"/>
  <c r="H706" i="21"/>
  <c r="K738" i="21"/>
  <c r="G738" i="21"/>
  <c r="E738" i="21"/>
  <c r="F738" i="21"/>
  <c r="H738" i="21"/>
  <c r="K770" i="21"/>
  <c r="G770" i="21"/>
  <c r="F770" i="21"/>
  <c r="H770" i="21"/>
  <c r="E770" i="21"/>
  <c r="K802" i="21"/>
  <c r="G802" i="21"/>
  <c r="F802" i="21"/>
  <c r="H802" i="21"/>
  <c r="E802" i="21"/>
  <c r="K834" i="21"/>
  <c r="G834" i="21"/>
  <c r="F834" i="21"/>
  <c r="H834" i="21"/>
  <c r="E834" i="21"/>
  <c r="K866" i="21"/>
  <c r="G866" i="21"/>
  <c r="F866" i="21"/>
  <c r="H866" i="21"/>
  <c r="E866" i="21"/>
  <c r="K898" i="21"/>
  <c r="G898" i="21"/>
  <c r="F898" i="21"/>
  <c r="H898" i="21"/>
  <c r="E898" i="21"/>
  <c r="K930" i="21"/>
  <c r="G930" i="21"/>
  <c r="F930" i="21"/>
  <c r="H930" i="21"/>
  <c r="E930" i="21"/>
  <c r="K962" i="21"/>
  <c r="G962" i="21"/>
  <c r="F962" i="21"/>
  <c r="H962" i="21"/>
  <c r="E962" i="21"/>
  <c r="K994" i="21"/>
  <c r="G994" i="21"/>
  <c r="F994" i="21"/>
  <c r="H994" i="21"/>
  <c r="E994" i="21"/>
  <c r="K1026" i="21"/>
  <c r="G1026" i="21"/>
  <c r="F1026" i="21"/>
  <c r="H1026" i="21"/>
  <c r="E1026" i="21"/>
  <c r="K1058" i="21"/>
  <c r="G1058" i="21"/>
  <c r="F1058" i="21"/>
  <c r="H1058" i="21"/>
  <c r="E1058" i="21"/>
  <c r="K1090" i="21"/>
  <c r="G1090" i="21"/>
  <c r="F1090" i="21"/>
  <c r="H1090" i="21"/>
  <c r="E1090" i="21"/>
  <c r="K1122" i="21"/>
  <c r="G1122" i="21"/>
  <c r="F1122" i="21"/>
  <c r="H1122" i="21"/>
  <c r="E1122" i="21"/>
  <c r="K327" i="21"/>
  <c r="G327" i="21"/>
  <c r="H327" i="21"/>
  <c r="E327" i="21"/>
  <c r="F327" i="21"/>
  <c r="K379" i="21"/>
  <c r="G379" i="21"/>
  <c r="E379" i="21"/>
  <c r="H379" i="21"/>
  <c r="F379" i="21"/>
  <c r="K419" i="21"/>
  <c r="G419" i="21"/>
  <c r="E419" i="21"/>
  <c r="F419" i="21"/>
  <c r="H419" i="21"/>
  <c r="K471" i="21"/>
  <c r="G471" i="21"/>
  <c r="H471" i="21"/>
  <c r="E471" i="21"/>
  <c r="F471" i="21"/>
  <c r="K511" i="21"/>
  <c r="G511" i="21"/>
  <c r="H511" i="21"/>
  <c r="E511" i="21"/>
  <c r="F511" i="21"/>
  <c r="K563" i="21"/>
  <c r="G563" i="21"/>
  <c r="E563" i="21"/>
  <c r="F563" i="21"/>
  <c r="H563" i="21"/>
  <c r="K607" i="21"/>
  <c r="G607" i="21"/>
  <c r="H607" i="21"/>
  <c r="E607" i="21"/>
  <c r="F607" i="21"/>
  <c r="K659" i="21"/>
  <c r="G659" i="21"/>
  <c r="E659" i="21"/>
  <c r="F659" i="21"/>
  <c r="H659" i="21"/>
  <c r="K699" i="21"/>
  <c r="G699" i="21"/>
  <c r="E699" i="21"/>
  <c r="H699" i="21"/>
  <c r="F699" i="21"/>
  <c r="K747" i="21"/>
  <c r="G747" i="21"/>
  <c r="E747" i="21"/>
  <c r="H747" i="21"/>
  <c r="F747" i="21"/>
  <c r="K799" i="21"/>
  <c r="G799" i="21"/>
  <c r="H799" i="21"/>
  <c r="E799" i="21"/>
  <c r="F799" i="21"/>
  <c r="K178" i="21"/>
  <c r="G178" i="21"/>
  <c r="E178" i="21"/>
  <c r="F178" i="21"/>
  <c r="H178" i="21"/>
  <c r="K194" i="21"/>
  <c r="G194" i="21"/>
  <c r="E194" i="21"/>
  <c r="F194" i="21"/>
  <c r="H194" i="21"/>
  <c r="K214" i="21"/>
  <c r="G214" i="21"/>
  <c r="E214" i="21"/>
  <c r="H214" i="21"/>
  <c r="F214" i="21"/>
  <c r="K230" i="21"/>
  <c r="G230" i="21"/>
  <c r="H230" i="21"/>
  <c r="F230" i="21"/>
  <c r="E230" i="21"/>
  <c r="K246" i="21"/>
  <c r="G246" i="21"/>
  <c r="H246" i="21"/>
  <c r="E246" i="21"/>
  <c r="F246" i="21"/>
  <c r="K262" i="21"/>
  <c r="G262" i="21"/>
  <c r="H262" i="21"/>
  <c r="E262" i="21"/>
  <c r="F262" i="21"/>
  <c r="K278" i="21"/>
  <c r="G278" i="21"/>
  <c r="H278" i="21"/>
  <c r="E278" i="21"/>
  <c r="F278" i="21"/>
  <c r="K294" i="21"/>
  <c r="G294" i="21"/>
  <c r="H294" i="21"/>
  <c r="E294" i="21"/>
  <c r="F294" i="21"/>
  <c r="K314" i="21"/>
  <c r="G314" i="21"/>
  <c r="E314" i="21"/>
  <c r="F314" i="21"/>
  <c r="H314" i="21"/>
  <c r="K338" i="21"/>
  <c r="G338" i="21"/>
  <c r="E338" i="21"/>
  <c r="F338" i="21"/>
  <c r="H338" i="21"/>
  <c r="K370" i="21"/>
  <c r="G370" i="21"/>
  <c r="E370" i="21"/>
  <c r="F370" i="21"/>
  <c r="H370" i="21"/>
  <c r="K402" i="21"/>
  <c r="G402" i="21"/>
  <c r="E402" i="21"/>
  <c r="F402" i="21"/>
  <c r="H402" i="21"/>
  <c r="K434" i="21"/>
  <c r="G434" i="21"/>
  <c r="E434" i="21"/>
  <c r="F434" i="21"/>
  <c r="H434" i="21"/>
  <c r="K466" i="21"/>
  <c r="G466" i="21"/>
  <c r="E466" i="21"/>
  <c r="F466" i="21"/>
  <c r="H466" i="21"/>
  <c r="K498" i="21"/>
  <c r="G498" i="21"/>
  <c r="E498" i="21"/>
  <c r="F498" i="21"/>
  <c r="H498" i="21"/>
  <c r="K530" i="21"/>
  <c r="G530" i="21"/>
  <c r="E530" i="21"/>
  <c r="F530" i="21"/>
  <c r="H530" i="21"/>
  <c r="K562" i="21"/>
  <c r="G562" i="21"/>
  <c r="E562" i="21"/>
  <c r="F562" i="21"/>
  <c r="H562" i="21"/>
  <c r="K598" i="21"/>
  <c r="G598" i="21"/>
  <c r="H598" i="21"/>
  <c r="E598" i="21"/>
  <c r="F598" i="21"/>
  <c r="K630" i="21"/>
  <c r="G630" i="21"/>
  <c r="H630" i="21"/>
  <c r="E630" i="21"/>
  <c r="F630" i="21"/>
  <c r="K662" i="21"/>
  <c r="G662" i="21"/>
  <c r="H662" i="21"/>
  <c r="E662" i="21"/>
  <c r="F662" i="21"/>
  <c r="K694" i="21"/>
  <c r="G694" i="21"/>
  <c r="H694" i="21"/>
  <c r="E694" i="21"/>
  <c r="F694" i="21"/>
  <c r="K726" i="21"/>
  <c r="G726" i="21"/>
  <c r="H726" i="21"/>
  <c r="E726" i="21"/>
  <c r="F726" i="21"/>
  <c r="K758" i="21"/>
  <c r="G758" i="21"/>
  <c r="H758" i="21"/>
  <c r="F758" i="21"/>
  <c r="E758" i="21"/>
  <c r="K790" i="21"/>
  <c r="G790" i="21"/>
  <c r="H790" i="21"/>
  <c r="F790" i="21"/>
  <c r="E790" i="21"/>
  <c r="K822" i="21"/>
  <c r="G822" i="21"/>
  <c r="H822" i="21"/>
  <c r="F822" i="21"/>
  <c r="E822" i="21"/>
  <c r="K854" i="21"/>
  <c r="G854" i="21"/>
  <c r="H854" i="21"/>
  <c r="F854" i="21"/>
  <c r="E854" i="21"/>
  <c r="K886" i="21"/>
  <c r="G886" i="21"/>
  <c r="H886" i="21"/>
  <c r="F886" i="21"/>
  <c r="E886" i="21"/>
  <c r="K918" i="21"/>
  <c r="G918" i="21"/>
  <c r="H918" i="21"/>
  <c r="F918" i="21"/>
  <c r="E918" i="21"/>
  <c r="K950" i="21"/>
  <c r="G950" i="21"/>
  <c r="H950" i="21"/>
  <c r="F950" i="21"/>
  <c r="E950" i="21"/>
  <c r="K982" i="21"/>
  <c r="G982" i="21"/>
  <c r="H982" i="21"/>
  <c r="F982" i="21"/>
  <c r="E982" i="21"/>
  <c r="K1014" i="21"/>
  <c r="G1014" i="21"/>
  <c r="H1014" i="21"/>
  <c r="F1014" i="21"/>
  <c r="E1014" i="21"/>
  <c r="K1046" i="21"/>
  <c r="G1046" i="21"/>
  <c r="H1046" i="21"/>
  <c r="F1046" i="21"/>
  <c r="E1046" i="21"/>
  <c r="K1078" i="21"/>
  <c r="G1078" i="21"/>
  <c r="H1078" i="21"/>
  <c r="F1078" i="21"/>
  <c r="E1078" i="21"/>
  <c r="K1110" i="21"/>
  <c r="G1110" i="21"/>
  <c r="H1110" i="21"/>
  <c r="F1110" i="21"/>
  <c r="E1110" i="21"/>
  <c r="K319" i="21"/>
  <c r="G319" i="21"/>
  <c r="H319" i="21"/>
  <c r="E319" i="21"/>
  <c r="F319" i="21"/>
  <c r="K363" i="21"/>
  <c r="G363" i="21"/>
  <c r="E363" i="21"/>
  <c r="H363" i="21"/>
  <c r="F363" i="21"/>
  <c r="K407" i="21"/>
  <c r="G407" i="21"/>
  <c r="H407" i="21"/>
  <c r="E407" i="21"/>
  <c r="F407" i="21"/>
  <c r="K455" i="21"/>
  <c r="G455" i="21"/>
  <c r="H455" i="21"/>
  <c r="E455" i="21"/>
  <c r="F455" i="21"/>
  <c r="K507" i="21"/>
  <c r="G507" i="21"/>
  <c r="E507" i="21"/>
  <c r="H507" i="21"/>
  <c r="F507" i="21"/>
  <c r="K551" i="21"/>
  <c r="G551" i="21"/>
  <c r="H551" i="21"/>
  <c r="E551" i="21"/>
  <c r="F551" i="21"/>
  <c r="K599" i="21"/>
  <c r="G599" i="21"/>
  <c r="H599" i="21"/>
  <c r="E599" i="21"/>
  <c r="F599" i="21"/>
  <c r="K643" i="21"/>
  <c r="G643" i="21"/>
  <c r="E643" i="21"/>
  <c r="F643" i="21"/>
  <c r="H643" i="21"/>
  <c r="K695" i="21"/>
  <c r="G695" i="21"/>
  <c r="H695" i="21"/>
  <c r="E695" i="21"/>
  <c r="F695" i="21"/>
  <c r="K739" i="21"/>
  <c r="G739" i="21"/>
  <c r="E739" i="21"/>
  <c r="F739" i="21"/>
  <c r="H739" i="21"/>
  <c r="K783" i="21"/>
  <c r="G783" i="21"/>
  <c r="H783" i="21"/>
  <c r="E783" i="21"/>
  <c r="F783" i="21"/>
  <c r="K827" i="21"/>
  <c r="G827" i="21"/>
  <c r="E827" i="21"/>
  <c r="H827" i="21"/>
  <c r="F827" i="21"/>
  <c r="K347" i="21"/>
  <c r="G347" i="21"/>
  <c r="E347" i="21"/>
  <c r="H347" i="21"/>
  <c r="F347" i="21"/>
  <c r="K403" i="21"/>
  <c r="G403" i="21"/>
  <c r="E403" i="21"/>
  <c r="F403" i="21"/>
  <c r="H403" i="21"/>
  <c r="K451" i="21"/>
  <c r="G451" i="21"/>
  <c r="E451" i="21"/>
  <c r="F451" i="21"/>
  <c r="H451" i="21"/>
  <c r="K499" i="21"/>
  <c r="G499" i="21"/>
  <c r="E499" i="21"/>
  <c r="F499" i="21"/>
  <c r="H499" i="21"/>
  <c r="K555" i="21"/>
  <c r="G555" i="21"/>
  <c r="E555" i="21"/>
  <c r="H555" i="21"/>
  <c r="F555" i="21"/>
  <c r="K603" i="21"/>
  <c r="G603" i="21"/>
  <c r="E603" i="21"/>
  <c r="H603" i="21"/>
  <c r="F603" i="21"/>
  <c r="K651" i="21"/>
  <c r="G651" i="21"/>
  <c r="E651" i="21"/>
  <c r="H651" i="21"/>
  <c r="F651" i="21"/>
  <c r="K707" i="21"/>
  <c r="G707" i="21"/>
  <c r="E707" i="21"/>
  <c r="F707" i="21"/>
  <c r="H707" i="21"/>
  <c r="K755" i="21"/>
  <c r="G755" i="21"/>
  <c r="E755" i="21"/>
  <c r="F755" i="21"/>
  <c r="H755" i="21"/>
  <c r="K803" i="21"/>
  <c r="G803" i="21"/>
  <c r="E803" i="21"/>
  <c r="F803" i="21"/>
  <c r="H803" i="21"/>
  <c r="K1011" i="21"/>
  <c r="G1011" i="21"/>
  <c r="E1011" i="21"/>
  <c r="F1011" i="21"/>
  <c r="H1011" i="21"/>
  <c r="K1059" i="21"/>
  <c r="G1059" i="21"/>
  <c r="F1059" i="21"/>
  <c r="E1059" i="21"/>
  <c r="H1059" i="21"/>
  <c r="K1099" i="21"/>
  <c r="G1099" i="21"/>
  <c r="H1099" i="21"/>
  <c r="E1099" i="21"/>
  <c r="F1099" i="21"/>
  <c r="K971" i="21"/>
  <c r="G971" i="21"/>
  <c r="H971" i="21"/>
  <c r="E971" i="21"/>
  <c r="F971" i="21"/>
  <c r="K1019" i="21"/>
  <c r="G1019" i="21"/>
  <c r="F1019" i="21"/>
  <c r="H1019" i="21"/>
  <c r="E1019" i="21"/>
  <c r="K1071" i="21"/>
  <c r="G1071" i="21"/>
  <c r="H1071" i="21"/>
  <c r="E1071" i="21"/>
  <c r="F1071" i="21"/>
  <c r="K1115" i="21"/>
  <c r="G1115" i="21"/>
  <c r="H1115" i="21"/>
  <c r="E1115" i="21"/>
  <c r="F1115" i="21"/>
  <c r="K979" i="21"/>
  <c r="G979" i="21"/>
  <c r="F979" i="21"/>
  <c r="E979" i="21"/>
  <c r="H979" i="21"/>
  <c r="K1027" i="21"/>
  <c r="G1027" i="21"/>
  <c r="E1027" i="21"/>
  <c r="F1027" i="21"/>
  <c r="H1027" i="21"/>
  <c r="K1075" i="21"/>
  <c r="G1075" i="21"/>
  <c r="F1075" i="21"/>
  <c r="E1075" i="21"/>
  <c r="H1075" i="21"/>
  <c r="K334" i="21"/>
  <c r="G334" i="21"/>
  <c r="H334" i="21"/>
  <c r="E334" i="21"/>
  <c r="F334" i="21"/>
  <c r="K366" i="21"/>
  <c r="G366" i="21"/>
  <c r="H366" i="21"/>
  <c r="E366" i="21"/>
  <c r="F366" i="21"/>
  <c r="K398" i="21"/>
  <c r="G398" i="21"/>
  <c r="H398" i="21"/>
  <c r="E398" i="21"/>
  <c r="F398" i="21"/>
  <c r="K430" i="21"/>
  <c r="G430" i="21"/>
  <c r="H430" i="21"/>
  <c r="E430" i="21"/>
  <c r="F430" i="21"/>
  <c r="K462" i="21"/>
  <c r="G462" i="21"/>
  <c r="H462" i="21"/>
  <c r="E462" i="21"/>
  <c r="F462" i="21"/>
  <c r="K494" i="21"/>
  <c r="G494" i="21"/>
  <c r="H494" i="21"/>
  <c r="E494" i="21"/>
  <c r="F494" i="21"/>
  <c r="K526" i="21"/>
  <c r="G526" i="21"/>
  <c r="H526" i="21"/>
  <c r="E526" i="21"/>
  <c r="F526" i="21"/>
  <c r="K558" i="21"/>
  <c r="G558" i="21"/>
  <c r="H558" i="21"/>
  <c r="E558" i="21"/>
  <c r="F558" i="21"/>
  <c r="K586" i="21"/>
  <c r="G586" i="21"/>
  <c r="E586" i="21"/>
  <c r="F586" i="21"/>
  <c r="H586" i="21"/>
  <c r="K618" i="21"/>
  <c r="G618" i="21"/>
  <c r="E618" i="21"/>
  <c r="F618" i="21"/>
  <c r="H618" i="21"/>
  <c r="K650" i="21"/>
  <c r="G650" i="21"/>
  <c r="E650" i="21"/>
  <c r="F650" i="21"/>
  <c r="H650" i="21"/>
  <c r="K682" i="21"/>
  <c r="G682" i="21"/>
  <c r="E682" i="21"/>
  <c r="F682" i="21"/>
  <c r="H682" i="21"/>
  <c r="K714" i="21"/>
  <c r="G714" i="21"/>
  <c r="E714" i="21"/>
  <c r="F714" i="21"/>
  <c r="H714" i="21"/>
  <c r="K746" i="21"/>
  <c r="G746" i="21"/>
  <c r="F746" i="21"/>
  <c r="H746" i="21"/>
  <c r="E746" i="21"/>
  <c r="K778" i="21"/>
  <c r="G778" i="21"/>
  <c r="F778" i="21"/>
  <c r="H778" i="21"/>
  <c r="E778" i="21"/>
  <c r="K810" i="21"/>
  <c r="G810" i="21"/>
  <c r="F810" i="21"/>
  <c r="H810" i="21"/>
  <c r="E810" i="21"/>
  <c r="K842" i="21"/>
  <c r="G842" i="21"/>
  <c r="F842" i="21"/>
  <c r="H842" i="21"/>
  <c r="E842" i="21"/>
  <c r="K874" i="21"/>
  <c r="G874" i="21"/>
  <c r="F874" i="21"/>
  <c r="H874" i="21"/>
  <c r="E874" i="21"/>
  <c r="K906" i="21"/>
  <c r="G906" i="21"/>
  <c r="F906" i="21"/>
  <c r="H906" i="21"/>
  <c r="E906" i="21"/>
  <c r="K938" i="21"/>
  <c r="G938" i="21"/>
  <c r="H938" i="21"/>
  <c r="F938" i="21"/>
  <c r="E938" i="21"/>
  <c r="K970" i="21"/>
  <c r="G970" i="21"/>
  <c r="H970" i="21"/>
  <c r="F970" i="21"/>
  <c r="E970" i="21"/>
  <c r="K1002" i="21"/>
  <c r="G1002" i="21"/>
  <c r="H1002" i="21"/>
  <c r="F1002" i="21"/>
  <c r="E1002" i="21"/>
  <c r="K1034" i="21"/>
  <c r="G1034" i="21"/>
  <c r="H1034" i="21"/>
  <c r="F1034" i="21"/>
  <c r="E1034" i="21"/>
  <c r="K1066" i="21"/>
  <c r="G1066" i="21"/>
  <c r="H1066" i="21"/>
  <c r="F1066" i="21"/>
  <c r="E1066" i="21"/>
  <c r="K1098" i="21"/>
  <c r="G1098" i="21"/>
  <c r="H1098" i="21"/>
  <c r="F1098" i="21"/>
  <c r="E1098" i="21"/>
  <c r="K339" i="21"/>
  <c r="G339" i="21"/>
  <c r="E339" i="21"/>
  <c r="F339" i="21"/>
  <c r="H339" i="21"/>
  <c r="K391" i="21"/>
  <c r="G391" i="21"/>
  <c r="H391" i="21"/>
  <c r="E391" i="21"/>
  <c r="F391" i="21"/>
  <c r="K435" i="21"/>
  <c r="G435" i="21"/>
  <c r="E435" i="21"/>
  <c r="F435" i="21"/>
  <c r="H435" i="21"/>
  <c r="K483" i="21"/>
  <c r="G483" i="21"/>
  <c r="E483" i="21"/>
  <c r="F483" i="21"/>
  <c r="H483" i="21"/>
  <c r="K523" i="21"/>
  <c r="G523" i="21"/>
  <c r="E523" i="21"/>
  <c r="H523" i="21"/>
  <c r="F523" i="21"/>
  <c r="K571" i="21"/>
  <c r="G571" i="21"/>
  <c r="E571" i="21"/>
  <c r="H571" i="21"/>
  <c r="F571" i="21"/>
  <c r="K619" i="21"/>
  <c r="G619" i="21"/>
  <c r="E619" i="21"/>
  <c r="H619" i="21"/>
  <c r="F619" i="21"/>
  <c r="K671" i="21"/>
  <c r="G671" i="21"/>
  <c r="H671" i="21"/>
  <c r="E671" i="21"/>
  <c r="F671" i="21"/>
  <c r="K711" i="21"/>
  <c r="G711" i="21"/>
  <c r="H711" i="21"/>
  <c r="E711" i="21"/>
  <c r="F711" i="21"/>
  <c r="K763" i="21"/>
  <c r="G763" i="21"/>
  <c r="E763" i="21"/>
  <c r="H763" i="21"/>
  <c r="F763" i="21"/>
  <c r="K811" i="21"/>
  <c r="G811" i="21"/>
  <c r="E811" i="21"/>
  <c r="H811" i="21"/>
  <c r="F811" i="21"/>
  <c r="K166" i="21"/>
  <c r="G166" i="21"/>
  <c r="E166" i="21"/>
  <c r="H166" i="21"/>
  <c r="F166" i="21"/>
  <c r="K182" i="21"/>
  <c r="G182" i="21"/>
  <c r="E182" i="21"/>
  <c r="H182" i="21"/>
  <c r="F182" i="21"/>
  <c r="K202" i="21"/>
  <c r="G202" i="21"/>
  <c r="E202" i="21"/>
  <c r="F202" i="21"/>
  <c r="H202" i="21"/>
  <c r="K218" i="21"/>
  <c r="G218" i="21"/>
  <c r="E218" i="21"/>
  <c r="F218" i="21"/>
  <c r="H218" i="21"/>
  <c r="K234" i="21"/>
  <c r="G234" i="21"/>
  <c r="E234" i="21"/>
  <c r="H234" i="21"/>
  <c r="F234" i="21"/>
  <c r="K250" i="21"/>
  <c r="G250" i="21"/>
  <c r="E250" i="21"/>
  <c r="F250" i="21"/>
  <c r="H250" i="21"/>
  <c r="K266" i="21"/>
  <c r="G266" i="21"/>
  <c r="E266" i="21"/>
  <c r="F266" i="21"/>
  <c r="H266" i="21"/>
  <c r="K282" i="21"/>
  <c r="G282" i="21"/>
  <c r="E282" i="21"/>
  <c r="F282" i="21"/>
  <c r="H282" i="21"/>
  <c r="K298" i="21"/>
  <c r="G298" i="21"/>
  <c r="E298" i="21"/>
  <c r="F298" i="21"/>
  <c r="H298" i="21"/>
  <c r="K318" i="21"/>
  <c r="G318" i="21"/>
  <c r="H318" i="21"/>
  <c r="E318" i="21"/>
  <c r="F318" i="21"/>
  <c r="K346" i="21"/>
  <c r="G346" i="21"/>
  <c r="E346" i="21"/>
  <c r="F346" i="21"/>
  <c r="H346" i="21"/>
  <c r="K378" i="21"/>
  <c r="G378" i="21"/>
  <c r="E378" i="21"/>
  <c r="F378" i="21"/>
  <c r="H378" i="21"/>
  <c r="K410" i="21"/>
  <c r="G410" i="21"/>
  <c r="E410" i="21"/>
  <c r="F410" i="21"/>
  <c r="H410" i="21"/>
  <c r="K442" i="21"/>
  <c r="G442" i="21"/>
  <c r="E442" i="21"/>
  <c r="F442" i="21"/>
  <c r="H442" i="21"/>
  <c r="K474" i="21"/>
  <c r="G474" i="21"/>
  <c r="E474" i="21"/>
  <c r="F474" i="21"/>
  <c r="H474" i="21"/>
  <c r="K506" i="21"/>
  <c r="G506" i="21"/>
  <c r="E506" i="21"/>
  <c r="F506" i="21"/>
  <c r="H506" i="21"/>
  <c r="K538" i="21"/>
  <c r="G538" i="21"/>
  <c r="E538" i="21"/>
  <c r="F538" i="21"/>
  <c r="H538" i="21"/>
  <c r="K570" i="21"/>
  <c r="G570" i="21"/>
  <c r="E570" i="21"/>
  <c r="F570" i="21"/>
  <c r="H570" i="21"/>
  <c r="K606" i="21"/>
  <c r="G606" i="21"/>
  <c r="H606" i="21"/>
  <c r="E606" i="21"/>
  <c r="F606" i="21"/>
  <c r="K638" i="21"/>
  <c r="G638" i="21"/>
  <c r="H638" i="21"/>
  <c r="E638" i="21"/>
  <c r="F638" i="21"/>
  <c r="K670" i="21"/>
  <c r="G670" i="21"/>
  <c r="H670" i="21"/>
  <c r="E670" i="21"/>
  <c r="F670" i="21"/>
  <c r="K702" i="21"/>
  <c r="G702" i="21"/>
  <c r="H702" i="21"/>
  <c r="E702" i="21"/>
  <c r="F702" i="21"/>
  <c r="K734" i="21"/>
  <c r="G734" i="21"/>
  <c r="H734" i="21"/>
  <c r="E734" i="21"/>
  <c r="F734" i="21"/>
  <c r="K766" i="21"/>
  <c r="G766" i="21"/>
  <c r="H766" i="21"/>
  <c r="F766" i="21"/>
  <c r="E766" i="21"/>
  <c r="K798" i="21"/>
  <c r="G798" i="21"/>
  <c r="H798" i="21"/>
  <c r="F798" i="21"/>
  <c r="E798" i="21"/>
  <c r="K830" i="21"/>
  <c r="G830" i="21"/>
  <c r="H830" i="21"/>
  <c r="F830" i="21"/>
  <c r="E830" i="21"/>
  <c r="K862" i="21"/>
  <c r="G862" i="21"/>
  <c r="H862" i="21"/>
  <c r="F862" i="21"/>
  <c r="E862" i="21"/>
  <c r="K894" i="21"/>
  <c r="G894" i="21"/>
  <c r="H894" i="21"/>
  <c r="F894" i="21"/>
  <c r="E894" i="21"/>
  <c r="K926" i="21"/>
  <c r="G926" i="21"/>
  <c r="H926" i="21"/>
  <c r="F926" i="21"/>
  <c r="E926" i="21"/>
  <c r="K958" i="21"/>
  <c r="G958" i="21"/>
  <c r="H958" i="21"/>
  <c r="F958" i="21"/>
  <c r="E958" i="21"/>
  <c r="K990" i="21"/>
  <c r="G990" i="21"/>
  <c r="H990" i="21"/>
  <c r="F990" i="21"/>
  <c r="E990" i="21"/>
  <c r="K1022" i="21"/>
  <c r="G1022" i="21"/>
  <c r="H1022" i="21"/>
  <c r="F1022" i="21"/>
  <c r="E1022" i="21"/>
  <c r="K1054" i="21"/>
  <c r="G1054" i="21"/>
  <c r="H1054" i="21"/>
  <c r="F1054" i="21"/>
  <c r="E1054" i="21"/>
  <c r="K1086" i="21"/>
  <c r="G1086" i="21"/>
  <c r="H1086" i="21"/>
  <c r="F1086" i="21"/>
  <c r="E1086" i="21"/>
  <c r="K1118" i="21"/>
  <c r="G1118" i="21"/>
  <c r="H1118" i="21"/>
  <c r="F1118" i="21"/>
  <c r="E1118" i="21"/>
  <c r="K331" i="21"/>
  <c r="G331" i="21"/>
  <c r="E331" i="21"/>
  <c r="H331" i="21"/>
  <c r="F331" i="21"/>
  <c r="K375" i="21"/>
  <c r="G375" i="21"/>
  <c r="H375" i="21"/>
  <c r="E375" i="21"/>
  <c r="F375" i="21"/>
  <c r="K423" i="21"/>
  <c r="G423" i="21"/>
  <c r="H423" i="21"/>
  <c r="E423" i="21"/>
  <c r="F423" i="21"/>
  <c r="K467" i="21"/>
  <c r="G467" i="21"/>
  <c r="E467" i="21"/>
  <c r="F467" i="21"/>
  <c r="H467" i="21"/>
  <c r="K515" i="21"/>
  <c r="G515" i="21"/>
  <c r="E515" i="21"/>
  <c r="F515" i="21"/>
  <c r="H515" i="21"/>
  <c r="K559" i="21"/>
  <c r="G559" i="21"/>
  <c r="H559" i="21"/>
  <c r="E559" i="21"/>
  <c r="F559" i="21"/>
  <c r="K611" i="21"/>
  <c r="G611" i="21"/>
  <c r="E611" i="21"/>
  <c r="F611" i="21"/>
  <c r="H611" i="21"/>
  <c r="K655" i="21"/>
  <c r="G655" i="21"/>
  <c r="H655" i="21"/>
  <c r="E655" i="21"/>
  <c r="F655" i="21"/>
  <c r="K703" i="21"/>
  <c r="G703" i="21"/>
  <c r="H703" i="21"/>
  <c r="E703" i="21"/>
  <c r="F703" i="21"/>
  <c r="K751" i="21"/>
  <c r="G751" i="21"/>
  <c r="H751" i="21"/>
  <c r="E751" i="21"/>
  <c r="F751" i="21"/>
  <c r="K795" i="21"/>
  <c r="G795" i="21"/>
  <c r="E795" i="21"/>
  <c r="H795" i="21"/>
  <c r="F795" i="21"/>
  <c r="K359" i="21"/>
  <c r="G359" i="21"/>
  <c r="H359" i="21"/>
  <c r="E359" i="21"/>
  <c r="F359" i="21"/>
  <c r="K415" i="21"/>
  <c r="G415" i="21"/>
  <c r="H415" i="21"/>
  <c r="E415" i="21"/>
  <c r="F415" i="21"/>
  <c r="K463" i="21"/>
  <c r="G463" i="21"/>
  <c r="H463" i="21"/>
  <c r="E463" i="21"/>
  <c r="F463" i="21"/>
  <c r="K519" i="21"/>
  <c r="G519" i="21"/>
  <c r="H519" i="21"/>
  <c r="E519" i="21"/>
  <c r="F519" i="21"/>
  <c r="K567" i="21"/>
  <c r="G567" i="21"/>
  <c r="H567" i="21"/>
  <c r="E567" i="21"/>
  <c r="F567" i="21"/>
  <c r="K615" i="21"/>
  <c r="G615" i="21"/>
  <c r="H615" i="21"/>
  <c r="E615" i="21"/>
  <c r="F615" i="21"/>
  <c r="K663" i="21"/>
  <c r="G663" i="21"/>
  <c r="H663" i="21"/>
  <c r="E663" i="21"/>
  <c r="F663" i="21"/>
  <c r="K719" i="21"/>
  <c r="G719" i="21"/>
  <c r="H719" i="21"/>
  <c r="E719" i="21"/>
  <c r="F719" i="21"/>
  <c r="K767" i="21"/>
  <c r="G767" i="21"/>
  <c r="H767" i="21"/>
  <c r="E767" i="21"/>
  <c r="F767" i="21"/>
  <c r="K823" i="21"/>
  <c r="G823" i="21"/>
  <c r="H823" i="21"/>
  <c r="E823" i="21"/>
  <c r="F823" i="21"/>
  <c r="K975" i="21"/>
  <c r="G975" i="21"/>
  <c r="H975" i="21"/>
  <c r="E975" i="21"/>
  <c r="F975" i="21"/>
  <c r="K1023" i="21"/>
  <c r="G1023" i="21"/>
  <c r="H1023" i="21"/>
  <c r="F1023" i="21"/>
  <c r="E1023" i="21"/>
  <c r="K1067" i="21"/>
  <c r="G1067" i="21"/>
  <c r="H1067" i="21"/>
  <c r="E1067" i="21"/>
  <c r="F1067" i="21"/>
  <c r="K1111" i="21"/>
  <c r="G1111" i="21"/>
  <c r="H1111" i="21"/>
  <c r="F1111" i="21"/>
  <c r="E1111" i="21"/>
  <c r="K983" i="21"/>
  <c r="G983" i="21"/>
  <c r="H983" i="21"/>
  <c r="F983" i="21"/>
  <c r="E983" i="21"/>
  <c r="K1031" i="21"/>
  <c r="G1031" i="21"/>
  <c r="H1031" i="21"/>
  <c r="E1031" i="21"/>
  <c r="F1031" i="21"/>
  <c r="K1083" i="21"/>
  <c r="G1083" i="21"/>
  <c r="F1083" i="21"/>
  <c r="H1083" i="21"/>
  <c r="E1083" i="21"/>
  <c r="K991" i="21"/>
  <c r="G991" i="21"/>
  <c r="H991" i="21"/>
  <c r="E991" i="21"/>
  <c r="F991" i="21"/>
  <c r="K1039" i="21"/>
  <c r="G1039" i="21"/>
  <c r="H1039" i="21"/>
  <c r="F1039" i="21"/>
  <c r="E1039" i="21"/>
  <c r="K1091" i="21"/>
  <c r="G1091" i="21"/>
  <c r="E1091" i="21"/>
  <c r="F1091" i="21"/>
  <c r="H1091" i="21"/>
  <c r="N200" i="2"/>
  <c r="M200" i="2"/>
  <c r="L200" i="2"/>
  <c r="K200" i="2"/>
  <c r="J200" i="2"/>
  <c r="I200" i="2"/>
  <c r="H200" i="2"/>
  <c r="A200" i="2"/>
  <c r="N199" i="2"/>
  <c r="M199" i="2"/>
  <c r="L199" i="2"/>
  <c r="K199" i="2"/>
  <c r="J199" i="2"/>
  <c r="I199" i="2"/>
  <c r="H199" i="2"/>
  <c r="A199" i="2"/>
  <c r="N198" i="2"/>
  <c r="M198" i="2"/>
  <c r="L198" i="2"/>
  <c r="K198" i="2"/>
  <c r="J198" i="2"/>
  <c r="I198" i="2"/>
  <c r="H198" i="2"/>
  <c r="A198" i="2"/>
  <c r="N197" i="2"/>
  <c r="M197" i="2"/>
  <c r="L197" i="2"/>
  <c r="K197" i="2"/>
  <c r="J197" i="2"/>
  <c r="I197" i="2"/>
  <c r="H197" i="2"/>
  <c r="A197" i="2"/>
  <c r="N196" i="2"/>
  <c r="M196" i="2"/>
  <c r="L196" i="2"/>
  <c r="K196" i="2"/>
  <c r="J196" i="2"/>
  <c r="I196" i="2"/>
  <c r="H196" i="2"/>
  <c r="A196" i="2"/>
  <c r="N195" i="2"/>
  <c r="M195" i="2"/>
  <c r="L195" i="2"/>
  <c r="K195" i="2"/>
  <c r="J195" i="2"/>
  <c r="I195" i="2"/>
  <c r="H195" i="2"/>
  <c r="A195" i="2"/>
  <c r="N194" i="2"/>
  <c r="M194" i="2"/>
  <c r="L194" i="2"/>
  <c r="K194" i="2"/>
  <c r="J194" i="2"/>
  <c r="I194" i="2"/>
  <c r="H194" i="2"/>
  <c r="A194" i="2"/>
  <c r="N193" i="2"/>
  <c r="M193" i="2"/>
  <c r="L193" i="2"/>
  <c r="K193" i="2"/>
  <c r="J193" i="2"/>
  <c r="I193" i="2"/>
  <c r="H193" i="2"/>
  <c r="A193" i="2"/>
  <c r="N192" i="2"/>
  <c r="M192" i="2"/>
  <c r="L192" i="2"/>
  <c r="K192" i="2"/>
  <c r="J192" i="2"/>
  <c r="I192" i="2"/>
  <c r="H192" i="2"/>
  <c r="A192" i="2"/>
  <c r="N191" i="2"/>
  <c r="M191" i="2"/>
  <c r="L191" i="2"/>
  <c r="K191" i="2"/>
  <c r="J191" i="2"/>
  <c r="I191" i="2"/>
  <c r="H191" i="2"/>
  <c r="A191" i="2"/>
  <c r="N190" i="2"/>
  <c r="M190" i="2"/>
  <c r="L190" i="2"/>
  <c r="K190" i="2"/>
  <c r="J190" i="2"/>
  <c r="I190" i="2"/>
  <c r="H190" i="2"/>
  <c r="A190" i="2"/>
  <c r="N189" i="2"/>
  <c r="M189" i="2"/>
  <c r="L189" i="2"/>
  <c r="K189" i="2"/>
  <c r="J189" i="2"/>
  <c r="I189" i="2"/>
  <c r="H189" i="2"/>
  <c r="A189" i="2"/>
  <c r="N188" i="2"/>
  <c r="M188" i="2"/>
  <c r="L188" i="2"/>
  <c r="K188" i="2"/>
  <c r="J188" i="2"/>
  <c r="I188" i="2"/>
  <c r="H188" i="2"/>
  <c r="A188" i="2"/>
  <c r="N187" i="2"/>
  <c r="M187" i="2"/>
  <c r="L187" i="2"/>
  <c r="K187" i="2"/>
  <c r="J187" i="2"/>
  <c r="I187" i="2"/>
  <c r="H187" i="2"/>
  <c r="A187" i="2"/>
  <c r="N186" i="2"/>
  <c r="M186" i="2"/>
  <c r="L186" i="2"/>
  <c r="K186" i="2"/>
  <c r="J186" i="2"/>
  <c r="I186" i="2"/>
  <c r="H186" i="2"/>
  <c r="A186" i="2"/>
  <c r="N185" i="2"/>
  <c r="M185" i="2"/>
  <c r="L185" i="2"/>
  <c r="K185" i="2"/>
  <c r="J185" i="2"/>
  <c r="I185" i="2"/>
  <c r="H185" i="2"/>
  <c r="A185" i="2"/>
  <c r="N184" i="2"/>
  <c r="M184" i="2"/>
  <c r="L184" i="2"/>
  <c r="K184" i="2"/>
  <c r="J184" i="2"/>
  <c r="I184" i="2"/>
  <c r="H184" i="2"/>
  <c r="A184" i="2"/>
  <c r="N183" i="2"/>
  <c r="M183" i="2"/>
  <c r="L183" i="2"/>
  <c r="K183" i="2"/>
  <c r="J183" i="2"/>
  <c r="I183" i="2"/>
  <c r="H183" i="2"/>
  <c r="A183" i="2"/>
  <c r="N182" i="2"/>
  <c r="M182" i="2"/>
  <c r="L182" i="2"/>
  <c r="K182" i="2"/>
  <c r="J182" i="2"/>
  <c r="I182" i="2"/>
  <c r="H182" i="2"/>
  <c r="A182" i="2"/>
  <c r="N181" i="2"/>
  <c r="M181" i="2"/>
  <c r="L181" i="2"/>
  <c r="K181" i="2"/>
  <c r="J181" i="2"/>
  <c r="I181" i="2"/>
  <c r="H181" i="2"/>
  <c r="A181" i="2"/>
  <c r="N180" i="2"/>
  <c r="M180" i="2"/>
  <c r="L180" i="2"/>
  <c r="K180" i="2"/>
  <c r="J180" i="2"/>
  <c r="I180" i="2"/>
  <c r="H180" i="2"/>
  <c r="A180" i="2"/>
  <c r="N179" i="2"/>
  <c r="M179" i="2"/>
  <c r="L179" i="2"/>
  <c r="K179" i="2"/>
  <c r="J179" i="2"/>
  <c r="I179" i="2"/>
  <c r="H179" i="2"/>
  <c r="A179" i="2"/>
  <c r="N178" i="2"/>
  <c r="M178" i="2"/>
  <c r="L178" i="2"/>
  <c r="K178" i="2"/>
  <c r="J178" i="2"/>
  <c r="I178" i="2"/>
  <c r="H178" i="2"/>
  <c r="A178" i="2"/>
  <c r="N177" i="2"/>
  <c r="M177" i="2"/>
  <c r="L177" i="2"/>
  <c r="K177" i="2"/>
  <c r="J177" i="2"/>
  <c r="I177" i="2"/>
  <c r="H177" i="2"/>
  <c r="A177" i="2"/>
  <c r="N176" i="2"/>
  <c r="M176" i="2"/>
  <c r="L176" i="2"/>
  <c r="K176" i="2"/>
  <c r="J176" i="2"/>
  <c r="I176" i="2"/>
  <c r="H176" i="2"/>
  <c r="A176" i="2"/>
  <c r="N175" i="2"/>
  <c r="M175" i="2"/>
  <c r="L175" i="2"/>
  <c r="K175" i="2"/>
  <c r="J175" i="2"/>
  <c r="I175" i="2"/>
  <c r="H175" i="2"/>
  <c r="A175" i="2"/>
  <c r="N174" i="2"/>
  <c r="M174" i="2"/>
  <c r="L174" i="2"/>
  <c r="K174" i="2"/>
  <c r="J174" i="2"/>
  <c r="I174" i="2"/>
  <c r="H174" i="2"/>
  <c r="A174" i="2"/>
  <c r="N173" i="2"/>
  <c r="M173" i="2"/>
  <c r="L173" i="2"/>
  <c r="K173" i="2"/>
  <c r="J173" i="2"/>
  <c r="I173" i="2"/>
  <c r="H173" i="2"/>
  <c r="A173" i="2"/>
  <c r="N172" i="2"/>
  <c r="M172" i="2"/>
  <c r="L172" i="2"/>
  <c r="K172" i="2"/>
  <c r="J172" i="2"/>
  <c r="I172" i="2"/>
  <c r="H172" i="2"/>
  <c r="A172" i="2"/>
  <c r="N171" i="2"/>
  <c r="M171" i="2"/>
  <c r="L171" i="2"/>
  <c r="K171" i="2"/>
  <c r="J171" i="2"/>
  <c r="I171" i="2"/>
  <c r="H171" i="2"/>
  <c r="A171" i="2"/>
  <c r="N170" i="2"/>
  <c r="M170" i="2"/>
  <c r="L170" i="2"/>
  <c r="K170" i="2"/>
  <c r="J170" i="2"/>
  <c r="I170" i="2"/>
  <c r="H170" i="2"/>
  <c r="A170" i="2"/>
  <c r="N169" i="2"/>
  <c r="M169" i="2"/>
  <c r="L169" i="2"/>
  <c r="K169" i="2"/>
  <c r="J169" i="2"/>
  <c r="I169" i="2"/>
  <c r="H169" i="2"/>
  <c r="A169" i="2"/>
  <c r="N168" i="2"/>
  <c r="M168" i="2"/>
  <c r="L168" i="2"/>
  <c r="K168" i="2"/>
  <c r="J168" i="2"/>
  <c r="I168" i="2"/>
  <c r="H168" i="2"/>
  <c r="A168" i="2"/>
  <c r="N167" i="2"/>
  <c r="M167" i="2"/>
  <c r="L167" i="2"/>
  <c r="K167" i="2"/>
  <c r="J167" i="2"/>
  <c r="I167" i="2"/>
  <c r="H167" i="2"/>
  <c r="A167" i="2"/>
  <c r="N166" i="2"/>
  <c r="M166" i="2"/>
  <c r="L166" i="2"/>
  <c r="K166" i="2"/>
  <c r="J166" i="2"/>
  <c r="I166" i="2"/>
  <c r="H166" i="2"/>
  <c r="A166" i="2"/>
  <c r="N165" i="2"/>
  <c r="M165" i="2"/>
  <c r="L165" i="2"/>
  <c r="K165" i="2"/>
  <c r="J165" i="2"/>
  <c r="I165" i="2"/>
  <c r="H165" i="2"/>
  <c r="A165" i="2"/>
  <c r="N164" i="2"/>
  <c r="M164" i="2"/>
  <c r="L164" i="2"/>
  <c r="K164" i="2"/>
  <c r="J164" i="2"/>
  <c r="I164" i="2"/>
  <c r="H164" i="2"/>
  <c r="A164" i="2"/>
  <c r="N163" i="2"/>
  <c r="M163" i="2"/>
  <c r="L163" i="2"/>
  <c r="K163" i="2"/>
  <c r="J163" i="2"/>
  <c r="I163" i="2"/>
  <c r="H163" i="2"/>
  <c r="A163" i="2"/>
  <c r="N162" i="2"/>
  <c r="M162" i="2"/>
  <c r="L162" i="2"/>
  <c r="K162" i="2"/>
  <c r="J162" i="2"/>
  <c r="I162" i="2"/>
  <c r="H162" i="2"/>
  <c r="A162" i="2"/>
  <c r="N161" i="2"/>
  <c r="M161" i="2"/>
  <c r="L161" i="2"/>
  <c r="K161" i="2"/>
  <c r="J161" i="2"/>
  <c r="I161" i="2"/>
  <c r="H161" i="2"/>
  <c r="A161" i="2"/>
  <c r="N160" i="2"/>
  <c r="M160" i="2"/>
  <c r="L160" i="2"/>
  <c r="K160" i="2"/>
  <c r="J160" i="2"/>
  <c r="I160" i="2"/>
  <c r="H160" i="2"/>
  <c r="A160" i="2"/>
  <c r="N159" i="2"/>
  <c r="M159" i="2"/>
  <c r="L159" i="2"/>
  <c r="K159" i="2"/>
  <c r="J159" i="2"/>
  <c r="I159" i="2"/>
  <c r="H159" i="2"/>
  <c r="A159" i="2"/>
  <c r="N158" i="2"/>
  <c r="M158" i="2"/>
  <c r="L158" i="2"/>
  <c r="K158" i="2"/>
  <c r="J158" i="2"/>
  <c r="I158" i="2"/>
  <c r="H158" i="2"/>
  <c r="A158" i="2"/>
  <c r="N157" i="2"/>
  <c r="M157" i="2"/>
  <c r="L157" i="2"/>
  <c r="K157" i="2"/>
  <c r="J157" i="2"/>
  <c r="I157" i="2"/>
  <c r="H157" i="2"/>
  <c r="A157" i="2"/>
  <c r="N156" i="2"/>
  <c r="M156" i="2"/>
  <c r="L156" i="2"/>
  <c r="K156" i="2"/>
  <c r="J156" i="2"/>
  <c r="I156" i="2"/>
  <c r="H156" i="2"/>
  <c r="A156" i="2"/>
  <c r="N155" i="2"/>
  <c r="M155" i="2"/>
  <c r="L155" i="2"/>
  <c r="K155" i="2"/>
  <c r="J155" i="2"/>
  <c r="I155" i="2"/>
  <c r="H155" i="2"/>
  <c r="A155" i="2"/>
  <c r="N154" i="2"/>
  <c r="M154" i="2"/>
  <c r="L154" i="2"/>
  <c r="K154" i="2"/>
  <c r="J154" i="2"/>
  <c r="I154" i="2"/>
  <c r="H154" i="2"/>
  <c r="A154" i="2"/>
  <c r="N153" i="2"/>
  <c r="M153" i="2"/>
  <c r="L153" i="2"/>
  <c r="K153" i="2"/>
  <c r="J153" i="2"/>
  <c r="I153" i="2"/>
  <c r="H153" i="2"/>
  <c r="A153" i="2"/>
  <c r="N152" i="2"/>
  <c r="M152" i="2"/>
  <c r="L152" i="2"/>
  <c r="K152" i="2"/>
  <c r="J152" i="2"/>
  <c r="I152" i="2"/>
  <c r="H152" i="2"/>
  <c r="A152" i="2"/>
  <c r="N151" i="2"/>
  <c r="M151" i="2"/>
  <c r="L151" i="2"/>
  <c r="K151" i="2"/>
  <c r="J151" i="2"/>
  <c r="I151" i="2"/>
  <c r="H151" i="2"/>
  <c r="A151" i="2"/>
  <c r="N150" i="2"/>
  <c r="M150" i="2"/>
  <c r="L150" i="2"/>
  <c r="K150" i="2"/>
  <c r="J150" i="2"/>
  <c r="I150" i="2"/>
  <c r="H150" i="2"/>
  <c r="A150" i="2"/>
  <c r="N149" i="2"/>
  <c r="M149" i="2"/>
  <c r="L149" i="2"/>
  <c r="K149" i="2"/>
  <c r="J149" i="2"/>
  <c r="I149" i="2"/>
  <c r="H149" i="2"/>
  <c r="A149" i="2"/>
  <c r="N148" i="2"/>
  <c r="M148" i="2"/>
  <c r="L148" i="2"/>
  <c r="K148" i="2"/>
  <c r="J148" i="2"/>
  <c r="I148" i="2"/>
  <c r="H148" i="2"/>
  <c r="A148" i="2"/>
  <c r="N147" i="2"/>
  <c r="M147" i="2"/>
  <c r="L147" i="2"/>
  <c r="K147" i="2"/>
  <c r="J147" i="2"/>
  <c r="I147" i="2"/>
  <c r="H147" i="2"/>
  <c r="A147" i="2"/>
  <c r="N146" i="2"/>
  <c r="M146" i="2"/>
  <c r="L146" i="2"/>
  <c r="K146" i="2"/>
  <c r="J146" i="2"/>
  <c r="I146" i="2"/>
  <c r="H146" i="2"/>
  <c r="A146" i="2"/>
  <c r="N145" i="2"/>
  <c r="M145" i="2"/>
  <c r="L145" i="2"/>
  <c r="K145" i="2"/>
  <c r="J145" i="2"/>
  <c r="I145" i="2"/>
  <c r="H145" i="2"/>
  <c r="A145" i="2"/>
  <c r="N144" i="2"/>
  <c r="M144" i="2"/>
  <c r="L144" i="2"/>
  <c r="K144" i="2"/>
  <c r="J144" i="2"/>
  <c r="I144" i="2"/>
  <c r="H144" i="2"/>
  <c r="A144" i="2"/>
  <c r="N143" i="2"/>
  <c r="M143" i="2"/>
  <c r="L143" i="2"/>
  <c r="K143" i="2"/>
  <c r="J143" i="2"/>
  <c r="I143" i="2"/>
  <c r="H143" i="2"/>
  <c r="A143" i="2"/>
  <c r="N142" i="2"/>
  <c r="M142" i="2"/>
  <c r="L142" i="2"/>
  <c r="K142" i="2"/>
  <c r="J142" i="2"/>
  <c r="I142" i="2"/>
  <c r="H142" i="2"/>
  <c r="A142" i="2"/>
  <c r="N141" i="2"/>
  <c r="M141" i="2"/>
  <c r="L141" i="2"/>
  <c r="K141" i="2"/>
  <c r="J141" i="2"/>
  <c r="I141" i="2"/>
  <c r="H141" i="2"/>
  <c r="A141" i="2"/>
  <c r="N140" i="2"/>
  <c r="M140" i="2"/>
  <c r="L140" i="2"/>
  <c r="K140" i="2"/>
  <c r="J140" i="2"/>
  <c r="I140" i="2"/>
  <c r="H140" i="2"/>
  <c r="A140" i="2"/>
  <c r="N139" i="2"/>
  <c r="M139" i="2"/>
  <c r="L139" i="2"/>
  <c r="K139" i="2"/>
  <c r="J139" i="2"/>
  <c r="I139" i="2"/>
  <c r="H139" i="2"/>
  <c r="A139" i="2"/>
  <c r="N138" i="2"/>
  <c r="M138" i="2"/>
  <c r="L138" i="2"/>
  <c r="K138" i="2"/>
  <c r="J138" i="2"/>
  <c r="I138" i="2"/>
  <c r="H138" i="2"/>
  <c r="A138" i="2"/>
  <c r="N137" i="2"/>
  <c r="M137" i="2"/>
  <c r="L137" i="2"/>
  <c r="K137" i="2"/>
  <c r="J137" i="2"/>
  <c r="I137" i="2"/>
  <c r="H137" i="2"/>
  <c r="A137" i="2"/>
  <c r="N136" i="2"/>
  <c r="M136" i="2"/>
  <c r="L136" i="2"/>
  <c r="K136" i="2"/>
  <c r="J136" i="2"/>
  <c r="I136" i="2"/>
  <c r="H136" i="2"/>
  <c r="A136" i="2"/>
  <c r="N135" i="2"/>
  <c r="M135" i="2"/>
  <c r="L135" i="2"/>
  <c r="K135" i="2"/>
  <c r="J135" i="2"/>
  <c r="I135" i="2"/>
  <c r="H135" i="2"/>
  <c r="A135" i="2"/>
  <c r="N134" i="2"/>
  <c r="M134" i="2"/>
  <c r="L134" i="2"/>
  <c r="K134" i="2"/>
  <c r="J134" i="2"/>
  <c r="I134" i="2"/>
  <c r="H134" i="2"/>
  <c r="A134" i="2"/>
  <c r="N133" i="2"/>
  <c r="M133" i="2"/>
  <c r="L133" i="2"/>
  <c r="K133" i="2"/>
  <c r="J133" i="2"/>
  <c r="I133" i="2"/>
  <c r="H133" i="2"/>
  <c r="A133" i="2"/>
  <c r="N132" i="2"/>
  <c r="M132" i="2"/>
  <c r="L132" i="2"/>
  <c r="K132" i="2"/>
  <c r="J132" i="2"/>
  <c r="I132" i="2"/>
  <c r="H132" i="2"/>
  <c r="A132" i="2"/>
  <c r="N131" i="2"/>
  <c r="M131" i="2"/>
  <c r="L131" i="2"/>
  <c r="K131" i="2"/>
  <c r="J131" i="2"/>
  <c r="I131" i="2"/>
  <c r="H131" i="2"/>
  <c r="A131" i="2"/>
  <c r="N130" i="2"/>
  <c r="M130" i="2"/>
  <c r="L130" i="2"/>
  <c r="K130" i="2"/>
  <c r="J130" i="2"/>
  <c r="I130" i="2"/>
  <c r="H130" i="2"/>
  <c r="A130" i="2"/>
  <c r="N129" i="2"/>
  <c r="M129" i="2"/>
  <c r="L129" i="2"/>
  <c r="K129" i="2"/>
  <c r="J129" i="2"/>
  <c r="I129" i="2"/>
  <c r="H129" i="2"/>
  <c r="A129" i="2"/>
  <c r="N128" i="2"/>
  <c r="M128" i="2"/>
  <c r="L128" i="2"/>
  <c r="K128" i="2"/>
  <c r="J128" i="2"/>
  <c r="I128" i="2"/>
  <c r="H128" i="2"/>
  <c r="A128" i="2"/>
  <c r="N127" i="2"/>
  <c r="M127" i="2"/>
  <c r="L127" i="2"/>
  <c r="K127" i="2"/>
  <c r="J127" i="2"/>
  <c r="I127" i="2"/>
  <c r="H127" i="2"/>
  <c r="A127" i="2"/>
  <c r="N126" i="2"/>
  <c r="M126" i="2"/>
  <c r="L126" i="2"/>
  <c r="K126" i="2"/>
  <c r="J126" i="2"/>
  <c r="I126" i="2"/>
  <c r="H126" i="2"/>
  <c r="A126" i="2"/>
  <c r="N125" i="2"/>
  <c r="M125" i="2"/>
  <c r="L125" i="2"/>
  <c r="K125" i="2"/>
  <c r="J125" i="2"/>
  <c r="I125" i="2"/>
  <c r="H125" i="2"/>
  <c r="A125" i="2"/>
  <c r="N124" i="2"/>
  <c r="M124" i="2"/>
  <c r="L124" i="2"/>
  <c r="K124" i="2"/>
  <c r="J124" i="2"/>
  <c r="I124" i="2"/>
  <c r="H124" i="2"/>
  <c r="A124" i="2"/>
  <c r="N123" i="2"/>
  <c r="M123" i="2"/>
  <c r="L123" i="2"/>
  <c r="K123" i="2"/>
  <c r="J123" i="2"/>
  <c r="I123" i="2"/>
  <c r="H123" i="2"/>
  <c r="A123" i="2"/>
  <c r="N122" i="2"/>
  <c r="M122" i="2"/>
  <c r="L122" i="2"/>
  <c r="K122" i="2"/>
  <c r="J122" i="2"/>
  <c r="I122" i="2"/>
  <c r="H122" i="2"/>
  <c r="A122" i="2"/>
  <c r="N121" i="2"/>
  <c r="M121" i="2"/>
  <c r="L121" i="2"/>
  <c r="K121" i="2"/>
  <c r="J121" i="2"/>
  <c r="I121" i="2"/>
  <c r="H121" i="2"/>
  <c r="A121" i="2"/>
  <c r="N120" i="2"/>
  <c r="M120" i="2"/>
  <c r="L120" i="2"/>
  <c r="K120" i="2"/>
  <c r="J120" i="2"/>
  <c r="I120" i="2"/>
  <c r="H120" i="2"/>
  <c r="A120" i="2"/>
  <c r="N119" i="2"/>
  <c r="M119" i="2"/>
  <c r="L119" i="2"/>
  <c r="K119" i="2"/>
  <c r="J119" i="2"/>
  <c r="I119" i="2"/>
  <c r="H119" i="2"/>
  <c r="A119" i="2"/>
  <c r="N118" i="2"/>
  <c r="M118" i="2"/>
  <c r="L118" i="2"/>
  <c r="K118" i="2"/>
  <c r="J118" i="2"/>
  <c r="I118" i="2"/>
  <c r="H118" i="2"/>
  <c r="A118" i="2"/>
  <c r="N117" i="2"/>
  <c r="M117" i="2"/>
  <c r="L117" i="2"/>
  <c r="K117" i="2"/>
  <c r="J117" i="2"/>
  <c r="I117" i="2"/>
  <c r="H117" i="2"/>
  <c r="A117" i="2"/>
  <c r="N116" i="2"/>
  <c r="M116" i="2"/>
  <c r="L116" i="2"/>
  <c r="K116" i="2"/>
  <c r="J116" i="2"/>
  <c r="I116" i="2"/>
  <c r="H116" i="2"/>
  <c r="A116" i="2"/>
  <c r="N115" i="2"/>
  <c r="M115" i="2"/>
  <c r="L115" i="2"/>
  <c r="K115" i="2"/>
  <c r="J115" i="2"/>
  <c r="I115" i="2"/>
  <c r="H115" i="2"/>
  <c r="A115" i="2"/>
  <c r="N114" i="2"/>
  <c r="M114" i="2"/>
  <c r="L114" i="2"/>
  <c r="K114" i="2"/>
  <c r="J114" i="2"/>
  <c r="I114" i="2"/>
  <c r="H114" i="2"/>
  <c r="A114" i="2"/>
  <c r="N113" i="2"/>
  <c r="M113" i="2"/>
  <c r="L113" i="2"/>
  <c r="K113" i="2"/>
  <c r="J113" i="2"/>
  <c r="I113" i="2"/>
  <c r="H113" i="2"/>
  <c r="A113" i="2"/>
  <c r="N112" i="2"/>
  <c r="M112" i="2"/>
  <c r="L112" i="2"/>
  <c r="K112" i="2"/>
  <c r="J112" i="2"/>
  <c r="I112" i="2"/>
  <c r="H112" i="2"/>
  <c r="A112" i="2"/>
  <c r="N111" i="2"/>
  <c r="M111" i="2"/>
  <c r="L111" i="2"/>
  <c r="K111" i="2"/>
  <c r="J111" i="2"/>
  <c r="I111" i="2"/>
  <c r="H111" i="2"/>
  <c r="A111" i="2"/>
  <c r="N110" i="2"/>
  <c r="M110" i="2"/>
  <c r="L110" i="2"/>
  <c r="K110" i="2"/>
  <c r="J110" i="2"/>
  <c r="I110" i="2"/>
  <c r="H110" i="2"/>
  <c r="A110" i="2"/>
  <c r="N109" i="2"/>
  <c r="M109" i="2"/>
  <c r="L109" i="2"/>
  <c r="K109" i="2"/>
  <c r="J109" i="2"/>
  <c r="I109" i="2"/>
  <c r="H109" i="2"/>
  <c r="A109" i="2"/>
  <c r="N108" i="2"/>
  <c r="M108" i="2"/>
  <c r="L108" i="2"/>
  <c r="K108" i="2"/>
  <c r="J108" i="2"/>
  <c r="I108" i="2"/>
  <c r="H108" i="2"/>
  <c r="A108" i="2"/>
  <c r="N107" i="2"/>
  <c r="M107" i="2"/>
  <c r="L107" i="2"/>
  <c r="K107" i="2"/>
  <c r="J107" i="2"/>
  <c r="I107" i="2"/>
  <c r="H107" i="2"/>
  <c r="A107" i="2"/>
  <c r="N106" i="2"/>
  <c r="M106" i="2"/>
  <c r="L106" i="2"/>
  <c r="K106" i="2"/>
  <c r="J106" i="2"/>
  <c r="I106" i="2"/>
  <c r="H106" i="2"/>
  <c r="A106" i="2"/>
  <c r="N105" i="2"/>
  <c r="M105" i="2"/>
  <c r="L105" i="2"/>
  <c r="K105" i="2"/>
  <c r="J105" i="2"/>
  <c r="I105" i="2"/>
  <c r="H105" i="2"/>
  <c r="A105" i="2"/>
  <c r="N104" i="2"/>
  <c r="M104" i="2"/>
  <c r="L104" i="2"/>
  <c r="K104" i="2"/>
  <c r="J104" i="2"/>
  <c r="I104" i="2"/>
  <c r="H104" i="2"/>
  <c r="A104" i="2"/>
  <c r="N103" i="2"/>
  <c r="M103" i="2"/>
  <c r="L103" i="2"/>
  <c r="K103" i="2"/>
  <c r="J103" i="2"/>
  <c r="I103" i="2"/>
  <c r="H103" i="2"/>
  <c r="A103" i="2"/>
  <c r="N102" i="2"/>
  <c r="M102" i="2"/>
  <c r="L102" i="2"/>
  <c r="K102" i="2"/>
  <c r="J102" i="2"/>
  <c r="I102" i="2"/>
  <c r="H102" i="2"/>
  <c r="A102" i="2"/>
  <c r="N101" i="2"/>
  <c r="M101" i="2"/>
  <c r="L101" i="2"/>
  <c r="K101" i="2"/>
  <c r="J101" i="2"/>
  <c r="I101" i="2"/>
  <c r="H101" i="2"/>
  <c r="A101" i="2"/>
  <c r="N100" i="2"/>
  <c r="M100" i="2"/>
  <c r="L100" i="2"/>
  <c r="K100" i="2"/>
  <c r="J100" i="2"/>
  <c r="I100" i="2"/>
  <c r="H100" i="2"/>
  <c r="A100" i="2"/>
  <c r="N99" i="2"/>
  <c r="M99" i="2"/>
  <c r="L99" i="2"/>
  <c r="K99" i="2"/>
  <c r="J99" i="2"/>
  <c r="I99" i="2"/>
  <c r="H99" i="2"/>
  <c r="A99" i="2"/>
  <c r="N98" i="2"/>
  <c r="M98" i="2"/>
  <c r="L98" i="2"/>
  <c r="K98" i="2"/>
  <c r="J98" i="2"/>
  <c r="I98" i="2"/>
  <c r="H98" i="2"/>
  <c r="A98" i="2"/>
  <c r="N97" i="2"/>
  <c r="M97" i="2"/>
  <c r="L97" i="2"/>
  <c r="K97" i="2"/>
  <c r="J97" i="2"/>
  <c r="I97" i="2"/>
  <c r="H97" i="2"/>
  <c r="A97" i="2"/>
  <c r="N96" i="2"/>
  <c r="M96" i="2"/>
  <c r="L96" i="2"/>
  <c r="K96" i="2"/>
  <c r="J96" i="2"/>
  <c r="I96" i="2"/>
  <c r="H96" i="2"/>
  <c r="A96" i="2"/>
  <c r="N95" i="2"/>
  <c r="M95" i="2"/>
  <c r="L95" i="2"/>
  <c r="K95" i="2"/>
  <c r="J95" i="2"/>
  <c r="I95" i="2"/>
  <c r="H95" i="2"/>
  <c r="A95" i="2"/>
  <c r="N94" i="2"/>
  <c r="M94" i="2"/>
  <c r="L94" i="2"/>
  <c r="K94" i="2"/>
  <c r="J94" i="2"/>
  <c r="I94" i="2"/>
  <c r="H94" i="2"/>
  <c r="A94" i="2"/>
  <c r="N93" i="2"/>
  <c r="M93" i="2"/>
  <c r="L93" i="2"/>
  <c r="K93" i="2"/>
  <c r="J93" i="2"/>
  <c r="I93" i="2"/>
  <c r="H93" i="2"/>
  <c r="A93" i="2"/>
  <c r="N92" i="2"/>
  <c r="M92" i="2"/>
  <c r="L92" i="2"/>
  <c r="K92" i="2"/>
  <c r="J92" i="2"/>
  <c r="I92" i="2"/>
  <c r="H92" i="2"/>
  <c r="A92" i="2"/>
  <c r="N91" i="2"/>
  <c r="M91" i="2"/>
  <c r="L91" i="2"/>
  <c r="K91" i="2"/>
  <c r="J91" i="2"/>
  <c r="I91" i="2"/>
  <c r="H91" i="2"/>
  <c r="A91" i="2"/>
  <c r="N90" i="2"/>
  <c r="M90" i="2"/>
  <c r="L90" i="2"/>
  <c r="K90" i="2"/>
  <c r="J90" i="2"/>
  <c r="I90" i="2"/>
  <c r="H90" i="2"/>
  <c r="A90" i="2"/>
  <c r="N89" i="2"/>
  <c r="M89" i="2"/>
  <c r="L89" i="2"/>
  <c r="K89" i="2"/>
  <c r="J89" i="2"/>
  <c r="I89" i="2"/>
  <c r="H89" i="2"/>
  <c r="A89" i="2"/>
  <c r="N88" i="2"/>
  <c r="M88" i="2"/>
  <c r="L88" i="2"/>
  <c r="K88" i="2"/>
  <c r="J88" i="2"/>
  <c r="I88" i="2"/>
  <c r="H88" i="2"/>
  <c r="A88" i="2"/>
  <c r="N87" i="2"/>
  <c r="M87" i="2"/>
  <c r="L87" i="2"/>
  <c r="K87" i="2"/>
  <c r="J87" i="2"/>
  <c r="I87" i="2"/>
  <c r="H87" i="2"/>
  <c r="A87" i="2"/>
  <c r="N86" i="2"/>
  <c r="M86" i="2"/>
  <c r="L86" i="2"/>
  <c r="K86" i="2"/>
  <c r="J86" i="2"/>
  <c r="I86" i="2"/>
  <c r="H86" i="2"/>
  <c r="A86" i="2"/>
  <c r="N85" i="2"/>
  <c r="M85" i="2"/>
  <c r="L85" i="2"/>
  <c r="K85" i="2"/>
  <c r="J85" i="2"/>
  <c r="I85" i="2"/>
  <c r="H85" i="2"/>
  <c r="A85" i="2"/>
  <c r="N84" i="2"/>
  <c r="M84" i="2"/>
  <c r="L84" i="2"/>
  <c r="K84" i="2"/>
  <c r="J84" i="2"/>
  <c r="I84" i="2"/>
  <c r="H84" i="2"/>
  <c r="A84" i="2"/>
  <c r="N83" i="2"/>
  <c r="M83" i="2"/>
  <c r="L83" i="2"/>
  <c r="K83" i="2"/>
  <c r="J83" i="2"/>
  <c r="I83" i="2"/>
  <c r="H83" i="2"/>
  <c r="A83" i="2"/>
  <c r="N82" i="2"/>
  <c r="M82" i="2"/>
  <c r="L82" i="2"/>
  <c r="K82" i="2"/>
  <c r="J82" i="2"/>
  <c r="I82" i="2"/>
  <c r="H82" i="2"/>
  <c r="A82" i="2"/>
  <c r="N81" i="2"/>
  <c r="M81" i="2"/>
  <c r="L81" i="2"/>
  <c r="K81" i="2"/>
  <c r="J81" i="2"/>
  <c r="I81" i="2"/>
  <c r="H81" i="2"/>
  <c r="A81" i="2"/>
  <c r="N80" i="2"/>
  <c r="M80" i="2"/>
  <c r="L80" i="2"/>
  <c r="K80" i="2"/>
  <c r="J80" i="2"/>
  <c r="I80" i="2"/>
  <c r="H80" i="2"/>
  <c r="A80" i="2"/>
  <c r="N79" i="2"/>
  <c r="M79" i="2"/>
  <c r="L79" i="2"/>
  <c r="K79" i="2"/>
  <c r="J79" i="2"/>
  <c r="I79" i="2"/>
  <c r="H79" i="2"/>
  <c r="A79" i="2"/>
  <c r="N78" i="2"/>
  <c r="M78" i="2"/>
  <c r="L78" i="2"/>
  <c r="K78" i="2"/>
  <c r="J78" i="2"/>
  <c r="I78" i="2"/>
  <c r="H78" i="2"/>
  <c r="A78" i="2"/>
  <c r="N77" i="2"/>
  <c r="M77" i="2"/>
  <c r="L77" i="2"/>
  <c r="K77" i="2"/>
  <c r="J77" i="2"/>
  <c r="I77" i="2"/>
  <c r="H77" i="2"/>
  <c r="A77" i="2"/>
  <c r="N76" i="2"/>
  <c r="M76" i="2"/>
  <c r="L76" i="2"/>
  <c r="K76" i="2"/>
  <c r="J76" i="2"/>
  <c r="I76" i="2"/>
  <c r="H76" i="2"/>
  <c r="A76" i="2"/>
  <c r="N75" i="2"/>
  <c r="M75" i="2"/>
  <c r="L75" i="2"/>
  <c r="K75" i="2"/>
  <c r="J75" i="2"/>
  <c r="I75" i="2"/>
  <c r="H75" i="2"/>
  <c r="A75" i="2"/>
  <c r="N74" i="2"/>
  <c r="M74" i="2"/>
  <c r="L74" i="2"/>
  <c r="K74" i="2"/>
  <c r="J74" i="2"/>
  <c r="I74" i="2"/>
  <c r="H74" i="2"/>
  <c r="A74" i="2"/>
  <c r="N73" i="2"/>
  <c r="M73" i="2"/>
  <c r="L73" i="2"/>
  <c r="K73" i="2"/>
  <c r="J73" i="2"/>
  <c r="I73" i="2"/>
  <c r="H73" i="2"/>
  <c r="A73" i="2"/>
  <c r="N72" i="2"/>
  <c r="M72" i="2"/>
  <c r="L72" i="2"/>
  <c r="K72" i="2"/>
  <c r="J72" i="2"/>
  <c r="I72" i="2"/>
  <c r="H72" i="2"/>
  <c r="A72" i="2"/>
  <c r="N71" i="2"/>
  <c r="M71" i="2"/>
  <c r="L71" i="2"/>
  <c r="K71" i="2"/>
  <c r="J71" i="2"/>
  <c r="I71" i="2"/>
  <c r="H71" i="2"/>
  <c r="A71" i="2"/>
  <c r="N70" i="2"/>
  <c r="M70" i="2"/>
  <c r="L70" i="2"/>
  <c r="K70" i="2"/>
  <c r="J70" i="2"/>
  <c r="I70" i="2"/>
  <c r="H70" i="2"/>
  <c r="A70" i="2"/>
  <c r="N69" i="2"/>
  <c r="M69" i="2"/>
  <c r="L69" i="2"/>
  <c r="K69" i="2"/>
  <c r="J69" i="2"/>
  <c r="I69" i="2"/>
  <c r="H69" i="2"/>
  <c r="A69" i="2"/>
  <c r="N68" i="2"/>
  <c r="M68" i="2"/>
  <c r="L68" i="2"/>
  <c r="K68" i="2"/>
  <c r="J68" i="2"/>
  <c r="I68" i="2"/>
  <c r="H68" i="2"/>
  <c r="A68" i="2"/>
  <c r="N67" i="2"/>
  <c r="M67" i="2"/>
  <c r="L67" i="2"/>
  <c r="K67" i="2"/>
  <c r="J67" i="2"/>
  <c r="I67" i="2"/>
  <c r="H67" i="2"/>
  <c r="A67" i="2"/>
  <c r="N66" i="2"/>
  <c r="M66" i="2"/>
  <c r="L66" i="2"/>
  <c r="K66" i="2"/>
  <c r="J66" i="2"/>
  <c r="I66" i="2"/>
  <c r="H66" i="2"/>
  <c r="A66" i="2"/>
  <c r="N65" i="2"/>
  <c r="M65" i="2"/>
  <c r="L65" i="2"/>
  <c r="K65" i="2"/>
  <c r="J65" i="2"/>
  <c r="I65" i="2"/>
  <c r="H65" i="2"/>
  <c r="A65" i="2"/>
  <c r="N64" i="2"/>
  <c r="M64" i="2"/>
  <c r="L64" i="2"/>
  <c r="K64" i="2"/>
  <c r="J64" i="2"/>
  <c r="I64" i="2"/>
  <c r="H64" i="2"/>
  <c r="A64" i="2"/>
  <c r="N63" i="2"/>
  <c r="M63" i="2"/>
  <c r="L63" i="2"/>
  <c r="K63" i="2"/>
  <c r="J63" i="2"/>
  <c r="I63" i="2"/>
  <c r="H63" i="2"/>
  <c r="A63" i="2"/>
  <c r="N62" i="2"/>
  <c r="M62" i="2"/>
  <c r="L62" i="2"/>
  <c r="K62" i="2"/>
  <c r="J62" i="2"/>
  <c r="I62" i="2"/>
  <c r="H62" i="2"/>
  <c r="A62" i="2"/>
  <c r="N61" i="2"/>
  <c r="M61" i="2"/>
  <c r="L61" i="2"/>
  <c r="K61" i="2"/>
  <c r="J61" i="2"/>
  <c r="I61" i="2"/>
  <c r="H61" i="2"/>
  <c r="A61" i="2"/>
  <c r="N60" i="2"/>
  <c r="M60" i="2"/>
  <c r="L60" i="2"/>
  <c r="K60" i="2"/>
  <c r="J60" i="2"/>
  <c r="I60" i="2"/>
  <c r="H60" i="2"/>
  <c r="A60" i="2"/>
  <c r="N59" i="2"/>
  <c r="M59" i="2"/>
  <c r="L59" i="2"/>
  <c r="K59" i="2"/>
  <c r="J59" i="2"/>
  <c r="I59" i="2"/>
  <c r="H59" i="2"/>
  <c r="A59" i="2"/>
  <c r="N58" i="2"/>
  <c r="M58" i="2"/>
  <c r="L58" i="2"/>
  <c r="K58" i="2"/>
  <c r="J58" i="2"/>
  <c r="I58" i="2"/>
  <c r="H58" i="2"/>
  <c r="A58" i="2"/>
  <c r="N57" i="2"/>
  <c r="M57" i="2"/>
  <c r="L57" i="2"/>
  <c r="K57" i="2"/>
  <c r="J57" i="2"/>
  <c r="I57" i="2"/>
  <c r="H57" i="2"/>
  <c r="A57" i="2"/>
  <c r="N56" i="2"/>
  <c r="M56" i="2"/>
  <c r="L56" i="2"/>
  <c r="K56" i="2"/>
  <c r="J56" i="2"/>
  <c r="I56" i="2"/>
  <c r="H56" i="2"/>
  <c r="A56" i="2"/>
  <c r="N55" i="2"/>
  <c r="M55" i="2"/>
  <c r="L55" i="2"/>
  <c r="K55" i="2"/>
  <c r="J55" i="2"/>
  <c r="I55" i="2"/>
  <c r="H55" i="2"/>
  <c r="A55" i="2"/>
  <c r="N54" i="2"/>
  <c r="M54" i="2"/>
  <c r="L54" i="2"/>
  <c r="K54" i="2"/>
  <c r="J54" i="2"/>
  <c r="I54" i="2"/>
  <c r="H54" i="2"/>
  <c r="A54" i="2"/>
  <c r="N53" i="2"/>
  <c r="M53" i="2"/>
  <c r="L53" i="2"/>
  <c r="K53" i="2"/>
  <c r="J53" i="2"/>
  <c r="I53" i="2"/>
  <c r="H53" i="2"/>
  <c r="A53" i="2"/>
  <c r="N52" i="2"/>
  <c r="M52" i="2"/>
  <c r="L52" i="2"/>
  <c r="K52" i="2"/>
  <c r="J52" i="2"/>
  <c r="I52" i="2"/>
  <c r="H52" i="2"/>
  <c r="A52" i="2"/>
  <c r="N51" i="2"/>
  <c r="M51" i="2"/>
  <c r="L51" i="2"/>
  <c r="K51" i="2"/>
  <c r="J51" i="2"/>
  <c r="I51" i="2"/>
  <c r="H51" i="2"/>
  <c r="A51" i="2"/>
  <c r="N50" i="2"/>
  <c r="M50" i="2"/>
  <c r="L50" i="2"/>
  <c r="K50" i="2"/>
  <c r="J50" i="2"/>
  <c r="I50" i="2"/>
  <c r="H50" i="2"/>
  <c r="A50" i="2"/>
  <c r="N49" i="2"/>
  <c r="M49" i="2"/>
  <c r="L49" i="2"/>
  <c r="K49" i="2"/>
  <c r="J49" i="2"/>
  <c r="I49" i="2"/>
  <c r="H49" i="2"/>
  <c r="A49" i="2"/>
  <c r="N48" i="2"/>
  <c r="M48" i="2"/>
  <c r="L48" i="2"/>
  <c r="K48" i="2"/>
  <c r="J48" i="2"/>
  <c r="I48" i="2"/>
  <c r="H48" i="2"/>
  <c r="A48" i="2"/>
  <c r="N47" i="2"/>
  <c r="M47" i="2"/>
  <c r="L47" i="2"/>
  <c r="K47" i="2"/>
  <c r="J47" i="2"/>
  <c r="I47" i="2"/>
  <c r="H47" i="2"/>
  <c r="A47" i="2"/>
  <c r="N46" i="2"/>
  <c r="M46" i="2"/>
  <c r="L46" i="2"/>
  <c r="K46" i="2"/>
  <c r="J46" i="2"/>
  <c r="I46" i="2"/>
  <c r="H46" i="2"/>
  <c r="A46" i="2"/>
  <c r="N45" i="2"/>
  <c r="M45" i="2"/>
  <c r="L45" i="2"/>
  <c r="K45" i="2"/>
  <c r="J45" i="2"/>
  <c r="I45" i="2"/>
  <c r="H45" i="2"/>
  <c r="A45" i="2"/>
  <c r="N44" i="2"/>
  <c r="M44" i="2"/>
  <c r="L44" i="2"/>
  <c r="K44" i="2"/>
  <c r="J44" i="2"/>
  <c r="I44" i="2"/>
  <c r="H44" i="2"/>
  <c r="A44" i="2"/>
  <c r="N43" i="2"/>
  <c r="M43" i="2"/>
  <c r="L43" i="2"/>
  <c r="K43" i="2"/>
  <c r="J43" i="2"/>
  <c r="I43" i="2"/>
  <c r="H43" i="2"/>
  <c r="A43" i="2"/>
  <c r="N42" i="2"/>
  <c r="M42" i="2"/>
  <c r="L42" i="2"/>
  <c r="K42" i="2"/>
  <c r="J42" i="2"/>
  <c r="I42" i="2"/>
  <c r="H42" i="2"/>
  <c r="A42" i="2"/>
  <c r="N41" i="2"/>
  <c r="M41" i="2"/>
  <c r="L41" i="2"/>
  <c r="K41" i="2"/>
  <c r="J41" i="2"/>
  <c r="I41" i="2"/>
  <c r="H41" i="2"/>
  <c r="A41" i="2"/>
  <c r="N40" i="2"/>
  <c r="M40" i="2"/>
  <c r="L40" i="2"/>
  <c r="K40" i="2"/>
  <c r="J40" i="2"/>
  <c r="A40" i="2"/>
  <c r="N39" i="2"/>
  <c r="M39" i="2"/>
  <c r="L39" i="2"/>
  <c r="K39" i="2"/>
  <c r="J39" i="2"/>
  <c r="A39" i="2"/>
  <c r="N38" i="2"/>
  <c r="M38" i="2"/>
  <c r="L38" i="2"/>
  <c r="K38" i="2"/>
  <c r="J38" i="2"/>
  <c r="A38" i="2"/>
  <c r="N37" i="2"/>
  <c r="M37" i="2"/>
  <c r="L37" i="2"/>
  <c r="K37" i="2"/>
  <c r="J37" i="2"/>
  <c r="A37" i="2"/>
  <c r="N36" i="2"/>
  <c r="M36" i="2"/>
  <c r="L36" i="2"/>
  <c r="K36" i="2"/>
  <c r="J36" i="2"/>
  <c r="A36" i="2"/>
  <c r="N35" i="2"/>
  <c r="M35" i="2"/>
  <c r="L35" i="2"/>
  <c r="K35" i="2"/>
  <c r="J35" i="2"/>
  <c r="A35" i="2"/>
  <c r="N34" i="2"/>
  <c r="M34" i="2"/>
  <c r="L34" i="2"/>
  <c r="K34" i="2"/>
  <c r="J34" i="2"/>
  <c r="A34" i="2"/>
  <c r="N33" i="2"/>
  <c r="M33" i="2"/>
  <c r="L33" i="2"/>
  <c r="K33" i="2"/>
  <c r="J33" i="2"/>
  <c r="A33" i="2"/>
  <c r="N32" i="2"/>
  <c r="M32" i="2"/>
  <c r="L32" i="2"/>
  <c r="K32" i="2"/>
  <c r="J32" i="2"/>
  <c r="A32" i="2"/>
  <c r="N31" i="2"/>
  <c r="M31" i="2"/>
  <c r="L31" i="2"/>
  <c r="K31" i="2"/>
  <c r="J31" i="2"/>
  <c r="A31" i="2"/>
  <c r="N30" i="2"/>
  <c r="M30" i="2"/>
  <c r="L30" i="2"/>
  <c r="K30" i="2"/>
  <c r="J30" i="2"/>
  <c r="A30" i="2"/>
  <c r="N29" i="2"/>
  <c r="M29" i="2"/>
  <c r="L29" i="2"/>
  <c r="K29" i="2"/>
  <c r="J29" i="2"/>
  <c r="A29" i="2"/>
  <c r="N28" i="2"/>
  <c r="M28" i="2"/>
  <c r="L28" i="2"/>
  <c r="K28" i="2"/>
  <c r="J28" i="2"/>
  <c r="A28" i="2"/>
  <c r="N27" i="2"/>
  <c r="M27" i="2"/>
  <c r="L27" i="2"/>
  <c r="K27" i="2"/>
  <c r="J27" i="2"/>
  <c r="A27" i="2"/>
  <c r="N26" i="2"/>
  <c r="M26" i="2"/>
  <c r="L26" i="2"/>
  <c r="K26" i="2"/>
  <c r="J26" i="2"/>
  <c r="A26" i="2"/>
  <c r="N25" i="2"/>
  <c r="M25" i="2"/>
  <c r="L25" i="2"/>
  <c r="K25" i="2"/>
  <c r="J25" i="2"/>
  <c r="A25" i="2"/>
  <c r="N24" i="2"/>
  <c r="M24" i="2"/>
  <c r="L24" i="2"/>
  <c r="K24" i="2"/>
  <c r="J24" i="2"/>
  <c r="A24" i="2"/>
  <c r="N23" i="2"/>
  <c r="M23" i="2"/>
  <c r="L23" i="2"/>
  <c r="K23" i="2"/>
  <c r="J23" i="2"/>
  <c r="A23" i="2"/>
  <c r="N22" i="2"/>
  <c r="M22" i="2"/>
  <c r="L22" i="2"/>
  <c r="K22" i="2"/>
  <c r="J22" i="2"/>
  <c r="A22" i="2"/>
  <c r="N21" i="2"/>
  <c r="M21" i="2"/>
  <c r="L21" i="2"/>
  <c r="K21" i="2"/>
  <c r="J21" i="2"/>
  <c r="A21" i="2"/>
  <c r="N20" i="2"/>
  <c r="M20" i="2"/>
  <c r="L20" i="2"/>
  <c r="K20" i="2"/>
  <c r="J20" i="2"/>
  <c r="A20" i="2"/>
  <c r="N19" i="2"/>
  <c r="M19" i="2"/>
  <c r="L19" i="2"/>
  <c r="K19" i="2"/>
  <c r="J19" i="2"/>
  <c r="A19" i="2"/>
  <c r="N18" i="2"/>
  <c r="M18" i="2"/>
  <c r="L18" i="2"/>
  <c r="K18" i="2"/>
  <c r="J18" i="2"/>
  <c r="A18" i="2"/>
  <c r="N17" i="2"/>
  <c r="M17" i="2"/>
  <c r="L17" i="2"/>
  <c r="K17" i="2"/>
  <c r="J17" i="2"/>
  <c r="A17" i="2"/>
  <c r="Q16" i="2"/>
  <c r="N16" i="2"/>
  <c r="M16" i="2"/>
  <c r="L16" i="2"/>
  <c r="K16" i="2"/>
  <c r="J16" i="2"/>
  <c r="A16" i="2"/>
  <c r="N15" i="2"/>
  <c r="M15" i="2"/>
  <c r="L15" i="2"/>
  <c r="K15" i="2"/>
  <c r="J15" i="2"/>
  <c r="A15" i="2"/>
  <c r="N14" i="2"/>
  <c r="M14" i="2"/>
  <c r="L14" i="2"/>
  <c r="K14" i="2"/>
  <c r="J14" i="2"/>
  <c r="A14" i="2"/>
  <c r="Q13" i="2"/>
  <c r="N13" i="2"/>
  <c r="M13" i="2"/>
  <c r="L13" i="2"/>
  <c r="K13" i="2"/>
  <c r="J13" i="2"/>
  <c r="A13" i="2"/>
  <c r="N12" i="2"/>
  <c r="M12" i="2"/>
  <c r="L12" i="2"/>
  <c r="K12" i="2"/>
  <c r="J12" i="2"/>
  <c r="A12" i="2"/>
  <c r="N11" i="2"/>
  <c r="M11" i="2"/>
  <c r="L11" i="2"/>
  <c r="K11" i="2"/>
  <c r="J11" i="2"/>
  <c r="A11" i="2"/>
  <c r="Q10" i="2"/>
  <c r="N10" i="2"/>
  <c r="M10" i="2"/>
  <c r="L10" i="2"/>
  <c r="K10" i="2"/>
  <c r="J10" i="2"/>
  <c r="I10" i="2"/>
  <c r="A10" i="2"/>
  <c r="N9" i="2"/>
  <c r="M9" i="2"/>
  <c r="L9" i="2"/>
  <c r="K9" i="2"/>
  <c r="J9" i="2"/>
  <c r="I9" i="2"/>
  <c r="H9" i="2"/>
  <c r="A9" i="2"/>
  <c r="N8" i="2"/>
  <c r="M8" i="2"/>
  <c r="L8" i="2"/>
  <c r="K8" i="2"/>
  <c r="J8" i="2"/>
  <c r="I8" i="2"/>
  <c r="H8" i="2"/>
  <c r="A8" i="2"/>
  <c r="N7" i="2"/>
  <c r="M7" i="2"/>
  <c r="L7" i="2"/>
  <c r="K7" i="2"/>
  <c r="J7" i="2"/>
  <c r="I7" i="2"/>
  <c r="H7" i="2"/>
  <c r="A7" i="2"/>
  <c r="N6" i="2"/>
  <c r="M6" i="2"/>
  <c r="L6" i="2"/>
  <c r="K6" i="2"/>
  <c r="J6" i="2"/>
  <c r="I6" i="2"/>
  <c r="H6" i="2"/>
  <c r="A6" i="2"/>
  <c r="N5" i="2"/>
  <c r="M5" i="2"/>
  <c r="L5" i="2"/>
  <c r="K5" i="2"/>
  <c r="J5" i="2"/>
  <c r="I5" i="2"/>
  <c r="H5" i="2"/>
  <c r="A5" i="2"/>
  <c r="N4" i="2"/>
  <c r="M4" i="2"/>
  <c r="L4" i="2"/>
  <c r="K4" i="2"/>
  <c r="J4" i="2"/>
  <c r="I4" i="2"/>
  <c r="H4" i="2"/>
  <c r="A4" i="2"/>
  <c r="N3" i="2"/>
  <c r="M3" i="2"/>
  <c r="L3" i="2"/>
  <c r="K3" i="2"/>
  <c r="J3" i="2"/>
  <c r="I3" i="2"/>
  <c r="H3" i="2"/>
  <c r="A3" i="2"/>
  <c r="N2" i="2"/>
  <c r="M2" i="2"/>
  <c r="L2" i="2"/>
  <c r="K2" i="2"/>
  <c r="J2" i="2"/>
  <c r="I2" i="2"/>
  <c r="H2" i="2"/>
  <c r="A2" i="2"/>
  <c r="O62" i="2" l="1"/>
  <c r="O61" i="2"/>
  <c r="O60" i="2"/>
  <c r="O59" i="2"/>
  <c r="O58" i="2"/>
  <c r="O37" i="2"/>
  <c r="O33" i="2"/>
  <c r="O56" i="2"/>
  <c r="O32" i="2"/>
  <c r="O42" i="2"/>
  <c r="O35" i="2"/>
  <c r="O45" i="2"/>
  <c r="O48" i="2"/>
  <c r="O55" i="2"/>
  <c r="O54" i="2"/>
  <c r="O38" i="2"/>
  <c r="O52" i="2"/>
  <c r="O57" i="2"/>
  <c r="O41" i="2"/>
  <c r="O36" i="2"/>
  <c r="O43" i="2"/>
  <c r="O50" i="2"/>
  <c r="O34" i="2"/>
  <c r="O44" i="2"/>
  <c r="O51" i="2"/>
  <c r="O53" i="2"/>
  <c r="O39" i="2"/>
  <c r="O46" i="2"/>
  <c r="O40" i="2"/>
  <c r="O47" i="2"/>
  <c r="O49" i="2"/>
  <c r="B3" i="2"/>
  <c r="B66" i="2"/>
  <c r="B29" i="2"/>
  <c r="B38" i="2"/>
  <c r="B46" i="2"/>
  <c r="B50" i="2"/>
  <c r="B59" i="2"/>
  <c r="B71" i="2"/>
  <c r="B76" i="2"/>
  <c r="B80" i="2"/>
  <c r="B84" i="2"/>
  <c r="B88" i="2"/>
  <c r="B92" i="2"/>
  <c r="B96" i="2"/>
  <c r="B100" i="2"/>
  <c r="B104" i="2"/>
  <c r="B108" i="2"/>
  <c r="B112" i="2"/>
  <c r="B117" i="2"/>
  <c r="B121" i="2"/>
  <c r="B125" i="2"/>
  <c r="B129" i="2"/>
  <c r="B134" i="2"/>
  <c r="B138" i="2"/>
  <c r="B142" i="2"/>
  <c r="B146" i="2"/>
  <c r="B150" i="2"/>
  <c r="B156" i="2"/>
  <c r="B157" i="2"/>
  <c r="B160" i="2"/>
  <c r="B161" i="2"/>
  <c r="B164" i="2"/>
  <c r="B165" i="2"/>
  <c r="B168" i="2"/>
  <c r="B169" i="2"/>
  <c r="B172" i="2"/>
  <c r="B173" i="2"/>
  <c r="B177" i="2"/>
  <c r="B178" i="2"/>
  <c r="B181" i="2"/>
  <c r="B182" i="2"/>
  <c r="B185" i="2"/>
  <c r="B186" i="2"/>
  <c r="B189" i="2"/>
  <c r="B190" i="2"/>
  <c r="B193" i="2"/>
  <c r="B194" i="2"/>
  <c r="B197" i="2"/>
  <c r="B198" i="2"/>
  <c r="B8" i="2"/>
  <c r="B25" i="2"/>
  <c r="B42" i="2"/>
  <c r="B54" i="2"/>
  <c r="B63" i="2"/>
  <c r="B67" i="2"/>
  <c r="B11" i="2"/>
  <c r="B21" i="2"/>
  <c r="B33" i="2"/>
  <c r="B151" i="2"/>
  <c r="B7" i="2"/>
  <c r="B20" i="2"/>
  <c r="B32" i="2"/>
  <c r="B41" i="2"/>
  <c r="B49" i="2"/>
  <c r="B62" i="2"/>
  <c r="B79" i="2"/>
  <c r="B83" i="2"/>
  <c r="B91" i="2"/>
  <c r="B116" i="2"/>
  <c r="B120" i="2"/>
  <c r="B133" i="2"/>
  <c r="B159" i="2"/>
  <c r="B163" i="2"/>
  <c r="B167" i="2"/>
  <c r="B171" i="2"/>
  <c r="B175" i="2"/>
  <c r="B176" i="2"/>
  <c r="B180" i="2"/>
  <c r="B184" i="2"/>
  <c r="B188" i="2"/>
  <c r="B192" i="2"/>
  <c r="B196" i="2"/>
  <c r="B200" i="2"/>
  <c r="B4" i="2"/>
  <c r="B24" i="2"/>
  <c r="B28" i="2"/>
  <c r="B37" i="2"/>
  <c r="B45" i="2"/>
  <c r="B70" i="2"/>
  <c r="B75" i="2"/>
  <c r="B87" i="2"/>
  <c r="B95" i="2"/>
  <c r="B99" i="2"/>
  <c r="B103" i="2"/>
  <c r="B107" i="2"/>
  <c r="B111" i="2"/>
  <c r="B115" i="2"/>
  <c r="B124" i="2"/>
  <c r="B128" i="2"/>
  <c r="B137" i="2"/>
  <c r="B141" i="2"/>
  <c r="B145" i="2"/>
  <c r="B149" i="2"/>
  <c r="B154" i="2"/>
  <c r="B5" i="2"/>
  <c r="B9" i="2"/>
  <c r="B14" i="2"/>
  <c r="B17" i="2"/>
  <c r="B22" i="2"/>
  <c r="B26" i="2"/>
  <c r="B30" i="2"/>
  <c r="B35" i="2"/>
  <c r="B39" i="2"/>
  <c r="B43" i="2"/>
  <c r="B47" i="2"/>
  <c r="B51" i="2"/>
  <c r="B56" i="2"/>
  <c r="B60" i="2"/>
  <c r="B64" i="2"/>
  <c r="B68" i="2"/>
  <c r="B72" i="2"/>
  <c r="B73" i="2"/>
  <c r="B77" i="2"/>
  <c r="B81" i="2"/>
  <c r="B85" i="2"/>
  <c r="B89" i="2"/>
  <c r="B93" i="2"/>
  <c r="B97" i="2"/>
  <c r="B101" i="2"/>
  <c r="B105" i="2"/>
  <c r="B109" i="2"/>
  <c r="B113" i="2"/>
  <c r="B118" i="2"/>
  <c r="B122" i="2"/>
  <c r="B126" i="2"/>
  <c r="B130" i="2"/>
  <c r="B135" i="2"/>
  <c r="B139" i="2"/>
  <c r="B143" i="2"/>
  <c r="B147" i="2"/>
  <c r="B152" i="2"/>
  <c r="B13" i="2"/>
  <c r="B16" i="2"/>
  <c r="B19" i="2"/>
  <c r="B53" i="2"/>
  <c r="B58" i="2"/>
  <c r="B155" i="2"/>
  <c r="B6" i="2"/>
  <c r="B10" i="2"/>
  <c r="B12" i="2"/>
  <c r="B15" i="2"/>
  <c r="B18" i="2"/>
  <c r="B23" i="2"/>
  <c r="B27" i="2"/>
  <c r="B31" i="2"/>
  <c r="B36" i="2"/>
  <c r="B40" i="2"/>
  <c r="B44" i="2"/>
  <c r="B48" i="2"/>
  <c r="B52" i="2"/>
  <c r="B57" i="2"/>
  <c r="B61" i="2"/>
  <c r="B65" i="2"/>
  <c r="B69" i="2"/>
  <c r="B74" i="2"/>
  <c r="B78" i="2"/>
  <c r="B82" i="2"/>
  <c r="B86" i="2"/>
  <c r="B90" i="2"/>
  <c r="B94" i="2"/>
  <c r="B98" i="2"/>
  <c r="B102" i="2"/>
  <c r="B106" i="2"/>
  <c r="B110" i="2"/>
  <c r="B114" i="2"/>
  <c r="B119" i="2"/>
  <c r="B123" i="2"/>
  <c r="B127" i="2"/>
  <c r="B132" i="2"/>
  <c r="B136" i="2"/>
  <c r="B140" i="2"/>
  <c r="B144" i="2"/>
  <c r="B148" i="2"/>
  <c r="B153" i="2"/>
  <c r="B158" i="2"/>
  <c r="B162" i="2"/>
  <c r="B166" i="2"/>
  <c r="B170" i="2"/>
  <c r="B174" i="2"/>
  <c r="B179" i="2"/>
  <c r="B183" i="2"/>
  <c r="B187" i="2"/>
  <c r="B191" i="2"/>
  <c r="B195" i="2"/>
  <c r="B199" i="2"/>
  <c r="R3" i="2"/>
  <c r="R6" i="2"/>
  <c r="R7" i="2"/>
  <c r="R2" i="2"/>
  <c r="R4" i="2"/>
  <c r="R8" i="2"/>
  <c r="R5" i="2"/>
  <c r="B34" i="2"/>
  <c r="B2" i="2"/>
  <c r="B55" i="2"/>
  <c r="B131" i="2"/>
  <c r="D15" i="4"/>
  <c r="D16" i="4"/>
  <c r="Q19" i="2" l="1"/>
  <c r="Q32" i="2"/>
  <c r="S32" i="2" s="1"/>
  <c r="R30" i="2"/>
  <c r="Q29" i="2"/>
  <c r="R26" i="2"/>
  <c r="Q25" i="2"/>
  <c r="R31" i="2"/>
  <c r="Q30" i="2"/>
  <c r="R27" i="2"/>
  <c r="Q26" i="2"/>
  <c r="R24" i="2"/>
  <c r="R29" i="2"/>
  <c r="Q28" i="2"/>
  <c r="R25" i="2"/>
  <c r="R32" i="2"/>
  <c r="Q31" i="2"/>
  <c r="S31" i="2" s="1"/>
  <c r="R28" i="2"/>
  <c r="Q27" i="2"/>
  <c r="Q24" i="2"/>
  <c r="S24" i="2" s="1"/>
  <c r="I15" i="4" l="1"/>
  <c r="S27" i="2"/>
  <c r="F17" i="4"/>
  <c r="S28" i="2"/>
  <c r="H17" i="4"/>
  <c r="S30" i="2"/>
  <c r="G17" i="4"/>
  <c r="S29" i="2"/>
  <c r="H15" i="4"/>
  <c r="S26" i="2"/>
  <c r="G15" i="4"/>
  <c r="S25" i="2"/>
  <c r="F15" i="4"/>
</calcChain>
</file>

<file path=xl/sharedStrings.xml><?xml version="1.0" encoding="utf-8"?>
<sst xmlns="http://schemas.openxmlformats.org/spreadsheetml/2006/main" count="8994" uniqueCount="3569">
  <si>
    <t>Position</t>
  </si>
  <si>
    <t>C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</si>
  <si>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</si>
  <si>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</si>
  <si>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</si>
  <si>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</si>
  <si>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</si>
  <si>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</si>
  <si>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</si>
  <si>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</si>
  <si>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</si>
  <si>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</si>
  <si>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</si>
  <si>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</si>
  <si>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</si>
  <si>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</si>
  <si>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</si>
  <si>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OF</t>
  </si>
  <si>
    <t>P</t>
  </si>
  <si>
    <t>2B</t>
  </si>
  <si>
    <t>3B</t>
  </si>
  <si>
    <t>SS</t>
  </si>
  <si>
    <t>1B</t>
  </si>
  <si>
    <t>P 1</t>
  </si>
  <si>
    <t>OF 1</t>
  </si>
  <si>
    <t>OF 2</t>
  </si>
  <si>
    <t>2B 1</t>
  </si>
  <si>
    <t>3B 1</t>
  </si>
  <si>
    <t>C 1</t>
  </si>
  <si>
    <t>SS 1</t>
  </si>
  <si>
    <t>1B 1</t>
  </si>
  <si>
    <t>OF 3</t>
  </si>
  <si>
    <t>Opponent</t>
  </si>
  <si>
    <t>Marco Estrada</t>
  </si>
  <si>
    <t>BAL</t>
  </si>
  <si>
    <t>TOR</t>
  </si>
  <si>
    <t>CLE</t>
  </si>
  <si>
    <t>TAM</t>
  </si>
  <si>
    <t>WAS</t>
  </si>
  <si>
    <t>Team</t>
  </si>
  <si>
    <t>Bryce Harper</t>
  </si>
  <si>
    <t>Chris Davis</t>
  </si>
  <si>
    <t>Daniel Murphy</t>
  </si>
  <si>
    <t>Kevin Pillar</t>
  </si>
  <si>
    <t>Jose Bautista</t>
  </si>
  <si>
    <t>Ryan Zimmerman</t>
  </si>
  <si>
    <t>Justin Smoak</t>
  </si>
  <si>
    <t>Manny Machado</t>
  </si>
  <si>
    <t>Trea Turner</t>
  </si>
  <si>
    <t>Jayson Werth</t>
  </si>
  <si>
    <t>Adam Jones</t>
  </si>
  <si>
    <t>Welington Castillo</t>
  </si>
  <si>
    <t>Jonathan Schoop</t>
  </si>
  <si>
    <t>Mark Trumbo</t>
  </si>
  <si>
    <t>Michael A. Taylor</t>
  </si>
  <si>
    <t>Kendrys Morales</t>
  </si>
  <si>
    <t>Trey Mancini</t>
  </si>
  <si>
    <t>Russell Martin</t>
  </si>
  <si>
    <t>Devon Travis</t>
  </si>
  <si>
    <t>Norichika Aoki</t>
  </si>
  <si>
    <t>Rickie Weeks Jr.</t>
  </si>
  <si>
    <t>Caleb Joseph</t>
  </si>
  <si>
    <t>Luke Maile</t>
  </si>
  <si>
    <t>Peter Bourjos</t>
  </si>
  <si>
    <t>Darwin Barney</t>
  </si>
  <si>
    <t>Wilmer Difo</t>
  </si>
  <si>
    <t>Daniel Robertson</t>
  </si>
  <si>
    <t>Jose Lobaton</t>
  </si>
  <si>
    <t>Baseball Optimization Analysis</t>
  </si>
  <si>
    <t>SDP</t>
  </si>
  <si>
    <t>Tanner Roark</t>
  </si>
  <si>
    <t>Dylan Bundy</t>
  </si>
  <si>
    <t>Sam Gaviglio</t>
  </si>
  <si>
    <t>OAK</t>
  </si>
  <si>
    <t>BOS</t>
  </si>
  <si>
    <t>Hector Velazquez</t>
  </si>
  <si>
    <t>SEA</t>
  </si>
  <si>
    <t>Nelson Cruz</t>
  </si>
  <si>
    <t>Jose Ramirez</t>
  </si>
  <si>
    <t>Josh Donaldson</t>
  </si>
  <si>
    <t>Mookie Betts</t>
  </si>
  <si>
    <t>Anthony Rendon</t>
  </si>
  <si>
    <t>Jean Segura</t>
  </si>
  <si>
    <t>Mitch Haniger</t>
  </si>
  <si>
    <t>Andrew Benintendi</t>
  </si>
  <si>
    <t>Xander Bogaerts</t>
  </si>
  <si>
    <t>Mike Zunino</t>
  </si>
  <si>
    <t>Jackie Bradley Jr.</t>
  </si>
  <si>
    <t>Robinson Cano</t>
  </si>
  <si>
    <t>Mitch Moreland</t>
  </si>
  <si>
    <t>Ben Gamel</t>
  </si>
  <si>
    <t>Hanley Ramirez</t>
  </si>
  <si>
    <t>Kyle Seager</t>
  </si>
  <si>
    <t>Dustin Pedroia</t>
  </si>
  <si>
    <t>Adam Lind</t>
  </si>
  <si>
    <t>Danny Valencia</t>
  </si>
  <si>
    <t>Ezequiel Carrera</t>
  </si>
  <si>
    <t>Franchy Cordero</t>
  </si>
  <si>
    <t>Steve Pearce</t>
  </si>
  <si>
    <t>Jarrod Dyson</t>
  </si>
  <si>
    <t>Roberto Perez</t>
  </si>
  <si>
    <t>Taylor Motter</t>
  </si>
  <si>
    <t>Troy Tulowitzki</t>
  </si>
  <si>
    <t>Brian Goodwin</t>
  </si>
  <si>
    <t>Austin Hedges</t>
  </si>
  <si>
    <t>Matt Wieters</t>
  </si>
  <si>
    <t>Tyler Naquin</t>
  </si>
  <si>
    <t>Guillermo Heredia</t>
  </si>
  <si>
    <t>Chad Pinder</t>
  </si>
  <si>
    <t>Sam Travis</t>
  </si>
  <si>
    <t>Seth Smith</t>
  </si>
  <si>
    <t>Abraham Almonte</t>
  </si>
  <si>
    <t>Yan Gomes</t>
  </si>
  <si>
    <t>Brandon Guyer</t>
  </si>
  <si>
    <t>Ryan Raburn</t>
  </si>
  <si>
    <t>Josh Rutledge</t>
  </si>
  <si>
    <t>Jesus Sucre</t>
  </si>
  <si>
    <t>Carlos Ruiz</t>
  </si>
  <si>
    <t>Travis Jankowski</t>
  </si>
  <si>
    <t>Christian Vazquez</t>
  </si>
  <si>
    <t>J.J. Hardy</t>
  </si>
  <si>
    <t>Joey Rickard</t>
  </si>
  <si>
    <t>Adam Rosales</t>
  </si>
  <si>
    <t>Allen Cordoba</t>
  </si>
  <si>
    <t>Chris Young</t>
  </si>
  <si>
    <t>Craig Gentry</t>
  </si>
  <si>
    <t>Erik Gonzalez</t>
  </si>
  <si>
    <t>Jaycob Brugman</t>
  </si>
  <si>
    <t>Sandy Leon</t>
  </si>
  <si>
    <t>Michael Martinez</t>
  </si>
  <si>
    <t>Hyun Soo Kim</t>
  </si>
  <si>
    <t>Ryan Goins</t>
  </si>
  <si>
    <t>Stephen Drew</t>
  </si>
  <si>
    <t>Ryan Flaherty</t>
  </si>
  <si>
    <t>Shane Peterson</t>
  </si>
  <si>
    <t>Luis Torrens</t>
  </si>
  <si>
    <t>Jabari Blash</t>
  </si>
  <si>
    <t>Dwight Smith Jr.</t>
  </si>
  <si>
    <t>Josh Phegley</t>
  </si>
  <si>
    <t>Chris Coghlan</t>
  </si>
  <si>
    <t>Ruben Tejada</t>
  </si>
  <si>
    <t>Francisco Pena</t>
  </si>
  <si>
    <t>Miguel Montero</t>
  </si>
  <si>
    <t>Paul Janish</t>
  </si>
  <si>
    <t>Trevor Plouffe</t>
  </si>
  <si>
    <t>Mike Ohlman</t>
  </si>
  <si>
    <t>Adeiny Hechavarria</t>
  </si>
  <si>
    <t>Shawn O'Malley</t>
  </si>
  <si>
    <t>Chris Heisey</t>
  </si>
  <si>
    <t>Hector Sanchez</t>
  </si>
  <si>
    <t>Boog Powell</t>
  </si>
  <si>
    <t>David Washington</t>
  </si>
  <si>
    <t>Matt Chapman</t>
  </si>
  <si>
    <t>Tuffy Gosewisch</t>
  </si>
  <si>
    <t>Mark Canha</t>
  </si>
  <si>
    <t>Deven Marrero</t>
  </si>
  <si>
    <t>Matt Szczur</t>
  </si>
  <si>
    <t>Jake Smolinski</t>
  </si>
  <si>
    <t>Gio Gonzalez</t>
  </si>
  <si>
    <t>MIN</t>
  </si>
  <si>
    <t>Jose Berrios</t>
  </si>
  <si>
    <t>Miguel Sano</t>
  </si>
  <si>
    <t>Joe Mauer</t>
  </si>
  <si>
    <t>Brian Dozier</t>
  </si>
  <si>
    <t>Chris Sale</t>
  </si>
  <si>
    <t>Robbie Grossman</t>
  </si>
  <si>
    <t>Eduardo Escobar</t>
  </si>
  <si>
    <t>Eddie Rosario</t>
  </si>
  <si>
    <t>Kennys Vargas</t>
  </si>
  <si>
    <t>Jorge Polanco</t>
  </si>
  <si>
    <t>Max Kepler</t>
  </si>
  <si>
    <t>Jason Castro</t>
  </si>
  <si>
    <t>Byron Buxton</t>
  </si>
  <si>
    <t>Matt Olson</t>
  </si>
  <si>
    <t>Ehire Adrianza</t>
  </si>
  <si>
    <t>Michael Saunders</t>
  </si>
  <si>
    <t>Taylor Featherston</t>
  </si>
  <si>
    <t>Tzu-Wei Lin</t>
  </si>
  <si>
    <t>Chris Gimenez</t>
  </si>
  <si>
    <t>Carlos Asuaje</t>
  </si>
  <si>
    <t>Ryan Lavarnway</t>
  </si>
  <si>
    <t>Id</t>
  </si>
  <si>
    <t>First Name</t>
  </si>
  <si>
    <t>Nickname</t>
  </si>
  <si>
    <t>Last Name</t>
  </si>
  <si>
    <t>FPPG</t>
  </si>
  <si>
    <t>Played</t>
  </si>
  <si>
    <t>Salary</t>
  </si>
  <si>
    <t>Game</t>
  </si>
  <si>
    <t>Injury Indicator</t>
  </si>
  <si>
    <t>Injury Details</t>
  </si>
  <si>
    <t>Probable Pitcher</t>
  </si>
  <si>
    <t>Batting Order</t>
  </si>
  <si>
    <t>Clayton</t>
  </si>
  <si>
    <t>Max Scherzer</t>
  </si>
  <si>
    <t>Scherzer</t>
  </si>
  <si>
    <t>Corey</t>
  </si>
  <si>
    <t>Chris</t>
  </si>
  <si>
    <t>Sale</t>
  </si>
  <si>
    <t>Yes</t>
  </si>
  <si>
    <t>DL</t>
  </si>
  <si>
    <t>Stephen</t>
  </si>
  <si>
    <t>Stephen Strasburg</t>
  </si>
  <si>
    <t>Strasburg</t>
  </si>
  <si>
    <t>Alex</t>
  </si>
  <si>
    <t>Wood</t>
  </si>
  <si>
    <t>Zack</t>
  </si>
  <si>
    <t>David</t>
  </si>
  <si>
    <t>David Price</t>
  </si>
  <si>
    <t>Price</t>
  </si>
  <si>
    <t>Lance</t>
  </si>
  <si>
    <t>Carlos</t>
  </si>
  <si>
    <t>Jose</t>
  </si>
  <si>
    <t>Berrios</t>
  </si>
  <si>
    <t>Robbie</t>
  </si>
  <si>
    <t>Gio</t>
  </si>
  <si>
    <t>Gonzalez</t>
  </si>
  <si>
    <t>James</t>
  </si>
  <si>
    <t>James Paxton</t>
  </si>
  <si>
    <t>Paxton</t>
  </si>
  <si>
    <t>Ervin</t>
  </si>
  <si>
    <t>Ervin Santana</t>
  </si>
  <si>
    <t>Santana</t>
  </si>
  <si>
    <t>Trevor</t>
  </si>
  <si>
    <t>Hill</t>
  </si>
  <si>
    <t>Joe</t>
  </si>
  <si>
    <t>Joe Ross</t>
  </si>
  <si>
    <t>Ross</t>
  </si>
  <si>
    <t>Gray</t>
  </si>
  <si>
    <t>Eduardo</t>
  </si>
  <si>
    <t>Eduardo Rodriguez</t>
  </si>
  <si>
    <t>Rodriguez</t>
  </si>
  <si>
    <t>Knee</t>
  </si>
  <si>
    <t>Sean</t>
  </si>
  <si>
    <t>Felix</t>
  </si>
  <si>
    <t>Felix Hernandez</t>
  </si>
  <si>
    <t>Hernandez</t>
  </si>
  <si>
    <t>Drew</t>
  </si>
  <si>
    <t>Drew Pomeranz</t>
  </si>
  <si>
    <t>Pomeranz</t>
  </si>
  <si>
    <t>Marcus</t>
  </si>
  <si>
    <t>Marcus Stroman</t>
  </si>
  <si>
    <t>Stroman</t>
  </si>
  <si>
    <t>Ariel</t>
  </si>
  <si>
    <t>Ariel Miranda</t>
  </si>
  <si>
    <t>Miranda</t>
  </si>
  <si>
    <t>Danny</t>
  </si>
  <si>
    <t>Shoulder</t>
  </si>
  <si>
    <t>Jake</t>
  </si>
  <si>
    <t>Rick</t>
  </si>
  <si>
    <t>Rick Porcello</t>
  </si>
  <si>
    <t>Porcello</t>
  </si>
  <si>
    <t>Mike</t>
  </si>
  <si>
    <t>Charlie</t>
  </si>
  <si>
    <t>Lat</t>
  </si>
  <si>
    <t>Julio</t>
  </si>
  <si>
    <t>Scott</t>
  </si>
  <si>
    <t>Hip</t>
  </si>
  <si>
    <t>Walker</t>
  </si>
  <si>
    <t>Brad</t>
  </si>
  <si>
    <t>Aaron</t>
  </si>
  <si>
    <t>Aaron Sanchez</t>
  </si>
  <si>
    <t>Sanchez</t>
  </si>
  <si>
    <t>Finger</t>
  </si>
  <si>
    <t>J.A.</t>
  </si>
  <si>
    <t>J.A. Happ</t>
  </si>
  <si>
    <t>Happ</t>
  </si>
  <si>
    <t>Elbow</t>
  </si>
  <si>
    <t>Tanner</t>
  </si>
  <si>
    <t>Roark</t>
  </si>
  <si>
    <t>Marco</t>
  </si>
  <si>
    <t>Estrada</t>
  </si>
  <si>
    <t>Hisashi</t>
  </si>
  <si>
    <t>Hisashi Iwakuma</t>
  </si>
  <si>
    <t>Iwakuma</t>
  </si>
  <si>
    <t>Dylan</t>
  </si>
  <si>
    <t>Bundy</t>
  </si>
  <si>
    <t>Kevin</t>
  </si>
  <si>
    <t>Kevin Gausman</t>
  </si>
  <si>
    <t>Gausman</t>
  </si>
  <si>
    <t>Steven</t>
  </si>
  <si>
    <t>Steven Wright</t>
  </si>
  <si>
    <t>Wright</t>
  </si>
  <si>
    <t>Brandon</t>
  </si>
  <si>
    <t>McCarthy</t>
  </si>
  <si>
    <t>Josh</t>
  </si>
  <si>
    <t>Patrick</t>
  </si>
  <si>
    <t>Matt</t>
  </si>
  <si>
    <t>Sam</t>
  </si>
  <si>
    <t>Gaviglio</t>
  </si>
  <si>
    <t>Miller</t>
  </si>
  <si>
    <t>Christian</t>
  </si>
  <si>
    <t>Christian Bergman</t>
  </si>
  <si>
    <t>Bergman</t>
  </si>
  <si>
    <t>Jaime</t>
  </si>
  <si>
    <t>Jaime Garcia</t>
  </si>
  <si>
    <t>Garcia</t>
  </si>
  <si>
    <t>Ubaldo</t>
  </si>
  <si>
    <t>Ubaldo Jimenez</t>
  </si>
  <si>
    <t>Jimenez</t>
  </si>
  <si>
    <t>Richard</t>
  </si>
  <si>
    <t>Foot</t>
  </si>
  <si>
    <t>Ryne</t>
  </si>
  <si>
    <t>Harper</t>
  </si>
  <si>
    <t>Andrew</t>
  </si>
  <si>
    <t>Joe Biagini</t>
  </si>
  <si>
    <t>Biagini</t>
  </si>
  <si>
    <t>Francisco</t>
  </si>
  <si>
    <t>Luis</t>
  </si>
  <si>
    <t>Paul</t>
  </si>
  <si>
    <t>Chris Tillman</t>
  </si>
  <si>
    <t>Tillman</t>
  </si>
  <si>
    <t>Personal</t>
  </si>
  <si>
    <t>Wade</t>
  </si>
  <si>
    <t>Wade Miley</t>
  </si>
  <si>
    <t>Miley</t>
  </si>
  <si>
    <t>Daniel</t>
  </si>
  <si>
    <t>Back</t>
  </si>
  <si>
    <t>Brian</t>
  </si>
  <si>
    <t>Brian Johnson</t>
  </si>
  <si>
    <t>Johnson</t>
  </si>
  <si>
    <t>Doug</t>
  </si>
  <si>
    <t>Doug Fister</t>
  </si>
  <si>
    <t>Fister</t>
  </si>
  <si>
    <t>Lucas</t>
  </si>
  <si>
    <t>Lucas Harrell</t>
  </si>
  <si>
    <t>Harrell</t>
  </si>
  <si>
    <t>Adalberto</t>
  </si>
  <si>
    <t>Adalberto Mejia</t>
  </si>
  <si>
    <t>Mejia</t>
  </si>
  <si>
    <t>Kyle</t>
  </si>
  <si>
    <t>Kyle Gibson</t>
  </si>
  <si>
    <t>Gibson</t>
  </si>
  <si>
    <t>Blake</t>
  </si>
  <si>
    <t>A.J.</t>
  </si>
  <si>
    <t>A.J. Cole</t>
  </si>
  <si>
    <t>Cole</t>
  </si>
  <si>
    <t>Ryan</t>
  </si>
  <si>
    <t>Roenis</t>
  </si>
  <si>
    <t>Roenis Elias</t>
  </si>
  <si>
    <t>Elias</t>
  </si>
  <si>
    <t>Ribs</t>
  </si>
  <si>
    <t>Zach</t>
  </si>
  <si>
    <t>Yovani</t>
  </si>
  <si>
    <t>Yovani Gallardo</t>
  </si>
  <si>
    <t>Gallardo</t>
  </si>
  <si>
    <t>Mat</t>
  </si>
  <si>
    <t>Mat Latos</t>
  </si>
  <si>
    <t>Latos</t>
  </si>
  <si>
    <t>Ramirez</t>
  </si>
  <si>
    <t>Jesse</t>
  </si>
  <si>
    <t>Chase</t>
  </si>
  <si>
    <t>Chase De Jong</t>
  </si>
  <si>
    <t>De Jong</t>
  </si>
  <si>
    <t>Jorge</t>
  </si>
  <si>
    <t>Rob</t>
  </si>
  <si>
    <t>Rob Whalen</t>
  </si>
  <si>
    <t>Whalen</t>
  </si>
  <si>
    <t>Bartolo</t>
  </si>
  <si>
    <t>Bartolo Colon</t>
  </si>
  <si>
    <t>Colon</t>
  </si>
  <si>
    <t>Gabriel</t>
  </si>
  <si>
    <t>Gabriel Ynoa</t>
  </si>
  <si>
    <t>Ynoa</t>
  </si>
  <si>
    <t>DTD</t>
  </si>
  <si>
    <t>Edwin</t>
  </si>
  <si>
    <t>Edwin Jackson</t>
  </si>
  <si>
    <t>Jackson</t>
  </si>
  <si>
    <t>Brock</t>
  </si>
  <si>
    <t>Stewart</t>
  </si>
  <si>
    <t>Hector</t>
  </si>
  <si>
    <t>Hector Santiago</t>
  </si>
  <si>
    <t>Santiago</t>
  </si>
  <si>
    <t>Raul</t>
  </si>
  <si>
    <t>Alcantara</t>
  </si>
  <si>
    <t>Emilio</t>
  </si>
  <si>
    <t>Emilio Pagan</t>
  </si>
  <si>
    <t>Pagan</t>
  </si>
  <si>
    <t>Andrew Moore</t>
  </si>
  <si>
    <t>Moore</t>
  </si>
  <si>
    <t>Velazquez</t>
  </si>
  <si>
    <t>Ben</t>
  </si>
  <si>
    <t>Ben Taylor</t>
  </si>
  <si>
    <t>Taylor</t>
  </si>
  <si>
    <t>Miguel</t>
  </si>
  <si>
    <t>Diaz</t>
  </si>
  <si>
    <t>Forearm</t>
  </si>
  <si>
    <t>Justin</t>
  </si>
  <si>
    <t>Justin Haley</t>
  </si>
  <si>
    <t>Haley</t>
  </si>
  <si>
    <t>Glenn</t>
  </si>
  <si>
    <t>Glenn Sparkman</t>
  </si>
  <si>
    <t>Sparkman</t>
  </si>
  <si>
    <t>Rivero</t>
  </si>
  <si>
    <t>Adam</t>
  </si>
  <si>
    <t>Casey</t>
  </si>
  <si>
    <t>Casey Lawrence</t>
  </si>
  <si>
    <t>Lawrence</t>
  </si>
  <si>
    <t>Stefan</t>
  </si>
  <si>
    <t>Stefan Crichton</t>
  </si>
  <si>
    <t>Crichton</t>
  </si>
  <si>
    <t>Cesar</t>
  </si>
  <si>
    <t>Cesar Valdez</t>
  </si>
  <si>
    <t>Valdez</t>
  </si>
  <si>
    <t>Jason</t>
  </si>
  <si>
    <t>Craig</t>
  </si>
  <si>
    <t>Craig Kimbrel</t>
  </si>
  <si>
    <t>Kimbrel</t>
  </si>
  <si>
    <t>Brandon Workman</t>
  </si>
  <si>
    <t>Workman</t>
  </si>
  <si>
    <t>Noe</t>
  </si>
  <si>
    <t>Noe Ramirez</t>
  </si>
  <si>
    <t>Fernando</t>
  </si>
  <si>
    <t>Alex Wimmers</t>
  </si>
  <si>
    <t>Wimmers</t>
  </si>
  <si>
    <t>Dan</t>
  </si>
  <si>
    <t>Dan Altavilla</t>
  </si>
  <si>
    <t>Altavilla</t>
  </si>
  <si>
    <t>Joe Smith</t>
  </si>
  <si>
    <t>Smith</t>
  </si>
  <si>
    <t>Tony</t>
  </si>
  <si>
    <t>Matt Barnes</t>
  </si>
  <si>
    <t>Barnes</t>
  </si>
  <si>
    <t>Ian</t>
  </si>
  <si>
    <t>Logan</t>
  </si>
  <si>
    <t>Tyler</t>
  </si>
  <si>
    <t>Tyler Wilson</t>
  </si>
  <si>
    <t>Wilson</t>
  </si>
  <si>
    <t>Trevor Gott</t>
  </si>
  <si>
    <t>Gott</t>
  </si>
  <si>
    <t>Matt Dermody</t>
  </si>
  <si>
    <t>Dermody</t>
  </si>
  <si>
    <t>Robby</t>
  </si>
  <si>
    <t>Robby Scott</t>
  </si>
  <si>
    <t>T.J.</t>
  </si>
  <si>
    <t>Chapman</t>
  </si>
  <si>
    <t>Ryan Pressly</t>
  </si>
  <si>
    <t>Pressly</t>
  </si>
  <si>
    <t>Enny</t>
  </si>
  <si>
    <t>Enny Romero</t>
  </si>
  <si>
    <t>Romero</t>
  </si>
  <si>
    <t>John</t>
  </si>
  <si>
    <t>Fernando Abad</t>
  </si>
  <si>
    <t>Abad</t>
  </si>
  <si>
    <t>Joe Kelly</t>
  </si>
  <si>
    <t>Kelly</t>
  </si>
  <si>
    <t>Carson</t>
  </si>
  <si>
    <t>Carson Smith</t>
  </si>
  <si>
    <t>Aaron Loup</t>
  </si>
  <si>
    <t>Loup</t>
  </si>
  <si>
    <t>Nick</t>
  </si>
  <si>
    <t>Jacob</t>
  </si>
  <si>
    <t>Nick Tepesch</t>
  </si>
  <si>
    <t>Tepesch</t>
  </si>
  <si>
    <t>Darren</t>
  </si>
  <si>
    <t>Darren O'Day</t>
  </si>
  <si>
    <t>O'Day</t>
  </si>
  <si>
    <t>Buddy</t>
  </si>
  <si>
    <t>Buddy Boshers</t>
  </si>
  <si>
    <t>Boshers</t>
  </si>
  <si>
    <t>Chaz</t>
  </si>
  <si>
    <t>Chaz Roe</t>
  </si>
  <si>
    <t>Roe</t>
  </si>
  <si>
    <t>Vidal</t>
  </si>
  <si>
    <t>Vidal Nuno</t>
  </si>
  <si>
    <t>Nuno</t>
  </si>
  <si>
    <t>Torres</t>
  </si>
  <si>
    <t>Shawn</t>
  </si>
  <si>
    <t>Shawn Kelley</t>
  </si>
  <si>
    <t>Kelley</t>
  </si>
  <si>
    <t>Mike Bolsinger</t>
  </si>
  <si>
    <t>Bolsinger</t>
  </si>
  <si>
    <t>Phil</t>
  </si>
  <si>
    <t>Hughes</t>
  </si>
  <si>
    <t>Cabrera</t>
  </si>
  <si>
    <t>Chris Heston</t>
  </si>
  <si>
    <t>Heston</t>
  </si>
  <si>
    <t>Bo</t>
  </si>
  <si>
    <t>Bo Schultz</t>
  </si>
  <si>
    <t>Schultz</t>
  </si>
  <si>
    <t>Dillon</t>
  </si>
  <si>
    <t>Dillon Gee</t>
  </si>
  <si>
    <t>Gee</t>
  </si>
  <si>
    <t>Carter</t>
  </si>
  <si>
    <t>Ankle</t>
  </si>
  <si>
    <t>Brandon Kintzler</t>
  </si>
  <si>
    <t>Kintzler</t>
  </si>
  <si>
    <t>Craig Breslow</t>
  </si>
  <si>
    <t>Breslow</t>
  </si>
  <si>
    <t>Michael</t>
  </si>
  <si>
    <t>Michael Tonkin</t>
  </si>
  <si>
    <t>Tonkin</t>
  </si>
  <si>
    <t>Luke</t>
  </si>
  <si>
    <t>Hand</t>
  </si>
  <si>
    <t>Felix Jorge</t>
  </si>
  <si>
    <t>Eric</t>
  </si>
  <si>
    <t>Feliz</t>
  </si>
  <si>
    <t>Blaine</t>
  </si>
  <si>
    <t>Blaine Boyer</t>
  </si>
  <si>
    <t>Boyer</t>
  </si>
  <si>
    <t>Steve</t>
  </si>
  <si>
    <t>Steve Cishek</t>
  </si>
  <si>
    <t>Cishek</t>
  </si>
  <si>
    <t>Max Povse</t>
  </si>
  <si>
    <t>Povse</t>
  </si>
  <si>
    <t>Bradley</t>
  </si>
  <si>
    <t>Chris Smith</t>
  </si>
  <si>
    <t>Alec</t>
  </si>
  <si>
    <t>Alec Asher</t>
  </si>
  <si>
    <t>Asher</t>
  </si>
  <si>
    <t>Shae</t>
  </si>
  <si>
    <t>Shae Simmons</t>
  </si>
  <si>
    <t>Simmons</t>
  </si>
  <si>
    <t>Jim</t>
  </si>
  <si>
    <t>Matt Albers</t>
  </si>
  <si>
    <t>Albers</t>
  </si>
  <si>
    <t>Barrett</t>
  </si>
  <si>
    <t>Cody</t>
  </si>
  <si>
    <t>Anderson</t>
  </si>
  <si>
    <t>Jayson</t>
  </si>
  <si>
    <t>Jayson Aquino</t>
  </si>
  <si>
    <t>Aquino</t>
  </si>
  <si>
    <t>James Pazos</t>
  </si>
  <si>
    <t>Pazos</t>
  </si>
  <si>
    <t>Tyler Duffey</t>
  </si>
  <si>
    <t>Duffey</t>
  </si>
  <si>
    <t>Jordan</t>
  </si>
  <si>
    <t>Jordan Jankowski</t>
  </si>
  <si>
    <t>Jankowski</t>
  </si>
  <si>
    <t>Oliver</t>
  </si>
  <si>
    <t>Oliver Perez</t>
  </si>
  <si>
    <t>Perez</t>
  </si>
  <si>
    <t>Weaver</t>
  </si>
  <si>
    <t>Zach Britton</t>
  </si>
  <si>
    <t>Britton</t>
  </si>
  <si>
    <t>J.P.</t>
  </si>
  <si>
    <t>J.P. Howell</t>
  </si>
  <si>
    <t>Howell</t>
  </si>
  <si>
    <t>Jason Wheeler</t>
  </si>
  <si>
    <t>Wheeler</t>
  </si>
  <si>
    <t>Marc</t>
  </si>
  <si>
    <t>Marc Rzepczynski</t>
  </si>
  <si>
    <t>Rzepczynski</t>
  </si>
  <si>
    <t>Ryan Tepera</t>
  </si>
  <si>
    <t>Tepera</t>
  </si>
  <si>
    <t>Jean</t>
  </si>
  <si>
    <t>Jean Machi</t>
  </si>
  <si>
    <t>Machi</t>
  </si>
  <si>
    <t>Evan</t>
  </si>
  <si>
    <t>Evan Marshall</t>
  </si>
  <si>
    <t>Marshall</t>
  </si>
  <si>
    <t>Hamstring</t>
  </si>
  <si>
    <t>J.J.</t>
  </si>
  <si>
    <t>Robbie Ross Jr.</t>
  </si>
  <si>
    <t>Ross Jr.</t>
  </si>
  <si>
    <t>Jacob Turner</t>
  </si>
  <si>
    <t>Turner</t>
  </si>
  <si>
    <t>Heath</t>
  </si>
  <si>
    <t>Heath Hembree</t>
  </si>
  <si>
    <t>Hembree</t>
  </si>
  <si>
    <t>Pat</t>
  </si>
  <si>
    <t>Pat Light</t>
  </si>
  <si>
    <t>Light</t>
  </si>
  <si>
    <t>Miguel Castro</t>
  </si>
  <si>
    <t>Castro</t>
  </si>
  <si>
    <t>Leonel</t>
  </si>
  <si>
    <t>Leonel Campos</t>
  </si>
  <si>
    <t>Campos</t>
  </si>
  <si>
    <t>Groin</t>
  </si>
  <si>
    <t>Dominic</t>
  </si>
  <si>
    <t>Dominic Leone</t>
  </si>
  <si>
    <t>Leone</t>
  </si>
  <si>
    <t>Allen</t>
  </si>
  <si>
    <t>Tony Zych</t>
  </si>
  <si>
    <t>Zych</t>
  </si>
  <si>
    <t>Blake Treinen</t>
  </si>
  <si>
    <t>Treinen</t>
  </si>
  <si>
    <t>Nik</t>
  </si>
  <si>
    <t>Nik Turley</t>
  </si>
  <si>
    <t>Turley</t>
  </si>
  <si>
    <t>Danny Barnes</t>
  </si>
  <si>
    <t>Jimmy</t>
  </si>
  <si>
    <t>Jimmy Yacabonis</t>
  </si>
  <si>
    <t>Yacabonis</t>
  </si>
  <si>
    <t>Matt Belisle</t>
  </si>
  <si>
    <t>Belisle</t>
  </si>
  <si>
    <t>Zac</t>
  </si>
  <si>
    <t>Zac Curtis</t>
  </si>
  <si>
    <t>Curtis</t>
  </si>
  <si>
    <t>Tyler Thornburg</t>
  </si>
  <si>
    <t>Thornburg</t>
  </si>
  <si>
    <t>Mike Wright</t>
  </si>
  <si>
    <t>Pedro</t>
  </si>
  <si>
    <t>Baez</t>
  </si>
  <si>
    <t>Bryan</t>
  </si>
  <si>
    <t>Shaw</t>
  </si>
  <si>
    <t>Roberto</t>
  </si>
  <si>
    <t>Roberto Osuna</t>
  </si>
  <si>
    <t>Osuna</t>
  </si>
  <si>
    <t>Donnie</t>
  </si>
  <si>
    <t>Donnie Hart</t>
  </si>
  <si>
    <t>Hart</t>
  </si>
  <si>
    <t>Evan Scribner</t>
  </si>
  <si>
    <t>Scribner</t>
  </si>
  <si>
    <t>Brad Brach</t>
  </si>
  <si>
    <t>Brach</t>
  </si>
  <si>
    <t>Nick Vincent</t>
  </si>
  <si>
    <t>Vincent</t>
  </si>
  <si>
    <t>Sammy</t>
  </si>
  <si>
    <t>Sammy Solis</t>
  </si>
  <si>
    <t>Solis</t>
  </si>
  <si>
    <t>Logan Verrett</t>
  </si>
  <si>
    <t>Verrett</t>
  </si>
  <si>
    <t>Ryan Weber</t>
  </si>
  <si>
    <t>Weber</t>
  </si>
  <si>
    <t>Biceps</t>
  </si>
  <si>
    <t>Kyle Kendrick</t>
  </si>
  <si>
    <t>Kendrick</t>
  </si>
  <si>
    <t>Taylor Rogers</t>
  </si>
  <si>
    <t>Rogers</t>
  </si>
  <si>
    <t>Austin</t>
  </si>
  <si>
    <t>Austin Maddox</t>
  </si>
  <si>
    <t>Maddox</t>
  </si>
  <si>
    <t>Ashur</t>
  </si>
  <si>
    <t>Ashur Tolliver</t>
  </si>
  <si>
    <t>Tolliver</t>
  </si>
  <si>
    <t>Richard Bleier</t>
  </si>
  <si>
    <t>Bleier</t>
  </si>
  <si>
    <t>Edwin Diaz</t>
  </si>
  <si>
    <t>Koda</t>
  </si>
  <si>
    <t>Koda Glover</t>
  </si>
  <si>
    <t>Glover</t>
  </si>
  <si>
    <t>Glen</t>
  </si>
  <si>
    <t>Glen Perkins</t>
  </si>
  <si>
    <t>Perkins</t>
  </si>
  <si>
    <t>Matt Grace</t>
  </si>
  <si>
    <t>Grace</t>
  </si>
  <si>
    <t>Bryce</t>
  </si>
  <si>
    <t>George</t>
  </si>
  <si>
    <t>Mookie</t>
  </si>
  <si>
    <t>Betts</t>
  </si>
  <si>
    <t>Trea</t>
  </si>
  <si>
    <t>Wrist</t>
  </si>
  <si>
    <t>Nelson</t>
  </si>
  <si>
    <t>Cruz</t>
  </si>
  <si>
    <t>Davis</t>
  </si>
  <si>
    <t>Bautista</t>
  </si>
  <si>
    <t>Murphy</t>
  </si>
  <si>
    <t>Seager</t>
  </si>
  <si>
    <t>Hanley</t>
  </si>
  <si>
    <t>Jackie</t>
  </si>
  <si>
    <t>Bradley Jr.</t>
  </si>
  <si>
    <t>Jonathan</t>
  </si>
  <si>
    <t>Schoop</t>
  </si>
  <si>
    <t>Sano</t>
  </si>
  <si>
    <t>Anthony</t>
  </si>
  <si>
    <t>Rendon</t>
  </si>
  <si>
    <t>Michael A.</t>
  </si>
  <si>
    <t>Smoak</t>
  </si>
  <si>
    <t>Robinson</t>
  </si>
  <si>
    <t>Cano</t>
  </si>
  <si>
    <t>Segura</t>
  </si>
  <si>
    <t>Mauer</t>
  </si>
  <si>
    <t>Xander</t>
  </si>
  <si>
    <t>Bogaerts</t>
  </si>
  <si>
    <t>Dustin</t>
  </si>
  <si>
    <t>Pedroia</t>
  </si>
  <si>
    <t>Dozier</t>
  </si>
  <si>
    <t>Benintendi</t>
  </si>
  <si>
    <t>Zimmerman</t>
  </si>
  <si>
    <t>Mark</t>
  </si>
  <si>
    <t>Trumbo</t>
  </si>
  <si>
    <t>Valencia</t>
  </si>
  <si>
    <t>Kendrys</t>
  </si>
  <si>
    <t>Morales</t>
  </si>
  <si>
    <t>Tomas</t>
  </si>
  <si>
    <t>Mitch</t>
  </si>
  <si>
    <t>Moreland</t>
  </si>
  <si>
    <t>Adams</t>
  </si>
  <si>
    <t>Manny</t>
  </si>
  <si>
    <t>Machado</t>
  </si>
  <si>
    <t>Oblique</t>
  </si>
  <si>
    <t>Donaldson</t>
  </si>
  <si>
    <t>Grossman</t>
  </si>
  <si>
    <t>Gamel</t>
  </si>
  <si>
    <t>Jones</t>
  </si>
  <si>
    <t>Peralta</t>
  </si>
  <si>
    <t>Haniger</t>
  </si>
  <si>
    <t>Escobar</t>
  </si>
  <si>
    <t>McCann</t>
  </si>
  <si>
    <t>Eddie</t>
  </si>
  <si>
    <t>Rosario</t>
  </si>
  <si>
    <t>Trey</t>
  </si>
  <si>
    <t>Mancini</t>
  </si>
  <si>
    <t>Kennys</t>
  </si>
  <si>
    <t>Vargas</t>
  </si>
  <si>
    <t>Werth</t>
  </si>
  <si>
    <t>Toe</t>
  </si>
  <si>
    <t>Polanco</t>
  </si>
  <si>
    <t>Lind</t>
  </si>
  <si>
    <t>Motter</t>
  </si>
  <si>
    <t>Franklin</t>
  </si>
  <si>
    <t>Troy</t>
  </si>
  <si>
    <t>Tulowitzki</t>
  </si>
  <si>
    <t>Seth</t>
  </si>
  <si>
    <t>Deven</t>
  </si>
  <si>
    <t>Marrero</t>
  </si>
  <si>
    <t>Phillips</t>
  </si>
  <si>
    <t>Kepler</t>
  </si>
  <si>
    <t>Pearce</t>
  </si>
  <si>
    <t>Goodwin</t>
  </si>
  <si>
    <t>Russell</t>
  </si>
  <si>
    <t>Martin</t>
  </si>
  <si>
    <t>Vazquez</t>
  </si>
  <si>
    <t>Chad</t>
  </si>
  <si>
    <t>Pinder</t>
  </si>
  <si>
    <t>Devon</t>
  </si>
  <si>
    <t>Travis</t>
  </si>
  <si>
    <t>Tim</t>
  </si>
  <si>
    <t>Wieters</t>
  </si>
  <si>
    <t>Byron</t>
  </si>
  <si>
    <t>Buxton</t>
  </si>
  <si>
    <t>Suzuki</t>
  </si>
  <si>
    <t>Welington</t>
  </si>
  <si>
    <t>Castillo</t>
  </si>
  <si>
    <t>Naquin</t>
  </si>
  <si>
    <t>Sandy</t>
  </si>
  <si>
    <t>Leon</t>
  </si>
  <si>
    <t>Blanco</t>
  </si>
  <si>
    <t>Olson</t>
  </si>
  <si>
    <t>Joey</t>
  </si>
  <si>
    <t>Rickard</t>
  </si>
  <si>
    <t>Young</t>
  </si>
  <si>
    <t>Pillar</t>
  </si>
  <si>
    <t>Guillermo</t>
  </si>
  <si>
    <t>Heredia</t>
  </si>
  <si>
    <t>Yan</t>
  </si>
  <si>
    <t>Gomes</t>
  </si>
  <si>
    <t>Guyer</t>
  </si>
  <si>
    <t>Adrian</t>
  </si>
  <si>
    <t>Ruben</t>
  </si>
  <si>
    <t>Tejada</t>
  </si>
  <si>
    <t>Zunino</t>
  </si>
  <si>
    <t>Caleb</t>
  </si>
  <si>
    <t>Joseph</t>
  </si>
  <si>
    <t>Jeff</t>
  </si>
  <si>
    <t>Bruce</t>
  </si>
  <si>
    <t>Ehire</t>
  </si>
  <si>
    <t>Adrianza</t>
  </si>
  <si>
    <t>Saunders</t>
  </si>
  <si>
    <t>Derek</t>
  </si>
  <si>
    <t>Ruiz</t>
  </si>
  <si>
    <t>Jarrod</t>
  </si>
  <si>
    <t>Dyson</t>
  </si>
  <si>
    <t>Wilmer</t>
  </si>
  <si>
    <t>Difo</t>
  </si>
  <si>
    <t>Rosales</t>
  </si>
  <si>
    <t>Featherston</t>
  </si>
  <si>
    <t>Ezequiel</t>
  </si>
  <si>
    <t>Carrera</t>
  </si>
  <si>
    <t>Jaycob</t>
  </si>
  <si>
    <t>Brugman</t>
  </si>
  <si>
    <t>Hardy</t>
  </si>
  <si>
    <t>Tzu-Wei</t>
  </si>
  <si>
    <t>Lin</t>
  </si>
  <si>
    <t>Torrens</t>
  </si>
  <si>
    <t>Rutledge</t>
  </si>
  <si>
    <t>Concussion</t>
  </si>
  <si>
    <t>Erik</t>
  </si>
  <si>
    <t>Darwin</t>
  </si>
  <si>
    <t>Barney</t>
  </si>
  <si>
    <t>Thompson</t>
  </si>
  <si>
    <t>Marte</t>
  </si>
  <si>
    <t>Flaherty</t>
  </si>
  <si>
    <t>Jeremy</t>
  </si>
  <si>
    <t>Norichika</t>
  </si>
  <si>
    <t>Aoki</t>
  </si>
  <si>
    <t>Franchy</t>
  </si>
  <si>
    <t>Cordero</t>
  </si>
  <si>
    <t>Juan</t>
  </si>
  <si>
    <t>Martinez</t>
  </si>
  <si>
    <t>Adeiny</t>
  </si>
  <si>
    <t>Hechavarria</t>
  </si>
  <si>
    <t>Ramos</t>
  </si>
  <si>
    <t>Illness</t>
  </si>
  <si>
    <t>Gimenez</t>
  </si>
  <si>
    <t>Hedges</t>
  </si>
  <si>
    <t>Pena</t>
  </si>
  <si>
    <t>Robertson</t>
  </si>
  <si>
    <t>Shane</t>
  </si>
  <si>
    <t>Peterson</t>
  </si>
  <si>
    <t>Dwight</t>
  </si>
  <si>
    <t>Smith Jr.</t>
  </si>
  <si>
    <t>Lobaton</t>
  </si>
  <si>
    <t>Jesus</t>
  </si>
  <si>
    <t>Sucre</t>
  </si>
  <si>
    <t>Phegley</t>
  </si>
  <si>
    <t>Asuaje</t>
  </si>
  <si>
    <t>Raburn</t>
  </si>
  <si>
    <t>Cordoba</t>
  </si>
  <si>
    <t>Coghlan</t>
  </si>
  <si>
    <t>Bonifacio</t>
  </si>
  <si>
    <t>Goins</t>
  </si>
  <si>
    <t>Lavarnway</t>
  </si>
  <si>
    <t>Rickie</t>
  </si>
  <si>
    <t>Weeks Jr.</t>
  </si>
  <si>
    <t>Tuffy</t>
  </si>
  <si>
    <t>Gosewisch</t>
  </si>
  <si>
    <t>Gentry</t>
  </si>
  <si>
    <t>Canha</t>
  </si>
  <si>
    <t>Peter</t>
  </si>
  <si>
    <t>Bourjos</t>
  </si>
  <si>
    <t>Montero</t>
  </si>
  <si>
    <t>Janish</t>
  </si>
  <si>
    <t>Szczur</t>
  </si>
  <si>
    <t>Ohlman</t>
  </si>
  <si>
    <t>Jabari</t>
  </si>
  <si>
    <t>Blash</t>
  </si>
  <si>
    <t>Abraham</t>
  </si>
  <si>
    <t>Almonte</t>
  </si>
  <si>
    <t>Maile</t>
  </si>
  <si>
    <t>Smolinski</t>
  </si>
  <si>
    <t>O'Malley</t>
  </si>
  <si>
    <t>Hyun Soo</t>
  </si>
  <si>
    <t>Kim</t>
  </si>
  <si>
    <t>Heisey</t>
  </si>
  <si>
    <t>Boog</t>
  </si>
  <si>
    <t>Powell</t>
  </si>
  <si>
    <t>Washington</t>
  </si>
  <si>
    <t>Plouffe</t>
  </si>
  <si>
    <t>STACK TEAMS</t>
  </si>
  <si>
    <t>Start?</t>
  </si>
  <si>
    <t>Right Team?</t>
  </si>
  <si>
    <t>Batting?</t>
  </si>
  <si>
    <t>Stack?</t>
  </si>
  <si>
    <t>Probable?</t>
  </si>
  <si>
    <t>Team1</t>
  </si>
  <si>
    <t>Team2</t>
  </si>
  <si>
    <t>Both Team</t>
  </si>
  <si>
    <t>4 each Team</t>
  </si>
  <si>
    <t>MIA</t>
  </si>
  <si>
    <t>CIN</t>
  </si>
  <si>
    <t>NYY</t>
  </si>
  <si>
    <t>SFG</t>
  </si>
  <si>
    <t>COL</t>
  </si>
  <si>
    <t>Jon</t>
  </si>
  <si>
    <t>Michael Fulmer</t>
  </si>
  <si>
    <t>Fulmer</t>
  </si>
  <si>
    <t>DET</t>
  </si>
  <si>
    <t>Yu</t>
  </si>
  <si>
    <t>Yu Darvish</t>
  </si>
  <si>
    <t>Darvish</t>
  </si>
  <si>
    <t>TEX</t>
  </si>
  <si>
    <t>KAN</t>
  </si>
  <si>
    <t>Carlos Martinez</t>
  </si>
  <si>
    <t>STL</t>
  </si>
  <si>
    <t>PIT</t>
  </si>
  <si>
    <t>Luis Severino</t>
  </si>
  <si>
    <t>Severino</t>
  </si>
  <si>
    <t>Jimmy Nelson</t>
  </si>
  <si>
    <t>MIL</t>
  </si>
  <si>
    <t>PHI</t>
  </si>
  <si>
    <t>Aaron Nola</t>
  </si>
  <si>
    <t>Nola</t>
  </si>
  <si>
    <t>Masahiro</t>
  </si>
  <si>
    <t>Masahiro Tanaka</t>
  </si>
  <si>
    <t>Tanaka</t>
  </si>
  <si>
    <t>Johnny</t>
  </si>
  <si>
    <t>Cole Hamels</t>
  </si>
  <si>
    <t>Hamels</t>
  </si>
  <si>
    <t>Jameson</t>
  </si>
  <si>
    <t>Jameson Taillon</t>
  </si>
  <si>
    <t>Taillon</t>
  </si>
  <si>
    <t>Gerrit</t>
  </si>
  <si>
    <t>Gerrit Cole</t>
  </si>
  <si>
    <t>Jason Vargas</t>
  </si>
  <si>
    <t>Chase Anderson</t>
  </si>
  <si>
    <t>Garrett</t>
  </si>
  <si>
    <t>Danny Duffy</t>
  </si>
  <si>
    <t>Duffy</t>
  </si>
  <si>
    <t>Dan Straily</t>
  </si>
  <si>
    <t>Straily</t>
  </si>
  <si>
    <t>Adam Wainwright</t>
  </si>
  <si>
    <t>Wainwright</t>
  </si>
  <si>
    <t>Michael Wacha</t>
  </si>
  <si>
    <t>Wacha</t>
  </si>
  <si>
    <t>Nate</t>
  </si>
  <si>
    <t>Nate Karns</t>
  </si>
  <si>
    <t>Karns</t>
  </si>
  <si>
    <t>Jordan Montgomery</t>
  </si>
  <si>
    <t>Montgomery</t>
  </si>
  <si>
    <t>Wei-Yin</t>
  </si>
  <si>
    <t>Wei-Yin Chen</t>
  </si>
  <si>
    <t>Chen</t>
  </si>
  <si>
    <t>Anthony DeSclafani</t>
  </si>
  <si>
    <t>DeSclafani</t>
  </si>
  <si>
    <t>Mike Leake</t>
  </si>
  <si>
    <t>Leake</t>
  </si>
  <si>
    <t>Ivan</t>
  </si>
  <si>
    <t>Ivan Nova</t>
  </si>
  <si>
    <t>Nova</t>
  </si>
  <si>
    <t>Jason Hammel</t>
  </si>
  <si>
    <t>Hammel</t>
  </si>
  <si>
    <t>Adam Conley</t>
  </si>
  <si>
    <t>Conley</t>
  </si>
  <si>
    <t>Ty</t>
  </si>
  <si>
    <t>Tyler Anderson</t>
  </si>
  <si>
    <t>Ian Kennedy</t>
  </si>
  <si>
    <t>Kennedy</t>
  </si>
  <si>
    <t>Nick Pivetta</t>
  </si>
  <si>
    <t>Pivetta</t>
  </si>
  <si>
    <t>Jose Urena</t>
  </si>
  <si>
    <t>Urena</t>
  </si>
  <si>
    <t>Austin Bibens-Dirkx</t>
  </si>
  <si>
    <t>Bibens-Dirkx</t>
  </si>
  <si>
    <t>Matt Garza</t>
  </si>
  <si>
    <t>Garza</t>
  </si>
  <si>
    <t>Anibal</t>
  </si>
  <si>
    <t>Anibal Sanchez</t>
  </si>
  <si>
    <t>Zach Davies</t>
  </si>
  <si>
    <t>Davies</t>
  </si>
  <si>
    <t>Tim Adleman</t>
  </si>
  <si>
    <t>Adleman</t>
  </si>
  <si>
    <t>Tyson</t>
  </si>
  <si>
    <t>Tyson Ross</t>
  </si>
  <si>
    <t>Lance Lynn</t>
  </si>
  <si>
    <t>Lynn</t>
  </si>
  <si>
    <t>Luis Castillo</t>
  </si>
  <si>
    <t>CC</t>
  </si>
  <si>
    <t>CC Sabathia</t>
  </si>
  <si>
    <t>Sabathia</t>
  </si>
  <si>
    <t>Edinson</t>
  </si>
  <si>
    <t>Edinson Volquez</t>
  </si>
  <si>
    <t>Volquez</t>
  </si>
  <si>
    <t>A.J. Griffin</t>
  </si>
  <si>
    <t>Griffin</t>
  </si>
  <si>
    <t>Jeremy Hellickson</t>
  </si>
  <si>
    <t>Hellickson</t>
  </si>
  <si>
    <t>Trevor Williams</t>
  </si>
  <si>
    <t>Williams</t>
  </si>
  <si>
    <t>Jordan Zimmermann</t>
  </si>
  <si>
    <t>Zimmermann</t>
  </si>
  <si>
    <t>Chad Kuhl</t>
  </si>
  <si>
    <t>Kuhl</t>
  </si>
  <si>
    <t>Vince</t>
  </si>
  <si>
    <t>Vince Velasquez</t>
  </si>
  <si>
    <t>Velasquez</t>
  </si>
  <si>
    <t>Amir</t>
  </si>
  <si>
    <t>Amir Garrett</t>
  </si>
  <si>
    <t>Tyler Glasnow</t>
  </si>
  <si>
    <t>Glasnow</t>
  </si>
  <si>
    <t>Parker</t>
  </si>
  <si>
    <t>Ben Lively</t>
  </si>
  <si>
    <t>Lively</t>
  </si>
  <si>
    <t>Luis Cessa</t>
  </si>
  <si>
    <t>Cessa</t>
  </si>
  <si>
    <t>Brett</t>
  </si>
  <si>
    <t>Brett Anderson</t>
  </si>
  <si>
    <t>Jerad</t>
  </si>
  <si>
    <t>Jerad Eickhoff</t>
  </si>
  <si>
    <t>Eickhoff</t>
  </si>
  <si>
    <t>Jon Gray</t>
  </si>
  <si>
    <t>Daniel Norris</t>
  </si>
  <si>
    <t>Norris</t>
  </si>
  <si>
    <t>Martin Perez</t>
  </si>
  <si>
    <t>Junior</t>
  </si>
  <si>
    <t>Junior Guerra</t>
  </si>
  <si>
    <t>Guerra</t>
  </si>
  <si>
    <t>Brent</t>
  </si>
  <si>
    <t>Brent Suter</t>
  </si>
  <si>
    <t>Suter</t>
  </si>
  <si>
    <t>Mark Leiter Jr.</t>
  </si>
  <si>
    <t>Leiter Jr.</t>
  </si>
  <si>
    <t>Lisalverto</t>
  </si>
  <si>
    <t>Lisalverto Bonilla</t>
  </si>
  <si>
    <t>Bonilla</t>
  </si>
  <si>
    <t>Jeff Hoffman</t>
  </si>
  <si>
    <t>Hoffman</t>
  </si>
  <si>
    <t>Eric Skoglund</t>
  </si>
  <si>
    <t>Skoglund</t>
  </si>
  <si>
    <t>Andrew Cashner</t>
  </si>
  <si>
    <t>Cashner</t>
  </si>
  <si>
    <t>Robert</t>
  </si>
  <si>
    <t>Cain</t>
  </si>
  <si>
    <t>Tyler Chatwood</t>
  </si>
  <si>
    <t>Chatwood</t>
  </si>
  <si>
    <t>Clay</t>
  </si>
  <si>
    <t>Clay Buchholz</t>
  </si>
  <si>
    <t>Buchholz</t>
  </si>
  <si>
    <t>Rafael</t>
  </si>
  <si>
    <t>Tommy</t>
  </si>
  <si>
    <t>Jake Junis</t>
  </si>
  <si>
    <t>Junis</t>
  </si>
  <si>
    <t>German</t>
  </si>
  <si>
    <t>German Marquez</t>
  </si>
  <si>
    <t>Marquez</t>
  </si>
  <si>
    <t>Buck</t>
  </si>
  <si>
    <t>Buck Farmer</t>
  </si>
  <si>
    <t>Farmer</t>
  </si>
  <si>
    <t>Chad Bettis</t>
  </si>
  <si>
    <t>Bettis</t>
  </si>
  <si>
    <t>Zach Eflin</t>
  </si>
  <si>
    <t>Eflin</t>
  </si>
  <si>
    <t>Marco Gonzales</t>
  </si>
  <si>
    <t>Gonzales</t>
  </si>
  <si>
    <t>Kyle Freeland</t>
  </si>
  <si>
    <t>Freeland</t>
  </si>
  <si>
    <t>Scott Feldman</t>
  </si>
  <si>
    <t>Feldman</t>
  </si>
  <si>
    <t>Matthew</t>
  </si>
  <si>
    <t>Matthew Boyd</t>
  </si>
  <si>
    <t>Boyd</t>
  </si>
  <si>
    <t>Luke Weaver</t>
  </si>
  <si>
    <t>Reyes</t>
  </si>
  <si>
    <t>Justin Nicolino</t>
  </si>
  <si>
    <t>Nicolino</t>
  </si>
  <si>
    <t>Nick Martinez</t>
  </si>
  <si>
    <t>Jackson Stephens</t>
  </si>
  <si>
    <t>Stephens</t>
  </si>
  <si>
    <t>Taylor Jungmann</t>
  </si>
  <si>
    <t>Jungmann</t>
  </si>
  <si>
    <t>Antonio</t>
  </si>
  <si>
    <t>Antonio Senzatela</t>
  </si>
  <si>
    <t>Senzatela</t>
  </si>
  <si>
    <t>Tom</t>
  </si>
  <si>
    <t>Tom Koehler</t>
  </si>
  <si>
    <t>Koehler</t>
  </si>
  <si>
    <t>Holland</t>
  </si>
  <si>
    <t>Sal</t>
  </si>
  <si>
    <t>Sal Romano</t>
  </si>
  <si>
    <t>Romano</t>
  </si>
  <si>
    <t>Barrett Astin</t>
  </si>
  <si>
    <t>Astin</t>
  </si>
  <si>
    <t>Carlos Torres</t>
  </si>
  <si>
    <t>Shane Carle</t>
  </si>
  <si>
    <t>Carle</t>
  </si>
  <si>
    <t>Jack</t>
  </si>
  <si>
    <t>Ariel Hernandez</t>
  </si>
  <si>
    <t>Jairo</t>
  </si>
  <si>
    <t>Jairo Diaz</t>
  </si>
  <si>
    <t>Chad Bell</t>
  </si>
  <si>
    <t>Bell</t>
  </si>
  <si>
    <t>Jonathan Holder</t>
  </si>
  <si>
    <t>Holder</t>
  </si>
  <si>
    <t>Wandy</t>
  </si>
  <si>
    <t>Wandy Peralta</t>
  </si>
  <si>
    <t>Jhan</t>
  </si>
  <si>
    <t>Jhan Marinez</t>
  </si>
  <si>
    <t>Marinez</t>
  </si>
  <si>
    <t>Jeanmar</t>
  </si>
  <si>
    <t>Jeanmar Gomez</t>
  </si>
  <si>
    <t>Gomez</t>
  </si>
  <si>
    <t>Kevin McCarthy</t>
  </si>
  <si>
    <t>Daniel Hudson</t>
  </si>
  <si>
    <t>Hudson</t>
  </si>
  <si>
    <t>Mike Dunn</t>
  </si>
  <si>
    <t>Dunn</t>
  </si>
  <si>
    <t>Vance</t>
  </si>
  <si>
    <t>Vance Worley</t>
  </si>
  <si>
    <t>Worley</t>
  </si>
  <si>
    <t>Joely</t>
  </si>
  <si>
    <t>Joely Rodriguez</t>
  </si>
  <si>
    <t>Chasen</t>
  </si>
  <si>
    <t>Chasen Shreve</t>
  </si>
  <si>
    <t>Shreve</t>
  </si>
  <si>
    <t>Greg</t>
  </si>
  <si>
    <t>Greg Holland</t>
  </si>
  <si>
    <t>Mike Minor</t>
  </si>
  <si>
    <t>Minor</t>
  </si>
  <si>
    <t>Mike Mayers</t>
  </si>
  <si>
    <t>Mayers</t>
  </si>
  <si>
    <t>Jeremy Jeffress</t>
  </si>
  <si>
    <t>Jeffress</t>
  </si>
  <si>
    <t>Sam Tuivailala</t>
  </si>
  <si>
    <t>Tuivailala</t>
  </si>
  <si>
    <t>Jake McGee</t>
  </si>
  <si>
    <t>McGee</t>
  </si>
  <si>
    <t>Raisel</t>
  </si>
  <si>
    <t>Raisel Iglesias</t>
  </si>
  <si>
    <t>Iglesias</t>
  </si>
  <si>
    <t>Nefi</t>
  </si>
  <si>
    <t>Nefi Ogando</t>
  </si>
  <si>
    <t>Ogando</t>
  </si>
  <si>
    <t>Alex Claudio</t>
  </si>
  <si>
    <t>Claudio</t>
  </si>
  <si>
    <t>Domingo</t>
  </si>
  <si>
    <t>Domingo German</t>
  </si>
  <si>
    <t>Giovanny</t>
  </si>
  <si>
    <t>Giovanny Gallegos</t>
  </si>
  <si>
    <t>Gallegos</t>
  </si>
  <si>
    <t>Paolo</t>
  </si>
  <si>
    <t>Paolo Espino</t>
  </si>
  <si>
    <t>Espino</t>
  </si>
  <si>
    <t>Brian Ellington</t>
  </si>
  <si>
    <t>Ellington</t>
  </si>
  <si>
    <t>Rondon</t>
  </si>
  <si>
    <t>Al</t>
  </si>
  <si>
    <t>Al Alburquerque</t>
  </si>
  <si>
    <t>Alburquerque</t>
  </si>
  <si>
    <t>Drew Steckenrider</t>
  </si>
  <si>
    <t>Steckenrider</t>
  </si>
  <si>
    <t>John Brebbia</t>
  </si>
  <si>
    <t>Brebbia</t>
  </si>
  <si>
    <t>Rob Scahill</t>
  </si>
  <si>
    <t>Scahill</t>
  </si>
  <si>
    <t>Sean Gilmartin</t>
  </si>
  <si>
    <t>Gilmartin</t>
  </si>
  <si>
    <t>Carlos Estevez</t>
  </si>
  <si>
    <t>Estevez</t>
  </si>
  <si>
    <t>Jordan Lyles</t>
  </si>
  <si>
    <t>Lyles</t>
  </si>
  <si>
    <t>Bruce Rondon</t>
  </si>
  <si>
    <t>Trevor Rosenthal</t>
  </si>
  <si>
    <t>Rosenthal</t>
  </si>
  <si>
    <t>Keone</t>
  </si>
  <si>
    <t>Keone Kela</t>
  </si>
  <si>
    <t>Kela</t>
  </si>
  <si>
    <t>Jake Diekman</t>
  </si>
  <si>
    <t>Diekman</t>
  </si>
  <si>
    <t>Abdomen</t>
  </si>
  <si>
    <t>Brandon Woodruff</t>
  </si>
  <si>
    <t>Woodruff</t>
  </si>
  <si>
    <t>David Phelps</t>
  </si>
  <si>
    <t>Phelps</t>
  </si>
  <si>
    <t>Oliver Drake</t>
  </si>
  <si>
    <t>Drake</t>
  </si>
  <si>
    <t>Chris Rusin</t>
  </si>
  <si>
    <t>Rusin</t>
  </si>
  <si>
    <t>A.J. Schugel</t>
  </si>
  <si>
    <t>Schugel</t>
  </si>
  <si>
    <t>Kevin Siegrist</t>
  </si>
  <si>
    <t>Siegrist</t>
  </si>
  <si>
    <t>Tony Barnette</t>
  </si>
  <si>
    <t>Barnette</t>
  </si>
  <si>
    <t>Jeff Locke</t>
  </si>
  <si>
    <t>Locke</t>
  </si>
  <si>
    <t>Aroldis</t>
  </si>
  <si>
    <t>Aroldis Chapman</t>
  </si>
  <si>
    <t>Seung Hwan</t>
  </si>
  <si>
    <t>Seung Hwan Oh</t>
  </si>
  <si>
    <t>Oh</t>
  </si>
  <si>
    <t>Warwick</t>
  </si>
  <si>
    <t>Warwick Saupold</t>
  </si>
  <si>
    <t>Saupold</t>
  </si>
  <si>
    <t>Chad Green</t>
  </si>
  <si>
    <t>Green</t>
  </si>
  <si>
    <t>Josh Hader</t>
  </si>
  <si>
    <t>Hader</t>
  </si>
  <si>
    <t>Travis Wood</t>
  </si>
  <si>
    <t>Dellin</t>
  </si>
  <si>
    <t>Dellin Betances</t>
  </si>
  <si>
    <t>Betances</t>
  </si>
  <si>
    <t>Adam Warren</t>
  </si>
  <si>
    <t>Warren</t>
  </si>
  <si>
    <t>Jake Thompson</t>
  </si>
  <si>
    <t>Tony Watson</t>
  </si>
  <si>
    <t>Watson</t>
  </si>
  <si>
    <t>Ronald</t>
  </si>
  <si>
    <t>Ronald Herrera</t>
  </si>
  <si>
    <t>Herrera</t>
  </si>
  <si>
    <t>Jarlin</t>
  </si>
  <si>
    <t>Jarlin Garcia</t>
  </si>
  <si>
    <t>Cody Reed</t>
  </si>
  <si>
    <t>Reed</t>
  </si>
  <si>
    <t>Robert Stephenson</t>
  </si>
  <si>
    <t>Stephenson</t>
  </si>
  <si>
    <t>Miguel Socolovich</t>
  </si>
  <si>
    <t>Socolovich</t>
  </si>
  <si>
    <t>Rookie</t>
  </si>
  <si>
    <t>Rookie Davis</t>
  </si>
  <si>
    <t>Kyle Barraclough</t>
  </si>
  <si>
    <t>Barraclough</t>
  </si>
  <si>
    <t>Miguel Almonte</t>
  </si>
  <si>
    <t>Wily</t>
  </si>
  <si>
    <t>Wily Peralta</t>
  </si>
  <si>
    <t>Calf</t>
  </si>
  <si>
    <t>Blaine Hardy</t>
  </si>
  <si>
    <t>Francisco Rodriguez</t>
  </si>
  <si>
    <t>Jacob Barnes</t>
  </si>
  <si>
    <t>Kelvin</t>
  </si>
  <si>
    <t>Kelvin Herrera</t>
  </si>
  <si>
    <t>Matt Bowman</t>
  </si>
  <si>
    <t>Bowman</t>
  </si>
  <si>
    <t>Daniel Stumpf</t>
  </si>
  <si>
    <t>Stumpf</t>
  </si>
  <si>
    <t>John Gant</t>
  </si>
  <si>
    <t>Gant</t>
  </si>
  <si>
    <t>Matt Bush</t>
  </si>
  <si>
    <t>Bush</t>
  </si>
  <si>
    <t>Tanner Scheppers</t>
  </si>
  <si>
    <t>Scheppers</t>
  </si>
  <si>
    <t>Dario</t>
  </si>
  <si>
    <t>Dario Alvarez</t>
  </si>
  <si>
    <t>Alvarez</t>
  </si>
  <si>
    <t>Neil</t>
  </si>
  <si>
    <t>Neil Ramirez</t>
  </si>
  <si>
    <t>Austin Brice</t>
  </si>
  <si>
    <t>Brice</t>
  </si>
  <si>
    <t>Alex Wilson</t>
  </si>
  <si>
    <t>Chris O'Grady</t>
  </si>
  <si>
    <t>O'Grady</t>
  </si>
  <si>
    <t>Hector Neris</t>
  </si>
  <si>
    <t>Neris</t>
  </si>
  <si>
    <t>Felipe</t>
  </si>
  <si>
    <t>Felipe Rivero</t>
  </si>
  <si>
    <t>Johnny Barbato</t>
  </si>
  <si>
    <t>Barbato</t>
  </si>
  <si>
    <t>Asher Wojciechowski</t>
  </si>
  <si>
    <t>Wojciechowski</t>
  </si>
  <si>
    <t>Broxton</t>
  </si>
  <si>
    <t>Tom Wilhelmsen</t>
  </si>
  <si>
    <t>Wilhelmsen</t>
  </si>
  <si>
    <t>Tyler Lyons</t>
  </si>
  <si>
    <t>Lyons</t>
  </si>
  <si>
    <t>Michael Blazek</t>
  </si>
  <si>
    <t>Blazek</t>
  </si>
  <si>
    <t>Jorge Lopez</t>
  </si>
  <si>
    <t>Lopez</t>
  </si>
  <si>
    <t>Edubray</t>
  </si>
  <si>
    <t>Edubray Ramos</t>
  </si>
  <si>
    <t>Bryan Mitchell</t>
  </si>
  <si>
    <t>Mitchell</t>
  </si>
  <si>
    <t>Shane Greene</t>
  </si>
  <si>
    <t>Greene</t>
  </si>
  <si>
    <t>Ben Heller</t>
  </si>
  <si>
    <t>Heller</t>
  </si>
  <si>
    <t>Seth Maness</t>
  </si>
  <si>
    <t>Maness</t>
  </si>
  <si>
    <t>Adam Morgan</t>
  </si>
  <si>
    <t>Morgan</t>
  </si>
  <si>
    <t>Ricardo</t>
  </si>
  <si>
    <t>Ricardo Pinto</t>
  </si>
  <si>
    <t>Pinto</t>
  </si>
  <si>
    <t>Tony Cingrani</t>
  </si>
  <si>
    <t>Cingrani</t>
  </si>
  <si>
    <t>Tyler Cravy</t>
  </si>
  <si>
    <t>Cravy</t>
  </si>
  <si>
    <t>Arroyo</t>
  </si>
  <si>
    <t>Zac Rosscup</t>
  </si>
  <si>
    <t>Rosscup</t>
  </si>
  <si>
    <t>Juan Nicasio</t>
  </si>
  <si>
    <t>Nicasio</t>
  </si>
  <si>
    <t>Brett Cecil</t>
  </si>
  <si>
    <t>Cecil</t>
  </si>
  <si>
    <t>Luis Garcia</t>
  </si>
  <si>
    <t>Chad Qualls</t>
  </si>
  <si>
    <t>Qualls</t>
  </si>
  <si>
    <t>Bailey</t>
  </si>
  <si>
    <t>Michael Lorenzen</t>
  </si>
  <si>
    <t>Lorenzen</t>
  </si>
  <si>
    <t>Scott Alexander</t>
  </si>
  <si>
    <t>Alexander</t>
  </si>
  <si>
    <t>Jose Leclerc</t>
  </si>
  <si>
    <t>Leclerc</t>
  </si>
  <si>
    <t>Joakim</t>
  </si>
  <si>
    <t>Joakim Soria</t>
  </si>
  <si>
    <t>Soria</t>
  </si>
  <si>
    <t>Zach Duke</t>
  </si>
  <si>
    <t>Duke</t>
  </si>
  <si>
    <t>Neftali</t>
  </si>
  <si>
    <t>Neftali Feliz</t>
  </si>
  <si>
    <t>Dylan Floro</t>
  </si>
  <si>
    <t>Floro</t>
  </si>
  <si>
    <t>Brad Ziegler</t>
  </si>
  <si>
    <t>Ziegler</t>
  </si>
  <si>
    <t>Junichi</t>
  </si>
  <si>
    <t>Junichi Tazawa</t>
  </si>
  <si>
    <t>Tazawa</t>
  </si>
  <si>
    <t>Kyle Ryan</t>
  </si>
  <si>
    <t>Corey Knebel</t>
  </si>
  <si>
    <t>Knebel</t>
  </si>
  <si>
    <t>Brian Flynn</t>
  </si>
  <si>
    <t>Flynn</t>
  </si>
  <si>
    <t>Homer</t>
  </si>
  <si>
    <t>Homer Bailey</t>
  </si>
  <si>
    <t>Joaquin</t>
  </si>
  <si>
    <t>Joaquin Benoit</t>
  </si>
  <si>
    <t>Benoit</t>
  </si>
  <si>
    <t>Odrisamer</t>
  </si>
  <si>
    <t>Odrisamer Despaigne</t>
  </si>
  <si>
    <t>Despaigne</t>
  </si>
  <si>
    <t>Addison</t>
  </si>
  <si>
    <t>Addison Reed</t>
  </si>
  <si>
    <t>Nick Wittgren</t>
  </si>
  <si>
    <t>Wittgren</t>
  </si>
  <si>
    <t>Scott Oberg</t>
  </si>
  <si>
    <t>Oberg</t>
  </si>
  <si>
    <t>Jared</t>
  </si>
  <si>
    <t>Jared Hughes</t>
  </si>
  <si>
    <t>Jason Grilli</t>
  </si>
  <si>
    <t>Grilli</t>
  </si>
  <si>
    <t>Wade LeBlanc</t>
  </si>
  <si>
    <t>LeBlanc</t>
  </si>
  <si>
    <t>Blake Wood</t>
  </si>
  <si>
    <t>Dustin McGowan</t>
  </si>
  <si>
    <t>McGowan</t>
  </si>
  <si>
    <t>Drew Storen</t>
  </si>
  <si>
    <t>Storen</t>
  </si>
  <si>
    <t>Pat Neshek</t>
  </si>
  <si>
    <t>Neshek</t>
  </si>
  <si>
    <t>Fernando Salas</t>
  </si>
  <si>
    <t>Salas</t>
  </si>
  <si>
    <t>Adam Ottavino</t>
  </si>
  <si>
    <t>Ottavino</t>
  </si>
  <si>
    <t>Joe Jimenez</t>
  </si>
  <si>
    <t>Aaron Judge</t>
  </si>
  <si>
    <t>Judge</t>
  </si>
  <si>
    <t>Thumb</t>
  </si>
  <si>
    <t>Joey Votto</t>
  </si>
  <si>
    <t>Votto</t>
  </si>
  <si>
    <t>Ryan Braun</t>
  </si>
  <si>
    <t>Braun</t>
  </si>
  <si>
    <t>Nolan</t>
  </si>
  <si>
    <t>Nolan Arenado</t>
  </si>
  <si>
    <t>Arenado</t>
  </si>
  <si>
    <t>Giancarlo</t>
  </si>
  <si>
    <t>Giancarlo Stanton</t>
  </si>
  <si>
    <t>Stanton</t>
  </si>
  <si>
    <t>Marcell</t>
  </si>
  <si>
    <t>Marcell Ozuna</t>
  </si>
  <si>
    <t>Ozuna</t>
  </si>
  <si>
    <t>Charlie Blackmon</t>
  </si>
  <si>
    <t>Blackmon</t>
  </si>
  <si>
    <t>Domingo Santana</t>
  </si>
  <si>
    <t>Matt Carpenter</t>
  </si>
  <si>
    <t>Carpenter</t>
  </si>
  <si>
    <t>Miguel Cabrera</t>
  </si>
  <si>
    <t>Andrew McCutchen</t>
  </si>
  <si>
    <t>McCutchen</t>
  </si>
  <si>
    <t>Travis Shaw</t>
  </si>
  <si>
    <t>Adrian Beltre</t>
  </si>
  <si>
    <t>Beltre</t>
  </si>
  <si>
    <t>Eric Hosmer</t>
  </si>
  <si>
    <t>Hosmer</t>
  </si>
  <si>
    <t>J.D.</t>
  </si>
  <si>
    <t>J.D. Martinez</t>
  </si>
  <si>
    <t>Eric Thames</t>
  </si>
  <si>
    <t>Thames</t>
  </si>
  <si>
    <t>Salvador</t>
  </si>
  <si>
    <t>Salvador Perez</t>
  </si>
  <si>
    <t>Scooter</t>
  </si>
  <si>
    <t>Scooter Gennett</t>
  </si>
  <si>
    <t>Gennett</t>
  </si>
  <si>
    <t>Mike Moustakas</t>
  </si>
  <si>
    <t>Moustakas</t>
  </si>
  <si>
    <t>Rougned</t>
  </si>
  <si>
    <t>Rougned Odor</t>
  </si>
  <si>
    <t>Odor</t>
  </si>
  <si>
    <t>Adam Duvall</t>
  </si>
  <si>
    <t>Duvall</t>
  </si>
  <si>
    <t>Frazier</t>
  </si>
  <si>
    <t>Josh Bell</t>
  </si>
  <si>
    <t>Tommy Joseph</t>
  </si>
  <si>
    <t>Billy</t>
  </si>
  <si>
    <t>Billy Hamilton</t>
  </si>
  <si>
    <t>Hamilton</t>
  </si>
  <si>
    <t>Zack Cozart</t>
  </si>
  <si>
    <t>Cozart</t>
  </si>
  <si>
    <t>Christian Yelich</t>
  </si>
  <si>
    <t>Yelich</t>
  </si>
  <si>
    <t>Jedd</t>
  </si>
  <si>
    <t>Jedd Gyorko</t>
  </si>
  <si>
    <t>Gyorko</t>
  </si>
  <si>
    <t>Brett Gardner</t>
  </si>
  <si>
    <t>Gardner</t>
  </si>
  <si>
    <t>Justin Upton</t>
  </si>
  <si>
    <t>Upton</t>
  </si>
  <si>
    <t>Lorenzo</t>
  </si>
  <si>
    <t>Lorenzo Cain</t>
  </si>
  <si>
    <t>Dee</t>
  </si>
  <si>
    <t>Dee Gordon</t>
  </si>
  <si>
    <t>Gordon</t>
  </si>
  <si>
    <t>Tommy Pham</t>
  </si>
  <si>
    <t>Pham</t>
  </si>
  <si>
    <t>Jay</t>
  </si>
  <si>
    <t>Jay Bruce</t>
  </si>
  <si>
    <t>Gary</t>
  </si>
  <si>
    <t>Gary Sanchez</t>
  </si>
  <si>
    <t>J.T.</t>
  </si>
  <si>
    <t>J.T. Realmuto</t>
  </si>
  <si>
    <t>Realmuto</t>
  </si>
  <si>
    <t>Maikel</t>
  </si>
  <si>
    <t>Maikel Franco</t>
  </si>
  <si>
    <t>Franco</t>
  </si>
  <si>
    <t>Gregory</t>
  </si>
  <si>
    <t>Gregory Polanco</t>
  </si>
  <si>
    <t>Curtis Granderson</t>
  </si>
  <si>
    <t>Granderson</t>
  </si>
  <si>
    <t>Nicholas</t>
  </si>
  <si>
    <t>Nicholas Castellanos</t>
  </si>
  <si>
    <t>Castellanos</t>
  </si>
  <si>
    <t>Elvis</t>
  </si>
  <si>
    <t>Elvis Andrus</t>
  </si>
  <si>
    <t>Andrus</t>
  </si>
  <si>
    <t>Mark Reynolds</t>
  </si>
  <si>
    <t>Reynolds</t>
  </si>
  <si>
    <t>Justin Bour</t>
  </si>
  <si>
    <t>Bour</t>
  </si>
  <si>
    <t>Lucas Duda</t>
  </si>
  <si>
    <t>Duda</t>
  </si>
  <si>
    <t>Whit</t>
  </si>
  <si>
    <t>Whit Merrifield</t>
  </si>
  <si>
    <t>Merrifield</t>
  </si>
  <si>
    <t>Jacoby</t>
  </si>
  <si>
    <t>Jacoby Ellsbury</t>
  </si>
  <si>
    <t>Ellsbury</t>
  </si>
  <si>
    <t>Shin-soo</t>
  </si>
  <si>
    <t>Shin-soo Choo</t>
  </si>
  <si>
    <t>Choo</t>
  </si>
  <si>
    <t>Nomar</t>
  </si>
  <si>
    <t>Nomar Mazara</t>
  </si>
  <si>
    <t>Mazara</t>
  </si>
  <si>
    <t>Jorge Bonifacio</t>
  </si>
  <si>
    <t>Aaron Altherr</t>
  </si>
  <si>
    <t>Altherr</t>
  </si>
  <si>
    <t>Neil Walker</t>
  </si>
  <si>
    <t>Ian Desmond</t>
  </si>
  <si>
    <t>Desmond</t>
  </si>
  <si>
    <t>Scott Schebler</t>
  </si>
  <si>
    <t>Schebler</t>
  </si>
  <si>
    <t>Paul DeJong</t>
  </si>
  <si>
    <t>DeJong</t>
  </si>
  <si>
    <t>Carlos Gonzalez</t>
  </si>
  <si>
    <t>Matt Holliday</t>
  </si>
  <si>
    <t>Holliday</t>
  </si>
  <si>
    <t>Carlos Gomez</t>
  </si>
  <si>
    <t>Starling</t>
  </si>
  <si>
    <t>Starling Marte</t>
  </si>
  <si>
    <t>Jonathan Villar</t>
  </si>
  <si>
    <t>Villar</t>
  </si>
  <si>
    <t>Ian Kinsler</t>
  </si>
  <si>
    <t>Kinsler</t>
  </si>
  <si>
    <t>Didi</t>
  </si>
  <si>
    <t>Didi Gregorius</t>
  </si>
  <si>
    <t>Gregorius</t>
  </si>
  <si>
    <t>Aaron Hicks</t>
  </si>
  <si>
    <t>Hicks</t>
  </si>
  <si>
    <t>Randal</t>
  </si>
  <si>
    <t>Randal Grichuk</t>
  </si>
  <si>
    <t>Grichuk</t>
  </si>
  <si>
    <t>Cameron</t>
  </si>
  <si>
    <t>Chase Headley</t>
  </si>
  <si>
    <t>Headley</t>
  </si>
  <si>
    <t>Trevor Story</t>
  </si>
  <si>
    <t>Story</t>
  </si>
  <si>
    <t>Dexter</t>
  </si>
  <si>
    <t>Dexter Fowler</t>
  </si>
  <si>
    <t>Fowler</t>
  </si>
  <si>
    <t>Eugenio</t>
  </si>
  <si>
    <t>Eugenio Suarez</t>
  </si>
  <si>
    <t>Suarez</t>
  </si>
  <si>
    <t>DJ</t>
  </si>
  <si>
    <t>DJ LeMahieu</t>
  </si>
  <si>
    <t>LeMahieu</t>
  </si>
  <si>
    <t>Gerardo</t>
  </si>
  <si>
    <t>Gerardo Parra</t>
  </si>
  <si>
    <t>Parra</t>
  </si>
  <si>
    <t>Stephen Piscotty</t>
  </si>
  <si>
    <t>Piscotty</t>
  </si>
  <si>
    <t>Mike Napoli</t>
  </si>
  <si>
    <t>Napoli</t>
  </si>
  <si>
    <t>Cesar Hernandez</t>
  </si>
  <si>
    <t>Albert</t>
  </si>
  <si>
    <t>Victor</t>
  </si>
  <si>
    <t>Victor Martinez</t>
  </si>
  <si>
    <t>Martin Prado</t>
  </si>
  <si>
    <t>Prado</t>
  </si>
  <si>
    <t>Keon</t>
  </si>
  <si>
    <t>Keon Broxton</t>
  </si>
  <si>
    <t>Howie</t>
  </si>
  <si>
    <t>Howie Kendrick</t>
  </si>
  <si>
    <t>Delino</t>
  </si>
  <si>
    <t>Delino DeShields</t>
  </si>
  <si>
    <t>DeShields</t>
  </si>
  <si>
    <t>Hernan</t>
  </si>
  <si>
    <t>Hernan Perez</t>
  </si>
  <si>
    <t>Starlin</t>
  </si>
  <si>
    <t>Starlin Castro</t>
  </si>
  <si>
    <t>Pat Valaika</t>
  </si>
  <si>
    <t>Valaika</t>
  </si>
  <si>
    <t>Eric Sogard</t>
  </si>
  <si>
    <t>Sogard</t>
  </si>
  <si>
    <t>Luke Voit</t>
  </si>
  <si>
    <t>Voit</t>
  </si>
  <si>
    <t>Adam Frazier</t>
  </si>
  <si>
    <t>Alcides</t>
  </si>
  <si>
    <t>Alcides Escobar</t>
  </si>
  <si>
    <t>Derek Dietrich</t>
  </si>
  <si>
    <t>Dietrich</t>
  </si>
  <si>
    <t>Orlando</t>
  </si>
  <si>
    <t>Orlando Arcia</t>
  </si>
  <si>
    <t>Arcia</t>
  </si>
  <si>
    <t>Francisco Cervelli</t>
  </si>
  <si>
    <t>Cervelli</t>
  </si>
  <si>
    <t>Kolten</t>
  </si>
  <si>
    <t>Kolten Wong</t>
  </si>
  <si>
    <t>Wong</t>
  </si>
  <si>
    <t>Robinson Chirinos</t>
  </si>
  <si>
    <t>Chirinos</t>
  </si>
  <si>
    <t>Manny Pina</t>
  </si>
  <si>
    <t>Pina</t>
  </si>
  <si>
    <t>Yadier</t>
  </si>
  <si>
    <t>Yadier Molina</t>
  </si>
  <si>
    <t>Molina</t>
  </si>
  <si>
    <t>Miguel Rojas</t>
  </si>
  <si>
    <t>Rojas</t>
  </si>
  <si>
    <t>Flores</t>
  </si>
  <si>
    <t>Jordy</t>
  </si>
  <si>
    <t>Jordy Mercer</t>
  </si>
  <si>
    <t>Mercer</t>
  </si>
  <si>
    <t>Josh Harrison</t>
  </si>
  <si>
    <t>Harrison</t>
  </si>
  <si>
    <t>David Freese</t>
  </si>
  <si>
    <t>Freese</t>
  </si>
  <si>
    <t>Jose Martinez</t>
  </si>
  <si>
    <t>Aledmys</t>
  </si>
  <si>
    <t>Aledmys Diaz</t>
  </si>
  <si>
    <t>Freddy</t>
  </si>
  <si>
    <t>Freddy Galvis</t>
  </si>
  <si>
    <t>Galvis</t>
  </si>
  <si>
    <t>Nick Hundley</t>
  </si>
  <si>
    <t>Hundley</t>
  </si>
  <si>
    <t>Clint</t>
  </si>
  <si>
    <t>Clint Frazier</t>
  </si>
  <si>
    <t>Alex Gordon</t>
  </si>
  <si>
    <t>Dixon</t>
  </si>
  <si>
    <t>Dixon Machado</t>
  </si>
  <si>
    <t>Elias Diaz</t>
  </si>
  <si>
    <t>Stephen Vogt</t>
  </si>
  <si>
    <t>Vogt</t>
  </si>
  <si>
    <t>Andrew Knapp</t>
  </si>
  <si>
    <t>Knapp</t>
  </si>
  <si>
    <t>Joey Gallo</t>
  </si>
  <si>
    <t>Gallo</t>
  </si>
  <si>
    <t>Jonathan Lucroy</t>
  </si>
  <si>
    <t>Lucroy</t>
  </si>
  <si>
    <t>Daniel Nava</t>
  </si>
  <si>
    <t>Nava</t>
  </si>
  <si>
    <t>Jorge Soler</t>
  </si>
  <si>
    <t>Soler</t>
  </si>
  <si>
    <t>Austin Slater</t>
  </si>
  <si>
    <t>Slater</t>
  </si>
  <si>
    <t>Ramon</t>
  </si>
  <si>
    <t>Ramon Torres</t>
  </si>
  <si>
    <t>Alexi</t>
  </si>
  <si>
    <t>Alexi Amarista</t>
  </si>
  <si>
    <t>Amarista</t>
  </si>
  <si>
    <t>Cristhian</t>
  </si>
  <si>
    <t>Cristhian Adames</t>
  </si>
  <si>
    <t>Adames</t>
  </si>
  <si>
    <t>Ronald Torreyes</t>
  </si>
  <si>
    <t>Torreyes</t>
  </si>
  <si>
    <t>JT</t>
  </si>
  <si>
    <t>JT Riddle</t>
  </si>
  <si>
    <t>Riddle</t>
  </si>
  <si>
    <t>Jose Osuna</t>
  </si>
  <si>
    <t>Alex Presley</t>
  </si>
  <si>
    <t>Presley</t>
  </si>
  <si>
    <t>Kelby</t>
  </si>
  <si>
    <t>Kelby Tomlinson</t>
  </si>
  <si>
    <t>Tomlinson</t>
  </si>
  <si>
    <t>Conor</t>
  </si>
  <si>
    <t>Conor Gillaspie</t>
  </si>
  <si>
    <t>Gillaspie</t>
  </si>
  <si>
    <t>Devin</t>
  </si>
  <si>
    <t>Devin Mesoraco</t>
  </si>
  <si>
    <t>Mesoraco</t>
  </si>
  <si>
    <t>James McCann</t>
  </si>
  <si>
    <t>Mike Tauchman</t>
  </si>
  <si>
    <t>Tauchman</t>
  </si>
  <si>
    <t>John Jaso</t>
  </si>
  <si>
    <t>Jaso</t>
  </si>
  <si>
    <t>Jesus Aguilar</t>
  </si>
  <si>
    <t>Aguilar</t>
  </si>
  <si>
    <t>Raimel</t>
  </si>
  <si>
    <t>Raimel Tapia</t>
  </si>
  <si>
    <t>Tapia</t>
  </si>
  <si>
    <t>Jae-gyun</t>
  </si>
  <si>
    <t>Jae-gyun Hwang</t>
  </si>
  <si>
    <t>Hwang</t>
  </si>
  <si>
    <t>Mikie</t>
  </si>
  <si>
    <t>Mikie Mahtook</t>
  </si>
  <si>
    <t>Mahtook</t>
  </si>
  <si>
    <t>Tomas Telis</t>
  </si>
  <si>
    <t>Telis</t>
  </si>
  <si>
    <t>Jose Iglesias</t>
  </si>
  <si>
    <t>Chest</t>
  </si>
  <si>
    <t>Austin Romine</t>
  </si>
  <si>
    <t>Romine</t>
  </si>
  <si>
    <t>Greg Garcia</t>
  </si>
  <si>
    <t>Eric Fryer</t>
  </si>
  <si>
    <t>Fryer</t>
  </si>
  <si>
    <t>Tom Murphy</t>
  </si>
  <si>
    <t>Jurickson</t>
  </si>
  <si>
    <t>Jurickson Profar</t>
  </si>
  <si>
    <t>Profar</t>
  </si>
  <si>
    <t>Tyler Collins</t>
  </si>
  <si>
    <t>Collins</t>
  </si>
  <si>
    <t>Tyler Austin</t>
  </si>
  <si>
    <t>Tony Wolters</t>
  </si>
  <si>
    <t>Wolters</t>
  </si>
  <si>
    <t>Ichiro</t>
  </si>
  <si>
    <t>Ichiro Suzuki</t>
  </si>
  <si>
    <t>Brandon Moss</t>
  </si>
  <si>
    <t>Moss</t>
  </si>
  <si>
    <t>Miguel Andujar</t>
  </si>
  <si>
    <t>Andujar</t>
  </si>
  <si>
    <t>Ryan Hanigan</t>
  </si>
  <si>
    <t>Hanigan</t>
  </si>
  <si>
    <t>Odubel</t>
  </si>
  <si>
    <t>Odubel Herrera</t>
  </si>
  <si>
    <t>Dustin Garneau</t>
  </si>
  <si>
    <t>Garneau</t>
  </si>
  <si>
    <t>Cheslor</t>
  </si>
  <si>
    <t>Cheslor Cuthbert</t>
  </si>
  <si>
    <t>Cuthbert</t>
  </si>
  <si>
    <t>Justin Ruggiano</t>
  </si>
  <si>
    <t>Ruggiano</t>
  </si>
  <si>
    <t>John Hicks</t>
  </si>
  <si>
    <t>Tyler Wade</t>
  </si>
  <si>
    <t>Raul Mondesi</t>
  </si>
  <si>
    <t>Mondesi</t>
  </si>
  <si>
    <t>Ji-Man</t>
  </si>
  <si>
    <t>Ji-Man Choi</t>
  </si>
  <si>
    <t>Choi</t>
  </si>
  <si>
    <t>Nick Williams</t>
  </si>
  <si>
    <t>Tucker</t>
  </si>
  <si>
    <t>Tucker Barnhart</t>
  </si>
  <si>
    <t>Barnhart</t>
  </si>
  <si>
    <t>Drew Butera</t>
  </si>
  <si>
    <t>Butera</t>
  </si>
  <si>
    <t>Jose Peraza</t>
  </si>
  <si>
    <t>Peraza</t>
  </si>
  <si>
    <t>Jeimer</t>
  </si>
  <si>
    <t>Jeimer Candelario</t>
  </si>
  <si>
    <t>Candelario</t>
  </si>
  <si>
    <t>Cameron Rupp</t>
  </si>
  <si>
    <t>Rupp</t>
  </si>
  <si>
    <t>Andres</t>
  </si>
  <si>
    <t>Andres Blanco</t>
  </si>
  <si>
    <t>Stuart</t>
  </si>
  <si>
    <t>Stuart Turner</t>
  </si>
  <si>
    <t>Brock Stassi</t>
  </si>
  <si>
    <t>Stassi</t>
  </si>
  <si>
    <t>Mac</t>
  </si>
  <si>
    <t>Mac Williamson</t>
  </si>
  <si>
    <t>Williamson</t>
  </si>
  <si>
    <t>Chris Stewart</t>
  </si>
  <si>
    <t>Patrick Kivlehan</t>
  </si>
  <si>
    <t>Kivlehan</t>
  </si>
  <si>
    <t>Andrew Romine</t>
  </si>
  <si>
    <t>Rob Refsnyder</t>
  </si>
  <si>
    <t>Refsnyder</t>
  </si>
  <si>
    <t>Max Moroff</t>
  </si>
  <si>
    <t>Moroff</t>
  </si>
  <si>
    <t>Andrew Susac</t>
  </si>
  <si>
    <t>Susac</t>
  </si>
  <si>
    <t>Jett</t>
  </si>
  <si>
    <t>Jett Bandy</t>
  </si>
  <si>
    <t>Bandy</t>
  </si>
  <si>
    <t>Mason</t>
  </si>
  <si>
    <t>Mason Williams</t>
  </si>
  <si>
    <t>JaCoby</t>
  </si>
  <si>
    <t>JaCoby Jones</t>
  </si>
  <si>
    <t>Johnny Giavotella</t>
  </si>
  <si>
    <t>Giavotella</t>
  </si>
  <si>
    <t>Cameron Perkins</t>
  </si>
  <si>
    <t>Ty Kelly</t>
  </si>
  <si>
    <t>Jared Hoying</t>
  </si>
  <si>
    <t>Hoying</t>
  </si>
  <si>
    <t>Brett Phillips</t>
  </si>
  <si>
    <t>Ryder</t>
  </si>
  <si>
    <t>Ryder Jones</t>
  </si>
  <si>
    <t>Alex Mejia</t>
  </si>
  <si>
    <t>Orlando Calixte</t>
  </si>
  <si>
    <t>Calixte</t>
  </si>
  <si>
    <t>Jim Adduci</t>
  </si>
  <si>
    <t>Adduci</t>
  </si>
  <si>
    <t>Ryan Rua</t>
  </si>
  <si>
    <t>Rua</t>
  </si>
  <si>
    <t>Miguel Gomez</t>
  </si>
  <si>
    <t>Zack Granite</t>
  </si>
  <si>
    <t>Granite</t>
  </si>
  <si>
    <t>Phil Gosselin</t>
  </si>
  <si>
    <t>Gosselin</t>
  </si>
  <si>
    <t>Christian Arroyo</t>
  </si>
  <si>
    <t>Greg Bird</t>
  </si>
  <si>
    <t>Bird</t>
  </si>
  <si>
    <t>Paulo</t>
  </si>
  <si>
    <t>Paulo Orlando</t>
  </si>
  <si>
    <t>Lower leg</t>
  </si>
  <si>
    <t>Magneuris</t>
  </si>
  <si>
    <t>Magneuris Sierra</t>
  </si>
  <si>
    <t>Sierra</t>
  </si>
  <si>
    <t>Tyler Moore</t>
  </si>
  <si>
    <t>Jarrett</t>
  </si>
  <si>
    <t>Jarrett Parker</t>
  </si>
  <si>
    <t>Lewis</t>
  </si>
  <si>
    <t>Lewis Brinson</t>
  </si>
  <si>
    <t>Brinson</t>
  </si>
  <si>
    <t>Arismendy</t>
  </si>
  <si>
    <t>Arismendy Alcantara</t>
  </si>
  <si>
    <t>A.J. Ellis</t>
  </si>
  <si>
    <t>Ellis</t>
  </si>
  <si>
    <t>Michael Morse</t>
  </si>
  <si>
    <t>Morse</t>
  </si>
  <si>
    <t>Jesse Winker</t>
  </si>
  <si>
    <t>Winker</t>
  </si>
  <si>
    <t>OPR</t>
  </si>
  <si>
    <t>Houston</t>
  </si>
  <si>
    <t>NY Yankees</t>
  </si>
  <si>
    <t>LA Dodgers</t>
  </si>
  <si>
    <t>Colorado</t>
  </si>
  <si>
    <t>Milwaukee</t>
  </si>
  <si>
    <t>Arizona</t>
  </si>
  <si>
    <t>Texas</t>
  </si>
  <si>
    <t>Boston</t>
  </si>
  <si>
    <t>Seattle</t>
  </si>
  <si>
    <t>Tampa Bay</t>
  </si>
  <si>
    <t>Cincinnati</t>
  </si>
  <si>
    <t>Cleveland</t>
  </si>
  <si>
    <t>Miami</t>
  </si>
  <si>
    <t>Detroit</t>
  </si>
  <si>
    <t>NY Mets</t>
  </si>
  <si>
    <t>Atlanta</t>
  </si>
  <si>
    <t>Minnesota</t>
  </si>
  <si>
    <t>St. Louis</t>
  </si>
  <si>
    <t>Chicago Cubs</t>
  </si>
  <si>
    <t>Chicago Sox</t>
  </si>
  <si>
    <t>Baltimore</t>
  </si>
  <si>
    <t>Oakland</t>
  </si>
  <si>
    <t>Pittsburgh</t>
  </si>
  <si>
    <t>LA Angels</t>
  </si>
  <si>
    <t>Toronto</t>
  </si>
  <si>
    <t>Kansas City</t>
  </si>
  <si>
    <t>San Francisco</t>
  </si>
  <si>
    <t>Philadelphia</t>
  </si>
  <si>
    <t>San Diego</t>
  </si>
  <si>
    <t>hou</t>
  </si>
  <si>
    <t>was</t>
  </si>
  <si>
    <t>col</t>
  </si>
  <si>
    <t>mil</t>
  </si>
  <si>
    <t>ari</t>
  </si>
  <si>
    <t>tex</t>
  </si>
  <si>
    <t>bos</t>
  </si>
  <si>
    <t>sea</t>
  </si>
  <si>
    <t>cin</t>
  </si>
  <si>
    <t>cle</t>
  </si>
  <si>
    <t>mia</t>
  </si>
  <si>
    <t>det</t>
  </si>
  <si>
    <t>atl</t>
  </si>
  <si>
    <t>min</t>
  </si>
  <si>
    <t>bal</t>
  </si>
  <si>
    <t>nyy</t>
  </si>
  <si>
    <t>los</t>
  </si>
  <si>
    <t>nym</t>
  </si>
  <si>
    <t>stl</t>
  </si>
  <si>
    <t>chc</t>
  </si>
  <si>
    <t>cws</t>
  </si>
  <si>
    <t>oak</t>
  </si>
  <si>
    <t>pit</t>
  </si>
  <si>
    <t>laa</t>
  </si>
  <si>
    <t>tor</t>
  </si>
  <si>
    <t>sfg</t>
  </si>
  <si>
    <t>phi</t>
  </si>
  <si>
    <t>sdp</t>
  </si>
  <si>
    <t>Injured?</t>
  </si>
  <si>
    <t>kan</t>
  </si>
  <si>
    <t>Austin Adams</t>
  </si>
  <si>
    <t>Garrett Cooper</t>
  </si>
  <si>
    <t>Cooper</t>
  </si>
  <si>
    <t>Drew Robinson</t>
  </si>
  <si>
    <t>Corey Kluber</t>
  </si>
  <si>
    <t>Kluber</t>
  </si>
  <si>
    <t>Madison</t>
  </si>
  <si>
    <t>Madison Bumgarner</t>
  </si>
  <si>
    <t>Bumgarner</t>
  </si>
  <si>
    <t>Chris Archer</t>
  </si>
  <si>
    <t>Archer</t>
  </si>
  <si>
    <t>Carlos Carrasco</t>
  </si>
  <si>
    <t>Carrasco</t>
  </si>
  <si>
    <t>Jeff Samardzija</t>
  </si>
  <si>
    <t>Samardzija</t>
  </si>
  <si>
    <t>PHI@MIA</t>
  </si>
  <si>
    <t>Sonny</t>
  </si>
  <si>
    <t>Sonny Gray</t>
  </si>
  <si>
    <t>Trevor Cahill</t>
  </si>
  <si>
    <t>Cahill</t>
  </si>
  <si>
    <t>Jake Faria</t>
  </si>
  <si>
    <t>Faria</t>
  </si>
  <si>
    <t>Danny Salazar</t>
  </si>
  <si>
    <t>Salazar</t>
  </si>
  <si>
    <t>Sean Manaea</t>
  </si>
  <si>
    <t>Manaea</t>
  </si>
  <si>
    <t>Johnny Cueto</t>
  </si>
  <si>
    <t>Cueto</t>
  </si>
  <si>
    <t>Trevor Bauer</t>
  </si>
  <si>
    <t>Bauer</t>
  </si>
  <si>
    <t>Dinelson</t>
  </si>
  <si>
    <t>Dinelson Lamet</t>
  </si>
  <si>
    <t>Lamet</t>
  </si>
  <si>
    <t>Alex Cobb</t>
  </si>
  <si>
    <t>Cobb</t>
  </si>
  <si>
    <t>Jhoulys</t>
  </si>
  <si>
    <t>Jhoulys Chacin</t>
  </si>
  <si>
    <t>Chacin</t>
  </si>
  <si>
    <t>Mike Clevinger</t>
  </si>
  <si>
    <t>Clevinger</t>
  </si>
  <si>
    <t>Josh Tomlin</t>
  </si>
  <si>
    <t>Tomlin</t>
  </si>
  <si>
    <t>Jake Odorizzi</t>
  </si>
  <si>
    <t>Odorizzi</t>
  </si>
  <si>
    <t>Ty Blach</t>
  </si>
  <si>
    <t>Blach</t>
  </si>
  <si>
    <t>Jharel</t>
  </si>
  <si>
    <t>Jharel Cotton</t>
  </si>
  <si>
    <t>Cotton</t>
  </si>
  <si>
    <t>Matt Andriese</t>
  </si>
  <si>
    <t>Andriese</t>
  </si>
  <si>
    <t>Matt Moore</t>
  </si>
  <si>
    <t>Kendall</t>
  </si>
  <si>
    <t>Kendall Graveman</t>
  </si>
  <si>
    <t>Graveman</t>
  </si>
  <si>
    <t>Clayton Richard</t>
  </si>
  <si>
    <t>Paul Blackburn</t>
  </si>
  <si>
    <t>Blackburn</t>
  </si>
  <si>
    <t>Jose De Leon</t>
  </si>
  <si>
    <t>De Leon</t>
  </si>
  <si>
    <t>Daniel Gossett</t>
  </si>
  <si>
    <t>Gossett</t>
  </si>
  <si>
    <t>Blake Snell</t>
  </si>
  <si>
    <t>Snell</t>
  </si>
  <si>
    <t>Ryan Merritt</t>
  </si>
  <si>
    <t>Merritt</t>
  </si>
  <si>
    <t>Chris Bassitt</t>
  </si>
  <si>
    <t>Bassitt</t>
  </si>
  <si>
    <t>Matt Cain</t>
  </si>
  <si>
    <t>Zach Lee</t>
  </si>
  <si>
    <t>Lee</t>
  </si>
  <si>
    <t>Jesse Hahn</t>
  </si>
  <si>
    <t>Hahn</t>
  </si>
  <si>
    <t>Daniel Mengden</t>
  </si>
  <si>
    <t>Mengden</t>
  </si>
  <si>
    <t>Luis Perdomo</t>
  </si>
  <si>
    <t>Perdomo</t>
  </si>
  <si>
    <t>Robbie Erlin</t>
  </si>
  <si>
    <t>Erlin</t>
  </si>
  <si>
    <t>Colin</t>
  </si>
  <si>
    <t>Colin Rea</t>
  </si>
  <si>
    <t>Rea</t>
  </si>
  <si>
    <t>Raul Alcantara</t>
  </si>
  <si>
    <t>Erasmo</t>
  </si>
  <si>
    <t>Erasmo Ramirez</t>
  </si>
  <si>
    <t>Christian Friedrich</t>
  </si>
  <si>
    <t>Friedrich</t>
  </si>
  <si>
    <t>Jarred</t>
  </si>
  <si>
    <t>Jarred Cosart</t>
  </si>
  <si>
    <t>Cosart</t>
  </si>
  <si>
    <t>Miguel Diaz</t>
  </si>
  <si>
    <t>Bobby</t>
  </si>
  <si>
    <t>Bobby Wahl</t>
  </si>
  <si>
    <t>Wahl</t>
  </si>
  <si>
    <t>John Axford</t>
  </si>
  <si>
    <t>Axford</t>
  </si>
  <si>
    <t>Jose Alvarado</t>
  </si>
  <si>
    <t>Alvarado</t>
  </si>
  <si>
    <t>Nick Goody</t>
  </si>
  <si>
    <t>Goody</t>
  </si>
  <si>
    <t>Jose M.</t>
  </si>
  <si>
    <t>Jose M. Torres</t>
  </si>
  <si>
    <t>Frankie</t>
  </si>
  <si>
    <t>Frankie Montas</t>
  </si>
  <si>
    <t>Montas</t>
  </si>
  <si>
    <t>Reyes Moronta</t>
  </si>
  <si>
    <t>Moronta</t>
  </si>
  <si>
    <t>Kyle Crockett</t>
  </si>
  <si>
    <t>Crockett</t>
  </si>
  <si>
    <t>Alex Colome</t>
  </si>
  <si>
    <t>Colome</t>
  </si>
  <si>
    <t>Chase Whitley</t>
  </si>
  <si>
    <t>Whitley</t>
  </si>
  <si>
    <t>Sam Dyson</t>
  </si>
  <si>
    <t>Dan Otero</t>
  </si>
  <si>
    <t>Otero</t>
  </si>
  <si>
    <t>Cody Allen</t>
  </si>
  <si>
    <t>Phil Maton</t>
  </si>
  <si>
    <t>Maton</t>
  </si>
  <si>
    <t>Shawn Armstrong</t>
  </si>
  <si>
    <t>Armstrong</t>
  </si>
  <si>
    <t>Danny Farquhar</t>
  </si>
  <si>
    <t>Farquhar</t>
  </si>
  <si>
    <t>Cory</t>
  </si>
  <si>
    <t>Cory Gearrin</t>
  </si>
  <si>
    <t>Gearrin</t>
  </si>
  <si>
    <t>Zach Neal</t>
  </si>
  <si>
    <t>Neal</t>
  </si>
  <si>
    <t>Steven Okert</t>
  </si>
  <si>
    <t>Okert</t>
  </si>
  <si>
    <t>Adam Plutko</t>
  </si>
  <si>
    <t>Plutko</t>
  </si>
  <si>
    <t>Liam</t>
  </si>
  <si>
    <t>Liam Hendriks</t>
  </si>
  <si>
    <t>Hendriks</t>
  </si>
  <si>
    <t>Xavier</t>
  </si>
  <si>
    <t>Xavier Cedeno</t>
  </si>
  <si>
    <t>Cedeno</t>
  </si>
  <si>
    <t>Michael Brady</t>
  </si>
  <si>
    <t>Brady</t>
  </si>
  <si>
    <t>Ryan Garton</t>
  </si>
  <si>
    <t>Garton</t>
  </si>
  <si>
    <t>Dillon Overton</t>
  </si>
  <si>
    <t>Overton</t>
  </si>
  <si>
    <t>Chih-Wei</t>
  </si>
  <si>
    <t>Chih-Wei Hu</t>
  </si>
  <si>
    <t>Hu</t>
  </si>
  <si>
    <t>Josh Smith</t>
  </si>
  <si>
    <t>Kyle Crick</t>
  </si>
  <si>
    <t>Crick</t>
  </si>
  <si>
    <t>Chris Stratton</t>
  </si>
  <si>
    <t>Stratton</t>
  </si>
  <si>
    <t>Sean Doolittle</t>
  </si>
  <si>
    <t>Doolittle</t>
  </si>
  <si>
    <t>Ryan Buchter</t>
  </si>
  <si>
    <t>Buchter</t>
  </si>
  <si>
    <t>Zach McAllister</t>
  </si>
  <si>
    <t>McAllister</t>
  </si>
  <si>
    <t>George Kontos</t>
  </si>
  <si>
    <t>Kontos</t>
  </si>
  <si>
    <t>Boone</t>
  </si>
  <si>
    <t>Boone Logan</t>
  </si>
  <si>
    <t>Kevin Quackenbush</t>
  </si>
  <si>
    <t>Quackenbush</t>
  </si>
  <si>
    <t>Santiago Casilla</t>
  </si>
  <si>
    <t>Casilla</t>
  </si>
  <si>
    <t>Kirby</t>
  </si>
  <si>
    <t>Kirby Yates</t>
  </si>
  <si>
    <t>Yates</t>
  </si>
  <si>
    <t>Brandon Maurer</t>
  </si>
  <si>
    <t>Maurer</t>
  </si>
  <si>
    <t>Carter Capps</t>
  </si>
  <si>
    <t>Capps</t>
  </si>
  <si>
    <t>Ryan Madson</t>
  </si>
  <si>
    <t>Madson</t>
  </si>
  <si>
    <t>Brad Hand</t>
  </si>
  <si>
    <t>Hunter</t>
  </si>
  <si>
    <t>Hunter Strickland</t>
  </si>
  <si>
    <t>Strickland</t>
  </si>
  <si>
    <t>Josh Osich</t>
  </si>
  <si>
    <t>Osich</t>
  </si>
  <si>
    <t>Ryne Stanek</t>
  </si>
  <si>
    <t>Stanek</t>
  </si>
  <si>
    <t>Buddy Baumann</t>
  </si>
  <si>
    <t>Baumann</t>
  </si>
  <si>
    <t>Diego</t>
  </si>
  <si>
    <t>Diego Moreno</t>
  </si>
  <si>
    <t>Moreno</t>
  </si>
  <si>
    <t>Daniel Coulombe</t>
  </si>
  <si>
    <t>Coulombe</t>
  </si>
  <si>
    <t>Jered</t>
  </si>
  <si>
    <t>Jered Weaver</t>
  </si>
  <si>
    <t>Jose Valdez</t>
  </si>
  <si>
    <t>Derek Law</t>
  </si>
  <si>
    <t>Law</t>
  </si>
  <si>
    <t>Ryan Dull</t>
  </si>
  <si>
    <t>Dull</t>
  </si>
  <si>
    <t>Brad Boxberger</t>
  </si>
  <si>
    <t>Boxberger</t>
  </si>
  <si>
    <t>Bryan Shaw</t>
  </si>
  <si>
    <t>Mark Melancon</t>
  </si>
  <si>
    <t>Melancon</t>
  </si>
  <si>
    <t>Andrew Miller</t>
  </si>
  <si>
    <t>Wil</t>
  </si>
  <si>
    <t>Wil Myers</t>
  </si>
  <si>
    <t>Myers</t>
  </si>
  <si>
    <t>Hunter Renfroe</t>
  </si>
  <si>
    <t>Renfroe</t>
  </si>
  <si>
    <t>Khris</t>
  </si>
  <si>
    <t>Khris Davis</t>
  </si>
  <si>
    <t>Edwin Encarnacion</t>
  </si>
  <si>
    <t>Encarnacion</t>
  </si>
  <si>
    <t>Logan Morrison</t>
  </si>
  <si>
    <t>Morrison</t>
  </si>
  <si>
    <t>Manuel</t>
  </si>
  <si>
    <t>Manuel Margot</t>
  </si>
  <si>
    <t>Margot</t>
  </si>
  <si>
    <t>Dickerson</t>
  </si>
  <si>
    <t>Brandon Belt</t>
  </si>
  <si>
    <t>Belt</t>
  </si>
  <si>
    <t>Ryan Schimpf</t>
  </si>
  <si>
    <t>Schimpf</t>
  </si>
  <si>
    <t>Hunter Pence</t>
  </si>
  <si>
    <t>Pence</t>
  </si>
  <si>
    <t>Jose Pirela</t>
  </si>
  <si>
    <t>Pirela</t>
  </si>
  <si>
    <t>Steven Souza Jr.</t>
  </si>
  <si>
    <t>Souza Jr.</t>
  </si>
  <si>
    <t>Michael Brantley</t>
  </si>
  <si>
    <t>Brantley</t>
  </si>
  <si>
    <t>Cory Spangenberg</t>
  </si>
  <si>
    <t>Spangenberg</t>
  </si>
  <si>
    <t>Lonnie</t>
  </si>
  <si>
    <t>Lonnie Chisenhall</t>
  </si>
  <si>
    <t>Chisenhall</t>
  </si>
  <si>
    <t>Evan Longoria</t>
  </si>
  <si>
    <t>Longoria</t>
  </si>
  <si>
    <t>Yonder</t>
  </si>
  <si>
    <t>Yonder Alonso</t>
  </si>
  <si>
    <t>Alonso</t>
  </si>
  <si>
    <t>Erick</t>
  </si>
  <si>
    <t>Erick Aybar</t>
  </si>
  <si>
    <t>Aybar</t>
  </si>
  <si>
    <t>Corey Dickerson</t>
  </si>
  <si>
    <t>Buster</t>
  </si>
  <si>
    <t>Buster Posey</t>
  </si>
  <si>
    <t>Posey</t>
  </si>
  <si>
    <t>Francisco Lindor</t>
  </si>
  <si>
    <t>Lindor</t>
  </si>
  <si>
    <t>Eduardo Nunez</t>
  </si>
  <si>
    <t>Nunez</t>
  </si>
  <si>
    <t>Brandon Crawford</t>
  </si>
  <si>
    <t>Crawford</t>
  </si>
  <si>
    <t>Carlos Santana</t>
  </si>
  <si>
    <t>Joe Panik</t>
  </si>
  <si>
    <t>Panik</t>
  </si>
  <si>
    <t>Brad Miller</t>
  </si>
  <si>
    <t>Denard</t>
  </si>
  <si>
    <t>Denard Span</t>
  </si>
  <si>
    <t>Span</t>
  </si>
  <si>
    <t>Yangervis</t>
  </si>
  <si>
    <t>Yangervis Solarte</t>
  </si>
  <si>
    <t>Solarte</t>
  </si>
  <si>
    <t>Matt Joyce</t>
  </si>
  <si>
    <t>Joyce</t>
  </si>
  <si>
    <t>Mallex</t>
  </si>
  <si>
    <t>Mallex Smith</t>
  </si>
  <si>
    <t>Gorkys</t>
  </si>
  <si>
    <t>Gorkys Hernandez</t>
  </si>
  <si>
    <t>Tim Beckham</t>
  </si>
  <si>
    <t>Beckham</t>
  </si>
  <si>
    <t>Rajai</t>
  </si>
  <si>
    <t>Rajai Davis</t>
  </si>
  <si>
    <t>Ryon</t>
  </si>
  <si>
    <t>Ryon Healy</t>
  </si>
  <si>
    <t>Healy</t>
  </si>
  <si>
    <t>Bruce Maxwell</t>
  </si>
  <si>
    <t>Maxwell</t>
  </si>
  <si>
    <t>Jason Kipnis</t>
  </si>
  <si>
    <t>Kipnis</t>
  </si>
  <si>
    <t>Bradley Zimmer</t>
  </si>
  <si>
    <t>Zimmer</t>
  </si>
  <si>
    <t>Kevin Kiermaier</t>
  </si>
  <si>
    <t>Kiermaier</t>
  </si>
  <si>
    <t>Austin Jackson</t>
  </si>
  <si>
    <t>Quadriceps</t>
  </si>
  <si>
    <t>Wilson Ramos</t>
  </si>
  <si>
    <t>Jed</t>
  </si>
  <si>
    <t>Jed Lowrie</t>
  </si>
  <si>
    <t>Lowrie</t>
  </si>
  <si>
    <t>Franklin Barreto</t>
  </si>
  <si>
    <t>Barreto</t>
  </si>
  <si>
    <t>Marcus Semien</t>
  </si>
  <si>
    <t>Semien</t>
  </si>
  <si>
    <t>20784-5427</t>
  </si>
  <si>
    <t>Clayton Kershaw</t>
  </si>
  <si>
    <t>Kershaw</t>
  </si>
  <si>
    <t>LOS@SDP</t>
  </si>
  <si>
    <t>LOS</t>
  </si>
  <si>
    <t>20784-5481</t>
  </si>
  <si>
    <t>WAS@MIL</t>
  </si>
  <si>
    <t>20784-13627</t>
  </si>
  <si>
    <t>CLE@DET</t>
  </si>
  <si>
    <t>20784-12477</t>
  </si>
  <si>
    <t>BOS@NYY</t>
  </si>
  <si>
    <t>20784-10978</t>
  </si>
  <si>
    <t>20784-12921</t>
  </si>
  <si>
    <t>TAM@CWS</t>
  </si>
  <si>
    <t>CWS</t>
  </si>
  <si>
    <t>20784-60644</t>
  </si>
  <si>
    <t>20784-6311</t>
  </si>
  <si>
    <t>STL@SFG</t>
  </si>
  <si>
    <t>20784-21098</t>
  </si>
  <si>
    <t>OAK@SEA</t>
  </si>
  <si>
    <t>Pectoral</t>
  </si>
  <si>
    <t>20784-39686</t>
  </si>
  <si>
    <t>20784-16931</t>
  </si>
  <si>
    <t>20784-38028</t>
  </si>
  <si>
    <t>Alex Wood</t>
  </si>
  <si>
    <t>20784-53029</t>
  </si>
  <si>
    <t>Robbie Ray</t>
  </si>
  <si>
    <t>Ray</t>
  </si>
  <si>
    <t>ARI@COL</t>
  </si>
  <si>
    <t>ARI</t>
  </si>
  <si>
    <t>20784-6266</t>
  </si>
  <si>
    <t>20784-5784</t>
  </si>
  <si>
    <t>20784-21118</t>
  </si>
  <si>
    <t>20784-52268</t>
  </si>
  <si>
    <t>20784-60639</t>
  </si>
  <si>
    <t>KAN@MIN</t>
  </si>
  <si>
    <t>20784-13664</t>
  </si>
  <si>
    <t>Patrick Corbin</t>
  </si>
  <si>
    <t>Corbin</t>
  </si>
  <si>
    <t>20784-5522</t>
  </si>
  <si>
    <t>Zack Greinke</t>
  </si>
  <si>
    <t>Greinke</t>
  </si>
  <si>
    <t>20784-5320</t>
  </si>
  <si>
    <t>20784-16957</t>
  </si>
  <si>
    <t>TOR@BAL</t>
  </si>
  <si>
    <t>20784-16956</t>
  </si>
  <si>
    <t>CIN@PIT</t>
  </si>
  <si>
    <t>20784-5283</t>
  </si>
  <si>
    <t>20784-5983</t>
  </si>
  <si>
    <t>Rich</t>
  </si>
  <si>
    <t>Rich Hill</t>
  </si>
  <si>
    <t>20784-39041</t>
  </si>
  <si>
    <t>20784-17064</t>
  </si>
  <si>
    <t>20784-38000</t>
  </si>
  <si>
    <t>20784-60647</t>
  </si>
  <si>
    <t>20784-6149</t>
  </si>
  <si>
    <t>20784-68452</t>
  </si>
  <si>
    <t>Kenta</t>
  </si>
  <si>
    <t>Kenta Maeda</t>
  </si>
  <si>
    <t>Maeda</t>
  </si>
  <si>
    <t>20784-68561</t>
  </si>
  <si>
    <t>20784-5525</t>
  </si>
  <si>
    <t>LAA@TEX</t>
  </si>
  <si>
    <t>LAA</t>
  </si>
  <si>
    <t>20784-63827</t>
  </si>
  <si>
    <t>Zack Godley</t>
  </si>
  <si>
    <t>Godley</t>
  </si>
  <si>
    <t>20784-16959</t>
  </si>
  <si>
    <t>20784-13019</t>
  </si>
  <si>
    <t>Garrett Richards</t>
  </si>
  <si>
    <t>Richards</t>
  </si>
  <si>
    <t>20784-70559</t>
  </si>
  <si>
    <t>20784-38164</t>
  </si>
  <si>
    <t>20784-5659</t>
  </si>
  <si>
    <t>20784-13438</t>
  </si>
  <si>
    <t>20784-60633</t>
  </si>
  <si>
    <t>Carlos Rodon</t>
  </si>
  <si>
    <t>Rodon</t>
  </si>
  <si>
    <t>20784-38161</t>
  </si>
  <si>
    <t>20784-81614</t>
  </si>
  <si>
    <t>Thyago</t>
  </si>
  <si>
    <t>Thyago Vieira</t>
  </si>
  <si>
    <t>Vieira</t>
  </si>
  <si>
    <t>20784-52873</t>
  </si>
  <si>
    <t>20784-12946</t>
  </si>
  <si>
    <t>20784-23409</t>
  </si>
  <si>
    <t>20784-5661</t>
  </si>
  <si>
    <t>20784-13268</t>
  </si>
  <si>
    <t>20784-38101</t>
  </si>
  <si>
    <t>20784-38183</t>
  </si>
  <si>
    <t>20784-79162</t>
  </si>
  <si>
    <t>20784-5624</t>
  </si>
  <si>
    <t>Scott Kazmir</t>
  </si>
  <si>
    <t>Kazmir</t>
  </si>
  <si>
    <t>20784-65988</t>
  </si>
  <si>
    <t>20784-38003</t>
  </si>
  <si>
    <t>Alex Meyer</t>
  </si>
  <si>
    <t>Meyer</t>
  </si>
  <si>
    <t>20784-5498</t>
  </si>
  <si>
    <t>20784-79259</t>
  </si>
  <si>
    <t>20784-37014</t>
  </si>
  <si>
    <t>Hyun-Jin</t>
  </si>
  <si>
    <t>Hyun-Jin Ryu</t>
  </si>
  <si>
    <t>Ryu</t>
  </si>
  <si>
    <t>20784-6320</t>
  </si>
  <si>
    <t>20784-17164</t>
  </si>
  <si>
    <t>Matt Shoemaker</t>
  </si>
  <si>
    <t>Shoemaker</t>
  </si>
  <si>
    <t>20784-11354</t>
  </si>
  <si>
    <t>20784-53607</t>
  </si>
  <si>
    <t>20784-16919</t>
  </si>
  <si>
    <t>20784-80433</t>
  </si>
  <si>
    <t>20784-52155</t>
  </si>
  <si>
    <t>20784-5767</t>
  </si>
  <si>
    <t>20784-12455</t>
  </si>
  <si>
    <t>20784-16922</t>
  </si>
  <si>
    <t>20784-52194</t>
  </si>
  <si>
    <t>20784-38148</t>
  </si>
  <si>
    <t>20784-38306</t>
  </si>
  <si>
    <t>20784-5596</t>
  </si>
  <si>
    <t>20784-52142</t>
  </si>
  <si>
    <t>20784-5962</t>
  </si>
  <si>
    <t>Miguel Gonzalez</t>
  </si>
  <si>
    <t>20784-13123</t>
  </si>
  <si>
    <t>20784-68488</t>
  </si>
  <si>
    <t>20784-79147</t>
  </si>
  <si>
    <t>20784-68520</t>
  </si>
  <si>
    <t>20784-6206</t>
  </si>
  <si>
    <t>20784-58434</t>
  </si>
  <si>
    <t>20784-52166</t>
  </si>
  <si>
    <t>Julio Urias</t>
  </si>
  <si>
    <t>Urias</t>
  </si>
  <si>
    <t>20784-70624</t>
  </si>
  <si>
    <t>20784-52196</t>
  </si>
  <si>
    <t>20784-38246</t>
  </si>
  <si>
    <t>20784-21919</t>
  </si>
  <si>
    <t>20784-6048</t>
  </si>
  <si>
    <t>Brandon McCarthy</t>
  </si>
  <si>
    <t>20784-39127</t>
  </si>
  <si>
    <t>20784-52183</t>
  </si>
  <si>
    <t>20784-68662</t>
  </si>
  <si>
    <t>20784-37999</t>
  </si>
  <si>
    <t>20784-12175</t>
  </si>
  <si>
    <t>20784-10968</t>
  </si>
  <si>
    <t>20784-68484</t>
  </si>
  <si>
    <t>20784-68491</t>
  </si>
  <si>
    <t>Reynaldo</t>
  </si>
  <si>
    <t>Reynaldo Lopez</t>
  </si>
  <si>
    <t>20784-79936</t>
  </si>
  <si>
    <t>20784-80569</t>
  </si>
  <si>
    <t>20784-11088</t>
  </si>
  <si>
    <t>20784-68510</t>
  </si>
  <si>
    <t>20784-5125</t>
  </si>
  <si>
    <t>20784-5416</t>
  </si>
  <si>
    <t>20784-5431</t>
  </si>
  <si>
    <t>20784-5547</t>
  </si>
  <si>
    <t>20784-73301</t>
  </si>
  <si>
    <t>20784-5796</t>
  </si>
  <si>
    <t>20784-79951</t>
  </si>
  <si>
    <t>20784-73835</t>
  </si>
  <si>
    <t>20784-80344</t>
  </si>
  <si>
    <t>20784-80460</t>
  </si>
  <si>
    <t>20784-12936</t>
  </si>
  <si>
    <t>20784-12972</t>
  </si>
  <si>
    <t>20784-68527</t>
  </si>
  <si>
    <t>20784-52195</t>
  </si>
  <si>
    <t>20784-81044</t>
  </si>
  <si>
    <t>20784-73429</t>
  </si>
  <si>
    <t>Parker Bridwell</t>
  </si>
  <si>
    <t>Bridwell</t>
  </si>
  <si>
    <t>20784-63476</t>
  </si>
  <si>
    <t>20784-73880</t>
  </si>
  <si>
    <t>20784-16961</t>
  </si>
  <si>
    <t>20784-13107</t>
  </si>
  <si>
    <t>J.C.</t>
  </si>
  <si>
    <t>J.C. Ramirez</t>
  </si>
  <si>
    <t>20784-68483</t>
  </si>
  <si>
    <t>20784-52152</t>
  </si>
  <si>
    <t>20784-68653</t>
  </si>
  <si>
    <t>20784-11339</t>
  </si>
  <si>
    <t>20784-5258</t>
  </si>
  <si>
    <t>20784-5885</t>
  </si>
  <si>
    <t>20784-79853</t>
  </si>
  <si>
    <t>20784-53608</t>
  </si>
  <si>
    <t>20784-52167</t>
  </si>
  <si>
    <t>Andrew Heaney</t>
  </si>
  <si>
    <t>Heaney</t>
  </si>
  <si>
    <t>20784-11328</t>
  </si>
  <si>
    <t>20784-79252</t>
  </si>
  <si>
    <t>20784-5742</t>
  </si>
  <si>
    <t>Ricky</t>
  </si>
  <si>
    <t>Ricky Nolasco</t>
  </si>
  <si>
    <t>Nolasco</t>
  </si>
  <si>
    <t>20784-79825</t>
  </si>
  <si>
    <t>20784-12269</t>
  </si>
  <si>
    <t>20784-21096</t>
  </si>
  <si>
    <t>20784-21097</t>
  </si>
  <si>
    <t>Taijuan</t>
  </si>
  <si>
    <t>Taijuan Walker</t>
  </si>
  <si>
    <t>20784-68480</t>
  </si>
  <si>
    <t>20784-53070</t>
  </si>
  <si>
    <t>20784-6200</t>
  </si>
  <si>
    <t>20784-17116</t>
  </si>
  <si>
    <t>20784-5085</t>
  </si>
  <si>
    <t>20784-5197</t>
  </si>
  <si>
    <t>20784-5599</t>
  </si>
  <si>
    <t>20784-5892</t>
  </si>
  <si>
    <t>20784-53067</t>
  </si>
  <si>
    <t>20784-79882</t>
  </si>
  <si>
    <t>Austin Pruitt</t>
  </si>
  <si>
    <t>Pruitt</t>
  </si>
  <si>
    <t>20784-57717</t>
  </si>
  <si>
    <t>20784-68529</t>
  </si>
  <si>
    <t>20784-52165</t>
  </si>
  <si>
    <t>20784-60646</t>
  </si>
  <si>
    <t>20784-62872</t>
  </si>
  <si>
    <t>20784-71184</t>
  </si>
  <si>
    <t>20784-53001</t>
  </si>
  <si>
    <t>20784-23093</t>
  </si>
  <si>
    <t>20784-68517</t>
  </si>
  <si>
    <t>20784-68528</t>
  </si>
  <si>
    <t>20784-52198</t>
  </si>
  <si>
    <t>Lucas Giolito</t>
  </si>
  <si>
    <t>Giolito</t>
  </si>
  <si>
    <t>20784-11317</t>
  </si>
  <si>
    <t>20784-21600</t>
  </si>
  <si>
    <t>20784-60656</t>
  </si>
  <si>
    <t>20784-79109</t>
  </si>
  <si>
    <t>Tyler Mahle</t>
  </si>
  <si>
    <t>Mahle</t>
  </si>
  <si>
    <t>20784-79140</t>
  </si>
  <si>
    <t>20784-79192</t>
  </si>
  <si>
    <t>20784-5574</t>
  </si>
  <si>
    <t>20784-5615</t>
  </si>
  <si>
    <t>James Shields</t>
  </si>
  <si>
    <t>Shields</t>
  </si>
  <si>
    <t>20784-13872</t>
  </si>
  <si>
    <t>Tyler Skaggs</t>
  </si>
  <si>
    <t>Skaggs</t>
  </si>
  <si>
    <t>20784-52856</t>
  </si>
  <si>
    <t>20784-53043</t>
  </si>
  <si>
    <t>20784-12575</t>
  </si>
  <si>
    <t>20784-53590</t>
  </si>
  <si>
    <t>20784-21652</t>
  </si>
  <si>
    <t>20784-5505</t>
  </si>
  <si>
    <t>20784-62871</t>
  </si>
  <si>
    <t>20784-5711</t>
  </si>
  <si>
    <t>20784-8101</t>
  </si>
  <si>
    <t>20784-72376</t>
  </si>
  <si>
    <t>20784-11132</t>
  </si>
  <si>
    <t>20784-68479</t>
  </si>
  <si>
    <t>20784-70634</t>
  </si>
  <si>
    <t>20784-60653</t>
  </si>
  <si>
    <t>20784-79246</t>
  </si>
  <si>
    <t>Jack Flaherty</t>
  </si>
  <si>
    <t>20784-38311</t>
  </si>
  <si>
    <t>Ross Stripling</t>
  </si>
  <si>
    <t>Stripling</t>
  </si>
  <si>
    <t>20784-80381</t>
  </si>
  <si>
    <t>20784-80476</t>
  </si>
  <si>
    <t>20784-17118</t>
  </si>
  <si>
    <t>20784-17163</t>
  </si>
  <si>
    <t>20784-68468</t>
  </si>
  <si>
    <t>Tyler Danish</t>
  </si>
  <si>
    <t>Danish</t>
  </si>
  <si>
    <t>20784-68482</t>
  </si>
  <si>
    <t>20784-70573</t>
  </si>
  <si>
    <t>20784-64488</t>
  </si>
  <si>
    <t>20784-60632</t>
  </si>
  <si>
    <t>20784-13783</t>
  </si>
  <si>
    <t>20784-5673</t>
  </si>
  <si>
    <t>Jesse Chavez</t>
  </si>
  <si>
    <t>Chavez</t>
  </si>
  <si>
    <t>20784-81514</t>
  </si>
  <si>
    <t>Troy Scribner</t>
  </si>
  <si>
    <t>20784-5790</t>
  </si>
  <si>
    <t>20784-6234</t>
  </si>
  <si>
    <t>20784-73870</t>
  </si>
  <si>
    <t>20784-12468</t>
  </si>
  <si>
    <t>Undisclosed</t>
  </si>
  <si>
    <t>20784-17124</t>
  </si>
  <si>
    <t>20784-70517</t>
  </si>
  <si>
    <t>20784-11340</t>
  </si>
  <si>
    <t>20784-13415</t>
  </si>
  <si>
    <t>20784-81014</t>
  </si>
  <si>
    <t>20784-21638</t>
  </si>
  <si>
    <t>20784-54445</t>
  </si>
  <si>
    <t>20784-79066</t>
  </si>
  <si>
    <t>Anthony Banda</t>
  </si>
  <si>
    <t>Banda</t>
  </si>
  <si>
    <t>20784-5440</t>
  </si>
  <si>
    <t>20784-71187</t>
  </si>
  <si>
    <t>20784-79873</t>
  </si>
  <si>
    <t>Dylan Covey</t>
  </si>
  <si>
    <t>Covey</t>
  </si>
  <si>
    <t>20784-6151</t>
  </si>
  <si>
    <t>20784-79888</t>
  </si>
  <si>
    <t>20784-79895</t>
  </si>
  <si>
    <t>20784-6169</t>
  </si>
  <si>
    <t>20784-79901</t>
  </si>
  <si>
    <t>20784-79900</t>
  </si>
  <si>
    <t>20784-79903</t>
  </si>
  <si>
    <t>20784-79917</t>
  </si>
  <si>
    <t>20784-6192</t>
  </si>
  <si>
    <t>20784-38966</t>
  </si>
  <si>
    <t>Mike Morin</t>
  </si>
  <si>
    <t>Morin</t>
  </si>
  <si>
    <t>20784-79927</t>
  </si>
  <si>
    <t>20784-79930</t>
  </si>
  <si>
    <t>20784-71742</t>
  </si>
  <si>
    <t>Grant</t>
  </si>
  <si>
    <t>Grant Dayton</t>
  </si>
  <si>
    <t>Dayton</t>
  </si>
  <si>
    <t>20784-79937</t>
  </si>
  <si>
    <t>20784-38981</t>
  </si>
  <si>
    <t>20784-38982</t>
  </si>
  <si>
    <t>20784-79950</t>
  </si>
  <si>
    <t>20784-39003</t>
  </si>
  <si>
    <t>20784-73824</t>
  </si>
  <si>
    <t>20784-73828</t>
  </si>
  <si>
    <t>20784-73836</t>
  </si>
  <si>
    <t>Juan Minaya</t>
  </si>
  <si>
    <t>Minaya</t>
  </si>
  <si>
    <t>20784-79992</t>
  </si>
  <si>
    <t>20784-39043</t>
  </si>
  <si>
    <t>20784-73863</t>
  </si>
  <si>
    <t>20784-73862</t>
  </si>
  <si>
    <t>20784-73865</t>
  </si>
  <si>
    <t>20784-73866</t>
  </si>
  <si>
    <t>20784-12432</t>
  </si>
  <si>
    <t>20784-12435</t>
  </si>
  <si>
    <t>20784-73877</t>
  </si>
  <si>
    <t>20784-6295</t>
  </si>
  <si>
    <t>20784-73878</t>
  </si>
  <si>
    <t>Matt Koch</t>
  </si>
  <si>
    <t>Koch</t>
  </si>
  <si>
    <t>20784-6296</t>
  </si>
  <si>
    <t>20784-12442</t>
  </si>
  <si>
    <t>20784-73882</t>
  </si>
  <si>
    <t>20784-80033</t>
  </si>
  <si>
    <t>20784-80035</t>
  </si>
  <si>
    <t>20784-6307</t>
  </si>
  <si>
    <t>20784-80034</t>
  </si>
  <si>
    <t>20784-12452</t>
  </si>
  <si>
    <t>Kenley</t>
  </si>
  <si>
    <t>Kenley Jansen</t>
  </si>
  <si>
    <t>Jansen</t>
  </si>
  <si>
    <t>20784-12453</t>
  </si>
  <si>
    <t>20784-39081</t>
  </si>
  <si>
    <t>20784-12463</t>
  </si>
  <si>
    <t>20784-39101</t>
  </si>
  <si>
    <t>20784-12481</t>
  </si>
  <si>
    <t>20784-71875</t>
  </si>
  <si>
    <t>20784-39107</t>
  </si>
  <si>
    <t>20784-12523</t>
  </si>
  <si>
    <t>20784-73980</t>
  </si>
  <si>
    <t>20784-12561</t>
  </si>
  <si>
    <t>Chris Hatcher</t>
  </si>
  <si>
    <t>Hatcher</t>
  </si>
  <si>
    <t>20784-53523</t>
  </si>
  <si>
    <t>Chris Beck</t>
  </si>
  <si>
    <t>Beck</t>
  </si>
  <si>
    <t>20784-12581</t>
  </si>
  <si>
    <t>20784-63781</t>
  </si>
  <si>
    <t>20784-53551</t>
  </si>
  <si>
    <t>20784-12594</t>
  </si>
  <si>
    <t>20784-12675</t>
  </si>
  <si>
    <t>20784-61858</t>
  </si>
  <si>
    <t>20784-74147</t>
  </si>
  <si>
    <t>20784-65959</t>
  </si>
  <si>
    <t>20784-65961</t>
  </si>
  <si>
    <t>20784-57770</t>
  </si>
  <si>
    <t>20784-65968</t>
  </si>
  <si>
    <t>Silvino</t>
  </si>
  <si>
    <t>Silvino Bracho</t>
  </si>
  <si>
    <t>Bracho</t>
  </si>
  <si>
    <t>20784-80318</t>
  </si>
  <si>
    <t>20784-65987</t>
  </si>
  <si>
    <t>20784-80345</t>
  </si>
  <si>
    <t>20784-80346</t>
  </si>
  <si>
    <t>20784-53753</t>
  </si>
  <si>
    <t>Jimmie</t>
  </si>
  <si>
    <t>Jimmie Sherfy</t>
  </si>
  <si>
    <t>Sherfy</t>
  </si>
  <si>
    <t>20784-53755</t>
  </si>
  <si>
    <t>Hunter Cervenka</t>
  </si>
  <si>
    <t>Cervenka</t>
  </si>
  <si>
    <t>20784-53765</t>
  </si>
  <si>
    <t>20784-80409</t>
  </si>
  <si>
    <t>20784-53801</t>
  </si>
  <si>
    <t>20784-64044</t>
  </si>
  <si>
    <t>20784-64047</t>
  </si>
  <si>
    <t>20784-80432</t>
  </si>
  <si>
    <t>20784-12859</t>
  </si>
  <si>
    <t>20784-12860</t>
  </si>
  <si>
    <t>20784-80446</t>
  </si>
  <si>
    <t>20784-80463</t>
  </si>
  <si>
    <t>20784-16982</t>
  </si>
  <si>
    <t>20784-16986</t>
  </si>
  <si>
    <t>20784-16991</t>
  </si>
  <si>
    <t>20784-17000</t>
  </si>
  <si>
    <t>20784-17002</t>
  </si>
  <si>
    <t>20784-17005</t>
  </si>
  <si>
    <t>20784-23151</t>
  </si>
  <si>
    <t>20784-12920</t>
  </si>
  <si>
    <t>Randall</t>
  </si>
  <si>
    <t>Randall Delgado</t>
  </si>
  <si>
    <t>Delgado</t>
  </si>
  <si>
    <t>20784-17016</t>
  </si>
  <si>
    <t>J.J. Hoover</t>
  </si>
  <si>
    <t>Hoover</t>
  </si>
  <si>
    <t>20784-17017</t>
  </si>
  <si>
    <t>20784-17018</t>
  </si>
  <si>
    <t>20784-70271</t>
  </si>
  <si>
    <t>20784-12927</t>
  </si>
  <si>
    <t>20784-12929</t>
  </si>
  <si>
    <t>20784-17026</t>
  </si>
  <si>
    <t>20784-70276</t>
  </si>
  <si>
    <t>20784-12934</t>
  </si>
  <si>
    <t>20784-21126</t>
  </si>
  <si>
    <t>20784-62087</t>
  </si>
  <si>
    <t>20784-17036</t>
  </si>
  <si>
    <t>20784-17037</t>
  </si>
  <si>
    <t>20784-12944</t>
  </si>
  <si>
    <t>Simon</t>
  </si>
  <si>
    <t>Simon Castro</t>
  </si>
  <si>
    <t>20784-17054</t>
  </si>
  <si>
    <t>20784-12959</t>
  </si>
  <si>
    <t>Pedro Beato</t>
  </si>
  <si>
    <t>Beato</t>
  </si>
  <si>
    <t>20784-17058</t>
  </si>
  <si>
    <t>Blake Parker</t>
  </si>
  <si>
    <t>20784-17061</t>
  </si>
  <si>
    <t>20784-17065</t>
  </si>
  <si>
    <t>20784-80567</t>
  </si>
  <si>
    <t>20784-72379</t>
  </si>
  <si>
    <t>20784-80571</t>
  </si>
  <si>
    <t>20784-80570</t>
  </si>
  <si>
    <t>20784-53953</t>
  </si>
  <si>
    <t>20784-17094</t>
  </si>
  <si>
    <t>20784-80582</t>
  </si>
  <si>
    <t>20784-70345</t>
  </si>
  <si>
    <t>20784-70351</t>
  </si>
  <si>
    <t>20784-13010</t>
  </si>
  <si>
    <t>20784-17109</t>
  </si>
  <si>
    <t>20784-17112</t>
  </si>
  <si>
    <t>20784-21211</t>
  </si>
  <si>
    <t>20784-13025</t>
  </si>
  <si>
    <t>Pedro Baez</t>
  </si>
  <si>
    <t>20784-17123</t>
  </si>
  <si>
    <t>20784-53990</t>
  </si>
  <si>
    <t>20784-13031</t>
  </si>
  <si>
    <t>Rubby</t>
  </si>
  <si>
    <t>Rubby De La Rosa</t>
  </si>
  <si>
    <t>De La Rosa</t>
  </si>
  <si>
    <t>20784-17133</t>
  </si>
  <si>
    <t>20784-62196</t>
  </si>
  <si>
    <t>20784-17146</t>
  </si>
  <si>
    <t>20784-13068</t>
  </si>
  <si>
    <t>20784-68370</t>
  </si>
  <si>
    <t>20784-13077</t>
  </si>
  <si>
    <t>20784-13078</t>
  </si>
  <si>
    <t>20784-13116</t>
  </si>
  <si>
    <t>20784-70470</t>
  </si>
  <si>
    <t>Albert Suarez</t>
  </si>
  <si>
    <t>20784-13140</t>
  </si>
  <si>
    <t>20784-13141</t>
  </si>
  <si>
    <t>Brett Oberholtzer</t>
  </si>
  <si>
    <t>Oberholtzer</t>
  </si>
  <si>
    <t>20784-62297</t>
  </si>
  <si>
    <t>Tyler Olson</t>
  </si>
  <si>
    <t>20784-11108</t>
  </si>
  <si>
    <t>20784-68458</t>
  </si>
  <si>
    <t>20784-70510</t>
  </si>
  <si>
    <t>20784-54130</t>
  </si>
  <si>
    <t>20784-68466</t>
  </si>
  <si>
    <t>20784-70514</t>
  </si>
  <si>
    <t>20784-68469</t>
  </si>
  <si>
    <t>20784-15225</t>
  </si>
  <si>
    <t>20784-68474</t>
  </si>
  <si>
    <t>20784-68476</t>
  </si>
  <si>
    <t>20784-13183</t>
  </si>
  <si>
    <t>20784-13184</t>
  </si>
  <si>
    <t>20784-13192</t>
  </si>
  <si>
    <t>20784-15242</t>
  </si>
  <si>
    <t>20784-80787</t>
  </si>
  <si>
    <t>20784-80786</t>
  </si>
  <si>
    <t>20784-80790</t>
  </si>
  <si>
    <t>20784-68505</t>
  </si>
  <si>
    <t>Carson Fulmer</t>
  </si>
  <si>
    <t>20784-70569</t>
  </si>
  <si>
    <t>Daniel Wright</t>
  </si>
  <si>
    <t>20784-70576</t>
  </si>
  <si>
    <t>20784-68530</t>
  </si>
  <si>
    <t>20784-70578</t>
  </si>
  <si>
    <t>20784-70585</t>
  </si>
  <si>
    <t>20784-13241</t>
  </si>
  <si>
    <t>20784-70584</t>
  </si>
  <si>
    <t>20784-68540</t>
  </si>
  <si>
    <t>20784-64446</t>
  </si>
  <si>
    <t>20784-68543</t>
  </si>
  <si>
    <t>20784-52163</t>
  </si>
  <si>
    <t>20784-68548</t>
  </si>
  <si>
    <t>20784-68553</t>
  </si>
  <si>
    <t>20784-13258</t>
  </si>
  <si>
    <t>20784-68564</t>
  </si>
  <si>
    <t>Erick Fedde</t>
  </si>
  <si>
    <t>Fedde</t>
  </si>
  <si>
    <t>20784-13270</t>
  </si>
  <si>
    <t>20784-62426</t>
  </si>
  <si>
    <t>20784-80859</t>
  </si>
  <si>
    <t>20784-52188</t>
  </si>
  <si>
    <t>Clayton Blackburn</t>
  </si>
  <si>
    <t>20784-52190</t>
  </si>
  <si>
    <t>20784-5087</t>
  </si>
  <si>
    <t>Huston</t>
  </si>
  <si>
    <t>Huston Street</t>
  </si>
  <si>
    <t>Street</t>
  </si>
  <si>
    <t>20784-52191</t>
  </si>
  <si>
    <t>20784-5091</t>
  </si>
  <si>
    <t>20784-70629</t>
  </si>
  <si>
    <t>20784-15336</t>
  </si>
  <si>
    <t>20784-5097</t>
  </si>
  <si>
    <t>Mike Pelfrey</t>
  </si>
  <si>
    <t>Pelfrey</t>
  </si>
  <si>
    <t>20784-62444</t>
  </si>
  <si>
    <t>20784-5107</t>
  </si>
  <si>
    <t>Sergio</t>
  </si>
  <si>
    <t>Sergio Romo</t>
  </si>
  <si>
    <t>Romo</t>
  </si>
  <si>
    <t>20784-62460</t>
  </si>
  <si>
    <t>Severino Gonzalez</t>
  </si>
  <si>
    <t>20784-68619</t>
  </si>
  <si>
    <t>20784-68641</t>
  </si>
  <si>
    <t>20784-68654</t>
  </si>
  <si>
    <t>20784-68661</t>
  </si>
  <si>
    <t>20784-68660</t>
  </si>
  <si>
    <t>Tim Melville</t>
  </si>
  <si>
    <t>Melville</t>
  </si>
  <si>
    <t>20784-11325</t>
  </si>
  <si>
    <t>20784-21565</t>
  </si>
  <si>
    <t>20784-11327</t>
  </si>
  <si>
    <t>20784-11329</t>
  </si>
  <si>
    <t>20784-58433</t>
  </si>
  <si>
    <t>20784-11333</t>
  </si>
  <si>
    <t>20784-13383</t>
  </si>
  <si>
    <t>20784-5203</t>
  </si>
  <si>
    <t>Fernando Rodney</t>
  </si>
  <si>
    <t>Rodney</t>
  </si>
  <si>
    <t>20784-13399</t>
  </si>
  <si>
    <t>20784-13403</t>
  </si>
  <si>
    <t>20784-5214</t>
  </si>
  <si>
    <t>Anthony Swarzak</t>
  </si>
  <si>
    <t>Swarzak</t>
  </si>
  <si>
    <t>20784-72809</t>
  </si>
  <si>
    <t>20784-13418</t>
  </si>
  <si>
    <t>20784-5230</t>
  </si>
  <si>
    <t>20784-38001</t>
  </si>
  <si>
    <t>20784-38007</t>
  </si>
  <si>
    <t>Jose Alvarez</t>
  </si>
  <si>
    <t>20784-38014</t>
  </si>
  <si>
    <t>Justin Marks</t>
  </si>
  <si>
    <t>Marks</t>
  </si>
  <si>
    <t>20784-5251</t>
  </si>
  <si>
    <t>20784-54403</t>
  </si>
  <si>
    <t>20784-13458</t>
  </si>
  <si>
    <t>Nate Jones</t>
  </si>
  <si>
    <t>20784-38036</t>
  </si>
  <si>
    <t>T.J. McFarland</t>
  </si>
  <si>
    <t>McFarland</t>
  </si>
  <si>
    <t>20784-21653</t>
  </si>
  <si>
    <t>20784-5270</t>
  </si>
  <si>
    <t>David Hernandez</t>
  </si>
  <si>
    <t>20784-38041</t>
  </si>
  <si>
    <t>20784-81051</t>
  </si>
  <si>
    <t>Caleb Smith</t>
  </si>
  <si>
    <t>20784-38043</t>
  </si>
  <si>
    <t>20784-38044</t>
  </si>
  <si>
    <t>Adam Liberatore</t>
  </si>
  <si>
    <t>Liberatore</t>
  </si>
  <si>
    <t>20784-81052</t>
  </si>
  <si>
    <t>Andrew Kittredge</t>
  </si>
  <si>
    <t>Kittredge</t>
  </si>
  <si>
    <t>20784-38051</t>
  </si>
  <si>
    <t>20784-13479</t>
  </si>
  <si>
    <t>20784-38061</t>
  </si>
  <si>
    <t>20784-21679</t>
  </si>
  <si>
    <t>20784-38065</t>
  </si>
  <si>
    <t>20784-21682</t>
  </si>
  <si>
    <t>20784-13494</t>
  </si>
  <si>
    <t>20784-81088</t>
  </si>
  <si>
    <t>Kyle Martin</t>
  </si>
  <si>
    <t>20784-38083</t>
  </si>
  <si>
    <t>20784-38084</t>
  </si>
  <si>
    <t>20784-5321</t>
  </si>
  <si>
    <t>20784-66765</t>
  </si>
  <si>
    <t>20784-60628</t>
  </si>
  <si>
    <t>Braden</t>
  </si>
  <si>
    <t>Braden Shipley</t>
  </si>
  <si>
    <t>Shipley</t>
  </si>
  <si>
    <t>20784-38106</t>
  </si>
  <si>
    <t>20784-13534</t>
  </si>
  <si>
    <t>Javy</t>
  </si>
  <si>
    <t>Javy Guerra</t>
  </si>
  <si>
    <t>20784-38113</t>
  </si>
  <si>
    <t>TJ</t>
  </si>
  <si>
    <t>TJ House</t>
  </si>
  <si>
    <t>House</t>
  </si>
  <si>
    <t>20784-38115</t>
  </si>
  <si>
    <t>Josh Ravin</t>
  </si>
  <si>
    <t>Ravin</t>
  </si>
  <si>
    <t>20784-38122</t>
  </si>
  <si>
    <t>Jake Petricka</t>
  </si>
  <si>
    <t>Petricka</t>
  </si>
  <si>
    <t>20784-38124</t>
  </si>
  <si>
    <t>20784-70897</t>
  </si>
  <si>
    <t>20784-5362</t>
  </si>
  <si>
    <t>20784-38135</t>
  </si>
  <si>
    <t>20784-13564</t>
  </si>
  <si>
    <t>20784-38141</t>
  </si>
  <si>
    <t>20784-38142</t>
  </si>
  <si>
    <t>20784-38144</t>
  </si>
  <si>
    <t>20784-5384</t>
  </si>
  <si>
    <t>20784-72971</t>
  </si>
  <si>
    <t>20784-38158</t>
  </si>
  <si>
    <t>20784-38162</t>
  </si>
  <si>
    <t>20784-70933</t>
  </si>
  <si>
    <t>Brock Stewart</t>
  </si>
  <si>
    <t>20784-79124</t>
  </si>
  <si>
    <t>20784-38172</t>
  </si>
  <si>
    <t>20784-21789</t>
  </si>
  <si>
    <t>20784-38174</t>
  </si>
  <si>
    <t>20784-21793</t>
  </si>
  <si>
    <t>20784-5411</t>
  </si>
  <si>
    <t>20784-5415</t>
  </si>
  <si>
    <t>20784-38188</t>
  </si>
  <si>
    <t>Josh Fields</t>
  </si>
  <si>
    <t>Fields</t>
  </si>
  <si>
    <t>20784-38189</t>
  </si>
  <si>
    <t>20784-38203</t>
  </si>
  <si>
    <t>David Holmberg</t>
  </si>
  <si>
    <t>Holmberg</t>
  </si>
  <si>
    <t>20784-13635</t>
  </si>
  <si>
    <t>20784-13637</t>
  </si>
  <si>
    <t>Dan Jennings</t>
  </si>
  <si>
    <t>Jennings</t>
  </si>
  <si>
    <t>20784-38214</t>
  </si>
  <si>
    <t>Andrew Albers</t>
  </si>
  <si>
    <t>20784-38215</t>
  </si>
  <si>
    <t>20784-38217</t>
  </si>
  <si>
    <t>Tommy Kahnle</t>
  </si>
  <si>
    <t>Kahnle</t>
  </si>
  <si>
    <t>20784-38251</t>
  </si>
  <si>
    <t>20784-5484</t>
  </si>
  <si>
    <t>20784-79214</t>
  </si>
  <si>
    <t>20784-23926</t>
  </si>
  <si>
    <t>20784-62857</t>
  </si>
  <si>
    <t>20784-38285</t>
  </si>
  <si>
    <t>20784-38287</t>
  </si>
  <si>
    <t>20784-79251</t>
  </si>
  <si>
    <t>20784-13720</t>
  </si>
  <si>
    <t>20784-79258</t>
  </si>
  <si>
    <t>20784-38303</t>
  </si>
  <si>
    <t>Andrew Chafin</t>
  </si>
  <si>
    <t>Chafin</t>
  </si>
  <si>
    <t>20784-38304</t>
  </si>
  <si>
    <t>Archie</t>
  </si>
  <si>
    <t>Archie Bradley</t>
  </si>
  <si>
    <t>20784-13735</t>
  </si>
  <si>
    <t>20784-5566</t>
  </si>
  <si>
    <t>20784-40382</t>
  </si>
  <si>
    <t>20784-52673</t>
  </si>
  <si>
    <t>20784-73158</t>
  </si>
  <si>
    <t>Damien</t>
  </si>
  <si>
    <t>Damien Magnifico</t>
  </si>
  <si>
    <t>Magnifico</t>
  </si>
  <si>
    <t>20784-5579</t>
  </si>
  <si>
    <t>20784-5587</t>
  </si>
  <si>
    <t>20784-5600</t>
  </si>
  <si>
    <t>Andrew Bailey</t>
  </si>
  <si>
    <t>20784-52716</t>
  </si>
  <si>
    <t>Cody Martin</t>
  </si>
  <si>
    <t>20784-52727</t>
  </si>
  <si>
    <t>Jake Barrett</t>
  </si>
  <si>
    <t>20784-52728</t>
  </si>
  <si>
    <t>20784-52733</t>
  </si>
  <si>
    <t>20784-62983</t>
  </si>
  <si>
    <t>20784-71189</t>
  </si>
  <si>
    <t>Brooks</t>
  </si>
  <si>
    <t>Brooks Pounders</t>
  </si>
  <si>
    <t>Pounders</t>
  </si>
  <si>
    <t>20784-71188</t>
  </si>
  <si>
    <t>Steven Brault</t>
  </si>
  <si>
    <t>Brault</t>
  </si>
  <si>
    <t>20784-71190</t>
  </si>
  <si>
    <t>20784-5658</t>
  </si>
  <si>
    <t>20784-58913</t>
  </si>
  <si>
    <t>20784-5672</t>
  </si>
  <si>
    <t>20784-5680</t>
  </si>
  <si>
    <t>20784-5683</t>
  </si>
  <si>
    <t>20784-71218</t>
  </si>
  <si>
    <t>20784-5686</t>
  </si>
  <si>
    <t>20784-5688</t>
  </si>
  <si>
    <t>20784-5708</t>
  </si>
  <si>
    <t>20784-81489</t>
  </si>
  <si>
    <t>Edward</t>
  </si>
  <si>
    <t>Edward Paredes</t>
  </si>
  <si>
    <t>Paredes</t>
  </si>
  <si>
    <t>20784-81488</t>
  </si>
  <si>
    <t>Jose Ruiz</t>
  </si>
  <si>
    <t>20784-5714</t>
  </si>
  <si>
    <t>20784-81494</t>
  </si>
  <si>
    <t>Kyle Lloyd</t>
  </si>
  <si>
    <t>Lloyd</t>
  </si>
  <si>
    <t>20784-5722</t>
  </si>
  <si>
    <t>20784-81507</t>
  </si>
  <si>
    <t>Aaron Bummer</t>
  </si>
  <si>
    <t>Bummer</t>
  </si>
  <si>
    <t>20784-5735</t>
  </si>
  <si>
    <t>David Robertson</t>
  </si>
  <si>
    <t>20784-81510</t>
  </si>
  <si>
    <t>Kyle McGrath</t>
  </si>
  <si>
    <t>McGrath</t>
  </si>
  <si>
    <t>20784-81512</t>
  </si>
  <si>
    <t>Jesen</t>
  </si>
  <si>
    <t>Jesen Therrien</t>
  </si>
  <si>
    <t>Therrien</t>
  </si>
  <si>
    <t>20784-5741</t>
  </si>
  <si>
    <t>Bud</t>
  </si>
  <si>
    <t>Bud Norris</t>
  </si>
  <si>
    <t>20784-5743</t>
  </si>
  <si>
    <t>Yusmeiro</t>
  </si>
  <si>
    <t>Yusmeiro Petit</t>
  </si>
  <si>
    <t>Petit</t>
  </si>
  <si>
    <t>20784-5752</t>
  </si>
  <si>
    <t>20784-52857</t>
  </si>
  <si>
    <t>20784-81531</t>
  </si>
  <si>
    <t>Drew Anderson</t>
  </si>
  <si>
    <t>20784-52865</t>
  </si>
  <si>
    <t>20784-42626</t>
  </si>
  <si>
    <t>20784-5764</t>
  </si>
  <si>
    <t>Derek Holland</t>
  </si>
  <si>
    <t>20784-52871</t>
  </si>
  <si>
    <t>20784-52874</t>
  </si>
  <si>
    <t>20784-52877</t>
  </si>
  <si>
    <t>20784-52879</t>
  </si>
  <si>
    <t>20784-5789</t>
  </si>
  <si>
    <t>20784-81567</t>
  </si>
  <si>
    <t>Taylor Cole</t>
  </si>
  <si>
    <t>20784-63136</t>
  </si>
  <si>
    <t>20784-13992</t>
  </si>
  <si>
    <t>Luis Avilan</t>
  </si>
  <si>
    <t>Avilan</t>
  </si>
  <si>
    <t>20784-81584</t>
  </si>
  <si>
    <t>Ricky Rodriguez</t>
  </si>
  <si>
    <t>20784-81595</t>
  </si>
  <si>
    <t>Chris Rowley</t>
  </si>
  <si>
    <t>Rowley</t>
  </si>
  <si>
    <t>20784-81594</t>
  </si>
  <si>
    <t>Dietrich Enns</t>
  </si>
  <si>
    <t>Enns</t>
  </si>
  <si>
    <t>20784-5829</t>
  </si>
  <si>
    <t>20784-5834</t>
  </si>
  <si>
    <t>20784-54989</t>
  </si>
  <si>
    <t>20784-81615</t>
  </si>
  <si>
    <t>Tim Mayza</t>
  </si>
  <si>
    <t>Mayza</t>
  </si>
  <si>
    <t>20784-81620</t>
  </si>
  <si>
    <t>Aaron Slegers</t>
  </si>
  <si>
    <t>Slegers</t>
  </si>
  <si>
    <t>20784-14039</t>
  </si>
  <si>
    <t>20784-81628</t>
  </si>
  <si>
    <t>Josh Lucas</t>
  </si>
  <si>
    <t>20784-14047</t>
  </si>
  <si>
    <t>20784-14049</t>
  </si>
  <si>
    <t>20784-81634</t>
  </si>
  <si>
    <t>Nick Gardewine</t>
  </si>
  <si>
    <t>Gardewine</t>
  </si>
  <si>
    <t>20784-81641</t>
  </si>
  <si>
    <t>John Curtiss</t>
  </si>
  <si>
    <t>Curtiss</t>
  </si>
  <si>
    <t>20784-81640</t>
  </si>
  <si>
    <t>Yacksel</t>
  </si>
  <si>
    <t>Yacksel Rios</t>
  </si>
  <si>
    <t>Rios</t>
  </si>
  <si>
    <t>20784-81643</t>
  </si>
  <si>
    <t>Angel</t>
  </si>
  <si>
    <t>Angel Sanchez</t>
  </si>
  <si>
    <t>20784-81644</t>
  </si>
  <si>
    <t>Ryan Sherriff</t>
  </si>
  <si>
    <t>Sherriff</t>
  </si>
  <si>
    <t>20784-52986</t>
  </si>
  <si>
    <t>Drew VerHagen</t>
  </si>
  <si>
    <t>VerHagen</t>
  </si>
  <si>
    <t>20784-71421</t>
  </si>
  <si>
    <t>20784-81663</t>
  </si>
  <si>
    <t>Alejandro</t>
  </si>
  <si>
    <t>Alejandro Chacin</t>
  </si>
  <si>
    <t>20784-81664</t>
  </si>
  <si>
    <t>Zac Reininger</t>
  </si>
  <si>
    <t>Reininger</t>
  </si>
  <si>
    <t>20784-52998</t>
  </si>
  <si>
    <t>Aaron Brooks</t>
  </si>
  <si>
    <t>20784-14103</t>
  </si>
  <si>
    <t>20784-53017</t>
  </si>
  <si>
    <t>20784-53021</t>
  </si>
  <si>
    <t>20784-53025</t>
  </si>
  <si>
    <t>20784-53045</t>
  </si>
  <si>
    <t>20784-53048</t>
  </si>
  <si>
    <t>Cam</t>
  </si>
  <si>
    <t>Cam Bedrosian</t>
  </si>
  <si>
    <t>Bedrosian</t>
  </si>
  <si>
    <t>20784-63290</t>
  </si>
  <si>
    <t>Jeff Ferrell</t>
  </si>
  <si>
    <t>Ferrell</t>
  </si>
  <si>
    <t>20784-14143</t>
  </si>
  <si>
    <t>20784-5967</t>
  </si>
  <si>
    <t>20784-6010</t>
  </si>
  <si>
    <t>20784-73601</t>
  </si>
  <si>
    <t>Vicente</t>
  </si>
  <si>
    <t>Vicente Campos</t>
  </si>
  <si>
    <t>20784-6018</t>
  </si>
  <si>
    <t>20784-12180</t>
  </si>
  <si>
    <t>20784-42902</t>
  </si>
  <si>
    <t>Onelki</t>
  </si>
  <si>
    <t>Onelki Garcia</t>
  </si>
  <si>
    <t>20784-6052</t>
  </si>
  <si>
    <t>20784-6054</t>
  </si>
  <si>
    <t>20784-12198</t>
  </si>
  <si>
    <t>20784-6057</t>
  </si>
  <si>
    <t>20784-6067</t>
  </si>
  <si>
    <t>Brandon Morrow</t>
  </si>
  <si>
    <t>Morrow</t>
  </si>
  <si>
    <t>20784-6081</t>
  </si>
  <si>
    <t>20784-71636</t>
  </si>
  <si>
    <t>20784-6107</t>
  </si>
  <si>
    <t>20784-12256</t>
  </si>
  <si>
    <t>20784-12257</t>
  </si>
  <si>
    <t>20784-12968</t>
  </si>
  <si>
    <t>Paul Goldschmidt</t>
  </si>
  <si>
    <t>Goldschmidt</t>
  </si>
  <si>
    <t>20784-13229</t>
  </si>
  <si>
    <t>20784-13540</t>
  </si>
  <si>
    <t>20784-12302</t>
  </si>
  <si>
    <t>20784-12933</t>
  </si>
  <si>
    <t>Mike Trout</t>
  </si>
  <si>
    <t>Trout</t>
  </si>
  <si>
    <t>20784-12970</t>
  </si>
  <si>
    <t>A.J. Pollock</t>
  </si>
  <si>
    <t>Pollock</t>
  </si>
  <si>
    <t>20784-21172</t>
  </si>
  <si>
    <t>Brandon Drury</t>
  </si>
  <si>
    <t>Drury</t>
  </si>
  <si>
    <t>20784-79215</t>
  </si>
  <si>
    <t>Rhys</t>
  </si>
  <si>
    <t>Rhys Hoskins</t>
  </si>
  <si>
    <t>Hoskins</t>
  </si>
  <si>
    <t>20784-13719</t>
  </si>
  <si>
    <t>20784-5832</t>
  </si>
  <si>
    <t>20784-16952</t>
  </si>
  <si>
    <t>20784-13096</t>
  </si>
  <si>
    <t>20784-38196</t>
  </si>
  <si>
    <t>Jake Lamb</t>
  </si>
  <si>
    <t>Lamb</t>
  </si>
  <si>
    <t>20784-5488</t>
  </si>
  <si>
    <t>20784-13929</t>
  </si>
  <si>
    <t>20784-53586</t>
  </si>
  <si>
    <t>David Peralta</t>
  </si>
  <si>
    <t>20784-65881</t>
  </si>
  <si>
    <t>20784-16947</t>
  </si>
  <si>
    <t>20784-38321</t>
  </si>
  <si>
    <t>20784-5562</t>
  </si>
  <si>
    <t>20784-5763</t>
  </si>
  <si>
    <t>20784-39151</t>
  </si>
  <si>
    <t>20784-16950</t>
  </si>
  <si>
    <t>20784-12948</t>
  </si>
  <si>
    <t>20784-21633</t>
  </si>
  <si>
    <t>20784-79159</t>
  </si>
  <si>
    <t>Cody Bellinger</t>
  </si>
  <si>
    <t>Bellinger</t>
  </si>
  <si>
    <t>20784-17086</t>
  </si>
  <si>
    <t>20784-13152</t>
  </si>
  <si>
    <t>20784-68495</t>
  </si>
  <si>
    <t>20784-60643</t>
  </si>
  <si>
    <t>20784-5359</t>
  </si>
  <si>
    <t>20784-13567</t>
  </si>
  <si>
    <t>20784-21874</t>
  </si>
  <si>
    <t>20784-6005</t>
  </si>
  <si>
    <t>20784-12310</t>
  </si>
  <si>
    <t>20784-12985</t>
  </si>
  <si>
    <t>Avisail</t>
  </si>
  <si>
    <t>Avisail Garcia</t>
  </si>
  <si>
    <t>20784-52158</t>
  </si>
  <si>
    <t>20784-5222</t>
  </si>
  <si>
    <t>20784-38040</t>
  </si>
  <si>
    <t>20784-14038</t>
  </si>
  <si>
    <t>20784-39086</t>
  </si>
  <si>
    <t>20784-16951</t>
  </si>
  <si>
    <t>20784-12928</t>
  </si>
  <si>
    <t>20784-70562</t>
  </si>
  <si>
    <t>20784-5077</t>
  </si>
  <si>
    <t>20784-11326</t>
  </si>
  <si>
    <t>20784-21609</t>
  </si>
  <si>
    <t>20784-13487</t>
  </si>
  <si>
    <t>20784-38249</t>
  </si>
  <si>
    <t>20784-38561</t>
  </si>
  <si>
    <t>Chris Taylor</t>
  </si>
  <si>
    <t>20784-5904</t>
  </si>
  <si>
    <t>20784-53401</t>
  </si>
  <si>
    <t>20784-6312</t>
  </si>
  <si>
    <t>Justin Turner</t>
  </si>
  <si>
    <t>20784-12495</t>
  </si>
  <si>
    <t>20784-49523</t>
  </si>
  <si>
    <t>Jose Abreu</t>
  </si>
  <si>
    <t>Abreu</t>
  </si>
  <si>
    <t>20784-16945</t>
  </si>
  <si>
    <t>20784-5033</t>
  </si>
  <si>
    <t>20784-52153</t>
  </si>
  <si>
    <t>David Dahl</t>
  </si>
  <si>
    <t>Dahl</t>
  </si>
  <si>
    <t>20784-5114</t>
  </si>
  <si>
    <t>20784-13354</t>
  </si>
  <si>
    <t>20784-5206</t>
  </si>
  <si>
    <t>20784-13501</t>
  </si>
  <si>
    <t>Chris Owings</t>
  </si>
  <si>
    <t>Owings</t>
  </si>
  <si>
    <t>20784-5473</t>
  </si>
  <si>
    <t>20784-5474</t>
  </si>
  <si>
    <t>20784-38319</t>
  </si>
  <si>
    <t>20784-13924</t>
  </si>
  <si>
    <t>Kole</t>
  </si>
  <si>
    <t>Kole Calhoun</t>
  </si>
  <si>
    <t>Calhoun</t>
  </si>
  <si>
    <t>20784-38615</t>
  </si>
  <si>
    <t>20784-5948</t>
  </si>
  <si>
    <t>20784-12458</t>
  </si>
  <si>
    <t>20784-6319</t>
  </si>
  <si>
    <t>20784-16948</t>
  </si>
  <si>
    <t>20784-80462</t>
  </si>
  <si>
    <t>20784-12935</t>
  </si>
  <si>
    <t>20784-53994</t>
  </si>
  <si>
    <t>20784-5062</t>
  </si>
  <si>
    <t>20784-5084</t>
  </si>
  <si>
    <t>Chris Iannetta</t>
  </si>
  <si>
    <t>Iannetta</t>
  </si>
  <si>
    <t>20784-5094</t>
  </si>
  <si>
    <t>20784-37982</t>
  </si>
  <si>
    <t>20784-38005</t>
  </si>
  <si>
    <t>Yasiel</t>
  </si>
  <si>
    <t>Yasiel Puig</t>
  </si>
  <si>
    <t>Puig</t>
  </si>
  <si>
    <t>20784-54952</t>
  </si>
  <si>
    <t>20784-5857</t>
  </si>
  <si>
    <t>20784-38965</t>
  </si>
  <si>
    <t>C.J.</t>
  </si>
  <si>
    <t>C.J. Cron</t>
  </si>
  <si>
    <t>Cron</t>
  </si>
  <si>
    <t>20784-38976</t>
  </si>
  <si>
    <t>20784-6273</t>
  </si>
  <si>
    <t>20784-12462</t>
  </si>
  <si>
    <t>20784-68585</t>
  </si>
  <si>
    <t>Rafael Devers</t>
  </si>
  <si>
    <t>Devers</t>
  </si>
  <si>
    <t>20784-13359</t>
  </si>
  <si>
    <t>Chris Herrmann</t>
  </si>
  <si>
    <t>Herrmann</t>
  </si>
  <si>
    <t>20784-11338</t>
  </si>
  <si>
    <t>20784-21637</t>
  </si>
  <si>
    <t>20784-5262</t>
  </si>
  <si>
    <t>20784-21705</t>
  </si>
  <si>
    <t>20784-38117</t>
  </si>
  <si>
    <t>20784-62780</t>
  </si>
  <si>
    <t>20784-21875</t>
  </si>
  <si>
    <t>20784-38326</t>
  </si>
  <si>
    <t>20784-13961</t>
  </si>
  <si>
    <t>20784-12113</t>
  </si>
  <si>
    <t>20784-6029</t>
  </si>
  <si>
    <t>20784-6197</t>
  </si>
  <si>
    <t>20784-12434</t>
  </si>
  <si>
    <t>20784-12505</t>
  </si>
  <si>
    <t>20784-12516</t>
  </si>
  <si>
    <t>20784-12572</t>
  </si>
  <si>
    <t>Ben Revere</t>
  </si>
  <si>
    <t>Revere</t>
  </si>
  <si>
    <t>20784-17014</t>
  </si>
  <si>
    <t>Andrelton</t>
  </si>
  <si>
    <t>Andrelton Simmons</t>
  </si>
  <si>
    <t>20784-21161</t>
  </si>
  <si>
    <t>Yolmer</t>
  </si>
  <si>
    <t>Yolmer Sanchez</t>
  </si>
  <si>
    <t>20784-10977</t>
  </si>
  <si>
    <t>20784-52193</t>
  </si>
  <si>
    <t>20784-13286</t>
  </si>
  <si>
    <t>20784-5153</t>
  </si>
  <si>
    <t>20784-21612</t>
  </si>
  <si>
    <t>Nick Ahmed</t>
  </si>
  <si>
    <t>Ahmed</t>
  </si>
  <si>
    <t>20784-11443</t>
  </si>
  <si>
    <t>20784-21853</t>
  </si>
  <si>
    <t>Ketel</t>
  </si>
  <si>
    <t>Ketel Marte</t>
  </si>
  <si>
    <t>20784-5492</t>
  </si>
  <si>
    <t>20784-13894</t>
  </si>
  <si>
    <t>20784-13900</t>
  </si>
  <si>
    <t>20784-5842</t>
  </si>
  <si>
    <t>Gregor</t>
  </si>
  <si>
    <t>Gregor Blanco</t>
  </si>
  <si>
    <t>20784-12237</t>
  </si>
  <si>
    <t>20784-12863</t>
  </si>
  <si>
    <t>Todd</t>
  </si>
  <si>
    <t>Todd Frazier</t>
  </si>
  <si>
    <t>20784-13102</t>
  </si>
  <si>
    <t>20784-52175</t>
  </si>
  <si>
    <t>20784-52197</t>
  </si>
  <si>
    <t>20784-5181</t>
  </si>
  <si>
    <t>20784-5188</t>
  </si>
  <si>
    <t>20784-38074</t>
  </si>
  <si>
    <t>20784-13771</t>
  </si>
  <si>
    <t>20784-13794</t>
  </si>
  <si>
    <t>20784-38412</t>
  </si>
  <si>
    <t>Corey Seager</t>
  </si>
  <si>
    <t>20784-61553</t>
  </si>
  <si>
    <t>Yoan</t>
  </si>
  <si>
    <t>Yoan Moncada</t>
  </si>
  <si>
    <t>Moncada</t>
  </si>
  <si>
    <t>20784-39087</t>
  </si>
  <si>
    <t>20784-53476</t>
  </si>
  <si>
    <t>20784-12521</t>
  </si>
  <si>
    <t>20784-12660</t>
  </si>
  <si>
    <t>Daniel Descalso</t>
  </si>
  <si>
    <t>Descalso</t>
  </si>
  <si>
    <t>20784-12925</t>
  </si>
  <si>
    <t>20784-17025</t>
  </si>
  <si>
    <t>20784-12961</t>
  </si>
  <si>
    <t>20784-52157</t>
  </si>
  <si>
    <t>20784-13303</t>
  </si>
  <si>
    <t>Yasmani</t>
  </si>
  <si>
    <t>Yasmani Grandal</t>
  </si>
  <si>
    <t>Grandal</t>
  </si>
  <si>
    <t>20784-5177</t>
  </si>
  <si>
    <t>Albert Pujols</t>
  </si>
  <si>
    <t>Pujols</t>
  </si>
  <si>
    <t>20784-11322</t>
  </si>
  <si>
    <t>20784-5211</t>
  </si>
  <si>
    <t>20784-5225</t>
  </si>
  <si>
    <t>Luis Valbuena</t>
  </si>
  <si>
    <t>Valbuena</t>
  </si>
  <si>
    <t>20784-13423</t>
  </si>
  <si>
    <t>20784-70898</t>
  </si>
  <si>
    <t>20784-60672</t>
  </si>
  <si>
    <t>Tim Anderson</t>
  </si>
  <si>
    <t>20784-5390</t>
  </si>
  <si>
    <t>20784-21876</t>
  </si>
  <si>
    <t>20784-5590</t>
  </si>
  <si>
    <t>20784-13841</t>
  </si>
  <si>
    <t>20784-13966</t>
  </si>
  <si>
    <t>20784-38571</t>
  </si>
  <si>
    <t>20784-73879</t>
  </si>
  <si>
    <t>20784-12585</t>
  </si>
  <si>
    <t>20784-12900</t>
  </si>
  <si>
    <t>20784-12924</t>
  </si>
  <si>
    <t>20784-12977</t>
  </si>
  <si>
    <t>20784-12988</t>
  </si>
  <si>
    <t>20784-13014</t>
  </si>
  <si>
    <t>20784-13060</t>
  </si>
  <si>
    <t>20784-13072</t>
  </si>
  <si>
    <t>Logan Forsythe</t>
  </si>
  <si>
    <t>Forsythe</t>
  </si>
  <si>
    <t>20784-68514</t>
  </si>
  <si>
    <t>Ryan McMahon</t>
  </si>
  <si>
    <t>McMahon</t>
  </si>
  <si>
    <t>20784-80847</t>
  </si>
  <si>
    <t>20784-5076</t>
  </si>
  <si>
    <t>20784-13342</t>
  </si>
  <si>
    <t>20784-21582</t>
  </si>
  <si>
    <t>20784-21584</t>
  </si>
  <si>
    <t>20784-13430</t>
  </si>
  <si>
    <t>20784-5246</t>
  </si>
  <si>
    <t>Yunel</t>
  </si>
  <si>
    <t>Yunel Escobar</t>
  </si>
  <si>
    <t>20784-5282</t>
  </si>
  <si>
    <t>Jeff Mathis</t>
  </si>
  <si>
    <t>Mathis</t>
  </si>
  <si>
    <t>20784-60635</t>
  </si>
  <si>
    <t>20784-38127</t>
  </si>
  <si>
    <t>20784-5366</t>
  </si>
  <si>
    <t>20784-5406</t>
  </si>
  <si>
    <t>20784-21815</t>
  </si>
  <si>
    <t>Socrates</t>
  </si>
  <si>
    <t>Socrates Brito</t>
  </si>
  <si>
    <t>Brito</t>
  </si>
  <si>
    <t>20784-5434</t>
  </si>
  <si>
    <t>20784-5493</t>
  </si>
  <si>
    <t>20784-13756</t>
  </si>
  <si>
    <t>Rey</t>
  </si>
  <si>
    <t>Rey Fuentes</t>
  </si>
  <si>
    <t>Fuentes</t>
  </si>
  <si>
    <t>20784-5591</t>
  </si>
  <si>
    <t>20784-13805</t>
  </si>
  <si>
    <t>Jeremy Hazelbaker</t>
  </si>
  <si>
    <t>Hazelbaker</t>
  </si>
  <si>
    <t>20784-5617</t>
  </si>
  <si>
    <t>20784-81530</t>
  </si>
  <si>
    <t>Nicky</t>
  </si>
  <si>
    <t>Nicky Delmonico</t>
  </si>
  <si>
    <t>Delmonico</t>
  </si>
  <si>
    <t>20784-52885</t>
  </si>
  <si>
    <t>20784-14004</t>
  </si>
  <si>
    <t>20784-71466</t>
  </si>
  <si>
    <t>20784-53062</t>
  </si>
  <si>
    <t>Jack Reinheimer</t>
  </si>
  <si>
    <t>Reinheimer</t>
  </si>
  <si>
    <t>20784-6276</t>
  </si>
  <si>
    <t>20784-13239</t>
  </si>
  <si>
    <t>20784-13304</t>
  </si>
  <si>
    <t>Not injury related</t>
  </si>
  <si>
    <t>20784-5118</t>
  </si>
  <si>
    <t>20784-13368</t>
  </si>
  <si>
    <t>20784-5204</t>
  </si>
  <si>
    <t>20784-37983</t>
  </si>
  <si>
    <t>20784-5265</t>
  </si>
  <si>
    <t>20784-5504</t>
  </si>
  <si>
    <t>20784-5564</t>
  </si>
  <si>
    <t>20784-5607</t>
  </si>
  <si>
    <t>20784-13909</t>
  </si>
  <si>
    <t>20784-17139</t>
  </si>
  <si>
    <t>20784-68544</t>
  </si>
  <si>
    <t>20784-5146</t>
  </si>
  <si>
    <t>20784-13451</t>
  </si>
  <si>
    <t>20784-38116</t>
  </si>
  <si>
    <t>Raffy</t>
  </si>
  <si>
    <t>Raffy Lopez</t>
  </si>
  <si>
    <t>20784-5393</t>
  </si>
  <si>
    <t>Melky</t>
  </si>
  <si>
    <t>Melky Cabrera</t>
  </si>
  <si>
    <t>20784-38299</t>
  </si>
  <si>
    <t>20784-73159</t>
  </si>
  <si>
    <t>20784-13864</t>
  </si>
  <si>
    <t>Joc</t>
  </si>
  <si>
    <t>Joc Pederson</t>
  </si>
  <si>
    <t>Pederson</t>
  </si>
  <si>
    <t>20784-12168</t>
  </si>
  <si>
    <t>20784-6292</t>
  </si>
  <si>
    <t>20784-53600</t>
  </si>
  <si>
    <t>20784-16930</t>
  </si>
  <si>
    <t>20784-16981</t>
  </si>
  <si>
    <t>20784-21165</t>
  </si>
  <si>
    <t>20784-21191</t>
  </si>
  <si>
    <t>Brett Nicholas</t>
  </si>
  <si>
    <t>20784-17167</t>
  </si>
  <si>
    <t>20784-13188</t>
  </si>
  <si>
    <t>20784-52150</t>
  </si>
  <si>
    <t>20784-5456</t>
  </si>
  <si>
    <t>20784-5532</t>
  </si>
  <si>
    <t>20784-14012</t>
  </si>
  <si>
    <t>20784-12292</t>
  </si>
  <si>
    <t>20784-71874</t>
  </si>
  <si>
    <t>20784-21074</t>
  </si>
  <si>
    <t>20784-17105</t>
  </si>
  <si>
    <t>20784-13209</t>
  </si>
  <si>
    <t>20784-52178</t>
  </si>
  <si>
    <t>20784-80855</t>
  </si>
  <si>
    <t>Adrian Sanchez</t>
  </si>
  <si>
    <t>20784-11313</t>
  </si>
  <si>
    <t>20784-5178</t>
  </si>
  <si>
    <t>20784-13378</t>
  </si>
  <si>
    <t>Leury</t>
  </si>
  <si>
    <t>Leury Garcia</t>
  </si>
  <si>
    <t>20784-5190</t>
  </si>
  <si>
    <t>20784-5299</t>
  </si>
  <si>
    <t>20784-5310</t>
  </si>
  <si>
    <t>20784-21797</t>
  </si>
  <si>
    <t>20784-13892</t>
  </si>
  <si>
    <t>20784-42645</t>
  </si>
  <si>
    <t>20784-38868</t>
  </si>
  <si>
    <t>20784-12593</t>
  </si>
  <si>
    <t>20784-70277</t>
  </si>
  <si>
    <t>Kevan</t>
  </si>
  <si>
    <t>Kevan Smith</t>
  </si>
  <si>
    <t>20784-12965</t>
  </si>
  <si>
    <t>Matt Davidson</t>
  </si>
  <si>
    <t>Davidson</t>
  </si>
  <si>
    <t>20784-5079</t>
  </si>
  <si>
    <t>20784-17382</t>
  </si>
  <si>
    <t>20784-38016</t>
  </si>
  <si>
    <t>20784-5279</t>
  </si>
  <si>
    <t>20784-21699</t>
  </si>
  <si>
    <t>20784-5319</t>
  </si>
  <si>
    <t>Cliff</t>
  </si>
  <si>
    <t>Cliff Pennington</t>
  </si>
  <si>
    <t>Pennington</t>
  </si>
  <si>
    <t>20784-5399</t>
  </si>
  <si>
    <t>20784-13593</t>
  </si>
  <si>
    <t>20784-13687</t>
  </si>
  <si>
    <t>20784-21890</t>
  </si>
  <si>
    <t>20784-38324</t>
  </si>
  <si>
    <t>Jorge Alfaro</t>
  </si>
  <si>
    <t>Alfaro</t>
  </si>
  <si>
    <t>20784-52732</t>
  </si>
  <si>
    <t>20784-13854</t>
  </si>
  <si>
    <t>20784-81622</t>
  </si>
  <si>
    <t>Mitch Garver</t>
  </si>
  <si>
    <t>Garver</t>
  </si>
  <si>
    <t>20784-5945</t>
  </si>
  <si>
    <t>20784-12123</t>
  </si>
  <si>
    <t>20784-38867</t>
  </si>
  <si>
    <t>20784-6283</t>
  </si>
  <si>
    <t>20784-12577</t>
  </si>
  <si>
    <t>20784-12931</t>
  </si>
  <si>
    <t>20784-17171</t>
  </si>
  <si>
    <t>20784-5032</t>
  </si>
  <si>
    <t>Adrian Gonzalez</t>
  </si>
  <si>
    <t>20784-13253</t>
  </si>
  <si>
    <t>Martin Maldonado</t>
  </si>
  <si>
    <t>Maldonado</t>
  </si>
  <si>
    <t>20784-13259</t>
  </si>
  <si>
    <t>20784-13266</t>
  </si>
  <si>
    <t>20784-5086</t>
  </si>
  <si>
    <t>20784-13346</t>
  </si>
  <si>
    <t>20784-5471</t>
  </si>
  <si>
    <t>20784-38252</t>
  </si>
  <si>
    <t>20784-13858</t>
  </si>
  <si>
    <t>20784-38872</t>
  </si>
  <si>
    <t>20784-38955</t>
  </si>
  <si>
    <t>20784-12989</t>
  </si>
  <si>
    <t>20784-11096</t>
  </si>
  <si>
    <t>20784-68486</t>
  </si>
  <si>
    <t>20784-13337</t>
  </si>
  <si>
    <t>Pedro Florimon</t>
  </si>
  <si>
    <t>Florimon</t>
  </si>
  <si>
    <t>20784-11311</t>
  </si>
  <si>
    <t>20784-11344</t>
  </si>
  <si>
    <t>20784-13473</t>
  </si>
  <si>
    <t>20784-60630</t>
  </si>
  <si>
    <t>20784-13535</t>
  </si>
  <si>
    <t>20784-38140</t>
  </si>
  <si>
    <t>20784-5403</t>
  </si>
  <si>
    <t>Chase Utley</t>
  </si>
  <si>
    <t>Utley</t>
  </si>
  <si>
    <t>20784-5445</t>
  </si>
  <si>
    <t>20784-5475</t>
  </si>
  <si>
    <t>20784-71217</t>
  </si>
  <si>
    <t>Omar</t>
  </si>
  <si>
    <t>Omar Narvaez</t>
  </si>
  <si>
    <t>Narvaez</t>
  </si>
  <si>
    <t>20784-81570</t>
  </si>
  <si>
    <t>Cam Gallagher</t>
  </si>
  <si>
    <t>Gallagher</t>
  </si>
  <si>
    <t>20784-5905</t>
  </si>
  <si>
    <t>Alejandro De Aza</t>
  </si>
  <si>
    <t>De Aza</t>
  </si>
  <si>
    <t>20784-5972</t>
  </si>
  <si>
    <t>20784-38842</t>
  </si>
  <si>
    <t>20784-73871</t>
  </si>
  <si>
    <t>Carson Kelly</t>
  </si>
  <si>
    <t>20784-73875</t>
  </si>
  <si>
    <t>20784-12475</t>
  </si>
  <si>
    <t>20784-12584</t>
  </si>
  <si>
    <t>20784-12919</t>
  </si>
  <si>
    <t>20784-21117</t>
  </si>
  <si>
    <t>Kaleb</t>
  </si>
  <si>
    <t>Kaleb Cowart</t>
  </si>
  <si>
    <t>Cowart</t>
  </si>
  <si>
    <t>20784-80565</t>
  </si>
  <si>
    <t>20784-12993</t>
  </si>
  <si>
    <t>20784-17091</t>
  </si>
  <si>
    <t>Jefry</t>
  </si>
  <si>
    <t>Jefry Marte</t>
  </si>
  <si>
    <t>20784-70435</t>
  </si>
  <si>
    <t>20784-13201</t>
  </si>
  <si>
    <t>20784-80802</t>
  </si>
  <si>
    <t>20784-5037</t>
  </si>
  <si>
    <t>20784-80835</t>
  </si>
  <si>
    <t>20784-13283</t>
  </si>
  <si>
    <t>20784-13363</t>
  </si>
  <si>
    <t>20784-13394</t>
  </si>
  <si>
    <t>Tyler Saladino</t>
  </si>
  <si>
    <t>Saladino</t>
  </si>
  <si>
    <t>20784-5227</t>
  </si>
  <si>
    <t>20784-54401</t>
  </si>
  <si>
    <t>20784-21666</t>
  </si>
  <si>
    <t>20784-13516</t>
  </si>
  <si>
    <t>20784-38112</t>
  </si>
  <si>
    <t>Giovanny Urshela</t>
  </si>
  <si>
    <t>Urshela</t>
  </si>
  <si>
    <t>20784-5381</t>
  </si>
  <si>
    <t>20784-13575</t>
  </si>
  <si>
    <t>20784-79120</t>
  </si>
  <si>
    <t>Yandy</t>
  </si>
  <si>
    <t>Yandy Diaz</t>
  </si>
  <si>
    <t>20784-5408</t>
  </si>
  <si>
    <t>20784-5463</t>
  </si>
  <si>
    <t>20784-38293</t>
  </si>
  <si>
    <t>20784-13731</t>
  </si>
  <si>
    <t>20784-38592</t>
  </si>
  <si>
    <t>20784-38599</t>
  </si>
  <si>
    <t>20784-5884</t>
  </si>
  <si>
    <t>20784-5927</t>
  </si>
  <si>
    <t>20784-6137</t>
  </si>
  <si>
    <t>Shane Robinson</t>
  </si>
  <si>
    <t>20784-6140</t>
  </si>
  <si>
    <t>Sean Rodriguez</t>
  </si>
  <si>
    <t>20784-12311</t>
  </si>
  <si>
    <t>20784-6230</t>
  </si>
  <si>
    <t>20784-53724</t>
  </si>
  <si>
    <t>20784-16949</t>
  </si>
  <si>
    <t>20784-72261</t>
  </si>
  <si>
    <t>20784-21158</t>
  </si>
  <si>
    <t>20784-17145</t>
  </si>
  <si>
    <t>20784-68470</t>
  </si>
  <si>
    <t>20784-70518</t>
  </si>
  <si>
    <t>20784-68478</t>
  </si>
  <si>
    <t>20784-80838</t>
  </si>
  <si>
    <t>20784-13343</t>
  </si>
  <si>
    <t>20784-58411</t>
  </si>
  <si>
    <t>20784-21549</t>
  </si>
  <si>
    <t>20784-13390</t>
  </si>
  <si>
    <t>20784-11349</t>
  </si>
  <si>
    <t>20784-21589</t>
  </si>
  <si>
    <t>Willy</t>
  </si>
  <si>
    <t>Willy Garcia</t>
  </si>
  <si>
    <t>Jaw</t>
  </si>
  <si>
    <t>20784-81015</t>
  </si>
  <si>
    <t>20784-79212</t>
  </si>
  <si>
    <t>20784-21904</t>
  </si>
  <si>
    <t>Ramon Flores</t>
  </si>
  <si>
    <t>20784-79279</t>
  </si>
  <si>
    <t>Andrew Stevenson</t>
  </si>
  <si>
    <t>Stevenson</t>
  </si>
  <si>
    <t>20784-38411</t>
  </si>
  <si>
    <t>Alen</t>
  </si>
  <si>
    <t>Alen Hanson</t>
  </si>
  <si>
    <t>Hanson</t>
  </si>
  <si>
    <t>20784-13862</t>
  </si>
  <si>
    <t>20784-5811</t>
  </si>
  <si>
    <t>Mike Aviles</t>
  </si>
  <si>
    <t>Aviles</t>
  </si>
  <si>
    <t>20784-14019</t>
  </si>
  <si>
    <t>20784-71509</t>
  </si>
  <si>
    <t>Juan Graterol</t>
  </si>
  <si>
    <t>Graterol</t>
  </si>
  <si>
    <t>20784-6025</t>
  </si>
  <si>
    <t>20784-79851</t>
  </si>
  <si>
    <t>20784-79883</t>
  </si>
  <si>
    <t>20784-79884</t>
  </si>
  <si>
    <t>Anthony Santander</t>
  </si>
  <si>
    <t>Santander</t>
  </si>
  <si>
    <t>20784-38938</t>
  </si>
  <si>
    <t>20784-6216</t>
  </si>
  <si>
    <t>20784-79973</t>
  </si>
  <si>
    <t>Rafael Bautista</t>
  </si>
  <si>
    <t>20784-6252</t>
  </si>
  <si>
    <t>Eric Young Jr.</t>
  </si>
  <si>
    <t>Young Jr.</t>
  </si>
  <si>
    <t>20784-39090</t>
  </si>
  <si>
    <t>20784-12499</t>
  </si>
  <si>
    <t>20784-39125</t>
  </si>
  <si>
    <t>20784-12562</t>
  </si>
  <si>
    <t>Danny Espinosa</t>
  </si>
  <si>
    <t>Espinosa</t>
  </si>
  <si>
    <t>20784-12564</t>
  </si>
  <si>
    <t>20784-53593</t>
  </si>
  <si>
    <t>20784-80339</t>
  </si>
  <si>
    <t>20784-12767</t>
  </si>
  <si>
    <t>20784-53757</t>
  </si>
  <si>
    <t>20784-12849</t>
  </si>
  <si>
    <t>20784-12855</t>
  </si>
  <si>
    <t>20784-16953</t>
  </si>
  <si>
    <t>Nick Franklin</t>
  </si>
  <si>
    <t>20784-23107</t>
  </si>
  <si>
    <t>20784-80457</t>
  </si>
  <si>
    <t>Adam Engel</t>
  </si>
  <si>
    <t>Engel</t>
  </si>
  <si>
    <t>20784-72264</t>
  </si>
  <si>
    <t>20784-21088</t>
  </si>
  <si>
    <t>20784-80485</t>
  </si>
  <si>
    <t>20784-12923</t>
  </si>
  <si>
    <t>20784-17024</t>
  </si>
  <si>
    <t>20784-17052</t>
  </si>
  <si>
    <t>Scott Van Slyke</t>
  </si>
  <si>
    <t>Van Slyke</t>
  </si>
  <si>
    <t>20784-17067</t>
  </si>
  <si>
    <t>20784-80562</t>
  </si>
  <si>
    <t>20784-21183</t>
  </si>
  <si>
    <t>Carlos Perez</t>
  </si>
  <si>
    <t>20784-13009</t>
  </si>
  <si>
    <t>20784-13013</t>
  </si>
  <si>
    <t>20784-21212</t>
  </si>
  <si>
    <t>20784-13054</t>
  </si>
  <si>
    <t>Rob Brantly</t>
  </si>
  <si>
    <t>Brantly</t>
  </si>
  <si>
    <t>20784-17169</t>
  </si>
  <si>
    <t>20784-54049</t>
  </si>
  <si>
    <t>20784-68410</t>
  </si>
  <si>
    <t>20784-13130</t>
  </si>
  <si>
    <t>20784-11094</t>
  </si>
  <si>
    <t>Chris Carter</t>
  </si>
  <si>
    <t>20784-68489</t>
  </si>
  <si>
    <t>20784-80785</t>
  </si>
  <si>
    <t>20784-68496</t>
  </si>
  <si>
    <t>20784-13210</t>
  </si>
  <si>
    <t>20784-70572</t>
  </si>
  <si>
    <t>20784-70574</t>
  </si>
  <si>
    <t>20784-68533</t>
  </si>
  <si>
    <t>20784-13238</t>
  </si>
  <si>
    <t>20784-52151</t>
  </si>
  <si>
    <t>Phillip</t>
  </si>
  <si>
    <t>Phillip Ervin</t>
  </si>
  <si>
    <t>20784-68537</t>
  </si>
  <si>
    <t>20784-68538</t>
  </si>
  <si>
    <t>20784-52164</t>
  </si>
  <si>
    <t>20784-80836</t>
  </si>
  <si>
    <t>20784-13262</t>
  </si>
  <si>
    <t>20784-80851</t>
  </si>
  <si>
    <t>20784-52187</t>
  </si>
  <si>
    <t>20784-62433</t>
  </si>
  <si>
    <t>20784-5104</t>
  </si>
  <si>
    <t>Pablo</t>
  </si>
  <si>
    <t>Pablo Sandoval</t>
  </si>
  <si>
    <t>Sandoval</t>
  </si>
  <si>
    <t>20784-5121</t>
  </si>
  <si>
    <t>20784-5135</t>
  </si>
  <si>
    <t>20784-5151</t>
  </si>
  <si>
    <t>20784-54307</t>
  </si>
  <si>
    <t>20784-21578</t>
  </si>
  <si>
    <t>20784-13425</t>
  </si>
  <si>
    <t>20784-81013</t>
  </si>
  <si>
    <t>20784-81046</t>
  </si>
  <si>
    <t>20784-5289</t>
  </si>
  <si>
    <t>Andre</t>
  </si>
  <si>
    <t>Andre Ethier</t>
  </si>
  <si>
    <t>Ethier</t>
  </si>
  <si>
    <t>20784-38087</t>
  </si>
  <si>
    <t>20784-13520</t>
  </si>
  <si>
    <t>20784-60652</t>
  </si>
  <si>
    <t>20784-5373</t>
  </si>
  <si>
    <t>20784-5374</t>
  </si>
  <si>
    <t>Franklin Gutierrez</t>
  </si>
  <si>
    <t>Gutierrez</t>
  </si>
  <si>
    <t>20784-13584</t>
  </si>
  <si>
    <t>20784-13596</t>
  </si>
  <si>
    <t>Trayce</t>
  </si>
  <si>
    <t>Trayce Thompson</t>
  </si>
  <si>
    <t>20784-13614</t>
  </si>
  <si>
    <t>Cesar Puello</t>
  </si>
  <si>
    <t>Puello</t>
  </si>
  <si>
    <t>20784-13615</t>
  </si>
  <si>
    <t>20784-79176</t>
  </si>
  <si>
    <t>20784-79195</t>
  </si>
  <si>
    <t>20784-13685</t>
  </si>
  <si>
    <t>Brock Holt</t>
  </si>
  <si>
    <t>Holt</t>
  </si>
  <si>
    <t>20784-5497</t>
  </si>
  <si>
    <t>20784-79249</t>
  </si>
  <si>
    <t>Harrison Bader</t>
  </si>
  <si>
    <t>Bader</t>
  </si>
  <si>
    <t>20784-79248</t>
  </si>
  <si>
    <t>20784-38297</t>
  </si>
  <si>
    <t>Austin Barnes</t>
  </si>
  <si>
    <t>20784-38300</t>
  </si>
  <si>
    <t>Billy Burns</t>
  </si>
  <si>
    <t>Burns</t>
  </si>
  <si>
    <t>20784-13785</t>
  </si>
  <si>
    <t>20784-13792</t>
  </si>
  <si>
    <t>Kike</t>
  </si>
  <si>
    <t>Kike Hernandez</t>
  </si>
  <si>
    <t>20784-71182</t>
  </si>
  <si>
    <t>20784-13871</t>
  </si>
  <si>
    <t>20784-81495</t>
  </si>
  <si>
    <t>Carlos Moncrief</t>
  </si>
  <si>
    <t>Moncrief</t>
  </si>
  <si>
    <t>20784-81506</t>
  </si>
  <si>
    <t>Jordan Luplow</t>
  </si>
  <si>
    <t>Luplow</t>
  </si>
  <si>
    <t>20784-81511</t>
  </si>
  <si>
    <t>Kyle Farmer</t>
  </si>
  <si>
    <t>20784-38602</t>
  </si>
  <si>
    <t>20784-5841</t>
  </si>
  <si>
    <t>20784-52995</t>
  </si>
  <si>
    <t>20784-14088</t>
  </si>
  <si>
    <t>20784-53007</t>
  </si>
  <si>
    <t>20784-10007</t>
  </si>
  <si>
    <t>20784-79786</t>
  </si>
  <si>
    <t>20784-6068</t>
  </si>
  <si>
    <t>20784-12236</t>
  </si>
  <si>
    <t>20784-81869</t>
  </si>
  <si>
    <t>Chad Wallach</t>
  </si>
  <si>
    <t>Wallach</t>
  </si>
  <si>
    <t>20784-79847</t>
  </si>
  <si>
    <t>20784-79859</t>
  </si>
  <si>
    <t>20784-68550</t>
  </si>
  <si>
    <t>20784-54068</t>
  </si>
  <si>
    <t>20784-38004</t>
  </si>
  <si>
    <t>20784-79894</t>
  </si>
  <si>
    <t>20784-79896</t>
  </si>
  <si>
    <t>20784-80459</t>
  </si>
  <si>
    <t>20784-13174</t>
  </si>
  <si>
    <t>20784-70636</t>
  </si>
  <si>
    <t>20784-5280</t>
  </si>
  <si>
    <t>20784-38223</t>
  </si>
  <si>
    <t>20784-13665</t>
  </si>
  <si>
    <t>Dusty</t>
  </si>
  <si>
    <t>Dusty Coleman</t>
  </si>
  <si>
    <t>Coleman</t>
  </si>
  <si>
    <t>20784-13710</t>
  </si>
  <si>
    <t>20784-13724</t>
  </si>
  <si>
    <t>tam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</si>
</sst>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  <font>
      <b/>
      <sz val="16"/>
      <name val="Arial"/>
      <family val="2"/>
    </font>
    <font>
      <sz val="7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50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0" fillId="38" borderId="0" xfId="0" applyFill="1"/>
    <xf numFmtId="0" fontId="18" fillId="38" borderId="0" xfId="42" applyFill="1" applyBorder="1"/>
    <xf numFmtId="0" fontId="35" fillId="38" borderId="0" xfId="42" applyFont="1" applyFill="1" applyBorder="1"/>
    <xf numFmtId="0" fontId="18" fillId="39" borderId="0" xfId="42" applyFont="1" applyFill="1" applyBorder="1"/>
    <xf numFmtId="0" fontId="18" fillId="39" borderId="0" xfId="42" applyFill="1" applyBorder="1"/>
    <xf numFmtId="0" fontId="18" fillId="40" borderId="0" xfId="42" applyFont="1" applyFill="1"/>
    <xf numFmtId="0" fontId="36" fillId="40" borderId="0" xfId="42" applyFont="1" applyFill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1162050</xdr:colOff>
      <xdr:row>4</xdr:row>
      <xdr:rowOff>37744</xdr:rowOff>
    </xdr:from>
    <xdr:to>
      <xdr:col>6</xdr:col>
      <xdr:colOff>133349</xdr:colOff>
      <xdr:row>11</xdr:row>
      <xdr:rowOff>85725</xdr:rowOff>
    </xdr:to>
    <xdr:pic>
      <xdr:nvPicPr>
        <xdr:cNvPr id="6" name="Picture 5" descr="Image result for mlb 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3825" y="952144"/>
          <a:ext cx="1943099" cy="1457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1304396</xdr:colOff>
      <xdr:row>4</xdr:row>
      <xdr:rowOff>28575</xdr:rowOff>
    </xdr:from>
    <xdr:to>
      <xdr:col>8</xdr:col>
      <xdr:colOff>314323</xdr:colOff>
      <xdr:row>11</xdr:row>
      <xdr:rowOff>114298</xdr:rowOff>
    </xdr:to>
    <xdr:pic>
      <xdr:nvPicPr>
        <xdr:cNvPr id="7" name="Picture 6" descr="Image result for draftkings 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7971" y="942975"/>
          <a:ext cx="2076977" cy="1495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10</xdr:row>
          <xdr:rowOff>57150</xdr:rowOff>
        </xdr:from>
        <xdr:to>
          <xdr:col>9</xdr:col>
          <xdr:colOff>1781175</xdr:colOff>
          <xdr:row>11</xdr:row>
          <xdr:rowOff>152400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Pitchers</a:t>
              </a:r>
            </a:p>
            <a:p>
              <a:pPr algn="ctr" rtl="0">
                <a:defRPr sz="1000"/>
              </a:pPr>
              <a:endParaRPr lang="en-US" sz="24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104775</xdr:rowOff>
        </xdr:from>
        <xdr:to>
          <xdr:col>9</xdr:col>
          <xdr:colOff>1666875</xdr:colOff>
          <xdr:row>3</xdr:row>
          <xdr:rowOff>47625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Five Lineups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340"/>
  <sheetViews>
    <sheetView topLeftCell="B1" zoomScale="115" zoomScaleNormal="115" workbookViewId="0">
      <selection activeCell="D32" sqref="D32:G333"/>
    </sheetView>
  </sheetViews>
  <sheetFormatPr defaultRowHeight="15" x14ac:dyDescent="0.25"/>
  <cols>
    <col min="1" max="1" width="9.140625" style="2"/>
    <col min="2" max="2" width="10.5703125" style="2" bestFit="1" customWidth="1"/>
    <col min="3" max="4" width="9.140625" style="2"/>
    <col min="5" max="5" width="23.5703125" style="2" bestFit="1" customWidth="1"/>
    <col min="6" max="6" width="19" style="2" bestFit="1" customWidth="1"/>
    <col min="7" max="13" width="9.140625" style="2"/>
    <col min="14" max="14" width="11.42578125" style="2" bestFit="1" customWidth="1"/>
    <col min="15" max="15" width="17.28515625" style="2" bestFit="1" customWidth="1"/>
    <col min="16" max="16" width="12.140625" style="2" bestFit="1" customWidth="1"/>
    <col min="17" max="17" width="13.42578125" style="2" customWidth="1"/>
    <col min="18" max="20" width="9.140625" style="2"/>
    <col min="21" max="21" width="12.140625" style="2" bestFit="1" customWidth="1"/>
    <col min="22" max="22" width="17.7109375" style="2" bestFit="1" customWidth="1"/>
    <col min="23" max="23" width="12.85546875" style="2" bestFit="1" customWidth="1"/>
    <col min="24" max="16384" width="9.140625" style="2"/>
  </cols>
  <sheetData>
    <row r="1" spans="1:18" x14ac:dyDescent="0.25">
      <c r="A1" s="2" t="s">
        <v>0</v>
      </c>
      <c r="B1" s="2" t="s">
        <v>6</v>
      </c>
      <c r="C1" s="2" t="s">
        <v>7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18</v>
      </c>
      <c r="I1" s="2" t="s">
        <v>17</v>
      </c>
      <c r="J1" s="2" t="s">
        <v>19</v>
      </c>
      <c r="K1" s="2" t="s">
        <v>20</v>
      </c>
      <c r="L1" s="2" t="s">
        <v>1</v>
      </c>
      <c r="M1" s="2" t="s">
        <v>21</v>
      </c>
      <c r="N1" s="2" t="s">
        <v>22</v>
      </c>
      <c r="O1" s="2" t="s">
        <v>39</v>
      </c>
      <c r="P1" s="2" t="s">
        <v>0</v>
      </c>
      <c r="Q1" s="2" t="s">
        <v>8</v>
      </c>
      <c r="R1" s="2" t="s">
        <v>9</v>
      </c>
    </row>
    <row r="2" spans="1:18" x14ac:dyDescent="0.25">
      <c r="A2" s="1" t="str">
        <f>IF(C2=1,D2,0)</f>
        <v>P</v>
      </c>
      <c r="B2" s="1" t="str">
        <f>IF(C2=0,0,A2&amp;" "&amp;COUNTIF($A$1:$A2,A2))</f>
        <v>P 1</v>
      </c>
      <c r="C2" s="1">
        <v>1</v>
      </c>
      <c r="D2" s="41" t="s">
        <v>18</v>
      </c>
      <c r="E2" s="2" t="s">
        <v>927</v>
      </c>
      <c r="F2" s="2">
        <v>33.615384615384599</v>
      </c>
      <c r="G2" s="2">
        <v>8100</v>
      </c>
      <c r="H2" s="2">
        <f>IF($D2=H$1,$C2*1,0)</f>
        <v>1</v>
      </c>
      <c r="I2" s="2">
        <f t="shared" ref="I2:L2" si="0">IF($D2=I$1,$C2*1,0)</f>
        <v>0</v>
      </c>
      <c r="J2" s="2">
        <f t="shared" si="0"/>
        <v>0</v>
      </c>
      <c r="K2" s="2">
        <f>IF($D2=K$1,$C2*1,0)</f>
        <v>0</v>
      </c>
      <c r="L2" s="2">
        <f t="shared" si="0"/>
        <v>0</v>
      </c>
      <c r="M2" s="2">
        <f>IF($D2=M$1,$C2*1,0)</f>
        <v>0</v>
      </c>
      <c r="N2" s="2">
        <f>IF($D2=N$1,$C2*1,0)</f>
        <v>0</v>
      </c>
      <c r="P2" s="2" t="s">
        <v>18</v>
      </c>
      <c r="Q2" s="2">
        <v>1</v>
      </c>
      <c r="R2" s="2">
        <f>SUM(H2:H200)</f>
        <v>1</v>
      </c>
    </row>
    <row r="3" spans="1:18" x14ac:dyDescent="0.25">
      <c r="A3" s="1">
        <f t="shared" ref="A3:A66" si="1">IF(C3=1,D3,0)</f>
        <v>0</v>
      </c>
      <c r="B3" s="2">
        <f>IF(C3=0,0,A3&amp;" "&amp;COUNTIF($A$1:$A3,A3))</f>
        <v>0</v>
      </c>
      <c r="C3" s="1">
        <v>0</v>
      </c>
      <c r="D3" s="41" t="s">
        <v>18</v>
      </c>
      <c r="H3" s="2">
        <f t="shared" ref="H3:N39" si="2">IF($D3=H$1,$C3*1,0)</f>
        <v>0</v>
      </c>
      <c r="I3" s="2">
        <f t="shared" si="2"/>
        <v>0</v>
      </c>
      <c r="J3" s="2">
        <f t="shared" si="2"/>
        <v>0</v>
      </c>
      <c r="K3" s="2">
        <f t="shared" si="2"/>
        <v>0</v>
      </c>
      <c r="L3" s="2">
        <f t="shared" si="2"/>
        <v>0</v>
      </c>
      <c r="M3" s="2">
        <f t="shared" si="2"/>
        <v>0</v>
      </c>
      <c r="N3" s="2">
        <f t="shared" si="2"/>
        <v>0</v>
      </c>
      <c r="P3" s="2" t="s">
        <v>17</v>
      </c>
      <c r="Q3" s="2">
        <v>3</v>
      </c>
      <c r="R3" s="2">
        <f>SUM(I2:I339)</f>
        <v>3</v>
      </c>
    </row>
    <row r="4" spans="1:18" x14ac:dyDescent="0.25">
      <c r="A4" s="1">
        <f t="shared" si="1"/>
        <v>0</v>
      </c>
      <c r="B4" s="2">
        <f>IF(C4=0,0,A4&amp;" "&amp;COUNTIF($A$1:$A4,A4))</f>
        <v>0</v>
      </c>
      <c r="C4" s="1">
        <v>0</v>
      </c>
      <c r="D4" s="41" t="s">
        <v>18</v>
      </c>
      <c r="H4" s="2">
        <f t="shared" si="2"/>
        <v>0</v>
      </c>
      <c r="I4" s="2">
        <f t="shared" si="2"/>
        <v>0</v>
      </c>
      <c r="J4" s="2">
        <f t="shared" si="2"/>
        <v>0</v>
      </c>
      <c r="K4" s="2">
        <f t="shared" si="2"/>
        <v>0</v>
      </c>
      <c r="L4" s="2">
        <f t="shared" si="2"/>
        <v>0</v>
      </c>
      <c r="M4" s="2">
        <f t="shared" si="2"/>
        <v>0</v>
      </c>
      <c r="N4" s="2">
        <f t="shared" si="2"/>
        <v>0</v>
      </c>
      <c r="P4" s="2" t="s">
        <v>19</v>
      </c>
      <c r="Q4" s="2">
        <v>1</v>
      </c>
      <c r="R4" s="2">
        <f>SUM(J2:J339)</f>
        <v>1</v>
      </c>
    </row>
    <row r="5" spans="1:18" x14ac:dyDescent="0.25">
      <c r="A5" s="1">
        <f t="shared" si="1"/>
        <v>0</v>
      </c>
      <c r="B5" s="2">
        <f>IF(C5=0,0,A5&amp;" "&amp;COUNTIF($A$1:$A5,A5))</f>
        <v>0</v>
      </c>
      <c r="C5" s="1">
        <v>0</v>
      </c>
      <c r="D5" s="41" t="s">
        <v>18</v>
      </c>
      <c r="H5" s="2">
        <f t="shared" si="2"/>
        <v>0</v>
      </c>
      <c r="I5" s="2">
        <f t="shared" si="2"/>
        <v>0</v>
      </c>
      <c r="J5" s="2">
        <f t="shared" si="2"/>
        <v>0</v>
      </c>
      <c r="K5" s="2">
        <f t="shared" si="2"/>
        <v>0</v>
      </c>
      <c r="L5" s="2">
        <f t="shared" si="2"/>
        <v>0</v>
      </c>
      <c r="M5" s="2">
        <f t="shared" si="2"/>
        <v>0</v>
      </c>
      <c r="N5" s="2">
        <f t="shared" si="2"/>
        <v>0</v>
      </c>
      <c r="P5" s="2" t="s">
        <v>20</v>
      </c>
      <c r="Q5" s="2">
        <v>1</v>
      </c>
      <c r="R5" s="2">
        <f>SUM(K2:K339)</f>
        <v>1</v>
      </c>
    </row>
    <row r="6" spans="1:18" x14ac:dyDescent="0.25">
      <c r="A6" s="1">
        <f t="shared" si="1"/>
        <v>0</v>
      </c>
      <c r="B6" s="2">
        <f>IF(C6=0,0,A6&amp;" "&amp;COUNTIF($A$1:$A6,A6))</f>
        <v>0</v>
      </c>
      <c r="C6" s="1">
        <v>0</v>
      </c>
      <c r="D6" s="41" t="s">
        <v>18</v>
      </c>
      <c r="H6" s="2">
        <f t="shared" si="2"/>
        <v>0</v>
      </c>
      <c r="I6" s="2">
        <f t="shared" si="2"/>
        <v>0</v>
      </c>
      <c r="J6" s="2">
        <f t="shared" si="2"/>
        <v>0</v>
      </c>
      <c r="K6" s="2">
        <f t="shared" si="2"/>
        <v>0</v>
      </c>
      <c r="L6" s="2">
        <f t="shared" si="2"/>
        <v>0</v>
      </c>
      <c r="M6" s="2">
        <f t="shared" si="2"/>
        <v>0</v>
      </c>
      <c r="N6" s="2">
        <f t="shared" si="2"/>
        <v>0</v>
      </c>
      <c r="P6" s="2" t="s">
        <v>1</v>
      </c>
      <c r="Q6" s="2">
        <v>1</v>
      </c>
      <c r="R6" s="2">
        <f>SUM(L2:L339)</f>
        <v>1</v>
      </c>
    </row>
    <row r="7" spans="1:18" x14ac:dyDescent="0.25">
      <c r="A7" s="1">
        <f t="shared" si="1"/>
        <v>0</v>
      </c>
      <c r="B7" s="2">
        <f>IF(C7=0,0,A7&amp;" "&amp;COUNTIF($A$1:$A7,A7))</f>
        <v>0</v>
      </c>
      <c r="C7" s="1">
        <v>0</v>
      </c>
      <c r="D7" s="41" t="s">
        <v>18</v>
      </c>
      <c r="H7" s="2">
        <f t="shared" si="2"/>
        <v>0</v>
      </c>
      <c r="I7" s="2">
        <f t="shared" si="2"/>
        <v>0</v>
      </c>
      <c r="J7" s="2">
        <f t="shared" si="2"/>
        <v>0</v>
      </c>
      <c r="K7" s="2">
        <f t="shared" si="2"/>
        <v>0</v>
      </c>
      <c r="L7" s="2">
        <f t="shared" si="2"/>
        <v>0</v>
      </c>
      <c r="M7" s="2">
        <f t="shared" si="2"/>
        <v>0</v>
      </c>
      <c r="N7" s="2">
        <f t="shared" si="2"/>
        <v>0</v>
      </c>
      <c r="P7" s="2" t="s">
        <v>21</v>
      </c>
      <c r="Q7" s="2">
        <v>1</v>
      </c>
      <c r="R7" s="2">
        <f>SUM(M2:M339)</f>
        <v>1</v>
      </c>
    </row>
    <row r="8" spans="1:18" x14ac:dyDescent="0.25">
      <c r="A8" s="1">
        <f t="shared" si="1"/>
        <v>0</v>
      </c>
      <c r="B8" s="2">
        <f>IF(C8=0,0,A8&amp;" "&amp;COUNTIF($A$1:$A8,A8))</f>
        <v>0</v>
      </c>
      <c r="C8" s="1">
        <v>0</v>
      </c>
      <c r="D8" s="41" t="s">
        <v>18</v>
      </c>
      <c r="H8" s="2">
        <f t="shared" si="2"/>
        <v>0</v>
      </c>
      <c r="I8" s="2">
        <f t="shared" si="2"/>
        <v>0</v>
      </c>
      <c r="J8" s="2">
        <f t="shared" si="2"/>
        <v>0</v>
      </c>
      <c r="K8" s="2">
        <f t="shared" si="2"/>
        <v>0</v>
      </c>
      <c r="L8" s="2">
        <f t="shared" si="2"/>
        <v>0</v>
      </c>
      <c r="M8" s="2">
        <f t="shared" si="2"/>
        <v>0</v>
      </c>
      <c r="N8" s="2">
        <f t="shared" si="2"/>
        <v>0</v>
      </c>
      <c r="P8" s="2" t="s">
        <v>22</v>
      </c>
      <c r="Q8" s="2">
        <v>1</v>
      </c>
      <c r="R8" s="2">
        <f>SUM(N2:N339)</f>
        <v>1</v>
      </c>
    </row>
    <row r="9" spans="1:18" x14ac:dyDescent="0.25">
      <c r="A9" s="1">
        <f t="shared" si="1"/>
        <v>0</v>
      </c>
      <c r="B9" s="2">
        <f>IF(C9=0,0,A9&amp;" "&amp;COUNTIF($A$1:$A9,A9))</f>
        <v>0</v>
      </c>
      <c r="C9" s="1">
        <v>0</v>
      </c>
      <c r="D9" s="41" t="s">
        <v>18</v>
      </c>
      <c r="H9" s="2">
        <f t="shared" si="2"/>
        <v>0</v>
      </c>
      <c r="I9" s="2">
        <f t="shared" si="2"/>
        <v>0</v>
      </c>
      <c r="J9" s="2">
        <f t="shared" si="2"/>
        <v>0</v>
      </c>
      <c r="K9" s="2">
        <f t="shared" si="2"/>
        <v>0</v>
      </c>
      <c r="L9" s="2">
        <f t="shared" si="2"/>
        <v>0</v>
      </c>
      <c r="M9" s="2">
        <f t="shared" si="2"/>
        <v>0</v>
      </c>
      <c r="N9" s="2">
        <f t="shared" si="2"/>
        <v>0</v>
      </c>
    </row>
    <row r="10" spans="1:18" x14ac:dyDescent="0.25">
      <c r="A10" s="1">
        <f t="shared" si="1"/>
        <v>0</v>
      </c>
      <c r="B10" s="2">
        <f>IF(C10=0,0,A10&amp;" "&amp;COUNTIF($A$1:$A10,A10))</f>
        <v>0</v>
      </c>
      <c r="C10" s="1">
        <v>0</v>
      </c>
      <c r="D10" s="41" t="s">
        <v>18</v>
      </c>
      <c r="H10" s="2">
        <f t="shared" si="2"/>
        <v>0</v>
      </c>
      <c r="I10" s="2">
        <f t="shared" si="2"/>
        <v>0</v>
      </c>
      <c r="J10" s="2">
        <f t="shared" si="2"/>
        <v>0</v>
      </c>
      <c r="K10" s="2">
        <f t="shared" si="2"/>
        <v>0</v>
      </c>
      <c r="L10" s="2">
        <f t="shared" si="2"/>
        <v>0</v>
      </c>
      <c r="M10" s="2">
        <f t="shared" si="2"/>
        <v>0</v>
      </c>
      <c r="N10" s="2">
        <f t="shared" si="2"/>
        <v>0</v>
      </c>
      <c r="P10" s="2" t="s">
        <v>10</v>
      </c>
      <c r="Q10" s="2">
        <f>SUMPRODUCT(C2:C300,G2:G300)</f>
        <v>35000</v>
      </c>
    </row>
    <row r="11" spans="1:18" x14ac:dyDescent="0.25">
      <c r="A11" s="1">
        <f t="shared" si="1"/>
        <v>0</v>
      </c>
      <c r="B11" s="2">
        <f>IF(C11=0,0,A11&amp;" "&amp;COUNTIF($A$1:$A11,A11))</f>
        <v>0</v>
      </c>
      <c r="C11" s="1">
        <v>0</v>
      </c>
      <c r="D11" s="41" t="s">
        <v>18</v>
      </c>
      <c r="H11" s="2">
        <f t="shared" si="2"/>
        <v>0</v>
      </c>
      <c r="I11" s="2">
        <f t="shared" si="2"/>
        <v>0</v>
      </c>
      <c r="J11" s="2">
        <f t="shared" si="2"/>
        <v>0</v>
      </c>
      <c r="K11" s="2">
        <f t="shared" si="2"/>
        <v>0</v>
      </c>
      <c r="L11" s="2">
        <f t="shared" si="2"/>
        <v>0</v>
      </c>
      <c r="M11" s="2">
        <f t="shared" si="2"/>
        <v>0</v>
      </c>
      <c r="N11" s="2">
        <f t="shared" si="2"/>
        <v>0</v>
      </c>
      <c r="P11" s="2" t="s">
        <v>11</v>
      </c>
      <c r="Q11" s="2">
        <v>35000</v>
      </c>
    </row>
    <row r="12" spans="1:18" x14ac:dyDescent="0.25">
      <c r="A12" s="1">
        <f t="shared" si="1"/>
        <v>0</v>
      </c>
      <c r="B12" s="2">
        <f>IF(C12=0,0,A12&amp;" "&amp;COUNTIF($A$1:$A12,A12))</f>
        <v>0</v>
      </c>
      <c r="C12" s="1">
        <v>0</v>
      </c>
      <c r="D12" s="41" t="s">
        <v>18</v>
      </c>
      <c r="H12" s="2">
        <f t="shared" si="2"/>
        <v>0</v>
      </c>
      <c r="I12" s="2">
        <f t="shared" si="2"/>
        <v>0</v>
      </c>
      <c r="J12" s="2">
        <f t="shared" si="2"/>
        <v>0</v>
      </c>
      <c r="K12" s="2">
        <f t="shared" si="2"/>
        <v>0</v>
      </c>
      <c r="L12" s="2">
        <f t="shared" si="2"/>
        <v>0</v>
      </c>
      <c r="M12" s="2">
        <f t="shared" si="2"/>
        <v>0</v>
      </c>
      <c r="N12" s="2">
        <f t="shared" si="2"/>
        <v>0</v>
      </c>
    </row>
    <row r="13" spans="1:18" x14ac:dyDescent="0.25">
      <c r="A13" s="1">
        <f t="shared" si="1"/>
        <v>0</v>
      </c>
      <c r="B13" s="2">
        <f>IF(C13=0,0,A13&amp;" "&amp;COUNTIF($A$1:$A13,A13))</f>
        <v>0</v>
      </c>
      <c r="C13" s="1">
        <v>0</v>
      </c>
      <c r="D13" s="41" t="s">
        <v>18</v>
      </c>
      <c r="H13" s="2">
        <f t="shared" si="2"/>
        <v>0</v>
      </c>
      <c r="I13" s="2">
        <f t="shared" si="2"/>
        <v>0</v>
      </c>
      <c r="J13" s="2">
        <f t="shared" si="2"/>
        <v>0</v>
      </c>
      <c r="K13" s="2">
        <f t="shared" si="2"/>
        <v>0</v>
      </c>
      <c r="L13" s="2">
        <f t="shared" si="2"/>
        <v>0</v>
      </c>
      <c r="M13" s="2">
        <f t="shared" si="2"/>
        <v>0</v>
      </c>
      <c r="N13" s="2">
        <f t="shared" si="2"/>
        <v>0</v>
      </c>
      <c r="P13" s="2" t="s">
        <v>12</v>
      </c>
      <c r="Q13" s="2">
        <f>SUMPRODUCT(C2:C339,F2:F339)</f>
        <v>99.318246233035822</v>
      </c>
      <c r="R13" s="2">
        <v>166</v>
      </c>
    </row>
    <row r="14" spans="1:18" x14ac:dyDescent="0.25">
      <c r="A14" s="1">
        <f t="shared" si="1"/>
        <v>0</v>
      </c>
      <c r="B14" s="2">
        <f>IF(C14=0,0,A14&amp;" "&amp;COUNTIF($A$1:$A14,A14))</f>
        <v>0</v>
      </c>
      <c r="C14" s="1">
        <v>0</v>
      </c>
      <c r="D14" s="41" t="s">
        <v>18</v>
      </c>
      <c r="H14" s="2">
        <f t="shared" si="2"/>
        <v>0</v>
      </c>
      <c r="I14" s="2">
        <f t="shared" si="2"/>
        <v>0</v>
      </c>
      <c r="J14" s="2">
        <f t="shared" si="2"/>
        <v>0</v>
      </c>
      <c r="K14" s="2">
        <f t="shared" si="2"/>
        <v>0</v>
      </c>
      <c r="L14" s="2">
        <f t="shared" si="2"/>
        <v>0</v>
      </c>
      <c r="M14" s="2">
        <f t="shared" si="2"/>
        <v>0</v>
      </c>
      <c r="N14" s="2">
        <f t="shared" si="2"/>
        <v>0</v>
      </c>
    </row>
    <row r="15" spans="1:18" x14ac:dyDescent="0.25">
      <c r="A15" s="1">
        <f t="shared" si="1"/>
        <v>0</v>
      </c>
      <c r="B15" s="2">
        <f>IF(C15=0,0,A15&amp;" "&amp;COUNTIF($A$1:$A15,A15))</f>
        <v>0</v>
      </c>
      <c r="C15" s="1">
        <v>0</v>
      </c>
      <c r="D15" s="41" t="s">
        <v>18</v>
      </c>
      <c r="H15" s="2">
        <f t="shared" si="2"/>
        <v>0</v>
      </c>
      <c r="I15" s="2">
        <f t="shared" si="2"/>
        <v>0</v>
      </c>
      <c r="J15" s="2">
        <f t="shared" si="2"/>
        <v>0</v>
      </c>
      <c r="K15" s="2">
        <f t="shared" si="2"/>
        <v>0</v>
      </c>
      <c r="L15" s="2">
        <f t="shared" si="2"/>
        <v>0</v>
      </c>
      <c r="M15" s="2">
        <f t="shared" si="2"/>
        <v>0</v>
      </c>
      <c r="N15" s="2">
        <f t="shared" si="2"/>
        <v>0</v>
      </c>
      <c r="P15" s="2" t="s">
        <v>13</v>
      </c>
      <c r="Q15" s="2">
        <v>9</v>
      </c>
    </row>
    <row r="16" spans="1:18" x14ac:dyDescent="0.25">
      <c r="A16" s="1">
        <f t="shared" si="1"/>
        <v>0</v>
      </c>
      <c r="B16" s="2">
        <f>IF(C16=0,0,A16&amp;" "&amp;COUNTIF($A$1:$A16,A16))</f>
        <v>0</v>
      </c>
      <c r="C16" s="1">
        <v>0</v>
      </c>
      <c r="D16" s="41" t="s">
        <v>18</v>
      </c>
      <c r="H16" s="2">
        <v>0</v>
      </c>
      <c r="I16" s="2"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P16" s="2" t="s">
        <v>14</v>
      </c>
      <c r="Q16" s="2">
        <f>SUM(C:C)</f>
        <v>9</v>
      </c>
    </row>
    <row r="17" spans="1:19" x14ac:dyDescent="0.25">
      <c r="A17" s="1">
        <f t="shared" si="1"/>
        <v>0</v>
      </c>
      <c r="B17" s="2">
        <f>IF(C17=0,0,A17&amp;" "&amp;COUNTIF($A$1:$A17,A17))</f>
        <v>0</v>
      </c>
      <c r="C17" s="1">
        <v>0</v>
      </c>
      <c r="D17" s="41" t="s">
        <v>18</v>
      </c>
      <c r="H17" s="2">
        <v>0</v>
      </c>
      <c r="I17" s="2">
        <v>0</v>
      </c>
      <c r="J17" s="2">
        <f t="shared" si="2"/>
        <v>0</v>
      </c>
      <c r="K17" s="2">
        <f t="shared" si="2"/>
        <v>0</v>
      </c>
      <c r="L17" s="2">
        <f t="shared" si="2"/>
        <v>0</v>
      </c>
      <c r="M17" s="2">
        <f t="shared" si="2"/>
        <v>0</v>
      </c>
      <c r="N17" s="2">
        <f t="shared" si="2"/>
        <v>0</v>
      </c>
    </row>
    <row r="18" spans="1:19" x14ac:dyDescent="0.25">
      <c r="A18" s="1">
        <f t="shared" si="1"/>
        <v>0</v>
      </c>
      <c r="B18" s="2">
        <f>IF(C18=0,0,A18&amp;" "&amp;COUNTIF($A$1:$A18,A18))</f>
        <v>0</v>
      </c>
      <c r="C18" s="1">
        <v>0</v>
      </c>
      <c r="D18" s="41" t="s">
        <v>18</v>
      </c>
      <c r="H18" s="2">
        <v>0</v>
      </c>
      <c r="I18" s="2">
        <v>0</v>
      </c>
      <c r="J18" s="2">
        <f t="shared" si="2"/>
        <v>0</v>
      </c>
      <c r="K18" s="2">
        <f t="shared" si="2"/>
        <v>0</v>
      </c>
      <c r="L18" s="2">
        <f t="shared" si="2"/>
        <v>0</v>
      </c>
      <c r="M18" s="2">
        <f t="shared" si="2"/>
        <v>0</v>
      </c>
      <c r="N18" s="2">
        <f t="shared" si="2"/>
        <v>0</v>
      </c>
      <c r="P18" s="2" t="s">
        <v>839</v>
      </c>
    </row>
    <row r="19" spans="1:19" x14ac:dyDescent="0.25">
      <c r="A19" s="1">
        <f t="shared" si="1"/>
        <v>0</v>
      </c>
      <c r="B19" s="2">
        <f>IF(C19=0,0,A19&amp;" "&amp;COUNTIF($A$1:$A19,A19))</f>
        <v>0</v>
      </c>
      <c r="C19" s="1">
        <v>0</v>
      </c>
      <c r="D19" s="41" t="s">
        <v>18</v>
      </c>
      <c r="H19" s="2">
        <v>0</v>
      </c>
      <c r="I19" s="2">
        <v>0</v>
      </c>
      <c r="J19" s="2">
        <f t="shared" si="2"/>
        <v>0</v>
      </c>
      <c r="K19" s="2">
        <f t="shared" si="2"/>
        <v>0</v>
      </c>
      <c r="L19" s="2">
        <f t="shared" si="2"/>
        <v>0</v>
      </c>
      <c r="M19" s="2">
        <f t="shared" si="2"/>
        <v>0</v>
      </c>
      <c r="N19" s="2">
        <f t="shared" si="2"/>
        <v>0</v>
      </c>
      <c r="P19" s="2">
        <v>416</v>
      </c>
      <c r="Q19" s="2">
        <f>SUM(O32:O200)</f>
        <v>416</v>
      </c>
    </row>
    <row r="20" spans="1:19" x14ac:dyDescent="0.25">
      <c r="A20" s="1">
        <f t="shared" si="1"/>
        <v>0</v>
      </c>
      <c r="B20" s="2">
        <f>IF(C20=0,0,A20&amp;" "&amp;COUNTIF($A$1:$A20,A20))</f>
        <v>0</v>
      </c>
      <c r="C20" s="1">
        <v>0</v>
      </c>
      <c r="D20" s="41" t="s">
        <v>18</v>
      </c>
      <c r="H20" s="2">
        <v>0</v>
      </c>
      <c r="I20" s="2">
        <v>0</v>
      </c>
      <c r="J20" s="2">
        <f t="shared" si="2"/>
        <v>0</v>
      </c>
      <c r="K20" s="2">
        <f t="shared" si="2"/>
        <v>0</v>
      </c>
      <c r="L20" s="2">
        <f t="shared" si="2"/>
        <v>0</v>
      </c>
      <c r="M20" s="2">
        <f t="shared" si="2"/>
        <v>0</v>
      </c>
      <c r="N20" s="2">
        <f t="shared" si="2"/>
        <v>0</v>
      </c>
    </row>
    <row r="21" spans="1:19" x14ac:dyDescent="0.25">
      <c r="A21" s="1">
        <f t="shared" si="1"/>
        <v>0</v>
      </c>
      <c r="B21" s="2">
        <f>IF(C21=0,0,A21&amp;" "&amp;COUNTIF($A$1:$A21,A21))</f>
        <v>0</v>
      </c>
      <c r="C21" s="1">
        <v>0</v>
      </c>
      <c r="D21" s="41" t="s">
        <v>18</v>
      </c>
      <c r="H21" s="2">
        <v>0</v>
      </c>
      <c r="I21" s="2">
        <v>0</v>
      </c>
      <c r="J21" s="2">
        <f t="shared" si="2"/>
        <v>0</v>
      </c>
      <c r="K21" s="2">
        <f t="shared" si="2"/>
        <v>0</v>
      </c>
      <c r="L21" s="2">
        <f t="shared" si="2"/>
        <v>0</v>
      </c>
      <c r="M21" s="2">
        <f t="shared" si="2"/>
        <v>0</v>
      </c>
      <c r="N21" s="2">
        <f t="shared" si="2"/>
        <v>0</v>
      </c>
    </row>
    <row r="22" spans="1:19" x14ac:dyDescent="0.25">
      <c r="A22" s="1">
        <f t="shared" si="1"/>
        <v>0</v>
      </c>
      <c r="B22" s="2">
        <f>IF(C22=0,0,A22&amp;" "&amp;COUNTIF($A$1:$A22,A22))</f>
        <v>0</v>
      </c>
      <c r="C22" s="1">
        <v>0</v>
      </c>
      <c r="D22" s="41" t="s">
        <v>18</v>
      </c>
      <c r="H22" s="2">
        <v>0</v>
      </c>
      <c r="I22" s="2">
        <v>0</v>
      </c>
      <c r="J22" s="2">
        <f t="shared" si="2"/>
        <v>0</v>
      </c>
      <c r="K22" s="2">
        <f t="shared" si="2"/>
        <v>0</v>
      </c>
      <c r="L22" s="2">
        <f t="shared" si="2"/>
        <v>0</v>
      </c>
      <c r="M22" s="2">
        <f t="shared" si="2"/>
        <v>0</v>
      </c>
      <c r="N22" s="2">
        <f t="shared" si="2"/>
        <v>0</v>
      </c>
    </row>
    <row r="23" spans="1:19" x14ac:dyDescent="0.25">
      <c r="A23" s="1">
        <f t="shared" si="1"/>
        <v>0</v>
      </c>
      <c r="B23" s="2">
        <f>IF(C23=0,0,A23&amp;" "&amp;COUNTIF($A$1:$A23,A23))</f>
        <v>0</v>
      </c>
      <c r="C23" s="1">
        <v>0</v>
      </c>
      <c r="D23" s="41" t="s">
        <v>18</v>
      </c>
      <c r="H23" s="2">
        <v>0</v>
      </c>
      <c r="I23" s="2">
        <v>0</v>
      </c>
      <c r="J23" s="2">
        <f t="shared" si="2"/>
        <v>0</v>
      </c>
      <c r="K23" s="2">
        <f t="shared" si="2"/>
        <v>0</v>
      </c>
      <c r="L23" s="2">
        <f t="shared" si="2"/>
        <v>0</v>
      </c>
      <c r="M23" s="2">
        <f t="shared" si="2"/>
        <v>0</v>
      </c>
      <c r="N23" s="2">
        <f t="shared" si="2"/>
        <v>0</v>
      </c>
      <c r="P23" s="2" t="s">
        <v>16</v>
      </c>
    </row>
    <row r="24" spans="1:19" x14ac:dyDescent="0.25">
      <c r="A24" s="1">
        <f t="shared" si="1"/>
        <v>0</v>
      </c>
      <c r="B24" s="2">
        <f>IF(C24=0,0,A24&amp;" "&amp;COUNTIF($A$1:$A24,A24))</f>
        <v>0</v>
      </c>
      <c r="C24" s="1">
        <v>0</v>
      </c>
      <c r="D24" s="41" t="s">
        <v>18</v>
      </c>
      <c r="H24" s="2">
        <v>0</v>
      </c>
      <c r="I24" s="2">
        <v>0</v>
      </c>
      <c r="J24" s="2">
        <f t="shared" si="2"/>
        <v>0</v>
      </c>
      <c r="K24" s="2">
        <f t="shared" si="2"/>
        <v>0</v>
      </c>
      <c r="L24" s="2">
        <f t="shared" si="2"/>
        <v>0</v>
      </c>
      <c r="M24" s="2">
        <f t="shared" si="2"/>
        <v>0</v>
      </c>
      <c r="N24" s="2">
        <f t="shared" si="2"/>
        <v>0</v>
      </c>
      <c r="P24" s="2" t="s">
        <v>23</v>
      </c>
      <c r="Q24" s="2" t="str">
        <f t="shared" ref="Q24:Q32" si="3">VLOOKUP(P24,$B$2:$F$200,4,FALSE)</f>
        <v>Luis Castillo</v>
      </c>
      <c r="R24" s="2">
        <f t="shared" ref="R24:R32" si="4">VLOOKUP(P24,$B$2:$F$200,5,FALSE)</f>
        <v>33.615384615384599</v>
      </c>
      <c r="S24" s="2" t="e">
        <f>VLOOKUP(Q24,Batters!$F$2:$K$1124,6,FALSE)</f>
        <v>#N/A</v>
      </c>
    </row>
    <row r="25" spans="1:19" x14ac:dyDescent="0.25">
      <c r="A25" s="1">
        <f t="shared" si="1"/>
        <v>0</v>
      </c>
      <c r="B25" s="2">
        <f>IF(C25=0,0,A25&amp;" "&amp;COUNTIF($A$1:$A25,A25))</f>
        <v>0</v>
      </c>
      <c r="C25" s="1">
        <v>0</v>
      </c>
      <c r="D25" s="41" t="s">
        <v>18</v>
      </c>
      <c r="H25" s="2">
        <v>0</v>
      </c>
      <c r="I25" s="2">
        <v>0</v>
      </c>
      <c r="J25" s="2">
        <f t="shared" si="2"/>
        <v>0</v>
      </c>
      <c r="K25" s="2">
        <f t="shared" si="2"/>
        <v>0</v>
      </c>
      <c r="L25" s="2">
        <f t="shared" si="2"/>
        <v>0</v>
      </c>
      <c r="M25" s="2">
        <f t="shared" si="2"/>
        <v>0</v>
      </c>
      <c r="N25" s="2">
        <f t="shared" si="2"/>
        <v>0</v>
      </c>
      <c r="P25" s="2" t="s">
        <v>24</v>
      </c>
      <c r="Q25" s="2" t="str">
        <f t="shared" si="3"/>
        <v>Gerardo Parra</v>
      </c>
      <c r="R25" s="2">
        <f t="shared" si="4"/>
        <v>9.6688173355594706</v>
      </c>
      <c r="S25" s="2">
        <f>VLOOKUP(Q25,Batters!$F$2:$K$1124,6,FALSE)</f>
        <v>100</v>
      </c>
    </row>
    <row r="26" spans="1:19" x14ac:dyDescent="0.25">
      <c r="A26" s="1">
        <f t="shared" si="1"/>
        <v>0</v>
      </c>
      <c r="B26" s="2">
        <f>IF(C26=0,0,A26&amp;" "&amp;COUNTIF($A$1:$A26,A26))</f>
        <v>0</v>
      </c>
      <c r="C26" s="1">
        <v>0</v>
      </c>
      <c r="D26" s="41" t="s">
        <v>18</v>
      </c>
      <c r="H26" s="2">
        <v>0</v>
      </c>
      <c r="I26" s="2">
        <v>0</v>
      </c>
      <c r="J26" s="2">
        <f t="shared" si="2"/>
        <v>0</v>
      </c>
      <c r="K26" s="2">
        <f t="shared" si="2"/>
        <v>0</v>
      </c>
      <c r="L26" s="2">
        <f t="shared" si="2"/>
        <v>0</v>
      </c>
      <c r="M26" s="2">
        <f t="shared" si="2"/>
        <v>0</v>
      </c>
      <c r="N26" s="2">
        <f t="shared" si="2"/>
        <v>0</v>
      </c>
      <c r="P26" s="2" t="s">
        <v>25</v>
      </c>
      <c r="Q26" s="2" t="str">
        <f t="shared" si="3"/>
        <v>Carlos Gonzalez</v>
      </c>
      <c r="R26" s="2">
        <f t="shared" si="4"/>
        <v>7.6769911504424702</v>
      </c>
      <c r="S26" s="2">
        <f>VLOOKUP(Q26,Batters!$F$2:$K$1124,6,FALSE)</f>
        <v>100</v>
      </c>
    </row>
    <row r="27" spans="1:19" x14ac:dyDescent="0.25">
      <c r="A27" s="1">
        <f t="shared" si="1"/>
        <v>0</v>
      </c>
      <c r="B27" s="2">
        <f>IF(C27=0,0,A27&amp;" "&amp;COUNTIF($A$1:$A27,A27))</f>
        <v>0</v>
      </c>
      <c r="C27" s="1">
        <v>0</v>
      </c>
      <c r="D27" s="41" t="s">
        <v>18</v>
      </c>
      <c r="H27" s="2">
        <v>0</v>
      </c>
      <c r="I27" s="2">
        <v>0</v>
      </c>
      <c r="J27" s="2">
        <f t="shared" si="2"/>
        <v>0</v>
      </c>
      <c r="K27" s="2">
        <f t="shared" si="2"/>
        <v>0</v>
      </c>
      <c r="L27" s="2">
        <f t="shared" si="2"/>
        <v>0</v>
      </c>
      <c r="M27" s="2">
        <f t="shared" si="2"/>
        <v>0</v>
      </c>
      <c r="N27" s="2">
        <f t="shared" si="2"/>
        <v>0</v>
      </c>
      <c r="P27" s="2" t="s">
        <v>31</v>
      </c>
      <c r="Q27" s="2" t="str">
        <f t="shared" si="3"/>
        <v>Socrates Brito</v>
      </c>
      <c r="R27" s="2">
        <f t="shared" si="4"/>
        <v>4.8499999999999996</v>
      </c>
      <c r="S27" s="2">
        <f>VLOOKUP(Q27,Batters!$F$2:$K$1124,6,FALSE)</f>
        <v>4</v>
      </c>
    </row>
    <row r="28" spans="1:19" x14ac:dyDescent="0.25">
      <c r="A28" s="1">
        <f t="shared" si="1"/>
        <v>0</v>
      </c>
      <c r="B28" s="2">
        <f>IF(C28=0,0,A28&amp;" "&amp;COUNTIF($A$1:$A28,A28))</f>
        <v>0</v>
      </c>
      <c r="C28" s="1">
        <v>0</v>
      </c>
      <c r="D28" s="41" t="s">
        <v>18</v>
      </c>
      <c r="H28" s="2">
        <v>0</v>
      </c>
      <c r="I28" s="2">
        <v>0</v>
      </c>
      <c r="J28" s="2">
        <f t="shared" si="2"/>
        <v>0</v>
      </c>
      <c r="K28" s="2">
        <f t="shared" si="2"/>
        <v>0</v>
      </c>
      <c r="L28" s="2">
        <f t="shared" si="2"/>
        <v>0</v>
      </c>
      <c r="M28" s="2">
        <f t="shared" si="2"/>
        <v>0</v>
      </c>
      <c r="N28" s="2">
        <f t="shared" si="2"/>
        <v>0</v>
      </c>
      <c r="P28" s="2" t="s">
        <v>26</v>
      </c>
      <c r="Q28" s="2" t="str">
        <f t="shared" si="3"/>
        <v>Daniel Descalso</v>
      </c>
      <c r="R28" s="2">
        <f t="shared" si="4"/>
        <v>6.8403667484948398</v>
      </c>
      <c r="S28" s="2">
        <f>VLOOKUP(Q28,Batters!$F$2:$K$1124,6,FALSE)</f>
        <v>4</v>
      </c>
    </row>
    <row r="29" spans="1:19" x14ac:dyDescent="0.25">
      <c r="A29" s="1">
        <f t="shared" si="1"/>
        <v>0</v>
      </c>
      <c r="B29" s="2">
        <f>IF(C29=0,0,A29&amp;" "&amp;COUNTIF($A$1:$A29,A29))</f>
        <v>0</v>
      </c>
      <c r="C29" s="1">
        <v>0</v>
      </c>
      <c r="D29" s="41" t="s">
        <v>18</v>
      </c>
      <c r="H29" s="2">
        <v>0</v>
      </c>
      <c r="I29" s="2">
        <v>0</v>
      </c>
      <c r="J29" s="2">
        <f t="shared" si="2"/>
        <v>0</v>
      </c>
      <c r="K29" s="2">
        <f t="shared" si="2"/>
        <v>0</v>
      </c>
      <c r="L29" s="2">
        <f t="shared" si="2"/>
        <v>0</v>
      </c>
      <c r="M29" s="2">
        <f t="shared" si="2"/>
        <v>0</v>
      </c>
      <c r="N29" s="2">
        <f t="shared" si="2"/>
        <v>0</v>
      </c>
      <c r="P29" s="2" t="s">
        <v>27</v>
      </c>
      <c r="Q29" s="2" t="str">
        <f t="shared" si="3"/>
        <v>Jake Lamb</v>
      </c>
      <c r="R29" s="2">
        <f t="shared" si="4"/>
        <v>12.312903619581601</v>
      </c>
      <c r="S29" s="2">
        <f>VLOOKUP(Q29,Batters!$F$2:$K$1124,6,FALSE)</f>
        <v>4</v>
      </c>
    </row>
    <row r="30" spans="1:19" x14ac:dyDescent="0.25">
      <c r="A30" s="1">
        <f t="shared" si="1"/>
        <v>0</v>
      </c>
      <c r="B30" s="2">
        <f>IF(C30=0,0,A30&amp;" "&amp;COUNTIF($A$1:$A30,A30))</f>
        <v>0</v>
      </c>
      <c r="C30" s="1">
        <v>0</v>
      </c>
      <c r="D30" s="41" t="s">
        <v>18</v>
      </c>
      <c r="H30" s="2">
        <v>0</v>
      </c>
      <c r="I30" s="2">
        <v>0</v>
      </c>
      <c r="J30" s="2">
        <f t="shared" si="2"/>
        <v>0</v>
      </c>
      <c r="K30" s="2">
        <f t="shared" si="2"/>
        <v>0</v>
      </c>
      <c r="L30" s="2">
        <f t="shared" si="2"/>
        <v>0</v>
      </c>
      <c r="M30" s="2">
        <f t="shared" si="2"/>
        <v>0</v>
      </c>
      <c r="N30" s="2">
        <f t="shared" si="2"/>
        <v>0</v>
      </c>
      <c r="P30" s="2" t="s">
        <v>28</v>
      </c>
      <c r="Q30" s="2" t="str">
        <f t="shared" si="3"/>
        <v>Tony Wolters</v>
      </c>
      <c r="R30" s="2">
        <f t="shared" si="4"/>
        <v>6.0142857142857098</v>
      </c>
      <c r="S30" s="2">
        <f>VLOOKUP(Q30,Batters!$F$2:$K$1124,6,FALSE)</f>
        <v>100</v>
      </c>
    </row>
    <row r="31" spans="1:19" x14ac:dyDescent="0.25">
      <c r="A31" s="1">
        <f t="shared" si="1"/>
        <v>0</v>
      </c>
      <c r="B31" s="2">
        <f>IF(C31=0,0,A31&amp;" "&amp;COUNTIF($A$1:$A31,A31))</f>
        <v>0</v>
      </c>
      <c r="C31" s="1">
        <v>0</v>
      </c>
      <c r="D31" s="41" t="s">
        <v>18</v>
      </c>
      <c r="H31" s="2">
        <v>0</v>
      </c>
      <c r="I31" s="2">
        <v>0</v>
      </c>
      <c r="J31" s="2">
        <f t="shared" si="2"/>
        <v>0</v>
      </c>
      <c r="K31" s="2">
        <f t="shared" si="2"/>
        <v>0</v>
      </c>
      <c r="L31" s="2">
        <f t="shared" si="2"/>
        <v>0</v>
      </c>
      <c r="M31" s="2">
        <f t="shared" si="2"/>
        <v>0</v>
      </c>
      <c r="N31" s="2">
        <f t="shared" si="2"/>
        <v>0</v>
      </c>
      <c r="P31" s="2" t="s">
        <v>29</v>
      </c>
      <c r="Q31" s="2" t="str">
        <f t="shared" si="3"/>
        <v>Ketel Marte</v>
      </c>
      <c r="R31" s="2">
        <f t="shared" si="4"/>
        <v>7.1148934871592404</v>
      </c>
      <c r="S31" s="2">
        <f>VLOOKUP(Q31,Batters!$F$2:$K$1124,6,FALSE)</f>
        <v>4</v>
      </c>
    </row>
    <row r="32" spans="1:19" x14ac:dyDescent="0.25">
      <c r="A32" s="1">
        <f t="shared" si="1"/>
        <v>0</v>
      </c>
      <c r="B32" s="2">
        <f>IF(C32=0,0,A32&amp;" "&amp;COUNTIF($A$1:$A32,A32))</f>
        <v>0</v>
      </c>
      <c r="C32" s="1">
        <v>0</v>
      </c>
      <c r="D32" s="2" t="s">
        <v>22</v>
      </c>
      <c r="E32" s="2" t="s">
        <v>2901</v>
      </c>
      <c r="F32" s="2">
        <v>14.657894736842101</v>
      </c>
      <c r="G32" s="2">
        <v>5400</v>
      </c>
      <c r="H32" s="2">
        <v>0</v>
      </c>
      <c r="I32" s="2">
        <v>0</v>
      </c>
      <c r="J32" s="2">
        <f t="shared" si="2"/>
        <v>0</v>
      </c>
      <c r="K32" s="2">
        <f t="shared" si="2"/>
        <v>0</v>
      </c>
      <c r="L32" s="2">
        <f t="shared" si="2"/>
        <v>0</v>
      </c>
      <c r="M32" s="2">
        <f t="shared" si="2"/>
        <v>0</v>
      </c>
      <c r="N32" s="2">
        <f t="shared" si="2"/>
        <v>0</v>
      </c>
      <c r="O32" s="2">
        <f>(VLOOKUP(E32,Batters!$F$2:$K$1124,6,FALSE))*C32</f>
        <v>0</v>
      </c>
      <c r="P32" s="2" t="s">
        <v>30</v>
      </c>
      <c r="Q32" s="2" t="str">
        <f t="shared" si="3"/>
        <v>Mark Reynolds</v>
      </c>
      <c r="R32" s="2">
        <f t="shared" si="4"/>
        <v>11.2246035621279</v>
      </c>
      <c r="S32" s="2">
        <f>VLOOKUP(Q32,Batters!$F$2:$K$1124,6,FALSE)</f>
        <v>100</v>
      </c>
    </row>
    <row r="33" spans="1:15" x14ac:dyDescent="0.25">
      <c r="A33" s="1">
        <f t="shared" si="1"/>
        <v>0</v>
      </c>
      <c r="B33" s="2">
        <f>IF(C33=0,0,A33&amp;" "&amp;COUNTIF($A$1:$A33,A33))</f>
        <v>0</v>
      </c>
      <c r="C33" s="1">
        <v>0</v>
      </c>
      <c r="D33" s="2" t="s">
        <v>17</v>
      </c>
      <c r="E33" s="2" t="s">
        <v>1321</v>
      </c>
      <c r="F33" s="2">
        <v>14.636363636363599</v>
      </c>
      <c r="G33" s="2">
        <v>5000</v>
      </c>
      <c r="H33" s="2">
        <v>0</v>
      </c>
      <c r="I33" s="2">
        <v>0</v>
      </c>
      <c r="J33" s="2">
        <f t="shared" si="2"/>
        <v>0</v>
      </c>
      <c r="K33" s="2">
        <f t="shared" si="2"/>
        <v>0</v>
      </c>
      <c r="L33" s="2">
        <f t="shared" si="2"/>
        <v>0</v>
      </c>
      <c r="M33" s="2">
        <f t="shared" si="2"/>
        <v>0</v>
      </c>
      <c r="N33" s="2">
        <f t="shared" si="2"/>
        <v>0</v>
      </c>
      <c r="O33" s="2">
        <f>(VLOOKUP(E33,Batters!$F$2:$K$1124,6,FALSE))*C33</f>
        <v>0</v>
      </c>
    </row>
    <row r="34" spans="1:15" x14ac:dyDescent="0.25">
      <c r="A34" s="1">
        <f t="shared" si="1"/>
        <v>0</v>
      </c>
      <c r="B34" s="2">
        <f>IF(C34=0,0,A34&amp;" "&amp;COUNTIF($A$1:$A34,A34))</f>
        <v>0</v>
      </c>
      <c r="C34" s="1">
        <v>0</v>
      </c>
      <c r="D34" s="2" t="s">
        <v>20</v>
      </c>
      <c r="E34" s="2" t="s">
        <v>1313</v>
      </c>
      <c r="F34" s="2">
        <v>13.0297711787333</v>
      </c>
      <c r="G34" s="2">
        <v>4500</v>
      </c>
      <c r="H34" s="2">
        <v>0</v>
      </c>
      <c r="I34" s="2">
        <v>0</v>
      </c>
      <c r="J34" s="2">
        <f t="shared" si="2"/>
        <v>0</v>
      </c>
      <c r="K34" s="2">
        <f t="shared" si="2"/>
        <v>0</v>
      </c>
      <c r="L34" s="2">
        <f t="shared" si="2"/>
        <v>0</v>
      </c>
      <c r="M34" s="2">
        <f t="shared" si="2"/>
        <v>0</v>
      </c>
      <c r="N34" s="2">
        <f t="shared" si="2"/>
        <v>0</v>
      </c>
      <c r="O34" s="2">
        <f>(VLOOKUP(E34,Batters!$F$2:$K$1124,6,FALSE))*C34</f>
        <v>0</v>
      </c>
    </row>
    <row r="35" spans="1:15" x14ac:dyDescent="0.25">
      <c r="A35" s="1">
        <f t="shared" si="1"/>
        <v>0</v>
      </c>
      <c r="B35" s="2">
        <f>IF(C35=0,0,A35&amp;" "&amp;COUNTIF($A$1:$A35,A35))</f>
        <v>0</v>
      </c>
      <c r="C35" s="1">
        <v>0</v>
      </c>
      <c r="D35" s="2" t="s">
        <v>17</v>
      </c>
      <c r="E35" s="2" t="s">
        <v>1335</v>
      </c>
      <c r="F35" s="2">
        <v>12.6468090300864</v>
      </c>
      <c r="G35" s="2">
        <v>5000</v>
      </c>
      <c r="H35" s="2">
        <v>0</v>
      </c>
      <c r="I35" s="2">
        <v>0</v>
      </c>
      <c r="J35" s="2">
        <f t="shared" si="2"/>
        <v>0</v>
      </c>
      <c r="K35" s="2">
        <f t="shared" si="2"/>
        <v>0</v>
      </c>
      <c r="L35" s="2">
        <f t="shared" si="2"/>
        <v>0</v>
      </c>
      <c r="M35" s="2">
        <f t="shared" si="2"/>
        <v>0</v>
      </c>
      <c r="N35" s="2">
        <f t="shared" si="2"/>
        <v>0</v>
      </c>
      <c r="O35" s="2">
        <f>(VLOOKUP(E35,Batters!$F$2:$K$1124,6,FALSE))*C35</f>
        <v>0</v>
      </c>
    </row>
    <row r="36" spans="1:15" x14ac:dyDescent="0.25">
      <c r="A36" s="1" t="str">
        <f t="shared" si="1"/>
        <v>3B</v>
      </c>
      <c r="B36" s="2" t="str">
        <f>IF(C36=0,0,A36&amp;" "&amp;COUNTIF($A$1:$A36,A36))</f>
        <v>3B 1</v>
      </c>
      <c r="C36" s="1">
        <v>1</v>
      </c>
      <c r="D36" s="2" t="s">
        <v>20</v>
      </c>
      <c r="E36" s="2" t="s">
        <v>2924</v>
      </c>
      <c r="F36" s="2">
        <v>12.312903619581601</v>
      </c>
      <c r="G36" s="2">
        <v>4300</v>
      </c>
      <c r="H36" s="2">
        <v>0</v>
      </c>
      <c r="I36" s="2">
        <v>0</v>
      </c>
      <c r="J36" s="2">
        <f t="shared" si="2"/>
        <v>0</v>
      </c>
      <c r="K36" s="2">
        <f t="shared" si="2"/>
        <v>1</v>
      </c>
      <c r="L36" s="2">
        <f t="shared" si="2"/>
        <v>0</v>
      </c>
      <c r="M36" s="2">
        <f t="shared" si="2"/>
        <v>0</v>
      </c>
      <c r="N36" s="2">
        <f t="shared" si="2"/>
        <v>0</v>
      </c>
      <c r="O36" s="2">
        <f>(VLOOKUP(E36,Batters!$F$2:$K$1124,6,FALSE))*C36</f>
        <v>4</v>
      </c>
    </row>
    <row r="37" spans="1:15" x14ac:dyDescent="0.25">
      <c r="A37" s="1" t="str">
        <f t="shared" si="1"/>
        <v>1B</v>
      </c>
      <c r="B37" s="2" t="str">
        <f>IF(C37=0,0,A37&amp;" "&amp;COUNTIF($A$1:$A37,A37))</f>
        <v>1B 1</v>
      </c>
      <c r="C37" s="1">
        <v>1</v>
      </c>
      <c r="D37" s="2" t="s">
        <v>22</v>
      </c>
      <c r="E37" s="2" t="s">
        <v>1394</v>
      </c>
      <c r="F37" s="2">
        <v>11.2246035621279</v>
      </c>
      <c r="G37" s="2">
        <v>3600</v>
      </c>
      <c r="H37" s="2">
        <v>0</v>
      </c>
      <c r="I37" s="2">
        <v>0</v>
      </c>
      <c r="J37" s="2">
        <f t="shared" si="2"/>
        <v>0</v>
      </c>
      <c r="K37" s="2">
        <f t="shared" si="2"/>
        <v>0</v>
      </c>
      <c r="L37" s="2">
        <f t="shared" si="2"/>
        <v>0</v>
      </c>
      <c r="M37" s="2">
        <f t="shared" si="2"/>
        <v>0</v>
      </c>
      <c r="N37" s="2">
        <f t="shared" si="2"/>
        <v>1</v>
      </c>
      <c r="O37" s="2">
        <f>(VLOOKUP(E37,Batters!$F$2:$K$1124,6,FALSE))*C37</f>
        <v>100</v>
      </c>
    </row>
    <row r="38" spans="1:15" x14ac:dyDescent="0.25">
      <c r="A38" s="1">
        <f t="shared" si="1"/>
        <v>0</v>
      </c>
      <c r="B38" s="2">
        <f>IF(C38=0,0,A38&amp;" "&amp;COUNTIF($A$1:$A38,A38))</f>
        <v>0</v>
      </c>
      <c r="C38" s="1">
        <v>0</v>
      </c>
      <c r="D38" s="2" t="s">
        <v>17</v>
      </c>
      <c r="E38" s="2" t="s">
        <v>2910</v>
      </c>
      <c r="F38" s="2">
        <v>10.6057472667474</v>
      </c>
      <c r="G38" s="2">
        <v>4600</v>
      </c>
      <c r="H38" s="2">
        <v>0</v>
      </c>
      <c r="I38" s="2">
        <v>0</v>
      </c>
      <c r="J38" s="2">
        <f t="shared" si="2"/>
        <v>0</v>
      </c>
      <c r="K38" s="2">
        <f t="shared" si="2"/>
        <v>0</v>
      </c>
      <c r="L38" s="2">
        <f t="shared" si="2"/>
        <v>0</v>
      </c>
      <c r="M38" s="2">
        <f t="shared" si="2"/>
        <v>0</v>
      </c>
      <c r="N38" s="2">
        <f t="shared" si="2"/>
        <v>0</v>
      </c>
      <c r="O38" s="2">
        <f>(VLOOKUP(E38,Batters!$F$2:$K$1124,6,FALSE))*C38</f>
        <v>0</v>
      </c>
    </row>
    <row r="39" spans="1:15" x14ac:dyDescent="0.25">
      <c r="A39" s="1">
        <f t="shared" si="1"/>
        <v>0</v>
      </c>
      <c r="B39" s="2">
        <f>IF(C39=0,0,A39&amp;" "&amp;COUNTIF($A$1:$A39,A39))</f>
        <v>0</v>
      </c>
      <c r="C39" s="1">
        <v>0</v>
      </c>
      <c r="D39" s="2" t="s">
        <v>19</v>
      </c>
      <c r="E39" s="2" t="s">
        <v>1452</v>
      </c>
      <c r="F39" s="2">
        <v>9.9370078740157393</v>
      </c>
      <c r="G39" s="2">
        <v>3900</v>
      </c>
      <c r="H39" s="2">
        <v>0</v>
      </c>
      <c r="I39" s="2">
        <v>0</v>
      </c>
      <c r="J39" s="2">
        <f t="shared" si="2"/>
        <v>0</v>
      </c>
      <c r="K39" s="2">
        <f t="shared" ref="H39:N75" si="5">IF($D39=K$1,$C39*1,0)</f>
        <v>0</v>
      </c>
      <c r="L39" s="2">
        <f t="shared" si="5"/>
        <v>0</v>
      </c>
      <c r="M39" s="2">
        <f t="shared" si="5"/>
        <v>0</v>
      </c>
      <c r="N39" s="2">
        <f t="shared" si="5"/>
        <v>0</v>
      </c>
      <c r="O39" s="2">
        <f>(VLOOKUP(E39,Batters!$F$2:$K$1124,6,FALSE))*C39</f>
        <v>0</v>
      </c>
    </row>
    <row r="40" spans="1:15" x14ac:dyDescent="0.25">
      <c r="A40" s="1">
        <f t="shared" si="1"/>
        <v>0</v>
      </c>
      <c r="B40" s="2">
        <f>IF(C40=0,0,A40&amp;" "&amp;COUNTIF($A$1:$A40,A40))</f>
        <v>0</v>
      </c>
      <c r="C40" s="1">
        <v>0</v>
      </c>
      <c r="D40" s="2" t="s">
        <v>17</v>
      </c>
      <c r="E40" s="2" t="s">
        <v>2929</v>
      </c>
      <c r="F40" s="2">
        <v>9.8293099238954706</v>
      </c>
      <c r="G40" s="2">
        <v>4100</v>
      </c>
      <c r="H40" s="2">
        <v>0</v>
      </c>
      <c r="I40" s="2">
        <v>0</v>
      </c>
      <c r="J40" s="2">
        <f t="shared" si="5"/>
        <v>0</v>
      </c>
      <c r="K40" s="2">
        <f t="shared" si="5"/>
        <v>0</v>
      </c>
      <c r="L40" s="2">
        <f t="shared" si="5"/>
        <v>0</v>
      </c>
      <c r="M40" s="2">
        <f t="shared" si="5"/>
        <v>0</v>
      </c>
      <c r="N40" s="2">
        <f t="shared" si="5"/>
        <v>0</v>
      </c>
      <c r="O40" s="2">
        <f>(VLOOKUP(E40,Batters!$F$2:$K$1124,6,FALSE))*C40</f>
        <v>0</v>
      </c>
    </row>
    <row r="41" spans="1:15" x14ac:dyDescent="0.25">
      <c r="A41" s="1" t="str">
        <f t="shared" si="1"/>
        <v>OF</v>
      </c>
      <c r="B41" s="2" t="str">
        <f>IF(C41=0,0,A41&amp;" "&amp;COUNTIF($A$1:$A41,A41))</f>
        <v>OF 1</v>
      </c>
      <c r="C41" s="1">
        <v>1</v>
      </c>
      <c r="D41" s="2" t="s">
        <v>17</v>
      </c>
      <c r="E41" s="2" t="s">
        <v>1455</v>
      </c>
      <c r="F41" s="2">
        <v>9.6688173355594706</v>
      </c>
      <c r="G41" s="2">
        <v>3600</v>
      </c>
      <c r="H41" s="2">
        <f t="shared" si="5"/>
        <v>0</v>
      </c>
      <c r="I41" s="2">
        <f t="shared" si="5"/>
        <v>1</v>
      </c>
      <c r="J41" s="2">
        <f t="shared" si="5"/>
        <v>0</v>
      </c>
      <c r="K41" s="2">
        <f t="shared" si="5"/>
        <v>0</v>
      </c>
      <c r="L41" s="2">
        <f t="shared" si="5"/>
        <v>0</v>
      </c>
      <c r="M41" s="2">
        <f t="shared" si="5"/>
        <v>0</v>
      </c>
      <c r="N41" s="2">
        <f t="shared" si="5"/>
        <v>0</v>
      </c>
      <c r="O41" s="2">
        <f>(VLOOKUP(E41,Batters!$F$2:$K$1124,6,FALSE))*C41</f>
        <v>100</v>
      </c>
    </row>
    <row r="42" spans="1:15" x14ac:dyDescent="0.25">
      <c r="A42" s="1">
        <f t="shared" si="1"/>
        <v>0</v>
      </c>
      <c r="B42" s="2">
        <f>IF(C42=0,0,A42&amp;" "&amp;COUNTIF($A$1:$A42,A42))</f>
        <v>0</v>
      </c>
      <c r="C42" s="1">
        <v>0</v>
      </c>
      <c r="D42" s="2" t="s">
        <v>17</v>
      </c>
      <c r="E42" s="2" t="s">
        <v>1416</v>
      </c>
      <c r="F42" s="2">
        <v>9.2911762910730697</v>
      </c>
      <c r="G42" s="2">
        <v>3500</v>
      </c>
      <c r="H42" s="2">
        <f t="shared" si="5"/>
        <v>0</v>
      </c>
      <c r="I42" s="2">
        <f t="shared" si="5"/>
        <v>0</v>
      </c>
      <c r="J42" s="2">
        <f t="shared" si="5"/>
        <v>0</v>
      </c>
      <c r="K42" s="2">
        <f t="shared" si="5"/>
        <v>0</v>
      </c>
      <c r="L42" s="2">
        <f t="shared" si="5"/>
        <v>0</v>
      </c>
      <c r="M42" s="2">
        <f t="shared" si="5"/>
        <v>0</v>
      </c>
      <c r="N42" s="2">
        <f t="shared" si="5"/>
        <v>0</v>
      </c>
      <c r="O42" s="2">
        <f>(VLOOKUP(E42,Batters!$F$2:$K$1124,6,FALSE))*C42</f>
        <v>0</v>
      </c>
    </row>
    <row r="43" spans="1:15" x14ac:dyDescent="0.25">
      <c r="A43" s="1">
        <f t="shared" si="1"/>
        <v>0</v>
      </c>
      <c r="B43" s="2">
        <f>IF(C43=0,0,A43&amp;" "&amp;COUNTIF($A$1:$A43,A43))</f>
        <v>0</v>
      </c>
      <c r="C43" s="1">
        <v>0</v>
      </c>
      <c r="D43" s="2" t="s">
        <v>21</v>
      </c>
      <c r="E43" s="2" t="s">
        <v>1443</v>
      </c>
      <c r="F43" s="2">
        <v>9.0410260583600408</v>
      </c>
      <c r="G43" s="2">
        <v>3800</v>
      </c>
      <c r="H43" s="2">
        <f t="shared" si="5"/>
        <v>0</v>
      </c>
      <c r="I43" s="2">
        <f t="shared" si="5"/>
        <v>0</v>
      </c>
      <c r="J43" s="2">
        <f t="shared" si="5"/>
        <v>0</v>
      </c>
      <c r="K43" s="2">
        <f t="shared" si="5"/>
        <v>0</v>
      </c>
      <c r="L43" s="2">
        <f t="shared" si="5"/>
        <v>0</v>
      </c>
      <c r="M43" s="2">
        <f t="shared" si="5"/>
        <v>0</v>
      </c>
      <c r="N43" s="2">
        <f t="shared" si="5"/>
        <v>0</v>
      </c>
      <c r="O43" s="2">
        <f>(VLOOKUP(E43,Batters!$F$2:$K$1124,6,FALSE))*C43</f>
        <v>0</v>
      </c>
    </row>
    <row r="44" spans="1:15" x14ac:dyDescent="0.25">
      <c r="A44" s="1">
        <f t="shared" si="1"/>
        <v>0</v>
      </c>
      <c r="B44" s="2">
        <f>IF(C44=0,0,A44&amp;" "&amp;COUNTIF($A$1:$A44,A44))</f>
        <v>0</v>
      </c>
      <c r="C44" s="1">
        <v>0</v>
      </c>
      <c r="D44" s="2" t="s">
        <v>1</v>
      </c>
      <c r="E44" s="2" t="s">
        <v>3005</v>
      </c>
      <c r="F44" s="2">
        <v>8.7600001743861604</v>
      </c>
      <c r="G44" s="2">
        <v>3500</v>
      </c>
      <c r="H44" s="2">
        <f t="shared" si="5"/>
        <v>0</v>
      </c>
      <c r="I44" s="2">
        <f t="shared" si="5"/>
        <v>0</v>
      </c>
      <c r="J44" s="2">
        <f t="shared" si="5"/>
        <v>0</v>
      </c>
      <c r="K44" s="2">
        <f t="shared" si="5"/>
        <v>0</v>
      </c>
      <c r="L44" s="2">
        <f t="shared" si="5"/>
        <v>0</v>
      </c>
      <c r="M44" s="2">
        <f t="shared" si="5"/>
        <v>0</v>
      </c>
      <c r="N44" s="2">
        <f t="shared" si="5"/>
        <v>0</v>
      </c>
      <c r="O44" s="2">
        <f>(VLOOKUP(E44,Batters!$F$2:$K$1124,6,FALSE))*C44</f>
        <v>0</v>
      </c>
    </row>
    <row r="45" spans="1:15" x14ac:dyDescent="0.25">
      <c r="A45" s="1">
        <f t="shared" si="1"/>
        <v>0</v>
      </c>
      <c r="B45" s="2">
        <f>IF(C45=0,0,A45&amp;" "&amp;COUNTIF($A$1:$A45,A45))</f>
        <v>0</v>
      </c>
      <c r="C45" s="1">
        <v>0</v>
      </c>
      <c r="D45" s="2" t="s">
        <v>19</v>
      </c>
      <c r="E45" s="2" t="s">
        <v>2913</v>
      </c>
      <c r="F45" s="2">
        <v>7.8508771929824501</v>
      </c>
      <c r="G45" s="2">
        <v>4500</v>
      </c>
      <c r="H45" s="2">
        <f t="shared" si="5"/>
        <v>0</v>
      </c>
      <c r="I45" s="2">
        <f t="shared" si="5"/>
        <v>0</v>
      </c>
      <c r="J45" s="2">
        <f t="shared" si="5"/>
        <v>0</v>
      </c>
      <c r="K45" s="2">
        <f t="shared" si="5"/>
        <v>0</v>
      </c>
      <c r="L45" s="2">
        <f t="shared" si="5"/>
        <v>0</v>
      </c>
      <c r="M45" s="2">
        <f t="shared" si="5"/>
        <v>0</v>
      </c>
      <c r="N45" s="2">
        <f t="shared" si="5"/>
        <v>0</v>
      </c>
      <c r="O45" s="2">
        <f>(VLOOKUP(E45,Batters!$F$2:$K$1124,6,FALSE))*C45</f>
        <v>0</v>
      </c>
    </row>
    <row r="46" spans="1:15" x14ac:dyDescent="0.25">
      <c r="A46" s="1" t="str">
        <f t="shared" si="1"/>
        <v>OF</v>
      </c>
      <c r="B46" s="2" t="str">
        <f>IF(C46=0,0,A46&amp;" "&amp;COUNTIF($A$1:$A46,A46))</f>
        <v>OF 2</v>
      </c>
      <c r="C46" s="1">
        <v>1</v>
      </c>
      <c r="D46" s="2" t="s">
        <v>17</v>
      </c>
      <c r="E46" s="2" t="s">
        <v>1422</v>
      </c>
      <c r="F46" s="2">
        <v>7.6769911504424702</v>
      </c>
      <c r="G46" s="2">
        <v>3000</v>
      </c>
      <c r="H46" s="2">
        <f t="shared" si="5"/>
        <v>0</v>
      </c>
      <c r="I46" s="2">
        <f t="shared" si="5"/>
        <v>1</v>
      </c>
      <c r="J46" s="2">
        <f t="shared" si="5"/>
        <v>0</v>
      </c>
      <c r="K46" s="2">
        <f t="shared" si="5"/>
        <v>0</v>
      </c>
      <c r="L46" s="2">
        <f t="shared" si="5"/>
        <v>0</v>
      </c>
      <c r="M46" s="2">
        <f t="shared" si="5"/>
        <v>0</v>
      </c>
      <c r="N46" s="2">
        <f t="shared" si="5"/>
        <v>0</v>
      </c>
      <c r="O46" s="2">
        <f>(VLOOKUP(E46,Batters!$F$2:$K$1124,6,FALSE))*C46</f>
        <v>100</v>
      </c>
    </row>
    <row r="47" spans="1:15" x14ac:dyDescent="0.25">
      <c r="A47" s="1">
        <f t="shared" si="1"/>
        <v>0</v>
      </c>
      <c r="B47" s="2">
        <f>IF(C47=0,0,A47&amp;" "&amp;COUNTIF($A$1:$A47,A47))</f>
        <v>0</v>
      </c>
      <c r="C47" s="1">
        <v>0</v>
      </c>
      <c r="D47" s="2" t="s">
        <v>1</v>
      </c>
      <c r="E47" s="2" t="s">
        <v>1534</v>
      </c>
      <c r="F47" s="2">
        <v>7.1676765210700699</v>
      </c>
      <c r="G47" s="2">
        <v>3300</v>
      </c>
      <c r="H47" s="2">
        <f t="shared" si="5"/>
        <v>0</v>
      </c>
      <c r="I47" s="2">
        <f t="shared" si="5"/>
        <v>0</v>
      </c>
      <c r="J47" s="2">
        <f t="shared" si="5"/>
        <v>0</v>
      </c>
      <c r="K47" s="2">
        <f t="shared" si="5"/>
        <v>0</v>
      </c>
      <c r="L47" s="2">
        <f t="shared" si="5"/>
        <v>0</v>
      </c>
      <c r="M47" s="2">
        <f t="shared" si="5"/>
        <v>0</v>
      </c>
      <c r="N47" s="2">
        <f t="shared" si="5"/>
        <v>0</v>
      </c>
      <c r="O47" s="2">
        <f>(VLOOKUP(E47,Batters!$F$2:$K$1124,6,FALSE))*C47</f>
        <v>0</v>
      </c>
    </row>
    <row r="48" spans="1:15" x14ac:dyDescent="0.25">
      <c r="A48" s="1" t="str">
        <f t="shared" si="1"/>
        <v>SS</v>
      </c>
      <c r="B48" s="2" t="str">
        <f>IF(C48=0,0,A48&amp;" "&amp;COUNTIF($A$1:$A48,A48))</f>
        <v>SS 1</v>
      </c>
      <c r="C48" s="1">
        <v>1</v>
      </c>
      <c r="D48" s="2" t="s">
        <v>21</v>
      </c>
      <c r="E48" s="2" t="s">
        <v>3062</v>
      </c>
      <c r="F48" s="2">
        <v>7.1148934871592404</v>
      </c>
      <c r="G48" s="2">
        <v>3300</v>
      </c>
      <c r="H48" s="2">
        <f t="shared" si="5"/>
        <v>0</v>
      </c>
      <c r="I48" s="2">
        <f t="shared" si="5"/>
        <v>0</v>
      </c>
      <c r="J48" s="2">
        <f t="shared" si="5"/>
        <v>0</v>
      </c>
      <c r="K48" s="2">
        <f t="shared" si="5"/>
        <v>0</v>
      </c>
      <c r="L48" s="2">
        <f t="shared" si="5"/>
        <v>0</v>
      </c>
      <c r="M48" s="2">
        <f t="shared" si="5"/>
        <v>1</v>
      </c>
      <c r="N48" s="2">
        <f t="shared" si="5"/>
        <v>0</v>
      </c>
      <c r="O48" s="2">
        <f>(VLOOKUP(E48,Batters!$F$2:$K$1124,6,FALSE))*C48</f>
        <v>4</v>
      </c>
    </row>
    <row r="49" spans="1:15" x14ac:dyDescent="0.25">
      <c r="A49" s="1" t="str">
        <f t="shared" si="1"/>
        <v>2B</v>
      </c>
      <c r="B49" s="2" t="str">
        <f>IF(C49=0,0,A49&amp;" "&amp;COUNTIF($A$1:$A49,A49))</f>
        <v>2B 1</v>
      </c>
      <c r="C49" s="1">
        <v>1</v>
      </c>
      <c r="D49" s="2" t="s">
        <v>19</v>
      </c>
      <c r="E49" s="2" t="s">
        <v>3091</v>
      </c>
      <c r="F49" s="2">
        <v>6.8403667484948398</v>
      </c>
      <c r="G49" s="2">
        <v>3100</v>
      </c>
      <c r="H49" s="2">
        <f t="shared" si="5"/>
        <v>0</v>
      </c>
      <c r="I49" s="2">
        <f t="shared" si="5"/>
        <v>0</v>
      </c>
      <c r="J49" s="2">
        <f t="shared" si="5"/>
        <v>1</v>
      </c>
      <c r="K49" s="2">
        <f t="shared" si="5"/>
        <v>0</v>
      </c>
      <c r="L49" s="2">
        <f t="shared" si="5"/>
        <v>0</v>
      </c>
      <c r="M49" s="2">
        <f t="shared" si="5"/>
        <v>0</v>
      </c>
      <c r="N49" s="2">
        <f t="shared" si="5"/>
        <v>0</v>
      </c>
      <c r="O49" s="2">
        <f>(VLOOKUP(E49,Batters!$F$2:$K$1124,6,FALSE))*C49</f>
        <v>4</v>
      </c>
    </row>
    <row r="50" spans="1:15" x14ac:dyDescent="0.25">
      <c r="A50" s="1">
        <f t="shared" si="1"/>
        <v>0</v>
      </c>
      <c r="B50" s="2">
        <f>IF(C50=0,0,A50&amp;" "&amp;COUNTIF($A$1:$A50,A50))</f>
        <v>0</v>
      </c>
      <c r="C50" s="1">
        <v>0</v>
      </c>
      <c r="D50" s="2" t="s">
        <v>17</v>
      </c>
      <c r="E50" s="2" t="s">
        <v>3068</v>
      </c>
      <c r="F50" s="2">
        <v>6.7948053533380603</v>
      </c>
      <c r="G50" s="2">
        <v>3300</v>
      </c>
      <c r="H50" s="2">
        <f t="shared" si="5"/>
        <v>0</v>
      </c>
      <c r="I50" s="2">
        <f t="shared" si="5"/>
        <v>0</v>
      </c>
      <c r="J50" s="2">
        <f t="shared" si="5"/>
        <v>0</v>
      </c>
      <c r="K50" s="2">
        <f t="shared" si="5"/>
        <v>0</v>
      </c>
      <c r="L50" s="2">
        <f t="shared" si="5"/>
        <v>0</v>
      </c>
      <c r="M50" s="2">
        <f t="shared" si="5"/>
        <v>0</v>
      </c>
      <c r="N50" s="2">
        <f t="shared" si="5"/>
        <v>0</v>
      </c>
      <c r="O50" s="2">
        <f>(VLOOKUP(E50,Batters!$F$2:$K$1124,6,FALSE))*C50</f>
        <v>0</v>
      </c>
    </row>
    <row r="51" spans="1:15" x14ac:dyDescent="0.25">
      <c r="A51" s="1">
        <f t="shared" si="1"/>
        <v>0</v>
      </c>
      <c r="B51" s="2">
        <f>IF(C51=0,0,A51&amp;" "&amp;COUNTIF($A$1:$A51,A51))</f>
        <v>0</v>
      </c>
      <c r="C51" s="1">
        <v>0</v>
      </c>
      <c r="D51" s="2" t="s">
        <v>17</v>
      </c>
      <c r="E51" s="2" t="s">
        <v>1575</v>
      </c>
      <c r="F51" s="2">
        <v>6.2999998848393197</v>
      </c>
      <c r="G51" s="2">
        <v>3000</v>
      </c>
      <c r="H51" s="2">
        <f t="shared" si="5"/>
        <v>0</v>
      </c>
      <c r="I51" s="2">
        <f t="shared" si="5"/>
        <v>0</v>
      </c>
      <c r="J51" s="2">
        <f t="shared" si="5"/>
        <v>0</v>
      </c>
      <c r="K51" s="2">
        <f t="shared" si="5"/>
        <v>0</v>
      </c>
      <c r="L51" s="2">
        <f t="shared" si="5"/>
        <v>0</v>
      </c>
      <c r="M51" s="2">
        <f t="shared" si="5"/>
        <v>0</v>
      </c>
      <c r="N51" s="2">
        <f t="shared" si="5"/>
        <v>0</v>
      </c>
      <c r="O51" s="2">
        <f>(VLOOKUP(E51,Batters!$F$2:$K$1124,6,FALSE))*C51</f>
        <v>0</v>
      </c>
    </row>
    <row r="52" spans="1:15" x14ac:dyDescent="0.25">
      <c r="A52" s="1" t="str">
        <f t="shared" si="1"/>
        <v>C</v>
      </c>
      <c r="B52" s="2" t="str">
        <f>IF(C52=0,0,A52&amp;" "&amp;COUNTIF($A$1:$A52,A52))</f>
        <v>C 1</v>
      </c>
      <c r="C52" s="1">
        <v>1</v>
      </c>
      <c r="D52" s="2" t="s">
        <v>1</v>
      </c>
      <c r="E52" s="2" t="s">
        <v>1599</v>
      </c>
      <c r="F52" s="2">
        <v>6.0142857142857098</v>
      </c>
      <c r="G52" s="2">
        <v>3000</v>
      </c>
      <c r="H52" s="2">
        <f t="shared" si="5"/>
        <v>0</v>
      </c>
      <c r="I52" s="2">
        <f t="shared" si="5"/>
        <v>0</v>
      </c>
      <c r="J52" s="2">
        <f t="shared" si="5"/>
        <v>0</v>
      </c>
      <c r="K52" s="2">
        <f t="shared" si="5"/>
        <v>0</v>
      </c>
      <c r="L52" s="2">
        <f t="shared" si="5"/>
        <v>1</v>
      </c>
      <c r="M52" s="2">
        <f t="shared" si="5"/>
        <v>0</v>
      </c>
      <c r="N52" s="2">
        <f t="shared" si="5"/>
        <v>0</v>
      </c>
      <c r="O52" s="2">
        <f>(VLOOKUP(E52,Batters!$F$2:$K$1124,6,FALSE))*C52</f>
        <v>100</v>
      </c>
    </row>
    <row r="53" spans="1:15" x14ac:dyDescent="0.25">
      <c r="A53" s="1">
        <f t="shared" si="1"/>
        <v>0</v>
      </c>
      <c r="B53" s="2">
        <f>IF(C53=0,0,A53&amp;" "&amp;COUNTIF($A$1:$A53,A53))</f>
        <v>0</v>
      </c>
      <c r="C53" s="1">
        <v>0</v>
      </c>
      <c r="D53" s="2" t="s">
        <v>21</v>
      </c>
      <c r="E53" s="2" t="s">
        <v>122</v>
      </c>
      <c r="F53" s="2">
        <v>5.7494254276670196</v>
      </c>
      <c r="G53" s="2">
        <v>3300</v>
      </c>
      <c r="H53" s="2">
        <f t="shared" si="5"/>
        <v>0</v>
      </c>
      <c r="I53" s="2">
        <f t="shared" si="5"/>
        <v>0</v>
      </c>
      <c r="J53" s="2">
        <f t="shared" si="5"/>
        <v>0</v>
      </c>
      <c r="K53" s="2">
        <f t="shared" si="5"/>
        <v>0</v>
      </c>
      <c r="L53" s="2">
        <f t="shared" si="5"/>
        <v>0</v>
      </c>
      <c r="M53" s="2">
        <f t="shared" si="5"/>
        <v>0</v>
      </c>
      <c r="N53" s="2">
        <f t="shared" si="5"/>
        <v>0</v>
      </c>
      <c r="O53" s="2">
        <f>(VLOOKUP(E53,Batters!$F$2:$K$1124,6,FALSE))*C53</f>
        <v>0</v>
      </c>
    </row>
    <row r="54" spans="1:15" x14ac:dyDescent="0.25">
      <c r="A54" s="1">
        <f t="shared" si="1"/>
        <v>0</v>
      </c>
      <c r="B54" s="2">
        <f>IF(C54=0,0,A54&amp;" "&amp;COUNTIF($A$1:$A54,A54))</f>
        <v>0</v>
      </c>
      <c r="C54" s="1">
        <v>0</v>
      </c>
      <c r="D54" s="2" t="s">
        <v>20</v>
      </c>
      <c r="E54" s="2" t="s">
        <v>3131</v>
      </c>
      <c r="F54" s="2">
        <v>5.4250001907348597</v>
      </c>
      <c r="G54" s="2">
        <v>3000</v>
      </c>
      <c r="H54" s="2">
        <f t="shared" si="5"/>
        <v>0</v>
      </c>
      <c r="I54" s="2">
        <f t="shared" si="5"/>
        <v>0</v>
      </c>
      <c r="J54" s="2">
        <f t="shared" si="5"/>
        <v>0</v>
      </c>
      <c r="K54" s="2">
        <f t="shared" si="5"/>
        <v>0</v>
      </c>
      <c r="L54" s="2">
        <f t="shared" si="5"/>
        <v>0</v>
      </c>
      <c r="M54" s="2">
        <f t="shared" si="5"/>
        <v>0</v>
      </c>
      <c r="N54" s="2">
        <f t="shared" si="5"/>
        <v>0</v>
      </c>
      <c r="O54" s="2">
        <f>(VLOOKUP(E54,Batters!$F$2:$K$1124,6,FALSE))*C54</f>
        <v>0</v>
      </c>
    </row>
    <row r="55" spans="1:15" x14ac:dyDescent="0.25">
      <c r="A55" s="1">
        <f t="shared" si="1"/>
        <v>0</v>
      </c>
      <c r="B55" s="2">
        <f>IF(C55=0,0,A55&amp;" "&amp;COUNTIF($A$1:$A55,A55))</f>
        <v>0</v>
      </c>
      <c r="C55" s="1">
        <v>0</v>
      </c>
      <c r="D55" s="2" t="s">
        <v>21</v>
      </c>
      <c r="E55" s="2" t="s">
        <v>1478</v>
      </c>
      <c r="F55" s="2">
        <v>5.0978260869565197</v>
      </c>
      <c r="G55" s="2">
        <v>3000</v>
      </c>
      <c r="H55" s="2">
        <f t="shared" si="5"/>
        <v>0</v>
      </c>
      <c r="I55" s="2">
        <f t="shared" si="5"/>
        <v>0</v>
      </c>
      <c r="J55" s="2">
        <f t="shared" si="5"/>
        <v>0</v>
      </c>
      <c r="K55" s="2">
        <f t="shared" si="5"/>
        <v>0</v>
      </c>
      <c r="L55" s="2">
        <f t="shared" si="5"/>
        <v>0</v>
      </c>
      <c r="M55" s="2">
        <f t="shared" si="5"/>
        <v>0</v>
      </c>
      <c r="N55" s="2">
        <f t="shared" si="5"/>
        <v>0</v>
      </c>
      <c r="O55" s="2">
        <f>(VLOOKUP(E55,Batters!$F$2:$K$1124,6,FALSE))*C55</f>
        <v>0</v>
      </c>
    </row>
    <row r="56" spans="1:15" x14ac:dyDescent="0.25">
      <c r="A56" s="1">
        <f t="shared" si="1"/>
        <v>0</v>
      </c>
      <c r="B56" s="2">
        <f>IF(C56=0,0,A56&amp;" "&amp;COUNTIF($A$1:$A56,A56))</f>
        <v>0</v>
      </c>
      <c r="C56" s="1">
        <v>0</v>
      </c>
      <c r="D56" s="2" t="s">
        <v>1</v>
      </c>
      <c r="E56" s="2" t="s">
        <v>3026</v>
      </c>
      <c r="F56" s="2">
        <v>5.0365590741557398</v>
      </c>
      <c r="G56" s="2">
        <v>3400</v>
      </c>
      <c r="H56" s="2">
        <f t="shared" si="5"/>
        <v>0</v>
      </c>
      <c r="I56" s="2">
        <f t="shared" si="5"/>
        <v>0</v>
      </c>
      <c r="J56" s="2">
        <f t="shared" si="5"/>
        <v>0</v>
      </c>
      <c r="K56" s="2">
        <f t="shared" si="5"/>
        <v>0</v>
      </c>
      <c r="L56" s="2">
        <f t="shared" si="5"/>
        <v>0</v>
      </c>
      <c r="M56" s="2">
        <f t="shared" si="5"/>
        <v>0</v>
      </c>
      <c r="N56" s="2">
        <f t="shared" si="5"/>
        <v>0</v>
      </c>
      <c r="O56" s="2">
        <f>(VLOOKUP(E56,Batters!$F$2:$K$1124,6,FALSE))*C56</f>
        <v>0</v>
      </c>
    </row>
    <row r="57" spans="1:15" x14ac:dyDescent="0.25">
      <c r="A57" s="1" t="str">
        <f t="shared" si="1"/>
        <v>OF</v>
      </c>
      <c r="B57" s="2" t="str">
        <f>IF(C57=0,0,A57&amp;" "&amp;COUNTIF($A$1:$A57,A57))</f>
        <v>OF 3</v>
      </c>
      <c r="C57" s="1">
        <v>1</v>
      </c>
      <c r="D57" s="2" t="s">
        <v>17</v>
      </c>
      <c r="E57" s="2" t="s">
        <v>3151</v>
      </c>
      <c r="F57" s="2">
        <v>4.8499999999999996</v>
      </c>
      <c r="G57" s="2">
        <v>3000</v>
      </c>
      <c r="H57" s="2">
        <f t="shared" si="5"/>
        <v>0</v>
      </c>
      <c r="I57" s="2">
        <f t="shared" si="5"/>
        <v>1</v>
      </c>
      <c r="J57" s="2">
        <f t="shared" si="5"/>
        <v>0</v>
      </c>
      <c r="K57" s="2">
        <f t="shared" si="5"/>
        <v>0</v>
      </c>
      <c r="L57" s="2">
        <f t="shared" si="5"/>
        <v>0</v>
      </c>
      <c r="M57" s="2">
        <f t="shared" si="5"/>
        <v>0</v>
      </c>
      <c r="N57" s="2">
        <f t="shared" si="5"/>
        <v>0</v>
      </c>
      <c r="O57" s="2">
        <f>(VLOOKUP(E57,Batters!$F$2:$K$1124,6,FALSE))*C57</f>
        <v>4</v>
      </c>
    </row>
    <row r="58" spans="1:15" x14ac:dyDescent="0.25">
      <c r="A58" s="1">
        <f t="shared" si="1"/>
        <v>0</v>
      </c>
      <c r="B58" s="2">
        <f>IF(C58=0,0,A58&amp;" "&amp;COUNTIF($A$1:$A58,A58))</f>
        <v>0</v>
      </c>
      <c r="C58" s="1">
        <v>0</v>
      </c>
      <c r="D58" s="2" t="s">
        <v>17</v>
      </c>
      <c r="E58" s="2" t="s">
        <v>3157</v>
      </c>
      <c r="F58" s="2">
        <v>4.59999993506898</v>
      </c>
      <c r="G58" s="2">
        <v>3000</v>
      </c>
      <c r="H58" s="2">
        <f t="shared" si="5"/>
        <v>0</v>
      </c>
      <c r="I58" s="2">
        <f t="shared" si="5"/>
        <v>0</v>
      </c>
      <c r="J58" s="2">
        <f t="shared" si="5"/>
        <v>0</v>
      </c>
      <c r="K58" s="2">
        <f t="shared" si="5"/>
        <v>0</v>
      </c>
      <c r="L58" s="2">
        <f t="shared" si="5"/>
        <v>0</v>
      </c>
      <c r="M58" s="2">
        <f t="shared" si="5"/>
        <v>0</v>
      </c>
      <c r="N58" s="2">
        <f t="shared" si="5"/>
        <v>0</v>
      </c>
      <c r="O58" s="2">
        <f>(VLOOKUP(E58,Batters!$F$2:$K$1124,6,FALSE))*C58</f>
        <v>0</v>
      </c>
    </row>
    <row r="59" spans="1:15" x14ac:dyDescent="0.25">
      <c r="A59" s="1">
        <f t="shared" si="1"/>
        <v>0</v>
      </c>
      <c r="B59" s="2">
        <f>IF(C59=0,0,A59&amp;" "&amp;COUNTIF($A$1:$A59,A59))</f>
        <v>0</v>
      </c>
      <c r="C59" s="1">
        <v>0</v>
      </c>
      <c r="D59" s="2" t="s">
        <v>17</v>
      </c>
      <c r="E59" s="2" t="s">
        <v>3161</v>
      </c>
      <c r="F59" s="2">
        <v>4.2363637288411402</v>
      </c>
      <c r="G59" s="2">
        <v>3000</v>
      </c>
      <c r="H59" s="2">
        <f t="shared" si="5"/>
        <v>0</v>
      </c>
      <c r="I59" s="2">
        <f t="shared" si="5"/>
        <v>0</v>
      </c>
      <c r="J59" s="2">
        <f t="shared" si="5"/>
        <v>0</v>
      </c>
      <c r="K59" s="2">
        <f t="shared" si="5"/>
        <v>0</v>
      </c>
      <c r="L59" s="2">
        <f t="shared" si="5"/>
        <v>0</v>
      </c>
      <c r="M59" s="2">
        <f t="shared" si="5"/>
        <v>0</v>
      </c>
      <c r="N59" s="2">
        <f t="shared" si="5"/>
        <v>0</v>
      </c>
      <c r="O59" s="2">
        <f>(VLOOKUP(E59,Batters!$F$2:$K$1124,6,FALSE))*C59</f>
        <v>0</v>
      </c>
    </row>
    <row r="60" spans="1:15" x14ac:dyDescent="0.25">
      <c r="A60" s="1">
        <f t="shared" si="1"/>
        <v>0</v>
      </c>
      <c r="B60" s="2">
        <f>IF(C60=0,0,A60&amp;" "&amp;COUNTIF($A$1:$A60,A60))</f>
        <v>0</v>
      </c>
      <c r="C60" s="1">
        <v>0</v>
      </c>
      <c r="D60" s="2" t="s">
        <v>19</v>
      </c>
      <c r="E60" s="2" t="s">
        <v>1545</v>
      </c>
      <c r="F60" s="2">
        <v>3.74268285239615</v>
      </c>
      <c r="G60" s="2">
        <v>3000</v>
      </c>
      <c r="H60" s="2">
        <f t="shared" si="5"/>
        <v>0</v>
      </c>
      <c r="I60" s="2">
        <f t="shared" si="5"/>
        <v>0</v>
      </c>
      <c r="J60" s="2">
        <f t="shared" si="5"/>
        <v>0</v>
      </c>
      <c r="K60" s="2">
        <f t="shared" si="5"/>
        <v>0</v>
      </c>
      <c r="L60" s="2">
        <f t="shared" si="5"/>
        <v>0</v>
      </c>
      <c r="M60" s="2">
        <f t="shared" si="5"/>
        <v>0</v>
      </c>
      <c r="N60" s="2">
        <f t="shared" si="5"/>
        <v>0</v>
      </c>
      <c r="O60" s="2">
        <f>(VLOOKUP(E60,Batters!$F$2:$K$1124,6,FALSE))*C60</f>
        <v>0</v>
      </c>
    </row>
    <row r="61" spans="1:15" x14ac:dyDescent="0.25">
      <c r="A61" s="1">
        <f t="shared" si="1"/>
        <v>0</v>
      </c>
      <c r="B61" s="2">
        <f>IF(C61=0,0,A61&amp;" "&amp;COUNTIF($A$1:$A61,A61))</f>
        <v>0</v>
      </c>
      <c r="C61" s="1">
        <v>0</v>
      </c>
      <c r="D61" s="2" t="s">
        <v>1</v>
      </c>
      <c r="E61" s="2" t="s">
        <v>1592</v>
      </c>
      <c r="F61" s="2">
        <v>2.3375000953674299</v>
      </c>
      <c r="G61" s="2">
        <v>3100</v>
      </c>
      <c r="H61" s="2">
        <f t="shared" si="5"/>
        <v>0</v>
      </c>
      <c r="I61" s="2">
        <f t="shared" si="5"/>
        <v>0</v>
      </c>
      <c r="J61" s="2">
        <f t="shared" si="5"/>
        <v>0</v>
      </c>
      <c r="K61" s="2">
        <f t="shared" si="5"/>
        <v>0</v>
      </c>
      <c r="L61" s="2">
        <f t="shared" si="5"/>
        <v>0</v>
      </c>
      <c r="M61" s="2">
        <f t="shared" si="5"/>
        <v>0</v>
      </c>
      <c r="N61" s="2">
        <f t="shared" si="5"/>
        <v>0</v>
      </c>
      <c r="O61" s="2">
        <f>(VLOOKUP(E61,Batters!$F$2:$K$1124,6,FALSE))*C61</f>
        <v>0</v>
      </c>
    </row>
    <row r="62" spans="1:15" x14ac:dyDescent="0.25">
      <c r="A62" s="1">
        <f t="shared" si="1"/>
        <v>0</v>
      </c>
      <c r="B62" s="2">
        <f>IF(C62=0,0,A62&amp;" "&amp;COUNTIF($A$1:$A62,A62))</f>
        <v>0</v>
      </c>
      <c r="C62" s="1">
        <v>0</v>
      </c>
      <c r="D62" s="2" t="s">
        <v>17</v>
      </c>
      <c r="E62" s="2" t="s">
        <v>1568</v>
      </c>
      <c r="F62" s="2">
        <v>2.15</v>
      </c>
      <c r="G62" s="2">
        <v>3000</v>
      </c>
      <c r="H62" s="2">
        <f t="shared" si="5"/>
        <v>0</v>
      </c>
      <c r="I62" s="2">
        <f t="shared" si="5"/>
        <v>0</v>
      </c>
      <c r="J62" s="2">
        <f t="shared" si="5"/>
        <v>0</v>
      </c>
      <c r="K62" s="2">
        <f t="shared" si="5"/>
        <v>0</v>
      </c>
      <c r="L62" s="2">
        <f t="shared" si="5"/>
        <v>0</v>
      </c>
      <c r="M62" s="2">
        <f t="shared" si="5"/>
        <v>0</v>
      </c>
      <c r="N62" s="2">
        <f t="shared" si="5"/>
        <v>0</v>
      </c>
      <c r="O62" s="2">
        <f>(VLOOKUP(E62,Batters!$F$2:$K$1124,6,FALSE))*C62</f>
        <v>0</v>
      </c>
    </row>
    <row r="63" spans="1:15" x14ac:dyDescent="0.25">
      <c r="A63" s="1">
        <f t="shared" si="1"/>
        <v>0</v>
      </c>
      <c r="B63" s="2">
        <f>IF(C63=0,0,A63&amp;" "&amp;COUNTIF($A$1:$A63,A63))</f>
        <v>0</v>
      </c>
      <c r="C63" s="1">
        <v>0</v>
      </c>
      <c r="D63" s="2" t="s">
        <v>21</v>
      </c>
      <c r="E63" s="2" t="s">
        <v>1548</v>
      </c>
      <c r="F63" s="2">
        <v>0.51666665077209395</v>
      </c>
      <c r="G63" s="2">
        <v>3000</v>
      </c>
      <c r="H63" s="2">
        <f t="shared" si="5"/>
        <v>0</v>
      </c>
      <c r="I63" s="2">
        <f t="shared" si="5"/>
        <v>0</v>
      </c>
      <c r="J63" s="2">
        <f t="shared" si="5"/>
        <v>0</v>
      </c>
      <c r="K63" s="2">
        <f t="shared" si="5"/>
        <v>0</v>
      </c>
      <c r="L63" s="2">
        <f t="shared" si="5"/>
        <v>0</v>
      </c>
      <c r="M63" s="2">
        <f t="shared" si="5"/>
        <v>0</v>
      </c>
      <c r="N63" s="2">
        <f t="shared" si="5"/>
        <v>0</v>
      </c>
      <c r="O63" s="2">
        <f>(VLOOKUP(E63,Batters!$F$2:$K$1124,6,FALSE))*C63</f>
        <v>0</v>
      </c>
    </row>
    <row r="64" spans="1:15" x14ac:dyDescent="0.25">
      <c r="A64" s="1">
        <f t="shared" si="1"/>
        <v>0</v>
      </c>
      <c r="B64" s="2">
        <f>IF(C64=0,0,A64&amp;" "&amp;COUNTIF($A$1:$A64,A64))</f>
        <v>0</v>
      </c>
      <c r="C64" s="1">
        <v>0</v>
      </c>
      <c r="D64" s="2">
        <v>0</v>
      </c>
      <c r="E64" s="2">
        <v>0</v>
      </c>
      <c r="F64" s="2">
        <v>0</v>
      </c>
      <c r="G64" s="2">
        <v>0</v>
      </c>
      <c r="H64" s="2">
        <f t="shared" si="5"/>
        <v>0</v>
      </c>
      <c r="I64" s="2">
        <f t="shared" si="5"/>
        <v>0</v>
      </c>
      <c r="J64" s="2">
        <f t="shared" si="5"/>
        <v>0</v>
      </c>
      <c r="K64" s="2">
        <f t="shared" si="5"/>
        <v>0</v>
      </c>
      <c r="L64" s="2">
        <f t="shared" si="5"/>
        <v>0</v>
      </c>
      <c r="M64" s="2">
        <f t="shared" si="5"/>
        <v>0</v>
      </c>
      <c r="N64" s="2">
        <f t="shared" si="5"/>
        <v>0</v>
      </c>
      <c r="O64" s="2">
        <f>(VLOOKUP(E64,Batters!$F$2:$K$1124,6,FALSE))*C64</f>
        <v>0</v>
      </c>
    </row>
    <row r="65" spans="1:15" x14ac:dyDescent="0.25">
      <c r="A65" s="1">
        <f t="shared" si="1"/>
        <v>0</v>
      </c>
      <c r="B65" s="2">
        <f>IF(C65=0,0,A65&amp;" "&amp;COUNTIF($A$1:$A65,A65))</f>
        <v>0</v>
      </c>
      <c r="C65" s="1">
        <v>0</v>
      </c>
      <c r="D65" s="2">
        <v>0</v>
      </c>
      <c r="E65" s="2">
        <v>0</v>
      </c>
      <c r="F65" s="2">
        <v>0</v>
      </c>
      <c r="G65" s="2">
        <v>0</v>
      </c>
      <c r="H65" s="2">
        <f t="shared" si="5"/>
        <v>0</v>
      </c>
      <c r="I65" s="2">
        <f t="shared" si="5"/>
        <v>0</v>
      </c>
      <c r="J65" s="2">
        <f t="shared" si="5"/>
        <v>0</v>
      </c>
      <c r="K65" s="2">
        <f t="shared" si="5"/>
        <v>0</v>
      </c>
      <c r="L65" s="2">
        <f t="shared" si="5"/>
        <v>0</v>
      </c>
      <c r="M65" s="2">
        <f t="shared" si="5"/>
        <v>0</v>
      </c>
      <c r="N65" s="2">
        <f t="shared" si="5"/>
        <v>0</v>
      </c>
      <c r="O65" s="2">
        <f>(VLOOKUP(E65,Batters!$F$2:$K$1124,6,FALSE))*C65</f>
        <v>0</v>
      </c>
    </row>
    <row r="66" spans="1:15" x14ac:dyDescent="0.25">
      <c r="A66" s="1">
        <f t="shared" si="1"/>
        <v>0</v>
      </c>
      <c r="B66" s="2">
        <f>IF(C66=0,0,A66&amp;" "&amp;COUNTIF($A$1:$A66,A66))</f>
        <v>0</v>
      </c>
      <c r="C66" s="1">
        <v>0</v>
      </c>
      <c r="D66" s="2">
        <v>0</v>
      </c>
      <c r="E66" s="2">
        <v>0</v>
      </c>
      <c r="F66" s="2">
        <v>0</v>
      </c>
      <c r="G66" s="2">
        <v>0</v>
      </c>
      <c r="H66" s="2">
        <f t="shared" si="5"/>
        <v>0</v>
      </c>
      <c r="I66" s="2">
        <f t="shared" si="5"/>
        <v>0</v>
      </c>
      <c r="J66" s="2">
        <f t="shared" si="5"/>
        <v>0</v>
      </c>
      <c r="K66" s="2">
        <f t="shared" si="5"/>
        <v>0</v>
      </c>
      <c r="L66" s="2">
        <f t="shared" si="5"/>
        <v>0</v>
      </c>
      <c r="M66" s="2">
        <f t="shared" si="5"/>
        <v>0</v>
      </c>
      <c r="N66" s="2">
        <f t="shared" si="5"/>
        <v>0</v>
      </c>
      <c r="O66" s="2">
        <f>(VLOOKUP(E66,Batters!$F$2:$K$1124,6,FALSE))*C66</f>
        <v>0</v>
      </c>
    </row>
    <row r="67" spans="1:15" x14ac:dyDescent="0.25">
      <c r="A67" s="1">
        <f t="shared" ref="A67:A130" si="6">IF(C67=1,D67,0)</f>
        <v>0</v>
      </c>
      <c r="B67" s="2">
        <f>IF(C67=0,0,A67&amp;" "&amp;COUNTIF($A$1:$A67,A67))</f>
        <v>0</v>
      </c>
      <c r="C67" s="1">
        <v>0</v>
      </c>
      <c r="D67" s="2">
        <v>0</v>
      </c>
      <c r="E67" s="2">
        <v>0</v>
      </c>
      <c r="F67" s="2">
        <v>0</v>
      </c>
      <c r="G67" s="2">
        <v>0</v>
      </c>
      <c r="H67" s="2">
        <f t="shared" si="5"/>
        <v>0</v>
      </c>
      <c r="I67" s="2">
        <f t="shared" si="5"/>
        <v>0</v>
      </c>
      <c r="J67" s="2">
        <f t="shared" si="5"/>
        <v>0</v>
      </c>
      <c r="K67" s="2">
        <f t="shared" si="5"/>
        <v>0</v>
      </c>
      <c r="L67" s="2">
        <f t="shared" si="5"/>
        <v>0</v>
      </c>
      <c r="M67" s="2">
        <f t="shared" si="5"/>
        <v>0</v>
      </c>
      <c r="N67" s="2">
        <f t="shared" si="5"/>
        <v>0</v>
      </c>
      <c r="O67" s="2">
        <f>(VLOOKUP(E67,Batters!$F$2:$K$1124,6,FALSE))*C67</f>
        <v>0</v>
      </c>
    </row>
    <row r="68" spans="1:15" x14ac:dyDescent="0.25">
      <c r="A68" s="1">
        <f t="shared" si="6"/>
        <v>0</v>
      </c>
      <c r="B68" s="2">
        <f>IF(C68=0,0,A68&amp;" "&amp;COUNTIF($A$1:$A68,A68))</f>
        <v>0</v>
      </c>
      <c r="C68" s="1">
        <v>0</v>
      </c>
      <c r="D68" s="2">
        <v>0</v>
      </c>
      <c r="E68" s="2">
        <v>0</v>
      </c>
      <c r="F68" s="2">
        <v>0</v>
      </c>
      <c r="G68" s="2">
        <v>0</v>
      </c>
      <c r="H68" s="2">
        <f t="shared" si="5"/>
        <v>0</v>
      </c>
      <c r="I68" s="2">
        <f t="shared" si="5"/>
        <v>0</v>
      </c>
      <c r="J68" s="2">
        <f t="shared" si="5"/>
        <v>0</v>
      </c>
      <c r="K68" s="2">
        <f t="shared" si="5"/>
        <v>0</v>
      </c>
      <c r="L68" s="2">
        <f t="shared" si="5"/>
        <v>0</v>
      </c>
      <c r="M68" s="2">
        <f t="shared" si="5"/>
        <v>0</v>
      </c>
      <c r="N68" s="2">
        <f t="shared" si="5"/>
        <v>0</v>
      </c>
      <c r="O68" s="2">
        <f>(VLOOKUP(E68,Batters!$F$2:$K$1124,6,FALSE))*C68</f>
        <v>0</v>
      </c>
    </row>
    <row r="69" spans="1:15" x14ac:dyDescent="0.25">
      <c r="A69" s="1">
        <f t="shared" si="6"/>
        <v>0</v>
      </c>
      <c r="B69" s="2">
        <f>IF(C69=0,0,A69&amp;" "&amp;COUNTIF($A$1:$A69,A69))</f>
        <v>0</v>
      </c>
      <c r="C69" s="1">
        <v>0</v>
      </c>
      <c r="D69" s="2">
        <v>0</v>
      </c>
      <c r="E69" s="2">
        <v>0</v>
      </c>
      <c r="F69" s="2">
        <v>0</v>
      </c>
      <c r="G69" s="2">
        <v>0</v>
      </c>
      <c r="H69" s="2">
        <f t="shared" si="5"/>
        <v>0</v>
      </c>
      <c r="I69" s="2">
        <f t="shared" si="5"/>
        <v>0</v>
      </c>
      <c r="J69" s="2">
        <f t="shared" si="5"/>
        <v>0</v>
      </c>
      <c r="K69" s="2">
        <f t="shared" si="5"/>
        <v>0</v>
      </c>
      <c r="L69" s="2">
        <f t="shared" si="5"/>
        <v>0</v>
      </c>
      <c r="M69" s="2">
        <f t="shared" si="5"/>
        <v>0</v>
      </c>
      <c r="N69" s="2">
        <f t="shared" si="5"/>
        <v>0</v>
      </c>
      <c r="O69" s="2">
        <f>(VLOOKUP(E69,Batters!$F$2:$K$1124,6,FALSE))*C69</f>
        <v>0</v>
      </c>
    </row>
    <row r="70" spans="1:15" x14ac:dyDescent="0.25">
      <c r="A70" s="1">
        <f t="shared" si="6"/>
        <v>0</v>
      </c>
      <c r="B70" s="2">
        <f>IF(C70=0,0,A70&amp;" "&amp;COUNTIF($A$1:$A70,A70))</f>
        <v>0</v>
      </c>
      <c r="C70" s="1">
        <v>0</v>
      </c>
      <c r="D70" s="2">
        <v>0</v>
      </c>
      <c r="E70" s="2">
        <v>0</v>
      </c>
      <c r="F70" s="2">
        <v>0</v>
      </c>
      <c r="G70" s="2">
        <v>0</v>
      </c>
      <c r="H70" s="2">
        <f t="shared" si="5"/>
        <v>0</v>
      </c>
      <c r="I70" s="2">
        <f t="shared" si="5"/>
        <v>0</v>
      </c>
      <c r="J70" s="2">
        <f t="shared" si="5"/>
        <v>0</v>
      </c>
      <c r="K70" s="2">
        <f t="shared" si="5"/>
        <v>0</v>
      </c>
      <c r="L70" s="2">
        <f t="shared" si="5"/>
        <v>0</v>
      </c>
      <c r="M70" s="2">
        <f t="shared" si="5"/>
        <v>0</v>
      </c>
      <c r="N70" s="2">
        <f t="shared" si="5"/>
        <v>0</v>
      </c>
      <c r="O70" s="2">
        <f>(VLOOKUP(E70,Batters!$F$2:$K$1124,6,FALSE))*C70</f>
        <v>0</v>
      </c>
    </row>
    <row r="71" spans="1:15" x14ac:dyDescent="0.25">
      <c r="A71" s="1">
        <f t="shared" si="6"/>
        <v>0</v>
      </c>
      <c r="B71" s="2">
        <f>IF(C71=0,0,A71&amp;" "&amp;COUNTIF($A$1:$A71,A71))</f>
        <v>0</v>
      </c>
      <c r="C71" s="1">
        <v>0</v>
      </c>
      <c r="D71" s="2">
        <v>0</v>
      </c>
      <c r="E71" s="2">
        <v>0</v>
      </c>
      <c r="F71" s="2">
        <v>0</v>
      </c>
      <c r="G71" s="2">
        <v>0</v>
      </c>
      <c r="H71" s="2">
        <f t="shared" si="5"/>
        <v>0</v>
      </c>
      <c r="I71" s="2">
        <f t="shared" si="5"/>
        <v>0</v>
      </c>
      <c r="J71" s="2">
        <f t="shared" si="5"/>
        <v>0</v>
      </c>
      <c r="K71" s="2">
        <f t="shared" si="5"/>
        <v>0</v>
      </c>
      <c r="L71" s="2">
        <f t="shared" si="5"/>
        <v>0</v>
      </c>
      <c r="M71" s="2">
        <f t="shared" si="5"/>
        <v>0</v>
      </c>
      <c r="N71" s="2">
        <f t="shared" si="5"/>
        <v>0</v>
      </c>
      <c r="O71" s="2">
        <f>(VLOOKUP(E71,Batters!$F$2:$K$1124,6,FALSE))*C71</f>
        <v>0</v>
      </c>
    </row>
    <row r="72" spans="1:15" x14ac:dyDescent="0.25">
      <c r="A72" s="1">
        <f t="shared" si="6"/>
        <v>0</v>
      </c>
      <c r="B72" s="2">
        <f>IF(C72=0,0,A72&amp;" "&amp;COUNTIF($A$1:$A72,A72))</f>
        <v>0</v>
      </c>
      <c r="C72" s="1">
        <v>0</v>
      </c>
      <c r="D72" s="2">
        <v>0</v>
      </c>
      <c r="E72" s="2">
        <v>0</v>
      </c>
      <c r="F72" s="2">
        <v>0</v>
      </c>
      <c r="G72" s="2">
        <v>0</v>
      </c>
      <c r="H72" s="2">
        <f t="shared" si="5"/>
        <v>0</v>
      </c>
      <c r="I72" s="2">
        <f t="shared" si="5"/>
        <v>0</v>
      </c>
      <c r="J72" s="2">
        <f t="shared" si="5"/>
        <v>0</v>
      </c>
      <c r="K72" s="2">
        <f t="shared" si="5"/>
        <v>0</v>
      </c>
      <c r="L72" s="2">
        <f t="shared" si="5"/>
        <v>0</v>
      </c>
      <c r="M72" s="2">
        <f t="shared" si="5"/>
        <v>0</v>
      </c>
      <c r="N72" s="2">
        <f t="shared" si="5"/>
        <v>0</v>
      </c>
      <c r="O72" s="2">
        <f>(VLOOKUP(E72,Batters!$F$2:$K$1124,6,FALSE))*C72</f>
        <v>0</v>
      </c>
    </row>
    <row r="73" spans="1:15" x14ac:dyDescent="0.25">
      <c r="A73" s="1">
        <f t="shared" si="6"/>
        <v>0</v>
      </c>
      <c r="B73" s="2">
        <f>IF(C73=0,0,A73&amp;" "&amp;COUNTIF($A$1:$A73,A73))</f>
        <v>0</v>
      </c>
      <c r="C73" s="1">
        <v>0</v>
      </c>
      <c r="D73" s="2">
        <v>0</v>
      </c>
      <c r="E73" s="2">
        <v>0</v>
      </c>
      <c r="F73" s="2">
        <v>0</v>
      </c>
      <c r="G73" s="2">
        <v>0</v>
      </c>
      <c r="H73" s="2">
        <f t="shared" si="5"/>
        <v>0</v>
      </c>
      <c r="I73" s="2">
        <f t="shared" si="5"/>
        <v>0</v>
      </c>
      <c r="J73" s="2">
        <f t="shared" si="5"/>
        <v>0</v>
      </c>
      <c r="K73" s="2">
        <f t="shared" si="5"/>
        <v>0</v>
      </c>
      <c r="L73" s="2">
        <f t="shared" si="5"/>
        <v>0</v>
      </c>
      <c r="M73" s="2">
        <f t="shared" si="5"/>
        <v>0</v>
      </c>
      <c r="N73" s="2">
        <f t="shared" si="5"/>
        <v>0</v>
      </c>
      <c r="O73" s="2">
        <f>(VLOOKUP(E73,Batters!$F$2:$K$1124,6,FALSE))*C73</f>
        <v>0</v>
      </c>
    </row>
    <row r="74" spans="1:15" x14ac:dyDescent="0.25">
      <c r="A74" s="1">
        <f t="shared" si="6"/>
        <v>0</v>
      </c>
      <c r="B74" s="2">
        <f>IF(C74=0,0,A74&amp;" "&amp;COUNTIF($A$1:$A74,A74))</f>
        <v>0</v>
      </c>
      <c r="C74" s="1">
        <v>0</v>
      </c>
      <c r="D74" s="2">
        <v>0</v>
      </c>
      <c r="E74" s="2">
        <v>0</v>
      </c>
      <c r="F74" s="2">
        <v>0</v>
      </c>
      <c r="G74" s="2">
        <v>0</v>
      </c>
      <c r="H74" s="2">
        <f t="shared" si="5"/>
        <v>0</v>
      </c>
      <c r="I74" s="2">
        <f t="shared" si="5"/>
        <v>0</v>
      </c>
      <c r="J74" s="2">
        <f t="shared" si="5"/>
        <v>0</v>
      </c>
      <c r="K74" s="2">
        <f t="shared" si="5"/>
        <v>0</v>
      </c>
      <c r="L74" s="2">
        <f t="shared" si="5"/>
        <v>0</v>
      </c>
      <c r="M74" s="2">
        <f t="shared" si="5"/>
        <v>0</v>
      </c>
      <c r="N74" s="2">
        <f t="shared" si="5"/>
        <v>0</v>
      </c>
      <c r="O74" s="2">
        <f>(VLOOKUP(E74,Batters!$F$2:$K$1124,6,FALSE))*C74</f>
        <v>0</v>
      </c>
    </row>
    <row r="75" spans="1:15" x14ac:dyDescent="0.25">
      <c r="A75" s="1">
        <f t="shared" si="6"/>
        <v>0</v>
      </c>
      <c r="B75" s="2">
        <f>IF(C75=0,0,A75&amp;" "&amp;COUNTIF($A$1:$A75,A75))</f>
        <v>0</v>
      </c>
      <c r="C75" s="1">
        <v>0</v>
      </c>
      <c r="D75" s="2">
        <v>0</v>
      </c>
      <c r="E75" s="2">
        <v>0</v>
      </c>
      <c r="F75" s="2">
        <v>0</v>
      </c>
      <c r="G75" s="2">
        <v>0</v>
      </c>
      <c r="H75" s="2">
        <f t="shared" si="5"/>
        <v>0</v>
      </c>
      <c r="I75" s="2">
        <f t="shared" si="5"/>
        <v>0</v>
      </c>
      <c r="J75" s="2">
        <f t="shared" si="5"/>
        <v>0</v>
      </c>
      <c r="K75" s="2">
        <f t="shared" si="5"/>
        <v>0</v>
      </c>
      <c r="L75" s="2">
        <f t="shared" si="5"/>
        <v>0</v>
      </c>
      <c r="M75" s="2">
        <f t="shared" si="5"/>
        <v>0</v>
      </c>
      <c r="N75" s="2">
        <f t="shared" ref="H75:N110" si="7">IF($D75=N$1,$C75*1,0)</f>
        <v>0</v>
      </c>
      <c r="O75" s="2">
        <f>(VLOOKUP(E75,Batters!$F$2:$K$1124,6,FALSE))*C75</f>
        <v>0</v>
      </c>
    </row>
    <row r="76" spans="1:15" x14ac:dyDescent="0.25">
      <c r="A76" s="1">
        <f t="shared" si="6"/>
        <v>0</v>
      </c>
      <c r="B76" s="2">
        <f>IF(C76=0,0,A76&amp;" "&amp;COUNTIF($A$1:$A76,A76))</f>
        <v>0</v>
      </c>
      <c r="C76" s="1">
        <v>0</v>
      </c>
      <c r="D76" s="2">
        <v>0</v>
      </c>
      <c r="E76" s="2">
        <v>0</v>
      </c>
      <c r="F76" s="2">
        <v>0</v>
      </c>
      <c r="G76" s="2">
        <v>0</v>
      </c>
      <c r="H76" s="2">
        <f t="shared" si="7"/>
        <v>0</v>
      </c>
      <c r="I76" s="2">
        <f t="shared" si="7"/>
        <v>0</v>
      </c>
      <c r="J76" s="2">
        <f t="shared" si="7"/>
        <v>0</v>
      </c>
      <c r="K76" s="2">
        <f t="shared" si="7"/>
        <v>0</v>
      </c>
      <c r="L76" s="2">
        <f t="shared" si="7"/>
        <v>0</v>
      </c>
      <c r="M76" s="2">
        <f t="shared" si="7"/>
        <v>0</v>
      </c>
      <c r="N76" s="2">
        <f t="shared" si="7"/>
        <v>0</v>
      </c>
      <c r="O76" s="2">
        <f>(VLOOKUP(E76,Batters!$F$2:$K$1124,6,FALSE))*C76</f>
        <v>0</v>
      </c>
    </row>
    <row r="77" spans="1:15" x14ac:dyDescent="0.25">
      <c r="A77" s="1">
        <f t="shared" si="6"/>
        <v>0</v>
      </c>
      <c r="B77" s="2">
        <f>IF(C77=0,0,A77&amp;" "&amp;COUNTIF($A$1:$A77,A77))</f>
        <v>0</v>
      </c>
      <c r="C77" s="1">
        <v>0</v>
      </c>
      <c r="D77" s="2">
        <v>0</v>
      </c>
      <c r="E77" s="2">
        <v>0</v>
      </c>
      <c r="F77" s="2">
        <v>0</v>
      </c>
      <c r="G77" s="2">
        <v>0</v>
      </c>
      <c r="H77" s="2">
        <f t="shared" si="7"/>
        <v>0</v>
      </c>
      <c r="I77" s="2">
        <f t="shared" si="7"/>
        <v>0</v>
      </c>
      <c r="J77" s="2">
        <f t="shared" si="7"/>
        <v>0</v>
      </c>
      <c r="K77" s="2">
        <f t="shared" si="7"/>
        <v>0</v>
      </c>
      <c r="L77" s="2">
        <f t="shared" si="7"/>
        <v>0</v>
      </c>
      <c r="M77" s="2">
        <f t="shared" si="7"/>
        <v>0</v>
      </c>
      <c r="N77" s="2">
        <f t="shared" si="7"/>
        <v>0</v>
      </c>
      <c r="O77" s="2">
        <f>(VLOOKUP(E77,Batters!$F$2:$K$1124,6,FALSE))*C77</f>
        <v>0</v>
      </c>
    </row>
    <row r="78" spans="1:15" x14ac:dyDescent="0.25">
      <c r="A78" s="1">
        <f t="shared" si="6"/>
        <v>0</v>
      </c>
      <c r="B78" s="2">
        <f>IF(C78=0,0,A78&amp;" "&amp;COUNTIF($A$1:$A78,A78))</f>
        <v>0</v>
      </c>
      <c r="C78" s="1">
        <v>0</v>
      </c>
      <c r="D78" s="2">
        <v>0</v>
      </c>
      <c r="E78" s="2">
        <v>0</v>
      </c>
      <c r="F78" s="2">
        <v>0</v>
      </c>
      <c r="G78" s="2">
        <v>0</v>
      </c>
      <c r="H78" s="2">
        <f t="shared" si="7"/>
        <v>0</v>
      </c>
      <c r="I78" s="2">
        <f t="shared" si="7"/>
        <v>0</v>
      </c>
      <c r="J78" s="2">
        <f t="shared" si="7"/>
        <v>0</v>
      </c>
      <c r="K78" s="2">
        <f t="shared" si="7"/>
        <v>0</v>
      </c>
      <c r="L78" s="2">
        <f t="shared" si="7"/>
        <v>0</v>
      </c>
      <c r="M78" s="2">
        <f t="shared" si="7"/>
        <v>0</v>
      </c>
      <c r="N78" s="2">
        <f t="shared" si="7"/>
        <v>0</v>
      </c>
      <c r="O78" s="2">
        <f>(VLOOKUP(E78,Batters!$F$2:$K$1124,6,FALSE))*C78</f>
        <v>0</v>
      </c>
    </row>
    <row r="79" spans="1:15" x14ac:dyDescent="0.25">
      <c r="A79" s="1">
        <f t="shared" si="6"/>
        <v>0</v>
      </c>
      <c r="B79" s="2">
        <f>IF(C79=0,0,A79&amp;" "&amp;COUNTIF($A$1:$A79,A79))</f>
        <v>0</v>
      </c>
      <c r="C79" s="1">
        <v>0</v>
      </c>
      <c r="D79" s="2">
        <v>0</v>
      </c>
      <c r="E79" s="2">
        <v>0</v>
      </c>
      <c r="F79" s="2">
        <v>0</v>
      </c>
      <c r="G79" s="2">
        <v>0</v>
      </c>
      <c r="H79" s="2">
        <f t="shared" si="7"/>
        <v>0</v>
      </c>
      <c r="I79" s="2">
        <f t="shared" si="7"/>
        <v>0</v>
      </c>
      <c r="J79" s="2">
        <f t="shared" si="7"/>
        <v>0</v>
      </c>
      <c r="K79" s="2">
        <f t="shared" si="7"/>
        <v>0</v>
      </c>
      <c r="L79" s="2">
        <f t="shared" si="7"/>
        <v>0</v>
      </c>
      <c r="M79" s="2">
        <f t="shared" si="7"/>
        <v>0</v>
      </c>
      <c r="N79" s="2">
        <f t="shared" si="7"/>
        <v>0</v>
      </c>
      <c r="O79" s="2">
        <f>(VLOOKUP(E79,Batters!$F$2:$K$1124,6,FALSE))*C79</f>
        <v>0</v>
      </c>
    </row>
    <row r="80" spans="1:15" x14ac:dyDescent="0.25">
      <c r="A80" s="1">
        <f t="shared" si="6"/>
        <v>0</v>
      </c>
      <c r="B80" s="2">
        <f>IF(C80=0,0,A80&amp;" "&amp;COUNTIF($A$1:$A80,A80))</f>
        <v>0</v>
      </c>
      <c r="C80" s="1">
        <v>0</v>
      </c>
      <c r="D80" s="2">
        <v>0</v>
      </c>
      <c r="E80" s="2">
        <v>0</v>
      </c>
      <c r="F80" s="2">
        <v>0</v>
      </c>
      <c r="G80" s="2">
        <v>0</v>
      </c>
      <c r="H80" s="2">
        <f t="shared" si="7"/>
        <v>0</v>
      </c>
      <c r="I80" s="2">
        <f t="shared" si="7"/>
        <v>0</v>
      </c>
      <c r="J80" s="2">
        <f t="shared" si="7"/>
        <v>0</v>
      </c>
      <c r="K80" s="2">
        <f t="shared" si="7"/>
        <v>0</v>
      </c>
      <c r="L80" s="2">
        <f t="shared" si="7"/>
        <v>0</v>
      </c>
      <c r="M80" s="2">
        <f t="shared" si="7"/>
        <v>0</v>
      </c>
      <c r="N80" s="2">
        <f t="shared" si="7"/>
        <v>0</v>
      </c>
      <c r="O80" s="2">
        <f>(VLOOKUP(E80,Batters!$F$2:$K$1124,6,FALSE))*C80</f>
        <v>0</v>
      </c>
    </row>
    <row r="81" spans="1:15" x14ac:dyDescent="0.25">
      <c r="A81" s="1">
        <f t="shared" si="6"/>
        <v>0</v>
      </c>
      <c r="B81" s="2">
        <f>IF(C81=0,0,A81&amp;" "&amp;COUNTIF($A$1:$A81,A81))</f>
        <v>0</v>
      </c>
      <c r="C81" s="1">
        <v>0</v>
      </c>
      <c r="D81" s="2">
        <v>0</v>
      </c>
      <c r="E81" s="2">
        <v>0</v>
      </c>
      <c r="F81" s="2">
        <v>0</v>
      </c>
      <c r="G81" s="2">
        <v>0</v>
      </c>
      <c r="H81" s="2">
        <f t="shared" si="7"/>
        <v>0</v>
      </c>
      <c r="I81" s="2">
        <f t="shared" si="7"/>
        <v>0</v>
      </c>
      <c r="J81" s="2">
        <f t="shared" si="7"/>
        <v>0</v>
      </c>
      <c r="K81" s="2">
        <f t="shared" si="7"/>
        <v>0</v>
      </c>
      <c r="L81" s="2">
        <f t="shared" si="7"/>
        <v>0</v>
      </c>
      <c r="M81" s="2">
        <f t="shared" si="7"/>
        <v>0</v>
      </c>
      <c r="N81" s="2">
        <f t="shared" si="7"/>
        <v>0</v>
      </c>
      <c r="O81" s="2">
        <f>(VLOOKUP(E81,Batters!$F$2:$K$1124,6,FALSE))*C81</f>
        <v>0</v>
      </c>
    </row>
    <row r="82" spans="1:15" x14ac:dyDescent="0.25">
      <c r="A82" s="1">
        <f t="shared" si="6"/>
        <v>0</v>
      </c>
      <c r="B82" s="2">
        <f>IF(C82=0,0,A82&amp;" "&amp;COUNTIF($A$1:$A82,A82))</f>
        <v>0</v>
      </c>
      <c r="C82" s="1">
        <v>0</v>
      </c>
      <c r="D82" s="2">
        <v>0</v>
      </c>
      <c r="E82" s="2">
        <v>0</v>
      </c>
      <c r="F82" s="2">
        <v>0</v>
      </c>
      <c r="G82" s="2">
        <v>0</v>
      </c>
      <c r="H82" s="2">
        <f t="shared" si="7"/>
        <v>0</v>
      </c>
      <c r="I82" s="2">
        <f t="shared" si="7"/>
        <v>0</v>
      </c>
      <c r="J82" s="2">
        <f t="shared" si="7"/>
        <v>0</v>
      </c>
      <c r="K82" s="2">
        <f t="shared" si="7"/>
        <v>0</v>
      </c>
      <c r="L82" s="2">
        <f t="shared" si="7"/>
        <v>0</v>
      </c>
      <c r="M82" s="2">
        <f t="shared" si="7"/>
        <v>0</v>
      </c>
      <c r="N82" s="2">
        <f t="shared" si="7"/>
        <v>0</v>
      </c>
      <c r="O82" s="2">
        <f>(VLOOKUP(E82,Batters!$F$2:$K$1124,6,FALSE))*C82</f>
        <v>0</v>
      </c>
    </row>
    <row r="83" spans="1:15" x14ac:dyDescent="0.25">
      <c r="A83" s="1">
        <f t="shared" si="6"/>
        <v>0</v>
      </c>
      <c r="B83" s="2">
        <f>IF(C83=0,0,A83&amp;" "&amp;COUNTIF($A$1:$A83,A83))</f>
        <v>0</v>
      </c>
      <c r="C83" s="1">
        <v>0</v>
      </c>
      <c r="D83" s="2">
        <v>0</v>
      </c>
      <c r="E83" s="2">
        <v>0</v>
      </c>
      <c r="F83" s="2">
        <v>0</v>
      </c>
      <c r="G83" s="2">
        <v>0</v>
      </c>
      <c r="H83" s="2">
        <f t="shared" si="7"/>
        <v>0</v>
      </c>
      <c r="I83" s="2">
        <f t="shared" si="7"/>
        <v>0</v>
      </c>
      <c r="J83" s="2">
        <f t="shared" si="7"/>
        <v>0</v>
      </c>
      <c r="K83" s="2">
        <f t="shared" si="7"/>
        <v>0</v>
      </c>
      <c r="L83" s="2">
        <f t="shared" si="7"/>
        <v>0</v>
      </c>
      <c r="M83" s="2">
        <f t="shared" si="7"/>
        <v>0</v>
      </c>
      <c r="N83" s="2">
        <f t="shared" si="7"/>
        <v>0</v>
      </c>
      <c r="O83" s="2">
        <f>(VLOOKUP(E83,Batters!$F$2:$K$1124,6,FALSE))*C83</f>
        <v>0</v>
      </c>
    </row>
    <row r="84" spans="1:15" x14ac:dyDescent="0.25">
      <c r="A84" s="1">
        <f t="shared" si="6"/>
        <v>0</v>
      </c>
      <c r="B84" s="2">
        <f>IF(C84=0,0,A84&amp;" "&amp;COUNTIF($A$1:$A84,A84))</f>
        <v>0</v>
      </c>
      <c r="C84" s="1">
        <v>0</v>
      </c>
      <c r="D84" s="2">
        <v>0</v>
      </c>
      <c r="E84" s="2">
        <v>0</v>
      </c>
      <c r="F84" s="2">
        <v>0</v>
      </c>
      <c r="G84" s="2">
        <v>0</v>
      </c>
      <c r="H84" s="2">
        <f t="shared" si="7"/>
        <v>0</v>
      </c>
      <c r="I84" s="2">
        <f t="shared" si="7"/>
        <v>0</v>
      </c>
      <c r="J84" s="2">
        <f t="shared" si="7"/>
        <v>0</v>
      </c>
      <c r="K84" s="2">
        <f t="shared" si="7"/>
        <v>0</v>
      </c>
      <c r="L84" s="2">
        <f t="shared" si="7"/>
        <v>0</v>
      </c>
      <c r="M84" s="2">
        <f t="shared" si="7"/>
        <v>0</v>
      </c>
      <c r="N84" s="2">
        <f t="shared" si="7"/>
        <v>0</v>
      </c>
      <c r="O84" s="2">
        <f>(VLOOKUP(E84,Batters!$F$2:$K$1124,6,FALSE))*C84</f>
        <v>0</v>
      </c>
    </row>
    <row r="85" spans="1:15" x14ac:dyDescent="0.25">
      <c r="A85" s="1">
        <f t="shared" si="6"/>
        <v>0</v>
      </c>
      <c r="B85" s="2">
        <f>IF(C85=0,0,A85&amp;" "&amp;COUNTIF($A$1:$A85,A85))</f>
        <v>0</v>
      </c>
      <c r="C85" s="1">
        <v>0</v>
      </c>
      <c r="D85" s="2">
        <v>0</v>
      </c>
      <c r="E85" s="2">
        <v>0</v>
      </c>
      <c r="F85" s="2">
        <v>0</v>
      </c>
      <c r="G85" s="2">
        <v>0</v>
      </c>
      <c r="H85" s="2">
        <f t="shared" si="7"/>
        <v>0</v>
      </c>
      <c r="I85" s="2">
        <f t="shared" si="7"/>
        <v>0</v>
      </c>
      <c r="J85" s="2">
        <f t="shared" si="7"/>
        <v>0</v>
      </c>
      <c r="K85" s="2">
        <f t="shared" si="7"/>
        <v>0</v>
      </c>
      <c r="L85" s="2">
        <f t="shared" si="7"/>
        <v>0</v>
      </c>
      <c r="M85" s="2">
        <f t="shared" si="7"/>
        <v>0</v>
      </c>
      <c r="N85" s="2">
        <f t="shared" si="7"/>
        <v>0</v>
      </c>
      <c r="O85" s="2">
        <f>(VLOOKUP(E85,Batters!$F$2:$K$1124,6,FALSE))*C85</f>
        <v>0</v>
      </c>
    </row>
    <row r="86" spans="1:15" x14ac:dyDescent="0.25">
      <c r="A86" s="1">
        <f t="shared" si="6"/>
        <v>0</v>
      </c>
      <c r="B86" s="2">
        <f>IF(C86=0,0,A86&amp;" "&amp;COUNTIF($A$1:$A86,A86))</f>
        <v>0</v>
      </c>
      <c r="C86" s="1">
        <v>0</v>
      </c>
      <c r="D86" s="2">
        <v>0</v>
      </c>
      <c r="E86" s="2">
        <v>0</v>
      </c>
      <c r="F86" s="2">
        <v>0</v>
      </c>
      <c r="G86" s="2">
        <v>0</v>
      </c>
      <c r="H86" s="2">
        <f t="shared" si="7"/>
        <v>0</v>
      </c>
      <c r="I86" s="2">
        <f t="shared" si="7"/>
        <v>0</v>
      </c>
      <c r="J86" s="2">
        <f t="shared" si="7"/>
        <v>0</v>
      </c>
      <c r="K86" s="2">
        <f t="shared" si="7"/>
        <v>0</v>
      </c>
      <c r="L86" s="2">
        <f t="shared" si="7"/>
        <v>0</v>
      </c>
      <c r="M86" s="2">
        <f t="shared" si="7"/>
        <v>0</v>
      </c>
      <c r="N86" s="2">
        <f t="shared" si="7"/>
        <v>0</v>
      </c>
      <c r="O86" s="2">
        <f>(VLOOKUP(E86,Batters!$F$2:$K$1124,6,FALSE))*C86</f>
        <v>0</v>
      </c>
    </row>
    <row r="87" spans="1:15" x14ac:dyDescent="0.25">
      <c r="A87" s="1">
        <f t="shared" si="6"/>
        <v>0</v>
      </c>
      <c r="B87" s="2">
        <f>IF(C87=0,0,A87&amp;" "&amp;COUNTIF($A$1:$A87,A87))</f>
        <v>0</v>
      </c>
      <c r="C87" s="1">
        <v>0</v>
      </c>
      <c r="D87" s="2">
        <v>0</v>
      </c>
      <c r="E87" s="2">
        <v>0</v>
      </c>
      <c r="F87" s="2">
        <v>0</v>
      </c>
      <c r="G87" s="2">
        <v>0</v>
      </c>
      <c r="H87" s="2">
        <f t="shared" si="7"/>
        <v>0</v>
      </c>
      <c r="I87" s="2">
        <f t="shared" si="7"/>
        <v>0</v>
      </c>
      <c r="J87" s="2">
        <f t="shared" si="7"/>
        <v>0</v>
      </c>
      <c r="K87" s="2">
        <f t="shared" si="7"/>
        <v>0</v>
      </c>
      <c r="L87" s="2">
        <f t="shared" si="7"/>
        <v>0</v>
      </c>
      <c r="M87" s="2">
        <f t="shared" si="7"/>
        <v>0</v>
      </c>
      <c r="N87" s="2">
        <f t="shared" si="7"/>
        <v>0</v>
      </c>
      <c r="O87" s="2">
        <f>(VLOOKUP(E87,Batters!$F$2:$K$1124,6,FALSE))*C87</f>
        <v>0</v>
      </c>
    </row>
    <row r="88" spans="1:15" x14ac:dyDescent="0.25">
      <c r="A88" s="1">
        <f t="shared" si="6"/>
        <v>0</v>
      </c>
      <c r="B88" s="2">
        <f>IF(C88=0,0,A88&amp;" "&amp;COUNTIF($A$1:$A88,A88))</f>
        <v>0</v>
      </c>
      <c r="C88" s="1">
        <v>0</v>
      </c>
      <c r="D88" s="2">
        <v>0</v>
      </c>
      <c r="E88" s="2">
        <v>0</v>
      </c>
      <c r="F88" s="2">
        <v>0</v>
      </c>
      <c r="G88" s="2">
        <v>0</v>
      </c>
      <c r="H88" s="2">
        <f t="shared" si="7"/>
        <v>0</v>
      </c>
      <c r="I88" s="2">
        <f t="shared" si="7"/>
        <v>0</v>
      </c>
      <c r="J88" s="2">
        <f t="shared" si="7"/>
        <v>0</v>
      </c>
      <c r="K88" s="2">
        <f t="shared" si="7"/>
        <v>0</v>
      </c>
      <c r="L88" s="2">
        <f t="shared" si="7"/>
        <v>0</v>
      </c>
      <c r="M88" s="2">
        <f t="shared" si="7"/>
        <v>0</v>
      </c>
      <c r="N88" s="2">
        <f t="shared" si="7"/>
        <v>0</v>
      </c>
      <c r="O88" s="2">
        <f>(VLOOKUP(E88,Batters!$F$2:$K$1124,6,FALSE))*C88</f>
        <v>0</v>
      </c>
    </row>
    <row r="89" spans="1:15" x14ac:dyDescent="0.25">
      <c r="A89" s="1">
        <f t="shared" si="6"/>
        <v>0</v>
      </c>
      <c r="B89" s="2">
        <f>IF(C89=0,0,A89&amp;" "&amp;COUNTIF($A$1:$A89,A89))</f>
        <v>0</v>
      </c>
      <c r="C89" s="1">
        <v>0</v>
      </c>
      <c r="D89" s="2">
        <v>0</v>
      </c>
      <c r="E89" s="2">
        <v>0</v>
      </c>
      <c r="F89" s="2">
        <v>0</v>
      </c>
      <c r="G89" s="2">
        <v>0</v>
      </c>
      <c r="H89" s="2">
        <f t="shared" si="7"/>
        <v>0</v>
      </c>
      <c r="I89" s="2">
        <f t="shared" si="7"/>
        <v>0</v>
      </c>
      <c r="J89" s="2">
        <f t="shared" si="7"/>
        <v>0</v>
      </c>
      <c r="K89" s="2">
        <f t="shared" si="7"/>
        <v>0</v>
      </c>
      <c r="L89" s="2">
        <f t="shared" si="7"/>
        <v>0</v>
      </c>
      <c r="M89" s="2">
        <f t="shared" si="7"/>
        <v>0</v>
      </c>
      <c r="N89" s="2">
        <f t="shared" si="7"/>
        <v>0</v>
      </c>
      <c r="O89" s="2">
        <f>(VLOOKUP(E89,Batters!$F$2:$K$1124,6,FALSE))*C89</f>
        <v>0</v>
      </c>
    </row>
    <row r="90" spans="1:15" x14ac:dyDescent="0.25">
      <c r="A90" s="1">
        <f t="shared" si="6"/>
        <v>0</v>
      </c>
      <c r="B90" s="2">
        <f>IF(C90=0,0,A90&amp;" "&amp;COUNTIF($A$1:$A90,A90))</f>
        <v>0</v>
      </c>
      <c r="C90" s="1">
        <v>0</v>
      </c>
      <c r="D90" s="2">
        <v>0</v>
      </c>
      <c r="E90" s="2">
        <v>0</v>
      </c>
      <c r="F90" s="2">
        <v>0</v>
      </c>
      <c r="G90" s="2">
        <v>0</v>
      </c>
      <c r="H90" s="2">
        <f t="shared" si="7"/>
        <v>0</v>
      </c>
      <c r="I90" s="2">
        <f t="shared" si="7"/>
        <v>0</v>
      </c>
      <c r="J90" s="2">
        <f t="shared" si="7"/>
        <v>0</v>
      </c>
      <c r="K90" s="2">
        <f t="shared" si="7"/>
        <v>0</v>
      </c>
      <c r="L90" s="2">
        <f t="shared" si="7"/>
        <v>0</v>
      </c>
      <c r="M90" s="2">
        <f t="shared" si="7"/>
        <v>0</v>
      </c>
      <c r="N90" s="2">
        <f t="shared" si="7"/>
        <v>0</v>
      </c>
      <c r="O90" s="2">
        <f>(VLOOKUP(E90,Batters!$F$2:$K$1124,6,FALSE))*C90</f>
        <v>0</v>
      </c>
    </row>
    <row r="91" spans="1:15" x14ac:dyDescent="0.25">
      <c r="A91" s="1">
        <f t="shared" si="6"/>
        <v>0</v>
      </c>
      <c r="B91" s="2">
        <f>IF(C91=0,0,A91&amp;" "&amp;COUNTIF($A$1:$A91,A91))</f>
        <v>0</v>
      </c>
      <c r="C91" s="1">
        <v>0</v>
      </c>
      <c r="D91" s="2">
        <v>0</v>
      </c>
      <c r="E91" s="2">
        <v>0</v>
      </c>
      <c r="F91" s="2">
        <v>0</v>
      </c>
      <c r="G91" s="2">
        <v>0</v>
      </c>
      <c r="H91" s="2">
        <f t="shared" si="7"/>
        <v>0</v>
      </c>
      <c r="I91" s="2">
        <f t="shared" si="7"/>
        <v>0</v>
      </c>
      <c r="J91" s="2">
        <f t="shared" si="7"/>
        <v>0</v>
      </c>
      <c r="K91" s="2">
        <f t="shared" si="7"/>
        <v>0</v>
      </c>
      <c r="L91" s="2">
        <f t="shared" si="7"/>
        <v>0</v>
      </c>
      <c r="M91" s="2">
        <f t="shared" si="7"/>
        <v>0</v>
      </c>
      <c r="N91" s="2">
        <f t="shared" si="7"/>
        <v>0</v>
      </c>
      <c r="O91" s="2">
        <f>(VLOOKUP(E91,Batters!$F$2:$K$1124,6,FALSE))*C91</f>
        <v>0</v>
      </c>
    </row>
    <row r="92" spans="1:15" x14ac:dyDescent="0.25">
      <c r="A92" s="1">
        <f t="shared" si="6"/>
        <v>0</v>
      </c>
      <c r="B92" s="2">
        <f>IF(C92=0,0,A92&amp;" "&amp;COUNTIF($A$1:$A92,A92))</f>
        <v>0</v>
      </c>
      <c r="C92" s="1">
        <v>0</v>
      </c>
      <c r="D92" s="2">
        <v>0</v>
      </c>
      <c r="E92" s="2">
        <v>0</v>
      </c>
      <c r="F92" s="2">
        <v>0</v>
      </c>
      <c r="G92" s="2">
        <v>0</v>
      </c>
      <c r="H92" s="2">
        <f t="shared" si="7"/>
        <v>0</v>
      </c>
      <c r="I92" s="2">
        <f t="shared" si="7"/>
        <v>0</v>
      </c>
      <c r="J92" s="2">
        <f t="shared" si="7"/>
        <v>0</v>
      </c>
      <c r="K92" s="2">
        <f t="shared" si="7"/>
        <v>0</v>
      </c>
      <c r="L92" s="2">
        <f t="shared" si="7"/>
        <v>0</v>
      </c>
      <c r="M92" s="2">
        <f t="shared" si="7"/>
        <v>0</v>
      </c>
      <c r="N92" s="2">
        <f t="shared" si="7"/>
        <v>0</v>
      </c>
      <c r="O92" s="2">
        <f>(VLOOKUP(E92,Batters!$F$2:$K$1124,6,FALSE))*C92</f>
        <v>0</v>
      </c>
    </row>
    <row r="93" spans="1:15" x14ac:dyDescent="0.25">
      <c r="A93" s="1">
        <f t="shared" si="6"/>
        <v>0</v>
      </c>
      <c r="B93" s="2">
        <f>IF(C93=0,0,A93&amp;" "&amp;COUNTIF($A$1:$A93,A93))</f>
        <v>0</v>
      </c>
      <c r="C93" s="1">
        <v>0</v>
      </c>
      <c r="D93" s="2">
        <v>0</v>
      </c>
      <c r="E93" s="2">
        <v>0</v>
      </c>
      <c r="F93" s="2">
        <v>0</v>
      </c>
      <c r="G93" s="2">
        <v>0</v>
      </c>
      <c r="H93" s="2">
        <f t="shared" si="7"/>
        <v>0</v>
      </c>
      <c r="I93" s="2">
        <f t="shared" si="7"/>
        <v>0</v>
      </c>
      <c r="J93" s="2">
        <f t="shared" si="7"/>
        <v>0</v>
      </c>
      <c r="K93" s="2">
        <f t="shared" si="7"/>
        <v>0</v>
      </c>
      <c r="L93" s="2">
        <f t="shared" si="7"/>
        <v>0</v>
      </c>
      <c r="M93" s="2">
        <f t="shared" si="7"/>
        <v>0</v>
      </c>
      <c r="N93" s="2">
        <f t="shared" si="7"/>
        <v>0</v>
      </c>
      <c r="O93" s="2">
        <f>(VLOOKUP(E93,Batters!$F$2:$K$1124,6,FALSE))*C93</f>
        <v>0</v>
      </c>
    </row>
    <row r="94" spans="1:15" x14ac:dyDescent="0.25">
      <c r="A94" s="1">
        <f t="shared" si="6"/>
        <v>0</v>
      </c>
      <c r="B94" s="2">
        <f>IF(C94=0,0,A94&amp;" "&amp;COUNTIF($A$1:$A94,A94))</f>
        <v>0</v>
      </c>
      <c r="C94" s="1">
        <v>0</v>
      </c>
      <c r="D94" s="2">
        <v>0</v>
      </c>
      <c r="E94" s="2">
        <v>0</v>
      </c>
      <c r="F94" s="2">
        <v>0</v>
      </c>
      <c r="G94" s="2">
        <v>0</v>
      </c>
      <c r="H94" s="2">
        <f t="shared" si="7"/>
        <v>0</v>
      </c>
      <c r="I94" s="2">
        <f t="shared" si="7"/>
        <v>0</v>
      </c>
      <c r="J94" s="2">
        <f t="shared" si="7"/>
        <v>0</v>
      </c>
      <c r="K94" s="2">
        <f t="shared" si="7"/>
        <v>0</v>
      </c>
      <c r="L94" s="2">
        <f t="shared" si="7"/>
        <v>0</v>
      </c>
      <c r="M94" s="2">
        <f t="shared" si="7"/>
        <v>0</v>
      </c>
      <c r="N94" s="2">
        <f t="shared" si="7"/>
        <v>0</v>
      </c>
      <c r="O94" s="2">
        <f>(VLOOKUP(E94,Batters!$F$2:$K$1124,6,FALSE))*C94</f>
        <v>0</v>
      </c>
    </row>
    <row r="95" spans="1:15" x14ac:dyDescent="0.25">
      <c r="A95" s="1">
        <f t="shared" si="6"/>
        <v>0</v>
      </c>
      <c r="B95" s="2">
        <f>IF(C95=0,0,A95&amp;" "&amp;COUNTIF($A$1:$A95,A95))</f>
        <v>0</v>
      </c>
      <c r="C95" s="1">
        <v>0</v>
      </c>
      <c r="D95" s="2">
        <v>0</v>
      </c>
      <c r="E95" s="2">
        <v>0</v>
      </c>
      <c r="F95" s="2">
        <v>0</v>
      </c>
      <c r="G95" s="2">
        <v>0</v>
      </c>
      <c r="H95" s="2">
        <f t="shared" si="7"/>
        <v>0</v>
      </c>
      <c r="I95" s="2">
        <f t="shared" si="7"/>
        <v>0</v>
      </c>
      <c r="J95" s="2">
        <f t="shared" si="7"/>
        <v>0</v>
      </c>
      <c r="K95" s="2">
        <f t="shared" si="7"/>
        <v>0</v>
      </c>
      <c r="L95" s="2">
        <f t="shared" si="7"/>
        <v>0</v>
      </c>
      <c r="M95" s="2">
        <f t="shared" si="7"/>
        <v>0</v>
      </c>
      <c r="N95" s="2">
        <f t="shared" si="7"/>
        <v>0</v>
      </c>
      <c r="O95" s="2">
        <f>(VLOOKUP(E95,Batters!$F$2:$K$1124,6,FALSE))*C95</f>
        <v>0</v>
      </c>
    </row>
    <row r="96" spans="1:15" x14ac:dyDescent="0.25">
      <c r="A96" s="1">
        <f t="shared" si="6"/>
        <v>0</v>
      </c>
      <c r="B96" s="2">
        <f>IF(C96=0,0,A96&amp;" "&amp;COUNTIF($A$1:$A96,A96))</f>
        <v>0</v>
      </c>
      <c r="C96" s="1">
        <v>0</v>
      </c>
      <c r="D96" s="2">
        <v>0</v>
      </c>
      <c r="E96" s="2">
        <v>0</v>
      </c>
      <c r="F96" s="2">
        <v>0</v>
      </c>
      <c r="G96" s="2">
        <v>0</v>
      </c>
      <c r="H96" s="2">
        <f t="shared" si="7"/>
        <v>0</v>
      </c>
      <c r="I96" s="2">
        <f t="shared" si="7"/>
        <v>0</v>
      </c>
      <c r="J96" s="2">
        <f t="shared" si="7"/>
        <v>0</v>
      </c>
      <c r="K96" s="2">
        <f t="shared" si="7"/>
        <v>0</v>
      </c>
      <c r="L96" s="2">
        <f t="shared" si="7"/>
        <v>0</v>
      </c>
      <c r="M96" s="2">
        <f t="shared" si="7"/>
        <v>0</v>
      </c>
      <c r="N96" s="2">
        <f t="shared" si="7"/>
        <v>0</v>
      </c>
      <c r="O96" s="2">
        <f>(VLOOKUP(E96,Batters!$F$2:$K$1124,6,FALSE))*C96</f>
        <v>0</v>
      </c>
    </row>
    <row r="97" spans="1:15" x14ac:dyDescent="0.25">
      <c r="A97" s="1">
        <f t="shared" si="6"/>
        <v>0</v>
      </c>
      <c r="B97" s="2">
        <f>IF(C97=0,0,A97&amp;" "&amp;COUNTIF($A$1:$A97,A97))</f>
        <v>0</v>
      </c>
      <c r="C97" s="1">
        <v>0</v>
      </c>
      <c r="D97" s="2">
        <v>0</v>
      </c>
      <c r="E97" s="2">
        <v>0</v>
      </c>
      <c r="F97" s="2">
        <v>0</v>
      </c>
      <c r="G97" s="2">
        <v>0</v>
      </c>
      <c r="H97" s="2">
        <f t="shared" si="7"/>
        <v>0</v>
      </c>
      <c r="I97" s="2">
        <f t="shared" si="7"/>
        <v>0</v>
      </c>
      <c r="J97" s="2">
        <f t="shared" si="7"/>
        <v>0</v>
      </c>
      <c r="K97" s="2">
        <f t="shared" si="7"/>
        <v>0</v>
      </c>
      <c r="L97" s="2">
        <f t="shared" si="7"/>
        <v>0</v>
      </c>
      <c r="M97" s="2">
        <f t="shared" si="7"/>
        <v>0</v>
      </c>
      <c r="N97" s="2">
        <f t="shared" si="7"/>
        <v>0</v>
      </c>
      <c r="O97" s="2">
        <f>(VLOOKUP(E97,Batters!$F$2:$K$1124,6,FALSE))*C97</f>
        <v>0</v>
      </c>
    </row>
    <row r="98" spans="1:15" x14ac:dyDescent="0.25">
      <c r="A98" s="1">
        <f t="shared" si="6"/>
        <v>0</v>
      </c>
      <c r="B98" s="2">
        <f>IF(C98=0,0,A98&amp;" "&amp;COUNTIF($A$1:$A98,A98))</f>
        <v>0</v>
      </c>
      <c r="C98" s="1">
        <v>0</v>
      </c>
      <c r="D98" s="2">
        <v>0</v>
      </c>
      <c r="E98" s="2">
        <v>0</v>
      </c>
      <c r="F98" s="2">
        <v>0</v>
      </c>
      <c r="G98" s="2">
        <v>0</v>
      </c>
      <c r="H98" s="2">
        <f t="shared" si="7"/>
        <v>0</v>
      </c>
      <c r="I98" s="2">
        <f t="shared" si="7"/>
        <v>0</v>
      </c>
      <c r="J98" s="2">
        <f t="shared" si="7"/>
        <v>0</v>
      </c>
      <c r="K98" s="2">
        <f t="shared" si="7"/>
        <v>0</v>
      </c>
      <c r="L98" s="2">
        <f t="shared" si="7"/>
        <v>0</v>
      </c>
      <c r="M98" s="2">
        <f t="shared" si="7"/>
        <v>0</v>
      </c>
      <c r="N98" s="2">
        <f t="shared" si="7"/>
        <v>0</v>
      </c>
      <c r="O98" s="2">
        <f>(VLOOKUP(E98,Batters!$F$2:$K$1124,6,FALSE))*C98</f>
        <v>0</v>
      </c>
    </row>
    <row r="99" spans="1:15" x14ac:dyDescent="0.25">
      <c r="A99" s="1">
        <f t="shared" si="6"/>
        <v>0</v>
      </c>
      <c r="B99" s="2">
        <f>IF(C99=0,0,A99&amp;" "&amp;COUNTIF($A$1:$A99,A99))</f>
        <v>0</v>
      </c>
      <c r="C99" s="1">
        <v>0</v>
      </c>
      <c r="D99" s="2">
        <v>0</v>
      </c>
      <c r="E99" s="2">
        <v>0</v>
      </c>
      <c r="F99" s="2">
        <v>0</v>
      </c>
      <c r="G99" s="2">
        <v>0</v>
      </c>
      <c r="H99" s="2">
        <f t="shared" si="7"/>
        <v>0</v>
      </c>
      <c r="I99" s="2">
        <f t="shared" si="7"/>
        <v>0</v>
      </c>
      <c r="J99" s="2">
        <f t="shared" si="7"/>
        <v>0</v>
      </c>
      <c r="K99" s="2">
        <f t="shared" si="7"/>
        <v>0</v>
      </c>
      <c r="L99" s="2">
        <f t="shared" si="7"/>
        <v>0</v>
      </c>
      <c r="M99" s="2">
        <f t="shared" si="7"/>
        <v>0</v>
      </c>
      <c r="N99" s="2">
        <f t="shared" si="7"/>
        <v>0</v>
      </c>
      <c r="O99" s="2">
        <f>(VLOOKUP(E99,Batters!$F$2:$K$1124,6,FALSE))*C99</f>
        <v>0</v>
      </c>
    </row>
    <row r="100" spans="1:15" x14ac:dyDescent="0.25">
      <c r="A100" s="1">
        <f t="shared" si="6"/>
        <v>0</v>
      </c>
      <c r="B100" s="2">
        <f>IF(C100=0,0,A100&amp;" "&amp;COUNTIF($A$1:$A100,A100))</f>
        <v>0</v>
      </c>
      <c r="C100" s="1">
        <v>0</v>
      </c>
      <c r="D100" s="2">
        <v>0</v>
      </c>
      <c r="E100" s="2">
        <v>0</v>
      </c>
      <c r="F100" s="2">
        <v>0</v>
      </c>
      <c r="G100" s="2">
        <v>0</v>
      </c>
      <c r="H100" s="2">
        <f t="shared" si="7"/>
        <v>0</v>
      </c>
      <c r="I100" s="2">
        <f t="shared" si="7"/>
        <v>0</v>
      </c>
      <c r="J100" s="2">
        <f t="shared" si="7"/>
        <v>0</v>
      </c>
      <c r="K100" s="2">
        <f t="shared" si="7"/>
        <v>0</v>
      </c>
      <c r="L100" s="2">
        <f t="shared" si="7"/>
        <v>0</v>
      </c>
      <c r="M100" s="2">
        <f t="shared" si="7"/>
        <v>0</v>
      </c>
      <c r="N100" s="2">
        <f t="shared" si="7"/>
        <v>0</v>
      </c>
      <c r="O100" s="2">
        <f>(VLOOKUP(E100,Batters!$F$2:$K$1124,6,FALSE))*C100</f>
        <v>0</v>
      </c>
    </row>
    <row r="101" spans="1:15" x14ac:dyDescent="0.25">
      <c r="A101" s="1">
        <f t="shared" si="6"/>
        <v>0</v>
      </c>
      <c r="B101" s="2">
        <f>IF(C101=0,0,A101&amp;" "&amp;COUNTIF($A$1:$A101,A101))</f>
        <v>0</v>
      </c>
      <c r="C101" s="1">
        <v>0</v>
      </c>
      <c r="D101" s="2">
        <v>0</v>
      </c>
      <c r="E101" s="2">
        <v>0</v>
      </c>
      <c r="F101" s="2">
        <v>0</v>
      </c>
      <c r="G101" s="2">
        <v>0</v>
      </c>
      <c r="H101" s="2">
        <f t="shared" si="7"/>
        <v>0</v>
      </c>
      <c r="I101" s="2">
        <f t="shared" si="7"/>
        <v>0</v>
      </c>
      <c r="J101" s="2">
        <f t="shared" si="7"/>
        <v>0</v>
      </c>
      <c r="K101" s="2">
        <f t="shared" si="7"/>
        <v>0</v>
      </c>
      <c r="L101" s="2">
        <f t="shared" si="7"/>
        <v>0</v>
      </c>
      <c r="M101" s="2">
        <f t="shared" si="7"/>
        <v>0</v>
      </c>
      <c r="N101" s="2">
        <f t="shared" si="7"/>
        <v>0</v>
      </c>
      <c r="O101" s="2">
        <f>(VLOOKUP(E101,Batters!$F$2:$K$1124,6,FALSE))*C101</f>
        <v>0</v>
      </c>
    </row>
    <row r="102" spans="1:15" x14ac:dyDescent="0.25">
      <c r="A102" s="1">
        <f t="shared" si="6"/>
        <v>0</v>
      </c>
      <c r="B102" s="2">
        <f>IF(C102=0,0,A102&amp;" "&amp;COUNTIF($A$1:$A102,A102))</f>
        <v>0</v>
      </c>
      <c r="C102" s="1">
        <v>0</v>
      </c>
      <c r="D102" s="2">
        <v>0</v>
      </c>
      <c r="E102" s="2">
        <v>0</v>
      </c>
      <c r="F102" s="2">
        <v>0</v>
      </c>
      <c r="G102" s="2">
        <v>0</v>
      </c>
      <c r="H102" s="2">
        <f t="shared" si="7"/>
        <v>0</v>
      </c>
      <c r="I102" s="2">
        <f t="shared" si="7"/>
        <v>0</v>
      </c>
      <c r="J102" s="2">
        <f t="shared" si="7"/>
        <v>0</v>
      </c>
      <c r="K102" s="2">
        <f t="shared" si="7"/>
        <v>0</v>
      </c>
      <c r="L102" s="2">
        <f t="shared" si="7"/>
        <v>0</v>
      </c>
      <c r="M102" s="2">
        <f t="shared" si="7"/>
        <v>0</v>
      </c>
      <c r="N102" s="2">
        <f t="shared" si="7"/>
        <v>0</v>
      </c>
      <c r="O102" s="2">
        <f>(VLOOKUP(E102,Batters!$F$2:$K$1124,6,FALSE))*C102</f>
        <v>0</v>
      </c>
    </row>
    <row r="103" spans="1:15" x14ac:dyDescent="0.25">
      <c r="A103" s="1">
        <f t="shared" si="6"/>
        <v>0</v>
      </c>
      <c r="B103" s="2">
        <f>IF(C103=0,0,A103&amp;" "&amp;COUNTIF($A$1:$A103,A103))</f>
        <v>0</v>
      </c>
      <c r="C103" s="1">
        <v>0</v>
      </c>
      <c r="D103" s="2">
        <v>0</v>
      </c>
      <c r="E103" s="2">
        <v>0</v>
      </c>
      <c r="F103" s="2">
        <v>0</v>
      </c>
      <c r="G103" s="2">
        <v>0</v>
      </c>
      <c r="H103" s="2">
        <f t="shared" si="7"/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>
        <f t="shared" si="7"/>
        <v>0</v>
      </c>
      <c r="M103" s="2">
        <f t="shared" si="7"/>
        <v>0</v>
      </c>
      <c r="N103" s="2">
        <f t="shared" si="7"/>
        <v>0</v>
      </c>
      <c r="O103" s="2">
        <f>(VLOOKUP(E103,Batters!$F$2:$K$1124,6,FALSE))*C103</f>
        <v>0</v>
      </c>
    </row>
    <row r="104" spans="1:15" x14ac:dyDescent="0.25">
      <c r="A104" s="1">
        <f t="shared" si="6"/>
        <v>0</v>
      </c>
      <c r="B104" s="2">
        <f>IF(C104=0,0,A104&amp;" "&amp;COUNTIF($A$1:$A104,A104))</f>
        <v>0</v>
      </c>
      <c r="C104" s="1">
        <v>0</v>
      </c>
      <c r="D104" s="2">
        <v>0</v>
      </c>
      <c r="E104" s="2">
        <v>0</v>
      </c>
      <c r="F104" s="2">
        <v>0</v>
      </c>
      <c r="G104" s="2">
        <v>0</v>
      </c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>
        <f t="shared" si="7"/>
        <v>0</v>
      </c>
      <c r="M104" s="2">
        <f t="shared" si="7"/>
        <v>0</v>
      </c>
      <c r="N104" s="2">
        <f t="shared" si="7"/>
        <v>0</v>
      </c>
      <c r="O104" s="2">
        <f>(VLOOKUP(E104,Batters!$F$2:$K$1124,6,FALSE))*C104</f>
        <v>0</v>
      </c>
    </row>
    <row r="105" spans="1:15" x14ac:dyDescent="0.25">
      <c r="A105" s="1">
        <f t="shared" si="6"/>
        <v>0</v>
      </c>
      <c r="B105" s="2">
        <f>IF(C105=0,0,A105&amp;" "&amp;COUNTIF($A$1:$A105,A105))</f>
        <v>0</v>
      </c>
      <c r="C105" s="1">
        <v>0</v>
      </c>
      <c r="D105" s="2">
        <v>0</v>
      </c>
      <c r="E105" s="2">
        <v>0</v>
      </c>
      <c r="F105" s="2">
        <v>0</v>
      </c>
      <c r="G105" s="2">
        <v>0</v>
      </c>
      <c r="H105" s="2">
        <f t="shared" si="7"/>
        <v>0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>
        <f t="shared" si="7"/>
        <v>0</v>
      </c>
      <c r="M105" s="2">
        <f t="shared" si="7"/>
        <v>0</v>
      </c>
      <c r="N105" s="2">
        <f t="shared" si="7"/>
        <v>0</v>
      </c>
      <c r="O105" s="2">
        <f>(VLOOKUP(E105,Batters!$F$2:$K$1124,6,FALSE))*C105</f>
        <v>0</v>
      </c>
    </row>
    <row r="106" spans="1:15" x14ac:dyDescent="0.25">
      <c r="A106" s="1">
        <f t="shared" si="6"/>
        <v>0</v>
      </c>
      <c r="B106" s="2">
        <f>IF(C106=0,0,A106&amp;" "&amp;COUNTIF($A$1:$A106,A106))</f>
        <v>0</v>
      </c>
      <c r="C106" s="1">
        <v>0</v>
      </c>
      <c r="D106" s="2">
        <v>0</v>
      </c>
      <c r="E106" s="2">
        <v>0</v>
      </c>
      <c r="F106" s="2">
        <v>0</v>
      </c>
      <c r="G106" s="2">
        <v>0</v>
      </c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>
        <f t="shared" si="7"/>
        <v>0</v>
      </c>
      <c r="M106" s="2">
        <f t="shared" si="7"/>
        <v>0</v>
      </c>
      <c r="N106" s="2">
        <f t="shared" si="7"/>
        <v>0</v>
      </c>
      <c r="O106" s="2">
        <f>(VLOOKUP(E106,Batters!$F$2:$K$1124,6,FALSE))*C106</f>
        <v>0</v>
      </c>
    </row>
    <row r="107" spans="1:15" x14ac:dyDescent="0.25">
      <c r="A107" s="1">
        <f t="shared" si="6"/>
        <v>0</v>
      </c>
      <c r="B107" s="2">
        <f>IF(C107=0,0,A107&amp;" "&amp;COUNTIF($A$1:$A107,A107))</f>
        <v>0</v>
      </c>
      <c r="C107" s="1">
        <v>0</v>
      </c>
      <c r="D107" s="2">
        <v>0</v>
      </c>
      <c r="E107" s="2">
        <v>0</v>
      </c>
      <c r="F107" s="2">
        <v>0</v>
      </c>
      <c r="G107" s="2">
        <v>0</v>
      </c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>
        <f t="shared" si="7"/>
        <v>0</v>
      </c>
      <c r="M107" s="2">
        <f t="shared" si="7"/>
        <v>0</v>
      </c>
      <c r="N107" s="2">
        <f t="shared" si="7"/>
        <v>0</v>
      </c>
      <c r="O107" s="2">
        <f>(VLOOKUP(E107,Batters!$F$2:$K$1124,6,FALSE))*C107</f>
        <v>0</v>
      </c>
    </row>
    <row r="108" spans="1:15" x14ac:dyDescent="0.25">
      <c r="A108" s="1">
        <f t="shared" si="6"/>
        <v>0</v>
      </c>
      <c r="B108" s="2">
        <f>IF(C108=0,0,A108&amp;" "&amp;COUNTIF($A$1:$A108,A108))</f>
        <v>0</v>
      </c>
      <c r="C108" s="1">
        <v>0</v>
      </c>
      <c r="D108" s="2">
        <v>0</v>
      </c>
      <c r="E108" s="2">
        <v>0</v>
      </c>
      <c r="F108" s="2">
        <v>0</v>
      </c>
      <c r="G108" s="2">
        <v>0</v>
      </c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>
        <f t="shared" si="7"/>
        <v>0</v>
      </c>
      <c r="M108" s="2">
        <f t="shared" si="7"/>
        <v>0</v>
      </c>
      <c r="N108" s="2">
        <f t="shared" si="7"/>
        <v>0</v>
      </c>
      <c r="O108" s="2">
        <f>(VLOOKUP(E108,Batters!$F$2:$K$1124,6,FALSE))*C108</f>
        <v>0</v>
      </c>
    </row>
    <row r="109" spans="1:15" x14ac:dyDescent="0.25">
      <c r="A109" s="1">
        <f t="shared" si="6"/>
        <v>0</v>
      </c>
      <c r="B109" s="2">
        <f>IF(C109=0,0,A109&amp;" "&amp;COUNTIF($A$1:$A109,A109))</f>
        <v>0</v>
      </c>
      <c r="C109" s="1">
        <v>0</v>
      </c>
      <c r="D109" s="2">
        <v>0</v>
      </c>
      <c r="E109" s="2">
        <v>0</v>
      </c>
      <c r="F109" s="2">
        <v>0</v>
      </c>
      <c r="G109" s="2">
        <v>0</v>
      </c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>
        <f t="shared" si="7"/>
        <v>0</v>
      </c>
      <c r="M109" s="2">
        <f t="shared" si="7"/>
        <v>0</v>
      </c>
      <c r="N109" s="2">
        <f t="shared" si="7"/>
        <v>0</v>
      </c>
      <c r="O109" s="2">
        <f>(VLOOKUP(E109,Batters!$F$2:$K$1124,6,FALSE))*C109</f>
        <v>0</v>
      </c>
    </row>
    <row r="110" spans="1:15" x14ac:dyDescent="0.25">
      <c r="A110" s="1">
        <f t="shared" si="6"/>
        <v>0</v>
      </c>
      <c r="B110" s="2">
        <f>IF(C110=0,0,A110&amp;" "&amp;COUNTIF($A$1:$A110,A110))</f>
        <v>0</v>
      </c>
      <c r="C110" s="1">
        <v>0</v>
      </c>
      <c r="D110" s="2">
        <v>0</v>
      </c>
      <c r="E110" s="2">
        <v>0</v>
      </c>
      <c r="F110" s="2">
        <v>0</v>
      </c>
      <c r="G110" s="2">
        <v>0</v>
      </c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>
        <f t="shared" si="7"/>
        <v>0</v>
      </c>
      <c r="M110" s="2">
        <f t="shared" si="7"/>
        <v>0</v>
      </c>
      <c r="N110" s="2">
        <f t="shared" si="7"/>
        <v>0</v>
      </c>
      <c r="O110" s="2">
        <f>(VLOOKUP(E110,Batters!$F$2:$K$1124,6,FALSE))*C110</f>
        <v>0</v>
      </c>
    </row>
    <row r="111" spans="1:15" x14ac:dyDescent="0.25">
      <c r="A111" s="1">
        <f t="shared" si="6"/>
        <v>0</v>
      </c>
      <c r="B111" s="2">
        <f>IF(C111=0,0,A111&amp;" "&amp;COUNTIF($A$1:$A111,A111))</f>
        <v>0</v>
      </c>
      <c r="C111" s="1">
        <v>0</v>
      </c>
      <c r="D111" s="2">
        <v>0</v>
      </c>
      <c r="E111" s="2">
        <v>0</v>
      </c>
      <c r="F111" s="2">
        <v>0</v>
      </c>
      <c r="G111" s="2">
        <v>0</v>
      </c>
      <c r="H111" s="2">
        <f t="shared" ref="H111:N147" si="8">IF($D111=H$1,$C111*1,0)</f>
        <v>0</v>
      </c>
      <c r="I111" s="2">
        <f t="shared" si="8"/>
        <v>0</v>
      </c>
      <c r="J111" s="2">
        <f t="shared" si="8"/>
        <v>0</v>
      </c>
      <c r="K111" s="2">
        <f t="shared" si="8"/>
        <v>0</v>
      </c>
      <c r="L111" s="2">
        <f t="shared" si="8"/>
        <v>0</v>
      </c>
      <c r="M111" s="2">
        <f t="shared" si="8"/>
        <v>0</v>
      </c>
      <c r="N111" s="2">
        <f t="shared" si="8"/>
        <v>0</v>
      </c>
      <c r="O111" s="2">
        <f>(VLOOKUP(E111,Batters!$F$2:$K$1124,6,FALSE))*C111</f>
        <v>0</v>
      </c>
    </row>
    <row r="112" spans="1:15" x14ac:dyDescent="0.25">
      <c r="A112" s="1">
        <f t="shared" si="6"/>
        <v>0</v>
      </c>
      <c r="B112" s="2">
        <f>IF(C112=0,0,A112&amp;" "&amp;COUNTIF($A$1:$A112,A112))</f>
        <v>0</v>
      </c>
      <c r="C112" s="1">
        <v>0</v>
      </c>
      <c r="D112" s="2">
        <v>0</v>
      </c>
      <c r="E112" s="2">
        <v>0</v>
      </c>
      <c r="F112" s="2">
        <v>0</v>
      </c>
      <c r="G112" s="2">
        <v>0</v>
      </c>
      <c r="H112" s="2">
        <f t="shared" si="8"/>
        <v>0</v>
      </c>
      <c r="I112" s="2">
        <f t="shared" si="8"/>
        <v>0</v>
      </c>
      <c r="J112" s="2">
        <f t="shared" si="8"/>
        <v>0</v>
      </c>
      <c r="K112" s="2">
        <f t="shared" si="8"/>
        <v>0</v>
      </c>
      <c r="L112" s="2">
        <f t="shared" si="8"/>
        <v>0</v>
      </c>
      <c r="M112" s="2">
        <f t="shared" si="8"/>
        <v>0</v>
      </c>
      <c r="N112" s="2">
        <f t="shared" si="8"/>
        <v>0</v>
      </c>
      <c r="O112" s="2">
        <f>(VLOOKUP(E112,Batters!$F$2:$K$1124,6,FALSE))*C112</f>
        <v>0</v>
      </c>
    </row>
    <row r="113" spans="1:15" x14ac:dyDescent="0.25">
      <c r="A113" s="1">
        <f t="shared" si="6"/>
        <v>0</v>
      </c>
      <c r="B113" s="2">
        <f>IF(C113=0,0,A113&amp;" "&amp;COUNTIF($A$1:$A113,A113))</f>
        <v>0</v>
      </c>
      <c r="C113" s="1">
        <v>0</v>
      </c>
      <c r="D113" s="2">
        <v>0</v>
      </c>
      <c r="E113" s="2">
        <v>0</v>
      </c>
      <c r="F113" s="2">
        <v>0</v>
      </c>
      <c r="G113" s="2">
        <v>0</v>
      </c>
      <c r="H113" s="2">
        <f t="shared" si="8"/>
        <v>0</v>
      </c>
      <c r="I113" s="2">
        <f t="shared" si="8"/>
        <v>0</v>
      </c>
      <c r="J113" s="2">
        <f t="shared" si="8"/>
        <v>0</v>
      </c>
      <c r="K113" s="2">
        <f t="shared" si="8"/>
        <v>0</v>
      </c>
      <c r="L113" s="2">
        <f t="shared" si="8"/>
        <v>0</v>
      </c>
      <c r="M113" s="2">
        <f t="shared" si="8"/>
        <v>0</v>
      </c>
      <c r="N113" s="2">
        <f t="shared" si="8"/>
        <v>0</v>
      </c>
      <c r="O113" s="2">
        <f>(VLOOKUP(E113,Batters!$F$2:$K$1124,6,FALSE))*C113</f>
        <v>0</v>
      </c>
    </row>
    <row r="114" spans="1:15" x14ac:dyDescent="0.25">
      <c r="A114" s="1">
        <f t="shared" si="6"/>
        <v>0</v>
      </c>
      <c r="B114" s="2">
        <f>IF(C114=0,0,A114&amp;" "&amp;COUNTIF($A$1:$A114,A114))</f>
        <v>0</v>
      </c>
      <c r="C114" s="1">
        <v>0</v>
      </c>
      <c r="D114" s="2">
        <v>0</v>
      </c>
      <c r="E114" s="2">
        <v>0</v>
      </c>
      <c r="F114" s="2">
        <v>0</v>
      </c>
      <c r="G114" s="2">
        <v>0</v>
      </c>
      <c r="H114" s="2">
        <f t="shared" si="8"/>
        <v>0</v>
      </c>
      <c r="I114" s="2">
        <f t="shared" si="8"/>
        <v>0</v>
      </c>
      <c r="J114" s="2">
        <f t="shared" si="8"/>
        <v>0</v>
      </c>
      <c r="K114" s="2">
        <f t="shared" si="8"/>
        <v>0</v>
      </c>
      <c r="L114" s="2">
        <f t="shared" si="8"/>
        <v>0</v>
      </c>
      <c r="M114" s="2">
        <f t="shared" si="8"/>
        <v>0</v>
      </c>
      <c r="N114" s="2">
        <f t="shared" si="8"/>
        <v>0</v>
      </c>
      <c r="O114" s="2">
        <f>(VLOOKUP(E114,Batters!$F$2:$K$1124,6,FALSE))*C114</f>
        <v>0</v>
      </c>
    </row>
    <row r="115" spans="1:15" x14ac:dyDescent="0.25">
      <c r="A115" s="1">
        <f t="shared" si="6"/>
        <v>0</v>
      </c>
      <c r="B115" s="2">
        <f>IF(C115=0,0,A115&amp;" "&amp;COUNTIF($A$1:$A115,A115))</f>
        <v>0</v>
      </c>
      <c r="C115" s="1">
        <v>0</v>
      </c>
      <c r="D115" s="2">
        <v>0</v>
      </c>
      <c r="E115" s="2">
        <v>0</v>
      </c>
      <c r="F115" s="2">
        <v>0</v>
      </c>
      <c r="G115" s="2">
        <v>0</v>
      </c>
      <c r="H115" s="2">
        <f t="shared" si="8"/>
        <v>0</v>
      </c>
      <c r="I115" s="2">
        <f t="shared" si="8"/>
        <v>0</v>
      </c>
      <c r="J115" s="2">
        <f t="shared" si="8"/>
        <v>0</v>
      </c>
      <c r="K115" s="2">
        <f t="shared" si="8"/>
        <v>0</v>
      </c>
      <c r="L115" s="2">
        <f t="shared" si="8"/>
        <v>0</v>
      </c>
      <c r="M115" s="2">
        <f t="shared" si="8"/>
        <v>0</v>
      </c>
      <c r="N115" s="2">
        <f t="shared" si="8"/>
        <v>0</v>
      </c>
      <c r="O115" s="2">
        <f>(VLOOKUP(E115,Batters!$F$2:$K$1124,6,FALSE))*C115</f>
        <v>0</v>
      </c>
    </row>
    <row r="116" spans="1:15" x14ac:dyDescent="0.25">
      <c r="A116" s="1">
        <f t="shared" si="6"/>
        <v>0</v>
      </c>
      <c r="B116" s="2">
        <f>IF(C116=0,0,A116&amp;" "&amp;COUNTIF($A$1:$A116,A116))</f>
        <v>0</v>
      </c>
      <c r="C116" s="1">
        <v>0</v>
      </c>
      <c r="D116" s="2">
        <v>0</v>
      </c>
      <c r="E116" s="2">
        <v>0</v>
      </c>
      <c r="F116" s="2">
        <v>0</v>
      </c>
      <c r="G116" s="2">
        <v>0</v>
      </c>
      <c r="H116" s="2">
        <f t="shared" si="8"/>
        <v>0</v>
      </c>
      <c r="I116" s="2">
        <f t="shared" si="8"/>
        <v>0</v>
      </c>
      <c r="J116" s="2">
        <f t="shared" si="8"/>
        <v>0</v>
      </c>
      <c r="K116" s="2">
        <f t="shared" si="8"/>
        <v>0</v>
      </c>
      <c r="L116" s="2">
        <f t="shared" si="8"/>
        <v>0</v>
      </c>
      <c r="M116" s="2">
        <f t="shared" si="8"/>
        <v>0</v>
      </c>
      <c r="N116" s="2">
        <f t="shared" si="8"/>
        <v>0</v>
      </c>
      <c r="O116" s="2">
        <f>(VLOOKUP(E116,Batters!$F$2:$K$1124,6,FALSE))*C116</f>
        <v>0</v>
      </c>
    </row>
    <row r="117" spans="1:15" x14ac:dyDescent="0.25">
      <c r="A117" s="1">
        <f t="shared" si="6"/>
        <v>0</v>
      </c>
      <c r="B117" s="2">
        <f>IF(C117=0,0,A117&amp;" "&amp;COUNTIF($A$1:$A117,A117))</f>
        <v>0</v>
      </c>
      <c r="C117" s="1">
        <v>0</v>
      </c>
      <c r="D117" s="2">
        <v>0</v>
      </c>
      <c r="E117" s="2">
        <v>0</v>
      </c>
      <c r="F117" s="2">
        <v>0</v>
      </c>
      <c r="G117" s="2">
        <v>0</v>
      </c>
      <c r="H117" s="2">
        <f t="shared" si="8"/>
        <v>0</v>
      </c>
      <c r="I117" s="2">
        <f t="shared" si="8"/>
        <v>0</v>
      </c>
      <c r="J117" s="2">
        <f t="shared" si="8"/>
        <v>0</v>
      </c>
      <c r="K117" s="2">
        <f t="shared" si="8"/>
        <v>0</v>
      </c>
      <c r="L117" s="2">
        <f t="shared" si="8"/>
        <v>0</v>
      </c>
      <c r="M117" s="2">
        <f t="shared" si="8"/>
        <v>0</v>
      </c>
      <c r="N117" s="2">
        <f t="shared" si="8"/>
        <v>0</v>
      </c>
      <c r="O117" s="2">
        <f>(VLOOKUP(E117,Batters!$F$2:$K$1124,6,FALSE))*C117</f>
        <v>0</v>
      </c>
    </row>
    <row r="118" spans="1:15" x14ac:dyDescent="0.25">
      <c r="A118" s="1">
        <f t="shared" si="6"/>
        <v>0</v>
      </c>
      <c r="B118" s="2">
        <f>IF(C118=0,0,A118&amp;" "&amp;COUNTIF($A$1:$A118,A118))</f>
        <v>0</v>
      </c>
      <c r="C118" s="1">
        <v>0</v>
      </c>
      <c r="D118" s="2">
        <v>0</v>
      </c>
      <c r="E118" s="2">
        <v>0</v>
      </c>
      <c r="F118" s="2">
        <v>0</v>
      </c>
      <c r="G118" s="2">
        <v>0</v>
      </c>
      <c r="H118" s="2">
        <f t="shared" si="8"/>
        <v>0</v>
      </c>
      <c r="I118" s="2">
        <f t="shared" si="8"/>
        <v>0</v>
      </c>
      <c r="J118" s="2">
        <f t="shared" si="8"/>
        <v>0</v>
      </c>
      <c r="K118" s="2">
        <f t="shared" si="8"/>
        <v>0</v>
      </c>
      <c r="L118" s="2">
        <f t="shared" si="8"/>
        <v>0</v>
      </c>
      <c r="M118" s="2">
        <f t="shared" si="8"/>
        <v>0</v>
      </c>
      <c r="N118" s="2">
        <f t="shared" si="8"/>
        <v>0</v>
      </c>
      <c r="O118" s="2">
        <f>(VLOOKUP(E118,Batters!$F$2:$K$1124,6,FALSE))*C118</f>
        <v>0</v>
      </c>
    </row>
    <row r="119" spans="1:15" x14ac:dyDescent="0.25">
      <c r="A119" s="1">
        <f t="shared" si="6"/>
        <v>0</v>
      </c>
      <c r="B119" s="2">
        <f>IF(C119=0,0,A119&amp;" "&amp;COUNTIF($A$1:$A119,A119))</f>
        <v>0</v>
      </c>
      <c r="C119" s="1">
        <v>0</v>
      </c>
      <c r="D119" s="2">
        <v>0</v>
      </c>
      <c r="E119" s="2">
        <v>0</v>
      </c>
      <c r="F119" s="2">
        <v>0</v>
      </c>
      <c r="G119" s="2">
        <v>0</v>
      </c>
      <c r="H119" s="2">
        <f t="shared" si="8"/>
        <v>0</v>
      </c>
      <c r="I119" s="2">
        <f t="shared" si="8"/>
        <v>0</v>
      </c>
      <c r="J119" s="2">
        <f t="shared" si="8"/>
        <v>0</v>
      </c>
      <c r="K119" s="2">
        <f t="shared" si="8"/>
        <v>0</v>
      </c>
      <c r="L119" s="2">
        <f t="shared" si="8"/>
        <v>0</v>
      </c>
      <c r="M119" s="2">
        <f t="shared" si="8"/>
        <v>0</v>
      </c>
      <c r="N119" s="2">
        <f t="shared" si="8"/>
        <v>0</v>
      </c>
      <c r="O119" s="2">
        <f>(VLOOKUP(E119,Batters!$F$2:$K$1124,6,FALSE))*C119</f>
        <v>0</v>
      </c>
    </row>
    <row r="120" spans="1:15" x14ac:dyDescent="0.25">
      <c r="A120" s="1">
        <f t="shared" si="6"/>
        <v>0</v>
      </c>
      <c r="B120" s="2">
        <f>IF(C120=0,0,A120&amp;" "&amp;COUNTIF($A$1:$A120,A120))</f>
        <v>0</v>
      </c>
      <c r="C120" s="1">
        <v>0</v>
      </c>
      <c r="D120" s="2">
        <v>0</v>
      </c>
      <c r="E120" s="2">
        <v>0</v>
      </c>
      <c r="F120" s="2">
        <v>0</v>
      </c>
      <c r="G120" s="2">
        <v>0</v>
      </c>
      <c r="H120" s="2">
        <f t="shared" si="8"/>
        <v>0</v>
      </c>
      <c r="I120" s="2">
        <f t="shared" si="8"/>
        <v>0</v>
      </c>
      <c r="J120" s="2">
        <f t="shared" si="8"/>
        <v>0</v>
      </c>
      <c r="K120" s="2">
        <f t="shared" si="8"/>
        <v>0</v>
      </c>
      <c r="L120" s="2">
        <f t="shared" si="8"/>
        <v>0</v>
      </c>
      <c r="M120" s="2">
        <f t="shared" si="8"/>
        <v>0</v>
      </c>
      <c r="N120" s="2">
        <f t="shared" si="8"/>
        <v>0</v>
      </c>
      <c r="O120" s="2">
        <f>(VLOOKUP(E120,Batters!$F$2:$K$1124,6,FALSE))*C120</f>
        <v>0</v>
      </c>
    </row>
    <row r="121" spans="1:15" x14ac:dyDescent="0.25">
      <c r="A121" s="1">
        <f t="shared" si="6"/>
        <v>0</v>
      </c>
      <c r="B121" s="2">
        <f>IF(C121=0,0,A121&amp;" "&amp;COUNTIF($A$1:$A121,A121))</f>
        <v>0</v>
      </c>
      <c r="C121" s="1">
        <v>0</v>
      </c>
      <c r="D121" s="2">
        <v>0</v>
      </c>
      <c r="E121" s="2">
        <v>0</v>
      </c>
      <c r="F121" s="2">
        <v>0</v>
      </c>
      <c r="G121" s="2">
        <v>0</v>
      </c>
      <c r="H121" s="2">
        <f t="shared" si="8"/>
        <v>0</v>
      </c>
      <c r="I121" s="2">
        <f t="shared" si="8"/>
        <v>0</v>
      </c>
      <c r="J121" s="2">
        <f t="shared" si="8"/>
        <v>0</v>
      </c>
      <c r="K121" s="2">
        <f t="shared" si="8"/>
        <v>0</v>
      </c>
      <c r="L121" s="2">
        <f t="shared" si="8"/>
        <v>0</v>
      </c>
      <c r="M121" s="2">
        <f t="shared" si="8"/>
        <v>0</v>
      </c>
      <c r="N121" s="2">
        <f t="shared" si="8"/>
        <v>0</v>
      </c>
      <c r="O121" s="2">
        <f>(VLOOKUP(E121,Batters!$F$2:$K$1124,6,FALSE))*C121</f>
        <v>0</v>
      </c>
    </row>
    <row r="122" spans="1:15" x14ac:dyDescent="0.25">
      <c r="A122" s="1">
        <f t="shared" si="6"/>
        <v>0</v>
      </c>
      <c r="B122" s="2">
        <f>IF(C122=0,0,A122&amp;" "&amp;COUNTIF($A$1:$A122,A122))</f>
        <v>0</v>
      </c>
      <c r="C122" s="1">
        <v>0</v>
      </c>
      <c r="D122" s="2">
        <v>0</v>
      </c>
      <c r="E122" s="2">
        <v>0</v>
      </c>
      <c r="F122" s="2">
        <v>0</v>
      </c>
      <c r="G122" s="2">
        <v>0</v>
      </c>
      <c r="H122" s="2">
        <f t="shared" si="8"/>
        <v>0</v>
      </c>
      <c r="I122" s="2">
        <f t="shared" si="8"/>
        <v>0</v>
      </c>
      <c r="J122" s="2">
        <f t="shared" si="8"/>
        <v>0</v>
      </c>
      <c r="K122" s="2">
        <f t="shared" si="8"/>
        <v>0</v>
      </c>
      <c r="L122" s="2">
        <f t="shared" si="8"/>
        <v>0</v>
      </c>
      <c r="M122" s="2">
        <f t="shared" si="8"/>
        <v>0</v>
      </c>
      <c r="N122" s="2">
        <f t="shared" si="8"/>
        <v>0</v>
      </c>
      <c r="O122" s="2">
        <f>(VLOOKUP(E122,Batters!$F$2:$K$1124,6,FALSE))*C122</f>
        <v>0</v>
      </c>
    </row>
    <row r="123" spans="1:15" x14ac:dyDescent="0.25">
      <c r="A123" s="1">
        <f t="shared" si="6"/>
        <v>0</v>
      </c>
      <c r="B123" s="2">
        <f>IF(C123=0,0,A123&amp;" "&amp;COUNTIF($A$1:$A123,A123))</f>
        <v>0</v>
      </c>
      <c r="C123" s="1">
        <v>0</v>
      </c>
      <c r="D123" s="2">
        <v>0</v>
      </c>
      <c r="E123" s="2">
        <v>0</v>
      </c>
      <c r="F123" s="2">
        <v>0</v>
      </c>
      <c r="G123" s="2">
        <v>0</v>
      </c>
      <c r="H123" s="2">
        <f t="shared" si="8"/>
        <v>0</v>
      </c>
      <c r="I123" s="2">
        <f t="shared" si="8"/>
        <v>0</v>
      </c>
      <c r="J123" s="2">
        <f t="shared" si="8"/>
        <v>0</v>
      </c>
      <c r="K123" s="2">
        <f t="shared" si="8"/>
        <v>0</v>
      </c>
      <c r="L123" s="2">
        <f t="shared" si="8"/>
        <v>0</v>
      </c>
      <c r="M123" s="2">
        <f t="shared" si="8"/>
        <v>0</v>
      </c>
      <c r="N123" s="2">
        <f t="shared" si="8"/>
        <v>0</v>
      </c>
      <c r="O123" s="2">
        <f>(VLOOKUP(E123,Batters!$F$2:$K$1124,6,FALSE))*C123</f>
        <v>0</v>
      </c>
    </row>
    <row r="124" spans="1:15" x14ac:dyDescent="0.25">
      <c r="A124" s="1">
        <f t="shared" si="6"/>
        <v>0</v>
      </c>
      <c r="B124" s="2">
        <f>IF(C124=0,0,A124&amp;" "&amp;COUNTIF($A$1:$A124,A124))</f>
        <v>0</v>
      </c>
      <c r="C124" s="1">
        <v>0</v>
      </c>
      <c r="D124" s="2">
        <v>0</v>
      </c>
      <c r="E124" s="2">
        <v>0</v>
      </c>
      <c r="F124" s="2">
        <v>0</v>
      </c>
      <c r="G124" s="2">
        <v>0</v>
      </c>
      <c r="H124" s="2">
        <f t="shared" si="8"/>
        <v>0</v>
      </c>
      <c r="I124" s="2">
        <f t="shared" si="8"/>
        <v>0</v>
      </c>
      <c r="J124" s="2">
        <f t="shared" si="8"/>
        <v>0</v>
      </c>
      <c r="K124" s="2">
        <f t="shared" si="8"/>
        <v>0</v>
      </c>
      <c r="L124" s="2">
        <f t="shared" si="8"/>
        <v>0</v>
      </c>
      <c r="M124" s="2">
        <f t="shared" si="8"/>
        <v>0</v>
      </c>
      <c r="N124" s="2">
        <f t="shared" si="8"/>
        <v>0</v>
      </c>
      <c r="O124" s="2">
        <f>(VLOOKUP(E124,Batters!$F$2:$K$1124,6,FALSE))*C124</f>
        <v>0</v>
      </c>
    </row>
    <row r="125" spans="1:15" x14ac:dyDescent="0.25">
      <c r="A125" s="1">
        <f t="shared" si="6"/>
        <v>0</v>
      </c>
      <c r="B125" s="2">
        <f>IF(C125=0,0,A125&amp;" "&amp;COUNTIF($A$1:$A125,A125))</f>
        <v>0</v>
      </c>
      <c r="C125" s="1">
        <v>0</v>
      </c>
      <c r="D125" s="2">
        <v>0</v>
      </c>
      <c r="E125" s="2">
        <v>0</v>
      </c>
      <c r="F125" s="2">
        <v>0</v>
      </c>
      <c r="G125" s="2">
        <v>0</v>
      </c>
      <c r="H125" s="2">
        <f t="shared" si="8"/>
        <v>0</v>
      </c>
      <c r="I125" s="2">
        <f t="shared" si="8"/>
        <v>0</v>
      </c>
      <c r="J125" s="2">
        <f t="shared" si="8"/>
        <v>0</v>
      </c>
      <c r="K125" s="2">
        <f t="shared" si="8"/>
        <v>0</v>
      </c>
      <c r="L125" s="2">
        <f t="shared" si="8"/>
        <v>0</v>
      </c>
      <c r="M125" s="2">
        <f t="shared" si="8"/>
        <v>0</v>
      </c>
      <c r="N125" s="2">
        <f t="shared" si="8"/>
        <v>0</v>
      </c>
      <c r="O125" s="2">
        <f>(VLOOKUP(E125,Batters!$F$2:$K$1124,6,FALSE))*C125</f>
        <v>0</v>
      </c>
    </row>
    <row r="126" spans="1:15" x14ac:dyDescent="0.25">
      <c r="A126" s="1">
        <f t="shared" si="6"/>
        <v>0</v>
      </c>
      <c r="B126" s="2">
        <f>IF(C126=0,0,A126&amp;" "&amp;COUNTIF($A$1:$A126,A126))</f>
        <v>0</v>
      </c>
      <c r="C126" s="1">
        <v>0</v>
      </c>
      <c r="D126" s="2">
        <v>0</v>
      </c>
      <c r="E126" s="2">
        <v>0</v>
      </c>
      <c r="F126" s="2">
        <v>0</v>
      </c>
      <c r="G126" s="2">
        <v>0</v>
      </c>
      <c r="H126" s="2">
        <f t="shared" si="8"/>
        <v>0</v>
      </c>
      <c r="I126" s="2">
        <f t="shared" si="8"/>
        <v>0</v>
      </c>
      <c r="J126" s="2">
        <f t="shared" si="8"/>
        <v>0</v>
      </c>
      <c r="K126" s="2">
        <f t="shared" si="8"/>
        <v>0</v>
      </c>
      <c r="L126" s="2">
        <f t="shared" si="8"/>
        <v>0</v>
      </c>
      <c r="M126" s="2">
        <f t="shared" si="8"/>
        <v>0</v>
      </c>
      <c r="N126" s="2">
        <f t="shared" si="8"/>
        <v>0</v>
      </c>
      <c r="O126" s="2">
        <f>(VLOOKUP(E126,Batters!$F$2:$K$1124,6,FALSE))*C126</f>
        <v>0</v>
      </c>
    </row>
    <row r="127" spans="1:15" x14ac:dyDescent="0.25">
      <c r="A127" s="1">
        <f t="shared" si="6"/>
        <v>0</v>
      </c>
      <c r="B127" s="2">
        <f>IF(C127=0,0,A127&amp;" "&amp;COUNTIF($A$1:$A127,A127))</f>
        <v>0</v>
      </c>
      <c r="C127" s="1">
        <v>0</v>
      </c>
      <c r="D127" s="2">
        <v>0</v>
      </c>
      <c r="E127" s="2">
        <v>0</v>
      </c>
      <c r="F127" s="2">
        <v>0</v>
      </c>
      <c r="G127" s="2">
        <v>0</v>
      </c>
      <c r="H127" s="2">
        <f t="shared" si="8"/>
        <v>0</v>
      </c>
      <c r="I127" s="2">
        <f t="shared" si="8"/>
        <v>0</v>
      </c>
      <c r="J127" s="2">
        <f t="shared" si="8"/>
        <v>0</v>
      </c>
      <c r="K127" s="2">
        <f t="shared" si="8"/>
        <v>0</v>
      </c>
      <c r="L127" s="2">
        <f t="shared" si="8"/>
        <v>0</v>
      </c>
      <c r="M127" s="2">
        <f t="shared" si="8"/>
        <v>0</v>
      </c>
      <c r="N127" s="2">
        <f t="shared" si="8"/>
        <v>0</v>
      </c>
      <c r="O127" s="2">
        <f>(VLOOKUP(E127,Batters!$F$2:$K$1124,6,FALSE))*C127</f>
        <v>0</v>
      </c>
    </row>
    <row r="128" spans="1:15" x14ac:dyDescent="0.25">
      <c r="A128" s="1">
        <f t="shared" si="6"/>
        <v>0</v>
      </c>
      <c r="B128" s="2">
        <f>IF(C128=0,0,A128&amp;" "&amp;COUNTIF($A$1:$A128,A128))</f>
        <v>0</v>
      </c>
      <c r="C128" s="1">
        <v>0</v>
      </c>
      <c r="D128" s="2">
        <v>0</v>
      </c>
      <c r="E128" s="2">
        <v>0</v>
      </c>
      <c r="F128" s="2">
        <v>0</v>
      </c>
      <c r="G128" s="2">
        <v>0</v>
      </c>
      <c r="H128" s="2">
        <f t="shared" si="8"/>
        <v>0</v>
      </c>
      <c r="I128" s="2">
        <f t="shared" si="8"/>
        <v>0</v>
      </c>
      <c r="J128" s="2">
        <f t="shared" si="8"/>
        <v>0</v>
      </c>
      <c r="K128" s="2">
        <f t="shared" si="8"/>
        <v>0</v>
      </c>
      <c r="L128" s="2">
        <f t="shared" si="8"/>
        <v>0</v>
      </c>
      <c r="M128" s="2">
        <f t="shared" si="8"/>
        <v>0</v>
      </c>
      <c r="N128" s="2">
        <f t="shared" si="8"/>
        <v>0</v>
      </c>
      <c r="O128" s="2">
        <f>(VLOOKUP(E128,Batters!$F$2:$K$1124,6,FALSE))*C128</f>
        <v>0</v>
      </c>
    </row>
    <row r="129" spans="1:15" x14ac:dyDescent="0.25">
      <c r="A129" s="1">
        <f t="shared" si="6"/>
        <v>0</v>
      </c>
      <c r="B129" s="2">
        <f>IF(C129=0,0,A129&amp;" "&amp;COUNTIF($A$1:$A129,A129))</f>
        <v>0</v>
      </c>
      <c r="C129" s="1">
        <v>0</v>
      </c>
      <c r="D129" s="2">
        <v>0</v>
      </c>
      <c r="E129" s="2">
        <v>0</v>
      </c>
      <c r="F129" s="2">
        <v>0</v>
      </c>
      <c r="G129" s="2">
        <v>0</v>
      </c>
      <c r="H129" s="2">
        <f t="shared" si="8"/>
        <v>0</v>
      </c>
      <c r="I129" s="2">
        <f t="shared" si="8"/>
        <v>0</v>
      </c>
      <c r="J129" s="2">
        <f t="shared" si="8"/>
        <v>0</v>
      </c>
      <c r="K129" s="2">
        <f t="shared" si="8"/>
        <v>0</v>
      </c>
      <c r="L129" s="2">
        <f t="shared" si="8"/>
        <v>0</v>
      </c>
      <c r="M129" s="2">
        <f t="shared" si="8"/>
        <v>0</v>
      </c>
      <c r="N129" s="2">
        <f t="shared" si="8"/>
        <v>0</v>
      </c>
      <c r="O129" s="2">
        <f>(VLOOKUP(E129,Batters!$F$2:$K$1124,6,FALSE))*C129</f>
        <v>0</v>
      </c>
    </row>
    <row r="130" spans="1:15" x14ac:dyDescent="0.25">
      <c r="A130" s="1">
        <f t="shared" si="6"/>
        <v>0</v>
      </c>
      <c r="B130" s="2">
        <f>IF(C130=0,0,A130&amp;" "&amp;COUNTIF($A$1:$A130,A130))</f>
        <v>0</v>
      </c>
      <c r="C130" s="1">
        <v>0</v>
      </c>
      <c r="D130" s="2">
        <v>0</v>
      </c>
      <c r="E130" s="2">
        <v>0</v>
      </c>
      <c r="F130" s="2">
        <v>0</v>
      </c>
      <c r="G130" s="2">
        <v>0</v>
      </c>
      <c r="H130" s="2">
        <f t="shared" si="8"/>
        <v>0</v>
      </c>
      <c r="I130" s="2">
        <f t="shared" si="8"/>
        <v>0</v>
      </c>
      <c r="J130" s="2">
        <f t="shared" si="8"/>
        <v>0</v>
      </c>
      <c r="K130" s="2">
        <f t="shared" si="8"/>
        <v>0</v>
      </c>
      <c r="L130" s="2">
        <f t="shared" si="8"/>
        <v>0</v>
      </c>
      <c r="M130" s="2">
        <f t="shared" si="8"/>
        <v>0</v>
      </c>
      <c r="N130" s="2">
        <f t="shared" si="8"/>
        <v>0</v>
      </c>
      <c r="O130" s="2">
        <f>(VLOOKUP(E130,Batters!$F$2:$K$1124,6,FALSE))*C130</f>
        <v>0</v>
      </c>
    </row>
    <row r="131" spans="1:15" x14ac:dyDescent="0.25">
      <c r="A131" s="1">
        <f t="shared" ref="A131:A194" si="9">IF(C131=1,D131,0)</f>
        <v>0</v>
      </c>
      <c r="B131" s="2">
        <f>IF(C131=0,0,A131&amp;" "&amp;COUNTIF($A$1:$A131,A131))</f>
        <v>0</v>
      </c>
      <c r="C131" s="1">
        <v>0</v>
      </c>
      <c r="D131" s="2">
        <v>0</v>
      </c>
      <c r="E131" s="2">
        <v>0</v>
      </c>
      <c r="F131" s="2">
        <v>0</v>
      </c>
      <c r="G131" s="2">
        <v>0</v>
      </c>
      <c r="H131" s="2">
        <f t="shared" si="8"/>
        <v>0</v>
      </c>
      <c r="I131" s="2">
        <f t="shared" si="8"/>
        <v>0</v>
      </c>
      <c r="J131" s="2">
        <f t="shared" si="8"/>
        <v>0</v>
      </c>
      <c r="K131" s="2">
        <f t="shared" si="8"/>
        <v>0</v>
      </c>
      <c r="L131" s="2">
        <f t="shared" si="8"/>
        <v>0</v>
      </c>
      <c r="M131" s="2">
        <f t="shared" si="8"/>
        <v>0</v>
      </c>
      <c r="N131" s="2">
        <f t="shared" si="8"/>
        <v>0</v>
      </c>
      <c r="O131" s="2">
        <f>(VLOOKUP(E131,Batters!$F$2:$K$1124,6,FALSE))*C131</f>
        <v>0</v>
      </c>
    </row>
    <row r="132" spans="1:15" x14ac:dyDescent="0.25">
      <c r="A132" s="1">
        <f t="shared" si="9"/>
        <v>0</v>
      </c>
      <c r="B132" s="2">
        <f>IF(C132=0,0,A132&amp;" "&amp;COUNTIF($A$1:$A132,A132))</f>
        <v>0</v>
      </c>
      <c r="C132" s="1">
        <v>0</v>
      </c>
      <c r="D132" s="2">
        <v>0</v>
      </c>
      <c r="E132" s="2">
        <v>0</v>
      </c>
      <c r="F132" s="2">
        <v>0</v>
      </c>
      <c r="G132" s="2">
        <v>0</v>
      </c>
      <c r="H132" s="2">
        <f t="shared" si="8"/>
        <v>0</v>
      </c>
      <c r="I132" s="2">
        <f t="shared" si="8"/>
        <v>0</v>
      </c>
      <c r="J132" s="2">
        <f t="shared" si="8"/>
        <v>0</v>
      </c>
      <c r="K132" s="2">
        <f t="shared" si="8"/>
        <v>0</v>
      </c>
      <c r="L132" s="2">
        <f t="shared" si="8"/>
        <v>0</v>
      </c>
      <c r="M132" s="2">
        <f t="shared" si="8"/>
        <v>0</v>
      </c>
      <c r="N132" s="2">
        <f t="shared" si="8"/>
        <v>0</v>
      </c>
      <c r="O132" s="2">
        <f>(VLOOKUP(E132,Batters!$F$2:$K$1124,6,FALSE))*C132</f>
        <v>0</v>
      </c>
    </row>
    <row r="133" spans="1:15" x14ac:dyDescent="0.25">
      <c r="A133" s="1">
        <f t="shared" si="9"/>
        <v>0</v>
      </c>
      <c r="B133" s="2">
        <f>IF(C133=0,0,A133&amp;" "&amp;COUNTIF($A$1:$A133,A133))</f>
        <v>0</v>
      </c>
      <c r="C133" s="1">
        <v>0</v>
      </c>
      <c r="D133" s="2">
        <v>0</v>
      </c>
      <c r="E133" s="2">
        <v>0</v>
      </c>
      <c r="F133" s="2">
        <v>0</v>
      </c>
      <c r="G133" s="2">
        <v>0</v>
      </c>
      <c r="H133" s="2">
        <f t="shared" si="8"/>
        <v>0</v>
      </c>
      <c r="I133" s="2">
        <f t="shared" si="8"/>
        <v>0</v>
      </c>
      <c r="J133" s="2">
        <f t="shared" si="8"/>
        <v>0</v>
      </c>
      <c r="K133" s="2">
        <f t="shared" si="8"/>
        <v>0</v>
      </c>
      <c r="L133" s="2">
        <f t="shared" si="8"/>
        <v>0</v>
      </c>
      <c r="M133" s="2">
        <f t="shared" si="8"/>
        <v>0</v>
      </c>
      <c r="N133" s="2">
        <f t="shared" si="8"/>
        <v>0</v>
      </c>
      <c r="O133" s="2">
        <f>(VLOOKUP(E133,Batters!$F$2:$K$1124,6,FALSE))*C133</f>
        <v>0</v>
      </c>
    </row>
    <row r="134" spans="1:15" x14ac:dyDescent="0.25">
      <c r="A134" s="1">
        <f t="shared" si="9"/>
        <v>0</v>
      </c>
      <c r="B134" s="2">
        <f>IF(C134=0,0,A134&amp;" "&amp;COUNTIF($A$1:$A134,A134))</f>
        <v>0</v>
      </c>
      <c r="C134" s="1">
        <v>0</v>
      </c>
      <c r="D134" s="2">
        <v>0</v>
      </c>
      <c r="E134" s="2">
        <v>0</v>
      </c>
      <c r="F134" s="2">
        <v>0</v>
      </c>
      <c r="G134" s="2">
        <v>0</v>
      </c>
      <c r="H134" s="2">
        <f t="shared" si="8"/>
        <v>0</v>
      </c>
      <c r="I134" s="2">
        <f t="shared" si="8"/>
        <v>0</v>
      </c>
      <c r="J134" s="2">
        <f t="shared" si="8"/>
        <v>0</v>
      </c>
      <c r="K134" s="2">
        <f t="shared" si="8"/>
        <v>0</v>
      </c>
      <c r="L134" s="2">
        <f t="shared" si="8"/>
        <v>0</v>
      </c>
      <c r="M134" s="2">
        <f t="shared" si="8"/>
        <v>0</v>
      </c>
      <c r="N134" s="2">
        <f t="shared" si="8"/>
        <v>0</v>
      </c>
      <c r="O134" s="2">
        <f>(VLOOKUP(E134,Batters!$F$2:$K$1124,6,FALSE))*C134</f>
        <v>0</v>
      </c>
    </row>
    <row r="135" spans="1:15" x14ac:dyDescent="0.25">
      <c r="A135" s="1">
        <f t="shared" si="9"/>
        <v>0</v>
      </c>
      <c r="B135" s="2">
        <f>IF(C135=0,0,A135&amp;" "&amp;COUNTIF($A$1:$A135,A135))</f>
        <v>0</v>
      </c>
      <c r="C135" s="1">
        <v>0</v>
      </c>
      <c r="D135" s="2">
        <v>0</v>
      </c>
      <c r="E135" s="2">
        <v>0</v>
      </c>
      <c r="F135" s="2">
        <v>0</v>
      </c>
      <c r="G135" s="2">
        <v>0</v>
      </c>
      <c r="H135" s="2">
        <f t="shared" si="8"/>
        <v>0</v>
      </c>
      <c r="I135" s="2">
        <f t="shared" si="8"/>
        <v>0</v>
      </c>
      <c r="J135" s="2">
        <f t="shared" si="8"/>
        <v>0</v>
      </c>
      <c r="K135" s="2">
        <f t="shared" si="8"/>
        <v>0</v>
      </c>
      <c r="L135" s="2">
        <f t="shared" si="8"/>
        <v>0</v>
      </c>
      <c r="M135" s="2">
        <f t="shared" si="8"/>
        <v>0</v>
      </c>
      <c r="N135" s="2">
        <f t="shared" si="8"/>
        <v>0</v>
      </c>
      <c r="O135" s="2">
        <f>(VLOOKUP(E135,Batters!$F$2:$K$1124,6,FALSE))*C135</f>
        <v>0</v>
      </c>
    </row>
    <row r="136" spans="1:15" x14ac:dyDescent="0.25">
      <c r="A136" s="1">
        <f t="shared" si="9"/>
        <v>0</v>
      </c>
      <c r="B136" s="2">
        <f>IF(C136=0,0,A136&amp;" "&amp;COUNTIF($A$1:$A136,A136))</f>
        <v>0</v>
      </c>
      <c r="C136" s="1">
        <v>0</v>
      </c>
      <c r="D136" s="2">
        <v>0</v>
      </c>
      <c r="E136" s="2">
        <v>0</v>
      </c>
      <c r="F136" s="2">
        <v>0</v>
      </c>
      <c r="G136" s="2">
        <v>0</v>
      </c>
      <c r="H136" s="2">
        <f t="shared" si="8"/>
        <v>0</v>
      </c>
      <c r="I136" s="2">
        <f t="shared" si="8"/>
        <v>0</v>
      </c>
      <c r="J136" s="2">
        <f t="shared" si="8"/>
        <v>0</v>
      </c>
      <c r="K136" s="2">
        <f t="shared" si="8"/>
        <v>0</v>
      </c>
      <c r="L136" s="2">
        <f t="shared" si="8"/>
        <v>0</v>
      </c>
      <c r="M136" s="2">
        <f t="shared" si="8"/>
        <v>0</v>
      </c>
      <c r="N136" s="2">
        <f t="shared" si="8"/>
        <v>0</v>
      </c>
      <c r="O136" s="2">
        <f>(VLOOKUP(E136,Batters!$F$2:$K$1124,6,FALSE))*C136</f>
        <v>0</v>
      </c>
    </row>
    <row r="137" spans="1:15" x14ac:dyDescent="0.25">
      <c r="A137" s="1">
        <f t="shared" si="9"/>
        <v>0</v>
      </c>
      <c r="B137" s="2">
        <f>IF(C137=0,0,A137&amp;" "&amp;COUNTIF($A$1:$A137,A137))</f>
        <v>0</v>
      </c>
      <c r="C137" s="1">
        <v>0</v>
      </c>
      <c r="D137" s="2">
        <v>0</v>
      </c>
      <c r="E137" s="2">
        <v>0</v>
      </c>
      <c r="F137" s="2">
        <v>0</v>
      </c>
      <c r="G137" s="2">
        <v>0</v>
      </c>
      <c r="H137" s="2">
        <f t="shared" si="8"/>
        <v>0</v>
      </c>
      <c r="I137" s="2">
        <f t="shared" si="8"/>
        <v>0</v>
      </c>
      <c r="J137" s="2">
        <f t="shared" si="8"/>
        <v>0</v>
      </c>
      <c r="K137" s="2">
        <f t="shared" si="8"/>
        <v>0</v>
      </c>
      <c r="L137" s="2">
        <f t="shared" si="8"/>
        <v>0</v>
      </c>
      <c r="M137" s="2">
        <f t="shared" si="8"/>
        <v>0</v>
      </c>
      <c r="N137" s="2">
        <f t="shared" si="8"/>
        <v>0</v>
      </c>
      <c r="O137" s="2">
        <f>(VLOOKUP(E137,Batters!$F$2:$K$1124,6,FALSE))*C137</f>
        <v>0</v>
      </c>
    </row>
    <row r="138" spans="1:15" x14ac:dyDescent="0.25">
      <c r="A138" s="1">
        <f t="shared" si="9"/>
        <v>0</v>
      </c>
      <c r="B138" s="2">
        <f>IF(C138=0,0,A138&amp;" "&amp;COUNTIF($A$1:$A138,A138))</f>
        <v>0</v>
      </c>
      <c r="C138" s="1">
        <v>0</v>
      </c>
      <c r="D138" s="2">
        <v>0</v>
      </c>
      <c r="E138" s="2">
        <v>0</v>
      </c>
      <c r="F138" s="2">
        <v>0</v>
      </c>
      <c r="G138" s="2">
        <v>0</v>
      </c>
      <c r="H138" s="2">
        <f t="shared" si="8"/>
        <v>0</v>
      </c>
      <c r="I138" s="2">
        <f t="shared" si="8"/>
        <v>0</v>
      </c>
      <c r="J138" s="2">
        <f t="shared" si="8"/>
        <v>0</v>
      </c>
      <c r="K138" s="2">
        <f t="shared" si="8"/>
        <v>0</v>
      </c>
      <c r="L138" s="2">
        <f t="shared" si="8"/>
        <v>0</v>
      </c>
      <c r="M138" s="2">
        <f t="shared" si="8"/>
        <v>0</v>
      </c>
      <c r="N138" s="2">
        <f t="shared" si="8"/>
        <v>0</v>
      </c>
      <c r="O138" s="2">
        <f>(VLOOKUP(E138,Batters!$F$2:$K$1124,6,FALSE))*C138</f>
        <v>0</v>
      </c>
    </row>
    <row r="139" spans="1:15" x14ac:dyDescent="0.25">
      <c r="A139" s="1">
        <f t="shared" si="9"/>
        <v>0</v>
      </c>
      <c r="B139" s="2">
        <f>IF(C139=0,0,A139&amp;" "&amp;COUNTIF($A$1:$A139,A139))</f>
        <v>0</v>
      </c>
      <c r="C139" s="1">
        <v>0</v>
      </c>
      <c r="D139" s="2">
        <v>0</v>
      </c>
      <c r="E139" s="2">
        <v>0</v>
      </c>
      <c r="F139" s="2">
        <v>0</v>
      </c>
      <c r="G139" s="2">
        <v>0</v>
      </c>
      <c r="H139" s="2">
        <f t="shared" si="8"/>
        <v>0</v>
      </c>
      <c r="I139" s="2">
        <f t="shared" si="8"/>
        <v>0</v>
      </c>
      <c r="J139" s="2">
        <f t="shared" si="8"/>
        <v>0</v>
      </c>
      <c r="K139" s="2">
        <f t="shared" si="8"/>
        <v>0</v>
      </c>
      <c r="L139" s="2">
        <f t="shared" si="8"/>
        <v>0</v>
      </c>
      <c r="M139" s="2">
        <f t="shared" si="8"/>
        <v>0</v>
      </c>
      <c r="N139" s="2">
        <f t="shared" si="8"/>
        <v>0</v>
      </c>
      <c r="O139" s="2">
        <f>(VLOOKUP(E139,Batters!$F$2:$K$1124,6,FALSE))*C139</f>
        <v>0</v>
      </c>
    </row>
    <row r="140" spans="1:15" x14ac:dyDescent="0.25">
      <c r="A140" s="1">
        <f t="shared" si="9"/>
        <v>0</v>
      </c>
      <c r="B140" s="2">
        <f>IF(C140=0,0,A140&amp;" "&amp;COUNTIF($A$1:$A140,A140))</f>
        <v>0</v>
      </c>
      <c r="C140" s="1">
        <v>0</v>
      </c>
      <c r="D140" s="2">
        <v>0</v>
      </c>
      <c r="E140" s="2">
        <v>0</v>
      </c>
      <c r="F140" s="2">
        <v>0</v>
      </c>
      <c r="G140" s="2">
        <v>0</v>
      </c>
      <c r="H140" s="2">
        <f t="shared" si="8"/>
        <v>0</v>
      </c>
      <c r="I140" s="2">
        <f t="shared" si="8"/>
        <v>0</v>
      </c>
      <c r="J140" s="2">
        <f t="shared" si="8"/>
        <v>0</v>
      </c>
      <c r="K140" s="2">
        <f t="shared" si="8"/>
        <v>0</v>
      </c>
      <c r="L140" s="2">
        <f t="shared" si="8"/>
        <v>0</v>
      </c>
      <c r="M140" s="2">
        <f t="shared" si="8"/>
        <v>0</v>
      </c>
      <c r="N140" s="2">
        <f t="shared" si="8"/>
        <v>0</v>
      </c>
      <c r="O140" s="2">
        <f>(VLOOKUP(E140,Batters!$F$2:$K$1124,6,FALSE))*C140</f>
        <v>0</v>
      </c>
    </row>
    <row r="141" spans="1:15" x14ac:dyDescent="0.25">
      <c r="A141" s="1">
        <f t="shared" si="9"/>
        <v>0</v>
      </c>
      <c r="B141" s="2">
        <f>IF(C141=0,0,A141&amp;" "&amp;COUNTIF($A$1:$A141,A141))</f>
        <v>0</v>
      </c>
      <c r="C141" s="1">
        <v>0</v>
      </c>
      <c r="D141" s="2">
        <v>0</v>
      </c>
      <c r="E141" s="2">
        <v>0</v>
      </c>
      <c r="F141" s="2">
        <v>0</v>
      </c>
      <c r="G141" s="2">
        <v>0</v>
      </c>
      <c r="H141" s="2">
        <f t="shared" si="8"/>
        <v>0</v>
      </c>
      <c r="I141" s="2">
        <f t="shared" si="8"/>
        <v>0</v>
      </c>
      <c r="J141" s="2">
        <f t="shared" si="8"/>
        <v>0</v>
      </c>
      <c r="K141" s="2">
        <f t="shared" si="8"/>
        <v>0</v>
      </c>
      <c r="L141" s="2">
        <f t="shared" si="8"/>
        <v>0</v>
      </c>
      <c r="M141" s="2">
        <f t="shared" si="8"/>
        <v>0</v>
      </c>
      <c r="N141" s="2">
        <f t="shared" si="8"/>
        <v>0</v>
      </c>
      <c r="O141" s="2">
        <f>(VLOOKUP(E141,Batters!$F$2:$K$1124,6,FALSE))*C141</f>
        <v>0</v>
      </c>
    </row>
    <row r="142" spans="1:15" x14ac:dyDescent="0.25">
      <c r="A142" s="1">
        <f t="shared" si="9"/>
        <v>0</v>
      </c>
      <c r="B142" s="2">
        <f>IF(C142=0,0,A142&amp;" "&amp;COUNTIF($A$1:$A142,A142))</f>
        <v>0</v>
      </c>
      <c r="C142" s="1">
        <v>0</v>
      </c>
      <c r="D142" s="2">
        <v>0</v>
      </c>
      <c r="E142" s="2">
        <v>0</v>
      </c>
      <c r="F142" s="2">
        <v>0</v>
      </c>
      <c r="G142" s="2">
        <v>0</v>
      </c>
      <c r="H142" s="2">
        <f t="shared" si="8"/>
        <v>0</v>
      </c>
      <c r="I142" s="2">
        <f t="shared" si="8"/>
        <v>0</v>
      </c>
      <c r="J142" s="2">
        <f t="shared" si="8"/>
        <v>0</v>
      </c>
      <c r="K142" s="2">
        <f t="shared" si="8"/>
        <v>0</v>
      </c>
      <c r="L142" s="2">
        <f t="shared" si="8"/>
        <v>0</v>
      </c>
      <c r="M142" s="2">
        <f t="shared" si="8"/>
        <v>0</v>
      </c>
      <c r="N142" s="2">
        <f t="shared" si="8"/>
        <v>0</v>
      </c>
      <c r="O142" s="2">
        <f>(VLOOKUP(E142,Batters!$F$2:$K$1124,6,FALSE))*C142</f>
        <v>0</v>
      </c>
    </row>
    <row r="143" spans="1:15" x14ac:dyDescent="0.25">
      <c r="A143" s="1">
        <f t="shared" si="9"/>
        <v>0</v>
      </c>
      <c r="B143" s="2">
        <f>IF(C143=0,0,A143&amp;" "&amp;COUNTIF($A$1:$A143,A143))</f>
        <v>0</v>
      </c>
      <c r="C143" s="1">
        <v>0</v>
      </c>
      <c r="D143" s="2">
        <v>0</v>
      </c>
      <c r="E143" s="2">
        <v>0</v>
      </c>
      <c r="F143" s="2">
        <v>0</v>
      </c>
      <c r="G143" s="2">
        <v>0</v>
      </c>
      <c r="H143" s="2">
        <f t="shared" si="8"/>
        <v>0</v>
      </c>
      <c r="I143" s="2">
        <f t="shared" si="8"/>
        <v>0</v>
      </c>
      <c r="J143" s="2">
        <f t="shared" si="8"/>
        <v>0</v>
      </c>
      <c r="K143" s="2">
        <f t="shared" si="8"/>
        <v>0</v>
      </c>
      <c r="L143" s="2">
        <f t="shared" si="8"/>
        <v>0</v>
      </c>
      <c r="M143" s="2">
        <f t="shared" si="8"/>
        <v>0</v>
      </c>
      <c r="N143" s="2">
        <f t="shared" si="8"/>
        <v>0</v>
      </c>
      <c r="O143" s="2">
        <f>(VLOOKUP(E143,Batters!$F$2:$K$1124,6,FALSE))*C143</f>
        <v>0</v>
      </c>
    </row>
    <row r="144" spans="1:15" x14ac:dyDescent="0.25">
      <c r="A144" s="1">
        <f t="shared" si="9"/>
        <v>0</v>
      </c>
      <c r="B144" s="2">
        <f>IF(C144=0,0,A144&amp;" "&amp;COUNTIF($A$1:$A144,A144))</f>
        <v>0</v>
      </c>
      <c r="C144" s="1">
        <v>0</v>
      </c>
      <c r="D144" s="2">
        <v>0</v>
      </c>
      <c r="E144" s="2">
        <v>0</v>
      </c>
      <c r="F144" s="2">
        <v>0</v>
      </c>
      <c r="G144" s="2">
        <v>0</v>
      </c>
      <c r="H144" s="2">
        <f t="shared" si="8"/>
        <v>0</v>
      </c>
      <c r="I144" s="2">
        <f t="shared" si="8"/>
        <v>0</v>
      </c>
      <c r="J144" s="2">
        <f t="shared" si="8"/>
        <v>0</v>
      </c>
      <c r="K144" s="2">
        <f t="shared" si="8"/>
        <v>0</v>
      </c>
      <c r="L144" s="2">
        <f t="shared" si="8"/>
        <v>0</v>
      </c>
      <c r="M144" s="2">
        <f t="shared" si="8"/>
        <v>0</v>
      </c>
      <c r="N144" s="2">
        <f t="shared" si="8"/>
        <v>0</v>
      </c>
      <c r="O144" s="2">
        <f>(VLOOKUP(E144,Batters!$F$2:$K$1124,6,FALSE))*C144</f>
        <v>0</v>
      </c>
    </row>
    <row r="145" spans="1:15" x14ac:dyDescent="0.25">
      <c r="A145" s="1">
        <f t="shared" si="9"/>
        <v>0</v>
      </c>
      <c r="B145" s="2">
        <f>IF(C145=0,0,A145&amp;" "&amp;COUNTIF($A$1:$A145,A145))</f>
        <v>0</v>
      </c>
      <c r="C145" s="1">
        <v>0</v>
      </c>
      <c r="D145" s="2">
        <v>0</v>
      </c>
      <c r="E145" s="2">
        <v>0</v>
      </c>
      <c r="F145" s="2">
        <v>0</v>
      </c>
      <c r="G145" s="2">
        <v>0</v>
      </c>
      <c r="H145" s="2">
        <f t="shared" si="8"/>
        <v>0</v>
      </c>
      <c r="I145" s="2">
        <f t="shared" si="8"/>
        <v>0</v>
      </c>
      <c r="J145" s="2">
        <f t="shared" si="8"/>
        <v>0</v>
      </c>
      <c r="K145" s="2">
        <f t="shared" si="8"/>
        <v>0</v>
      </c>
      <c r="L145" s="2">
        <f t="shared" si="8"/>
        <v>0</v>
      </c>
      <c r="M145" s="2">
        <f t="shared" si="8"/>
        <v>0</v>
      </c>
      <c r="N145" s="2">
        <f t="shared" si="8"/>
        <v>0</v>
      </c>
      <c r="O145" s="2">
        <f>(VLOOKUP(E145,Batters!$F$2:$K$1124,6,FALSE))*C145</f>
        <v>0</v>
      </c>
    </row>
    <row r="146" spans="1:15" x14ac:dyDescent="0.25">
      <c r="A146" s="1">
        <f t="shared" si="9"/>
        <v>0</v>
      </c>
      <c r="B146" s="2">
        <f>IF(C146=0,0,A146&amp;" "&amp;COUNTIF($A$1:$A146,A146))</f>
        <v>0</v>
      </c>
      <c r="C146" s="1">
        <v>0</v>
      </c>
      <c r="D146" s="2">
        <v>0</v>
      </c>
      <c r="E146" s="2">
        <v>0</v>
      </c>
      <c r="F146" s="2">
        <v>0</v>
      </c>
      <c r="G146" s="2">
        <v>0</v>
      </c>
      <c r="H146" s="2">
        <f t="shared" si="8"/>
        <v>0</v>
      </c>
      <c r="I146" s="2">
        <f t="shared" si="8"/>
        <v>0</v>
      </c>
      <c r="J146" s="2">
        <f t="shared" si="8"/>
        <v>0</v>
      </c>
      <c r="K146" s="2">
        <f t="shared" si="8"/>
        <v>0</v>
      </c>
      <c r="L146" s="2">
        <f t="shared" si="8"/>
        <v>0</v>
      </c>
      <c r="M146" s="2">
        <f t="shared" si="8"/>
        <v>0</v>
      </c>
      <c r="N146" s="2">
        <f t="shared" si="8"/>
        <v>0</v>
      </c>
      <c r="O146" s="2">
        <f>(VLOOKUP(E146,Batters!$F$2:$K$1124,6,FALSE))*C146</f>
        <v>0</v>
      </c>
    </row>
    <row r="147" spans="1:15" x14ac:dyDescent="0.25">
      <c r="A147" s="1">
        <f t="shared" si="9"/>
        <v>0</v>
      </c>
      <c r="B147" s="2">
        <f>IF(C147=0,0,A147&amp;" "&amp;COUNTIF($A$1:$A147,A147))</f>
        <v>0</v>
      </c>
      <c r="C147" s="1">
        <v>0</v>
      </c>
      <c r="D147" s="2">
        <v>0</v>
      </c>
      <c r="E147" s="2">
        <v>0</v>
      </c>
      <c r="F147" s="2">
        <v>0</v>
      </c>
      <c r="G147" s="2">
        <v>0</v>
      </c>
      <c r="H147" s="2">
        <f t="shared" si="8"/>
        <v>0</v>
      </c>
      <c r="I147" s="2">
        <f t="shared" si="8"/>
        <v>0</v>
      </c>
      <c r="J147" s="2">
        <f t="shared" si="8"/>
        <v>0</v>
      </c>
      <c r="K147" s="2">
        <f t="shared" ref="H147:N183" si="10">IF($D147=K$1,$C147*1,0)</f>
        <v>0</v>
      </c>
      <c r="L147" s="2">
        <f t="shared" si="10"/>
        <v>0</v>
      </c>
      <c r="M147" s="2">
        <f t="shared" si="10"/>
        <v>0</v>
      </c>
      <c r="N147" s="2">
        <f t="shared" si="10"/>
        <v>0</v>
      </c>
      <c r="O147" s="2">
        <f>(VLOOKUP(E147,Batters!$F$2:$K$1124,6,FALSE))*C147</f>
        <v>0</v>
      </c>
    </row>
    <row r="148" spans="1:15" x14ac:dyDescent="0.25">
      <c r="A148" s="1">
        <f t="shared" si="9"/>
        <v>0</v>
      </c>
      <c r="B148" s="2">
        <f>IF(C148=0,0,A148&amp;" "&amp;COUNTIF($A$1:$A148,A148))</f>
        <v>0</v>
      </c>
      <c r="C148" s="1">
        <v>0</v>
      </c>
      <c r="D148" s="2">
        <v>0</v>
      </c>
      <c r="E148" s="2">
        <v>0</v>
      </c>
      <c r="F148" s="2">
        <v>0</v>
      </c>
      <c r="G148" s="2">
        <v>0</v>
      </c>
      <c r="H148" s="2">
        <f t="shared" si="10"/>
        <v>0</v>
      </c>
      <c r="I148" s="2">
        <f t="shared" si="10"/>
        <v>0</v>
      </c>
      <c r="J148" s="2">
        <f t="shared" si="10"/>
        <v>0</v>
      </c>
      <c r="K148" s="2">
        <f t="shared" si="10"/>
        <v>0</v>
      </c>
      <c r="L148" s="2">
        <f t="shared" si="10"/>
        <v>0</v>
      </c>
      <c r="M148" s="2">
        <f t="shared" si="10"/>
        <v>0</v>
      </c>
      <c r="N148" s="2">
        <f t="shared" si="10"/>
        <v>0</v>
      </c>
      <c r="O148" s="2">
        <f>(VLOOKUP(E148,Batters!$F$2:$K$1124,6,FALSE))*C148</f>
        <v>0</v>
      </c>
    </row>
    <row r="149" spans="1:15" x14ac:dyDescent="0.25">
      <c r="A149" s="1">
        <f t="shared" si="9"/>
        <v>0</v>
      </c>
      <c r="B149" s="2">
        <f>IF(C149=0,0,A149&amp;" "&amp;COUNTIF($A$1:$A149,A149))</f>
        <v>0</v>
      </c>
      <c r="C149" s="1">
        <v>0</v>
      </c>
      <c r="D149" s="2">
        <v>0</v>
      </c>
      <c r="E149" s="2">
        <v>0</v>
      </c>
      <c r="F149" s="2">
        <v>0</v>
      </c>
      <c r="G149" s="2">
        <v>0</v>
      </c>
      <c r="H149" s="2">
        <f t="shared" si="10"/>
        <v>0</v>
      </c>
      <c r="I149" s="2">
        <f t="shared" si="10"/>
        <v>0</v>
      </c>
      <c r="J149" s="2">
        <f t="shared" si="10"/>
        <v>0</v>
      </c>
      <c r="K149" s="2">
        <f t="shared" si="10"/>
        <v>0</v>
      </c>
      <c r="L149" s="2">
        <f t="shared" si="10"/>
        <v>0</v>
      </c>
      <c r="M149" s="2">
        <f t="shared" si="10"/>
        <v>0</v>
      </c>
      <c r="N149" s="2">
        <f t="shared" si="10"/>
        <v>0</v>
      </c>
      <c r="O149" s="2">
        <f>(VLOOKUP(E149,Batters!$F$2:$K$1124,6,FALSE))*C149</f>
        <v>0</v>
      </c>
    </row>
    <row r="150" spans="1:15" x14ac:dyDescent="0.25">
      <c r="A150" s="1">
        <f t="shared" si="9"/>
        <v>0</v>
      </c>
      <c r="B150" s="2">
        <f>IF(C150=0,0,A150&amp;" "&amp;COUNTIF($A$1:$A150,A150))</f>
        <v>0</v>
      </c>
      <c r="C150" s="1">
        <v>0</v>
      </c>
      <c r="D150" s="2">
        <v>0</v>
      </c>
      <c r="E150" s="2">
        <v>0</v>
      </c>
      <c r="F150" s="2">
        <v>0</v>
      </c>
      <c r="G150" s="2">
        <v>0</v>
      </c>
      <c r="H150" s="2">
        <f t="shared" si="10"/>
        <v>0</v>
      </c>
      <c r="I150" s="2">
        <f t="shared" si="10"/>
        <v>0</v>
      </c>
      <c r="J150" s="2">
        <f t="shared" si="10"/>
        <v>0</v>
      </c>
      <c r="K150" s="2">
        <f t="shared" si="10"/>
        <v>0</v>
      </c>
      <c r="L150" s="2">
        <f t="shared" si="10"/>
        <v>0</v>
      </c>
      <c r="M150" s="2">
        <f t="shared" si="10"/>
        <v>0</v>
      </c>
      <c r="N150" s="2">
        <f t="shared" si="10"/>
        <v>0</v>
      </c>
      <c r="O150" s="2">
        <f>(VLOOKUP(E150,Batters!$F$2:$K$1124,6,FALSE))*C150</f>
        <v>0</v>
      </c>
    </row>
    <row r="151" spans="1:15" x14ac:dyDescent="0.25">
      <c r="A151" s="1">
        <f t="shared" si="9"/>
        <v>0</v>
      </c>
      <c r="B151" s="2">
        <f>IF(C151=0,0,A151&amp;" "&amp;COUNTIF($A$1:$A151,A151))</f>
        <v>0</v>
      </c>
      <c r="C151" s="1">
        <v>0</v>
      </c>
      <c r="D151" s="2">
        <v>0</v>
      </c>
      <c r="E151" s="2">
        <v>0</v>
      </c>
      <c r="F151" s="2">
        <v>0</v>
      </c>
      <c r="G151" s="2">
        <v>0</v>
      </c>
      <c r="H151" s="2">
        <f t="shared" si="10"/>
        <v>0</v>
      </c>
      <c r="I151" s="2">
        <f t="shared" si="10"/>
        <v>0</v>
      </c>
      <c r="J151" s="2">
        <f t="shared" si="10"/>
        <v>0</v>
      </c>
      <c r="K151" s="2">
        <f t="shared" si="10"/>
        <v>0</v>
      </c>
      <c r="L151" s="2">
        <f t="shared" si="10"/>
        <v>0</v>
      </c>
      <c r="M151" s="2">
        <f t="shared" si="10"/>
        <v>0</v>
      </c>
      <c r="N151" s="2">
        <f t="shared" si="10"/>
        <v>0</v>
      </c>
      <c r="O151" s="2">
        <f>(VLOOKUP(E151,Batters!$F$2:$K$1124,6,FALSE))*C151</f>
        <v>0</v>
      </c>
    </row>
    <row r="152" spans="1:15" x14ac:dyDescent="0.25">
      <c r="A152" s="1">
        <f t="shared" si="9"/>
        <v>0</v>
      </c>
      <c r="B152" s="2">
        <f>IF(C152=0,0,A152&amp;" "&amp;COUNTIF($A$1:$A152,A152))</f>
        <v>0</v>
      </c>
      <c r="C152" s="1">
        <v>0</v>
      </c>
      <c r="D152" s="2">
        <v>0</v>
      </c>
      <c r="E152" s="2">
        <v>0</v>
      </c>
      <c r="F152" s="2">
        <v>0</v>
      </c>
      <c r="G152" s="2">
        <v>0</v>
      </c>
      <c r="H152" s="2">
        <f t="shared" si="10"/>
        <v>0</v>
      </c>
      <c r="I152" s="2">
        <f t="shared" si="10"/>
        <v>0</v>
      </c>
      <c r="J152" s="2">
        <f t="shared" si="10"/>
        <v>0</v>
      </c>
      <c r="K152" s="2">
        <f t="shared" si="10"/>
        <v>0</v>
      </c>
      <c r="L152" s="2">
        <f t="shared" si="10"/>
        <v>0</v>
      </c>
      <c r="M152" s="2">
        <f t="shared" si="10"/>
        <v>0</v>
      </c>
      <c r="N152" s="2">
        <f t="shared" si="10"/>
        <v>0</v>
      </c>
      <c r="O152" s="2">
        <f>(VLOOKUP(E152,Batters!$F$2:$K$1124,6,FALSE))*C152</f>
        <v>0</v>
      </c>
    </row>
    <row r="153" spans="1:15" x14ac:dyDescent="0.25">
      <c r="A153" s="1">
        <f t="shared" si="9"/>
        <v>0</v>
      </c>
      <c r="B153" s="2">
        <f>IF(C153=0,0,A153&amp;" "&amp;COUNTIF($A$1:$A153,A153))</f>
        <v>0</v>
      </c>
      <c r="C153" s="1">
        <v>0</v>
      </c>
      <c r="D153" s="2">
        <v>0</v>
      </c>
      <c r="E153" s="2">
        <v>0</v>
      </c>
      <c r="F153" s="2">
        <v>0</v>
      </c>
      <c r="G153" s="2">
        <v>0</v>
      </c>
      <c r="H153" s="2">
        <f t="shared" si="10"/>
        <v>0</v>
      </c>
      <c r="I153" s="2">
        <f t="shared" si="10"/>
        <v>0</v>
      </c>
      <c r="J153" s="2">
        <f t="shared" si="10"/>
        <v>0</v>
      </c>
      <c r="K153" s="2">
        <f t="shared" si="10"/>
        <v>0</v>
      </c>
      <c r="L153" s="2">
        <f t="shared" si="10"/>
        <v>0</v>
      </c>
      <c r="M153" s="2">
        <f t="shared" si="10"/>
        <v>0</v>
      </c>
      <c r="N153" s="2">
        <f t="shared" si="10"/>
        <v>0</v>
      </c>
      <c r="O153" s="2">
        <f>(VLOOKUP(E153,Batters!$F$2:$K$1124,6,FALSE))*C153</f>
        <v>0</v>
      </c>
    </row>
    <row r="154" spans="1:15" x14ac:dyDescent="0.25">
      <c r="A154" s="1">
        <f t="shared" si="9"/>
        <v>0</v>
      </c>
      <c r="B154" s="2">
        <f>IF(C154=0,0,A154&amp;" "&amp;COUNTIF($A$1:$A154,A154))</f>
        <v>0</v>
      </c>
      <c r="C154" s="1">
        <v>0</v>
      </c>
      <c r="D154" s="2">
        <v>0</v>
      </c>
      <c r="E154" s="2">
        <v>0</v>
      </c>
      <c r="F154" s="2">
        <v>0</v>
      </c>
      <c r="G154" s="2">
        <v>0</v>
      </c>
      <c r="H154" s="2">
        <f t="shared" si="10"/>
        <v>0</v>
      </c>
      <c r="I154" s="2">
        <f t="shared" si="10"/>
        <v>0</v>
      </c>
      <c r="J154" s="2">
        <f t="shared" si="10"/>
        <v>0</v>
      </c>
      <c r="K154" s="2">
        <f t="shared" si="10"/>
        <v>0</v>
      </c>
      <c r="L154" s="2">
        <f t="shared" si="10"/>
        <v>0</v>
      </c>
      <c r="M154" s="2">
        <f t="shared" si="10"/>
        <v>0</v>
      </c>
      <c r="N154" s="2">
        <f t="shared" si="10"/>
        <v>0</v>
      </c>
      <c r="O154" s="2">
        <f>(VLOOKUP(E154,Batters!$F$2:$K$1124,6,FALSE))*C154</f>
        <v>0</v>
      </c>
    </row>
    <row r="155" spans="1:15" x14ac:dyDescent="0.25">
      <c r="A155" s="1">
        <f t="shared" si="9"/>
        <v>0</v>
      </c>
      <c r="B155" s="2">
        <f>IF(C155=0,0,A155&amp;" "&amp;COUNTIF($A$1:$A155,A155))</f>
        <v>0</v>
      </c>
      <c r="C155" s="1">
        <v>0</v>
      </c>
      <c r="D155" s="2">
        <v>0</v>
      </c>
      <c r="E155" s="2">
        <v>0</v>
      </c>
      <c r="F155" s="2">
        <v>0</v>
      </c>
      <c r="G155" s="2">
        <v>0</v>
      </c>
      <c r="H155" s="2">
        <f t="shared" si="10"/>
        <v>0</v>
      </c>
      <c r="I155" s="2">
        <f t="shared" si="10"/>
        <v>0</v>
      </c>
      <c r="J155" s="2">
        <f t="shared" si="10"/>
        <v>0</v>
      </c>
      <c r="K155" s="2">
        <f t="shared" si="10"/>
        <v>0</v>
      </c>
      <c r="L155" s="2">
        <f t="shared" si="10"/>
        <v>0</v>
      </c>
      <c r="M155" s="2">
        <f t="shared" si="10"/>
        <v>0</v>
      </c>
      <c r="N155" s="2">
        <f t="shared" si="10"/>
        <v>0</v>
      </c>
      <c r="O155" s="2">
        <f>(VLOOKUP(E155,Batters!$F$2:$K$1124,6,FALSE))*C155</f>
        <v>0</v>
      </c>
    </row>
    <row r="156" spans="1:15" x14ac:dyDescent="0.25">
      <c r="A156" s="1">
        <f t="shared" si="9"/>
        <v>0</v>
      </c>
      <c r="B156" s="2">
        <f>IF(C156=0,0,A156&amp;" "&amp;COUNTIF($A$1:$A156,A156))</f>
        <v>0</v>
      </c>
      <c r="C156" s="1">
        <v>0</v>
      </c>
      <c r="D156" s="2">
        <v>0</v>
      </c>
      <c r="E156" s="2">
        <v>0</v>
      </c>
      <c r="F156" s="2">
        <v>0</v>
      </c>
      <c r="G156" s="2">
        <v>0</v>
      </c>
      <c r="H156" s="2">
        <f t="shared" si="10"/>
        <v>0</v>
      </c>
      <c r="I156" s="2">
        <f t="shared" si="10"/>
        <v>0</v>
      </c>
      <c r="J156" s="2">
        <f t="shared" si="10"/>
        <v>0</v>
      </c>
      <c r="K156" s="2">
        <f t="shared" si="10"/>
        <v>0</v>
      </c>
      <c r="L156" s="2">
        <f t="shared" si="10"/>
        <v>0</v>
      </c>
      <c r="M156" s="2">
        <f t="shared" si="10"/>
        <v>0</v>
      </c>
      <c r="N156" s="2">
        <f t="shared" si="10"/>
        <v>0</v>
      </c>
      <c r="O156" s="2">
        <f>(VLOOKUP(E156,Batters!$F$2:$K$1124,6,FALSE))*C156</f>
        <v>0</v>
      </c>
    </row>
    <row r="157" spans="1:15" x14ac:dyDescent="0.25">
      <c r="A157" s="1">
        <f t="shared" si="9"/>
        <v>0</v>
      </c>
      <c r="B157" s="2">
        <f>IF(C157=0,0,A157&amp;" "&amp;COUNTIF($A$1:$A157,A157))</f>
        <v>0</v>
      </c>
      <c r="C157" s="1">
        <v>0</v>
      </c>
      <c r="D157" s="2">
        <v>0</v>
      </c>
      <c r="E157" s="2">
        <v>0</v>
      </c>
      <c r="F157" s="2">
        <v>0</v>
      </c>
      <c r="G157" s="2">
        <v>0</v>
      </c>
      <c r="H157" s="2">
        <f t="shared" si="10"/>
        <v>0</v>
      </c>
      <c r="I157" s="2">
        <f t="shared" si="10"/>
        <v>0</v>
      </c>
      <c r="J157" s="2">
        <f t="shared" si="10"/>
        <v>0</v>
      </c>
      <c r="K157" s="2">
        <f t="shared" si="10"/>
        <v>0</v>
      </c>
      <c r="L157" s="2">
        <f t="shared" si="10"/>
        <v>0</v>
      </c>
      <c r="M157" s="2">
        <f t="shared" si="10"/>
        <v>0</v>
      </c>
      <c r="N157" s="2">
        <f t="shared" si="10"/>
        <v>0</v>
      </c>
      <c r="O157" s="2">
        <f>(VLOOKUP(E157,Batters!$F$2:$K$1124,6,FALSE))*C157</f>
        <v>0</v>
      </c>
    </row>
    <row r="158" spans="1:15" x14ac:dyDescent="0.25">
      <c r="A158" s="1">
        <f t="shared" si="9"/>
        <v>0</v>
      </c>
      <c r="B158" s="2">
        <f>IF(C158=0,0,A158&amp;" "&amp;COUNTIF($A$1:$A158,A158))</f>
        <v>0</v>
      </c>
      <c r="C158" s="1">
        <v>0</v>
      </c>
      <c r="D158" s="2">
        <v>0</v>
      </c>
      <c r="E158" s="2">
        <v>0</v>
      </c>
      <c r="F158" s="2">
        <v>0</v>
      </c>
      <c r="G158" s="2">
        <v>0</v>
      </c>
      <c r="H158" s="2">
        <f t="shared" si="10"/>
        <v>0</v>
      </c>
      <c r="I158" s="2">
        <f t="shared" si="10"/>
        <v>0</v>
      </c>
      <c r="J158" s="2">
        <f t="shared" si="10"/>
        <v>0</v>
      </c>
      <c r="K158" s="2">
        <f t="shared" si="10"/>
        <v>0</v>
      </c>
      <c r="L158" s="2">
        <f t="shared" si="10"/>
        <v>0</v>
      </c>
      <c r="M158" s="2">
        <f t="shared" si="10"/>
        <v>0</v>
      </c>
      <c r="N158" s="2">
        <f t="shared" si="10"/>
        <v>0</v>
      </c>
      <c r="O158" s="2">
        <f>(VLOOKUP(E158,Batters!$F$2:$K$1124,6,FALSE))*C158</f>
        <v>0</v>
      </c>
    </row>
    <row r="159" spans="1:15" x14ac:dyDescent="0.25">
      <c r="A159" s="1">
        <f t="shared" si="9"/>
        <v>0</v>
      </c>
      <c r="B159" s="2">
        <f>IF(C159=0,0,A159&amp;" "&amp;COUNTIF($A$1:$A159,A159))</f>
        <v>0</v>
      </c>
      <c r="C159" s="1">
        <v>0</v>
      </c>
      <c r="D159" s="2">
        <v>0</v>
      </c>
      <c r="E159" s="2">
        <v>0</v>
      </c>
      <c r="F159" s="2">
        <v>0</v>
      </c>
      <c r="G159" s="2">
        <v>0</v>
      </c>
      <c r="H159" s="2">
        <f t="shared" si="10"/>
        <v>0</v>
      </c>
      <c r="I159" s="2">
        <f t="shared" si="10"/>
        <v>0</v>
      </c>
      <c r="J159" s="2">
        <f t="shared" si="10"/>
        <v>0</v>
      </c>
      <c r="K159" s="2">
        <f t="shared" si="10"/>
        <v>0</v>
      </c>
      <c r="L159" s="2">
        <f t="shared" si="10"/>
        <v>0</v>
      </c>
      <c r="M159" s="2">
        <f t="shared" si="10"/>
        <v>0</v>
      </c>
      <c r="N159" s="2">
        <f t="shared" si="10"/>
        <v>0</v>
      </c>
      <c r="O159" s="2">
        <f>(VLOOKUP(E159,Batters!$F$2:$K$1124,6,FALSE))*C159</f>
        <v>0</v>
      </c>
    </row>
    <row r="160" spans="1:15" x14ac:dyDescent="0.25">
      <c r="A160" s="1">
        <f t="shared" si="9"/>
        <v>0</v>
      </c>
      <c r="B160" s="2">
        <f>IF(C160=0,0,A160&amp;" "&amp;COUNTIF($A$1:$A160,A160))</f>
        <v>0</v>
      </c>
      <c r="C160" s="1">
        <v>0</v>
      </c>
      <c r="D160" s="2">
        <v>0</v>
      </c>
      <c r="E160" s="2">
        <v>0</v>
      </c>
      <c r="F160" s="2">
        <v>0</v>
      </c>
      <c r="G160" s="2">
        <v>0</v>
      </c>
      <c r="H160" s="2">
        <f t="shared" si="10"/>
        <v>0</v>
      </c>
      <c r="I160" s="2">
        <f t="shared" si="10"/>
        <v>0</v>
      </c>
      <c r="J160" s="2">
        <f t="shared" si="10"/>
        <v>0</v>
      </c>
      <c r="K160" s="2">
        <f t="shared" si="10"/>
        <v>0</v>
      </c>
      <c r="L160" s="2">
        <f t="shared" si="10"/>
        <v>0</v>
      </c>
      <c r="M160" s="2">
        <f t="shared" si="10"/>
        <v>0</v>
      </c>
      <c r="N160" s="2">
        <f t="shared" si="10"/>
        <v>0</v>
      </c>
      <c r="O160" s="2">
        <f>(VLOOKUP(E160,Batters!$F$2:$K$1124,6,FALSE))*C160</f>
        <v>0</v>
      </c>
    </row>
    <row r="161" spans="1:15" x14ac:dyDescent="0.25">
      <c r="A161" s="1">
        <f t="shared" si="9"/>
        <v>0</v>
      </c>
      <c r="B161" s="2">
        <f>IF(C161=0,0,A161&amp;" "&amp;COUNTIF($A$1:$A161,A161))</f>
        <v>0</v>
      </c>
      <c r="C161" s="1">
        <v>0</v>
      </c>
      <c r="D161" s="2">
        <v>0</v>
      </c>
      <c r="E161" s="2">
        <v>0</v>
      </c>
      <c r="F161" s="2">
        <v>0</v>
      </c>
      <c r="G161" s="2">
        <v>0</v>
      </c>
      <c r="H161" s="2">
        <f t="shared" si="10"/>
        <v>0</v>
      </c>
      <c r="I161" s="2">
        <f t="shared" si="10"/>
        <v>0</v>
      </c>
      <c r="J161" s="2">
        <f t="shared" si="10"/>
        <v>0</v>
      </c>
      <c r="K161" s="2">
        <f t="shared" si="10"/>
        <v>0</v>
      </c>
      <c r="L161" s="2">
        <f t="shared" si="10"/>
        <v>0</v>
      </c>
      <c r="M161" s="2">
        <f t="shared" si="10"/>
        <v>0</v>
      </c>
      <c r="N161" s="2">
        <f t="shared" si="10"/>
        <v>0</v>
      </c>
      <c r="O161" s="2">
        <f>(VLOOKUP(E161,Batters!$F$2:$K$1124,6,FALSE))*C161</f>
        <v>0</v>
      </c>
    </row>
    <row r="162" spans="1:15" x14ac:dyDescent="0.25">
      <c r="A162" s="1">
        <f t="shared" si="9"/>
        <v>0</v>
      </c>
      <c r="B162" s="2">
        <f>IF(C162=0,0,A162&amp;" "&amp;COUNTIF($A$1:$A162,A162))</f>
        <v>0</v>
      </c>
      <c r="C162" s="1">
        <v>0</v>
      </c>
      <c r="D162" s="2">
        <v>0</v>
      </c>
      <c r="E162" s="2">
        <v>0</v>
      </c>
      <c r="F162" s="2">
        <v>0</v>
      </c>
      <c r="G162" s="2">
        <v>0</v>
      </c>
      <c r="H162" s="2">
        <f t="shared" si="10"/>
        <v>0</v>
      </c>
      <c r="I162" s="2">
        <f t="shared" si="10"/>
        <v>0</v>
      </c>
      <c r="J162" s="2">
        <f t="shared" si="10"/>
        <v>0</v>
      </c>
      <c r="K162" s="2">
        <f t="shared" si="10"/>
        <v>0</v>
      </c>
      <c r="L162" s="2">
        <f t="shared" si="10"/>
        <v>0</v>
      </c>
      <c r="M162" s="2">
        <f t="shared" si="10"/>
        <v>0</v>
      </c>
      <c r="N162" s="2">
        <f t="shared" si="10"/>
        <v>0</v>
      </c>
      <c r="O162" s="2">
        <f>(VLOOKUP(E162,Batters!$F$2:$K$1124,6,FALSE))*C162</f>
        <v>0</v>
      </c>
    </row>
    <row r="163" spans="1:15" x14ac:dyDescent="0.25">
      <c r="A163" s="1">
        <f t="shared" si="9"/>
        <v>0</v>
      </c>
      <c r="B163" s="2">
        <f>IF(C163=0,0,A163&amp;" "&amp;COUNTIF($A$1:$A163,A163))</f>
        <v>0</v>
      </c>
      <c r="C163" s="1">
        <v>0</v>
      </c>
      <c r="D163" s="2">
        <v>0</v>
      </c>
      <c r="E163" s="2">
        <v>0</v>
      </c>
      <c r="F163" s="2">
        <v>0</v>
      </c>
      <c r="G163" s="2">
        <v>0</v>
      </c>
      <c r="H163" s="2">
        <f t="shared" si="10"/>
        <v>0</v>
      </c>
      <c r="I163" s="2">
        <f t="shared" si="10"/>
        <v>0</v>
      </c>
      <c r="J163" s="2">
        <f t="shared" si="10"/>
        <v>0</v>
      </c>
      <c r="K163" s="2">
        <f t="shared" si="10"/>
        <v>0</v>
      </c>
      <c r="L163" s="2">
        <f t="shared" si="10"/>
        <v>0</v>
      </c>
      <c r="M163" s="2">
        <f t="shared" si="10"/>
        <v>0</v>
      </c>
      <c r="N163" s="2">
        <f t="shared" si="10"/>
        <v>0</v>
      </c>
      <c r="O163" s="2">
        <f>(VLOOKUP(E163,Batters!$F$2:$K$1124,6,FALSE))*C163</f>
        <v>0</v>
      </c>
    </row>
    <row r="164" spans="1:15" x14ac:dyDescent="0.25">
      <c r="A164" s="1">
        <f t="shared" si="9"/>
        <v>0</v>
      </c>
      <c r="B164" s="2">
        <f>IF(C164=0,0,A164&amp;" "&amp;COUNTIF($A$1:$A164,A164))</f>
        <v>0</v>
      </c>
      <c r="C164" s="1">
        <v>0</v>
      </c>
      <c r="D164" s="2">
        <v>0</v>
      </c>
      <c r="E164" s="2">
        <v>0</v>
      </c>
      <c r="F164" s="2">
        <v>0</v>
      </c>
      <c r="G164" s="2">
        <v>0</v>
      </c>
      <c r="H164" s="2">
        <f t="shared" si="10"/>
        <v>0</v>
      </c>
      <c r="I164" s="2">
        <f t="shared" si="10"/>
        <v>0</v>
      </c>
      <c r="J164" s="2">
        <f t="shared" si="10"/>
        <v>0</v>
      </c>
      <c r="K164" s="2">
        <f t="shared" si="10"/>
        <v>0</v>
      </c>
      <c r="L164" s="2">
        <f t="shared" si="10"/>
        <v>0</v>
      </c>
      <c r="M164" s="2">
        <f t="shared" si="10"/>
        <v>0</v>
      </c>
      <c r="N164" s="2">
        <f t="shared" si="10"/>
        <v>0</v>
      </c>
      <c r="O164" s="2">
        <f>(VLOOKUP(E164,Batters!$F$2:$K$1124,6,FALSE))*C164</f>
        <v>0</v>
      </c>
    </row>
    <row r="165" spans="1:15" x14ac:dyDescent="0.25">
      <c r="A165" s="1">
        <f t="shared" si="9"/>
        <v>0</v>
      </c>
      <c r="B165" s="2">
        <f>IF(C165=0,0,A165&amp;" "&amp;COUNTIF($A$1:$A165,A165))</f>
        <v>0</v>
      </c>
      <c r="C165" s="1">
        <v>0</v>
      </c>
      <c r="D165" s="2">
        <v>0</v>
      </c>
      <c r="E165" s="2">
        <v>0</v>
      </c>
      <c r="F165" s="2">
        <v>0</v>
      </c>
      <c r="G165" s="2">
        <v>0</v>
      </c>
      <c r="H165" s="2">
        <f t="shared" si="10"/>
        <v>0</v>
      </c>
      <c r="I165" s="2">
        <f t="shared" si="10"/>
        <v>0</v>
      </c>
      <c r="J165" s="2">
        <f t="shared" si="10"/>
        <v>0</v>
      </c>
      <c r="K165" s="2">
        <f t="shared" si="10"/>
        <v>0</v>
      </c>
      <c r="L165" s="2">
        <f t="shared" si="10"/>
        <v>0</v>
      </c>
      <c r="M165" s="2">
        <f t="shared" si="10"/>
        <v>0</v>
      </c>
      <c r="N165" s="2">
        <f t="shared" si="10"/>
        <v>0</v>
      </c>
      <c r="O165" s="2">
        <f>(VLOOKUP(E165,Batters!$F$2:$K$1124,6,FALSE))*C165</f>
        <v>0</v>
      </c>
    </row>
    <row r="166" spans="1:15" x14ac:dyDescent="0.25">
      <c r="A166" s="1">
        <f t="shared" si="9"/>
        <v>0</v>
      </c>
      <c r="B166" s="2">
        <f>IF(C166=0,0,A166&amp;" "&amp;COUNTIF($A$1:$A166,A166))</f>
        <v>0</v>
      </c>
      <c r="C166" s="1">
        <v>0</v>
      </c>
      <c r="D166" s="2">
        <v>0</v>
      </c>
      <c r="E166" s="2">
        <v>0</v>
      </c>
      <c r="F166" s="2">
        <v>0</v>
      </c>
      <c r="G166" s="2">
        <v>0</v>
      </c>
      <c r="H166" s="2">
        <f t="shared" si="10"/>
        <v>0</v>
      </c>
      <c r="I166" s="2">
        <f t="shared" si="10"/>
        <v>0</v>
      </c>
      <c r="J166" s="2">
        <f t="shared" si="10"/>
        <v>0</v>
      </c>
      <c r="K166" s="2">
        <f t="shared" si="10"/>
        <v>0</v>
      </c>
      <c r="L166" s="2">
        <f t="shared" si="10"/>
        <v>0</v>
      </c>
      <c r="M166" s="2">
        <f t="shared" si="10"/>
        <v>0</v>
      </c>
      <c r="N166" s="2">
        <f t="shared" si="10"/>
        <v>0</v>
      </c>
      <c r="O166" s="2">
        <f>(VLOOKUP(E166,Batters!$F$2:$K$1124,6,FALSE))*C166</f>
        <v>0</v>
      </c>
    </row>
    <row r="167" spans="1:15" x14ac:dyDescent="0.25">
      <c r="A167" s="1">
        <f t="shared" si="9"/>
        <v>0</v>
      </c>
      <c r="B167" s="2">
        <f>IF(C167=0,0,A167&amp;" "&amp;COUNTIF($A$1:$A167,A167))</f>
        <v>0</v>
      </c>
      <c r="C167" s="1">
        <v>0</v>
      </c>
      <c r="D167" s="2">
        <v>0</v>
      </c>
      <c r="E167" s="2">
        <v>0</v>
      </c>
      <c r="F167" s="2">
        <v>0</v>
      </c>
      <c r="G167" s="2">
        <v>0</v>
      </c>
      <c r="H167" s="2">
        <f t="shared" si="10"/>
        <v>0</v>
      </c>
      <c r="I167" s="2">
        <f t="shared" si="10"/>
        <v>0</v>
      </c>
      <c r="J167" s="2">
        <f t="shared" si="10"/>
        <v>0</v>
      </c>
      <c r="K167" s="2">
        <f t="shared" si="10"/>
        <v>0</v>
      </c>
      <c r="L167" s="2">
        <f t="shared" si="10"/>
        <v>0</v>
      </c>
      <c r="M167" s="2">
        <f t="shared" si="10"/>
        <v>0</v>
      </c>
      <c r="N167" s="2">
        <f t="shared" si="10"/>
        <v>0</v>
      </c>
      <c r="O167" s="2">
        <f>(VLOOKUP(E167,Batters!$F$2:$K$1124,6,FALSE))*C167</f>
        <v>0</v>
      </c>
    </row>
    <row r="168" spans="1:15" x14ac:dyDescent="0.25">
      <c r="A168" s="1">
        <f t="shared" si="9"/>
        <v>0</v>
      </c>
      <c r="B168" s="2">
        <f>IF(C168=0,0,A168&amp;" "&amp;COUNTIF($A$1:$A168,A168))</f>
        <v>0</v>
      </c>
      <c r="C168" s="1">
        <v>0</v>
      </c>
      <c r="D168" s="2">
        <v>0</v>
      </c>
      <c r="E168" s="2">
        <v>0</v>
      </c>
      <c r="F168" s="2">
        <v>0</v>
      </c>
      <c r="G168" s="2">
        <v>0</v>
      </c>
      <c r="H168" s="2">
        <f t="shared" si="10"/>
        <v>0</v>
      </c>
      <c r="I168" s="2">
        <f t="shared" si="10"/>
        <v>0</v>
      </c>
      <c r="J168" s="2">
        <f t="shared" si="10"/>
        <v>0</v>
      </c>
      <c r="K168" s="2">
        <f t="shared" si="10"/>
        <v>0</v>
      </c>
      <c r="L168" s="2">
        <f t="shared" si="10"/>
        <v>0</v>
      </c>
      <c r="M168" s="2">
        <f t="shared" si="10"/>
        <v>0</v>
      </c>
      <c r="N168" s="2">
        <f t="shared" si="10"/>
        <v>0</v>
      </c>
      <c r="O168" s="2">
        <f>(VLOOKUP(E168,Batters!$F$2:$K$1124,6,FALSE))*C168</f>
        <v>0</v>
      </c>
    </row>
    <row r="169" spans="1:15" x14ac:dyDescent="0.25">
      <c r="A169" s="1">
        <f t="shared" si="9"/>
        <v>0</v>
      </c>
      <c r="B169" s="2">
        <f>IF(C169=0,0,A169&amp;" "&amp;COUNTIF($A$1:$A169,A169))</f>
        <v>0</v>
      </c>
      <c r="C169" s="1">
        <v>0</v>
      </c>
      <c r="D169" s="2">
        <v>0</v>
      </c>
      <c r="E169" s="2">
        <v>0</v>
      </c>
      <c r="F169" s="2">
        <v>0</v>
      </c>
      <c r="G169" s="2">
        <v>0</v>
      </c>
      <c r="H169" s="2">
        <f t="shared" si="10"/>
        <v>0</v>
      </c>
      <c r="I169" s="2">
        <f t="shared" si="10"/>
        <v>0</v>
      </c>
      <c r="J169" s="2">
        <f t="shared" si="10"/>
        <v>0</v>
      </c>
      <c r="K169" s="2">
        <f t="shared" si="10"/>
        <v>0</v>
      </c>
      <c r="L169" s="2">
        <f t="shared" si="10"/>
        <v>0</v>
      </c>
      <c r="M169" s="2">
        <f t="shared" si="10"/>
        <v>0</v>
      </c>
      <c r="N169" s="2">
        <f t="shared" si="10"/>
        <v>0</v>
      </c>
      <c r="O169" s="2">
        <f>(VLOOKUP(E169,Batters!$F$2:$K$1124,6,FALSE))*C169</f>
        <v>0</v>
      </c>
    </row>
    <row r="170" spans="1:15" x14ac:dyDescent="0.25">
      <c r="A170" s="1">
        <f t="shared" si="9"/>
        <v>0</v>
      </c>
      <c r="B170" s="2">
        <f>IF(C170=0,0,A170&amp;" "&amp;COUNTIF($A$1:$A170,A170))</f>
        <v>0</v>
      </c>
      <c r="C170" s="1">
        <v>0</v>
      </c>
      <c r="D170" s="2">
        <v>0</v>
      </c>
      <c r="E170" s="2">
        <v>0</v>
      </c>
      <c r="F170" s="2">
        <v>0</v>
      </c>
      <c r="G170" s="2">
        <v>0</v>
      </c>
      <c r="H170" s="2">
        <f t="shared" si="10"/>
        <v>0</v>
      </c>
      <c r="I170" s="2">
        <f t="shared" si="10"/>
        <v>0</v>
      </c>
      <c r="J170" s="2">
        <f t="shared" si="10"/>
        <v>0</v>
      </c>
      <c r="K170" s="2">
        <f t="shared" si="10"/>
        <v>0</v>
      </c>
      <c r="L170" s="2">
        <f t="shared" si="10"/>
        <v>0</v>
      </c>
      <c r="M170" s="2">
        <f t="shared" si="10"/>
        <v>0</v>
      </c>
      <c r="N170" s="2">
        <f t="shared" si="10"/>
        <v>0</v>
      </c>
      <c r="O170" s="2">
        <f>(VLOOKUP(E170,Batters!$F$2:$K$1124,6,FALSE))*C170</f>
        <v>0</v>
      </c>
    </row>
    <row r="171" spans="1:15" x14ac:dyDescent="0.25">
      <c r="A171" s="1">
        <f t="shared" si="9"/>
        <v>0</v>
      </c>
      <c r="B171" s="2">
        <f>IF(C171=0,0,A171&amp;" "&amp;COUNTIF($A$1:$A171,A171))</f>
        <v>0</v>
      </c>
      <c r="C171" s="1">
        <v>0</v>
      </c>
      <c r="D171" s="2">
        <v>0</v>
      </c>
      <c r="E171" s="2">
        <v>0</v>
      </c>
      <c r="F171" s="2">
        <v>0</v>
      </c>
      <c r="G171" s="2">
        <v>0</v>
      </c>
      <c r="H171" s="2">
        <f t="shared" si="10"/>
        <v>0</v>
      </c>
      <c r="I171" s="2">
        <f t="shared" si="10"/>
        <v>0</v>
      </c>
      <c r="J171" s="2">
        <f t="shared" si="10"/>
        <v>0</v>
      </c>
      <c r="K171" s="2">
        <f t="shared" si="10"/>
        <v>0</v>
      </c>
      <c r="L171" s="2">
        <f t="shared" si="10"/>
        <v>0</v>
      </c>
      <c r="M171" s="2">
        <f t="shared" si="10"/>
        <v>0</v>
      </c>
      <c r="N171" s="2">
        <f t="shared" si="10"/>
        <v>0</v>
      </c>
      <c r="O171" s="2">
        <f>(VLOOKUP(E171,Batters!$F$2:$K$1124,6,FALSE))*C171</f>
        <v>0</v>
      </c>
    </row>
    <row r="172" spans="1:15" x14ac:dyDescent="0.25">
      <c r="A172" s="1">
        <f t="shared" si="9"/>
        <v>0</v>
      </c>
      <c r="B172" s="2">
        <f>IF(C172=0,0,A172&amp;" "&amp;COUNTIF($A$1:$A172,A172))</f>
        <v>0</v>
      </c>
      <c r="C172" s="1">
        <v>0</v>
      </c>
      <c r="D172" s="2">
        <v>0</v>
      </c>
      <c r="E172" s="2">
        <v>0</v>
      </c>
      <c r="F172" s="2">
        <v>0</v>
      </c>
      <c r="G172" s="2">
        <v>0</v>
      </c>
      <c r="H172" s="2">
        <f t="shared" si="10"/>
        <v>0</v>
      </c>
      <c r="I172" s="2">
        <f t="shared" si="10"/>
        <v>0</v>
      </c>
      <c r="J172" s="2">
        <f t="shared" si="10"/>
        <v>0</v>
      </c>
      <c r="K172" s="2">
        <f t="shared" si="10"/>
        <v>0</v>
      </c>
      <c r="L172" s="2">
        <f t="shared" si="10"/>
        <v>0</v>
      </c>
      <c r="M172" s="2">
        <f t="shared" si="10"/>
        <v>0</v>
      </c>
      <c r="N172" s="2">
        <f t="shared" si="10"/>
        <v>0</v>
      </c>
      <c r="O172" s="2">
        <f>(VLOOKUP(E172,Batters!$F$2:$K$1124,6,FALSE))*C172</f>
        <v>0</v>
      </c>
    </row>
    <row r="173" spans="1:15" x14ac:dyDescent="0.25">
      <c r="A173" s="1">
        <f t="shared" si="9"/>
        <v>0</v>
      </c>
      <c r="B173" s="2">
        <f>IF(C173=0,0,A173&amp;" "&amp;COUNTIF($A$1:$A173,A173))</f>
        <v>0</v>
      </c>
      <c r="C173" s="1">
        <v>0</v>
      </c>
      <c r="D173" s="2">
        <v>0</v>
      </c>
      <c r="E173" s="2">
        <v>0</v>
      </c>
      <c r="F173" s="2">
        <v>0</v>
      </c>
      <c r="G173" s="2">
        <v>0</v>
      </c>
      <c r="H173" s="2">
        <f t="shared" si="10"/>
        <v>0</v>
      </c>
      <c r="I173" s="2">
        <f t="shared" si="10"/>
        <v>0</v>
      </c>
      <c r="J173" s="2">
        <f t="shared" si="10"/>
        <v>0</v>
      </c>
      <c r="K173" s="2">
        <f t="shared" si="10"/>
        <v>0</v>
      </c>
      <c r="L173" s="2">
        <f t="shared" si="10"/>
        <v>0</v>
      </c>
      <c r="M173" s="2">
        <f t="shared" si="10"/>
        <v>0</v>
      </c>
      <c r="N173" s="2">
        <f t="shared" si="10"/>
        <v>0</v>
      </c>
      <c r="O173" s="2">
        <f>(VLOOKUP(E173,Batters!$F$2:$K$1124,6,FALSE))*C173</f>
        <v>0</v>
      </c>
    </row>
    <row r="174" spans="1:15" x14ac:dyDescent="0.25">
      <c r="A174" s="1">
        <f t="shared" si="9"/>
        <v>0</v>
      </c>
      <c r="B174" s="2">
        <f>IF(C174=0,0,A174&amp;" "&amp;COUNTIF($A$1:$A174,A174))</f>
        <v>0</v>
      </c>
      <c r="C174" s="1">
        <v>0</v>
      </c>
      <c r="D174" s="2">
        <v>0</v>
      </c>
      <c r="E174" s="2">
        <v>0</v>
      </c>
      <c r="F174" s="2">
        <v>0</v>
      </c>
      <c r="G174" s="2">
        <v>0</v>
      </c>
      <c r="H174" s="2">
        <f t="shared" si="10"/>
        <v>0</v>
      </c>
      <c r="I174" s="2">
        <f t="shared" si="10"/>
        <v>0</v>
      </c>
      <c r="J174" s="2">
        <f t="shared" si="10"/>
        <v>0</v>
      </c>
      <c r="K174" s="2">
        <f t="shared" si="10"/>
        <v>0</v>
      </c>
      <c r="L174" s="2">
        <f t="shared" si="10"/>
        <v>0</v>
      </c>
      <c r="M174" s="2">
        <f t="shared" si="10"/>
        <v>0</v>
      </c>
      <c r="N174" s="2">
        <f t="shared" si="10"/>
        <v>0</v>
      </c>
      <c r="O174" s="2">
        <f>(VLOOKUP(E174,Batters!$F$2:$K$1124,6,FALSE))*C174</f>
        <v>0</v>
      </c>
    </row>
    <row r="175" spans="1:15" x14ac:dyDescent="0.25">
      <c r="A175" s="1">
        <f t="shared" si="9"/>
        <v>0</v>
      </c>
      <c r="B175" s="2">
        <f>IF(C175=0,0,A175&amp;" "&amp;COUNTIF($A$1:$A175,A175))</f>
        <v>0</v>
      </c>
      <c r="C175" s="1">
        <v>0</v>
      </c>
      <c r="D175" s="2">
        <v>0</v>
      </c>
      <c r="E175" s="2">
        <v>0</v>
      </c>
      <c r="F175" s="2">
        <v>0</v>
      </c>
      <c r="G175" s="2">
        <v>0</v>
      </c>
      <c r="H175" s="2">
        <f t="shared" si="10"/>
        <v>0</v>
      </c>
      <c r="I175" s="2">
        <f t="shared" si="10"/>
        <v>0</v>
      </c>
      <c r="J175" s="2">
        <f t="shared" si="10"/>
        <v>0</v>
      </c>
      <c r="K175" s="2">
        <f t="shared" si="10"/>
        <v>0</v>
      </c>
      <c r="L175" s="2">
        <f t="shared" si="10"/>
        <v>0</v>
      </c>
      <c r="M175" s="2">
        <f t="shared" si="10"/>
        <v>0</v>
      </c>
      <c r="N175" s="2">
        <f t="shared" si="10"/>
        <v>0</v>
      </c>
      <c r="O175" s="2">
        <f>(VLOOKUP(E175,Batters!$F$2:$K$1124,6,FALSE))*C175</f>
        <v>0</v>
      </c>
    </row>
    <row r="176" spans="1:15" x14ac:dyDescent="0.25">
      <c r="A176" s="1">
        <f t="shared" si="9"/>
        <v>0</v>
      </c>
      <c r="B176" s="2">
        <f>IF(C176=0,0,A176&amp;" "&amp;COUNTIF($A$1:$A176,A176))</f>
        <v>0</v>
      </c>
      <c r="C176" s="1">
        <v>0</v>
      </c>
      <c r="D176" s="2">
        <v>0</v>
      </c>
      <c r="E176" s="2">
        <v>0</v>
      </c>
      <c r="F176" s="2">
        <v>0</v>
      </c>
      <c r="G176" s="2">
        <v>0</v>
      </c>
      <c r="H176" s="2">
        <f t="shared" si="10"/>
        <v>0</v>
      </c>
      <c r="I176" s="2">
        <f t="shared" si="10"/>
        <v>0</v>
      </c>
      <c r="J176" s="2">
        <f t="shared" si="10"/>
        <v>0</v>
      </c>
      <c r="K176" s="2">
        <f t="shared" si="10"/>
        <v>0</v>
      </c>
      <c r="L176" s="2">
        <f t="shared" si="10"/>
        <v>0</v>
      </c>
      <c r="M176" s="2">
        <f t="shared" si="10"/>
        <v>0</v>
      </c>
      <c r="N176" s="2">
        <f t="shared" si="10"/>
        <v>0</v>
      </c>
      <c r="O176" s="2">
        <f>(VLOOKUP(E176,Batters!$F$2:$K$1124,6,FALSE))*C176</f>
        <v>0</v>
      </c>
    </row>
    <row r="177" spans="1:15" x14ac:dyDescent="0.25">
      <c r="A177" s="1">
        <f t="shared" si="9"/>
        <v>0</v>
      </c>
      <c r="B177" s="2">
        <f>IF(C177=0,0,A177&amp;" "&amp;COUNTIF($A$1:$A177,A177))</f>
        <v>0</v>
      </c>
      <c r="C177" s="1">
        <v>0</v>
      </c>
      <c r="D177" s="2">
        <v>0</v>
      </c>
      <c r="E177" s="2">
        <v>0</v>
      </c>
      <c r="F177" s="2">
        <v>0</v>
      </c>
      <c r="G177" s="2">
        <v>0</v>
      </c>
      <c r="H177" s="2">
        <f t="shared" si="10"/>
        <v>0</v>
      </c>
      <c r="I177" s="2">
        <f t="shared" si="10"/>
        <v>0</v>
      </c>
      <c r="J177" s="2">
        <f t="shared" si="10"/>
        <v>0</v>
      </c>
      <c r="K177" s="2">
        <f t="shared" si="10"/>
        <v>0</v>
      </c>
      <c r="L177" s="2">
        <f t="shared" si="10"/>
        <v>0</v>
      </c>
      <c r="M177" s="2">
        <f t="shared" si="10"/>
        <v>0</v>
      </c>
      <c r="N177" s="2">
        <f t="shared" si="10"/>
        <v>0</v>
      </c>
      <c r="O177" s="2">
        <f>(VLOOKUP(E177,Batters!$F$2:$K$1124,6,FALSE))*C177</f>
        <v>0</v>
      </c>
    </row>
    <row r="178" spans="1:15" x14ac:dyDescent="0.25">
      <c r="A178" s="1">
        <f t="shared" si="9"/>
        <v>0</v>
      </c>
      <c r="B178" s="2">
        <f>IF(C178=0,0,A178&amp;" "&amp;COUNTIF($A$1:$A178,A178))</f>
        <v>0</v>
      </c>
      <c r="C178" s="1">
        <v>0</v>
      </c>
      <c r="D178" s="2">
        <v>0</v>
      </c>
      <c r="E178" s="2">
        <v>0</v>
      </c>
      <c r="F178" s="2">
        <v>0</v>
      </c>
      <c r="G178" s="2">
        <v>0</v>
      </c>
      <c r="H178" s="2">
        <f t="shared" si="10"/>
        <v>0</v>
      </c>
      <c r="I178" s="2">
        <f t="shared" si="10"/>
        <v>0</v>
      </c>
      <c r="J178" s="2">
        <f t="shared" si="10"/>
        <v>0</v>
      </c>
      <c r="K178" s="2">
        <f t="shared" si="10"/>
        <v>0</v>
      </c>
      <c r="L178" s="2">
        <f t="shared" si="10"/>
        <v>0</v>
      </c>
      <c r="M178" s="2">
        <f t="shared" si="10"/>
        <v>0</v>
      </c>
      <c r="N178" s="2">
        <f t="shared" si="10"/>
        <v>0</v>
      </c>
      <c r="O178" s="2">
        <f>(VLOOKUP(E178,Batters!$F$2:$K$1124,6,FALSE))*C178</f>
        <v>0</v>
      </c>
    </row>
    <row r="179" spans="1:15" x14ac:dyDescent="0.25">
      <c r="A179" s="1">
        <f t="shared" si="9"/>
        <v>0</v>
      </c>
      <c r="B179" s="2">
        <f>IF(C179=0,0,A179&amp;" "&amp;COUNTIF($A$1:$A179,A179))</f>
        <v>0</v>
      </c>
      <c r="C179" s="1">
        <v>0</v>
      </c>
      <c r="D179" s="2">
        <v>0</v>
      </c>
      <c r="E179" s="2">
        <v>0</v>
      </c>
      <c r="F179" s="2">
        <v>0</v>
      </c>
      <c r="G179" s="2">
        <v>0</v>
      </c>
      <c r="H179" s="2">
        <f t="shared" si="10"/>
        <v>0</v>
      </c>
      <c r="I179" s="2">
        <f t="shared" si="10"/>
        <v>0</v>
      </c>
      <c r="J179" s="2">
        <f t="shared" si="10"/>
        <v>0</v>
      </c>
      <c r="K179" s="2">
        <f t="shared" si="10"/>
        <v>0</v>
      </c>
      <c r="L179" s="2">
        <f t="shared" si="10"/>
        <v>0</v>
      </c>
      <c r="M179" s="2">
        <f t="shared" si="10"/>
        <v>0</v>
      </c>
      <c r="N179" s="2">
        <f t="shared" si="10"/>
        <v>0</v>
      </c>
      <c r="O179" s="2">
        <f>(VLOOKUP(E179,Batters!$F$2:$K$1124,6,FALSE))*C179</f>
        <v>0</v>
      </c>
    </row>
    <row r="180" spans="1:15" x14ac:dyDescent="0.25">
      <c r="A180" s="1">
        <f t="shared" si="9"/>
        <v>0</v>
      </c>
      <c r="B180" s="2">
        <f>IF(C180=0,0,A180&amp;" "&amp;COUNTIF($A$1:$A180,A180))</f>
        <v>0</v>
      </c>
      <c r="C180" s="1">
        <v>0</v>
      </c>
      <c r="D180" s="2">
        <v>0</v>
      </c>
      <c r="E180" s="2">
        <v>0</v>
      </c>
      <c r="F180" s="2">
        <v>0</v>
      </c>
      <c r="G180" s="2">
        <v>0</v>
      </c>
      <c r="H180" s="2">
        <f t="shared" si="10"/>
        <v>0</v>
      </c>
      <c r="I180" s="2">
        <f t="shared" si="10"/>
        <v>0</v>
      </c>
      <c r="J180" s="2">
        <f t="shared" si="10"/>
        <v>0</v>
      </c>
      <c r="K180" s="2">
        <f t="shared" si="10"/>
        <v>0</v>
      </c>
      <c r="L180" s="2">
        <f t="shared" si="10"/>
        <v>0</v>
      </c>
      <c r="M180" s="2">
        <f t="shared" si="10"/>
        <v>0</v>
      </c>
      <c r="N180" s="2">
        <f t="shared" si="10"/>
        <v>0</v>
      </c>
      <c r="O180" s="2">
        <f>(VLOOKUP(E180,Batters!$F$2:$K$1124,6,FALSE))*C180</f>
        <v>0</v>
      </c>
    </row>
    <row r="181" spans="1:15" x14ac:dyDescent="0.25">
      <c r="A181" s="1">
        <f t="shared" si="9"/>
        <v>0</v>
      </c>
      <c r="B181" s="2">
        <f>IF(C181=0,0,A181&amp;" "&amp;COUNTIF($A$1:$A181,A181))</f>
        <v>0</v>
      </c>
      <c r="C181" s="1">
        <v>0</v>
      </c>
      <c r="D181" s="2">
        <v>0</v>
      </c>
      <c r="E181" s="2">
        <v>0</v>
      </c>
      <c r="F181" s="2">
        <v>0</v>
      </c>
      <c r="G181" s="2">
        <v>0</v>
      </c>
      <c r="H181" s="2">
        <f t="shared" si="10"/>
        <v>0</v>
      </c>
      <c r="I181" s="2">
        <f t="shared" si="10"/>
        <v>0</v>
      </c>
      <c r="J181" s="2">
        <f t="shared" si="10"/>
        <v>0</v>
      </c>
      <c r="K181" s="2">
        <f t="shared" si="10"/>
        <v>0</v>
      </c>
      <c r="L181" s="2">
        <f t="shared" si="10"/>
        <v>0</v>
      </c>
      <c r="M181" s="2">
        <f t="shared" si="10"/>
        <v>0</v>
      </c>
      <c r="N181" s="2">
        <f t="shared" si="10"/>
        <v>0</v>
      </c>
      <c r="O181" s="2">
        <f>(VLOOKUP(E181,Batters!$F$2:$K$1124,6,FALSE))*C181</f>
        <v>0</v>
      </c>
    </row>
    <row r="182" spans="1:15" x14ac:dyDescent="0.25">
      <c r="A182" s="1">
        <f t="shared" si="9"/>
        <v>0</v>
      </c>
      <c r="B182" s="2">
        <f>IF(C182=0,0,A182&amp;" "&amp;COUNTIF($A$1:$A182,A182))</f>
        <v>0</v>
      </c>
      <c r="C182" s="1">
        <v>0</v>
      </c>
      <c r="D182" s="2">
        <v>0</v>
      </c>
      <c r="E182" s="2">
        <v>0</v>
      </c>
      <c r="F182" s="2">
        <v>0</v>
      </c>
      <c r="G182" s="2">
        <v>0</v>
      </c>
      <c r="H182" s="2">
        <f t="shared" si="10"/>
        <v>0</v>
      </c>
      <c r="I182" s="2">
        <f t="shared" si="10"/>
        <v>0</v>
      </c>
      <c r="J182" s="2">
        <f t="shared" si="10"/>
        <v>0</v>
      </c>
      <c r="K182" s="2">
        <f t="shared" si="10"/>
        <v>0</v>
      </c>
      <c r="L182" s="2">
        <f t="shared" si="10"/>
        <v>0</v>
      </c>
      <c r="M182" s="2">
        <f t="shared" si="10"/>
        <v>0</v>
      </c>
      <c r="N182" s="2">
        <f t="shared" si="10"/>
        <v>0</v>
      </c>
      <c r="O182" s="2">
        <f>(VLOOKUP(E182,Batters!$F$2:$K$1124,6,FALSE))*C182</f>
        <v>0</v>
      </c>
    </row>
    <row r="183" spans="1:15" x14ac:dyDescent="0.25">
      <c r="A183" s="1">
        <f t="shared" si="9"/>
        <v>0</v>
      </c>
      <c r="B183" s="2">
        <f>IF(C183=0,0,A183&amp;" "&amp;COUNTIF($A$1:$A183,A183))</f>
        <v>0</v>
      </c>
      <c r="C183" s="1">
        <v>0</v>
      </c>
      <c r="D183" s="2">
        <v>0</v>
      </c>
      <c r="E183" s="2">
        <v>0</v>
      </c>
      <c r="F183" s="2">
        <v>0</v>
      </c>
      <c r="G183" s="2">
        <v>0</v>
      </c>
      <c r="H183" s="2">
        <f t="shared" si="10"/>
        <v>0</v>
      </c>
      <c r="I183" s="2">
        <f t="shared" si="10"/>
        <v>0</v>
      </c>
      <c r="J183" s="2">
        <f t="shared" si="10"/>
        <v>0</v>
      </c>
      <c r="K183" s="2">
        <f t="shared" si="10"/>
        <v>0</v>
      </c>
      <c r="L183" s="2">
        <f t="shared" si="10"/>
        <v>0</v>
      </c>
      <c r="M183" s="2">
        <f t="shared" si="10"/>
        <v>0</v>
      </c>
      <c r="N183" s="2">
        <f t="shared" ref="M183:N200" si="11">IF($D183=N$1,$C183*1,0)</f>
        <v>0</v>
      </c>
      <c r="O183" s="2">
        <f>(VLOOKUP(E183,Batters!$F$2:$K$1124,6,FALSE))*C183</f>
        <v>0</v>
      </c>
    </row>
    <row r="184" spans="1:15" x14ac:dyDescent="0.25">
      <c r="A184" s="1">
        <f t="shared" si="9"/>
        <v>0</v>
      </c>
      <c r="B184" s="2">
        <f>IF(C184=0,0,A184&amp;" "&amp;COUNTIF($A$1:$A184,A184))</f>
        <v>0</v>
      </c>
      <c r="C184" s="1">
        <v>0</v>
      </c>
      <c r="D184" s="2">
        <v>0</v>
      </c>
      <c r="E184" s="2">
        <v>0</v>
      </c>
      <c r="F184" s="2">
        <v>0</v>
      </c>
      <c r="G184" s="2">
        <v>0</v>
      </c>
      <c r="H184" s="2">
        <f t="shared" ref="H184:L200" si="12">IF($D184=H$1,$C184*1,0)</f>
        <v>0</v>
      </c>
      <c r="I184" s="2">
        <f t="shared" si="12"/>
        <v>0</v>
      </c>
      <c r="J184" s="2">
        <f t="shared" si="12"/>
        <v>0</v>
      </c>
      <c r="K184" s="2">
        <f t="shared" si="12"/>
        <v>0</v>
      </c>
      <c r="L184" s="2">
        <f t="shared" si="12"/>
        <v>0</v>
      </c>
      <c r="M184" s="2">
        <f t="shared" si="11"/>
        <v>0</v>
      </c>
      <c r="N184" s="2">
        <f t="shared" si="11"/>
        <v>0</v>
      </c>
      <c r="O184" s="2">
        <f>(VLOOKUP(E184,Batters!$F$2:$K$1124,6,FALSE))*C184</f>
        <v>0</v>
      </c>
    </row>
    <row r="185" spans="1:15" x14ac:dyDescent="0.25">
      <c r="A185" s="1">
        <f t="shared" si="9"/>
        <v>0</v>
      </c>
      <c r="B185" s="2">
        <f>IF(C185=0,0,A185&amp;" "&amp;COUNTIF($A$1:$A185,A185))</f>
        <v>0</v>
      </c>
      <c r="C185" s="1">
        <v>0</v>
      </c>
      <c r="D185" s="2">
        <v>0</v>
      </c>
      <c r="E185" s="2">
        <v>0</v>
      </c>
      <c r="F185" s="2">
        <v>0</v>
      </c>
      <c r="G185" s="2">
        <v>0</v>
      </c>
      <c r="H185" s="2">
        <f t="shared" si="12"/>
        <v>0</v>
      </c>
      <c r="I185" s="2">
        <f t="shared" si="12"/>
        <v>0</v>
      </c>
      <c r="J185" s="2">
        <f t="shared" si="12"/>
        <v>0</v>
      </c>
      <c r="K185" s="2">
        <f t="shared" si="12"/>
        <v>0</v>
      </c>
      <c r="L185" s="2">
        <f t="shared" si="12"/>
        <v>0</v>
      </c>
      <c r="M185" s="2">
        <f t="shared" si="11"/>
        <v>0</v>
      </c>
      <c r="N185" s="2">
        <f t="shared" si="11"/>
        <v>0</v>
      </c>
      <c r="O185" s="2">
        <f>(VLOOKUP(E185,Batters!$F$2:$K$1124,6,FALSE))*C185</f>
        <v>0</v>
      </c>
    </row>
    <row r="186" spans="1:15" x14ac:dyDescent="0.25">
      <c r="A186" s="1">
        <f t="shared" si="9"/>
        <v>0</v>
      </c>
      <c r="B186" s="2">
        <f>IF(C186=0,0,A186&amp;" "&amp;COUNTIF($A$1:$A186,A186))</f>
        <v>0</v>
      </c>
      <c r="C186" s="1">
        <v>0</v>
      </c>
      <c r="D186" s="2">
        <v>0</v>
      </c>
      <c r="E186" s="2">
        <v>0</v>
      </c>
      <c r="F186" s="2">
        <v>0</v>
      </c>
      <c r="G186" s="2">
        <v>0</v>
      </c>
      <c r="H186" s="2">
        <f t="shared" si="12"/>
        <v>0</v>
      </c>
      <c r="I186" s="2">
        <f t="shared" si="12"/>
        <v>0</v>
      </c>
      <c r="J186" s="2">
        <f t="shared" si="12"/>
        <v>0</v>
      </c>
      <c r="K186" s="2">
        <f t="shared" si="12"/>
        <v>0</v>
      </c>
      <c r="L186" s="2">
        <f t="shared" si="12"/>
        <v>0</v>
      </c>
      <c r="M186" s="2">
        <f t="shared" si="11"/>
        <v>0</v>
      </c>
      <c r="N186" s="2">
        <f t="shared" si="11"/>
        <v>0</v>
      </c>
      <c r="O186" s="2">
        <f>(VLOOKUP(E186,Batters!$F$2:$K$1124,6,FALSE))*C186</f>
        <v>0</v>
      </c>
    </row>
    <row r="187" spans="1:15" x14ac:dyDescent="0.25">
      <c r="A187" s="1">
        <f t="shared" si="9"/>
        <v>0</v>
      </c>
      <c r="B187" s="2">
        <f>IF(C187=0,0,A187&amp;" "&amp;COUNTIF($A$1:$A187,A187))</f>
        <v>0</v>
      </c>
      <c r="C187" s="1">
        <v>0</v>
      </c>
      <c r="D187" s="2">
        <v>0</v>
      </c>
      <c r="E187" s="2">
        <v>0</v>
      </c>
      <c r="F187" s="2">
        <v>0</v>
      </c>
      <c r="G187" s="2">
        <v>0</v>
      </c>
      <c r="H187" s="2">
        <f t="shared" si="12"/>
        <v>0</v>
      </c>
      <c r="I187" s="2">
        <f t="shared" si="12"/>
        <v>0</v>
      </c>
      <c r="J187" s="2">
        <f t="shared" si="12"/>
        <v>0</v>
      </c>
      <c r="K187" s="2">
        <f t="shared" si="12"/>
        <v>0</v>
      </c>
      <c r="L187" s="2">
        <f t="shared" si="12"/>
        <v>0</v>
      </c>
      <c r="M187" s="2">
        <f t="shared" si="11"/>
        <v>0</v>
      </c>
      <c r="N187" s="2">
        <f t="shared" si="11"/>
        <v>0</v>
      </c>
      <c r="O187" s="2">
        <f>(VLOOKUP(E187,Batters!$F$2:$K$1124,6,FALSE))*C187</f>
        <v>0</v>
      </c>
    </row>
    <row r="188" spans="1:15" x14ac:dyDescent="0.25">
      <c r="A188" s="1">
        <f t="shared" si="9"/>
        <v>0</v>
      </c>
      <c r="B188" s="2">
        <f>IF(C188=0,0,A188&amp;" "&amp;COUNTIF($A$1:$A188,A188))</f>
        <v>0</v>
      </c>
      <c r="C188" s="1">
        <v>0</v>
      </c>
      <c r="D188" s="2">
        <v>0</v>
      </c>
      <c r="E188" s="2">
        <v>0</v>
      </c>
      <c r="F188" s="2">
        <v>0</v>
      </c>
      <c r="G188" s="2">
        <v>0</v>
      </c>
      <c r="H188" s="2">
        <f t="shared" si="12"/>
        <v>0</v>
      </c>
      <c r="I188" s="2">
        <f t="shared" si="12"/>
        <v>0</v>
      </c>
      <c r="J188" s="2">
        <f t="shared" si="12"/>
        <v>0</v>
      </c>
      <c r="K188" s="2">
        <f t="shared" si="12"/>
        <v>0</v>
      </c>
      <c r="L188" s="2">
        <f t="shared" si="12"/>
        <v>0</v>
      </c>
      <c r="M188" s="2">
        <f t="shared" si="11"/>
        <v>0</v>
      </c>
      <c r="N188" s="2">
        <f t="shared" si="11"/>
        <v>0</v>
      </c>
      <c r="O188" s="2">
        <f>(VLOOKUP(E188,Batters!$F$2:$K$1124,6,FALSE))*C188</f>
        <v>0</v>
      </c>
    </row>
    <row r="189" spans="1:15" x14ac:dyDescent="0.25">
      <c r="A189" s="1">
        <f t="shared" si="9"/>
        <v>0</v>
      </c>
      <c r="B189" s="2">
        <f>IF(C189=0,0,A189&amp;" "&amp;COUNTIF($A$1:$A189,A189))</f>
        <v>0</v>
      </c>
      <c r="C189" s="1">
        <v>0</v>
      </c>
      <c r="D189" s="2">
        <v>0</v>
      </c>
      <c r="E189" s="2">
        <v>0</v>
      </c>
      <c r="F189" s="2">
        <v>0</v>
      </c>
      <c r="G189" s="2">
        <v>0</v>
      </c>
      <c r="H189" s="2">
        <f t="shared" si="12"/>
        <v>0</v>
      </c>
      <c r="I189" s="2">
        <f t="shared" si="12"/>
        <v>0</v>
      </c>
      <c r="J189" s="2">
        <f t="shared" si="12"/>
        <v>0</v>
      </c>
      <c r="K189" s="2">
        <f t="shared" si="12"/>
        <v>0</v>
      </c>
      <c r="L189" s="2">
        <f t="shared" si="12"/>
        <v>0</v>
      </c>
      <c r="M189" s="2">
        <f t="shared" si="11"/>
        <v>0</v>
      </c>
      <c r="N189" s="2">
        <f t="shared" si="11"/>
        <v>0</v>
      </c>
      <c r="O189" s="2">
        <f>(VLOOKUP(E189,Batters!$F$2:$K$1124,6,FALSE))*C189</f>
        <v>0</v>
      </c>
    </row>
    <row r="190" spans="1:15" x14ac:dyDescent="0.25">
      <c r="A190" s="1">
        <f t="shared" si="9"/>
        <v>0</v>
      </c>
      <c r="B190" s="2">
        <f>IF(C190=0,0,A190&amp;" "&amp;COUNTIF($A$1:$A190,A190))</f>
        <v>0</v>
      </c>
      <c r="C190" s="1">
        <v>0</v>
      </c>
      <c r="D190" s="2">
        <v>0</v>
      </c>
      <c r="E190" s="2">
        <v>0</v>
      </c>
      <c r="F190" s="2">
        <v>0</v>
      </c>
      <c r="G190" s="2">
        <v>0</v>
      </c>
      <c r="H190" s="2">
        <f t="shared" si="12"/>
        <v>0</v>
      </c>
      <c r="I190" s="2">
        <f t="shared" si="12"/>
        <v>0</v>
      </c>
      <c r="J190" s="2">
        <f t="shared" si="12"/>
        <v>0</v>
      </c>
      <c r="K190" s="2">
        <f t="shared" si="12"/>
        <v>0</v>
      </c>
      <c r="L190" s="2">
        <f t="shared" si="12"/>
        <v>0</v>
      </c>
      <c r="M190" s="2">
        <f t="shared" si="11"/>
        <v>0</v>
      </c>
      <c r="N190" s="2">
        <f t="shared" si="11"/>
        <v>0</v>
      </c>
      <c r="O190" s="2">
        <f>(VLOOKUP(E190,Batters!$F$2:$K$1124,6,FALSE))*C190</f>
        <v>0</v>
      </c>
    </row>
    <row r="191" spans="1:15" x14ac:dyDescent="0.25">
      <c r="A191" s="1">
        <f t="shared" si="9"/>
        <v>0</v>
      </c>
      <c r="B191" s="2">
        <f>IF(C191=0,0,A191&amp;" "&amp;COUNTIF($A$1:$A191,A191))</f>
        <v>0</v>
      </c>
      <c r="C191" s="1">
        <v>0</v>
      </c>
      <c r="D191" s="2">
        <v>0</v>
      </c>
      <c r="E191" s="2">
        <v>0</v>
      </c>
      <c r="F191" s="2">
        <v>0</v>
      </c>
      <c r="G191" s="2">
        <v>0</v>
      </c>
      <c r="H191" s="2">
        <f t="shared" si="12"/>
        <v>0</v>
      </c>
      <c r="I191" s="2">
        <f t="shared" si="12"/>
        <v>0</v>
      </c>
      <c r="J191" s="2">
        <f t="shared" si="12"/>
        <v>0</v>
      </c>
      <c r="K191" s="2">
        <f t="shared" si="12"/>
        <v>0</v>
      </c>
      <c r="L191" s="2">
        <f t="shared" si="12"/>
        <v>0</v>
      </c>
      <c r="M191" s="2">
        <f t="shared" si="11"/>
        <v>0</v>
      </c>
      <c r="N191" s="2">
        <f t="shared" si="11"/>
        <v>0</v>
      </c>
      <c r="O191" s="2">
        <f>(VLOOKUP(E191,Batters!$F$2:$K$1124,6,FALSE))*C191</f>
        <v>0</v>
      </c>
    </row>
    <row r="192" spans="1:15" x14ac:dyDescent="0.25">
      <c r="A192" s="1">
        <f t="shared" si="9"/>
        <v>0</v>
      </c>
      <c r="B192" s="2">
        <f>IF(C192=0,0,A192&amp;" "&amp;COUNTIF($A$1:$A192,A192))</f>
        <v>0</v>
      </c>
      <c r="C192" s="1">
        <v>0</v>
      </c>
      <c r="D192" s="2">
        <v>0</v>
      </c>
      <c r="E192" s="2">
        <v>0</v>
      </c>
      <c r="F192" s="2">
        <v>0</v>
      </c>
      <c r="G192" s="2">
        <v>0</v>
      </c>
      <c r="H192" s="2">
        <f t="shared" si="12"/>
        <v>0</v>
      </c>
      <c r="I192" s="2">
        <f t="shared" si="12"/>
        <v>0</v>
      </c>
      <c r="J192" s="2">
        <f t="shared" si="12"/>
        <v>0</v>
      </c>
      <c r="K192" s="2">
        <f t="shared" si="12"/>
        <v>0</v>
      </c>
      <c r="L192" s="2">
        <f t="shared" si="12"/>
        <v>0</v>
      </c>
      <c r="M192" s="2">
        <f t="shared" si="11"/>
        <v>0</v>
      </c>
      <c r="N192" s="2">
        <f t="shared" si="11"/>
        <v>0</v>
      </c>
      <c r="O192" s="2">
        <f>(VLOOKUP(E192,Batters!$F$2:$K$1124,6,FALSE))*C192</f>
        <v>0</v>
      </c>
    </row>
    <row r="193" spans="1:15" x14ac:dyDescent="0.25">
      <c r="A193" s="1">
        <f t="shared" si="9"/>
        <v>0</v>
      </c>
      <c r="B193" s="2">
        <f>IF(C193=0,0,A193&amp;" "&amp;COUNTIF($A$1:$A193,A193))</f>
        <v>0</v>
      </c>
      <c r="C193" s="1">
        <v>0</v>
      </c>
      <c r="D193" s="2">
        <v>0</v>
      </c>
      <c r="E193" s="2">
        <v>0</v>
      </c>
      <c r="F193" s="2">
        <v>0</v>
      </c>
      <c r="G193" s="2">
        <v>0</v>
      </c>
      <c r="H193" s="2">
        <f t="shared" si="12"/>
        <v>0</v>
      </c>
      <c r="I193" s="2">
        <f t="shared" si="12"/>
        <v>0</v>
      </c>
      <c r="J193" s="2">
        <f t="shared" si="12"/>
        <v>0</v>
      </c>
      <c r="K193" s="2">
        <f t="shared" si="12"/>
        <v>0</v>
      </c>
      <c r="L193" s="2">
        <f t="shared" si="12"/>
        <v>0</v>
      </c>
      <c r="M193" s="2">
        <f t="shared" si="11"/>
        <v>0</v>
      </c>
      <c r="N193" s="2">
        <f t="shared" si="11"/>
        <v>0</v>
      </c>
      <c r="O193" s="2">
        <f>(VLOOKUP(E193,Batters!$F$2:$K$1124,6,FALSE))*C193</f>
        <v>0</v>
      </c>
    </row>
    <row r="194" spans="1:15" x14ac:dyDescent="0.25">
      <c r="A194" s="1">
        <f t="shared" si="9"/>
        <v>0</v>
      </c>
      <c r="B194" s="2">
        <f>IF(C194=0,0,A194&amp;" "&amp;COUNTIF($A$1:$A194,A194))</f>
        <v>0</v>
      </c>
      <c r="C194" s="1">
        <v>0</v>
      </c>
      <c r="D194" s="2">
        <v>0</v>
      </c>
      <c r="E194" s="2">
        <v>0</v>
      </c>
      <c r="F194" s="2">
        <v>0</v>
      </c>
      <c r="G194" s="2">
        <v>0</v>
      </c>
      <c r="H194" s="2">
        <f t="shared" si="12"/>
        <v>0</v>
      </c>
      <c r="I194" s="2">
        <f t="shared" si="12"/>
        <v>0</v>
      </c>
      <c r="J194" s="2">
        <f t="shared" si="12"/>
        <v>0</v>
      </c>
      <c r="K194" s="2">
        <f t="shared" si="12"/>
        <v>0</v>
      </c>
      <c r="L194" s="2">
        <f t="shared" si="12"/>
        <v>0</v>
      </c>
      <c r="M194" s="2">
        <f t="shared" si="11"/>
        <v>0</v>
      </c>
      <c r="N194" s="2">
        <f t="shared" si="11"/>
        <v>0</v>
      </c>
      <c r="O194" s="2">
        <f>(VLOOKUP(E194,Batters!$F$2:$K$1124,6,FALSE))*C194</f>
        <v>0</v>
      </c>
    </row>
    <row r="195" spans="1:15" x14ac:dyDescent="0.25">
      <c r="A195" s="1">
        <f t="shared" ref="A195:A200" si="13">IF(C195=1,D195,0)</f>
        <v>0</v>
      </c>
      <c r="B195" s="2">
        <f>IF(C195=0,0,A195&amp;" "&amp;COUNTIF($A$1:$A195,A195))</f>
        <v>0</v>
      </c>
      <c r="C195" s="1">
        <v>0</v>
      </c>
      <c r="D195" s="2">
        <v>0</v>
      </c>
      <c r="E195" s="2">
        <v>0</v>
      </c>
      <c r="F195" s="2">
        <v>0</v>
      </c>
      <c r="G195" s="2">
        <v>0</v>
      </c>
      <c r="H195" s="2">
        <f t="shared" si="12"/>
        <v>0</v>
      </c>
      <c r="I195" s="2">
        <f t="shared" si="12"/>
        <v>0</v>
      </c>
      <c r="J195" s="2">
        <f t="shared" si="12"/>
        <v>0</v>
      </c>
      <c r="K195" s="2">
        <f t="shared" si="12"/>
        <v>0</v>
      </c>
      <c r="L195" s="2">
        <f t="shared" si="12"/>
        <v>0</v>
      </c>
      <c r="M195" s="2">
        <f t="shared" si="11"/>
        <v>0</v>
      </c>
      <c r="N195" s="2">
        <f t="shared" si="11"/>
        <v>0</v>
      </c>
      <c r="O195" s="2">
        <f>(VLOOKUP(E195,Batters!$F$2:$K$1124,6,FALSE))*C195</f>
        <v>0</v>
      </c>
    </row>
    <row r="196" spans="1:15" x14ac:dyDescent="0.25">
      <c r="A196" s="1">
        <f t="shared" si="13"/>
        <v>0</v>
      </c>
      <c r="B196" s="2">
        <f>IF(C196=0,0,A196&amp;" "&amp;COUNTIF($A$1:$A196,A196))</f>
        <v>0</v>
      </c>
      <c r="C196" s="1">
        <v>0</v>
      </c>
      <c r="D196" s="2">
        <v>0</v>
      </c>
      <c r="E196" s="2">
        <v>0</v>
      </c>
      <c r="F196" s="2">
        <v>0</v>
      </c>
      <c r="G196" s="2">
        <v>0</v>
      </c>
      <c r="H196" s="2">
        <f t="shared" si="12"/>
        <v>0</v>
      </c>
      <c r="I196" s="2">
        <f t="shared" si="12"/>
        <v>0</v>
      </c>
      <c r="J196" s="2">
        <f t="shared" si="12"/>
        <v>0</v>
      </c>
      <c r="K196" s="2">
        <f t="shared" si="12"/>
        <v>0</v>
      </c>
      <c r="L196" s="2">
        <f t="shared" si="12"/>
        <v>0</v>
      </c>
      <c r="M196" s="2">
        <f t="shared" si="11"/>
        <v>0</v>
      </c>
      <c r="N196" s="2">
        <f t="shared" si="11"/>
        <v>0</v>
      </c>
      <c r="O196" s="2">
        <f>(VLOOKUP(E196,Batters!$F$2:$K$1124,6,FALSE))*C196</f>
        <v>0</v>
      </c>
    </row>
    <row r="197" spans="1:15" x14ac:dyDescent="0.25">
      <c r="A197" s="1">
        <f t="shared" si="13"/>
        <v>0</v>
      </c>
      <c r="B197" s="2">
        <f>IF(C197=0,0,A197&amp;" "&amp;COUNTIF($A$1:$A197,A197))</f>
        <v>0</v>
      </c>
      <c r="C197" s="1">
        <v>0</v>
      </c>
      <c r="D197" s="2">
        <v>0</v>
      </c>
      <c r="E197" s="2">
        <v>0</v>
      </c>
      <c r="F197" s="2">
        <v>0</v>
      </c>
      <c r="G197" s="2">
        <v>0</v>
      </c>
      <c r="H197" s="2">
        <f t="shared" si="12"/>
        <v>0</v>
      </c>
      <c r="I197" s="2">
        <f t="shared" si="12"/>
        <v>0</v>
      </c>
      <c r="J197" s="2">
        <f t="shared" si="12"/>
        <v>0</v>
      </c>
      <c r="K197" s="2">
        <f t="shared" si="12"/>
        <v>0</v>
      </c>
      <c r="L197" s="2">
        <f t="shared" si="12"/>
        <v>0</v>
      </c>
      <c r="M197" s="2">
        <f t="shared" si="11"/>
        <v>0</v>
      </c>
      <c r="N197" s="2">
        <f t="shared" si="11"/>
        <v>0</v>
      </c>
      <c r="O197" s="2">
        <f>(VLOOKUP(E197,Batters!$F$2:$K$1124,6,FALSE))*C197</f>
        <v>0</v>
      </c>
    </row>
    <row r="198" spans="1:15" x14ac:dyDescent="0.25">
      <c r="A198" s="1">
        <f t="shared" si="13"/>
        <v>0</v>
      </c>
      <c r="B198" s="2">
        <f>IF(C198=0,0,A198&amp;" "&amp;COUNTIF($A$1:$A198,A198))</f>
        <v>0</v>
      </c>
      <c r="C198" s="1">
        <v>0</v>
      </c>
      <c r="D198" s="2">
        <v>0</v>
      </c>
      <c r="E198" s="2">
        <v>0</v>
      </c>
      <c r="F198" s="2">
        <v>0</v>
      </c>
      <c r="G198" s="2">
        <v>0</v>
      </c>
      <c r="H198" s="2">
        <f t="shared" si="12"/>
        <v>0</v>
      </c>
      <c r="I198" s="2">
        <f t="shared" si="12"/>
        <v>0</v>
      </c>
      <c r="J198" s="2">
        <f t="shared" si="12"/>
        <v>0</v>
      </c>
      <c r="K198" s="2">
        <f t="shared" si="12"/>
        <v>0</v>
      </c>
      <c r="L198" s="2">
        <f t="shared" si="12"/>
        <v>0</v>
      </c>
      <c r="M198" s="2">
        <f t="shared" si="11"/>
        <v>0</v>
      </c>
      <c r="N198" s="2">
        <f t="shared" si="11"/>
        <v>0</v>
      </c>
      <c r="O198" s="2">
        <f>(VLOOKUP(E198,Batters!$F$2:$K$1124,6,FALSE))*C198</f>
        <v>0</v>
      </c>
    </row>
    <row r="199" spans="1:15" x14ac:dyDescent="0.25">
      <c r="A199" s="1">
        <f t="shared" si="13"/>
        <v>0</v>
      </c>
      <c r="B199" s="2">
        <f>IF(C199=0,0,A199&amp;" "&amp;COUNTIF($A$1:$A199,A199))</f>
        <v>0</v>
      </c>
      <c r="C199" s="1">
        <v>0</v>
      </c>
      <c r="D199" s="2">
        <v>0</v>
      </c>
      <c r="E199" s="2">
        <v>0</v>
      </c>
      <c r="F199" s="2">
        <v>0</v>
      </c>
      <c r="G199" s="2">
        <v>0</v>
      </c>
      <c r="H199" s="2">
        <f t="shared" si="12"/>
        <v>0</v>
      </c>
      <c r="I199" s="2">
        <f t="shared" si="12"/>
        <v>0</v>
      </c>
      <c r="J199" s="2">
        <f t="shared" si="12"/>
        <v>0</v>
      </c>
      <c r="K199" s="2">
        <f t="shared" si="12"/>
        <v>0</v>
      </c>
      <c r="L199" s="2">
        <f t="shared" si="12"/>
        <v>0</v>
      </c>
      <c r="M199" s="2">
        <f t="shared" si="11"/>
        <v>0</v>
      </c>
      <c r="N199" s="2">
        <f t="shared" si="11"/>
        <v>0</v>
      </c>
      <c r="O199" s="2">
        <f>(VLOOKUP(E199,Batters!$F$2:$K$1124,6,FALSE))*C199</f>
        <v>0</v>
      </c>
    </row>
    <row r="200" spans="1:15" x14ac:dyDescent="0.25">
      <c r="A200" s="1">
        <f t="shared" si="13"/>
        <v>0</v>
      </c>
      <c r="B200" s="2">
        <f>IF(C200=0,0,A200&amp;" "&amp;COUNTIF($A$1:$A200,A200))</f>
        <v>0</v>
      </c>
      <c r="C200" s="1">
        <v>0</v>
      </c>
      <c r="D200" s="2">
        <v>0</v>
      </c>
      <c r="E200" s="2">
        <v>0</v>
      </c>
      <c r="F200" s="2">
        <v>0</v>
      </c>
      <c r="G200" s="2">
        <v>0</v>
      </c>
      <c r="H200" s="2">
        <f t="shared" si="12"/>
        <v>0</v>
      </c>
      <c r="I200" s="2">
        <f t="shared" si="12"/>
        <v>0</v>
      </c>
      <c r="J200" s="2">
        <f t="shared" si="12"/>
        <v>0</v>
      </c>
      <c r="K200" s="2">
        <f t="shared" si="12"/>
        <v>0</v>
      </c>
      <c r="L200" s="2">
        <f t="shared" si="12"/>
        <v>0</v>
      </c>
      <c r="M200" s="2">
        <f t="shared" si="11"/>
        <v>0</v>
      </c>
      <c r="N200" s="2">
        <f t="shared" si="11"/>
        <v>0</v>
      </c>
      <c r="O200" s="2">
        <f>(VLOOKUP(E200,Batters!$F$2:$K$1124,6,FALSE))*C200</f>
        <v>0</v>
      </c>
    </row>
    <row r="201" spans="1:15" x14ac:dyDescent="0.25">
      <c r="C201" s="1"/>
      <c r="D201" s="2">
        <v>0</v>
      </c>
      <c r="E201" s="2">
        <v>0</v>
      </c>
      <c r="F201" s="2">
        <v>0</v>
      </c>
      <c r="G201" s="2">
        <v>0</v>
      </c>
      <c r="O201" s="2">
        <f>(VLOOKUP(E201,Batters!$F$2:$K$1124,6,FALSE))*C201</f>
        <v>0</v>
      </c>
    </row>
    <row r="202" spans="1:15" x14ac:dyDescent="0.25">
      <c r="C202" s="1"/>
      <c r="D202" s="2">
        <v>0</v>
      </c>
      <c r="E202" s="2">
        <v>0</v>
      </c>
      <c r="F202" s="2">
        <v>0</v>
      </c>
      <c r="G202" s="2">
        <v>0</v>
      </c>
    </row>
    <row r="203" spans="1:15" x14ac:dyDescent="0.25">
      <c r="C203" s="1"/>
      <c r="D203" s="2">
        <v>0</v>
      </c>
      <c r="E203" s="2">
        <v>0</v>
      </c>
      <c r="F203" s="2">
        <v>0</v>
      </c>
      <c r="G203" s="2">
        <v>0</v>
      </c>
    </row>
    <row r="204" spans="1:15" x14ac:dyDescent="0.25">
      <c r="C204" s="1"/>
      <c r="D204" s="2">
        <v>0</v>
      </c>
      <c r="E204" s="2">
        <v>0</v>
      </c>
      <c r="F204" s="2">
        <v>0</v>
      </c>
      <c r="G204" s="2">
        <v>0</v>
      </c>
    </row>
    <row r="205" spans="1:15" x14ac:dyDescent="0.25">
      <c r="C205" s="1"/>
      <c r="D205" s="2">
        <v>0</v>
      </c>
      <c r="E205" s="2">
        <v>0</v>
      </c>
      <c r="F205" s="2">
        <v>0</v>
      </c>
      <c r="G205" s="2">
        <v>0</v>
      </c>
    </row>
    <row r="206" spans="1:15" x14ac:dyDescent="0.25">
      <c r="C206" s="1"/>
      <c r="D206" s="2">
        <v>0</v>
      </c>
      <c r="E206" s="2">
        <v>0</v>
      </c>
      <c r="F206" s="2">
        <v>0</v>
      </c>
      <c r="G206" s="2">
        <v>0</v>
      </c>
    </row>
    <row r="207" spans="1:15" x14ac:dyDescent="0.25">
      <c r="C207" s="1"/>
      <c r="D207" s="2">
        <v>0</v>
      </c>
      <c r="E207" s="2">
        <v>0</v>
      </c>
      <c r="F207" s="2">
        <v>0</v>
      </c>
      <c r="G207" s="2">
        <v>0</v>
      </c>
    </row>
    <row r="208" spans="1:15" x14ac:dyDescent="0.25">
      <c r="C208" s="1"/>
      <c r="D208" s="2">
        <v>0</v>
      </c>
      <c r="E208" s="2">
        <v>0</v>
      </c>
      <c r="F208" s="2">
        <v>0</v>
      </c>
      <c r="G208" s="2">
        <v>0</v>
      </c>
    </row>
    <row r="209" spans="3:7" x14ac:dyDescent="0.25">
      <c r="C209" s="1"/>
      <c r="D209" s="2">
        <v>0</v>
      </c>
      <c r="E209" s="2">
        <v>0</v>
      </c>
      <c r="F209" s="2">
        <v>0</v>
      </c>
      <c r="G209" s="2">
        <v>0</v>
      </c>
    </row>
    <row r="210" spans="3:7" x14ac:dyDescent="0.25">
      <c r="C210" s="1"/>
      <c r="D210" s="2">
        <v>0</v>
      </c>
      <c r="E210" s="2">
        <v>0</v>
      </c>
      <c r="F210" s="2">
        <v>0</v>
      </c>
      <c r="G210" s="2">
        <v>0</v>
      </c>
    </row>
    <row r="211" spans="3:7" x14ac:dyDescent="0.25">
      <c r="C211" s="1"/>
      <c r="D211" s="2">
        <v>0</v>
      </c>
      <c r="E211" s="2">
        <v>0</v>
      </c>
      <c r="F211" s="2">
        <v>0</v>
      </c>
      <c r="G211" s="2">
        <v>0</v>
      </c>
    </row>
    <row r="212" spans="3:7" x14ac:dyDescent="0.25">
      <c r="C212" s="1"/>
      <c r="D212" s="2">
        <v>0</v>
      </c>
      <c r="E212" s="2">
        <v>0</v>
      </c>
      <c r="F212" s="2">
        <v>0</v>
      </c>
      <c r="G212" s="2">
        <v>0</v>
      </c>
    </row>
    <row r="213" spans="3:7" x14ac:dyDescent="0.25">
      <c r="C213" s="1"/>
      <c r="D213" s="2">
        <v>0</v>
      </c>
      <c r="E213" s="2">
        <v>0</v>
      </c>
      <c r="F213" s="2">
        <v>0</v>
      </c>
      <c r="G213" s="2">
        <v>0</v>
      </c>
    </row>
    <row r="214" spans="3:7" x14ac:dyDescent="0.25">
      <c r="C214" s="1"/>
      <c r="D214" s="2">
        <v>0</v>
      </c>
      <c r="E214" s="2">
        <v>0</v>
      </c>
      <c r="F214" s="2">
        <v>0</v>
      </c>
      <c r="G214" s="2">
        <v>0</v>
      </c>
    </row>
    <row r="215" spans="3:7" x14ac:dyDescent="0.25">
      <c r="C215" s="1"/>
      <c r="D215" s="2">
        <v>0</v>
      </c>
      <c r="E215" s="2">
        <v>0</v>
      </c>
      <c r="F215" s="2">
        <v>0</v>
      </c>
      <c r="G215" s="2">
        <v>0</v>
      </c>
    </row>
    <row r="216" spans="3:7" x14ac:dyDescent="0.25">
      <c r="C216" s="1"/>
      <c r="D216" s="2">
        <v>0</v>
      </c>
      <c r="E216" s="2">
        <v>0</v>
      </c>
      <c r="F216" s="2">
        <v>0</v>
      </c>
      <c r="G216" s="2">
        <v>0</v>
      </c>
    </row>
    <row r="217" spans="3:7" x14ac:dyDescent="0.25">
      <c r="C217" s="1"/>
      <c r="D217" s="2">
        <v>0</v>
      </c>
      <c r="E217" s="2">
        <v>0</v>
      </c>
      <c r="F217" s="2">
        <v>0</v>
      </c>
      <c r="G217" s="2">
        <v>0</v>
      </c>
    </row>
    <row r="218" spans="3:7" x14ac:dyDescent="0.25">
      <c r="C218" s="1"/>
      <c r="D218" s="2">
        <v>0</v>
      </c>
      <c r="E218" s="2">
        <v>0</v>
      </c>
      <c r="F218" s="2">
        <v>0</v>
      </c>
      <c r="G218" s="2">
        <v>0</v>
      </c>
    </row>
    <row r="219" spans="3:7" x14ac:dyDescent="0.25">
      <c r="C219" s="1"/>
      <c r="D219" s="2">
        <v>0</v>
      </c>
      <c r="E219" s="2">
        <v>0</v>
      </c>
      <c r="F219" s="2">
        <v>0</v>
      </c>
      <c r="G219" s="2">
        <v>0</v>
      </c>
    </row>
    <row r="220" spans="3:7" x14ac:dyDescent="0.25">
      <c r="C220" s="1"/>
      <c r="D220" s="2">
        <v>0</v>
      </c>
      <c r="E220" s="2">
        <v>0</v>
      </c>
      <c r="F220" s="2">
        <v>0</v>
      </c>
      <c r="G220" s="2">
        <v>0</v>
      </c>
    </row>
    <row r="221" spans="3:7" x14ac:dyDescent="0.25">
      <c r="C221" s="1"/>
      <c r="D221" s="2">
        <v>0</v>
      </c>
      <c r="E221" s="2">
        <v>0</v>
      </c>
      <c r="F221" s="2">
        <v>0</v>
      </c>
      <c r="G221" s="2">
        <v>0</v>
      </c>
    </row>
    <row r="222" spans="3:7" x14ac:dyDescent="0.25">
      <c r="C222" s="1"/>
      <c r="D222" s="2">
        <v>0</v>
      </c>
      <c r="E222" s="2">
        <v>0</v>
      </c>
      <c r="F222" s="2">
        <v>0</v>
      </c>
      <c r="G222" s="2">
        <v>0</v>
      </c>
    </row>
    <row r="223" spans="3:7" x14ac:dyDescent="0.25">
      <c r="C223" s="1"/>
      <c r="D223" s="2">
        <v>0</v>
      </c>
      <c r="E223" s="2">
        <v>0</v>
      </c>
      <c r="F223" s="2">
        <v>0</v>
      </c>
      <c r="G223" s="2">
        <v>0</v>
      </c>
    </row>
    <row r="224" spans="3:7" x14ac:dyDescent="0.25">
      <c r="C224" s="1"/>
      <c r="D224" s="2">
        <v>0</v>
      </c>
      <c r="E224" s="2">
        <v>0</v>
      </c>
      <c r="F224" s="2">
        <v>0</v>
      </c>
      <c r="G224" s="2">
        <v>0</v>
      </c>
    </row>
    <row r="225" spans="3:7" x14ac:dyDescent="0.25">
      <c r="C225" s="1"/>
      <c r="D225" s="2">
        <v>0</v>
      </c>
      <c r="E225" s="2">
        <v>0</v>
      </c>
      <c r="F225" s="2">
        <v>0</v>
      </c>
      <c r="G225" s="2">
        <v>0</v>
      </c>
    </row>
    <row r="226" spans="3:7" x14ac:dyDescent="0.25">
      <c r="C226" s="1"/>
      <c r="D226" s="2">
        <v>0</v>
      </c>
      <c r="E226" s="2">
        <v>0</v>
      </c>
      <c r="F226" s="2">
        <v>0</v>
      </c>
      <c r="G226" s="2">
        <v>0</v>
      </c>
    </row>
    <row r="227" spans="3:7" x14ac:dyDescent="0.25">
      <c r="C227" s="1"/>
      <c r="D227" s="2">
        <v>0</v>
      </c>
      <c r="E227" s="2">
        <v>0</v>
      </c>
      <c r="F227" s="2">
        <v>0</v>
      </c>
      <c r="G227" s="2">
        <v>0</v>
      </c>
    </row>
    <row r="228" spans="3:7" x14ac:dyDescent="0.25">
      <c r="C228" s="1"/>
      <c r="D228" s="2">
        <v>0</v>
      </c>
      <c r="E228" s="2">
        <v>0</v>
      </c>
      <c r="F228" s="2">
        <v>0</v>
      </c>
      <c r="G228" s="2">
        <v>0</v>
      </c>
    </row>
    <row r="229" spans="3:7" x14ac:dyDescent="0.25">
      <c r="C229" s="1"/>
      <c r="D229" s="2">
        <v>0</v>
      </c>
      <c r="E229" s="2">
        <v>0</v>
      </c>
      <c r="F229" s="2">
        <v>0</v>
      </c>
      <c r="G229" s="2">
        <v>0</v>
      </c>
    </row>
    <row r="230" spans="3:7" x14ac:dyDescent="0.25">
      <c r="C230" s="1"/>
      <c r="D230" s="2">
        <v>0</v>
      </c>
      <c r="E230" s="2">
        <v>0</v>
      </c>
      <c r="F230" s="2">
        <v>0</v>
      </c>
      <c r="G230" s="2">
        <v>0</v>
      </c>
    </row>
    <row r="231" spans="3:7" x14ac:dyDescent="0.25">
      <c r="C231" s="1"/>
      <c r="D231" s="2">
        <v>0</v>
      </c>
      <c r="E231" s="2">
        <v>0</v>
      </c>
      <c r="F231" s="2">
        <v>0</v>
      </c>
      <c r="G231" s="2">
        <v>0</v>
      </c>
    </row>
    <row r="232" spans="3:7" x14ac:dyDescent="0.25">
      <c r="C232" s="1"/>
      <c r="D232" s="2">
        <v>0</v>
      </c>
      <c r="E232" s="2">
        <v>0</v>
      </c>
      <c r="F232" s="2">
        <v>0</v>
      </c>
      <c r="G232" s="2">
        <v>0</v>
      </c>
    </row>
    <row r="233" spans="3:7" x14ac:dyDescent="0.25">
      <c r="C233" s="1"/>
      <c r="D233" s="2">
        <v>0</v>
      </c>
      <c r="E233" s="2">
        <v>0</v>
      </c>
      <c r="F233" s="2">
        <v>0</v>
      </c>
      <c r="G233" s="2">
        <v>0</v>
      </c>
    </row>
    <row r="234" spans="3:7" x14ac:dyDescent="0.25">
      <c r="C234" s="1"/>
      <c r="D234" s="2">
        <v>0</v>
      </c>
      <c r="E234" s="2">
        <v>0</v>
      </c>
      <c r="F234" s="2">
        <v>0</v>
      </c>
      <c r="G234" s="2">
        <v>0</v>
      </c>
    </row>
    <row r="235" spans="3:7" x14ac:dyDescent="0.25">
      <c r="C235" s="1"/>
      <c r="D235" s="2">
        <v>0</v>
      </c>
      <c r="E235" s="2">
        <v>0</v>
      </c>
      <c r="F235" s="2">
        <v>0</v>
      </c>
      <c r="G235" s="2">
        <v>0</v>
      </c>
    </row>
    <row r="236" spans="3:7" x14ac:dyDescent="0.25">
      <c r="C236" s="1"/>
      <c r="D236" s="2">
        <v>0</v>
      </c>
      <c r="E236" s="2">
        <v>0</v>
      </c>
      <c r="F236" s="2">
        <v>0</v>
      </c>
      <c r="G236" s="2">
        <v>0</v>
      </c>
    </row>
    <row r="237" spans="3:7" x14ac:dyDescent="0.25">
      <c r="C237" s="1"/>
      <c r="D237" s="2">
        <v>0</v>
      </c>
      <c r="E237" s="2">
        <v>0</v>
      </c>
      <c r="F237" s="2">
        <v>0</v>
      </c>
      <c r="G237" s="2">
        <v>0</v>
      </c>
    </row>
    <row r="238" spans="3:7" x14ac:dyDescent="0.25">
      <c r="C238" s="1"/>
      <c r="D238" s="2">
        <v>0</v>
      </c>
      <c r="E238" s="2">
        <v>0</v>
      </c>
      <c r="F238" s="2">
        <v>0</v>
      </c>
      <c r="G238" s="2">
        <v>0</v>
      </c>
    </row>
    <row r="239" spans="3:7" x14ac:dyDescent="0.25">
      <c r="C239" s="1"/>
      <c r="D239" s="2">
        <v>0</v>
      </c>
      <c r="E239" s="2">
        <v>0</v>
      </c>
      <c r="F239" s="2">
        <v>0</v>
      </c>
      <c r="G239" s="2">
        <v>0</v>
      </c>
    </row>
    <row r="240" spans="3:7" x14ac:dyDescent="0.25">
      <c r="C240" s="1"/>
      <c r="D240" s="2">
        <v>0</v>
      </c>
      <c r="E240" s="2">
        <v>0</v>
      </c>
      <c r="F240" s="2">
        <v>0</v>
      </c>
      <c r="G240" s="2">
        <v>0</v>
      </c>
    </row>
    <row r="241" spans="3:7" x14ac:dyDescent="0.25">
      <c r="C241" s="1"/>
      <c r="D241" s="2">
        <v>0</v>
      </c>
      <c r="E241" s="2">
        <v>0</v>
      </c>
      <c r="F241" s="2">
        <v>0</v>
      </c>
      <c r="G241" s="2">
        <v>0</v>
      </c>
    </row>
    <row r="242" spans="3:7" x14ac:dyDescent="0.25">
      <c r="C242" s="1"/>
      <c r="D242" s="2">
        <v>0</v>
      </c>
      <c r="E242" s="2">
        <v>0</v>
      </c>
      <c r="F242" s="2">
        <v>0</v>
      </c>
      <c r="G242" s="2">
        <v>0</v>
      </c>
    </row>
    <row r="243" spans="3:7" x14ac:dyDescent="0.25">
      <c r="C243" s="1"/>
      <c r="D243" s="2">
        <v>0</v>
      </c>
      <c r="E243" s="2">
        <v>0</v>
      </c>
      <c r="F243" s="2">
        <v>0</v>
      </c>
      <c r="G243" s="2">
        <v>0</v>
      </c>
    </row>
    <row r="244" spans="3:7" x14ac:dyDescent="0.25">
      <c r="C244" s="1"/>
      <c r="D244" s="2">
        <v>0</v>
      </c>
      <c r="E244" s="2">
        <v>0</v>
      </c>
      <c r="F244" s="2">
        <v>0</v>
      </c>
      <c r="G244" s="2">
        <v>0</v>
      </c>
    </row>
    <row r="245" spans="3:7" x14ac:dyDescent="0.25">
      <c r="C245" s="1"/>
      <c r="D245" s="2">
        <v>0</v>
      </c>
      <c r="E245" s="2">
        <v>0</v>
      </c>
      <c r="F245" s="2">
        <v>0</v>
      </c>
      <c r="G245" s="2">
        <v>0</v>
      </c>
    </row>
    <row r="246" spans="3:7" x14ac:dyDescent="0.25">
      <c r="C246" s="1"/>
      <c r="D246" s="2">
        <v>0</v>
      </c>
      <c r="E246" s="2">
        <v>0</v>
      </c>
      <c r="F246" s="2">
        <v>0</v>
      </c>
      <c r="G246" s="2">
        <v>0</v>
      </c>
    </row>
    <row r="247" spans="3:7" x14ac:dyDescent="0.25">
      <c r="C247" s="1"/>
      <c r="D247" s="2">
        <v>0</v>
      </c>
      <c r="E247" s="2">
        <v>0</v>
      </c>
      <c r="F247" s="2">
        <v>0</v>
      </c>
      <c r="G247" s="2">
        <v>0</v>
      </c>
    </row>
    <row r="248" spans="3:7" x14ac:dyDescent="0.25">
      <c r="C248" s="1"/>
      <c r="D248" s="2">
        <v>0</v>
      </c>
      <c r="E248" s="2">
        <v>0</v>
      </c>
      <c r="F248" s="2">
        <v>0</v>
      </c>
      <c r="G248" s="2">
        <v>0</v>
      </c>
    </row>
    <row r="249" spans="3:7" x14ac:dyDescent="0.25">
      <c r="C249" s="1"/>
      <c r="D249" s="2">
        <v>0</v>
      </c>
      <c r="E249" s="2">
        <v>0</v>
      </c>
      <c r="F249" s="2">
        <v>0</v>
      </c>
      <c r="G249" s="2">
        <v>0</v>
      </c>
    </row>
    <row r="250" spans="3:7" x14ac:dyDescent="0.25">
      <c r="C250" s="1"/>
      <c r="D250" s="2">
        <v>0</v>
      </c>
      <c r="E250" s="2">
        <v>0</v>
      </c>
      <c r="F250" s="2">
        <v>0</v>
      </c>
      <c r="G250" s="2">
        <v>0</v>
      </c>
    </row>
    <row r="251" spans="3:7" x14ac:dyDescent="0.25">
      <c r="C251" s="1"/>
      <c r="D251" s="2">
        <v>0</v>
      </c>
      <c r="E251" s="2">
        <v>0</v>
      </c>
      <c r="F251" s="2">
        <v>0</v>
      </c>
      <c r="G251" s="2">
        <v>0</v>
      </c>
    </row>
    <row r="252" spans="3:7" x14ac:dyDescent="0.25">
      <c r="C252" s="1"/>
      <c r="D252" s="2">
        <v>0</v>
      </c>
      <c r="E252" s="2">
        <v>0</v>
      </c>
      <c r="F252" s="2">
        <v>0</v>
      </c>
      <c r="G252" s="2">
        <v>0</v>
      </c>
    </row>
    <row r="253" spans="3:7" x14ac:dyDescent="0.25">
      <c r="C253" s="1"/>
      <c r="D253" s="2">
        <v>0</v>
      </c>
      <c r="E253" s="2">
        <v>0</v>
      </c>
      <c r="F253" s="2">
        <v>0</v>
      </c>
      <c r="G253" s="2">
        <v>0</v>
      </c>
    </row>
    <row r="254" spans="3:7" x14ac:dyDescent="0.25">
      <c r="C254" s="1"/>
      <c r="D254" s="2">
        <v>0</v>
      </c>
      <c r="E254" s="2">
        <v>0</v>
      </c>
      <c r="F254" s="2">
        <v>0</v>
      </c>
      <c r="G254" s="2">
        <v>0</v>
      </c>
    </row>
    <row r="255" spans="3:7" x14ac:dyDescent="0.25">
      <c r="C255" s="1"/>
      <c r="D255" s="2">
        <v>0</v>
      </c>
      <c r="E255" s="2">
        <v>0</v>
      </c>
      <c r="F255" s="2">
        <v>0</v>
      </c>
      <c r="G255" s="2">
        <v>0</v>
      </c>
    </row>
    <row r="256" spans="3:7" x14ac:dyDescent="0.25">
      <c r="C256" s="1"/>
      <c r="D256" s="2">
        <v>0</v>
      </c>
      <c r="E256" s="2">
        <v>0</v>
      </c>
      <c r="F256" s="2">
        <v>0</v>
      </c>
      <c r="G256" s="2">
        <v>0</v>
      </c>
    </row>
    <row r="257" spans="3:7" x14ac:dyDescent="0.25">
      <c r="C257" s="1"/>
      <c r="D257" s="2">
        <v>0</v>
      </c>
      <c r="E257" s="2">
        <v>0</v>
      </c>
      <c r="F257" s="2">
        <v>0</v>
      </c>
      <c r="G257" s="2">
        <v>0</v>
      </c>
    </row>
    <row r="258" spans="3:7" x14ac:dyDescent="0.25">
      <c r="C258" s="1"/>
      <c r="D258" s="2">
        <v>0</v>
      </c>
      <c r="E258" s="2">
        <v>0</v>
      </c>
      <c r="F258" s="2">
        <v>0</v>
      </c>
      <c r="G258" s="2">
        <v>0</v>
      </c>
    </row>
    <row r="259" spans="3:7" x14ac:dyDescent="0.25">
      <c r="C259" s="1"/>
      <c r="D259" s="2">
        <v>0</v>
      </c>
      <c r="E259" s="2">
        <v>0</v>
      </c>
      <c r="F259" s="2">
        <v>0</v>
      </c>
      <c r="G259" s="2">
        <v>0</v>
      </c>
    </row>
    <row r="260" spans="3:7" x14ac:dyDescent="0.25">
      <c r="C260" s="1"/>
      <c r="D260" s="2">
        <v>0</v>
      </c>
      <c r="E260" s="2">
        <v>0</v>
      </c>
      <c r="F260" s="2">
        <v>0</v>
      </c>
      <c r="G260" s="2">
        <v>0</v>
      </c>
    </row>
    <row r="261" spans="3:7" x14ac:dyDescent="0.25">
      <c r="C261" s="1"/>
      <c r="D261" s="2">
        <v>0</v>
      </c>
      <c r="E261" s="2">
        <v>0</v>
      </c>
      <c r="F261" s="2">
        <v>0</v>
      </c>
      <c r="G261" s="2">
        <v>0</v>
      </c>
    </row>
    <row r="262" spans="3:7" x14ac:dyDescent="0.25">
      <c r="C262" s="1"/>
      <c r="D262" s="2">
        <v>0</v>
      </c>
      <c r="E262" s="2">
        <v>0</v>
      </c>
      <c r="F262" s="2">
        <v>0</v>
      </c>
      <c r="G262" s="2">
        <v>0</v>
      </c>
    </row>
    <row r="263" spans="3:7" x14ac:dyDescent="0.25">
      <c r="C263" s="1"/>
      <c r="D263" s="2">
        <v>0</v>
      </c>
      <c r="E263" s="2">
        <v>0</v>
      </c>
      <c r="F263" s="2">
        <v>0</v>
      </c>
      <c r="G263" s="2">
        <v>0</v>
      </c>
    </row>
    <row r="264" spans="3:7" x14ac:dyDescent="0.25">
      <c r="C264" s="1"/>
      <c r="D264" s="2">
        <v>0</v>
      </c>
      <c r="E264" s="2">
        <v>0</v>
      </c>
      <c r="F264" s="2">
        <v>0</v>
      </c>
      <c r="G264" s="2">
        <v>0</v>
      </c>
    </row>
    <row r="265" spans="3:7" x14ac:dyDescent="0.25">
      <c r="C265" s="1"/>
      <c r="D265" s="2">
        <v>0</v>
      </c>
      <c r="E265" s="2">
        <v>0</v>
      </c>
      <c r="F265" s="2">
        <v>0</v>
      </c>
      <c r="G265" s="2">
        <v>0</v>
      </c>
    </row>
    <row r="266" spans="3:7" x14ac:dyDescent="0.25">
      <c r="C266" s="1"/>
      <c r="D266" s="2">
        <v>0</v>
      </c>
      <c r="E266" s="2">
        <v>0</v>
      </c>
      <c r="F266" s="2">
        <v>0</v>
      </c>
      <c r="G266" s="2">
        <v>0</v>
      </c>
    </row>
    <row r="267" spans="3:7" x14ac:dyDescent="0.25">
      <c r="C267" s="1"/>
      <c r="D267" s="2">
        <v>0</v>
      </c>
      <c r="E267" s="2">
        <v>0</v>
      </c>
      <c r="F267" s="2">
        <v>0</v>
      </c>
      <c r="G267" s="2">
        <v>0</v>
      </c>
    </row>
    <row r="268" spans="3:7" x14ac:dyDescent="0.25">
      <c r="C268" s="1"/>
      <c r="D268" s="2">
        <v>0</v>
      </c>
      <c r="E268" s="2">
        <v>0</v>
      </c>
      <c r="F268" s="2">
        <v>0</v>
      </c>
      <c r="G268" s="2">
        <v>0</v>
      </c>
    </row>
    <row r="269" spans="3:7" x14ac:dyDescent="0.25">
      <c r="C269" s="1"/>
      <c r="D269" s="2">
        <v>0</v>
      </c>
      <c r="E269" s="2">
        <v>0</v>
      </c>
      <c r="F269" s="2">
        <v>0</v>
      </c>
      <c r="G269" s="2">
        <v>0</v>
      </c>
    </row>
    <row r="270" spans="3:7" x14ac:dyDescent="0.25">
      <c r="C270" s="1"/>
      <c r="D270" s="2">
        <v>0</v>
      </c>
      <c r="E270" s="2">
        <v>0</v>
      </c>
      <c r="F270" s="2">
        <v>0</v>
      </c>
      <c r="G270" s="2">
        <v>0</v>
      </c>
    </row>
    <row r="271" spans="3:7" x14ac:dyDescent="0.25">
      <c r="C271" s="1"/>
      <c r="D271" s="2">
        <v>0</v>
      </c>
      <c r="E271" s="2">
        <v>0</v>
      </c>
      <c r="F271" s="2">
        <v>0</v>
      </c>
      <c r="G271" s="2">
        <v>0</v>
      </c>
    </row>
    <row r="272" spans="3:7" x14ac:dyDescent="0.25">
      <c r="C272" s="1"/>
      <c r="D272" s="2">
        <v>0</v>
      </c>
      <c r="E272" s="2">
        <v>0</v>
      </c>
      <c r="F272" s="2">
        <v>0</v>
      </c>
      <c r="G272" s="2">
        <v>0</v>
      </c>
    </row>
    <row r="273" spans="3:7" x14ac:dyDescent="0.25">
      <c r="C273" s="1"/>
      <c r="D273" s="2">
        <v>0</v>
      </c>
      <c r="E273" s="2">
        <v>0</v>
      </c>
      <c r="F273" s="2">
        <v>0</v>
      </c>
      <c r="G273" s="2">
        <v>0</v>
      </c>
    </row>
    <row r="274" spans="3:7" x14ac:dyDescent="0.25">
      <c r="C274" s="1"/>
      <c r="D274" s="2">
        <v>0</v>
      </c>
      <c r="E274" s="2">
        <v>0</v>
      </c>
      <c r="F274" s="2">
        <v>0</v>
      </c>
      <c r="G274" s="2">
        <v>0</v>
      </c>
    </row>
    <row r="275" spans="3:7" x14ac:dyDescent="0.25">
      <c r="C275" s="1"/>
      <c r="D275" s="2">
        <v>0</v>
      </c>
      <c r="E275" s="2">
        <v>0</v>
      </c>
      <c r="F275" s="2">
        <v>0</v>
      </c>
      <c r="G275" s="2">
        <v>0</v>
      </c>
    </row>
    <row r="276" spans="3:7" x14ac:dyDescent="0.25">
      <c r="C276" s="1"/>
      <c r="D276" s="2">
        <v>0</v>
      </c>
      <c r="E276" s="2">
        <v>0</v>
      </c>
      <c r="F276" s="2">
        <v>0</v>
      </c>
      <c r="G276" s="2">
        <v>0</v>
      </c>
    </row>
    <row r="277" spans="3:7" x14ac:dyDescent="0.25">
      <c r="C277" s="1"/>
      <c r="D277" s="2">
        <v>0</v>
      </c>
      <c r="E277" s="2">
        <v>0</v>
      </c>
      <c r="F277" s="2">
        <v>0</v>
      </c>
      <c r="G277" s="2">
        <v>0</v>
      </c>
    </row>
    <row r="278" spans="3:7" x14ac:dyDescent="0.25">
      <c r="C278" s="1"/>
      <c r="D278" s="2">
        <v>0</v>
      </c>
      <c r="E278" s="2">
        <v>0</v>
      </c>
      <c r="F278" s="2">
        <v>0</v>
      </c>
      <c r="G278" s="2">
        <v>0</v>
      </c>
    </row>
    <row r="279" spans="3:7" x14ac:dyDescent="0.25">
      <c r="C279" s="1"/>
      <c r="D279" s="2">
        <v>0</v>
      </c>
      <c r="E279" s="2">
        <v>0</v>
      </c>
      <c r="F279" s="2">
        <v>0</v>
      </c>
      <c r="G279" s="2">
        <v>0</v>
      </c>
    </row>
    <row r="280" spans="3:7" x14ac:dyDescent="0.25">
      <c r="C280" s="1"/>
      <c r="D280" s="2">
        <v>0</v>
      </c>
      <c r="E280" s="2">
        <v>0</v>
      </c>
      <c r="F280" s="2">
        <v>0</v>
      </c>
      <c r="G280" s="2">
        <v>0</v>
      </c>
    </row>
    <row r="281" spans="3:7" x14ac:dyDescent="0.25">
      <c r="C281" s="1"/>
      <c r="D281" s="2">
        <v>0</v>
      </c>
      <c r="E281" s="2">
        <v>0</v>
      </c>
      <c r="F281" s="2">
        <v>0</v>
      </c>
      <c r="G281" s="2">
        <v>0</v>
      </c>
    </row>
    <row r="282" spans="3:7" x14ac:dyDescent="0.25">
      <c r="C282" s="1"/>
      <c r="D282" s="2">
        <v>0</v>
      </c>
      <c r="E282" s="2">
        <v>0</v>
      </c>
      <c r="F282" s="2">
        <v>0</v>
      </c>
      <c r="G282" s="2">
        <v>0</v>
      </c>
    </row>
    <row r="283" spans="3:7" x14ac:dyDescent="0.25">
      <c r="C283" s="1"/>
      <c r="D283" s="2">
        <v>0</v>
      </c>
      <c r="E283" s="2">
        <v>0</v>
      </c>
      <c r="F283" s="2">
        <v>0</v>
      </c>
      <c r="G283" s="2">
        <v>0</v>
      </c>
    </row>
    <row r="284" spans="3:7" x14ac:dyDescent="0.25">
      <c r="C284" s="1"/>
      <c r="D284" s="2">
        <v>0</v>
      </c>
      <c r="E284" s="2">
        <v>0</v>
      </c>
      <c r="F284" s="2">
        <v>0</v>
      </c>
      <c r="G284" s="2">
        <v>0</v>
      </c>
    </row>
    <row r="285" spans="3:7" x14ac:dyDescent="0.25">
      <c r="C285" s="1"/>
      <c r="D285" s="2">
        <v>0</v>
      </c>
      <c r="E285" s="2">
        <v>0</v>
      </c>
      <c r="F285" s="2">
        <v>0</v>
      </c>
      <c r="G285" s="2">
        <v>0</v>
      </c>
    </row>
    <row r="286" spans="3:7" x14ac:dyDescent="0.25">
      <c r="C286" s="1"/>
      <c r="D286" s="2">
        <v>0</v>
      </c>
      <c r="E286" s="2">
        <v>0</v>
      </c>
      <c r="F286" s="2">
        <v>0</v>
      </c>
      <c r="G286" s="2">
        <v>0</v>
      </c>
    </row>
    <row r="287" spans="3:7" x14ac:dyDescent="0.25">
      <c r="C287" s="1"/>
      <c r="D287" s="2">
        <v>0</v>
      </c>
      <c r="E287" s="2">
        <v>0</v>
      </c>
      <c r="F287" s="2">
        <v>0</v>
      </c>
      <c r="G287" s="2">
        <v>0</v>
      </c>
    </row>
    <row r="288" spans="3:7" x14ac:dyDescent="0.25">
      <c r="C288" s="1"/>
      <c r="D288" s="2">
        <v>0</v>
      </c>
      <c r="E288" s="2">
        <v>0</v>
      </c>
      <c r="F288" s="2">
        <v>0</v>
      </c>
      <c r="G288" s="2">
        <v>0</v>
      </c>
    </row>
    <row r="289" spans="3:7" x14ac:dyDescent="0.25">
      <c r="C289" s="1"/>
      <c r="D289" s="2">
        <v>0</v>
      </c>
      <c r="E289" s="2">
        <v>0</v>
      </c>
      <c r="F289" s="2">
        <v>0</v>
      </c>
      <c r="G289" s="2">
        <v>0</v>
      </c>
    </row>
    <row r="290" spans="3:7" x14ac:dyDescent="0.25">
      <c r="C290" s="1"/>
      <c r="D290" s="2">
        <v>0</v>
      </c>
      <c r="E290" s="2">
        <v>0</v>
      </c>
      <c r="F290" s="2">
        <v>0</v>
      </c>
      <c r="G290" s="2">
        <v>0</v>
      </c>
    </row>
    <row r="291" spans="3:7" x14ac:dyDescent="0.25">
      <c r="C291" s="1"/>
      <c r="D291" s="2">
        <v>0</v>
      </c>
      <c r="E291" s="2">
        <v>0</v>
      </c>
      <c r="F291" s="2">
        <v>0</v>
      </c>
      <c r="G291" s="2">
        <v>0</v>
      </c>
    </row>
    <row r="292" spans="3:7" x14ac:dyDescent="0.25">
      <c r="C292" s="1"/>
      <c r="D292" s="2">
        <v>0</v>
      </c>
      <c r="E292" s="2">
        <v>0</v>
      </c>
      <c r="F292" s="2">
        <v>0</v>
      </c>
      <c r="G292" s="2">
        <v>0</v>
      </c>
    </row>
    <row r="293" spans="3:7" x14ac:dyDescent="0.25">
      <c r="C293" s="1"/>
      <c r="D293" s="2">
        <v>0</v>
      </c>
      <c r="E293" s="2">
        <v>0</v>
      </c>
      <c r="F293" s="2">
        <v>0</v>
      </c>
      <c r="G293" s="2">
        <v>0</v>
      </c>
    </row>
    <row r="294" spans="3:7" x14ac:dyDescent="0.25">
      <c r="C294" s="1"/>
      <c r="D294" s="2">
        <v>0</v>
      </c>
      <c r="E294" s="2">
        <v>0</v>
      </c>
      <c r="F294" s="2">
        <v>0</v>
      </c>
      <c r="G294" s="2">
        <v>0</v>
      </c>
    </row>
    <row r="295" spans="3:7" x14ac:dyDescent="0.25">
      <c r="C295" s="1"/>
      <c r="D295" s="2">
        <v>0</v>
      </c>
      <c r="E295" s="2">
        <v>0</v>
      </c>
      <c r="F295" s="2">
        <v>0</v>
      </c>
      <c r="G295" s="2">
        <v>0</v>
      </c>
    </row>
    <row r="296" spans="3:7" x14ac:dyDescent="0.25">
      <c r="C296" s="1"/>
      <c r="D296" s="2">
        <v>0</v>
      </c>
      <c r="E296" s="2">
        <v>0</v>
      </c>
      <c r="F296" s="2">
        <v>0</v>
      </c>
      <c r="G296" s="2">
        <v>0</v>
      </c>
    </row>
    <row r="297" spans="3:7" x14ac:dyDescent="0.25">
      <c r="C297" s="1"/>
      <c r="D297" s="2">
        <v>0</v>
      </c>
      <c r="E297" s="2">
        <v>0</v>
      </c>
      <c r="F297" s="2">
        <v>0</v>
      </c>
      <c r="G297" s="2">
        <v>0</v>
      </c>
    </row>
    <row r="298" spans="3:7" x14ac:dyDescent="0.25">
      <c r="C298" s="1"/>
      <c r="D298" s="2">
        <v>0</v>
      </c>
      <c r="E298" s="2">
        <v>0</v>
      </c>
      <c r="F298" s="2">
        <v>0</v>
      </c>
      <c r="G298" s="2">
        <v>0</v>
      </c>
    </row>
    <row r="299" spans="3:7" x14ac:dyDescent="0.25">
      <c r="C299" s="1"/>
      <c r="D299" s="2">
        <v>0</v>
      </c>
      <c r="E299" s="2">
        <v>0</v>
      </c>
      <c r="F299" s="2">
        <v>0</v>
      </c>
      <c r="G299" s="2">
        <v>0</v>
      </c>
    </row>
    <row r="300" spans="3:7" x14ac:dyDescent="0.25">
      <c r="C300" s="1"/>
      <c r="D300" s="2">
        <v>0</v>
      </c>
      <c r="E300" s="2">
        <v>0</v>
      </c>
      <c r="F300" s="2">
        <v>0</v>
      </c>
      <c r="G300" s="2">
        <v>0</v>
      </c>
    </row>
    <row r="301" spans="3:7" x14ac:dyDescent="0.25">
      <c r="C301" s="1"/>
      <c r="D301" s="2">
        <v>0</v>
      </c>
      <c r="E301" s="2">
        <v>0</v>
      </c>
      <c r="F301" s="2">
        <v>0</v>
      </c>
      <c r="G301" s="2">
        <v>0</v>
      </c>
    </row>
    <row r="302" spans="3:7" x14ac:dyDescent="0.25">
      <c r="C302" s="1"/>
      <c r="D302" s="2">
        <v>0</v>
      </c>
      <c r="E302" s="2">
        <v>0</v>
      </c>
      <c r="F302" s="2">
        <v>0</v>
      </c>
      <c r="G302" s="2">
        <v>0</v>
      </c>
    </row>
    <row r="303" spans="3:7" x14ac:dyDescent="0.25">
      <c r="C303" s="1"/>
      <c r="D303" s="2">
        <v>0</v>
      </c>
      <c r="E303" s="2">
        <v>0</v>
      </c>
      <c r="F303" s="2">
        <v>0</v>
      </c>
      <c r="G303" s="2">
        <v>0</v>
      </c>
    </row>
    <row r="304" spans="3:7" x14ac:dyDescent="0.25">
      <c r="C304" s="1"/>
      <c r="D304" s="2">
        <v>0</v>
      </c>
      <c r="E304" s="2">
        <v>0</v>
      </c>
      <c r="F304" s="2">
        <v>0</v>
      </c>
      <c r="G304" s="2">
        <v>0</v>
      </c>
    </row>
    <row r="305" spans="3:7" x14ac:dyDescent="0.25">
      <c r="C305" s="1"/>
      <c r="D305" s="2">
        <v>0</v>
      </c>
      <c r="E305" s="2">
        <v>0</v>
      </c>
      <c r="F305" s="2">
        <v>0</v>
      </c>
      <c r="G305" s="2">
        <v>0</v>
      </c>
    </row>
    <row r="306" spans="3:7" x14ac:dyDescent="0.25">
      <c r="C306" s="1"/>
      <c r="D306" s="2">
        <v>0</v>
      </c>
      <c r="E306" s="2">
        <v>0</v>
      </c>
      <c r="F306" s="2">
        <v>0</v>
      </c>
      <c r="G306" s="2">
        <v>0</v>
      </c>
    </row>
    <row r="307" spans="3:7" x14ac:dyDescent="0.25">
      <c r="C307" s="1"/>
      <c r="D307" s="2">
        <v>0</v>
      </c>
      <c r="E307" s="2">
        <v>0</v>
      </c>
      <c r="F307" s="2">
        <v>0</v>
      </c>
      <c r="G307" s="2">
        <v>0</v>
      </c>
    </row>
    <row r="308" spans="3:7" x14ac:dyDescent="0.25">
      <c r="C308" s="1"/>
      <c r="D308" s="2">
        <v>0</v>
      </c>
      <c r="E308" s="2">
        <v>0</v>
      </c>
      <c r="F308" s="2">
        <v>0</v>
      </c>
      <c r="G308" s="2">
        <v>0</v>
      </c>
    </row>
    <row r="309" spans="3:7" x14ac:dyDescent="0.25">
      <c r="C309" s="1"/>
      <c r="D309" s="2">
        <v>0</v>
      </c>
      <c r="E309" s="2">
        <v>0</v>
      </c>
      <c r="F309" s="2">
        <v>0</v>
      </c>
      <c r="G309" s="2">
        <v>0</v>
      </c>
    </row>
    <row r="310" spans="3:7" x14ac:dyDescent="0.25">
      <c r="C310" s="1"/>
      <c r="D310" s="2">
        <v>0</v>
      </c>
      <c r="E310" s="2">
        <v>0</v>
      </c>
      <c r="F310" s="2">
        <v>0</v>
      </c>
      <c r="G310" s="2">
        <v>0</v>
      </c>
    </row>
    <row r="311" spans="3:7" x14ac:dyDescent="0.25">
      <c r="C311" s="1"/>
      <c r="D311" s="2">
        <v>0</v>
      </c>
      <c r="E311" s="2">
        <v>0</v>
      </c>
      <c r="F311" s="2">
        <v>0</v>
      </c>
      <c r="G311" s="2">
        <v>0</v>
      </c>
    </row>
    <row r="312" spans="3:7" x14ac:dyDescent="0.25">
      <c r="C312" s="1"/>
      <c r="D312" s="2">
        <v>0</v>
      </c>
      <c r="E312" s="2">
        <v>0</v>
      </c>
      <c r="F312" s="2">
        <v>0</v>
      </c>
      <c r="G312" s="2">
        <v>0</v>
      </c>
    </row>
    <row r="313" spans="3:7" x14ac:dyDescent="0.25">
      <c r="C313" s="1"/>
      <c r="D313" s="2">
        <v>0</v>
      </c>
      <c r="E313" s="2">
        <v>0</v>
      </c>
      <c r="F313" s="2">
        <v>0</v>
      </c>
      <c r="G313" s="2">
        <v>0</v>
      </c>
    </row>
    <row r="314" spans="3:7" x14ac:dyDescent="0.25">
      <c r="C314" s="1"/>
      <c r="D314" s="2">
        <v>0</v>
      </c>
      <c r="E314" s="2">
        <v>0</v>
      </c>
      <c r="F314" s="2">
        <v>0</v>
      </c>
      <c r="G314" s="2">
        <v>0</v>
      </c>
    </row>
    <row r="315" spans="3:7" x14ac:dyDescent="0.25">
      <c r="C315" s="1"/>
      <c r="D315" s="2">
        <v>0</v>
      </c>
      <c r="E315" s="2">
        <v>0</v>
      </c>
      <c r="F315" s="2">
        <v>0</v>
      </c>
      <c r="G315" s="2">
        <v>0</v>
      </c>
    </row>
    <row r="316" spans="3:7" x14ac:dyDescent="0.25">
      <c r="C316" s="1"/>
      <c r="D316" s="2">
        <v>0</v>
      </c>
      <c r="E316" s="2">
        <v>0</v>
      </c>
      <c r="F316" s="2">
        <v>0</v>
      </c>
      <c r="G316" s="2">
        <v>0</v>
      </c>
    </row>
    <row r="317" spans="3:7" x14ac:dyDescent="0.25">
      <c r="C317" s="1"/>
      <c r="D317" s="2">
        <v>0</v>
      </c>
      <c r="E317" s="2">
        <v>0</v>
      </c>
      <c r="F317" s="2">
        <v>0</v>
      </c>
      <c r="G317" s="2">
        <v>0</v>
      </c>
    </row>
    <row r="318" spans="3:7" x14ac:dyDescent="0.25">
      <c r="C318" s="1"/>
      <c r="D318" s="2">
        <v>0</v>
      </c>
      <c r="E318" s="2">
        <v>0</v>
      </c>
      <c r="F318" s="2">
        <v>0</v>
      </c>
      <c r="G318" s="2">
        <v>0</v>
      </c>
    </row>
    <row r="319" spans="3:7" x14ac:dyDescent="0.25">
      <c r="C319" s="1"/>
      <c r="D319" s="2">
        <v>0</v>
      </c>
      <c r="E319" s="2">
        <v>0</v>
      </c>
      <c r="F319" s="2">
        <v>0</v>
      </c>
      <c r="G319" s="2">
        <v>0</v>
      </c>
    </row>
    <row r="320" spans="3:7" x14ac:dyDescent="0.25">
      <c r="C320" s="1"/>
      <c r="D320" s="2">
        <v>0</v>
      </c>
      <c r="E320" s="2">
        <v>0</v>
      </c>
      <c r="F320" s="2">
        <v>0</v>
      </c>
      <c r="G320" s="2">
        <v>0</v>
      </c>
    </row>
    <row r="321" spans="3:7" x14ac:dyDescent="0.25">
      <c r="C321" s="1"/>
      <c r="D321" s="2">
        <v>0</v>
      </c>
      <c r="E321" s="2">
        <v>0</v>
      </c>
      <c r="F321" s="2">
        <v>0</v>
      </c>
      <c r="G321" s="2">
        <v>0</v>
      </c>
    </row>
    <row r="322" spans="3:7" x14ac:dyDescent="0.25">
      <c r="C322" s="1"/>
      <c r="D322" s="2">
        <v>0</v>
      </c>
      <c r="E322" s="2">
        <v>0</v>
      </c>
      <c r="F322" s="2">
        <v>0</v>
      </c>
      <c r="G322" s="2">
        <v>0</v>
      </c>
    </row>
    <row r="323" spans="3:7" x14ac:dyDescent="0.25">
      <c r="C323" s="1"/>
      <c r="D323" s="2">
        <v>0</v>
      </c>
      <c r="E323" s="2">
        <v>0</v>
      </c>
      <c r="F323" s="2">
        <v>0</v>
      </c>
      <c r="G323" s="2">
        <v>0</v>
      </c>
    </row>
    <row r="324" spans="3:7" x14ac:dyDescent="0.25">
      <c r="C324" s="1"/>
      <c r="D324" s="2">
        <v>0</v>
      </c>
      <c r="E324" s="2">
        <v>0</v>
      </c>
      <c r="F324" s="2">
        <v>0</v>
      </c>
      <c r="G324" s="2">
        <v>0</v>
      </c>
    </row>
    <row r="325" spans="3:7" x14ac:dyDescent="0.25">
      <c r="C325" s="1"/>
      <c r="D325" s="2">
        <v>0</v>
      </c>
      <c r="E325" s="2">
        <v>0</v>
      </c>
      <c r="F325" s="2">
        <v>0</v>
      </c>
      <c r="G325" s="2">
        <v>0</v>
      </c>
    </row>
    <row r="326" spans="3:7" x14ac:dyDescent="0.25">
      <c r="C326" s="1"/>
      <c r="D326" s="2">
        <v>0</v>
      </c>
      <c r="E326" s="2">
        <v>0</v>
      </c>
      <c r="F326" s="2">
        <v>0</v>
      </c>
      <c r="G326" s="2">
        <v>0</v>
      </c>
    </row>
    <row r="327" spans="3:7" x14ac:dyDescent="0.25">
      <c r="C327" s="1"/>
      <c r="D327" s="2">
        <v>0</v>
      </c>
      <c r="E327" s="2">
        <v>0</v>
      </c>
      <c r="F327" s="2">
        <v>0</v>
      </c>
      <c r="G327" s="2">
        <v>0</v>
      </c>
    </row>
    <row r="328" spans="3:7" x14ac:dyDescent="0.25">
      <c r="C328" s="1"/>
      <c r="D328" s="2">
        <v>0</v>
      </c>
      <c r="E328" s="2">
        <v>0</v>
      </c>
      <c r="F328" s="2">
        <v>0</v>
      </c>
      <c r="G328" s="2">
        <v>0</v>
      </c>
    </row>
    <row r="329" spans="3:7" x14ac:dyDescent="0.25">
      <c r="C329" s="1"/>
      <c r="D329" s="2">
        <v>0</v>
      </c>
      <c r="E329" s="2">
        <v>0</v>
      </c>
      <c r="F329" s="2">
        <v>0</v>
      </c>
      <c r="G329" s="2">
        <v>0</v>
      </c>
    </row>
    <row r="330" spans="3:7" x14ac:dyDescent="0.25">
      <c r="C330" s="1"/>
      <c r="D330" s="2">
        <v>0</v>
      </c>
      <c r="E330" s="2">
        <v>0</v>
      </c>
      <c r="F330" s="2">
        <v>0</v>
      </c>
      <c r="G330" s="2">
        <v>0</v>
      </c>
    </row>
    <row r="331" spans="3:7" x14ac:dyDescent="0.25">
      <c r="C331" s="1"/>
      <c r="D331" s="2">
        <v>0</v>
      </c>
      <c r="E331" s="2">
        <v>0</v>
      </c>
      <c r="F331" s="2">
        <v>0</v>
      </c>
      <c r="G331" s="2">
        <v>0</v>
      </c>
    </row>
    <row r="332" spans="3:7" x14ac:dyDescent="0.25">
      <c r="C332" s="1"/>
      <c r="D332" s="2">
        <v>0</v>
      </c>
      <c r="E332" s="2">
        <v>0</v>
      </c>
      <c r="F332" s="2">
        <v>0</v>
      </c>
      <c r="G332" s="2">
        <v>0</v>
      </c>
    </row>
    <row r="333" spans="3:7" x14ac:dyDescent="0.25">
      <c r="C333" s="1"/>
      <c r="D333" s="2">
        <v>0</v>
      </c>
      <c r="E333" s="2">
        <v>0</v>
      </c>
      <c r="F333" s="2">
        <v>0</v>
      </c>
      <c r="G333" s="2">
        <v>0</v>
      </c>
    </row>
    <row r="334" spans="3:7" x14ac:dyDescent="0.25">
      <c r="C334" s="1"/>
    </row>
    <row r="335" spans="3:7" x14ac:dyDescent="0.25">
      <c r="C335" s="1"/>
    </row>
    <row r="336" spans="3:7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tabSelected="1" zoomScaleNormal="100" workbookViewId="0">
      <selection activeCell="J9" sqref="J9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8.7109375" bestFit="1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8" t="s">
        <v>15</v>
      </c>
      <c r="E2" s="48"/>
      <c r="F2" s="48"/>
      <c r="G2" s="48"/>
      <c r="H2" s="48"/>
      <c r="I2" s="48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9" t="s">
        <v>68</v>
      </c>
      <c r="E3" s="49"/>
      <c r="F3" s="49"/>
      <c r="G3" s="49"/>
      <c r="H3" s="49"/>
      <c r="I3" s="49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ht="20.25" x14ac:dyDescent="0.3">
      <c r="A6" s="19"/>
      <c r="B6" s="26"/>
      <c r="C6" s="27"/>
      <c r="D6" s="27"/>
      <c r="E6" s="27"/>
      <c r="F6" s="28"/>
      <c r="G6" s="27"/>
      <c r="H6" s="28"/>
      <c r="I6" s="28"/>
      <c r="J6" s="43" t="s">
        <v>830</v>
      </c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I7" s="31"/>
      <c r="J7" s="42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G8" s="27"/>
      <c r="H8" s="27"/>
      <c r="I8" s="27"/>
      <c r="J8" s="44" t="s">
        <v>2091</v>
      </c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42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45" t="s">
        <v>844</v>
      </c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5"/>
      <c r="F14" s="12"/>
      <c r="G14" s="12"/>
      <c r="H14" s="12"/>
      <c r="I14" s="12"/>
      <c r="J14" s="12"/>
      <c r="K14" s="46" t="s">
        <v>69</v>
      </c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4</v>
      </c>
      <c r="C15" s="15"/>
      <c r="D15" s="37">
        <f>'Fanduel MLB Solver'!Q13</f>
        <v>99.318246233035822</v>
      </c>
      <c r="E15" s="35"/>
      <c r="F15" s="40" t="str">
        <f>'Fanduel MLB Solver'!Q24</f>
        <v>Luis Castillo</v>
      </c>
      <c r="G15" s="39" t="str">
        <f>'Fanduel MLB Solver'!Q25</f>
        <v>Gerardo Parra</v>
      </c>
      <c r="H15" s="40" t="str">
        <f>'Fanduel MLB Solver'!Q26</f>
        <v>Carlos Gonzalez</v>
      </c>
      <c r="I15" s="39" t="str">
        <f>'Fanduel MLB Solver'!Q27</f>
        <v>Socrates Brito</v>
      </c>
      <c r="J15" s="39"/>
      <c r="K15" s="46" t="s">
        <v>38</v>
      </c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5</v>
      </c>
      <c r="C16" s="15"/>
      <c r="D16" s="38">
        <f>'Fanduel MLB Solver'!Q10</f>
        <v>35000</v>
      </c>
      <c r="E16" s="35"/>
      <c r="F16" s="39"/>
      <c r="G16" s="39"/>
      <c r="H16" s="39"/>
      <c r="I16" s="39"/>
      <c r="J16" s="39"/>
      <c r="K16" s="46" t="s">
        <v>74</v>
      </c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6"/>
      <c r="F17" s="39" t="str">
        <f>'Fanduel MLB Solver'!Q28</f>
        <v>Daniel Descalso</v>
      </c>
      <c r="G17" s="40" t="str">
        <f>'Fanduel MLB Solver'!Q29</f>
        <v>Jake Lamb</v>
      </c>
      <c r="H17" s="39" t="str">
        <f>'Fanduel MLB Solver'!Q30</f>
        <v>Tony Wolters</v>
      </c>
      <c r="I17" s="40"/>
      <c r="J17" s="39"/>
      <c r="K17" s="47" t="s">
        <v>856</v>
      </c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6"/>
      <c r="F18" s="12"/>
      <c r="G18" s="17"/>
      <c r="H18" s="17"/>
      <c r="I18" s="17"/>
      <c r="J18" s="17"/>
      <c r="K18" s="47" t="s">
        <v>2066</v>
      </c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tack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5" name="Button 7">
              <controlPr defaultSize="0" print="0" autoFill="0" autoPict="0" macro="[0]!Starter">
                <anchor moveWithCells="1" sizeWithCells="1">
                  <from>
                    <xdr:col>9</xdr:col>
                    <xdr:colOff>85725</xdr:colOff>
                    <xdr:row>10</xdr:row>
                    <xdr:rowOff>57150</xdr:rowOff>
                  </from>
                  <to>
                    <xdr:col>9</xdr:col>
                    <xdr:colOff>1781175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6" name="Button 9">
              <controlPr defaultSize="0" print="0" autoFill="0" autoPict="0" macro="[0]!RunAll">
                <anchor moveWithCells="1" sizeWithCells="1">
                  <from>
                    <xdr:col>9</xdr:col>
                    <xdr:colOff>9525</xdr:colOff>
                    <xdr:row>1</xdr:row>
                    <xdr:rowOff>104775</xdr:rowOff>
                  </from>
                  <to>
                    <xdr:col>9</xdr:col>
                    <xdr:colOff>1666875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124"/>
  <sheetViews>
    <sheetView workbookViewId="0">
      <selection activeCell="E1" sqref="E1:H1124"/>
    </sheetView>
  </sheetViews>
  <sheetFormatPr defaultRowHeight="15" x14ac:dyDescent="0.25"/>
  <cols>
    <col min="1" max="1" width="11.85546875" bestFit="1" customWidth="1"/>
    <col min="5" max="5" width="8.28515625" bestFit="1" customWidth="1"/>
    <col min="6" max="6" width="16.5703125" bestFit="1" customWidth="1"/>
    <col min="12" max="12" width="9.140625" style="2"/>
  </cols>
  <sheetData>
    <row r="1" spans="1:12" s="2" customFormat="1" x14ac:dyDescent="0.25">
      <c r="A1" s="2" t="s">
        <v>832</v>
      </c>
      <c r="B1" s="2" t="s">
        <v>831</v>
      </c>
      <c r="C1" s="2" t="s">
        <v>833</v>
      </c>
      <c r="D1" s="2" t="s">
        <v>834</v>
      </c>
      <c r="E1" s="2" t="s">
        <v>0</v>
      </c>
      <c r="F1" s="2" t="s">
        <v>3</v>
      </c>
      <c r="G1" s="2" t="s">
        <v>4</v>
      </c>
      <c r="H1" s="2" t="s">
        <v>5</v>
      </c>
      <c r="I1" s="2" t="s">
        <v>836</v>
      </c>
      <c r="J1" s="2" t="s">
        <v>837</v>
      </c>
      <c r="K1" s="2" t="s">
        <v>838</v>
      </c>
      <c r="L1" s="2" t="s">
        <v>1766</v>
      </c>
    </row>
    <row r="2" spans="1:12" x14ac:dyDescent="0.25">
      <c r="A2" s="2">
        <f>IF((OR(Optimizer!$J$8=Fandual!J2,Optimizer!$J$10=Fandual!J2))=TRUE, 1,0)</f>
        <v>0</v>
      </c>
      <c r="B2" s="2">
        <f>IF((OR(Fandual!O2="",Fandual!O2&lt;&gt;0)=TRUE),1,0)</f>
        <v>1</v>
      </c>
      <c r="C2">
        <f>IF(Fandual!B2&lt;&gt;"P",1,0)</f>
        <v>0</v>
      </c>
      <c r="D2" s="2">
        <f t="shared" ref="D2:D65" si="0">A2*B2*C2*L2</f>
        <v>0</v>
      </c>
      <c r="E2">
        <f>IF(D2=1,Fandual!B2,0)</f>
        <v>0</v>
      </c>
      <c r="F2" s="2">
        <f>IF(D2=1,Fandual!D2,0)</f>
        <v>0</v>
      </c>
      <c r="G2">
        <f>IF(D2=1,Fandual!F2,0)</f>
        <v>0</v>
      </c>
      <c r="H2">
        <f>IF(D2=1,Fandual!H2,0)</f>
        <v>0</v>
      </c>
      <c r="I2">
        <f>IF((Optimizer!$J$8=Fandual!J2),4,0)</f>
        <v>0</v>
      </c>
      <c r="J2">
        <f>IF((Optimizer!$J$10=Fandual!J2),100,0)</f>
        <v>0</v>
      </c>
      <c r="K2">
        <f>(I2+J2)*D2</f>
        <v>0</v>
      </c>
      <c r="L2" s="2">
        <f>IF(Fandual!M2="",1,0)</f>
        <v>0</v>
      </c>
    </row>
    <row r="3" spans="1:12" x14ac:dyDescent="0.25">
      <c r="A3" s="2">
        <f>IF((OR(Optimizer!$J$8=Fandual!J3,Optimizer!$J$10=Fandual!J3))=TRUE, 1,0)</f>
        <v>0</v>
      </c>
      <c r="B3" s="2">
        <f>IF((OR(Fandual!O3="",Fandual!O3&lt;&gt;0)=TRUE),1,0)</f>
        <v>1</v>
      </c>
      <c r="C3" s="2">
        <f>IF(Fandual!B3&lt;&gt;"P",1,0)</f>
        <v>0</v>
      </c>
      <c r="D3" s="2">
        <f t="shared" si="0"/>
        <v>0</v>
      </c>
      <c r="E3" s="2">
        <f>IF(D3=1,Fandual!B3,0)</f>
        <v>0</v>
      </c>
      <c r="F3" s="2">
        <f>IF(D3=1,Fandual!D3,0)</f>
        <v>0</v>
      </c>
      <c r="G3" s="2">
        <f>IF(D3=1,Fandual!F3,0)</f>
        <v>0</v>
      </c>
      <c r="H3" s="2">
        <f>IF(D3=1,Fandual!H3,0)</f>
        <v>0</v>
      </c>
      <c r="I3" s="2">
        <f>IF((Optimizer!$J$8=Fandual!J3),4,0)</f>
        <v>0</v>
      </c>
      <c r="J3" s="2">
        <f>IF((Optimizer!$J$10=Fandual!J3),100,0)</f>
        <v>0</v>
      </c>
      <c r="K3" s="2">
        <f t="shared" ref="K3:K66" si="1">(I3+J3)*D3</f>
        <v>0</v>
      </c>
      <c r="L3" s="2">
        <f>IF(Fandual!M3="",1,0)</f>
        <v>1</v>
      </c>
    </row>
    <row r="4" spans="1:12" x14ac:dyDescent="0.25">
      <c r="A4" s="2">
        <f>IF((OR(Optimizer!$J$8=Fandual!J4,Optimizer!$J$10=Fandual!J4))=TRUE, 1,0)</f>
        <v>0</v>
      </c>
      <c r="B4" s="2">
        <f>IF((OR(Fandual!O4="",Fandual!O4&lt;&gt;0)=TRUE),1,0)</f>
        <v>1</v>
      </c>
      <c r="C4" s="2">
        <f>IF(Fandual!B4&lt;&gt;"P",1,0)</f>
        <v>0</v>
      </c>
      <c r="D4" s="2">
        <f t="shared" si="0"/>
        <v>0</v>
      </c>
      <c r="E4" s="2">
        <f>IF(D4=1,Fandual!B4,0)</f>
        <v>0</v>
      </c>
      <c r="F4" s="2">
        <f>IF(D4=1,Fandual!D4,0)</f>
        <v>0</v>
      </c>
      <c r="G4" s="2">
        <f>IF(D4=1,Fandual!F4,0)</f>
        <v>0</v>
      </c>
      <c r="H4" s="2">
        <f>IF(D4=1,Fandual!H4,0)</f>
        <v>0</v>
      </c>
      <c r="I4" s="2">
        <f>IF((Optimizer!$J$8=Fandual!J4),4,0)</f>
        <v>0</v>
      </c>
      <c r="J4" s="2">
        <f>IF((Optimizer!$J$10=Fandual!J4),100,0)</f>
        <v>0</v>
      </c>
      <c r="K4" s="2">
        <f t="shared" si="1"/>
        <v>0</v>
      </c>
      <c r="L4" s="2">
        <f>IF(Fandual!M4="",1,0)</f>
        <v>1</v>
      </c>
    </row>
    <row r="5" spans="1:12" x14ac:dyDescent="0.25">
      <c r="A5" s="2">
        <f>IF((OR(Optimizer!$J$8=Fandual!J5,Optimizer!$J$10=Fandual!J5))=TRUE, 1,0)</f>
        <v>0</v>
      </c>
      <c r="B5" s="2">
        <f>IF((OR(Fandual!O5="",Fandual!O5&lt;&gt;0)=TRUE),1,0)</f>
        <v>1</v>
      </c>
      <c r="C5" s="2">
        <f>IF(Fandual!B5&lt;&gt;"P",1,0)</f>
        <v>0</v>
      </c>
      <c r="D5" s="2">
        <f t="shared" si="0"/>
        <v>0</v>
      </c>
      <c r="E5" s="2">
        <f>IF(D5=1,Fandual!B5,0)</f>
        <v>0</v>
      </c>
      <c r="F5" s="2">
        <f>IF(D5=1,Fandual!D5,0)</f>
        <v>0</v>
      </c>
      <c r="G5" s="2">
        <f>IF(D5=1,Fandual!F5,0)</f>
        <v>0</v>
      </c>
      <c r="H5" s="2">
        <f>IF(D5=1,Fandual!H5,0)</f>
        <v>0</v>
      </c>
      <c r="I5" s="2">
        <f>IF((Optimizer!$J$8=Fandual!J5),4,0)</f>
        <v>0</v>
      </c>
      <c r="J5" s="2">
        <f>IF((Optimizer!$J$10=Fandual!J5),100,0)</f>
        <v>0</v>
      </c>
      <c r="K5" s="2">
        <f t="shared" si="1"/>
        <v>0</v>
      </c>
      <c r="L5" s="2">
        <f>IF(Fandual!M5="",1,0)</f>
        <v>1</v>
      </c>
    </row>
    <row r="6" spans="1:12" x14ac:dyDescent="0.25">
      <c r="A6" s="2">
        <f>IF((OR(Optimizer!$J$8=Fandual!J6,Optimizer!$J$10=Fandual!J6))=TRUE, 1,0)</f>
        <v>0</v>
      </c>
      <c r="B6" s="2">
        <f>IF((OR(Fandual!O6="",Fandual!O6&lt;&gt;0)=TRUE),1,0)</f>
        <v>1</v>
      </c>
      <c r="C6" s="2">
        <f>IF(Fandual!B6&lt;&gt;"P",1,0)</f>
        <v>0</v>
      </c>
      <c r="D6" s="2">
        <f t="shared" si="0"/>
        <v>0</v>
      </c>
      <c r="E6" s="2">
        <f>IF(D6=1,Fandual!B6,0)</f>
        <v>0</v>
      </c>
      <c r="F6" s="2">
        <f>IF(D6=1,Fandual!D6,0)</f>
        <v>0</v>
      </c>
      <c r="G6" s="2">
        <f>IF(D6=1,Fandual!F6,0)</f>
        <v>0</v>
      </c>
      <c r="H6" s="2">
        <f>IF(D6=1,Fandual!H6,0)</f>
        <v>0</v>
      </c>
      <c r="I6" s="2">
        <f>IF((Optimizer!$J$8=Fandual!J6),4,0)</f>
        <v>0</v>
      </c>
      <c r="J6" s="2">
        <f>IF((Optimizer!$J$10=Fandual!J6),100,0)</f>
        <v>0</v>
      </c>
      <c r="K6" s="2">
        <f t="shared" si="1"/>
        <v>0</v>
      </c>
      <c r="L6" s="2">
        <f>IF(Fandual!M6="",1,0)</f>
        <v>1</v>
      </c>
    </row>
    <row r="7" spans="1:12" x14ac:dyDescent="0.25">
      <c r="A7" s="2">
        <f>IF((OR(Optimizer!$J$8=Fandual!J7,Optimizer!$J$10=Fandual!J7))=TRUE, 1,0)</f>
        <v>0</v>
      </c>
      <c r="B7" s="2">
        <f>IF((OR(Fandual!O7="",Fandual!O7&lt;&gt;0)=TRUE),1,0)</f>
        <v>1</v>
      </c>
      <c r="C7" s="2">
        <f>IF(Fandual!B7&lt;&gt;"P",1,0)</f>
        <v>0</v>
      </c>
      <c r="D7" s="2">
        <f t="shared" si="0"/>
        <v>0</v>
      </c>
      <c r="E7" s="2">
        <f>IF(D7=1,Fandual!B7,0)</f>
        <v>0</v>
      </c>
      <c r="F7" s="2">
        <f>IF(D7=1,Fandual!D7,0)</f>
        <v>0</v>
      </c>
      <c r="G7" s="2">
        <f>IF(D7=1,Fandual!F7,0)</f>
        <v>0</v>
      </c>
      <c r="H7" s="2">
        <f>IF(D7=1,Fandual!H7,0)</f>
        <v>0</v>
      </c>
      <c r="I7" s="2">
        <f>IF((Optimizer!$J$8=Fandual!J7),4,0)</f>
        <v>0</v>
      </c>
      <c r="J7" s="2">
        <f>IF((Optimizer!$J$10=Fandual!J7),100,0)</f>
        <v>0</v>
      </c>
      <c r="K7" s="2">
        <f t="shared" si="1"/>
        <v>0</v>
      </c>
      <c r="L7" s="2">
        <f>IF(Fandual!M7="",1,0)</f>
        <v>1</v>
      </c>
    </row>
    <row r="8" spans="1:12" x14ac:dyDescent="0.25">
      <c r="A8" s="2">
        <f>IF((OR(Optimizer!$J$8=Fandual!J8,Optimizer!$J$10=Fandual!J8))=TRUE, 1,0)</f>
        <v>0</v>
      </c>
      <c r="B8" s="2">
        <f>IF((OR(Fandual!O8="",Fandual!O8&lt;&gt;0)=TRUE),1,0)</f>
        <v>1</v>
      </c>
      <c r="C8" s="2">
        <f>IF(Fandual!B8&lt;&gt;"P",1,0)</f>
        <v>0</v>
      </c>
      <c r="D8" s="2">
        <f t="shared" si="0"/>
        <v>0</v>
      </c>
      <c r="E8" s="2">
        <f>IF(D8=1,Fandual!B8,0)</f>
        <v>0</v>
      </c>
      <c r="F8" s="2">
        <f>IF(D8=1,Fandual!D8,0)</f>
        <v>0</v>
      </c>
      <c r="G8" s="2">
        <f>IF(D8=1,Fandual!F8,0)</f>
        <v>0</v>
      </c>
      <c r="H8" s="2">
        <f>IF(D8=1,Fandual!H8,0)</f>
        <v>0</v>
      </c>
      <c r="I8" s="2">
        <f>IF((Optimizer!$J$8=Fandual!J8),4,0)</f>
        <v>0</v>
      </c>
      <c r="J8" s="2">
        <f>IF((Optimizer!$J$10=Fandual!J8),100,0)</f>
        <v>0</v>
      </c>
      <c r="K8" s="2">
        <f t="shared" si="1"/>
        <v>0</v>
      </c>
      <c r="L8" s="2">
        <f>IF(Fandual!M8="",1,0)</f>
        <v>1</v>
      </c>
    </row>
    <row r="9" spans="1:12" x14ac:dyDescent="0.25">
      <c r="A9" s="2">
        <f>IF((OR(Optimizer!$J$8=Fandual!J9,Optimizer!$J$10=Fandual!J9))=TRUE, 1,0)</f>
        <v>0</v>
      </c>
      <c r="B9" s="2">
        <f>IF((OR(Fandual!O9="",Fandual!O9&lt;&gt;0)=TRUE),1,0)</f>
        <v>1</v>
      </c>
      <c r="C9" s="2">
        <f>IF(Fandual!B9&lt;&gt;"P",1,0)</f>
        <v>0</v>
      </c>
      <c r="D9" s="2">
        <f t="shared" si="0"/>
        <v>0</v>
      </c>
      <c r="E9" s="2">
        <f>IF(D9=1,Fandual!B9,0)</f>
        <v>0</v>
      </c>
      <c r="F9" s="2">
        <f>IF(D9=1,Fandual!D9,0)</f>
        <v>0</v>
      </c>
      <c r="G9" s="2">
        <f>IF(D9=1,Fandual!F9,0)</f>
        <v>0</v>
      </c>
      <c r="H9" s="2">
        <f>IF(D9=1,Fandual!H9,0)</f>
        <v>0</v>
      </c>
      <c r="I9" s="2">
        <f>IF((Optimizer!$J$8=Fandual!J9),4,0)</f>
        <v>0</v>
      </c>
      <c r="J9" s="2">
        <f>IF((Optimizer!$J$10=Fandual!J9),100,0)</f>
        <v>0</v>
      </c>
      <c r="K9" s="2">
        <f t="shared" si="1"/>
        <v>0</v>
      </c>
      <c r="L9" s="2">
        <f>IF(Fandual!M9="",1,0)</f>
        <v>0</v>
      </c>
    </row>
    <row r="10" spans="1:12" x14ac:dyDescent="0.25">
      <c r="A10" s="2">
        <f>IF((OR(Optimizer!$J$8=Fandual!J10,Optimizer!$J$10=Fandual!J10))=TRUE, 1,0)</f>
        <v>0</v>
      </c>
      <c r="B10" s="2">
        <f>IF((OR(Fandual!O10="",Fandual!O10&lt;&gt;0)=TRUE),1,0)</f>
        <v>1</v>
      </c>
      <c r="C10" s="2">
        <f>IF(Fandual!B10&lt;&gt;"P",1,0)</f>
        <v>0</v>
      </c>
      <c r="D10" s="2">
        <f t="shared" si="0"/>
        <v>0</v>
      </c>
      <c r="E10" s="2">
        <f>IF(D10=1,Fandual!B10,0)</f>
        <v>0</v>
      </c>
      <c r="F10" s="2">
        <f>IF(D10=1,Fandual!D10,0)</f>
        <v>0</v>
      </c>
      <c r="G10" s="2">
        <f>IF(D10=1,Fandual!F10,0)</f>
        <v>0</v>
      </c>
      <c r="H10" s="2">
        <f>IF(D10=1,Fandual!H10,0)</f>
        <v>0</v>
      </c>
      <c r="I10" s="2">
        <f>IF((Optimizer!$J$8=Fandual!J10),4,0)</f>
        <v>0</v>
      </c>
      <c r="J10" s="2">
        <f>IF((Optimizer!$J$10=Fandual!J10),100,0)</f>
        <v>0</v>
      </c>
      <c r="K10" s="2">
        <f t="shared" si="1"/>
        <v>0</v>
      </c>
      <c r="L10" s="2">
        <f>IF(Fandual!M10="",1,0)</f>
        <v>0</v>
      </c>
    </row>
    <row r="11" spans="1:12" x14ac:dyDescent="0.25">
      <c r="A11" s="2">
        <f>IF((OR(Optimizer!$J$8=Fandual!J11,Optimizer!$J$10=Fandual!J11))=TRUE, 1,0)</f>
        <v>0</v>
      </c>
      <c r="B11" s="2">
        <f>IF((OR(Fandual!O11="",Fandual!O11&lt;&gt;0)=TRUE),1,0)</f>
        <v>1</v>
      </c>
      <c r="C11" s="2">
        <f>IF(Fandual!B11&lt;&gt;"P",1,0)</f>
        <v>0</v>
      </c>
      <c r="D11" s="2">
        <f t="shared" si="0"/>
        <v>0</v>
      </c>
      <c r="E11" s="2">
        <f>IF(D11=1,Fandual!B11,0)</f>
        <v>0</v>
      </c>
      <c r="F11" s="2">
        <f>IF(D11=1,Fandual!D11,0)</f>
        <v>0</v>
      </c>
      <c r="G11" s="2">
        <f>IF(D11=1,Fandual!F11,0)</f>
        <v>0</v>
      </c>
      <c r="H11" s="2">
        <f>IF(D11=1,Fandual!H11,0)</f>
        <v>0</v>
      </c>
      <c r="I11" s="2">
        <f>IF((Optimizer!$J$8=Fandual!J11),4,0)</f>
        <v>0</v>
      </c>
      <c r="J11" s="2">
        <f>IF((Optimizer!$J$10=Fandual!J11),100,0)</f>
        <v>0</v>
      </c>
      <c r="K11" s="2">
        <f t="shared" si="1"/>
        <v>0</v>
      </c>
      <c r="L11" s="2">
        <f>IF(Fandual!M11="",1,0)</f>
        <v>1</v>
      </c>
    </row>
    <row r="12" spans="1:12" x14ac:dyDescent="0.25">
      <c r="A12" s="2">
        <f>IF((OR(Optimizer!$J$8=Fandual!J12,Optimizer!$J$10=Fandual!J12))=TRUE, 1,0)</f>
        <v>0</v>
      </c>
      <c r="B12" s="2">
        <f>IF((OR(Fandual!O12="",Fandual!O12&lt;&gt;0)=TRUE),1,0)</f>
        <v>1</v>
      </c>
      <c r="C12" s="2">
        <f>IF(Fandual!B12&lt;&gt;"P",1,0)</f>
        <v>0</v>
      </c>
      <c r="D12" s="2">
        <f t="shared" si="0"/>
        <v>0</v>
      </c>
      <c r="E12" s="2">
        <f>IF(D12=1,Fandual!B12,0)</f>
        <v>0</v>
      </c>
      <c r="F12" s="2">
        <f>IF(D12=1,Fandual!D12,0)</f>
        <v>0</v>
      </c>
      <c r="G12" s="2">
        <f>IF(D12=1,Fandual!F12,0)</f>
        <v>0</v>
      </c>
      <c r="H12" s="2">
        <f>IF(D12=1,Fandual!H12,0)</f>
        <v>0</v>
      </c>
      <c r="I12" s="2">
        <f>IF((Optimizer!$J$8=Fandual!J12),4,0)</f>
        <v>0</v>
      </c>
      <c r="J12" s="2">
        <f>IF((Optimizer!$J$10=Fandual!J12),100,0)</f>
        <v>0</v>
      </c>
      <c r="K12" s="2">
        <f t="shared" si="1"/>
        <v>0</v>
      </c>
      <c r="L12" s="2">
        <f>IF(Fandual!M12="",1,0)</f>
        <v>1</v>
      </c>
    </row>
    <row r="13" spans="1:12" x14ac:dyDescent="0.25">
      <c r="A13" s="2">
        <f>IF((OR(Optimizer!$J$8=Fandual!J13,Optimizer!$J$10=Fandual!J13))=TRUE, 1,0)</f>
        <v>0</v>
      </c>
      <c r="B13" s="2">
        <f>IF((OR(Fandual!O13="",Fandual!O13&lt;&gt;0)=TRUE),1,0)</f>
        <v>1</v>
      </c>
      <c r="C13" s="2">
        <f>IF(Fandual!B13&lt;&gt;"P",1,0)</f>
        <v>0</v>
      </c>
      <c r="D13" s="2">
        <f t="shared" si="0"/>
        <v>0</v>
      </c>
      <c r="E13" s="2">
        <f>IF(D13=1,Fandual!B13,0)</f>
        <v>0</v>
      </c>
      <c r="F13" s="2">
        <f>IF(D13=1,Fandual!D13,0)</f>
        <v>0</v>
      </c>
      <c r="G13" s="2">
        <f>IF(D13=1,Fandual!F13,0)</f>
        <v>0</v>
      </c>
      <c r="H13" s="2">
        <f>IF(D13=1,Fandual!H13,0)</f>
        <v>0</v>
      </c>
      <c r="I13" s="2">
        <f>IF((Optimizer!$J$8=Fandual!J13),4,0)</f>
        <v>0</v>
      </c>
      <c r="J13" s="2">
        <f>IF((Optimizer!$J$10=Fandual!J13),100,0)</f>
        <v>0</v>
      </c>
      <c r="K13" s="2">
        <f t="shared" si="1"/>
        <v>0</v>
      </c>
      <c r="L13" s="2">
        <f>IF(Fandual!M13="",1,0)</f>
        <v>0</v>
      </c>
    </row>
    <row r="14" spans="1:12" x14ac:dyDescent="0.25">
      <c r="A14" s="2">
        <f>IF((OR(Optimizer!$J$8=Fandual!J14,Optimizer!$J$10=Fandual!J14))=TRUE, 1,0)</f>
        <v>1</v>
      </c>
      <c r="B14" s="2">
        <f>IF((OR(Fandual!O14="",Fandual!O14&lt;&gt;0)=TRUE),1,0)</f>
        <v>1</v>
      </c>
      <c r="C14" s="2">
        <f>IF(Fandual!B14&lt;&gt;"P",1,0)</f>
        <v>0</v>
      </c>
      <c r="D14" s="2">
        <f t="shared" si="0"/>
        <v>0</v>
      </c>
      <c r="E14" s="2">
        <f>IF(D14=1,Fandual!B14,0)</f>
        <v>0</v>
      </c>
      <c r="F14" s="2">
        <f>IF(D14=1,Fandual!D14,0)</f>
        <v>0</v>
      </c>
      <c r="G14" s="2">
        <f>IF(D14=1,Fandual!F14,0)</f>
        <v>0</v>
      </c>
      <c r="H14" s="2">
        <f>IF(D14=1,Fandual!H14,0)</f>
        <v>0</v>
      </c>
      <c r="I14" s="2">
        <f>IF((Optimizer!$J$8=Fandual!J14),4,0)</f>
        <v>4</v>
      </c>
      <c r="J14" s="2">
        <f>IF((Optimizer!$J$10=Fandual!J14),100,0)</f>
        <v>0</v>
      </c>
      <c r="K14" s="2">
        <f t="shared" si="1"/>
        <v>0</v>
      </c>
      <c r="L14" s="2">
        <f>IF(Fandual!M14="",1,0)</f>
        <v>1</v>
      </c>
    </row>
    <row r="15" spans="1:12" x14ac:dyDescent="0.25">
      <c r="A15" s="2">
        <f>IF((OR(Optimizer!$J$8=Fandual!J15,Optimizer!$J$10=Fandual!J15))=TRUE, 1,0)</f>
        <v>0</v>
      </c>
      <c r="B15" s="2">
        <f>IF((OR(Fandual!O15="",Fandual!O15&lt;&gt;0)=TRUE),1,0)</f>
        <v>1</v>
      </c>
      <c r="C15" s="2">
        <f>IF(Fandual!B15&lt;&gt;"P",1,0)</f>
        <v>0</v>
      </c>
      <c r="D15" s="2">
        <f t="shared" si="0"/>
        <v>0</v>
      </c>
      <c r="E15" s="2">
        <f>IF(D15=1,Fandual!B15,0)</f>
        <v>0</v>
      </c>
      <c r="F15" s="2">
        <f>IF(D15=1,Fandual!D15,0)</f>
        <v>0</v>
      </c>
      <c r="G15" s="2">
        <f>IF(D15=1,Fandual!F15,0)</f>
        <v>0</v>
      </c>
      <c r="H15" s="2">
        <f>IF(D15=1,Fandual!H15,0)</f>
        <v>0</v>
      </c>
      <c r="I15" s="2">
        <f>IF((Optimizer!$J$8=Fandual!J15),4,0)</f>
        <v>0</v>
      </c>
      <c r="J15" s="2">
        <f>IF((Optimizer!$J$10=Fandual!J15),100,0)</f>
        <v>0</v>
      </c>
      <c r="K15" s="2">
        <f t="shared" si="1"/>
        <v>0</v>
      </c>
      <c r="L15" s="2">
        <f>IF(Fandual!M15="",1,0)</f>
        <v>1</v>
      </c>
    </row>
    <row r="16" spans="1:12" x14ac:dyDescent="0.25">
      <c r="A16" s="2">
        <f>IF((OR(Optimizer!$J$8=Fandual!J16,Optimizer!$J$10=Fandual!J16))=TRUE, 1,0)</f>
        <v>0</v>
      </c>
      <c r="B16" s="2">
        <f>IF((OR(Fandual!O16="",Fandual!O16&lt;&gt;0)=TRUE),1,0)</f>
        <v>1</v>
      </c>
      <c r="C16" s="2">
        <f>IF(Fandual!B16&lt;&gt;"P",1,0)</f>
        <v>0</v>
      </c>
      <c r="D16" s="2">
        <f t="shared" si="0"/>
        <v>0</v>
      </c>
      <c r="E16" s="2">
        <f>IF(D16=1,Fandual!B16,0)</f>
        <v>0</v>
      </c>
      <c r="F16" s="2">
        <f>IF(D16=1,Fandual!D16,0)</f>
        <v>0</v>
      </c>
      <c r="G16" s="2">
        <f>IF(D16=1,Fandual!F16,0)</f>
        <v>0</v>
      </c>
      <c r="H16" s="2">
        <f>IF(D16=1,Fandual!H16,0)</f>
        <v>0</v>
      </c>
      <c r="I16" s="2">
        <f>IF((Optimizer!$J$8=Fandual!J16),4,0)</f>
        <v>0</v>
      </c>
      <c r="J16" s="2">
        <f>IF((Optimizer!$J$10=Fandual!J16),100,0)</f>
        <v>0</v>
      </c>
      <c r="K16" s="2">
        <f t="shared" si="1"/>
        <v>0</v>
      </c>
      <c r="L16" s="2">
        <f>IF(Fandual!M16="",1,0)</f>
        <v>0</v>
      </c>
    </row>
    <row r="17" spans="1:12" x14ac:dyDescent="0.25">
      <c r="A17" s="2">
        <f>IF((OR(Optimizer!$J$8=Fandual!J17,Optimizer!$J$10=Fandual!J17))=TRUE, 1,0)</f>
        <v>0</v>
      </c>
      <c r="B17" s="2">
        <f>IF((OR(Fandual!O17="",Fandual!O17&lt;&gt;0)=TRUE),1,0)</f>
        <v>1</v>
      </c>
      <c r="C17" s="2">
        <f>IF(Fandual!B17&lt;&gt;"P",1,0)</f>
        <v>0</v>
      </c>
      <c r="D17" s="2">
        <f t="shared" si="0"/>
        <v>0</v>
      </c>
      <c r="E17" s="2">
        <f>IF(D17=1,Fandual!B17,0)</f>
        <v>0</v>
      </c>
      <c r="F17" s="2">
        <f>IF(D17=1,Fandual!D17,0)</f>
        <v>0</v>
      </c>
      <c r="G17" s="2">
        <f>IF(D17=1,Fandual!F17,0)</f>
        <v>0</v>
      </c>
      <c r="H17" s="2">
        <f>IF(D17=1,Fandual!H17,0)</f>
        <v>0</v>
      </c>
      <c r="I17" s="2">
        <f>IF((Optimizer!$J$8=Fandual!J17),4,0)</f>
        <v>0</v>
      </c>
      <c r="J17" s="2">
        <f>IF((Optimizer!$J$10=Fandual!J17),100,0)</f>
        <v>0</v>
      </c>
      <c r="K17" s="2">
        <f t="shared" si="1"/>
        <v>0</v>
      </c>
      <c r="L17" s="2">
        <f>IF(Fandual!M17="",1,0)</f>
        <v>0</v>
      </c>
    </row>
    <row r="18" spans="1:12" x14ac:dyDescent="0.25">
      <c r="A18" s="2">
        <f>IF((OR(Optimizer!$J$8=Fandual!J18,Optimizer!$J$10=Fandual!J18))=TRUE, 1,0)</f>
        <v>0</v>
      </c>
      <c r="B18" s="2">
        <f>IF((OR(Fandual!O18="",Fandual!O18&lt;&gt;0)=TRUE),1,0)</f>
        <v>1</v>
      </c>
      <c r="C18" s="2">
        <f>IF(Fandual!B18&lt;&gt;"P",1,0)</f>
        <v>0</v>
      </c>
      <c r="D18" s="2">
        <f t="shared" si="0"/>
        <v>0</v>
      </c>
      <c r="E18" s="2">
        <f>IF(D18=1,Fandual!B18,0)</f>
        <v>0</v>
      </c>
      <c r="F18" s="2">
        <f>IF(D18=1,Fandual!D18,0)</f>
        <v>0</v>
      </c>
      <c r="G18" s="2">
        <f>IF(D18=1,Fandual!F18,0)</f>
        <v>0</v>
      </c>
      <c r="H18" s="2">
        <f>IF(D18=1,Fandual!H18,0)</f>
        <v>0</v>
      </c>
      <c r="I18" s="2">
        <f>IF((Optimizer!$J$8=Fandual!J18),4,0)</f>
        <v>0</v>
      </c>
      <c r="J18" s="2">
        <f>IF((Optimizer!$J$10=Fandual!J18),100,0)</f>
        <v>0</v>
      </c>
      <c r="K18" s="2">
        <f t="shared" si="1"/>
        <v>0</v>
      </c>
      <c r="L18" s="2">
        <f>IF(Fandual!M18="",1,0)</f>
        <v>1</v>
      </c>
    </row>
    <row r="19" spans="1:12" x14ac:dyDescent="0.25">
      <c r="A19" s="2">
        <f>IF((OR(Optimizer!$J$8=Fandual!J19,Optimizer!$J$10=Fandual!J19))=TRUE, 1,0)</f>
        <v>0</v>
      </c>
      <c r="B19" s="2">
        <f>IF((OR(Fandual!O19="",Fandual!O19&lt;&gt;0)=TRUE),1,0)</f>
        <v>1</v>
      </c>
      <c r="C19" s="2">
        <f>IF(Fandual!B19&lt;&gt;"P",1,0)</f>
        <v>0</v>
      </c>
      <c r="D19" s="2">
        <f t="shared" si="0"/>
        <v>0</v>
      </c>
      <c r="E19" s="2">
        <f>IF(D19=1,Fandual!B19,0)</f>
        <v>0</v>
      </c>
      <c r="F19" s="2">
        <f>IF(D19=1,Fandual!D19,0)</f>
        <v>0</v>
      </c>
      <c r="G19" s="2">
        <f>IF(D19=1,Fandual!F19,0)</f>
        <v>0</v>
      </c>
      <c r="H19" s="2">
        <f>IF(D19=1,Fandual!H19,0)</f>
        <v>0</v>
      </c>
      <c r="I19" s="2">
        <f>IF((Optimizer!$J$8=Fandual!J19),4,0)</f>
        <v>0</v>
      </c>
      <c r="J19" s="2">
        <f>IF((Optimizer!$J$10=Fandual!J19),100,0)</f>
        <v>0</v>
      </c>
      <c r="K19" s="2">
        <f t="shared" si="1"/>
        <v>0</v>
      </c>
      <c r="L19" s="2">
        <f>IF(Fandual!M19="",1,0)</f>
        <v>1</v>
      </c>
    </row>
    <row r="20" spans="1:12" x14ac:dyDescent="0.25">
      <c r="A20" s="2">
        <f>IF((OR(Optimizer!$J$8=Fandual!J20,Optimizer!$J$10=Fandual!J20))=TRUE, 1,0)</f>
        <v>1</v>
      </c>
      <c r="B20" s="2">
        <f>IF((OR(Fandual!O20="",Fandual!O20&lt;&gt;0)=TRUE),1,0)</f>
        <v>1</v>
      </c>
      <c r="C20" s="2">
        <f>IF(Fandual!B20&lt;&gt;"P",1,0)</f>
        <v>0</v>
      </c>
      <c r="D20" s="2">
        <f t="shared" si="0"/>
        <v>0</v>
      </c>
      <c r="E20" s="2">
        <f>IF(D20=1,Fandual!B20,0)</f>
        <v>0</v>
      </c>
      <c r="F20" s="2">
        <f>IF(D20=1,Fandual!D20,0)</f>
        <v>0</v>
      </c>
      <c r="G20" s="2">
        <f>IF(D20=1,Fandual!F20,0)</f>
        <v>0</v>
      </c>
      <c r="H20" s="2">
        <f>IF(D20=1,Fandual!H20,0)</f>
        <v>0</v>
      </c>
      <c r="I20" s="2">
        <f>IF((Optimizer!$J$8=Fandual!J20),4,0)</f>
        <v>4</v>
      </c>
      <c r="J20" s="2">
        <f>IF((Optimizer!$J$10=Fandual!J20),100,0)</f>
        <v>0</v>
      </c>
      <c r="K20" s="2">
        <f t="shared" si="1"/>
        <v>0</v>
      </c>
      <c r="L20" s="2">
        <f>IF(Fandual!M20="",1,0)</f>
        <v>1</v>
      </c>
    </row>
    <row r="21" spans="1:12" x14ac:dyDescent="0.25">
      <c r="A21" s="2">
        <f>IF((OR(Optimizer!$J$8=Fandual!J21,Optimizer!$J$10=Fandual!J21))=TRUE, 1,0)</f>
        <v>1</v>
      </c>
      <c r="B21" s="2">
        <f>IF((OR(Fandual!O21="",Fandual!O21&lt;&gt;0)=TRUE),1,0)</f>
        <v>1</v>
      </c>
      <c r="C21" s="2">
        <f>IF(Fandual!B21&lt;&gt;"P",1,0)</f>
        <v>0</v>
      </c>
      <c r="D21" s="2">
        <f t="shared" si="0"/>
        <v>0</v>
      </c>
      <c r="E21" s="2">
        <f>IF(D21=1,Fandual!B21,0)</f>
        <v>0</v>
      </c>
      <c r="F21" s="2">
        <f>IF(D21=1,Fandual!D21,0)</f>
        <v>0</v>
      </c>
      <c r="G21" s="2">
        <f>IF(D21=1,Fandual!F21,0)</f>
        <v>0</v>
      </c>
      <c r="H21" s="2">
        <f>IF(D21=1,Fandual!H21,0)</f>
        <v>0</v>
      </c>
      <c r="I21" s="2">
        <f>IF((Optimizer!$J$8=Fandual!J21),4,0)</f>
        <v>4</v>
      </c>
      <c r="J21" s="2">
        <f>IF((Optimizer!$J$10=Fandual!J21),100,0)</f>
        <v>0</v>
      </c>
      <c r="K21" s="2">
        <f t="shared" si="1"/>
        <v>0</v>
      </c>
      <c r="L21" s="2">
        <f>IF(Fandual!M21="",1,0)</f>
        <v>1</v>
      </c>
    </row>
    <row r="22" spans="1:12" x14ac:dyDescent="0.25">
      <c r="A22" s="2">
        <f>IF((OR(Optimizer!$J$8=Fandual!J22,Optimizer!$J$10=Fandual!J22))=TRUE, 1,0)</f>
        <v>0</v>
      </c>
      <c r="B22" s="2">
        <f>IF((OR(Fandual!O22="",Fandual!O22&lt;&gt;0)=TRUE),1,0)</f>
        <v>1</v>
      </c>
      <c r="C22" s="2">
        <f>IF(Fandual!B22&lt;&gt;"P",1,0)</f>
        <v>0</v>
      </c>
      <c r="D22" s="2">
        <f t="shared" si="0"/>
        <v>0</v>
      </c>
      <c r="E22" s="2">
        <f>IF(D22=1,Fandual!B22,0)</f>
        <v>0</v>
      </c>
      <c r="F22" s="2">
        <f>IF(D22=1,Fandual!D22,0)</f>
        <v>0</v>
      </c>
      <c r="G22" s="2">
        <f>IF(D22=1,Fandual!F22,0)</f>
        <v>0</v>
      </c>
      <c r="H22" s="2">
        <f>IF(D22=1,Fandual!H22,0)</f>
        <v>0</v>
      </c>
      <c r="I22" s="2">
        <f>IF((Optimizer!$J$8=Fandual!J22),4,0)</f>
        <v>0</v>
      </c>
      <c r="J22" s="2">
        <f>IF((Optimizer!$J$10=Fandual!J22),100,0)</f>
        <v>0</v>
      </c>
      <c r="K22" s="2">
        <f t="shared" si="1"/>
        <v>0</v>
      </c>
      <c r="L22" s="2">
        <f>IF(Fandual!M22="",1,0)</f>
        <v>1</v>
      </c>
    </row>
    <row r="23" spans="1:12" x14ac:dyDescent="0.25">
      <c r="A23" s="2">
        <f>IF((OR(Optimizer!$J$8=Fandual!J23,Optimizer!$J$10=Fandual!J23))=TRUE, 1,0)</f>
        <v>0</v>
      </c>
      <c r="B23" s="2">
        <f>IF((OR(Fandual!O23="",Fandual!O23&lt;&gt;0)=TRUE),1,0)</f>
        <v>1</v>
      </c>
      <c r="C23" s="2">
        <f>IF(Fandual!B23&lt;&gt;"P",1,0)</f>
        <v>0</v>
      </c>
      <c r="D23" s="2">
        <f t="shared" si="0"/>
        <v>0</v>
      </c>
      <c r="E23" s="2">
        <f>IF(D23=1,Fandual!B23,0)</f>
        <v>0</v>
      </c>
      <c r="F23" s="2">
        <f>IF(D23=1,Fandual!D23,0)</f>
        <v>0</v>
      </c>
      <c r="G23" s="2">
        <f>IF(D23=1,Fandual!F23,0)</f>
        <v>0</v>
      </c>
      <c r="H23" s="2">
        <f>IF(D23=1,Fandual!H23,0)</f>
        <v>0</v>
      </c>
      <c r="I23" s="2">
        <f>IF((Optimizer!$J$8=Fandual!J23),4,0)</f>
        <v>0</v>
      </c>
      <c r="J23" s="2">
        <f>IF((Optimizer!$J$10=Fandual!J23),100,0)</f>
        <v>0</v>
      </c>
      <c r="K23" s="2">
        <f t="shared" si="1"/>
        <v>0</v>
      </c>
      <c r="L23" s="2">
        <f>IF(Fandual!M23="",1,0)</f>
        <v>1</v>
      </c>
    </row>
    <row r="24" spans="1:12" x14ac:dyDescent="0.25">
      <c r="A24" s="2">
        <f>IF((OR(Optimizer!$J$8=Fandual!J24,Optimizer!$J$10=Fandual!J24))=TRUE, 1,0)</f>
        <v>0</v>
      </c>
      <c r="B24" s="2">
        <f>IF((OR(Fandual!O24="",Fandual!O24&lt;&gt;0)=TRUE),1,0)</f>
        <v>1</v>
      </c>
      <c r="C24" s="2">
        <f>IF(Fandual!B24&lt;&gt;"P",1,0)</f>
        <v>0</v>
      </c>
      <c r="D24" s="2">
        <f t="shared" si="0"/>
        <v>0</v>
      </c>
      <c r="E24" s="2">
        <f>IF(D24=1,Fandual!B24,0)</f>
        <v>0</v>
      </c>
      <c r="F24" s="2">
        <f>IF(D24=1,Fandual!D24,0)</f>
        <v>0</v>
      </c>
      <c r="G24" s="2">
        <f>IF(D24=1,Fandual!F24,0)</f>
        <v>0</v>
      </c>
      <c r="H24" s="2">
        <f>IF(D24=1,Fandual!H24,0)</f>
        <v>0</v>
      </c>
      <c r="I24" s="2">
        <f>IF((Optimizer!$J$8=Fandual!J24),4,0)</f>
        <v>0</v>
      </c>
      <c r="J24" s="2">
        <f>IF((Optimizer!$J$10=Fandual!J24),100,0)</f>
        <v>0</v>
      </c>
      <c r="K24" s="2">
        <f t="shared" si="1"/>
        <v>0</v>
      </c>
      <c r="L24" s="2">
        <f>IF(Fandual!M24="",1,0)</f>
        <v>1</v>
      </c>
    </row>
    <row r="25" spans="1:12" x14ac:dyDescent="0.25">
      <c r="A25" s="2">
        <f>IF((OR(Optimizer!$J$8=Fandual!J25,Optimizer!$J$10=Fandual!J25))=TRUE, 1,0)</f>
        <v>0</v>
      </c>
      <c r="B25" s="2">
        <f>IF((OR(Fandual!O25="",Fandual!O25&lt;&gt;0)=TRUE),1,0)</f>
        <v>1</v>
      </c>
      <c r="C25" s="2">
        <f>IF(Fandual!B25&lt;&gt;"P",1,0)</f>
        <v>0</v>
      </c>
      <c r="D25" s="2">
        <f t="shared" si="0"/>
        <v>0</v>
      </c>
      <c r="E25" s="2">
        <f>IF(D25=1,Fandual!B25,0)</f>
        <v>0</v>
      </c>
      <c r="F25" s="2">
        <f>IF(D25=1,Fandual!D25,0)</f>
        <v>0</v>
      </c>
      <c r="G25" s="2">
        <f>IF(D25=1,Fandual!F25,0)</f>
        <v>0</v>
      </c>
      <c r="H25" s="2">
        <f>IF(D25=1,Fandual!H25,0)</f>
        <v>0</v>
      </c>
      <c r="I25" s="2">
        <f>IF((Optimizer!$J$8=Fandual!J25),4,0)</f>
        <v>0</v>
      </c>
      <c r="J25" s="2">
        <f>IF((Optimizer!$J$10=Fandual!J25),100,0)</f>
        <v>0</v>
      </c>
      <c r="K25" s="2">
        <f t="shared" si="1"/>
        <v>0</v>
      </c>
      <c r="L25" s="2">
        <f>IF(Fandual!M25="",1,0)</f>
        <v>1</v>
      </c>
    </row>
    <row r="26" spans="1:12" x14ac:dyDescent="0.25">
      <c r="A26" s="2">
        <f>IF((OR(Optimizer!$J$8=Fandual!J26,Optimizer!$J$10=Fandual!J26))=TRUE, 1,0)</f>
        <v>0</v>
      </c>
      <c r="B26" s="2">
        <f>IF((OR(Fandual!O26="",Fandual!O26&lt;&gt;0)=TRUE),1,0)</f>
        <v>1</v>
      </c>
      <c r="C26" s="2">
        <f>IF(Fandual!B26&lt;&gt;"P",1,0)</f>
        <v>0</v>
      </c>
      <c r="D26" s="2">
        <f t="shared" si="0"/>
        <v>0</v>
      </c>
      <c r="E26" s="2">
        <f>IF(D26=1,Fandual!B26,0)</f>
        <v>0</v>
      </c>
      <c r="F26" s="2">
        <f>IF(D26=1,Fandual!D26,0)</f>
        <v>0</v>
      </c>
      <c r="G26" s="2">
        <f>IF(D26=1,Fandual!F26,0)</f>
        <v>0</v>
      </c>
      <c r="H26" s="2">
        <f>IF(D26=1,Fandual!H26,0)</f>
        <v>0</v>
      </c>
      <c r="I26" s="2">
        <f>IF((Optimizer!$J$8=Fandual!J26),4,0)</f>
        <v>0</v>
      </c>
      <c r="J26" s="2">
        <f>IF((Optimizer!$J$10=Fandual!J26),100,0)</f>
        <v>0</v>
      </c>
      <c r="K26" s="2">
        <f t="shared" si="1"/>
        <v>0</v>
      </c>
      <c r="L26" s="2">
        <f>IF(Fandual!M26="",1,0)</f>
        <v>1</v>
      </c>
    </row>
    <row r="27" spans="1:12" x14ac:dyDescent="0.25">
      <c r="A27" s="2">
        <f>IF((OR(Optimizer!$J$8=Fandual!J27,Optimizer!$J$10=Fandual!J27))=TRUE, 1,0)</f>
        <v>0</v>
      </c>
      <c r="B27" s="2">
        <f>IF((OR(Fandual!O27="",Fandual!O27&lt;&gt;0)=TRUE),1,0)</f>
        <v>1</v>
      </c>
      <c r="C27" s="2">
        <f>IF(Fandual!B27&lt;&gt;"P",1,0)</f>
        <v>0</v>
      </c>
      <c r="D27" s="2">
        <f t="shared" si="0"/>
        <v>0</v>
      </c>
      <c r="E27" s="2">
        <f>IF(D27=1,Fandual!B27,0)</f>
        <v>0</v>
      </c>
      <c r="F27" s="2">
        <f>IF(D27=1,Fandual!D27,0)</f>
        <v>0</v>
      </c>
      <c r="G27" s="2">
        <f>IF(D27=1,Fandual!F27,0)</f>
        <v>0</v>
      </c>
      <c r="H27" s="2">
        <f>IF(D27=1,Fandual!H27,0)</f>
        <v>0</v>
      </c>
      <c r="I27" s="2">
        <f>IF((Optimizer!$J$8=Fandual!J27),4,0)</f>
        <v>0</v>
      </c>
      <c r="J27" s="2">
        <f>IF((Optimizer!$J$10=Fandual!J27),100,0)</f>
        <v>0</v>
      </c>
      <c r="K27" s="2">
        <f t="shared" si="1"/>
        <v>0</v>
      </c>
      <c r="L27" s="2">
        <f>IF(Fandual!M27="",1,0)</f>
        <v>1</v>
      </c>
    </row>
    <row r="28" spans="1:12" x14ac:dyDescent="0.25">
      <c r="A28" s="2">
        <f>IF((OR(Optimizer!$J$8=Fandual!J28,Optimizer!$J$10=Fandual!J28))=TRUE, 1,0)</f>
        <v>0</v>
      </c>
      <c r="B28" s="2">
        <f>IF((OR(Fandual!O28="",Fandual!O28&lt;&gt;0)=TRUE),1,0)</f>
        <v>1</v>
      </c>
      <c r="C28" s="2">
        <f>IF(Fandual!B28&lt;&gt;"P",1,0)</f>
        <v>0</v>
      </c>
      <c r="D28" s="2">
        <f t="shared" si="0"/>
        <v>0</v>
      </c>
      <c r="E28" s="2">
        <f>IF(D28=1,Fandual!B28,0)</f>
        <v>0</v>
      </c>
      <c r="F28" s="2">
        <f>IF(D28=1,Fandual!D28,0)</f>
        <v>0</v>
      </c>
      <c r="G28" s="2">
        <f>IF(D28=1,Fandual!F28,0)</f>
        <v>0</v>
      </c>
      <c r="H28" s="2">
        <f>IF(D28=1,Fandual!H28,0)</f>
        <v>0</v>
      </c>
      <c r="I28" s="2">
        <f>IF((Optimizer!$J$8=Fandual!J28),4,0)</f>
        <v>0</v>
      </c>
      <c r="J28" s="2">
        <f>IF((Optimizer!$J$10=Fandual!J28),100,0)</f>
        <v>0</v>
      </c>
      <c r="K28" s="2">
        <f t="shared" si="1"/>
        <v>0</v>
      </c>
      <c r="L28" s="2">
        <f>IF(Fandual!M28="",1,0)</f>
        <v>1</v>
      </c>
    </row>
    <row r="29" spans="1:12" x14ac:dyDescent="0.25">
      <c r="A29" s="2">
        <f>IF((OR(Optimizer!$J$8=Fandual!J29,Optimizer!$J$10=Fandual!J29))=TRUE, 1,0)</f>
        <v>0</v>
      </c>
      <c r="B29" s="2">
        <f>IF((OR(Fandual!O29="",Fandual!O29&lt;&gt;0)=TRUE),1,0)</f>
        <v>1</v>
      </c>
      <c r="C29" s="2">
        <f>IF(Fandual!B29&lt;&gt;"P",1,0)</f>
        <v>0</v>
      </c>
      <c r="D29" s="2">
        <f t="shared" si="0"/>
        <v>0</v>
      </c>
      <c r="E29" s="2">
        <f>IF(D29=1,Fandual!B29,0)</f>
        <v>0</v>
      </c>
      <c r="F29" s="2">
        <f>IF(D29=1,Fandual!D29,0)</f>
        <v>0</v>
      </c>
      <c r="G29" s="2">
        <f>IF(D29=1,Fandual!F29,0)</f>
        <v>0</v>
      </c>
      <c r="H29" s="2">
        <f>IF(D29=1,Fandual!H29,0)</f>
        <v>0</v>
      </c>
      <c r="I29" s="2">
        <f>IF((Optimizer!$J$8=Fandual!J29),4,0)</f>
        <v>0</v>
      </c>
      <c r="J29" s="2">
        <f>IF((Optimizer!$J$10=Fandual!J29),100,0)</f>
        <v>0</v>
      </c>
      <c r="K29" s="2">
        <f t="shared" si="1"/>
        <v>0</v>
      </c>
      <c r="L29" s="2">
        <f>IF(Fandual!M29="",1,0)</f>
        <v>1</v>
      </c>
    </row>
    <row r="30" spans="1:12" x14ac:dyDescent="0.25">
      <c r="A30" s="2">
        <f>IF((OR(Optimizer!$J$8=Fandual!J30,Optimizer!$J$10=Fandual!J30))=TRUE, 1,0)</f>
        <v>0</v>
      </c>
      <c r="B30" s="2">
        <f>IF((OR(Fandual!O30="",Fandual!O30&lt;&gt;0)=TRUE),1,0)</f>
        <v>1</v>
      </c>
      <c r="C30" s="2">
        <f>IF(Fandual!B30&lt;&gt;"P",1,0)</f>
        <v>0</v>
      </c>
      <c r="D30" s="2">
        <f t="shared" si="0"/>
        <v>0</v>
      </c>
      <c r="E30" s="2">
        <f>IF(D30=1,Fandual!B30,0)</f>
        <v>0</v>
      </c>
      <c r="F30" s="2">
        <f>IF(D30=1,Fandual!D30,0)</f>
        <v>0</v>
      </c>
      <c r="G30" s="2">
        <f>IF(D30=1,Fandual!F30,0)</f>
        <v>0</v>
      </c>
      <c r="H30" s="2">
        <f>IF(D30=1,Fandual!H30,0)</f>
        <v>0</v>
      </c>
      <c r="I30" s="2">
        <f>IF((Optimizer!$J$8=Fandual!J30),4,0)</f>
        <v>0</v>
      </c>
      <c r="J30" s="2">
        <f>IF((Optimizer!$J$10=Fandual!J30),100,0)</f>
        <v>0</v>
      </c>
      <c r="K30" s="2">
        <f t="shared" si="1"/>
        <v>0</v>
      </c>
      <c r="L30" s="2">
        <f>IF(Fandual!M30="",1,0)</f>
        <v>1</v>
      </c>
    </row>
    <row r="31" spans="1:12" x14ac:dyDescent="0.25">
      <c r="A31" s="2">
        <f>IF((OR(Optimizer!$J$8=Fandual!J31,Optimizer!$J$10=Fandual!J31))=TRUE, 1,0)</f>
        <v>0</v>
      </c>
      <c r="B31" s="2">
        <f>IF((OR(Fandual!O31="",Fandual!O31&lt;&gt;0)=TRUE),1,0)</f>
        <v>1</v>
      </c>
      <c r="C31" s="2">
        <f>IF(Fandual!B31&lt;&gt;"P",1,0)</f>
        <v>0</v>
      </c>
      <c r="D31" s="2">
        <f t="shared" si="0"/>
        <v>0</v>
      </c>
      <c r="E31" s="2">
        <f>IF(D31=1,Fandual!B31,0)</f>
        <v>0</v>
      </c>
      <c r="F31" s="2">
        <f>IF(D31=1,Fandual!D31,0)</f>
        <v>0</v>
      </c>
      <c r="G31" s="2">
        <f>IF(D31=1,Fandual!F31,0)</f>
        <v>0</v>
      </c>
      <c r="H31" s="2">
        <f>IF(D31=1,Fandual!H31,0)</f>
        <v>0</v>
      </c>
      <c r="I31" s="2">
        <f>IF((Optimizer!$J$8=Fandual!J31),4,0)</f>
        <v>0</v>
      </c>
      <c r="J31" s="2">
        <f>IF((Optimizer!$J$10=Fandual!J31),100,0)</f>
        <v>0</v>
      </c>
      <c r="K31" s="2">
        <f t="shared" si="1"/>
        <v>0</v>
      </c>
      <c r="L31" s="2">
        <f>IF(Fandual!M31="",1,0)</f>
        <v>1</v>
      </c>
    </row>
    <row r="32" spans="1:12" x14ac:dyDescent="0.25">
      <c r="A32" s="2">
        <f>IF((OR(Optimizer!$J$8=Fandual!J32,Optimizer!$J$10=Fandual!J32))=TRUE, 1,0)</f>
        <v>0</v>
      </c>
      <c r="B32" s="2">
        <f>IF((OR(Fandual!O32="",Fandual!O32&lt;&gt;0)=TRUE),1,0)</f>
        <v>1</v>
      </c>
      <c r="C32" s="2">
        <f>IF(Fandual!B32&lt;&gt;"P",1,0)</f>
        <v>0</v>
      </c>
      <c r="D32" s="2">
        <f t="shared" si="0"/>
        <v>0</v>
      </c>
      <c r="E32" s="2">
        <f>IF(D32=1,Fandual!B32,0)</f>
        <v>0</v>
      </c>
      <c r="F32" s="2">
        <f>IF(D32=1,Fandual!D32,0)</f>
        <v>0</v>
      </c>
      <c r="G32" s="2">
        <f>IF(D32=1,Fandual!F32,0)</f>
        <v>0</v>
      </c>
      <c r="H32" s="2">
        <f>IF(D32=1,Fandual!H32,0)</f>
        <v>0</v>
      </c>
      <c r="I32" s="2">
        <f>IF((Optimizer!$J$8=Fandual!J32),4,0)</f>
        <v>0</v>
      </c>
      <c r="J32" s="2">
        <f>IF((Optimizer!$J$10=Fandual!J32),100,0)</f>
        <v>0</v>
      </c>
      <c r="K32" s="2">
        <f t="shared" si="1"/>
        <v>0</v>
      </c>
      <c r="L32" s="2">
        <f>IF(Fandual!M32="",1,0)</f>
        <v>1</v>
      </c>
    </row>
    <row r="33" spans="1:12" x14ac:dyDescent="0.25">
      <c r="A33" s="2">
        <f>IF((OR(Optimizer!$J$8=Fandual!J33,Optimizer!$J$10=Fandual!J33))=TRUE, 1,0)</f>
        <v>0</v>
      </c>
      <c r="B33" s="2">
        <f>IF((OR(Fandual!O33="",Fandual!O33&lt;&gt;0)=TRUE),1,0)</f>
        <v>1</v>
      </c>
      <c r="C33" s="2">
        <f>IF(Fandual!B33&lt;&gt;"P",1,0)</f>
        <v>0</v>
      </c>
      <c r="D33" s="2">
        <f t="shared" si="0"/>
        <v>0</v>
      </c>
      <c r="E33" s="2">
        <f>IF(D33=1,Fandual!B33,0)</f>
        <v>0</v>
      </c>
      <c r="F33" s="2">
        <f>IF(D33=1,Fandual!D33,0)</f>
        <v>0</v>
      </c>
      <c r="G33" s="2">
        <f>IF(D33=1,Fandual!F33,0)</f>
        <v>0</v>
      </c>
      <c r="H33" s="2">
        <f>IF(D33=1,Fandual!H33,0)</f>
        <v>0</v>
      </c>
      <c r="I33" s="2">
        <f>IF((Optimizer!$J$8=Fandual!J33),4,0)</f>
        <v>0</v>
      </c>
      <c r="J33" s="2">
        <f>IF((Optimizer!$J$10=Fandual!J33),100,0)</f>
        <v>0</v>
      </c>
      <c r="K33" s="2">
        <f t="shared" si="1"/>
        <v>0</v>
      </c>
      <c r="L33" s="2">
        <f>IF(Fandual!M33="",1,0)</f>
        <v>1</v>
      </c>
    </row>
    <row r="34" spans="1:12" x14ac:dyDescent="0.25">
      <c r="A34" s="2">
        <f>IF((OR(Optimizer!$J$8=Fandual!J34,Optimizer!$J$10=Fandual!J34))=TRUE, 1,0)</f>
        <v>0</v>
      </c>
      <c r="B34" s="2">
        <f>IF((OR(Fandual!O34="",Fandual!O34&lt;&gt;0)=TRUE),1,0)</f>
        <v>1</v>
      </c>
      <c r="C34" s="2">
        <f>IF(Fandual!B34&lt;&gt;"P",1,0)</f>
        <v>0</v>
      </c>
      <c r="D34" s="2">
        <f t="shared" si="0"/>
        <v>0</v>
      </c>
      <c r="E34" s="2">
        <f>IF(D34=1,Fandual!B34,0)</f>
        <v>0</v>
      </c>
      <c r="F34" s="2">
        <f>IF(D34=1,Fandual!D34,0)</f>
        <v>0</v>
      </c>
      <c r="G34" s="2">
        <f>IF(D34=1,Fandual!F34,0)</f>
        <v>0</v>
      </c>
      <c r="H34" s="2">
        <f>IF(D34=1,Fandual!H34,0)</f>
        <v>0</v>
      </c>
      <c r="I34" s="2">
        <f>IF((Optimizer!$J$8=Fandual!J34),4,0)</f>
        <v>0</v>
      </c>
      <c r="J34" s="2">
        <f>IF((Optimizer!$J$10=Fandual!J34),100,0)</f>
        <v>0</v>
      </c>
      <c r="K34" s="2">
        <f t="shared" si="1"/>
        <v>0</v>
      </c>
      <c r="L34" s="2">
        <f>IF(Fandual!M34="",1,0)</f>
        <v>1</v>
      </c>
    </row>
    <row r="35" spans="1:12" x14ac:dyDescent="0.25">
      <c r="A35" s="2">
        <f>IF((OR(Optimizer!$J$8=Fandual!J35,Optimizer!$J$10=Fandual!J35))=TRUE, 1,0)</f>
        <v>1</v>
      </c>
      <c r="B35" s="2">
        <f>IF((OR(Fandual!O35="",Fandual!O35&lt;&gt;0)=TRUE),1,0)</f>
        <v>1</v>
      </c>
      <c r="C35" s="2">
        <f>IF(Fandual!B35&lt;&gt;"P",1,0)</f>
        <v>0</v>
      </c>
      <c r="D35" s="2">
        <f t="shared" si="0"/>
        <v>0</v>
      </c>
      <c r="E35" s="2">
        <f>IF(D35=1,Fandual!B35,0)</f>
        <v>0</v>
      </c>
      <c r="F35" s="2">
        <f>IF(D35=1,Fandual!D35,0)</f>
        <v>0</v>
      </c>
      <c r="G35" s="2">
        <f>IF(D35=1,Fandual!F35,0)</f>
        <v>0</v>
      </c>
      <c r="H35" s="2">
        <f>IF(D35=1,Fandual!H35,0)</f>
        <v>0</v>
      </c>
      <c r="I35" s="2">
        <f>IF((Optimizer!$J$8=Fandual!J35),4,0)</f>
        <v>4</v>
      </c>
      <c r="J35" s="2">
        <f>IF((Optimizer!$J$10=Fandual!J35),100,0)</f>
        <v>0</v>
      </c>
      <c r="K35" s="2">
        <f t="shared" si="1"/>
        <v>0</v>
      </c>
      <c r="L35" s="2">
        <f>IF(Fandual!M35="",1,0)</f>
        <v>1</v>
      </c>
    </row>
    <row r="36" spans="1:12" x14ac:dyDescent="0.25">
      <c r="A36" s="2">
        <f>IF((OR(Optimizer!$J$8=Fandual!J36,Optimizer!$J$10=Fandual!J36))=TRUE, 1,0)</f>
        <v>0</v>
      </c>
      <c r="B36" s="2">
        <f>IF((OR(Fandual!O36="",Fandual!O36&lt;&gt;0)=TRUE),1,0)</f>
        <v>1</v>
      </c>
      <c r="C36" s="2">
        <f>IF(Fandual!B36&lt;&gt;"P",1,0)</f>
        <v>0</v>
      </c>
      <c r="D36" s="2">
        <f t="shared" si="0"/>
        <v>0</v>
      </c>
      <c r="E36" s="2">
        <f>IF(D36=1,Fandual!B36,0)</f>
        <v>0</v>
      </c>
      <c r="F36" s="2">
        <f>IF(D36=1,Fandual!D36,0)</f>
        <v>0</v>
      </c>
      <c r="G36" s="2">
        <f>IF(D36=1,Fandual!F36,0)</f>
        <v>0</v>
      </c>
      <c r="H36" s="2">
        <f>IF(D36=1,Fandual!H36,0)</f>
        <v>0</v>
      </c>
      <c r="I36" s="2">
        <f>IF((Optimizer!$J$8=Fandual!J36),4,0)</f>
        <v>0</v>
      </c>
      <c r="J36" s="2">
        <f>IF((Optimizer!$J$10=Fandual!J36),100,0)</f>
        <v>0</v>
      </c>
      <c r="K36" s="2">
        <f t="shared" si="1"/>
        <v>0</v>
      </c>
      <c r="L36" s="2">
        <f>IF(Fandual!M36="",1,0)</f>
        <v>1</v>
      </c>
    </row>
    <row r="37" spans="1:12" x14ac:dyDescent="0.25">
      <c r="A37" s="2">
        <f>IF((OR(Optimizer!$J$8=Fandual!J37,Optimizer!$J$10=Fandual!J37))=TRUE, 1,0)</f>
        <v>0</v>
      </c>
      <c r="B37" s="2">
        <f>IF((OR(Fandual!O37="",Fandual!O37&lt;&gt;0)=TRUE),1,0)</f>
        <v>1</v>
      </c>
      <c r="C37" s="2">
        <f>IF(Fandual!B37&lt;&gt;"P",1,0)</f>
        <v>0</v>
      </c>
      <c r="D37" s="2">
        <f t="shared" si="0"/>
        <v>0</v>
      </c>
      <c r="E37" s="2">
        <f>IF(D37=1,Fandual!B37,0)</f>
        <v>0</v>
      </c>
      <c r="F37" s="2">
        <f>IF(D37=1,Fandual!D37,0)</f>
        <v>0</v>
      </c>
      <c r="G37" s="2">
        <f>IF(D37=1,Fandual!F37,0)</f>
        <v>0</v>
      </c>
      <c r="H37" s="2">
        <f>IF(D37=1,Fandual!H37,0)</f>
        <v>0</v>
      </c>
      <c r="I37" s="2">
        <f>IF((Optimizer!$J$8=Fandual!J37),4,0)</f>
        <v>0</v>
      </c>
      <c r="J37" s="2">
        <f>IF((Optimizer!$J$10=Fandual!J37),100,0)</f>
        <v>0</v>
      </c>
      <c r="K37" s="2">
        <f t="shared" si="1"/>
        <v>0</v>
      </c>
      <c r="L37" s="2">
        <f>IF(Fandual!M37="",1,0)</f>
        <v>0</v>
      </c>
    </row>
    <row r="38" spans="1:12" x14ac:dyDescent="0.25">
      <c r="A38" s="2">
        <f>IF((OR(Optimizer!$J$8=Fandual!J38,Optimizer!$J$10=Fandual!J38))=TRUE, 1,0)</f>
        <v>0</v>
      </c>
      <c r="B38" s="2">
        <f>IF((OR(Fandual!O38="",Fandual!O38&lt;&gt;0)=TRUE),1,0)</f>
        <v>1</v>
      </c>
      <c r="C38" s="2">
        <f>IF(Fandual!B38&lt;&gt;"P",1,0)</f>
        <v>0</v>
      </c>
      <c r="D38" s="2">
        <f t="shared" si="0"/>
        <v>0</v>
      </c>
      <c r="E38" s="2">
        <f>IF(D38=1,Fandual!B38,0)</f>
        <v>0</v>
      </c>
      <c r="F38" s="2">
        <f>IF(D38=1,Fandual!D38,0)</f>
        <v>0</v>
      </c>
      <c r="G38" s="2">
        <f>IF(D38=1,Fandual!F38,0)</f>
        <v>0</v>
      </c>
      <c r="H38" s="2">
        <f>IF(D38=1,Fandual!H38,0)</f>
        <v>0</v>
      </c>
      <c r="I38" s="2">
        <f>IF((Optimizer!$J$8=Fandual!J38),4,0)</f>
        <v>0</v>
      </c>
      <c r="J38" s="2">
        <f>IF((Optimizer!$J$10=Fandual!J38),100,0)</f>
        <v>0</v>
      </c>
      <c r="K38" s="2">
        <f t="shared" si="1"/>
        <v>0</v>
      </c>
      <c r="L38" s="2">
        <f>IF(Fandual!M38="",1,0)</f>
        <v>1</v>
      </c>
    </row>
    <row r="39" spans="1:12" x14ac:dyDescent="0.25">
      <c r="A39" s="2">
        <f>IF((OR(Optimizer!$J$8=Fandual!J39,Optimizer!$J$10=Fandual!J39))=TRUE, 1,0)</f>
        <v>0</v>
      </c>
      <c r="B39" s="2">
        <f>IF((OR(Fandual!O39="",Fandual!O39&lt;&gt;0)=TRUE),1,0)</f>
        <v>1</v>
      </c>
      <c r="C39" s="2">
        <f>IF(Fandual!B39&lt;&gt;"P",1,0)</f>
        <v>0</v>
      </c>
      <c r="D39" s="2">
        <f t="shared" si="0"/>
        <v>0</v>
      </c>
      <c r="E39" s="2">
        <f>IF(D39=1,Fandual!B39,0)</f>
        <v>0</v>
      </c>
      <c r="F39" s="2">
        <f>IF(D39=1,Fandual!D39,0)</f>
        <v>0</v>
      </c>
      <c r="G39" s="2">
        <f>IF(D39=1,Fandual!F39,0)</f>
        <v>0</v>
      </c>
      <c r="H39" s="2">
        <f>IF(D39=1,Fandual!H39,0)</f>
        <v>0</v>
      </c>
      <c r="I39" s="2">
        <f>IF((Optimizer!$J$8=Fandual!J39),4,0)</f>
        <v>0</v>
      </c>
      <c r="J39" s="2">
        <f>IF((Optimizer!$J$10=Fandual!J39),100,0)</f>
        <v>0</v>
      </c>
      <c r="K39" s="2">
        <f t="shared" si="1"/>
        <v>0</v>
      </c>
      <c r="L39" s="2">
        <f>IF(Fandual!M39="",1,0)</f>
        <v>1</v>
      </c>
    </row>
    <row r="40" spans="1:12" x14ac:dyDescent="0.25">
      <c r="A40" s="2">
        <f>IF((OR(Optimizer!$J$8=Fandual!J40,Optimizer!$J$10=Fandual!J40))=TRUE, 1,0)</f>
        <v>0</v>
      </c>
      <c r="B40" s="2">
        <f>IF((OR(Fandual!O40="",Fandual!O40&lt;&gt;0)=TRUE),1,0)</f>
        <v>1</v>
      </c>
      <c r="C40" s="2">
        <f>IF(Fandual!B40&lt;&gt;"P",1,0)</f>
        <v>0</v>
      </c>
      <c r="D40" s="2">
        <f t="shared" si="0"/>
        <v>0</v>
      </c>
      <c r="E40" s="2">
        <f>IF(D40=1,Fandual!B40,0)</f>
        <v>0</v>
      </c>
      <c r="F40" s="2">
        <f>IF(D40=1,Fandual!D40,0)</f>
        <v>0</v>
      </c>
      <c r="G40" s="2">
        <f>IF(D40=1,Fandual!F40,0)</f>
        <v>0</v>
      </c>
      <c r="H40" s="2">
        <f>IF(D40=1,Fandual!H40,0)</f>
        <v>0</v>
      </c>
      <c r="I40" s="2">
        <f>IF((Optimizer!$J$8=Fandual!J40),4,0)</f>
        <v>0</v>
      </c>
      <c r="J40" s="2">
        <f>IF((Optimizer!$J$10=Fandual!J40),100,0)</f>
        <v>0</v>
      </c>
      <c r="K40" s="2">
        <f t="shared" si="1"/>
        <v>0</v>
      </c>
      <c r="L40" s="2">
        <f>IF(Fandual!M40="",1,0)</f>
        <v>1</v>
      </c>
    </row>
    <row r="41" spans="1:12" x14ac:dyDescent="0.25">
      <c r="A41" s="2">
        <f>IF((OR(Optimizer!$J$8=Fandual!J41,Optimizer!$J$10=Fandual!J41))=TRUE, 1,0)</f>
        <v>0</v>
      </c>
      <c r="B41" s="2">
        <f>IF((OR(Fandual!O41="",Fandual!O41&lt;&gt;0)=TRUE),1,0)</f>
        <v>1</v>
      </c>
      <c r="C41" s="2">
        <f>IF(Fandual!B41&lt;&gt;"P",1,0)</f>
        <v>0</v>
      </c>
      <c r="D41" s="2">
        <f t="shared" si="0"/>
        <v>0</v>
      </c>
      <c r="E41" s="2">
        <f>IF(D41=1,Fandual!B41,0)</f>
        <v>0</v>
      </c>
      <c r="F41" s="2">
        <f>IF(D41=1,Fandual!D41,0)</f>
        <v>0</v>
      </c>
      <c r="G41" s="2">
        <f>IF(D41=1,Fandual!F41,0)</f>
        <v>0</v>
      </c>
      <c r="H41" s="2">
        <f>IF(D41=1,Fandual!H41,0)</f>
        <v>0</v>
      </c>
      <c r="I41" s="2">
        <f>IF((Optimizer!$J$8=Fandual!J41),4,0)</f>
        <v>0</v>
      </c>
      <c r="J41" s="2">
        <f>IF((Optimizer!$J$10=Fandual!J41),100,0)</f>
        <v>0</v>
      </c>
      <c r="K41" s="2">
        <f t="shared" si="1"/>
        <v>0</v>
      </c>
      <c r="L41" s="2">
        <f>IF(Fandual!M41="",1,0)</f>
        <v>1</v>
      </c>
    </row>
    <row r="42" spans="1:12" x14ac:dyDescent="0.25">
      <c r="A42" s="2">
        <f>IF((OR(Optimizer!$J$8=Fandual!J42,Optimizer!$J$10=Fandual!J42))=TRUE, 1,0)</f>
        <v>0</v>
      </c>
      <c r="B42" s="2">
        <f>IF((OR(Fandual!O42="",Fandual!O42&lt;&gt;0)=TRUE),1,0)</f>
        <v>1</v>
      </c>
      <c r="C42" s="2">
        <f>IF(Fandual!B42&lt;&gt;"P",1,0)</f>
        <v>0</v>
      </c>
      <c r="D42" s="2">
        <f t="shared" si="0"/>
        <v>0</v>
      </c>
      <c r="E42" s="2">
        <f>IF(D42=1,Fandual!B42,0)</f>
        <v>0</v>
      </c>
      <c r="F42" s="2">
        <f>IF(D42=1,Fandual!D42,0)</f>
        <v>0</v>
      </c>
      <c r="G42" s="2">
        <f>IF(D42=1,Fandual!F42,0)</f>
        <v>0</v>
      </c>
      <c r="H42" s="2">
        <f>IF(D42=1,Fandual!H42,0)</f>
        <v>0</v>
      </c>
      <c r="I42" s="2">
        <f>IF((Optimizer!$J$8=Fandual!J42),4,0)</f>
        <v>0</v>
      </c>
      <c r="J42" s="2">
        <f>IF((Optimizer!$J$10=Fandual!J42),100,0)</f>
        <v>0</v>
      </c>
      <c r="K42" s="2">
        <f t="shared" si="1"/>
        <v>0</v>
      </c>
      <c r="L42" s="2">
        <f>IF(Fandual!M42="",1,0)</f>
        <v>1</v>
      </c>
    </row>
    <row r="43" spans="1:12" x14ac:dyDescent="0.25">
      <c r="A43" s="2">
        <f>IF((OR(Optimizer!$J$8=Fandual!J43,Optimizer!$J$10=Fandual!J43))=TRUE, 1,0)</f>
        <v>0</v>
      </c>
      <c r="B43" s="2">
        <f>IF((OR(Fandual!O43="",Fandual!O43&lt;&gt;0)=TRUE),1,0)</f>
        <v>1</v>
      </c>
      <c r="C43" s="2">
        <f>IF(Fandual!B43&lt;&gt;"P",1,0)</f>
        <v>0</v>
      </c>
      <c r="D43" s="2">
        <f t="shared" si="0"/>
        <v>0</v>
      </c>
      <c r="E43" s="2">
        <f>IF(D43=1,Fandual!B43,0)</f>
        <v>0</v>
      </c>
      <c r="F43" s="2">
        <f>IF(D43=1,Fandual!D43,0)</f>
        <v>0</v>
      </c>
      <c r="G43" s="2">
        <f>IF(D43=1,Fandual!F43,0)</f>
        <v>0</v>
      </c>
      <c r="H43" s="2">
        <f>IF(D43=1,Fandual!H43,0)</f>
        <v>0</v>
      </c>
      <c r="I43" s="2">
        <f>IF((Optimizer!$J$8=Fandual!J43),4,0)</f>
        <v>0</v>
      </c>
      <c r="J43" s="2">
        <f>IF((Optimizer!$J$10=Fandual!J43),100,0)</f>
        <v>0</v>
      </c>
      <c r="K43" s="2">
        <f t="shared" si="1"/>
        <v>0</v>
      </c>
      <c r="L43" s="2">
        <f>IF(Fandual!M43="",1,0)</f>
        <v>1</v>
      </c>
    </row>
    <row r="44" spans="1:12" x14ac:dyDescent="0.25">
      <c r="A44" s="2">
        <f>IF((OR(Optimizer!$J$8=Fandual!J44,Optimizer!$J$10=Fandual!J44))=TRUE, 1,0)</f>
        <v>0</v>
      </c>
      <c r="B44" s="2">
        <f>IF((OR(Fandual!O44="",Fandual!O44&lt;&gt;0)=TRUE),1,0)</f>
        <v>1</v>
      </c>
      <c r="C44" s="2">
        <f>IF(Fandual!B44&lt;&gt;"P",1,0)</f>
        <v>0</v>
      </c>
      <c r="D44" s="2">
        <f t="shared" si="0"/>
        <v>0</v>
      </c>
      <c r="E44" s="2">
        <f>IF(D44=1,Fandual!B44,0)</f>
        <v>0</v>
      </c>
      <c r="F44" s="2">
        <f>IF(D44=1,Fandual!D44,0)</f>
        <v>0</v>
      </c>
      <c r="G44" s="2">
        <f>IF(D44=1,Fandual!F44,0)</f>
        <v>0</v>
      </c>
      <c r="H44" s="2">
        <f>IF(D44=1,Fandual!H44,0)</f>
        <v>0</v>
      </c>
      <c r="I44" s="2">
        <f>IF((Optimizer!$J$8=Fandual!J44),4,0)</f>
        <v>0</v>
      </c>
      <c r="J44" s="2">
        <f>IF((Optimizer!$J$10=Fandual!J44),100,0)</f>
        <v>0</v>
      </c>
      <c r="K44" s="2">
        <f t="shared" si="1"/>
        <v>0</v>
      </c>
      <c r="L44" s="2">
        <f>IF(Fandual!M44="",1,0)</f>
        <v>1</v>
      </c>
    </row>
    <row r="45" spans="1:12" x14ac:dyDescent="0.25">
      <c r="A45" s="2">
        <f>IF((OR(Optimizer!$J$8=Fandual!J45,Optimizer!$J$10=Fandual!J45))=TRUE, 1,0)</f>
        <v>0</v>
      </c>
      <c r="B45" s="2">
        <f>IF((OR(Fandual!O45="",Fandual!O45&lt;&gt;0)=TRUE),1,0)</f>
        <v>1</v>
      </c>
      <c r="C45" s="2">
        <f>IF(Fandual!B45&lt;&gt;"P",1,0)</f>
        <v>0</v>
      </c>
      <c r="D45" s="2">
        <f t="shared" si="0"/>
        <v>0</v>
      </c>
      <c r="E45" s="2">
        <f>IF(D45=1,Fandual!B45,0)</f>
        <v>0</v>
      </c>
      <c r="F45" s="2">
        <f>IF(D45=1,Fandual!D45,0)</f>
        <v>0</v>
      </c>
      <c r="G45" s="2">
        <f>IF(D45=1,Fandual!F45,0)</f>
        <v>0</v>
      </c>
      <c r="H45" s="2">
        <f>IF(D45=1,Fandual!H45,0)</f>
        <v>0</v>
      </c>
      <c r="I45" s="2">
        <f>IF((Optimizer!$J$8=Fandual!J45),4,0)</f>
        <v>0</v>
      </c>
      <c r="J45" s="2">
        <f>IF((Optimizer!$J$10=Fandual!J45),100,0)</f>
        <v>0</v>
      </c>
      <c r="K45" s="2">
        <f t="shared" si="1"/>
        <v>0</v>
      </c>
      <c r="L45" s="2">
        <f>IF(Fandual!M45="",1,0)</f>
        <v>0</v>
      </c>
    </row>
    <row r="46" spans="1:12" x14ac:dyDescent="0.25">
      <c r="A46" s="2">
        <f>IF((OR(Optimizer!$J$8=Fandual!J46,Optimizer!$J$10=Fandual!J46))=TRUE, 1,0)</f>
        <v>0</v>
      </c>
      <c r="B46" s="2">
        <f>IF((OR(Fandual!O46="",Fandual!O46&lt;&gt;0)=TRUE),1,0)</f>
        <v>1</v>
      </c>
      <c r="C46" s="2">
        <f>IF(Fandual!B46&lt;&gt;"P",1,0)</f>
        <v>0</v>
      </c>
      <c r="D46" s="2">
        <f t="shared" si="0"/>
        <v>0</v>
      </c>
      <c r="E46" s="2">
        <f>IF(D46=1,Fandual!B46,0)</f>
        <v>0</v>
      </c>
      <c r="F46" s="2">
        <f>IF(D46=1,Fandual!D46,0)</f>
        <v>0</v>
      </c>
      <c r="G46" s="2">
        <f>IF(D46=1,Fandual!F46,0)</f>
        <v>0</v>
      </c>
      <c r="H46" s="2">
        <f>IF(D46=1,Fandual!H46,0)</f>
        <v>0</v>
      </c>
      <c r="I46" s="2">
        <f>IF((Optimizer!$J$8=Fandual!J46),4,0)</f>
        <v>0</v>
      </c>
      <c r="J46" s="2">
        <f>IF((Optimizer!$J$10=Fandual!J46),100,0)</f>
        <v>0</v>
      </c>
      <c r="K46" s="2">
        <f t="shared" si="1"/>
        <v>0</v>
      </c>
      <c r="L46" s="2">
        <f>IF(Fandual!M46="",1,0)</f>
        <v>1</v>
      </c>
    </row>
    <row r="47" spans="1:12" x14ac:dyDescent="0.25">
      <c r="A47" s="2">
        <f>IF((OR(Optimizer!$J$8=Fandual!J47,Optimizer!$J$10=Fandual!J47))=TRUE, 1,0)</f>
        <v>0</v>
      </c>
      <c r="B47" s="2">
        <f>IF((OR(Fandual!O47="",Fandual!O47&lt;&gt;0)=TRUE),1,0)</f>
        <v>1</v>
      </c>
      <c r="C47" s="2">
        <f>IF(Fandual!B47&lt;&gt;"P",1,0)</f>
        <v>0</v>
      </c>
      <c r="D47" s="2">
        <f t="shared" si="0"/>
        <v>0</v>
      </c>
      <c r="E47" s="2">
        <f>IF(D47=1,Fandual!B47,0)</f>
        <v>0</v>
      </c>
      <c r="F47" s="2">
        <f>IF(D47=1,Fandual!D47,0)</f>
        <v>0</v>
      </c>
      <c r="G47" s="2">
        <f>IF(D47=1,Fandual!F47,0)</f>
        <v>0</v>
      </c>
      <c r="H47" s="2">
        <f>IF(D47=1,Fandual!H47,0)</f>
        <v>0</v>
      </c>
      <c r="I47" s="2">
        <f>IF((Optimizer!$J$8=Fandual!J47),4,0)</f>
        <v>0</v>
      </c>
      <c r="J47" s="2">
        <f>IF((Optimizer!$J$10=Fandual!J47),100,0)</f>
        <v>0</v>
      </c>
      <c r="K47" s="2">
        <f t="shared" si="1"/>
        <v>0</v>
      </c>
      <c r="L47" s="2">
        <f>IF(Fandual!M47="",1,0)</f>
        <v>1</v>
      </c>
    </row>
    <row r="48" spans="1:12" x14ac:dyDescent="0.25">
      <c r="A48" s="2">
        <f>IF((OR(Optimizer!$J$8=Fandual!J48,Optimizer!$J$10=Fandual!J48))=TRUE, 1,0)</f>
        <v>0</v>
      </c>
      <c r="B48" s="2">
        <f>IF((OR(Fandual!O48="",Fandual!O48&lt;&gt;0)=TRUE),1,0)</f>
        <v>1</v>
      </c>
      <c r="C48" s="2">
        <f>IF(Fandual!B48&lt;&gt;"P",1,0)</f>
        <v>0</v>
      </c>
      <c r="D48" s="2">
        <f t="shared" si="0"/>
        <v>0</v>
      </c>
      <c r="E48" s="2">
        <f>IF(D48=1,Fandual!B48,0)</f>
        <v>0</v>
      </c>
      <c r="F48" s="2">
        <f>IF(D48=1,Fandual!D48,0)</f>
        <v>0</v>
      </c>
      <c r="G48" s="2">
        <f>IF(D48=1,Fandual!F48,0)</f>
        <v>0</v>
      </c>
      <c r="H48" s="2">
        <f>IF(D48=1,Fandual!H48,0)</f>
        <v>0</v>
      </c>
      <c r="I48" s="2">
        <f>IF((Optimizer!$J$8=Fandual!J48),4,0)</f>
        <v>0</v>
      </c>
      <c r="J48" s="2">
        <f>IF((Optimizer!$J$10=Fandual!J48),100,0)</f>
        <v>0</v>
      </c>
      <c r="K48" s="2">
        <f t="shared" si="1"/>
        <v>0</v>
      </c>
      <c r="L48" s="2">
        <f>IF(Fandual!M48="",1,0)</f>
        <v>0</v>
      </c>
    </row>
    <row r="49" spans="1:12" x14ac:dyDescent="0.25">
      <c r="A49" s="2">
        <f>IF((OR(Optimizer!$J$8=Fandual!J49,Optimizer!$J$10=Fandual!J49))=TRUE, 1,0)</f>
        <v>0</v>
      </c>
      <c r="B49" s="2">
        <f>IF((OR(Fandual!O49="",Fandual!O49&lt;&gt;0)=TRUE),1,0)</f>
        <v>1</v>
      </c>
      <c r="C49" s="2">
        <f>IF(Fandual!B49&lt;&gt;"P",1,0)</f>
        <v>0</v>
      </c>
      <c r="D49" s="2">
        <f t="shared" si="0"/>
        <v>0</v>
      </c>
      <c r="E49" s="2">
        <f>IF(D49=1,Fandual!B49,0)</f>
        <v>0</v>
      </c>
      <c r="F49" s="2">
        <f>IF(D49=1,Fandual!D49,0)</f>
        <v>0</v>
      </c>
      <c r="G49" s="2">
        <f>IF(D49=1,Fandual!F49,0)</f>
        <v>0</v>
      </c>
      <c r="H49" s="2">
        <f>IF(D49=1,Fandual!H49,0)</f>
        <v>0</v>
      </c>
      <c r="I49" s="2">
        <f>IF((Optimizer!$J$8=Fandual!J49),4,0)</f>
        <v>0</v>
      </c>
      <c r="J49" s="2">
        <f>IF((Optimizer!$J$10=Fandual!J49),100,0)</f>
        <v>0</v>
      </c>
      <c r="K49" s="2">
        <f t="shared" si="1"/>
        <v>0</v>
      </c>
      <c r="L49" s="2">
        <f>IF(Fandual!M49="",1,0)</f>
        <v>0</v>
      </c>
    </row>
    <row r="50" spans="1:12" x14ac:dyDescent="0.25">
      <c r="A50" s="2">
        <f>IF((OR(Optimizer!$J$8=Fandual!J50,Optimizer!$J$10=Fandual!J50))=TRUE, 1,0)</f>
        <v>0</v>
      </c>
      <c r="B50" s="2">
        <f>IF((OR(Fandual!O50="",Fandual!O50&lt;&gt;0)=TRUE),1,0)</f>
        <v>1</v>
      </c>
      <c r="C50" s="2">
        <f>IF(Fandual!B50&lt;&gt;"P",1,0)</f>
        <v>0</v>
      </c>
      <c r="D50" s="2">
        <f t="shared" si="0"/>
        <v>0</v>
      </c>
      <c r="E50" s="2">
        <f>IF(D50=1,Fandual!B50,0)</f>
        <v>0</v>
      </c>
      <c r="F50" s="2">
        <f>IF(D50=1,Fandual!D50,0)</f>
        <v>0</v>
      </c>
      <c r="G50" s="2">
        <f>IF(D50=1,Fandual!F50,0)</f>
        <v>0</v>
      </c>
      <c r="H50" s="2">
        <f>IF(D50=1,Fandual!H50,0)</f>
        <v>0</v>
      </c>
      <c r="I50" s="2">
        <f>IF((Optimizer!$J$8=Fandual!J50),4,0)</f>
        <v>0</v>
      </c>
      <c r="J50" s="2">
        <f>IF((Optimizer!$J$10=Fandual!J50),100,0)</f>
        <v>0</v>
      </c>
      <c r="K50" s="2">
        <f t="shared" si="1"/>
        <v>0</v>
      </c>
      <c r="L50" s="2">
        <f>IF(Fandual!M50="",1,0)</f>
        <v>1</v>
      </c>
    </row>
    <row r="51" spans="1:12" x14ac:dyDescent="0.25">
      <c r="A51" s="2">
        <f>IF((OR(Optimizer!$J$8=Fandual!J51,Optimizer!$J$10=Fandual!J51))=TRUE, 1,0)</f>
        <v>0</v>
      </c>
      <c r="B51" s="2">
        <f>IF((OR(Fandual!O51="",Fandual!O51&lt;&gt;0)=TRUE),1,0)</f>
        <v>1</v>
      </c>
      <c r="C51" s="2">
        <f>IF(Fandual!B51&lt;&gt;"P",1,0)</f>
        <v>0</v>
      </c>
      <c r="D51" s="2">
        <f t="shared" si="0"/>
        <v>0</v>
      </c>
      <c r="E51" s="2">
        <f>IF(D51=1,Fandual!B51,0)</f>
        <v>0</v>
      </c>
      <c r="F51" s="2">
        <f>IF(D51=1,Fandual!D51,0)</f>
        <v>0</v>
      </c>
      <c r="G51" s="2">
        <f>IF(D51=1,Fandual!F51,0)</f>
        <v>0</v>
      </c>
      <c r="H51" s="2">
        <f>IF(D51=1,Fandual!H51,0)</f>
        <v>0</v>
      </c>
      <c r="I51" s="2">
        <f>IF((Optimizer!$J$8=Fandual!J51),4,0)</f>
        <v>0</v>
      </c>
      <c r="J51" s="2">
        <f>IF((Optimizer!$J$10=Fandual!J51),100,0)</f>
        <v>0</v>
      </c>
      <c r="K51" s="2">
        <f t="shared" si="1"/>
        <v>0</v>
      </c>
      <c r="L51" s="2">
        <f>IF(Fandual!M51="",1,0)</f>
        <v>0</v>
      </c>
    </row>
    <row r="52" spans="1:12" x14ac:dyDescent="0.25">
      <c r="A52" s="2">
        <f>IF((OR(Optimizer!$J$8=Fandual!J52,Optimizer!$J$10=Fandual!J52))=TRUE, 1,0)</f>
        <v>0</v>
      </c>
      <c r="B52" s="2">
        <f>IF((OR(Fandual!O52="",Fandual!O52&lt;&gt;0)=TRUE),1,0)</f>
        <v>1</v>
      </c>
      <c r="C52" s="2">
        <f>IF(Fandual!B52&lt;&gt;"P",1,0)</f>
        <v>0</v>
      </c>
      <c r="D52" s="2">
        <f t="shared" si="0"/>
        <v>0</v>
      </c>
      <c r="E52" s="2">
        <f>IF(D52=1,Fandual!B52,0)</f>
        <v>0</v>
      </c>
      <c r="F52" s="2">
        <f>IF(D52=1,Fandual!D52,0)</f>
        <v>0</v>
      </c>
      <c r="G52" s="2">
        <f>IF(D52=1,Fandual!F52,0)</f>
        <v>0</v>
      </c>
      <c r="H52" s="2">
        <f>IF(D52=1,Fandual!H52,0)</f>
        <v>0</v>
      </c>
      <c r="I52" s="2">
        <f>IF((Optimizer!$J$8=Fandual!J52),4,0)</f>
        <v>0</v>
      </c>
      <c r="J52" s="2">
        <f>IF((Optimizer!$J$10=Fandual!J52),100,0)</f>
        <v>0</v>
      </c>
      <c r="K52" s="2">
        <f t="shared" si="1"/>
        <v>0</v>
      </c>
      <c r="L52" s="2">
        <f>IF(Fandual!M52="",1,0)</f>
        <v>1</v>
      </c>
    </row>
    <row r="53" spans="1:12" x14ac:dyDescent="0.25">
      <c r="A53" s="2">
        <f>IF((OR(Optimizer!$J$8=Fandual!J53,Optimizer!$J$10=Fandual!J53))=TRUE, 1,0)</f>
        <v>0</v>
      </c>
      <c r="B53" s="2">
        <f>IF((OR(Fandual!O53="",Fandual!O53&lt;&gt;0)=TRUE),1,0)</f>
        <v>1</v>
      </c>
      <c r="C53" s="2">
        <f>IF(Fandual!B53&lt;&gt;"P",1,0)</f>
        <v>0</v>
      </c>
      <c r="D53" s="2">
        <f t="shared" si="0"/>
        <v>0</v>
      </c>
      <c r="E53" s="2">
        <f>IF(D53=1,Fandual!B53,0)</f>
        <v>0</v>
      </c>
      <c r="F53" s="2">
        <f>IF(D53=1,Fandual!D53,0)</f>
        <v>0</v>
      </c>
      <c r="G53" s="2">
        <f>IF(D53=1,Fandual!F53,0)</f>
        <v>0</v>
      </c>
      <c r="H53" s="2">
        <f>IF(D53=1,Fandual!H53,0)</f>
        <v>0</v>
      </c>
      <c r="I53" s="2">
        <f>IF((Optimizer!$J$8=Fandual!J53),4,0)</f>
        <v>0</v>
      </c>
      <c r="J53" s="2">
        <f>IF((Optimizer!$J$10=Fandual!J53),100,0)</f>
        <v>0</v>
      </c>
      <c r="K53" s="2">
        <f t="shared" si="1"/>
        <v>0</v>
      </c>
      <c r="L53" s="2">
        <f>IF(Fandual!M53="",1,0)</f>
        <v>0</v>
      </c>
    </row>
    <row r="54" spans="1:12" x14ac:dyDescent="0.25">
      <c r="A54" s="2">
        <f>IF((OR(Optimizer!$J$8=Fandual!J54,Optimizer!$J$10=Fandual!J54))=TRUE, 1,0)</f>
        <v>0</v>
      </c>
      <c r="B54" s="2">
        <f>IF((OR(Fandual!O54="",Fandual!O54&lt;&gt;0)=TRUE),1,0)</f>
        <v>1</v>
      </c>
      <c r="C54" s="2">
        <f>IF(Fandual!B54&lt;&gt;"P",1,0)</f>
        <v>0</v>
      </c>
      <c r="D54" s="2">
        <f t="shared" si="0"/>
        <v>0</v>
      </c>
      <c r="E54" s="2">
        <f>IF(D54=1,Fandual!B54,0)</f>
        <v>0</v>
      </c>
      <c r="F54" s="2">
        <f>IF(D54=1,Fandual!D54,0)</f>
        <v>0</v>
      </c>
      <c r="G54" s="2">
        <f>IF(D54=1,Fandual!F54,0)</f>
        <v>0</v>
      </c>
      <c r="H54" s="2">
        <f>IF(D54=1,Fandual!H54,0)</f>
        <v>0</v>
      </c>
      <c r="I54" s="2">
        <f>IF((Optimizer!$J$8=Fandual!J54),4,0)</f>
        <v>0</v>
      </c>
      <c r="J54" s="2">
        <f>IF((Optimizer!$J$10=Fandual!J54),100,0)</f>
        <v>0</v>
      </c>
      <c r="K54" s="2">
        <f t="shared" si="1"/>
        <v>0</v>
      </c>
      <c r="L54" s="2">
        <f>IF(Fandual!M54="",1,0)</f>
        <v>1</v>
      </c>
    </row>
    <row r="55" spans="1:12" x14ac:dyDescent="0.25">
      <c r="A55" s="2">
        <f>IF((OR(Optimizer!$J$8=Fandual!J55,Optimizer!$J$10=Fandual!J55))=TRUE, 1,0)</f>
        <v>0</v>
      </c>
      <c r="B55" s="2">
        <f>IF((OR(Fandual!O55="",Fandual!O55&lt;&gt;0)=TRUE),1,0)</f>
        <v>1</v>
      </c>
      <c r="C55" s="2">
        <f>IF(Fandual!B55&lt;&gt;"P",1,0)</f>
        <v>0</v>
      </c>
      <c r="D55" s="2">
        <f t="shared" si="0"/>
        <v>0</v>
      </c>
      <c r="E55" s="2">
        <f>IF(D55=1,Fandual!B55,0)</f>
        <v>0</v>
      </c>
      <c r="F55" s="2">
        <f>IF(D55=1,Fandual!D55,0)</f>
        <v>0</v>
      </c>
      <c r="G55" s="2">
        <f>IF(D55=1,Fandual!F55,0)</f>
        <v>0</v>
      </c>
      <c r="H55" s="2">
        <f>IF(D55=1,Fandual!H55,0)</f>
        <v>0</v>
      </c>
      <c r="I55" s="2">
        <f>IF((Optimizer!$J$8=Fandual!J55),4,0)</f>
        <v>0</v>
      </c>
      <c r="J55" s="2">
        <f>IF((Optimizer!$J$10=Fandual!J55),100,0)</f>
        <v>0</v>
      </c>
      <c r="K55" s="2">
        <f t="shared" si="1"/>
        <v>0</v>
      </c>
      <c r="L55" s="2">
        <f>IF(Fandual!M55="",1,0)</f>
        <v>0</v>
      </c>
    </row>
    <row r="56" spans="1:12" x14ac:dyDescent="0.25">
      <c r="A56" s="2">
        <f>IF((OR(Optimizer!$J$8=Fandual!J56,Optimizer!$J$10=Fandual!J56))=TRUE, 1,0)</f>
        <v>0</v>
      </c>
      <c r="B56" s="2">
        <f>IF((OR(Fandual!O56="",Fandual!O56&lt;&gt;0)=TRUE),1,0)</f>
        <v>1</v>
      </c>
      <c r="C56" s="2">
        <f>IF(Fandual!B56&lt;&gt;"P",1,0)</f>
        <v>0</v>
      </c>
      <c r="D56" s="2">
        <f t="shared" si="0"/>
        <v>0</v>
      </c>
      <c r="E56" s="2">
        <f>IF(D56=1,Fandual!B56,0)</f>
        <v>0</v>
      </c>
      <c r="F56" s="2">
        <f>IF(D56=1,Fandual!D56,0)</f>
        <v>0</v>
      </c>
      <c r="G56" s="2">
        <f>IF(D56=1,Fandual!F56,0)</f>
        <v>0</v>
      </c>
      <c r="H56" s="2">
        <f>IF(D56=1,Fandual!H56,0)</f>
        <v>0</v>
      </c>
      <c r="I56" s="2">
        <f>IF((Optimizer!$J$8=Fandual!J56),4,0)</f>
        <v>0</v>
      </c>
      <c r="J56" s="2">
        <f>IF((Optimizer!$J$10=Fandual!J56),100,0)</f>
        <v>0</v>
      </c>
      <c r="K56" s="2">
        <f t="shared" si="1"/>
        <v>0</v>
      </c>
      <c r="L56" s="2">
        <f>IF(Fandual!M56="",1,0)</f>
        <v>0</v>
      </c>
    </row>
    <row r="57" spans="1:12" x14ac:dyDescent="0.25">
      <c r="A57" s="2">
        <f>IF((OR(Optimizer!$J$8=Fandual!J57,Optimizer!$J$10=Fandual!J57))=TRUE, 1,0)</f>
        <v>0</v>
      </c>
      <c r="B57" s="2">
        <f>IF((OR(Fandual!O57="",Fandual!O57&lt;&gt;0)=TRUE),1,0)</f>
        <v>1</v>
      </c>
      <c r="C57" s="2">
        <f>IF(Fandual!B57&lt;&gt;"P",1,0)</f>
        <v>0</v>
      </c>
      <c r="D57" s="2">
        <f t="shared" si="0"/>
        <v>0</v>
      </c>
      <c r="E57" s="2">
        <f>IF(D57=1,Fandual!B57,0)</f>
        <v>0</v>
      </c>
      <c r="F57" s="2">
        <f>IF(D57=1,Fandual!D57,0)</f>
        <v>0</v>
      </c>
      <c r="G57" s="2">
        <f>IF(D57=1,Fandual!F57,0)</f>
        <v>0</v>
      </c>
      <c r="H57" s="2">
        <f>IF(D57=1,Fandual!H57,0)</f>
        <v>0</v>
      </c>
      <c r="I57" s="2">
        <f>IF((Optimizer!$J$8=Fandual!J57),4,0)</f>
        <v>0</v>
      </c>
      <c r="J57" s="2">
        <f>IF((Optimizer!$J$10=Fandual!J57),100,0)</f>
        <v>0</v>
      </c>
      <c r="K57" s="2">
        <f t="shared" si="1"/>
        <v>0</v>
      </c>
      <c r="L57" s="2">
        <f>IF(Fandual!M57="",1,0)</f>
        <v>0</v>
      </c>
    </row>
    <row r="58" spans="1:12" x14ac:dyDescent="0.25">
      <c r="A58" s="2">
        <f>IF((OR(Optimizer!$J$8=Fandual!J58,Optimizer!$J$10=Fandual!J58))=TRUE, 1,0)</f>
        <v>0</v>
      </c>
      <c r="B58" s="2">
        <f>IF((OR(Fandual!O58="",Fandual!O58&lt;&gt;0)=TRUE),1,0)</f>
        <v>1</v>
      </c>
      <c r="C58" s="2">
        <f>IF(Fandual!B58&lt;&gt;"P",1,0)</f>
        <v>0</v>
      </c>
      <c r="D58" s="2">
        <f t="shared" si="0"/>
        <v>0</v>
      </c>
      <c r="E58" s="2">
        <f>IF(D58=1,Fandual!B58,0)</f>
        <v>0</v>
      </c>
      <c r="F58" s="2">
        <f>IF(D58=1,Fandual!D58,0)</f>
        <v>0</v>
      </c>
      <c r="G58" s="2">
        <f>IF(D58=1,Fandual!F58,0)</f>
        <v>0</v>
      </c>
      <c r="H58" s="2">
        <f>IF(D58=1,Fandual!H58,0)</f>
        <v>0</v>
      </c>
      <c r="I58" s="2">
        <f>IF((Optimizer!$J$8=Fandual!J58),4,0)</f>
        <v>0</v>
      </c>
      <c r="J58" s="2">
        <f>IF((Optimizer!$J$10=Fandual!J58),100,0)</f>
        <v>0</v>
      </c>
      <c r="K58" s="2">
        <f t="shared" si="1"/>
        <v>0</v>
      </c>
      <c r="L58" s="2">
        <f>IF(Fandual!M58="",1,0)</f>
        <v>1</v>
      </c>
    </row>
    <row r="59" spans="1:12" x14ac:dyDescent="0.25">
      <c r="A59" s="2">
        <f>IF((OR(Optimizer!$J$8=Fandual!J59,Optimizer!$J$10=Fandual!J59))=TRUE, 1,0)</f>
        <v>0</v>
      </c>
      <c r="B59" s="2">
        <f>IF((OR(Fandual!O59="",Fandual!O59&lt;&gt;0)=TRUE),1,0)</f>
        <v>1</v>
      </c>
      <c r="C59" s="2">
        <f>IF(Fandual!B59&lt;&gt;"P",1,0)</f>
        <v>0</v>
      </c>
      <c r="D59" s="2">
        <f t="shared" si="0"/>
        <v>0</v>
      </c>
      <c r="E59" s="2">
        <f>IF(D59=1,Fandual!B59,0)</f>
        <v>0</v>
      </c>
      <c r="F59" s="2">
        <f>IF(D59=1,Fandual!D59,0)</f>
        <v>0</v>
      </c>
      <c r="G59" s="2">
        <f>IF(D59=1,Fandual!F59,0)</f>
        <v>0</v>
      </c>
      <c r="H59" s="2">
        <f>IF(D59=1,Fandual!H59,0)</f>
        <v>0</v>
      </c>
      <c r="I59" s="2">
        <f>IF((Optimizer!$J$8=Fandual!J59),4,0)</f>
        <v>0</v>
      </c>
      <c r="J59" s="2">
        <f>IF((Optimizer!$J$10=Fandual!J59),100,0)</f>
        <v>0</v>
      </c>
      <c r="K59" s="2">
        <f t="shared" si="1"/>
        <v>0</v>
      </c>
      <c r="L59" s="2">
        <f>IF(Fandual!M59="",1,0)</f>
        <v>1</v>
      </c>
    </row>
    <row r="60" spans="1:12" x14ac:dyDescent="0.25">
      <c r="A60" s="2">
        <f>IF((OR(Optimizer!$J$8=Fandual!J60,Optimizer!$J$10=Fandual!J60))=TRUE, 1,0)</f>
        <v>0</v>
      </c>
      <c r="B60" s="2">
        <f>IF((OR(Fandual!O60="",Fandual!O60&lt;&gt;0)=TRUE),1,0)</f>
        <v>1</v>
      </c>
      <c r="C60" s="2">
        <f>IF(Fandual!B60&lt;&gt;"P",1,0)</f>
        <v>0</v>
      </c>
      <c r="D60" s="2">
        <f t="shared" si="0"/>
        <v>0</v>
      </c>
      <c r="E60" s="2">
        <f>IF(D60=1,Fandual!B60,0)</f>
        <v>0</v>
      </c>
      <c r="F60" s="2">
        <f>IF(D60=1,Fandual!D60,0)</f>
        <v>0</v>
      </c>
      <c r="G60" s="2">
        <f>IF(D60=1,Fandual!F60,0)</f>
        <v>0</v>
      </c>
      <c r="H60" s="2">
        <f>IF(D60=1,Fandual!H60,0)</f>
        <v>0</v>
      </c>
      <c r="I60" s="2">
        <f>IF((Optimizer!$J$8=Fandual!J60),4,0)</f>
        <v>0</v>
      </c>
      <c r="J60" s="2">
        <f>IF((Optimizer!$J$10=Fandual!J60),100,0)</f>
        <v>0</v>
      </c>
      <c r="K60" s="2">
        <f t="shared" si="1"/>
        <v>0</v>
      </c>
      <c r="L60" s="2">
        <f>IF(Fandual!M60="",1,0)</f>
        <v>0</v>
      </c>
    </row>
    <row r="61" spans="1:12" x14ac:dyDescent="0.25">
      <c r="A61" s="2">
        <f>IF((OR(Optimizer!$J$8=Fandual!J61,Optimizer!$J$10=Fandual!J61))=TRUE, 1,0)</f>
        <v>0</v>
      </c>
      <c r="B61" s="2">
        <f>IF((OR(Fandual!O61="",Fandual!O61&lt;&gt;0)=TRUE),1,0)</f>
        <v>1</v>
      </c>
      <c r="C61" s="2">
        <f>IF(Fandual!B61&lt;&gt;"P",1,0)</f>
        <v>0</v>
      </c>
      <c r="D61" s="2">
        <f t="shared" si="0"/>
        <v>0</v>
      </c>
      <c r="E61" s="2">
        <f>IF(D61=1,Fandual!B61,0)</f>
        <v>0</v>
      </c>
      <c r="F61" s="2">
        <f>IF(D61=1,Fandual!D61,0)</f>
        <v>0</v>
      </c>
      <c r="G61" s="2">
        <f>IF(D61=1,Fandual!F61,0)</f>
        <v>0</v>
      </c>
      <c r="H61" s="2">
        <f>IF(D61=1,Fandual!H61,0)</f>
        <v>0</v>
      </c>
      <c r="I61" s="2">
        <f>IF((Optimizer!$J$8=Fandual!J61),4,0)</f>
        <v>0</v>
      </c>
      <c r="J61" s="2">
        <f>IF((Optimizer!$J$10=Fandual!J61),100,0)</f>
        <v>0</v>
      </c>
      <c r="K61" s="2">
        <f t="shared" si="1"/>
        <v>0</v>
      </c>
      <c r="L61" s="2">
        <f>IF(Fandual!M61="",1,0)</f>
        <v>1</v>
      </c>
    </row>
    <row r="62" spans="1:12" x14ac:dyDescent="0.25">
      <c r="A62" s="2">
        <f>IF((OR(Optimizer!$J$8=Fandual!J62,Optimizer!$J$10=Fandual!J62))=TRUE, 1,0)</f>
        <v>0</v>
      </c>
      <c r="B62" s="2">
        <f>IF((OR(Fandual!O62="",Fandual!O62&lt;&gt;0)=TRUE),1,0)</f>
        <v>1</v>
      </c>
      <c r="C62" s="2">
        <f>IF(Fandual!B62&lt;&gt;"P",1,0)</f>
        <v>0</v>
      </c>
      <c r="D62" s="2">
        <f t="shared" si="0"/>
        <v>0</v>
      </c>
      <c r="E62" s="2">
        <f>IF(D62=1,Fandual!B62,0)</f>
        <v>0</v>
      </c>
      <c r="F62" s="2">
        <f>IF(D62=1,Fandual!D62,0)</f>
        <v>0</v>
      </c>
      <c r="G62" s="2">
        <f>IF(D62=1,Fandual!F62,0)</f>
        <v>0</v>
      </c>
      <c r="H62" s="2">
        <f>IF(D62=1,Fandual!H62,0)</f>
        <v>0</v>
      </c>
      <c r="I62" s="2">
        <f>IF((Optimizer!$J$8=Fandual!J62),4,0)</f>
        <v>0</v>
      </c>
      <c r="J62" s="2">
        <f>IF((Optimizer!$J$10=Fandual!J62),100,0)</f>
        <v>0</v>
      </c>
      <c r="K62" s="2">
        <f t="shared" si="1"/>
        <v>0</v>
      </c>
      <c r="L62" s="2">
        <f>IF(Fandual!M62="",1,0)</f>
        <v>0</v>
      </c>
    </row>
    <row r="63" spans="1:12" x14ac:dyDescent="0.25">
      <c r="A63" s="2">
        <f>IF((OR(Optimizer!$J$8=Fandual!J63,Optimizer!$J$10=Fandual!J63))=TRUE, 1,0)</f>
        <v>0</v>
      </c>
      <c r="B63" s="2">
        <f>IF((OR(Fandual!O63="",Fandual!O63&lt;&gt;0)=TRUE),1,0)</f>
        <v>1</v>
      </c>
      <c r="C63" s="2">
        <f>IF(Fandual!B63&lt;&gt;"P",1,0)</f>
        <v>0</v>
      </c>
      <c r="D63" s="2">
        <f t="shared" si="0"/>
        <v>0</v>
      </c>
      <c r="E63" s="2">
        <f>IF(D63=1,Fandual!B63,0)</f>
        <v>0</v>
      </c>
      <c r="F63" s="2">
        <f>IF(D63=1,Fandual!D63,0)</f>
        <v>0</v>
      </c>
      <c r="G63" s="2">
        <f>IF(D63=1,Fandual!F63,0)</f>
        <v>0</v>
      </c>
      <c r="H63" s="2">
        <f>IF(D63=1,Fandual!H63,0)</f>
        <v>0</v>
      </c>
      <c r="I63" s="2">
        <f>IF((Optimizer!$J$8=Fandual!J63),4,0)</f>
        <v>0</v>
      </c>
      <c r="J63" s="2">
        <f>IF((Optimizer!$J$10=Fandual!J63),100,0)</f>
        <v>0</v>
      </c>
      <c r="K63" s="2">
        <f t="shared" si="1"/>
        <v>0</v>
      </c>
      <c r="L63" s="2">
        <f>IF(Fandual!M63="",1,0)</f>
        <v>0</v>
      </c>
    </row>
    <row r="64" spans="1:12" x14ac:dyDescent="0.25">
      <c r="A64" s="2">
        <f>IF((OR(Optimizer!$J$8=Fandual!J64,Optimizer!$J$10=Fandual!J64))=TRUE, 1,0)</f>
        <v>0</v>
      </c>
      <c r="B64" s="2">
        <f>IF((OR(Fandual!O64="",Fandual!O64&lt;&gt;0)=TRUE),1,0)</f>
        <v>1</v>
      </c>
      <c r="C64" s="2">
        <f>IF(Fandual!B64&lt;&gt;"P",1,0)</f>
        <v>0</v>
      </c>
      <c r="D64" s="2">
        <f t="shared" si="0"/>
        <v>0</v>
      </c>
      <c r="E64" s="2">
        <f>IF(D64=1,Fandual!B64,0)</f>
        <v>0</v>
      </c>
      <c r="F64" s="2">
        <f>IF(D64=1,Fandual!D64,0)</f>
        <v>0</v>
      </c>
      <c r="G64" s="2">
        <f>IF(D64=1,Fandual!F64,0)</f>
        <v>0</v>
      </c>
      <c r="H64" s="2">
        <f>IF(D64=1,Fandual!H64,0)</f>
        <v>0</v>
      </c>
      <c r="I64" s="2">
        <f>IF((Optimizer!$J$8=Fandual!J64),4,0)</f>
        <v>0</v>
      </c>
      <c r="J64" s="2">
        <f>IF((Optimizer!$J$10=Fandual!J64),100,0)</f>
        <v>0</v>
      </c>
      <c r="K64" s="2">
        <f t="shared" si="1"/>
        <v>0</v>
      </c>
      <c r="L64" s="2">
        <f>IF(Fandual!M64="",1,0)</f>
        <v>1</v>
      </c>
    </row>
    <row r="65" spans="1:12" x14ac:dyDescent="0.25">
      <c r="A65" s="2">
        <f>IF((OR(Optimizer!$J$8=Fandual!J65,Optimizer!$J$10=Fandual!J65))=TRUE, 1,0)</f>
        <v>1</v>
      </c>
      <c r="B65" s="2">
        <f>IF((OR(Fandual!O65="",Fandual!O65&lt;&gt;0)=TRUE),1,0)</f>
        <v>1</v>
      </c>
      <c r="C65" s="2">
        <f>IF(Fandual!B65&lt;&gt;"P",1,0)</f>
        <v>0</v>
      </c>
      <c r="D65" s="2">
        <f t="shared" si="0"/>
        <v>0</v>
      </c>
      <c r="E65" s="2">
        <f>IF(D65=1,Fandual!B65,0)</f>
        <v>0</v>
      </c>
      <c r="F65" s="2">
        <f>IF(D65=1,Fandual!D65,0)</f>
        <v>0</v>
      </c>
      <c r="G65" s="2">
        <f>IF(D65=1,Fandual!F65,0)</f>
        <v>0</v>
      </c>
      <c r="H65" s="2">
        <f>IF(D65=1,Fandual!H65,0)</f>
        <v>0</v>
      </c>
      <c r="I65" s="2">
        <f>IF((Optimizer!$J$8=Fandual!J65),4,0)</f>
        <v>0</v>
      </c>
      <c r="J65" s="2">
        <f>IF((Optimizer!$J$10=Fandual!J65),100,0)</f>
        <v>100</v>
      </c>
      <c r="K65" s="2">
        <f t="shared" si="1"/>
        <v>0</v>
      </c>
      <c r="L65" s="2">
        <f>IF(Fandual!M65="",1,0)</f>
        <v>1</v>
      </c>
    </row>
    <row r="66" spans="1:12" x14ac:dyDescent="0.25">
      <c r="A66" s="2">
        <f>IF((OR(Optimizer!$J$8=Fandual!J66,Optimizer!$J$10=Fandual!J66))=TRUE, 1,0)</f>
        <v>0</v>
      </c>
      <c r="B66" s="2">
        <f>IF((OR(Fandual!O66="",Fandual!O66&lt;&gt;0)=TRUE),1,0)</f>
        <v>1</v>
      </c>
      <c r="C66" s="2">
        <f>IF(Fandual!B66&lt;&gt;"P",1,0)</f>
        <v>0</v>
      </c>
      <c r="D66" s="2">
        <f t="shared" ref="D66:D129" si="2">A66*B66*C66*L66</f>
        <v>0</v>
      </c>
      <c r="E66" s="2">
        <f>IF(D66=1,Fandual!B66,0)</f>
        <v>0</v>
      </c>
      <c r="F66" s="2">
        <f>IF(D66=1,Fandual!D66,0)</f>
        <v>0</v>
      </c>
      <c r="G66" s="2">
        <f>IF(D66=1,Fandual!F66,0)</f>
        <v>0</v>
      </c>
      <c r="H66" s="2">
        <f>IF(D66=1,Fandual!H66,0)</f>
        <v>0</v>
      </c>
      <c r="I66" s="2">
        <f>IF((Optimizer!$J$8=Fandual!J66),4,0)</f>
        <v>0</v>
      </c>
      <c r="J66" s="2">
        <f>IF((Optimizer!$J$10=Fandual!J66),100,0)</f>
        <v>0</v>
      </c>
      <c r="K66" s="2">
        <f t="shared" si="1"/>
        <v>0</v>
      </c>
      <c r="L66" s="2">
        <f>IF(Fandual!M66="",1,0)</f>
        <v>1</v>
      </c>
    </row>
    <row r="67" spans="1:12" x14ac:dyDescent="0.25">
      <c r="A67" s="2">
        <f>IF((OR(Optimizer!$J$8=Fandual!J67,Optimizer!$J$10=Fandual!J67))=TRUE, 1,0)</f>
        <v>0</v>
      </c>
      <c r="B67" s="2">
        <f>IF((OR(Fandual!O67="",Fandual!O67&lt;&gt;0)=TRUE),1,0)</f>
        <v>1</v>
      </c>
      <c r="C67" s="2">
        <f>IF(Fandual!B67&lt;&gt;"P",1,0)</f>
        <v>0</v>
      </c>
      <c r="D67" s="2">
        <f t="shared" si="2"/>
        <v>0</v>
      </c>
      <c r="E67" s="2">
        <f>IF(D67=1,Fandual!B67,0)</f>
        <v>0</v>
      </c>
      <c r="F67" s="2">
        <f>IF(D67=1,Fandual!D67,0)</f>
        <v>0</v>
      </c>
      <c r="G67" s="2">
        <f>IF(D67=1,Fandual!F67,0)</f>
        <v>0</v>
      </c>
      <c r="H67" s="2">
        <f>IF(D67=1,Fandual!H67,0)</f>
        <v>0</v>
      </c>
      <c r="I67" s="2">
        <f>IF((Optimizer!$J$8=Fandual!J67),4,0)</f>
        <v>0</v>
      </c>
      <c r="J67" s="2">
        <f>IF((Optimizer!$J$10=Fandual!J67),100,0)</f>
        <v>0</v>
      </c>
      <c r="K67" s="2">
        <f t="shared" ref="K67:K130" si="3">(I67+J67)*D67</f>
        <v>0</v>
      </c>
      <c r="L67" s="2">
        <f>IF(Fandual!M67="",1,0)</f>
        <v>1</v>
      </c>
    </row>
    <row r="68" spans="1:12" x14ac:dyDescent="0.25">
      <c r="A68" s="2">
        <f>IF((OR(Optimizer!$J$8=Fandual!J68,Optimizer!$J$10=Fandual!J68))=TRUE, 1,0)</f>
        <v>0</v>
      </c>
      <c r="B68" s="2">
        <f>IF((OR(Fandual!O68="",Fandual!O68&lt;&gt;0)=TRUE),1,0)</f>
        <v>1</v>
      </c>
      <c r="C68" s="2">
        <f>IF(Fandual!B68&lt;&gt;"P",1,0)</f>
        <v>0</v>
      </c>
      <c r="D68" s="2">
        <f t="shared" si="2"/>
        <v>0</v>
      </c>
      <c r="E68" s="2">
        <f>IF(D68=1,Fandual!B68,0)</f>
        <v>0</v>
      </c>
      <c r="F68" s="2">
        <f>IF(D68=1,Fandual!D68,0)</f>
        <v>0</v>
      </c>
      <c r="G68" s="2">
        <f>IF(D68=1,Fandual!F68,0)</f>
        <v>0</v>
      </c>
      <c r="H68" s="2">
        <f>IF(D68=1,Fandual!H68,0)</f>
        <v>0</v>
      </c>
      <c r="I68" s="2">
        <f>IF((Optimizer!$J$8=Fandual!J68),4,0)</f>
        <v>0</v>
      </c>
      <c r="J68" s="2">
        <f>IF((Optimizer!$J$10=Fandual!J68),100,0)</f>
        <v>0</v>
      </c>
      <c r="K68" s="2">
        <f t="shared" si="3"/>
        <v>0</v>
      </c>
      <c r="L68" s="2">
        <f>IF(Fandual!M68="",1,0)</f>
        <v>0</v>
      </c>
    </row>
    <row r="69" spans="1:12" x14ac:dyDescent="0.25">
      <c r="A69" s="2">
        <f>IF((OR(Optimizer!$J$8=Fandual!J69,Optimizer!$J$10=Fandual!J69))=TRUE, 1,0)</f>
        <v>0</v>
      </c>
      <c r="B69" s="2">
        <f>IF((OR(Fandual!O69="",Fandual!O69&lt;&gt;0)=TRUE),1,0)</f>
        <v>1</v>
      </c>
      <c r="C69" s="2">
        <f>IF(Fandual!B69&lt;&gt;"P",1,0)</f>
        <v>0</v>
      </c>
      <c r="D69" s="2">
        <f t="shared" si="2"/>
        <v>0</v>
      </c>
      <c r="E69" s="2">
        <f>IF(D69=1,Fandual!B69,0)</f>
        <v>0</v>
      </c>
      <c r="F69" s="2">
        <f>IF(D69=1,Fandual!D69,0)</f>
        <v>0</v>
      </c>
      <c r="G69" s="2">
        <f>IF(D69=1,Fandual!F69,0)</f>
        <v>0</v>
      </c>
      <c r="H69" s="2">
        <f>IF(D69=1,Fandual!H69,0)</f>
        <v>0</v>
      </c>
      <c r="I69" s="2">
        <f>IF((Optimizer!$J$8=Fandual!J69),4,0)</f>
        <v>0</v>
      </c>
      <c r="J69" s="2">
        <f>IF((Optimizer!$J$10=Fandual!J69),100,0)</f>
        <v>0</v>
      </c>
      <c r="K69" s="2">
        <f t="shared" si="3"/>
        <v>0</v>
      </c>
      <c r="L69" s="2">
        <f>IF(Fandual!M69="",1,0)</f>
        <v>0</v>
      </c>
    </row>
    <row r="70" spans="1:12" x14ac:dyDescent="0.25">
      <c r="A70" s="2">
        <f>IF((OR(Optimizer!$J$8=Fandual!J70,Optimizer!$J$10=Fandual!J70))=TRUE, 1,0)</f>
        <v>0</v>
      </c>
      <c r="B70" s="2">
        <f>IF((OR(Fandual!O70="",Fandual!O70&lt;&gt;0)=TRUE),1,0)</f>
        <v>1</v>
      </c>
      <c r="C70" s="2">
        <f>IF(Fandual!B70&lt;&gt;"P",1,0)</f>
        <v>0</v>
      </c>
      <c r="D70" s="2">
        <f t="shared" si="2"/>
        <v>0</v>
      </c>
      <c r="E70" s="2">
        <f>IF(D70=1,Fandual!B70,0)</f>
        <v>0</v>
      </c>
      <c r="F70" s="2">
        <f>IF(D70=1,Fandual!D70,0)</f>
        <v>0</v>
      </c>
      <c r="G70" s="2">
        <f>IF(D70=1,Fandual!F70,0)</f>
        <v>0</v>
      </c>
      <c r="H70" s="2">
        <f>IF(D70=1,Fandual!H70,0)</f>
        <v>0</v>
      </c>
      <c r="I70" s="2">
        <f>IF((Optimizer!$J$8=Fandual!J70),4,0)</f>
        <v>0</v>
      </c>
      <c r="J70" s="2">
        <f>IF((Optimizer!$J$10=Fandual!J70),100,0)</f>
        <v>0</v>
      </c>
      <c r="K70" s="2">
        <f t="shared" si="3"/>
        <v>0</v>
      </c>
      <c r="L70" s="2">
        <f>IF(Fandual!M70="",1,0)</f>
        <v>0</v>
      </c>
    </row>
    <row r="71" spans="1:12" x14ac:dyDescent="0.25">
      <c r="A71" s="2">
        <f>IF((OR(Optimizer!$J$8=Fandual!J71,Optimizer!$J$10=Fandual!J71))=TRUE, 1,0)</f>
        <v>0</v>
      </c>
      <c r="B71" s="2">
        <f>IF((OR(Fandual!O71="",Fandual!O71&lt;&gt;0)=TRUE),1,0)</f>
        <v>1</v>
      </c>
      <c r="C71" s="2">
        <f>IF(Fandual!B71&lt;&gt;"P",1,0)</f>
        <v>0</v>
      </c>
      <c r="D71" s="2">
        <f t="shared" si="2"/>
        <v>0</v>
      </c>
      <c r="E71" s="2">
        <f>IF(D71=1,Fandual!B71,0)</f>
        <v>0</v>
      </c>
      <c r="F71" s="2">
        <f>IF(D71=1,Fandual!D71,0)</f>
        <v>0</v>
      </c>
      <c r="G71" s="2">
        <f>IF(D71=1,Fandual!F71,0)</f>
        <v>0</v>
      </c>
      <c r="H71" s="2">
        <f>IF(D71=1,Fandual!H71,0)</f>
        <v>0</v>
      </c>
      <c r="I71" s="2">
        <f>IF((Optimizer!$J$8=Fandual!J71),4,0)</f>
        <v>0</v>
      </c>
      <c r="J71" s="2">
        <f>IF((Optimizer!$J$10=Fandual!J71),100,0)</f>
        <v>0</v>
      </c>
      <c r="K71" s="2">
        <f t="shared" si="3"/>
        <v>0</v>
      </c>
      <c r="L71" s="2">
        <f>IF(Fandual!M71="",1,0)</f>
        <v>1</v>
      </c>
    </row>
    <row r="72" spans="1:12" x14ac:dyDescent="0.25">
      <c r="A72" s="2">
        <f>IF((OR(Optimizer!$J$8=Fandual!J72,Optimizer!$J$10=Fandual!J72))=TRUE, 1,0)</f>
        <v>0</v>
      </c>
      <c r="B72" s="2">
        <f>IF((OR(Fandual!O72="",Fandual!O72&lt;&gt;0)=TRUE),1,0)</f>
        <v>1</v>
      </c>
      <c r="C72" s="2">
        <f>IF(Fandual!B72&lt;&gt;"P",1,0)</f>
        <v>0</v>
      </c>
      <c r="D72" s="2">
        <f t="shared" si="2"/>
        <v>0</v>
      </c>
      <c r="E72" s="2">
        <f>IF(D72=1,Fandual!B72,0)</f>
        <v>0</v>
      </c>
      <c r="F72" s="2">
        <f>IF(D72=1,Fandual!D72,0)</f>
        <v>0</v>
      </c>
      <c r="G72" s="2">
        <f>IF(D72=1,Fandual!F72,0)</f>
        <v>0</v>
      </c>
      <c r="H72" s="2">
        <f>IF(D72=1,Fandual!H72,0)</f>
        <v>0</v>
      </c>
      <c r="I72" s="2">
        <f>IF((Optimizer!$J$8=Fandual!J72),4,0)</f>
        <v>0</v>
      </c>
      <c r="J72" s="2">
        <f>IF((Optimizer!$J$10=Fandual!J72),100,0)</f>
        <v>0</v>
      </c>
      <c r="K72" s="2">
        <f t="shared" si="3"/>
        <v>0</v>
      </c>
      <c r="L72" s="2">
        <f>IF(Fandual!M72="",1,0)</f>
        <v>1</v>
      </c>
    </row>
    <row r="73" spans="1:12" x14ac:dyDescent="0.25">
      <c r="A73" s="2">
        <f>IF((OR(Optimizer!$J$8=Fandual!J73,Optimizer!$J$10=Fandual!J73))=TRUE, 1,0)</f>
        <v>0</v>
      </c>
      <c r="B73" s="2">
        <f>IF((OR(Fandual!O73="",Fandual!O73&lt;&gt;0)=TRUE),1,0)</f>
        <v>1</v>
      </c>
      <c r="C73" s="2">
        <f>IF(Fandual!B73&lt;&gt;"P",1,0)</f>
        <v>0</v>
      </c>
      <c r="D73" s="2">
        <f t="shared" si="2"/>
        <v>0</v>
      </c>
      <c r="E73" s="2">
        <f>IF(D73=1,Fandual!B73,0)</f>
        <v>0</v>
      </c>
      <c r="F73" s="2">
        <f>IF(D73=1,Fandual!D73,0)</f>
        <v>0</v>
      </c>
      <c r="G73" s="2">
        <f>IF(D73=1,Fandual!F73,0)</f>
        <v>0</v>
      </c>
      <c r="H73" s="2">
        <f>IF(D73=1,Fandual!H73,0)</f>
        <v>0</v>
      </c>
      <c r="I73" s="2">
        <f>IF((Optimizer!$J$8=Fandual!J73),4,0)</f>
        <v>0</v>
      </c>
      <c r="J73" s="2">
        <f>IF((Optimizer!$J$10=Fandual!J73),100,0)</f>
        <v>0</v>
      </c>
      <c r="K73" s="2">
        <f t="shared" si="3"/>
        <v>0</v>
      </c>
      <c r="L73" s="2">
        <f>IF(Fandual!M73="",1,0)</f>
        <v>1</v>
      </c>
    </row>
    <row r="74" spans="1:12" x14ac:dyDescent="0.25">
      <c r="A74" s="2">
        <f>IF((OR(Optimizer!$J$8=Fandual!J74,Optimizer!$J$10=Fandual!J74))=TRUE, 1,0)</f>
        <v>0</v>
      </c>
      <c r="B74" s="2">
        <f>IF((OR(Fandual!O74="",Fandual!O74&lt;&gt;0)=TRUE),1,0)</f>
        <v>1</v>
      </c>
      <c r="C74" s="2">
        <f>IF(Fandual!B74&lt;&gt;"P",1,0)</f>
        <v>0</v>
      </c>
      <c r="D74" s="2">
        <f t="shared" si="2"/>
        <v>0</v>
      </c>
      <c r="E74" s="2">
        <f>IF(D74=1,Fandual!B74,0)</f>
        <v>0</v>
      </c>
      <c r="F74" s="2">
        <f>IF(D74=1,Fandual!D74,0)</f>
        <v>0</v>
      </c>
      <c r="G74" s="2">
        <f>IF(D74=1,Fandual!F74,0)</f>
        <v>0</v>
      </c>
      <c r="H74" s="2">
        <f>IF(D74=1,Fandual!H74,0)</f>
        <v>0</v>
      </c>
      <c r="I74" s="2">
        <f>IF((Optimizer!$J$8=Fandual!J74),4,0)</f>
        <v>0</v>
      </c>
      <c r="J74" s="2">
        <f>IF((Optimizer!$J$10=Fandual!J74),100,0)</f>
        <v>0</v>
      </c>
      <c r="K74" s="2">
        <f t="shared" si="3"/>
        <v>0</v>
      </c>
      <c r="L74" s="2">
        <f>IF(Fandual!M74="",1,0)</f>
        <v>1</v>
      </c>
    </row>
    <row r="75" spans="1:12" x14ac:dyDescent="0.25">
      <c r="A75" s="2">
        <f>IF((OR(Optimizer!$J$8=Fandual!J75,Optimizer!$J$10=Fandual!J75))=TRUE, 1,0)</f>
        <v>0</v>
      </c>
      <c r="B75" s="2">
        <f>IF((OR(Fandual!O75="",Fandual!O75&lt;&gt;0)=TRUE),1,0)</f>
        <v>1</v>
      </c>
      <c r="C75" s="2">
        <f>IF(Fandual!B75&lt;&gt;"P",1,0)</f>
        <v>0</v>
      </c>
      <c r="D75" s="2">
        <f t="shared" si="2"/>
        <v>0</v>
      </c>
      <c r="E75" s="2">
        <f>IF(D75=1,Fandual!B75,0)</f>
        <v>0</v>
      </c>
      <c r="F75" s="2">
        <f>IF(D75=1,Fandual!D75,0)</f>
        <v>0</v>
      </c>
      <c r="G75" s="2">
        <f>IF(D75=1,Fandual!F75,0)</f>
        <v>0</v>
      </c>
      <c r="H75" s="2">
        <f>IF(D75=1,Fandual!H75,0)</f>
        <v>0</v>
      </c>
      <c r="I75" s="2">
        <f>IF((Optimizer!$J$8=Fandual!J75),4,0)</f>
        <v>0</v>
      </c>
      <c r="J75" s="2">
        <f>IF((Optimizer!$J$10=Fandual!J75),100,0)</f>
        <v>0</v>
      </c>
      <c r="K75" s="2">
        <f t="shared" si="3"/>
        <v>0</v>
      </c>
      <c r="L75" s="2">
        <f>IF(Fandual!M75="",1,0)</f>
        <v>1</v>
      </c>
    </row>
    <row r="76" spans="1:12" x14ac:dyDescent="0.25">
      <c r="A76" s="2">
        <f>IF((OR(Optimizer!$J$8=Fandual!J76,Optimizer!$J$10=Fandual!J76))=TRUE, 1,0)</f>
        <v>0</v>
      </c>
      <c r="B76" s="2">
        <f>IF((OR(Fandual!O76="",Fandual!O76&lt;&gt;0)=TRUE),1,0)</f>
        <v>1</v>
      </c>
      <c r="C76" s="2">
        <f>IF(Fandual!B76&lt;&gt;"P",1,0)</f>
        <v>0</v>
      </c>
      <c r="D76" s="2">
        <f t="shared" si="2"/>
        <v>0</v>
      </c>
      <c r="E76" s="2">
        <f>IF(D76=1,Fandual!B76,0)</f>
        <v>0</v>
      </c>
      <c r="F76" s="2">
        <f>IF(D76=1,Fandual!D76,0)</f>
        <v>0</v>
      </c>
      <c r="G76" s="2">
        <f>IF(D76=1,Fandual!F76,0)</f>
        <v>0</v>
      </c>
      <c r="H76" s="2">
        <f>IF(D76=1,Fandual!H76,0)</f>
        <v>0</v>
      </c>
      <c r="I76" s="2">
        <f>IF((Optimizer!$J$8=Fandual!J76),4,0)</f>
        <v>0</v>
      </c>
      <c r="J76" s="2">
        <f>IF((Optimizer!$J$10=Fandual!J76),100,0)</f>
        <v>0</v>
      </c>
      <c r="K76" s="2">
        <f t="shared" si="3"/>
        <v>0</v>
      </c>
      <c r="L76" s="2">
        <f>IF(Fandual!M76="",1,0)</f>
        <v>1</v>
      </c>
    </row>
    <row r="77" spans="1:12" x14ac:dyDescent="0.25">
      <c r="A77" s="2">
        <f>IF((OR(Optimizer!$J$8=Fandual!J77,Optimizer!$J$10=Fandual!J77))=TRUE, 1,0)</f>
        <v>0</v>
      </c>
      <c r="B77" s="2">
        <f>IF((OR(Fandual!O77="",Fandual!O77&lt;&gt;0)=TRUE),1,0)</f>
        <v>1</v>
      </c>
      <c r="C77" s="2">
        <f>IF(Fandual!B77&lt;&gt;"P",1,0)</f>
        <v>0</v>
      </c>
      <c r="D77" s="2">
        <f t="shared" si="2"/>
        <v>0</v>
      </c>
      <c r="E77" s="2">
        <f>IF(D77=1,Fandual!B77,0)</f>
        <v>0</v>
      </c>
      <c r="F77" s="2">
        <f>IF(D77=1,Fandual!D77,0)</f>
        <v>0</v>
      </c>
      <c r="G77" s="2">
        <f>IF(D77=1,Fandual!F77,0)</f>
        <v>0</v>
      </c>
      <c r="H77" s="2">
        <f>IF(D77=1,Fandual!H77,0)</f>
        <v>0</v>
      </c>
      <c r="I77" s="2">
        <f>IF((Optimizer!$J$8=Fandual!J77),4,0)</f>
        <v>0</v>
      </c>
      <c r="J77" s="2">
        <f>IF((Optimizer!$J$10=Fandual!J77),100,0)</f>
        <v>0</v>
      </c>
      <c r="K77" s="2">
        <f t="shared" si="3"/>
        <v>0</v>
      </c>
      <c r="L77" s="2">
        <f>IF(Fandual!M77="",1,0)</f>
        <v>1</v>
      </c>
    </row>
    <row r="78" spans="1:12" x14ac:dyDescent="0.25">
      <c r="A78" s="2">
        <f>IF((OR(Optimizer!$J$8=Fandual!J78,Optimizer!$J$10=Fandual!J78))=TRUE, 1,0)</f>
        <v>0</v>
      </c>
      <c r="B78" s="2">
        <f>IF((OR(Fandual!O78="",Fandual!O78&lt;&gt;0)=TRUE),1,0)</f>
        <v>1</v>
      </c>
      <c r="C78" s="2">
        <f>IF(Fandual!B78&lt;&gt;"P",1,0)</f>
        <v>0</v>
      </c>
      <c r="D78" s="2">
        <f t="shared" si="2"/>
        <v>0</v>
      </c>
      <c r="E78" s="2">
        <f>IF(D78=1,Fandual!B78,0)</f>
        <v>0</v>
      </c>
      <c r="F78" s="2">
        <f>IF(D78=1,Fandual!D78,0)</f>
        <v>0</v>
      </c>
      <c r="G78" s="2">
        <f>IF(D78=1,Fandual!F78,0)</f>
        <v>0</v>
      </c>
      <c r="H78" s="2">
        <f>IF(D78=1,Fandual!H78,0)</f>
        <v>0</v>
      </c>
      <c r="I78" s="2">
        <f>IF((Optimizer!$J$8=Fandual!J78),4,0)</f>
        <v>0</v>
      </c>
      <c r="J78" s="2">
        <f>IF((Optimizer!$J$10=Fandual!J78),100,0)</f>
        <v>0</v>
      </c>
      <c r="K78" s="2">
        <f t="shared" si="3"/>
        <v>0</v>
      </c>
      <c r="L78" s="2">
        <f>IF(Fandual!M78="",1,0)</f>
        <v>1</v>
      </c>
    </row>
    <row r="79" spans="1:12" x14ac:dyDescent="0.25">
      <c r="A79" s="2">
        <f>IF((OR(Optimizer!$J$8=Fandual!J79,Optimizer!$J$10=Fandual!J79))=TRUE, 1,0)</f>
        <v>0</v>
      </c>
      <c r="B79" s="2">
        <f>IF((OR(Fandual!O79="",Fandual!O79&lt;&gt;0)=TRUE),1,0)</f>
        <v>1</v>
      </c>
      <c r="C79" s="2">
        <f>IF(Fandual!B79&lt;&gt;"P",1,0)</f>
        <v>0</v>
      </c>
      <c r="D79" s="2">
        <f t="shared" si="2"/>
        <v>0</v>
      </c>
      <c r="E79" s="2">
        <f>IF(D79=1,Fandual!B79,0)</f>
        <v>0</v>
      </c>
      <c r="F79" s="2">
        <f>IF(D79=1,Fandual!D79,0)</f>
        <v>0</v>
      </c>
      <c r="G79" s="2">
        <f>IF(D79=1,Fandual!F79,0)</f>
        <v>0</v>
      </c>
      <c r="H79" s="2">
        <f>IF(D79=1,Fandual!H79,0)</f>
        <v>0</v>
      </c>
      <c r="I79" s="2">
        <f>IF((Optimizer!$J$8=Fandual!J79),4,0)</f>
        <v>0</v>
      </c>
      <c r="J79" s="2">
        <f>IF((Optimizer!$J$10=Fandual!J79),100,0)</f>
        <v>0</v>
      </c>
      <c r="K79" s="2">
        <f t="shared" si="3"/>
        <v>0</v>
      </c>
      <c r="L79" s="2">
        <f>IF(Fandual!M79="",1,0)</f>
        <v>0</v>
      </c>
    </row>
    <row r="80" spans="1:12" x14ac:dyDescent="0.25">
      <c r="A80" s="2">
        <f>IF((OR(Optimizer!$J$8=Fandual!J80,Optimizer!$J$10=Fandual!J80))=TRUE, 1,0)</f>
        <v>0</v>
      </c>
      <c r="B80" s="2">
        <f>IF((OR(Fandual!O80="",Fandual!O80&lt;&gt;0)=TRUE),1,0)</f>
        <v>1</v>
      </c>
      <c r="C80" s="2">
        <f>IF(Fandual!B80&lt;&gt;"P",1,0)</f>
        <v>0</v>
      </c>
      <c r="D80" s="2">
        <f t="shared" si="2"/>
        <v>0</v>
      </c>
      <c r="E80" s="2">
        <f>IF(D80=1,Fandual!B80,0)</f>
        <v>0</v>
      </c>
      <c r="F80" s="2">
        <f>IF(D80=1,Fandual!D80,0)</f>
        <v>0</v>
      </c>
      <c r="G80" s="2">
        <f>IF(D80=1,Fandual!F80,0)</f>
        <v>0</v>
      </c>
      <c r="H80" s="2">
        <f>IF(D80=1,Fandual!H80,0)</f>
        <v>0</v>
      </c>
      <c r="I80" s="2">
        <f>IF((Optimizer!$J$8=Fandual!J80),4,0)</f>
        <v>0</v>
      </c>
      <c r="J80" s="2">
        <f>IF((Optimizer!$J$10=Fandual!J80),100,0)</f>
        <v>0</v>
      </c>
      <c r="K80" s="2">
        <f t="shared" si="3"/>
        <v>0</v>
      </c>
      <c r="L80" s="2">
        <f>IF(Fandual!M80="",1,0)</f>
        <v>1</v>
      </c>
    </row>
    <row r="81" spans="1:12" x14ac:dyDescent="0.25">
      <c r="A81" s="2">
        <f>IF((OR(Optimizer!$J$8=Fandual!J81,Optimizer!$J$10=Fandual!J81))=TRUE, 1,0)</f>
        <v>0</v>
      </c>
      <c r="B81" s="2">
        <f>IF((OR(Fandual!O81="",Fandual!O81&lt;&gt;0)=TRUE),1,0)</f>
        <v>1</v>
      </c>
      <c r="C81" s="2">
        <f>IF(Fandual!B81&lt;&gt;"P",1,0)</f>
        <v>0</v>
      </c>
      <c r="D81" s="2">
        <f t="shared" si="2"/>
        <v>0</v>
      </c>
      <c r="E81" s="2">
        <f>IF(D81=1,Fandual!B81,0)</f>
        <v>0</v>
      </c>
      <c r="F81" s="2">
        <f>IF(D81=1,Fandual!D81,0)</f>
        <v>0</v>
      </c>
      <c r="G81" s="2">
        <f>IF(D81=1,Fandual!F81,0)</f>
        <v>0</v>
      </c>
      <c r="H81" s="2">
        <f>IF(D81=1,Fandual!H81,0)</f>
        <v>0</v>
      </c>
      <c r="I81" s="2">
        <f>IF((Optimizer!$J$8=Fandual!J81),4,0)</f>
        <v>0</v>
      </c>
      <c r="J81" s="2">
        <f>IF((Optimizer!$J$10=Fandual!J81),100,0)</f>
        <v>0</v>
      </c>
      <c r="K81" s="2">
        <f t="shared" si="3"/>
        <v>0</v>
      </c>
      <c r="L81" s="2">
        <f>IF(Fandual!M81="",1,0)</f>
        <v>0</v>
      </c>
    </row>
    <row r="82" spans="1:12" x14ac:dyDescent="0.25">
      <c r="A82" s="2">
        <f>IF((OR(Optimizer!$J$8=Fandual!J82,Optimizer!$J$10=Fandual!J82))=TRUE, 1,0)</f>
        <v>0</v>
      </c>
      <c r="B82" s="2">
        <f>IF((OR(Fandual!O82="",Fandual!O82&lt;&gt;0)=TRUE),1,0)</f>
        <v>1</v>
      </c>
      <c r="C82" s="2">
        <f>IF(Fandual!B82&lt;&gt;"P",1,0)</f>
        <v>0</v>
      </c>
      <c r="D82" s="2">
        <f t="shared" si="2"/>
        <v>0</v>
      </c>
      <c r="E82" s="2">
        <f>IF(D82=1,Fandual!B82,0)</f>
        <v>0</v>
      </c>
      <c r="F82" s="2">
        <f>IF(D82=1,Fandual!D82,0)</f>
        <v>0</v>
      </c>
      <c r="G82" s="2">
        <f>IF(D82=1,Fandual!F82,0)</f>
        <v>0</v>
      </c>
      <c r="H82" s="2">
        <f>IF(D82=1,Fandual!H82,0)</f>
        <v>0</v>
      </c>
      <c r="I82" s="2">
        <f>IF((Optimizer!$J$8=Fandual!J82),4,0)</f>
        <v>0</v>
      </c>
      <c r="J82" s="2">
        <f>IF((Optimizer!$J$10=Fandual!J82),100,0)</f>
        <v>0</v>
      </c>
      <c r="K82" s="2">
        <f t="shared" si="3"/>
        <v>0</v>
      </c>
      <c r="L82" s="2">
        <f>IF(Fandual!M82="",1,0)</f>
        <v>1</v>
      </c>
    </row>
    <row r="83" spans="1:12" x14ac:dyDescent="0.25">
      <c r="A83" s="2">
        <f>IF((OR(Optimizer!$J$8=Fandual!J83,Optimizer!$J$10=Fandual!J83))=TRUE, 1,0)</f>
        <v>0</v>
      </c>
      <c r="B83" s="2">
        <f>IF((OR(Fandual!O83="",Fandual!O83&lt;&gt;0)=TRUE),1,0)</f>
        <v>1</v>
      </c>
      <c r="C83" s="2">
        <f>IF(Fandual!B83&lt;&gt;"P",1,0)</f>
        <v>0</v>
      </c>
      <c r="D83" s="2">
        <f t="shared" si="2"/>
        <v>0</v>
      </c>
      <c r="E83" s="2">
        <f>IF(D83=1,Fandual!B83,0)</f>
        <v>0</v>
      </c>
      <c r="F83" s="2">
        <f>IF(D83=1,Fandual!D83,0)</f>
        <v>0</v>
      </c>
      <c r="G83" s="2">
        <f>IF(D83=1,Fandual!F83,0)</f>
        <v>0</v>
      </c>
      <c r="H83" s="2">
        <f>IF(D83=1,Fandual!H83,0)</f>
        <v>0</v>
      </c>
      <c r="I83" s="2">
        <f>IF((Optimizer!$J$8=Fandual!J83),4,0)</f>
        <v>0</v>
      </c>
      <c r="J83" s="2">
        <f>IF((Optimizer!$J$10=Fandual!J83),100,0)</f>
        <v>0</v>
      </c>
      <c r="K83" s="2">
        <f t="shared" si="3"/>
        <v>0</v>
      </c>
      <c r="L83" s="2">
        <f>IF(Fandual!M83="",1,0)</f>
        <v>1</v>
      </c>
    </row>
    <row r="84" spans="1:12" x14ac:dyDescent="0.25">
      <c r="A84" s="2">
        <f>IF((OR(Optimizer!$J$8=Fandual!J84,Optimizer!$J$10=Fandual!J84))=TRUE, 1,0)</f>
        <v>1</v>
      </c>
      <c r="B84" s="2">
        <f>IF((OR(Fandual!O84="",Fandual!O84&lt;&gt;0)=TRUE),1,0)</f>
        <v>1</v>
      </c>
      <c r="C84" s="2">
        <f>IF(Fandual!B84&lt;&gt;"P",1,0)</f>
        <v>0</v>
      </c>
      <c r="D84" s="2">
        <f t="shared" si="2"/>
        <v>0</v>
      </c>
      <c r="E84" s="2">
        <f>IF(D84=1,Fandual!B84,0)</f>
        <v>0</v>
      </c>
      <c r="F84" s="2">
        <f>IF(D84=1,Fandual!D84,0)</f>
        <v>0</v>
      </c>
      <c r="G84" s="2">
        <f>IF(D84=1,Fandual!F84,0)</f>
        <v>0</v>
      </c>
      <c r="H84" s="2">
        <f>IF(D84=1,Fandual!H84,0)</f>
        <v>0</v>
      </c>
      <c r="I84" s="2">
        <f>IF((Optimizer!$J$8=Fandual!J84),4,0)</f>
        <v>0</v>
      </c>
      <c r="J84" s="2">
        <f>IF((Optimizer!$J$10=Fandual!J84),100,0)</f>
        <v>100</v>
      </c>
      <c r="K84" s="2">
        <f t="shared" si="3"/>
        <v>0</v>
      </c>
      <c r="L84" s="2">
        <f>IF(Fandual!M84="",1,0)</f>
        <v>0</v>
      </c>
    </row>
    <row r="85" spans="1:12" x14ac:dyDescent="0.25">
      <c r="A85" s="2">
        <f>IF((OR(Optimizer!$J$8=Fandual!J85,Optimizer!$J$10=Fandual!J85))=TRUE, 1,0)</f>
        <v>0</v>
      </c>
      <c r="B85" s="2">
        <f>IF((OR(Fandual!O85="",Fandual!O85&lt;&gt;0)=TRUE),1,0)</f>
        <v>1</v>
      </c>
      <c r="C85" s="2">
        <f>IF(Fandual!B85&lt;&gt;"P",1,0)</f>
        <v>0</v>
      </c>
      <c r="D85" s="2">
        <f t="shared" si="2"/>
        <v>0</v>
      </c>
      <c r="E85" s="2">
        <f>IF(D85=1,Fandual!B85,0)</f>
        <v>0</v>
      </c>
      <c r="F85" s="2">
        <f>IF(D85=1,Fandual!D85,0)</f>
        <v>0</v>
      </c>
      <c r="G85" s="2">
        <f>IF(D85=1,Fandual!F85,0)</f>
        <v>0</v>
      </c>
      <c r="H85" s="2">
        <f>IF(D85=1,Fandual!H85,0)</f>
        <v>0</v>
      </c>
      <c r="I85" s="2">
        <f>IF((Optimizer!$J$8=Fandual!J85),4,0)</f>
        <v>0</v>
      </c>
      <c r="J85" s="2">
        <f>IF((Optimizer!$J$10=Fandual!J85),100,0)</f>
        <v>0</v>
      </c>
      <c r="K85" s="2">
        <f t="shared" si="3"/>
        <v>0</v>
      </c>
      <c r="L85" s="2">
        <f>IF(Fandual!M85="",1,0)</f>
        <v>1</v>
      </c>
    </row>
    <row r="86" spans="1:12" x14ac:dyDescent="0.25">
      <c r="A86" s="2">
        <f>IF((OR(Optimizer!$J$8=Fandual!J86,Optimizer!$J$10=Fandual!J86))=TRUE, 1,0)</f>
        <v>0</v>
      </c>
      <c r="B86" s="2">
        <f>IF((OR(Fandual!O86="",Fandual!O86&lt;&gt;0)=TRUE),1,0)</f>
        <v>1</v>
      </c>
      <c r="C86" s="2">
        <f>IF(Fandual!B86&lt;&gt;"P",1,0)</f>
        <v>0</v>
      </c>
      <c r="D86" s="2">
        <f t="shared" si="2"/>
        <v>0</v>
      </c>
      <c r="E86" s="2">
        <f>IF(D86=1,Fandual!B86,0)</f>
        <v>0</v>
      </c>
      <c r="F86" s="2">
        <f>IF(D86=1,Fandual!D86,0)</f>
        <v>0</v>
      </c>
      <c r="G86" s="2">
        <f>IF(D86=1,Fandual!F86,0)</f>
        <v>0</v>
      </c>
      <c r="H86" s="2">
        <f>IF(D86=1,Fandual!H86,0)</f>
        <v>0</v>
      </c>
      <c r="I86" s="2">
        <f>IF((Optimizer!$J$8=Fandual!J86),4,0)</f>
        <v>0</v>
      </c>
      <c r="J86" s="2">
        <f>IF((Optimizer!$J$10=Fandual!J86),100,0)</f>
        <v>0</v>
      </c>
      <c r="K86" s="2">
        <f t="shared" si="3"/>
        <v>0</v>
      </c>
      <c r="L86" s="2">
        <f>IF(Fandual!M86="",1,0)</f>
        <v>0</v>
      </c>
    </row>
    <row r="87" spans="1:12" x14ac:dyDescent="0.25">
      <c r="A87" s="2">
        <f>IF((OR(Optimizer!$J$8=Fandual!J87,Optimizer!$J$10=Fandual!J87))=TRUE, 1,0)</f>
        <v>0</v>
      </c>
      <c r="B87" s="2">
        <f>IF((OR(Fandual!O87="",Fandual!O87&lt;&gt;0)=TRUE),1,0)</f>
        <v>1</v>
      </c>
      <c r="C87" s="2">
        <f>IF(Fandual!B87&lt;&gt;"P",1,0)</f>
        <v>0</v>
      </c>
      <c r="D87" s="2">
        <f t="shared" si="2"/>
        <v>0</v>
      </c>
      <c r="E87" s="2">
        <f>IF(D87=1,Fandual!B87,0)</f>
        <v>0</v>
      </c>
      <c r="F87" s="2">
        <f>IF(D87=1,Fandual!D87,0)</f>
        <v>0</v>
      </c>
      <c r="G87" s="2">
        <f>IF(D87=1,Fandual!F87,0)</f>
        <v>0</v>
      </c>
      <c r="H87" s="2">
        <f>IF(D87=1,Fandual!H87,0)</f>
        <v>0</v>
      </c>
      <c r="I87" s="2">
        <f>IF((Optimizer!$J$8=Fandual!J87),4,0)</f>
        <v>0</v>
      </c>
      <c r="J87" s="2">
        <f>IF((Optimizer!$J$10=Fandual!J87),100,0)</f>
        <v>0</v>
      </c>
      <c r="K87" s="2">
        <f t="shared" si="3"/>
        <v>0</v>
      </c>
      <c r="L87" s="2">
        <f>IF(Fandual!M87="",1,0)</f>
        <v>0</v>
      </c>
    </row>
    <row r="88" spans="1:12" x14ac:dyDescent="0.25">
      <c r="A88" s="2">
        <f>IF((OR(Optimizer!$J$8=Fandual!J88,Optimizer!$J$10=Fandual!J88))=TRUE, 1,0)</f>
        <v>0</v>
      </c>
      <c r="B88" s="2">
        <f>IF((OR(Fandual!O88="",Fandual!O88&lt;&gt;0)=TRUE),1,0)</f>
        <v>1</v>
      </c>
      <c r="C88" s="2">
        <f>IF(Fandual!B88&lt;&gt;"P",1,0)</f>
        <v>0</v>
      </c>
      <c r="D88" s="2">
        <f t="shared" si="2"/>
        <v>0</v>
      </c>
      <c r="E88" s="2">
        <f>IF(D88=1,Fandual!B88,0)</f>
        <v>0</v>
      </c>
      <c r="F88" s="2">
        <f>IF(D88=1,Fandual!D88,0)</f>
        <v>0</v>
      </c>
      <c r="G88" s="2">
        <f>IF(D88=1,Fandual!F88,0)</f>
        <v>0</v>
      </c>
      <c r="H88" s="2">
        <f>IF(D88=1,Fandual!H88,0)</f>
        <v>0</v>
      </c>
      <c r="I88" s="2">
        <f>IF((Optimizer!$J$8=Fandual!J88),4,0)</f>
        <v>0</v>
      </c>
      <c r="J88" s="2">
        <f>IF((Optimizer!$J$10=Fandual!J88),100,0)</f>
        <v>0</v>
      </c>
      <c r="K88" s="2">
        <f t="shared" si="3"/>
        <v>0</v>
      </c>
      <c r="L88" s="2">
        <f>IF(Fandual!M88="",1,0)</f>
        <v>1</v>
      </c>
    </row>
    <row r="89" spans="1:12" x14ac:dyDescent="0.25">
      <c r="A89" s="2">
        <f>IF((OR(Optimizer!$J$8=Fandual!J89,Optimizer!$J$10=Fandual!J89))=TRUE, 1,0)</f>
        <v>0</v>
      </c>
      <c r="B89" s="2">
        <f>IF((OR(Fandual!O89="",Fandual!O89&lt;&gt;0)=TRUE),1,0)</f>
        <v>1</v>
      </c>
      <c r="C89" s="2">
        <f>IF(Fandual!B89&lt;&gt;"P",1,0)</f>
        <v>0</v>
      </c>
      <c r="D89" s="2">
        <f t="shared" si="2"/>
        <v>0</v>
      </c>
      <c r="E89" s="2">
        <f>IF(D89=1,Fandual!B89,0)</f>
        <v>0</v>
      </c>
      <c r="F89" s="2">
        <f>IF(D89=1,Fandual!D89,0)</f>
        <v>0</v>
      </c>
      <c r="G89" s="2">
        <f>IF(D89=1,Fandual!F89,0)</f>
        <v>0</v>
      </c>
      <c r="H89" s="2">
        <f>IF(D89=1,Fandual!H89,0)</f>
        <v>0</v>
      </c>
      <c r="I89" s="2">
        <f>IF((Optimizer!$J$8=Fandual!J89),4,0)</f>
        <v>0</v>
      </c>
      <c r="J89" s="2">
        <f>IF((Optimizer!$J$10=Fandual!J89),100,0)</f>
        <v>0</v>
      </c>
      <c r="K89" s="2">
        <f t="shared" si="3"/>
        <v>0</v>
      </c>
      <c r="L89" s="2">
        <f>IF(Fandual!M89="",1,0)</f>
        <v>1</v>
      </c>
    </row>
    <row r="90" spans="1:12" x14ac:dyDescent="0.25">
      <c r="A90" s="2">
        <f>IF((OR(Optimizer!$J$8=Fandual!J90,Optimizer!$J$10=Fandual!J90))=TRUE, 1,0)</f>
        <v>0</v>
      </c>
      <c r="B90" s="2">
        <f>IF((OR(Fandual!O90="",Fandual!O90&lt;&gt;0)=TRUE),1,0)</f>
        <v>1</v>
      </c>
      <c r="C90" s="2">
        <f>IF(Fandual!B90&lt;&gt;"P",1,0)</f>
        <v>0</v>
      </c>
      <c r="D90" s="2">
        <f t="shared" si="2"/>
        <v>0</v>
      </c>
      <c r="E90" s="2">
        <f>IF(D90=1,Fandual!B90,0)</f>
        <v>0</v>
      </c>
      <c r="F90" s="2">
        <f>IF(D90=1,Fandual!D90,0)</f>
        <v>0</v>
      </c>
      <c r="G90" s="2">
        <f>IF(D90=1,Fandual!F90,0)</f>
        <v>0</v>
      </c>
      <c r="H90" s="2">
        <f>IF(D90=1,Fandual!H90,0)</f>
        <v>0</v>
      </c>
      <c r="I90" s="2">
        <f>IF((Optimizer!$J$8=Fandual!J90),4,0)</f>
        <v>0</v>
      </c>
      <c r="J90" s="2">
        <f>IF((Optimizer!$J$10=Fandual!J90),100,0)</f>
        <v>0</v>
      </c>
      <c r="K90" s="2">
        <f t="shared" si="3"/>
        <v>0</v>
      </c>
      <c r="L90" s="2">
        <f>IF(Fandual!M90="",1,0)</f>
        <v>1</v>
      </c>
    </row>
    <row r="91" spans="1:12" x14ac:dyDescent="0.25">
      <c r="A91" s="2">
        <f>IF((OR(Optimizer!$J$8=Fandual!J91,Optimizer!$J$10=Fandual!J91))=TRUE, 1,0)</f>
        <v>0</v>
      </c>
      <c r="B91" s="2">
        <f>IF((OR(Fandual!O91="",Fandual!O91&lt;&gt;0)=TRUE),1,0)</f>
        <v>1</v>
      </c>
      <c r="C91" s="2">
        <f>IF(Fandual!B91&lt;&gt;"P",1,0)</f>
        <v>0</v>
      </c>
      <c r="D91" s="2">
        <f t="shared" si="2"/>
        <v>0</v>
      </c>
      <c r="E91" s="2">
        <f>IF(D91=1,Fandual!B91,0)</f>
        <v>0</v>
      </c>
      <c r="F91" s="2">
        <f>IF(D91=1,Fandual!D91,0)</f>
        <v>0</v>
      </c>
      <c r="G91" s="2">
        <f>IF(D91=1,Fandual!F91,0)</f>
        <v>0</v>
      </c>
      <c r="H91" s="2">
        <f>IF(D91=1,Fandual!H91,0)</f>
        <v>0</v>
      </c>
      <c r="I91" s="2">
        <f>IF((Optimizer!$J$8=Fandual!J91),4,0)</f>
        <v>0</v>
      </c>
      <c r="J91" s="2">
        <f>IF((Optimizer!$J$10=Fandual!J91),100,0)</f>
        <v>0</v>
      </c>
      <c r="K91" s="2">
        <f t="shared" si="3"/>
        <v>0</v>
      </c>
      <c r="L91" s="2">
        <f>IF(Fandual!M91="",1,0)</f>
        <v>1</v>
      </c>
    </row>
    <row r="92" spans="1:12" x14ac:dyDescent="0.25">
      <c r="A92" s="2">
        <f>IF((OR(Optimizer!$J$8=Fandual!J92,Optimizer!$J$10=Fandual!J92))=TRUE, 1,0)</f>
        <v>0</v>
      </c>
      <c r="B92" s="2">
        <f>IF((OR(Fandual!O92="",Fandual!O92&lt;&gt;0)=TRUE),1,0)</f>
        <v>1</v>
      </c>
      <c r="C92" s="2">
        <f>IF(Fandual!B92&lt;&gt;"P",1,0)</f>
        <v>0</v>
      </c>
      <c r="D92" s="2">
        <f t="shared" si="2"/>
        <v>0</v>
      </c>
      <c r="E92" s="2">
        <f>IF(D92=1,Fandual!B92,0)</f>
        <v>0</v>
      </c>
      <c r="F92" s="2">
        <f>IF(D92=1,Fandual!D92,0)</f>
        <v>0</v>
      </c>
      <c r="G92" s="2">
        <f>IF(D92=1,Fandual!F92,0)</f>
        <v>0</v>
      </c>
      <c r="H92" s="2">
        <f>IF(D92=1,Fandual!H92,0)</f>
        <v>0</v>
      </c>
      <c r="I92" s="2">
        <f>IF((Optimizer!$J$8=Fandual!J92),4,0)</f>
        <v>0</v>
      </c>
      <c r="J92" s="2">
        <f>IF((Optimizer!$J$10=Fandual!J92),100,0)</f>
        <v>0</v>
      </c>
      <c r="K92" s="2">
        <f t="shared" si="3"/>
        <v>0</v>
      </c>
      <c r="L92" s="2">
        <f>IF(Fandual!M92="",1,0)</f>
        <v>1</v>
      </c>
    </row>
    <row r="93" spans="1:12" x14ac:dyDescent="0.25">
      <c r="A93" s="2">
        <f>IF((OR(Optimizer!$J$8=Fandual!J93,Optimizer!$J$10=Fandual!J93))=TRUE, 1,0)</f>
        <v>0</v>
      </c>
      <c r="B93" s="2">
        <f>IF((OR(Fandual!O93="",Fandual!O93&lt;&gt;0)=TRUE),1,0)</f>
        <v>1</v>
      </c>
      <c r="C93" s="2">
        <f>IF(Fandual!B93&lt;&gt;"P",1,0)</f>
        <v>0</v>
      </c>
      <c r="D93" s="2">
        <f t="shared" si="2"/>
        <v>0</v>
      </c>
      <c r="E93" s="2">
        <f>IF(D93=1,Fandual!B93,0)</f>
        <v>0</v>
      </c>
      <c r="F93" s="2">
        <f>IF(D93=1,Fandual!D93,0)</f>
        <v>0</v>
      </c>
      <c r="G93" s="2">
        <f>IF(D93=1,Fandual!F93,0)</f>
        <v>0</v>
      </c>
      <c r="H93" s="2">
        <f>IF(D93=1,Fandual!H93,0)</f>
        <v>0</v>
      </c>
      <c r="I93" s="2">
        <f>IF((Optimizer!$J$8=Fandual!J93),4,0)</f>
        <v>0</v>
      </c>
      <c r="J93" s="2">
        <f>IF((Optimizer!$J$10=Fandual!J93),100,0)</f>
        <v>0</v>
      </c>
      <c r="K93" s="2">
        <f t="shared" si="3"/>
        <v>0</v>
      </c>
      <c r="L93" s="2">
        <f>IF(Fandual!M93="",1,0)</f>
        <v>1</v>
      </c>
    </row>
    <row r="94" spans="1:12" x14ac:dyDescent="0.25">
      <c r="A94" s="2">
        <f>IF((OR(Optimizer!$J$8=Fandual!J94,Optimizer!$J$10=Fandual!J94))=TRUE, 1,0)</f>
        <v>0</v>
      </c>
      <c r="B94" s="2">
        <f>IF((OR(Fandual!O94="",Fandual!O94&lt;&gt;0)=TRUE),1,0)</f>
        <v>1</v>
      </c>
      <c r="C94" s="2">
        <f>IF(Fandual!B94&lt;&gt;"P",1,0)</f>
        <v>0</v>
      </c>
      <c r="D94" s="2">
        <f t="shared" si="2"/>
        <v>0</v>
      </c>
      <c r="E94" s="2">
        <f>IF(D94=1,Fandual!B94,0)</f>
        <v>0</v>
      </c>
      <c r="F94" s="2">
        <f>IF(D94=1,Fandual!D94,0)</f>
        <v>0</v>
      </c>
      <c r="G94" s="2">
        <f>IF(D94=1,Fandual!F94,0)</f>
        <v>0</v>
      </c>
      <c r="H94" s="2">
        <f>IF(D94=1,Fandual!H94,0)</f>
        <v>0</v>
      </c>
      <c r="I94" s="2">
        <f>IF((Optimizer!$J$8=Fandual!J94),4,0)</f>
        <v>0</v>
      </c>
      <c r="J94" s="2">
        <f>IF((Optimizer!$J$10=Fandual!J94),100,0)</f>
        <v>0</v>
      </c>
      <c r="K94" s="2">
        <f t="shared" si="3"/>
        <v>0</v>
      </c>
      <c r="L94" s="2">
        <f>IF(Fandual!M94="",1,0)</f>
        <v>1</v>
      </c>
    </row>
    <row r="95" spans="1:12" x14ac:dyDescent="0.25">
      <c r="A95" s="2">
        <f>IF((OR(Optimizer!$J$8=Fandual!J95,Optimizer!$J$10=Fandual!J95))=TRUE, 1,0)</f>
        <v>0</v>
      </c>
      <c r="B95" s="2">
        <f>IF((OR(Fandual!O95="",Fandual!O95&lt;&gt;0)=TRUE),1,0)</f>
        <v>1</v>
      </c>
      <c r="C95" s="2">
        <f>IF(Fandual!B95&lt;&gt;"P",1,0)</f>
        <v>0</v>
      </c>
      <c r="D95" s="2">
        <f t="shared" si="2"/>
        <v>0</v>
      </c>
      <c r="E95" s="2">
        <f>IF(D95=1,Fandual!B95,0)</f>
        <v>0</v>
      </c>
      <c r="F95" s="2">
        <f>IF(D95=1,Fandual!D95,0)</f>
        <v>0</v>
      </c>
      <c r="G95" s="2">
        <f>IF(D95=1,Fandual!F95,0)</f>
        <v>0</v>
      </c>
      <c r="H95" s="2">
        <f>IF(D95=1,Fandual!H95,0)</f>
        <v>0</v>
      </c>
      <c r="I95" s="2">
        <f>IF((Optimizer!$J$8=Fandual!J95),4,0)</f>
        <v>0</v>
      </c>
      <c r="J95" s="2">
        <f>IF((Optimizer!$J$10=Fandual!J95),100,0)</f>
        <v>0</v>
      </c>
      <c r="K95" s="2">
        <f t="shared" si="3"/>
        <v>0</v>
      </c>
      <c r="L95" s="2">
        <f>IF(Fandual!M95="",1,0)</f>
        <v>1</v>
      </c>
    </row>
    <row r="96" spans="1:12" x14ac:dyDescent="0.25">
      <c r="A96" s="2">
        <f>IF((OR(Optimizer!$J$8=Fandual!J96,Optimizer!$J$10=Fandual!J96))=TRUE, 1,0)</f>
        <v>0</v>
      </c>
      <c r="B96" s="2">
        <f>IF((OR(Fandual!O96="",Fandual!O96&lt;&gt;0)=TRUE),1,0)</f>
        <v>1</v>
      </c>
      <c r="C96" s="2">
        <f>IF(Fandual!B96&lt;&gt;"P",1,0)</f>
        <v>0</v>
      </c>
      <c r="D96" s="2">
        <f t="shared" si="2"/>
        <v>0</v>
      </c>
      <c r="E96" s="2">
        <f>IF(D96=1,Fandual!B96,0)</f>
        <v>0</v>
      </c>
      <c r="F96" s="2">
        <f>IF(D96=1,Fandual!D96,0)</f>
        <v>0</v>
      </c>
      <c r="G96" s="2">
        <f>IF(D96=1,Fandual!F96,0)</f>
        <v>0</v>
      </c>
      <c r="H96" s="2">
        <f>IF(D96=1,Fandual!H96,0)</f>
        <v>0</v>
      </c>
      <c r="I96" s="2">
        <f>IF((Optimizer!$J$8=Fandual!J96),4,0)</f>
        <v>0</v>
      </c>
      <c r="J96" s="2">
        <f>IF((Optimizer!$J$10=Fandual!J96),100,0)</f>
        <v>0</v>
      </c>
      <c r="K96" s="2">
        <f t="shared" si="3"/>
        <v>0</v>
      </c>
      <c r="L96" s="2">
        <f>IF(Fandual!M96="",1,0)</f>
        <v>1</v>
      </c>
    </row>
    <row r="97" spans="1:12" x14ac:dyDescent="0.25">
      <c r="A97" s="2">
        <f>IF((OR(Optimizer!$J$8=Fandual!J97,Optimizer!$J$10=Fandual!J97))=TRUE, 1,0)</f>
        <v>0</v>
      </c>
      <c r="B97" s="2">
        <f>IF((OR(Fandual!O97="",Fandual!O97&lt;&gt;0)=TRUE),1,0)</f>
        <v>1</v>
      </c>
      <c r="C97" s="2">
        <f>IF(Fandual!B97&lt;&gt;"P",1,0)</f>
        <v>0</v>
      </c>
      <c r="D97" s="2">
        <f t="shared" si="2"/>
        <v>0</v>
      </c>
      <c r="E97" s="2">
        <f>IF(D97=1,Fandual!B97,0)</f>
        <v>0</v>
      </c>
      <c r="F97" s="2">
        <f>IF(D97=1,Fandual!D97,0)</f>
        <v>0</v>
      </c>
      <c r="G97" s="2">
        <f>IF(D97=1,Fandual!F97,0)</f>
        <v>0</v>
      </c>
      <c r="H97" s="2">
        <f>IF(D97=1,Fandual!H97,0)</f>
        <v>0</v>
      </c>
      <c r="I97" s="2">
        <f>IF((Optimizer!$J$8=Fandual!J97),4,0)</f>
        <v>0</v>
      </c>
      <c r="J97" s="2">
        <f>IF((Optimizer!$J$10=Fandual!J97),100,0)</f>
        <v>0</v>
      </c>
      <c r="K97" s="2">
        <f t="shared" si="3"/>
        <v>0</v>
      </c>
      <c r="L97" s="2">
        <f>IF(Fandual!M97="",1,0)</f>
        <v>1</v>
      </c>
    </row>
    <row r="98" spans="1:12" x14ac:dyDescent="0.25">
      <c r="A98" s="2">
        <f>IF((OR(Optimizer!$J$8=Fandual!J98,Optimizer!$J$10=Fandual!J98))=TRUE, 1,0)</f>
        <v>0</v>
      </c>
      <c r="B98" s="2">
        <f>IF((OR(Fandual!O98="",Fandual!O98&lt;&gt;0)=TRUE),1,0)</f>
        <v>1</v>
      </c>
      <c r="C98" s="2">
        <f>IF(Fandual!B98&lt;&gt;"P",1,0)</f>
        <v>0</v>
      </c>
      <c r="D98" s="2">
        <f t="shared" si="2"/>
        <v>0</v>
      </c>
      <c r="E98" s="2">
        <f>IF(D98=1,Fandual!B98,0)</f>
        <v>0</v>
      </c>
      <c r="F98" s="2">
        <f>IF(D98=1,Fandual!D98,0)</f>
        <v>0</v>
      </c>
      <c r="G98" s="2">
        <f>IF(D98=1,Fandual!F98,0)</f>
        <v>0</v>
      </c>
      <c r="H98" s="2">
        <f>IF(D98=1,Fandual!H98,0)</f>
        <v>0</v>
      </c>
      <c r="I98" s="2">
        <f>IF((Optimizer!$J$8=Fandual!J98),4,0)</f>
        <v>0</v>
      </c>
      <c r="J98" s="2">
        <f>IF((Optimizer!$J$10=Fandual!J98),100,0)</f>
        <v>0</v>
      </c>
      <c r="K98" s="2">
        <f t="shared" si="3"/>
        <v>0</v>
      </c>
      <c r="L98" s="2">
        <f>IF(Fandual!M98="",1,0)</f>
        <v>1</v>
      </c>
    </row>
    <row r="99" spans="1:12" x14ac:dyDescent="0.25">
      <c r="A99" s="2">
        <f>IF((OR(Optimizer!$J$8=Fandual!J99,Optimizer!$J$10=Fandual!J99))=TRUE, 1,0)</f>
        <v>0</v>
      </c>
      <c r="B99" s="2">
        <f>IF((OR(Fandual!O99="",Fandual!O99&lt;&gt;0)=TRUE),1,0)</f>
        <v>1</v>
      </c>
      <c r="C99" s="2">
        <f>IF(Fandual!B99&lt;&gt;"P",1,0)</f>
        <v>0</v>
      </c>
      <c r="D99" s="2">
        <f t="shared" si="2"/>
        <v>0</v>
      </c>
      <c r="E99" s="2">
        <f>IF(D99=1,Fandual!B99,0)</f>
        <v>0</v>
      </c>
      <c r="F99" s="2">
        <f>IF(D99=1,Fandual!D99,0)</f>
        <v>0</v>
      </c>
      <c r="G99" s="2">
        <f>IF(D99=1,Fandual!F99,0)</f>
        <v>0</v>
      </c>
      <c r="H99" s="2">
        <f>IF(D99=1,Fandual!H99,0)</f>
        <v>0</v>
      </c>
      <c r="I99" s="2">
        <f>IF((Optimizer!$J$8=Fandual!J99),4,0)</f>
        <v>0</v>
      </c>
      <c r="J99" s="2">
        <f>IF((Optimizer!$J$10=Fandual!J99),100,0)</f>
        <v>0</v>
      </c>
      <c r="K99" s="2">
        <f t="shared" si="3"/>
        <v>0</v>
      </c>
      <c r="L99" s="2">
        <f>IF(Fandual!M99="",1,0)</f>
        <v>1</v>
      </c>
    </row>
    <row r="100" spans="1:12" x14ac:dyDescent="0.25">
      <c r="A100" s="2">
        <f>IF((OR(Optimizer!$J$8=Fandual!J100,Optimizer!$J$10=Fandual!J100))=TRUE, 1,0)</f>
        <v>0</v>
      </c>
      <c r="B100" s="2">
        <f>IF((OR(Fandual!O100="",Fandual!O100&lt;&gt;0)=TRUE),1,0)</f>
        <v>1</v>
      </c>
      <c r="C100" s="2">
        <f>IF(Fandual!B100&lt;&gt;"P",1,0)</f>
        <v>0</v>
      </c>
      <c r="D100" s="2">
        <f t="shared" si="2"/>
        <v>0</v>
      </c>
      <c r="E100" s="2">
        <f>IF(D100=1,Fandual!B100,0)</f>
        <v>0</v>
      </c>
      <c r="F100" s="2">
        <f>IF(D100=1,Fandual!D100,0)</f>
        <v>0</v>
      </c>
      <c r="G100" s="2">
        <f>IF(D100=1,Fandual!F100,0)</f>
        <v>0</v>
      </c>
      <c r="H100" s="2">
        <f>IF(D100=1,Fandual!H100,0)</f>
        <v>0</v>
      </c>
      <c r="I100" s="2">
        <f>IF((Optimizer!$J$8=Fandual!J100),4,0)</f>
        <v>0</v>
      </c>
      <c r="J100" s="2">
        <f>IF((Optimizer!$J$10=Fandual!J100),100,0)</f>
        <v>0</v>
      </c>
      <c r="K100" s="2">
        <f t="shared" si="3"/>
        <v>0</v>
      </c>
      <c r="L100" s="2">
        <f>IF(Fandual!M100="",1,0)</f>
        <v>1</v>
      </c>
    </row>
    <row r="101" spans="1:12" x14ac:dyDescent="0.25">
      <c r="A101" s="2">
        <f>IF((OR(Optimizer!$J$8=Fandual!J101,Optimizer!$J$10=Fandual!J101))=TRUE, 1,0)</f>
        <v>0</v>
      </c>
      <c r="B101" s="2">
        <f>IF((OR(Fandual!O101="",Fandual!O101&lt;&gt;0)=TRUE),1,0)</f>
        <v>1</v>
      </c>
      <c r="C101" s="2">
        <f>IF(Fandual!B101&lt;&gt;"P",1,0)</f>
        <v>0</v>
      </c>
      <c r="D101" s="2">
        <f t="shared" si="2"/>
        <v>0</v>
      </c>
      <c r="E101" s="2">
        <f>IF(D101=1,Fandual!B101,0)</f>
        <v>0</v>
      </c>
      <c r="F101" s="2">
        <f>IF(D101=1,Fandual!D101,0)</f>
        <v>0</v>
      </c>
      <c r="G101" s="2">
        <f>IF(D101=1,Fandual!F101,0)</f>
        <v>0</v>
      </c>
      <c r="H101" s="2">
        <f>IF(D101=1,Fandual!H101,0)</f>
        <v>0</v>
      </c>
      <c r="I101" s="2">
        <f>IF((Optimizer!$J$8=Fandual!J101),4,0)</f>
        <v>0</v>
      </c>
      <c r="J101" s="2">
        <f>IF((Optimizer!$J$10=Fandual!J101),100,0)</f>
        <v>0</v>
      </c>
      <c r="K101" s="2">
        <f t="shared" si="3"/>
        <v>0</v>
      </c>
      <c r="L101" s="2">
        <f>IF(Fandual!M101="",1,0)</f>
        <v>0</v>
      </c>
    </row>
    <row r="102" spans="1:12" x14ac:dyDescent="0.25">
      <c r="A102" s="2">
        <f>IF((OR(Optimizer!$J$8=Fandual!J102,Optimizer!$J$10=Fandual!J102))=TRUE, 1,0)</f>
        <v>0</v>
      </c>
      <c r="B102" s="2">
        <f>IF((OR(Fandual!O102="",Fandual!O102&lt;&gt;0)=TRUE),1,0)</f>
        <v>1</v>
      </c>
      <c r="C102" s="2">
        <f>IF(Fandual!B102&lt;&gt;"P",1,0)</f>
        <v>0</v>
      </c>
      <c r="D102" s="2">
        <f t="shared" si="2"/>
        <v>0</v>
      </c>
      <c r="E102" s="2">
        <f>IF(D102=1,Fandual!B102,0)</f>
        <v>0</v>
      </c>
      <c r="F102" s="2">
        <f>IF(D102=1,Fandual!D102,0)</f>
        <v>0</v>
      </c>
      <c r="G102" s="2">
        <f>IF(D102=1,Fandual!F102,0)</f>
        <v>0</v>
      </c>
      <c r="H102" s="2">
        <f>IF(D102=1,Fandual!H102,0)</f>
        <v>0</v>
      </c>
      <c r="I102" s="2">
        <f>IF((Optimizer!$J$8=Fandual!J102),4,0)</f>
        <v>0</v>
      </c>
      <c r="J102" s="2">
        <f>IF((Optimizer!$J$10=Fandual!J102),100,0)</f>
        <v>0</v>
      </c>
      <c r="K102" s="2">
        <f t="shared" si="3"/>
        <v>0</v>
      </c>
      <c r="L102" s="2">
        <f>IF(Fandual!M102="",1,0)</f>
        <v>1</v>
      </c>
    </row>
    <row r="103" spans="1:12" x14ac:dyDescent="0.25">
      <c r="A103" s="2">
        <f>IF((OR(Optimizer!$J$8=Fandual!J103,Optimizer!$J$10=Fandual!J103))=TRUE, 1,0)</f>
        <v>0</v>
      </c>
      <c r="B103" s="2">
        <f>IF((OR(Fandual!O103="",Fandual!O103&lt;&gt;0)=TRUE),1,0)</f>
        <v>1</v>
      </c>
      <c r="C103" s="2">
        <f>IF(Fandual!B103&lt;&gt;"P",1,0)</f>
        <v>0</v>
      </c>
      <c r="D103" s="2">
        <f t="shared" si="2"/>
        <v>0</v>
      </c>
      <c r="E103" s="2">
        <f>IF(D103=1,Fandual!B103,0)</f>
        <v>0</v>
      </c>
      <c r="F103" s="2">
        <f>IF(D103=1,Fandual!D103,0)</f>
        <v>0</v>
      </c>
      <c r="G103" s="2">
        <f>IF(D103=1,Fandual!F103,0)</f>
        <v>0</v>
      </c>
      <c r="H103" s="2">
        <f>IF(D103=1,Fandual!H103,0)</f>
        <v>0</v>
      </c>
      <c r="I103" s="2">
        <f>IF((Optimizer!$J$8=Fandual!J103),4,0)</f>
        <v>0</v>
      </c>
      <c r="J103" s="2">
        <f>IF((Optimizer!$J$10=Fandual!J103),100,0)</f>
        <v>0</v>
      </c>
      <c r="K103" s="2">
        <f t="shared" si="3"/>
        <v>0</v>
      </c>
      <c r="L103" s="2">
        <f>IF(Fandual!M103="",1,0)</f>
        <v>0</v>
      </c>
    </row>
    <row r="104" spans="1:12" x14ac:dyDescent="0.25">
      <c r="A104" s="2">
        <f>IF((OR(Optimizer!$J$8=Fandual!J104,Optimizer!$J$10=Fandual!J104))=TRUE, 1,0)</f>
        <v>0</v>
      </c>
      <c r="B104" s="2">
        <f>IF((OR(Fandual!O104="",Fandual!O104&lt;&gt;0)=TRUE),1,0)</f>
        <v>1</v>
      </c>
      <c r="C104" s="2">
        <f>IF(Fandual!B104&lt;&gt;"P",1,0)</f>
        <v>0</v>
      </c>
      <c r="D104" s="2">
        <f t="shared" si="2"/>
        <v>0</v>
      </c>
      <c r="E104" s="2">
        <f>IF(D104=1,Fandual!B104,0)</f>
        <v>0</v>
      </c>
      <c r="F104" s="2">
        <f>IF(D104=1,Fandual!D104,0)</f>
        <v>0</v>
      </c>
      <c r="G104" s="2">
        <f>IF(D104=1,Fandual!F104,0)</f>
        <v>0</v>
      </c>
      <c r="H104" s="2">
        <f>IF(D104=1,Fandual!H104,0)</f>
        <v>0</v>
      </c>
      <c r="I104" s="2">
        <f>IF((Optimizer!$J$8=Fandual!J104),4,0)</f>
        <v>0</v>
      </c>
      <c r="J104" s="2">
        <f>IF((Optimizer!$J$10=Fandual!J104),100,0)</f>
        <v>0</v>
      </c>
      <c r="K104" s="2">
        <f t="shared" si="3"/>
        <v>0</v>
      </c>
      <c r="L104" s="2">
        <f>IF(Fandual!M104="",1,0)</f>
        <v>1</v>
      </c>
    </row>
    <row r="105" spans="1:12" x14ac:dyDescent="0.25">
      <c r="A105" s="2">
        <f>IF((OR(Optimizer!$J$8=Fandual!J105,Optimizer!$J$10=Fandual!J105))=TRUE, 1,0)</f>
        <v>0</v>
      </c>
      <c r="B105" s="2">
        <f>IF((OR(Fandual!O105="",Fandual!O105&lt;&gt;0)=TRUE),1,0)</f>
        <v>1</v>
      </c>
      <c r="C105" s="2">
        <f>IF(Fandual!B105&lt;&gt;"P",1,0)</f>
        <v>0</v>
      </c>
      <c r="D105" s="2">
        <f t="shared" si="2"/>
        <v>0</v>
      </c>
      <c r="E105" s="2">
        <f>IF(D105=1,Fandual!B105,0)</f>
        <v>0</v>
      </c>
      <c r="F105" s="2">
        <f>IF(D105=1,Fandual!D105,0)</f>
        <v>0</v>
      </c>
      <c r="G105" s="2">
        <f>IF(D105=1,Fandual!F105,0)</f>
        <v>0</v>
      </c>
      <c r="H105" s="2">
        <f>IF(D105=1,Fandual!H105,0)</f>
        <v>0</v>
      </c>
      <c r="I105" s="2">
        <f>IF((Optimizer!$J$8=Fandual!J105),4,0)</f>
        <v>0</v>
      </c>
      <c r="J105" s="2">
        <f>IF((Optimizer!$J$10=Fandual!J105),100,0)</f>
        <v>0</v>
      </c>
      <c r="K105" s="2">
        <f t="shared" si="3"/>
        <v>0</v>
      </c>
      <c r="L105" s="2">
        <f>IF(Fandual!M105="",1,0)</f>
        <v>1</v>
      </c>
    </row>
    <row r="106" spans="1:12" x14ac:dyDescent="0.25">
      <c r="A106" s="2">
        <f>IF((OR(Optimizer!$J$8=Fandual!J106,Optimizer!$J$10=Fandual!J106))=TRUE, 1,0)</f>
        <v>0</v>
      </c>
      <c r="B106" s="2">
        <f>IF((OR(Fandual!O106="",Fandual!O106&lt;&gt;0)=TRUE),1,0)</f>
        <v>1</v>
      </c>
      <c r="C106" s="2">
        <f>IF(Fandual!B106&lt;&gt;"P",1,0)</f>
        <v>0</v>
      </c>
      <c r="D106" s="2">
        <f t="shared" si="2"/>
        <v>0</v>
      </c>
      <c r="E106" s="2">
        <f>IF(D106=1,Fandual!B106,0)</f>
        <v>0</v>
      </c>
      <c r="F106" s="2">
        <f>IF(D106=1,Fandual!D106,0)</f>
        <v>0</v>
      </c>
      <c r="G106" s="2">
        <f>IF(D106=1,Fandual!F106,0)</f>
        <v>0</v>
      </c>
      <c r="H106" s="2">
        <f>IF(D106=1,Fandual!H106,0)</f>
        <v>0</v>
      </c>
      <c r="I106" s="2">
        <f>IF((Optimizer!$J$8=Fandual!J106),4,0)</f>
        <v>0</v>
      </c>
      <c r="J106" s="2">
        <f>IF((Optimizer!$J$10=Fandual!J106),100,0)</f>
        <v>0</v>
      </c>
      <c r="K106" s="2">
        <f t="shared" si="3"/>
        <v>0</v>
      </c>
      <c r="L106" s="2">
        <f>IF(Fandual!M106="",1,0)</f>
        <v>1</v>
      </c>
    </row>
    <row r="107" spans="1:12" x14ac:dyDescent="0.25">
      <c r="A107" s="2">
        <f>IF((OR(Optimizer!$J$8=Fandual!J107,Optimizer!$J$10=Fandual!J107))=TRUE, 1,0)</f>
        <v>0</v>
      </c>
      <c r="B107" s="2">
        <f>IF((OR(Fandual!O107="",Fandual!O107&lt;&gt;0)=TRUE),1,0)</f>
        <v>1</v>
      </c>
      <c r="C107" s="2">
        <f>IF(Fandual!B107&lt;&gt;"P",1,0)</f>
        <v>0</v>
      </c>
      <c r="D107" s="2">
        <f t="shared" si="2"/>
        <v>0</v>
      </c>
      <c r="E107" s="2">
        <f>IF(D107=1,Fandual!B107,0)</f>
        <v>0</v>
      </c>
      <c r="F107" s="2">
        <f>IF(D107=1,Fandual!D107,0)</f>
        <v>0</v>
      </c>
      <c r="G107" s="2">
        <f>IF(D107=1,Fandual!F107,0)</f>
        <v>0</v>
      </c>
      <c r="H107" s="2">
        <f>IF(D107=1,Fandual!H107,0)</f>
        <v>0</v>
      </c>
      <c r="I107" s="2">
        <f>IF((Optimizer!$J$8=Fandual!J107),4,0)</f>
        <v>0</v>
      </c>
      <c r="J107" s="2">
        <f>IF((Optimizer!$J$10=Fandual!J107),100,0)</f>
        <v>0</v>
      </c>
      <c r="K107" s="2">
        <f t="shared" si="3"/>
        <v>0</v>
      </c>
      <c r="L107" s="2">
        <f>IF(Fandual!M107="",1,0)</f>
        <v>1</v>
      </c>
    </row>
    <row r="108" spans="1:12" x14ac:dyDescent="0.25">
      <c r="A108" s="2">
        <f>IF((OR(Optimizer!$J$8=Fandual!J108,Optimizer!$J$10=Fandual!J108))=TRUE, 1,0)</f>
        <v>0</v>
      </c>
      <c r="B108" s="2">
        <f>IF((OR(Fandual!O108="",Fandual!O108&lt;&gt;0)=TRUE),1,0)</f>
        <v>1</v>
      </c>
      <c r="C108" s="2">
        <f>IF(Fandual!B108&lt;&gt;"P",1,0)</f>
        <v>0</v>
      </c>
      <c r="D108" s="2">
        <f t="shared" si="2"/>
        <v>0</v>
      </c>
      <c r="E108" s="2">
        <f>IF(D108=1,Fandual!B108,0)</f>
        <v>0</v>
      </c>
      <c r="F108" s="2">
        <f>IF(D108=1,Fandual!D108,0)</f>
        <v>0</v>
      </c>
      <c r="G108" s="2">
        <f>IF(D108=1,Fandual!F108,0)</f>
        <v>0</v>
      </c>
      <c r="H108" s="2">
        <f>IF(D108=1,Fandual!H108,0)</f>
        <v>0</v>
      </c>
      <c r="I108" s="2">
        <f>IF((Optimizer!$J$8=Fandual!J108),4,0)</f>
        <v>0</v>
      </c>
      <c r="J108" s="2">
        <f>IF((Optimizer!$J$10=Fandual!J108),100,0)</f>
        <v>0</v>
      </c>
      <c r="K108" s="2">
        <f t="shared" si="3"/>
        <v>0</v>
      </c>
      <c r="L108" s="2">
        <f>IF(Fandual!M108="",1,0)</f>
        <v>1</v>
      </c>
    </row>
    <row r="109" spans="1:12" x14ac:dyDescent="0.25">
      <c r="A109" s="2">
        <f>IF((OR(Optimizer!$J$8=Fandual!J109,Optimizer!$J$10=Fandual!J109))=TRUE, 1,0)</f>
        <v>0</v>
      </c>
      <c r="B109" s="2">
        <f>IF((OR(Fandual!O109="",Fandual!O109&lt;&gt;0)=TRUE),1,0)</f>
        <v>1</v>
      </c>
      <c r="C109" s="2">
        <f>IF(Fandual!B109&lt;&gt;"P",1,0)</f>
        <v>0</v>
      </c>
      <c r="D109" s="2">
        <f t="shared" si="2"/>
        <v>0</v>
      </c>
      <c r="E109" s="2">
        <f>IF(D109=1,Fandual!B109,0)</f>
        <v>0</v>
      </c>
      <c r="F109" s="2">
        <f>IF(D109=1,Fandual!D109,0)</f>
        <v>0</v>
      </c>
      <c r="G109" s="2">
        <f>IF(D109=1,Fandual!F109,0)</f>
        <v>0</v>
      </c>
      <c r="H109" s="2">
        <f>IF(D109=1,Fandual!H109,0)</f>
        <v>0</v>
      </c>
      <c r="I109" s="2">
        <f>IF((Optimizer!$J$8=Fandual!J109),4,0)</f>
        <v>0</v>
      </c>
      <c r="J109" s="2">
        <f>IF((Optimizer!$J$10=Fandual!J109),100,0)</f>
        <v>0</v>
      </c>
      <c r="K109" s="2">
        <f t="shared" si="3"/>
        <v>0</v>
      </c>
      <c r="L109" s="2">
        <f>IF(Fandual!M109="",1,0)</f>
        <v>1</v>
      </c>
    </row>
    <row r="110" spans="1:12" x14ac:dyDescent="0.25">
      <c r="A110" s="2">
        <f>IF((OR(Optimizer!$J$8=Fandual!J110,Optimizer!$J$10=Fandual!J110))=TRUE, 1,0)</f>
        <v>0</v>
      </c>
      <c r="B110" s="2">
        <f>IF((OR(Fandual!O110="",Fandual!O110&lt;&gt;0)=TRUE),1,0)</f>
        <v>1</v>
      </c>
      <c r="C110" s="2">
        <f>IF(Fandual!B110&lt;&gt;"P",1,0)</f>
        <v>0</v>
      </c>
      <c r="D110" s="2">
        <f t="shared" si="2"/>
        <v>0</v>
      </c>
      <c r="E110" s="2">
        <f>IF(D110=1,Fandual!B110,0)</f>
        <v>0</v>
      </c>
      <c r="F110" s="2">
        <f>IF(D110=1,Fandual!D110,0)</f>
        <v>0</v>
      </c>
      <c r="G110" s="2">
        <f>IF(D110=1,Fandual!F110,0)</f>
        <v>0</v>
      </c>
      <c r="H110" s="2">
        <f>IF(D110=1,Fandual!H110,0)</f>
        <v>0</v>
      </c>
      <c r="I110" s="2">
        <f>IF((Optimizer!$J$8=Fandual!J110),4,0)</f>
        <v>0</v>
      </c>
      <c r="J110" s="2">
        <f>IF((Optimizer!$J$10=Fandual!J110),100,0)</f>
        <v>0</v>
      </c>
      <c r="K110" s="2">
        <f t="shared" si="3"/>
        <v>0</v>
      </c>
      <c r="L110" s="2">
        <f>IF(Fandual!M110="",1,0)</f>
        <v>1</v>
      </c>
    </row>
    <row r="111" spans="1:12" x14ac:dyDescent="0.25">
      <c r="A111" s="2">
        <f>IF((OR(Optimizer!$J$8=Fandual!J111,Optimizer!$J$10=Fandual!J111))=TRUE, 1,0)</f>
        <v>0</v>
      </c>
      <c r="B111" s="2">
        <f>IF((OR(Fandual!O111="",Fandual!O111&lt;&gt;0)=TRUE),1,0)</f>
        <v>1</v>
      </c>
      <c r="C111" s="2">
        <f>IF(Fandual!B111&lt;&gt;"P",1,0)</f>
        <v>0</v>
      </c>
      <c r="D111" s="2">
        <f t="shared" si="2"/>
        <v>0</v>
      </c>
      <c r="E111" s="2">
        <f>IF(D111=1,Fandual!B111,0)</f>
        <v>0</v>
      </c>
      <c r="F111" s="2">
        <f>IF(D111=1,Fandual!D111,0)</f>
        <v>0</v>
      </c>
      <c r="G111" s="2">
        <f>IF(D111=1,Fandual!F111,0)</f>
        <v>0</v>
      </c>
      <c r="H111" s="2">
        <f>IF(D111=1,Fandual!H111,0)</f>
        <v>0</v>
      </c>
      <c r="I111" s="2">
        <f>IF((Optimizer!$J$8=Fandual!J111),4,0)</f>
        <v>0</v>
      </c>
      <c r="J111" s="2">
        <f>IF((Optimizer!$J$10=Fandual!J111),100,0)</f>
        <v>0</v>
      </c>
      <c r="K111" s="2">
        <f t="shared" si="3"/>
        <v>0</v>
      </c>
      <c r="L111" s="2">
        <f>IF(Fandual!M111="",1,0)</f>
        <v>0</v>
      </c>
    </row>
    <row r="112" spans="1:12" x14ac:dyDescent="0.25">
      <c r="A112" s="2">
        <f>IF((OR(Optimizer!$J$8=Fandual!J112,Optimizer!$J$10=Fandual!J112))=TRUE, 1,0)</f>
        <v>0</v>
      </c>
      <c r="B112" s="2">
        <f>IF((OR(Fandual!O112="",Fandual!O112&lt;&gt;0)=TRUE),1,0)</f>
        <v>1</v>
      </c>
      <c r="C112" s="2">
        <f>IF(Fandual!B112&lt;&gt;"P",1,0)</f>
        <v>0</v>
      </c>
      <c r="D112" s="2">
        <f t="shared" si="2"/>
        <v>0</v>
      </c>
      <c r="E112" s="2">
        <f>IF(D112=1,Fandual!B112,0)</f>
        <v>0</v>
      </c>
      <c r="F112" s="2">
        <f>IF(D112=1,Fandual!D112,0)</f>
        <v>0</v>
      </c>
      <c r="G112" s="2">
        <f>IF(D112=1,Fandual!F112,0)</f>
        <v>0</v>
      </c>
      <c r="H112" s="2">
        <f>IF(D112=1,Fandual!H112,0)</f>
        <v>0</v>
      </c>
      <c r="I112" s="2">
        <f>IF((Optimizer!$J$8=Fandual!J112),4,0)</f>
        <v>0</v>
      </c>
      <c r="J112" s="2">
        <f>IF((Optimizer!$J$10=Fandual!J112),100,0)</f>
        <v>0</v>
      </c>
      <c r="K112" s="2">
        <f t="shared" si="3"/>
        <v>0</v>
      </c>
      <c r="L112" s="2">
        <f>IF(Fandual!M112="",1,0)</f>
        <v>0</v>
      </c>
    </row>
    <row r="113" spans="1:12" x14ac:dyDescent="0.25">
      <c r="A113" s="2">
        <f>IF((OR(Optimizer!$J$8=Fandual!J113,Optimizer!$J$10=Fandual!J113))=TRUE, 1,0)</f>
        <v>0</v>
      </c>
      <c r="B113" s="2">
        <f>IF((OR(Fandual!O113="",Fandual!O113&lt;&gt;0)=TRUE),1,0)</f>
        <v>1</v>
      </c>
      <c r="C113" s="2">
        <f>IF(Fandual!B113&lt;&gt;"P",1,0)</f>
        <v>0</v>
      </c>
      <c r="D113" s="2">
        <f t="shared" si="2"/>
        <v>0</v>
      </c>
      <c r="E113" s="2">
        <f>IF(D113=1,Fandual!B113,0)</f>
        <v>0</v>
      </c>
      <c r="F113" s="2">
        <f>IF(D113=1,Fandual!D113,0)</f>
        <v>0</v>
      </c>
      <c r="G113" s="2">
        <f>IF(D113=1,Fandual!F113,0)</f>
        <v>0</v>
      </c>
      <c r="H113" s="2">
        <f>IF(D113=1,Fandual!H113,0)</f>
        <v>0</v>
      </c>
      <c r="I113" s="2">
        <f>IF((Optimizer!$J$8=Fandual!J113),4,0)</f>
        <v>0</v>
      </c>
      <c r="J113" s="2">
        <f>IF((Optimizer!$J$10=Fandual!J113),100,0)</f>
        <v>0</v>
      </c>
      <c r="K113" s="2">
        <f t="shared" si="3"/>
        <v>0</v>
      </c>
      <c r="L113" s="2">
        <f>IF(Fandual!M113="",1,0)</f>
        <v>1</v>
      </c>
    </row>
    <row r="114" spans="1:12" x14ac:dyDescent="0.25">
      <c r="A114" s="2">
        <f>IF((OR(Optimizer!$J$8=Fandual!J114,Optimizer!$J$10=Fandual!J114))=TRUE, 1,0)</f>
        <v>0</v>
      </c>
      <c r="B114" s="2">
        <f>IF((OR(Fandual!O114="",Fandual!O114&lt;&gt;0)=TRUE),1,0)</f>
        <v>1</v>
      </c>
      <c r="C114" s="2">
        <f>IF(Fandual!B114&lt;&gt;"P",1,0)</f>
        <v>0</v>
      </c>
      <c r="D114" s="2">
        <f t="shared" si="2"/>
        <v>0</v>
      </c>
      <c r="E114" s="2">
        <f>IF(D114=1,Fandual!B114,0)</f>
        <v>0</v>
      </c>
      <c r="F114" s="2">
        <f>IF(D114=1,Fandual!D114,0)</f>
        <v>0</v>
      </c>
      <c r="G114" s="2">
        <f>IF(D114=1,Fandual!F114,0)</f>
        <v>0</v>
      </c>
      <c r="H114" s="2">
        <f>IF(D114=1,Fandual!H114,0)</f>
        <v>0</v>
      </c>
      <c r="I114" s="2">
        <f>IF((Optimizer!$J$8=Fandual!J114),4,0)</f>
        <v>0</v>
      </c>
      <c r="J114" s="2">
        <f>IF((Optimizer!$J$10=Fandual!J114),100,0)</f>
        <v>0</v>
      </c>
      <c r="K114" s="2">
        <f t="shared" si="3"/>
        <v>0</v>
      </c>
      <c r="L114" s="2">
        <f>IF(Fandual!M114="",1,0)</f>
        <v>1</v>
      </c>
    </row>
    <row r="115" spans="1:12" x14ac:dyDescent="0.25">
      <c r="A115" s="2">
        <f>IF((OR(Optimizer!$J$8=Fandual!J115,Optimizer!$J$10=Fandual!J115))=TRUE, 1,0)</f>
        <v>0</v>
      </c>
      <c r="B115" s="2">
        <f>IF((OR(Fandual!O115="",Fandual!O115&lt;&gt;0)=TRUE),1,0)</f>
        <v>1</v>
      </c>
      <c r="C115" s="2">
        <f>IF(Fandual!B115&lt;&gt;"P",1,0)</f>
        <v>0</v>
      </c>
      <c r="D115" s="2">
        <f t="shared" si="2"/>
        <v>0</v>
      </c>
      <c r="E115" s="2">
        <f>IF(D115=1,Fandual!B115,0)</f>
        <v>0</v>
      </c>
      <c r="F115" s="2">
        <f>IF(D115=1,Fandual!D115,0)</f>
        <v>0</v>
      </c>
      <c r="G115" s="2">
        <f>IF(D115=1,Fandual!F115,0)</f>
        <v>0</v>
      </c>
      <c r="H115" s="2">
        <f>IF(D115=1,Fandual!H115,0)</f>
        <v>0</v>
      </c>
      <c r="I115" s="2">
        <f>IF((Optimizer!$J$8=Fandual!J115),4,0)</f>
        <v>0</v>
      </c>
      <c r="J115" s="2">
        <f>IF((Optimizer!$J$10=Fandual!J115),100,0)</f>
        <v>0</v>
      </c>
      <c r="K115" s="2">
        <f t="shared" si="3"/>
        <v>0</v>
      </c>
      <c r="L115" s="2">
        <f>IF(Fandual!M115="",1,0)</f>
        <v>1</v>
      </c>
    </row>
    <row r="116" spans="1:12" x14ac:dyDescent="0.25">
      <c r="A116" s="2">
        <f>IF((OR(Optimizer!$J$8=Fandual!J116,Optimizer!$J$10=Fandual!J116))=TRUE, 1,0)</f>
        <v>1</v>
      </c>
      <c r="B116" s="2">
        <f>IF((OR(Fandual!O116="",Fandual!O116&lt;&gt;0)=TRUE),1,0)</f>
        <v>1</v>
      </c>
      <c r="C116" s="2">
        <f>IF(Fandual!B116&lt;&gt;"P",1,0)</f>
        <v>0</v>
      </c>
      <c r="D116" s="2">
        <f t="shared" si="2"/>
        <v>0</v>
      </c>
      <c r="E116" s="2">
        <f>IF(D116=1,Fandual!B116,0)</f>
        <v>0</v>
      </c>
      <c r="F116" s="2">
        <f>IF(D116=1,Fandual!D116,0)</f>
        <v>0</v>
      </c>
      <c r="G116" s="2">
        <f>IF(D116=1,Fandual!F116,0)</f>
        <v>0</v>
      </c>
      <c r="H116" s="2">
        <f>IF(D116=1,Fandual!H116,0)</f>
        <v>0</v>
      </c>
      <c r="I116" s="2">
        <f>IF((Optimizer!$J$8=Fandual!J116),4,0)</f>
        <v>0</v>
      </c>
      <c r="J116" s="2">
        <f>IF((Optimizer!$J$10=Fandual!J116),100,0)</f>
        <v>100</v>
      </c>
      <c r="K116" s="2">
        <f t="shared" si="3"/>
        <v>0</v>
      </c>
      <c r="L116" s="2">
        <f>IF(Fandual!M116="",1,0)</f>
        <v>1</v>
      </c>
    </row>
    <row r="117" spans="1:12" x14ac:dyDescent="0.25">
      <c r="A117" s="2">
        <f>IF((OR(Optimizer!$J$8=Fandual!J117,Optimizer!$J$10=Fandual!J117))=TRUE, 1,0)</f>
        <v>0</v>
      </c>
      <c r="B117" s="2">
        <f>IF((OR(Fandual!O117="",Fandual!O117&lt;&gt;0)=TRUE),1,0)</f>
        <v>1</v>
      </c>
      <c r="C117" s="2">
        <f>IF(Fandual!B117&lt;&gt;"P",1,0)</f>
        <v>0</v>
      </c>
      <c r="D117" s="2">
        <f t="shared" si="2"/>
        <v>0</v>
      </c>
      <c r="E117" s="2">
        <f>IF(D117=1,Fandual!B117,0)</f>
        <v>0</v>
      </c>
      <c r="F117" s="2">
        <f>IF(D117=1,Fandual!D117,0)</f>
        <v>0</v>
      </c>
      <c r="G117" s="2">
        <f>IF(D117=1,Fandual!F117,0)</f>
        <v>0</v>
      </c>
      <c r="H117" s="2">
        <f>IF(D117=1,Fandual!H117,0)</f>
        <v>0</v>
      </c>
      <c r="I117" s="2">
        <f>IF((Optimizer!$J$8=Fandual!J117),4,0)</f>
        <v>0</v>
      </c>
      <c r="J117" s="2">
        <f>IF((Optimizer!$J$10=Fandual!J117),100,0)</f>
        <v>0</v>
      </c>
      <c r="K117" s="2">
        <f t="shared" si="3"/>
        <v>0</v>
      </c>
      <c r="L117" s="2">
        <f>IF(Fandual!M117="",1,0)</f>
        <v>1</v>
      </c>
    </row>
    <row r="118" spans="1:12" x14ac:dyDescent="0.25">
      <c r="A118" s="2">
        <f>IF((OR(Optimizer!$J$8=Fandual!J118,Optimizer!$J$10=Fandual!J118))=TRUE, 1,0)</f>
        <v>0</v>
      </c>
      <c r="B118" s="2">
        <f>IF((OR(Fandual!O118="",Fandual!O118&lt;&gt;0)=TRUE),1,0)</f>
        <v>1</v>
      </c>
      <c r="C118" s="2">
        <f>IF(Fandual!B118&lt;&gt;"P",1,0)</f>
        <v>0</v>
      </c>
      <c r="D118" s="2">
        <f t="shared" si="2"/>
        <v>0</v>
      </c>
      <c r="E118" s="2">
        <f>IF(D118=1,Fandual!B118,0)</f>
        <v>0</v>
      </c>
      <c r="F118" s="2">
        <f>IF(D118=1,Fandual!D118,0)</f>
        <v>0</v>
      </c>
      <c r="G118" s="2">
        <f>IF(D118=1,Fandual!F118,0)</f>
        <v>0</v>
      </c>
      <c r="H118" s="2">
        <f>IF(D118=1,Fandual!H118,0)</f>
        <v>0</v>
      </c>
      <c r="I118" s="2">
        <f>IF((Optimizer!$J$8=Fandual!J118),4,0)</f>
        <v>0</v>
      </c>
      <c r="J118" s="2">
        <f>IF((Optimizer!$J$10=Fandual!J118),100,0)</f>
        <v>0</v>
      </c>
      <c r="K118" s="2">
        <f t="shared" si="3"/>
        <v>0</v>
      </c>
      <c r="L118" s="2">
        <f>IF(Fandual!M118="",1,0)</f>
        <v>0</v>
      </c>
    </row>
    <row r="119" spans="1:12" x14ac:dyDescent="0.25">
      <c r="A119" s="2">
        <f>IF((OR(Optimizer!$J$8=Fandual!J119,Optimizer!$J$10=Fandual!J119))=TRUE, 1,0)</f>
        <v>0</v>
      </c>
      <c r="B119" s="2">
        <f>IF((OR(Fandual!O119="",Fandual!O119&lt;&gt;0)=TRUE),1,0)</f>
        <v>1</v>
      </c>
      <c r="C119" s="2">
        <f>IF(Fandual!B119&lt;&gt;"P",1,0)</f>
        <v>0</v>
      </c>
      <c r="D119" s="2">
        <f t="shared" si="2"/>
        <v>0</v>
      </c>
      <c r="E119" s="2">
        <f>IF(D119=1,Fandual!B119,0)</f>
        <v>0</v>
      </c>
      <c r="F119" s="2">
        <f>IF(D119=1,Fandual!D119,0)</f>
        <v>0</v>
      </c>
      <c r="G119" s="2">
        <f>IF(D119=1,Fandual!F119,0)</f>
        <v>0</v>
      </c>
      <c r="H119" s="2">
        <f>IF(D119=1,Fandual!H119,0)</f>
        <v>0</v>
      </c>
      <c r="I119" s="2">
        <f>IF((Optimizer!$J$8=Fandual!J119),4,0)</f>
        <v>0</v>
      </c>
      <c r="J119" s="2">
        <f>IF((Optimizer!$J$10=Fandual!J119),100,0)</f>
        <v>0</v>
      </c>
      <c r="K119" s="2">
        <f t="shared" si="3"/>
        <v>0</v>
      </c>
      <c r="L119" s="2">
        <f>IF(Fandual!M119="",1,0)</f>
        <v>1</v>
      </c>
    </row>
    <row r="120" spans="1:12" x14ac:dyDescent="0.25">
      <c r="A120" s="2">
        <f>IF((OR(Optimizer!$J$8=Fandual!J120,Optimizer!$J$10=Fandual!J120))=TRUE, 1,0)</f>
        <v>0</v>
      </c>
      <c r="B120" s="2">
        <f>IF((OR(Fandual!O120="",Fandual!O120&lt;&gt;0)=TRUE),1,0)</f>
        <v>1</v>
      </c>
      <c r="C120" s="2">
        <f>IF(Fandual!B120&lt;&gt;"P",1,0)</f>
        <v>0</v>
      </c>
      <c r="D120" s="2">
        <f t="shared" si="2"/>
        <v>0</v>
      </c>
      <c r="E120" s="2">
        <f>IF(D120=1,Fandual!B120,0)</f>
        <v>0</v>
      </c>
      <c r="F120" s="2">
        <f>IF(D120=1,Fandual!D120,0)</f>
        <v>0</v>
      </c>
      <c r="G120" s="2">
        <f>IF(D120=1,Fandual!F120,0)</f>
        <v>0</v>
      </c>
      <c r="H120" s="2">
        <f>IF(D120=1,Fandual!H120,0)</f>
        <v>0</v>
      </c>
      <c r="I120" s="2">
        <f>IF((Optimizer!$J$8=Fandual!J120),4,0)</f>
        <v>0</v>
      </c>
      <c r="J120" s="2">
        <f>IF((Optimizer!$J$10=Fandual!J120),100,0)</f>
        <v>0</v>
      </c>
      <c r="K120" s="2">
        <f t="shared" si="3"/>
        <v>0</v>
      </c>
      <c r="L120" s="2">
        <f>IF(Fandual!M120="",1,0)</f>
        <v>1</v>
      </c>
    </row>
    <row r="121" spans="1:12" x14ac:dyDescent="0.25">
      <c r="A121" s="2">
        <f>IF((OR(Optimizer!$J$8=Fandual!J121,Optimizer!$J$10=Fandual!J121))=TRUE, 1,0)</f>
        <v>0</v>
      </c>
      <c r="B121" s="2">
        <f>IF((OR(Fandual!O121="",Fandual!O121&lt;&gt;0)=TRUE),1,0)</f>
        <v>1</v>
      </c>
      <c r="C121" s="2">
        <f>IF(Fandual!B121&lt;&gt;"P",1,0)</f>
        <v>0</v>
      </c>
      <c r="D121" s="2">
        <f t="shared" si="2"/>
        <v>0</v>
      </c>
      <c r="E121" s="2">
        <f>IF(D121=1,Fandual!B121,0)</f>
        <v>0</v>
      </c>
      <c r="F121" s="2">
        <f>IF(D121=1,Fandual!D121,0)</f>
        <v>0</v>
      </c>
      <c r="G121" s="2">
        <f>IF(D121=1,Fandual!F121,0)</f>
        <v>0</v>
      </c>
      <c r="H121" s="2">
        <f>IF(D121=1,Fandual!H121,0)</f>
        <v>0</v>
      </c>
      <c r="I121" s="2">
        <f>IF((Optimizer!$J$8=Fandual!J121),4,0)</f>
        <v>0</v>
      </c>
      <c r="J121" s="2">
        <f>IF((Optimizer!$J$10=Fandual!J121),100,0)</f>
        <v>0</v>
      </c>
      <c r="K121" s="2">
        <f t="shared" si="3"/>
        <v>0</v>
      </c>
      <c r="L121" s="2">
        <f>IF(Fandual!M121="",1,0)</f>
        <v>0</v>
      </c>
    </row>
    <row r="122" spans="1:12" x14ac:dyDescent="0.25">
      <c r="A122" s="2">
        <f>IF((OR(Optimizer!$J$8=Fandual!J122,Optimizer!$J$10=Fandual!J122))=TRUE, 1,0)</f>
        <v>0</v>
      </c>
      <c r="B122" s="2">
        <f>IF((OR(Fandual!O122="",Fandual!O122&lt;&gt;0)=TRUE),1,0)</f>
        <v>1</v>
      </c>
      <c r="C122" s="2">
        <f>IF(Fandual!B122&lt;&gt;"P",1,0)</f>
        <v>0</v>
      </c>
      <c r="D122" s="2">
        <f t="shared" si="2"/>
        <v>0</v>
      </c>
      <c r="E122" s="2">
        <f>IF(D122=1,Fandual!B122,0)</f>
        <v>0</v>
      </c>
      <c r="F122" s="2">
        <f>IF(D122=1,Fandual!D122,0)</f>
        <v>0</v>
      </c>
      <c r="G122" s="2">
        <f>IF(D122=1,Fandual!F122,0)</f>
        <v>0</v>
      </c>
      <c r="H122" s="2">
        <f>IF(D122=1,Fandual!H122,0)</f>
        <v>0</v>
      </c>
      <c r="I122" s="2">
        <f>IF((Optimizer!$J$8=Fandual!J122),4,0)</f>
        <v>0</v>
      </c>
      <c r="J122" s="2">
        <f>IF((Optimizer!$J$10=Fandual!J122),100,0)</f>
        <v>0</v>
      </c>
      <c r="K122" s="2">
        <f t="shared" si="3"/>
        <v>0</v>
      </c>
      <c r="L122" s="2">
        <f>IF(Fandual!M122="",1,0)</f>
        <v>1</v>
      </c>
    </row>
    <row r="123" spans="1:12" x14ac:dyDescent="0.25">
      <c r="A123" s="2">
        <f>IF((OR(Optimizer!$J$8=Fandual!J123,Optimizer!$J$10=Fandual!J123))=TRUE, 1,0)</f>
        <v>0</v>
      </c>
      <c r="B123" s="2">
        <f>IF((OR(Fandual!O123="",Fandual!O123&lt;&gt;0)=TRUE),1,0)</f>
        <v>1</v>
      </c>
      <c r="C123" s="2">
        <f>IF(Fandual!B123&lt;&gt;"P",1,0)</f>
        <v>0</v>
      </c>
      <c r="D123" s="2">
        <f t="shared" si="2"/>
        <v>0</v>
      </c>
      <c r="E123" s="2">
        <f>IF(D123=1,Fandual!B123,0)</f>
        <v>0</v>
      </c>
      <c r="F123" s="2">
        <f>IF(D123=1,Fandual!D123,0)</f>
        <v>0</v>
      </c>
      <c r="G123" s="2">
        <f>IF(D123=1,Fandual!F123,0)</f>
        <v>0</v>
      </c>
      <c r="H123" s="2">
        <f>IF(D123=1,Fandual!H123,0)</f>
        <v>0</v>
      </c>
      <c r="I123" s="2">
        <f>IF((Optimizer!$J$8=Fandual!J123),4,0)</f>
        <v>0</v>
      </c>
      <c r="J123" s="2">
        <f>IF((Optimizer!$J$10=Fandual!J123),100,0)</f>
        <v>0</v>
      </c>
      <c r="K123" s="2">
        <f t="shared" si="3"/>
        <v>0</v>
      </c>
      <c r="L123" s="2">
        <f>IF(Fandual!M123="",1,0)</f>
        <v>1</v>
      </c>
    </row>
    <row r="124" spans="1:12" x14ac:dyDescent="0.25">
      <c r="A124" s="2">
        <f>IF((OR(Optimizer!$J$8=Fandual!J124,Optimizer!$J$10=Fandual!J124))=TRUE, 1,0)</f>
        <v>0</v>
      </c>
      <c r="B124" s="2">
        <f>IF((OR(Fandual!O124="",Fandual!O124&lt;&gt;0)=TRUE),1,0)</f>
        <v>1</v>
      </c>
      <c r="C124" s="2">
        <f>IF(Fandual!B124&lt;&gt;"P",1,0)</f>
        <v>0</v>
      </c>
      <c r="D124" s="2">
        <f t="shared" si="2"/>
        <v>0</v>
      </c>
      <c r="E124" s="2">
        <f>IF(D124=1,Fandual!B124,0)</f>
        <v>0</v>
      </c>
      <c r="F124" s="2">
        <f>IF(D124=1,Fandual!D124,0)</f>
        <v>0</v>
      </c>
      <c r="G124" s="2">
        <f>IF(D124=1,Fandual!F124,0)</f>
        <v>0</v>
      </c>
      <c r="H124" s="2">
        <f>IF(D124=1,Fandual!H124,0)</f>
        <v>0</v>
      </c>
      <c r="I124" s="2">
        <f>IF((Optimizer!$J$8=Fandual!J124),4,0)</f>
        <v>0</v>
      </c>
      <c r="J124" s="2">
        <f>IF((Optimizer!$J$10=Fandual!J124),100,0)</f>
        <v>0</v>
      </c>
      <c r="K124" s="2">
        <f t="shared" si="3"/>
        <v>0</v>
      </c>
      <c r="L124" s="2">
        <f>IF(Fandual!M124="",1,0)</f>
        <v>1</v>
      </c>
    </row>
    <row r="125" spans="1:12" x14ac:dyDescent="0.25">
      <c r="A125" s="2">
        <f>IF((OR(Optimizer!$J$8=Fandual!J125,Optimizer!$J$10=Fandual!J125))=TRUE, 1,0)</f>
        <v>0</v>
      </c>
      <c r="B125" s="2">
        <f>IF((OR(Fandual!O125="",Fandual!O125&lt;&gt;0)=TRUE),1,0)</f>
        <v>1</v>
      </c>
      <c r="C125" s="2">
        <f>IF(Fandual!B125&lt;&gt;"P",1,0)</f>
        <v>0</v>
      </c>
      <c r="D125" s="2">
        <f t="shared" si="2"/>
        <v>0</v>
      </c>
      <c r="E125" s="2">
        <f>IF(D125=1,Fandual!B125,0)</f>
        <v>0</v>
      </c>
      <c r="F125" s="2">
        <f>IF(D125=1,Fandual!D125,0)</f>
        <v>0</v>
      </c>
      <c r="G125" s="2">
        <f>IF(D125=1,Fandual!F125,0)</f>
        <v>0</v>
      </c>
      <c r="H125" s="2">
        <f>IF(D125=1,Fandual!H125,0)</f>
        <v>0</v>
      </c>
      <c r="I125" s="2">
        <f>IF((Optimizer!$J$8=Fandual!J125),4,0)</f>
        <v>0</v>
      </c>
      <c r="J125" s="2">
        <f>IF((Optimizer!$J$10=Fandual!J125),100,0)</f>
        <v>0</v>
      </c>
      <c r="K125" s="2">
        <f t="shared" si="3"/>
        <v>0</v>
      </c>
      <c r="L125" s="2">
        <f>IF(Fandual!M125="",1,0)</f>
        <v>1</v>
      </c>
    </row>
    <row r="126" spans="1:12" x14ac:dyDescent="0.25">
      <c r="A126" s="2">
        <f>IF((OR(Optimizer!$J$8=Fandual!J126,Optimizer!$J$10=Fandual!J126))=TRUE, 1,0)</f>
        <v>0</v>
      </c>
      <c r="B126" s="2">
        <f>IF((OR(Fandual!O126="",Fandual!O126&lt;&gt;0)=TRUE),1,0)</f>
        <v>1</v>
      </c>
      <c r="C126" s="2">
        <f>IF(Fandual!B126&lt;&gt;"P",1,0)</f>
        <v>0</v>
      </c>
      <c r="D126" s="2">
        <f t="shared" si="2"/>
        <v>0</v>
      </c>
      <c r="E126" s="2">
        <f>IF(D126=1,Fandual!B126,0)</f>
        <v>0</v>
      </c>
      <c r="F126" s="2">
        <f>IF(D126=1,Fandual!D126,0)</f>
        <v>0</v>
      </c>
      <c r="G126" s="2">
        <f>IF(D126=1,Fandual!F126,0)</f>
        <v>0</v>
      </c>
      <c r="H126" s="2">
        <f>IF(D126=1,Fandual!H126,0)</f>
        <v>0</v>
      </c>
      <c r="I126" s="2">
        <f>IF((Optimizer!$J$8=Fandual!J126),4,0)</f>
        <v>0</v>
      </c>
      <c r="J126" s="2">
        <f>IF((Optimizer!$J$10=Fandual!J126),100,0)</f>
        <v>0</v>
      </c>
      <c r="K126" s="2">
        <f t="shared" si="3"/>
        <v>0</v>
      </c>
      <c r="L126" s="2">
        <f>IF(Fandual!M126="",1,0)</f>
        <v>1</v>
      </c>
    </row>
    <row r="127" spans="1:12" x14ac:dyDescent="0.25">
      <c r="A127" s="2">
        <f>IF((OR(Optimizer!$J$8=Fandual!J127,Optimizer!$J$10=Fandual!J127))=TRUE, 1,0)</f>
        <v>0</v>
      </c>
      <c r="B127" s="2">
        <f>IF((OR(Fandual!O127="",Fandual!O127&lt;&gt;0)=TRUE),1,0)</f>
        <v>1</v>
      </c>
      <c r="C127" s="2">
        <f>IF(Fandual!B127&lt;&gt;"P",1,0)</f>
        <v>0</v>
      </c>
      <c r="D127" s="2">
        <f t="shared" si="2"/>
        <v>0</v>
      </c>
      <c r="E127" s="2">
        <f>IF(D127=1,Fandual!B127,0)</f>
        <v>0</v>
      </c>
      <c r="F127" s="2">
        <f>IF(D127=1,Fandual!D127,0)</f>
        <v>0</v>
      </c>
      <c r="G127" s="2">
        <f>IF(D127=1,Fandual!F127,0)</f>
        <v>0</v>
      </c>
      <c r="H127" s="2">
        <f>IF(D127=1,Fandual!H127,0)</f>
        <v>0</v>
      </c>
      <c r="I127" s="2">
        <f>IF((Optimizer!$J$8=Fandual!J127),4,0)</f>
        <v>0</v>
      </c>
      <c r="J127" s="2">
        <f>IF((Optimizer!$J$10=Fandual!J127),100,0)</f>
        <v>0</v>
      </c>
      <c r="K127" s="2">
        <f t="shared" si="3"/>
        <v>0</v>
      </c>
      <c r="L127" s="2">
        <f>IF(Fandual!M127="",1,0)</f>
        <v>1</v>
      </c>
    </row>
    <row r="128" spans="1:12" x14ac:dyDescent="0.25">
      <c r="A128" s="2">
        <f>IF((OR(Optimizer!$J$8=Fandual!J128,Optimizer!$J$10=Fandual!J128))=TRUE, 1,0)</f>
        <v>0</v>
      </c>
      <c r="B128" s="2">
        <f>IF((OR(Fandual!O128="",Fandual!O128&lt;&gt;0)=TRUE),1,0)</f>
        <v>1</v>
      </c>
      <c r="C128" s="2">
        <f>IF(Fandual!B128&lt;&gt;"P",1,0)</f>
        <v>0</v>
      </c>
      <c r="D128" s="2">
        <f t="shared" si="2"/>
        <v>0</v>
      </c>
      <c r="E128" s="2">
        <f>IF(D128=1,Fandual!B128,0)</f>
        <v>0</v>
      </c>
      <c r="F128" s="2">
        <f>IF(D128=1,Fandual!D128,0)</f>
        <v>0</v>
      </c>
      <c r="G128" s="2">
        <f>IF(D128=1,Fandual!F128,0)</f>
        <v>0</v>
      </c>
      <c r="H128" s="2">
        <f>IF(D128=1,Fandual!H128,0)</f>
        <v>0</v>
      </c>
      <c r="I128" s="2">
        <f>IF((Optimizer!$J$8=Fandual!J128),4,0)</f>
        <v>0</v>
      </c>
      <c r="J128" s="2">
        <f>IF((Optimizer!$J$10=Fandual!J128),100,0)</f>
        <v>0</v>
      </c>
      <c r="K128" s="2">
        <f t="shared" si="3"/>
        <v>0</v>
      </c>
      <c r="L128" s="2">
        <f>IF(Fandual!M128="",1,0)</f>
        <v>1</v>
      </c>
    </row>
    <row r="129" spans="1:12" x14ac:dyDescent="0.25">
      <c r="A129" s="2">
        <f>IF((OR(Optimizer!$J$8=Fandual!J129,Optimizer!$J$10=Fandual!J129))=TRUE, 1,0)</f>
        <v>0</v>
      </c>
      <c r="B129" s="2">
        <f>IF((OR(Fandual!O129="",Fandual!O129&lt;&gt;0)=TRUE),1,0)</f>
        <v>1</v>
      </c>
      <c r="C129" s="2">
        <f>IF(Fandual!B129&lt;&gt;"P",1,0)</f>
        <v>0</v>
      </c>
      <c r="D129" s="2">
        <f t="shared" si="2"/>
        <v>0</v>
      </c>
      <c r="E129" s="2">
        <f>IF(D129=1,Fandual!B129,0)</f>
        <v>0</v>
      </c>
      <c r="F129" s="2">
        <f>IF(D129=1,Fandual!D129,0)</f>
        <v>0</v>
      </c>
      <c r="G129" s="2">
        <f>IF(D129=1,Fandual!F129,0)</f>
        <v>0</v>
      </c>
      <c r="H129" s="2">
        <f>IF(D129=1,Fandual!H129,0)</f>
        <v>0</v>
      </c>
      <c r="I129" s="2">
        <f>IF((Optimizer!$J$8=Fandual!J129),4,0)</f>
        <v>0</v>
      </c>
      <c r="J129" s="2">
        <f>IF((Optimizer!$J$10=Fandual!J129),100,0)</f>
        <v>0</v>
      </c>
      <c r="K129" s="2">
        <f t="shared" si="3"/>
        <v>0</v>
      </c>
      <c r="L129" s="2">
        <f>IF(Fandual!M129="",1,0)</f>
        <v>1</v>
      </c>
    </row>
    <row r="130" spans="1:12" x14ac:dyDescent="0.25">
      <c r="A130" s="2">
        <f>IF((OR(Optimizer!$J$8=Fandual!J130,Optimizer!$J$10=Fandual!J130))=TRUE, 1,0)</f>
        <v>0</v>
      </c>
      <c r="B130" s="2">
        <f>IF((OR(Fandual!O130="",Fandual!O130&lt;&gt;0)=TRUE),1,0)</f>
        <v>1</v>
      </c>
      <c r="C130" s="2">
        <f>IF(Fandual!B130&lt;&gt;"P",1,0)</f>
        <v>0</v>
      </c>
      <c r="D130" s="2">
        <f t="shared" ref="D130:D193" si="4">A130*B130*C130*L130</f>
        <v>0</v>
      </c>
      <c r="E130" s="2">
        <f>IF(D130=1,Fandual!B130,0)</f>
        <v>0</v>
      </c>
      <c r="F130" s="2">
        <f>IF(D130=1,Fandual!D130,0)</f>
        <v>0</v>
      </c>
      <c r="G130" s="2">
        <f>IF(D130=1,Fandual!F130,0)</f>
        <v>0</v>
      </c>
      <c r="H130" s="2">
        <f>IF(D130=1,Fandual!H130,0)</f>
        <v>0</v>
      </c>
      <c r="I130" s="2">
        <f>IF((Optimizer!$J$8=Fandual!J130),4,0)</f>
        <v>0</v>
      </c>
      <c r="J130" s="2">
        <f>IF((Optimizer!$J$10=Fandual!J130),100,0)</f>
        <v>0</v>
      </c>
      <c r="K130" s="2">
        <f t="shared" si="3"/>
        <v>0</v>
      </c>
      <c r="L130" s="2">
        <f>IF(Fandual!M130="",1,0)</f>
        <v>1</v>
      </c>
    </row>
    <row r="131" spans="1:12" x14ac:dyDescent="0.25">
      <c r="A131" s="2">
        <f>IF((OR(Optimizer!$J$8=Fandual!J131,Optimizer!$J$10=Fandual!J131))=TRUE, 1,0)</f>
        <v>0</v>
      </c>
      <c r="B131" s="2">
        <f>IF((OR(Fandual!O131="",Fandual!O131&lt;&gt;0)=TRUE),1,0)</f>
        <v>1</v>
      </c>
      <c r="C131" s="2">
        <f>IF(Fandual!B131&lt;&gt;"P",1,0)</f>
        <v>0</v>
      </c>
      <c r="D131" s="2">
        <f t="shared" si="4"/>
        <v>0</v>
      </c>
      <c r="E131" s="2">
        <f>IF(D131=1,Fandual!B131,0)</f>
        <v>0</v>
      </c>
      <c r="F131" s="2">
        <f>IF(D131=1,Fandual!D131,0)</f>
        <v>0</v>
      </c>
      <c r="G131" s="2">
        <f>IF(D131=1,Fandual!F131,0)</f>
        <v>0</v>
      </c>
      <c r="H131" s="2">
        <f>IF(D131=1,Fandual!H131,0)</f>
        <v>0</v>
      </c>
      <c r="I131" s="2">
        <f>IF((Optimizer!$J$8=Fandual!J131),4,0)</f>
        <v>0</v>
      </c>
      <c r="J131" s="2">
        <f>IF((Optimizer!$J$10=Fandual!J131),100,0)</f>
        <v>0</v>
      </c>
      <c r="K131" s="2">
        <f t="shared" ref="K131:K194" si="5">(I131+J131)*D131</f>
        <v>0</v>
      </c>
      <c r="L131" s="2">
        <f>IF(Fandual!M131="",1,0)</f>
        <v>1</v>
      </c>
    </row>
    <row r="132" spans="1:12" x14ac:dyDescent="0.25">
      <c r="A132" s="2">
        <f>IF((OR(Optimizer!$J$8=Fandual!J132,Optimizer!$J$10=Fandual!J132))=TRUE, 1,0)</f>
        <v>0</v>
      </c>
      <c r="B132" s="2">
        <f>IF((OR(Fandual!O132="",Fandual!O132&lt;&gt;0)=TRUE),1,0)</f>
        <v>1</v>
      </c>
      <c r="C132" s="2">
        <f>IF(Fandual!B132&lt;&gt;"P",1,0)</f>
        <v>0</v>
      </c>
      <c r="D132" s="2">
        <f t="shared" si="4"/>
        <v>0</v>
      </c>
      <c r="E132" s="2">
        <f>IF(D132=1,Fandual!B132,0)</f>
        <v>0</v>
      </c>
      <c r="F132" s="2">
        <f>IF(D132=1,Fandual!D132,0)</f>
        <v>0</v>
      </c>
      <c r="G132" s="2">
        <f>IF(D132=1,Fandual!F132,0)</f>
        <v>0</v>
      </c>
      <c r="H132" s="2">
        <f>IF(D132=1,Fandual!H132,0)</f>
        <v>0</v>
      </c>
      <c r="I132" s="2">
        <f>IF((Optimizer!$J$8=Fandual!J132),4,0)</f>
        <v>0</v>
      </c>
      <c r="J132" s="2">
        <f>IF((Optimizer!$J$10=Fandual!J132),100,0)</f>
        <v>0</v>
      </c>
      <c r="K132" s="2">
        <f t="shared" si="5"/>
        <v>0</v>
      </c>
      <c r="L132" s="2">
        <f>IF(Fandual!M132="",1,0)</f>
        <v>1</v>
      </c>
    </row>
    <row r="133" spans="1:12" x14ac:dyDescent="0.25">
      <c r="A133" s="2">
        <f>IF((OR(Optimizer!$J$8=Fandual!J133,Optimizer!$J$10=Fandual!J133))=TRUE, 1,0)</f>
        <v>0</v>
      </c>
      <c r="B133" s="2">
        <f>IF((OR(Fandual!O133="",Fandual!O133&lt;&gt;0)=TRUE),1,0)</f>
        <v>1</v>
      </c>
      <c r="C133" s="2">
        <f>IF(Fandual!B133&lt;&gt;"P",1,0)</f>
        <v>0</v>
      </c>
      <c r="D133" s="2">
        <f t="shared" si="4"/>
        <v>0</v>
      </c>
      <c r="E133" s="2">
        <f>IF(D133=1,Fandual!B133,0)</f>
        <v>0</v>
      </c>
      <c r="F133" s="2">
        <f>IF(D133=1,Fandual!D133,0)</f>
        <v>0</v>
      </c>
      <c r="G133" s="2">
        <f>IF(D133=1,Fandual!F133,0)</f>
        <v>0</v>
      </c>
      <c r="H133" s="2">
        <f>IF(D133=1,Fandual!H133,0)</f>
        <v>0</v>
      </c>
      <c r="I133" s="2">
        <f>IF((Optimizer!$J$8=Fandual!J133),4,0)</f>
        <v>0</v>
      </c>
      <c r="J133" s="2">
        <f>IF((Optimizer!$J$10=Fandual!J133),100,0)</f>
        <v>0</v>
      </c>
      <c r="K133" s="2">
        <f t="shared" si="5"/>
        <v>0</v>
      </c>
      <c r="L133" s="2">
        <f>IF(Fandual!M133="",1,0)</f>
        <v>1</v>
      </c>
    </row>
    <row r="134" spans="1:12" x14ac:dyDescent="0.25">
      <c r="A134" s="2">
        <f>IF((OR(Optimizer!$J$8=Fandual!J134,Optimizer!$J$10=Fandual!J134))=TRUE, 1,0)</f>
        <v>1</v>
      </c>
      <c r="B134" s="2">
        <f>IF((OR(Fandual!O134="",Fandual!O134&lt;&gt;0)=TRUE),1,0)</f>
        <v>1</v>
      </c>
      <c r="C134" s="2">
        <f>IF(Fandual!B134&lt;&gt;"P",1,0)</f>
        <v>0</v>
      </c>
      <c r="D134" s="2">
        <f t="shared" si="4"/>
        <v>0</v>
      </c>
      <c r="E134" s="2">
        <f>IF(D134=1,Fandual!B134,0)</f>
        <v>0</v>
      </c>
      <c r="F134" s="2">
        <f>IF(D134=1,Fandual!D134,0)</f>
        <v>0</v>
      </c>
      <c r="G134" s="2">
        <f>IF(D134=1,Fandual!F134,0)</f>
        <v>0</v>
      </c>
      <c r="H134" s="2">
        <f>IF(D134=1,Fandual!H134,0)</f>
        <v>0</v>
      </c>
      <c r="I134" s="2">
        <f>IF((Optimizer!$J$8=Fandual!J134),4,0)</f>
        <v>4</v>
      </c>
      <c r="J134" s="2">
        <f>IF((Optimizer!$J$10=Fandual!J134),100,0)</f>
        <v>0</v>
      </c>
      <c r="K134" s="2">
        <f t="shared" si="5"/>
        <v>0</v>
      </c>
      <c r="L134" s="2">
        <f>IF(Fandual!M134="",1,0)</f>
        <v>1</v>
      </c>
    </row>
    <row r="135" spans="1:12" x14ac:dyDescent="0.25">
      <c r="A135" s="2">
        <f>IF((OR(Optimizer!$J$8=Fandual!J135,Optimizer!$J$10=Fandual!J135))=TRUE, 1,0)</f>
        <v>0</v>
      </c>
      <c r="B135" s="2">
        <f>IF((OR(Fandual!O135="",Fandual!O135&lt;&gt;0)=TRUE),1,0)</f>
        <v>1</v>
      </c>
      <c r="C135" s="2">
        <f>IF(Fandual!B135&lt;&gt;"P",1,0)</f>
        <v>0</v>
      </c>
      <c r="D135" s="2">
        <f t="shared" si="4"/>
        <v>0</v>
      </c>
      <c r="E135" s="2">
        <f>IF(D135=1,Fandual!B135,0)</f>
        <v>0</v>
      </c>
      <c r="F135" s="2">
        <f>IF(D135=1,Fandual!D135,0)</f>
        <v>0</v>
      </c>
      <c r="G135" s="2">
        <f>IF(D135=1,Fandual!F135,0)</f>
        <v>0</v>
      </c>
      <c r="H135" s="2">
        <f>IF(D135=1,Fandual!H135,0)</f>
        <v>0</v>
      </c>
      <c r="I135" s="2">
        <f>IF((Optimizer!$J$8=Fandual!J135),4,0)</f>
        <v>0</v>
      </c>
      <c r="J135" s="2">
        <f>IF((Optimizer!$J$10=Fandual!J135),100,0)</f>
        <v>0</v>
      </c>
      <c r="K135" s="2">
        <f t="shared" si="5"/>
        <v>0</v>
      </c>
      <c r="L135" s="2">
        <f>IF(Fandual!M135="",1,0)</f>
        <v>1</v>
      </c>
    </row>
    <row r="136" spans="1:12" x14ac:dyDescent="0.25">
      <c r="A136" s="2">
        <f>IF((OR(Optimizer!$J$8=Fandual!J136,Optimizer!$J$10=Fandual!J136))=TRUE, 1,0)</f>
        <v>0</v>
      </c>
      <c r="B136" s="2">
        <f>IF((OR(Fandual!O136="",Fandual!O136&lt;&gt;0)=TRUE),1,0)</f>
        <v>1</v>
      </c>
      <c r="C136" s="2">
        <f>IF(Fandual!B136&lt;&gt;"P",1,0)</f>
        <v>0</v>
      </c>
      <c r="D136" s="2">
        <f t="shared" si="4"/>
        <v>0</v>
      </c>
      <c r="E136" s="2">
        <f>IF(D136=1,Fandual!B136,0)</f>
        <v>0</v>
      </c>
      <c r="F136" s="2">
        <f>IF(D136=1,Fandual!D136,0)</f>
        <v>0</v>
      </c>
      <c r="G136" s="2">
        <f>IF(D136=1,Fandual!F136,0)</f>
        <v>0</v>
      </c>
      <c r="H136" s="2">
        <f>IF(D136=1,Fandual!H136,0)</f>
        <v>0</v>
      </c>
      <c r="I136" s="2">
        <f>IF((Optimizer!$J$8=Fandual!J136),4,0)</f>
        <v>0</v>
      </c>
      <c r="J136" s="2">
        <f>IF((Optimizer!$J$10=Fandual!J136),100,0)</f>
        <v>0</v>
      </c>
      <c r="K136" s="2">
        <f t="shared" si="5"/>
        <v>0</v>
      </c>
      <c r="L136" s="2">
        <f>IF(Fandual!M136="",1,0)</f>
        <v>1</v>
      </c>
    </row>
    <row r="137" spans="1:12" x14ac:dyDescent="0.25">
      <c r="A137" s="2">
        <f>IF((OR(Optimizer!$J$8=Fandual!J137,Optimizer!$J$10=Fandual!J137))=TRUE, 1,0)</f>
        <v>0</v>
      </c>
      <c r="B137" s="2">
        <f>IF((OR(Fandual!O137="",Fandual!O137&lt;&gt;0)=TRUE),1,0)</f>
        <v>1</v>
      </c>
      <c r="C137" s="2">
        <f>IF(Fandual!B137&lt;&gt;"P",1,0)</f>
        <v>0</v>
      </c>
      <c r="D137" s="2">
        <f t="shared" si="4"/>
        <v>0</v>
      </c>
      <c r="E137" s="2">
        <f>IF(D137=1,Fandual!B137,0)</f>
        <v>0</v>
      </c>
      <c r="F137" s="2">
        <f>IF(D137=1,Fandual!D137,0)</f>
        <v>0</v>
      </c>
      <c r="G137" s="2">
        <f>IF(D137=1,Fandual!F137,0)</f>
        <v>0</v>
      </c>
      <c r="H137" s="2">
        <f>IF(D137=1,Fandual!H137,0)</f>
        <v>0</v>
      </c>
      <c r="I137" s="2">
        <f>IF((Optimizer!$J$8=Fandual!J137),4,0)</f>
        <v>0</v>
      </c>
      <c r="J137" s="2">
        <f>IF((Optimizer!$J$10=Fandual!J137),100,0)</f>
        <v>0</v>
      </c>
      <c r="K137" s="2">
        <f t="shared" si="5"/>
        <v>0</v>
      </c>
      <c r="L137" s="2">
        <f>IF(Fandual!M137="",1,0)</f>
        <v>1</v>
      </c>
    </row>
    <row r="138" spans="1:12" x14ac:dyDescent="0.25">
      <c r="A138" s="2">
        <f>IF((OR(Optimizer!$J$8=Fandual!J138,Optimizer!$J$10=Fandual!J138))=TRUE, 1,0)</f>
        <v>0</v>
      </c>
      <c r="B138" s="2">
        <f>IF((OR(Fandual!O138="",Fandual!O138&lt;&gt;0)=TRUE),1,0)</f>
        <v>1</v>
      </c>
      <c r="C138" s="2">
        <f>IF(Fandual!B138&lt;&gt;"P",1,0)</f>
        <v>0</v>
      </c>
      <c r="D138" s="2">
        <f t="shared" si="4"/>
        <v>0</v>
      </c>
      <c r="E138" s="2">
        <f>IF(D138=1,Fandual!B138,0)</f>
        <v>0</v>
      </c>
      <c r="F138" s="2">
        <f>IF(D138=1,Fandual!D138,0)</f>
        <v>0</v>
      </c>
      <c r="G138" s="2">
        <f>IF(D138=1,Fandual!F138,0)</f>
        <v>0</v>
      </c>
      <c r="H138" s="2">
        <f>IF(D138=1,Fandual!H138,0)</f>
        <v>0</v>
      </c>
      <c r="I138" s="2">
        <f>IF((Optimizer!$J$8=Fandual!J138),4,0)</f>
        <v>0</v>
      </c>
      <c r="J138" s="2">
        <f>IF((Optimizer!$J$10=Fandual!J138),100,0)</f>
        <v>0</v>
      </c>
      <c r="K138" s="2">
        <f t="shared" si="5"/>
        <v>0</v>
      </c>
      <c r="L138" s="2">
        <f>IF(Fandual!M138="",1,0)</f>
        <v>1</v>
      </c>
    </row>
    <row r="139" spans="1:12" x14ac:dyDescent="0.25">
      <c r="A139" s="2">
        <f>IF((OR(Optimizer!$J$8=Fandual!J139,Optimizer!$J$10=Fandual!J139))=TRUE, 1,0)</f>
        <v>0</v>
      </c>
      <c r="B139" s="2">
        <f>IF((OR(Fandual!O139="",Fandual!O139&lt;&gt;0)=TRUE),1,0)</f>
        <v>1</v>
      </c>
      <c r="C139" s="2">
        <f>IF(Fandual!B139&lt;&gt;"P",1,0)</f>
        <v>0</v>
      </c>
      <c r="D139" s="2">
        <f t="shared" si="4"/>
        <v>0</v>
      </c>
      <c r="E139" s="2">
        <f>IF(D139=1,Fandual!B139,0)</f>
        <v>0</v>
      </c>
      <c r="F139" s="2">
        <f>IF(D139=1,Fandual!D139,0)</f>
        <v>0</v>
      </c>
      <c r="G139" s="2">
        <f>IF(D139=1,Fandual!F139,0)</f>
        <v>0</v>
      </c>
      <c r="H139" s="2">
        <f>IF(D139=1,Fandual!H139,0)</f>
        <v>0</v>
      </c>
      <c r="I139" s="2">
        <f>IF((Optimizer!$J$8=Fandual!J139),4,0)</f>
        <v>0</v>
      </c>
      <c r="J139" s="2">
        <f>IF((Optimizer!$J$10=Fandual!J139),100,0)</f>
        <v>0</v>
      </c>
      <c r="K139" s="2">
        <f t="shared" si="5"/>
        <v>0</v>
      </c>
      <c r="L139" s="2">
        <f>IF(Fandual!M139="",1,0)</f>
        <v>1</v>
      </c>
    </row>
    <row r="140" spans="1:12" x14ac:dyDescent="0.25">
      <c r="A140" s="2">
        <f>IF((OR(Optimizer!$J$8=Fandual!J140,Optimizer!$J$10=Fandual!J140))=TRUE, 1,0)</f>
        <v>0</v>
      </c>
      <c r="B140" s="2">
        <f>IF((OR(Fandual!O140="",Fandual!O140&lt;&gt;0)=TRUE),1,0)</f>
        <v>1</v>
      </c>
      <c r="C140" s="2">
        <f>IF(Fandual!B140&lt;&gt;"P",1,0)</f>
        <v>0</v>
      </c>
      <c r="D140" s="2">
        <f t="shared" si="4"/>
        <v>0</v>
      </c>
      <c r="E140" s="2">
        <f>IF(D140=1,Fandual!B140,0)</f>
        <v>0</v>
      </c>
      <c r="F140" s="2">
        <f>IF(D140=1,Fandual!D140,0)</f>
        <v>0</v>
      </c>
      <c r="G140" s="2">
        <f>IF(D140=1,Fandual!F140,0)</f>
        <v>0</v>
      </c>
      <c r="H140" s="2">
        <f>IF(D140=1,Fandual!H140,0)</f>
        <v>0</v>
      </c>
      <c r="I140" s="2">
        <f>IF((Optimizer!$J$8=Fandual!J140),4,0)</f>
        <v>0</v>
      </c>
      <c r="J140" s="2">
        <f>IF((Optimizer!$J$10=Fandual!J140),100,0)</f>
        <v>0</v>
      </c>
      <c r="K140" s="2">
        <f t="shared" si="5"/>
        <v>0</v>
      </c>
      <c r="L140" s="2">
        <f>IF(Fandual!M140="",1,0)</f>
        <v>0</v>
      </c>
    </row>
    <row r="141" spans="1:12" x14ac:dyDescent="0.25">
      <c r="A141" s="2">
        <f>IF((OR(Optimizer!$J$8=Fandual!J141,Optimizer!$J$10=Fandual!J141))=TRUE, 1,0)</f>
        <v>0</v>
      </c>
      <c r="B141" s="2">
        <f>IF((OR(Fandual!O141="",Fandual!O141&lt;&gt;0)=TRUE),1,0)</f>
        <v>1</v>
      </c>
      <c r="C141" s="2">
        <f>IF(Fandual!B141&lt;&gt;"P",1,0)</f>
        <v>0</v>
      </c>
      <c r="D141" s="2">
        <f t="shared" si="4"/>
        <v>0</v>
      </c>
      <c r="E141" s="2">
        <f>IF(D141=1,Fandual!B141,0)</f>
        <v>0</v>
      </c>
      <c r="F141" s="2">
        <f>IF(D141=1,Fandual!D141,0)</f>
        <v>0</v>
      </c>
      <c r="G141" s="2">
        <f>IF(D141=1,Fandual!F141,0)</f>
        <v>0</v>
      </c>
      <c r="H141" s="2">
        <f>IF(D141=1,Fandual!H141,0)</f>
        <v>0</v>
      </c>
      <c r="I141" s="2">
        <f>IF((Optimizer!$J$8=Fandual!J141),4,0)</f>
        <v>0</v>
      </c>
      <c r="J141" s="2">
        <f>IF((Optimizer!$J$10=Fandual!J141),100,0)</f>
        <v>0</v>
      </c>
      <c r="K141" s="2">
        <f t="shared" si="5"/>
        <v>0</v>
      </c>
      <c r="L141" s="2">
        <f>IF(Fandual!M141="",1,0)</f>
        <v>0</v>
      </c>
    </row>
    <row r="142" spans="1:12" x14ac:dyDescent="0.25">
      <c r="A142" s="2">
        <f>IF((OR(Optimizer!$J$8=Fandual!J142,Optimizer!$J$10=Fandual!J142))=TRUE, 1,0)</f>
        <v>0</v>
      </c>
      <c r="B142" s="2">
        <f>IF((OR(Fandual!O142="",Fandual!O142&lt;&gt;0)=TRUE),1,0)</f>
        <v>1</v>
      </c>
      <c r="C142" s="2">
        <f>IF(Fandual!B142&lt;&gt;"P",1,0)</f>
        <v>0</v>
      </c>
      <c r="D142" s="2">
        <f t="shared" si="4"/>
        <v>0</v>
      </c>
      <c r="E142" s="2">
        <f>IF(D142=1,Fandual!B142,0)</f>
        <v>0</v>
      </c>
      <c r="F142" s="2">
        <f>IF(D142=1,Fandual!D142,0)</f>
        <v>0</v>
      </c>
      <c r="G142" s="2">
        <f>IF(D142=1,Fandual!F142,0)</f>
        <v>0</v>
      </c>
      <c r="H142" s="2">
        <f>IF(D142=1,Fandual!H142,0)</f>
        <v>0</v>
      </c>
      <c r="I142" s="2">
        <f>IF((Optimizer!$J$8=Fandual!J142),4,0)</f>
        <v>0</v>
      </c>
      <c r="J142" s="2">
        <f>IF((Optimizer!$J$10=Fandual!J142),100,0)</f>
        <v>0</v>
      </c>
      <c r="K142" s="2">
        <f t="shared" si="5"/>
        <v>0</v>
      </c>
      <c r="L142" s="2">
        <f>IF(Fandual!M142="",1,0)</f>
        <v>1</v>
      </c>
    </row>
    <row r="143" spans="1:12" x14ac:dyDescent="0.25">
      <c r="A143" s="2">
        <f>IF((OR(Optimizer!$J$8=Fandual!J143,Optimizer!$J$10=Fandual!J143))=TRUE, 1,0)</f>
        <v>0</v>
      </c>
      <c r="B143" s="2">
        <f>IF((OR(Fandual!O143="",Fandual!O143&lt;&gt;0)=TRUE),1,0)</f>
        <v>1</v>
      </c>
      <c r="C143" s="2">
        <f>IF(Fandual!B143&lt;&gt;"P",1,0)</f>
        <v>0</v>
      </c>
      <c r="D143" s="2">
        <f t="shared" si="4"/>
        <v>0</v>
      </c>
      <c r="E143" s="2">
        <f>IF(D143=1,Fandual!B143,0)</f>
        <v>0</v>
      </c>
      <c r="F143" s="2">
        <f>IF(D143=1,Fandual!D143,0)</f>
        <v>0</v>
      </c>
      <c r="G143" s="2">
        <f>IF(D143=1,Fandual!F143,0)</f>
        <v>0</v>
      </c>
      <c r="H143" s="2">
        <f>IF(D143=1,Fandual!H143,0)</f>
        <v>0</v>
      </c>
      <c r="I143" s="2">
        <f>IF((Optimizer!$J$8=Fandual!J143),4,0)</f>
        <v>0</v>
      </c>
      <c r="J143" s="2">
        <f>IF((Optimizer!$J$10=Fandual!J143),100,0)</f>
        <v>0</v>
      </c>
      <c r="K143" s="2">
        <f t="shared" si="5"/>
        <v>0</v>
      </c>
      <c r="L143" s="2">
        <f>IF(Fandual!M143="",1,0)</f>
        <v>1</v>
      </c>
    </row>
    <row r="144" spans="1:12" x14ac:dyDescent="0.25">
      <c r="A144" s="2">
        <f>IF((OR(Optimizer!$J$8=Fandual!J144,Optimizer!$J$10=Fandual!J144))=TRUE, 1,0)</f>
        <v>0</v>
      </c>
      <c r="B144" s="2">
        <f>IF((OR(Fandual!O144="",Fandual!O144&lt;&gt;0)=TRUE),1,0)</f>
        <v>1</v>
      </c>
      <c r="C144" s="2">
        <f>IF(Fandual!B144&lt;&gt;"P",1,0)</f>
        <v>0</v>
      </c>
      <c r="D144" s="2">
        <f t="shared" si="4"/>
        <v>0</v>
      </c>
      <c r="E144" s="2">
        <f>IF(D144=1,Fandual!B144,0)</f>
        <v>0</v>
      </c>
      <c r="F144" s="2">
        <f>IF(D144=1,Fandual!D144,0)</f>
        <v>0</v>
      </c>
      <c r="G144" s="2">
        <f>IF(D144=1,Fandual!F144,0)</f>
        <v>0</v>
      </c>
      <c r="H144" s="2">
        <f>IF(D144=1,Fandual!H144,0)</f>
        <v>0</v>
      </c>
      <c r="I144" s="2">
        <f>IF((Optimizer!$J$8=Fandual!J144),4,0)</f>
        <v>0</v>
      </c>
      <c r="J144" s="2">
        <f>IF((Optimizer!$J$10=Fandual!J144),100,0)</f>
        <v>0</v>
      </c>
      <c r="K144" s="2">
        <f t="shared" si="5"/>
        <v>0</v>
      </c>
      <c r="L144" s="2">
        <f>IF(Fandual!M144="",1,0)</f>
        <v>1</v>
      </c>
    </row>
    <row r="145" spans="1:12" x14ac:dyDescent="0.25">
      <c r="A145" s="2">
        <f>IF((OR(Optimizer!$J$8=Fandual!J145,Optimizer!$J$10=Fandual!J145))=TRUE, 1,0)</f>
        <v>0</v>
      </c>
      <c r="B145" s="2">
        <f>IF((OR(Fandual!O145="",Fandual!O145&lt;&gt;0)=TRUE),1,0)</f>
        <v>1</v>
      </c>
      <c r="C145" s="2">
        <f>IF(Fandual!B145&lt;&gt;"P",1,0)</f>
        <v>0</v>
      </c>
      <c r="D145" s="2">
        <f t="shared" si="4"/>
        <v>0</v>
      </c>
      <c r="E145" s="2">
        <f>IF(D145=1,Fandual!B145,0)</f>
        <v>0</v>
      </c>
      <c r="F145" s="2">
        <f>IF(D145=1,Fandual!D145,0)</f>
        <v>0</v>
      </c>
      <c r="G145" s="2">
        <f>IF(D145=1,Fandual!F145,0)</f>
        <v>0</v>
      </c>
      <c r="H145" s="2">
        <f>IF(D145=1,Fandual!H145,0)</f>
        <v>0</v>
      </c>
      <c r="I145" s="2">
        <f>IF((Optimizer!$J$8=Fandual!J145),4,0)</f>
        <v>0</v>
      </c>
      <c r="J145" s="2">
        <f>IF((Optimizer!$J$10=Fandual!J145),100,0)</f>
        <v>0</v>
      </c>
      <c r="K145" s="2">
        <f t="shared" si="5"/>
        <v>0</v>
      </c>
      <c r="L145" s="2">
        <f>IF(Fandual!M145="",1,0)</f>
        <v>1</v>
      </c>
    </row>
    <row r="146" spans="1:12" x14ac:dyDescent="0.25">
      <c r="A146" s="2">
        <f>IF((OR(Optimizer!$J$8=Fandual!J146,Optimizer!$J$10=Fandual!J146))=TRUE, 1,0)</f>
        <v>0</v>
      </c>
      <c r="B146" s="2">
        <f>IF((OR(Fandual!O146="",Fandual!O146&lt;&gt;0)=TRUE),1,0)</f>
        <v>1</v>
      </c>
      <c r="C146" s="2">
        <f>IF(Fandual!B146&lt;&gt;"P",1,0)</f>
        <v>0</v>
      </c>
      <c r="D146" s="2">
        <f t="shared" si="4"/>
        <v>0</v>
      </c>
      <c r="E146" s="2">
        <f>IF(D146=1,Fandual!B146,0)</f>
        <v>0</v>
      </c>
      <c r="F146" s="2">
        <f>IF(D146=1,Fandual!D146,0)</f>
        <v>0</v>
      </c>
      <c r="G146" s="2">
        <f>IF(D146=1,Fandual!F146,0)</f>
        <v>0</v>
      </c>
      <c r="H146" s="2">
        <f>IF(D146=1,Fandual!H146,0)</f>
        <v>0</v>
      </c>
      <c r="I146" s="2">
        <f>IF((Optimizer!$J$8=Fandual!J146),4,0)</f>
        <v>0</v>
      </c>
      <c r="J146" s="2">
        <f>IF((Optimizer!$J$10=Fandual!J146),100,0)</f>
        <v>0</v>
      </c>
      <c r="K146" s="2">
        <f t="shared" si="5"/>
        <v>0</v>
      </c>
      <c r="L146" s="2">
        <f>IF(Fandual!M146="",1,0)</f>
        <v>1</v>
      </c>
    </row>
    <row r="147" spans="1:12" x14ac:dyDescent="0.25">
      <c r="A147" s="2">
        <f>IF((OR(Optimizer!$J$8=Fandual!J147,Optimizer!$J$10=Fandual!J147))=TRUE, 1,0)</f>
        <v>0</v>
      </c>
      <c r="B147" s="2">
        <f>IF((OR(Fandual!O147="",Fandual!O147&lt;&gt;0)=TRUE),1,0)</f>
        <v>1</v>
      </c>
      <c r="C147" s="2">
        <f>IF(Fandual!B147&lt;&gt;"P",1,0)</f>
        <v>0</v>
      </c>
      <c r="D147" s="2">
        <f t="shared" si="4"/>
        <v>0</v>
      </c>
      <c r="E147" s="2">
        <f>IF(D147=1,Fandual!B147,0)</f>
        <v>0</v>
      </c>
      <c r="F147" s="2">
        <f>IF(D147=1,Fandual!D147,0)</f>
        <v>0</v>
      </c>
      <c r="G147" s="2">
        <f>IF(D147=1,Fandual!F147,0)</f>
        <v>0</v>
      </c>
      <c r="H147" s="2">
        <f>IF(D147=1,Fandual!H147,0)</f>
        <v>0</v>
      </c>
      <c r="I147" s="2">
        <f>IF((Optimizer!$J$8=Fandual!J147),4,0)</f>
        <v>0</v>
      </c>
      <c r="J147" s="2">
        <f>IF((Optimizer!$J$10=Fandual!J147),100,0)</f>
        <v>0</v>
      </c>
      <c r="K147" s="2">
        <f t="shared" si="5"/>
        <v>0</v>
      </c>
      <c r="L147" s="2">
        <f>IF(Fandual!M147="",1,0)</f>
        <v>1</v>
      </c>
    </row>
    <row r="148" spans="1:12" x14ac:dyDescent="0.25">
      <c r="A148" s="2">
        <f>IF((OR(Optimizer!$J$8=Fandual!J148,Optimizer!$J$10=Fandual!J148))=TRUE, 1,0)</f>
        <v>0</v>
      </c>
      <c r="B148" s="2">
        <f>IF((OR(Fandual!O148="",Fandual!O148&lt;&gt;0)=TRUE),1,0)</f>
        <v>1</v>
      </c>
      <c r="C148" s="2">
        <f>IF(Fandual!B148&lt;&gt;"P",1,0)</f>
        <v>0</v>
      </c>
      <c r="D148" s="2">
        <f t="shared" si="4"/>
        <v>0</v>
      </c>
      <c r="E148" s="2">
        <f>IF(D148=1,Fandual!B148,0)</f>
        <v>0</v>
      </c>
      <c r="F148" s="2">
        <f>IF(D148=1,Fandual!D148,0)</f>
        <v>0</v>
      </c>
      <c r="G148" s="2">
        <f>IF(D148=1,Fandual!F148,0)</f>
        <v>0</v>
      </c>
      <c r="H148" s="2">
        <f>IF(D148=1,Fandual!H148,0)</f>
        <v>0</v>
      </c>
      <c r="I148" s="2">
        <f>IF((Optimizer!$J$8=Fandual!J148),4,0)</f>
        <v>0</v>
      </c>
      <c r="J148" s="2">
        <f>IF((Optimizer!$J$10=Fandual!J148),100,0)</f>
        <v>0</v>
      </c>
      <c r="K148" s="2">
        <f t="shared" si="5"/>
        <v>0</v>
      </c>
      <c r="L148" s="2">
        <f>IF(Fandual!M148="",1,0)</f>
        <v>1</v>
      </c>
    </row>
    <row r="149" spans="1:12" x14ac:dyDescent="0.25">
      <c r="A149" s="2">
        <f>IF((OR(Optimizer!$J$8=Fandual!J149,Optimizer!$J$10=Fandual!J149))=TRUE, 1,0)</f>
        <v>0</v>
      </c>
      <c r="B149" s="2">
        <f>IF((OR(Fandual!O149="",Fandual!O149&lt;&gt;0)=TRUE),1,0)</f>
        <v>1</v>
      </c>
      <c r="C149" s="2">
        <f>IF(Fandual!B149&lt;&gt;"P",1,0)</f>
        <v>0</v>
      </c>
      <c r="D149" s="2">
        <f t="shared" si="4"/>
        <v>0</v>
      </c>
      <c r="E149" s="2">
        <f>IF(D149=1,Fandual!B149,0)</f>
        <v>0</v>
      </c>
      <c r="F149" s="2">
        <f>IF(D149=1,Fandual!D149,0)</f>
        <v>0</v>
      </c>
      <c r="G149" s="2">
        <f>IF(D149=1,Fandual!F149,0)</f>
        <v>0</v>
      </c>
      <c r="H149" s="2">
        <f>IF(D149=1,Fandual!H149,0)</f>
        <v>0</v>
      </c>
      <c r="I149" s="2">
        <f>IF((Optimizer!$J$8=Fandual!J149),4,0)</f>
        <v>0</v>
      </c>
      <c r="J149" s="2">
        <f>IF((Optimizer!$J$10=Fandual!J149),100,0)</f>
        <v>0</v>
      </c>
      <c r="K149" s="2">
        <f t="shared" si="5"/>
        <v>0</v>
      </c>
      <c r="L149" s="2">
        <f>IF(Fandual!M149="",1,0)</f>
        <v>0</v>
      </c>
    </row>
    <row r="150" spans="1:12" x14ac:dyDescent="0.25">
      <c r="A150" s="2">
        <f>IF((OR(Optimizer!$J$8=Fandual!J150,Optimizer!$J$10=Fandual!J150))=TRUE, 1,0)</f>
        <v>0</v>
      </c>
      <c r="B150" s="2">
        <f>IF((OR(Fandual!O150="",Fandual!O150&lt;&gt;0)=TRUE),1,0)</f>
        <v>1</v>
      </c>
      <c r="C150" s="2">
        <f>IF(Fandual!B150&lt;&gt;"P",1,0)</f>
        <v>0</v>
      </c>
      <c r="D150" s="2">
        <f t="shared" si="4"/>
        <v>0</v>
      </c>
      <c r="E150" s="2">
        <f>IF(D150=1,Fandual!B150,0)</f>
        <v>0</v>
      </c>
      <c r="F150" s="2">
        <f>IF(D150=1,Fandual!D150,0)</f>
        <v>0</v>
      </c>
      <c r="G150" s="2">
        <f>IF(D150=1,Fandual!F150,0)</f>
        <v>0</v>
      </c>
      <c r="H150" s="2">
        <f>IF(D150=1,Fandual!H150,0)</f>
        <v>0</v>
      </c>
      <c r="I150" s="2">
        <f>IF((Optimizer!$J$8=Fandual!J150),4,0)</f>
        <v>0</v>
      </c>
      <c r="J150" s="2">
        <f>IF((Optimizer!$J$10=Fandual!J150),100,0)</f>
        <v>0</v>
      </c>
      <c r="K150" s="2">
        <f t="shared" si="5"/>
        <v>0</v>
      </c>
      <c r="L150" s="2">
        <f>IF(Fandual!M150="",1,0)</f>
        <v>1</v>
      </c>
    </row>
    <row r="151" spans="1:12" x14ac:dyDescent="0.25">
      <c r="A151" s="2">
        <f>IF((OR(Optimizer!$J$8=Fandual!J151,Optimizer!$J$10=Fandual!J151))=TRUE, 1,0)</f>
        <v>0</v>
      </c>
      <c r="B151" s="2">
        <f>IF((OR(Fandual!O151="",Fandual!O151&lt;&gt;0)=TRUE),1,0)</f>
        <v>1</v>
      </c>
      <c r="C151" s="2">
        <f>IF(Fandual!B151&lt;&gt;"P",1,0)</f>
        <v>0</v>
      </c>
      <c r="D151" s="2">
        <f t="shared" si="4"/>
        <v>0</v>
      </c>
      <c r="E151" s="2">
        <f>IF(D151=1,Fandual!B151,0)</f>
        <v>0</v>
      </c>
      <c r="F151" s="2">
        <f>IF(D151=1,Fandual!D151,0)</f>
        <v>0</v>
      </c>
      <c r="G151" s="2">
        <f>IF(D151=1,Fandual!F151,0)</f>
        <v>0</v>
      </c>
      <c r="H151" s="2">
        <f>IF(D151=1,Fandual!H151,0)</f>
        <v>0</v>
      </c>
      <c r="I151" s="2">
        <f>IF((Optimizer!$J$8=Fandual!J151),4,0)</f>
        <v>0</v>
      </c>
      <c r="J151" s="2">
        <f>IF((Optimizer!$J$10=Fandual!J151),100,0)</f>
        <v>0</v>
      </c>
      <c r="K151" s="2">
        <f t="shared" si="5"/>
        <v>0</v>
      </c>
      <c r="L151" s="2">
        <f>IF(Fandual!M151="",1,0)</f>
        <v>1</v>
      </c>
    </row>
    <row r="152" spans="1:12" x14ac:dyDescent="0.25">
      <c r="A152" s="2">
        <f>IF((OR(Optimizer!$J$8=Fandual!J152,Optimizer!$J$10=Fandual!J152))=TRUE, 1,0)</f>
        <v>0</v>
      </c>
      <c r="B152" s="2">
        <f>IF((OR(Fandual!O152="",Fandual!O152&lt;&gt;0)=TRUE),1,0)</f>
        <v>1</v>
      </c>
      <c r="C152" s="2">
        <f>IF(Fandual!B152&lt;&gt;"P",1,0)</f>
        <v>0</v>
      </c>
      <c r="D152" s="2">
        <f t="shared" si="4"/>
        <v>0</v>
      </c>
      <c r="E152" s="2">
        <f>IF(D152=1,Fandual!B152,0)</f>
        <v>0</v>
      </c>
      <c r="F152" s="2">
        <f>IF(D152=1,Fandual!D152,0)</f>
        <v>0</v>
      </c>
      <c r="G152" s="2">
        <f>IF(D152=1,Fandual!F152,0)</f>
        <v>0</v>
      </c>
      <c r="H152" s="2">
        <f>IF(D152=1,Fandual!H152,0)</f>
        <v>0</v>
      </c>
      <c r="I152" s="2">
        <f>IF((Optimizer!$J$8=Fandual!J152),4,0)</f>
        <v>0</v>
      </c>
      <c r="J152" s="2">
        <f>IF((Optimizer!$J$10=Fandual!J152),100,0)</f>
        <v>0</v>
      </c>
      <c r="K152" s="2">
        <f t="shared" si="5"/>
        <v>0</v>
      </c>
      <c r="L152" s="2">
        <f>IF(Fandual!M152="",1,0)</f>
        <v>1</v>
      </c>
    </row>
    <row r="153" spans="1:12" x14ac:dyDescent="0.25">
      <c r="A153" s="2">
        <f>IF((OR(Optimizer!$J$8=Fandual!J153,Optimizer!$J$10=Fandual!J153))=TRUE, 1,0)</f>
        <v>1</v>
      </c>
      <c r="B153" s="2">
        <f>IF((OR(Fandual!O153="",Fandual!O153&lt;&gt;0)=TRUE),1,0)</f>
        <v>1</v>
      </c>
      <c r="C153" s="2">
        <f>IF(Fandual!B153&lt;&gt;"P",1,0)</f>
        <v>0</v>
      </c>
      <c r="D153" s="2">
        <f t="shared" si="4"/>
        <v>0</v>
      </c>
      <c r="E153" s="2">
        <f>IF(D153=1,Fandual!B153,0)</f>
        <v>0</v>
      </c>
      <c r="F153" s="2">
        <f>IF(D153=1,Fandual!D153,0)</f>
        <v>0</v>
      </c>
      <c r="G153" s="2">
        <f>IF(D153=1,Fandual!F153,0)</f>
        <v>0</v>
      </c>
      <c r="H153" s="2">
        <f>IF(D153=1,Fandual!H153,0)</f>
        <v>0</v>
      </c>
      <c r="I153" s="2">
        <f>IF((Optimizer!$J$8=Fandual!J153),4,0)</f>
        <v>0</v>
      </c>
      <c r="J153" s="2">
        <f>IF((Optimizer!$J$10=Fandual!J153),100,0)</f>
        <v>100</v>
      </c>
      <c r="K153" s="2">
        <f t="shared" si="5"/>
        <v>0</v>
      </c>
      <c r="L153" s="2">
        <f>IF(Fandual!M153="",1,0)</f>
        <v>1</v>
      </c>
    </row>
    <row r="154" spans="1:12" x14ac:dyDescent="0.25">
      <c r="A154" s="2">
        <f>IF((OR(Optimizer!$J$8=Fandual!J154,Optimizer!$J$10=Fandual!J154))=TRUE, 1,0)</f>
        <v>0</v>
      </c>
      <c r="B154" s="2">
        <f>IF((OR(Fandual!O154="",Fandual!O154&lt;&gt;0)=TRUE),1,0)</f>
        <v>1</v>
      </c>
      <c r="C154" s="2">
        <f>IF(Fandual!B154&lt;&gt;"P",1,0)</f>
        <v>0</v>
      </c>
      <c r="D154" s="2">
        <f t="shared" si="4"/>
        <v>0</v>
      </c>
      <c r="E154" s="2">
        <f>IF(D154=1,Fandual!B154,0)</f>
        <v>0</v>
      </c>
      <c r="F154" s="2">
        <f>IF(D154=1,Fandual!D154,0)</f>
        <v>0</v>
      </c>
      <c r="G154" s="2">
        <f>IF(D154=1,Fandual!F154,0)</f>
        <v>0</v>
      </c>
      <c r="H154" s="2">
        <f>IF(D154=1,Fandual!H154,0)</f>
        <v>0</v>
      </c>
      <c r="I154" s="2">
        <f>IF((Optimizer!$J$8=Fandual!J154),4,0)</f>
        <v>0</v>
      </c>
      <c r="J154" s="2">
        <f>IF((Optimizer!$J$10=Fandual!J154),100,0)</f>
        <v>0</v>
      </c>
      <c r="K154" s="2">
        <f t="shared" si="5"/>
        <v>0</v>
      </c>
      <c r="L154" s="2">
        <f>IF(Fandual!M154="",1,0)</f>
        <v>1</v>
      </c>
    </row>
    <row r="155" spans="1:12" x14ac:dyDescent="0.25">
      <c r="A155" s="2">
        <f>IF((OR(Optimizer!$J$8=Fandual!J155,Optimizer!$J$10=Fandual!J155))=TRUE, 1,0)</f>
        <v>0</v>
      </c>
      <c r="B155" s="2">
        <f>IF((OR(Fandual!O155="",Fandual!O155&lt;&gt;0)=TRUE),1,0)</f>
        <v>1</v>
      </c>
      <c r="C155" s="2">
        <f>IF(Fandual!B155&lt;&gt;"P",1,0)</f>
        <v>0</v>
      </c>
      <c r="D155" s="2">
        <f t="shared" si="4"/>
        <v>0</v>
      </c>
      <c r="E155" s="2">
        <f>IF(D155=1,Fandual!B155,0)</f>
        <v>0</v>
      </c>
      <c r="F155" s="2">
        <f>IF(D155=1,Fandual!D155,0)</f>
        <v>0</v>
      </c>
      <c r="G155" s="2">
        <f>IF(D155=1,Fandual!F155,0)</f>
        <v>0</v>
      </c>
      <c r="H155" s="2">
        <f>IF(D155=1,Fandual!H155,0)</f>
        <v>0</v>
      </c>
      <c r="I155" s="2">
        <f>IF((Optimizer!$J$8=Fandual!J155),4,0)</f>
        <v>0</v>
      </c>
      <c r="J155" s="2">
        <f>IF((Optimizer!$J$10=Fandual!J155),100,0)</f>
        <v>0</v>
      </c>
      <c r="K155" s="2">
        <f t="shared" si="5"/>
        <v>0</v>
      </c>
      <c r="L155" s="2">
        <f>IF(Fandual!M155="",1,0)</f>
        <v>1</v>
      </c>
    </row>
    <row r="156" spans="1:12" x14ac:dyDescent="0.25">
      <c r="A156" s="2">
        <f>IF((OR(Optimizer!$J$8=Fandual!J156,Optimizer!$J$10=Fandual!J156))=TRUE, 1,0)</f>
        <v>0</v>
      </c>
      <c r="B156" s="2">
        <f>IF((OR(Fandual!O156="",Fandual!O156&lt;&gt;0)=TRUE),1,0)</f>
        <v>1</v>
      </c>
      <c r="C156" s="2">
        <f>IF(Fandual!B156&lt;&gt;"P",1,0)</f>
        <v>0</v>
      </c>
      <c r="D156" s="2">
        <f t="shared" si="4"/>
        <v>0</v>
      </c>
      <c r="E156" s="2">
        <f>IF(D156=1,Fandual!B156,0)</f>
        <v>0</v>
      </c>
      <c r="F156" s="2">
        <f>IF(D156=1,Fandual!D156,0)</f>
        <v>0</v>
      </c>
      <c r="G156" s="2">
        <f>IF(D156=1,Fandual!F156,0)</f>
        <v>0</v>
      </c>
      <c r="H156" s="2">
        <f>IF(D156=1,Fandual!H156,0)</f>
        <v>0</v>
      </c>
      <c r="I156" s="2">
        <f>IF((Optimizer!$J$8=Fandual!J156),4,0)</f>
        <v>0</v>
      </c>
      <c r="J156" s="2">
        <f>IF((Optimizer!$J$10=Fandual!J156),100,0)</f>
        <v>0</v>
      </c>
      <c r="K156" s="2">
        <f t="shared" si="5"/>
        <v>0</v>
      </c>
      <c r="L156" s="2">
        <f>IF(Fandual!M156="",1,0)</f>
        <v>1</v>
      </c>
    </row>
    <row r="157" spans="1:12" x14ac:dyDescent="0.25">
      <c r="A157" s="2">
        <f>IF((OR(Optimizer!$J$8=Fandual!J157,Optimizer!$J$10=Fandual!J157))=TRUE, 1,0)</f>
        <v>0</v>
      </c>
      <c r="B157" s="2">
        <f>IF((OR(Fandual!O157="",Fandual!O157&lt;&gt;0)=TRUE),1,0)</f>
        <v>1</v>
      </c>
      <c r="C157" s="2">
        <f>IF(Fandual!B157&lt;&gt;"P",1,0)</f>
        <v>0</v>
      </c>
      <c r="D157" s="2">
        <f t="shared" si="4"/>
        <v>0</v>
      </c>
      <c r="E157" s="2">
        <f>IF(D157=1,Fandual!B157,0)</f>
        <v>0</v>
      </c>
      <c r="F157" s="2">
        <f>IF(D157=1,Fandual!D157,0)</f>
        <v>0</v>
      </c>
      <c r="G157" s="2">
        <f>IF(D157=1,Fandual!F157,0)</f>
        <v>0</v>
      </c>
      <c r="H157" s="2">
        <f>IF(D157=1,Fandual!H157,0)</f>
        <v>0</v>
      </c>
      <c r="I157" s="2">
        <f>IF((Optimizer!$J$8=Fandual!J157),4,0)</f>
        <v>0</v>
      </c>
      <c r="J157" s="2">
        <f>IF((Optimizer!$J$10=Fandual!J157),100,0)</f>
        <v>0</v>
      </c>
      <c r="K157" s="2">
        <f t="shared" si="5"/>
        <v>0</v>
      </c>
      <c r="L157" s="2">
        <f>IF(Fandual!M157="",1,0)</f>
        <v>1</v>
      </c>
    </row>
    <row r="158" spans="1:12" x14ac:dyDescent="0.25">
      <c r="A158" s="2">
        <f>IF((OR(Optimizer!$J$8=Fandual!J158,Optimizer!$J$10=Fandual!J158))=TRUE, 1,0)</f>
        <v>1</v>
      </c>
      <c r="B158" s="2">
        <f>IF((OR(Fandual!O158="",Fandual!O158&lt;&gt;0)=TRUE),1,0)</f>
        <v>1</v>
      </c>
      <c r="C158" s="2">
        <f>IF(Fandual!B158&lt;&gt;"P",1,0)</f>
        <v>0</v>
      </c>
      <c r="D158" s="2">
        <f t="shared" si="4"/>
        <v>0</v>
      </c>
      <c r="E158" s="2">
        <f>IF(D158=1,Fandual!B158,0)</f>
        <v>0</v>
      </c>
      <c r="F158" s="2">
        <f>IF(D158=1,Fandual!D158,0)</f>
        <v>0</v>
      </c>
      <c r="G158" s="2">
        <f>IF(D158=1,Fandual!F158,0)</f>
        <v>0</v>
      </c>
      <c r="H158" s="2">
        <f>IF(D158=1,Fandual!H158,0)</f>
        <v>0</v>
      </c>
      <c r="I158" s="2">
        <f>IF((Optimizer!$J$8=Fandual!J158),4,0)</f>
        <v>0</v>
      </c>
      <c r="J158" s="2">
        <f>IF((Optimizer!$J$10=Fandual!J158),100,0)</f>
        <v>100</v>
      </c>
      <c r="K158" s="2">
        <f t="shared" si="5"/>
        <v>0</v>
      </c>
      <c r="L158" s="2">
        <f>IF(Fandual!M158="",1,0)</f>
        <v>1</v>
      </c>
    </row>
    <row r="159" spans="1:12" x14ac:dyDescent="0.25">
      <c r="A159" s="2">
        <f>IF((OR(Optimizer!$J$8=Fandual!J159,Optimizer!$J$10=Fandual!J159))=TRUE, 1,0)</f>
        <v>0</v>
      </c>
      <c r="B159" s="2">
        <f>IF((OR(Fandual!O159="",Fandual!O159&lt;&gt;0)=TRUE),1,0)</f>
        <v>1</v>
      </c>
      <c r="C159" s="2">
        <f>IF(Fandual!B159&lt;&gt;"P",1,0)</f>
        <v>0</v>
      </c>
      <c r="D159" s="2">
        <f t="shared" si="4"/>
        <v>0</v>
      </c>
      <c r="E159" s="2">
        <f>IF(D159=1,Fandual!B159,0)</f>
        <v>0</v>
      </c>
      <c r="F159" s="2">
        <f>IF(D159=1,Fandual!D159,0)</f>
        <v>0</v>
      </c>
      <c r="G159" s="2">
        <f>IF(D159=1,Fandual!F159,0)</f>
        <v>0</v>
      </c>
      <c r="H159" s="2">
        <f>IF(D159=1,Fandual!H159,0)</f>
        <v>0</v>
      </c>
      <c r="I159" s="2">
        <f>IF((Optimizer!$J$8=Fandual!J159),4,0)</f>
        <v>0</v>
      </c>
      <c r="J159" s="2">
        <f>IF((Optimizer!$J$10=Fandual!J159),100,0)</f>
        <v>0</v>
      </c>
      <c r="K159" s="2">
        <f t="shared" si="5"/>
        <v>0</v>
      </c>
      <c r="L159" s="2">
        <f>IF(Fandual!M159="",1,0)</f>
        <v>1</v>
      </c>
    </row>
    <row r="160" spans="1:12" x14ac:dyDescent="0.25">
      <c r="A160" s="2">
        <f>IF((OR(Optimizer!$J$8=Fandual!J160,Optimizer!$J$10=Fandual!J160))=TRUE, 1,0)</f>
        <v>0</v>
      </c>
      <c r="B160" s="2">
        <f>IF((OR(Fandual!O160="",Fandual!O160&lt;&gt;0)=TRUE),1,0)</f>
        <v>1</v>
      </c>
      <c r="C160" s="2">
        <f>IF(Fandual!B160&lt;&gt;"P",1,0)</f>
        <v>0</v>
      </c>
      <c r="D160" s="2">
        <f t="shared" si="4"/>
        <v>0</v>
      </c>
      <c r="E160" s="2">
        <f>IF(D160=1,Fandual!B160,0)</f>
        <v>0</v>
      </c>
      <c r="F160" s="2">
        <f>IF(D160=1,Fandual!D160,0)</f>
        <v>0</v>
      </c>
      <c r="G160" s="2">
        <f>IF(D160=1,Fandual!F160,0)</f>
        <v>0</v>
      </c>
      <c r="H160" s="2">
        <f>IF(D160=1,Fandual!H160,0)</f>
        <v>0</v>
      </c>
      <c r="I160" s="2">
        <f>IF((Optimizer!$J$8=Fandual!J160),4,0)</f>
        <v>0</v>
      </c>
      <c r="J160" s="2">
        <f>IF((Optimizer!$J$10=Fandual!J160),100,0)</f>
        <v>0</v>
      </c>
      <c r="K160" s="2">
        <f t="shared" si="5"/>
        <v>0</v>
      </c>
      <c r="L160" s="2">
        <f>IF(Fandual!M160="",1,0)</f>
        <v>1</v>
      </c>
    </row>
    <row r="161" spans="1:12" x14ac:dyDescent="0.25">
      <c r="A161" s="2">
        <f>IF((OR(Optimizer!$J$8=Fandual!J161,Optimizer!$J$10=Fandual!J161))=TRUE, 1,0)</f>
        <v>0</v>
      </c>
      <c r="B161" s="2">
        <f>IF((OR(Fandual!O161="",Fandual!O161&lt;&gt;0)=TRUE),1,0)</f>
        <v>1</v>
      </c>
      <c r="C161" s="2">
        <f>IF(Fandual!B161&lt;&gt;"P",1,0)</f>
        <v>0</v>
      </c>
      <c r="D161" s="2">
        <f t="shared" si="4"/>
        <v>0</v>
      </c>
      <c r="E161" s="2">
        <f>IF(D161=1,Fandual!B161,0)</f>
        <v>0</v>
      </c>
      <c r="F161" s="2">
        <f>IF(D161=1,Fandual!D161,0)</f>
        <v>0</v>
      </c>
      <c r="G161" s="2">
        <f>IF(D161=1,Fandual!F161,0)</f>
        <v>0</v>
      </c>
      <c r="H161" s="2">
        <f>IF(D161=1,Fandual!H161,0)</f>
        <v>0</v>
      </c>
      <c r="I161" s="2">
        <f>IF((Optimizer!$J$8=Fandual!J161),4,0)</f>
        <v>0</v>
      </c>
      <c r="J161" s="2">
        <f>IF((Optimizer!$J$10=Fandual!J161),100,0)</f>
        <v>0</v>
      </c>
      <c r="K161" s="2">
        <f t="shared" si="5"/>
        <v>0</v>
      </c>
      <c r="L161" s="2">
        <f>IF(Fandual!M161="",1,0)</f>
        <v>1</v>
      </c>
    </row>
    <row r="162" spans="1:12" x14ac:dyDescent="0.25">
      <c r="A162" s="2">
        <f>IF((OR(Optimizer!$J$8=Fandual!J162,Optimizer!$J$10=Fandual!J162))=TRUE, 1,0)</f>
        <v>0</v>
      </c>
      <c r="B162" s="2">
        <f>IF((OR(Fandual!O162="",Fandual!O162&lt;&gt;0)=TRUE),1,0)</f>
        <v>1</v>
      </c>
      <c r="C162" s="2">
        <f>IF(Fandual!B162&lt;&gt;"P",1,0)</f>
        <v>0</v>
      </c>
      <c r="D162" s="2">
        <f t="shared" si="4"/>
        <v>0</v>
      </c>
      <c r="E162" s="2">
        <f>IF(D162=1,Fandual!B162,0)</f>
        <v>0</v>
      </c>
      <c r="F162" s="2">
        <f>IF(D162=1,Fandual!D162,0)</f>
        <v>0</v>
      </c>
      <c r="G162" s="2">
        <f>IF(D162=1,Fandual!F162,0)</f>
        <v>0</v>
      </c>
      <c r="H162" s="2">
        <f>IF(D162=1,Fandual!H162,0)</f>
        <v>0</v>
      </c>
      <c r="I162" s="2">
        <f>IF((Optimizer!$J$8=Fandual!J162),4,0)</f>
        <v>0</v>
      </c>
      <c r="J162" s="2">
        <f>IF((Optimizer!$J$10=Fandual!J162),100,0)</f>
        <v>0</v>
      </c>
      <c r="K162" s="2">
        <f t="shared" si="5"/>
        <v>0</v>
      </c>
      <c r="L162" s="2">
        <f>IF(Fandual!M162="",1,0)</f>
        <v>1</v>
      </c>
    </row>
    <row r="163" spans="1:12" x14ac:dyDescent="0.25">
      <c r="A163" s="2">
        <f>IF((OR(Optimizer!$J$8=Fandual!J163,Optimizer!$J$10=Fandual!J163))=TRUE, 1,0)</f>
        <v>0</v>
      </c>
      <c r="B163" s="2">
        <f>IF((OR(Fandual!O163="",Fandual!O163&lt;&gt;0)=TRUE),1,0)</f>
        <v>1</v>
      </c>
      <c r="C163" s="2">
        <f>IF(Fandual!B163&lt;&gt;"P",1,0)</f>
        <v>0</v>
      </c>
      <c r="D163" s="2">
        <f t="shared" si="4"/>
        <v>0</v>
      </c>
      <c r="E163" s="2">
        <f>IF(D163=1,Fandual!B163,0)</f>
        <v>0</v>
      </c>
      <c r="F163" s="2">
        <f>IF(D163=1,Fandual!D163,0)</f>
        <v>0</v>
      </c>
      <c r="G163" s="2">
        <f>IF(D163=1,Fandual!F163,0)</f>
        <v>0</v>
      </c>
      <c r="H163" s="2">
        <f>IF(D163=1,Fandual!H163,0)</f>
        <v>0</v>
      </c>
      <c r="I163" s="2">
        <f>IF((Optimizer!$J$8=Fandual!J163),4,0)</f>
        <v>0</v>
      </c>
      <c r="J163" s="2">
        <f>IF((Optimizer!$J$10=Fandual!J163),100,0)</f>
        <v>0</v>
      </c>
      <c r="K163" s="2">
        <f t="shared" si="5"/>
        <v>0</v>
      </c>
      <c r="L163" s="2">
        <f>IF(Fandual!M163="",1,0)</f>
        <v>1</v>
      </c>
    </row>
    <row r="164" spans="1:12" x14ac:dyDescent="0.25">
      <c r="A164" s="2">
        <f>IF((OR(Optimizer!$J$8=Fandual!J164,Optimizer!$J$10=Fandual!J164))=TRUE, 1,0)</f>
        <v>0</v>
      </c>
      <c r="B164" s="2">
        <f>IF((OR(Fandual!O164="",Fandual!O164&lt;&gt;0)=TRUE),1,0)</f>
        <v>1</v>
      </c>
      <c r="C164" s="2">
        <f>IF(Fandual!B164&lt;&gt;"P",1,0)</f>
        <v>0</v>
      </c>
      <c r="D164" s="2">
        <f t="shared" si="4"/>
        <v>0</v>
      </c>
      <c r="E164" s="2">
        <f>IF(D164=1,Fandual!B164,0)</f>
        <v>0</v>
      </c>
      <c r="F164" s="2">
        <f>IF(D164=1,Fandual!D164,0)</f>
        <v>0</v>
      </c>
      <c r="G164" s="2">
        <f>IF(D164=1,Fandual!F164,0)</f>
        <v>0</v>
      </c>
      <c r="H164" s="2">
        <f>IF(D164=1,Fandual!H164,0)</f>
        <v>0</v>
      </c>
      <c r="I164" s="2">
        <f>IF((Optimizer!$J$8=Fandual!J164),4,0)</f>
        <v>0</v>
      </c>
      <c r="J164" s="2">
        <f>IF((Optimizer!$J$10=Fandual!J164),100,0)</f>
        <v>0</v>
      </c>
      <c r="K164" s="2">
        <f t="shared" si="5"/>
        <v>0</v>
      </c>
      <c r="L164" s="2">
        <f>IF(Fandual!M164="",1,0)</f>
        <v>1</v>
      </c>
    </row>
    <row r="165" spans="1:12" x14ac:dyDescent="0.25">
      <c r="A165" s="2">
        <f>IF((OR(Optimizer!$J$8=Fandual!J165,Optimizer!$J$10=Fandual!J165))=TRUE, 1,0)</f>
        <v>0</v>
      </c>
      <c r="B165" s="2">
        <f>IF((OR(Fandual!O165="",Fandual!O165&lt;&gt;0)=TRUE),1,0)</f>
        <v>1</v>
      </c>
      <c r="C165" s="2">
        <f>IF(Fandual!B165&lt;&gt;"P",1,0)</f>
        <v>0</v>
      </c>
      <c r="D165" s="2">
        <f t="shared" si="4"/>
        <v>0</v>
      </c>
      <c r="E165" s="2">
        <f>IF(D165=1,Fandual!B165,0)</f>
        <v>0</v>
      </c>
      <c r="F165" s="2">
        <f>IF(D165=1,Fandual!D165,0)</f>
        <v>0</v>
      </c>
      <c r="G165" s="2">
        <f>IF(D165=1,Fandual!F165,0)</f>
        <v>0</v>
      </c>
      <c r="H165" s="2">
        <f>IF(D165=1,Fandual!H165,0)</f>
        <v>0</v>
      </c>
      <c r="I165" s="2">
        <f>IF((Optimizer!$J$8=Fandual!J165),4,0)</f>
        <v>0</v>
      </c>
      <c r="J165" s="2">
        <f>IF((Optimizer!$J$10=Fandual!J165),100,0)</f>
        <v>0</v>
      </c>
      <c r="K165" s="2">
        <f t="shared" si="5"/>
        <v>0</v>
      </c>
      <c r="L165" s="2">
        <f>IF(Fandual!M165="",1,0)</f>
        <v>1</v>
      </c>
    </row>
    <row r="166" spans="1:12" x14ac:dyDescent="0.25">
      <c r="A166" s="2">
        <f>IF((OR(Optimizer!$J$8=Fandual!J166,Optimizer!$J$10=Fandual!J166))=TRUE, 1,0)</f>
        <v>0</v>
      </c>
      <c r="B166" s="2">
        <f>IF((OR(Fandual!O166="",Fandual!O166&lt;&gt;0)=TRUE),1,0)</f>
        <v>1</v>
      </c>
      <c r="C166" s="2">
        <f>IF(Fandual!B166&lt;&gt;"P",1,0)</f>
        <v>0</v>
      </c>
      <c r="D166" s="2">
        <f t="shared" si="4"/>
        <v>0</v>
      </c>
      <c r="E166" s="2">
        <f>IF(D166=1,Fandual!B166,0)</f>
        <v>0</v>
      </c>
      <c r="F166" s="2">
        <f>IF(D166=1,Fandual!D166,0)</f>
        <v>0</v>
      </c>
      <c r="G166" s="2">
        <f>IF(D166=1,Fandual!F166,0)</f>
        <v>0</v>
      </c>
      <c r="H166" s="2">
        <f>IF(D166=1,Fandual!H166,0)</f>
        <v>0</v>
      </c>
      <c r="I166" s="2">
        <f>IF((Optimizer!$J$8=Fandual!J166),4,0)</f>
        <v>0</v>
      </c>
      <c r="J166" s="2">
        <f>IF((Optimizer!$J$10=Fandual!J166),100,0)</f>
        <v>0</v>
      </c>
      <c r="K166" s="2">
        <f t="shared" si="5"/>
        <v>0</v>
      </c>
      <c r="L166" s="2">
        <f>IF(Fandual!M166="",1,0)</f>
        <v>1</v>
      </c>
    </row>
    <row r="167" spans="1:12" x14ac:dyDescent="0.25">
      <c r="A167" s="2">
        <f>IF((OR(Optimizer!$J$8=Fandual!J167,Optimizer!$J$10=Fandual!J167))=TRUE, 1,0)</f>
        <v>0</v>
      </c>
      <c r="B167" s="2">
        <f>IF((OR(Fandual!O167="",Fandual!O167&lt;&gt;0)=TRUE),1,0)</f>
        <v>1</v>
      </c>
      <c r="C167" s="2">
        <f>IF(Fandual!B167&lt;&gt;"P",1,0)</f>
        <v>0</v>
      </c>
      <c r="D167" s="2">
        <f t="shared" si="4"/>
        <v>0</v>
      </c>
      <c r="E167" s="2">
        <f>IF(D167=1,Fandual!B167,0)</f>
        <v>0</v>
      </c>
      <c r="F167" s="2">
        <f>IF(D167=1,Fandual!D167,0)</f>
        <v>0</v>
      </c>
      <c r="G167" s="2">
        <f>IF(D167=1,Fandual!F167,0)</f>
        <v>0</v>
      </c>
      <c r="H167" s="2">
        <f>IF(D167=1,Fandual!H167,0)</f>
        <v>0</v>
      </c>
      <c r="I167" s="2">
        <f>IF((Optimizer!$J$8=Fandual!J167),4,0)</f>
        <v>0</v>
      </c>
      <c r="J167" s="2">
        <f>IF((Optimizer!$J$10=Fandual!J167),100,0)</f>
        <v>0</v>
      </c>
      <c r="K167" s="2">
        <f t="shared" si="5"/>
        <v>0</v>
      </c>
      <c r="L167" s="2">
        <f>IF(Fandual!M167="",1,0)</f>
        <v>1</v>
      </c>
    </row>
    <row r="168" spans="1:12" x14ac:dyDescent="0.25">
      <c r="A168" s="2">
        <f>IF((OR(Optimizer!$J$8=Fandual!J168,Optimizer!$J$10=Fandual!J168))=TRUE, 1,0)</f>
        <v>0</v>
      </c>
      <c r="B168" s="2">
        <f>IF((OR(Fandual!O168="",Fandual!O168&lt;&gt;0)=TRUE),1,0)</f>
        <v>1</v>
      </c>
      <c r="C168" s="2">
        <f>IF(Fandual!B168&lt;&gt;"P",1,0)</f>
        <v>0</v>
      </c>
      <c r="D168" s="2">
        <f t="shared" si="4"/>
        <v>0</v>
      </c>
      <c r="E168" s="2">
        <f>IF(D168=1,Fandual!B168,0)</f>
        <v>0</v>
      </c>
      <c r="F168" s="2">
        <f>IF(D168=1,Fandual!D168,0)</f>
        <v>0</v>
      </c>
      <c r="G168" s="2">
        <f>IF(D168=1,Fandual!F168,0)</f>
        <v>0</v>
      </c>
      <c r="H168" s="2">
        <f>IF(D168=1,Fandual!H168,0)</f>
        <v>0</v>
      </c>
      <c r="I168" s="2">
        <f>IF((Optimizer!$J$8=Fandual!J168),4,0)</f>
        <v>0</v>
      </c>
      <c r="J168" s="2">
        <f>IF((Optimizer!$J$10=Fandual!J168),100,0)</f>
        <v>0</v>
      </c>
      <c r="K168" s="2">
        <f t="shared" si="5"/>
        <v>0</v>
      </c>
      <c r="L168" s="2">
        <f>IF(Fandual!M168="",1,0)</f>
        <v>1</v>
      </c>
    </row>
    <row r="169" spans="1:12" x14ac:dyDescent="0.25">
      <c r="A169" s="2">
        <f>IF((OR(Optimizer!$J$8=Fandual!J169,Optimizer!$J$10=Fandual!J169))=TRUE, 1,0)</f>
        <v>0</v>
      </c>
      <c r="B169" s="2">
        <f>IF((OR(Fandual!O169="",Fandual!O169&lt;&gt;0)=TRUE),1,0)</f>
        <v>1</v>
      </c>
      <c r="C169" s="2">
        <f>IF(Fandual!B169&lt;&gt;"P",1,0)</f>
        <v>0</v>
      </c>
      <c r="D169" s="2">
        <f t="shared" si="4"/>
        <v>0</v>
      </c>
      <c r="E169" s="2">
        <f>IF(D169=1,Fandual!B169,0)</f>
        <v>0</v>
      </c>
      <c r="F169" s="2">
        <f>IF(D169=1,Fandual!D169,0)</f>
        <v>0</v>
      </c>
      <c r="G169" s="2">
        <f>IF(D169=1,Fandual!F169,0)</f>
        <v>0</v>
      </c>
      <c r="H169" s="2">
        <f>IF(D169=1,Fandual!H169,0)</f>
        <v>0</v>
      </c>
      <c r="I169" s="2">
        <f>IF((Optimizer!$J$8=Fandual!J169),4,0)</f>
        <v>0</v>
      </c>
      <c r="J169" s="2">
        <f>IF((Optimizer!$J$10=Fandual!J169),100,0)</f>
        <v>0</v>
      </c>
      <c r="K169" s="2">
        <f t="shared" si="5"/>
        <v>0</v>
      </c>
      <c r="L169" s="2">
        <f>IF(Fandual!M169="",1,0)</f>
        <v>0</v>
      </c>
    </row>
    <row r="170" spans="1:12" x14ac:dyDescent="0.25">
      <c r="A170" s="2">
        <f>IF((OR(Optimizer!$J$8=Fandual!J170,Optimizer!$J$10=Fandual!J170))=TRUE, 1,0)</f>
        <v>0</v>
      </c>
      <c r="B170" s="2">
        <f>IF((OR(Fandual!O170="",Fandual!O170&lt;&gt;0)=TRUE),1,0)</f>
        <v>1</v>
      </c>
      <c r="C170" s="2">
        <f>IF(Fandual!B170&lt;&gt;"P",1,0)</f>
        <v>0</v>
      </c>
      <c r="D170" s="2">
        <f t="shared" si="4"/>
        <v>0</v>
      </c>
      <c r="E170" s="2">
        <f>IF(D170=1,Fandual!B170,0)</f>
        <v>0</v>
      </c>
      <c r="F170" s="2">
        <f>IF(D170=1,Fandual!D170,0)</f>
        <v>0</v>
      </c>
      <c r="G170" s="2">
        <f>IF(D170=1,Fandual!F170,0)</f>
        <v>0</v>
      </c>
      <c r="H170" s="2">
        <f>IF(D170=1,Fandual!H170,0)</f>
        <v>0</v>
      </c>
      <c r="I170" s="2">
        <f>IF((Optimizer!$J$8=Fandual!J170),4,0)</f>
        <v>0</v>
      </c>
      <c r="J170" s="2">
        <f>IF((Optimizer!$J$10=Fandual!J170),100,0)</f>
        <v>0</v>
      </c>
      <c r="K170" s="2">
        <f t="shared" si="5"/>
        <v>0</v>
      </c>
      <c r="L170" s="2">
        <f>IF(Fandual!M170="",1,0)</f>
        <v>0</v>
      </c>
    </row>
    <row r="171" spans="1:12" x14ac:dyDescent="0.25">
      <c r="A171" s="2">
        <f>IF((OR(Optimizer!$J$8=Fandual!J171,Optimizer!$J$10=Fandual!J171))=TRUE, 1,0)</f>
        <v>0</v>
      </c>
      <c r="B171" s="2">
        <f>IF((OR(Fandual!O171="",Fandual!O171&lt;&gt;0)=TRUE),1,0)</f>
        <v>1</v>
      </c>
      <c r="C171" s="2">
        <f>IF(Fandual!B171&lt;&gt;"P",1,0)</f>
        <v>0</v>
      </c>
      <c r="D171" s="2">
        <f t="shared" si="4"/>
        <v>0</v>
      </c>
      <c r="E171" s="2">
        <f>IF(D171=1,Fandual!B171,0)</f>
        <v>0</v>
      </c>
      <c r="F171" s="2">
        <f>IF(D171=1,Fandual!D171,0)</f>
        <v>0</v>
      </c>
      <c r="G171" s="2">
        <f>IF(D171=1,Fandual!F171,0)</f>
        <v>0</v>
      </c>
      <c r="H171" s="2">
        <f>IF(D171=1,Fandual!H171,0)</f>
        <v>0</v>
      </c>
      <c r="I171" s="2">
        <f>IF((Optimizer!$J$8=Fandual!J171),4,0)</f>
        <v>0</v>
      </c>
      <c r="J171" s="2">
        <f>IF((Optimizer!$J$10=Fandual!J171),100,0)</f>
        <v>0</v>
      </c>
      <c r="K171" s="2">
        <f t="shared" si="5"/>
        <v>0</v>
      </c>
      <c r="L171" s="2">
        <f>IF(Fandual!M171="",1,0)</f>
        <v>1</v>
      </c>
    </row>
    <row r="172" spans="1:12" x14ac:dyDescent="0.25">
      <c r="A172" s="2">
        <f>IF((OR(Optimizer!$J$8=Fandual!J172,Optimizer!$J$10=Fandual!J172))=TRUE, 1,0)</f>
        <v>0</v>
      </c>
      <c r="B172" s="2">
        <f>IF((OR(Fandual!O172="",Fandual!O172&lt;&gt;0)=TRUE),1,0)</f>
        <v>1</v>
      </c>
      <c r="C172" s="2">
        <f>IF(Fandual!B172&lt;&gt;"P",1,0)</f>
        <v>0</v>
      </c>
      <c r="D172" s="2">
        <f t="shared" si="4"/>
        <v>0</v>
      </c>
      <c r="E172" s="2">
        <f>IF(D172=1,Fandual!B172,0)</f>
        <v>0</v>
      </c>
      <c r="F172" s="2">
        <f>IF(D172=1,Fandual!D172,0)</f>
        <v>0</v>
      </c>
      <c r="G172" s="2">
        <f>IF(D172=1,Fandual!F172,0)</f>
        <v>0</v>
      </c>
      <c r="H172" s="2">
        <f>IF(D172=1,Fandual!H172,0)</f>
        <v>0</v>
      </c>
      <c r="I172" s="2">
        <f>IF((Optimizer!$J$8=Fandual!J172),4,0)</f>
        <v>0</v>
      </c>
      <c r="J172" s="2">
        <f>IF((Optimizer!$J$10=Fandual!J172),100,0)</f>
        <v>0</v>
      </c>
      <c r="K172" s="2">
        <f t="shared" si="5"/>
        <v>0</v>
      </c>
      <c r="L172" s="2">
        <f>IF(Fandual!M172="",1,0)</f>
        <v>1</v>
      </c>
    </row>
    <row r="173" spans="1:12" x14ac:dyDescent="0.25">
      <c r="A173" s="2">
        <f>IF((OR(Optimizer!$J$8=Fandual!J173,Optimizer!$J$10=Fandual!J173))=TRUE, 1,0)</f>
        <v>0</v>
      </c>
      <c r="B173" s="2">
        <f>IF((OR(Fandual!O173="",Fandual!O173&lt;&gt;0)=TRUE),1,0)</f>
        <v>1</v>
      </c>
      <c r="C173" s="2">
        <f>IF(Fandual!B173&lt;&gt;"P",1,0)</f>
        <v>0</v>
      </c>
      <c r="D173" s="2">
        <f t="shared" si="4"/>
        <v>0</v>
      </c>
      <c r="E173" s="2">
        <f>IF(D173=1,Fandual!B173,0)</f>
        <v>0</v>
      </c>
      <c r="F173" s="2">
        <f>IF(D173=1,Fandual!D173,0)</f>
        <v>0</v>
      </c>
      <c r="G173" s="2">
        <f>IF(D173=1,Fandual!F173,0)</f>
        <v>0</v>
      </c>
      <c r="H173" s="2">
        <f>IF(D173=1,Fandual!H173,0)</f>
        <v>0</v>
      </c>
      <c r="I173" s="2">
        <f>IF((Optimizer!$J$8=Fandual!J173),4,0)</f>
        <v>0</v>
      </c>
      <c r="J173" s="2">
        <f>IF((Optimizer!$J$10=Fandual!J173),100,0)</f>
        <v>0</v>
      </c>
      <c r="K173" s="2">
        <f t="shared" si="5"/>
        <v>0</v>
      </c>
      <c r="L173" s="2">
        <f>IF(Fandual!M173="",1,0)</f>
        <v>1</v>
      </c>
    </row>
    <row r="174" spans="1:12" x14ac:dyDescent="0.25">
      <c r="A174" s="2">
        <f>IF((OR(Optimizer!$J$8=Fandual!J174,Optimizer!$J$10=Fandual!J174))=TRUE, 1,0)</f>
        <v>0</v>
      </c>
      <c r="B174" s="2">
        <f>IF((OR(Fandual!O174="",Fandual!O174&lt;&gt;0)=TRUE),1,0)</f>
        <v>1</v>
      </c>
      <c r="C174" s="2">
        <f>IF(Fandual!B174&lt;&gt;"P",1,0)</f>
        <v>0</v>
      </c>
      <c r="D174" s="2">
        <f t="shared" si="4"/>
        <v>0</v>
      </c>
      <c r="E174" s="2">
        <f>IF(D174=1,Fandual!B174,0)</f>
        <v>0</v>
      </c>
      <c r="F174" s="2">
        <f>IF(D174=1,Fandual!D174,0)</f>
        <v>0</v>
      </c>
      <c r="G174" s="2">
        <f>IF(D174=1,Fandual!F174,0)</f>
        <v>0</v>
      </c>
      <c r="H174" s="2">
        <f>IF(D174=1,Fandual!H174,0)</f>
        <v>0</v>
      </c>
      <c r="I174" s="2">
        <f>IF((Optimizer!$J$8=Fandual!J174),4,0)</f>
        <v>0</v>
      </c>
      <c r="J174" s="2">
        <f>IF((Optimizer!$J$10=Fandual!J174),100,0)</f>
        <v>0</v>
      </c>
      <c r="K174" s="2">
        <f t="shared" si="5"/>
        <v>0</v>
      </c>
      <c r="L174" s="2">
        <f>IF(Fandual!M174="",1,0)</f>
        <v>0</v>
      </c>
    </row>
    <row r="175" spans="1:12" x14ac:dyDescent="0.25">
      <c r="A175" s="2">
        <f>IF((OR(Optimizer!$J$8=Fandual!J175,Optimizer!$J$10=Fandual!J175))=TRUE, 1,0)</f>
        <v>0</v>
      </c>
      <c r="B175" s="2">
        <f>IF((OR(Fandual!O175="",Fandual!O175&lt;&gt;0)=TRUE),1,0)</f>
        <v>1</v>
      </c>
      <c r="C175" s="2">
        <f>IF(Fandual!B175&lt;&gt;"P",1,0)</f>
        <v>0</v>
      </c>
      <c r="D175" s="2">
        <f t="shared" si="4"/>
        <v>0</v>
      </c>
      <c r="E175" s="2">
        <f>IF(D175=1,Fandual!B175,0)</f>
        <v>0</v>
      </c>
      <c r="F175" s="2">
        <f>IF(D175=1,Fandual!D175,0)</f>
        <v>0</v>
      </c>
      <c r="G175" s="2">
        <f>IF(D175=1,Fandual!F175,0)</f>
        <v>0</v>
      </c>
      <c r="H175" s="2">
        <f>IF(D175=1,Fandual!H175,0)</f>
        <v>0</v>
      </c>
      <c r="I175" s="2">
        <f>IF((Optimizer!$J$8=Fandual!J175),4,0)</f>
        <v>0</v>
      </c>
      <c r="J175" s="2">
        <f>IF((Optimizer!$J$10=Fandual!J175),100,0)</f>
        <v>0</v>
      </c>
      <c r="K175" s="2">
        <f t="shared" si="5"/>
        <v>0</v>
      </c>
      <c r="L175" s="2">
        <f>IF(Fandual!M175="",1,0)</f>
        <v>1</v>
      </c>
    </row>
    <row r="176" spans="1:12" x14ac:dyDescent="0.25">
      <c r="A176" s="2">
        <f>IF((OR(Optimizer!$J$8=Fandual!J176,Optimizer!$J$10=Fandual!J176))=TRUE, 1,0)</f>
        <v>0</v>
      </c>
      <c r="B176" s="2">
        <f>IF((OR(Fandual!O176="",Fandual!O176&lt;&gt;0)=TRUE),1,0)</f>
        <v>1</v>
      </c>
      <c r="C176" s="2">
        <f>IF(Fandual!B176&lt;&gt;"P",1,0)</f>
        <v>0</v>
      </c>
      <c r="D176" s="2">
        <f t="shared" si="4"/>
        <v>0</v>
      </c>
      <c r="E176" s="2">
        <f>IF(D176=1,Fandual!B176,0)</f>
        <v>0</v>
      </c>
      <c r="F176" s="2">
        <f>IF(D176=1,Fandual!D176,0)</f>
        <v>0</v>
      </c>
      <c r="G176" s="2">
        <f>IF(D176=1,Fandual!F176,0)</f>
        <v>0</v>
      </c>
      <c r="H176" s="2">
        <f>IF(D176=1,Fandual!H176,0)</f>
        <v>0</v>
      </c>
      <c r="I176" s="2">
        <f>IF((Optimizer!$J$8=Fandual!J176),4,0)</f>
        <v>0</v>
      </c>
      <c r="J176" s="2">
        <f>IF((Optimizer!$J$10=Fandual!J176),100,0)</f>
        <v>0</v>
      </c>
      <c r="K176" s="2">
        <f t="shared" si="5"/>
        <v>0</v>
      </c>
      <c r="L176" s="2">
        <f>IF(Fandual!M176="",1,0)</f>
        <v>1</v>
      </c>
    </row>
    <row r="177" spans="1:12" x14ac:dyDescent="0.25">
      <c r="A177" s="2">
        <f>IF((OR(Optimizer!$J$8=Fandual!J177,Optimizer!$J$10=Fandual!J177))=TRUE, 1,0)</f>
        <v>0</v>
      </c>
      <c r="B177" s="2">
        <f>IF((OR(Fandual!O177="",Fandual!O177&lt;&gt;0)=TRUE),1,0)</f>
        <v>1</v>
      </c>
      <c r="C177" s="2">
        <f>IF(Fandual!B177&lt;&gt;"P",1,0)</f>
        <v>0</v>
      </c>
      <c r="D177" s="2">
        <f t="shared" si="4"/>
        <v>0</v>
      </c>
      <c r="E177" s="2">
        <f>IF(D177=1,Fandual!B177,0)</f>
        <v>0</v>
      </c>
      <c r="F177" s="2">
        <f>IF(D177=1,Fandual!D177,0)</f>
        <v>0</v>
      </c>
      <c r="G177" s="2">
        <f>IF(D177=1,Fandual!F177,0)</f>
        <v>0</v>
      </c>
      <c r="H177" s="2">
        <f>IF(D177=1,Fandual!H177,0)</f>
        <v>0</v>
      </c>
      <c r="I177" s="2">
        <f>IF((Optimizer!$J$8=Fandual!J177),4,0)</f>
        <v>0</v>
      </c>
      <c r="J177" s="2">
        <f>IF((Optimizer!$J$10=Fandual!J177),100,0)</f>
        <v>0</v>
      </c>
      <c r="K177" s="2">
        <f t="shared" si="5"/>
        <v>0</v>
      </c>
      <c r="L177" s="2">
        <f>IF(Fandual!M177="",1,0)</f>
        <v>1</v>
      </c>
    </row>
    <row r="178" spans="1:12" x14ac:dyDescent="0.25">
      <c r="A178" s="2">
        <f>IF((OR(Optimizer!$J$8=Fandual!J178,Optimizer!$J$10=Fandual!J178))=TRUE, 1,0)</f>
        <v>0</v>
      </c>
      <c r="B178" s="2">
        <f>IF((OR(Fandual!O178="",Fandual!O178&lt;&gt;0)=TRUE),1,0)</f>
        <v>1</v>
      </c>
      <c r="C178" s="2">
        <f>IF(Fandual!B178&lt;&gt;"P",1,0)</f>
        <v>0</v>
      </c>
      <c r="D178" s="2">
        <f t="shared" si="4"/>
        <v>0</v>
      </c>
      <c r="E178" s="2">
        <f>IF(D178=1,Fandual!B178,0)</f>
        <v>0</v>
      </c>
      <c r="F178" s="2">
        <f>IF(D178=1,Fandual!D178,0)</f>
        <v>0</v>
      </c>
      <c r="G178" s="2">
        <f>IF(D178=1,Fandual!F178,0)</f>
        <v>0</v>
      </c>
      <c r="H178" s="2">
        <f>IF(D178=1,Fandual!H178,0)</f>
        <v>0</v>
      </c>
      <c r="I178" s="2">
        <f>IF((Optimizer!$J$8=Fandual!J178),4,0)</f>
        <v>0</v>
      </c>
      <c r="J178" s="2">
        <f>IF((Optimizer!$J$10=Fandual!J178),100,0)</f>
        <v>0</v>
      </c>
      <c r="K178" s="2">
        <f t="shared" si="5"/>
        <v>0</v>
      </c>
      <c r="L178" s="2">
        <f>IF(Fandual!M178="",1,0)</f>
        <v>0</v>
      </c>
    </row>
    <row r="179" spans="1:12" x14ac:dyDescent="0.25">
      <c r="A179" s="2">
        <f>IF((OR(Optimizer!$J$8=Fandual!J179,Optimizer!$J$10=Fandual!J179))=TRUE, 1,0)</f>
        <v>0</v>
      </c>
      <c r="B179" s="2">
        <f>IF((OR(Fandual!O179="",Fandual!O179&lt;&gt;0)=TRUE),1,0)</f>
        <v>1</v>
      </c>
      <c r="C179" s="2">
        <f>IF(Fandual!B179&lt;&gt;"P",1,0)</f>
        <v>0</v>
      </c>
      <c r="D179" s="2">
        <f t="shared" si="4"/>
        <v>0</v>
      </c>
      <c r="E179" s="2">
        <f>IF(D179=1,Fandual!B179,0)</f>
        <v>0</v>
      </c>
      <c r="F179" s="2">
        <f>IF(D179=1,Fandual!D179,0)</f>
        <v>0</v>
      </c>
      <c r="G179" s="2">
        <f>IF(D179=1,Fandual!F179,0)</f>
        <v>0</v>
      </c>
      <c r="H179" s="2">
        <f>IF(D179=1,Fandual!H179,0)</f>
        <v>0</v>
      </c>
      <c r="I179" s="2">
        <f>IF((Optimizer!$J$8=Fandual!J179),4,0)</f>
        <v>0</v>
      </c>
      <c r="J179" s="2">
        <f>IF((Optimizer!$J$10=Fandual!J179),100,0)</f>
        <v>0</v>
      </c>
      <c r="K179" s="2">
        <f t="shared" si="5"/>
        <v>0</v>
      </c>
      <c r="L179" s="2">
        <f>IF(Fandual!M179="",1,0)</f>
        <v>1</v>
      </c>
    </row>
    <row r="180" spans="1:12" x14ac:dyDescent="0.25">
      <c r="A180" s="2">
        <f>IF((OR(Optimizer!$J$8=Fandual!J180,Optimizer!$J$10=Fandual!J180))=TRUE, 1,0)</f>
        <v>0</v>
      </c>
      <c r="B180" s="2">
        <f>IF((OR(Fandual!O180="",Fandual!O180&lt;&gt;0)=TRUE),1,0)</f>
        <v>1</v>
      </c>
      <c r="C180" s="2">
        <f>IF(Fandual!B180&lt;&gt;"P",1,0)</f>
        <v>0</v>
      </c>
      <c r="D180" s="2">
        <f t="shared" si="4"/>
        <v>0</v>
      </c>
      <c r="E180" s="2">
        <f>IF(D180=1,Fandual!B180,0)</f>
        <v>0</v>
      </c>
      <c r="F180" s="2">
        <f>IF(D180=1,Fandual!D180,0)</f>
        <v>0</v>
      </c>
      <c r="G180" s="2">
        <f>IF(D180=1,Fandual!F180,0)</f>
        <v>0</v>
      </c>
      <c r="H180" s="2">
        <f>IF(D180=1,Fandual!H180,0)</f>
        <v>0</v>
      </c>
      <c r="I180" s="2">
        <f>IF((Optimizer!$J$8=Fandual!J180),4,0)</f>
        <v>0</v>
      </c>
      <c r="J180" s="2">
        <f>IF((Optimizer!$J$10=Fandual!J180),100,0)</f>
        <v>0</v>
      </c>
      <c r="K180" s="2">
        <f t="shared" si="5"/>
        <v>0</v>
      </c>
      <c r="L180" s="2">
        <f>IF(Fandual!M180="",1,0)</f>
        <v>1</v>
      </c>
    </row>
    <row r="181" spans="1:12" x14ac:dyDescent="0.25">
      <c r="A181" s="2">
        <f>IF((OR(Optimizer!$J$8=Fandual!J181,Optimizer!$J$10=Fandual!J181))=TRUE, 1,0)</f>
        <v>0</v>
      </c>
      <c r="B181" s="2">
        <f>IF((OR(Fandual!O181="",Fandual!O181&lt;&gt;0)=TRUE),1,0)</f>
        <v>1</v>
      </c>
      <c r="C181" s="2">
        <f>IF(Fandual!B181&lt;&gt;"P",1,0)</f>
        <v>0</v>
      </c>
      <c r="D181" s="2">
        <f t="shared" si="4"/>
        <v>0</v>
      </c>
      <c r="E181" s="2">
        <f>IF(D181=1,Fandual!B181,0)</f>
        <v>0</v>
      </c>
      <c r="F181" s="2">
        <f>IF(D181=1,Fandual!D181,0)</f>
        <v>0</v>
      </c>
      <c r="G181" s="2">
        <f>IF(D181=1,Fandual!F181,0)</f>
        <v>0</v>
      </c>
      <c r="H181" s="2">
        <f>IF(D181=1,Fandual!H181,0)</f>
        <v>0</v>
      </c>
      <c r="I181" s="2">
        <f>IF((Optimizer!$J$8=Fandual!J181),4,0)</f>
        <v>0</v>
      </c>
      <c r="J181" s="2">
        <f>IF((Optimizer!$J$10=Fandual!J181),100,0)</f>
        <v>0</v>
      </c>
      <c r="K181" s="2">
        <f t="shared" si="5"/>
        <v>0</v>
      </c>
      <c r="L181" s="2">
        <f>IF(Fandual!M181="",1,0)</f>
        <v>1</v>
      </c>
    </row>
    <row r="182" spans="1:12" x14ac:dyDescent="0.25">
      <c r="A182" s="2">
        <f>IF((OR(Optimizer!$J$8=Fandual!J182,Optimizer!$J$10=Fandual!J182))=TRUE, 1,0)</f>
        <v>0</v>
      </c>
      <c r="B182" s="2">
        <f>IF((OR(Fandual!O182="",Fandual!O182&lt;&gt;0)=TRUE),1,0)</f>
        <v>1</v>
      </c>
      <c r="C182" s="2">
        <f>IF(Fandual!B182&lt;&gt;"P",1,0)</f>
        <v>0</v>
      </c>
      <c r="D182" s="2">
        <f t="shared" si="4"/>
        <v>0</v>
      </c>
      <c r="E182" s="2">
        <f>IF(D182=1,Fandual!B182,0)</f>
        <v>0</v>
      </c>
      <c r="F182" s="2">
        <f>IF(D182=1,Fandual!D182,0)</f>
        <v>0</v>
      </c>
      <c r="G182" s="2">
        <f>IF(D182=1,Fandual!F182,0)</f>
        <v>0</v>
      </c>
      <c r="H182" s="2">
        <f>IF(D182=1,Fandual!H182,0)</f>
        <v>0</v>
      </c>
      <c r="I182" s="2">
        <f>IF((Optimizer!$J$8=Fandual!J182),4,0)</f>
        <v>0</v>
      </c>
      <c r="J182" s="2">
        <f>IF((Optimizer!$J$10=Fandual!J182),100,0)</f>
        <v>0</v>
      </c>
      <c r="K182" s="2">
        <f t="shared" si="5"/>
        <v>0</v>
      </c>
      <c r="L182" s="2">
        <f>IF(Fandual!M182="",1,0)</f>
        <v>1</v>
      </c>
    </row>
    <row r="183" spans="1:12" x14ac:dyDescent="0.25">
      <c r="A183" s="2">
        <f>IF((OR(Optimizer!$J$8=Fandual!J183,Optimizer!$J$10=Fandual!J183))=TRUE, 1,0)</f>
        <v>0</v>
      </c>
      <c r="B183" s="2">
        <f>IF((OR(Fandual!O183="",Fandual!O183&lt;&gt;0)=TRUE),1,0)</f>
        <v>1</v>
      </c>
      <c r="C183" s="2">
        <f>IF(Fandual!B183&lt;&gt;"P",1,0)</f>
        <v>0</v>
      </c>
      <c r="D183" s="2">
        <f t="shared" si="4"/>
        <v>0</v>
      </c>
      <c r="E183" s="2">
        <f>IF(D183=1,Fandual!B183,0)</f>
        <v>0</v>
      </c>
      <c r="F183" s="2">
        <f>IF(D183=1,Fandual!D183,0)</f>
        <v>0</v>
      </c>
      <c r="G183" s="2">
        <f>IF(D183=1,Fandual!F183,0)</f>
        <v>0</v>
      </c>
      <c r="H183" s="2">
        <f>IF(D183=1,Fandual!H183,0)</f>
        <v>0</v>
      </c>
      <c r="I183" s="2">
        <f>IF((Optimizer!$J$8=Fandual!J183),4,0)</f>
        <v>0</v>
      </c>
      <c r="J183" s="2">
        <f>IF((Optimizer!$J$10=Fandual!J183),100,0)</f>
        <v>0</v>
      </c>
      <c r="K183" s="2">
        <f t="shared" si="5"/>
        <v>0</v>
      </c>
      <c r="L183" s="2">
        <f>IF(Fandual!M183="",1,0)</f>
        <v>0</v>
      </c>
    </row>
    <row r="184" spans="1:12" x14ac:dyDescent="0.25">
      <c r="A184" s="2">
        <f>IF((OR(Optimizer!$J$8=Fandual!J184,Optimizer!$J$10=Fandual!J184))=TRUE, 1,0)</f>
        <v>0</v>
      </c>
      <c r="B184" s="2">
        <f>IF((OR(Fandual!O184="",Fandual!O184&lt;&gt;0)=TRUE),1,0)</f>
        <v>1</v>
      </c>
      <c r="C184" s="2">
        <f>IF(Fandual!B184&lt;&gt;"P",1,0)</f>
        <v>0</v>
      </c>
      <c r="D184" s="2">
        <f t="shared" si="4"/>
        <v>0</v>
      </c>
      <c r="E184" s="2">
        <f>IF(D184=1,Fandual!B184,0)</f>
        <v>0</v>
      </c>
      <c r="F184" s="2">
        <f>IF(D184=1,Fandual!D184,0)</f>
        <v>0</v>
      </c>
      <c r="G184" s="2">
        <f>IF(D184=1,Fandual!F184,0)</f>
        <v>0</v>
      </c>
      <c r="H184" s="2">
        <f>IF(D184=1,Fandual!H184,0)</f>
        <v>0</v>
      </c>
      <c r="I184" s="2">
        <f>IF((Optimizer!$J$8=Fandual!J184),4,0)</f>
        <v>0</v>
      </c>
      <c r="J184" s="2">
        <f>IF((Optimizer!$J$10=Fandual!J184),100,0)</f>
        <v>0</v>
      </c>
      <c r="K184" s="2">
        <f t="shared" si="5"/>
        <v>0</v>
      </c>
      <c r="L184" s="2">
        <f>IF(Fandual!M184="",1,0)</f>
        <v>1</v>
      </c>
    </row>
    <row r="185" spans="1:12" x14ac:dyDescent="0.25">
      <c r="A185" s="2">
        <f>IF((OR(Optimizer!$J$8=Fandual!J185,Optimizer!$J$10=Fandual!J185))=TRUE, 1,0)</f>
        <v>0</v>
      </c>
      <c r="B185" s="2">
        <f>IF((OR(Fandual!O185="",Fandual!O185&lt;&gt;0)=TRUE),1,0)</f>
        <v>1</v>
      </c>
      <c r="C185" s="2">
        <f>IF(Fandual!B185&lt;&gt;"P",1,0)</f>
        <v>0</v>
      </c>
      <c r="D185" s="2">
        <f t="shared" si="4"/>
        <v>0</v>
      </c>
      <c r="E185" s="2">
        <f>IF(D185=1,Fandual!B185,0)</f>
        <v>0</v>
      </c>
      <c r="F185" s="2">
        <f>IF(D185=1,Fandual!D185,0)</f>
        <v>0</v>
      </c>
      <c r="G185" s="2">
        <f>IF(D185=1,Fandual!F185,0)</f>
        <v>0</v>
      </c>
      <c r="H185" s="2">
        <f>IF(D185=1,Fandual!H185,0)</f>
        <v>0</v>
      </c>
      <c r="I185" s="2">
        <f>IF((Optimizer!$J$8=Fandual!J185),4,0)</f>
        <v>0</v>
      </c>
      <c r="J185" s="2">
        <f>IF((Optimizer!$J$10=Fandual!J185),100,0)</f>
        <v>0</v>
      </c>
      <c r="K185" s="2">
        <f t="shared" si="5"/>
        <v>0</v>
      </c>
      <c r="L185" s="2">
        <f>IF(Fandual!M185="",1,0)</f>
        <v>1</v>
      </c>
    </row>
    <row r="186" spans="1:12" x14ac:dyDescent="0.25">
      <c r="A186" s="2">
        <f>IF((OR(Optimizer!$J$8=Fandual!J186,Optimizer!$J$10=Fandual!J186))=TRUE, 1,0)</f>
        <v>0</v>
      </c>
      <c r="B186" s="2">
        <f>IF((OR(Fandual!O186="",Fandual!O186&lt;&gt;0)=TRUE),1,0)</f>
        <v>1</v>
      </c>
      <c r="C186" s="2">
        <f>IF(Fandual!B186&lt;&gt;"P",1,0)</f>
        <v>0</v>
      </c>
      <c r="D186" s="2">
        <f t="shared" si="4"/>
        <v>0</v>
      </c>
      <c r="E186" s="2">
        <f>IF(D186=1,Fandual!B186,0)</f>
        <v>0</v>
      </c>
      <c r="F186" s="2">
        <f>IF(D186=1,Fandual!D186,0)</f>
        <v>0</v>
      </c>
      <c r="G186" s="2">
        <f>IF(D186=1,Fandual!F186,0)</f>
        <v>0</v>
      </c>
      <c r="H186" s="2">
        <f>IF(D186=1,Fandual!H186,0)</f>
        <v>0</v>
      </c>
      <c r="I186" s="2">
        <f>IF((Optimizer!$J$8=Fandual!J186),4,0)</f>
        <v>0</v>
      </c>
      <c r="J186" s="2">
        <f>IF((Optimizer!$J$10=Fandual!J186),100,0)</f>
        <v>0</v>
      </c>
      <c r="K186" s="2">
        <f t="shared" si="5"/>
        <v>0</v>
      </c>
      <c r="L186" s="2">
        <f>IF(Fandual!M186="",1,0)</f>
        <v>0</v>
      </c>
    </row>
    <row r="187" spans="1:12" x14ac:dyDescent="0.25">
      <c r="A187" s="2">
        <f>IF((OR(Optimizer!$J$8=Fandual!J187,Optimizer!$J$10=Fandual!J187))=TRUE, 1,0)</f>
        <v>0</v>
      </c>
      <c r="B187" s="2">
        <f>IF((OR(Fandual!O187="",Fandual!O187&lt;&gt;0)=TRUE),1,0)</f>
        <v>1</v>
      </c>
      <c r="C187" s="2">
        <f>IF(Fandual!B187&lt;&gt;"P",1,0)</f>
        <v>0</v>
      </c>
      <c r="D187" s="2">
        <f t="shared" si="4"/>
        <v>0</v>
      </c>
      <c r="E187" s="2">
        <f>IF(D187=1,Fandual!B187,0)</f>
        <v>0</v>
      </c>
      <c r="F187" s="2">
        <f>IF(D187=1,Fandual!D187,0)</f>
        <v>0</v>
      </c>
      <c r="G187" s="2">
        <f>IF(D187=1,Fandual!F187,0)</f>
        <v>0</v>
      </c>
      <c r="H187" s="2">
        <f>IF(D187=1,Fandual!H187,0)</f>
        <v>0</v>
      </c>
      <c r="I187" s="2">
        <f>IF((Optimizer!$J$8=Fandual!J187),4,0)</f>
        <v>0</v>
      </c>
      <c r="J187" s="2">
        <f>IF((Optimizer!$J$10=Fandual!J187),100,0)</f>
        <v>0</v>
      </c>
      <c r="K187" s="2">
        <f t="shared" si="5"/>
        <v>0</v>
      </c>
      <c r="L187" s="2">
        <f>IF(Fandual!M187="",1,0)</f>
        <v>1</v>
      </c>
    </row>
    <row r="188" spans="1:12" x14ac:dyDescent="0.25">
      <c r="A188" s="2">
        <f>IF((OR(Optimizer!$J$8=Fandual!J188,Optimizer!$J$10=Fandual!J188))=TRUE, 1,0)</f>
        <v>0</v>
      </c>
      <c r="B188" s="2">
        <f>IF((OR(Fandual!O188="",Fandual!O188&lt;&gt;0)=TRUE),1,0)</f>
        <v>1</v>
      </c>
      <c r="C188" s="2">
        <f>IF(Fandual!B188&lt;&gt;"P",1,0)</f>
        <v>0</v>
      </c>
      <c r="D188" s="2">
        <f t="shared" si="4"/>
        <v>0</v>
      </c>
      <c r="E188" s="2">
        <f>IF(D188=1,Fandual!B188,0)</f>
        <v>0</v>
      </c>
      <c r="F188" s="2">
        <f>IF(D188=1,Fandual!D188,0)</f>
        <v>0</v>
      </c>
      <c r="G188" s="2">
        <f>IF(D188=1,Fandual!F188,0)</f>
        <v>0</v>
      </c>
      <c r="H188" s="2">
        <f>IF(D188=1,Fandual!H188,0)</f>
        <v>0</v>
      </c>
      <c r="I188" s="2">
        <f>IF((Optimizer!$J$8=Fandual!J188),4,0)</f>
        <v>0</v>
      </c>
      <c r="J188" s="2">
        <f>IF((Optimizer!$J$10=Fandual!J188),100,0)</f>
        <v>0</v>
      </c>
      <c r="K188" s="2">
        <f t="shared" si="5"/>
        <v>0</v>
      </c>
      <c r="L188" s="2">
        <f>IF(Fandual!M188="",1,0)</f>
        <v>0</v>
      </c>
    </row>
    <row r="189" spans="1:12" x14ac:dyDescent="0.25">
      <c r="A189" s="2">
        <f>IF((OR(Optimizer!$J$8=Fandual!J189,Optimizer!$J$10=Fandual!J189))=TRUE, 1,0)</f>
        <v>1</v>
      </c>
      <c r="B189" s="2">
        <f>IF((OR(Fandual!O189="",Fandual!O189&lt;&gt;0)=TRUE),1,0)</f>
        <v>1</v>
      </c>
      <c r="C189" s="2">
        <f>IF(Fandual!B189&lt;&gt;"P",1,0)</f>
        <v>0</v>
      </c>
      <c r="D189" s="2">
        <f t="shared" si="4"/>
        <v>0</v>
      </c>
      <c r="E189" s="2">
        <f>IF(D189=1,Fandual!B189,0)</f>
        <v>0</v>
      </c>
      <c r="F189" s="2">
        <f>IF(D189=1,Fandual!D189,0)</f>
        <v>0</v>
      </c>
      <c r="G189" s="2">
        <f>IF(D189=1,Fandual!F189,0)</f>
        <v>0</v>
      </c>
      <c r="H189" s="2">
        <f>IF(D189=1,Fandual!H189,0)</f>
        <v>0</v>
      </c>
      <c r="I189" s="2">
        <f>IF((Optimizer!$J$8=Fandual!J189),4,0)</f>
        <v>0</v>
      </c>
      <c r="J189" s="2">
        <f>IF((Optimizer!$J$10=Fandual!J189),100,0)</f>
        <v>100</v>
      </c>
      <c r="K189" s="2">
        <f t="shared" si="5"/>
        <v>0</v>
      </c>
      <c r="L189" s="2">
        <f>IF(Fandual!M189="",1,0)</f>
        <v>1</v>
      </c>
    </row>
    <row r="190" spans="1:12" x14ac:dyDescent="0.25">
      <c r="A190" s="2">
        <f>IF((OR(Optimizer!$J$8=Fandual!J190,Optimizer!$J$10=Fandual!J190))=TRUE, 1,0)</f>
        <v>0</v>
      </c>
      <c r="B190" s="2">
        <f>IF((OR(Fandual!O190="",Fandual!O190&lt;&gt;0)=TRUE),1,0)</f>
        <v>1</v>
      </c>
      <c r="C190" s="2">
        <f>IF(Fandual!B190&lt;&gt;"P",1,0)</f>
        <v>0</v>
      </c>
      <c r="D190" s="2">
        <f t="shared" si="4"/>
        <v>0</v>
      </c>
      <c r="E190" s="2">
        <f>IF(D190=1,Fandual!B190,0)</f>
        <v>0</v>
      </c>
      <c r="F190" s="2">
        <f>IF(D190=1,Fandual!D190,0)</f>
        <v>0</v>
      </c>
      <c r="G190" s="2">
        <f>IF(D190=1,Fandual!F190,0)</f>
        <v>0</v>
      </c>
      <c r="H190" s="2">
        <f>IF(D190=1,Fandual!H190,0)</f>
        <v>0</v>
      </c>
      <c r="I190" s="2">
        <f>IF((Optimizer!$J$8=Fandual!J190),4,0)</f>
        <v>0</v>
      </c>
      <c r="J190" s="2">
        <f>IF((Optimizer!$J$10=Fandual!J190),100,0)</f>
        <v>0</v>
      </c>
      <c r="K190" s="2">
        <f t="shared" si="5"/>
        <v>0</v>
      </c>
      <c r="L190" s="2">
        <f>IF(Fandual!M190="",1,0)</f>
        <v>0</v>
      </c>
    </row>
    <row r="191" spans="1:12" x14ac:dyDescent="0.25">
      <c r="A191" s="2">
        <f>IF((OR(Optimizer!$J$8=Fandual!J191,Optimizer!$J$10=Fandual!J191))=TRUE, 1,0)</f>
        <v>0</v>
      </c>
      <c r="B191" s="2">
        <f>IF((OR(Fandual!O191="",Fandual!O191&lt;&gt;0)=TRUE),1,0)</f>
        <v>1</v>
      </c>
      <c r="C191" s="2">
        <f>IF(Fandual!B191&lt;&gt;"P",1,0)</f>
        <v>0</v>
      </c>
      <c r="D191" s="2">
        <f t="shared" si="4"/>
        <v>0</v>
      </c>
      <c r="E191" s="2">
        <f>IF(D191=1,Fandual!B191,0)</f>
        <v>0</v>
      </c>
      <c r="F191" s="2">
        <f>IF(D191=1,Fandual!D191,0)</f>
        <v>0</v>
      </c>
      <c r="G191" s="2">
        <f>IF(D191=1,Fandual!F191,0)</f>
        <v>0</v>
      </c>
      <c r="H191" s="2">
        <f>IF(D191=1,Fandual!H191,0)</f>
        <v>0</v>
      </c>
      <c r="I191" s="2">
        <f>IF((Optimizer!$J$8=Fandual!J191),4,0)</f>
        <v>0</v>
      </c>
      <c r="J191" s="2">
        <f>IF((Optimizer!$J$10=Fandual!J191),100,0)</f>
        <v>0</v>
      </c>
      <c r="K191" s="2">
        <f t="shared" si="5"/>
        <v>0</v>
      </c>
      <c r="L191" s="2">
        <f>IF(Fandual!M191="",1,0)</f>
        <v>1</v>
      </c>
    </row>
    <row r="192" spans="1:12" x14ac:dyDescent="0.25">
      <c r="A192" s="2">
        <f>IF((OR(Optimizer!$J$8=Fandual!J192,Optimizer!$J$10=Fandual!J192))=TRUE, 1,0)</f>
        <v>0</v>
      </c>
      <c r="B192" s="2">
        <f>IF((OR(Fandual!O192="",Fandual!O192&lt;&gt;0)=TRUE),1,0)</f>
        <v>1</v>
      </c>
      <c r="C192" s="2">
        <f>IF(Fandual!B192&lt;&gt;"P",1,0)</f>
        <v>0</v>
      </c>
      <c r="D192" s="2">
        <f t="shared" si="4"/>
        <v>0</v>
      </c>
      <c r="E192" s="2">
        <f>IF(D192=1,Fandual!B192,0)</f>
        <v>0</v>
      </c>
      <c r="F192" s="2">
        <f>IF(D192=1,Fandual!D192,0)</f>
        <v>0</v>
      </c>
      <c r="G192" s="2">
        <f>IF(D192=1,Fandual!F192,0)</f>
        <v>0</v>
      </c>
      <c r="H192" s="2">
        <f>IF(D192=1,Fandual!H192,0)</f>
        <v>0</v>
      </c>
      <c r="I192" s="2">
        <f>IF((Optimizer!$J$8=Fandual!J192),4,0)</f>
        <v>0</v>
      </c>
      <c r="J192" s="2">
        <f>IF((Optimizer!$J$10=Fandual!J192),100,0)</f>
        <v>0</v>
      </c>
      <c r="K192" s="2">
        <f t="shared" si="5"/>
        <v>0</v>
      </c>
      <c r="L192" s="2">
        <f>IF(Fandual!M192="",1,0)</f>
        <v>1</v>
      </c>
    </row>
    <row r="193" spans="1:12" x14ac:dyDescent="0.25">
      <c r="A193" s="2">
        <f>IF((OR(Optimizer!$J$8=Fandual!J193,Optimizer!$J$10=Fandual!J193))=TRUE, 1,0)</f>
        <v>0</v>
      </c>
      <c r="B193" s="2">
        <f>IF((OR(Fandual!O193="",Fandual!O193&lt;&gt;0)=TRUE),1,0)</f>
        <v>1</v>
      </c>
      <c r="C193" s="2">
        <f>IF(Fandual!B193&lt;&gt;"P",1,0)</f>
        <v>0</v>
      </c>
      <c r="D193" s="2">
        <f t="shared" si="4"/>
        <v>0</v>
      </c>
      <c r="E193" s="2">
        <f>IF(D193=1,Fandual!B193,0)</f>
        <v>0</v>
      </c>
      <c r="F193" s="2">
        <f>IF(D193=1,Fandual!D193,0)</f>
        <v>0</v>
      </c>
      <c r="G193" s="2">
        <f>IF(D193=1,Fandual!F193,0)</f>
        <v>0</v>
      </c>
      <c r="H193" s="2">
        <f>IF(D193=1,Fandual!H193,0)</f>
        <v>0</v>
      </c>
      <c r="I193" s="2">
        <f>IF((Optimizer!$J$8=Fandual!J193),4,0)</f>
        <v>0</v>
      </c>
      <c r="J193" s="2">
        <f>IF((Optimizer!$J$10=Fandual!J193),100,0)</f>
        <v>0</v>
      </c>
      <c r="K193" s="2">
        <f t="shared" si="5"/>
        <v>0</v>
      </c>
      <c r="L193" s="2">
        <f>IF(Fandual!M193="",1,0)</f>
        <v>1</v>
      </c>
    </row>
    <row r="194" spans="1:12" x14ac:dyDescent="0.25">
      <c r="A194" s="2">
        <f>IF((OR(Optimizer!$J$8=Fandual!J194,Optimizer!$J$10=Fandual!J194))=TRUE, 1,0)</f>
        <v>0</v>
      </c>
      <c r="B194" s="2">
        <f>IF((OR(Fandual!O194="",Fandual!O194&lt;&gt;0)=TRUE),1,0)</f>
        <v>1</v>
      </c>
      <c r="C194" s="2">
        <f>IF(Fandual!B194&lt;&gt;"P",1,0)</f>
        <v>0</v>
      </c>
      <c r="D194" s="2">
        <f t="shared" ref="D194:D257" si="6">A194*B194*C194*L194</f>
        <v>0</v>
      </c>
      <c r="E194" s="2">
        <f>IF(D194=1,Fandual!B194,0)</f>
        <v>0</v>
      </c>
      <c r="F194" s="2">
        <f>IF(D194=1,Fandual!D194,0)</f>
        <v>0</v>
      </c>
      <c r="G194" s="2">
        <f>IF(D194=1,Fandual!F194,0)</f>
        <v>0</v>
      </c>
      <c r="H194" s="2">
        <f>IF(D194=1,Fandual!H194,0)</f>
        <v>0</v>
      </c>
      <c r="I194" s="2">
        <f>IF((Optimizer!$J$8=Fandual!J194),4,0)</f>
        <v>0</v>
      </c>
      <c r="J194" s="2">
        <f>IF((Optimizer!$J$10=Fandual!J194),100,0)</f>
        <v>0</v>
      </c>
      <c r="K194" s="2">
        <f t="shared" si="5"/>
        <v>0</v>
      </c>
      <c r="L194" s="2">
        <f>IF(Fandual!M194="",1,0)</f>
        <v>1</v>
      </c>
    </row>
    <row r="195" spans="1:12" x14ac:dyDescent="0.25">
      <c r="A195" s="2">
        <f>IF((OR(Optimizer!$J$8=Fandual!J195,Optimizer!$J$10=Fandual!J195))=TRUE, 1,0)</f>
        <v>0</v>
      </c>
      <c r="B195" s="2">
        <f>IF((OR(Fandual!O195="",Fandual!O195&lt;&gt;0)=TRUE),1,0)</f>
        <v>1</v>
      </c>
      <c r="C195" s="2">
        <f>IF(Fandual!B195&lt;&gt;"P",1,0)</f>
        <v>0</v>
      </c>
      <c r="D195" s="2">
        <f t="shared" si="6"/>
        <v>0</v>
      </c>
      <c r="E195" s="2">
        <f>IF(D195=1,Fandual!B195,0)</f>
        <v>0</v>
      </c>
      <c r="F195" s="2">
        <f>IF(D195=1,Fandual!D195,0)</f>
        <v>0</v>
      </c>
      <c r="G195" s="2">
        <f>IF(D195=1,Fandual!F195,0)</f>
        <v>0</v>
      </c>
      <c r="H195" s="2">
        <f>IF(D195=1,Fandual!H195,0)</f>
        <v>0</v>
      </c>
      <c r="I195" s="2">
        <f>IF((Optimizer!$J$8=Fandual!J195),4,0)</f>
        <v>0</v>
      </c>
      <c r="J195" s="2">
        <f>IF((Optimizer!$J$10=Fandual!J195),100,0)</f>
        <v>0</v>
      </c>
      <c r="K195" s="2">
        <f t="shared" ref="K195:K258" si="7">(I195+J195)*D195</f>
        <v>0</v>
      </c>
      <c r="L195" s="2">
        <f>IF(Fandual!M195="",1,0)</f>
        <v>1</v>
      </c>
    </row>
    <row r="196" spans="1:12" x14ac:dyDescent="0.25">
      <c r="A196" s="2">
        <f>IF((OR(Optimizer!$J$8=Fandual!J196,Optimizer!$J$10=Fandual!J196))=TRUE, 1,0)</f>
        <v>0</v>
      </c>
      <c r="B196" s="2">
        <f>IF((OR(Fandual!O196="",Fandual!O196&lt;&gt;0)=TRUE),1,0)</f>
        <v>1</v>
      </c>
      <c r="C196" s="2">
        <f>IF(Fandual!B196&lt;&gt;"P",1,0)</f>
        <v>0</v>
      </c>
      <c r="D196" s="2">
        <f t="shared" si="6"/>
        <v>0</v>
      </c>
      <c r="E196" s="2">
        <f>IF(D196=1,Fandual!B196,0)</f>
        <v>0</v>
      </c>
      <c r="F196" s="2">
        <f>IF(D196=1,Fandual!D196,0)</f>
        <v>0</v>
      </c>
      <c r="G196" s="2">
        <f>IF(D196=1,Fandual!F196,0)</f>
        <v>0</v>
      </c>
      <c r="H196" s="2">
        <f>IF(D196=1,Fandual!H196,0)</f>
        <v>0</v>
      </c>
      <c r="I196" s="2">
        <f>IF((Optimizer!$J$8=Fandual!J196),4,0)</f>
        <v>0</v>
      </c>
      <c r="J196" s="2">
        <f>IF((Optimizer!$J$10=Fandual!J196),100,0)</f>
        <v>0</v>
      </c>
      <c r="K196" s="2">
        <f t="shared" si="7"/>
        <v>0</v>
      </c>
      <c r="L196" s="2">
        <f>IF(Fandual!M196="",1,0)</f>
        <v>0</v>
      </c>
    </row>
    <row r="197" spans="1:12" x14ac:dyDescent="0.25">
      <c r="A197" s="2">
        <f>IF((OR(Optimizer!$J$8=Fandual!J197,Optimizer!$J$10=Fandual!J197))=TRUE, 1,0)</f>
        <v>1</v>
      </c>
      <c r="B197" s="2">
        <f>IF((OR(Fandual!O197="",Fandual!O197&lt;&gt;0)=TRUE),1,0)</f>
        <v>1</v>
      </c>
      <c r="C197" s="2">
        <f>IF(Fandual!B197&lt;&gt;"P",1,0)</f>
        <v>0</v>
      </c>
      <c r="D197" s="2">
        <f t="shared" si="6"/>
        <v>0</v>
      </c>
      <c r="E197" s="2">
        <f>IF(D197=1,Fandual!B197,0)</f>
        <v>0</v>
      </c>
      <c r="F197" s="2">
        <f>IF(D197=1,Fandual!D197,0)</f>
        <v>0</v>
      </c>
      <c r="G197" s="2">
        <f>IF(D197=1,Fandual!F197,0)</f>
        <v>0</v>
      </c>
      <c r="H197" s="2">
        <f>IF(D197=1,Fandual!H197,0)</f>
        <v>0</v>
      </c>
      <c r="I197" s="2">
        <f>IF((Optimizer!$J$8=Fandual!J197),4,0)</f>
        <v>0</v>
      </c>
      <c r="J197" s="2">
        <f>IF((Optimizer!$J$10=Fandual!J197),100,0)</f>
        <v>100</v>
      </c>
      <c r="K197" s="2">
        <f t="shared" si="7"/>
        <v>0</v>
      </c>
      <c r="L197" s="2">
        <f>IF(Fandual!M197="",1,0)</f>
        <v>1</v>
      </c>
    </row>
    <row r="198" spans="1:12" x14ac:dyDescent="0.25">
      <c r="A198" s="2">
        <f>IF((OR(Optimizer!$J$8=Fandual!J198,Optimizer!$J$10=Fandual!J198))=TRUE, 1,0)</f>
        <v>0</v>
      </c>
      <c r="B198" s="2">
        <f>IF((OR(Fandual!O198="",Fandual!O198&lt;&gt;0)=TRUE),1,0)</f>
        <v>1</v>
      </c>
      <c r="C198" s="2">
        <f>IF(Fandual!B198&lt;&gt;"P",1,0)</f>
        <v>0</v>
      </c>
      <c r="D198" s="2">
        <f t="shared" si="6"/>
        <v>0</v>
      </c>
      <c r="E198" s="2">
        <f>IF(D198=1,Fandual!B198,0)</f>
        <v>0</v>
      </c>
      <c r="F198" s="2">
        <f>IF(D198=1,Fandual!D198,0)</f>
        <v>0</v>
      </c>
      <c r="G198" s="2">
        <f>IF(D198=1,Fandual!F198,0)</f>
        <v>0</v>
      </c>
      <c r="H198" s="2">
        <f>IF(D198=1,Fandual!H198,0)</f>
        <v>0</v>
      </c>
      <c r="I198" s="2">
        <f>IF((Optimizer!$J$8=Fandual!J198),4,0)</f>
        <v>0</v>
      </c>
      <c r="J198" s="2">
        <f>IF((Optimizer!$J$10=Fandual!J198),100,0)</f>
        <v>0</v>
      </c>
      <c r="K198" s="2">
        <f t="shared" si="7"/>
        <v>0</v>
      </c>
      <c r="L198" s="2">
        <f>IF(Fandual!M198="",1,0)</f>
        <v>1</v>
      </c>
    </row>
    <row r="199" spans="1:12" x14ac:dyDescent="0.25">
      <c r="A199" s="2">
        <f>IF((OR(Optimizer!$J$8=Fandual!J199,Optimizer!$J$10=Fandual!J199))=TRUE, 1,0)</f>
        <v>0</v>
      </c>
      <c r="B199" s="2">
        <f>IF((OR(Fandual!O199="",Fandual!O199&lt;&gt;0)=TRUE),1,0)</f>
        <v>1</v>
      </c>
      <c r="C199" s="2">
        <f>IF(Fandual!B199&lt;&gt;"P",1,0)</f>
        <v>0</v>
      </c>
      <c r="D199" s="2">
        <f t="shared" si="6"/>
        <v>0</v>
      </c>
      <c r="E199" s="2">
        <f>IF(D199=1,Fandual!B199,0)</f>
        <v>0</v>
      </c>
      <c r="F199" s="2">
        <f>IF(D199=1,Fandual!D199,0)</f>
        <v>0</v>
      </c>
      <c r="G199" s="2">
        <f>IF(D199=1,Fandual!F199,0)</f>
        <v>0</v>
      </c>
      <c r="H199" s="2">
        <f>IF(D199=1,Fandual!H199,0)</f>
        <v>0</v>
      </c>
      <c r="I199" s="2">
        <f>IF((Optimizer!$J$8=Fandual!J199),4,0)</f>
        <v>0</v>
      </c>
      <c r="J199" s="2">
        <f>IF((Optimizer!$J$10=Fandual!J199),100,0)</f>
        <v>0</v>
      </c>
      <c r="K199" s="2">
        <f t="shared" si="7"/>
        <v>0</v>
      </c>
      <c r="L199" s="2">
        <f>IF(Fandual!M199="",1,0)</f>
        <v>0</v>
      </c>
    </row>
    <row r="200" spans="1:12" x14ac:dyDescent="0.25">
      <c r="A200" s="2">
        <f>IF((OR(Optimizer!$J$8=Fandual!J200,Optimizer!$J$10=Fandual!J200))=TRUE, 1,0)</f>
        <v>0</v>
      </c>
      <c r="B200" s="2">
        <f>IF((OR(Fandual!O200="",Fandual!O200&lt;&gt;0)=TRUE),1,0)</f>
        <v>1</v>
      </c>
      <c r="C200" s="2">
        <f>IF(Fandual!B200&lt;&gt;"P",1,0)</f>
        <v>0</v>
      </c>
      <c r="D200" s="2">
        <f t="shared" si="6"/>
        <v>0</v>
      </c>
      <c r="E200" s="2">
        <f>IF(D200=1,Fandual!B200,0)</f>
        <v>0</v>
      </c>
      <c r="F200" s="2">
        <f>IF(D200=1,Fandual!D200,0)</f>
        <v>0</v>
      </c>
      <c r="G200" s="2">
        <f>IF(D200=1,Fandual!F200,0)</f>
        <v>0</v>
      </c>
      <c r="H200" s="2">
        <f>IF(D200=1,Fandual!H200,0)</f>
        <v>0</v>
      </c>
      <c r="I200" s="2">
        <f>IF((Optimizer!$J$8=Fandual!J200),4,0)</f>
        <v>0</v>
      </c>
      <c r="J200" s="2">
        <f>IF((Optimizer!$J$10=Fandual!J200),100,0)</f>
        <v>0</v>
      </c>
      <c r="K200" s="2">
        <f t="shared" si="7"/>
        <v>0</v>
      </c>
      <c r="L200" s="2">
        <f>IF(Fandual!M200="",1,0)</f>
        <v>1</v>
      </c>
    </row>
    <row r="201" spans="1:12" x14ac:dyDescent="0.25">
      <c r="A201" s="2">
        <f>IF((OR(Optimizer!$J$8=Fandual!J201,Optimizer!$J$10=Fandual!J201))=TRUE, 1,0)</f>
        <v>0</v>
      </c>
      <c r="B201" s="2">
        <f>IF((OR(Fandual!O201="",Fandual!O201&lt;&gt;0)=TRUE),1,0)</f>
        <v>1</v>
      </c>
      <c r="C201" s="2">
        <f>IF(Fandual!B201&lt;&gt;"P",1,0)</f>
        <v>0</v>
      </c>
      <c r="D201" s="2">
        <f t="shared" si="6"/>
        <v>0</v>
      </c>
      <c r="E201" s="2">
        <f>IF(D201=1,Fandual!B201,0)</f>
        <v>0</v>
      </c>
      <c r="F201" s="2">
        <f>IF(D201=1,Fandual!D201,0)</f>
        <v>0</v>
      </c>
      <c r="G201" s="2">
        <f>IF(D201=1,Fandual!F201,0)</f>
        <v>0</v>
      </c>
      <c r="H201" s="2">
        <f>IF(D201=1,Fandual!H201,0)</f>
        <v>0</v>
      </c>
      <c r="I201" s="2">
        <f>IF((Optimizer!$J$8=Fandual!J201),4,0)</f>
        <v>0</v>
      </c>
      <c r="J201" s="2">
        <f>IF((Optimizer!$J$10=Fandual!J201),100,0)</f>
        <v>0</v>
      </c>
      <c r="K201" s="2">
        <f t="shared" si="7"/>
        <v>0</v>
      </c>
      <c r="L201" s="2">
        <f>IF(Fandual!M201="",1,0)</f>
        <v>0</v>
      </c>
    </row>
    <row r="202" spans="1:12" x14ac:dyDescent="0.25">
      <c r="A202" s="2">
        <f>IF((OR(Optimizer!$J$8=Fandual!J202,Optimizer!$J$10=Fandual!J202))=TRUE, 1,0)</f>
        <v>0</v>
      </c>
      <c r="B202" s="2">
        <f>IF((OR(Fandual!O202="",Fandual!O202&lt;&gt;0)=TRUE),1,0)</f>
        <v>1</v>
      </c>
      <c r="C202" s="2">
        <f>IF(Fandual!B202&lt;&gt;"P",1,0)</f>
        <v>0</v>
      </c>
      <c r="D202" s="2">
        <f t="shared" si="6"/>
        <v>0</v>
      </c>
      <c r="E202" s="2">
        <f>IF(D202=1,Fandual!B202,0)</f>
        <v>0</v>
      </c>
      <c r="F202" s="2">
        <f>IF(D202=1,Fandual!D202,0)</f>
        <v>0</v>
      </c>
      <c r="G202" s="2">
        <f>IF(D202=1,Fandual!F202,0)</f>
        <v>0</v>
      </c>
      <c r="H202" s="2">
        <f>IF(D202=1,Fandual!H202,0)</f>
        <v>0</v>
      </c>
      <c r="I202" s="2">
        <f>IF((Optimizer!$J$8=Fandual!J202),4,0)</f>
        <v>0</v>
      </c>
      <c r="J202" s="2">
        <f>IF((Optimizer!$J$10=Fandual!J202),100,0)</f>
        <v>0</v>
      </c>
      <c r="K202" s="2">
        <f t="shared" si="7"/>
        <v>0</v>
      </c>
      <c r="L202" s="2">
        <f>IF(Fandual!M202="",1,0)</f>
        <v>0</v>
      </c>
    </row>
    <row r="203" spans="1:12" x14ac:dyDescent="0.25">
      <c r="A203" s="2">
        <f>IF((OR(Optimizer!$J$8=Fandual!J203,Optimizer!$J$10=Fandual!J203))=TRUE, 1,0)</f>
        <v>0</v>
      </c>
      <c r="B203" s="2">
        <f>IF((OR(Fandual!O203="",Fandual!O203&lt;&gt;0)=TRUE),1,0)</f>
        <v>1</v>
      </c>
      <c r="C203" s="2">
        <f>IF(Fandual!B203&lt;&gt;"P",1,0)</f>
        <v>0</v>
      </c>
      <c r="D203" s="2">
        <f t="shared" si="6"/>
        <v>0</v>
      </c>
      <c r="E203" s="2">
        <f>IF(D203=1,Fandual!B203,0)</f>
        <v>0</v>
      </c>
      <c r="F203" s="2">
        <f>IF(D203=1,Fandual!D203,0)</f>
        <v>0</v>
      </c>
      <c r="G203" s="2">
        <f>IF(D203=1,Fandual!F203,0)</f>
        <v>0</v>
      </c>
      <c r="H203" s="2">
        <f>IF(D203=1,Fandual!H203,0)</f>
        <v>0</v>
      </c>
      <c r="I203" s="2">
        <f>IF((Optimizer!$J$8=Fandual!J203),4,0)</f>
        <v>0</v>
      </c>
      <c r="J203" s="2">
        <f>IF((Optimizer!$J$10=Fandual!J203),100,0)</f>
        <v>0</v>
      </c>
      <c r="K203" s="2">
        <f t="shared" si="7"/>
        <v>0</v>
      </c>
      <c r="L203" s="2">
        <f>IF(Fandual!M203="",1,0)</f>
        <v>1</v>
      </c>
    </row>
    <row r="204" spans="1:12" x14ac:dyDescent="0.25">
      <c r="A204" s="2">
        <f>IF((OR(Optimizer!$J$8=Fandual!J204,Optimizer!$J$10=Fandual!J204))=TRUE, 1,0)</f>
        <v>1</v>
      </c>
      <c r="B204" s="2">
        <f>IF((OR(Fandual!O204="",Fandual!O204&lt;&gt;0)=TRUE),1,0)</f>
        <v>1</v>
      </c>
      <c r="C204" s="2">
        <f>IF(Fandual!B204&lt;&gt;"P",1,0)</f>
        <v>0</v>
      </c>
      <c r="D204" s="2">
        <f t="shared" si="6"/>
        <v>0</v>
      </c>
      <c r="E204" s="2">
        <f>IF(D204=1,Fandual!B204,0)</f>
        <v>0</v>
      </c>
      <c r="F204" s="2">
        <f>IF(D204=1,Fandual!D204,0)</f>
        <v>0</v>
      </c>
      <c r="G204" s="2">
        <f>IF(D204=1,Fandual!F204,0)</f>
        <v>0</v>
      </c>
      <c r="H204" s="2">
        <f>IF(D204=1,Fandual!H204,0)</f>
        <v>0</v>
      </c>
      <c r="I204" s="2">
        <f>IF((Optimizer!$J$8=Fandual!J204),4,0)</f>
        <v>4</v>
      </c>
      <c r="J204" s="2">
        <f>IF((Optimizer!$J$10=Fandual!J204),100,0)</f>
        <v>0</v>
      </c>
      <c r="K204" s="2">
        <f t="shared" si="7"/>
        <v>0</v>
      </c>
      <c r="L204" s="2">
        <f>IF(Fandual!M204="",1,0)</f>
        <v>1</v>
      </c>
    </row>
    <row r="205" spans="1:12" x14ac:dyDescent="0.25">
      <c r="A205" s="2">
        <f>IF((OR(Optimizer!$J$8=Fandual!J205,Optimizer!$J$10=Fandual!J205))=TRUE, 1,0)</f>
        <v>0</v>
      </c>
      <c r="B205" s="2">
        <f>IF((OR(Fandual!O205="",Fandual!O205&lt;&gt;0)=TRUE),1,0)</f>
        <v>1</v>
      </c>
      <c r="C205" s="2">
        <f>IF(Fandual!B205&lt;&gt;"P",1,0)</f>
        <v>0</v>
      </c>
      <c r="D205" s="2">
        <f t="shared" si="6"/>
        <v>0</v>
      </c>
      <c r="E205" s="2">
        <f>IF(D205=1,Fandual!B205,0)</f>
        <v>0</v>
      </c>
      <c r="F205" s="2">
        <f>IF(D205=1,Fandual!D205,0)</f>
        <v>0</v>
      </c>
      <c r="G205" s="2">
        <f>IF(D205=1,Fandual!F205,0)</f>
        <v>0</v>
      </c>
      <c r="H205" s="2">
        <f>IF(D205=1,Fandual!H205,0)</f>
        <v>0</v>
      </c>
      <c r="I205" s="2">
        <f>IF((Optimizer!$J$8=Fandual!J205),4,0)</f>
        <v>0</v>
      </c>
      <c r="J205" s="2">
        <f>IF((Optimizer!$J$10=Fandual!J205),100,0)</f>
        <v>0</v>
      </c>
      <c r="K205" s="2">
        <f t="shared" si="7"/>
        <v>0</v>
      </c>
      <c r="L205" s="2">
        <f>IF(Fandual!M205="",1,0)</f>
        <v>1</v>
      </c>
    </row>
    <row r="206" spans="1:12" x14ac:dyDescent="0.25">
      <c r="A206" s="2">
        <f>IF((OR(Optimizer!$J$8=Fandual!J206,Optimizer!$J$10=Fandual!J206))=TRUE, 1,0)</f>
        <v>0</v>
      </c>
      <c r="B206" s="2">
        <f>IF((OR(Fandual!O206="",Fandual!O206&lt;&gt;0)=TRUE),1,0)</f>
        <v>1</v>
      </c>
      <c r="C206" s="2">
        <f>IF(Fandual!B206&lt;&gt;"P",1,0)</f>
        <v>0</v>
      </c>
      <c r="D206" s="2">
        <f t="shared" si="6"/>
        <v>0</v>
      </c>
      <c r="E206" s="2">
        <f>IF(D206=1,Fandual!B206,0)</f>
        <v>0</v>
      </c>
      <c r="F206" s="2">
        <f>IF(D206=1,Fandual!D206,0)</f>
        <v>0</v>
      </c>
      <c r="G206" s="2">
        <f>IF(D206=1,Fandual!F206,0)</f>
        <v>0</v>
      </c>
      <c r="H206" s="2">
        <f>IF(D206=1,Fandual!H206,0)</f>
        <v>0</v>
      </c>
      <c r="I206" s="2">
        <f>IF((Optimizer!$J$8=Fandual!J206),4,0)</f>
        <v>0</v>
      </c>
      <c r="J206" s="2">
        <f>IF((Optimizer!$J$10=Fandual!J206),100,0)</f>
        <v>0</v>
      </c>
      <c r="K206" s="2">
        <f t="shared" si="7"/>
        <v>0</v>
      </c>
      <c r="L206" s="2">
        <f>IF(Fandual!M206="",1,0)</f>
        <v>1</v>
      </c>
    </row>
    <row r="207" spans="1:12" x14ac:dyDescent="0.25">
      <c r="A207" s="2">
        <f>IF((OR(Optimizer!$J$8=Fandual!J207,Optimizer!$J$10=Fandual!J207))=TRUE, 1,0)</f>
        <v>0</v>
      </c>
      <c r="B207" s="2">
        <f>IF((OR(Fandual!O207="",Fandual!O207&lt;&gt;0)=TRUE),1,0)</f>
        <v>1</v>
      </c>
      <c r="C207" s="2">
        <f>IF(Fandual!B207&lt;&gt;"P",1,0)</f>
        <v>0</v>
      </c>
      <c r="D207" s="2">
        <f t="shared" si="6"/>
        <v>0</v>
      </c>
      <c r="E207" s="2">
        <f>IF(D207=1,Fandual!B207,0)</f>
        <v>0</v>
      </c>
      <c r="F207" s="2">
        <f>IF(D207=1,Fandual!D207,0)</f>
        <v>0</v>
      </c>
      <c r="G207" s="2">
        <f>IF(D207=1,Fandual!F207,0)</f>
        <v>0</v>
      </c>
      <c r="H207" s="2">
        <f>IF(D207=1,Fandual!H207,0)</f>
        <v>0</v>
      </c>
      <c r="I207" s="2">
        <f>IF((Optimizer!$J$8=Fandual!J207),4,0)</f>
        <v>0</v>
      </c>
      <c r="J207" s="2">
        <f>IF((Optimizer!$J$10=Fandual!J207),100,0)</f>
        <v>0</v>
      </c>
      <c r="K207" s="2">
        <f t="shared" si="7"/>
        <v>0</v>
      </c>
      <c r="L207" s="2">
        <f>IF(Fandual!M207="",1,0)</f>
        <v>1</v>
      </c>
    </row>
    <row r="208" spans="1:12" x14ac:dyDescent="0.25">
      <c r="A208" s="2">
        <f>IF((OR(Optimizer!$J$8=Fandual!J208,Optimizer!$J$10=Fandual!J208))=TRUE, 1,0)</f>
        <v>0</v>
      </c>
      <c r="B208" s="2">
        <f>IF((OR(Fandual!O208="",Fandual!O208&lt;&gt;0)=TRUE),1,0)</f>
        <v>1</v>
      </c>
      <c r="C208" s="2">
        <f>IF(Fandual!B208&lt;&gt;"P",1,0)</f>
        <v>0</v>
      </c>
      <c r="D208" s="2">
        <f t="shared" si="6"/>
        <v>0</v>
      </c>
      <c r="E208" s="2">
        <f>IF(D208=1,Fandual!B208,0)</f>
        <v>0</v>
      </c>
      <c r="F208" s="2">
        <f>IF(D208=1,Fandual!D208,0)</f>
        <v>0</v>
      </c>
      <c r="G208" s="2">
        <f>IF(D208=1,Fandual!F208,0)</f>
        <v>0</v>
      </c>
      <c r="H208" s="2">
        <f>IF(D208=1,Fandual!H208,0)</f>
        <v>0</v>
      </c>
      <c r="I208" s="2">
        <f>IF((Optimizer!$J$8=Fandual!J208),4,0)</f>
        <v>0</v>
      </c>
      <c r="J208" s="2">
        <f>IF((Optimizer!$J$10=Fandual!J208),100,0)</f>
        <v>0</v>
      </c>
      <c r="K208" s="2">
        <f t="shared" si="7"/>
        <v>0</v>
      </c>
      <c r="L208" s="2">
        <f>IF(Fandual!M208="",1,0)</f>
        <v>0</v>
      </c>
    </row>
    <row r="209" spans="1:12" x14ac:dyDescent="0.25">
      <c r="A209" s="2">
        <f>IF((OR(Optimizer!$J$8=Fandual!J209,Optimizer!$J$10=Fandual!J209))=TRUE, 1,0)</f>
        <v>0</v>
      </c>
      <c r="B209" s="2">
        <f>IF((OR(Fandual!O209="",Fandual!O209&lt;&gt;0)=TRUE),1,0)</f>
        <v>1</v>
      </c>
      <c r="C209" s="2">
        <f>IF(Fandual!B209&lt;&gt;"P",1,0)</f>
        <v>0</v>
      </c>
      <c r="D209" s="2">
        <f t="shared" si="6"/>
        <v>0</v>
      </c>
      <c r="E209" s="2">
        <f>IF(D209=1,Fandual!B209,0)</f>
        <v>0</v>
      </c>
      <c r="F209" s="2">
        <f>IF(D209=1,Fandual!D209,0)</f>
        <v>0</v>
      </c>
      <c r="G209" s="2">
        <f>IF(D209=1,Fandual!F209,0)</f>
        <v>0</v>
      </c>
      <c r="H209" s="2">
        <f>IF(D209=1,Fandual!H209,0)</f>
        <v>0</v>
      </c>
      <c r="I209" s="2">
        <f>IF((Optimizer!$J$8=Fandual!J209),4,0)</f>
        <v>0</v>
      </c>
      <c r="J209" s="2">
        <f>IF((Optimizer!$J$10=Fandual!J209),100,0)</f>
        <v>0</v>
      </c>
      <c r="K209" s="2">
        <f t="shared" si="7"/>
        <v>0</v>
      </c>
      <c r="L209" s="2">
        <f>IF(Fandual!M209="",1,0)</f>
        <v>1</v>
      </c>
    </row>
    <row r="210" spans="1:12" x14ac:dyDescent="0.25">
      <c r="A210" s="2">
        <f>IF((OR(Optimizer!$J$8=Fandual!J210,Optimizer!$J$10=Fandual!J210))=TRUE, 1,0)</f>
        <v>0</v>
      </c>
      <c r="B210" s="2">
        <f>IF((OR(Fandual!O210="",Fandual!O210&lt;&gt;0)=TRUE),1,0)</f>
        <v>1</v>
      </c>
      <c r="C210" s="2">
        <f>IF(Fandual!B210&lt;&gt;"P",1,0)</f>
        <v>0</v>
      </c>
      <c r="D210" s="2">
        <f t="shared" si="6"/>
        <v>0</v>
      </c>
      <c r="E210" s="2">
        <f>IF(D210=1,Fandual!B210,0)</f>
        <v>0</v>
      </c>
      <c r="F210" s="2">
        <f>IF(D210=1,Fandual!D210,0)</f>
        <v>0</v>
      </c>
      <c r="G210" s="2">
        <f>IF(D210=1,Fandual!F210,0)</f>
        <v>0</v>
      </c>
      <c r="H210" s="2">
        <f>IF(D210=1,Fandual!H210,0)</f>
        <v>0</v>
      </c>
      <c r="I210" s="2">
        <f>IF((Optimizer!$J$8=Fandual!J210),4,0)</f>
        <v>0</v>
      </c>
      <c r="J210" s="2">
        <f>IF((Optimizer!$J$10=Fandual!J210),100,0)</f>
        <v>0</v>
      </c>
      <c r="K210" s="2">
        <f t="shared" si="7"/>
        <v>0</v>
      </c>
      <c r="L210" s="2">
        <f>IF(Fandual!M210="",1,0)</f>
        <v>1</v>
      </c>
    </row>
    <row r="211" spans="1:12" x14ac:dyDescent="0.25">
      <c r="A211" s="2">
        <f>IF((OR(Optimizer!$J$8=Fandual!J211,Optimizer!$J$10=Fandual!J211))=TRUE, 1,0)</f>
        <v>0</v>
      </c>
      <c r="B211" s="2">
        <f>IF((OR(Fandual!O211="",Fandual!O211&lt;&gt;0)=TRUE),1,0)</f>
        <v>1</v>
      </c>
      <c r="C211" s="2">
        <f>IF(Fandual!B211&lt;&gt;"P",1,0)</f>
        <v>0</v>
      </c>
      <c r="D211" s="2">
        <f t="shared" si="6"/>
        <v>0</v>
      </c>
      <c r="E211" s="2">
        <f>IF(D211=1,Fandual!B211,0)</f>
        <v>0</v>
      </c>
      <c r="F211" s="2">
        <f>IF(D211=1,Fandual!D211,0)</f>
        <v>0</v>
      </c>
      <c r="G211" s="2">
        <f>IF(D211=1,Fandual!F211,0)</f>
        <v>0</v>
      </c>
      <c r="H211" s="2">
        <f>IF(D211=1,Fandual!H211,0)</f>
        <v>0</v>
      </c>
      <c r="I211" s="2">
        <f>IF((Optimizer!$J$8=Fandual!J211),4,0)</f>
        <v>0</v>
      </c>
      <c r="J211" s="2">
        <f>IF((Optimizer!$J$10=Fandual!J211),100,0)</f>
        <v>0</v>
      </c>
      <c r="K211" s="2">
        <f t="shared" si="7"/>
        <v>0</v>
      </c>
      <c r="L211" s="2">
        <f>IF(Fandual!M211="",1,0)</f>
        <v>1</v>
      </c>
    </row>
    <row r="212" spans="1:12" x14ac:dyDescent="0.25">
      <c r="A212" s="2">
        <f>IF((OR(Optimizer!$J$8=Fandual!J212,Optimizer!$J$10=Fandual!J212))=TRUE, 1,0)</f>
        <v>0</v>
      </c>
      <c r="B212" s="2">
        <f>IF((OR(Fandual!O212="",Fandual!O212&lt;&gt;0)=TRUE),1,0)</f>
        <v>1</v>
      </c>
      <c r="C212" s="2">
        <f>IF(Fandual!B212&lt;&gt;"P",1,0)</f>
        <v>0</v>
      </c>
      <c r="D212" s="2">
        <f t="shared" si="6"/>
        <v>0</v>
      </c>
      <c r="E212" s="2">
        <f>IF(D212=1,Fandual!B212,0)</f>
        <v>0</v>
      </c>
      <c r="F212" s="2">
        <f>IF(D212=1,Fandual!D212,0)</f>
        <v>0</v>
      </c>
      <c r="G212" s="2">
        <f>IF(D212=1,Fandual!F212,0)</f>
        <v>0</v>
      </c>
      <c r="H212" s="2">
        <f>IF(D212=1,Fandual!H212,0)</f>
        <v>0</v>
      </c>
      <c r="I212" s="2">
        <f>IF((Optimizer!$J$8=Fandual!J212),4,0)</f>
        <v>0</v>
      </c>
      <c r="J212" s="2">
        <f>IF((Optimizer!$J$10=Fandual!J212),100,0)</f>
        <v>0</v>
      </c>
      <c r="K212" s="2">
        <f t="shared" si="7"/>
        <v>0</v>
      </c>
      <c r="L212" s="2">
        <f>IF(Fandual!M212="",1,0)</f>
        <v>1</v>
      </c>
    </row>
    <row r="213" spans="1:12" x14ac:dyDescent="0.25">
      <c r="A213" s="2">
        <f>IF((OR(Optimizer!$J$8=Fandual!J213,Optimizer!$J$10=Fandual!J213))=TRUE, 1,0)</f>
        <v>0</v>
      </c>
      <c r="B213" s="2">
        <f>IF((OR(Fandual!O213="",Fandual!O213&lt;&gt;0)=TRUE),1,0)</f>
        <v>1</v>
      </c>
      <c r="C213" s="2">
        <f>IF(Fandual!B213&lt;&gt;"P",1,0)</f>
        <v>0</v>
      </c>
      <c r="D213" s="2">
        <f t="shared" si="6"/>
        <v>0</v>
      </c>
      <c r="E213" s="2">
        <f>IF(D213=1,Fandual!B213,0)</f>
        <v>0</v>
      </c>
      <c r="F213" s="2">
        <f>IF(D213=1,Fandual!D213,0)</f>
        <v>0</v>
      </c>
      <c r="G213" s="2">
        <f>IF(D213=1,Fandual!F213,0)</f>
        <v>0</v>
      </c>
      <c r="H213" s="2">
        <f>IF(D213=1,Fandual!H213,0)</f>
        <v>0</v>
      </c>
      <c r="I213" s="2">
        <f>IF((Optimizer!$J$8=Fandual!J213),4,0)</f>
        <v>0</v>
      </c>
      <c r="J213" s="2">
        <f>IF((Optimizer!$J$10=Fandual!J213),100,0)</f>
        <v>0</v>
      </c>
      <c r="K213" s="2">
        <f t="shared" si="7"/>
        <v>0</v>
      </c>
      <c r="L213" s="2">
        <f>IF(Fandual!M213="",1,0)</f>
        <v>1</v>
      </c>
    </row>
    <row r="214" spans="1:12" x14ac:dyDescent="0.25">
      <c r="A214" s="2">
        <f>IF((OR(Optimizer!$J$8=Fandual!J214,Optimizer!$J$10=Fandual!J214))=TRUE, 1,0)</f>
        <v>0</v>
      </c>
      <c r="B214" s="2">
        <f>IF((OR(Fandual!O214="",Fandual!O214&lt;&gt;0)=TRUE),1,0)</f>
        <v>1</v>
      </c>
      <c r="C214" s="2">
        <f>IF(Fandual!B214&lt;&gt;"P",1,0)</f>
        <v>0</v>
      </c>
      <c r="D214" s="2">
        <f t="shared" si="6"/>
        <v>0</v>
      </c>
      <c r="E214" s="2">
        <f>IF(D214=1,Fandual!B214,0)</f>
        <v>0</v>
      </c>
      <c r="F214" s="2">
        <f>IF(D214=1,Fandual!D214,0)</f>
        <v>0</v>
      </c>
      <c r="G214" s="2">
        <f>IF(D214=1,Fandual!F214,0)</f>
        <v>0</v>
      </c>
      <c r="H214" s="2">
        <f>IF(D214=1,Fandual!H214,0)</f>
        <v>0</v>
      </c>
      <c r="I214" s="2">
        <f>IF((Optimizer!$J$8=Fandual!J214),4,0)</f>
        <v>0</v>
      </c>
      <c r="J214" s="2">
        <f>IF((Optimizer!$J$10=Fandual!J214),100,0)</f>
        <v>0</v>
      </c>
      <c r="K214" s="2">
        <f t="shared" si="7"/>
        <v>0</v>
      </c>
      <c r="L214" s="2">
        <f>IF(Fandual!M214="",1,0)</f>
        <v>0</v>
      </c>
    </row>
    <row r="215" spans="1:12" x14ac:dyDescent="0.25">
      <c r="A215" s="2">
        <f>IF((OR(Optimizer!$J$8=Fandual!J215,Optimizer!$J$10=Fandual!J215))=TRUE, 1,0)</f>
        <v>0</v>
      </c>
      <c r="B215" s="2">
        <f>IF((OR(Fandual!O215="",Fandual!O215&lt;&gt;0)=TRUE),1,0)</f>
        <v>1</v>
      </c>
      <c r="C215" s="2">
        <f>IF(Fandual!B215&lt;&gt;"P",1,0)</f>
        <v>0</v>
      </c>
      <c r="D215" s="2">
        <f t="shared" si="6"/>
        <v>0</v>
      </c>
      <c r="E215" s="2">
        <f>IF(D215=1,Fandual!B215,0)</f>
        <v>0</v>
      </c>
      <c r="F215" s="2">
        <f>IF(D215=1,Fandual!D215,0)</f>
        <v>0</v>
      </c>
      <c r="G215" s="2">
        <f>IF(D215=1,Fandual!F215,0)</f>
        <v>0</v>
      </c>
      <c r="H215" s="2">
        <f>IF(D215=1,Fandual!H215,0)</f>
        <v>0</v>
      </c>
      <c r="I215" s="2">
        <f>IF((Optimizer!$J$8=Fandual!J215),4,0)</f>
        <v>0</v>
      </c>
      <c r="J215" s="2">
        <f>IF((Optimizer!$J$10=Fandual!J215),100,0)</f>
        <v>0</v>
      </c>
      <c r="K215" s="2">
        <f t="shared" si="7"/>
        <v>0</v>
      </c>
      <c r="L215" s="2">
        <f>IF(Fandual!M215="",1,0)</f>
        <v>1</v>
      </c>
    </row>
    <row r="216" spans="1:12" x14ac:dyDescent="0.25">
      <c r="A216" s="2">
        <f>IF((OR(Optimizer!$J$8=Fandual!J216,Optimizer!$J$10=Fandual!J216))=TRUE, 1,0)</f>
        <v>0</v>
      </c>
      <c r="B216" s="2">
        <f>IF((OR(Fandual!O216="",Fandual!O216&lt;&gt;0)=TRUE),1,0)</f>
        <v>1</v>
      </c>
      <c r="C216" s="2">
        <f>IF(Fandual!B216&lt;&gt;"P",1,0)</f>
        <v>0</v>
      </c>
      <c r="D216" s="2">
        <f t="shared" si="6"/>
        <v>0</v>
      </c>
      <c r="E216" s="2">
        <f>IF(D216=1,Fandual!B216,0)</f>
        <v>0</v>
      </c>
      <c r="F216" s="2">
        <f>IF(D216=1,Fandual!D216,0)</f>
        <v>0</v>
      </c>
      <c r="G216" s="2">
        <f>IF(D216=1,Fandual!F216,0)</f>
        <v>0</v>
      </c>
      <c r="H216" s="2">
        <f>IF(D216=1,Fandual!H216,0)</f>
        <v>0</v>
      </c>
      <c r="I216" s="2">
        <f>IF((Optimizer!$J$8=Fandual!J216),4,0)</f>
        <v>0</v>
      </c>
      <c r="J216" s="2">
        <f>IF((Optimizer!$J$10=Fandual!J216),100,0)</f>
        <v>0</v>
      </c>
      <c r="K216" s="2">
        <f t="shared" si="7"/>
        <v>0</v>
      </c>
      <c r="L216" s="2">
        <f>IF(Fandual!M216="",1,0)</f>
        <v>1</v>
      </c>
    </row>
    <row r="217" spans="1:12" x14ac:dyDescent="0.25">
      <c r="A217" s="2">
        <f>IF((OR(Optimizer!$J$8=Fandual!J217,Optimizer!$J$10=Fandual!J217))=TRUE, 1,0)</f>
        <v>0</v>
      </c>
      <c r="B217" s="2">
        <f>IF((OR(Fandual!O217="",Fandual!O217&lt;&gt;0)=TRUE),1,0)</f>
        <v>1</v>
      </c>
      <c r="C217" s="2">
        <f>IF(Fandual!B217&lt;&gt;"P",1,0)</f>
        <v>0</v>
      </c>
      <c r="D217" s="2">
        <f t="shared" si="6"/>
        <v>0</v>
      </c>
      <c r="E217" s="2">
        <f>IF(D217=1,Fandual!B217,0)</f>
        <v>0</v>
      </c>
      <c r="F217" s="2">
        <f>IF(D217=1,Fandual!D217,0)</f>
        <v>0</v>
      </c>
      <c r="G217" s="2">
        <f>IF(D217=1,Fandual!F217,0)</f>
        <v>0</v>
      </c>
      <c r="H217" s="2">
        <f>IF(D217=1,Fandual!H217,0)</f>
        <v>0</v>
      </c>
      <c r="I217" s="2">
        <f>IF((Optimizer!$J$8=Fandual!J217),4,0)</f>
        <v>0</v>
      </c>
      <c r="J217" s="2">
        <f>IF((Optimizer!$J$10=Fandual!J217),100,0)</f>
        <v>0</v>
      </c>
      <c r="K217" s="2">
        <f t="shared" si="7"/>
        <v>0</v>
      </c>
      <c r="L217" s="2">
        <f>IF(Fandual!M217="",1,0)</f>
        <v>1</v>
      </c>
    </row>
    <row r="218" spans="1:12" x14ac:dyDescent="0.25">
      <c r="A218" s="2">
        <f>IF((OR(Optimizer!$J$8=Fandual!J218,Optimizer!$J$10=Fandual!J218))=TRUE, 1,0)</f>
        <v>0</v>
      </c>
      <c r="B218" s="2">
        <f>IF((OR(Fandual!O218="",Fandual!O218&lt;&gt;0)=TRUE),1,0)</f>
        <v>1</v>
      </c>
      <c r="C218" s="2">
        <f>IF(Fandual!B218&lt;&gt;"P",1,0)</f>
        <v>0</v>
      </c>
      <c r="D218" s="2">
        <f t="shared" si="6"/>
        <v>0</v>
      </c>
      <c r="E218" s="2">
        <f>IF(D218=1,Fandual!B218,0)</f>
        <v>0</v>
      </c>
      <c r="F218" s="2">
        <f>IF(D218=1,Fandual!D218,0)</f>
        <v>0</v>
      </c>
      <c r="G218" s="2">
        <f>IF(D218=1,Fandual!F218,0)</f>
        <v>0</v>
      </c>
      <c r="H218" s="2">
        <f>IF(D218=1,Fandual!H218,0)</f>
        <v>0</v>
      </c>
      <c r="I218" s="2">
        <f>IF((Optimizer!$J$8=Fandual!J218),4,0)</f>
        <v>0</v>
      </c>
      <c r="J218" s="2">
        <f>IF((Optimizer!$J$10=Fandual!J218),100,0)</f>
        <v>0</v>
      </c>
      <c r="K218" s="2">
        <f t="shared" si="7"/>
        <v>0</v>
      </c>
      <c r="L218" s="2">
        <f>IF(Fandual!M218="",1,0)</f>
        <v>1</v>
      </c>
    </row>
    <row r="219" spans="1:12" x14ac:dyDescent="0.25">
      <c r="A219" s="2">
        <f>IF((OR(Optimizer!$J$8=Fandual!J219,Optimizer!$J$10=Fandual!J219))=TRUE, 1,0)</f>
        <v>1</v>
      </c>
      <c r="B219" s="2">
        <f>IF((OR(Fandual!O219="",Fandual!O219&lt;&gt;0)=TRUE),1,0)</f>
        <v>1</v>
      </c>
      <c r="C219" s="2">
        <f>IF(Fandual!B219&lt;&gt;"P",1,0)</f>
        <v>0</v>
      </c>
      <c r="D219" s="2">
        <f t="shared" si="6"/>
        <v>0</v>
      </c>
      <c r="E219" s="2">
        <f>IF(D219=1,Fandual!B219,0)</f>
        <v>0</v>
      </c>
      <c r="F219" s="2">
        <f>IF(D219=1,Fandual!D219,0)</f>
        <v>0</v>
      </c>
      <c r="G219" s="2">
        <f>IF(D219=1,Fandual!F219,0)</f>
        <v>0</v>
      </c>
      <c r="H219" s="2">
        <f>IF(D219=1,Fandual!H219,0)</f>
        <v>0</v>
      </c>
      <c r="I219" s="2">
        <f>IF((Optimizer!$J$8=Fandual!J219),4,0)</f>
        <v>0</v>
      </c>
      <c r="J219" s="2">
        <f>IF((Optimizer!$J$10=Fandual!J219),100,0)</f>
        <v>100</v>
      </c>
      <c r="K219" s="2">
        <f t="shared" si="7"/>
        <v>0</v>
      </c>
      <c r="L219" s="2">
        <f>IF(Fandual!M219="",1,0)</f>
        <v>1</v>
      </c>
    </row>
    <row r="220" spans="1:12" x14ac:dyDescent="0.25">
      <c r="A220" s="2">
        <f>IF((OR(Optimizer!$J$8=Fandual!J220,Optimizer!$J$10=Fandual!J220))=TRUE, 1,0)</f>
        <v>0</v>
      </c>
      <c r="B220" s="2">
        <f>IF((OR(Fandual!O220="",Fandual!O220&lt;&gt;0)=TRUE),1,0)</f>
        <v>1</v>
      </c>
      <c r="C220" s="2">
        <f>IF(Fandual!B220&lt;&gt;"P",1,0)</f>
        <v>0</v>
      </c>
      <c r="D220" s="2">
        <f t="shared" si="6"/>
        <v>0</v>
      </c>
      <c r="E220" s="2">
        <f>IF(D220=1,Fandual!B220,0)</f>
        <v>0</v>
      </c>
      <c r="F220" s="2">
        <f>IF(D220=1,Fandual!D220,0)</f>
        <v>0</v>
      </c>
      <c r="G220" s="2">
        <f>IF(D220=1,Fandual!F220,0)</f>
        <v>0</v>
      </c>
      <c r="H220" s="2">
        <f>IF(D220=1,Fandual!H220,0)</f>
        <v>0</v>
      </c>
      <c r="I220" s="2">
        <f>IF((Optimizer!$J$8=Fandual!J220),4,0)</f>
        <v>0</v>
      </c>
      <c r="J220" s="2">
        <f>IF((Optimizer!$J$10=Fandual!J220),100,0)</f>
        <v>0</v>
      </c>
      <c r="K220" s="2">
        <f t="shared" si="7"/>
        <v>0</v>
      </c>
      <c r="L220" s="2">
        <f>IF(Fandual!M220="",1,0)</f>
        <v>0</v>
      </c>
    </row>
    <row r="221" spans="1:12" x14ac:dyDescent="0.25">
      <c r="A221" s="2">
        <f>IF((OR(Optimizer!$J$8=Fandual!J221,Optimizer!$J$10=Fandual!J221))=TRUE, 1,0)</f>
        <v>0</v>
      </c>
      <c r="B221" s="2">
        <f>IF((OR(Fandual!O221="",Fandual!O221&lt;&gt;0)=TRUE),1,0)</f>
        <v>1</v>
      </c>
      <c r="C221" s="2">
        <f>IF(Fandual!B221&lt;&gt;"P",1,0)</f>
        <v>0</v>
      </c>
      <c r="D221" s="2">
        <f t="shared" si="6"/>
        <v>0</v>
      </c>
      <c r="E221" s="2">
        <f>IF(D221=1,Fandual!B221,0)</f>
        <v>0</v>
      </c>
      <c r="F221" s="2">
        <f>IF(D221=1,Fandual!D221,0)</f>
        <v>0</v>
      </c>
      <c r="G221" s="2">
        <f>IF(D221=1,Fandual!F221,0)</f>
        <v>0</v>
      </c>
      <c r="H221" s="2">
        <f>IF(D221=1,Fandual!H221,0)</f>
        <v>0</v>
      </c>
      <c r="I221" s="2">
        <f>IF((Optimizer!$J$8=Fandual!J221),4,0)</f>
        <v>0</v>
      </c>
      <c r="J221" s="2">
        <f>IF((Optimizer!$J$10=Fandual!J221),100,0)</f>
        <v>0</v>
      </c>
      <c r="K221" s="2">
        <f t="shared" si="7"/>
        <v>0</v>
      </c>
      <c r="L221" s="2">
        <f>IF(Fandual!M221="",1,0)</f>
        <v>0</v>
      </c>
    </row>
    <row r="222" spans="1:12" x14ac:dyDescent="0.25">
      <c r="A222" s="2">
        <f>IF((OR(Optimizer!$J$8=Fandual!J222,Optimizer!$J$10=Fandual!J222))=TRUE, 1,0)</f>
        <v>0</v>
      </c>
      <c r="B222" s="2">
        <f>IF((OR(Fandual!O222="",Fandual!O222&lt;&gt;0)=TRUE),1,0)</f>
        <v>1</v>
      </c>
      <c r="C222" s="2">
        <f>IF(Fandual!B222&lt;&gt;"P",1,0)</f>
        <v>0</v>
      </c>
      <c r="D222" s="2">
        <f t="shared" si="6"/>
        <v>0</v>
      </c>
      <c r="E222" s="2">
        <f>IF(D222=1,Fandual!B222,0)</f>
        <v>0</v>
      </c>
      <c r="F222" s="2">
        <f>IF(D222=1,Fandual!D222,0)</f>
        <v>0</v>
      </c>
      <c r="G222" s="2">
        <f>IF(D222=1,Fandual!F222,0)</f>
        <v>0</v>
      </c>
      <c r="H222" s="2">
        <f>IF(D222=1,Fandual!H222,0)</f>
        <v>0</v>
      </c>
      <c r="I222" s="2">
        <f>IF((Optimizer!$J$8=Fandual!J222),4,0)</f>
        <v>0</v>
      </c>
      <c r="J222" s="2">
        <f>IF((Optimizer!$J$10=Fandual!J222),100,0)</f>
        <v>0</v>
      </c>
      <c r="K222" s="2">
        <f t="shared" si="7"/>
        <v>0</v>
      </c>
      <c r="L222" s="2">
        <f>IF(Fandual!M222="",1,0)</f>
        <v>1</v>
      </c>
    </row>
    <row r="223" spans="1:12" x14ac:dyDescent="0.25">
      <c r="A223" s="2">
        <f>IF((OR(Optimizer!$J$8=Fandual!J223,Optimizer!$J$10=Fandual!J223))=TRUE, 1,0)</f>
        <v>0</v>
      </c>
      <c r="B223" s="2">
        <f>IF((OR(Fandual!O223="",Fandual!O223&lt;&gt;0)=TRUE),1,0)</f>
        <v>1</v>
      </c>
      <c r="C223" s="2">
        <f>IF(Fandual!B223&lt;&gt;"P",1,0)</f>
        <v>0</v>
      </c>
      <c r="D223" s="2">
        <f t="shared" si="6"/>
        <v>0</v>
      </c>
      <c r="E223" s="2">
        <f>IF(D223=1,Fandual!B223,0)</f>
        <v>0</v>
      </c>
      <c r="F223" s="2">
        <f>IF(D223=1,Fandual!D223,0)</f>
        <v>0</v>
      </c>
      <c r="G223" s="2">
        <f>IF(D223=1,Fandual!F223,0)</f>
        <v>0</v>
      </c>
      <c r="H223" s="2">
        <f>IF(D223=1,Fandual!H223,0)</f>
        <v>0</v>
      </c>
      <c r="I223" s="2">
        <f>IF((Optimizer!$J$8=Fandual!J223),4,0)</f>
        <v>0</v>
      </c>
      <c r="J223" s="2">
        <f>IF((Optimizer!$J$10=Fandual!J223),100,0)</f>
        <v>0</v>
      </c>
      <c r="K223" s="2">
        <f t="shared" si="7"/>
        <v>0</v>
      </c>
      <c r="L223" s="2">
        <f>IF(Fandual!M223="",1,0)</f>
        <v>1</v>
      </c>
    </row>
    <row r="224" spans="1:12" x14ac:dyDescent="0.25">
      <c r="A224" s="2">
        <f>IF((OR(Optimizer!$J$8=Fandual!J224,Optimizer!$J$10=Fandual!J224))=TRUE, 1,0)</f>
        <v>0</v>
      </c>
      <c r="B224" s="2">
        <f>IF((OR(Fandual!O224="",Fandual!O224&lt;&gt;0)=TRUE),1,0)</f>
        <v>1</v>
      </c>
      <c r="C224" s="2">
        <f>IF(Fandual!B224&lt;&gt;"P",1,0)</f>
        <v>0</v>
      </c>
      <c r="D224" s="2">
        <f t="shared" si="6"/>
        <v>0</v>
      </c>
      <c r="E224" s="2">
        <f>IF(D224=1,Fandual!B224,0)</f>
        <v>0</v>
      </c>
      <c r="F224" s="2">
        <f>IF(D224=1,Fandual!D224,0)</f>
        <v>0</v>
      </c>
      <c r="G224" s="2">
        <f>IF(D224=1,Fandual!F224,0)</f>
        <v>0</v>
      </c>
      <c r="H224" s="2">
        <f>IF(D224=1,Fandual!H224,0)</f>
        <v>0</v>
      </c>
      <c r="I224" s="2">
        <f>IF((Optimizer!$J$8=Fandual!J224),4,0)</f>
        <v>0</v>
      </c>
      <c r="J224" s="2">
        <f>IF((Optimizer!$J$10=Fandual!J224),100,0)</f>
        <v>0</v>
      </c>
      <c r="K224" s="2">
        <f t="shared" si="7"/>
        <v>0</v>
      </c>
      <c r="L224" s="2">
        <f>IF(Fandual!M224="",1,0)</f>
        <v>1</v>
      </c>
    </row>
    <row r="225" spans="1:12" x14ac:dyDescent="0.25">
      <c r="A225" s="2">
        <f>IF((OR(Optimizer!$J$8=Fandual!J225,Optimizer!$J$10=Fandual!J225))=TRUE, 1,0)</f>
        <v>1</v>
      </c>
      <c r="B225" s="2">
        <f>IF((OR(Fandual!O225="",Fandual!O225&lt;&gt;0)=TRUE),1,0)</f>
        <v>1</v>
      </c>
      <c r="C225" s="2">
        <f>IF(Fandual!B225&lt;&gt;"P",1,0)</f>
        <v>0</v>
      </c>
      <c r="D225" s="2">
        <f t="shared" si="6"/>
        <v>0</v>
      </c>
      <c r="E225" s="2">
        <f>IF(D225=1,Fandual!B225,0)</f>
        <v>0</v>
      </c>
      <c r="F225" s="2">
        <f>IF(D225=1,Fandual!D225,0)</f>
        <v>0</v>
      </c>
      <c r="G225" s="2">
        <f>IF(D225=1,Fandual!F225,0)</f>
        <v>0</v>
      </c>
      <c r="H225" s="2">
        <f>IF(D225=1,Fandual!H225,0)</f>
        <v>0</v>
      </c>
      <c r="I225" s="2">
        <f>IF((Optimizer!$J$8=Fandual!J225),4,0)</f>
        <v>0</v>
      </c>
      <c r="J225" s="2">
        <f>IF((Optimizer!$J$10=Fandual!J225),100,0)</f>
        <v>100</v>
      </c>
      <c r="K225" s="2">
        <f t="shared" si="7"/>
        <v>0</v>
      </c>
      <c r="L225" s="2">
        <f>IF(Fandual!M225="",1,0)</f>
        <v>1</v>
      </c>
    </row>
    <row r="226" spans="1:12" x14ac:dyDescent="0.25">
      <c r="A226" s="2">
        <f>IF((OR(Optimizer!$J$8=Fandual!J226,Optimizer!$J$10=Fandual!J226))=TRUE, 1,0)</f>
        <v>0</v>
      </c>
      <c r="B226" s="2">
        <f>IF((OR(Fandual!O226="",Fandual!O226&lt;&gt;0)=TRUE),1,0)</f>
        <v>1</v>
      </c>
      <c r="C226" s="2">
        <f>IF(Fandual!B226&lt;&gt;"P",1,0)</f>
        <v>0</v>
      </c>
      <c r="D226" s="2">
        <f t="shared" si="6"/>
        <v>0</v>
      </c>
      <c r="E226" s="2">
        <f>IF(D226=1,Fandual!B226,0)</f>
        <v>0</v>
      </c>
      <c r="F226" s="2">
        <f>IF(D226=1,Fandual!D226,0)</f>
        <v>0</v>
      </c>
      <c r="G226" s="2">
        <f>IF(D226=1,Fandual!F226,0)</f>
        <v>0</v>
      </c>
      <c r="H226" s="2">
        <f>IF(D226=1,Fandual!H226,0)</f>
        <v>0</v>
      </c>
      <c r="I226" s="2">
        <f>IF((Optimizer!$J$8=Fandual!J226),4,0)</f>
        <v>0</v>
      </c>
      <c r="J226" s="2">
        <f>IF((Optimizer!$J$10=Fandual!J226),100,0)</f>
        <v>0</v>
      </c>
      <c r="K226" s="2">
        <f t="shared" si="7"/>
        <v>0</v>
      </c>
      <c r="L226" s="2">
        <f>IF(Fandual!M226="",1,0)</f>
        <v>1</v>
      </c>
    </row>
    <row r="227" spans="1:12" x14ac:dyDescent="0.25">
      <c r="A227" s="2">
        <f>IF((OR(Optimizer!$J$8=Fandual!J227,Optimizer!$J$10=Fandual!J227))=TRUE, 1,0)</f>
        <v>0</v>
      </c>
      <c r="B227" s="2">
        <f>IF((OR(Fandual!O227="",Fandual!O227&lt;&gt;0)=TRUE),1,0)</f>
        <v>1</v>
      </c>
      <c r="C227" s="2">
        <f>IF(Fandual!B227&lt;&gt;"P",1,0)</f>
        <v>0</v>
      </c>
      <c r="D227" s="2">
        <f t="shared" si="6"/>
        <v>0</v>
      </c>
      <c r="E227" s="2">
        <f>IF(D227=1,Fandual!B227,0)</f>
        <v>0</v>
      </c>
      <c r="F227" s="2">
        <f>IF(D227=1,Fandual!D227,0)</f>
        <v>0</v>
      </c>
      <c r="G227" s="2">
        <f>IF(D227=1,Fandual!F227,0)</f>
        <v>0</v>
      </c>
      <c r="H227" s="2">
        <f>IF(D227=1,Fandual!H227,0)</f>
        <v>0</v>
      </c>
      <c r="I227" s="2">
        <f>IF((Optimizer!$J$8=Fandual!J227),4,0)</f>
        <v>0</v>
      </c>
      <c r="J227" s="2">
        <f>IF((Optimizer!$J$10=Fandual!J227),100,0)</f>
        <v>0</v>
      </c>
      <c r="K227" s="2">
        <f t="shared" si="7"/>
        <v>0</v>
      </c>
      <c r="L227" s="2">
        <f>IF(Fandual!M227="",1,0)</f>
        <v>1</v>
      </c>
    </row>
    <row r="228" spans="1:12" x14ac:dyDescent="0.25">
      <c r="A228" s="2">
        <f>IF((OR(Optimizer!$J$8=Fandual!J228,Optimizer!$J$10=Fandual!J228))=TRUE, 1,0)</f>
        <v>0</v>
      </c>
      <c r="B228" s="2">
        <f>IF((OR(Fandual!O228="",Fandual!O228&lt;&gt;0)=TRUE),1,0)</f>
        <v>1</v>
      </c>
      <c r="C228" s="2">
        <f>IF(Fandual!B228&lt;&gt;"P",1,0)</f>
        <v>0</v>
      </c>
      <c r="D228" s="2">
        <f t="shared" si="6"/>
        <v>0</v>
      </c>
      <c r="E228" s="2">
        <f>IF(D228=1,Fandual!B228,0)</f>
        <v>0</v>
      </c>
      <c r="F228" s="2">
        <f>IF(D228=1,Fandual!D228,0)</f>
        <v>0</v>
      </c>
      <c r="G228" s="2">
        <f>IF(D228=1,Fandual!F228,0)</f>
        <v>0</v>
      </c>
      <c r="H228" s="2">
        <f>IF(D228=1,Fandual!H228,0)</f>
        <v>0</v>
      </c>
      <c r="I228" s="2">
        <f>IF((Optimizer!$J$8=Fandual!J228),4,0)</f>
        <v>0</v>
      </c>
      <c r="J228" s="2">
        <f>IF((Optimizer!$J$10=Fandual!J228),100,0)</f>
        <v>0</v>
      </c>
      <c r="K228" s="2">
        <f t="shared" si="7"/>
        <v>0</v>
      </c>
      <c r="L228" s="2">
        <f>IF(Fandual!M228="",1,0)</f>
        <v>1</v>
      </c>
    </row>
    <row r="229" spans="1:12" x14ac:dyDescent="0.25">
      <c r="A229" s="2">
        <f>IF((OR(Optimizer!$J$8=Fandual!J229,Optimizer!$J$10=Fandual!J229))=TRUE, 1,0)</f>
        <v>0</v>
      </c>
      <c r="B229" s="2">
        <f>IF((OR(Fandual!O229="",Fandual!O229&lt;&gt;0)=TRUE),1,0)</f>
        <v>1</v>
      </c>
      <c r="C229" s="2">
        <f>IF(Fandual!B229&lt;&gt;"P",1,0)</f>
        <v>0</v>
      </c>
      <c r="D229" s="2">
        <f t="shared" si="6"/>
        <v>0</v>
      </c>
      <c r="E229" s="2">
        <f>IF(D229=1,Fandual!B229,0)</f>
        <v>0</v>
      </c>
      <c r="F229" s="2">
        <f>IF(D229=1,Fandual!D229,0)</f>
        <v>0</v>
      </c>
      <c r="G229" s="2">
        <f>IF(D229=1,Fandual!F229,0)</f>
        <v>0</v>
      </c>
      <c r="H229" s="2">
        <f>IF(D229=1,Fandual!H229,0)</f>
        <v>0</v>
      </c>
      <c r="I229" s="2">
        <f>IF((Optimizer!$J$8=Fandual!J229),4,0)</f>
        <v>0</v>
      </c>
      <c r="J229" s="2">
        <f>IF((Optimizer!$J$10=Fandual!J229),100,0)</f>
        <v>0</v>
      </c>
      <c r="K229" s="2">
        <f t="shared" si="7"/>
        <v>0</v>
      </c>
      <c r="L229" s="2">
        <f>IF(Fandual!M229="",1,0)</f>
        <v>1</v>
      </c>
    </row>
    <row r="230" spans="1:12" x14ac:dyDescent="0.25">
      <c r="A230" s="2">
        <f>IF((OR(Optimizer!$J$8=Fandual!J230,Optimizer!$J$10=Fandual!J230))=TRUE, 1,0)</f>
        <v>0</v>
      </c>
      <c r="B230" s="2">
        <f>IF((OR(Fandual!O230="",Fandual!O230&lt;&gt;0)=TRUE),1,0)</f>
        <v>1</v>
      </c>
      <c r="C230" s="2">
        <f>IF(Fandual!B230&lt;&gt;"P",1,0)</f>
        <v>0</v>
      </c>
      <c r="D230" s="2">
        <f t="shared" si="6"/>
        <v>0</v>
      </c>
      <c r="E230" s="2">
        <f>IF(D230=1,Fandual!B230,0)</f>
        <v>0</v>
      </c>
      <c r="F230" s="2">
        <f>IF(D230=1,Fandual!D230,0)</f>
        <v>0</v>
      </c>
      <c r="G230" s="2">
        <f>IF(D230=1,Fandual!F230,0)</f>
        <v>0</v>
      </c>
      <c r="H230" s="2">
        <f>IF(D230=1,Fandual!H230,0)</f>
        <v>0</v>
      </c>
      <c r="I230" s="2">
        <f>IF((Optimizer!$J$8=Fandual!J230),4,0)</f>
        <v>0</v>
      </c>
      <c r="J230" s="2">
        <f>IF((Optimizer!$J$10=Fandual!J230),100,0)</f>
        <v>0</v>
      </c>
      <c r="K230" s="2">
        <f t="shared" si="7"/>
        <v>0</v>
      </c>
      <c r="L230" s="2">
        <f>IF(Fandual!M230="",1,0)</f>
        <v>1</v>
      </c>
    </row>
    <row r="231" spans="1:12" x14ac:dyDescent="0.25">
      <c r="A231" s="2">
        <f>IF((OR(Optimizer!$J$8=Fandual!J231,Optimizer!$J$10=Fandual!J231))=TRUE, 1,0)</f>
        <v>0</v>
      </c>
      <c r="B231" s="2">
        <f>IF((OR(Fandual!O231="",Fandual!O231&lt;&gt;0)=TRUE),1,0)</f>
        <v>1</v>
      </c>
      <c r="C231" s="2">
        <f>IF(Fandual!B231&lt;&gt;"P",1,0)</f>
        <v>0</v>
      </c>
      <c r="D231" s="2">
        <f t="shared" si="6"/>
        <v>0</v>
      </c>
      <c r="E231" s="2">
        <f>IF(D231=1,Fandual!B231,0)</f>
        <v>0</v>
      </c>
      <c r="F231" s="2">
        <f>IF(D231=1,Fandual!D231,0)</f>
        <v>0</v>
      </c>
      <c r="G231" s="2">
        <f>IF(D231=1,Fandual!F231,0)</f>
        <v>0</v>
      </c>
      <c r="H231" s="2">
        <f>IF(D231=1,Fandual!H231,0)</f>
        <v>0</v>
      </c>
      <c r="I231" s="2">
        <f>IF((Optimizer!$J$8=Fandual!J231),4,0)</f>
        <v>0</v>
      </c>
      <c r="J231" s="2">
        <f>IF((Optimizer!$J$10=Fandual!J231),100,0)</f>
        <v>0</v>
      </c>
      <c r="K231" s="2">
        <f t="shared" si="7"/>
        <v>0</v>
      </c>
      <c r="L231" s="2">
        <f>IF(Fandual!M231="",1,0)</f>
        <v>1</v>
      </c>
    </row>
    <row r="232" spans="1:12" x14ac:dyDescent="0.25">
      <c r="A232" s="2">
        <f>IF((OR(Optimizer!$J$8=Fandual!J232,Optimizer!$J$10=Fandual!J232))=TRUE, 1,0)</f>
        <v>0</v>
      </c>
      <c r="B232" s="2">
        <f>IF((OR(Fandual!O232="",Fandual!O232&lt;&gt;0)=TRUE),1,0)</f>
        <v>1</v>
      </c>
      <c r="C232" s="2">
        <f>IF(Fandual!B232&lt;&gt;"P",1,0)</f>
        <v>0</v>
      </c>
      <c r="D232" s="2">
        <f t="shared" si="6"/>
        <v>0</v>
      </c>
      <c r="E232" s="2">
        <f>IF(D232=1,Fandual!B232,0)</f>
        <v>0</v>
      </c>
      <c r="F232" s="2">
        <f>IF(D232=1,Fandual!D232,0)</f>
        <v>0</v>
      </c>
      <c r="G232" s="2">
        <f>IF(D232=1,Fandual!F232,0)</f>
        <v>0</v>
      </c>
      <c r="H232" s="2">
        <f>IF(D232=1,Fandual!H232,0)</f>
        <v>0</v>
      </c>
      <c r="I232" s="2">
        <f>IF((Optimizer!$J$8=Fandual!J232),4,0)</f>
        <v>0</v>
      </c>
      <c r="J232" s="2">
        <f>IF((Optimizer!$J$10=Fandual!J232),100,0)</f>
        <v>0</v>
      </c>
      <c r="K232" s="2">
        <f t="shared" si="7"/>
        <v>0</v>
      </c>
      <c r="L232" s="2">
        <f>IF(Fandual!M232="",1,0)</f>
        <v>1</v>
      </c>
    </row>
    <row r="233" spans="1:12" x14ac:dyDescent="0.25">
      <c r="A233" s="2">
        <f>IF((OR(Optimizer!$J$8=Fandual!J233,Optimizer!$J$10=Fandual!J233))=TRUE, 1,0)</f>
        <v>0</v>
      </c>
      <c r="B233" s="2">
        <f>IF((OR(Fandual!O233="",Fandual!O233&lt;&gt;0)=TRUE),1,0)</f>
        <v>1</v>
      </c>
      <c r="C233" s="2">
        <f>IF(Fandual!B233&lt;&gt;"P",1,0)</f>
        <v>0</v>
      </c>
      <c r="D233" s="2">
        <f t="shared" si="6"/>
        <v>0</v>
      </c>
      <c r="E233" s="2">
        <f>IF(D233=1,Fandual!B233,0)</f>
        <v>0</v>
      </c>
      <c r="F233" s="2">
        <f>IF(D233=1,Fandual!D233,0)</f>
        <v>0</v>
      </c>
      <c r="G233" s="2">
        <f>IF(D233=1,Fandual!F233,0)</f>
        <v>0</v>
      </c>
      <c r="H233" s="2">
        <f>IF(D233=1,Fandual!H233,0)</f>
        <v>0</v>
      </c>
      <c r="I233" s="2">
        <f>IF((Optimizer!$J$8=Fandual!J233),4,0)</f>
        <v>0</v>
      </c>
      <c r="J233" s="2">
        <f>IF((Optimizer!$J$10=Fandual!J233),100,0)</f>
        <v>0</v>
      </c>
      <c r="K233" s="2">
        <f t="shared" si="7"/>
        <v>0</v>
      </c>
      <c r="L233" s="2">
        <f>IF(Fandual!M233="",1,0)</f>
        <v>1</v>
      </c>
    </row>
    <row r="234" spans="1:12" x14ac:dyDescent="0.25">
      <c r="A234" s="2">
        <f>IF((OR(Optimizer!$J$8=Fandual!J234,Optimizer!$J$10=Fandual!J234))=TRUE, 1,0)</f>
        <v>0</v>
      </c>
      <c r="B234" s="2">
        <f>IF((OR(Fandual!O234="",Fandual!O234&lt;&gt;0)=TRUE),1,0)</f>
        <v>1</v>
      </c>
      <c r="C234" s="2">
        <f>IF(Fandual!B234&lt;&gt;"P",1,0)</f>
        <v>0</v>
      </c>
      <c r="D234" s="2">
        <f t="shared" si="6"/>
        <v>0</v>
      </c>
      <c r="E234" s="2">
        <f>IF(D234=1,Fandual!B234,0)</f>
        <v>0</v>
      </c>
      <c r="F234" s="2">
        <f>IF(D234=1,Fandual!D234,0)</f>
        <v>0</v>
      </c>
      <c r="G234" s="2">
        <f>IF(D234=1,Fandual!F234,0)</f>
        <v>0</v>
      </c>
      <c r="H234" s="2">
        <f>IF(D234=1,Fandual!H234,0)</f>
        <v>0</v>
      </c>
      <c r="I234" s="2">
        <f>IF((Optimizer!$J$8=Fandual!J234),4,0)</f>
        <v>0</v>
      </c>
      <c r="J234" s="2">
        <f>IF((Optimizer!$J$10=Fandual!J234),100,0)</f>
        <v>0</v>
      </c>
      <c r="K234" s="2">
        <f t="shared" si="7"/>
        <v>0</v>
      </c>
      <c r="L234" s="2">
        <f>IF(Fandual!M234="",1,0)</f>
        <v>1</v>
      </c>
    </row>
    <row r="235" spans="1:12" x14ac:dyDescent="0.25">
      <c r="A235" s="2">
        <f>IF((OR(Optimizer!$J$8=Fandual!J235,Optimizer!$J$10=Fandual!J235))=TRUE, 1,0)</f>
        <v>0</v>
      </c>
      <c r="B235" s="2">
        <f>IF((OR(Fandual!O235="",Fandual!O235&lt;&gt;0)=TRUE),1,0)</f>
        <v>1</v>
      </c>
      <c r="C235" s="2">
        <f>IF(Fandual!B235&lt;&gt;"P",1,0)</f>
        <v>0</v>
      </c>
      <c r="D235" s="2">
        <f t="shared" si="6"/>
        <v>0</v>
      </c>
      <c r="E235" s="2">
        <f>IF(D235=1,Fandual!B235,0)</f>
        <v>0</v>
      </c>
      <c r="F235" s="2">
        <f>IF(D235=1,Fandual!D235,0)</f>
        <v>0</v>
      </c>
      <c r="G235" s="2">
        <f>IF(D235=1,Fandual!F235,0)</f>
        <v>0</v>
      </c>
      <c r="H235" s="2">
        <f>IF(D235=1,Fandual!H235,0)</f>
        <v>0</v>
      </c>
      <c r="I235" s="2">
        <f>IF((Optimizer!$J$8=Fandual!J235),4,0)</f>
        <v>0</v>
      </c>
      <c r="J235" s="2">
        <f>IF((Optimizer!$J$10=Fandual!J235),100,0)</f>
        <v>0</v>
      </c>
      <c r="K235" s="2">
        <f t="shared" si="7"/>
        <v>0</v>
      </c>
      <c r="L235" s="2">
        <f>IF(Fandual!M235="",1,0)</f>
        <v>1</v>
      </c>
    </row>
    <row r="236" spans="1:12" x14ac:dyDescent="0.25">
      <c r="A236" s="2">
        <f>IF((OR(Optimizer!$J$8=Fandual!J236,Optimizer!$J$10=Fandual!J236))=TRUE, 1,0)</f>
        <v>0</v>
      </c>
      <c r="B236" s="2">
        <f>IF((OR(Fandual!O236="",Fandual!O236&lt;&gt;0)=TRUE),1,0)</f>
        <v>1</v>
      </c>
      <c r="C236" s="2">
        <f>IF(Fandual!B236&lt;&gt;"P",1,0)</f>
        <v>0</v>
      </c>
      <c r="D236" s="2">
        <f t="shared" si="6"/>
        <v>0</v>
      </c>
      <c r="E236" s="2">
        <f>IF(D236=1,Fandual!B236,0)</f>
        <v>0</v>
      </c>
      <c r="F236" s="2">
        <f>IF(D236=1,Fandual!D236,0)</f>
        <v>0</v>
      </c>
      <c r="G236" s="2">
        <f>IF(D236=1,Fandual!F236,0)</f>
        <v>0</v>
      </c>
      <c r="H236" s="2">
        <f>IF(D236=1,Fandual!H236,0)</f>
        <v>0</v>
      </c>
      <c r="I236" s="2">
        <f>IF((Optimizer!$J$8=Fandual!J236),4,0)</f>
        <v>0</v>
      </c>
      <c r="J236" s="2">
        <f>IF((Optimizer!$J$10=Fandual!J236),100,0)</f>
        <v>0</v>
      </c>
      <c r="K236" s="2">
        <f t="shared" si="7"/>
        <v>0</v>
      </c>
      <c r="L236" s="2">
        <f>IF(Fandual!M236="",1,0)</f>
        <v>1</v>
      </c>
    </row>
    <row r="237" spans="1:12" x14ac:dyDescent="0.25">
      <c r="A237" s="2">
        <f>IF((OR(Optimizer!$J$8=Fandual!J237,Optimizer!$J$10=Fandual!J237))=TRUE, 1,0)</f>
        <v>0</v>
      </c>
      <c r="B237" s="2">
        <f>IF((OR(Fandual!O237="",Fandual!O237&lt;&gt;0)=TRUE),1,0)</f>
        <v>1</v>
      </c>
      <c r="C237" s="2">
        <f>IF(Fandual!B237&lt;&gt;"P",1,0)</f>
        <v>0</v>
      </c>
      <c r="D237" s="2">
        <f t="shared" si="6"/>
        <v>0</v>
      </c>
      <c r="E237" s="2">
        <f>IF(D237=1,Fandual!B237,0)</f>
        <v>0</v>
      </c>
      <c r="F237" s="2">
        <f>IF(D237=1,Fandual!D237,0)</f>
        <v>0</v>
      </c>
      <c r="G237" s="2">
        <f>IF(D237=1,Fandual!F237,0)</f>
        <v>0</v>
      </c>
      <c r="H237" s="2">
        <f>IF(D237=1,Fandual!H237,0)</f>
        <v>0</v>
      </c>
      <c r="I237" s="2">
        <f>IF((Optimizer!$J$8=Fandual!J237),4,0)</f>
        <v>0</v>
      </c>
      <c r="J237" s="2">
        <f>IF((Optimizer!$J$10=Fandual!J237),100,0)</f>
        <v>0</v>
      </c>
      <c r="K237" s="2">
        <f t="shared" si="7"/>
        <v>0</v>
      </c>
      <c r="L237" s="2">
        <f>IF(Fandual!M237="",1,0)</f>
        <v>1</v>
      </c>
    </row>
    <row r="238" spans="1:12" x14ac:dyDescent="0.25">
      <c r="A238" s="2">
        <f>IF((OR(Optimizer!$J$8=Fandual!J238,Optimizer!$J$10=Fandual!J238))=TRUE, 1,0)</f>
        <v>0</v>
      </c>
      <c r="B238" s="2">
        <f>IF((OR(Fandual!O238="",Fandual!O238&lt;&gt;0)=TRUE),1,0)</f>
        <v>1</v>
      </c>
      <c r="C238" s="2">
        <f>IF(Fandual!B238&lt;&gt;"P",1,0)</f>
        <v>0</v>
      </c>
      <c r="D238" s="2">
        <f t="shared" si="6"/>
        <v>0</v>
      </c>
      <c r="E238" s="2">
        <f>IF(D238=1,Fandual!B238,0)</f>
        <v>0</v>
      </c>
      <c r="F238" s="2">
        <f>IF(D238=1,Fandual!D238,0)</f>
        <v>0</v>
      </c>
      <c r="G238" s="2">
        <f>IF(D238=1,Fandual!F238,0)</f>
        <v>0</v>
      </c>
      <c r="H238" s="2">
        <f>IF(D238=1,Fandual!H238,0)</f>
        <v>0</v>
      </c>
      <c r="I238" s="2">
        <f>IF((Optimizer!$J$8=Fandual!J238),4,0)</f>
        <v>0</v>
      </c>
      <c r="J238" s="2">
        <f>IF((Optimizer!$J$10=Fandual!J238),100,0)</f>
        <v>0</v>
      </c>
      <c r="K238" s="2">
        <f t="shared" si="7"/>
        <v>0</v>
      </c>
      <c r="L238" s="2">
        <f>IF(Fandual!M238="",1,0)</f>
        <v>1</v>
      </c>
    </row>
    <row r="239" spans="1:12" x14ac:dyDescent="0.25">
      <c r="A239" s="2">
        <f>IF((OR(Optimizer!$J$8=Fandual!J239,Optimizer!$J$10=Fandual!J239))=TRUE, 1,0)</f>
        <v>1</v>
      </c>
      <c r="B239" s="2">
        <f>IF((OR(Fandual!O239="",Fandual!O239&lt;&gt;0)=TRUE),1,0)</f>
        <v>1</v>
      </c>
      <c r="C239" s="2">
        <f>IF(Fandual!B239&lt;&gt;"P",1,0)</f>
        <v>0</v>
      </c>
      <c r="D239" s="2">
        <f t="shared" si="6"/>
        <v>0</v>
      </c>
      <c r="E239" s="2">
        <f>IF(D239=1,Fandual!B239,0)</f>
        <v>0</v>
      </c>
      <c r="F239" s="2">
        <f>IF(D239=1,Fandual!D239,0)</f>
        <v>0</v>
      </c>
      <c r="G239" s="2">
        <f>IF(D239=1,Fandual!F239,0)</f>
        <v>0</v>
      </c>
      <c r="H239" s="2">
        <f>IF(D239=1,Fandual!H239,0)</f>
        <v>0</v>
      </c>
      <c r="I239" s="2">
        <f>IF((Optimizer!$J$8=Fandual!J239),4,0)</f>
        <v>4</v>
      </c>
      <c r="J239" s="2">
        <f>IF((Optimizer!$J$10=Fandual!J239),100,0)</f>
        <v>0</v>
      </c>
      <c r="K239" s="2">
        <f t="shared" si="7"/>
        <v>0</v>
      </c>
      <c r="L239" s="2">
        <f>IF(Fandual!M239="",1,0)</f>
        <v>1</v>
      </c>
    </row>
    <row r="240" spans="1:12" x14ac:dyDescent="0.25">
      <c r="A240" s="2">
        <f>IF((OR(Optimizer!$J$8=Fandual!J240,Optimizer!$J$10=Fandual!J240))=TRUE, 1,0)</f>
        <v>1</v>
      </c>
      <c r="B240" s="2">
        <f>IF((OR(Fandual!O240="",Fandual!O240&lt;&gt;0)=TRUE),1,0)</f>
        <v>1</v>
      </c>
      <c r="C240" s="2">
        <f>IF(Fandual!B240&lt;&gt;"P",1,0)</f>
        <v>0</v>
      </c>
      <c r="D240" s="2">
        <f t="shared" si="6"/>
        <v>0</v>
      </c>
      <c r="E240" s="2">
        <f>IF(D240=1,Fandual!B240,0)</f>
        <v>0</v>
      </c>
      <c r="F240" s="2">
        <f>IF(D240=1,Fandual!D240,0)</f>
        <v>0</v>
      </c>
      <c r="G240" s="2">
        <f>IF(D240=1,Fandual!F240,0)</f>
        <v>0</v>
      </c>
      <c r="H240" s="2">
        <f>IF(D240=1,Fandual!H240,0)</f>
        <v>0</v>
      </c>
      <c r="I240" s="2">
        <f>IF((Optimizer!$J$8=Fandual!J240),4,0)</f>
        <v>0</v>
      </c>
      <c r="J240" s="2">
        <f>IF((Optimizer!$J$10=Fandual!J240),100,0)</f>
        <v>100</v>
      </c>
      <c r="K240" s="2">
        <f t="shared" si="7"/>
        <v>0</v>
      </c>
      <c r="L240" s="2">
        <f>IF(Fandual!M240="",1,0)</f>
        <v>1</v>
      </c>
    </row>
    <row r="241" spans="1:12" x14ac:dyDescent="0.25">
      <c r="A241" s="2">
        <f>IF((OR(Optimizer!$J$8=Fandual!J241,Optimizer!$J$10=Fandual!J241))=TRUE, 1,0)</f>
        <v>0</v>
      </c>
      <c r="B241" s="2">
        <f>IF((OR(Fandual!O241="",Fandual!O241&lt;&gt;0)=TRUE),1,0)</f>
        <v>1</v>
      </c>
      <c r="C241" s="2">
        <f>IF(Fandual!B241&lt;&gt;"P",1,0)</f>
        <v>0</v>
      </c>
      <c r="D241" s="2">
        <f t="shared" si="6"/>
        <v>0</v>
      </c>
      <c r="E241" s="2">
        <f>IF(D241=1,Fandual!B241,0)</f>
        <v>0</v>
      </c>
      <c r="F241" s="2">
        <f>IF(D241=1,Fandual!D241,0)</f>
        <v>0</v>
      </c>
      <c r="G241" s="2">
        <f>IF(D241=1,Fandual!F241,0)</f>
        <v>0</v>
      </c>
      <c r="H241" s="2">
        <f>IF(D241=1,Fandual!H241,0)</f>
        <v>0</v>
      </c>
      <c r="I241" s="2">
        <f>IF((Optimizer!$J$8=Fandual!J241),4,0)</f>
        <v>0</v>
      </c>
      <c r="J241" s="2">
        <f>IF((Optimizer!$J$10=Fandual!J241),100,0)</f>
        <v>0</v>
      </c>
      <c r="K241" s="2">
        <f t="shared" si="7"/>
        <v>0</v>
      </c>
      <c r="L241" s="2">
        <f>IF(Fandual!M241="",1,0)</f>
        <v>1</v>
      </c>
    </row>
    <row r="242" spans="1:12" x14ac:dyDescent="0.25">
      <c r="A242" s="2">
        <f>IF((OR(Optimizer!$J$8=Fandual!J242,Optimizer!$J$10=Fandual!J242))=TRUE, 1,0)</f>
        <v>0</v>
      </c>
      <c r="B242" s="2">
        <f>IF((OR(Fandual!O242="",Fandual!O242&lt;&gt;0)=TRUE),1,0)</f>
        <v>1</v>
      </c>
      <c r="C242" s="2">
        <f>IF(Fandual!B242&lt;&gt;"P",1,0)</f>
        <v>0</v>
      </c>
      <c r="D242" s="2">
        <f t="shared" si="6"/>
        <v>0</v>
      </c>
      <c r="E242" s="2">
        <f>IF(D242=1,Fandual!B242,0)</f>
        <v>0</v>
      </c>
      <c r="F242" s="2">
        <f>IF(D242=1,Fandual!D242,0)</f>
        <v>0</v>
      </c>
      <c r="G242" s="2">
        <f>IF(D242=1,Fandual!F242,0)</f>
        <v>0</v>
      </c>
      <c r="H242" s="2">
        <f>IF(D242=1,Fandual!H242,0)</f>
        <v>0</v>
      </c>
      <c r="I242" s="2">
        <f>IF((Optimizer!$J$8=Fandual!J242),4,0)</f>
        <v>0</v>
      </c>
      <c r="J242" s="2">
        <f>IF((Optimizer!$J$10=Fandual!J242),100,0)</f>
        <v>0</v>
      </c>
      <c r="K242" s="2">
        <f t="shared" si="7"/>
        <v>0</v>
      </c>
      <c r="L242" s="2">
        <f>IF(Fandual!M242="",1,0)</f>
        <v>1</v>
      </c>
    </row>
    <row r="243" spans="1:12" x14ac:dyDescent="0.25">
      <c r="A243" s="2">
        <f>IF((OR(Optimizer!$J$8=Fandual!J243,Optimizer!$J$10=Fandual!J243))=TRUE, 1,0)</f>
        <v>0</v>
      </c>
      <c r="B243" s="2">
        <f>IF((OR(Fandual!O243="",Fandual!O243&lt;&gt;0)=TRUE),1,0)</f>
        <v>1</v>
      </c>
      <c r="C243" s="2">
        <f>IF(Fandual!B243&lt;&gt;"P",1,0)</f>
        <v>0</v>
      </c>
      <c r="D243" s="2">
        <f t="shared" si="6"/>
        <v>0</v>
      </c>
      <c r="E243" s="2">
        <f>IF(D243=1,Fandual!B243,0)</f>
        <v>0</v>
      </c>
      <c r="F243" s="2">
        <f>IF(D243=1,Fandual!D243,0)</f>
        <v>0</v>
      </c>
      <c r="G243" s="2">
        <f>IF(D243=1,Fandual!F243,0)</f>
        <v>0</v>
      </c>
      <c r="H243" s="2">
        <f>IF(D243=1,Fandual!H243,0)</f>
        <v>0</v>
      </c>
      <c r="I243" s="2">
        <f>IF((Optimizer!$J$8=Fandual!J243),4,0)</f>
        <v>0</v>
      </c>
      <c r="J243" s="2">
        <f>IF((Optimizer!$J$10=Fandual!J243),100,0)</f>
        <v>0</v>
      </c>
      <c r="K243" s="2">
        <f t="shared" si="7"/>
        <v>0</v>
      </c>
      <c r="L243" s="2">
        <f>IF(Fandual!M243="",1,0)</f>
        <v>1</v>
      </c>
    </row>
    <row r="244" spans="1:12" x14ac:dyDescent="0.25">
      <c r="A244" s="2">
        <f>IF((OR(Optimizer!$J$8=Fandual!J244,Optimizer!$J$10=Fandual!J244))=TRUE, 1,0)</f>
        <v>0</v>
      </c>
      <c r="B244" s="2">
        <f>IF((OR(Fandual!O244="",Fandual!O244&lt;&gt;0)=TRUE),1,0)</f>
        <v>1</v>
      </c>
      <c r="C244" s="2">
        <f>IF(Fandual!B244&lt;&gt;"P",1,0)</f>
        <v>0</v>
      </c>
      <c r="D244" s="2">
        <f t="shared" si="6"/>
        <v>0</v>
      </c>
      <c r="E244" s="2">
        <f>IF(D244=1,Fandual!B244,0)</f>
        <v>0</v>
      </c>
      <c r="F244" s="2">
        <f>IF(D244=1,Fandual!D244,0)</f>
        <v>0</v>
      </c>
      <c r="G244" s="2">
        <f>IF(D244=1,Fandual!F244,0)</f>
        <v>0</v>
      </c>
      <c r="H244" s="2">
        <f>IF(D244=1,Fandual!H244,0)</f>
        <v>0</v>
      </c>
      <c r="I244" s="2">
        <f>IF((Optimizer!$J$8=Fandual!J244),4,0)</f>
        <v>0</v>
      </c>
      <c r="J244" s="2">
        <f>IF((Optimizer!$J$10=Fandual!J244),100,0)</f>
        <v>0</v>
      </c>
      <c r="K244" s="2">
        <f t="shared" si="7"/>
        <v>0</v>
      </c>
      <c r="L244" s="2">
        <f>IF(Fandual!M244="",1,0)</f>
        <v>0</v>
      </c>
    </row>
    <row r="245" spans="1:12" x14ac:dyDescent="0.25">
      <c r="A245" s="2">
        <f>IF((OR(Optimizer!$J$8=Fandual!J245,Optimizer!$J$10=Fandual!J245))=TRUE, 1,0)</f>
        <v>0</v>
      </c>
      <c r="B245" s="2">
        <f>IF((OR(Fandual!O245="",Fandual!O245&lt;&gt;0)=TRUE),1,0)</f>
        <v>1</v>
      </c>
      <c r="C245" s="2">
        <f>IF(Fandual!B245&lt;&gt;"P",1,0)</f>
        <v>0</v>
      </c>
      <c r="D245" s="2">
        <f t="shared" si="6"/>
        <v>0</v>
      </c>
      <c r="E245" s="2">
        <f>IF(D245=1,Fandual!B245,0)</f>
        <v>0</v>
      </c>
      <c r="F245" s="2">
        <f>IF(D245=1,Fandual!D245,0)</f>
        <v>0</v>
      </c>
      <c r="G245" s="2">
        <f>IF(D245=1,Fandual!F245,0)</f>
        <v>0</v>
      </c>
      <c r="H245" s="2">
        <f>IF(D245=1,Fandual!H245,0)</f>
        <v>0</v>
      </c>
      <c r="I245" s="2">
        <f>IF((Optimizer!$J$8=Fandual!J245),4,0)</f>
        <v>0</v>
      </c>
      <c r="J245" s="2">
        <f>IF((Optimizer!$J$10=Fandual!J245),100,0)</f>
        <v>0</v>
      </c>
      <c r="K245" s="2">
        <f t="shared" si="7"/>
        <v>0</v>
      </c>
      <c r="L245" s="2">
        <f>IF(Fandual!M245="",1,0)</f>
        <v>1</v>
      </c>
    </row>
    <row r="246" spans="1:12" x14ac:dyDescent="0.25">
      <c r="A246" s="2">
        <f>IF((OR(Optimizer!$J$8=Fandual!J246,Optimizer!$J$10=Fandual!J246))=TRUE, 1,0)</f>
        <v>0</v>
      </c>
      <c r="B246" s="2">
        <f>IF((OR(Fandual!O246="",Fandual!O246&lt;&gt;0)=TRUE),1,0)</f>
        <v>1</v>
      </c>
      <c r="C246" s="2">
        <f>IF(Fandual!B246&lt;&gt;"P",1,0)</f>
        <v>0</v>
      </c>
      <c r="D246" s="2">
        <f t="shared" si="6"/>
        <v>0</v>
      </c>
      <c r="E246" s="2">
        <f>IF(D246=1,Fandual!B246,0)</f>
        <v>0</v>
      </c>
      <c r="F246" s="2">
        <f>IF(D246=1,Fandual!D246,0)</f>
        <v>0</v>
      </c>
      <c r="G246" s="2">
        <f>IF(D246=1,Fandual!F246,0)</f>
        <v>0</v>
      </c>
      <c r="H246" s="2">
        <f>IF(D246=1,Fandual!H246,0)</f>
        <v>0</v>
      </c>
      <c r="I246" s="2">
        <f>IF((Optimizer!$J$8=Fandual!J246),4,0)</f>
        <v>0</v>
      </c>
      <c r="J246" s="2">
        <f>IF((Optimizer!$J$10=Fandual!J246),100,0)</f>
        <v>0</v>
      </c>
      <c r="K246" s="2">
        <f t="shared" si="7"/>
        <v>0</v>
      </c>
      <c r="L246" s="2">
        <f>IF(Fandual!M246="",1,0)</f>
        <v>1</v>
      </c>
    </row>
    <row r="247" spans="1:12" x14ac:dyDescent="0.25">
      <c r="A247" s="2">
        <f>IF((OR(Optimizer!$J$8=Fandual!J247,Optimizer!$J$10=Fandual!J247))=TRUE, 1,0)</f>
        <v>0</v>
      </c>
      <c r="B247" s="2">
        <f>IF((OR(Fandual!O247="",Fandual!O247&lt;&gt;0)=TRUE),1,0)</f>
        <v>1</v>
      </c>
      <c r="C247" s="2">
        <f>IF(Fandual!B247&lt;&gt;"P",1,0)</f>
        <v>0</v>
      </c>
      <c r="D247" s="2">
        <f t="shared" si="6"/>
        <v>0</v>
      </c>
      <c r="E247" s="2">
        <f>IF(D247=1,Fandual!B247,0)</f>
        <v>0</v>
      </c>
      <c r="F247" s="2">
        <f>IF(D247=1,Fandual!D247,0)</f>
        <v>0</v>
      </c>
      <c r="G247" s="2">
        <f>IF(D247=1,Fandual!F247,0)</f>
        <v>0</v>
      </c>
      <c r="H247" s="2">
        <f>IF(D247=1,Fandual!H247,0)</f>
        <v>0</v>
      </c>
      <c r="I247" s="2">
        <f>IF((Optimizer!$J$8=Fandual!J247),4,0)</f>
        <v>0</v>
      </c>
      <c r="J247" s="2">
        <f>IF((Optimizer!$J$10=Fandual!J247),100,0)</f>
        <v>0</v>
      </c>
      <c r="K247" s="2">
        <f t="shared" si="7"/>
        <v>0</v>
      </c>
      <c r="L247" s="2">
        <f>IF(Fandual!M247="",1,0)</f>
        <v>1</v>
      </c>
    </row>
    <row r="248" spans="1:12" x14ac:dyDescent="0.25">
      <c r="A248" s="2">
        <f>IF((OR(Optimizer!$J$8=Fandual!J248,Optimizer!$J$10=Fandual!J248))=TRUE, 1,0)</f>
        <v>0</v>
      </c>
      <c r="B248" s="2">
        <f>IF((OR(Fandual!O248="",Fandual!O248&lt;&gt;0)=TRUE),1,0)</f>
        <v>1</v>
      </c>
      <c r="C248" s="2">
        <f>IF(Fandual!B248&lt;&gt;"P",1,0)</f>
        <v>0</v>
      </c>
      <c r="D248" s="2">
        <f t="shared" si="6"/>
        <v>0</v>
      </c>
      <c r="E248" s="2">
        <f>IF(D248=1,Fandual!B248,0)</f>
        <v>0</v>
      </c>
      <c r="F248" s="2">
        <f>IF(D248=1,Fandual!D248,0)</f>
        <v>0</v>
      </c>
      <c r="G248" s="2">
        <f>IF(D248=1,Fandual!F248,0)</f>
        <v>0</v>
      </c>
      <c r="H248" s="2">
        <f>IF(D248=1,Fandual!H248,0)</f>
        <v>0</v>
      </c>
      <c r="I248" s="2">
        <f>IF((Optimizer!$J$8=Fandual!J248),4,0)</f>
        <v>0</v>
      </c>
      <c r="J248" s="2">
        <f>IF((Optimizer!$J$10=Fandual!J248),100,0)</f>
        <v>0</v>
      </c>
      <c r="K248" s="2">
        <f t="shared" si="7"/>
        <v>0</v>
      </c>
      <c r="L248" s="2">
        <f>IF(Fandual!M248="",1,0)</f>
        <v>1</v>
      </c>
    </row>
    <row r="249" spans="1:12" x14ac:dyDescent="0.25">
      <c r="A249" s="2">
        <f>IF((OR(Optimizer!$J$8=Fandual!J249,Optimizer!$J$10=Fandual!J249))=TRUE, 1,0)</f>
        <v>0</v>
      </c>
      <c r="B249" s="2">
        <f>IF((OR(Fandual!O249="",Fandual!O249&lt;&gt;0)=TRUE),1,0)</f>
        <v>1</v>
      </c>
      <c r="C249" s="2">
        <f>IF(Fandual!B249&lt;&gt;"P",1,0)</f>
        <v>0</v>
      </c>
      <c r="D249" s="2">
        <f t="shared" si="6"/>
        <v>0</v>
      </c>
      <c r="E249" s="2">
        <f>IF(D249=1,Fandual!B249,0)</f>
        <v>0</v>
      </c>
      <c r="F249" s="2">
        <f>IF(D249=1,Fandual!D249,0)</f>
        <v>0</v>
      </c>
      <c r="G249" s="2">
        <f>IF(D249=1,Fandual!F249,0)</f>
        <v>0</v>
      </c>
      <c r="H249" s="2">
        <f>IF(D249=1,Fandual!H249,0)</f>
        <v>0</v>
      </c>
      <c r="I249" s="2">
        <f>IF((Optimizer!$J$8=Fandual!J249),4,0)</f>
        <v>0</v>
      </c>
      <c r="J249" s="2">
        <f>IF((Optimizer!$J$10=Fandual!J249),100,0)</f>
        <v>0</v>
      </c>
      <c r="K249" s="2">
        <f t="shared" si="7"/>
        <v>0</v>
      </c>
      <c r="L249" s="2">
        <f>IF(Fandual!M249="",1,0)</f>
        <v>1</v>
      </c>
    </row>
    <row r="250" spans="1:12" x14ac:dyDescent="0.25">
      <c r="A250" s="2">
        <f>IF((OR(Optimizer!$J$8=Fandual!J250,Optimizer!$J$10=Fandual!J250))=TRUE, 1,0)</f>
        <v>1</v>
      </c>
      <c r="B250" s="2">
        <f>IF((OR(Fandual!O250="",Fandual!O250&lt;&gt;0)=TRUE),1,0)</f>
        <v>1</v>
      </c>
      <c r="C250" s="2">
        <f>IF(Fandual!B250&lt;&gt;"P",1,0)</f>
        <v>0</v>
      </c>
      <c r="D250" s="2">
        <f t="shared" si="6"/>
        <v>0</v>
      </c>
      <c r="E250" s="2">
        <f>IF(D250=1,Fandual!B250,0)</f>
        <v>0</v>
      </c>
      <c r="F250" s="2">
        <f>IF(D250=1,Fandual!D250,0)</f>
        <v>0</v>
      </c>
      <c r="G250" s="2">
        <f>IF(D250=1,Fandual!F250,0)</f>
        <v>0</v>
      </c>
      <c r="H250" s="2">
        <f>IF(D250=1,Fandual!H250,0)</f>
        <v>0</v>
      </c>
      <c r="I250" s="2">
        <f>IF((Optimizer!$J$8=Fandual!J250),4,0)</f>
        <v>0</v>
      </c>
      <c r="J250" s="2">
        <f>IF((Optimizer!$J$10=Fandual!J250),100,0)</f>
        <v>100</v>
      </c>
      <c r="K250" s="2">
        <f t="shared" si="7"/>
        <v>0</v>
      </c>
      <c r="L250" s="2">
        <f>IF(Fandual!M250="",1,0)</f>
        <v>1</v>
      </c>
    </row>
    <row r="251" spans="1:12" x14ac:dyDescent="0.25">
      <c r="A251" s="2">
        <f>IF((OR(Optimizer!$J$8=Fandual!J251,Optimizer!$J$10=Fandual!J251))=TRUE, 1,0)</f>
        <v>0</v>
      </c>
      <c r="B251" s="2">
        <f>IF((OR(Fandual!O251="",Fandual!O251&lt;&gt;0)=TRUE),1,0)</f>
        <v>1</v>
      </c>
      <c r="C251" s="2">
        <f>IF(Fandual!B251&lt;&gt;"P",1,0)</f>
        <v>0</v>
      </c>
      <c r="D251" s="2">
        <f t="shared" si="6"/>
        <v>0</v>
      </c>
      <c r="E251" s="2">
        <f>IF(D251=1,Fandual!B251,0)</f>
        <v>0</v>
      </c>
      <c r="F251" s="2">
        <f>IF(D251=1,Fandual!D251,0)</f>
        <v>0</v>
      </c>
      <c r="G251" s="2">
        <f>IF(D251=1,Fandual!F251,0)</f>
        <v>0</v>
      </c>
      <c r="H251" s="2">
        <f>IF(D251=1,Fandual!H251,0)</f>
        <v>0</v>
      </c>
      <c r="I251" s="2">
        <f>IF((Optimizer!$J$8=Fandual!J251),4,0)</f>
        <v>0</v>
      </c>
      <c r="J251" s="2">
        <f>IF((Optimizer!$J$10=Fandual!J251),100,0)</f>
        <v>0</v>
      </c>
      <c r="K251" s="2">
        <f t="shared" si="7"/>
        <v>0</v>
      </c>
      <c r="L251" s="2">
        <f>IF(Fandual!M251="",1,0)</f>
        <v>1</v>
      </c>
    </row>
    <row r="252" spans="1:12" x14ac:dyDescent="0.25">
      <c r="A252" s="2">
        <f>IF((OR(Optimizer!$J$8=Fandual!J252,Optimizer!$J$10=Fandual!J252))=TRUE, 1,0)</f>
        <v>0</v>
      </c>
      <c r="B252" s="2">
        <f>IF((OR(Fandual!O252="",Fandual!O252&lt;&gt;0)=TRUE),1,0)</f>
        <v>1</v>
      </c>
      <c r="C252" s="2">
        <f>IF(Fandual!B252&lt;&gt;"P",1,0)</f>
        <v>0</v>
      </c>
      <c r="D252" s="2">
        <f t="shared" si="6"/>
        <v>0</v>
      </c>
      <c r="E252" s="2">
        <f>IF(D252=1,Fandual!B252,0)</f>
        <v>0</v>
      </c>
      <c r="F252" s="2">
        <f>IF(D252=1,Fandual!D252,0)</f>
        <v>0</v>
      </c>
      <c r="G252" s="2">
        <f>IF(D252=1,Fandual!F252,0)</f>
        <v>0</v>
      </c>
      <c r="H252" s="2">
        <f>IF(D252=1,Fandual!H252,0)</f>
        <v>0</v>
      </c>
      <c r="I252" s="2">
        <f>IF((Optimizer!$J$8=Fandual!J252),4,0)</f>
        <v>0</v>
      </c>
      <c r="J252" s="2">
        <f>IF((Optimizer!$J$10=Fandual!J252),100,0)</f>
        <v>0</v>
      </c>
      <c r="K252" s="2">
        <f t="shared" si="7"/>
        <v>0</v>
      </c>
      <c r="L252" s="2">
        <f>IF(Fandual!M252="",1,0)</f>
        <v>1</v>
      </c>
    </row>
    <row r="253" spans="1:12" x14ac:dyDescent="0.25">
      <c r="A253" s="2">
        <f>IF((OR(Optimizer!$J$8=Fandual!J253,Optimizer!$J$10=Fandual!J253))=TRUE, 1,0)</f>
        <v>0</v>
      </c>
      <c r="B253" s="2">
        <f>IF((OR(Fandual!O253="",Fandual!O253&lt;&gt;0)=TRUE),1,0)</f>
        <v>1</v>
      </c>
      <c r="C253" s="2">
        <f>IF(Fandual!B253&lt;&gt;"P",1,0)</f>
        <v>0</v>
      </c>
      <c r="D253" s="2">
        <f t="shared" si="6"/>
        <v>0</v>
      </c>
      <c r="E253" s="2">
        <f>IF(D253=1,Fandual!B253,0)</f>
        <v>0</v>
      </c>
      <c r="F253" s="2">
        <f>IF(D253=1,Fandual!D253,0)</f>
        <v>0</v>
      </c>
      <c r="G253" s="2">
        <f>IF(D253=1,Fandual!F253,0)</f>
        <v>0</v>
      </c>
      <c r="H253" s="2">
        <f>IF(D253=1,Fandual!H253,0)</f>
        <v>0</v>
      </c>
      <c r="I253" s="2">
        <f>IF((Optimizer!$J$8=Fandual!J253),4,0)</f>
        <v>0</v>
      </c>
      <c r="J253" s="2">
        <f>IF((Optimizer!$J$10=Fandual!J253),100,0)</f>
        <v>0</v>
      </c>
      <c r="K253" s="2">
        <f t="shared" si="7"/>
        <v>0</v>
      </c>
      <c r="L253" s="2">
        <f>IF(Fandual!M253="",1,0)</f>
        <v>1</v>
      </c>
    </row>
    <row r="254" spans="1:12" x14ac:dyDescent="0.25">
      <c r="A254" s="2">
        <f>IF((OR(Optimizer!$J$8=Fandual!J254,Optimizer!$J$10=Fandual!J254))=TRUE, 1,0)</f>
        <v>0</v>
      </c>
      <c r="B254" s="2">
        <f>IF((OR(Fandual!O254="",Fandual!O254&lt;&gt;0)=TRUE),1,0)</f>
        <v>1</v>
      </c>
      <c r="C254" s="2">
        <f>IF(Fandual!B254&lt;&gt;"P",1,0)</f>
        <v>0</v>
      </c>
      <c r="D254" s="2">
        <f t="shared" si="6"/>
        <v>0</v>
      </c>
      <c r="E254" s="2">
        <f>IF(D254=1,Fandual!B254,0)</f>
        <v>0</v>
      </c>
      <c r="F254" s="2">
        <f>IF(D254=1,Fandual!D254,0)</f>
        <v>0</v>
      </c>
      <c r="G254" s="2">
        <f>IF(D254=1,Fandual!F254,0)</f>
        <v>0</v>
      </c>
      <c r="H254" s="2">
        <f>IF(D254=1,Fandual!H254,0)</f>
        <v>0</v>
      </c>
      <c r="I254" s="2">
        <f>IF((Optimizer!$J$8=Fandual!J254),4,0)</f>
        <v>0</v>
      </c>
      <c r="J254" s="2">
        <f>IF((Optimizer!$J$10=Fandual!J254),100,0)</f>
        <v>0</v>
      </c>
      <c r="K254" s="2">
        <f t="shared" si="7"/>
        <v>0</v>
      </c>
      <c r="L254" s="2">
        <f>IF(Fandual!M254="",1,0)</f>
        <v>1</v>
      </c>
    </row>
    <row r="255" spans="1:12" x14ac:dyDescent="0.25">
      <c r="A255" s="2">
        <f>IF((OR(Optimizer!$J$8=Fandual!J255,Optimizer!$J$10=Fandual!J255))=TRUE, 1,0)</f>
        <v>0</v>
      </c>
      <c r="B255" s="2">
        <f>IF((OR(Fandual!O255="",Fandual!O255&lt;&gt;0)=TRUE),1,0)</f>
        <v>1</v>
      </c>
      <c r="C255" s="2">
        <f>IF(Fandual!B255&lt;&gt;"P",1,0)</f>
        <v>0</v>
      </c>
      <c r="D255" s="2">
        <f t="shared" si="6"/>
        <v>0</v>
      </c>
      <c r="E255" s="2">
        <f>IF(D255=1,Fandual!B255,0)</f>
        <v>0</v>
      </c>
      <c r="F255" s="2">
        <f>IF(D255=1,Fandual!D255,0)</f>
        <v>0</v>
      </c>
      <c r="G255" s="2">
        <f>IF(D255=1,Fandual!F255,0)</f>
        <v>0</v>
      </c>
      <c r="H255" s="2">
        <f>IF(D255=1,Fandual!H255,0)</f>
        <v>0</v>
      </c>
      <c r="I255" s="2">
        <f>IF((Optimizer!$J$8=Fandual!J255),4,0)</f>
        <v>0</v>
      </c>
      <c r="J255" s="2">
        <f>IF((Optimizer!$J$10=Fandual!J255),100,0)</f>
        <v>0</v>
      </c>
      <c r="K255" s="2">
        <f t="shared" si="7"/>
        <v>0</v>
      </c>
      <c r="L255" s="2">
        <f>IF(Fandual!M255="",1,0)</f>
        <v>1</v>
      </c>
    </row>
    <row r="256" spans="1:12" x14ac:dyDescent="0.25">
      <c r="A256" s="2">
        <f>IF((OR(Optimizer!$J$8=Fandual!J256,Optimizer!$J$10=Fandual!J256))=TRUE, 1,0)</f>
        <v>0</v>
      </c>
      <c r="B256" s="2">
        <f>IF((OR(Fandual!O256="",Fandual!O256&lt;&gt;0)=TRUE),1,0)</f>
        <v>1</v>
      </c>
      <c r="C256" s="2">
        <f>IF(Fandual!B256&lt;&gt;"P",1,0)</f>
        <v>0</v>
      </c>
      <c r="D256" s="2">
        <f t="shared" si="6"/>
        <v>0</v>
      </c>
      <c r="E256" s="2">
        <f>IF(D256=1,Fandual!B256,0)</f>
        <v>0</v>
      </c>
      <c r="F256" s="2">
        <f>IF(D256=1,Fandual!D256,0)</f>
        <v>0</v>
      </c>
      <c r="G256" s="2">
        <f>IF(D256=1,Fandual!F256,0)</f>
        <v>0</v>
      </c>
      <c r="H256" s="2">
        <f>IF(D256=1,Fandual!H256,0)</f>
        <v>0</v>
      </c>
      <c r="I256" s="2">
        <f>IF((Optimizer!$J$8=Fandual!J256),4,0)</f>
        <v>0</v>
      </c>
      <c r="J256" s="2">
        <f>IF((Optimizer!$J$10=Fandual!J256),100,0)</f>
        <v>0</v>
      </c>
      <c r="K256" s="2">
        <f t="shared" si="7"/>
        <v>0</v>
      </c>
      <c r="L256" s="2">
        <f>IF(Fandual!M256="",1,0)</f>
        <v>1</v>
      </c>
    </row>
    <row r="257" spans="1:12" x14ac:dyDescent="0.25">
      <c r="A257" s="2">
        <f>IF((OR(Optimizer!$J$8=Fandual!J257,Optimizer!$J$10=Fandual!J257))=TRUE, 1,0)</f>
        <v>0</v>
      </c>
      <c r="B257" s="2">
        <f>IF((OR(Fandual!O257="",Fandual!O257&lt;&gt;0)=TRUE),1,0)</f>
        <v>1</v>
      </c>
      <c r="C257" s="2">
        <f>IF(Fandual!B257&lt;&gt;"P",1,0)</f>
        <v>0</v>
      </c>
      <c r="D257" s="2">
        <f t="shared" si="6"/>
        <v>0</v>
      </c>
      <c r="E257" s="2">
        <f>IF(D257=1,Fandual!B257,0)</f>
        <v>0</v>
      </c>
      <c r="F257" s="2">
        <f>IF(D257=1,Fandual!D257,0)</f>
        <v>0</v>
      </c>
      <c r="G257" s="2">
        <f>IF(D257=1,Fandual!F257,0)</f>
        <v>0</v>
      </c>
      <c r="H257" s="2">
        <f>IF(D257=1,Fandual!H257,0)</f>
        <v>0</v>
      </c>
      <c r="I257" s="2">
        <f>IF((Optimizer!$J$8=Fandual!J257),4,0)</f>
        <v>0</v>
      </c>
      <c r="J257" s="2">
        <f>IF((Optimizer!$J$10=Fandual!J257),100,0)</f>
        <v>0</v>
      </c>
      <c r="K257" s="2">
        <f t="shared" si="7"/>
        <v>0</v>
      </c>
      <c r="L257" s="2">
        <f>IF(Fandual!M257="",1,0)</f>
        <v>1</v>
      </c>
    </row>
    <row r="258" spans="1:12" x14ac:dyDescent="0.25">
      <c r="A258" s="2">
        <f>IF((OR(Optimizer!$J$8=Fandual!J258,Optimizer!$J$10=Fandual!J258))=TRUE, 1,0)</f>
        <v>0</v>
      </c>
      <c r="B258" s="2">
        <f>IF((OR(Fandual!O258="",Fandual!O258&lt;&gt;0)=TRUE),1,0)</f>
        <v>1</v>
      </c>
      <c r="C258" s="2">
        <f>IF(Fandual!B258&lt;&gt;"P",1,0)</f>
        <v>0</v>
      </c>
      <c r="D258" s="2">
        <f t="shared" ref="D258:D321" si="8">A258*B258*C258*L258</f>
        <v>0</v>
      </c>
      <c r="E258" s="2">
        <f>IF(D258=1,Fandual!B258,0)</f>
        <v>0</v>
      </c>
      <c r="F258" s="2">
        <f>IF(D258=1,Fandual!D258,0)</f>
        <v>0</v>
      </c>
      <c r="G258" s="2">
        <f>IF(D258=1,Fandual!F258,0)</f>
        <v>0</v>
      </c>
      <c r="H258" s="2">
        <f>IF(D258=1,Fandual!H258,0)</f>
        <v>0</v>
      </c>
      <c r="I258" s="2">
        <f>IF((Optimizer!$J$8=Fandual!J258),4,0)</f>
        <v>0</v>
      </c>
      <c r="J258" s="2">
        <f>IF((Optimizer!$J$10=Fandual!J258),100,0)</f>
        <v>0</v>
      </c>
      <c r="K258" s="2">
        <f t="shared" si="7"/>
        <v>0</v>
      </c>
      <c r="L258" s="2">
        <f>IF(Fandual!M258="",1,0)</f>
        <v>1</v>
      </c>
    </row>
    <row r="259" spans="1:12" x14ac:dyDescent="0.25">
      <c r="A259" s="2">
        <f>IF((OR(Optimizer!$J$8=Fandual!J259,Optimizer!$J$10=Fandual!J259))=TRUE, 1,0)</f>
        <v>0</v>
      </c>
      <c r="B259" s="2">
        <f>IF((OR(Fandual!O259="",Fandual!O259&lt;&gt;0)=TRUE),1,0)</f>
        <v>1</v>
      </c>
      <c r="C259" s="2">
        <f>IF(Fandual!B259&lt;&gt;"P",1,0)</f>
        <v>0</v>
      </c>
      <c r="D259" s="2">
        <f t="shared" si="8"/>
        <v>0</v>
      </c>
      <c r="E259" s="2">
        <f>IF(D259=1,Fandual!B259,0)</f>
        <v>0</v>
      </c>
      <c r="F259" s="2">
        <f>IF(D259=1,Fandual!D259,0)</f>
        <v>0</v>
      </c>
      <c r="G259" s="2">
        <f>IF(D259=1,Fandual!F259,0)</f>
        <v>0</v>
      </c>
      <c r="H259" s="2">
        <f>IF(D259=1,Fandual!H259,0)</f>
        <v>0</v>
      </c>
      <c r="I259" s="2">
        <f>IF((Optimizer!$J$8=Fandual!J259),4,0)</f>
        <v>0</v>
      </c>
      <c r="J259" s="2">
        <f>IF((Optimizer!$J$10=Fandual!J259),100,0)</f>
        <v>0</v>
      </c>
      <c r="K259" s="2">
        <f t="shared" ref="K259:K322" si="9">(I259+J259)*D259</f>
        <v>0</v>
      </c>
      <c r="L259" s="2">
        <f>IF(Fandual!M259="",1,0)</f>
        <v>1</v>
      </c>
    </row>
    <row r="260" spans="1:12" x14ac:dyDescent="0.25">
      <c r="A260" s="2">
        <f>IF((OR(Optimizer!$J$8=Fandual!J260,Optimizer!$J$10=Fandual!J260))=TRUE, 1,0)</f>
        <v>0</v>
      </c>
      <c r="B260" s="2">
        <f>IF((OR(Fandual!O260="",Fandual!O260&lt;&gt;0)=TRUE),1,0)</f>
        <v>1</v>
      </c>
      <c r="C260" s="2">
        <f>IF(Fandual!B260&lt;&gt;"P",1,0)</f>
        <v>0</v>
      </c>
      <c r="D260" s="2">
        <f t="shared" si="8"/>
        <v>0</v>
      </c>
      <c r="E260" s="2">
        <f>IF(D260=1,Fandual!B260,0)</f>
        <v>0</v>
      </c>
      <c r="F260" s="2">
        <f>IF(D260=1,Fandual!D260,0)</f>
        <v>0</v>
      </c>
      <c r="G260" s="2">
        <f>IF(D260=1,Fandual!F260,0)</f>
        <v>0</v>
      </c>
      <c r="H260" s="2">
        <f>IF(D260=1,Fandual!H260,0)</f>
        <v>0</v>
      </c>
      <c r="I260" s="2">
        <f>IF((Optimizer!$J$8=Fandual!J260),4,0)</f>
        <v>0</v>
      </c>
      <c r="J260" s="2">
        <f>IF((Optimizer!$J$10=Fandual!J260),100,0)</f>
        <v>0</v>
      </c>
      <c r="K260" s="2">
        <f t="shared" si="9"/>
        <v>0</v>
      </c>
      <c r="L260" s="2">
        <f>IF(Fandual!M260="",1,0)</f>
        <v>1</v>
      </c>
    </row>
    <row r="261" spans="1:12" x14ac:dyDescent="0.25">
      <c r="A261" s="2">
        <f>IF((OR(Optimizer!$J$8=Fandual!J261,Optimizer!$J$10=Fandual!J261))=TRUE, 1,0)</f>
        <v>0</v>
      </c>
      <c r="B261" s="2">
        <f>IF((OR(Fandual!O261="",Fandual!O261&lt;&gt;0)=TRUE),1,0)</f>
        <v>1</v>
      </c>
      <c r="C261" s="2">
        <f>IF(Fandual!B261&lt;&gt;"P",1,0)</f>
        <v>0</v>
      </c>
      <c r="D261" s="2">
        <f t="shared" si="8"/>
        <v>0</v>
      </c>
      <c r="E261" s="2">
        <f>IF(D261=1,Fandual!B261,0)</f>
        <v>0</v>
      </c>
      <c r="F261" s="2">
        <f>IF(D261=1,Fandual!D261,0)</f>
        <v>0</v>
      </c>
      <c r="G261" s="2">
        <f>IF(D261=1,Fandual!F261,0)</f>
        <v>0</v>
      </c>
      <c r="H261" s="2">
        <f>IF(D261=1,Fandual!H261,0)</f>
        <v>0</v>
      </c>
      <c r="I261" s="2">
        <f>IF((Optimizer!$J$8=Fandual!J261),4,0)</f>
        <v>0</v>
      </c>
      <c r="J261" s="2">
        <f>IF((Optimizer!$J$10=Fandual!J261),100,0)</f>
        <v>0</v>
      </c>
      <c r="K261" s="2">
        <f t="shared" si="9"/>
        <v>0</v>
      </c>
      <c r="L261" s="2">
        <f>IF(Fandual!M261="",1,0)</f>
        <v>1</v>
      </c>
    </row>
    <row r="262" spans="1:12" x14ac:dyDescent="0.25">
      <c r="A262" s="2">
        <f>IF((OR(Optimizer!$J$8=Fandual!J262,Optimizer!$J$10=Fandual!J262))=TRUE, 1,0)</f>
        <v>1</v>
      </c>
      <c r="B262" s="2">
        <f>IF((OR(Fandual!O262="",Fandual!O262&lt;&gt;0)=TRUE),1,0)</f>
        <v>1</v>
      </c>
      <c r="C262" s="2">
        <f>IF(Fandual!B262&lt;&gt;"P",1,0)</f>
        <v>0</v>
      </c>
      <c r="D262" s="2">
        <f t="shared" si="8"/>
        <v>0</v>
      </c>
      <c r="E262" s="2">
        <f>IF(D262=1,Fandual!B262,0)</f>
        <v>0</v>
      </c>
      <c r="F262" s="2">
        <f>IF(D262=1,Fandual!D262,0)</f>
        <v>0</v>
      </c>
      <c r="G262" s="2">
        <f>IF(D262=1,Fandual!F262,0)</f>
        <v>0</v>
      </c>
      <c r="H262" s="2">
        <f>IF(D262=1,Fandual!H262,0)</f>
        <v>0</v>
      </c>
      <c r="I262" s="2">
        <f>IF((Optimizer!$J$8=Fandual!J262),4,0)</f>
        <v>0</v>
      </c>
      <c r="J262" s="2">
        <f>IF((Optimizer!$J$10=Fandual!J262),100,0)</f>
        <v>100</v>
      </c>
      <c r="K262" s="2">
        <f t="shared" si="9"/>
        <v>0</v>
      </c>
      <c r="L262" s="2">
        <f>IF(Fandual!M262="",1,0)</f>
        <v>1</v>
      </c>
    </row>
    <row r="263" spans="1:12" x14ac:dyDescent="0.25">
      <c r="A263" s="2">
        <f>IF((OR(Optimizer!$J$8=Fandual!J263,Optimizer!$J$10=Fandual!J263))=TRUE, 1,0)</f>
        <v>0</v>
      </c>
      <c r="B263" s="2">
        <f>IF((OR(Fandual!O263="",Fandual!O263&lt;&gt;0)=TRUE),1,0)</f>
        <v>1</v>
      </c>
      <c r="C263" s="2">
        <f>IF(Fandual!B263&lt;&gt;"P",1,0)</f>
        <v>0</v>
      </c>
      <c r="D263" s="2">
        <f t="shared" si="8"/>
        <v>0</v>
      </c>
      <c r="E263" s="2">
        <f>IF(D263=1,Fandual!B263,0)</f>
        <v>0</v>
      </c>
      <c r="F263" s="2">
        <f>IF(D263=1,Fandual!D263,0)</f>
        <v>0</v>
      </c>
      <c r="G263" s="2">
        <f>IF(D263=1,Fandual!F263,0)</f>
        <v>0</v>
      </c>
      <c r="H263" s="2">
        <f>IF(D263=1,Fandual!H263,0)</f>
        <v>0</v>
      </c>
      <c r="I263" s="2">
        <f>IF((Optimizer!$J$8=Fandual!J263),4,0)</f>
        <v>0</v>
      </c>
      <c r="J263" s="2">
        <f>IF((Optimizer!$J$10=Fandual!J263),100,0)</f>
        <v>0</v>
      </c>
      <c r="K263" s="2">
        <f t="shared" si="9"/>
        <v>0</v>
      </c>
      <c r="L263" s="2">
        <f>IF(Fandual!M263="",1,0)</f>
        <v>1</v>
      </c>
    </row>
    <row r="264" spans="1:12" x14ac:dyDescent="0.25">
      <c r="A264" s="2">
        <f>IF((OR(Optimizer!$J$8=Fandual!J264,Optimizer!$J$10=Fandual!J264))=TRUE, 1,0)</f>
        <v>0</v>
      </c>
      <c r="B264" s="2">
        <f>IF((OR(Fandual!O264="",Fandual!O264&lt;&gt;0)=TRUE),1,0)</f>
        <v>1</v>
      </c>
      <c r="C264" s="2">
        <f>IF(Fandual!B264&lt;&gt;"P",1,0)</f>
        <v>0</v>
      </c>
      <c r="D264" s="2">
        <f t="shared" si="8"/>
        <v>0</v>
      </c>
      <c r="E264" s="2">
        <f>IF(D264=1,Fandual!B264,0)</f>
        <v>0</v>
      </c>
      <c r="F264" s="2">
        <f>IF(D264=1,Fandual!D264,0)</f>
        <v>0</v>
      </c>
      <c r="G264" s="2">
        <f>IF(D264=1,Fandual!F264,0)</f>
        <v>0</v>
      </c>
      <c r="H264" s="2">
        <f>IF(D264=1,Fandual!H264,0)</f>
        <v>0</v>
      </c>
      <c r="I264" s="2">
        <f>IF((Optimizer!$J$8=Fandual!J264),4,0)</f>
        <v>0</v>
      </c>
      <c r="J264" s="2">
        <f>IF((Optimizer!$J$10=Fandual!J264),100,0)</f>
        <v>0</v>
      </c>
      <c r="K264" s="2">
        <f t="shared" si="9"/>
        <v>0</v>
      </c>
      <c r="L264" s="2">
        <f>IF(Fandual!M264="",1,0)</f>
        <v>1</v>
      </c>
    </row>
    <row r="265" spans="1:12" x14ac:dyDescent="0.25">
      <c r="A265" s="2">
        <f>IF((OR(Optimizer!$J$8=Fandual!J265,Optimizer!$J$10=Fandual!J265))=TRUE, 1,0)</f>
        <v>0</v>
      </c>
      <c r="B265" s="2">
        <f>IF((OR(Fandual!O265="",Fandual!O265&lt;&gt;0)=TRUE),1,0)</f>
        <v>1</v>
      </c>
      <c r="C265" s="2">
        <f>IF(Fandual!B265&lt;&gt;"P",1,0)</f>
        <v>0</v>
      </c>
      <c r="D265" s="2">
        <f t="shared" si="8"/>
        <v>0</v>
      </c>
      <c r="E265" s="2">
        <f>IF(D265=1,Fandual!B265,0)</f>
        <v>0</v>
      </c>
      <c r="F265" s="2">
        <f>IF(D265=1,Fandual!D265,0)</f>
        <v>0</v>
      </c>
      <c r="G265" s="2">
        <f>IF(D265=1,Fandual!F265,0)</f>
        <v>0</v>
      </c>
      <c r="H265" s="2">
        <f>IF(D265=1,Fandual!H265,0)</f>
        <v>0</v>
      </c>
      <c r="I265" s="2">
        <f>IF((Optimizer!$J$8=Fandual!J265),4,0)</f>
        <v>0</v>
      </c>
      <c r="J265" s="2">
        <f>IF((Optimizer!$J$10=Fandual!J265),100,0)</f>
        <v>0</v>
      </c>
      <c r="K265" s="2">
        <f t="shared" si="9"/>
        <v>0</v>
      </c>
      <c r="L265" s="2">
        <f>IF(Fandual!M265="",1,0)</f>
        <v>1</v>
      </c>
    </row>
    <row r="266" spans="1:12" x14ac:dyDescent="0.25">
      <c r="A266" s="2">
        <f>IF((OR(Optimizer!$J$8=Fandual!J266,Optimizer!$J$10=Fandual!J266))=TRUE, 1,0)</f>
        <v>0</v>
      </c>
      <c r="B266" s="2">
        <f>IF((OR(Fandual!O266="",Fandual!O266&lt;&gt;0)=TRUE),1,0)</f>
        <v>1</v>
      </c>
      <c r="C266" s="2">
        <f>IF(Fandual!B266&lt;&gt;"P",1,0)</f>
        <v>0</v>
      </c>
      <c r="D266" s="2">
        <f t="shared" si="8"/>
        <v>0</v>
      </c>
      <c r="E266" s="2">
        <f>IF(D266=1,Fandual!B266,0)</f>
        <v>0</v>
      </c>
      <c r="F266" s="2">
        <f>IF(D266=1,Fandual!D266,0)</f>
        <v>0</v>
      </c>
      <c r="G266" s="2">
        <f>IF(D266=1,Fandual!F266,0)</f>
        <v>0</v>
      </c>
      <c r="H266" s="2">
        <f>IF(D266=1,Fandual!H266,0)</f>
        <v>0</v>
      </c>
      <c r="I266" s="2">
        <f>IF((Optimizer!$J$8=Fandual!J266),4,0)</f>
        <v>0</v>
      </c>
      <c r="J266" s="2">
        <f>IF((Optimizer!$J$10=Fandual!J266),100,0)</f>
        <v>0</v>
      </c>
      <c r="K266" s="2">
        <f t="shared" si="9"/>
        <v>0</v>
      </c>
      <c r="L266" s="2">
        <f>IF(Fandual!M266="",1,0)</f>
        <v>1</v>
      </c>
    </row>
    <row r="267" spans="1:12" x14ac:dyDescent="0.25">
      <c r="A267" s="2">
        <f>IF((OR(Optimizer!$J$8=Fandual!J267,Optimizer!$J$10=Fandual!J267))=TRUE, 1,0)</f>
        <v>0</v>
      </c>
      <c r="B267" s="2">
        <f>IF((OR(Fandual!O267="",Fandual!O267&lt;&gt;0)=TRUE),1,0)</f>
        <v>1</v>
      </c>
      <c r="C267" s="2">
        <f>IF(Fandual!B267&lt;&gt;"P",1,0)</f>
        <v>0</v>
      </c>
      <c r="D267" s="2">
        <f t="shared" si="8"/>
        <v>0</v>
      </c>
      <c r="E267" s="2">
        <f>IF(D267=1,Fandual!B267,0)</f>
        <v>0</v>
      </c>
      <c r="F267" s="2">
        <f>IF(D267=1,Fandual!D267,0)</f>
        <v>0</v>
      </c>
      <c r="G267" s="2">
        <f>IF(D267=1,Fandual!F267,0)</f>
        <v>0</v>
      </c>
      <c r="H267" s="2">
        <f>IF(D267=1,Fandual!H267,0)</f>
        <v>0</v>
      </c>
      <c r="I267" s="2">
        <f>IF((Optimizer!$J$8=Fandual!J267),4,0)</f>
        <v>0</v>
      </c>
      <c r="J267" s="2">
        <f>IF((Optimizer!$J$10=Fandual!J267),100,0)</f>
        <v>0</v>
      </c>
      <c r="K267" s="2">
        <f t="shared" si="9"/>
        <v>0</v>
      </c>
      <c r="L267" s="2">
        <f>IF(Fandual!M267="",1,0)</f>
        <v>1</v>
      </c>
    </row>
    <row r="268" spans="1:12" x14ac:dyDescent="0.25">
      <c r="A268" s="2">
        <f>IF((OR(Optimizer!$J$8=Fandual!J268,Optimizer!$J$10=Fandual!J268))=TRUE, 1,0)</f>
        <v>0</v>
      </c>
      <c r="B268" s="2">
        <f>IF((OR(Fandual!O268="",Fandual!O268&lt;&gt;0)=TRUE),1,0)</f>
        <v>1</v>
      </c>
      <c r="C268" s="2">
        <f>IF(Fandual!B268&lt;&gt;"P",1,0)</f>
        <v>0</v>
      </c>
      <c r="D268" s="2">
        <f t="shared" si="8"/>
        <v>0</v>
      </c>
      <c r="E268" s="2">
        <f>IF(D268=1,Fandual!B268,0)</f>
        <v>0</v>
      </c>
      <c r="F268" s="2">
        <f>IF(D268=1,Fandual!D268,0)</f>
        <v>0</v>
      </c>
      <c r="G268" s="2">
        <f>IF(D268=1,Fandual!F268,0)</f>
        <v>0</v>
      </c>
      <c r="H268" s="2">
        <f>IF(D268=1,Fandual!H268,0)</f>
        <v>0</v>
      </c>
      <c r="I268" s="2">
        <f>IF((Optimizer!$J$8=Fandual!J268),4,0)</f>
        <v>0</v>
      </c>
      <c r="J268" s="2">
        <f>IF((Optimizer!$J$10=Fandual!J268),100,0)</f>
        <v>0</v>
      </c>
      <c r="K268" s="2">
        <f t="shared" si="9"/>
        <v>0</v>
      </c>
      <c r="L268" s="2">
        <f>IF(Fandual!M268="",1,0)</f>
        <v>1</v>
      </c>
    </row>
    <row r="269" spans="1:12" x14ac:dyDescent="0.25">
      <c r="A269" s="2">
        <f>IF((OR(Optimizer!$J$8=Fandual!J269,Optimizer!$J$10=Fandual!J269))=TRUE, 1,0)</f>
        <v>1</v>
      </c>
      <c r="B269" s="2">
        <f>IF((OR(Fandual!O269="",Fandual!O269&lt;&gt;0)=TRUE),1,0)</f>
        <v>1</v>
      </c>
      <c r="C269" s="2">
        <f>IF(Fandual!B269&lt;&gt;"P",1,0)</f>
        <v>0</v>
      </c>
      <c r="D269" s="2">
        <f t="shared" si="8"/>
        <v>0</v>
      </c>
      <c r="E269" s="2">
        <f>IF(D269=1,Fandual!B269,0)</f>
        <v>0</v>
      </c>
      <c r="F269" s="2">
        <f>IF(D269=1,Fandual!D269,0)</f>
        <v>0</v>
      </c>
      <c r="G269" s="2">
        <f>IF(D269=1,Fandual!F269,0)</f>
        <v>0</v>
      </c>
      <c r="H269" s="2">
        <f>IF(D269=1,Fandual!H269,0)</f>
        <v>0</v>
      </c>
      <c r="I269" s="2">
        <f>IF((Optimizer!$J$8=Fandual!J269),4,0)</f>
        <v>4</v>
      </c>
      <c r="J269" s="2">
        <f>IF((Optimizer!$J$10=Fandual!J269),100,0)</f>
        <v>0</v>
      </c>
      <c r="K269" s="2">
        <f t="shared" si="9"/>
        <v>0</v>
      </c>
      <c r="L269" s="2">
        <f>IF(Fandual!M269="",1,0)</f>
        <v>1</v>
      </c>
    </row>
    <row r="270" spans="1:12" x14ac:dyDescent="0.25">
      <c r="A270" s="2">
        <f>IF((OR(Optimizer!$J$8=Fandual!J270,Optimizer!$J$10=Fandual!J270))=TRUE, 1,0)</f>
        <v>0</v>
      </c>
      <c r="B270" s="2">
        <f>IF((OR(Fandual!O270="",Fandual!O270&lt;&gt;0)=TRUE),1,0)</f>
        <v>1</v>
      </c>
      <c r="C270" s="2">
        <f>IF(Fandual!B270&lt;&gt;"P",1,0)</f>
        <v>0</v>
      </c>
      <c r="D270" s="2">
        <f t="shared" si="8"/>
        <v>0</v>
      </c>
      <c r="E270" s="2">
        <f>IF(D270=1,Fandual!B270,0)</f>
        <v>0</v>
      </c>
      <c r="F270" s="2">
        <f>IF(D270=1,Fandual!D270,0)</f>
        <v>0</v>
      </c>
      <c r="G270" s="2">
        <f>IF(D270=1,Fandual!F270,0)</f>
        <v>0</v>
      </c>
      <c r="H270" s="2">
        <f>IF(D270=1,Fandual!H270,0)</f>
        <v>0</v>
      </c>
      <c r="I270" s="2">
        <f>IF((Optimizer!$J$8=Fandual!J270),4,0)</f>
        <v>0</v>
      </c>
      <c r="J270" s="2">
        <f>IF((Optimizer!$J$10=Fandual!J270),100,0)</f>
        <v>0</v>
      </c>
      <c r="K270" s="2">
        <f t="shared" si="9"/>
        <v>0</v>
      </c>
      <c r="L270" s="2">
        <f>IF(Fandual!M270="",1,0)</f>
        <v>1</v>
      </c>
    </row>
    <row r="271" spans="1:12" x14ac:dyDescent="0.25">
      <c r="A271" s="2">
        <f>IF((OR(Optimizer!$J$8=Fandual!J271,Optimizer!$J$10=Fandual!J271))=TRUE, 1,0)</f>
        <v>0</v>
      </c>
      <c r="B271" s="2">
        <f>IF((OR(Fandual!O271="",Fandual!O271&lt;&gt;0)=TRUE),1,0)</f>
        <v>1</v>
      </c>
      <c r="C271" s="2">
        <f>IF(Fandual!B271&lt;&gt;"P",1,0)</f>
        <v>0</v>
      </c>
      <c r="D271" s="2">
        <f t="shared" si="8"/>
        <v>0</v>
      </c>
      <c r="E271" s="2">
        <f>IF(D271=1,Fandual!B271,0)</f>
        <v>0</v>
      </c>
      <c r="F271" s="2">
        <f>IF(D271=1,Fandual!D271,0)</f>
        <v>0</v>
      </c>
      <c r="G271" s="2">
        <f>IF(D271=1,Fandual!F271,0)</f>
        <v>0</v>
      </c>
      <c r="H271" s="2">
        <f>IF(D271=1,Fandual!H271,0)</f>
        <v>0</v>
      </c>
      <c r="I271" s="2">
        <f>IF((Optimizer!$J$8=Fandual!J271),4,0)</f>
        <v>0</v>
      </c>
      <c r="J271" s="2">
        <f>IF((Optimizer!$J$10=Fandual!J271),100,0)</f>
        <v>0</v>
      </c>
      <c r="K271" s="2">
        <f t="shared" si="9"/>
        <v>0</v>
      </c>
      <c r="L271" s="2">
        <f>IF(Fandual!M271="",1,0)</f>
        <v>1</v>
      </c>
    </row>
    <row r="272" spans="1:12" x14ac:dyDescent="0.25">
      <c r="A272" s="2">
        <f>IF((OR(Optimizer!$J$8=Fandual!J272,Optimizer!$J$10=Fandual!J272))=TRUE, 1,0)</f>
        <v>0</v>
      </c>
      <c r="B272" s="2">
        <f>IF((OR(Fandual!O272="",Fandual!O272&lt;&gt;0)=TRUE),1,0)</f>
        <v>1</v>
      </c>
      <c r="C272" s="2">
        <f>IF(Fandual!B272&lt;&gt;"P",1,0)</f>
        <v>0</v>
      </c>
      <c r="D272" s="2">
        <f t="shared" si="8"/>
        <v>0</v>
      </c>
      <c r="E272" s="2">
        <f>IF(D272=1,Fandual!B272,0)</f>
        <v>0</v>
      </c>
      <c r="F272" s="2">
        <f>IF(D272=1,Fandual!D272,0)</f>
        <v>0</v>
      </c>
      <c r="G272" s="2">
        <f>IF(D272=1,Fandual!F272,0)</f>
        <v>0</v>
      </c>
      <c r="H272" s="2">
        <f>IF(D272=1,Fandual!H272,0)</f>
        <v>0</v>
      </c>
      <c r="I272" s="2">
        <f>IF((Optimizer!$J$8=Fandual!J272),4,0)</f>
        <v>0</v>
      </c>
      <c r="J272" s="2">
        <f>IF((Optimizer!$J$10=Fandual!J272),100,0)</f>
        <v>0</v>
      </c>
      <c r="K272" s="2">
        <f t="shared" si="9"/>
        <v>0</v>
      </c>
      <c r="L272" s="2">
        <f>IF(Fandual!M272="",1,0)</f>
        <v>1</v>
      </c>
    </row>
    <row r="273" spans="1:12" x14ac:dyDescent="0.25">
      <c r="A273" s="2">
        <f>IF((OR(Optimizer!$J$8=Fandual!J273,Optimizer!$J$10=Fandual!J273))=TRUE, 1,0)</f>
        <v>0</v>
      </c>
      <c r="B273" s="2">
        <f>IF((OR(Fandual!O273="",Fandual!O273&lt;&gt;0)=TRUE),1,0)</f>
        <v>1</v>
      </c>
      <c r="C273" s="2">
        <f>IF(Fandual!B273&lt;&gt;"P",1,0)</f>
        <v>0</v>
      </c>
      <c r="D273" s="2">
        <f t="shared" si="8"/>
        <v>0</v>
      </c>
      <c r="E273" s="2">
        <f>IF(D273=1,Fandual!B273,0)</f>
        <v>0</v>
      </c>
      <c r="F273" s="2">
        <f>IF(D273=1,Fandual!D273,0)</f>
        <v>0</v>
      </c>
      <c r="G273" s="2">
        <f>IF(D273=1,Fandual!F273,0)</f>
        <v>0</v>
      </c>
      <c r="H273" s="2">
        <f>IF(D273=1,Fandual!H273,0)</f>
        <v>0</v>
      </c>
      <c r="I273" s="2">
        <f>IF((Optimizer!$J$8=Fandual!J273),4,0)</f>
        <v>0</v>
      </c>
      <c r="J273" s="2">
        <f>IF((Optimizer!$J$10=Fandual!J273),100,0)</f>
        <v>0</v>
      </c>
      <c r="K273" s="2">
        <f t="shared" si="9"/>
        <v>0</v>
      </c>
      <c r="L273" s="2">
        <f>IF(Fandual!M273="",1,0)</f>
        <v>1</v>
      </c>
    </row>
    <row r="274" spans="1:12" x14ac:dyDescent="0.25">
      <c r="A274" s="2">
        <f>IF((OR(Optimizer!$J$8=Fandual!J274,Optimizer!$J$10=Fandual!J274))=TRUE, 1,0)</f>
        <v>1</v>
      </c>
      <c r="B274" s="2">
        <f>IF((OR(Fandual!O274="",Fandual!O274&lt;&gt;0)=TRUE),1,0)</f>
        <v>1</v>
      </c>
      <c r="C274" s="2">
        <f>IF(Fandual!B274&lt;&gt;"P",1,0)</f>
        <v>0</v>
      </c>
      <c r="D274" s="2">
        <f t="shared" si="8"/>
        <v>0</v>
      </c>
      <c r="E274" s="2">
        <f>IF(D274=1,Fandual!B274,0)</f>
        <v>0</v>
      </c>
      <c r="F274" s="2">
        <f>IF(D274=1,Fandual!D274,0)</f>
        <v>0</v>
      </c>
      <c r="G274" s="2">
        <f>IF(D274=1,Fandual!F274,0)</f>
        <v>0</v>
      </c>
      <c r="H274" s="2">
        <f>IF(D274=1,Fandual!H274,0)</f>
        <v>0</v>
      </c>
      <c r="I274" s="2">
        <f>IF((Optimizer!$J$8=Fandual!J274),4,0)</f>
        <v>4</v>
      </c>
      <c r="J274" s="2">
        <f>IF((Optimizer!$J$10=Fandual!J274),100,0)</f>
        <v>0</v>
      </c>
      <c r="K274" s="2">
        <f t="shared" si="9"/>
        <v>0</v>
      </c>
      <c r="L274" s="2">
        <f>IF(Fandual!M274="",1,0)</f>
        <v>1</v>
      </c>
    </row>
    <row r="275" spans="1:12" x14ac:dyDescent="0.25">
      <c r="A275" s="2">
        <f>IF((OR(Optimizer!$J$8=Fandual!J275,Optimizer!$J$10=Fandual!J275))=TRUE, 1,0)</f>
        <v>0</v>
      </c>
      <c r="B275" s="2">
        <f>IF((OR(Fandual!O275="",Fandual!O275&lt;&gt;0)=TRUE),1,0)</f>
        <v>1</v>
      </c>
      <c r="C275" s="2">
        <f>IF(Fandual!B275&lt;&gt;"P",1,0)</f>
        <v>0</v>
      </c>
      <c r="D275" s="2">
        <f t="shared" si="8"/>
        <v>0</v>
      </c>
      <c r="E275" s="2">
        <f>IF(D275=1,Fandual!B275,0)</f>
        <v>0</v>
      </c>
      <c r="F275" s="2">
        <f>IF(D275=1,Fandual!D275,0)</f>
        <v>0</v>
      </c>
      <c r="G275" s="2">
        <f>IF(D275=1,Fandual!F275,0)</f>
        <v>0</v>
      </c>
      <c r="H275" s="2">
        <f>IF(D275=1,Fandual!H275,0)</f>
        <v>0</v>
      </c>
      <c r="I275" s="2">
        <f>IF((Optimizer!$J$8=Fandual!J275),4,0)</f>
        <v>0</v>
      </c>
      <c r="J275" s="2">
        <f>IF((Optimizer!$J$10=Fandual!J275),100,0)</f>
        <v>0</v>
      </c>
      <c r="K275" s="2">
        <f t="shared" si="9"/>
        <v>0</v>
      </c>
      <c r="L275" s="2">
        <f>IF(Fandual!M275="",1,0)</f>
        <v>1</v>
      </c>
    </row>
    <row r="276" spans="1:12" x14ac:dyDescent="0.25">
      <c r="A276" s="2">
        <f>IF((OR(Optimizer!$J$8=Fandual!J276,Optimizer!$J$10=Fandual!J276))=TRUE, 1,0)</f>
        <v>0</v>
      </c>
      <c r="B276" s="2">
        <f>IF((OR(Fandual!O276="",Fandual!O276&lt;&gt;0)=TRUE),1,0)</f>
        <v>1</v>
      </c>
      <c r="C276" s="2">
        <f>IF(Fandual!B276&lt;&gt;"P",1,0)</f>
        <v>0</v>
      </c>
      <c r="D276" s="2">
        <f t="shared" si="8"/>
        <v>0</v>
      </c>
      <c r="E276" s="2">
        <f>IF(D276=1,Fandual!B276,0)</f>
        <v>0</v>
      </c>
      <c r="F276" s="2">
        <f>IF(D276=1,Fandual!D276,0)</f>
        <v>0</v>
      </c>
      <c r="G276" s="2">
        <f>IF(D276=1,Fandual!F276,0)</f>
        <v>0</v>
      </c>
      <c r="H276" s="2">
        <f>IF(D276=1,Fandual!H276,0)</f>
        <v>0</v>
      </c>
      <c r="I276" s="2">
        <f>IF((Optimizer!$J$8=Fandual!J276),4,0)</f>
        <v>0</v>
      </c>
      <c r="J276" s="2">
        <f>IF((Optimizer!$J$10=Fandual!J276),100,0)</f>
        <v>0</v>
      </c>
      <c r="K276" s="2">
        <f t="shared" si="9"/>
        <v>0</v>
      </c>
      <c r="L276" s="2">
        <f>IF(Fandual!M276="",1,0)</f>
        <v>1</v>
      </c>
    </row>
    <row r="277" spans="1:12" x14ac:dyDescent="0.25">
      <c r="A277" s="2">
        <f>IF((OR(Optimizer!$J$8=Fandual!J277,Optimizer!$J$10=Fandual!J277))=TRUE, 1,0)</f>
        <v>0</v>
      </c>
      <c r="B277" s="2">
        <f>IF((OR(Fandual!O277="",Fandual!O277&lt;&gt;0)=TRUE),1,0)</f>
        <v>1</v>
      </c>
      <c r="C277" s="2">
        <f>IF(Fandual!B277&lt;&gt;"P",1,0)</f>
        <v>0</v>
      </c>
      <c r="D277" s="2">
        <f t="shared" si="8"/>
        <v>0</v>
      </c>
      <c r="E277" s="2">
        <f>IF(D277=1,Fandual!B277,0)</f>
        <v>0</v>
      </c>
      <c r="F277" s="2">
        <f>IF(D277=1,Fandual!D277,0)</f>
        <v>0</v>
      </c>
      <c r="G277" s="2">
        <f>IF(D277=1,Fandual!F277,0)</f>
        <v>0</v>
      </c>
      <c r="H277" s="2">
        <f>IF(D277=1,Fandual!H277,0)</f>
        <v>0</v>
      </c>
      <c r="I277" s="2">
        <f>IF((Optimizer!$J$8=Fandual!J277),4,0)</f>
        <v>0</v>
      </c>
      <c r="J277" s="2">
        <f>IF((Optimizer!$J$10=Fandual!J277),100,0)</f>
        <v>0</v>
      </c>
      <c r="K277" s="2">
        <f t="shared" si="9"/>
        <v>0</v>
      </c>
      <c r="L277" s="2">
        <f>IF(Fandual!M277="",1,0)</f>
        <v>1</v>
      </c>
    </row>
    <row r="278" spans="1:12" x14ac:dyDescent="0.25">
      <c r="A278" s="2">
        <f>IF((OR(Optimizer!$J$8=Fandual!J278,Optimizer!$J$10=Fandual!J278))=TRUE, 1,0)</f>
        <v>0</v>
      </c>
      <c r="B278" s="2">
        <f>IF((OR(Fandual!O278="",Fandual!O278&lt;&gt;0)=TRUE),1,0)</f>
        <v>1</v>
      </c>
      <c r="C278" s="2">
        <f>IF(Fandual!B278&lt;&gt;"P",1,0)</f>
        <v>0</v>
      </c>
      <c r="D278" s="2">
        <f t="shared" si="8"/>
        <v>0</v>
      </c>
      <c r="E278" s="2">
        <f>IF(D278=1,Fandual!B278,0)</f>
        <v>0</v>
      </c>
      <c r="F278" s="2">
        <f>IF(D278=1,Fandual!D278,0)</f>
        <v>0</v>
      </c>
      <c r="G278" s="2">
        <f>IF(D278=1,Fandual!F278,0)</f>
        <v>0</v>
      </c>
      <c r="H278" s="2">
        <f>IF(D278=1,Fandual!H278,0)</f>
        <v>0</v>
      </c>
      <c r="I278" s="2">
        <f>IF((Optimizer!$J$8=Fandual!J278),4,0)</f>
        <v>0</v>
      </c>
      <c r="J278" s="2">
        <f>IF((Optimizer!$J$10=Fandual!J278),100,0)</f>
        <v>0</v>
      </c>
      <c r="K278" s="2">
        <f t="shared" si="9"/>
        <v>0</v>
      </c>
      <c r="L278" s="2">
        <f>IF(Fandual!M278="",1,0)</f>
        <v>1</v>
      </c>
    </row>
    <row r="279" spans="1:12" x14ac:dyDescent="0.25">
      <c r="A279" s="2">
        <f>IF((OR(Optimizer!$J$8=Fandual!J279,Optimizer!$J$10=Fandual!J279))=TRUE, 1,0)</f>
        <v>0</v>
      </c>
      <c r="B279" s="2">
        <f>IF((OR(Fandual!O279="",Fandual!O279&lt;&gt;0)=TRUE),1,0)</f>
        <v>1</v>
      </c>
      <c r="C279" s="2">
        <f>IF(Fandual!B279&lt;&gt;"P",1,0)</f>
        <v>0</v>
      </c>
      <c r="D279" s="2">
        <f t="shared" si="8"/>
        <v>0</v>
      </c>
      <c r="E279" s="2">
        <f>IF(D279=1,Fandual!B279,0)</f>
        <v>0</v>
      </c>
      <c r="F279" s="2">
        <f>IF(D279=1,Fandual!D279,0)</f>
        <v>0</v>
      </c>
      <c r="G279" s="2">
        <f>IF(D279=1,Fandual!F279,0)</f>
        <v>0</v>
      </c>
      <c r="H279" s="2">
        <f>IF(D279=1,Fandual!H279,0)</f>
        <v>0</v>
      </c>
      <c r="I279" s="2">
        <f>IF((Optimizer!$J$8=Fandual!J279),4,0)</f>
        <v>0</v>
      </c>
      <c r="J279" s="2">
        <f>IF((Optimizer!$J$10=Fandual!J279),100,0)</f>
        <v>0</v>
      </c>
      <c r="K279" s="2">
        <f t="shared" si="9"/>
        <v>0</v>
      </c>
      <c r="L279" s="2">
        <f>IF(Fandual!M279="",1,0)</f>
        <v>1</v>
      </c>
    </row>
    <row r="280" spans="1:12" x14ac:dyDescent="0.25">
      <c r="A280" s="2">
        <f>IF((OR(Optimizer!$J$8=Fandual!J280,Optimizer!$J$10=Fandual!J280))=TRUE, 1,0)</f>
        <v>0</v>
      </c>
      <c r="B280" s="2">
        <f>IF((OR(Fandual!O280="",Fandual!O280&lt;&gt;0)=TRUE),1,0)</f>
        <v>1</v>
      </c>
      <c r="C280" s="2">
        <f>IF(Fandual!B280&lt;&gt;"P",1,0)</f>
        <v>0</v>
      </c>
      <c r="D280" s="2">
        <f t="shared" si="8"/>
        <v>0</v>
      </c>
      <c r="E280" s="2">
        <f>IF(D280=1,Fandual!B280,0)</f>
        <v>0</v>
      </c>
      <c r="F280" s="2">
        <f>IF(D280=1,Fandual!D280,0)</f>
        <v>0</v>
      </c>
      <c r="G280" s="2">
        <f>IF(D280=1,Fandual!F280,0)</f>
        <v>0</v>
      </c>
      <c r="H280" s="2">
        <f>IF(D280=1,Fandual!H280,0)</f>
        <v>0</v>
      </c>
      <c r="I280" s="2">
        <f>IF((Optimizer!$J$8=Fandual!J280),4,0)</f>
        <v>0</v>
      </c>
      <c r="J280" s="2">
        <f>IF((Optimizer!$J$10=Fandual!J280),100,0)</f>
        <v>0</v>
      </c>
      <c r="K280" s="2">
        <f t="shared" si="9"/>
        <v>0</v>
      </c>
      <c r="L280" s="2">
        <f>IF(Fandual!M280="",1,0)</f>
        <v>1</v>
      </c>
    </row>
    <row r="281" spans="1:12" x14ac:dyDescent="0.25">
      <c r="A281" s="2">
        <f>IF((OR(Optimizer!$J$8=Fandual!J281,Optimizer!$J$10=Fandual!J281))=TRUE, 1,0)</f>
        <v>0</v>
      </c>
      <c r="B281" s="2">
        <f>IF((OR(Fandual!O281="",Fandual!O281&lt;&gt;0)=TRUE),1,0)</f>
        <v>1</v>
      </c>
      <c r="C281" s="2">
        <f>IF(Fandual!B281&lt;&gt;"P",1,0)</f>
        <v>0</v>
      </c>
      <c r="D281" s="2">
        <f t="shared" si="8"/>
        <v>0</v>
      </c>
      <c r="E281" s="2">
        <f>IF(D281=1,Fandual!B281,0)</f>
        <v>0</v>
      </c>
      <c r="F281" s="2">
        <f>IF(D281=1,Fandual!D281,0)</f>
        <v>0</v>
      </c>
      <c r="G281" s="2">
        <f>IF(D281=1,Fandual!F281,0)</f>
        <v>0</v>
      </c>
      <c r="H281" s="2">
        <f>IF(D281=1,Fandual!H281,0)</f>
        <v>0</v>
      </c>
      <c r="I281" s="2">
        <f>IF((Optimizer!$J$8=Fandual!J281),4,0)</f>
        <v>0</v>
      </c>
      <c r="J281" s="2">
        <f>IF((Optimizer!$J$10=Fandual!J281),100,0)</f>
        <v>0</v>
      </c>
      <c r="K281" s="2">
        <f t="shared" si="9"/>
        <v>0</v>
      </c>
      <c r="L281" s="2">
        <f>IF(Fandual!M281="",1,0)</f>
        <v>1</v>
      </c>
    </row>
    <row r="282" spans="1:12" x14ac:dyDescent="0.25">
      <c r="A282" s="2">
        <f>IF((OR(Optimizer!$J$8=Fandual!J282,Optimizer!$J$10=Fandual!J282))=TRUE, 1,0)</f>
        <v>0</v>
      </c>
      <c r="B282" s="2">
        <f>IF((OR(Fandual!O282="",Fandual!O282&lt;&gt;0)=TRUE),1,0)</f>
        <v>1</v>
      </c>
      <c r="C282" s="2">
        <f>IF(Fandual!B282&lt;&gt;"P",1,0)</f>
        <v>0</v>
      </c>
      <c r="D282" s="2">
        <f t="shared" si="8"/>
        <v>0</v>
      </c>
      <c r="E282" s="2">
        <f>IF(D282=1,Fandual!B282,0)</f>
        <v>0</v>
      </c>
      <c r="F282" s="2">
        <f>IF(D282=1,Fandual!D282,0)</f>
        <v>0</v>
      </c>
      <c r="G282" s="2">
        <f>IF(D282=1,Fandual!F282,0)</f>
        <v>0</v>
      </c>
      <c r="H282" s="2">
        <f>IF(D282=1,Fandual!H282,0)</f>
        <v>0</v>
      </c>
      <c r="I282" s="2">
        <f>IF((Optimizer!$J$8=Fandual!J282),4,0)</f>
        <v>0</v>
      </c>
      <c r="J282" s="2">
        <f>IF((Optimizer!$J$10=Fandual!J282),100,0)</f>
        <v>0</v>
      </c>
      <c r="K282" s="2">
        <f t="shared" si="9"/>
        <v>0</v>
      </c>
      <c r="L282" s="2">
        <f>IF(Fandual!M282="",1,0)</f>
        <v>1</v>
      </c>
    </row>
    <row r="283" spans="1:12" x14ac:dyDescent="0.25">
      <c r="A283" s="2">
        <f>IF((OR(Optimizer!$J$8=Fandual!J283,Optimizer!$J$10=Fandual!J283))=TRUE, 1,0)</f>
        <v>0</v>
      </c>
      <c r="B283" s="2">
        <f>IF((OR(Fandual!O283="",Fandual!O283&lt;&gt;0)=TRUE),1,0)</f>
        <v>1</v>
      </c>
      <c r="C283" s="2">
        <f>IF(Fandual!B283&lt;&gt;"P",1,0)</f>
        <v>0</v>
      </c>
      <c r="D283" s="2">
        <f t="shared" si="8"/>
        <v>0</v>
      </c>
      <c r="E283" s="2">
        <f>IF(D283=1,Fandual!B283,0)</f>
        <v>0</v>
      </c>
      <c r="F283" s="2">
        <f>IF(D283=1,Fandual!D283,0)</f>
        <v>0</v>
      </c>
      <c r="G283" s="2">
        <f>IF(D283=1,Fandual!F283,0)</f>
        <v>0</v>
      </c>
      <c r="H283" s="2">
        <f>IF(D283=1,Fandual!H283,0)</f>
        <v>0</v>
      </c>
      <c r="I283" s="2">
        <f>IF((Optimizer!$J$8=Fandual!J283),4,0)</f>
        <v>0</v>
      </c>
      <c r="J283" s="2">
        <f>IF((Optimizer!$J$10=Fandual!J283),100,0)</f>
        <v>0</v>
      </c>
      <c r="K283" s="2">
        <f t="shared" si="9"/>
        <v>0</v>
      </c>
      <c r="L283" s="2">
        <f>IF(Fandual!M283="",1,0)</f>
        <v>1</v>
      </c>
    </row>
    <row r="284" spans="1:12" x14ac:dyDescent="0.25">
      <c r="A284" s="2">
        <f>IF((OR(Optimizer!$J$8=Fandual!J284,Optimizer!$J$10=Fandual!J284))=TRUE, 1,0)</f>
        <v>0</v>
      </c>
      <c r="B284" s="2">
        <f>IF((OR(Fandual!O284="",Fandual!O284&lt;&gt;0)=TRUE),1,0)</f>
        <v>1</v>
      </c>
      <c r="C284" s="2">
        <f>IF(Fandual!B284&lt;&gt;"P",1,0)</f>
        <v>0</v>
      </c>
      <c r="D284" s="2">
        <f t="shared" si="8"/>
        <v>0</v>
      </c>
      <c r="E284" s="2">
        <f>IF(D284=1,Fandual!B284,0)</f>
        <v>0</v>
      </c>
      <c r="F284" s="2">
        <f>IF(D284=1,Fandual!D284,0)</f>
        <v>0</v>
      </c>
      <c r="G284" s="2">
        <f>IF(D284=1,Fandual!F284,0)</f>
        <v>0</v>
      </c>
      <c r="H284" s="2">
        <f>IF(D284=1,Fandual!H284,0)</f>
        <v>0</v>
      </c>
      <c r="I284" s="2">
        <f>IF((Optimizer!$J$8=Fandual!J284),4,0)</f>
        <v>0</v>
      </c>
      <c r="J284" s="2">
        <f>IF((Optimizer!$J$10=Fandual!J284),100,0)</f>
        <v>0</v>
      </c>
      <c r="K284" s="2">
        <f t="shared" si="9"/>
        <v>0</v>
      </c>
      <c r="L284" s="2">
        <f>IF(Fandual!M284="",1,0)</f>
        <v>1</v>
      </c>
    </row>
    <row r="285" spans="1:12" x14ac:dyDescent="0.25">
      <c r="A285" s="2">
        <f>IF((OR(Optimizer!$J$8=Fandual!J285,Optimizer!$J$10=Fandual!J285))=TRUE, 1,0)</f>
        <v>0</v>
      </c>
      <c r="B285" s="2">
        <f>IF((OR(Fandual!O285="",Fandual!O285&lt;&gt;0)=TRUE),1,0)</f>
        <v>1</v>
      </c>
      <c r="C285" s="2">
        <f>IF(Fandual!B285&lt;&gt;"P",1,0)</f>
        <v>0</v>
      </c>
      <c r="D285" s="2">
        <f t="shared" si="8"/>
        <v>0</v>
      </c>
      <c r="E285" s="2">
        <f>IF(D285=1,Fandual!B285,0)</f>
        <v>0</v>
      </c>
      <c r="F285" s="2">
        <f>IF(D285=1,Fandual!D285,0)</f>
        <v>0</v>
      </c>
      <c r="G285" s="2">
        <f>IF(D285=1,Fandual!F285,0)</f>
        <v>0</v>
      </c>
      <c r="H285" s="2">
        <f>IF(D285=1,Fandual!H285,0)</f>
        <v>0</v>
      </c>
      <c r="I285" s="2">
        <f>IF((Optimizer!$J$8=Fandual!J285),4,0)</f>
        <v>0</v>
      </c>
      <c r="J285" s="2">
        <f>IF((Optimizer!$J$10=Fandual!J285),100,0)</f>
        <v>0</v>
      </c>
      <c r="K285" s="2">
        <f t="shared" si="9"/>
        <v>0</v>
      </c>
      <c r="L285" s="2">
        <f>IF(Fandual!M285="",1,0)</f>
        <v>1</v>
      </c>
    </row>
    <row r="286" spans="1:12" x14ac:dyDescent="0.25">
      <c r="A286" s="2">
        <f>IF((OR(Optimizer!$J$8=Fandual!J286,Optimizer!$J$10=Fandual!J286))=TRUE, 1,0)</f>
        <v>0</v>
      </c>
      <c r="B286" s="2">
        <f>IF((OR(Fandual!O286="",Fandual!O286&lt;&gt;0)=TRUE),1,0)</f>
        <v>1</v>
      </c>
      <c r="C286" s="2">
        <f>IF(Fandual!B286&lt;&gt;"P",1,0)</f>
        <v>0</v>
      </c>
      <c r="D286" s="2">
        <f t="shared" si="8"/>
        <v>0</v>
      </c>
      <c r="E286" s="2">
        <f>IF(D286=1,Fandual!B286,0)</f>
        <v>0</v>
      </c>
      <c r="F286" s="2">
        <f>IF(D286=1,Fandual!D286,0)</f>
        <v>0</v>
      </c>
      <c r="G286" s="2">
        <f>IF(D286=1,Fandual!F286,0)</f>
        <v>0</v>
      </c>
      <c r="H286" s="2">
        <f>IF(D286=1,Fandual!H286,0)</f>
        <v>0</v>
      </c>
      <c r="I286" s="2">
        <f>IF((Optimizer!$J$8=Fandual!J286),4,0)</f>
        <v>0</v>
      </c>
      <c r="J286" s="2">
        <f>IF((Optimizer!$J$10=Fandual!J286),100,0)</f>
        <v>0</v>
      </c>
      <c r="K286" s="2">
        <f t="shared" si="9"/>
        <v>0</v>
      </c>
      <c r="L286" s="2">
        <f>IF(Fandual!M286="",1,0)</f>
        <v>1</v>
      </c>
    </row>
    <row r="287" spans="1:12" x14ac:dyDescent="0.25">
      <c r="A287" s="2">
        <f>IF((OR(Optimizer!$J$8=Fandual!J287,Optimizer!$J$10=Fandual!J287))=TRUE, 1,0)</f>
        <v>0</v>
      </c>
      <c r="B287" s="2">
        <f>IF((OR(Fandual!O287="",Fandual!O287&lt;&gt;0)=TRUE),1,0)</f>
        <v>1</v>
      </c>
      <c r="C287" s="2">
        <f>IF(Fandual!B287&lt;&gt;"P",1,0)</f>
        <v>0</v>
      </c>
      <c r="D287" s="2">
        <f t="shared" si="8"/>
        <v>0</v>
      </c>
      <c r="E287" s="2">
        <f>IF(D287=1,Fandual!B287,0)</f>
        <v>0</v>
      </c>
      <c r="F287" s="2">
        <f>IF(D287=1,Fandual!D287,0)</f>
        <v>0</v>
      </c>
      <c r="G287" s="2">
        <f>IF(D287=1,Fandual!F287,0)</f>
        <v>0</v>
      </c>
      <c r="H287" s="2">
        <f>IF(D287=1,Fandual!H287,0)</f>
        <v>0</v>
      </c>
      <c r="I287" s="2">
        <f>IF((Optimizer!$J$8=Fandual!J287),4,0)</f>
        <v>0</v>
      </c>
      <c r="J287" s="2">
        <f>IF((Optimizer!$J$10=Fandual!J287),100,0)</f>
        <v>0</v>
      </c>
      <c r="K287" s="2">
        <f t="shared" si="9"/>
        <v>0</v>
      </c>
      <c r="L287" s="2">
        <f>IF(Fandual!M287="",1,0)</f>
        <v>1</v>
      </c>
    </row>
    <row r="288" spans="1:12" x14ac:dyDescent="0.25">
      <c r="A288" s="2">
        <f>IF((OR(Optimizer!$J$8=Fandual!J288,Optimizer!$J$10=Fandual!J288))=TRUE, 1,0)</f>
        <v>0</v>
      </c>
      <c r="B288" s="2">
        <f>IF((OR(Fandual!O288="",Fandual!O288&lt;&gt;0)=TRUE),1,0)</f>
        <v>1</v>
      </c>
      <c r="C288" s="2">
        <f>IF(Fandual!B288&lt;&gt;"P",1,0)</f>
        <v>0</v>
      </c>
      <c r="D288" s="2">
        <f t="shared" si="8"/>
        <v>0</v>
      </c>
      <c r="E288" s="2">
        <f>IF(D288=1,Fandual!B288,0)</f>
        <v>0</v>
      </c>
      <c r="F288" s="2">
        <f>IF(D288=1,Fandual!D288,0)</f>
        <v>0</v>
      </c>
      <c r="G288" s="2">
        <f>IF(D288=1,Fandual!F288,0)</f>
        <v>0</v>
      </c>
      <c r="H288" s="2">
        <f>IF(D288=1,Fandual!H288,0)</f>
        <v>0</v>
      </c>
      <c r="I288" s="2">
        <f>IF((Optimizer!$J$8=Fandual!J288),4,0)</f>
        <v>0</v>
      </c>
      <c r="J288" s="2">
        <f>IF((Optimizer!$J$10=Fandual!J288),100,0)</f>
        <v>0</v>
      </c>
      <c r="K288" s="2">
        <f t="shared" si="9"/>
        <v>0</v>
      </c>
      <c r="L288" s="2">
        <f>IF(Fandual!M288="",1,0)</f>
        <v>1</v>
      </c>
    </row>
    <row r="289" spans="1:12" x14ac:dyDescent="0.25">
      <c r="A289" s="2">
        <f>IF((OR(Optimizer!$J$8=Fandual!J289,Optimizer!$J$10=Fandual!J289))=TRUE, 1,0)</f>
        <v>0</v>
      </c>
      <c r="B289" s="2">
        <f>IF((OR(Fandual!O289="",Fandual!O289&lt;&gt;0)=TRUE),1,0)</f>
        <v>1</v>
      </c>
      <c r="C289" s="2">
        <f>IF(Fandual!B289&lt;&gt;"P",1,0)</f>
        <v>0</v>
      </c>
      <c r="D289" s="2">
        <f t="shared" si="8"/>
        <v>0</v>
      </c>
      <c r="E289" s="2">
        <f>IF(D289=1,Fandual!B289,0)</f>
        <v>0</v>
      </c>
      <c r="F289" s="2">
        <f>IF(D289=1,Fandual!D289,0)</f>
        <v>0</v>
      </c>
      <c r="G289" s="2">
        <f>IF(D289=1,Fandual!F289,0)</f>
        <v>0</v>
      </c>
      <c r="H289" s="2">
        <f>IF(D289=1,Fandual!H289,0)</f>
        <v>0</v>
      </c>
      <c r="I289" s="2">
        <f>IF((Optimizer!$J$8=Fandual!J289),4,0)</f>
        <v>0</v>
      </c>
      <c r="J289" s="2">
        <f>IF((Optimizer!$J$10=Fandual!J289),100,0)</f>
        <v>0</v>
      </c>
      <c r="K289" s="2">
        <f t="shared" si="9"/>
        <v>0</v>
      </c>
      <c r="L289" s="2">
        <f>IF(Fandual!M289="",1,0)</f>
        <v>1</v>
      </c>
    </row>
    <row r="290" spans="1:12" x14ac:dyDescent="0.25">
      <c r="A290" s="2">
        <f>IF((OR(Optimizer!$J$8=Fandual!J290,Optimizer!$J$10=Fandual!J290))=TRUE, 1,0)</f>
        <v>0</v>
      </c>
      <c r="B290" s="2">
        <f>IF((OR(Fandual!O290="",Fandual!O290&lt;&gt;0)=TRUE),1,0)</f>
        <v>1</v>
      </c>
      <c r="C290" s="2">
        <f>IF(Fandual!B290&lt;&gt;"P",1,0)</f>
        <v>0</v>
      </c>
      <c r="D290" s="2">
        <f t="shared" si="8"/>
        <v>0</v>
      </c>
      <c r="E290" s="2">
        <f>IF(D290=1,Fandual!B290,0)</f>
        <v>0</v>
      </c>
      <c r="F290" s="2">
        <f>IF(D290=1,Fandual!D290,0)</f>
        <v>0</v>
      </c>
      <c r="G290" s="2">
        <f>IF(D290=1,Fandual!F290,0)</f>
        <v>0</v>
      </c>
      <c r="H290" s="2">
        <f>IF(D290=1,Fandual!H290,0)</f>
        <v>0</v>
      </c>
      <c r="I290" s="2">
        <f>IF((Optimizer!$J$8=Fandual!J290),4,0)</f>
        <v>0</v>
      </c>
      <c r="J290" s="2">
        <f>IF((Optimizer!$J$10=Fandual!J290),100,0)</f>
        <v>0</v>
      </c>
      <c r="K290" s="2">
        <f t="shared" si="9"/>
        <v>0</v>
      </c>
      <c r="L290" s="2">
        <f>IF(Fandual!M290="",1,0)</f>
        <v>1</v>
      </c>
    </row>
    <row r="291" spans="1:12" x14ac:dyDescent="0.25">
      <c r="A291" s="2">
        <f>IF((OR(Optimizer!$J$8=Fandual!J291,Optimizer!$J$10=Fandual!J291))=TRUE, 1,0)</f>
        <v>0</v>
      </c>
      <c r="B291" s="2">
        <f>IF((OR(Fandual!O291="",Fandual!O291&lt;&gt;0)=TRUE),1,0)</f>
        <v>1</v>
      </c>
      <c r="C291" s="2">
        <f>IF(Fandual!B291&lt;&gt;"P",1,0)</f>
        <v>0</v>
      </c>
      <c r="D291" s="2">
        <f t="shared" si="8"/>
        <v>0</v>
      </c>
      <c r="E291" s="2">
        <f>IF(D291=1,Fandual!B291,0)</f>
        <v>0</v>
      </c>
      <c r="F291" s="2">
        <f>IF(D291=1,Fandual!D291,0)</f>
        <v>0</v>
      </c>
      <c r="G291" s="2">
        <f>IF(D291=1,Fandual!F291,0)</f>
        <v>0</v>
      </c>
      <c r="H291" s="2">
        <f>IF(D291=1,Fandual!H291,0)</f>
        <v>0</v>
      </c>
      <c r="I291" s="2">
        <f>IF((Optimizer!$J$8=Fandual!J291),4,0)</f>
        <v>0</v>
      </c>
      <c r="J291" s="2">
        <f>IF((Optimizer!$J$10=Fandual!J291),100,0)</f>
        <v>0</v>
      </c>
      <c r="K291" s="2">
        <f t="shared" si="9"/>
        <v>0</v>
      </c>
      <c r="L291" s="2">
        <f>IF(Fandual!M291="",1,0)</f>
        <v>1</v>
      </c>
    </row>
    <row r="292" spans="1:12" x14ac:dyDescent="0.25">
      <c r="A292" s="2">
        <f>IF((OR(Optimizer!$J$8=Fandual!J292,Optimizer!$J$10=Fandual!J292))=TRUE, 1,0)</f>
        <v>0</v>
      </c>
      <c r="B292" s="2">
        <f>IF((OR(Fandual!O292="",Fandual!O292&lt;&gt;0)=TRUE),1,0)</f>
        <v>1</v>
      </c>
      <c r="C292" s="2">
        <f>IF(Fandual!B292&lt;&gt;"P",1,0)</f>
        <v>0</v>
      </c>
      <c r="D292" s="2">
        <f t="shared" si="8"/>
        <v>0</v>
      </c>
      <c r="E292" s="2">
        <f>IF(D292=1,Fandual!B292,0)</f>
        <v>0</v>
      </c>
      <c r="F292" s="2">
        <f>IF(D292=1,Fandual!D292,0)</f>
        <v>0</v>
      </c>
      <c r="G292" s="2">
        <f>IF(D292=1,Fandual!F292,0)</f>
        <v>0</v>
      </c>
      <c r="H292" s="2">
        <f>IF(D292=1,Fandual!H292,0)</f>
        <v>0</v>
      </c>
      <c r="I292" s="2">
        <f>IF((Optimizer!$J$8=Fandual!J292),4,0)</f>
        <v>0</v>
      </c>
      <c r="J292" s="2">
        <f>IF((Optimizer!$J$10=Fandual!J292),100,0)</f>
        <v>0</v>
      </c>
      <c r="K292" s="2">
        <f t="shared" si="9"/>
        <v>0</v>
      </c>
      <c r="L292" s="2">
        <f>IF(Fandual!M292="",1,0)</f>
        <v>1</v>
      </c>
    </row>
    <row r="293" spans="1:12" x14ac:dyDescent="0.25">
      <c r="A293" s="2">
        <f>IF((OR(Optimizer!$J$8=Fandual!J293,Optimizer!$J$10=Fandual!J293))=TRUE, 1,0)</f>
        <v>1</v>
      </c>
      <c r="B293" s="2">
        <f>IF((OR(Fandual!O293="",Fandual!O293&lt;&gt;0)=TRUE),1,0)</f>
        <v>1</v>
      </c>
      <c r="C293" s="2">
        <f>IF(Fandual!B293&lt;&gt;"P",1,0)</f>
        <v>0</v>
      </c>
      <c r="D293" s="2">
        <f t="shared" si="8"/>
        <v>0</v>
      </c>
      <c r="E293" s="2">
        <f>IF(D293=1,Fandual!B293,0)</f>
        <v>0</v>
      </c>
      <c r="F293" s="2">
        <f>IF(D293=1,Fandual!D293,0)</f>
        <v>0</v>
      </c>
      <c r="G293" s="2">
        <f>IF(D293=1,Fandual!F293,0)</f>
        <v>0</v>
      </c>
      <c r="H293" s="2">
        <f>IF(D293=1,Fandual!H293,0)</f>
        <v>0</v>
      </c>
      <c r="I293" s="2">
        <f>IF((Optimizer!$J$8=Fandual!J293),4,0)</f>
        <v>4</v>
      </c>
      <c r="J293" s="2">
        <f>IF((Optimizer!$J$10=Fandual!J293),100,0)</f>
        <v>0</v>
      </c>
      <c r="K293" s="2">
        <f t="shared" si="9"/>
        <v>0</v>
      </c>
      <c r="L293" s="2">
        <f>IF(Fandual!M293="",1,0)</f>
        <v>0</v>
      </c>
    </row>
    <row r="294" spans="1:12" x14ac:dyDescent="0.25">
      <c r="A294" s="2">
        <f>IF((OR(Optimizer!$J$8=Fandual!J294,Optimizer!$J$10=Fandual!J294))=TRUE, 1,0)</f>
        <v>1</v>
      </c>
      <c r="B294" s="2">
        <f>IF((OR(Fandual!O294="",Fandual!O294&lt;&gt;0)=TRUE),1,0)</f>
        <v>1</v>
      </c>
      <c r="C294" s="2">
        <f>IF(Fandual!B294&lt;&gt;"P",1,0)</f>
        <v>0</v>
      </c>
      <c r="D294" s="2">
        <f t="shared" si="8"/>
        <v>0</v>
      </c>
      <c r="E294" s="2">
        <f>IF(D294=1,Fandual!B294,0)</f>
        <v>0</v>
      </c>
      <c r="F294" s="2">
        <f>IF(D294=1,Fandual!D294,0)</f>
        <v>0</v>
      </c>
      <c r="G294" s="2">
        <f>IF(D294=1,Fandual!F294,0)</f>
        <v>0</v>
      </c>
      <c r="H294" s="2">
        <f>IF(D294=1,Fandual!H294,0)</f>
        <v>0</v>
      </c>
      <c r="I294" s="2">
        <f>IF((Optimizer!$J$8=Fandual!J294),4,0)</f>
        <v>4</v>
      </c>
      <c r="J294" s="2">
        <f>IF((Optimizer!$J$10=Fandual!J294),100,0)</f>
        <v>0</v>
      </c>
      <c r="K294" s="2">
        <f t="shared" si="9"/>
        <v>0</v>
      </c>
      <c r="L294" s="2">
        <f>IF(Fandual!M294="",1,0)</f>
        <v>1</v>
      </c>
    </row>
    <row r="295" spans="1:12" x14ac:dyDescent="0.25">
      <c r="A295" s="2">
        <f>IF((OR(Optimizer!$J$8=Fandual!J295,Optimizer!$J$10=Fandual!J295))=TRUE, 1,0)</f>
        <v>0</v>
      </c>
      <c r="B295" s="2">
        <f>IF((OR(Fandual!O295="",Fandual!O295&lt;&gt;0)=TRUE),1,0)</f>
        <v>1</v>
      </c>
      <c r="C295" s="2">
        <f>IF(Fandual!B295&lt;&gt;"P",1,0)</f>
        <v>0</v>
      </c>
      <c r="D295" s="2">
        <f t="shared" si="8"/>
        <v>0</v>
      </c>
      <c r="E295" s="2">
        <f>IF(D295=1,Fandual!B295,0)</f>
        <v>0</v>
      </c>
      <c r="F295" s="2">
        <f>IF(D295=1,Fandual!D295,0)</f>
        <v>0</v>
      </c>
      <c r="G295" s="2">
        <f>IF(D295=1,Fandual!F295,0)</f>
        <v>0</v>
      </c>
      <c r="H295" s="2">
        <f>IF(D295=1,Fandual!H295,0)</f>
        <v>0</v>
      </c>
      <c r="I295" s="2">
        <f>IF((Optimizer!$J$8=Fandual!J295),4,0)</f>
        <v>0</v>
      </c>
      <c r="J295" s="2">
        <f>IF((Optimizer!$J$10=Fandual!J295),100,0)</f>
        <v>0</v>
      </c>
      <c r="K295" s="2">
        <f t="shared" si="9"/>
        <v>0</v>
      </c>
      <c r="L295" s="2">
        <f>IF(Fandual!M295="",1,0)</f>
        <v>1</v>
      </c>
    </row>
    <row r="296" spans="1:12" x14ac:dyDescent="0.25">
      <c r="A296" s="2">
        <f>IF((OR(Optimizer!$J$8=Fandual!J296,Optimizer!$J$10=Fandual!J296))=TRUE, 1,0)</f>
        <v>0</v>
      </c>
      <c r="B296" s="2">
        <f>IF((OR(Fandual!O296="",Fandual!O296&lt;&gt;0)=TRUE),1,0)</f>
        <v>1</v>
      </c>
      <c r="C296" s="2">
        <f>IF(Fandual!B296&lt;&gt;"P",1,0)</f>
        <v>0</v>
      </c>
      <c r="D296" s="2">
        <f t="shared" si="8"/>
        <v>0</v>
      </c>
      <c r="E296" s="2">
        <f>IF(D296=1,Fandual!B296,0)</f>
        <v>0</v>
      </c>
      <c r="F296" s="2">
        <f>IF(D296=1,Fandual!D296,0)</f>
        <v>0</v>
      </c>
      <c r="G296" s="2">
        <f>IF(D296=1,Fandual!F296,0)</f>
        <v>0</v>
      </c>
      <c r="H296" s="2">
        <f>IF(D296=1,Fandual!H296,0)</f>
        <v>0</v>
      </c>
      <c r="I296" s="2">
        <f>IF((Optimizer!$J$8=Fandual!J296),4,0)</f>
        <v>0</v>
      </c>
      <c r="J296" s="2">
        <f>IF((Optimizer!$J$10=Fandual!J296),100,0)</f>
        <v>0</v>
      </c>
      <c r="K296" s="2">
        <f t="shared" si="9"/>
        <v>0</v>
      </c>
      <c r="L296" s="2">
        <f>IF(Fandual!M296="",1,0)</f>
        <v>0</v>
      </c>
    </row>
    <row r="297" spans="1:12" x14ac:dyDescent="0.25">
      <c r="A297" s="2">
        <f>IF((OR(Optimizer!$J$8=Fandual!J297,Optimizer!$J$10=Fandual!J297))=TRUE, 1,0)</f>
        <v>1</v>
      </c>
      <c r="B297" s="2">
        <f>IF((OR(Fandual!O297="",Fandual!O297&lt;&gt;0)=TRUE),1,0)</f>
        <v>1</v>
      </c>
      <c r="C297" s="2">
        <f>IF(Fandual!B297&lt;&gt;"P",1,0)</f>
        <v>0</v>
      </c>
      <c r="D297" s="2">
        <f t="shared" si="8"/>
        <v>0</v>
      </c>
      <c r="E297" s="2">
        <f>IF(D297=1,Fandual!B297,0)</f>
        <v>0</v>
      </c>
      <c r="F297" s="2">
        <f>IF(D297=1,Fandual!D297,0)</f>
        <v>0</v>
      </c>
      <c r="G297" s="2">
        <f>IF(D297=1,Fandual!F297,0)</f>
        <v>0</v>
      </c>
      <c r="H297" s="2">
        <f>IF(D297=1,Fandual!H297,0)</f>
        <v>0</v>
      </c>
      <c r="I297" s="2">
        <f>IF((Optimizer!$J$8=Fandual!J297),4,0)</f>
        <v>0</v>
      </c>
      <c r="J297" s="2">
        <f>IF((Optimizer!$J$10=Fandual!J297),100,0)</f>
        <v>100</v>
      </c>
      <c r="K297" s="2">
        <f t="shared" si="9"/>
        <v>0</v>
      </c>
      <c r="L297" s="2">
        <f>IF(Fandual!M297="",1,0)</f>
        <v>1</v>
      </c>
    </row>
    <row r="298" spans="1:12" x14ac:dyDescent="0.25">
      <c r="A298" s="2">
        <f>IF((OR(Optimizer!$J$8=Fandual!J298,Optimizer!$J$10=Fandual!J298))=TRUE, 1,0)</f>
        <v>0</v>
      </c>
      <c r="B298" s="2">
        <f>IF((OR(Fandual!O298="",Fandual!O298&lt;&gt;0)=TRUE),1,0)</f>
        <v>1</v>
      </c>
      <c r="C298" s="2">
        <f>IF(Fandual!B298&lt;&gt;"P",1,0)</f>
        <v>0</v>
      </c>
      <c r="D298" s="2">
        <f t="shared" si="8"/>
        <v>0</v>
      </c>
      <c r="E298" s="2">
        <f>IF(D298=1,Fandual!B298,0)</f>
        <v>0</v>
      </c>
      <c r="F298" s="2">
        <f>IF(D298=1,Fandual!D298,0)</f>
        <v>0</v>
      </c>
      <c r="G298" s="2">
        <f>IF(D298=1,Fandual!F298,0)</f>
        <v>0</v>
      </c>
      <c r="H298" s="2">
        <f>IF(D298=1,Fandual!H298,0)</f>
        <v>0</v>
      </c>
      <c r="I298" s="2">
        <f>IF((Optimizer!$J$8=Fandual!J298),4,0)</f>
        <v>0</v>
      </c>
      <c r="J298" s="2">
        <f>IF((Optimizer!$J$10=Fandual!J298),100,0)</f>
        <v>0</v>
      </c>
      <c r="K298" s="2">
        <f t="shared" si="9"/>
        <v>0</v>
      </c>
      <c r="L298" s="2">
        <f>IF(Fandual!M298="",1,0)</f>
        <v>1</v>
      </c>
    </row>
    <row r="299" spans="1:12" x14ac:dyDescent="0.25">
      <c r="A299" s="2">
        <f>IF((OR(Optimizer!$J$8=Fandual!J299,Optimizer!$J$10=Fandual!J299))=TRUE, 1,0)</f>
        <v>0</v>
      </c>
      <c r="B299" s="2">
        <f>IF((OR(Fandual!O299="",Fandual!O299&lt;&gt;0)=TRUE),1,0)</f>
        <v>1</v>
      </c>
      <c r="C299" s="2">
        <f>IF(Fandual!B299&lt;&gt;"P",1,0)</f>
        <v>0</v>
      </c>
      <c r="D299" s="2">
        <f t="shared" si="8"/>
        <v>0</v>
      </c>
      <c r="E299" s="2">
        <f>IF(D299=1,Fandual!B299,0)</f>
        <v>0</v>
      </c>
      <c r="F299" s="2">
        <f>IF(D299=1,Fandual!D299,0)</f>
        <v>0</v>
      </c>
      <c r="G299" s="2">
        <f>IF(D299=1,Fandual!F299,0)</f>
        <v>0</v>
      </c>
      <c r="H299" s="2">
        <f>IF(D299=1,Fandual!H299,0)</f>
        <v>0</v>
      </c>
      <c r="I299" s="2">
        <f>IF((Optimizer!$J$8=Fandual!J299),4,0)</f>
        <v>0</v>
      </c>
      <c r="J299" s="2">
        <f>IF((Optimizer!$J$10=Fandual!J299),100,0)</f>
        <v>0</v>
      </c>
      <c r="K299" s="2">
        <f t="shared" si="9"/>
        <v>0</v>
      </c>
      <c r="L299" s="2">
        <f>IF(Fandual!M299="",1,0)</f>
        <v>1</v>
      </c>
    </row>
    <row r="300" spans="1:12" x14ac:dyDescent="0.25">
      <c r="A300" s="2">
        <f>IF((OR(Optimizer!$J$8=Fandual!J300,Optimizer!$J$10=Fandual!J300))=TRUE, 1,0)</f>
        <v>0</v>
      </c>
      <c r="B300" s="2">
        <f>IF((OR(Fandual!O300="",Fandual!O300&lt;&gt;0)=TRUE),1,0)</f>
        <v>1</v>
      </c>
      <c r="C300" s="2">
        <f>IF(Fandual!B300&lt;&gt;"P",1,0)</f>
        <v>0</v>
      </c>
      <c r="D300" s="2">
        <f t="shared" si="8"/>
        <v>0</v>
      </c>
      <c r="E300" s="2">
        <f>IF(D300=1,Fandual!B300,0)</f>
        <v>0</v>
      </c>
      <c r="F300" s="2">
        <f>IF(D300=1,Fandual!D300,0)</f>
        <v>0</v>
      </c>
      <c r="G300" s="2">
        <f>IF(D300=1,Fandual!F300,0)</f>
        <v>0</v>
      </c>
      <c r="H300" s="2">
        <f>IF(D300=1,Fandual!H300,0)</f>
        <v>0</v>
      </c>
      <c r="I300" s="2">
        <f>IF((Optimizer!$J$8=Fandual!J300),4,0)</f>
        <v>0</v>
      </c>
      <c r="J300" s="2">
        <f>IF((Optimizer!$J$10=Fandual!J300),100,0)</f>
        <v>0</v>
      </c>
      <c r="K300" s="2">
        <f t="shared" si="9"/>
        <v>0</v>
      </c>
      <c r="L300" s="2">
        <f>IF(Fandual!M300="",1,0)</f>
        <v>1</v>
      </c>
    </row>
    <row r="301" spans="1:12" x14ac:dyDescent="0.25">
      <c r="A301" s="2">
        <f>IF((OR(Optimizer!$J$8=Fandual!J301,Optimizer!$J$10=Fandual!J301))=TRUE, 1,0)</f>
        <v>0</v>
      </c>
      <c r="B301" s="2">
        <f>IF((OR(Fandual!O301="",Fandual!O301&lt;&gt;0)=TRUE),1,0)</f>
        <v>1</v>
      </c>
      <c r="C301" s="2">
        <f>IF(Fandual!B301&lt;&gt;"P",1,0)</f>
        <v>0</v>
      </c>
      <c r="D301" s="2">
        <f t="shared" si="8"/>
        <v>0</v>
      </c>
      <c r="E301" s="2">
        <f>IF(D301=1,Fandual!B301,0)</f>
        <v>0</v>
      </c>
      <c r="F301" s="2">
        <f>IF(D301=1,Fandual!D301,0)</f>
        <v>0</v>
      </c>
      <c r="G301" s="2">
        <f>IF(D301=1,Fandual!F301,0)</f>
        <v>0</v>
      </c>
      <c r="H301" s="2">
        <f>IF(D301=1,Fandual!H301,0)</f>
        <v>0</v>
      </c>
      <c r="I301" s="2">
        <f>IF((Optimizer!$J$8=Fandual!J301),4,0)</f>
        <v>0</v>
      </c>
      <c r="J301" s="2">
        <f>IF((Optimizer!$J$10=Fandual!J301),100,0)</f>
        <v>0</v>
      </c>
      <c r="K301" s="2">
        <f t="shared" si="9"/>
        <v>0</v>
      </c>
      <c r="L301" s="2">
        <f>IF(Fandual!M301="",1,0)</f>
        <v>1</v>
      </c>
    </row>
    <row r="302" spans="1:12" x14ac:dyDescent="0.25">
      <c r="A302" s="2">
        <f>IF((OR(Optimizer!$J$8=Fandual!J302,Optimizer!$J$10=Fandual!J302))=TRUE, 1,0)</f>
        <v>1</v>
      </c>
      <c r="B302" s="2">
        <f>IF((OR(Fandual!O302="",Fandual!O302&lt;&gt;0)=TRUE),1,0)</f>
        <v>1</v>
      </c>
      <c r="C302" s="2">
        <f>IF(Fandual!B302&lt;&gt;"P",1,0)</f>
        <v>0</v>
      </c>
      <c r="D302" s="2">
        <f t="shared" si="8"/>
        <v>0</v>
      </c>
      <c r="E302" s="2">
        <f>IF(D302=1,Fandual!B302,0)</f>
        <v>0</v>
      </c>
      <c r="F302" s="2">
        <f>IF(D302=1,Fandual!D302,0)</f>
        <v>0</v>
      </c>
      <c r="G302" s="2">
        <f>IF(D302=1,Fandual!F302,0)</f>
        <v>0</v>
      </c>
      <c r="H302" s="2">
        <f>IF(D302=1,Fandual!H302,0)</f>
        <v>0</v>
      </c>
      <c r="I302" s="2">
        <f>IF((Optimizer!$J$8=Fandual!J302),4,0)</f>
        <v>0</v>
      </c>
      <c r="J302" s="2">
        <f>IF((Optimizer!$J$10=Fandual!J302),100,0)</f>
        <v>100</v>
      </c>
      <c r="K302" s="2">
        <f t="shared" si="9"/>
        <v>0</v>
      </c>
      <c r="L302" s="2">
        <f>IF(Fandual!M302="",1,0)</f>
        <v>1</v>
      </c>
    </row>
    <row r="303" spans="1:12" x14ac:dyDescent="0.25">
      <c r="A303" s="2">
        <f>IF((OR(Optimizer!$J$8=Fandual!J303,Optimizer!$J$10=Fandual!J303))=TRUE, 1,0)</f>
        <v>0</v>
      </c>
      <c r="B303" s="2">
        <f>IF((OR(Fandual!O303="",Fandual!O303&lt;&gt;0)=TRUE),1,0)</f>
        <v>1</v>
      </c>
      <c r="C303" s="2">
        <f>IF(Fandual!B303&lt;&gt;"P",1,0)</f>
        <v>0</v>
      </c>
      <c r="D303" s="2">
        <f t="shared" si="8"/>
        <v>0</v>
      </c>
      <c r="E303" s="2">
        <f>IF(D303=1,Fandual!B303,0)</f>
        <v>0</v>
      </c>
      <c r="F303" s="2">
        <f>IF(D303=1,Fandual!D303,0)</f>
        <v>0</v>
      </c>
      <c r="G303" s="2">
        <f>IF(D303=1,Fandual!F303,0)</f>
        <v>0</v>
      </c>
      <c r="H303" s="2">
        <f>IF(D303=1,Fandual!H303,0)</f>
        <v>0</v>
      </c>
      <c r="I303" s="2">
        <f>IF((Optimizer!$J$8=Fandual!J303),4,0)</f>
        <v>0</v>
      </c>
      <c r="J303" s="2">
        <f>IF((Optimizer!$J$10=Fandual!J303),100,0)</f>
        <v>0</v>
      </c>
      <c r="K303" s="2">
        <f t="shared" si="9"/>
        <v>0</v>
      </c>
      <c r="L303" s="2">
        <f>IF(Fandual!M303="",1,0)</f>
        <v>1</v>
      </c>
    </row>
    <row r="304" spans="1:12" x14ac:dyDescent="0.25">
      <c r="A304" s="2">
        <f>IF((OR(Optimizer!$J$8=Fandual!J304,Optimizer!$J$10=Fandual!J304))=TRUE, 1,0)</f>
        <v>0</v>
      </c>
      <c r="B304" s="2">
        <f>IF((OR(Fandual!O304="",Fandual!O304&lt;&gt;0)=TRUE),1,0)</f>
        <v>1</v>
      </c>
      <c r="C304" s="2">
        <f>IF(Fandual!B304&lt;&gt;"P",1,0)</f>
        <v>0</v>
      </c>
      <c r="D304" s="2">
        <f t="shared" si="8"/>
        <v>0</v>
      </c>
      <c r="E304" s="2">
        <f>IF(D304=1,Fandual!B304,0)</f>
        <v>0</v>
      </c>
      <c r="F304" s="2">
        <f>IF(D304=1,Fandual!D304,0)</f>
        <v>0</v>
      </c>
      <c r="G304" s="2">
        <f>IF(D304=1,Fandual!F304,0)</f>
        <v>0</v>
      </c>
      <c r="H304" s="2">
        <f>IF(D304=1,Fandual!H304,0)</f>
        <v>0</v>
      </c>
      <c r="I304" s="2">
        <f>IF((Optimizer!$J$8=Fandual!J304),4,0)</f>
        <v>0</v>
      </c>
      <c r="J304" s="2">
        <f>IF((Optimizer!$J$10=Fandual!J304),100,0)</f>
        <v>0</v>
      </c>
      <c r="K304" s="2">
        <f t="shared" si="9"/>
        <v>0</v>
      </c>
      <c r="L304" s="2">
        <f>IF(Fandual!M304="",1,0)</f>
        <v>1</v>
      </c>
    </row>
    <row r="305" spans="1:12" x14ac:dyDescent="0.25">
      <c r="A305" s="2">
        <f>IF((OR(Optimizer!$J$8=Fandual!J305,Optimizer!$J$10=Fandual!J305))=TRUE, 1,0)</f>
        <v>0</v>
      </c>
      <c r="B305" s="2">
        <f>IF((OR(Fandual!O305="",Fandual!O305&lt;&gt;0)=TRUE),1,0)</f>
        <v>1</v>
      </c>
      <c r="C305" s="2">
        <f>IF(Fandual!B305&lt;&gt;"P",1,0)</f>
        <v>0</v>
      </c>
      <c r="D305" s="2">
        <f t="shared" si="8"/>
        <v>0</v>
      </c>
      <c r="E305" s="2">
        <f>IF(D305=1,Fandual!B305,0)</f>
        <v>0</v>
      </c>
      <c r="F305" s="2">
        <f>IF(D305=1,Fandual!D305,0)</f>
        <v>0</v>
      </c>
      <c r="G305" s="2">
        <f>IF(D305=1,Fandual!F305,0)</f>
        <v>0</v>
      </c>
      <c r="H305" s="2">
        <f>IF(D305=1,Fandual!H305,0)</f>
        <v>0</v>
      </c>
      <c r="I305" s="2">
        <f>IF((Optimizer!$J$8=Fandual!J305),4,0)</f>
        <v>0</v>
      </c>
      <c r="J305" s="2">
        <f>IF((Optimizer!$J$10=Fandual!J305),100,0)</f>
        <v>0</v>
      </c>
      <c r="K305" s="2">
        <f t="shared" si="9"/>
        <v>0</v>
      </c>
      <c r="L305" s="2">
        <f>IF(Fandual!M305="",1,0)</f>
        <v>1</v>
      </c>
    </row>
    <row r="306" spans="1:12" x14ac:dyDescent="0.25">
      <c r="A306" s="2">
        <f>IF((OR(Optimizer!$J$8=Fandual!J306,Optimizer!$J$10=Fandual!J306))=TRUE, 1,0)</f>
        <v>0</v>
      </c>
      <c r="B306" s="2">
        <f>IF((OR(Fandual!O306="",Fandual!O306&lt;&gt;0)=TRUE),1,0)</f>
        <v>1</v>
      </c>
      <c r="C306" s="2">
        <f>IF(Fandual!B306&lt;&gt;"P",1,0)</f>
        <v>0</v>
      </c>
      <c r="D306" s="2">
        <f t="shared" si="8"/>
        <v>0</v>
      </c>
      <c r="E306" s="2">
        <f>IF(D306=1,Fandual!B306,0)</f>
        <v>0</v>
      </c>
      <c r="F306" s="2">
        <f>IF(D306=1,Fandual!D306,0)</f>
        <v>0</v>
      </c>
      <c r="G306" s="2">
        <f>IF(D306=1,Fandual!F306,0)</f>
        <v>0</v>
      </c>
      <c r="H306" s="2">
        <f>IF(D306=1,Fandual!H306,0)</f>
        <v>0</v>
      </c>
      <c r="I306" s="2">
        <f>IF((Optimizer!$J$8=Fandual!J306),4,0)</f>
        <v>0</v>
      </c>
      <c r="J306" s="2">
        <f>IF((Optimizer!$J$10=Fandual!J306),100,0)</f>
        <v>0</v>
      </c>
      <c r="K306" s="2">
        <f t="shared" si="9"/>
        <v>0</v>
      </c>
      <c r="L306" s="2">
        <f>IF(Fandual!M306="",1,0)</f>
        <v>0</v>
      </c>
    </row>
    <row r="307" spans="1:12" x14ac:dyDescent="0.25">
      <c r="A307" s="2">
        <f>IF((OR(Optimizer!$J$8=Fandual!J307,Optimizer!$J$10=Fandual!J307))=TRUE, 1,0)</f>
        <v>0</v>
      </c>
      <c r="B307" s="2">
        <f>IF((OR(Fandual!O307="",Fandual!O307&lt;&gt;0)=TRUE),1,0)</f>
        <v>1</v>
      </c>
      <c r="C307" s="2">
        <f>IF(Fandual!B307&lt;&gt;"P",1,0)</f>
        <v>0</v>
      </c>
      <c r="D307" s="2">
        <f t="shared" si="8"/>
        <v>0</v>
      </c>
      <c r="E307" s="2">
        <f>IF(D307=1,Fandual!B307,0)</f>
        <v>0</v>
      </c>
      <c r="F307" s="2">
        <f>IF(D307=1,Fandual!D307,0)</f>
        <v>0</v>
      </c>
      <c r="G307" s="2">
        <f>IF(D307=1,Fandual!F307,0)</f>
        <v>0</v>
      </c>
      <c r="H307" s="2">
        <f>IF(D307=1,Fandual!H307,0)</f>
        <v>0</v>
      </c>
      <c r="I307" s="2">
        <f>IF((Optimizer!$J$8=Fandual!J307),4,0)</f>
        <v>0</v>
      </c>
      <c r="J307" s="2">
        <f>IF((Optimizer!$J$10=Fandual!J307),100,0)</f>
        <v>0</v>
      </c>
      <c r="K307" s="2">
        <f t="shared" si="9"/>
        <v>0</v>
      </c>
      <c r="L307" s="2">
        <f>IF(Fandual!M307="",1,0)</f>
        <v>1</v>
      </c>
    </row>
    <row r="308" spans="1:12" x14ac:dyDescent="0.25">
      <c r="A308" s="2">
        <f>IF((OR(Optimizer!$J$8=Fandual!J308,Optimizer!$J$10=Fandual!J308))=TRUE, 1,0)</f>
        <v>0</v>
      </c>
      <c r="B308" s="2">
        <f>IF((OR(Fandual!O308="",Fandual!O308&lt;&gt;0)=TRUE),1,0)</f>
        <v>1</v>
      </c>
      <c r="C308" s="2">
        <f>IF(Fandual!B308&lt;&gt;"P",1,0)</f>
        <v>0</v>
      </c>
      <c r="D308" s="2">
        <f t="shared" si="8"/>
        <v>0</v>
      </c>
      <c r="E308" s="2">
        <f>IF(D308=1,Fandual!B308,0)</f>
        <v>0</v>
      </c>
      <c r="F308" s="2">
        <f>IF(D308=1,Fandual!D308,0)</f>
        <v>0</v>
      </c>
      <c r="G308" s="2">
        <f>IF(D308=1,Fandual!F308,0)</f>
        <v>0</v>
      </c>
      <c r="H308" s="2">
        <f>IF(D308=1,Fandual!H308,0)</f>
        <v>0</v>
      </c>
      <c r="I308" s="2">
        <f>IF((Optimizer!$J$8=Fandual!J308),4,0)</f>
        <v>0</v>
      </c>
      <c r="J308" s="2">
        <f>IF((Optimizer!$J$10=Fandual!J308),100,0)</f>
        <v>0</v>
      </c>
      <c r="K308" s="2">
        <f t="shared" si="9"/>
        <v>0</v>
      </c>
      <c r="L308" s="2">
        <f>IF(Fandual!M308="",1,0)</f>
        <v>1</v>
      </c>
    </row>
    <row r="309" spans="1:12" x14ac:dyDescent="0.25">
      <c r="A309" s="2">
        <f>IF((OR(Optimizer!$J$8=Fandual!J309,Optimizer!$J$10=Fandual!J309))=TRUE, 1,0)</f>
        <v>0</v>
      </c>
      <c r="B309" s="2">
        <f>IF((OR(Fandual!O309="",Fandual!O309&lt;&gt;0)=TRUE),1,0)</f>
        <v>1</v>
      </c>
      <c r="C309" s="2">
        <f>IF(Fandual!B309&lt;&gt;"P",1,0)</f>
        <v>0</v>
      </c>
      <c r="D309" s="2">
        <f t="shared" si="8"/>
        <v>0</v>
      </c>
      <c r="E309" s="2">
        <f>IF(D309=1,Fandual!B309,0)</f>
        <v>0</v>
      </c>
      <c r="F309" s="2">
        <f>IF(D309=1,Fandual!D309,0)</f>
        <v>0</v>
      </c>
      <c r="G309" s="2">
        <f>IF(D309=1,Fandual!F309,0)</f>
        <v>0</v>
      </c>
      <c r="H309" s="2">
        <f>IF(D309=1,Fandual!H309,0)</f>
        <v>0</v>
      </c>
      <c r="I309" s="2">
        <f>IF((Optimizer!$J$8=Fandual!J309),4,0)</f>
        <v>0</v>
      </c>
      <c r="J309" s="2">
        <f>IF((Optimizer!$J$10=Fandual!J309),100,0)</f>
        <v>0</v>
      </c>
      <c r="K309" s="2">
        <f t="shared" si="9"/>
        <v>0</v>
      </c>
      <c r="L309" s="2">
        <f>IF(Fandual!M309="",1,0)</f>
        <v>1</v>
      </c>
    </row>
    <row r="310" spans="1:12" x14ac:dyDescent="0.25">
      <c r="A310" s="2">
        <f>IF((OR(Optimizer!$J$8=Fandual!J310,Optimizer!$J$10=Fandual!J310))=TRUE, 1,0)</f>
        <v>0</v>
      </c>
      <c r="B310" s="2">
        <f>IF((OR(Fandual!O310="",Fandual!O310&lt;&gt;0)=TRUE),1,0)</f>
        <v>1</v>
      </c>
      <c r="C310" s="2">
        <f>IF(Fandual!B310&lt;&gt;"P",1,0)</f>
        <v>0</v>
      </c>
      <c r="D310" s="2">
        <f t="shared" si="8"/>
        <v>0</v>
      </c>
      <c r="E310" s="2">
        <f>IF(D310=1,Fandual!B310,0)</f>
        <v>0</v>
      </c>
      <c r="F310" s="2">
        <f>IF(D310=1,Fandual!D310,0)</f>
        <v>0</v>
      </c>
      <c r="G310" s="2">
        <f>IF(D310=1,Fandual!F310,0)</f>
        <v>0</v>
      </c>
      <c r="H310" s="2">
        <f>IF(D310=1,Fandual!H310,0)</f>
        <v>0</v>
      </c>
      <c r="I310" s="2">
        <f>IF((Optimizer!$J$8=Fandual!J310),4,0)</f>
        <v>0</v>
      </c>
      <c r="J310" s="2">
        <f>IF((Optimizer!$J$10=Fandual!J310),100,0)</f>
        <v>0</v>
      </c>
      <c r="K310" s="2">
        <f t="shared" si="9"/>
        <v>0</v>
      </c>
      <c r="L310" s="2">
        <f>IF(Fandual!M310="",1,0)</f>
        <v>1</v>
      </c>
    </row>
    <row r="311" spans="1:12" x14ac:dyDescent="0.25">
      <c r="A311" s="2">
        <f>IF((OR(Optimizer!$J$8=Fandual!J311,Optimizer!$J$10=Fandual!J311))=TRUE, 1,0)</f>
        <v>0</v>
      </c>
      <c r="B311" s="2">
        <f>IF((OR(Fandual!O311="",Fandual!O311&lt;&gt;0)=TRUE),1,0)</f>
        <v>1</v>
      </c>
      <c r="C311" s="2">
        <f>IF(Fandual!B311&lt;&gt;"P",1,0)</f>
        <v>0</v>
      </c>
      <c r="D311" s="2">
        <f t="shared" si="8"/>
        <v>0</v>
      </c>
      <c r="E311" s="2">
        <f>IF(D311=1,Fandual!B311,0)</f>
        <v>0</v>
      </c>
      <c r="F311" s="2">
        <f>IF(D311=1,Fandual!D311,0)</f>
        <v>0</v>
      </c>
      <c r="G311" s="2">
        <f>IF(D311=1,Fandual!F311,0)</f>
        <v>0</v>
      </c>
      <c r="H311" s="2">
        <f>IF(D311=1,Fandual!H311,0)</f>
        <v>0</v>
      </c>
      <c r="I311" s="2">
        <f>IF((Optimizer!$J$8=Fandual!J311),4,0)</f>
        <v>0</v>
      </c>
      <c r="J311" s="2">
        <f>IF((Optimizer!$J$10=Fandual!J311),100,0)</f>
        <v>0</v>
      </c>
      <c r="K311" s="2">
        <f t="shared" si="9"/>
        <v>0</v>
      </c>
      <c r="L311" s="2">
        <f>IF(Fandual!M311="",1,0)</f>
        <v>0</v>
      </c>
    </row>
    <row r="312" spans="1:12" x14ac:dyDescent="0.25">
      <c r="A312" s="2">
        <f>IF((OR(Optimizer!$J$8=Fandual!J312,Optimizer!$J$10=Fandual!J312))=TRUE, 1,0)</f>
        <v>0</v>
      </c>
      <c r="B312" s="2">
        <f>IF((OR(Fandual!O312="",Fandual!O312&lt;&gt;0)=TRUE),1,0)</f>
        <v>1</v>
      </c>
      <c r="C312" s="2">
        <f>IF(Fandual!B312&lt;&gt;"P",1,0)</f>
        <v>0</v>
      </c>
      <c r="D312" s="2">
        <f t="shared" si="8"/>
        <v>0</v>
      </c>
      <c r="E312" s="2">
        <f>IF(D312=1,Fandual!B312,0)</f>
        <v>0</v>
      </c>
      <c r="F312" s="2">
        <f>IF(D312=1,Fandual!D312,0)</f>
        <v>0</v>
      </c>
      <c r="G312" s="2">
        <f>IF(D312=1,Fandual!F312,0)</f>
        <v>0</v>
      </c>
      <c r="H312" s="2">
        <f>IF(D312=1,Fandual!H312,0)</f>
        <v>0</v>
      </c>
      <c r="I312" s="2">
        <f>IF((Optimizer!$J$8=Fandual!J312),4,0)</f>
        <v>0</v>
      </c>
      <c r="J312" s="2">
        <f>IF((Optimizer!$J$10=Fandual!J312),100,0)</f>
        <v>0</v>
      </c>
      <c r="K312" s="2">
        <f t="shared" si="9"/>
        <v>0</v>
      </c>
      <c r="L312" s="2">
        <f>IF(Fandual!M312="",1,0)</f>
        <v>1</v>
      </c>
    </row>
    <row r="313" spans="1:12" x14ac:dyDescent="0.25">
      <c r="A313" s="2">
        <f>IF((OR(Optimizer!$J$8=Fandual!J313,Optimizer!$J$10=Fandual!J313))=TRUE, 1,0)</f>
        <v>0</v>
      </c>
      <c r="B313" s="2">
        <f>IF((OR(Fandual!O313="",Fandual!O313&lt;&gt;0)=TRUE),1,0)</f>
        <v>1</v>
      </c>
      <c r="C313" s="2">
        <f>IF(Fandual!B313&lt;&gt;"P",1,0)</f>
        <v>0</v>
      </c>
      <c r="D313" s="2">
        <f t="shared" si="8"/>
        <v>0</v>
      </c>
      <c r="E313" s="2">
        <f>IF(D313=1,Fandual!B313,0)</f>
        <v>0</v>
      </c>
      <c r="F313" s="2">
        <f>IF(D313=1,Fandual!D313,0)</f>
        <v>0</v>
      </c>
      <c r="G313" s="2">
        <f>IF(D313=1,Fandual!F313,0)</f>
        <v>0</v>
      </c>
      <c r="H313" s="2">
        <f>IF(D313=1,Fandual!H313,0)</f>
        <v>0</v>
      </c>
      <c r="I313" s="2">
        <f>IF((Optimizer!$J$8=Fandual!J313),4,0)</f>
        <v>0</v>
      </c>
      <c r="J313" s="2">
        <f>IF((Optimizer!$J$10=Fandual!J313),100,0)</f>
        <v>0</v>
      </c>
      <c r="K313" s="2">
        <f t="shared" si="9"/>
        <v>0</v>
      </c>
      <c r="L313" s="2">
        <f>IF(Fandual!M313="",1,0)</f>
        <v>1</v>
      </c>
    </row>
    <row r="314" spans="1:12" x14ac:dyDescent="0.25">
      <c r="A314" s="2">
        <f>IF((OR(Optimizer!$J$8=Fandual!J314,Optimizer!$J$10=Fandual!J314))=TRUE, 1,0)</f>
        <v>0</v>
      </c>
      <c r="B314" s="2">
        <f>IF((OR(Fandual!O314="",Fandual!O314&lt;&gt;0)=TRUE),1,0)</f>
        <v>1</v>
      </c>
      <c r="C314" s="2">
        <f>IF(Fandual!B314&lt;&gt;"P",1,0)</f>
        <v>0</v>
      </c>
      <c r="D314" s="2">
        <f t="shared" si="8"/>
        <v>0</v>
      </c>
      <c r="E314" s="2">
        <f>IF(D314=1,Fandual!B314,0)</f>
        <v>0</v>
      </c>
      <c r="F314" s="2">
        <f>IF(D314=1,Fandual!D314,0)</f>
        <v>0</v>
      </c>
      <c r="G314" s="2">
        <f>IF(D314=1,Fandual!F314,0)</f>
        <v>0</v>
      </c>
      <c r="H314" s="2">
        <f>IF(D314=1,Fandual!H314,0)</f>
        <v>0</v>
      </c>
      <c r="I314" s="2">
        <f>IF((Optimizer!$J$8=Fandual!J314),4,0)</f>
        <v>0</v>
      </c>
      <c r="J314" s="2">
        <f>IF((Optimizer!$J$10=Fandual!J314),100,0)</f>
        <v>0</v>
      </c>
      <c r="K314" s="2">
        <f t="shared" si="9"/>
        <v>0</v>
      </c>
      <c r="L314" s="2">
        <f>IF(Fandual!M314="",1,0)</f>
        <v>1</v>
      </c>
    </row>
    <row r="315" spans="1:12" x14ac:dyDescent="0.25">
      <c r="A315" s="2">
        <f>IF((OR(Optimizer!$J$8=Fandual!J315,Optimizer!$J$10=Fandual!J315))=TRUE, 1,0)</f>
        <v>0</v>
      </c>
      <c r="B315" s="2">
        <f>IF((OR(Fandual!O315="",Fandual!O315&lt;&gt;0)=TRUE),1,0)</f>
        <v>1</v>
      </c>
      <c r="C315" s="2">
        <f>IF(Fandual!B315&lt;&gt;"P",1,0)</f>
        <v>0</v>
      </c>
      <c r="D315" s="2">
        <f t="shared" si="8"/>
        <v>0</v>
      </c>
      <c r="E315" s="2">
        <f>IF(D315=1,Fandual!B315,0)</f>
        <v>0</v>
      </c>
      <c r="F315" s="2">
        <f>IF(D315=1,Fandual!D315,0)</f>
        <v>0</v>
      </c>
      <c r="G315" s="2">
        <f>IF(D315=1,Fandual!F315,0)</f>
        <v>0</v>
      </c>
      <c r="H315" s="2">
        <f>IF(D315=1,Fandual!H315,0)</f>
        <v>0</v>
      </c>
      <c r="I315" s="2">
        <f>IF((Optimizer!$J$8=Fandual!J315),4,0)</f>
        <v>0</v>
      </c>
      <c r="J315" s="2">
        <f>IF((Optimizer!$J$10=Fandual!J315),100,0)</f>
        <v>0</v>
      </c>
      <c r="K315" s="2">
        <f t="shared" si="9"/>
        <v>0</v>
      </c>
      <c r="L315" s="2">
        <f>IF(Fandual!M315="",1,0)</f>
        <v>1</v>
      </c>
    </row>
    <row r="316" spans="1:12" x14ac:dyDescent="0.25">
      <c r="A316" s="2">
        <f>IF((OR(Optimizer!$J$8=Fandual!J316,Optimizer!$J$10=Fandual!J316))=TRUE, 1,0)</f>
        <v>0</v>
      </c>
      <c r="B316" s="2">
        <f>IF((OR(Fandual!O316="",Fandual!O316&lt;&gt;0)=TRUE),1,0)</f>
        <v>1</v>
      </c>
      <c r="C316" s="2">
        <f>IF(Fandual!B316&lt;&gt;"P",1,0)</f>
        <v>0</v>
      </c>
      <c r="D316" s="2">
        <f t="shared" si="8"/>
        <v>0</v>
      </c>
      <c r="E316" s="2">
        <f>IF(D316=1,Fandual!B316,0)</f>
        <v>0</v>
      </c>
      <c r="F316" s="2">
        <f>IF(D316=1,Fandual!D316,0)</f>
        <v>0</v>
      </c>
      <c r="G316" s="2">
        <f>IF(D316=1,Fandual!F316,0)</f>
        <v>0</v>
      </c>
      <c r="H316" s="2">
        <f>IF(D316=1,Fandual!H316,0)</f>
        <v>0</v>
      </c>
      <c r="I316" s="2">
        <f>IF((Optimizer!$J$8=Fandual!J316),4,0)</f>
        <v>0</v>
      </c>
      <c r="J316" s="2">
        <f>IF((Optimizer!$J$10=Fandual!J316),100,0)</f>
        <v>0</v>
      </c>
      <c r="K316" s="2">
        <f t="shared" si="9"/>
        <v>0</v>
      </c>
      <c r="L316" s="2">
        <f>IF(Fandual!M316="",1,0)</f>
        <v>1</v>
      </c>
    </row>
    <row r="317" spans="1:12" x14ac:dyDescent="0.25">
      <c r="A317" s="2">
        <f>IF((OR(Optimizer!$J$8=Fandual!J317,Optimizer!$J$10=Fandual!J317))=TRUE, 1,0)</f>
        <v>0</v>
      </c>
      <c r="B317" s="2">
        <f>IF((OR(Fandual!O317="",Fandual!O317&lt;&gt;0)=TRUE),1,0)</f>
        <v>1</v>
      </c>
      <c r="C317" s="2">
        <f>IF(Fandual!B317&lt;&gt;"P",1,0)</f>
        <v>0</v>
      </c>
      <c r="D317" s="2">
        <f t="shared" si="8"/>
        <v>0</v>
      </c>
      <c r="E317" s="2">
        <f>IF(D317=1,Fandual!B317,0)</f>
        <v>0</v>
      </c>
      <c r="F317" s="2">
        <f>IF(D317=1,Fandual!D317,0)</f>
        <v>0</v>
      </c>
      <c r="G317" s="2">
        <f>IF(D317=1,Fandual!F317,0)</f>
        <v>0</v>
      </c>
      <c r="H317" s="2">
        <f>IF(D317=1,Fandual!H317,0)</f>
        <v>0</v>
      </c>
      <c r="I317" s="2">
        <f>IF((Optimizer!$J$8=Fandual!J317),4,0)</f>
        <v>0</v>
      </c>
      <c r="J317" s="2">
        <f>IF((Optimizer!$J$10=Fandual!J317),100,0)</f>
        <v>0</v>
      </c>
      <c r="K317" s="2">
        <f t="shared" si="9"/>
        <v>0</v>
      </c>
      <c r="L317" s="2">
        <f>IF(Fandual!M317="",1,0)</f>
        <v>0</v>
      </c>
    </row>
    <row r="318" spans="1:12" x14ac:dyDescent="0.25">
      <c r="A318" s="2">
        <f>IF((OR(Optimizer!$J$8=Fandual!J318,Optimizer!$J$10=Fandual!J318))=TRUE, 1,0)</f>
        <v>0</v>
      </c>
      <c r="B318" s="2">
        <f>IF((OR(Fandual!O318="",Fandual!O318&lt;&gt;0)=TRUE),1,0)</f>
        <v>1</v>
      </c>
      <c r="C318" s="2">
        <f>IF(Fandual!B318&lt;&gt;"P",1,0)</f>
        <v>0</v>
      </c>
      <c r="D318" s="2">
        <f t="shared" si="8"/>
        <v>0</v>
      </c>
      <c r="E318" s="2">
        <f>IF(D318=1,Fandual!B318,0)</f>
        <v>0</v>
      </c>
      <c r="F318" s="2">
        <f>IF(D318=1,Fandual!D318,0)</f>
        <v>0</v>
      </c>
      <c r="G318" s="2">
        <f>IF(D318=1,Fandual!F318,0)</f>
        <v>0</v>
      </c>
      <c r="H318" s="2">
        <f>IF(D318=1,Fandual!H318,0)</f>
        <v>0</v>
      </c>
      <c r="I318" s="2">
        <f>IF((Optimizer!$J$8=Fandual!J318),4,0)</f>
        <v>0</v>
      </c>
      <c r="J318" s="2">
        <f>IF((Optimizer!$J$10=Fandual!J318),100,0)</f>
        <v>0</v>
      </c>
      <c r="K318" s="2">
        <f t="shared" si="9"/>
        <v>0</v>
      </c>
      <c r="L318" s="2">
        <f>IF(Fandual!M318="",1,0)</f>
        <v>0</v>
      </c>
    </row>
    <row r="319" spans="1:12" x14ac:dyDescent="0.25">
      <c r="A319" s="2">
        <f>IF((OR(Optimizer!$J$8=Fandual!J319,Optimizer!$J$10=Fandual!J319))=TRUE, 1,0)</f>
        <v>0</v>
      </c>
      <c r="B319" s="2">
        <f>IF((OR(Fandual!O319="",Fandual!O319&lt;&gt;0)=TRUE),1,0)</f>
        <v>1</v>
      </c>
      <c r="C319" s="2">
        <f>IF(Fandual!B319&lt;&gt;"P",1,0)</f>
        <v>0</v>
      </c>
      <c r="D319" s="2">
        <f t="shared" si="8"/>
        <v>0</v>
      </c>
      <c r="E319" s="2">
        <f>IF(D319=1,Fandual!B319,0)</f>
        <v>0</v>
      </c>
      <c r="F319" s="2">
        <f>IF(D319=1,Fandual!D319,0)</f>
        <v>0</v>
      </c>
      <c r="G319" s="2">
        <f>IF(D319=1,Fandual!F319,0)</f>
        <v>0</v>
      </c>
      <c r="H319" s="2">
        <f>IF(D319=1,Fandual!H319,0)</f>
        <v>0</v>
      </c>
      <c r="I319" s="2">
        <f>IF((Optimizer!$J$8=Fandual!J319),4,0)</f>
        <v>0</v>
      </c>
      <c r="J319" s="2">
        <f>IF((Optimizer!$J$10=Fandual!J319),100,0)</f>
        <v>0</v>
      </c>
      <c r="K319" s="2">
        <f t="shared" si="9"/>
        <v>0</v>
      </c>
      <c r="L319" s="2">
        <f>IF(Fandual!M319="",1,0)</f>
        <v>1</v>
      </c>
    </row>
    <row r="320" spans="1:12" x14ac:dyDescent="0.25">
      <c r="A320" s="2">
        <f>IF((OR(Optimizer!$J$8=Fandual!J320,Optimizer!$J$10=Fandual!J320))=TRUE, 1,0)</f>
        <v>0</v>
      </c>
      <c r="B320" s="2">
        <f>IF((OR(Fandual!O320="",Fandual!O320&lt;&gt;0)=TRUE),1,0)</f>
        <v>1</v>
      </c>
      <c r="C320" s="2">
        <f>IF(Fandual!B320&lt;&gt;"P",1,0)</f>
        <v>0</v>
      </c>
      <c r="D320" s="2">
        <f t="shared" si="8"/>
        <v>0</v>
      </c>
      <c r="E320" s="2">
        <f>IF(D320=1,Fandual!B320,0)</f>
        <v>0</v>
      </c>
      <c r="F320" s="2">
        <f>IF(D320=1,Fandual!D320,0)</f>
        <v>0</v>
      </c>
      <c r="G320" s="2">
        <f>IF(D320=1,Fandual!F320,0)</f>
        <v>0</v>
      </c>
      <c r="H320" s="2">
        <f>IF(D320=1,Fandual!H320,0)</f>
        <v>0</v>
      </c>
      <c r="I320" s="2">
        <f>IF((Optimizer!$J$8=Fandual!J320),4,0)</f>
        <v>0</v>
      </c>
      <c r="J320" s="2">
        <f>IF((Optimizer!$J$10=Fandual!J320),100,0)</f>
        <v>0</v>
      </c>
      <c r="K320" s="2">
        <f t="shared" si="9"/>
        <v>0</v>
      </c>
      <c r="L320" s="2">
        <f>IF(Fandual!M320="",1,0)</f>
        <v>1</v>
      </c>
    </row>
    <row r="321" spans="1:12" x14ac:dyDescent="0.25">
      <c r="A321" s="2">
        <f>IF((OR(Optimizer!$J$8=Fandual!J321,Optimizer!$J$10=Fandual!J321))=TRUE, 1,0)</f>
        <v>0</v>
      </c>
      <c r="B321" s="2">
        <f>IF((OR(Fandual!O321="",Fandual!O321&lt;&gt;0)=TRUE),1,0)</f>
        <v>1</v>
      </c>
      <c r="C321" s="2">
        <f>IF(Fandual!B321&lt;&gt;"P",1,0)</f>
        <v>0</v>
      </c>
      <c r="D321" s="2">
        <f t="shared" si="8"/>
        <v>0</v>
      </c>
      <c r="E321" s="2">
        <f>IF(D321=1,Fandual!B321,0)</f>
        <v>0</v>
      </c>
      <c r="F321" s="2">
        <f>IF(D321=1,Fandual!D321,0)</f>
        <v>0</v>
      </c>
      <c r="G321" s="2">
        <f>IF(D321=1,Fandual!F321,0)</f>
        <v>0</v>
      </c>
      <c r="H321" s="2">
        <f>IF(D321=1,Fandual!H321,0)</f>
        <v>0</v>
      </c>
      <c r="I321" s="2">
        <f>IF((Optimizer!$J$8=Fandual!J321),4,0)</f>
        <v>0</v>
      </c>
      <c r="J321" s="2">
        <f>IF((Optimizer!$J$10=Fandual!J321),100,0)</f>
        <v>0</v>
      </c>
      <c r="K321" s="2">
        <f t="shared" si="9"/>
        <v>0</v>
      </c>
      <c r="L321" s="2">
        <f>IF(Fandual!M321="",1,0)</f>
        <v>1</v>
      </c>
    </row>
    <row r="322" spans="1:12" x14ac:dyDescent="0.25">
      <c r="A322" s="2">
        <f>IF((OR(Optimizer!$J$8=Fandual!J322,Optimizer!$J$10=Fandual!J322))=TRUE, 1,0)</f>
        <v>0</v>
      </c>
      <c r="B322" s="2">
        <f>IF((OR(Fandual!O322="",Fandual!O322&lt;&gt;0)=TRUE),1,0)</f>
        <v>1</v>
      </c>
      <c r="C322" s="2">
        <f>IF(Fandual!B322&lt;&gt;"P",1,0)</f>
        <v>0</v>
      </c>
      <c r="D322" s="2">
        <f t="shared" ref="D322:D385" si="10">A322*B322*C322*L322</f>
        <v>0</v>
      </c>
      <c r="E322" s="2">
        <f>IF(D322=1,Fandual!B322,0)</f>
        <v>0</v>
      </c>
      <c r="F322" s="2">
        <f>IF(D322=1,Fandual!D322,0)</f>
        <v>0</v>
      </c>
      <c r="G322" s="2">
        <f>IF(D322=1,Fandual!F322,0)</f>
        <v>0</v>
      </c>
      <c r="H322" s="2">
        <f>IF(D322=1,Fandual!H322,0)</f>
        <v>0</v>
      </c>
      <c r="I322" s="2">
        <f>IF((Optimizer!$J$8=Fandual!J322),4,0)</f>
        <v>0</v>
      </c>
      <c r="J322" s="2">
        <f>IF((Optimizer!$J$10=Fandual!J322),100,0)</f>
        <v>0</v>
      </c>
      <c r="K322" s="2">
        <f t="shared" si="9"/>
        <v>0</v>
      </c>
      <c r="L322" s="2">
        <f>IF(Fandual!M322="",1,0)</f>
        <v>0</v>
      </c>
    </row>
    <row r="323" spans="1:12" x14ac:dyDescent="0.25">
      <c r="A323" s="2">
        <f>IF((OR(Optimizer!$J$8=Fandual!J323,Optimizer!$J$10=Fandual!J323))=TRUE, 1,0)</f>
        <v>0</v>
      </c>
      <c r="B323" s="2">
        <f>IF((OR(Fandual!O323="",Fandual!O323&lt;&gt;0)=TRUE),1,0)</f>
        <v>1</v>
      </c>
      <c r="C323" s="2">
        <f>IF(Fandual!B323&lt;&gt;"P",1,0)</f>
        <v>0</v>
      </c>
      <c r="D323" s="2">
        <f t="shared" si="10"/>
        <v>0</v>
      </c>
      <c r="E323" s="2">
        <f>IF(D323=1,Fandual!B323,0)</f>
        <v>0</v>
      </c>
      <c r="F323" s="2">
        <f>IF(D323=1,Fandual!D323,0)</f>
        <v>0</v>
      </c>
      <c r="G323" s="2">
        <f>IF(D323=1,Fandual!F323,0)</f>
        <v>0</v>
      </c>
      <c r="H323" s="2">
        <f>IF(D323=1,Fandual!H323,0)</f>
        <v>0</v>
      </c>
      <c r="I323" s="2">
        <f>IF((Optimizer!$J$8=Fandual!J323),4,0)</f>
        <v>0</v>
      </c>
      <c r="J323" s="2">
        <f>IF((Optimizer!$J$10=Fandual!J323),100,0)</f>
        <v>0</v>
      </c>
      <c r="K323" s="2">
        <f t="shared" ref="K323:K386" si="11">(I323+J323)*D323</f>
        <v>0</v>
      </c>
      <c r="L323" s="2">
        <f>IF(Fandual!M323="",1,0)</f>
        <v>1</v>
      </c>
    </row>
    <row r="324" spans="1:12" x14ac:dyDescent="0.25">
      <c r="A324" s="2">
        <f>IF((OR(Optimizer!$J$8=Fandual!J324,Optimizer!$J$10=Fandual!J324))=TRUE, 1,0)</f>
        <v>0</v>
      </c>
      <c r="B324" s="2">
        <f>IF((OR(Fandual!O324="",Fandual!O324&lt;&gt;0)=TRUE),1,0)</f>
        <v>1</v>
      </c>
      <c r="C324" s="2">
        <f>IF(Fandual!B324&lt;&gt;"P",1,0)</f>
        <v>0</v>
      </c>
      <c r="D324" s="2">
        <f t="shared" si="10"/>
        <v>0</v>
      </c>
      <c r="E324" s="2">
        <f>IF(D324=1,Fandual!B324,0)</f>
        <v>0</v>
      </c>
      <c r="F324" s="2">
        <f>IF(D324=1,Fandual!D324,0)</f>
        <v>0</v>
      </c>
      <c r="G324" s="2">
        <f>IF(D324=1,Fandual!F324,0)</f>
        <v>0</v>
      </c>
      <c r="H324" s="2">
        <f>IF(D324=1,Fandual!H324,0)</f>
        <v>0</v>
      </c>
      <c r="I324" s="2">
        <f>IF((Optimizer!$J$8=Fandual!J324),4,0)</f>
        <v>0</v>
      </c>
      <c r="J324" s="2">
        <f>IF((Optimizer!$J$10=Fandual!J324),100,0)</f>
        <v>0</v>
      </c>
      <c r="K324" s="2">
        <f t="shared" si="11"/>
        <v>0</v>
      </c>
      <c r="L324" s="2">
        <f>IF(Fandual!M324="",1,0)</f>
        <v>0</v>
      </c>
    </row>
    <row r="325" spans="1:12" x14ac:dyDescent="0.25">
      <c r="A325" s="2">
        <f>IF((OR(Optimizer!$J$8=Fandual!J325,Optimizer!$J$10=Fandual!J325))=TRUE, 1,0)</f>
        <v>0</v>
      </c>
      <c r="B325" s="2">
        <f>IF((OR(Fandual!O325="",Fandual!O325&lt;&gt;0)=TRUE),1,0)</f>
        <v>1</v>
      </c>
      <c r="C325" s="2">
        <f>IF(Fandual!B325&lt;&gt;"P",1,0)</f>
        <v>0</v>
      </c>
      <c r="D325" s="2">
        <f t="shared" si="10"/>
        <v>0</v>
      </c>
      <c r="E325" s="2">
        <f>IF(D325=1,Fandual!B325,0)</f>
        <v>0</v>
      </c>
      <c r="F325" s="2">
        <f>IF(D325=1,Fandual!D325,0)</f>
        <v>0</v>
      </c>
      <c r="G325" s="2">
        <f>IF(D325=1,Fandual!F325,0)</f>
        <v>0</v>
      </c>
      <c r="H325" s="2">
        <f>IF(D325=1,Fandual!H325,0)</f>
        <v>0</v>
      </c>
      <c r="I325" s="2">
        <f>IF((Optimizer!$J$8=Fandual!J325),4,0)</f>
        <v>0</v>
      </c>
      <c r="J325" s="2">
        <f>IF((Optimizer!$J$10=Fandual!J325),100,0)</f>
        <v>0</v>
      </c>
      <c r="K325" s="2">
        <f t="shared" si="11"/>
        <v>0</v>
      </c>
      <c r="L325" s="2">
        <f>IF(Fandual!M325="",1,0)</f>
        <v>1</v>
      </c>
    </row>
    <row r="326" spans="1:12" x14ac:dyDescent="0.25">
      <c r="A326" s="2">
        <f>IF((OR(Optimizer!$J$8=Fandual!J326,Optimizer!$J$10=Fandual!J326))=TRUE, 1,0)</f>
        <v>0</v>
      </c>
      <c r="B326" s="2">
        <f>IF((OR(Fandual!O326="",Fandual!O326&lt;&gt;0)=TRUE),1,0)</f>
        <v>1</v>
      </c>
      <c r="C326" s="2">
        <f>IF(Fandual!B326&lt;&gt;"P",1,0)</f>
        <v>0</v>
      </c>
      <c r="D326" s="2">
        <f t="shared" si="10"/>
        <v>0</v>
      </c>
      <c r="E326" s="2">
        <f>IF(D326=1,Fandual!B326,0)</f>
        <v>0</v>
      </c>
      <c r="F326" s="2">
        <f>IF(D326=1,Fandual!D326,0)</f>
        <v>0</v>
      </c>
      <c r="G326" s="2">
        <f>IF(D326=1,Fandual!F326,0)</f>
        <v>0</v>
      </c>
      <c r="H326" s="2">
        <f>IF(D326=1,Fandual!H326,0)</f>
        <v>0</v>
      </c>
      <c r="I326" s="2">
        <f>IF((Optimizer!$J$8=Fandual!J326),4,0)</f>
        <v>0</v>
      </c>
      <c r="J326" s="2">
        <f>IF((Optimizer!$J$10=Fandual!J326),100,0)</f>
        <v>0</v>
      </c>
      <c r="K326" s="2">
        <f t="shared" si="11"/>
        <v>0</v>
      </c>
      <c r="L326" s="2">
        <f>IF(Fandual!M326="",1,0)</f>
        <v>1</v>
      </c>
    </row>
    <row r="327" spans="1:12" x14ac:dyDescent="0.25">
      <c r="A327" s="2">
        <f>IF((OR(Optimizer!$J$8=Fandual!J327,Optimizer!$J$10=Fandual!J327))=TRUE, 1,0)</f>
        <v>1</v>
      </c>
      <c r="B327" s="2">
        <f>IF((OR(Fandual!O327="",Fandual!O327&lt;&gt;0)=TRUE),1,0)</f>
        <v>1</v>
      </c>
      <c r="C327" s="2">
        <f>IF(Fandual!B327&lt;&gt;"P",1,0)</f>
        <v>0</v>
      </c>
      <c r="D327" s="2">
        <f t="shared" si="10"/>
        <v>0</v>
      </c>
      <c r="E327" s="2">
        <f>IF(D327=1,Fandual!B327,0)</f>
        <v>0</v>
      </c>
      <c r="F327" s="2">
        <f>IF(D327=1,Fandual!D327,0)</f>
        <v>0</v>
      </c>
      <c r="G327" s="2">
        <f>IF(D327=1,Fandual!F327,0)</f>
        <v>0</v>
      </c>
      <c r="H327" s="2">
        <f>IF(D327=1,Fandual!H327,0)</f>
        <v>0</v>
      </c>
      <c r="I327" s="2">
        <f>IF((Optimizer!$J$8=Fandual!J327),4,0)</f>
        <v>0</v>
      </c>
      <c r="J327" s="2">
        <f>IF((Optimizer!$J$10=Fandual!J327),100,0)</f>
        <v>100</v>
      </c>
      <c r="K327" s="2">
        <f t="shared" si="11"/>
        <v>0</v>
      </c>
      <c r="L327" s="2">
        <f>IF(Fandual!M327="",1,0)</f>
        <v>1</v>
      </c>
    </row>
    <row r="328" spans="1:12" x14ac:dyDescent="0.25">
      <c r="A328" s="2">
        <f>IF((OR(Optimizer!$J$8=Fandual!J328,Optimizer!$J$10=Fandual!J328))=TRUE, 1,0)</f>
        <v>0</v>
      </c>
      <c r="B328" s="2">
        <f>IF((OR(Fandual!O328="",Fandual!O328&lt;&gt;0)=TRUE),1,0)</f>
        <v>1</v>
      </c>
      <c r="C328" s="2">
        <f>IF(Fandual!B328&lt;&gt;"P",1,0)</f>
        <v>0</v>
      </c>
      <c r="D328" s="2">
        <f t="shared" si="10"/>
        <v>0</v>
      </c>
      <c r="E328" s="2">
        <f>IF(D328=1,Fandual!B328,0)</f>
        <v>0</v>
      </c>
      <c r="F328" s="2">
        <f>IF(D328=1,Fandual!D328,0)</f>
        <v>0</v>
      </c>
      <c r="G328" s="2">
        <f>IF(D328=1,Fandual!F328,0)</f>
        <v>0</v>
      </c>
      <c r="H328" s="2">
        <f>IF(D328=1,Fandual!H328,0)</f>
        <v>0</v>
      </c>
      <c r="I328" s="2">
        <f>IF((Optimizer!$J$8=Fandual!J328),4,0)</f>
        <v>0</v>
      </c>
      <c r="J328" s="2">
        <f>IF((Optimizer!$J$10=Fandual!J328),100,0)</f>
        <v>0</v>
      </c>
      <c r="K328" s="2">
        <f t="shared" si="11"/>
        <v>0</v>
      </c>
      <c r="L328" s="2">
        <f>IF(Fandual!M328="",1,0)</f>
        <v>1</v>
      </c>
    </row>
    <row r="329" spans="1:12" x14ac:dyDescent="0.25">
      <c r="A329" s="2">
        <f>IF((OR(Optimizer!$J$8=Fandual!J329,Optimizer!$J$10=Fandual!J329))=TRUE, 1,0)</f>
        <v>1</v>
      </c>
      <c r="B329" s="2">
        <f>IF((OR(Fandual!O329="",Fandual!O329&lt;&gt;0)=TRUE),1,0)</f>
        <v>1</v>
      </c>
      <c r="C329" s="2">
        <f>IF(Fandual!B329&lt;&gt;"P",1,0)</f>
        <v>0</v>
      </c>
      <c r="D329" s="2">
        <f t="shared" si="10"/>
        <v>0</v>
      </c>
      <c r="E329" s="2">
        <f>IF(D329=1,Fandual!B329,0)</f>
        <v>0</v>
      </c>
      <c r="F329" s="2">
        <f>IF(D329=1,Fandual!D329,0)</f>
        <v>0</v>
      </c>
      <c r="G329" s="2">
        <f>IF(D329=1,Fandual!F329,0)</f>
        <v>0</v>
      </c>
      <c r="H329" s="2">
        <f>IF(D329=1,Fandual!H329,0)</f>
        <v>0</v>
      </c>
      <c r="I329" s="2">
        <f>IF((Optimizer!$J$8=Fandual!J329),4,0)</f>
        <v>4</v>
      </c>
      <c r="J329" s="2">
        <f>IF((Optimizer!$J$10=Fandual!J329),100,0)</f>
        <v>0</v>
      </c>
      <c r="K329" s="2">
        <f t="shared" si="11"/>
        <v>0</v>
      </c>
      <c r="L329" s="2">
        <f>IF(Fandual!M329="",1,0)</f>
        <v>0</v>
      </c>
    </row>
    <row r="330" spans="1:12" x14ac:dyDescent="0.25">
      <c r="A330" s="2">
        <f>IF((OR(Optimizer!$J$8=Fandual!J330,Optimizer!$J$10=Fandual!J330))=TRUE, 1,0)</f>
        <v>0</v>
      </c>
      <c r="B330" s="2">
        <f>IF((OR(Fandual!O330="",Fandual!O330&lt;&gt;0)=TRUE),1,0)</f>
        <v>1</v>
      </c>
      <c r="C330" s="2">
        <f>IF(Fandual!B330&lt;&gt;"P",1,0)</f>
        <v>0</v>
      </c>
      <c r="D330" s="2">
        <f t="shared" si="10"/>
        <v>0</v>
      </c>
      <c r="E330" s="2">
        <f>IF(D330=1,Fandual!B330,0)</f>
        <v>0</v>
      </c>
      <c r="F330" s="2">
        <f>IF(D330=1,Fandual!D330,0)</f>
        <v>0</v>
      </c>
      <c r="G330" s="2">
        <f>IF(D330=1,Fandual!F330,0)</f>
        <v>0</v>
      </c>
      <c r="H330" s="2">
        <f>IF(D330=1,Fandual!H330,0)</f>
        <v>0</v>
      </c>
      <c r="I330" s="2">
        <f>IF((Optimizer!$J$8=Fandual!J330),4,0)</f>
        <v>0</v>
      </c>
      <c r="J330" s="2">
        <f>IF((Optimizer!$J$10=Fandual!J330),100,0)</f>
        <v>0</v>
      </c>
      <c r="K330" s="2">
        <f t="shared" si="11"/>
        <v>0</v>
      </c>
      <c r="L330" s="2">
        <f>IF(Fandual!M330="",1,0)</f>
        <v>1</v>
      </c>
    </row>
    <row r="331" spans="1:12" x14ac:dyDescent="0.25">
      <c r="A331" s="2">
        <f>IF((OR(Optimizer!$J$8=Fandual!J331,Optimizer!$J$10=Fandual!J331))=TRUE, 1,0)</f>
        <v>0</v>
      </c>
      <c r="B331" s="2">
        <f>IF((OR(Fandual!O331="",Fandual!O331&lt;&gt;0)=TRUE),1,0)</f>
        <v>1</v>
      </c>
      <c r="C331" s="2">
        <f>IF(Fandual!B331&lt;&gt;"P",1,0)</f>
        <v>0</v>
      </c>
      <c r="D331" s="2">
        <f t="shared" si="10"/>
        <v>0</v>
      </c>
      <c r="E331" s="2">
        <f>IF(D331=1,Fandual!B331,0)</f>
        <v>0</v>
      </c>
      <c r="F331" s="2">
        <f>IF(D331=1,Fandual!D331,0)</f>
        <v>0</v>
      </c>
      <c r="G331" s="2">
        <f>IF(D331=1,Fandual!F331,0)</f>
        <v>0</v>
      </c>
      <c r="H331" s="2">
        <f>IF(D331=1,Fandual!H331,0)</f>
        <v>0</v>
      </c>
      <c r="I331" s="2">
        <f>IF((Optimizer!$J$8=Fandual!J331),4,0)</f>
        <v>0</v>
      </c>
      <c r="J331" s="2">
        <f>IF((Optimizer!$J$10=Fandual!J331),100,0)</f>
        <v>0</v>
      </c>
      <c r="K331" s="2">
        <f t="shared" si="11"/>
        <v>0</v>
      </c>
      <c r="L331" s="2">
        <f>IF(Fandual!M331="",1,0)</f>
        <v>1</v>
      </c>
    </row>
    <row r="332" spans="1:12" x14ac:dyDescent="0.25">
      <c r="A332" s="2">
        <f>IF((OR(Optimizer!$J$8=Fandual!J332,Optimizer!$J$10=Fandual!J332))=TRUE, 1,0)</f>
        <v>0</v>
      </c>
      <c r="B332" s="2">
        <f>IF((OR(Fandual!O332="",Fandual!O332&lt;&gt;0)=TRUE),1,0)</f>
        <v>1</v>
      </c>
      <c r="C332" s="2">
        <f>IF(Fandual!B332&lt;&gt;"P",1,0)</f>
        <v>0</v>
      </c>
      <c r="D332" s="2">
        <f t="shared" si="10"/>
        <v>0</v>
      </c>
      <c r="E332" s="2">
        <f>IF(D332=1,Fandual!B332,0)</f>
        <v>0</v>
      </c>
      <c r="F332" s="2">
        <f>IF(D332=1,Fandual!D332,0)</f>
        <v>0</v>
      </c>
      <c r="G332" s="2">
        <f>IF(D332=1,Fandual!F332,0)</f>
        <v>0</v>
      </c>
      <c r="H332" s="2">
        <f>IF(D332=1,Fandual!H332,0)</f>
        <v>0</v>
      </c>
      <c r="I332" s="2">
        <f>IF((Optimizer!$J$8=Fandual!J332),4,0)</f>
        <v>0</v>
      </c>
      <c r="J332" s="2">
        <f>IF((Optimizer!$J$10=Fandual!J332),100,0)</f>
        <v>0</v>
      </c>
      <c r="K332" s="2">
        <f t="shared" si="11"/>
        <v>0</v>
      </c>
      <c r="L332" s="2">
        <f>IF(Fandual!M332="",1,0)</f>
        <v>1</v>
      </c>
    </row>
    <row r="333" spans="1:12" x14ac:dyDescent="0.25">
      <c r="A333" s="2">
        <f>IF((OR(Optimizer!$J$8=Fandual!J333,Optimizer!$J$10=Fandual!J333))=TRUE, 1,0)</f>
        <v>0</v>
      </c>
      <c r="B333" s="2">
        <f>IF((OR(Fandual!O333="",Fandual!O333&lt;&gt;0)=TRUE),1,0)</f>
        <v>1</v>
      </c>
      <c r="C333" s="2">
        <f>IF(Fandual!B333&lt;&gt;"P",1,0)</f>
        <v>0</v>
      </c>
      <c r="D333" s="2">
        <f t="shared" si="10"/>
        <v>0</v>
      </c>
      <c r="E333" s="2">
        <f>IF(D333=1,Fandual!B333,0)</f>
        <v>0</v>
      </c>
      <c r="F333" s="2">
        <f>IF(D333=1,Fandual!D333,0)</f>
        <v>0</v>
      </c>
      <c r="G333" s="2">
        <f>IF(D333=1,Fandual!F333,0)</f>
        <v>0</v>
      </c>
      <c r="H333" s="2">
        <f>IF(D333=1,Fandual!H333,0)</f>
        <v>0</v>
      </c>
      <c r="I333" s="2">
        <f>IF((Optimizer!$J$8=Fandual!J333),4,0)</f>
        <v>0</v>
      </c>
      <c r="J333" s="2">
        <f>IF((Optimizer!$J$10=Fandual!J333),100,0)</f>
        <v>0</v>
      </c>
      <c r="K333" s="2">
        <f t="shared" si="11"/>
        <v>0</v>
      </c>
      <c r="L333" s="2">
        <f>IF(Fandual!M333="",1,0)</f>
        <v>1</v>
      </c>
    </row>
    <row r="334" spans="1:12" x14ac:dyDescent="0.25">
      <c r="A334" s="2">
        <f>IF((OR(Optimizer!$J$8=Fandual!J334,Optimizer!$J$10=Fandual!J334))=TRUE, 1,0)</f>
        <v>0</v>
      </c>
      <c r="B334" s="2">
        <f>IF((OR(Fandual!O334="",Fandual!O334&lt;&gt;0)=TRUE),1,0)</f>
        <v>1</v>
      </c>
      <c r="C334" s="2">
        <f>IF(Fandual!B334&lt;&gt;"P",1,0)</f>
        <v>0</v>
      </c>
      <c r="D334" s="2">
        <f t="shared" si="10"/>
        <v>0</v>
      </c>
      <c r="E334" s="2">
        <f>IF(D334=1,Fandual!B334,0)</f>
        <v>0</v>
      </c>
      <c r="F334" s="2">
        <f>IF(D334=1,Fandual!D334,0)</f>
        <v>0</v>
      </c>
      <c r="G334" s="2">
        <f>IF(D334=1,Fandual!F334,0)</f>
        <v>0</v>
      </c>
      <c r="H334" s="2">
        <f>IF(D334=1,Fandual!H334,0)</f>
        <v>0</v>
      </c>
      <c r="I334" s="2">
        <f>IF((Optimizer!$J$8=Fandual!J334),4,0)</f>
        <v>0</v>
      </c>
      <c r="J334" s="2">
        <f>IF((Optimizer!$J$10=Fandual!J334),100,0)</f>
        <v>0</v>
      </c>
      <c r="K334" s="2">
        <f t="shared" si="11"/>
        <v>0</v>
      </c>
      <c r="L334" s="2">
        <f>IF(Fandual!M334="",1,0)</f>
        <v>1</v>
      </c>
    </row>
    <row r="335" spans="1:12" x14ac:dyDescent="0.25">
      <c r="A335" s="2">
        <f>IF((OR(Optimizer!$J$8=Fandual!J335,Optimizer!$J$10=Fandual!J335))=TRUE, 1,0)</f>
        <v>0</v>
      </c>
      <c r="B335" s="2">
        <f>IF((OR(Fandual!O335="",Fandual!O335&lt;&gt;0)=TRUE),1,0)</f>
        <v>1</v>
      </c>
      <c r="C335" s="2">
        <f>IF(Fandual!B335&lt;&gt;"P",1,0)</f>
        <v>0</v>
      </c>
      <c r="D335" s="2">
        <f t="shared" si="10"/>
        <v>0</v>
      </c>
      <c r="E335" s="2">
        <f>IF(D335=1,Fandual!B335,0)</f>
        <v>0</v>
      </c>
      <c r="F335" s="2">
        <f>IF(D335=1,Fandual!D335,0)</f>
        <v>0</v>
      </c>
      <c r="G335" s="2">
        <f>IF(D335=1,Fandual!F335,0)</f>
        <v>0</v>
      </c>
      <c r="H335" s="2">
        <f>IF(D335=1,Fandual!H335,0)</f>
        <v>0</v>
      </c>
      <c r="I335" s="2">
        <f>IF((Optimizer!$J$8=Fandual!J335),4,0)</f>
        <v>0</v>
      </c>
      <c r="J335" s="2">
        <f>IF((Optimizer!$J$10=Fandual!J335),100,0)</f>
        <v>0</v>
      </c>
      <c r="K335" s="2">
        <f t="shared" si="11"/>
        <v>0</v>
      </c>
      <c r="L335" s="2">
        <f>IF(Fandual!M335="",1,0)</f>
        <v>0</v>
      </c>
    </row>
    <row r="336" spans="1:12" x14ac:dyDescent="0.25">
      <c r="A336" s="2">
        <f>IF((OR(Optimizer!$J$8=Fandual!J336,Optimizer!$J$10=Fandual!J336))=TRUE, 1,0)</f>
        <v>0</v>
      </c>
      <c r="B336" s="2">
        <f>IF((OR(Fandual!O336="",Fandual!O336&lt;&gt;0)=TRUE),1,0)</f>
        <v>1</v>
      </c>
      <c r="C336" s="2">
        <f>IF(Fandual!B336&lt;&gt;"P",1,0)</f>
        <v>0</v>
      </c>
      <c r="D336" s="2">
        <f t="shared" si="10"/>
        <v>0</v>
      </c>
      <c r="E336" s="2">
        <f>IF(D336=1,Fandual!B336,0)</f>
        <v>0</v>
      </c>
      <c r="F336" s="2">
        <f>IF(D336=1,Fandual!D336,0)</f>
        <v>0</v>
      </c>
      <c r="G336" s="2">
        <f>IF(D336=1,Fandual!F336,0)</f>
        <v>0</v>
      </c>
      <c r="H336" s="2">
        <f>IF(D336=1,Fandual!H336,0)</f>
        <v>0</v>
      </c>
      <c r="I336" s="2">
        <f>IF((Optimizer!$J$8=Fandual!J336),4,0)</f>
        <v>0</v>
      </c>
      <c r="J336" s="2">
        <f>IF((Optimizer!$J$10=Fandual!J336),100,0)</f>
        <v>0</v>
      </c>
      <c r="K336" s="2">
        <f t="shared" si="11"/>
        <v>0</v>
      </c>
      <c r="L336" s="2">
        <f>IF(Fandual!M336="",1,0)</f>
        <v>1</v>
      </c>
    </row>
    <row r="337" spans="1:12" x14ac:dyDescent="0.25">
      <c r="A337" s="2">
        <f>IF((OR(Optimizer!$J$8=Fandual!J337,Optimizer!$J$10=Fandual!J337))=TRUE, 1,0)</f>
        <v>0</v>
      </c>
      <c r="B337" s="2">
        <f>IF((OR(Fandual!O337="",Fandual!O337&lt;&gt;0)=TRUE),1,0)</f>
        <v>1</v>
      </c>
      <c r="C337" s="2">
        <f>IF(Fandual!B337&lt;&gt;"P",1,0)</f>
        <v>0</v>
      </c>
      <c r="D337" s="2">
        <f t="shared" si="10"/>
        <v>0</v>
      </c>
      <c r="E337" s="2">
        <f>IF(D337=1,Fandual!B337,0)</f>
        <v>0</v>
      </c>
      <c r="F337" s="2">
        <f>IF(D337=1,Fandual!D337,0)</f>
        <v>0</v>
      </c>
      <c r="G337" s="2">
        <f>IF(D337=1,Fandual!F337,0)</f>
        <v>0</v>
      </c>
      <c r="H337" s="2">
        <f>IF(D337=1,Fandual!H337,0)</f>
        <v>0</v>
      </c>
      <c r="I337" s="2">
        <f>IF((Optimizer!$J$8=Fandual!J337),4,0)</f>
        <v>0</v>
      </c>
      <c r="J337" s="2">
        <f>IF((Optimizer!$J$10=Fandual!J337),100,0)</f>
        <v>0</v>
      </c>
      <c r="K337" s="2">
        <f t="shared" si="11"/>
        <v>0</v>
      </c>
      <c r="L337" s="2">
        <f>IF(Fandual!M337="",1,0)</f>
        <v>1</v>
      </c>
    </row>
    <row r="338" spans="1:12" x14ac:dyDescent="0.25">
      <c r="A338" s="2">
        <f>IF((OR(Optimizer!$J$8=Fandual!J338,Optimizer!$J$10=Fandual!J338))=TRUE, 1,0)</f>
        <v>0</v>
      </c>
      <c r="B338" s="2">
        <f>IF((OR(Fandual!O338="",Fandual!O338&lt;&gt;0)=TRUE),1,0)</f>
        <v>1</v>
      </c>
      <c r="C338" s="2">
        <f>IF(Fandual!B338&lt;&gt;"P",1,0)</f>
        <v>0</v>
      </c>
      <c r="D338" s="2">
        <f t="shared" si="10"/>
        <v>0</v>
      </c>
      <c r="E338" s="2">
        <f>IF(D338=1,Fandual!B338,0)</f>
        <v>0</v>
      </c>
      <c r="F338" s="2">
        <f>IF(D338=1,Fandual!D338,0)</f>
        <v>0</v>
      </c>
      <c r="G338" s="2">
        <f>IF(D338=1,Fandual!F338,0)</f>
        <v>0</v>
      </c>
      <c r="H338" s="2">
        <f>IF(D338=1,Fandual!H338,0)</f>
        <v>0</v>
      </c>
      <c r="I338" s="2">
        <f>IF((Optimizer!$J$8=Fandual!J338),4,0)</f>
        <v>0</v>
      </c>
      <c r="J338" s="2">
        <f>IF((Optimizer!$J$10=Fandual!J338),100,0)</f>
        <v>0</v>
      </c>
      <c r="K338" s="2">
        <f t="shared" si="11"/>
        <v>0</v>
      </c>
      <c r="L338" s="2">
        <f>IF(Fandual!M338="",1,0)</f>
        <v>1</v>
      </c>
    </row>
    <row r="339" spans="1:12" x14ac:dyDescent="0.25">
      <c r="A339" s="2">
        <f>IF((OR(Optimizer!$J$8=Fandual!J339,Optimizer!$J$10=Fandual!J339))=TRUE, 1,0)</f>
        <v>0</v>
      </c>
      <c r="B339" s="2">
        <f>IF((OR(Fandual!O339="",Fandual!O339&lt;&gt;0)=TRUE),1,0)</f>
        <v>1</v>
      </c>
      <c r="C339" s="2">
        <f>IF(Fandual!B339&lt;&gt;"P",1,0)</f>
        <v>0</v>
      </c>
      <c r="D339" s="2">
        <f t="shared" si="10"/>
        <v>0</v>
      </c>
      <c r="E339" s="2">
        <f>IF(D339=1,Fandual!B339,0)</f>
        <v>0</v>
      </c>
      <c r="F339" s="2">
        <f>IF(D339=1,Fandual!D339,0)</f>
        <v>0</v>
      </c>
      <c r="G339" s="2">
        <f>IF(D339=1,Fandual!F339,0)</f>
        <v>0</v>
      </c>
      <c r="H339" s="2">
        <f>IF(D339=1,Fandual!H339,0)</f>
        <v>0</v>
      </c>
      <c r="I339" s="2">
        <f>IF((Optimizer!$J$8=Fandual!J339),4,0)</f>
        <v>0</v>
      </c>
      <c r="J339" s="2">
        <f>IF((Optimizer!$J$10=Fandual!J339),100,0)</f>
        <v>0</v>
      </c>
      <c r="K339" s="2">
        <f t="shared" si="11"/>
        <v>0</v>
      </c>
      <c r="L339" s="2">
        <f>IF(Fandual!M339="",1,0)</f>
        <v>1</v>
      </c>
    </row>
    <row r="340" spans="1:12" x14ac:dyDescent="0.25">
      <c r="A340" s="2">
        <f>IF((OR(Optimizer!$J$8=Fandual!J340,Optimizer!$J$10=Fandual!J340))=TRUE, 1,0)</f>
        <v>0</v>
      </c>
      <c r="B340" s="2">
        <f>IF((OR(Fandual!O340="",Fandual!O340&lt;&gt;0)=TRUE),1,0)</f>
        <v>1</v>
      </c>
      <c r="C340" s="2">
        <f>IF(Fandual!B340&lt;&gt;"P",1,0)</f>
        <v>0</v>
      </c>
      <c r="D340" s="2">
        <f t="shared" si="10"/>
        <v>0</v>
      </c>
      <c r="E340" s="2">
        <f>IF(D340=1,Fandual!B340,0)</f>
        <v>0</v>
      </c>
      <c r="F340" s="2">
        <f>IF(D340=1,Fandual!D340,0)</f>
        <v>0</v>
      </c>
      <c r="G340" s="2">
        <f>IF(D340=1,Fandual!F340,0)</f>
        <v>0</v>
      </c>
      <c r="H340" s="2">
        <f>IF(D340=1,Fandual!H340,0)</f>
        <v>0</v>
      </c>
      <c r="I340" s="2">
        <f>IF((Optimizer!$J$8=Fandual!J340),4,0)</f>
        <v>0</v>
      </c>
      <c r="J340" s="2">
        <f>IF((Optimizer!$J$10=Fandual!J340),100,0)</f>
        <v>0</v>
      </c>
      <c r="K340" s="2">
        <f t="shared" si="11"/>
        <v>0</v>
      </c>
      <c r="L340" s="2">
        <f>IF(Fandual!M340="",1,0)</f>
        <v>1</v>
      </c>
    </row>
    <row r="341" spans="1:12" x14ac:dyDescent="0.25">
      <c r="A341" s="2">
        <f>IF((OR(Optimizer!$J$8=Fandual!J341,Optimizer!$J$10=Fandual!J341))=TRUE, 1,0)</f>
        <v>0</v>
      </c>
      <c r="B341" s="2">
        <f>IF((OR(Fandual!O341="",Fandual!O341&lt;&gt;0)=TRUE),1,0)</f>
        <v>1</v>
      </c>
      <c r="C341" s="2">
        <f>IF(Fandual!B341&lt;&gt;"P",1,0)</f>
        <v>0</v>
      </c>
      <c r="D341" s="2">
        <f t="shared" si="10"/>
        <v>0</v>
      </c>
      <c r="E341" s="2">
        <f>IF(D341=1,Fandual!B341,0)</f>
        <v>0</v>
      </c>
      <c r="F341" s="2">
        <f>IF(D341=1,Fandual!D341,0)</f>
        <v>0</v>
      </c>
      <c r="G341" s="2">
        <f>IF(D341=1,Fandual!F341,0)</f>
        <v>0</v>
      </c>
      <c r="H341" s="2">
        <f>IF(D341=1,Fandual!H341,0)</f>
        <v>0</v>
      </c>
      <c r="I341" s="2">
        <f>IF((Optimizer!$J$8=Fandual!J341),4,0)</f>
        <v>0</v>
      </c>
      <c r="J341" s="2">
        <f>IF((Optimizer!$J$10=Fandual!J341),100,0)</f>
        <v>0</v>
      </c>
      <c r="K341" s="2">
        <f t="shared" si="11"/>
        <v>0</v>
      </c>
      <c r="L341" s="2">
        <f>IF(Fandual!M341="",1,0)</f>
        <v>1</v>
      </c>
    </row>
    <row r="342" spans="1:12" x14ac:dyDescent="0.25">
      <c r="A342" s="2">
        <f>IF((OR(Optimizer!$J$8=Fandual!J342,Optimizer!$J$10=Fandual!J342))=TRUE, 1,0)</f>
        <v>0</v>
      </c>
      <c r="B342" s="2">
        <f>IF((OR(Fandual!O342="",Fandual!O342&lt;&gt;0)=TRUE),1,0)</f>
        <v>1</v>
      </c>
      <c r="C342" s="2">
        <f>IF(Fandual!B342&lt;&gt;"P",1,0)</f>
        <v>0</v>
      </c>
      <c r="D342" s="2">
        <f t="shared" si="10"/>
        <v>0</v>
      </c>
      <c r="E342" s="2">
        <f>IF(D342=1,Fandual!B342,0)</f>
        <v>0</v>
      </c>
      <c r="F342" s="2">
        <f>IF(D342=1,Fandual!D342,0)</f>
        <v>0</v>
      </c>
      <c r="G342" s="2">
        <f>IF(D342=1,Fandual!F342,0)</f>
        <v>0</v>
      </c>
      <c r="H342" s="2">
        <f>IF(D342=1,Fandual!H342,0)</f>
        <v>0</v>
      </c>
      <c r="I342" s="2">
        <f>IF((Optimizer!$J$8=Fandual!J342),4,0)</f>
        <v>0</v>
      </c>
      <c r="J342" s="2">
        <f>IF((Optimizer!$J$10=Fandual!J342),100,0)</f>
        <v>0</v>
      </c>
      <c r="K342" s="2">
        <f t="shared" si="11"/>
        <v>0</v>
      </c>
      <c r="L342" s="2">
        <f>IF(Fandual!M342="",1,0)</f>
        <v>1</v>
      </c>
    </row>
    <row r="343" spans="1:12" x14ac:dyDescent="0.25">
      <c r="A343" s="2">
        <f>IF((OR(Optimizer!$J$8=Fandual!J343,Optimizer!$J$10=Fandual!J343))=TRUE, 1,0)</f>
        <v>0</v>
      </c>
      <c r="B343" s="2">
        <f>IF((OR(Fandual!O343="",Fandual!O343&lt;&gt;0)=TRUE),1,0)</f>
        <v>1</v>
      </c>
      <c r="C343" s="2">
        <f>IF(Fandual!B343&lt;&gt;"P",1,0)</f>
        <v>0</v>
      </c>
      <c r="D343" s="2">
        <f t="shared" si="10"/>
        <v>0</v>
      </c>
      <c r="E343" s="2">
        <f>IF(D343=1,Fandual!B343,0)</f>
        <v>0</v>
      </c>
      <c r="F343" s="2">
        <f>IF(D343=1,Fandual!D343,0)</f>
        <v>0</v>
      </c>
      <c r="G343" s="2">
        <f>IF(D343=1,Fandual!F343,0)</f>
        <v>0</v>
      </c>
      <c r="H343" s="2">
        <f>IF(D343=1,Fandual!H343,0)</f>
        <v>0</v>
      </c>
      <c r="I343" s="2">
        <f>IF((Optimizer!$J$8=Fandual!J343),4,0)</f>
        <v>0</v>
      </c>
      <c r="J343" s="2">
        <f>IF((Optimizer!$J$10=Fandual!J343),100,0)</f>
        <v>0</v>
      </c>
      <c r="K343" s="2">
        <f t="shared" si="11"/>
        <v>0</v>
      </c>
      <c r="L343" s="2">
        <f>IF(Fandual!M343="",1,0)</f>
        <v>1</v>
      </c>
    </row>
    <row r="344" spans="1:12" x14ac:dyDescent="0.25">
      <c r="A344" s="2">
        <f>IF((OR(Optimizer!$J$8=Fandual!J344,Optimizer!$J$10=Fandual!J344))=TRUE, 1,0)</f>
        <v>0</v>
      </c>
      <c r="B344" s="2">
        <f>IF((OR(Fandual!O344="",Fandual!O344&lt;&gt;0)=TRUE),1,0)</f>
        <v>1</v>
      </c>
      <c r="C344" s="2">
        <f>IF(Fandual!B344&lt;&gt;"P",1,0)</f>
        <v>0</v>
      </c>
      <c r="D344" s="2">
        <f t="shared" si="10"/>
        <v>0</v>
      </c>
      <c r="E344" s="2">
        <f>IF(D344=1,Fandual!B344,0)</f>
        <v>0</v>
      </c>
      <c r="F344" s="2">
        <f>IF(D344=1,Fandual!D344,0)</f>
        <v>0</v>
      </c>
      <c r="G344" s="2">
        <f>IF(D344=1,Fandual!F344,0)</f>
        <v>0</v>
      </c>
      <c r="H344" s="2">
        <f>IF(D344=1,Fandual!H344,0)</f>
        <v>0</v>
      </c>
      <c r="I344" s="2">
        <f>IF((Optimizer!$J$8=Fandual!J344),4,0)</f>
        <v>0</v>
      </c>
      <c r="J344" s="2">
        <f>IF((Optimizer!$J$10=Fandual!J344),100,0)</f>
        <v>0</v>
      </c>
      <c r="K344" s="2">
        <f t="shared" si="11"/>
        <v>0</v>
      </c>
      <c r="L344" s="2">
        <f>IF(Fandual!M344="",1,0)</f>
        <v>1</v>
      </c>
    </row>
    <row r="345" spans="1:12" x14ac:dyDescent="0.25">
      <c r="A345" s="2">
        <f>IF((OR(Optimizer!$J$8=Fandual!J345,Optimizer!$J$10=Fandual!J345))=TRUE, 1,0)</f>
        <v>0</v>
      </c>
      <c r="B345" s="2">
        <f>IF((OR(Fandual!O345="",Fandual!O345&lt;&gt;0)=TRUE),1,0)</f>
        <v>1</v>
      </c>
      <c r="C345" s="2">
        <f>IF(Fandual!B345&lt;&gt;"P",1,0)</f>
        <v>0</v>
      </c>
      <c r="D345" s="2">
        <f t="shared" si="10"/>
        <v>0</v>
      </c>
      <c r="E345" s="2">
        <f>IF(D345=1,Fandual!B345,0)</f>
        <v>0</v>
      </c>
      <c r="F345" s="2">
        <f>IF(D345=1,Fandual!D345,0)</f>
        <v>0</v>
      </c>
      <c r="G345" s="2">
        <f>IF(D345=1,Fandual!F345,0)</f>
        <v>0</v>
      </c>
      <c r="H345" s="2">
        <f>IF(D345=1,Fandual!H345,0)</f>
        <v>0</v>
      </c>
      <c r="I345" s="2">
        <f>IF((Optimizer!$J$8=Fandual!J345),4,0)</f>
        <v>0</v>
      </c>
      <c r="J345" s="2">
        <f>IF((Optimizer!$J$10=Fandual!J345),100,0)</f>
        <v>0</v>
      </c>
      <c r="K345" s="2">
        <f t="shared" si="11"/>
        <v>0</v>
      </c>
      <c r="L345" s="2">
        <f>IF(Fandual!M345="",1,0)</f>
        <v>0</v>
      </c>
    </row>
    <row r="346" spans="1:12" x14ac:dyDescent="0.25">
      <c r="A346" s="2">
        <f>IF((OR(Optimizer!$J$8=Fandual!J346,Optimizer!$J$10=Fandual!J346))=TRUE, 1,0)</f>
        <v>0</v>
      </c>
      <c r="B346" s="2">
        <f>IF((OR(Fandual!O346="",Fandual!O346&lt;&gt;0)=TRUE),1,0)</f>
        <v>1</v>
      </c>
      <c r="C346" s="2">
        <f>IF(Fandual!B346&lt;&gt;"P",1,0)</f>
        <v>0</v>
      </c>
      <c r="D346" s="2">
        <f t="shared" si="10"/>
        <v>0</v>
      </c>
      <c r="E346" s="2">
        <f>IF(D346=1,Fandual!B346,0)</f>
        <v>0</v>
      </c>
      <c r="F346" s="2">
        <f>IF(D346=1,Fandual!D346,0)</f>
        <v>0</v>
      </c>
      <c r="G346" s="2">
        <f>IF(D346=1,Fandual!F346,0)</f>
        <v>0</v>
      </c>
      <c r="H346" s="2">
        <f>IF(D346=1,Fandual!H346,0)</f>
        <v>0</v>
      </c>
      <c r="I346" s="2">
        <f>IF((Optimizer!$J$8=Fandual!J346),4,0)</f>
        <v>0</v>
      </c>
      <c r="J346" s="2">
        <f>IF((Optimizer!$J$10=Fandual!J346),100,0)</f>
        <v>0</v>
      </c>
      <c r="K346" s="2">
        <f t="shared" si="11"/>
        <v>0</v>
      </c>
      <c r="L346" s="2">
        <f>IF(Fandual!M346="",1,0)</f>
        <v>1</v>
      </c>
    </row>
    <row r="347" spans="1:12" x14ac:dyDescent="0.25">
      <c r="A347" s="2">
        <f>IF((OR(Optimizer!$J$8=Fandual!J347,Optimizer!$J$10=Fandual!J347))=TRUE, 1,0)</f>
        <v>0</v>
      </c>
      <c r="B347" s="2">
        <f>IF((OR(Fandual!O347="",Fandual!O347&lt;&gt;0)=TRUE),1,0)</f>
        <v>1</v>
      </c>
      <c r="C347" s="2">
        <f>IF(Fandual!B347&lt;&gt;"P",1,0)</f>
        <v>0</v>
      </c>
      <c r="D347" s="2">
        <f t="shared" si="10"/>
        <v>0</v>
      </c>
      <c r="E347" s="2">
        <f>IF(D347=1,Fandual!B347,0)</f>
        <v>0</v>
      </c>
      <c r="F347" s="2">
        <f>IF(D347=1,Fandual!D347,0)</f>
        <v>0</v>
      </c>
      <c r="G347" s="2">
        <f>IF(D347=1,Fandual!F347,0)</f>
        <v>0</v>
      </c>
      <c r="H347" s="2">
        <f>IF(D347=1,Fandual!H347,0)</f>
        <v>0</v>
      </c>
      <c r="I347" s="2">
        <f>IF((Optimizer!$J$8=Fandual!J347),4,0)</f>
        <v>0</v>
      </c>
      <c r="J347" s="2">
        <f>IF((Optimizer!$J$10=Fandual!J347),100,0)</f>
        <v>0</v>
      </c>
      <c r="K347" s="2">
        <f t="shared" si="11"/>
        <v>0</v>
      </c>
      <c r="L347" s="2">
        <f>IF(Fandual!M347="",1,0)</f>
        <v>1</v>
      </c>
    </row>
    <row r="348" spans="1:12" x14ac:dyDescent="0.25">
      <c r="A348" s="2">
        <f>IF((OR(Optimizer!$J$8=Fandual!J348,Optimizer!$J$10=Fandual!J348))=TRUE, 1,0)</f>
        <v>0</v>
      </c>
      <c r="B348" s="2">
        <f>IF((OR(Fandual!O348="",Fandual!O348&lt;&gt;0)=TRUE),1,0)</f>
        <v>1</v>
      </c>
      <c r="C348" s="2">
        <f>IF(Fandual!B348&lt;&gt;"P",1,0)</f>
        <v>0</v>
      </c>
      <c r="D348" s="2">
        <f t="shared" si="10"/>
        <v>0</v>
      </c>
      <c r="E348" s="2">
        <f>IF(D348=1,Fandual!B348,0)</f>
        <v>0</v>
      </c>
      <c r="F348" s="2">
        <f>IF(D348=1,Fandual!D348,0)</f>
        <v>0</v>
      </c>
      <c r="G348" s="2">
        <f>IF(D348=1,Fandual!F348,0)</f>
        <v>0</v>
      </c>
      <c r="H348" s="2">
        <f>IF(D348=1,Fandual!H348,0)</f>
        <v>0</v>
      </c>
      <c r="I348" s="2">
        <f>IF((Optimizer!$J$8=Fandual!J348),4,0)</f>
        <v>0</v>
      </c>
      <c r="J348" s="2">
        <f>IF((Optimizer!$J$10=Fandual!J348),100,0)</f>
        <v>0</v>
      </c>
      <c r="K348" s="2">
        <f t="shared" si="11"/>
        <v>0</v>
      </c>
      <c r="L348" s="2">
        <f>IF(Fandual!M348="",1,0)</f>
        <v>1</v>
      </c>
    </row>
    <row r="349" spans="1:12" x14ac:dyDescent="0.25">
      <c r="A349" s="2">
        <f>IF((OR(Optimizer!$J$8=Fandual!J349,Optimizer!$J$10=Fandual!J349))=TRUE, 1,0)</f>
        <v>0</v>
      </c>
      <c r="B349" s="2">
        <f>IF((OR(Fandual!O349="",Fandual!O349&lt;&gt;0)=TRUE),1,0)</f>
        <v>1</v>
      </c>
      <c r="C349" s="2">
        <f>IF(Fandual!B349&lt;&gt;"P",1,0)</f>
        <v>0</v>
      </c>
      <c r="D349" s="2">
        <f t="shared" si="10"/>
        <v>0</v>
      </c>
      <c r="E349" s="2">
        <f>IF(D349=1,Fandual!B349,0)</f>
        <v>0</v>
      </c>
      <c r="F349" s="2">
        <f>IF(D349=1,Fandual!D349,0)</f>
        <v>0</v>
      </c>
      <c r="G349" s="2">
        <f>IF(D349=1,Fandual!F349,0)</f>
        <v>0</v>
      </c>
      <c r="H349" s="2">
        <f>IF(D349=1,Fandual!H349,0)</f>
        <v>0</v>
      </c>
      <c r="I349" s="2">
        <f>IF((Optimizer!$J$8=Fandual!J349),4,0)</f>
        <v>0</v>
      </c>
      <c r="J349" s="2">
        <f>IF((Optimizer!$J$10=Fandual!J349),100,0)</f>
        <v>0</v>
      </c>
      <c r="K349" s="2">
        <f t="shared" si="11"/>
        <v>0</v>
      </c>
      <c r="L349" s="2">
        <f>IF(Fandual!M349="",1,0)</f>
        <v>1</v>
      </c>
    </row>
    <row r="350" spans="1:12" x14ac:dyDescent="0.25">
      <c r="A350" s="2">
        <f>IF((OR(Optimizer!$J$8=Fandual!J350,Optimizer!$J$10=Fandual!J350))=TRUE, 1,0)</f>
        <v>0</v>
      </c>
      <c r="B350" s="2">
        <f>IF((OR(Fandual!O350="",Fandual!O350&lt;&gt;0)=TRUE),1,0)</f>
        <v>1</v>
      </c>
      <c r="C350" s="2">
        <f>IF(Fandual!B350&lt;&gt;"P",1,0)</f>
        <v>0</v>
      </c>
      <c r="D350" s="2">
        <f t="shared" si="10"/>
        <v>0</v>
      </c>
      <c r="E350" s="2">
        <f>IF(D350=1,Fandual!B350,0)</f>
        <v>0</v>
      </c>
      <c r="F350" s="2">
        <f>IF(D350=1,Fandual!D350,0)</f>
        <v>0</v>
      </c>
      <c r="G350" s="2">
        <f>IF(D350=1,Fandual!F350,0)</f>
        <v>0</v>
      </c>
      <c r="H350" s="2">
        <f>IF(D350=1,Fandual!H350,0)</f>
        <v>0</v>
      </c>
      <c r="I350" s="2">
        <f>IF((Optimizer!$J$8=Fandual!J350),4,0)</f>
        <v>0</v>
      </c>
      <c r="J350" s="2">
        <f>IF((Optimizer!$J$10=Fandual!J350),100,0)</f>
        <v>0</v>
      </c>
      <c r="K350" s="2">
        <f t="shared" si="11"/>
        <v>0</v>
      </c>
      <c r="L350" s="2">
        <f>IF(Fandual!M350="",1,0)</f>
        <v>1</v>
      </c>
    </row>
    <row r="351" spans="1:12" x14ac:dyDescent="0.25">
      <c r="A351" s="2">
        <f>IF((OR(Optimizer!$J$8=Fandual!J351,Optimizer!$J$10=Fandual!J351))=TRUE, 1,0)</f>
        <v>0</v>
      </c>
      <c r="B351" s="2">
        <f>IF((OR(Fandual!O351="",Fandual!O351&lt;&gt;0)=TRUE),1,0)</f>
        <v>1</v>
      </c>
      <c r="C351" s="2">
        <f>IF(Fandual!B351&lt;&gt;"P",1,0)</f>
        <v>0</v>
      </c>
      <c r="D351" s="2">
        <f t="shared" si="10"/>
        <v>0</v>
      </c>
      <c r="E351" s="2">
        <f>IF(D351=1,Fandual!B351,0)</f>
        <v>0</v>
      </c>
      <c r="F351" s="2">
        <f>IF(D351=1,Fandual!D351,0)</f>
        <v>0</v>
      </c>
      <c r="G351" s="2">
        <f>IF(D351=1,Fandual!F351,0)</f>
        <v>0</v>
      </c>
      <c r="H351" s="2">
        <f>IF(D351=1,Fandual!H351,0)</f>
        <v>0</v>
      </c>
      <c r="I351" s="2">
        <f>IF((Optimizer!$J$8=Fandual!J351),4,0)</f>
        <v>0</v>
      </c>
      <c r="J351" s="2">
        <f>IF((Optimizer!$J$10=Fandual!J351),100,0)</f>
        <v>0</v>
      </c>
      <c r="K351" s="2">
        <f t="shared" si="11"/>
        <v>0</v>
      </c>
      <c r="L351" s="2">
        <f>IF(Fandual!M351="",1,0)</f>
        <v>1</v>
      </c>
    </row>
    <row r="352" spans="1:12" x14ac:dyDescent="0.25">
      <c r="A352" s="2">
        <f>IF((OR(Optimizer!$J$8=Fandual!J352,Optimizer!$J$10=Fandual!J352))=TRUE, 1,0)</f>
        <v>0</v>
      </c>
      <c r="B352" s="2">
        <f>IF((OR(Fandual!O352="",Fandual!O352&lt;&gt;0)=TRUE),1,0)</f>
        <v>1</v>
      </c>
      <c r="C352" s="2">
        <f>IF(Fandual!B352&lt;&gt;"P",1,0)</f>
        <v>0</v>
      </c>
      <c r="D352" s="2">
        <f t="shared" si="10"/>
        <v>0</v>
      </c>
      <c r="E352" s="2">
        <f>IF(D352=1,Fandual!B352,0)</f>
        <v>0</v>
      </c>
      <c r="F352" s="2">
        <f>IF(D352=1,Fandual!D352,0)</f>
        <v>0</v>
      </c>
      <c r="G352" s="2">
        <f>IF(D352=1,Fandual!F352,0)</f>
        <v>0</v>
      </c>
      <c r="H352" s="2">
        <f>IF(D352=1,Fandual!H352,0)</f>
        <v>0</v>
      </c>
      <c r="I352" s="2">
        <f>IF((Optimizer!$J$8=Fandual!J352),4,0)</f>
        <v>0</v>
      </c>
      <c r="J352" s="2">
        <f>IF((Optimizer!$J$10=Fandual!J352),100,0)</f>
        <v>0</v>
      </c>
      <c r="K352" s="2">
        <f t="shared" si="11"/>
        <v>0</v>
      </c>
      <c r="L352" s="2">
        <f>IF(Fandual!M352="",1,0)</f>
        <v>1</v>
      </c>
    </row>
    <row r="353" spans="1:12" x14ac:dyDescent="0.25">
      <c r="A353" s="2">
        <f>IF((OR(Optimizer!$J$8=Fandual!J353,Optimizer!$J$10=Fandual!J353))=TRUE, 1,0)</f>
        <v>0</v>
      </c>
      <c r="B353" s="2">
        <f>IF((OR(Fandual!O353="",Fandual!O353&lt;&gt;0)=TRUE),1,0)</f>
        <v>1</v>
      </c>
      <c r="C353" s="2">
        <f>IF(Fandual!B353&lt;&gt;"P",1,0)</f>
        <v>0</v>
      </c>
      <c r="D353" s="2">
        <f t="shared" si="10"/>
        <v>0</v>
      </c>
      <c r="E353" s="2">
        <f>IF(D353=1,Fandual!B353,0)</f>
        <v>0</v>
      </c>
      <c r="F353" s="2">
        <f>IF(D353=1,Fandual!D353,0)</f>
        <v>0</v>
      </c>
      <c r="G353" s="2">
        <f>IF(D353=1,Fandual!F353,0)</f>
        <v>0</v>
      </c>
      <c r="H353" s="2">
        <f>IF(D353=1,Fandual!H353,0)</f>
        <v>0</v>
      </c>
      <c r="I353" s="2">
        <f>IF((Optimizer!$J$8=Fandual!J353),4,0)</f>
        <v>0</v>
      </c>
      <c r="J353" s="2">
        <f>IF((Optimizer!$J$10=Fandual!J353),100,0)</f>
        <v>0</v>
      </c>
      <c r="K353" s="2">
        <f t="shared" si="11"/>
        <v>0</v>
      </c>
      <c r="L353" s="2">
        <f>IF(Fandual!M353="",1,0)</f>
        <v>1</v>
      </c>
    </row>
    <row r="354" spans="1:12" x14ac:dyDescent="0.25">
      <c r="A354" s="2">
        <f>IF((OR(Optimizer!$J$8=Fandual!J354,Optimizer!$J$10=Fandual!J354))=TRUE, 1,0)</f>
        <v>0</v>
      </c>
      <c r="B354" s="2">
        <f>IF((OR(Fandual!O354="",Fandual!O354&lt;&gt;0)=TRUE),1,0)</f>
        <v>1</v>
      </c>
      <c r="C354" s="2">
        <f>IF(Fandual!B354&lt;&gt;"P",1,0)</f>
        <v>0</v>
      </c>
      <c r="D354" s="2">
        <f t="shared" si="10"/>
        <v>0</v>
      </c>
      <c r="E354" s="2">
        <f>IF(D354=1,Fandual!B354,0)</f>
        <v>0</v>
      </c>
      <c r="F354" s="2">
        <f>IF(D354=1,Fandual!D354,0)</f>
        <v>0</v>
      </c>
      <c r="G354" s="2">
        <f>IF(D354=1,Fandual!F354,0)</f>
        <v>0</v>
      </c>
      <c r="H354" s="2">
        <f>IF(D354=1,Fandual!H354,0)</f>
        <v>0</v>
      </c>
      <c r="I354" s="2">
        <f>IF((Optimizer!$J$8=Fandual!J354),4,0)</f>
        <v>0</v>
      </c>
      <c r="J354" s="2">
        <f>IF((Optimizer!$J$10=Fandual!J354),100,0)</f>
        <v>0</v>
      </c>
      <c r="K354" s="2">
        <f t="shared" si="11"/>
        <v>0</v>
      </c>
      <c r="L354" s="2">
        <f>IF(Fandual!M354="",1,0)</f>
        <v>1</v>
      </c>
    </row>
    <row r="355" spans="1:12" x14ac:dyDescent="0.25">
      <c r="A355" s="2">
        <f>IF((OR(Optimizer!$J$8=Fandual!J355,Optimizer!$J$10=Fandual!J355))=TRUE, 1,0)</f>
        <v>0</v>
      </c>
      <c r="B355" s="2">
        <f>IF((OR(Fandual!O355="",Fandual!O355&lt;&gt;0)=TRUE),1,0)</f>
        <v>1</v>
      </c>
      <c r="C355" s="2">
        <f>IF(Fandual!B355&lt;&gt;"P",1,0)</f>
        <v>0</v>
      </c>
      <c r="D355" s="2">
        <f t="shared" si="10"/>
        <v>0</v>
      </c>
      <c r="E355" s="2">
        <f>IF(D355=1,Fandual!B355,0)</f>
        <v>0</v>
      </c>
      <c r="F355" s="2">
        <f>IF(D355=1,Fandual!D355,0)</f>
        <v>0</v>
      </c>
      <c r="G355" s="2">
        <f>IF(D355=1,Fandual!F355,0)</f>
        <v>0</v>
      </c>
      <c r="H355" s="2">
        <f>IF(D355=1,Fandual!H355,0)</f>
        <v>0</v>
      </c>
      <c r="I355" s="2">
        <f>IF((Optimizer!$J$8=Fandual!J355),4,0)</f>
        <v>0</v>
      </c>
      <c r="J355" s="2">
        <f>IF((Optimizer!$J$10=Fandual!J355),100,0)</f>
        <v>0</v>
      </c>
      <c r="K355" s="2">
        <f t="shared" si="11"/>
        <v>0</v>
      </c>
      <c r="L355" s="2">
        <f>IF(Fandual!M355="",1,0)</f>
        <v>0</v>
      </c>
    </row>
    <row r="356" spans="1:12" x14ac:dyDescent="0.25">
      <c r="A356" s="2">
        <f>IF((OR(Optimizer!$J$8=Fandual!J356,Optimizer!$J$10=Fandual!J356))=TRUE, 1,0)</f>
        <v>0</v>
      </c>
      <c r="B356" s="2">
        <f>IF((OR(Fandual!O356="",Fandual!O356&lt;&gt;0)=TRUE),1,0)</f>
        <v>1</v>
      </c>
      <c r="C356" s="2">
        <f>IF(Fandual!B356&lt;&gt;"P",1,0)</f>
        <v>0</v>
      </c>
      <c r="D356" s="2">
        <f t="shared" si="10"/>
        <v>0</v>
      </c>
      <c r="E356" s="2">
        <f>IF(D356=1,Fandual!B356,0)</f>
        <v>0</v>
      </c>
      <c r="F356" s="2">
        <f>IF(D356=1,Fandual!D356,0)</f>
        <v>0</v>
      </c>
      <c r="G356" s="2">
        <f>IF(D356=1,Fandual!F356,0)</f>
        <v>0</v>
      </c>
      <c r="H356" s="2">
        <f>IF(D356=1,Fandual!H356,0)</f>
        <v>0</v>
      </c>
      <c r="I356" s="2">
        <f>IF((Optimizer!$J$8=Fandual!J356),4,0)</f>
        <v>0</v>
      </c>
      <c r="J356" s="2">
        <f>IF((Optimizer!$J$10=Fandual!J356),100,0)</f>
        <v>0</v>
      </c>
      <c r="K356" s="2">
        <f t="shared" si="11"/>
        <v>0</v>
      </c>
      <c r="L356" s="2">
        <f>IF(Fandual!M356="",1,0)</f>
        <v>1</v>
      </c>
    </row>
    <row r="357" spans="1:12" x14ac:dyDescent="0.25">
      <c r="A357" s="2">
        <f>IF((OR(Optimizer!$J$8=Fandual!J357,Optimizer!$J$10=Fandual!J357))=TRUE, 1,0)</f>
        <v>0</v>
      </c>
      <c r="B357" s="2">
        <f>IF((OR(Fandual!O357="",Fandual!O357&lt;&gt;0)=TRUE),1,0)</f>
        <v>1</v>
      </c>
      <c r="C357" s="2">
        <f>IF(Fandual!B357&lt;&gt;"P",1,0)</f>
        <v>0</v>
      </c>
      <c r="D357" s="2">
        <f t="shared" si="10"/>
        <v>0</v>
      </c>
      <c r="E357" s="2">
        <f>IF(D357=1,Fandual!B357,0)</f>
        <v>0</v>
      </c>
      <c r="F357" s="2">
        <f>IF(D357=1,Fandual!D357,0)</f>
        <v>0</v>
      </c>
      <c r="G357" s="2">
        <f>IF(D357=1,Fandual!F357,0)</f>
        <v>0</v>
      </c>
      <c r="H357" s="2">
        <f>IF(D357=1,Fandual!H357,0)</f>
        <v>0</v>
      </c>
      <c r="I357" s="2">
        <f>IF((Optimizer!$J$8=Fandual!J357),4,0)</f>
        <v>0</v>
      </c>
      <c r="J357" s="2">
        <f>IF((Optimizer!$J$10=Fandual!J357),100,0)</f>
        <v>0</v>
      </c>
      <c r="K357" s="2">
        <f t="shared" si="11"/>
        <v>0</v>
      </c>
      <c r="L357" s="2">
        <f>IF(Fandual!M357="",1,0)</f>
        <v>1</v>
      </c>
    </row>
    <row r="358" spans="1:12" x14ac:dyDescent="0.25">
      <c r="A358" s="2">
        <f>IF((OR(Optimizer!$J$8=Fandual!J358,Optimizer!$J$10=Fandual!J358))=TRUE, 1,0)</f>
        <v>0</v>
      </c>
      <c r="B358" s="2">
        <f>IF((OR(Fandual!O358="",Fandual!O358&lt;&gt;0)=TRUE),1,0)</f>
        <v>1</v>
      </c>
      <c r="C358" s="2">
        <f>IF(Fandual!B358&lt;&gt;"P",1,0)</f>
        <v>0</v>
      </c>
      <c r="D358" s="2">
        <f t="shared" si="10"/>
        <v>0</v>
      </c>
      <c r="E358" s="2">
        <f>IF(D358=1,Fandual!B358,0)</f>
        <v>0</v>
      </c>
      <c r="F358" s="2">
        <f>IF(D358=1,Fandual!D358,0)</f>
        <v>0</v>
      </c>
      <c r="G358" s="2">
        <f>IF(D358=1,Fandual!F358,0)</f>
        <v>0</v>
      </c>
      <c r="H358" s="2">
        <f>IF(D358=1,Fandual!H358,0)</f>
        <v>0</v>
      </c>
      <c r="I358" s="2">
        <f>IF((Optimizer!$J$8=Fandual!J358),4,0)</f>
        <v>0</v>
      </c>
      <c r="J358" s="2">
        <f>IF((Optimizer!$J$10=Fandual!J358),100,0)</f>
        <v>0</v>
      </c>
      <c r="K358" s="2">
        <f t="shared" si="11"/>
        <v>0</v>
      </c>
      <c r="L358" s="2">
        <f>IF(Fandual!M358="",1,0)</f>
        <v>1</v>
      </c>
    </row>
    <row r="359" spans="1:12" x14ac:dyDescent="0.25">
      <c r="A359" s="2">
        <f>IF((OR(Optimizer!$J$8=Fandual!J359,Optimizer!$J$10=Fandual!J359))=TRUE, 1,0)</f>
        <v>0</v>
      </c>
      <c r="B359" s="2">
        <f>IF((OR(Fandual!O359="",Fandual!O359&lt;&gt;0)=TRUE),1,0)</f>
        <v>1</v>
      </c>
      <c r="C359" s="2">
        <f>IF(Fandual!B359&lt;&gt;"P",1,0)</f>
        <v>0</v>
      </c>
      <c r="D359" s="2">
        <f t="shared" si="10"/>
        <v>0</v>
      </c>
      <c r="E359" s="2">
        <f>IF(D359=1,Fandual!B359,0)</f>
        <v>0</v>
      </c>
      <c r="F359" s="2">
        <f>IF(D359=1,Fandual!D359,0)</f>
        <v>0</v>
      </c>
      <c r="G359" s="2">
        <f>IF(D359=1,Fandual!F359,0)</f>
        <v>0</v>
      </c>
      <c r="H359" s="2">
        <f>IF(D359=1,Fandual!H359,0)</f>
        <v>0</v>
      </c>
      <c r="I359" s="2">
        <f>IF((Optimizer!$J$8=Fandual!J359),4,0)</f>
        <v>0</v>
      </c>
      <c r="J359" s="2">
        <f>IF((Optimizer!$J$10=Fandual!J359),100,0)</f>
        <v>0</v>
      </c>
      <c r="K359" s="2">
        <f t="shared" si="11"/>
        <v>0</v>
      </c>
      <c r="L359" s="2">
        <f>IF(Fandual!M359="",1,0)</f>
        <v>1</v>
      </c>
    </row>
    <row r="360" spans="1:12" x14ac:dyDescent="0.25">
      <c r="A360" s="2">
        <f>IF((OR(Optimizer!$J$8=Fandual!J360,Optimizer!$J$10=Fandual!J360))=TRUE, 1,0)</f>
        <v>0</v>
      </c>
      <c r="B360" s="2">
        <f>IF((OR(Fandual!O360="",Fandual!O360&lt;&gt;0)=TRUE),1,0)</f>
        <v>1</v>
      </c>
      <c r="C360" s="2">
        <f>IF(Fandual!B360&lt;&gt;"P",1,0)</f>
        <v>0</v>
      </c>
      <c r="D360" s="2">
        <f t="shared" si="10"/>
        <v>0</v>
      </c>
      <c r="E360" s="2">
        <f>IF(D360=1,Fandual!B360,0)</f>
        <v>0</v>
      </c>
      <c r="F360" s="2">
        <f>IF(D360=1,Fandual!D360,0)</f>
        <v>0</v>
      </c>
      <c r="G360" s="2">
        <f>IF(D360=1,Fandual!F360,0)</f>
        <v>0</v>
      </c>
      <c r="H360" s="2">
        <f>IF(D360=1,Fandual!H360,0)</f>
        <v>0</v>
      </c>
      <c r="I360" s="2">
        <f>IF((Optimizer!$J$8=Fandual!J360),4,0)</f>
        <v>0</v>
      </c>
      <c r="J360" s="2">
        <f>IF((Optimizer!$J$10=Fandual!J360),100,0)</f>
        <v>0</v>
      </c>
      <c r="K360" s="2">
        <f t="shared" si="11"/>
        <v>0</v>
      </c>
      <c r="L360" s="2">
        <f>IF(Fandual!M360="",1,0)</f>
        <v>1</v>
      </c>
    </row>
    <row r="361" spans="1:12" x14ac:dyDescent="0.25">
      <c r="A361" s="2">
        <f>IF((OR(Optimizer!$J$8=Fandual!J361,Optimizer!$J$10=Fandual!J361))=TRUE, 1,0)</f>
        <v>0</v>
      </c>
      <c r="B361" s="2">
        <f>IF((OR(Fandual!O361="",Fandual!O361&lt;&gt;0)=TRUE),1,0)</f>
        <v>1</v>
      </c>
      <c r="C361" s="2">
        <f>IF(Fandual!B361&lt;&gt;"P",1,0)</f>
        <v>0</v>
      </c>
      <c r="D361" s="2">
        <f t="shared" si="10"/>
        <v>0</v>
      </c>
      <c r="E361" s="2">
        <f>IF(D361=1,Fandual!B361,0)</f>
        <v>0</v>
      </c>
      <c r="F361" s="2">
        <f>IF(D361=1,Fandual!D361,0)</f>
        <v>0</v>
      </c>
      <c r="G361" s="2">
        <f>IF(D361=1,Fandual!F361,0)</f>
        <v>0</v>
      </c>
      <c r="H361" s="2">
        <f>IF(D361=1,Fandual!H361,0)</f>
        <v>0</v>
      </c>
      <c r="I361" s="2">
        <f>IF((Optimizer!$J$8=Fandual!J361),4,0)</f>
        <v>0</v>
      </c>
      <c r="J361" s="2">
        <f>IF((Optimizer!$J$10=Fandual!J361),100,0)</f>
        <v>0</v>
      </c>
      <c r="K361" s="2">
        <f t="shared" si="11"/>
        <v>0</v>
      </c>
      <c r="L361" s="2">
        <f>IF(Fandual!M361="",1,0)</f>
        <v>1</v>
      </c>
    </row>
    <row r="362" spans="1:12" x14ac:dyDescent="0.25">
      <c r="A362" s="2">
        <f>IF((OR(Optimizer!$J$8=Fandual!J362,Optimizer!$J$10=Fandual!J362))=TRUE, 1,0)</f>
        <v>0</v>
      </c>
      <c r="B362" s="2">
        <f>IF((OR(Fandual!O362="",Fandual!O362&lt;&gt;0)=TRUE),1,0)</f>
        <v>1</v>
      </c>
      <c r="C362" s="2">
        <f>IF(Fandual!B362&lt;&gt;"P",1,0)</f>
        <v>0</v>
      </c>
      <c r="D362" s="2">
        <f t="shared" si="10"/>
        <v>0</v>
      </c>
      <c r="E362" s="2">
        <f>IF(D362=1,Fandual!B362,0)</f>
        <v>0</v>
      </c>
      <c r="F362" s="2">
        <f>IF(D362=1,Fandual!D362,0)</f>
        <v>0</v>
      </c>
      <c r="G362" s="2">
        <f>IF(D362=1,Fandual!F362,0)</f>
        <v>0</v>
      </c>
      <c r="H362" s="2">
        <f>IF(D362=1,Fandual!H362,0)</f>
        <v>0</v>
      </c>
      <c r="I362" s="2">
        <f>IF((Optimizer!$J$8=Fandual!J362),4,0)</f>
        <v>0</v>
      </c>
      <c r="J362" s="2">
        <f>IF((Optimizer!$J$10=Fandual!J362),100,0)</f>
        <v>0</v>
      </c>
      <c r="K362" s="2">
        <f t="shared" si="11"/>
        <v>0</v>
      </c>
      <c r="L362" s="2">
        <f>IF(Fandual!M362="",1,0)</f>
        <v>1</v>
      </c>
    </row>
    <row r="363" spans="1:12" x14ac:dyDescent="0.25">
      <c r="A363" s="2">
        <f>IF((OR(Optimizer!$J$8=Fandual!J363,Optimizer!$J$10=Fandual!J363))=TRUE, 1,0)</f>
        <v>0</v>
      </c>
      <c r="B363" s="2">
        <f>IF((OR(Fandual!O363="",Fandual!O363&lt;&gt;0)=TRUE),1,0)</f>
        <v>1</v>
      </c>
      <c r="C363" s="2">
        <f>IF(Fandual!B363&lt;&gt;"P",1,0)</f>
        <v>0</v>
      </c>
      <c r="D363" s="2">
        <f t="shared" si="10"/>
        <v>0</v>
      </c>
      <c r="E363" s="2">
        <f>IF(D363=1,Fandual!B363,0)</f>
        <v>0</v>
      </c>
      <c r="F363" s="2">
        <f>IF(D363=1,Fandual!D363,0)</f>
        <v>0</v>
      </c>
      <c r="G363" s="2">
        <f>IF(D363=1,Fandual!F363,0)</f>
        <v>0</v>
      </c>
      <c r="H363" s="2">
        <f>IF(D363=1,Fandual!H363,0)</f>
        <v>0</v>
      </c>
      <c r="I363" s="2">
        <f>IF((Optimizer!$J$8=Fandual!J363),4,0)</f>
        <v>0</v>
      </c>
      <c r="J363" s="2">
        <f>IF((Optimizer!$J$10=Fandual!J363),100,0)</f>
        <v>0</v>
      </c>
      <c r="K363" s="2">
        <f t="shared" si="11"/>
        <v>0</v>
      </c>
      <c r="L363" s="2">
        <f>IF(Fandual!M363="",1,0)</f>
        <v>1</v>
      </c>
    </row>
    <row r="364" spans="1:12" x14ac:dyDescent="0.25">
      <c r="A364" s="2">
        <f>IF((OR(Optimizer!$J$8=Fandual!J364,Optimizer!$J$10=Fandual!J364))=TRUE, 1,0)</f>
        <v>0</v>
      </c>
      <c r="B364" s="2">
        <f>IF((OR(Fandual!O364="",Fandual!O364&lt;&gt;0)=TRUE),1,0)</f>
        <v>1</v>
      </c>
      <c r="C364" s="2">
        <f>IF(Fandual!B364&lt;&gt;"P",1,0)</f>
        <v>0</v>
      </c>
      <c r="D364" s="2">
        <f t="shared" si="10"/>
        <v>0</v>
      </c>
      <c r="E364" s="2">
        <f>IF(D364=1,Fandual!B364,0)</f>
        <v>0</v>
      </c>
      <c r="F364" s="2">
        <f>IF(D364=1,Fandual!D364,0)</f>
        <v>0</v>
      </c>
      <c r="G364" s="2">
        <f>IF(D364=1,Fandual!F364,0)</f>
        <v>0</v>
      </c>
      <c r="H364" s="2">
        <f>IF(D364=1,Fandual!H364,0)</f>
        <v>0</v>
      </c>
      <c r="I364" s="2">
        <f>IF((Optimizer!$J$8=Fandual!J364),4,0)</f>
        <v>0</v>
      </c>
      <c r="J364" s="2">
        <f>IF((Optimizer!$J$10=Fandual!J364),100,0)</f>
        <v>0</v>
      </c>
      <c r="K364" s="2">
        <f t="shared" si="11"/>
        <v>0</v>
      </c>
      <c r="L364" s="2">
        <f>IF(Fandual!M364="",1,0)</f>
        <v>1</v>
      </c>
    </row>
    <row r="365" spans="1:12" x14ac:dyDescent="0.25">
      <c r="A365" s="2">
        <f>IF((OR(Optimizer!$J$8=Fandual!J365,Optimizer!$J$10=Fandual!J365))=TRUE, 1,0)</f>
        <v>0</v>
      </c>
      <c r="B365" s="2">
        <f>IF((OR(Fandual!O365="",Fandual!O365&lt;&gt;0)=TRUE),1,0)</f>
        <v>1</v>
      </c>
      <c r="C365" s="2">
        <f>IF(Fandual!B365&lt;&gt;"P",1,0)</f>
        <v>0</v>
      </c>
      <c r="D365" s="2">
        <f t="shared" si="10"/>
        <v>0</v>
      </c>
      <c r="E365" s="2">
        <f>IF(D365=1,Fandual!B365,0)</f>
        <v>0</v>
      </c>
      <c r="F365" s="2">
        <f>IF(D365=1,Fandual!D365,0)</f>
        <v>0</v>
      </c>
      <c r="G365" s="2">
        <f>IF(D365=1,Fandual!F365,0)</f>
        <v>0</v>
      </c>
      <c r="H365" s="2">
        <f>IF(D365=1,Fandual!H365,0)</f>
        <v>0</v>
      </c>
      <c r="I365" s="2">
        <f>IF((Optimizer!$J$8=Fandual!J365),4,0)</f>
        <v>0</v>
      </c>
      <c r="J365" s="2">
        <f>IF((Optimizer!$J$10=Fandual!J365),100,0)</f>
        <v>0</v>
      </c>
      <c r="K365" s="2">
        <f t="shared" si="11"/>
        <v>0</v>
      </c>
      <c r="L365" s="2">
        <f>IF(Fandual!M365="",1,0)</f>
        <v>1</v>
      </c>
    </row>
    <row r="366" spans="1:12" x14ac:dyDescent="0.25">
      <c r="A366" s="2">
        <f>IF((OR(Optimizer!$J$8=Fandual!J366,Optimizer!$J$10=Fandual!J366))=TRUE, 1,0)</f>
        <v>0</v>
      </c>
      <c r="B366" s="2">
        <f>IF((OR(Fandual!O366="",Fandual!O366&lt;&gt;0)=TRUE),1,0)</f>
        <v>1</v>
      </c>
      <c r="C366" s="2">
        <f>IF(Fandual!B366&lt;&gt;"P",1,0)</f>
        <v>0</v>
      </c>
      <c r="D366" s="2">
        <f t="shared" si="10"/>
        <v>0</v>
      </c>
      <c r="E366" s="2">
        <f>IF(D366=1,Fandual!B366,0)</f>
        <v>0</v>
      </c>
      <c r="F366" s="2">
        <f>IF(D366=1,Fandual!D366,0)</f>
        <v>0</v>
      </c>
      <c r="G366" s="2">
        <f>IF(D366=1,Fandual!F366,0)</f>
        <v>0</v>
      </c>
      <c r="H366" s="2">
        <f>IF(D366=1,Fandual!H366,0)</f>
        <v>0</v>
      </c>
      <c r="I366" s="2">
        <f>IF((Optimizer!$J$8=Fandual!J366),4,0)</f>
        <v>0</v>
      </c>
      <c r="J366" s="2">
        <f>IF((Optimizer!$J$10=Fandual!J366),100,0)</f>
        <v>0</v>
      </c>
      <c r="K366" s="2">
        <f t="shared" si="11"/>
        <v>0</v>
      </c>
      <c r="L366" s="2">
        <f>IF(Fandual!M366="",1,0)</f>
        <v>1</v>
      </c>
    </row>
    <row r="367" spans="1:12" x14ac:dyDescent="0.25">
      <c r="A367" s="2">
        <f>IF((OR(Optimizer!$J$8=Fandual!J367,Optimizer!$J$10=Fandual!J367))=TRUE, 1,0)</f>
        <v>0</v>
      </c>
      <c r="B367" s="2">
        <f>IF((OR(Fandual!O367="",Fandual!O367&lt;&gt;0)=TRUE),1,0)</f>
        <v>1</v>
      </c>
      <c r="C367" s="2">
        <f>IF(Fandual!B367&lt;&gt;"P",1,0)</f>
        <v>0</v>
      </c>
      <c r="D367" s="2">
        <f t="shared" si="10"/>
        <v>0</v>
      </c>
      <c r="E367" s="2">
        <f>IF(D367=1,Fandual!B367,0)</f>
        <v>0</v>
      </c>
      <c r="F367" s="2">
        <f>IF(D367=1,Fandual!D367,0)</f>
        <v>0</v>
      </c>
      <c r="G367" s="2">
        <f>IF(D367=1,Fandual!F367,0)</f>
        <v>0</v>
      </c>
      <c r="H367" s="2">
        <f>IF(D367=1,Fandual!H367,0)</f>
        <v>0</v>
      </c>
      <c r="I367" s="2">
        <f>IF((Optimizer!$J$8=Fandual!J367),4,0)</f>
        <v>0</v>
      </c>
      <c r="J367" s="2">
        <f>IF((Optimizer!$J$10=Fandual!J367),100,0)</f>
        <v>0</v>
      </c>
      <c r="K367" s="2">
        <f t="shared" si="11"/>
        <v>0</v>
      </c>
      <c r="L367" s="2">
        <f>IF(Fandual!M367="",1,0)</f>
        <v>1</v>
      </c>
    </row>
    <row r="368" spans="1:12" x14ac:dyDescent="0.25">
      <c r="A368" s="2">
        <f>IF((OR(Optimizer!$J$8=Fandual!J368,Optimizer!$J$10=Fandual!J368))=TRUE, 1,0)</f>
        <v>0</v>
      </c>
      <c r="B368" s="2">
        <f>IF((OR(Fandual!O368="",Fandual!O368&lt;&gt;0)=TRUE),1,0)</f>
        <v>1</v>
      </c>
      <c r="C368" s="2">
        <f>IF(Fandual!B368&lt;&gt;"P",1,0)</f>
        <v>0</v>
      </c>
      <c r="D368" s="2">
        <f t="shared" si="10"/>
        <v>0</v>
      </c>
      <c r="E368" s="2">
        <f>IF(D368=1,Fandual!B368,0)</f>
        <v>0</v>
      </c>
      <c r="F368" s="2">
        <f>IF(D368=1,Fandual!D368,0)</f>
        <v>0</v>
      </c>
      <c r="G368" s="2">
        <f>IF(D368=1,Fandual!F368,0)</f>
        <v>0</v>
      </c>
      <c r="H368" s="2">
        <f>IF(D368=1,Fandual!H368,0)</f>
        <v>0</v>
      </c>
      <c r="I368" s="2">
        <f>IF((Optimizer!$J$8=Fandual!J368),4,0)</f>
        <v>0</v>
      </c>
      <c r="J368" s="2">
        <f>IF((Optimizer!$J$10=Fandual!J368),100,0)</f>
        <v>0</v>
      </c>
      <c r="K368" s="2">
        <f t="shared" si="11"/>
        <v>0</v>
      </c>
      <c r="L368" s="2">
        <f>IF(Fandual!M368="",1,0)</f>
        <v>1</v>
      </c>
    </row>
    <row r="369" spans="1:12" x14ac:dyDescent="0.25">
      <c r="A369" s="2">
        <f>IF((OR(Optimizer!$J$8=Fandual!J369,Optimizer!$J$10=Fandual!J369))=TRUE, 1,0)</f>
        <v>0</v>
      </c>
      <c r="B369" s="2">
        <f>IF((OR(Fandual!O369="",Fandual!O369&lt;&gt;0)=TRUE),1,0)</f>
        <v>1</v>
      </c>
      <c r="C369" s="2">
        <f>IF(Fandual!B369&lt;&gt;"P",1,0)</f>
        <v>0</v>
      </c>
      <c r="D369" s="2">
        <f t="shared" si="10"/>
        <v>0</v>
      </c>
      <c r="E369" s="2">
        <f>IF(D369=1,Fandual!B369,0)</f>
        <v>0</v>
      </c>
      <c r="F369" s="2">
        <f>IF(D369=1,Fandual!D369,0)</f>
        <v>0</v>
      </c>
      <c r="G369" s="2">
        <f>IF(D369=1,Fandual!F369,0)</f>
        <v>0</v>
      </c>
      <c r="H369" s="2">
        <f>IF(D369=1,Fandual!H369,0)</f>
        <v>0</v>
      </c>
      <c r="I369" s="2">
        <f>IF((Optimizer!$J$8=Fandual!J369),4,0)</f>
        <v>0</v>
      </c>
      <c r="J369" s="2">
        <f>IF((Optimizer!$J$10=Fandual!J369),100,0)</f>
        <v>0</v>
      </c>
      <c r="K369" s="2">
        <f t="shared" si="11"/>
        <v>0</v>
      </c>
      <c r="L369" s="2">
        <f>IF(Fandual!M369="",1,0)</f>
        <v>1</v>
      </c>
    </row>
    <row r="370" spans="1:12" x14ac:dyDescent="0.25">
      <c r="A370" s="2">
        <f>IF((OR(Optimizer!$J$8=Fandual!J370,Optimizer!$J$10=Fandual!J370))=TRUE, 1,0)</f>
        <v>0</v>
      </c>
      <c r="B370" s="2">
        <f>IF((OR(Fandual!O370="",Fandual!O370&lt;&gt;0)=TRUE),1,0)</f>
        <v>1</v>
      </c>
      <c r="C370" s="2">
        <f>IF(Fandual!B370&lt;&gt;"P",1,0)</f>
        <v>0</v>
      </c>
      <c r="D370" s="2">
        <f t="shared" si="10"/>
        <v>0</v>
      </c>
      <c r="E370" s="2">
        <f>IF(D370=1,Fandual!B370,0)</f>
        <v>0</v>
      </c>
      <c r="F370" s="2">
        <f>IF(D370=1,Fandual!D370,0)</f>
        <v>0</v>
      </c>
      <c r="G370" s="2">
        <f>IF(D370=1,Fandual!F370,0)</f>
        <v>0</v>
      </c>
      <c r="H370" s="2">
        <f>IF(D370=1,Fandual!H370,0)</f>
        <v>0</v>
      </c>
      <c r="I370" s="2">
        <f>IF((Optimizer!$J$8=Fandual!J370),4,0)</f>
        <v>0</v>
      </c>
      <c r="J370" s="2">
        <f>IF((Optimizer!$J$10=Fandual!J370),100,0)</f>
        <v>0</v>
      </c>
      <c r="K370" s="2">
        <f t="shared" si="11"/>
        <v>0</v>
      </c>
      <c r="L370" s="2">
        <f>IF(Fandual!M370="",1,0)</f>
        <v>0</v>
      </c>
    </row>
    <row r="371" spans="1:12" x14ac:dyDescent="0.25">
      <c r="A371" s="2">
        <f>IF((OR(Optimizer!$J$8=Fandual!J371,Optimizer!$J$10=Fandual!J371))=TRUE, 1,0)</f>
        <v>0</v>
      </c>
      <c r="B371" s="2">
        <f>IF((OR(Fandual!O371="",Fandual!O371&lt;&gt;0)=TRUE),1,0)</f>
        <v>1</v>
      </c>
      <c r="C371" s="2">
        <f>IF(Fandual!B371&lt;&gt;"P",1,0)</f>
        <v>0</v>
      </c>
      <c r="D371" s="2">
        <f t="shared" si="10"/>
        <v>0</v>
      </c>
      <c r="E371" s="2">
        <f>IF(D371=1,Fandual!B371,0)</f>
        <v>0</v>
      </c>
      <c r="F371" s="2">
        <f>IF(D371=1,Fandual!D371,0)</f>
        <v>0</v>
      </c>
      <c r="G371" s="2">
        <f>IF(D371=1,Fandual!F371,0)</f>
        <v>0</v>
      </c>
      <c r="H371" s="2">
        <f>IF(D371=1,Fandual!H371,0)</f>
        <v>0</v>
      </c>
      <c r="I371" s="2">
        <f>IF((Optimizer!$J$8=Fandual!J371),4,0)</f>
        <v>0</v>
      </c>
      <c r="J371" s="2">
        <f>IF((Optimizer!$J$10=Fandual!J371),100,0)</f>
        <v>0</v>
      </c>
      <c r="K371" s="2">
        <f t="shared" si="11"/>
        <v>0</v>
      </c>
      <c r="L371" s="2">
        <f>IF(Fandual!M371="",1,0)</f>
        <v>0</v>
      </c>
    </row>
    <row r="372" spans="1:12" x14ac:dyDescent="0.25">
      <c r="A372" s="2">
        <f>IF((OR(Optimizer!$J$8=Fandual!J372,Optimizer!$J$10=Fandual!J372))=TRUE, 1,0)</f>
        <v>0</v>
      </c>
      <c r="B372" s="2">
        <f>IF((OR(Fandual!O372="",Fandual!O372&lt;&gt;0)=TRUE),1,0)</f>
        <v>1</v>
      </c>
      <c r="C372" s="2">
        <f>IF(Fandual!B372&lt;&gt;"P",1,0)</f>
        <v>0</v>
      </c>
      <c r="D372" s="2">
        <f t="shared" si="10"/>
        <v>0</v>
      </c>
      <c r="E372" s="2">
        <f>IF(D372=1,Fandual!B372,0)</f>
        <v>0</v>
      </c>
      <c r="F372" s="2">
        <f>IF(D372=1,Fandual!D372,0)</f>
        <v>0</v>
      </c>
      <c r="G372" s="2">
        <f>IF(D372=1,Fandual!F372,0)</f>
        <v>0</v>
      </c>
      <c r="H372" s="2">
        <f>IF(D372=1,Fandual!H372,0)</f>
        <v>0</v>
      </c>
      <c r="I372" s="2">
        <f>IF((Optimizer!$J$8=Fandual!J372),4,0)</f>
        <v>0</v>
      </c>
      <c r="J372" s="2">
        <f>IF((Optimizer!$J$10=Fandual!J372),100,0)</f>
        <v>0</v>
      </c>
      <c r="K372" s="2">
        <f t="shared" si="11"/>
        <v>0</v>
      </c>
      <c r="L372" s="2">
        <f>IF(Fandual!M372="",1,0)</f>
        <v>1</v>
      </c>
    </row>
    <row r="373" spans="1:12" x14ac:dyDescent="0.25">
      <c r="A373" s="2">
        <f>IF((OR(Optimizer!$J$8=Fandual!J373,Optimizer!$J$10=Fandual!J373))=TRUE, 1,0)</f>
        <v>0</v>
      </c>
      <c r="B373" s="2">
        <f>IF((OR(Fandual!O373="",Fandual!O373&lt;&gt;0)=TRUE),1,0)</f>
        <v>1</v>
      </c>
      <c r="C373" s="2">
        <f>IF(Fandual!B373&lt;&gt;"P",1,0)</f>
        <v>0</v>
      </c>
      <c r="D373" s="2">
        <f t="shared" si="10"/>
        <v>0</v>
      </c>
      <c r="E373" s="2">
        <f>IF(D373=1,Fandual!B373,0)</f>
        <v>0</v>
      </c>
      <c r="F373" s="2">
        <f>IF(D373=1,Fandual!D373,0)</f>
        <v>0</v>
      </c>
      <c r="G373" s="2">
        <f>IF(D373=1,Fandual!F373,0)</f>
        <v>0</v>
      </c>
      <c r="H373" s="2">
        <f>IF(D373=1,Fandual!H373,0)</f>
        <v>0</v>
      </c>
      <c r="I373" s="2">
        <f>IF((Optimizer!$J$8=Fandual!J373),4,0)</f>
        <v>0</v>
      </c>
      <c r="J373" s="2">
        <f>IF((Optimizer!$J$10=Fandual!J373),100,0)</f>
        <v>0</v>
      </c>
      <c r="K373" s="2">
        <f t="shared" si="11"/>
        <v>0</v>
      </c>
      <c r="L373" s="2">
        <f>IF(Fandual!M373="",1,0)</f>
        <v>1</v>
      </c>
    </row>
    <row r="374" spans="1:12" x14ac:dyDescent="0.25">
      <c r="A374" s="2">
        <f>IF((OR(Optimizer!$J$8=Fandual!J374,Optimizer!$J$10=Fandual!J374))=TRUE, 1,0)</f>
        <v>0</v>
      </c>
      <c r="B374" s="2">
        <f>IF((OR(Fandual!O374="",Fandual!O374&lt;&gt;0)=TRUE),1,0)</f>
        <v>1</v>
      </c>
      <c r="C374" s="2">
        <f>IF(Fandual!B374&lt;&gt;"P",1,0)</f>
        <v>0</v>
      </c>
      <c r="D374" s="2">
        <f t="shared" si="10"/>
        <v>0</v>
      </c>
      <c r="E374" s="2">
        <f>IF(D374=1,Fandual!B374,0)</f>
        <v>0</v>
      </c>
      <c r="F374" s="2">
        <f>IF(D374=1,Fandual!D374,0)</f>
        <v>0</v>
      </c>
      <c r="G374" s="2">
        <f>IF(D374=1,Fandual!F374,0)</f>
        <v>0</v>
      </c>
      <c r="H374" s="2">
        <f>IF(D374=1,Fandual!H374,0)</f>
        <v>0</v>
      </c>
      <c r="I374" s="2">
        <f>IF((Optimizer!$J$8=Fandual!J374),4,0)</f>
        <v>0</v>
      </c>
      <c r="J374" s="2">
        <f>IF((Optimizer!$J$10=Fandual!J374),100,0)</f>
        <v>0</v>
      </c>
      <c r="K374" s="2">
        <f t="shared" si="11"/>
        <v>0</v>
      </c>
      <c r="L374" s="2">
        <f>IF(Fandual!M374="",1,0)</f>
        <v>1</v>
      </c>
    </row>
    <row r="375" spans="1:12" x14ac:dyDescent="0.25">
      <c r="A375" s="2">
        <f>IF((OR(Optimizer!$J$8=Fandual!J375,Optimizer!$J$10=Fandual!J375))=TRUE, 1,0)</f>
        <v>0</v>
      </c>
      <c r="B375" s="2">
        <f>IF((OR(Fandual!O375="",Fandual!O375&lt;&gt;0)=TRUE),1,0)</f>
        <v>1</v>
      </c>
      <c r="C375" s="2">
        <f>IF(Fandual!B375&lt;&gt;"P",1,0)</f>
        <v>0</v>
      </c>
      <c r="D375" s="2">
        <f t="shared" si="10"/>
        <v>0</v>
      </c>
      <c r="E375" s="2">
        <f>IF(D375=1,Fandual!B375,0)</f>
        <v>0</v>
      </c>
      <c r="F375" s="2">
        <f>IF(D375=1,Fandual!D375,0)</f>
        <v>0</v>
      </c>
      <c r="G375" s="2">
        <f>IF(D375=1,Fandual!F375,0)</f>
        <v>0</v>
      </c>
      <c r="H375" s="2">
        <f>IF(D375=1,Fandual!H375,0)</f>
        <v>0</v>
      </c>
      <c r="I375" s="2">
        <f>IF((Optimizer!$J$8=Fandual!J375),4,0)</f>
        <v>0</v>
      </c>
      <c r="J375" s="2">
        <f>IF((Optimizer!$J$10=Fandual!J375),100,0)</f>
        <v>0</v>
      </c>
      <c r="K375" s="2">
        <f t="shared" si="11"/>
        <v>0</v>
      </c>
      <c r="L375" s="2">
        <f>IF(Fandual!M375="",1,0)</f>
        <v>1</v>
      </c>
    </row>
    <row r="376" spans="1:12" x14ac:dyDescent="0.25">
      <c r="A376" s="2">
        <f>IF((OR(Optimizer!$J$8=Fandual!J376,Optimizer!$J$10=Fandual!J376))=TRUE, 1,0)</f>
        <v>0</v>
      </c>
      <c r="B376" s="2">
        <f>IF((OR(Fandual!O376="",Fandual!O376&lt;&gt;0)=TRUE),1,0)</f>
        <v>1</v>
      </c>
      <c r="C376" s="2">
        <f>IF(Fandual!B376&lt;&gt;"P",1,0)</f>
        <v>0</v>
      </c>
      <c r="D376" s="2">
        <f t="shared" si="10"/>
        <v>0</v>
      </c>
      <c r="E376" s="2">
        <f>IF(D376=1,Fandual!B376,0)</f>
        <v>0</v>
      </c>
      <c r="F376" s="2">
        <f>IF(D376=1,Fandual!D376,0)</f>
        <v>0</v>
      </c>
      <c r="G376" s="2">
        <f>IF(D376=1,Fandual!F376,0)</f>
        <v>0</v>
      </c>
      <c r="H376" s="2">
        <f>IF(D376=1,Fandual!H376,0)</f>
        <v>0</v>
      </c>
      <c r="I376" s="2">
        <f>IF((Optimizer!$J$8=Fandual!J376),4,0)</f>
        <v>0</v>
      </c>
      <c r="J376" s="2">
        <f>IF((Optimizer!$J$10=Fandual!J376),100,0)</f>
        <v>0</v>
      </c>
      <c r="K376" s="2">
        <f t="shared" si="11"/>
        <v>0</v>
      </c>
      <c r="L376" s="2">
        <f>IF(Fandual!M376="",1,0)</f>
        <v>1</v>
      </c>
    </row>
    <row r="377" spans="1:12" x14ac:dyDescent="0.25">
      <c r="A377" s="2">
        <f>IF((OR(Optimizer!$J$8=Fandual!J377,Optimizer!$J$10=Fandual!J377))=TRUE, 1,0)</f>
        <v>0</v>
      </c>
      <c r="B377" s="2">
        <f>IF((OR(Fandual!O377="",Fandual!O377&lt;&gt;0)=TRUE),1,0)</f>
        <v>1</v>
      </c>
      <c r="C377" s="2">
        <f>IF(Fandual!B377&lt;&gt;"P",1,0)</f>
        <v>0</v>
      </c>
      <c r="D377" s="2">
        <f t="shared" si="10"/>
        <v>0</v>
      </c>
      <c r="E377" s="2">
        <f>IF(D377=1,Fandual!B377,0)</f>
        <v>0</v>
      </c>
      <c r="F377" s="2">
        <f>IF(D377=1,Fandual!D377,0)</f>
        <v>0</v>
      </c>
      <c r="G377" s="2">
        <f>IF(D377=1,Fandual!F377,0)</f>
        <v>0</v>
      </c>
      <c r="H377" s="2">
        <f>IF(D377=1,Fandual!H377,0)</f>
        <v>0</v>
      </c>
      <c r="I377" s="2">
        <f>IF((Optimizer!$J$8=Fandual!J377),4,0)</f>
        <v>0</v>
      </c>
      <c r="J377" s="2">
        <f>IF((Optimizer!$J$10=Fandual!J377),100,0)</f>
        <v>0</v>
      </c>
      <c r="K377" s="2">
        <f t="shared" si="11"/>
        <v>0</v>
      </c>
      <c r="L377" s="2">
        <f>IF(Fandual!M377="",1,0)</f>
        <v>0</v>
      </c>
    </row>
    <row r="378" spans="1:12" x14ac:dyDescent="0.25">
      <c r="A378" s="2">
        <f>IF((OR(Optimizer!$J$8=Fandual!J378,Optimizer!$J$10=Fandual!J378))=TRUE, 1,0)</f>
        <v>0</v>
      </c>
      <c r="B378" s="2">
        <f>IF((OR(Fandual!O378="",Fandual!O378&lt;&gt;0)=TRUE),1,0)</f>
        <v>1</v>
      </c>
      <c r="C378" s="2">
        <f>IF(Fandual!B378&lt;&gt;"P",1,0)</f>
        <v>0</v>
      </c>
      <c r="D378" s="2">
        <f t="shared" si="10"/>
        <v>0</v>
      </c>
      <c r="E378" s="2">
        <f>IF(D378=1,Fandual!B378,0)</f>
        <v>0</v>
      </c>
      <c r="F378" s="2">
        <f>IF(D378=1,Fandual!D378,0)</f>
        <v>0</v>
      </c>
      <c r="G378" s="2">
        <f>IF(D378=1,Fandual!F378,0)</f>
        <v>0</v>
      </c>
      <c r="H378" s="2">
        <f>IF(D378=1,Fandual!H378,0)</f>
        <v>0</v>
      </c>
      <c r="I378" s="2">
        <f>IF((Optimizer!$J$8=Fandual!J378),4,0)</f>
        <v>0</v>
      </c>
      <c r="J378" s="2">
        <f>IF((Optimizer!$J$10=Fandual!J378),100,0)</f>
        <v>0</v>
      </c>
      <c r="K378" s="2">
        <f t="shared" si="11"/>
        <v>0</v>
      </c>
      <c r="L378" s="2">
        <f>IF(Fandual!M378="",1,0)</f>
        <v>1</v>
      </c>
    </row>
    <row r="379" spans="1:12" x14ac:dyDescent="0.25">
      <c r="A379" s="2">
        <f>IF((OR(Optimizer!$J$8=Fandual!J379,Optimizer!$J$10=Fandual!J379))=TRUE, 1,0)</f>
        <v>0</v>
      </c>
      <c r="B379" s="2">
        <f>IF((OR(Fandual!O379="",Fandual!O379&lt;&gt;0)=TRUE),1,0)</f>
        <v>1</v>
      </c>
      <c r="C379" s="2">
        <f>IF(Fandual!B379&lt;&gt;"P",1,0)</f>
        <v>0</v>
      </c>
      <c r="D379" s="2">
        <f t="shared" si="10"/>
        <v>0</v>
      </c>
      <c r="E379" s="2">
        <f>IF(D379=1,Fandual!B379,0)</f>
        <v>0</v>
      </c>
      <c r="F379" s="2">
        <f>IF(D379=1,Fandual!D379,0)</f>
        <v>0</v>
      </c>
      <c r="G379" s="2">
        <f>IF(D379=1,Fandual!F379,0)</f>
        <v>0</v>
      </c>
      <c r="H379" s="2">
        <f>IF(D379=1,Fandual!H379,0)</f>
        <v>0</v>
      </c>
      <c r="I379" s="2">
        <f>IF((Optimizer!$J$8=Fandual!J379),4,0)</f>
        <v>0</v>
      </c>
      <c r="J379" s="2">
        <f>IF((Optimizer!$J$10=Fandual!J379),100,0)</f>
        <v>0</v>
      </c>
      <c r="K379" s="2">
        <f t="shared" si="11"/>
        <v>0</v>
      </c>
      <c r="L379" s="2">
        <f>IF(Fandual!M379="",1,0)</f>
        <v>1</v>
      </c>
    </row>
    <row r="380" spans="1:12" x14ac:dyDescent="0.25">
      <c r="A380" s="2">
        <f>IF((OR(Optimizer!$J$8=Fandual!J380,Optimizer!$J$10=Fandual!J380))=TRUE, 1,0)</f>
        <v>0</v>
      </c>
      <c r="B380" s="2">
        <f>IF((OR(Fandual!O380="",Fandual!O380&lt;&gt;0)=TRUE),1,0)</f>
        <v>1</v>
      </c>
      <c r="C380" s="2">
        <f>IF(Fandual!B380&lt;&gt;"P",1,0)</f>
        <v>0</v>
      </c>
      <c r="D380" s="2">
        <f t="shared" si="10"/>
        <v>0</v>
      </c>
      <c r="E380" s="2">
        <f>IF(D380=1,Fandual!B380,0)</f>
        <v>0</v>
      </c>
      <c r="F380" s="2">
        <f>IF(D380=1,Fandual!D380,0)</f>
        <v>0</v>
      </c>
      <c r="G380" s="2">
        <f>IF(D380=1,Fandual!F380,0)</f>
        <v>0</v>
      </c>
      <c r="H380" s="2">
        <f>IF(D380=1,Fandual!H380,0)</f>
        <v>0</v>
      </c>
      <c r="I380" s="2">
        <f>IF((Optimizer!$J$8=Fandual!J380),4,0)</f>
        <v>0</v>
      </c>
      <c r="J380" s="2">
        <f>IF((Optimizer!$J$10=Fandual!J380),100,0)</f>
        <v>0</v>
      </c>
      <c r="K380" s="2">
        <f t="shared" si="11"/>
        <v>0</v>
      </c>
      <c r="L380" s="2">
        <f>IF(Fandual!M380="",1,0)</f>
        <v>0</v>
      </c>
    </row>
    <row r="381" spans="1:12" x14ac:dyDescent="0.25">
      <c r="A381" s="2">
        <f>IF((OR(Optimizer!$J$8=Fandual!J381,Optimizer!$J$10=Fandual!J381))=TRUE, 1,0)</f>
        <v>0</v>
      </c>
      <c r="B381" s="2">
        <f>IF((OR(Fandual!O381="",Fandual!O381&lt;&gt;0)=TRUE),1,0)</f>
        <v>1</v>
      </c>
      <c r="C381" s="2">
        <f>IF(Fandual!B381&lt;&gt;"P",1,0)</f>
        <v>0</v>
      </c>
      <c r="D381" s="2">
        <f t="shared" si="10"/>
        <v>0</v>
      </c>
      <c r="E381" s="2">
        <f>IF(D381=1,Fandual!B381,0)</f>
        <v>0</v>
      </c>
      <c r="F381" s="2">
        <f>IF(D381=1,Fandual!D381,0)</f>
        <v>0</v>
      </c>
      <c r="G381" s="2">
        <f>IF(D381=1,Fandual!F381,0)</f>
        <v>0</v>
      </c>
      <c r="H381" s="2">
        <f>IF(D381=1,Fandual!H381,0)</f>
        <v>0</v>
      </c>
      <c r="I381" s="2">
        <f>IF((Optimizer!$J$8=Fandual!J381),4,0)</f>
        <v>0</v>
      </c>
      <c r="J381" s="2">
        <f>IF((Optimizer!$J$10=Fandual!J381),100,0)</f>
        <v>0</v>
      </c>
      <c r="K381" s="2">
        <f t="shared" si="11"/>
        <v>0</v>
      </c>
      <c r="L381" s="2">
        <f>IF(Fandual!M381="",1,0)</f>
        <v>1</v>
      </c>
    </row>
    <row r="382" spans="1:12" x14ac:dyDescent="0.25">
      <c r="A382" s="2">
        <f>IF((OR(Optimizer!$J$8=Fandual!J382,Optimizer!$J$10=Fandual!J382))=TRUE, 1,0)</f>
        <v>0</v>
      </c>
      <c r="B382" s="2">
        <f>IF((OR(Fandual!O382="",Fandual!O382&lt;&gt;0)=TRUE),1,0)</f>
        <v>1</v>
      </c>
      <c r="C382" s="2">
        <f>IF(Fandual!B382&lt;&gt;"P",1,0)</f>
        <v>0</v>
      </c>
      <c r="D382" s="2">
        <f t="shared" si="10"/>
        <v>0</v>
      </c>
      <c r="E382" s="2">
        <f>IF(D382=1,Fandual!B382,0)</f>
        <v>0</v>
      </c>
      <c r="F382" s="2">
        <f>IF(D382=1,Fandual!D382,0)</f>
        <v>0</v>
      </c>
      <c r="G382" s="2">
        <f>IF(D382=1,Fandual!F382,0)</f>
        <v>0</v>
      </c>
      <c r="H382" s="2">
        <f>IF(D382=1,Fandual!H382,0)</f>
        <v>0</v>
      </c>
      <c r="I382" s="2">
        <f>IF((Optimizer!$J$8=Fandual!J382),4,0)</f>
        <v>0</v>
      </c>
      <c r="J382" s="2">
        <f>IF((Optimizer!$J$10=Fandual!J382),100,0)</f>
        <v>0</v>
      </c>
      <c r="K382" s="2">
        <f t="shared" si="11"/>
        <v>0</v>
      </c>
      <c r="L382" s="2">
        <f>IF(Fandual!M382="",1,0)</f>
        <v>1</v>
      </c>
    </row>
    <row r="383" spans="1:12" x14ac:dyDescent="0.25">
      <c r="A383" s="2">
        <f>IF((OR(Optimizer!$J$8=Fandual!J383,Optimizer!$J$10=Fandual!J383))=TRUE, 1,0)</f>
        <v>0</v>
      </c>
      <c r="B383" s="2">
        <f>IF((OR(Fandual!O383="",Fandual!O383&lt;&gt;0)=TRUE),1,0)</f>
        <v>1</v>
      </c>
      <c r="C383" s="2">
        <f>IF(Fandual!B383&lt;&gt;"P",1,0)</f>
        <v>0</v>
      </c>
      <c r="D383" s="2">
        <f t="shared" si="10"/>
        <v>0</v>
      </c>
      <c r="E383" s="2">
        <f>IF(D383=1,Fandual!B383,0)</f>
        <v>0</v>
      </c>
      <c r="F383" s="2">
        <f>IF(D383=1,Fandual!D383,0)</f>
        <v>0</v>
      </c>
      <c r="G383" s="2">
        <f>IF(D383=1,Fandual!F383,0)</f>
        <v>0</v>
      </c>
      <c r="H383" s="2">
        <f>IF(D383=1,Fandual!H383,0)</f>
        <v>0</v>
      </c>
      <c r="I383" s="2">
        <f>IF((Optimizer!$J$8=Fandual!J383),4,0)</f>
        <v>0</v>
      </c>
      <c r="J383" s="2">
        <f>IF((Optimizer!$J$10=Fandual!J383),100,0)</f>
        <v>0</v>
      </c>
      <c r="K383" s="2">
        <f t="shared" si="11"/>
        <v>0</v>
      </c>
      <c r="L383" s="2">
        <f>IF(Fandual!M383="",1,0)</f>
        <v>1</v>
      </c>
    </row>
    <row r="384" spans="1:12" x14ac:dyDescent="0.25">
      <c r="A384" s="2">
        <f>IF((OR(Optimizer!$J$8=Fandual!J384,Optimizer!$J$10=Fandual!J384))=TRUE, 1,0)</f>
        <v>0</v>
      </c>
      <c r="B384" s="2">
        <f>IF((OR(Fandual!O384="",Fandual!O384&lt;&gt;0)=TRUE),1,0)</f>
        <v>1</v>
      </c>
      <c r="C384" s="2">
        <f>IF(Fandual!B384&lt;&gt;"P",1,0)</f>
        <v>0</v>
      </c>
      <c r="D384" s="2">
        <f t="shared" si="10"/>
        <v>0</v>
      </c>
      <c r="E384" s="2">
        <f>IF(D384=1,Fandual!B384,0)</f>
        <v>0</v>
      </c>
      <c r="F384" s="2">
        <f>IF(D384=1,Fandual!D384,0)</f>
        <v>0</v>
      </c>
      <c r="G384" s="2">
        <f>IF(D384=1,Fandual!F384,0)</f>
        <v>0</v>
      </c>
      <c r="H384" s="2">
        <f>IF(D384=1,Fandual!H384,0)</f>
        <v>0</v>
      </c>
      <c r="I384" s="2">
        <f>IF((Optimizer!$J$8=Fandual!J384),4,0)</f>
        <v>0</v>
      </c>
      <c r="J384" s="2">
        <f>IF((Optimizer!$J$10=Fandual!J384),100,0)</f>
        <v>0</v>
      </c>
      <c r="K384" s="2">
        <f t="shared" si="11"/>
        <v>0</v>
      </c>
      <c r="L384" s="2">
        <f>IF(Fandual!M384="",1,0)</f>
        <v>1</v>
      </c>
    </row>
    <row r="385" spans="1:12" x14ac:dyDescent="0.25">
      <c r="A385" s="2">
        <f>IF((OR(Optimizer!$J$8=Fandual!J385,Optimizer!$J$10=Fandual!J385))=TRUE, 1,0)</f>
        <v>0</v>
      </c>
      <c r="B385" s="2">
        <f>IF((OR(Fandual!O385="",Fandual!O385&lt;&gt;0)=TRUE),1,0)</f>
        <v>1</v>
      </c>
      <c r="C385" s="2">
        <f>IF(Fandual!B385&lt;&gt;"P",1,0)</f>
        <v>0</v>
      </c>
      <c r="D385" s="2">
        <f t="shared" si="10"/>
        <v>0</v>
      </c>
      <c r="E385" s="2">
        <f>IF(D385=1,Fandual!B385,0)</f>
        <v>0</v>
      </c>
      <c r="F385" s="2">
        <f>IF(D385=1,Fandual!D385,0)</f>
        <v>0</v>
      </c>
      <c r="G385" s="2">
        <f>IF(D385=1,Fandual!F385,0)</f>
        <v>0</v>
      </c>
      <c r="H385" s="2">
        <f>IF(D385=1,Fandual!H385,0)</f>
        <v>0</v>
      </c>
      <c r="I385" s="2">
        <f>IF((Optimizer!$J$8=Fandual!J385),4,0)</f>
        <v>0</v>
      </c>
      <c r="J385" s="2">
        <f>IF((Optimizer!$J$10=Fandual!J385),100,0)</f>
        <v>0</v>
      </c>
      <c r="K385" s="2">
        <f t="shared" si="11"/>
        <v>0</v>
      </c>
      <c r="L385" s="2">
        <f>IF(Fandual!M385="",1,0)</f>
        <v>1</v>
      </c>
    </row>
    <row r="386" spans="1:12" x14ac:dyDescent="0.25">
      <c r="A386" s="2">
        <f>IF((OR(Optimizer!$J$8=Fandual!J386,Optimizer!$J$10=Fandual!J386))=TRUE, 1,0)</f>
        <v>0</v>
      </c>
      <c r="B386" s="2">
        <f>IF((OR(Fandual!O386="",Fandual!O386&lt;&gt;0)=TRUE),1,0)</f>
        <v>1</v>
      </c>
      <c r="C386" s="2">
        <f>IF(Fandual!B386&lt;&gt;"P",1,0)</f>
        <v>0</v>
      </c>
      <c r="D386" s="2">
        <f t="shared" ref="D386:D449" si="12">A386*B386*C386*L386</f>
        <v>0</v>
      </c>
      <c r="E386" s="2">
        <f>IF(D386=1,Fandual!B386,0)</f>
        <v>0</v>
      </c>
      <c r="F386" s="2">
        <f>IF(D386=1,Fandual!D386,0)</f>
        <v>0</v>
      </c>
      <c r="G386" s="2">
        <f>IF(D386=1,Fandual!F386,0)</f>
        <v>0</v>
      </c>
      <c r="H386" s="2">
        <f>IF(D386=1,Fandual!H386,0)</f>
        <v>0</v>
      </c>
      <c r="I386" s="2">
        <f>IF((Optimizer!$J$8=Fandual!J386),4,0)</f>
        <v>0</v>
      </c>
      <c r="J386" s="2">
        <f>IF((Optimizer!$J$10=Fandual!J386),100,0)</f>
        <v>0</v>
      </c>
      <c r="K386" s="2">
        <f t="shared" si="11"/>
        <v>0</v>
      </c>
      <c r="L386" s="2">
        <f>IF(Fandual!M386="",1,0)</f>
        <v>1</v>
      </c>
    </row>
    <row r="387" spans="1:12" x14ac:dyDescent="0.25">
      <c r="A387" s="2">
        <f>IF((OR(Optimizer!$J$8=Fandual!J387,Optimizer!$J$10=Fandual!J387))=TRUE, 1,0)</f>
        <v>0</v>
      </c>
      <c r="B387" s="2">
        <f>IF((OR(Fandual!O387="",Fandual!O387&lt;&gt;0)=TRUE),1,0)</f>
        <v>1</v>
      </c>
      <c r="C387" s="2">
        <f>IF(Fandual!B387&lt;&gt;"P",1,0)</f>
        <v>0</v>
      </c>
      <c r="D387" s="2">
        <f t="shared" si="12"/>
        <v>0</v>
      </c>
      <c r="E387" s="2">
        <f>IF(D387=1,Fandual!B387,0)</f>
        <v>0</v>
      </c>
      <c r="F387" s="2">
        <f>IF(D387=1,Fandual!D387,0)</f>
        <v>0</v>
      </c>
      <c r="G387" s="2">
        <f>IF(D387=1,Fandual!F387,0)</f>
        <v>0</v>
      </c>
      <c r="H387" s="2">
        <f>IF(D387=1,Fandual!H387,0)</f>
        <v>0</v>
      </c>
      <c r="I387" s="2">
        <f>IF((Optimizer!$J$8=Fandual!J387),4,0)</f>
        <v>0</v>
      </c>
      <c r="J387" s="2">
        <f>IF((Optimizer!$J$10=Fandual!J387),100,0)</f>
        <v>0</v>
      </c>
      <c r="K387" s="2">
        <f t="shared" ref="K387:K450" si="13">(I387+J387)*D387</f>
        <v>0</v>
      </c>
      <c r="L387" s="2">
        <f>IF(Fandual!M387="",1,0)</f>
        <v>1</v>
      </c>
    </row>
    <row r="388" spans="1:12" x14ac:dyDescent="0.25">
      <c r="A388" s="2">
        <f>IF((OR(Optimizer!$J$8=Fandual!J388,Optimizer!$J$10=Fandual!J388))=TRUE, 1,0)</f>
        <v>0</v>
      </c>
      <c r="B388" s="2">
        <f>IF((OR(Fandual!O388="",Fandual!O388&lt;&gt;0)=TRUE),1,0)</f>
        <v>1</v>
      </c>
      <c r="C388" s="2">
        <f>IF(Fandual!B388&lt;&gt;"P",1,0)</f>
        <v>0</v>
      </c>
      <c r="D388" s="2">
        <f t="shared" si="12"/>
        <v>0</v>
      </c>
      <c r="E388" s="2">
        <f>IF(D388=1,Fandual!B388,0)</f>
        <v>0</v>
      </c>
      <c r="F388" s="2">
        <f>IF(D388=1,Fandual!D388,0)</f>
        <v>0</v>
      </c>
      <c r="G388" s="2">
        <f>IF(D388=1,Fandual!F388,0)</f>
        <v>0</v>
      </c>
      <c r="H388" s="2">
        <f>IF(D388=1,Fandual!H388,0)</f>
        <v>0</v>
      </c>
      <c r="I388" s="2">
        <f>IF((Optimizer!$J$8=Fandual!J388),4,0)</f>
        <v>0</v>
      </c>
      <c r="J388" s="2">
        <f>IF((Optimizer!$J$10=Fandual!J388),100,0)</f>
        <v>0</v>
      </c>
      <c r="K388" s="2">
        <f t="shared" si="13"/>
        <v>0</v>
      </c>
      <c r="L388" s="2">
        <f>IF(Fandual!M388="",1,0)</f>
        <v>1</v>
      </c>
    </row>
    <row r="389" spans="1:12" x14ac:dyDescent="0.25">
      <c r="A389" s="2">
        <f>IF((OR(Optimizer!$J$8=Fandual!J389,Optimizer!$J$10=Fandual!J389))=TRUE, 1,0)</f>
        <v>0</v>
      </c>
      <c r="B389" s="2">
        <f>IF((OR(Fandual!O389="",Fandual!O389&lt;&gt;0)=TRUE),1,0)</f>
        <v>1</v>
      </c>
      <c r="C389" s="2">
        <f>IF(Fandual!B389&lt;&gt;"P",1,0)</f>
        <v>0</v>
      </c>
      <c r="D389" s="2">
        <f t="shared" si="12"/>
        <v>0</v>
      </c>
      <c r="E389" s="2">
        <f>IF(D389=1,Fandual!B389,0)</f>
        <v>0</v>
      </c>
      <c r="F389" s="2">
        <f>IF(D389=1,Fandual!D389,0)</f>
        <v>0</v>
      </c>
      <c r="G389" s="2">
        <f>IF(D389=1,Fandual!F389,0)</f>
        <v>0</v>
      </c>
      <c r="H389" s="2">
        <f>IF(D389=1,Fandual!H389,0)</f>
        <v>0</v>
      </c>
      <c r="I389" s="2">
        <f>IF((Optimizer!$J$8=Fandual!J389),4,0)</f>
        <v>0</v>
      </c>
      <c r="J389" s="2">
        <f>IF((Optimizer!$J$10=Fandual!J389),100,0)</f>
        <v>0</v>
      </c>
      <c r="K389" s="2">
        <f t="shared" si="13"/>
        <v>0</v>
      </c>
      <c r="L389" s="2">
        <f>IF(Fandual!M389="",1,0)</f>
        <v>1</v>
      </c>
    </row>
    <row r="390" spans="1:12" x14ac:dyDescent="0.25">
      <c r="A390" s="2">
        <f>IF((OR(Optimizer!$J$8=Fandual!J390,Optimizer!$J$10=Fandual!J390))=TRUE, 1,0)</f>
        <v>0</v>
      </c>
      <c r="B390" s="2">
        <f>IF((OR(Fandual!O390="",Fandual!O390&lt;&gt;0)=TRUE),1,0)</f>
        <v>1</v>
      </c>
      <c r="C390" s="2">
        <f>IF(Fandual!B390&lt;&gt;"P",1,0)</f>
        <v>0</v>
      </c>
      <c r="D390" s="2">
        <f t="shared" si="12"/>
        <v>0</v>
      </c>
      <c r="E390" s="2">
        <f>IF(D390=1,Fandual!B390,0)</f>
        <v>0</v>
      </c>
      <c r="F390" s="2">
        <f>IF(D390=1,Fandual!D390,0)</f>
        <v>0</v>
      </c>
      <c r="G390" s="2">
        <f>IF(D390=1,Fandual!F390,0)</f>
        <v>0</v>
      </c>
      <c r="H390" s="2">
        <f>IF(D390=1,Fandual!H390,0)</f>
        <v>0</v>
      </c>
      <c r="I390" s="2">
        <f>IF((Optimizer!$J$8=Fandual!J390),4,0)</f>
        <v>0</v>
      </c>
      <c r="J390" s="2">
        <f>IF((Optimizer!$J$10=Fandual!J390),100,0)</f>
        <v>0</v>
      </c>
      <c r="K390" s="2">
        <f t="shared" si="13"/>
        <v>0</v>
      </c>
      <c r="L390" s="2">
        <f>IF(Fandual!M390="",1,0)</f>
        <v>1</v>
      </c>
    </row>
    <row r="391" spans="1:12" x14ac:dyDescent="0.25">
      <c r="A391" s="2">
        <f>IF((OR(Optimizer!$J$8=Fandual!J391,Optimizer!$J$10=Fandual!J391))=TRUE, 1,0)</f>
        <v>0</v>
      </c>
      <c r="B391" s="2">
        <f>IF((OR(Fandual!O391="",Fandual!O391&lt;&gt;0)=TRUE),1,0)</f>
        <v>1</v>
      </c>
      <c r="C391" s="2">
        <f>IF(Fandual!B391&lt;&gt;"P",1,0)</f>
        <v>0</v>
      </c>
      <c r="D391" s="2">
        <f t="shared" si="12"/>
        <v>0</v>
      </c>
      <c r="E391" s="2">
        <f>IF(D391=1,Fandual!B391,0)</f>
        <v>0</v>
      </c>
      <c r="F391" s="2">
        <f>IF(D391=1,Fandual!D391,0)</f>
        <v>0</v>
      </c>
      <c r="G391" s="2">
        <f>IF(D391=1,Fandual!F391,0)</f>
        <v>0</v>
      </c>
      <c r="H391" s="2">
        <f>IF(D391=1,Fandual!H391,0)</f>
        <v>0</v>
      </c>
      <c r="I391" s="2">
        <f>IF((Optimizer!$J$8=Fandual!J391),4,0)</f>
        <v>0</v>
      </c>
      <c r="J391" s="2">
        <f>IF((Optimizer!$J$10=Fandual!J391),100,0)</f>
        <v>0</v>
      </c>
      <c r="K391" s="2">
        <f t="shared" si="13"/>
        <v>0</v>
      </c>
      <c r="L391" s="2">
        <f>IF(Fandual!M391="",1,0)</f>
        <v>1</v>
      </c>
    </row>
    <row r="392" spans="1:12" x14ac:dyDescent="0.25">
      <c r="A392" s="2">
        <f>IF((OR(Optimizer!$J$8=Fandual!J392,Optimizer!$J$10=Fandual!J392))=TRUE, 1,0)</f>
        <v>0</v>
      </c>
      <c r="B392" s="2">
        <f>IF((OR(Fandual!O392="",Fandual!O392&lt;&gt;0)=TRUE),1,0)</f>
        <v>1</v>
      </c>
      <c r="C392" s="2">
        <f>IF(Fandual!B392&lt;&gt;"P",1,0)</f>
        <v>0</v>
      </c>
      <c r="D392" s="2">
        <f t="shared" si="12"/>
        <v>0</v>
      </c>
      <c r="E392" s="2">
        <f>IF(D392=1,Fandual!B392,0)</f>
        <v>0</v>
      </c>
      <c r="F392" s="2">
        <f>IF(D392=1,Fandual!D392,0)</f>
        <v>0</v>
      </c>
      <c r="G392" s="2">
        <f>IF(D392=1,Fandual!F392,0)</f>
        <v>0</v>
      </c>
      <c r="H392" s="2">
        <f>IF(D392=1,Fandual!H392,0)</f>
        <v>0</v>
      </c>
      <c r="I392" s="2">
        <f>IF((Optimizer!$J$8=Fandual!J392),4,0)</f>
        <v>0</v>
      </c>
      <c r="J392" s="2">
        <f>IF((Optimizer!$J$10=Fandual!J392),100,0)</f>
        <v>0</v>
      </c>
      <c r="K392" s="2">
        <f t="shared" si="13"/>
        <v>0</v>
      </c>
      <c r="L392" s="2">
        <f>IF(Fandual!M392="",1,0)</f>
        <v>1</v>
      </c>
    </row>
    <row r="393" spans="1:12" x14ac:dyDescent="0.25">
      <c r="A393" s="2">
        <f>IF((OR(Optimizer!$J$8=Fandual!J393,Optimizer!$J$10=Fandual!J393))=TRUE, 1,0)</f>
        <v>0</v>
      </c>
      <c r="B393" s="2">
        <f>IF((OR(Fandual!O393="",Fandual!O393&lt;&gt;0)=TRUE),1,0)</f>
        <v>1</v>
      </c>
      <c r="C393" s="2">
        <f>IF(Fandual!B393&lt;&gt;"P",1,0)</f>
        <v>0</v>
      </c>
      <c r="D393" s="2">
        <f t="shared" si="12"/>
        <v>0</v>
      </c>
      <c r="E393" s="2">
        <f>IF(D393=1,Fandual!B393,0)</f>
        <v>0</v>
      </c>
      <c r="F393" s="2">
        <f>IF(D393=1,Fandual!D393,0)</f>
        <v>0</v>
      </c>
      <c r="G393" s="2">
        <f>IF(D393=1,Fandual!F393,0)</f>
        <v>0</v>
      </c>
      <c r="H393" s="2">
        <f>IF(D393=1,Fandual!H393,0)</f>
        <v>0</v>
      </c>
      <c r="I393" s="2">
        <f>IF((Optimizer!$J$8=Fandual!J393),4,0)</f>
        <v>0</v>
      </c>
      <c r="J393" s="2">
        <f>IF((Optimizer!$J$10=Fandual!J393),100,0)</f>
        <v>0</v>
      </c>
      <c r="K393" s="2">
        <f t="shared" si="13"/>
        <v>0</v>
      </c>
      <c r="L393" s="2">
        <f>IF(Fandual!M393="",1,0)</f>
        <v>1</v>
      </c>
    </row>
    <row r="394" spans="1:12" x14ac:dyDescent="0.25">
      <c r="A394" s="2">
        <f>IF((OR(Optimizer!$J$8=Fandual!J394,Optimizer!$J$10=Fandual!J394))=TRUE, 1,0)</f>
        <v>0</v>
      </c>
      <c r="B394" s="2">
        <f>IF((OR(Fandual!O394="",Fandual!O394&lt;&gt;0)=TRUE),1,0)</f>
        <v>1</v>
      </c>
      <c r="C394" s="2">
        <f>IF(Fandual!B394&lt;&gt;"P",1,0)</f>
        <v>0</v>
      </c>
      <c r="D394" s="2">
        <f t="shared" si="12"/>
        <v>0</v>
      </c>
      <c r="E394" s="2">
        <f>IF(D394=1,Fandual!B394,0)</f>
        <v>0</v>
      </c>
      <c r="F394" s="2">
        <f>IF(D394=1,Fandual!D394,0)</f>
        <v>0</v>
      </c>
      <c r="G394" s="2">
        <f>IF(D394=1,Fandual!F394,0)</f>
        <v>0</v>
      </c>
      <c r="H394" s="2">
        <f>IF(D394=1,Fandual!H394,0)</f>
        <v>0</v>
      </c>
      <c r="I394" s="2">
        <f>IF((Optimizer!$J$8=Fandual!J394),4,0)</f>
        <v>0</v>
      </c>
      <c r="J394" s="2">
        <f>IF((Optimizer!$J$10=Fandual!J394),100,0)</f>
        <v>0</v>
      </c>
      <c r="K394" s="2">
        <f t="shared" si="13"/>
        <v>0</v>
      </c>
      <c r="L394" s="2">
        <f>IF(Fandual!M394="",1,0)</f>
        <v>1</v>
      </c>
    </row>
    <row r="395" spans="1:12" x14ac:dyDescent="0.25">
      <c r="A395" s="2">
        <f>IF((OR(Optimizer!$J$8=Fandual!J395,Optimizer!$J$10=Fandual!J395))=TRUE, 1,0)</f>
        <v>0</v>
      </c>
      <c r="B395" s="2">
        <f>IF((OR(Fandual!O395="",Fandual!O395&lt;&gt;0)=TRUE),1,0)</f>
        <v>1</v>
      </c>
      <c r="C395" s="2">
        <f>IF(Fandual!B395&lt;&gt;"P",1,0)</f>
        <v>0</v>
      </c>
      <c r="D395" s="2">
        <f t="shared" si="12"/>
        <v>0</v>
      </c>
      <c r="E395" s="2">
        <f>IF(D395=1,Fandual!B395,0)</f>
        <v>0</v>
      </c>
      <c r="F395" s="2">
        <f>IF(D395=1,Fandual!D395,0)</f>
        <v>0</v>
      </c>
      <c r="G395" s="2">
        <f>IF(D395=1,Fandual!F395,0)</f>
        <v>0</v>
      </c>
      <c r="H395" s="2">
        <f>IF(D395=1,Fandual!H395,0)</f>
        <v>0</v>
      </c>
      <c r="I395" s="2">
        <f>IF((Optimizer!$J$8=Fandual!J395),4,0)</f>
        <v>0</v>
      </c>
      <c r="J395" s="2">
        <f>IF((Optimizer!$J$10=Fandual!J395),100,0)</f>
        <v>0</v>
      </c>
      <c r="K395" s="2">
        <f t="shared" si="13"/>
        <v>0</v>
      </c>
      <c r="L395" s="2">
        <f>IF(Fandual!M395="",1,0)</f>
        <v>1</v>
      </c>
    </row>
    <row r="396" spans="1:12" x14ac:dyDescent="0.25">
      <c r="A396" s="2">
        <f>IF((OR(Optimizer!$J$8=Fandual!J396,Optimizer!$J$10=Fandual!J396))=TRUE, 1,0)</f>
        <v>0</v>
      </c>
      <c r="B396" s="2">
        <f>IF((OR(Fandual!O396="",Fandual!O396&lt;&gt;0)=TRUE),1,0)</f>
        <v>1</v>
      </c>
      <c r="C396" s="2">
        <f>IF(Fandual!B396&lt;&gt;"P",1,0)</f>
        <v>0</v>
      </c>
      <c r="D396" s="2">
        <f t="shared" si="12"/>
        <v>0</v>
      </c>
      <c r="E396" s="2">
        <f>IF(D396=1,Fandual!B396,0)</f>
        <v>0</v>
      </c>
      <c r="F396" s="2">
        <f>IF(D396=1,Fandual!D396,0)</f>
        <v>0</v>
      </c>
      <c r="G396" s="2">
        <f>IF(D396=1,Fandual!F396,0)</f>
        <v>0</v>
      </c>
      <c r="H396" s="2">
        <f>IF(D396=1,Fandual!H396,0)</f>
        <v>0</v>
      </c>
      <c r="I396" s="2">
        <f>IF((Optimizer!$J$8=Fandual!J396),4,0)</f>
        <v>0</v>
      </c>
      <c r="J396" s="2">
        <f>IF((Optimizer!$J$10=Fandual!J396),100,0)</f>
        <v>0</v>
      </c>
      <c r="K396" s="2">
        <f t="shared" si="13"/>
        <v>0</v>
      </c>
      <c r="L396" s="2">
        <f>IF(Fandual!M396="",1,0)</f>
        <v>0</v>
      </c>
    </row>
    <row r="397" spans="1:12" x14ac:dyDescent="0.25">
      <c r="A397" s="2">
        <f>IF((OR(Optimizer!$J$8=Fandual!J397,Optimizer!$J$10=Fandual!J397))=TRUE, 1,0)</f>
        <v>0</v>
      </c>
      <c r="B397" s="2">
        <f>IF((OR(Fandual!O397="",Fandual!O397&lt;&gt;0)=TRUE),1,0)</f>
        <v>1</v>
      </c>
      <c r="C397" s="2">
        <f>IF(Fandual!B397&lt;&gt;"P",1,0)</f>
        <v>0</v>
      </c>
      <c r="D397" s="2">
        <f t="shared" si="12"/>
        <v>0</v>
      </c>
      <c r="E397" s="2">
        <f>IF(D397=1,Fandual!B397,0)</f>
        <v>0</v>
      </c>
      <c r="F397" s="2">
        <f>IF(D397=1,Fandual!D397,0)</f>
        <v>0</v>
      </c>
      <c r="G397" s="2">
        <f>IF(D397=1,Fandual!F397,0)</f>
        <v>0</v>
      </c>
      <c r="H397" s="2">
        <f>IF(D397=1,Fandual!H397,0)</f>
        <v>0</v>
      </c>
      <c r="I397" s="2">
        <f>IF((Optimizer!$J$8=Fandual!J397),4,0)</f>
        <v>0</v>
      </c>
      <c r="J397" s="2">
        <f>IF((Optimizer!$J$10=Fandual!J397),100,0)</f>
        <v>0</v>
      </c>
      <c r="K397" s="2">
        <f t="shared" si="13"/>
        <v>0</v>
      </c>
      <c r="L397" s="2">
        <f>IF(Fandual!M397="",1,0)</f>
        <v>1</v>
      </c>
    </row>
    <row r="398" spans="1:12" x14ac:dyDescent="0.25">
      <c r="A398" s="2">
        <f>IF((OR(Optimizer!$J$8=Fandual!J398,Optimizer!$J$10=Fandual!J398))=TRUE, 1,0)</f>
        <v>0</v>
      </c>
      <c r="B398" s="2">
        <f>IF((OR(Fandual!O398="",Fandual!O398&lt;&gt;0)=TRUE),1,0)</f>
        <v>1</v>
      </c>
      <c r="C398" s="2">
        <f>IF(Fandual!B398&lt;&gt;"P",1,0)</f>
        <v>0</v>
      </c>
      <c r="D398" s="2">
        <f t="shared" si="12"/>
        <v>0</v>
      </c>
      <c r="E398" s="2">
        <f>IF(D398=1,Fandual!B398,0)</f>
        <v>0</v>
      </c>
      <c r="F398" s="2">
        <f>IF(D398=1,Fandual!D398,0)</f>
        <v>0</v>
      </c>
      <c r="G398" s="2">
        <f>IF(D398=1,Fandual!F398,0)</f>
        <v>0</v>
      </c>
      <c r="H398" s="2">
        <f>IF(D398=1,Fandual!H398,0)</f>
        <v>0</v>
      </c>
      <c r="I398" s="2">
        <f>IF((Optimizer!$J$8=Fandual!J398),4,0)</f>
        <v>0</v>
      </c>
      <c r="J398" s="2">
        <f>IF((Optimizer!$J$10=Fandual!J398),100,0)</f>
        <v>0</v>
      </c>
      <c r="K398" s="2">
        <f t="shared" si="13"/>
        <v>0</v>
      </c>
      <c r="L398" s="2">
        <f>IF(Fandual!M398="",1,0)</f>
        <v>1</v>
      </c>
    </row>
    <row r="399" spans="1:12" x14ac:dyDescent="0.25">
      <c r="A399" s="2">
        <f>IF((OR(Optimizer!$J$8=Fandual!J399,Optimizer!$J$10=Fandual!J399))=TRUE, 1,0)</f>
        <v>0</v>
      </c>
      <c r="B399" s="2">
        <f>IF((OR(Fandual!O399="",Fandual!O399&lt;&gt;0)=TRUE),1,0)</f>
        <v>1</v>
      </c>
      <c r="C399" s="2">
        <f>IF(Fandual!B399&lt;&gt;"P",1,0)</f>
        <v>0</v>
      </c>
      <c r="D399" s="2">
        <f t="shared" si="12"/>
        <v>0</v>
      </c>
      <c r="E399" s="2">
        <f>IF(D399=1,Fandual!B399,0)</f>
        <v>0</v>
      </c>
      <c r="F399" s="2">
        <f>IF(D399=1,Fandual!D399,0)</f>
        <v>0</v>
      </c>
      <c r="G399" s="2">
        <f>IF(D399=1,Fandual!F399,0)</f>
        <v>0</v>
      </c>
      <c r="H399" s="2">
        <f>IF(D399=1,Fandual!H399,0)</f>
        <v>0</v>
      </c>
      <c r="I399" s="2">
        <f>IF((Optimizer!$J$8=Fandual!J399),4,0)</f>
        <v>0</v>
      </c>
      <c r="J399" s="2">
        <f>IF((Optimizer!$J$10=Fandual!J399),100,0)</f>
        <v>0</v>
      </c>
      <c r="K399" s="2">
        <f t="shared" si="13"/>
        <v>0</v>
      </c>
      <c r="L399" s="2">
        <f>IF(Fandual!M399="",1,0)</f>
        <v>1</v>
      </c>
    </row>
    <row r="400" spans="1:12" x14ac:dyDescent="0.25">
      <c r="A400" s="2">
        <f>IF((OR(Optimizer!$J$8=Fandual!J400,Optimizer!$J$10=Fandual!J400))=TRUE, 1,0)</f>
        <v>0</v>
      </c>
      <c r="B400" s="2">
        <f>IF((OR(Fandual!O400="",Fandual!O400&lt;&gt;0)=TRUE),1,0)</f>
        <v>1</v>
      </c>
      <c r="C400" s="2">
        <f>IF(Fandual!B400&lt;&gt;"P",1,0)</f>
        <v>0</v>
      </c>
      <c r="D400" s="2">
        <f t="shared" si="12"/>
        <v>0</v>
      </c>
      <c r="E400" s="2">
        <f>IF(D400=1,Fandual!B400,0)</f>
        <v>0</v>
      </c>
      <c r="F400" s="2">
        <f>IF(D400=1,Fandual!D400,0)</f>
        <v>0</v>
      </c>
      <c r="G400" s="2">
        <f>IF(D400=1,Fandual!F400,0)</f>
        <v>0</v>
      </c>
      <c r="H400" s="2">
        <f>IF(D400=1,Fandual!H400,0)</f>
        <v>0</v>
      </c>
      <c r="I400" s="2">
        <f>IF((Optimizer!$J$8=Fandual!J400),4,0)</f>
        <v>0</v>
      </c>
      <c r="J400" s="2">
        <f>IF((Optimizer!$J$10=Fandual!J400),100,0)</f>
        <v>0</v>
      </c>
      <c r="K400" s="2">
        <f t="shared" si="13"/>
        <v>0</v>
      </c>
      <c r="L400" s="2">
        <f>IF(Fandual!M400="",1,0)</f>
        <v>1</v>
      </c>
    </row>
    <row r="401" spans="1:12" x14ac:dyDescent="0.25">
      <c r="A401" s="2">
        <f>IF((OR(Optimizer!$J$8=Fandual!J401,Optimizer!$J$10=Fandual!J401))=TRUE, 1,0)</f>
        <v>1</v>
      </c>
      <c r="B401" s="2">
        <f>IF((OR(Fandual!O401="",Fandual!O401&lt;&gt;0)=TRUE),1,0)</f>
        <v>1</v>
      </c>
      <c r="C401" s="2">
        <f>IF(Fandual!B401&lt;&gt;"P",1,0)</f>
        <v>0</v>
      </c>
      <c r="D401" s="2">
        <f t="shared" si="12"/>
        <v>0</v>
      </c>
      <c r="E401" s="2">
        <f>IF(D401=1,Fandual!B401,0)</f>
        <v>0</v>
      </c>
      <c r="F401" s="2">
        <f>IF(D401=1,Fandual!D401,0)</f>
        <v>0</v>
      </c>
      <c r="G401" s="2">
        <f>IF(D401=1,Fandual!F401,0)</f>
        <v>0</v>
      </c>
      <c r="H401" s="2">
        <f>IF(D401=1,Fandual!H401,0)</f>
        <v>0</v>
      </c>
      <c r="I401" s="2">
        <f>IF((Optimizer!$J$8=Fandual!J401),4,0)</f>
        <v>4</v>
      </c>
      <c r="J401" s="2">
        <f>IF((Optimizer!$J$10=Fandual!J401),100,0)</f>
        <v>0</v>
      </c>
      <c r="K401" s="2">
        <f t="shared" si="13"/>
        <v>0</v>
      </c>
      <c r="L401" s="2">
        <f>IF(Fandual!M401="",1,0)</f>
        <v>1</v>
      </c>
    </row>
    <row r="402" spans="1:12" x14ac:dyDescent="0.25">
      <c r="A402" s="2">
        <f>IF((OR(Optimizer!$J$8=Fandual!J402,Optimizer!$J$10=Fandual!J402))=TRUE, 1,0)</f>
        <v>0</v>
      </c>
      <c r="B402" s="2">
        <f>IF((OR(Fandual!O402="",Fandual!O402&lt;&gt;0)=TRUE),1,0)</f>
        <v>1</v>
      </c>
      <c r="C402" s="2">
        <f>IF(Fandual!B402&lt;&gt;"P",1,0)</f>
        <v>0</v>
      </c>
      <c r="D402" s="2">
        <f t="shared" si="12"/>
        <v>0</v>
      </c>
      <c r="E402" s="2">
        <f>IF(D402=1,Fandual!B402,0)</f>
        <v>0</v>
      </c>
      <c r="F402" s="2">
        <f>IF(D402=1,Fandual!D402,0)</f>
        <v>0</v>
      </c>
      <c r="G402" s="2">
        <f>IF(D402=1,Fandual!F402,0)</f>
        <v>0</v>
      </c>
      <c r="H402" s="2">
        <f>IF(D402=1,Fandual!H402,0)</f>
        <v>0</v>
      </c>
      <c r="I402" s="2">
        <f>IF((Optimizer!$J$8=Fandual!J402),4,0)</f>
        <v>0</v>
      </c>
      <c r="J402" s="2">
        <f>IF((Optimizer!$J$10=Fandual!J402),100,0)</f>
        <v>0</v>
      </c>
      <c r="K402" s="2">
        <f t="shared" si="13"/>
        <v>0</v>
      </c>
      <c r="L402" s="2">
        <f>IF(Fandual!M402="",1,0)</f>
        <v>1</v>
      </c>
    </row>
    <row r="403" spans="1:12" x14ac:dyDescent="0.25">
      <c r="A403" s="2">
        <f>IF((OR(Optimizer!$J$8=Fandual!J403,Optimizer!$J$10=Fandual!J403))=TRUE, 1,0)</f>
        <v>0</v>
      </c>
      <c r="B403" s="2">
        <f>IF((OR(Fandual!O403="",Fandual!O403&lt;&gt;0)=TRUE),1,0)</f>
        <v>1</v>
      </c>
      <c r="C403" s="2">
        <f>IF(Fandual!B403&lt;&gt;"P",1,0)</f>
        <v>0</v>
      </c>
      <c r="D403" s="2">
        <f t="shared" si="12"/>
        <v>0</v>
      </c>
      <c r="E403" s="2">
        <f>IF(D403=1,Fandual!B403,0)</f>
        <v>0</v>
      </c>
      <c r="F403" s="2">
        <f>IF(D403=1,Fandual!D403,0)</f>
        <v>0</v>
      </c>
      <c r="G403" s="2">
        <f>IF(D403=1,Fandual!F403,0)</f>
        <v>0</v>
      </c>
      <c r="H403" s="2">
        <f>IF(D403=1,Fandual!H403,0)</f>
        <v>0</v>
      </c>
      <c r="I403" s="2">
        <f>IF((Optimizer!$J$8=Fandual!J403),4,0)</f>
        <v>0</v>
      </c>
      <c r="J403" s="2">
        <f>IF((Optimizer!$J$10=Fandual!J403),100,0)</f>
        <v>0</v>
      </c>
      <c r="K403" s="2">
        <f t="shared" si="13"/>
        <v>0</v>
      </c>
      <c r="L403" s="2">
        <f>IF(Fandual!M403="",1,0)</f>
        <v>0</v>
      </c>
    </row>
    <row r="404" spans="1:12" x14ac:dyDescent="0.25">
      <c r="A404" s="2">
        <f>IF((OR(Optimizer!$J$8=Fandual!J404,Optimizer!$J$10=Fandual!J404))=TRUE, 1,0)</f>
        <v>0</v>
      </c>
      <c r="B404" s="2">
        <f>IF((OR(Fandual!O404="",Fandual!O404&lt;&gt;0)=TRUE),1,0)</f>
        <v>1</v>
      </c>
      <c r="C404" s="2">
        <f>IF(Fandual!B404&lt;&gt;"P",1,0)</f>
        <v>0</v>
      </c>
      <c r="D404" s="2">
        <f t="shared" si="12"/>
        <v>0</v>
      </c>
      <c r="E404" s="2">
        <f>IF(D404=1,Fandual!B404,0)</f>
        <v>0</v>
      </c>
      <c r="F404" s="2">
        <f>IF(D404=1,Fandual!D404,0)</f>
        <v>0</v>
      </c>
      <c r="G404" s="2">
        <f>IF(D404=1,Fandual!F404,0)</f>
        <v>0</v>
      </c>
      <c r="H404" s="2">
        <f>IF(D404=1,Fandual!H404,0)</f>
        <v>0</v>
      </c>
      <c r="I404" s="2">
        <f>IF((Optimizer!$J$8=Fandual!J404),4,0)</f>
        <v>0</v>
      </c>
      <c r="J404" s="2">
        <f>IF((Optimizer!$J$10=Fandual!J404),100,0)</f>
        <v>0</v>
      </c>
      <c r="K404" s="2">
        <f t="shared" si="13"/>
        <v>0</v>
      </c>
      <c r="L404" s="2">
        <f>IF(Fandual!M404="",1,0)</f>
        <v>1</v>
      </c>
    </row>
    <row r="405" spans="1:12" x14ac:dyDescent="0.25">
      <c r="A405" s="2">
        <f>IF((OR(Optimizer!$J$8=Fandual!J405,Optimizer!$J$10=Fandual!J405))=TRUE, 1,0)</f>
        <v>0</v>
      </c>
      <c r="B405" s="2">
        <f>IF((OR(Fandual!O405="",Fandual!O405&lt;&gt;0)=TRUE),1,0)</f>
        <v>1</v>
      </c>
      <c r="C405" s="2">
        <f>IF(Fandual!B405&lt;&gt;"P",1,0)</f>
        <v>0</v>
      </c>
      <c r="D405" s="2">
        <f t="shared" si="12"/>
        <v>0</v>
      </c>
      <c r="E405" s="2">
        <f>IF(D405=1,Fandual!B405,0)</f>
        <v>0</v>
      </c>
      <c r="F405" s="2">
        <f>IF(D405=1,Fandual!D405,0)</f>
        <v>0</v>
      </c>
      <c r="G405" s="2">
        <f>IF(D405=1,Fandual!F405,0)</f>
        <v>0</v>
      </c>
      <c r="H405" s="2">
        <f>IF(D405=1,Fandual!H405,0)</f>
        <v>0</v>
      </c>
      <c r="I405" s="2">
        <f>IF((Optimizer!$J$8=Fandual!J405),4,0)</f>
        <v>0</v>
      </c>
      <c r="J405" s="2">
        <f>IF((Optimizer!$J$10=Fandual!J405),100,0)</f>
        <v>0</v>
      </c>
      <c r="K405" s="2">
        <f t="shared" si="13"/>
        <v>0</v>
      </c>
      <c r="L405" s="2">
        <f>IF(Fandual!M405="",1,0)</f>
        <v>0</v>
      </c>
    </row>
    <row r="406" spans="1:12" x14ac:dyDescent="0.25">
      <c r="A406" s="2">
        <f>IF((OR(Optimizer!$J$8=Fandual!J406,Optimizer!$J$10=Fandual!J406))=TRUE, 1,0)</f>
        <v>0</v>
      </c>
      <c r="B406" s="2">
        <f>IF((OR(Fandual!O406="",Fandual!O406&lt;&gt;0)=TRUE),1,0)</f>
        <v>1</v>
      </c>
      <c r="C406" s="2">
        <f>IF(Fandual!B406&lt;&gt;"P",1,0)</f>
        <v>0</v>
      </c>
      <c r="D406" s="2">
        <f t="shared" si="12"/>
        <v>0</v>
      </c>
      <c r="E406" s="2">
        <f>IF(D406=1,Fandual!B406,0)</f>
        <v>0</v>
      </c>
      <c r="F406" s="2">
        <f>IF(D406=1,Fandual!D406,0)</f>
        <v>0</v>
      </c>
      <c r="G406" s="2">
        <f>IF(D406=1,Fandual!F406,0)</f>
        <v>0</v>
      </c>
      <c r="H406" s="2">
        <f>IF(D406=1,Fandual!H406,0)</f>
        <v>0</v>
      </c>
      <c r="I406" s="2">
        <f>IF((Optimizer!$J$8=Fandual!J406),4,0)</f>
        <v>0</v>
      </c>
      <c r="J406" s="2">
        <f>IF((Optimizer!$J$10=Fandual!J406),100,0)</f>
        <v>0</v>
      </c>
      <c r="K406" s="2">
        <f t="shared" si="13"/>
        <v>0</v>
      </c>
      <c r="L406" s="2">
        <f>IF(Fandual!M406="",1,0)</f>
        <v>1</v>
      </c>
    </row>
    <row r="407" spans="1:12" x14ac:dyDescent="0.25">
      <c r="A407" s="2">
        <f>IF((OR(Optimizer!$J$8=Fandual!J407,Optimizer!$J$10=Fandual!J407))=TRUE, 1,0)</f>
        <v>0</v>
      </c>
      <c r="B407" s="2">
        <f>IF((OR(Fandual!O407="",Fandual!O407&lt;&gt;0)=TRUE),1,0)</f>
        <v>1</v>
      </c>
      <c r="C407" s="2">
        <f>IF(Fandual!B407&lt;&gt;"P",1,0)</f>
        <v>0</v>
      </c>
      <c r="D407" s="2">
        <f t="shared" si="12"/>
        <v>0</v>
      </c>
      <c r="E407" s="2">
        <f>IF(D407=1,Fandual!B407,0)</f>
        <v>0</v>
      </c>
      <c r="F407" s="2">
        <f>IF(D407=1,Fandual!D407,0)</f>
        <v>0</v>
      </c>
      <c r="G407" s="2">
        <f>IF(D407=1,Fandual!F407,0)</f>
        <v>0</v>
      </c>
      <c r="H407" s="2">
        <f>IF(D407=1,Fandual!H407,0)</f>
        <v>0</v>
      </c>
      <c r="I407" s="2">
        <f>IF((Optimizer!$J$8=Fandual!J407),4,0)</f>
        <v>0</v>
      </c>
      <c r="J407" s="2">
        <f>IF((Optimizer!$J$10=Fandual!J407),100,0)</f>
        <v>0</v>
      </c>
      <c r="K407" s="2">
        <f t="shared" si="13"/>
        <v>0</v>
      </c>
      <c r="L407" s="2">
        <f>IF(Fandual!M407="",1,0)</f>
        <v>1</v>
      </c>
    </row>
    <row r="408" spans="1:12" x14ac:dyDescent="0.25">
      <c r="A408" s="2">
        <f>IF((OR(Optimizer!$J$8=Fandual!J408,Optimizer!$J$10=Fandual!J408))=TRUE, 1,0)</f>
        <v>0</v>
      </c>
      <c r="B408" s="2">
        <f>IF((OR(Fandual!O408="",Fandual!O408&lt;&gt;0)=TRUE),1,0)</f>
        <v>1</v>
      </c>
      <c r="C408" s="2">
        <f>IF(Fandual!B408&lt;&gt;"P",1,0)</f>
        <v>0</v>
      </c>
      <c r="D408" s="2">
        <f t="shared" si="12"/>
        <v>0</v>
      </c>
      <c r="E408" s="2">
        <f>IF(D408=1,Fandual!B408,0)</f>
        <v>0</v>
      </c>
      <c r="F408" s="2">
        <f>IF(D408=1,Fandual!D408,0)</f>
        <v>0</v>
      </c>
      <c r="G408" s="2">
        <f>IF(D408=1,Fandual!F408,0)</f>
        <v>0</v>
      </c>
      <c r="H408" s="2">
        <f>IF(D408=1,Fandual!H408,0)</f>
        <v>0</v>
      </c>
      <c r="I408" s="2">
        <f>IF((Optimizer!$J$8=Fandual!J408),4,0)</f>
        <v>0</v>
      </c>
      <c r="J408" s="2">
        <f>IF((Optimizer!$J$10=Fandual!J408),100,0)</f>
        <v>0</v>
      </c>
      <c r="K408" s="2">
        <f t="shared" si="13"/>
        <v>0</v>
      </c>
      <c r="L408" s="2">
        <f>IF(Fandual!M408="",1,0)</f>
        <v>1</v>
      </c>
    </row>
    <row r="409" spans="1:12" x14ac:dyDescent="0.25">
      <c r="A409" s="2">
        <f>IF((OR(Optimizer!$J$8=Fandual!J409,Optimizer!$J$10=Fandual!J409))=TRUE, 1,0)</f>
        <v>0</v>
      </c>
      <c r="B409" s="2">
        <f>IF((OR(Fandual!O409="",Fandual!O409&lt;&gt;0)=TRUE),1,0)</f>
        <v>1</v>
      </c>
      <c r="C409" s="2">
        <f>IF(Fandual!B409&lt;&gt;"P",1,0)</f>
        <v>0</v>
      </c>
      <c r="D409" s="2">
        <f t="shared" si="12"/>
        <v>0</v>
      </c>
      <c r="E409" s="2">
        <f>IF(D409=1,Fandual!B409,0)</f>
        <v>0</v>
      </c>
      <c r="F409" s="2">
        <f>IF(D409=1,Fandual!D409,0)</f>
        <v>0</v>
      </c>
      <c r="G409" s="2">
        <f>IF(D409=1,Fandual!F409,0)</f>
        <v>0</v>
      </c>
      <c r="H409" s="2">
        <f>IF(D409=1,Fandual!H409,0)</f>
        <v>0</v>
      </c>
      <c r="I409" s="2">
        <f>IF((Optimizer!$J$8=Fandual!J409),4,0)</f>
        <v>0</v>
      </c>
      <c r="J409" s="2">
        <f>IF((Optimizer!$J$10=Fandual!J409),100,0)</f>
        <v>0</v>
      </c>
      <c r="K409" s="2">
        <f t="shared" si="13"/>
        <v>0</v>
      </c>
      <c r="L409" s="2">
        <f>IF(Fandual!M409="",1,0)</f>
        <v>1</v>
      </c>
    </row>
    <row r="410" spans="1:12" x14ac:dyDescent="0.25">
      <c r="A410" s="2">
        <f>IF((OR(Optimizer!$J$8=Fandual!J410,Optimizer!$J$10=Fandual!J410))=TRUE, 1,0)</f>
        <v>0</v>
      </c>
      <c r="B410" s="2">
        <f>IF((OR(Fandual!O410="",Fandual!O410&lt;&gt;0)=TRUE),1,0)</f>
        <v>1</v>
      </c>
      <c r="C410" s="2">
        <f>IF(Fandual!B410&lt;&gt;"P",1,0)</f>
        <v>0</v>
      </c>
      <c r="D410" s="2">
        <f t="shared" si="12"/>
        <v>0</v>
      </c>
      <c r="E410" s="2">
        <f>IF(D410=1,Fandual!B410,0)</f>
        <v>0</v>
      </c>
      <c r="F410" s="2">
        <f>IF(D410=1,Fandual!D410,0)</f>
        <v>0</v>
      </c>
      <c r="G410" s="2">
        <f>IF(D410=1,Fandual!F410,0)</f>
        <v>0</v>
      </c>
      <c r="H410" s="2">
        <f>IF(D410=1,Fandual!H410,0)</f>
        <v>0</v>
      </c>
      <c r="I410" s="2">
        <f>IF((Optimizer!$J$8=Fandual!J410),4,0)</f>
        <v>0</v>
      </c>
      <c r="J410" s="2">
        <f>IF((Optimizer!$J$10=Fandual!J410),100,0)</f>
        <v>0</v>
      </c>
      <c r="K410" s="2">
        <f t="shared" si="13"/>
        <v>0</v>
      </c>
      <c r="L410" s="2">
        <f>IF(Fandual!M410="",1,0)</f>
        <v>1</v>
      </c>
    </row>
    <row r="411" spans="1:12" x14ac:dyDescent="0.25">
      <c r="A411" s="2">
        <f>IF((OR(Optimizer!$J$8=Fandual!J411,Optimizer!$J$10=Fandual!J411))=TRUE, 1,0)</f>
        <v>0</v>
      </c>
      <c r="B411" s="2">
        <f>IF((OR(Fandual!O411="",Fandual!O411&lt;&gt;0)=TRUE),1,0)</f>
        <v>1</v>
      </c>
      <c r="C411" s="2">
        <f>IF(Fandual!B411&lt;&gt;"P",1,0)</f>
        <v>0</v>
      </c>
      <c r="D411" s="2">
        <f t="shared" si="12"/>
        <v>0</v>
      </c>
      <c r="E411" s="2">
        <f>IF(D411=1,Fandual!B411,0)</f>
        <v>0</v>
      </c>
      <c r="F411" s="2">
        <f>IF(D411=1,Fandual!D411,0)</f>
        <v>0</v>
      </c>
      <c r="G411" s="2">
        <f>IF(D411=1,Fandual!F411,0)</f>
        <v>0</v>
      </c>
      <c r="H411" s="2">
        <f>IF(D411=1,Fandual!H411,0)</f>
        <v>0</v>
      </c>
      <c r="I411" s="2">
        <f>IF((Optimizer!$J$8=Fandual!J411),4,0)</f>
        <v>0</v>
      </c>
      <c r="J411" s="2">
        <f>IF((Optimizer!$J$10=Fandual!J411),100,0)</f>
        <v>0</v>
      </c>
      <c r="K411" s="2">
        <f t="shared" si="13"/>
        <v>0</v>
      </c>
      <c r="L411" s="2">
        <f>IF(Fandual!M411="",1,0)</f>
        <v>0</v>
      </c>
    </row>
    <row r="412" spans="1:12" x14ac:dyDescent="0.25">
      <c r="A412" s="2">
        <f>IF((OR(Optimizer!$J$8=Fandual!J412,Optimizer!$J$10=Fandual!J412))=TRUE, 1,0)</f>
        <v>0</v>
      </c>
      <c r="B412" s="2">
        <f>IF((OR(Fandual!O412="",Fandual!O412&lt;&gt;0)=TRUE),1,0)</f>
        <v>1</v>
      </c>
      <c r="C412" s="2">
        <f>IF(Fandual!B412&lt;&gt;"P",1,0)</f>
        <v>0</v>
      </c>
      <c r="D412" s="2">
        <f t="shared" si="12"/>
        <v>0</v>
      </c>
      <c r="E412" s="2">
        <f>IF(D412=1,Fandual!B412,0)</f>
        <v>0</v>
      </c>
      <c r="F412" s="2">
        <f>IF(D412=1,Fandual!D412,0)</f>
        <v>0</v>
      </c>
      <c r="G412" s="2">
        <f>IF(D412=1,Fandual!F412,0)</f>
        <v>0</v>
      </c>
      <c r="H412" s="2">
        <f>IF(D412=1,Fandual!H412,0)</f>
        <v>0</v>
      </c>
      <c r="I412" s="2">
        <f>IF((Optimizer!$J$8=Fandual!J412),4,0)</f>
        <v>0</v>
      </c>
      <c r="J412" s="2">
        <f>IF((Optimizer!$J$10=Fandual!J412),100,0)</f>
        <v>0</v>
      </c>
      <c r="K412" s="2">
        <f t="shared" si="13"/>
        <v>0</v>
      </c>
      <c r="L412" s="2">
        <f>IF(Fandual!M412="",1,0)</f>
        <v>1</v>
      </c>
    </row>
    <row r="413" spans="1:12" x14ac:dyDescent="0.25">
      <c r="A413" s="2">
        <f>IF((OR(Optimizer!$J$8=Fandual!J413,Optimizer!$J$10=Fandual!J413))=TRUE, 1,0)</f>
        <v>0</v>
      </c>
      <c r="B413" s="2">
        <f>IF((OR(Fandual!O413="",Fandual!O413&lt;&gt;0)=TRUE),1,0)</f>
        <v>1</v>
      </c>
      <c r="C413" s="2">
        <f>IF(Fandual!B413&lt;&gt;"P",1,0)</f>
        <v>0</v>
      </c>
      <c r="D413" s="2">
        <f t="shared" si="12"/>
        <v>0</v>
      </c>
      <c r="E413" s="2">
        <f>IF(D413=1,Fandual!B413,0)</f>
        <v>0</v>
      </c>
      <c r="F413" s="2">
        <f>IF(D413=1,Fandual!D413,0)</f>
        <v>0</v>
      </c>
      <c r="G413" s="2">
        <f>IF(D413=1,Fandual!F413,0)</f>
        <v>0</v>
      </c>
      <c r="H413" s="2">
        <f>IF(D413=1,Fandual!H413,0)</f>
        <v>0</v>
      </c>
      <c r="I413" s="2">
        <f>IF((Optimizer!$J$8=Fandual!J413),4,0)</f>
        <v>0</v>
      </c>
      <c r="J413" s="2">
        <f>IF((Optimizer!$J$10=Fandual!J413),100,0)</f>
        <v>0</v>
      </c>
      <c r="K413" s="2">
        <f t="shared" si="13"/>
        <v>0</v>
      </c>
      <c r="L413" s="2">
        <f>IF(Fandual!M413="",1,0)</f>
        <v>0</v>
      </c>
    </row>
    <row r="414" spans="1:12" x14ac:dyDescent="0.25">
      <c r="A414" s="2">
        <f>IF((OR(Optimizer!$J$8=Fandual!J414,Optimizer!$J$10=Fandual!J414))=TRUE, 1,0)</f>
        <v>1</v>
      </c>
      <c r="B414" s="2">
        <f>IF((OR(Fandual!O414="",Fandual!O414&lt;&gt;0)=TRUE),1,0)</f>
        <v>1</v>
      </c>
      <c r="C414" s="2">
        <f>IF(Fandual!B414&lt;&gt;"P",1,0)</f>
        <v>0</v>
      </c>
      <c r="D414" s="2">
        <f t="shared" si="12"/>
        <v>0</v>
      </c>
      <c r="E414" s="2">
        <f>IF(D414=1,Fandual!B414,0)</f>
        <v>0</v>
      </c>
      <c r="F414" s="2">
        <f>IF(D414=1,Fandual!D414,0)</f>
        <v>0</v>
      </c>
      <c r="G414" s="2">
        <f>IF(D414=1,Fandual!F414,0)</f>
        <v>0</v>
      </c>
      <c r="H414" s="2">
        <f>IF(D414=1,Fandual!H414,0)</f>
        <v>0</v>
      </c>
      <c r="I414" s="2">
        <f>IF((Optimizer!$J$8=Fandual!J414),4,0)</f>
        <v>4</v>
      </c>
      <c r="J414" s="2">
        <f>IF((Optimizer!$J$10=Fandual!J414),100,0)</f>
        <v>0</v>
      </c>
      <c r="K414" s="2">
        <f t="shared" si="13"/>
        <v>0</v>
      </c>
      <c r="L414" s="2">
        <f>IF(Fandual!M414="",1,0)</f>
        <v>1</v>
      </c>
    </row>
    <row r="415" spans="1:12" x14ac:dyDescent="0.25">
      <c r="A415" s="2">
        <f>IF((OR(Optimizer!$J$8=Fandual!J415,Optimizer!$J$10=Fandual!J415))=TRUE, 1,0)</f>
        <v>0</v>
      </c>
      <c r="B415" s="2">
        <f>IF((OR(Fandual!O415="",Fandual!O415&lt;&gt;0)=TRUE),1,0)</f>
        <v>1</v>
      </c>
      <c r="C415" s="2">
        <f>IF(Fandual!B415&lt;&gt;"P",1,0)</f>
        <v>0</v>
      </c>
      <c r="D415" s="2">
        <f t="shared" si="12"/>
        <v>0</v>
      </c>
      <c r="E415" s="2">
        <f>IF(D415=1,Fandual!B415,0)</f>
        <v>0</v>
      </c>
      <c r="F415" s="2">
        <f>IF(D415=1,Fandual!D415,0)</f>
        <v>0</v>
      </c>
      <c r="G415" s="2">
        <f>IF(D415=1,Fandual!F415,0)</f>
        <v>0</v>
      </c>
      <c r="H415" s="2">
        <f>IF(D415=1,Fandual!H415,0)</f>
        <v>0</v>
      </c>
      <c r="I415" s="2">
        <f>IF((Optimizer!$J$8=Fandual!J415),4,0)</f>
        <v>0</v>
      </c>
      <c r="J415" s="2">
        <f>IF((Optimizer!$J$10=Fandual!J415),100,0)</f>
        <v>0</v>
      </c>
      <c r="K415" s="2">
        <f t="shared" si="13"/>
        <v>0</v>
      </c>
      <c r="L415" s="2">
        <f>IF(Fandual!M415="",1,0)</f>
        <v>1</v>
      </c>
    </row>
    <row r="416" spans="1:12" x14ac:dyDescent="0.25">
      <c r="A416" s="2">
        <f>IF((OR(Optimizer!$J$8=Fandual!J416,Optimizer!$J$10=Fandual!J416))=TRUE, 1,0)</f>
        <v>1</v>
      </c>
      <c r="B416" s="2">
        <f>IF((OR(Fandual!O416="",Fandual!O416&lt;&gt;0)=TRUE),1,0)</f>
        <v>1</v>
      </c>
      <c r="C416" s="2">
        <f>IF(Fandual!B416&lt;&gt;"P",1,0)</f>
        <v>0</v>
      </c>
      <c r="D416" s="2">
        <f t="shared" si="12"/>
        <v>0</v>
      </c>
      <c r="E416" s="2">
        <f>IF(D416=1,Fandual!B416,0)</f>
        <v>0</v>
      </c>
      <c r="F416" s="2">
        <f>IF(D416=1,Fandual!D416,0)</f>
        <v>0</v>
      </c>
      <c r="G416" s="2">
        <f>IF(D416=1,Fandual!F416,0)</f>
        <v>0</v>
      </c>
      <c r="H416" s="2">
        <f>IF(D416=1,Fandual!H416,0)</f>
        <v>0</v>
      </c>
      <c r="I416" s="2">
        <f>IF((Optimizer!$J$8=Fandual!J416),4,0)</f>
        <v>4</v>
      </c>
      <c r="J416" s="2">
        <f>IF((Optimizer!$J$10=Fandual!J416),100,0)</f>
        <v>0</v>
      </c>
      <c r="K416" s="2">
        <f t="shared" si="13"/>
        <v>0</v>
      </c>
      <c r="L416" s="2">
        <f>IF(Fandual!M416="",1,0)</f>
        <v>1</v>
      </c>
    </row>
    <row r="417" spans="1:12" x14ac:dyDescent="0.25">
      <c r="A417" s="2">
        <f>IF((OR(Optimizer!$J$8=Fandual!J417,Optimizer!$J$10=Fandual!J417))=TRUE, 1,0)</f>
        <v>0</v>
      </c>
      <c r="B417" s="2">
        <f>IF((OR(Fandual!O417="",Fandual!O417&lt;&gt;0)=TRUE),1,0)</f>
        <v>1</v>
      </c>
      <c r="C417" s="2">
        <f>IF(Fandual!B417&lt;&gt;"P",1,0)</f>
        <v>0</v>
      </c>
      <c r="D417" s="2">
        <f t="shared" si="12"/>
        <v>0</v>
      </c>
      <c r="E417" s="2">
        <f>IF(D417=1,Fandual!B417,0)</f>
        <v>0</v>
      </c>
      <c r="F417" s="2">
        <f>IF(D417=1,Fandual!D417,0)</f>
        <v>0</v>
      </c>
      <c r="G417" s="2">
        <f>IF(D417=1,Fandual!F417,0)</f>
        <v>0</v>
      </c>
      <c r="H417" s="2">
        <f>IF(D417=1,Fandual!H417,0)</f>
        <v>0</v>
      </c>
      <c r="I417" s="2">
        <f>IF((Optimizer!$J$8=Fandual!J417),4,0)</f>
        <v>0</v>
      </c>
      <c r="J417" s="2">
        <f>IF((Optimizer!$J$10=Fandual!J417),100,0)</f>
        <v>0</v>
      </c>
      <c r="K417" s="2">
        <f t="shared" si="13"/>
        <v>0</v>
      </c>
      <c r="L417" s="2">
        <f>IF(Fandual!M417="",1,0)</f>
        <v>1</v>
      </c>
    </row>
    <row r="418" spans="1:12" x14ac:dyDescent="0.25">
      <c r="A418" s="2">
        <f>IF((OR(Optimizer!$J$8=Fandual!J418,Optimizer!$J$10=Fandual!J418))=TRUE, 1,0)</f>
        <v>0</v>
      </c>
      <c r="B418" s="2">
        <f>IF((OR(Fandual!O418="",Fandual!O418&lt;&gt;0)=TRUE),1,0)</f>
        <v>1</v>
      </c>
      <c r="C418" s="2">
        <f>IF(Fandual!B418&lt;&gt;"P",1,0)</f>
        <v>0</v>
      </c>
      <c r="D418" s="2">
        <f t="shared" si="12"/>
        <v>0</v>
      </c>
      <c r="E418" s="2">
        <f>IF(D418=1,Fandual!B418,0)</f>
        <v>0</v>
      </c>
      <c r="F418" s="2">
        <f>IF(D418=1,Fandual!D418,0)</f>
        <v>0</v>
      </c>
      <c r="G418" s="2">
        <f>IF(D418=1,Fandual!F418,0)</f>
        <v>0</v>
      </c>
      <c r="H418" s="2">
        <f>IF(D418=1,Fandual!H418,0)</f>
        <v>0</v>
      </c>
      <c r="I418" s="2">
        <f>IF((Optimizer!$J$8=Fandual!J418),4,0)</f>
        <v>0</v>
      </c>
      <c r="J418" s="2">
        <f>IF((Optimizer!$J$10=Fandual!J418),100,0)</f>
        <v>0</v>
      </c>
      <c r="K418" s="2">
        <f t="shared" si="13"/>
        <v>0</v>
      </c>
      <c r="L418" s="2">
        <f>IF(Fandual!M418="",1,0)</f>
        <v>1</v>
      </c>
    </row>
    <row r="419" spans="1:12" x14ac:dyDescent="0.25">
      <c r="A419" s="2">
        <f>IF((OR(Optimizer!$J$8=Fandual!J419,Optimizer!$J$10=Fandual!J419))=TRUE, 1,0)</f>
        <v>0</v>
      </c>
      <c r="B419" s="2">
        <f>IF((OR(Fandual!O419="",Fandual!O419&lt;&gt;0)=TRUE),1,0)</f>
        <v>1</v>
      </c>
      <c r="C419" s="2">
        <f>IF(Fandual!B419&lt;&gt;"P",1,0)</f>
        <v>0</v>
      </c>
      <c r="D419" s="2">
        <f t="shared" si="12"/>
        <v>0</v>
      </c>
      <c r="E419" s="2">
        <f>IF(D419=1,Fandual!B419,0)</f>
        <v>0</v>
      </c>
      <c r="F419" s="2">
        <f>IF(D419=1,Fandual!D419,0)</f>
        <v>0</v>
      </c>
      <c r="G419" s="2">
        <f>IF(D419=1,Fandual!F419,0)</f>
        <v>0</v>
      </c>
      <c r="H419" s="2">
        <f>IF(D419=1,Fandual!H419,0)</f>
        <v>0</v>
      </c>
      <c r="I419" s="2">
        <f>IF((Optimizer!$J$8=Fandual!J419),4,0)</f>
        <v>0</v>
      </c>
      <c r="J419" s="2">
        <f>IF((Optimizer!$J$10=Fandual!J419),100,0)</f>
        <v>0</v>
      </c>
      <c r="K419" s="2">
        <f t="shared" si="13"/>
        <v>0</v>
      </c>
      <c r="L419" s="2">
        <f>IF(Fandual!M419="",1,0)</f>
        <v>0</v>
      </c>
    </row>
    <row r="420" spans="1:12" x14ac:dyDescent="0.25">
      <c r="A420" s="2">
        <f>IF((OR(Optimizer!$J$8=Fandual!J420,Optimizer!$J$10=Fandual!J420))=TRUE, 1,0)</f>
        <v>0</v>
      </c>
      <c r="B420" s="2">
        <f>IF((OR(Fandual!O420="",Fandual!O420&lt;&gt;0)=TRUE),1,0)</f>
        <v>1</v>
      </c>
      <c r="C420" s="2">
        <f>IF(Fandual!B420&lt;&gt;"P",1,0)</f>
        <v>0</v>
      </c>
      <c r="D420" s="2">
        <f t="shared" si="12"/>
        <v>0</v>
      </c>
      <c r="E420" s="2">
        <f>IF(D420=1,Fandual!B420,0)</f>
        <v>0</v>
      </c>
      <c r="F420" s="2">
        <f>IF(D420=1,Fandual!D420,0)</f>
        <v>0</v>
      </c>
      <c r="G420" s="2">
        <f>IF(D420=1,Fandual!F420,0)</f>
        <v>0</v>
      </c>
      <c r="H420" s="2">
        <f>IF(D420=1,Fandual!H420,0)</f>
        <v>0</v>
      </c>
      <c r="I420" s="2">
        <f>IF((Optimizer!$J$8=Fandual!J420),4,0)</f>
        <v>0</v>
      </c>
      <c r="J420" s="2">
        <f>IF((Optimizer!$J$10=Fandual!J420),100,0)</f>
        <v>0</v>
      </c>
      <c r="K420" s="2">
        <f t="shared" si="13"/>
        <v>0</v>
      </c>
      <c r="L420" s="2">
        <f>IF(Fandual!M420="",1,0)</f>
        <v>0</v>
      </c>
    </row>
    <row r="421" spans="1:12" x14ac:dyDescent="0.25">
      <c r="A421" s="2">
        <f>IF((OR(Optimizer!$J$8=Fandual!J421,Optimizer!$J$10=Fandual!J421))=TRUE, 1,0)</f>
        <v>0</v>
      </c>
      <c r="B421" s="2">
        <f>IF((OR(Fandual!O421="",Fandual!O421&lt;&gt;0)=TRUE),1,0)</f>
        <v>1</v>
      </c>
      <c r="C421" s="2">
        <f>IF(Fandual!B421&lt;&gt;"P",1,0)</f>
        <v>0</v>
      </c>
      <c r="D421" s="2">
        <f t="shared" si="12"/>
        <v>0</v>
      </c>
      <c r="E421" s="2">
        <f>IF(D421=1,Fandual!B421,0)</f>
        <v>0</v>
      </c>
      <c r="F421" s="2">
        <f>IF(D421=1,Fandual!D421,0)</f>
        <v>0</v>
      </c>
      <c r="G421" s="2">
        <f>IF(D421=1,Fandual!F421,0)</f>
        <v>0</v>
      </c>
      <c r="H421" s="2">
        <f>IF(D421=1,Fandual!H421,0)</f>
        <v>0</v>
      </c>
      <c r="I421" s="2">
        <f>IF((Optimizer!$J$8=Fandual!J421),4,0)</f>
        <v>0</v>
      </c>
      <c r="J421" s="2">
        <f>IF((Optimizer!$J$10=Fandual!J421),100,0)</f>
        <v>0</v>
      </c>
      <c r="K421" s="2">
        <f t="shared" si="13"/>
        <v>0</v>
      </c>
      <c r="L421" s="2">
        <f>IF(Fandual!M421="",1,0)</f>
        <v>1</v>
      </c>
    </row>
    <row r="422" spans="1:12" x14ac:dyDescent="0.25">
      <c r="A422" s="2">
        <f>IF((OR(Optimizer!$J$8=Fandual!J422,Optimizer!$J$10=Fandual!J422))=TRUE, 1,0)</f>
        <v>0</v>
      </c>
      <c r="B422" s="2">
        <f>IF((OR(Fandual!O422="",Fandual!O422&lt;&gt;0)=TRUE),1,0)</f>
        <v>1</v>
      </c>
      <c r="C422" s="2">
        <f>IF(Fandual!B422&lt;&gt;"P",1,0)</f>
        <v>0</v>
      </c>
      <c r="D422" s="2">
        <f t="shared" si="12"/>
        <v>0</v>
      </c>
      <c r="E422" s="2">
        <f>IF(D422=1,Fandual!B422,0)</f>
        <v>0</v>
      </c>
      <c r="F422" s="2">
        <f>IF(D422=1,Fandual!D422,0)</f>
        <v>0</v>
      </c>
      <c r="G422" s="2">
        <f>IF(D422=1,Fandual!F422,0)</f>
        <v>0</v>
      </c>
      <c r="H422" s="2">
        <f>IF(D422=1,Fandual!H422,0)</f>
        <v>0</v>
      </c>
      <c r="I422" s="2">
        <f>IF((Optimizer!$J$8=Fandual!J422),4,0)</f>
        <v>0</v>
      </c>
      <c r="J422" s="2">
        <f>IF((Optimizer!$J$10=Fandual!J422),100,0)</f>
        <v>0</v>
      </c>
      <c r="K422" s="2">
        <f t="shared" si="13"/>
        <v>0</v>
      </c>
      <c r="L422" s="2">
        <f>IF(Fandual!M422="",1,0)</f>
        <v>1</v>
      </c>
    </row>
    <row r="423" spans="1:12" x14ac:dyDescent="0.25">
      <c r="A423" s="2">
        <f>IF((OR(Optimizer!$J$8=Fandual!J423,Optimizer!$J$10=Fandual!J423))=TRUE, 1,0)</f>
        <v>0</v>
      </c>
      <c r="B423" s="2">
        <f>IF((OR(Fandual!O423="",Fandual!O423&lt;&gt;0)=TRUE),1,0)</f>
        <v>1</v>
      </c>
      <c r="C423" s="2">
        <f>IF(Fandual!B423&lt;&gt;"P",1,0)</f>
        <v>0</v>
      </c>
      <c r="D423" s="2">
        <f t="shared" si="12"/>
        <v>0</v>
      </c>
      <c r="E423" s="2">
        <f>IF(D423=1,Fandual!B423,0)</f>
        <v>0</v>
      </c>
      <c r="F423" s="2">
        <f>IF(D423=1,Fandual!D423,0)</f>
        <v>0</v>
      </c>
      <c r="G423" s="2">
        <f>IF(D423=1,Fandual!F423,0)</f>
        <v>0</v>
      </c>
      <c r="H423" s="2">
        <f>IF(D423=1,Fandual!H423,0)</f>
        <v>0</v>
      </c>
      <c r="I423" s="2">
        <f>IF((Optimizer!$J$8=Fandual!J423),4,0)</f>
        <v>0</v>
      </c>
      <c r="J423" s="2">
        <f>IF((Optimizer!$J$10=Fandual!J423),100,0)</f>
        <v>0</v>
      </c>
      <c r="K423" s="2">
        <f t="shared" si="13"/>
        <v>0</v>
      </c>
      <c r="L423" s="2">
        <f>IF(Fandual!M423="",1,0)</f>
        <v>1</v>
      </c>
    </row>
    <row r="424" spans="1:12" x14ac:dyDescent="0.25">
      <c r="A424" s="2">
        <f>IF((OR(Optimizer!$J$8=Fandual!J424,Optimizer!$J$10=Fandual!J424))=TRUE, 1,0)</f>
        <v>0</v>
      </c>
      <c r="B424" s="2">
        <f>IF((OR(Fandual!O424="",Fandual!O424&lt;&gt;0)=TRUE),1,0)</f>
        <v>1</v>
      </c>
      <c r="C424" s="2">
        <f>IF(Fandual!B424&lt;&gt;"P",1,0)</f>
        <v>0</v>
      </c>
      <c r="D424" s="2">
        <f t="shared" si="12"/>
        <v>0</v>
      </c>
      <c r="E424" s="2">
        <f>IF(D424=1,Fandual!B424,0)</f>
        <v>0</v>
      </c>
      <c r="F424" s="2">
        <f>IF(D424=1,Fandual!D424,0)</f>
        <v>0</v>
      </c>
      <c r="G424" s="2">
        <f>IF(D424=1,Fandual!F424,0)</f>
        <v>0</v>
      </c>
      <c r="H424" s="2">
        <f>IF(D424=1,Fandual!H424,0)</f>
        <v>0</v>
      </c>
      <c r="I424" s="2">
        <f>IF((Optimizer!$J$8=Fandual!J424),4,0)</f>
        <v>0</v>
      </c>
      <c r="J424" s="2">
        <f>IF((Optimizer!$J$10=Fandual!J424),100,0)</f>
        <v>0</v>
      </c>
      <c r="K424" s="2">
        <f t="shared" si="13"/>
        <v>0</v>
      </c>
      <c r="L424" s="2">
        <f>IF(Fandual!M424="",1,0)</f>
        <v>1</v>
      </c>
    </row>
    <row r="425" spans="1:12" x14ac:dyDescent="0.25">
      <c r="A425" s="2">
        <f>IF((OR(Optimizer!$J$8=Fandual!J425,Optimizer!$J$10=Fandual!J425))=TRUE, 1,0)</f>
        <v>0</v>
      </c>
      <c r="B425" s="2">
        <f>IF((OR(Fandual!O425="",Fandual!O425&lt;&gt;0)=TRUE),1,0)</f>
        <v>1</v>
      </c>
      <c r="C425" s="2">
        <f>IF(Fandual!B425&lt;&gt;"P",1,0)</f>
        <v>0</v>
      </c>
      <c r="D425" s="2">
        <f t="shared" si="12"/>
        <v>0</v>
      </c>
      <c r="E425" s="2">
        <f>IF(D425=1,Fandual!B425,0)</f>
        <v>0</v>
      </c>
      <c r="F425" s="2">
        <f>IF(D425=1,Fandual!D425,0)</f>
        <v>0</v>
      </c>
      <c r="G425" s="2">
        <f>IF(D425=1,Fandual!F425,0)</f>
        <v>0</v>
      </c>
      <c r="H425" s="2">
        <f>IF(D425=1,Fandual!H425,0)</f>
        <v>0</v>
      </c>
      <c r="I425" s="2">
        <f>IF((Optimizer!$J$8=Fandual!J425),4,0)</f>
        <v>0</v>
      </c>
      <c r="J425" s="2">
        <f>IF((Optimizer!$J$10=Fandual!J425),100,0)</f>
        <v>0</v>
      </c>
      <c r="K425" s="2">
        <f t="shared" si="13"/>
        <v>0</v>
      </c>
      <c r="L425" s="2">
        <f>IF(Fandual!M425="",1,0)</f>
        <v>1</v>
      </c>
    </row>
    <row r="426" spans="1:12" x14ac:dyDescent="0.25">
      <c r="A426" s="2">
        <f>IF((OR(Optimizer!$J$8=Fandual!J426,Optimizer!$J$10=Fandual!J426))=TRUE, 1,0)</f>
        <v>0</v>
      </c>
      <c r="B426" s="2">
        <f>IF((OR(Fandual!O426="",Fandual!O426&lt;&gt;0)=TRUE),1,0)</f>
        <v>1</v>
      </c>
      <c r="C426" s="2">
        <f>IF(Fandual!B426&lt;&gt;"P",1,0)</f>
        <v>0</v>
      </c>
      <c r="D426" s="2">
        <f t="shared" si="12"/>
        <v>0</v>
      </c>
      <c r="E426" s="2">
        <f>IF(D426=1,Fandual!B426,0)</f>
        <v>0</v>
      </c>
      <c r="F426" s="2">
        <f>IF(D426=1,Fandual!D426,0)</f>
        <v>0</v>
      </c>
      <c r="G426" s="2">
        <f>IF(D426=1,Fandual!F426,0)</f>
        <v>0</v>
      </c>
      <c r="H426" s="2">
        <f>IF(D426=1,Fandual!H426,0)</f>
        <v>0</v>
      </c>
      <c r="I426" s="2">
        <f>IF((Optimizer!$J$8=Fandual!J426),4,0)</f>
        <v>0</v>
      </c>
      <c r="J426" s="2">
        <f>IF((Optimizer!$J$10=Fandual!J426),100,0)</f>
        <v>0</v>
      </c>
      <c r="K426" s="2">
        <f t="shared" si="13"/>
        <v>0</v>
      </c>
      <c r="L426" s="2">
        <f>IF(Fandual!M426="",1,0)</f>
        <v>0</v>
      </c>
    </row>
    <row r="427" spans="1:12" x14ac:dyDescent="0.25">
      <c r="A427" s="2">
        <f>IF((OR(Optimizer!$J$8=Fandual!J427,Optimizer!$J$10=Fandual!J427))=TRUE, 1,0)</f>
        <v>0</v>
      </c>
      <c r="B427" s="2">
        <f>IF((OR(Fandual!O427="",Fandual!O427&lt;&gt;0)=TRUE),1,0)</f>
        <v>1</v>
      </c>
      <c r="C427" s="2">
        <f>IF(Fandual!B427&lt;&gt;"P",1,0)</f>
        <v>0</v>
      </c>
      <c r="D427" s="2">
        <f t="shared" si="12"/>
        <v>0</v>
      </c>
      <c r="E427" s="2">
        <f>IF(D427=1,Fandual!B427,0)</f>
        <v>0</v>
      </c>
      <c r="F427" s="2">
        <f>IF(D427=1,Fandual!D427,0)</f>
        <v>0</v>
      </c>
      <c r="G427" s="2">
        <f>IF(D427=1,Fandual!F427,0)</f>
        <v>0</v>
      </c>
      <c r="H427" s="2">
        <f>IF(D427=1,Fandual!H427,0)</f>
        <v>0</v>
      </c>
      <c r="I427" s="2">
        <f>IF((Optimizer!$J$8=Fandual!J427),4,0)</f>
        <v>0</v>
      </c>
      <c r="J427" s="2">
        <f>IF((Optimizer!$J$10=Fandual!J427),100,0)</f>
        <v>0</v>
      </c>
      <c r="K427" s="2">
        <f t="shared" si="13"/>
        <v>0</v>
      </c>
      <c r="L427" s="2">
        <f>IF(Fandual!M427="",1,0)</f>
        <v>1</v>
      </c>
    </row>
    <row r="428" spans="1:12" x14ac:dyDescent="0.25">
      <c r="A428" s="2">
        <f>IF((OR(Optimizer!$J$8=Fandual!J428,Optimizer!$J$10=Fandual!J428))=TRUE, 1,0)</f>
        <v>0</v>
      </c>
      <c r="B428" s="2">
        <f>IF((OR(Fandual!O428="",Fandual!O428&lt;&gt;0)=TRUE),1,0)</f>
        <v>1</v>
      </c>
      <c r="C428" s="2">
        <f>IF(Fandual!B428&lt;&gt;"P",1,0)</f>
        <v>0</v>
      </c>
      <c r="D428" s="2">
        <f t="shared" si="12"/>
        <v>0</v>
      </c>
      <c r="E428" s="2">
        <f>IF(D428=1,Fandual!B428,0)</f>
        <v>0</v>
      </c>
      <c r="F428" s="2">
        <f>IF(D428=1,Fandual!D428,0)</f>
        <v>0</v>
      </c>
      <c r="G428" s="2">
        <f>IF(D428=1,Fandual!F428,0)</f>
        <v>0</v>
      </c>
      <c r="H428" s="2">
        <f>IF(D428=1,Fandual!H428,0)</f>
        <v>0</v>
      </c>
      <c r="I428" s="2">
        <f>IF((Optimizer!$J$8=Fandual!J428),4,0)</f>
        <v>0</v>
      </c>
      <c r="J428" s="2">
        <f>IF((Optimizer!$J$10=Fandual!J428),100,0)</f>
        <v>0</v>
      </c>
      <c r="K428" s="2">
        <f t="shared" si="13"/>
        <v>0</v>
      </c>
      <c r="L428" s="2">
        <f>IF(Fandual!M428="",1,0)</f>
        <v>1</v>
      </c>
    </row>
    <row r="429" spans="1:12" x14ac:dyDescent="0.25">
      <c r="A429" s="2">
        <f>IF((OR(Optimizer!$J$8=Fandual!J429,Optimizer!$J$10=Fandual!J429))=TRUE, 1,0)</f>
        <v>0</v>
      </c>
      <c r="B429" s="2">
        <f>IF((OR(Fandual!O429="",Fandual!O429&lt;&gt;0)=TRUE),1,0)</f>
        <v>1</v>
      </c>
      <c r="C429" s="2">
        <f>IF(Fandual!B429&lt;&gt;"P",1,0)</f>
        <v>0</v>
      </c>
      <c r="D429" s="2">
        <f t="shared" si="12"/>
        <v>0</v>
      </c>
      <c r="E429" s="2">
        <f>IF(D429=1,Fandual!B429,0)</f>
        <v>0</v>
      </c>
      <c r="F429" s="2">
        <f>IF(D429=1,Fandual!D429,0)</f>
        <v>0</v>
      </c>
      <c r="G429" s="2">
        <f>IF(D429=1,Fandual!F429,0)</f>
        <v>0</v>
      </c>
      <c r="H429" s="2">
        <f>IF(D429=1,Fandual!H429,0)</f>
        <v>0</v>
      </c>
      <c r="I429" s="2">
        <f>IF((Optimizer!$J$8=Fandual!J429),4,0)</f>
        <v>0</v>
      </c>
      <c r="J429" s="2">
        <f>IF((Optimizer!$J$10=Fandual!J429),100,0)</f>
        <v>0</v>
      </c>
      <c r="K429" s="2">
        <f t="shared" si="13"/>
        <v>0</v>
      </c>
      <c r="L429" s="2">
        <f>IF(Fandual!M429="",1,0)</f>
        <v>1</v>
      </c>
    </row>
    <row r="430" spans="1:12" x14ac:dyDescent="0.25">
      <c r="A430" s="2">
        <f>IF((OR(Optimizer!$J$8=Fandual!J430,Optimizer!$J$10=Fandual!J430))=TRUE, 1,0)</f>
        <v>0</v>
      </c>
      <c r="B430" s="2">
        <f>IF((OR(Fandual!O430="",Fandual!O430&lt;&gt;0)=TRUE),1,0)</f>
        <v>1</v>
      </c>
      <c r="C430" s="2">
        <f>IF(Fandual!B430&lt;&gt;"P",1,0)</f>
        <v>0</v>
      </c>
      <c r="D430" s="2">
        <f t="shared" si="12"/>
        <v>0</v>
      </c>
      <c r="E430" s="2">
        <f>IF(D430=1,Fandual!B430,0)</f>
        <v>0</v>
      </c>
      <c r="F430" s="2">
        <f>IF(D430=1,Fandual!D430,0)</f>
        <v>0</v>
      </c>
      <c r="G430" s="2">
        <f>IF(D430=1,Fandual!F430,0)</f>
        <v>0</v>
      </c>
      <c r="H430" s="2">
        <f>IF(D430=1,Fandual!H430,0)</f>
        <v>0</v>
      </c>
      <c r="I430" s="2">
        <f>IF((Optimizer!$J$8=Fandual!J430),4,0)</f>
        <v>0</v>
      </c>
      <c r="J430" s="2">
        <f>IF((Optimizer!$J$10=Fandual!J430),100,0)</f>
        <v>0</v>
      </c>
      <c r="K430" s="2">
        <f t="shared" si="13"/>
        <v>0</v>
      </c>
      <c r="L430" s="2">
        <f>IF(Fandual!M430="",1,0)</f>
        <v>1</v>
      </c>
    </row>
    <row r="431" spans="1:12" x14ac:dyDescent="0.25">
      <c r="A431" s="2">
        <f>IF((OR(Optimizer!$J$8=Fandual!J431,Optimizer!$J$10=Fandual!J431))=TRUE, 1,0)</f>
        <v>0</v>
      </c>
      <c r="B431" s="2">
        <f>IF((OR(Fandual!O431="",Fandual!O431&lt;&gt;0)=TRUE),1,0)</f>
        <v>1</v>
      </c>
      <c r="C431" s="2">
        <f>IF(Fandual!B431&lt;&gt;"P",1,0)</f>
        <v>0</v>
      </c>
      <c r="D431" s="2">
        <f t="shared" si="12"/>
        <v>0</v>
      </c>
      <c r="E431" s="2">
        <f>IF(D431=1,Fandual!B431,0)</f>
        <v>0</v>
      </c>
      <c r="F431" s="2">
        <f>IF(D431=1,Fandual!D431,0)</f>
        <v>0</v>
      </c>
      <c r="G431" s="2">
        <f>IF(D431=1,Fandual!F431,0)</f>
        <v>0</v>
      </c>
      <c r="H431" s="2">
        <f>IF(D431=1,Fandual!H431,0)</f>
        <v>0</v>
      </c>
      <c r="I431" s="2">
        <f>IF((Optimizer!$J$8=Fandual!J431),4,0)</f>
        <v>0</v>
      </c>
      <c r="J431" s="2">
        <f>IF((Optimizer!$J$10=Fandual!J431),100,0)</f>
        <v>0</v>
      </c>
      <c r="K431" s="2">
        <f t="shared" si="13"/>
        <v>0</v>
      </c>
      <c r="L431" s="2">
        <f>IF(Fandual!M431="",1,0)</f>
        <v>1</v>
      </c>
    </row>
    <row r="432" spans="1:12" x14ac:dyDescent="0.25">
      <c r="A432" s="2">
        <f>IF((OR(Optimizer!$J$8=Fandual!J432,Optimizer!$J$10=Fandual!J432))=TRUE, 1,0)</f>
        <v>0</v>
      </c>
      <c r="B432" s="2">
        <f>IF((OR(Fandual!O432="",Fandual!O432&lt;&gt;0)=TRUE),1,0)</f>
        <v>1</v>
      </c>
      <c r="C432" s="2">
        <f>IF(Fandual!B432&lt;&gt;"P",1,0)</f>
        <v>0</v>
      </c>
      <c r="D432" s="2">
        <f t="shared" si="12"/>
        <v>0</v>
      </c>
      <c r="E432" s="2">
        <f>IF(D432=1,Fandual!B432,0)</f>
        <v>0</v>
      </c>
      <c r="F432" s="2">
        <f>IF(D432=1,Fandual!D432,0)</f>
        <v>0</v>
      </c>
      <c r="G432" s="2">
        <f>IF(D432=1,Fandual!F432,0)</f>
        <v>0</v>
      </c>
      <c r="H432" s="2">
        <f>IF(D432=1,Fandual!H432,0)</f>
        <v>0</v>
      </c>
      <c r="I432" s="2">
        <f>IF((Optimizer!$J$8=Fandual!J432),4,0)</f>
        <v>0</v>
      </c>
      <c r="J432" s="2">
        <f>IF((Optimizer!$J$10=Fandual!J432),100,0)</f>
        <v>0</v>
      </c>
      <c r="K432" s="2">
        <f t="shared" si="13"/>
        <v>0</v>
      </c>
      <c r="L432" s="2">
        <f>IF(Fandual!M432="",1,0)</f>
        <v>1</v>
      </c>
    </row>
    <row r="433" spans="1:12" x14ac:dyDescent="0.25">
      <c r="A433" s="2">
        <f>IF((OR(Optimizer!$J$8=Fandual!J433,Optimizer!$J$10=Fandual!J433))=TRUE, 1,0)</f>
        <v>0</v>
      </c>
      <c r="B433" s="2">
        <f>IF((OR(Fandual!O433="",Fandual!O433&lt;&gt;0)=TRUE),1,0)</f>
        <v>1</v>
      </c>
      <c r="C433" s="2">
        <f>IF(Fandual!B433&lt;&gt;"P",1,0)</f>
        <v>0</v>
      </c>
      <c r="D433" s="2">
        <f t="shared" si="12"/>
        <v>0</v>
      </c>
      <c r="E433" s="2">
        <f>IF(D433=1,Fandual!B433,0)</f>
        <v>0</v>
      </c>
      <c r="F433" s="2">
        <f>IF(D433=1,Fandual!D433,0)</f>
        <v>0</v>
      </c>
      <c r="G433" s="2">
        <f>IF(D433=1,Fandual!F433,0)</f>
        <v>0</v>
      </c>
      <c r="H433" s="2">
        <f>IF(D433=1,Fandual!H433,0)</f>
        <v>0</v>
      </c>
      <c r="I433" s="2">
        <f>IF((Optimizer!$J$8=Fandual!J433),4,0)</f>
        <v>0</v>
      </c>
      <c r="J433" s="2">
        <f>IF((Optimizer!$J$10=Fandual!J433),100,0)</f>
        <v>0</v>
      </c>
      <c r="K433" s="2">
        <f t="shared" si="13"/>
        <v>0</v>
      </c>
      <c r="L433" s="2">
        <f>IF(Fandual!M433="",1,0)</f>
        <v>1</v>
      </c>
    </row>
    <row r="434" spans="1:12" x14ac:dyDescent="0.25">
      <c r="A434" s="2">
        <f>IF((OR(Optimizer!$J$8=Fandual!J434,Optimizer!$J$10=Fandual!J434))=TRUE, 1,0)</f>
        <v>1</v>
      </c>
      <c r="B434" s="2">
        <f>IF((OR(Fandual!O434="",Fandual!O434&lt;&gt;0)=TRUE),1,0)</f>
        <v>1</v>
      </c>
      <c r="C434" s="2">
        <f>IF(Fandual!B434&lt;&gt;"P",1,0)</f>
        <v>0</v>
      </c>
      <c r="D434" s="2">
        <f t="shared" si="12"/>
        <v>0</v>
      </c>
      <c r="E434" s="2">
        <f>IF(D434=1,Fandual!B434,0)</f>
        <v>0</v>
      </c>
      <c r="F434" s="2">
        <f>IF(D434=1,Fandual!D434,0)</f>
        <v>0</v>
      </c>
      <c r="G434" s="2">
        <f>IF(D434=1,Fandual!F434,0)</f>
        <v>0</v>
      </c>
      <c r="H434" s="2">
        <f>IF(D434=1,Fandual!H434,0)</f>
        <v>0</v>
      </c>
      <c r="I434" s="2">
        <f>IF((Optimizer!$J$8=Fandual!J434),4,0)</f>
        <v>4</v>
      </c>
      <c r="J434" s="2">
        <f>IF((Optimizer!$J$10=Fandual!J434),100,0)</f>
        <v>0</v>
      </c>
      <c r="K434" s="2">
        <f t="shared" si="13"/>
        <v>0</v>
      </c>
      <c r="L434" s="2">
        <f>IF(Fandual!M434="",1,0)</f>
        <v>1</v>
      </c>
    </row>
    <row r="435" spans="1:12" x14ac:dyDescent="0.25">
      <c r="A435" s="2">
        <f>IF((OR(Optimizer!$J$8=Fandual!J435,Optimizer!$J$10=Fandual!J435))=TRUE, 1,0)</f>
        <v>0</v>
      </c>
      <c r="B435" s="2">
        <f>IF((OR(Fandual!O435="",Fandual!O435&lt;&gt;0)=TRUE),1,0)</f>
        <v>1</v>
      </c>
      <c r="C435" s="2">
        <f>IF(Fandual!B435&lt;&gt;"P",1,0)</f>
        <v>0</v>
      </c>
      <c r="D435" s="2">
        <f t="shared" si="12"/>
        <v>0</v>
      </c>
      <c r="E435" s="2">
        <f>IF(D435=1,Fandual!B435,0)</f>
        <v>0</v>
      </c>
      <c r="F435" s="2">
        <f>IF(D435=1,Fandual!D435,0)</f>
        <v>0</v>
      </c>
      <c r="G435" s="2">
        <f>IF(D435=1,Fandual!F435,0)</f>
        <v>0</v>
      </c>
      <c r="H435" s="2">
        <f>IF(D435=1,Fandual!H435,0)</f>
        <v>0</v>
      </c>
      <c r="I435" s="2">
        <f>IF((Optimizer!$J$8=Fandual!J435),4,0)</f>
        <v>0</v>
      </c>
      <c r="J435" s="2">
        <f>IF((Optimizer!$J$10=Fandual!J435),100,0)</f>
        <v>0</v>
      </c>
      <c r="K435" s="2">
        <f t="shared" si="13"/>
        <v>0</v>
      </c>
      <c r="L435" s="2">
        <f>IF(Fandual!M435="",1,0)</f>
        <v>1</v>
      </c>
    </row>
    <row r="436" spans="1:12" x14ac:dyDescent="0.25">
      <c r="A436" s="2">
        <f>IF((OR(Optimizer!$J$8=Fandual!J436,Optimizer!$J$10=Fandual!J436))=TRUE, 1,0)</f>
        <v>0</v>
      </c>
      <c r="B436" s="2">
        <f>IF((OR(Fandual!O436="",Fandual!O436&lt;&gt;0)=TRUE),1,0)</f>
        <v>1</v>
      </c>
      <c r="C436" s="2">
        <f>IF(Fandual!B436&lt;&gt;"P",1,0)</f>
        <v>0</v>
      </c>
      <c r="D436" s="2">
        <f t="shared" si="12"/>
        <v>0</v>
      </c>
      <c r="E436" s="2">
        <f>IF(D436=1,Fandual!B436,0)</f>
        <v>0</v>
      </c>
      <c r="F436" s="2">
        <f>IF(D436=1,Fandual!D436,0)</f>
        <v>0</v>
      </c>
      <c r="G436" s="2">
        <f>IF(D436=1,Fandual!F436,0)</f>
        <v>0</v>
      </c>
      <c r="H436" s="2">
        <f>IF(D436=1,Fandual!H436,0)</f>
        <v>0</v>
      </c>
      <c r="I436" s="2">
        <f>IF((Optimizer!$J$8=Fandual!J436),4,0)</f>
        <v>0</v>
      </c>
      <c r="J436" s="2">
        <f>IF((Optimizer!$J$10=Fandual!J436),100,0)</f>
        <v>0</v>
      </c>
      <c r="K436" s="2">
        <f t="shared" si="13"/>
        <v>0</v>
      </c>
      <c r="L436" s="2">
        <f>IF(Fandual!M436="",1,0)</f>
        <v>1</v>
      </c>
    </row>
    <row r="437" spans="1:12" x14ac:dyDescent="0.25">
      <c r="A437" s="2">
        <f>IF((OR(Optimizer!$J$8=Fandual!J437,Optimizer!$J$10=Fandual!J437))=TRUE, 1,0)</f>
        <v>0</v>
      </c>
      <c r="B437" s="2">
        <f>IF((OR(Fandual!O437="",Fandual!O437&lt;&gt;0)=TRUE),1,0)</f>
        <v>1</v>
      </c>
      <c r="C437" s="2">
        <f>IF(Fandual!B437&lt;&gt;"P",1,0)</f>
        <v>0</v>
      </c>
      <c r="D437" s="2">
        <f t="shared" si="12"/>
        <v>0</v>
      </c>
      <c r="E437" s="2">
        <f>IF(D437=1,Fandual!B437,0)</f>
        <v>0</v>
      </c>
      <c r="F437" s="2">
        <f>IF(D437=1,Fandual!D437,0)</f>
        <v>0</v>
      </c>
      <c r="G437" s="2">
        <f>IF(D437=1,Fandual!F437,0)</f>
        <v>0</v>
      </c>
      <c r="H437" s="2">
        <f>IF(D437=1,Fandual!H437,0)</f>
        <v>0</v>
      </c>
      <c r="I437" s="2">
        <f>IF((Optimizer!$J$8=Fandual!J437),4,0)</f>
        <v>0</v>
      </c>
      <c r="J437" s="2">
        <f>IF((Optimizer!$J$10=Fandual!J437),100,0)</f>
        <v>0</v>
      </c>
      <c r="K437" s="2">
        <f t="shared" si="13"/>
        <v>0</v>
      </c>
      <c r="L437" s="2">
        <f>IF(Fandual!M437="",1,0)</f>
        <v>1</v>
      </c>
    </row>
    <row r="438" spans="1:12" x14ac:dyDescent="0.25">
      <c r="A438" s="2">
        <f>IF((OR(Optimizer!$J$8=Fandual!J438,Optimizer!$J$10=Fandual!J438))=TRUE, 1,0)</f>
        <v>0</v>
      </c>
      <c r="B438" s="2">
        <f>IF((OR(Fandual!O438="",Fandual!O438&lt;&gt;0)=TRUE),1,0)</f>
        <v>1</v>
      </c>
      <c r="C438" s="2">
        <f>IF(Fandual!B438&lt;&gt;"P",1,0)</f>
        <v>0</v>
      </c>
      <c r="D438" s="2">
        <f t="shared" si="12"/>
        <v>0</v>
      </c>
      <c r="E438" s="2">
        <f>IF(D438=1,Fandual!B438,0)</f>
        <v>0</v>
      </c>
      <c r="F438" s="2">
        <f>IF(D438=1,Fandual!D438,0)</f>
        <v>0</v>
      </c>
      <c r="G438" s="2">
        <f>IF(D438=1,Fandual!F438,0)</f>
        <v>0</v>
      </c>
      <c r="H438" s="2">
        <f>IF(D438=1,Fandual!H438,0)</f>
        <v>0</v>
      </c>
      <c r="I438" s="2">
        <f>IF((Optimizer!$J$8=Fandual!J438),4,0)</f>
        <v>0</v>
      </c>
      <c r="J438" s="2">
        <f>IF((Optimizer!$J$10=Fandual!J438),100,0)</f>
        <v>0</v>
      </c>
      <c r="K438" s="2">
        <f t="shared" si="13"/>
        <v>0</v>
      </c>
      <c r="L438" s="2">
        <f>IF(Fandual!M438="",1,0)</f>
        <v>1</v>
      </c>
    </row>
    <row r="439" spans="1:12" x14ac:dyDescent="0.25">
      <c r="A439" s="2">
        <f>IF((OR(Optimizer!$J$8=Fandual!J439,Optimizer!$J$10=Fandual!J439))=TRUE, 1,0)</f>
        <v>0</v>
      </c>
      <c r="B439" s="2">
        <f>IF((OR(Fandual!O439="",Fandual!O439&lt;&gt;0)=TRUE),1,0)</f>
        <v>1</v>
      </c>
      <c r="C439" s="2">
        <f>IF(Fandual!B439&lt;&gt;"P",1,0)</f>
        <v>0</v>
      </c>
      <c r="D439" s="2">
        <f t="shared" si="12"/>
        <v>0</v>
      </c>
      <c r="E439" s="2">
        <f>IF(D439=1,Fandual!B439,0)</f>
        <v>0</v>
      </c>
      <c r="F439" s="2">
        <f>IF(D439=1,Fandual!D439,0)</f>
        <v>0</v>
      </c>
      <c r="G439" s="2">
        <f>IF(D439=1,Fandual!F439,0)</f>
        <v>0</v>
      </c>
      <c r="H439" s="2">
        <f>IF(D439=1,Fandual!H439,0)</f>
        <v>0</v>
      </c>
      <c r="I439" s="2">
        <f>IF((Optimizer!$J$8=Fandual!J439),4,0)</f>
        <v>0</v>
      </c>
      <c r="J439" s="2">
        <f>IF((Optimizer!$J$10=Fandual!J439),100,0)</f>
        <v>0</v>
      </c>
      <c r="K439" s="2">
        <f t="shared" si="13"/>
        <v>0</v>
      </c>
      <c r="L439" s="2">
        <f>IF(Fandual!M439="",1,0)</f>
        <v>1</v>
      </c>
    </row>
    <row r="440" spans="1:12" x14ac:dyDescent="0.25">
      <c r="A440" s="2">
        <f>IF((OR(Optimizer!$J$8=Fandual!J440,Optimizer!$J$10=Fandual!J440))=TRUE, 1,0)</f>
        <v>0</v>
      </c>
      <c r="B440" s="2">
        <f>IF((OR(Fandual!O440="",Fandual!O440&lt;&gt;0)=TRUE),1,0)</f>
        <v>1</v>
      </c>
      <c r="C440" s="2">
        <f>IF(Fandual!B440&lt;&gt;"P",1,0)</f>
        <v>0</v>
      </c>
      <c r="D440" s="2">
        <f t="shared" si="12"/>
        <v>0</v>
      </c>
      <c r="E440" s="2">
        <f>IF(D440=1,Fandual!B440,0)</f>
        <v>0</v>
      </c>
      <c r="F440" s="2">
        <f>IF(D440=1,Fandual!D440,0)</f>
        <v>0</v>
      </c>
      <c r="G440" s="2">
        <f>IF(D440=1,Fandual!F440,0)</f>
        <v>0</v>
      </c>
      <c r="H440" s="2">
        <f>IF(D440=1,Fandual!H440,0)</f>
        <v>0</v>
      </c>
      <c r="I440" s="2">
        <f>IF((Optimizer!$J$8=Fandual!J440),4,0)</f>
        <v>0</v>
      </c>
      <c r="J440" s="2">
        <f>IF((Optimizer!$J$10=Fandual!J440),100,0)</f>
        <v>0</v>
      </c>
      <c r="K440" s="2">
        <f t="shared" si="13"/>
        <v>0</v>
      </c>
      <c r="L440" s="2">
        <f>IF(Fandual!M440="",1,0)</f>
        <v>1</v>
      </c>
    </row>
    <row r="441" spans="1:12" x14ac:dyDescent="0.25">
      <c r="A441" s="2">
        <f>IF((OR(Optimizer!$J$8=Fandual!J441,Optimizer!$J$10=Fandual!J441))=TRUE, 1,0)</f>
        <v>0</v>
      </c>
      <c r="B441" s="2">
        <f>IF((OR(Fandual!O441="",Fandual!O441&lt;&gt;0)=TRUE),1,0)</f>
        <v>1</v>
      </c>
      <c r="C441" s="2">
        <f>IF(Fandual!B441&lt;&gt;"P",1,0)</f>
        <v>0</v>
      </c>
      <c r="D441" s="2">
        <f t="shared" si="12"/>
        <v>0</v>
      </c>
      <c r="E441" s="2">
        <f>IF(D441=1,Fandual!B441,0)</f>
        <v>0</v>
      </c>
      <c r="F441" s="2">
        <f>IF(D441=1,Fandual!D441,0)</f>
        <v>0</v>
      </c>
      <c r="G441" s="2">
        <f>IF(D441=1,Fandual!F441,0)</f>
        <v>0</v>
      </c>
      <c r="H441" s="2">
        <f>IF(D441=1,Fandual!H441,0)</f>
        <v>0</v>
      </c>
      <c r="I441" s="2">
        <f>IF((Optimizer!$J$8=Fandual!J441),4,0)</f>
        <v>0</v>
      </c>
      <c r="J441" s="2">
        <f>IF((Optimizer!$J$10=Fandual!J441),100,0)</f>
        <v>0</v>
      </c>
      <c r="K441" s="2">
        <f t="shared" si="13"/>
        <v>0</v>
      </c>
      <c r="L441" s="2">
        <f>IF(Fandual!M441="",1,0)</f>
        <v>1</v>
      </c>
    </row>
    <row r="442" spans="1:12" x14ac:dyDescent="0.25">
      <c r="A442" s="2">
        <f>IF((OR(Optimizer!$J$8=Fandual!J442,Optimizer!$J$10=Fandual!J442))=TRUE, 1,0)</f>
        <v>0</v>
      </c>
      <c r="B442" s="2">
        <f>IF((OR(Fandual!O442="",Fandual!O442&lt;&gt;0)=TRUE),1,0)</f>
        <v>1</v>
      </c>
      <c r="C442" s="2">
        <f>IF(Fandual!B442&lt;&gt;"P",1,0)</f>
        <v>0</v>
      </c>
      <c r="D442" s="2">
        <f t="shared" si="12"/>
        <v>0</v>
      </c>
      <c r="E442" s="2">
        <f>IF(D442=1,Fandual!B442,0)</f>
        <v>0</v>
      </c>
      <c r="F442" s="2">
        <f>IF(D442=1,Fandual!D442,0)</f>
        <v>0</v>
      </c>
      <c r="G442" s="2">
        <f>IF(D442=1,Fandual!F442,0)</f>
        <v>0</v>
      </c>
      <c r="H442" s="2">
        <f>IF(D442=1,Fandual!H442,0)</f>
        <v>0</v>
      </c>
      <c r="I442" s="2">
        <f>IF((Optimizer!$J$8=Fandual!J442),4,0)</f>
        <v>0</v>
      </c>
      <c r="J442" s="2">
        <f>IF((Optimizer!$J$10=Fandual!J442),100,0)</f>
        <v>0</v>
      </c>
      <c r="K442" s="2">
        <f t="shared" si="13"/>
        <v>0</v>
      </c>
      <c r="L442" s="2">
        <f>IF(Fandual!M442="",1,0)</f>
        <v>1</v>
      </c>
    </row>
    <row r="443" spans="1:12" x14ac:dyDescent="0.25">
      <c r="A443" s="2">
        <f>IF((OR(Optimizer!$J$8=Fandual!J443,Optimizer!$J$10=Fandual!J443))=TRUE, 1,0)</f>
        <v>0</v>
      </c>
      <c r="B443" s="2">
        <f>IF((OR(Fandual!O443="",Fandual!O443&lt;&gt;0)=TRUE),1,0)</f>
        <v>1</v>
      </c>
      <c r="C443" s="2">
        <f>IF(Fandual!B443&lt;&gt;"P",1,0)</f>
        <v>0</v>
      </c>
      <c r="D443" s="2">
        <f t="shared" si="12"/>
        <v>0</v>
      </c>
      <c r="E443" s="2">
        <f>IF(D443=1,Fandual!B443,0)</f>
        <v>0</v>
      </c>
      <c r="F443" s="2">
        <f>IF(D443=1,Fandual!D443,0)</f>
        <v>0</v>
      </c>
      <c r="G443" s="2">
        <f>IF(D443=1,Fandual!F443,0)</f>
        <v>0</v>
      </c>
      <c r="H443" s="2">
        <f>IF(D443=1,Fandual!H443,0)</f>
        <v>0</v>
      </c>
      <c r="I443" s="2">
        <f>IF((Optimizer!$J$8=Fandual!J443),4,0)</f>
        <v>0</v>
      </c>
      <c r="J443" s="2">
        <f>IF((Optimizer!$J$10=Fandual!J443),100,0)</f>
        <v>0</v>
      </c>
      <c r="K443" s="2">
        <f t="shared" si="13"/>
        <v>0</v>
      </c>
      <c r="L443" s="2">
        <f>IF(Fandual!M443="",1,0)</f>
        <v>1</v>
      </c>
    </row>
    <row r="444" spans="1:12" x14ac:dyDescent="0.25">
      <c r="A444" s="2">
        <f>IF((OR(Optimizer!$J$8=Fandual!J444,Optimizer!$J$10=Fandual!J444))=TRUE, 1,0)</f>
        <v>0</v>
      </c>
      <c r="B444" s="2">
        <f>IF((OR(Fandual!O444="",Fandual!O444&lt;&gt;0)=TRUE),1,0)</f>
        <v>1</v>
      </c>
      <c r="C444" s="2">
        <f>IF(Fandual!B444&lt;&gt;"P",1,0)</f>
        <v>0</v>
      </c>
      <c r="D444" s="2">
        <f t="shared" si="12"/>
        <v>0</v>
      </c>
      <c r="E444" s="2">
        <f>IF(D444=1,Fandual!B444,0)</f>
        <v>0</v>
      </c>
      <c r="F444" s="2">
        <f>IF(D444=1,Fandual!D444,0)</f>
        <v>0</v>
      </c>
      <c r="G444" s="2">
        <f>IF(D444=1,Fandual!F444,0)</f>
        <v>0</v>
      </c>
      <c r="H444" s="2">
        <f>IF(D444=1,Fandual!H444,0)</f>
        <v>0</v>
      </c>
      <c r="I444" s="2">
        <f>IF((Optimizer!$J$8=Fandual!J444),4,0)</f>
        <v>0</v>
      </c>
      <c r="J444" s="2">
        <f>IF((Optimizer!$J$10=Fandual!J444),100,0)</f>
        <v>0</v>
      </c>
      <c r="K444" s="2">
        <f t="shared" si="13"/>
        <v>0</v>
      </c>
      <c r="L444" s="2">
        <f>IF(Fandual!M444="",1,0)</f>
        <v>1</v>
      </c>
    </row>
    <row r="445" spans="1:12" x14ac:dyDescent="0.25">
      <c r="A445" s="2">
        <f>IF((OR(Optimizer!$J$8=Fandual!J445,Optimizer!$J$10=Fandual!J445))=TRUE, 1,0)</f>
        <v>0</v>
      </c>
      <c r="B445" s="2">
        <f>IF((OR(Fandual!O445="",Fandual!O445&lt;&gt;0)=TRUE),1,0)</f>
        <v>1</v>
      </c>
      <c r="C445" s="2">
        <f>IF(Fandual!B445&lt;&gt;"P",1,0)</f>
        <v>0</v>
      </c>
      <c r="D445" s="2">
        <f t="shared" si="12"/>
        <v>0</v>
      </c>
      <c r="E445" s="2">
        <f>IF(D445=1,Fandual!B445,0)</f>
        <v>0</v>
      </c>
      <c r="F445" s="2">
        <f>IF(D445=1,Fandual!D445,0)</f>
        <v>0</v>
      </c>
      <c r="G445" s="2">
        <f>IF(D445=1,Fandual!F445,0)</f>
        <v>0</v>
      </c>
      <c r="H445" s="2">
        <f>IF(D445=1,Fandual!H445,0)</f>
        <v>0</v>
      </c>
      <c r="I445" s="2">
        <f>IF((Optimizer!$J$8=Fandual!J445),4,0)</f>
        <v>0</v>
      </c>
      <c r="J445" s="2">
        <f>IF((Optimizer!$J$10=Fandual!J445),100,0)</f>
        <v>0</v>
      </c>
      <c r="K445" s="2">
        <f t="shared" si="13"/>
        <v>0</v>
      </c>
      <c r="L445" s="2">
        <f>IF(Fandual!M445="",1,0)</f>
        <v>1</v>
      </c>
    </row>
    <row r="446" spans="1:12" x14ac:dyDescent="0.25">
      <c r="A446" s="2">
        <f>IF((OR(Optimizer!$J$8=Fandual!J446,Optimizer!$J$10=Fandual!J446))=TRUE, 1,0)</f>
        <v>0</v>
      </c>
      <c r="B446" s="2">
        <f>IF((OR(Fandual!O446="",Fandual!O446&lt;&gt;0)=TRUE),1,0)</f>
        <v>1</v>
      </c>
      <c r="C446" s="2">
        <f>IF(Fandual!B446&lt;&gt;"P",1,0)</f>
        <v>0</v>
      </c>
      <c r="D446" s="2">
        <f t="shared" si="12"/>
        <v>0</v>
      </c>
      <c r="E446" s="2">
        <f>IF(D446=1,Fandual!B446,0)</f>
        <v>0</v>
      </c>
      <c r="F446" s="2">
        <f>IF(D446=1,Fandual!D446,0)</f>
        <v>0</v>
      </c>
      <c r="G446" s="2">
        <f>IF(D446=1,Fandual!F446,0)</f>
        <v>0</v>
      </c>
      <c r="H446" s="2">
        <f>IF(D446=1,Fandual!H446,0)</f>
        <v>0</v>
      </c>
      <c r="I446" s="2">
        <f>IF((Optimizer!$J$8=Fandual!J446),4,0)</f>
        <v>0</v>
      </c>
      <c r="J446" s="2">
        <f>IF((Optimizer!$J$10=Fandual!J446),100,0)</f>
        <v>0</v>
      </c>
      <c r="K446" s="2">
        <f t="shared" si="13"/>
        <v>0</v>
      </c>
      <c r="L446" s="2">
        <f>IF(Fandual!M446="",1,0)</f>
        <v>1</v>
      </c>
    </row>
    <row r="447" spans="1:12" x14ac:dyDescent="0.25">
      <c r="A447" s="2">
        <f>IF((OR(Optimizer!$J$8=Fandual!J447,Optimizer!$J$10=Fandual!J447))=TRUE, 1,0)</f>
        <v>0</v>
      </c>
      <c r="B447" s="2">
        <f>IF((OR(Fandual!O447="",Fandual!O447&lt;&gt;0)=TRUE),1,0)</f>
        <v>1</v>
      </c>
      <c r="C447" s="2">
        <f>IF(Fandual!B447&lt;&gt;"P",1,0)</f>
        <v>0</v>
      </c>
      <c r="D447" s="2">
        <f t="shared" si="12"/>
        <v>0</v>
      </c>
      <c r="E447" s="2">
        <f>IF(D447=1,Fandual!B447,0)</f>
        <v>0</v>
      </c>
      <c r="F447" s="2">
        <f>IF(D447=1,Fandual!D447,0)</f>
        <v>0</v>
      </c>
      <c r="G447" s="2">
        <f>IF(D447=1,Fandual!F447,0)</f>
        <v>0</v>
      </c>
      <c r="H447" s="2">
        <f>IF(D447=1,Fandual!H447,0)</f>
        <v>0</v>
      </c>
      <c r="I447" s="2">
        <f>IF((Optimizer!$J$8=Fandual!J447),4,0)</f>
        <v>0</v>
      </c>
      <c r="J447" s="2">
        <f>IF((Optimizer!$J$10=Fandual!J447),100,0)</f>
        <v>0</v>
      </c>
      <c r="K447" s="2">
        <f t="shared" si="13"/>
        <v>0</v>
      </c>
      <c r="L447" s="2">
        <f>IF(Fandual!M447="",1,0)</f>
        <v>1</v>
      </c>
    </row>
    <row r="448" spans="1:12" x14ac:dyDescent="0.25">
      <c r="A448" s="2">
        <f>IF((OR(Optimizer!$J$8=Fandual!J448,Optimizer!$J$10=Fandual!J448))=TRUE, 1,0)</f>
        <v>0</v>
      </c>
      <c r="B448" s="2">
        <f>IF((OR(Fandual!O448="",Fandual!O448&lt;&gt;0)=TRUE),1,0)</f>
        <v>1</v>
      </c>
      <c r="C448" s="2">
        <f>IF(Fandual!B448&lt;&gt;"P",1,0)</f>
        <v>0</v>
      </c>
      <c r="D448" s="2">
        <f t="shared" si="12"/>
        <v>0</v>
      </c>
      <c r="E448" s="2">
        <f>IF(D448=1,Fandual!B448,0)</f>
        <v>0</v>
      </c>
      <c r="F448" s="2">
        <f>IF(D448=1,Fandual!D448,0)</f>
        <v>0</v>
      </c>
      <c r="G448" s="2">
        <f>IF(D448=1,Fandual!F448,0)</f>
        <v>0</v>
      </c>
      <c r="H448" s="2">
        <f>IF(D448=1,Fandual!H448,0)</f>
        <v>0</v>
      </c>
      <c r="I448" s="2">
        <f>IF((Optimizer!$J$8=Fandual!J448),4,0)</f>
        <v>0</v>
      </c>
      <c r="J448" s="2">
        <f>IF((Optimizer!$J$10=Fandual!J448),100,0)</f>
        <v>0</v>
      </c>
      <c r="K448" s="2">
        <f t="shared" si="13"/>
        <v>0</v>
      </c>
      <c r="L448" s="2">
        <f>IF(Fandual!M448="",1,0)</f>
        <v>1</v>
      </c>
    </row>
    <row r="449" spans="1:12" x14ac:dyDescent="0.25">
      <c r="A449" s="2">
        <f>IF((OR(Optimizer!$J$8=Fandual!J449,Optimizer!$J$10=Fandual!J449))=TRUE, 1,0)</f>
        <v>0</v>
      </c>
      <c r="B449" s="2">
        <f>IF((OR(Fandual!O449="",Fandual!O449&lt;&gt;0)=TRUE),1,0)</f>
        <v>1</v>
      </c>
      <c r="C449" s="2">
        <f>IF(Fandual!B449&lt;&gt;"P",1,0)</f>
        <v>0</v>
      </c>
      <c r="D449" s="2">
        <f t="shared" si="12"/>
        <v>0</v>
      </c>
      <c r="E449" s="2">
        <f>IF(D449=1,Fandual!B449,0)</f>
        <v>0</v>
      </c>
      <c r="F449" s="2">
        <f>IF(D449=1,Fandual!D449,0)</f>
        <v>0</v>
      </c>
      <c r="G449" s="2">
        <f>IF(D449=1,Fandual!F449,0)</f>
        <v>0</v>
      </c>
      <c r="H449" s="2">
        <f>IF(D449=1,Fandual!H449,0)</f>
        <v>0</v>
      </c>
      <c r="I449" s="2">
        <f>IF((Optimizer!$J$8=Fandual!J449),4,0)</f>
        <v>0</v>
      </c>
      <c r="J449" s="2">
        <f>IF((Optimizer!$J$10=Fandual!J449),100,0)</f>
        <v>0</v>
      </c>
      <c r="K449" s="2">
        <f t="shared" si="13"/>
        <v>0</v>
      </c>
      <c r="L449" s="2">
        <f>IF(Fandual!M449="",1,0)</f>
        <v>1</v>
      </c>
    </row>
    <row r="450" spans="1:12" x14ac:dyDescent="0.25">
      <c r="A450" s="2">
        <f>IF((OR(Optimizer!$J$8=Fandual!J450,Optimizer!$J$10=Fandual!J450))=TRUE, 1,0)</f>
        <v>0</v>
      </c>
      <c r="B450" s="2">
        <f>IF((OR(Fandual!O450="",Fandual!O450&lt;&gt;0)=TRUE),1,0)</f>
        <v>1</v>
      </c>
      <c r="C450" s="2">
        <f>IF(Fandual!B450&lt;&gt;"P",1,0)</f>
        <v>0</v>
      </c>
      <c r="D450" s="2">
        <f t="shared" ref="D450:D513" si="14">A450*B450*C450*L450</f>
        <v>0</v>
      </c>
      <c r="E450" s="2">
        <f>IF(D450=1,Fandual!B450,0)</f>
        <v>0</v>
      </c>
      <c r="F450" s="2">
        <f>IF(D450=1,Fandual!D450,0)</f>
        <v>0</v>
      </c>
      <c r="G450" s="2">
        <f>IF(D450=1,Fandual!F450,0)</f>
        <v>0</v>
      </c>
      <c r="H450" s="2">
        <f>IF(D450=1,Fandual!H450,0)</f>
        <v>0</v>
      </c>
      <c r="I450" s="2">
        <f>IF((Optimizer!$J$8=Fandual!J450),4,0)</f>
        <v>0</v>
      </c>
      <c r="J450" s="2">
        <f>IF((Optimizer!$J$10=Fandual!J450),100,0)</f>
        <v>0</v>
      </c>
      <c r="K450" s="2">
        <f t="shared" si="13"/>
        <v>0</v>
      </c>
      <c r="L450" s="2">
        <f>IF(Fandual!M450="",1,0)</f>
        <v>1</v>
      </c>
    </row>
    <row r="451" spans="1:12" x14ac:dyDescent="0.25">
      <c r="A451" s="2">
        <f>IF((OR(Optimizer!$J$8=Fandual!J451,Optimizer!$J$10=Fandual!J451))=TRUE, 1,0)</f>
        <v>0</v>
      </c>
      <c r="B451" s="2">
        <f>IF((OR(Fandual!O451="",Fandual!O451&lt;&gt;0)=TRUE),1,0)</f>
        <v>1</v>
      </c>
      <c r="C451" s="2">
        <f>IF(Fandual!B451&lt;&gt;"P",1,0)</f>
        <v>0</v>
      </c>
      <c r="D451" s="2">
        <f t="shared" si="14"/>
        <v>0</v>
      </c>
      <c r="E451" s="2">
        <f>IF(D451=1,Fandual!B451,0)</f>
        <v>0</v>
      </c>
      <c r="F451" s="2">
        <f>IF(D451=1,Fandual!D451,0)</f>
        <v>0</v>
      </c>
      <c r="G451" s="2">
        <f>IF(D451=1,Fandual!F451,0)</f>
        <v>0</v>
      </c>
      <c r="H451" s="2">
        <f>IF(D451=1,Fandual!H451,0)</f>
        <v>0</v>
      </c>
      <c r="I451" s="2">
        <f>IF((Optimizer!$J$8=Fandual!J451),4,0)</f>
        <v>0</v>
      </c>
      <c r="J451" s="2">
        <f>IF((Optimizer!$J$10=Fandual!J451),100,0)</f>
        <v>0</v>
      </c>
      <c r="K451" s="2">
        <f t="shared" ref="K451:K514" si="15">(I451+J451)*D451</f>
        <v>0</v>
      </c>
      <c r="L451" s="2">
        <f>IF(Fandual!M451="",1,0)</f>
        <v>1</v>
      </c>
    </row>
    <row r="452" spans="1:12" x14ac:dyDescent="0.25">
      <c r="A452" s="2">
        <f>IF((OR(Optimizer!$J$8=Fandual!J452,Optimizer!$J$10=Fandual!J452))=TRUE, 1,0)</f>
        <v>0</v>
      </c>
      <c r="B452" s="2">
        <f>IF((OR(Fandual!O452="",Fandual!O452&lt;&gt;0)=TRUE),1,0)</f>
        <v>1</v>
      </c>
      <c r="C452" s="2">
        <f>IF(Fandual!B452&lt;&gt;"P",1,0)</f>
        <v>0</v>
      </c>
      <c r="D452" s="2">
        <f t="shared" si="14"/>
        <v>0</v>
      </c>
      <c r="E452" s="2">
        <f>IF(D452=1,Fandual!B452,0)</f>
        <v>0</v>
      </c>
      <c r="F452" s="2">
        <f>IF(D452=1,Fandual!D452,0)</f>
        <v>0</v>
      </c>
      <c r="G452" s="2">
        <f>IF(D452=1,Fandual!F452,0)</f>
        <v>0</v>
      </c>
      <c r="H452" s="2">
        <f>IF(D452=1,Fandual!H452,0)</f>
        <v>0</v>
      </c>
      <c r="I452" s="2">
        <f>IF((Optimizer!$J$8=Fandual!J452),4,0)</f>
        <v>0</v>
      </c>
      <c r="J452" s="2">
        <f>IF((Optimizer!$J$10=Fandual!J452),100,0)</f>
        <v>0</v>
      </c>
      <c r="K452" s="2">
        <f t="shared" si="15"/>
        <v>0</v>
      </c>
      <c r="L452" s="2">
        <f>IF(Fandual!M452="",1,0)</f>
        <v>1</v>
      </c>
    </row>
    <row r="453" spans="1:12" x14ac:dyDescent="0.25">
      <c r="A453" s="2">
        <f>IF((OR(Optimizer!$J$8=Fandual!J453,Optimizer!$J$10=Fandual!J453))=TRUE, 1,0)</f>
        <v>0</v>
      </c>
      <c r="B453" s="2">
        <f>IF((OR(Fandual!O453="",Fandual!O453&lt;&gt;0)=TRUE),1,0)</f>
        <v>1</v>
      </c>
      <c r="C453" s="2">
        <f>IF(Fandual!B453&lt;&gt;"P",1,0)</f>
        <v>0</v>
      </c>
      <c r="D453" s="2">
        <f t="shared" si="14"/>
        <v>0</v>
      </c>
      <c r="E453" s="2">
        <f>IF(D453=1,Fandual!B453,0)</f>
        <v>0</v>
      </c>
      <c r="F453" s="2">
        <f>IF(D453=1,Fandual!D453,0)</f>
        <v>0</v>
      </c>
      <c r="G453" s="2">
        <f>IF(D453=1,Fandual!F453,0)</f>
        <v>0</v>
      </c>
      <c r="H453" s="2">
        <f>IF(D453=1,Fandual!H453,0)</f>
        <v>0</v>
      </c>
      <c r="I453" s="2">
        <f>IF((Optimizer!$J$8=Fandual!J453),4,0)</f>
        <v>0</v>
      </c>
      <c r="J453" s="2">
        <f>IF((Optimizer!$J$10=Fandual!J453),100,0)</f>
        <v>0</v>
      </c>
      <c r="K453" s="2">
        <f t="shared" si="15"/>
        <v>0</v>
      </c>
      <c r="L453" s="2">
        <f>IF(Fandual!M453="",1,0)</f>
        <v>1</v>
      </c>
    </row>
    <row r="454" spans="1:12" x14ac:dyDescent="0.25">
      <c r="A454" s="2">
        <f>IF((OR(Optimizer!$J$8=Fandual!J454,Optimizer!$J$10=Fandual!J454))=TRUE, 1,0)</f>
        <v>0</v>
      </c>
      <c r="B454" s="2">
        <f>IF((OR(Fandual!O454="",Fandual!O454&lt;&gt;0)=TRUE),1,0)</f>
        <v>1</v>
      </c>
      <c r="C454" s="2">
        <f>IF(Fandual!B454&lt;&gt;"P",1,0)</f>
        <v>0</v>
      </c>
      <c r="D454" s="2">
        <f t="shared" si="14"/>
        <v>0</v>
      </c>
      <c r="E454" s="2">
        <f>IF(D454=1,Fandual!B454,0)</f>
        <v>0</v>
      </c>
      <c r="F454" s="2">
        <f>IF(D454=1,Fandual!D454,0)</f>
        <v>0</v>
      </c>
      <c r="G454" s="2">
        <f>IF(D454=1,Fandual!F454,0)</f>
        <v>0</v>
      </c>
      <c r="H454" s="2">
        <f>IF(D454=1,Fandual!H454,0)</f>
        <v>0</v>
      </c>
      <c r="I454" s="2">
        <f>IF((Optimizer!$J$8=Fandual!J454),4,0)</f>
        <v>0</v>
      </c>
      <c r="J454" s="2">
        <f>IF((Optimizer!$J$10=Fandual!J454),100,0)</f>
        <v>0</v>
      </c>
      <c r="K454" s="2">
        <f t="shared" si="15"/>
        <v>0</v>
      </c>
      <c r="L454" s="2">
        <f>IF(Fandual!M454="",1,0)</f>
        <v>1</v>
      </c>
    </row>
    <row r="455" spans="1:12" x14ac:dyDescent="0.25">
      <c r="A455" s="2">
        <f>IF((OR(Optimizer!$J$8=Fandual!J455,Optimizer!$J$10=Fandual!J455))=TRUE, 1,0)</f>
        <v>0</v>
      </c>
      <c r="B455" s="2">
        <f>IF((OR(Fandual!O455="",Fandual!O455&lt;&gt;0)=TRUE),1,0)</f>
        <v>1</v>
      </c>
      <c r="C455" s="2">
        <f>IF(Fandual!B455&lt;&gt;"P",1,0)</f>
        <v>0</v>
      </c>
      <c r="D455" s="2">
        <f t="shared" si="14"/>
        <v>0</v>
      </c>
      <c r="E455" s="2">
        <f>IF(D455=1,Fandual!B455,0)</f>
        <v>0</v>
      </c>
      <c r="F455" s="2">
        <f>IF(D455=1,Fandual!D455,0)</f>
        <v>0</v>
      </c>
      <c r="G455" s="2">
        <f>IF(D455=1,Fandual!F455,0)</f>
        <v>0</v>
      </c>
      <c r="H455" s="2">
        <f>IF(D455=1,Fandual!H455,0)</f>
        <v>0</v>
      </c>
      <c r="I455" s="2">
        <f>IF((Optimizer!$J$8=Fandual!J455),4,0)</f>
        <v>0</v>
      </c>
      <c r="J455" s="2">
        <f>IF((Optimizer!$J$10=Fandual!J455),100,0)</f>
        <v>0</v>
      </c>
      <c r="K455" s="2">
        <f t="shared" si="15"/>
        <v>0</v>
      </c>
      <c r="L455" s="2">
        <f>IF(Fandual!M455="",1,0)</f>
        <v>0</v>
      </c>
    </row>
    <row r="456" spans="1:12" x14ac:dyDescent="0.25">
      <c r="A456" s="2">
        <f>IF((OR(Optimizer!$J$8=Fandual!J456,Optimizer!$J$10=Fandual!J456))=TRUE, 1,0)</f>
        <v>0</v>
      </c>
      <c r="B456" s="2">
        <f>IF((OR(Fandual!O456="",Fandual!O456&lt;&gt;0)=TRUE),1,0)</f>
        <v>1</v>
      </c>
      <c r="C456" s="2">
        <f>IF(Fandual!B456&lt;&gt;"P",1,0)</f>
        <v>0</v>
      </c>
      <c r="D456" s="2">
        <f t="shared" si="14"/>
        <v>0</v>
      </c>
      <c r="E456" s="2">
        <f>IF(D456=1,Fandual!B456,0)</f>
        <v>0</v>
      </c>
      <c r="F456" s="2">
        <f>IF(D456=1,Fandual!D456,0)</f>
        <v>0</v>
      </c>
      <c r="G456" s="2">
        <f>IF(D456=1,Fandual!F456,0)</f>
        <v>0</v>
      </c>
      <c r="H456" s="2">
        <f>IF(D456=1,Fandual!H456,0)</f>
        <v>0</v>
      </c>
      <c r="I456" s="2">
        <f>IF((Optimizer!$J$8=Fandual!J456),4,0)</f>
        <v>0</v>
      </c>
      <c r="J456" s="2">
        <f>IF((Optimizer!$J$10=Fandual!J456),100,0)</f>
        <v>0</v>
      </c>
      <c r="K456" s="2">
        <f t="shared" si="15"/>
        <v>0</v>
      </c>
      <c r="L456" s="2">
        <f>IF(Fandual!M456="",1,0)</f>
        <v>1</v>
      </c>
    </row>
    <row r="457" spans="1:12" x14ac:dyDescent="0.25">
      <c r="A457" s="2">
        <f>IF((OR(Optimizer!$J$8=Fandual!J457,Optimizer!$J$10=Fandual!J457))=TRUE, 1,0)</f>
        <v>0</v>
      </c>
      <c r="B457" s="2">
        <f>IF((OR(Fandual!O457="",Fandual!O457&lt;&gt;0)=TRUE),1,0)</f>
        <v>1</v>
      </c>
      <c r="C457" s="2">
        <f>IF(Fandual!B457&lt;&gt;"P",1,0)</f>
        <v>0</v>
      </c>
      <c r="D457" s="2">
        <f t="shared" si="14"/>
        <v>0</v>
      </c>
      <c r="E457" s="2">
        <f>IF(D457=1,Fandual!B457,0)</f>
        <v>0</v>
      </c>
      <c r="F457" s="2">
        <f>IF(D457=1,Fandual!D457,0)</f>
        <v>0</v>
      </c>
      <c r="G457" s="2">
        <f>IF(D457=1,Fandual!F457,0)</f>
        <v>0</v>
      </c>
      <c r="H457" s="2">
        <f>IF(D457=1,Fandual!H457,0)</f>
        <v>0</v>
      </c>
      <c r="I457" s="2">
        <f>IF((Optimizer!$J$8=Fandual!J457),4,0)</f>
        <v>0</v>
      </c>
      <c r="J457" s="2">
        <f>IF((Optimizer!$J$10=Fandual!J457),100,0)</f>
        <v>0</v>
      </c>
      <c r="K457" s="2">
        <f t="shared" si="15"/>
        <v>0</v>
      </c>
      <c r="L457" s="2">
        <f>IF(Fandual!M457="",1,0)</f>
        <v>1</v>
      </c>
    </row>
    <row r="458" spans="1:12" x14ac:dyDescent="0.25">
      <c r="A458" s="2">
        <f>IF((OR(Optimizer!$J$8=Fandual!J458,Optimizer!$J$10=Fandual!J458))=TRUE, 1,0)</f>
        <v>0</v>
      </c>
      <c r="B458" s="2">
        <f>IF((OR(Fandual!O458="",Fandual!O458&lt;&gt;0)=TRUE),1,0)</f>
        <v>1</v>
      </c>
      <c r="C458" s="2">
        <f>IF(Fandual!B458&lt;&gt;"P",1,0)</f>
        <v>0</v>
      </c>
      <c r="D458" s="2">
        <f t="shared" si="14"/>
        <v>0</v>
      </c>
      <c r="E458" s="2">
        <f>IF(D458=1,Fandual!B458,0)</f>
        <v>0</v>
      </c>
      <c r="F458" s="2">
        <f>IF(D458=1,Fandual!D458,0)</f>
        <v>0</v>
      </c>
      <c r="G458" s="2">
        <f>IF(D458=1,Fandual!F458,0)</f>
        <v>0</v>
      </c>
      <c r="H458" s="2">
        <f>IF(D458=1,Fandual!H458,0)</f>
        <v>0</v>
      </c>
      <c r="I458" s="2">
        <f>IF((Optimizer!$J$8=Fandual!J458),4,0)</f>
        <v>0</v>
      </c>
      <c r="J458" s="2">
        <f>IF((Optimizer!$J$10=Fandual!J458),100,0)</f>
        <v>0</v>
      </c>
      <c r="K458" s="2">
        <f t="shared" si="15"/>
        <v>0</v>
      </c>
      <c r="L458" s="2">
        <f>IF(Fandual!M458="",1,0)</f>
        <v>0</v>
      </c>
    </row>
    <row r="459" spans="1:12" x14ac:dyDescent="0.25">
      <c r="A459" s="2">
        <f>IF((OR(Optimizer!$J$8=Fandual!J459,Optimizer!$J$10=Fandual!J459))=TRUE, 1,0)</f>
        <v>0</v>
      </c>
      <c r="B459" s="2">
        <f>IF((OR(Fandual!O459="",Fandual!O459&lt;&gt;0)=TRUE),1,0)</f>
        <v>1</v>
      </c>
      <c r="C459" s="2">
        <f>IF(Fandual!B459&lt;&gt;"P",1,0)</f>
        <v>0</v>
      </c>
      <c r="D459" s="2">
        <f t="shared" si="14"/>
        <v>0</v>
      </c>
      <c r="E459" s="2">
        <f>IF(D459=1,Fandual!B459,0)</f>
        <v>0</v>
      </c>
      <c r="F459" s="2">
        <f>IF(D459=1,Fandual!D459,0)</f>
        <v>0</v>
      </c>
      <c r="G459" s="2">
        <f>IF(D459=1,Fandual!F459,0)</f>
        <v>0</v>
      </c>
      <c r="H459" s="2">
        <f>IF(D459=1,Fandual!H459,0)</f>
        <v>0</v>
      </c>
      <c r="I459" s="2">
        <f>IF((Optimizer!$J$8=Fandual!J459),4,0)</f>
        <v>0</v>
      </c>
      <c r="J459" s="2">
        <f>IF((Optimizer!$J$10=Fandual!J459),100,0)</f>
        <v>0</v>
      </c>
      <c r="K459" s="2">
        <f t="shared" si="15"/>
        <v>0</v>
      </c>
      <c r="L459" s="2">
        <f>IF(Fandual!M459="",1,0)</f>
        <v>1</v>
      </c>
    </row>
    <row r="460" spans="1:12" x14ac:dyDescent="0.25">
      <c r="A460" s="2">
        <f>IF((OR(Optimizer!$J$8=Fandual!J460,Optimizer!$J$10=Fandual!J460))=TRUE, 1,0)</f>
        <v>0</v>
      </c>
      <c r="B460" s="2">
        <f>IF((OR(Fandual!O460="",Fandual!O460&lt;&gt;0)=TRUE),1,0)</f>
        <v>1</v>
      </c>
      <c r="C460" s="2">
        <f>IF(Fandual!B460&lt;&gt;"P",1,0)</f>
        <v>0</v>
      </c>
      <c r="D460" s="2">
        <f t="shared" si="14"/>
        <v>0</v>
      </c>
      <c r="E460" s="2">
        <f>IF(D460=1,Fandual!B460,0)</f>
        <v>0</v>
      </c>
      <c r="F460" s="2">
        <f>IF(D460=1,Fandual!D460,0)</f>
        <v>0</v>
      </c>
      <c r="G460" s="2">
        <f>IF(D460=1,Fandual!F460,0)</f>
        <v>0</v>
      </c>
      <c r="H460" s="2">
        <f>IF(D460=1,Fandual!H460,0)</f>
        <v>0</v>
      </c>
      <c r="I460" s="2">
        <f>IF((Optimizer!$J$8=Fandual!J460),4,0)</f>
        <v>0</v>
      </c>
      <c r="J460" s="2">
        <f>IF((Optimizer!$J$10=Fandual!J460),100,0)</f>
        <v>0</v>
      </c>
      <c r="K460" s="2">
        <f t="shared" si="15"/>
        <v>0</v>
      </c>
      <c r="L460" s="2">
        <f>IF(Fandual!M460="",1,0)</f>
        <v>0</v>
      </c>
    </row>
    <row r="461" spans="1:12" x14ac:dyDescent="0.25">
      <c r="A461" s="2">
        <f>IF((OR(Optimizer!$J$8=Fandual!J461,Optimizer!$J$10=Fandual!J461))=TRUE, 1,0)</f>
        <v>0</v>
      </c>
      <c r="B461" s="2">
        <f>IF((OR(Fandual!O461="",Fandual!O461&lt;&gt;0)=TRUE),1,0)</f>
        <v>1</v>
      </c>
      <c r="C461" s="2">
        <f>IF(Fandual!B461&lt;&gt;"P",1,0)</f>
        <v>0</v>
      </c>
      <c r="D461" s="2">
        <f t="shared" si="14"/>
        <v>0</v>
      </c>
      <c r="E461" s="2">
        <f>IF(D461=1,Fandual!B461,0)</f>
        <v>0</v>
      </c>
      <c r="F461" s="2">
        <f>IF(D461=1,Fandual!D461,0)</f>
        <v>0</v>
      </c>
      <c r="G461" s="2">
        <f>IF(D461=1,Fandual!F461,0)</f>
        <v>0</v>
      </c>
      <c r="H461" s="2">
        <f>IF(D461=1,Fandual!H461,0)</f>
        <v>0</v>
      </c>
      <c r="I461" s="2">
        <f>IF((Optimizer!$J$8=Fandual!J461),4,0)</f>
        <v>0</v>
      </c>
      <c r="J461" s="2">
        <f>IF((Optimizer!$J$10=Fandual!J461),100,0)</f>
        <v>0</v>
      </c>
      <c r="K461" s="2">
        <f t="shared" si="15"/>
        <v>0</v>
      </c>
      <c r="L461" s="2">
        <f>IF(Fandual!M461="",1,0)</f>
        <v>1</v>
      </c>
    </row>
    <row r="462" spans="1:12" x14ac:dyDescent="0.25">
      <c r="A462" s="2">
        <f>IF((OR(Optimizer!$J$8=Fandual!J462,Optimizer!$J$10=Fandual!J462))=TRUE, 1,0)</f>
        <v>0</v>
      </c>
      <c r="B462" s="2">
        <f>IF((OR(Fandual!O462="",Fandual!O462&lt;&gt;0)=TRUE),1,0)</f>
        <v>1</v>
      </c>
      <c r="C462" s="2">
        <f>IF(Fandual!B462&lt;&gt;"P",1,0)</f>
        <v>0</v>
      </c>
      <c r="D462" s="2">
        <f t="shared" si="14"/>
        <v>0</v>
      </c>
      <c r="E462" s="2">
        <f>IF(D462=1,Fandual!B462,0)</f>
        <v>0</v>
      </c>
      <c r="F462" s="2">
        <f>IF(D462=1,Fandual!D462,0)</f>
        <v>0</v>
      </c>
      <c r="G462" s="2">
        <f>IF(D462=1,Fandual!F462,0)</f>
        <v>0</v>
      </c>
      <c r="H462" s="2">
        <f>IF(D462=1,Fandual!H462,0)</f>
        <v>0</v>
      </c>
      <c r="I462" s="2">
        <f>IF((Optimizer!$J$8=Fandual!J462),4,0)</f>
        <v>0</v>
      </c>
      <c r="J462" s="2">
        <f>IF((Optimizer!$J$10=Fandual!J462),100,0)</f>
        <v>0</v>
      </c>
      <c r="K462" s="2">
        <f t="shared" si="15"/>
        <v>0</v>
      </c>
      <c r="L462" s="2">
        <f>IF(Fandual!M462="",1,0)</f>
        <v>1</v>
      </c>
    </row>
    <row r="463" spans="1:12" x14ac:dyDescent="0.25">
      <c r="A463" s="2">
        <f>IF((OR(Optimizer!$J$8=Fandual!J463,Optimizer!$J$10=Fandual!J463))=TRUE, 1,0)</f>
        <v>0</v>
      </c>
      <c r="B463" s="2">
        <f>IF((OR(Fandual!O463="",Fandual!O463&lt;&gt;0)=TRUE),1,0)</f>
        <v>1</v>
      </c>
      <c r="C463" s="2">
        <f>IF(Fandual!B463&lt;&gt;"P",1,0)</f>
        <v>0</v>
      </c>
      <c r="D463" s="2">
        <f t="shared" si="14"/>
        <v>0</v>
      </c>
      <c r="E463" s="2">
        <f>IF(D463=1,Fandual!B463,0)</f>
        <v>0</v>
      </c>
      <c r="F463" s="2">
        <f>IF(D463=1,Fandual!D463,0)</f>
        <v>0</v>
      </c>
      <c r="G463" s="2">
        <f>IF(D463=1,Fandual!F463,0)</f>
        <v>0</v>
      </c>
      <c r="H463" s="2">
        <f>IF(D463=1,Fandual!H463,0)</f>
        <v>0</v>
      </c>
      <c r="I463" s="2">
        <f>IF((Optimizer!$J$8=Fandual!J463),4,0)</f>
        <v>0</v>
      </c>
      <c r="J463" s="2">
        <f>IF((Optimizer!$J$10=Fandual!J463),100,0)</f>
        <v>0</v>
      </c>
      <c r="K463" s="2">
        <f t="shared" si="15"/>
        <v>0</v>
      </c>
      <c r="L463" s="2">
        <f>IF(Fandual!M463="",1,0)</f>
        <v>1</v>
      </c>
    </row>
    <row r="464" spans="1:12" x14ac:dyDescent="0.25">
      <c r="A464" s="2">
        <f>IF((OR(Optimizer!$J$8=Fandual!J464,Optimizer!$J$10=Fandual!J464))=TRUE, 1,0)</f>
        <v>0</v>
      </c>
      <c r="B464" s="2">
        <f>IF((OR(Fandual!O464="",Fandual!O464&lt;&gt;0)=TRUE),1,0)</f>
        <v>1</v>
      </c>
      <c r="C464" s="2">
        <f>IF(Fandual!B464&lt;&gt;"P",1,0)</f>
        <v>0</v>
      </c>
      <c r="D464" s="2">
        <f t="shared" si="14"/>
        <v>0</v>
      </c>
      <c r="E464" s="2">
        <f>IF(D464=1,Fandual!B464,0)</f>
        <v>0</v>
      </c>
      <c r="F464" s="2">
        <f>IF(D464=1,Fandual!D464,0)</f>
        <v>0</v>
      </c>
      <c r="G464" s="2">
        <f>IF(D464=1,Fandual!F464,0)</f>
        <v>0</v>
      </c>
      <c r="H464" s="2">
        <f>IF(D464=1,Fandual!H464,0)</f>
        <v>0</v>
      </c>
      <c r="I464" s="2">
        <f>IF((Optimizer!$J$8=Fandual!J464),4,0)</f>
        <v>0</v>
      </c>
      <c r="J464" s="2">
        <f>IF((Optimizer!$J$10=Fandual!J464),100,0)</f>
        <v>0</v>
      </c>
      <c r="K464" s="2">
        <f t="shared" si="15"/>
        <v>0</v>
      </c>
      <c r="L464" s="2">
        <f>IF(Fandual!M464="",1,0)</f>
        <v>1</v>
      </c>
    </row>
    <row r="465" spans="1:12" x14ac:dyDescent="0.25">
      <c r="A465" s="2">
        <f>IF((OR(Optimizer!$J$8=Fandual!J465,Optimizer!$J$10=Fandual!J465))=TRUE, 1,0)</f>
        <v>0</v>
      </c>
      <c r="B465" s="2">
        <f>IF((OR(Fandual!O465="",Fandual!O465&lt;&gt;0)=TRUE),1,0)</f>
        <v>1</v>
      </c>
      <c r="C465" s="2">
        <f>IF(Fandual!B465&lt;&gt;"P",1,0)</f>
        <v>0</v>
      </c>
      <c r="D465" s="2">
        <f t="shared" si="14"/>
        <v>0</v>
      </c>
      <c r="E465" s="2">
        <f>IF(D465=1,Fandual!B465,0)</f>
        <v>0</v>
      </c>
      <c r="F465" s="2">
        <f>IF(D465=1,Fandual!D465,0)</f>
        <v>0</v>
      </c>
      <c r="G465" s="2">
        <f>IF(D465=1,Fandual!F465,0)</f>
        <v>0</v>
      </c>
      <c r="H465" s="2">
        <f>IF(D465=1,Fandual!H465,0)</f>
        <v>0</v>
      </c>
      <c r="I465" s="2">
        <f>IF((Optimizer!$J$8=Fandual!J465),4,0)</f>
        <v>0</v>
      </c>
      <c r="J465" s="2">
        <f>IF((Optimizer!$J$10=Fandual!J465),100,0)</f>
        <v>0</v>
      </c>
      <c r="K465" s="2">
        <f t="shared" si="15"/>
        <v>0</v>
      </c>
      <c r="L465" s="2">
        <f>IF(Fandual!M465="",1,0)</f>
        <v>1</v>
      </c>
    </row>
    <row r="466" spans="1:12" x14ac:dyDescent="0.25">
      <c r="A466" s="2">
        <f>IF((OR(Optimizer!$J$8=Fandual!J466,Optimizer!$J$10=Fandual!J466))=TRUE, 1,0)</f>
        <v>0</v>
      </c>
      <c r="B466" s="2">
        <f>IF((OR(Fandual!O466="",Fandual!O466&lt;&gt;0)=TRUE),1,0)</f>
        <v>1</v>
      </c>
      <c r="C466" s="2">
        <f>IF(Fandual!B466&lt;&gt;"P",1,0)</f>
        <v>0</v>
      </c>
      <c r="D466" s="2">
        <f t="shared" si="14"/>
        <v>0</v>
      </c>
      <c r="E466" s="2">
        <f>IF(D466=1,Fandual!B466,0)</f>
        <v>0</v>
      </c>
      <c r="F466" s="2">
        <f>IF(D466=1,Fandual!D466,0)</f>
        <v>0</v>
      </c>
      <c r="G466" s="2">
        <f>IF(D466=1,Fandual!F466,0)</f>
        <v>0</v>
      </c>
      <c r="H466" s="2">
        <f>IF(D466=1,Fandual!H466,0)</f>
        <v>0</v>
      </c>
      <c r="I466" s="2">
        <f>IF((Optimizer!$J$8=Fandual!J466),4,0)</f>
        <v>0</v>
      </c>
      <c r="J466" s="2">
        <f>IF((Optimizer!$J$10=Fandual!J466),100,0)</f>
        <v>0</v>
      </c>
      <c r="K466" s="2">
        <f t="shared" si="15"/>
        <v>0</v>
      </c>
      <c r="L466" s="2">
        <f>IF(Fandual!M466="",1,0)</f>
        <v>1</v>
      </c>
    </row>
    <row r="467" spans="1:12" x14ac:dyDescent="0.25">
      <c r="A467" s="2">
        <f>IF((OR(Optimizer!$J$8=Fandual!J467,Optimizer!$J$10=Fandual!J467))=TRUE, 1,0)</f>
        <v>0</v>
      </c>
      <c r="B467" s="2">
        <f>IF((OR(Fandual!O467="",Fandual!O467&lt;&gt;0)=TRUE),1,0)</f>
        <v>1</v>
      </c>
      <c r="C467" s="2">
        <f>IF(Fandual!B467&lt;&gt;"P",1,0)</f>
        <v>0</v>
      </c>
      <c r="D467" s="2">
        <f t="shared" si="14"/>
        <v>0</v>
      </c>
      <c r="E467" s="2">
        <f>IF(D467=1,Fandual!B467,0)</f>
        <v>0</v>
      </c>
      <c r="F467" s="2">
        <f>IF(D467=1,Fandual!D467,0)</f>
        <v>0</v>
      </c>
      <c r="G467" s="2">
        <f>IF(D467=1,Fandual!F467,0)</f>
        <v>0</v>
      </c>
      <c r="H467" s="2">
        <f>IF(D467=1,Fandual!H467,0)</f>
        <v>0</v>
      </c>
      <c r="I467" s="2">
        <f>IF((Optimizer!$J$8=Fandual!J467),4,0)</f>
        <v>0</v>
      </c>
      <c r="J467" s="2">
        <f>IF((Optimizer!$J$10=Fandual!J467),100,0)</f>
        <v>0</v>
      </c>
      <c r="K467" s="2">
        <f t="shared" si="15"/>
        <v>0</v>
      </c>
      <c r="L467" s="2">
        <f>IF(Fandual!M467="",1,0)</f>
        <v>1</v>
      </c>
    </row>
    <row r="468" spans="1:12" x14ac:dyDescent="0.25">
      <c r="A468" s="2">
        <f>IF((OR(Optimizer!$J$8=Fandual!J468,Optimizer!$J$10=Fandual!J468))=TRUE, 1,0)</f>
        <v>0</v>
      </c>
      <c r="B468" s="2">
        <f>IF((OR(Fandual!O468="",Fandual!O468&lt;&gt;0)=TRUE),1,0)</f>
        <v>1</v>
      </c>
      <c r="C468" s="2">
        <f>IF(Fandual!B468&lt;&gt;"P",1,0)</f>
        <v>0</v>
      </c>
      <c r="D468" s="2">
        <f t="shared" si="14"/>
        <v>0</v>
      </c>
      <c r="E468" s="2">
        <f>IF(D468=1,Fandual!B468,0)</f>
        <v>0</v>
      </c>
      <c r="F468" s="2">
        <f>IF(D468=1,Fandual!D468,0)</f>
        <v>0</v>
      </c>
      <c r="G468" s="2">
        <f>IF(D468=1,Fandual!F468,0)</f>
        <v>0</v>
      </c>
      <c r="H468" s="2">
        <f>IF(D468=1,Fandual!H468,0)</f>
        <v>0</v>
      </c>
      <c r="I468" s="2">
        <f>IF((Optimizer!$J$8=Fandual!J468),4,0)</f>
        <v>0</v>
      </c>
      <c r="J468" s="2">
        <f>IF((Optimizer!$J$10=Fandual!J468),100,0)</f>
        <v>0</v>
      </c>
      <c r="K468" s="2">
        <f t="shared" si="15"/>
        <v>0</v>
      </c>
      <c r="L468" s="2">
        <f>IF(Fandual!M468="",1,0)</f>
        <v>1</v>
      </c>
    </row>
    <row r="469" spans="1:12" x14ac:dyDescent="0.25">
      <c r="A469" s="2">
        <f>IF((OR(Optimizer!$J$8=Fandual!J469,Optimizer!$J$10=Fandual!J469))=TRUE, 1,0)</f>
        <v>0</v>
      </c>
      <c r="B469" s="2">
        <f>IF((OR(Fandual!O469="",Fandual!O469&lt;&gt;0)=TRUE),1,0)</f>
        <v>1</v>
      </c>
      <c r="C469" s="2">
        <f>IF(Fandual!B469&lt;&gt;"P",1,0)</f>
        <v>0</v>
      </c>
      <c r="D469" s="2">
        <f t="shared" si="14"/>
        <v>0</v>
      </c>
      <c r="E469" s="2">
        <f>IF(D469=1,Fandual!B469,0)</f>
        <v>0</v>
      </c>
      <c r="F469" s="2">
        <f>IF(D469=1,Fandual!D469,0)</f>
        <v>0</v>
      </c>
      <c r="G469" s="2">
        <f>IF(D469=1,Fandual!F469,0)</f>
        <v>0</v>
      </c>
      <c r="H469" s="2">
        <f>IF(D469=1,Fandual!H469,0)</f>
        <v>0</v>
      </c>
      <c r="I469" s="2">
        <f>IF((Optimizer!$J$8=Fandual!J469),4,0)</f>
        <v>0</v>
      </c>
      <c r="J469" s="2">
        <f>IF((Optimizer!$J$10=Fandual!J469),100,0)</f>
        <v>0</v>
      </c>
      <c r="K469" s="2">
        <f t="shared" si="15"/>
        <v>0</v>
      </c>
      <c r="L469" s="2">
        <f>IF(Fandual!M469="",1,0)</f>
        <v>1</v>
      </c>
    </row>
    <row r="470" spans="1:12" x14ac:dyDescent="0.25">
      <c r="A470" s="2">
        <f>IF((OR(Optimizer!$J$8=Fandual!J470,Optimizer!$J$10=Fandual!J470))=TRUE, 1,0)</f>
        <v>0</v>
      </c>
      <c r="B470" s="2">
        <f>IF((OR(Fandual!O470="",Fandual!O470&lt;&gt;0)=TRUE),1,0)</f>
        <v>1</v>
      </c>
      <c r="C470" s="2">
        <f>IF(Fandual!B470&lt;&gt;"P",1,0)</f>
        <v>0</v>
      </c>
      <c r="D470" s="2">
        <f t="shared" si="14"/>
        <v>0</v>
      </c>
      <c r="E470" s="2">
        <f>IF(D470=1,Fandual!B470,0)</f>
        <v>0</v>
      </c>
      <c r="F470" s="2">
        <f>IF(D470=1,Fandual!D470,0)</f>
        <v>0</v>
      </c>
      <c r="G470" s="2">
        <f>IF(D470=1,Fandual!F470,0)</f>
        <v>0</v>
      </c>
      <c r="H470" s="2">
        <f>IF(D470=1,Fandual!H470,0)</f>
        <v>0</v>
      </c>
      <c r="I470" s="2">
        <f>IF((Optimizer!$J$8=Fandual!J470),4,0)</f>
        <v>0</v>
      </c>
      <c r="J470" s="2">
        <f>IF((Optimizer!$J$10=Fandual!J470),100,0)</f>
        <v>0</v>
      </c>
      <c r="K470" s="2">
        <f t="shared" si="15"/>
        <v>0</v>
      </c>
      <c r="L470" s="2">
        <f>IF(Fandual!M470="",1,0)</f>
        <v>1</v>
      </c>
    </row>
    <row r="471" spans="1:12" x14ac:dyDescent="0.25">
      <c r="A471" s="2">
        <f>IF((OR(Optimizer!$J$8=Fandual!J471,Optimizer!$J$10=Fandual!J471))=TRUE, 1,0)</f>
        <v>0</v>
      </c>
      <c r="B471" s="2">
        <f>IF((OR(Fandual!O471="",Fandual!O471&lt;&gt;0)=TRUE),1,0)</f>
        <v>1</v>
      </c>
      <c r="C471" s="2">
        <f>IF(Fandual!B471&lt;&gt;"P",1,0)</f>
        <v>0</v>
      </c>
      <c r="D471" s="2">
        <f t="shared" si="14"/>
        <v>0</v>
      </c>
      <c r="E471" s="2">
        <f>IF(D471=1,Fandual!B471,0)</f>
        <v>0</v>
      </c>
      <c r="F471" s="2">
        <f>IF(D471=1,Fandual!D471,0)</f>
        <v>0</v>
      </c>
      <c r="G471" s="2">
        <f>IF(D471=1,Fandual!F471,0)</f>
        <v>0</v>
      </c>
      <c r="H471" s="2">
        <f>IF(D471=1,Fandual!H471,0)</f>
        <v>0</v>
      </c>
      <c r="I471" s="2">
        <f>IF((Optimizer!$J$8=Fandual!J471),4,0)</f>
        <v>0</v>
      </c>
      <c r="J471" s="2">
        <f>IF((Optimizer!$J$10=Fandual!J471),100,0)</f>
        <v>0</v>
      </c>
      <c r="K471" s="2">
        <f t="shared" si="15"/>
        <v>0</v>
      </c>
      <c r="L471" s="2">
        <f>IF(Fandual!M471="",1,0)</f>
        <v>1</v>
      </c>
    </row>
    <row r="472" spans="1:12" x14ac:dyDescent="0.25">
      <c r="A472" s="2">
        <f>IF((OR(Optimizer!$J$8=Fandual!J472,Optimizer!$J$10=Fandual!J472))=TRUE, 1,0)</f>
        <v>0</v>
      </c>
      <c r="B472" s="2">
        <f>IF((OR(Fandual!O472="",Fandual!O472&lt;&gt;0)=TRUE),1,0)</f>
        <v>1</v>
      </c>
      <c r="C472" s="2">
        <f>IF(Fandual!B472&lt;&gt;"P",1,0)</f>
        <v>0</v>
      </c>
      <c r="D472" s="2">
        <f t="shared" si="14"/>
        <v>0</v>
      </c>
      <c r="E472" s="2">
        <f>IF(D472=1,Fandual!B472,0)</f>
        <v>0</v>
      </c>
      <c r="F472" s="2">
        <f>IF(D472=1,Fandual!D472,0)</f>
        <v>0</v>
      </c>
      <c r="G472" s="2">
        <f>IF(D472=1,Fandual!F472,0)</f>
        <v>0</v>
      </c>
      <c r="H472" s="2">
        <f>IF(D472=1,Fandual!H472,0)</f>
        <v>0</v>
      </c>
      <c r="I472" s="2">
        <f>IF((Optimizer!$J$8=Fandual!J472),4,0)</f>
        <v>0</v>
      </c>
      <c r="J472" s="2">
        <f>IF((Optimizer!$J$10=Fandual!J472),100,0)</f>
        <v>0</v>
      </c>
      <c r="K472" s="2">
        <f t="shared" si="15"/>
        <v>0</v>
      </c>
      <c r="L472" s="2">
        <f>IF(Fandual!M472="",1,0)</f>
        <v>1</v>
      </c>
    </row>
    <row r="473" spans="1:12" x14ac:dyDescent="0.25">
      <c r="A473" s="2">
        <f>IF((OR(Optimizer!$J$8=Fandual!J473,Optimizer!$J$10=Fandual!J473))=TRUE, 1,0)</f>
        <v>1</v>
      </c>
      <c r="B473" s="2">
        <f>IF((OR(Fandual!O473="",Fandual!O473&lt;&gt;0)=TRUE),1,0)</f>
        <v>1</v>
      </c>
      <c r="C473" s="2">
        <f>IF(Fandual!B473&lt;&gt;"P",1,0)</f>
        <v>0</v>
      </c>
      <c r="D473" s="2">
        <f t="shared" si="14"/>
        <v>0</v>
      </c>
      <c r="E473" s="2">
        <f>IF(D473=1,Fandual!B473,0)</f>
        <v>0</v>
      </c>
      <c r="F473" s="2">
        <f>IF(D473=1,Fandual!D473,0)</f>
        <v>0</v>
      </c>
      <c r="G473" s="2">
        <f>IF(D473=1,Fandual!F473,0)</f>
        <v>0</v>
      </c>
      <c r="H473" s="2">
        <f>IF(D473=1,Fandual!H473,0)</f>
        <v>0</v>
      </c>
      <c r="I473" s="2">
        <f>IF((Optimizer!$J$8=Fandual!J473),4,0)</f>
        <v>0</v>
      </c>
      <c r="J473" s="2">
        <f>IF((Optimizer!$J$10=Fandual!J473),100,0)</f>
        <v>100</v>
      </c>
      <c r="K473" s="2">
        <f t="shared" si="15"/>
        <v>0</v>
      </c>
      <c r="L473" s="2">
        <f>IF(Fandual!M473="",1,0)</f>
        <v>1</v>
      </c>
    </row>
    <row r="474" spans="1:12" x14ac:dyDescent="0.25">
      <c r="A474" s="2">
        <f>IF((OR(Optimizer!$J$8=Fandual!J474,Optimizer!$J$10=Fandual!J474))=TRUE, 1,0)</f>
        <v>0</v>
      </c>
      <c r="B474" s="2">
        <f>IF((OR(Fandual!O474="",Fandual!O474&lt;&gt;0)=TRUE),1,0)</f>
        <v>1</v>
      </c>
      <c r="C474" s="2">
        <f>IF(Fandual!B474&lt;&gt;"P",1,0)</f>
        <v>0</v>
      </c>
      <c r="D474" s="2">
        <f t="shared" si="14"/>
        <v>0</v>
      </c>
      <c r="E474" s="2">
        <f>IF(D474=1,Fandual!B474,0)</f>
        <v>0</v>
      </c>
      <c r="F474" s="2">
        <f>IF(D474=1,Fandual!D474,0)</f>
        <v>0</v>
      </c>
      <c r="G474" s="2">
        <f>IF(D474=1,Fandual!F474,0)</f>
        <v>0</v>
      </c>
      <c r="H474" s="2">
        <f>IF(D474=1,Fandual!H474,0)</f>
        <v>0</v>
      </c>
      <c r="I474" s="2">
        <f>IF((Optimizer!$J$8=Fandual!J474),4,0)</f>
        <v>0</v>
      </c>
      <c r="J474" s="2">
        <f>IF((Optimizer!$J$10=Fandual!J474),100,0)</f>
        <v>0</v>
      </c>
      <c r="K474" s="2">
        <f t="shared" si="15"/>
        <v>0</v>
      </c>
      <c r="L474" s="2">
        <f>IF(Fandual!M474="",1,0)</f>
        <v>1</v>
      </c>
    </row>
    <row r="475" spans="1:12" x14ac:dyDescent="0.25">
      <c r="A475" s="2">
        <f>IF((OR(Optimizer!$J$8=Fandual!J475,Optimizer!$J$10=Fandual!J475))=TRUE, 1,0)</f>
        <v>0</v>
      </c>
      <c r="B475" s="2">
        <f>IF((OR(Fandual!O475="",Fandual!O475&lt;&gt;0)=TRUE),1,0)</f>
        <v>1</v>
      </c>
      <c r="C475" s="2">
        <f>IF(Fandual!B475&lt;&gt;"P",1,0)</f>
        <v>0</v>
      </c>
      <c r="D475" s="2">
        <f t="shared" si="14"/>
        <v>0</v>
      </c>
      <c r="E475" s="2">
        <f>IF(D475=1,Fandual!B475,0)</f>
        <v>0</v>
      </c>
      <c r="F475" s="2">
        <f>IF(D475=1,Fandual!D475,0)</f>
        <v>0</v>
      </c>
      <c r="G475" s="2">
        <f>IF(D475=1,Fandual!F475,0)</f>
        <v>0</v>
      </c>
      <c r="H475" s="2">
        <f>IF(D475=1,Fandual!H475,0)</f>
        <v>0</v>
      </c>
      <c r="I475" s="2">
        <f>IF((Optimizer!$J$8=Fandual!J475),4,0)</f>
        <v>0</v>
      </c>
      <c r="J475" s="2">
        <f>IF((Optimizer!$J$10=Fandual!J475),100,0)</f>
        <v>0</v>
      </c>
      <c r="K475" s="2">
        <f t="shared" si="15"/>
        <v>0</v>
      </c>
      <c r="L475" s="2">
        <f>IF(Fandual!M475="",1,0)</f>
        <v>1</v>
      </c>
    </row>
    <row r="476" spans="1:12" x14ac:dyDescent="0.25">
      <c r="A476" s="2">
        <f>IF((OR(Optimizer!$J$8=Fandual!J476,Optimizer!$J$10=Fandual!J476))=TRUE, 1,0)</f>
        <v>0</v>
      </c>
      <c r="B476" s="2">
        <f>IF((OR(Fandual!O476="",Fandual!O476&lt;&gt;0)=TRUE),1,0)</f>
        <v>1</v>
      </c>
      <c r="C476" s="2">
        <f>IF(Fandual!B476&lt;&gt;"P",1,0)</f>
        <v>0</v>
      </c>
      <c r="D476" s="2">
        <f t="shared" si="14"/>
        <v>0</v>
      </c>
      <c r="E476" s="2">
        <f>IF(D476=1,Fandual!B476,0)</f>
        <v>0</v>
      </c>
      <c r="F476" s="2">
        <f>IF(D476=1,Fandual!D476,0)</f>
        <v>0</v>
      </c>
      <c r="G476" s="2">
        <f>IF(D476=1,Fandual!F476,0)</f>
        <v>0</v>
      </c>
      <c r="H476" s="2">
        <f>IF(D476=1,Fandual!H476,0)</f>
        <v>0</v>
      </c>
      <c r="I476" s="2">
        <f>IF((Optimizer!$J$8=Fandual!J476),4,0)</f>
        <v>0</v>
      </c>
      <c r="J476" s="2">
        <f>IF((Optimizer!$J$10=Fandual!J476),100,0)</f>
        <v>0</v>
      </c>
      <c r="K476" s="2">
        <f t="shared" si="15"/>
        <v>0</v>
      </c>
      <c r="L476" s="2">
        <f>IF(Fandual!M476="",1,0)</f>
        <v>1</v>
      </c>
    </row>
    <row r="477" spans="1:12" x14ac:dyDescent="0.25">
      <c r="A477" s="2">
        <f>IF((OR(Optimizer!$J$8=Fandual!J477,Optimizer!$J$10=Fandual!J477))=TRUE, 1,0)</f>
        <v>0</v>
      </c>
      <c r="B477" s="2">
        <f>IF((OR(Fandual!O477="",Fandual!O477&lt;&gt;0)=TRUE),1,0)</f>
        <v>1</v>
      </c>
      <c r="C477" s="2">
        <f>IF(Fandual!B477&lt;&gt;"P",1,0)</f>
        <v>0</v>
      </c>
      <c r="D477" s="2">
        <f t="shared" si="14"/>
        <v>0</v>
      </c>
      <c r="E477" s="2">
        <f>IF(D477=1,Fandual!B477,0)</f>
        <v>0</v>
      </c>
      <c r="F477" s="2">
        <f>IF(D477=1,Fandual!D477,0)</f>
        <v>0</v>
      </c>
      <c r="G477" s="2">
        <f>IF(D477=1,Fandual!F477,0)</f>
        <v>0</v>
      </c>
      <c r="H477" s="2">
        <f>IF(D477=1,Fandual!H477,0)</f>
        <v>0</v>
      </c>
      <c r="I477" s="2">
        <f>IF((Optimizer!$J$8=Fandual!J477),4,0)</f>
        <v>0</v>
      </c>
      <c r="J477" s="2">
        <f>IF((Optimizer!$J$10=Fandual!J477),100,0)</f>
        <v>0</v>
      </c>
      <c r="K477" s="2">
        <f t="shared" si="15"/>
        <v>0</v>
      </c>
      <c r="L477" s="2">
        <f>IF(Fandual!M477="",1,0)</f>
        <v>1</v>
      </c>
    </row>
    <row r="478" spans="1:12" x14ac:dyDescent="0.25">
      <c r="A478" s="2">
        <f>IF((OR(Optimizer!$J$8=Fandual!J478,Optimizer!$J$10=Fandual!J478))=TRUE, 1,0)</f>
        <v>1</v>
      </c>
      <c r="B478" s="2">
        <f>IF((OR(Fandual!O478="",Fandual!O478&lt;&gt;0)=TRUE),1,0)</f>
        <v>1</v>
      </c>
      <c r="C478" s="2">
        <f>IF(Fandual!B478&lt;&gt;"P",1,0)</f>
        <v>0</v>
      </c>
      <c r="D478" s="2">
        <f t="shared" si="14"/>
        <v>0</v>
      </c>
      <c r="E478" s="2">
        <f>IF(D478=1,Fandual!B478,0)</f>
        <v>0</v>
      </c>
      <c r="F478" s="2">
        <f>IF(D478=1,Fandual!D478,0)</f>
        <v>0</v>
      </c>
      <c r="G478" s="2">
        <f>IF(D478=1,Fandual!F478,0)</f>
        <v>0</v>
      </c>
      <c r="H478" s="2">
        <f>IF(D478=1,Fandual!H478,0)</f>
        <v>0</v>
      </c>
      <c r="I478" s="2">
        <f>IF((Optimizer!$J$8=Fandual!J478),4,0)</f>
        <v>4</v>
      </c>
      <c r="J478" s="2">
        <f>IF((Optimizer!$J$10=Fandual!J478),100,0)</f>
        <v>0</v>
      </c>
      <c r="K478" s="2">
        <f t="shared" si="15"/>
        <v>0</v>
      </c>
      <c r="L478" s="2">
        <f>IF(Fandual!M478="",1,0)</f>
        <v>1</v>
      </c>
    </row>
    <row r="479" spans="1:12" x14ac:dyDescent="0.25">
      <c r="A479" s="2">
        <f>IF((OR(Optimizer!$J$8=Fandual!J479,Optimizer!$J$10=Fandual!J479))=TRUE, 1,0)</f>
        <v>1</v>
      </c>
      <c r="B479" s="2">
        <f>IF((OR(Fandual!O479="",Fandual!O479&lt;&gt;0)=TRUE),1,0)</f>
        <v>1</v>
      </c>
      <c r="C479" s="2">
        <f>IF(Fandual!B479&lt;&gt;"P",1,0)</f>
        <v>0</v>
      </c>
      <c r="D479" s="2">
        <f t="shared" si="14"/>
        <v>0</v>
      </c>
      <c r="E479" s="2">
        <f>IF(D479=1,Fandual!B479,0)</f>
        <v>0</v>
      </c>
      <c r="F479" s="2">
        <f>IF(D479=1,Fandual!D479,0)</f>
        <v>0</v>
      </c>
      <c r="G479" s="2">
        <f>IF(D479=1,Fandual!F479,0)</f>
        <v>0</v>
      </c>
      <c r="H479" s="2">
        <f>IF(D479=1,Fandual!H479,0)</f>
        <v>0</v>
      </c>
      <c r="I479" s="2">
        <f>IF((Optimizer!$J$8=Fandual!J479),4,0)</f>
        <v>4</v>
      </c>
      <c r="J479" s="2">
        <f>IF((Optimizer!$J$10=Fandual!J479),100,0)</f>
        <v>0</v>
      </c>
      <c r="K479" s="2">
        <f t="shared" si="15"/>
        <v>0</v>
      </c>
      <c r="L479" s="2">
        <f>IF(Fandual!M479="",1,0)</f>
        <v>1</v>
      </c>
    </row>
    <row r="480" spans="1:12" x14ac:dyDescent="0.25">
      <c r="A480" s="2">
        <f>IF((OR(Optimizer!$J$8=Fandual!J480,Optimizer!$J$10=Fandual!J480))=TRUE, 1,0)</f>
        <v>0</v>
      </c>
      <c r="B480" s="2">
        <f>IF((OR(Fandual!O480="",Fandual!O480&lt;&gt;0)=TRUE),1,0)</f>
        <v>1</v>
      </c>
      <c r="C480" s="2">
        <f>IF(Fandual!B480&lt;&gt;"P",1,0)</f>
        <v>0</v>
      </c>
      <c r="D480" s="2">
        <f t="shared" si="14"/>
        <v>0</v>
      </c>
      <c r="E480" s="2">
        <f>IF(D480=1,Fandual!B480,0)</f>
        <v>0</v>
      </c>
      <c r="F480" s="2">
        <f>IF(D480=1,Fandual!D480,0)</f>
        <v>0</v>
      </c>
      <c r="G480" s="2">
        <f>IF(D480=1,Fandual!F480,0)</f>
        <v>0</v>
      </c>
      <c r="H480" s="2">
        <f>IF(D480=1,Fandual!H480,0)</f>
        <v>0</v>
      </c>
      <c r="I480" s="2">
        <f>IF((Optimizer!$J$8=Fandual!J480),4,0)</f>
        <v>0</v>
      </c>
      <c r="J480" s="2">
        <f>IF((Optimizer!$J$10=Fandual!J480),100,0)</f>
        <v>0</v>
      </c>
      <c r="K480" s="2">
        <f t="shared" si="15"/>
        <v>0</v>
      </c>
      <c r="L480" s="2">
        <f>IF(Fandual!M480="",1,0)</f>
        <v>1</v>
      </c>
    </row>
    <row r="481" spans="1:12" x14ac:dyDescent="0.25">
      <c r="A481" s="2">
        <f>IF((OR(Optimizer!$J$8=Fandual!J481,Optimizer!$J$10=Fandual!J481))=TRUE, 1,0)</f>
        <v>0</v>
      </c>
      <c r="B481" s="2">
        <f>IF((OR(Fandual!O481="",Fandual!O481&lt;&gt;0)=TRUE),1,0)</f>
        <v>1</v>
      </c>
      <c r="C481" s="2">
        <f>IF(Fandual!B481&lt;&gt;"P",1,0)</f>
        <v>0</v>
      </c>
      <c r="D481" s="2">
        <f t="shared" si="14"/>
        <v>0</v>
      </c>
      <c r="E481" s="2">
        <f>IF(D481=1,Fandual!B481,0)</f>
        <v>0</v>
      </c>
      <c r="F481" s="2">
        <f>IF(D481=1,Fandual!D481,0)</f>
        <v>0</v>
      </c>
      <c r="G481" s="2">
        <f>IF(D481=1,Fandual!F481,0)</f>
        <v>0</v>
      </c>
      <c r="H481" s="2">
        <f>IF(D481=1,Fandual!H481,0)</f>
        <v>0</v>
      </c>
      <c r="I481" s="2">
        <f>IF((Optimizer!$J$8=Fandual!J481),4,0)</f>
        <v>0</v>
      </c>
      <c r="J481" s="2">
        <f>IF((Optimizer!$J$10=Fandual!J481),100,0)</f>
        <v>0</v>
      </c>
      <c r="K481" s="2">
        <f t="shared" si="15"/>
        <v>0</v>
      </c>
      <c r="L481" s="2">
        <f>IF(Fandual!M481="",1,0)</f>
        <v>1</v>
      </c>
    </row>
    <row r="482" spans="1:12" x14ac:dyDescent="0.25">
      <c r="A482" s="2">
        <f>IF((OR(Optimizer!$J$8=Fandual!J482,Optimizer!$J$10=Fandual!J482))=TRUE, 1,0)</f>
        <v>0</v>
      </c>
      <c r="B482" s="2">
        <f>IF((OR(Fandual!O482="",Fandual!O482&lt;&gt;0)=TRUE),1,0)</f>
        <v>1</v>
      </c>
      <c r="C482" s="2">
        <f>IF(Fandual!B482&lt;&gt;"P",1,0)</f>
        <v>0</v>
      </c>
      <c r="D482" s="2">
        <f t="shared" si="14"/>
        <v>0</v>
      </c>
      <c r="E482" s="2">
        <f>IF(D482=1,Fandual!B482,0)</f>
        <v>0</v>
      </c>
      <c r="F482" s="2">
        <f>IF(D482=1,Fandual!D482,0)</f>
        <v>0</v>
      </c>
      <c r="G482" s="2">
        <f>IF(D482=1,Fandual!F482,0)</f>
        <v>0</v>
      </c>
      <c r="H482" s="2">
        <f>IF(D482=1,Fandual!H482,0)</f>
        <v>0</v>
      </c>
      <c r="I482" s="2">
        <f>IF((Optimizer!$J$8=Fandual!J482),4,0)</f>
        <v>0</v>
      </c>
      <c r="J482" s="2">
        <f>IF((Optimizer!$J$10=Fandual!J482),100,0)</f>
        <v>0</v>
      </c>
      <c r="K482" s="2">
        <f t="shared" si="15"/>
        <v>0</v>
      </c>
      <c r="L482" s="2">
        <f>IF(Fandual!M482="",1,0)</f>
        <v>1</v>
      </c>
    </row>
    <row r="483" spans="1:12" x14ac:dyDescent="0.25">
      <c r="A483" s="2">
        <f>IF((OR(Optimizer!$J$8=Fandual!J483,Optimizer!$J$10=Fandual!J483))=TRUE, 1,0)</f>
        <v>0</v>
      </c>
      <c r="B483" s="2">
        <f>IF((OR(Fandual!O483="",Fandual!O483&lt;&gt;0)=TRUE),1,0)</f>
        <v>1</v>
      </c>
      <c r="C483" s="2">
        <f>IF(Fandual!B483&lt;&gt;"P",1,0)</f>
        <v>0</v>
      </c>
      <c r="D483" s="2">
        <f t="shared" si="14"/>
        <v>0</v>
      </c>
      <c r="E483" s="2">
        <f>IF(D483=1,Fandual!B483,0)</f>
        <v>0</v>
      </c>
      <c r="F483" s="2">
        <f>IF(D483=1,Fandual!D483,0)</f>
        <v>0</v>
      </c>
      <c r="G483" s="2">
        <f>IF(D483=1,Fandual!F483,0)</f>
        <v>0</v>
      </c>
      <c r="H483" s="2">
        <f>IF(D483=1,Fandual!H483,0)</f>
        <v>0</v>
      </c>
      <c r="I483" s="2">
        <f>IF((Optimizer!$J$8=Fandual!J483),4,0)</f>
        <v>0</v>
      </c>
      <c r="J483" s="2">
        <f>IF((Optimizer!$J$10=Fandual!J483),100,0)</f>
        <v>0</v>
      </c>
      <c r="K483" s="2">
        <f t="shared" si="15"/>
        <v>0</v>
      </c>
      <c r="L483" s="2">
        <f>IF(Fandual!M483="",1,0)</f>
        <v>0</v>
      </c>
    </row>
    <row r="484" spans="1:12" x14ac:dyDescent="0.25">
      <c r="A484" s="2">
        <f>IF((OR(Optimizer!$J$8=Fandual!J484,Optimizer!$J$10=Fandual!J484))=TRUE, 1,0)</f>
        <v>0</v>
      </c>
      <c r="B484" s="2">
        <f>IF((OR(Fandual!O484="",Fandual!O484&lt;&gt;0)=TRUE),1,0)</f>
        <v>1</v>
      </c>
      <c r="C484" s="2">
        <f>IF(Fandual!B484&lt;&gt;"P",1,0)</f>
        <v>0</v>
      </c>
      <c r="D484" s="2">
        <f t="shared" si="14"/>
        <v>0</v>
      </c>
      <c r="E484" s="2">
        <f>IF(D484=1,Fandual!B484,0)</f>
        <v>0</v>
      </c>
      <c r="F484" s="2">
        <f>IF(D484=1,Fandual!D484,0)</f>
        <v>0</v>
      </c>
      <c r="G484" s="2">
        <f>IF(D484=1,Fandual!F484,0)</f>
        <v>0</v>
      </c>
      <c r="H484" s="2">
        <f>IF(D484=1,Fandual!H484,0)</f>
        <v>0</v>
      </c>
      <c r="I484" s="2">
        <f>IF((Optimizer!$J$8=Fandual!J484),4,0)</f>
        <v>0</v>
      </c>
      <c r="J484" s="2">
        <f>IF((Optimizer!$J$10=Fandual!J484),100,0)</f>
        <v>0</v>
      </c>
      <c r="K484" s="2">
        <f t="shared" si="15"/>
        <v>0</v>
      </c>
      <c r="L484" s="2">
        <f>IF(Fandual!M484="",1,0)</f>
        <v>1</v>
      </c>
    </row>
    <row r="485" spans="1:12" x14ac:dyDescent="0.25">
      <c r="A485" s="2">
        <f>IF((OR(Optimizer!$J$8=Fandual!J485,Optimizer!$J$10=Fandual!J485))=TRUE, 1,0)</f>
        <v>1</v>
      </c>
      <c r="B485" s="2">
        <f>IF((OR(Fandual!O485="",Fandual!O485&lt;&gt;0)=TRUE),1,0)</f>
        <v>1</v>
      </c>
      <c r="C485" s="2">
        <f>IF(Fandual!B485&lt;&gt;"P",1,0)</f>
        <v>0</v>
      </c>
      <c r="D485" s="2">
        <f t="shared" si="14"/>
        <v>0</v>
      </c>
      <c r="E485" s="2">
        <f>IF(D485=1,Fandual!B485,0)</f>
        <v>0</v>
      </c>
      <c r="F485" s="2">
        <f>IF(D485=1,Fandual!D485,0)</f>
        <v>0</v>
      </c>
      <c r="G485" s="2">
        <f>IF(D485=1,Fandual!F485,0)</f>
        <v>0</v>
      </c>
      <c r="H485" s="2">
        <f>IF(D485=1,Fandual!H485,0)</f>
        <v>0</v>
      </c>
      <c r="I485" s="2">
        <f>IF((Optimizer!$J$8=Fandual!J485),4,0)</f>
        <v>0</v>
      </c>
      <c r="J485" s="2">
        <f>IF((Optimizer!$J$10=Fandual!J485),100,0)</f>
        <v>100</v>
      </c>
      <c r="K485" s="2">
        <f t="shared" si="15"/>
        <v>0</v>
      </c>
      <c r="L485" s="2">
        <f>IF(Fandual!M485="",1,0)</f>
        <v>1</v>
      </c>
    </row>
    <row r="486" spans="1:12" x14ac:dyDescent="0.25">
      <c r="A486" s="2">
        <f>IF((OR(Optimizer!$J$8=Fandual!J486,Optimizer!$J$10=Fandual!J486))=TRUE, 1,0)</f>
        <v>0</v>
      </c>
      <c r="B486" s="2">
        <f>IF((OR(Fandual!O486="",Fandual!O486&lt;&gt;0)=TRUE),1,0)</f>
        <v>1</v>
      </c>
      <c r="C486" s="2">
        <f>IF(Fandual!B486&lt;&gt;"P",1,0)</f>
        <v>0</v>
      </c>
      <c r="D486" s="2">
        <f t="shared" si="14"/>
        <v>0</v>
      </c>
      <c r="E486" s="2">
        <f>IF(D486=1,Fandual!B486,0)</f>
        <v>0</v>
      </c>
      <c r="F486" s="2">
        <f>IF(D486=1,Fandual!D486,0)</f>
        <v>0</v>
      </c>
      <c r="G486" s="2">
        <f>IF(D486=1,Fandual!F486,0)</f>
        <v>0</v>
      </c>
      <c r="H486" s="2">
        <f>IF(D486=1,Fandual!H486,0)</f>
        <v>0</v>
      </c>
      <c r="I486" s="2">
        <f>IF((Optimizer!$J$8=Fandual!J486),4,0)</f>
        <v>0</v>
      </c>
      <c r="J486" s="2">
        <f>IF((Optimizer!$J$10=Fandual!J486),100,0)</f>
        <v>0</v>
      </c>
      <c r="K486" s="2">
        <f t="shared" si="15"/>
        <v>0</v>
      </c>
      <c r="L486" s="2">
        <f>IF(Fandual!M486="",1,0)</f>
        <v>1</v>
      </c>
    </row>
    <row r="487" spans="1:12" x14ac:dyDescent="0.25">
      <c r="A487" s="2">
        <f>IF((OR(Optimizer!$J$8=Fandual!J487,Optimizer!$J$10=Fandual!J487))=TRUE, 1,0)</f>
        <v>0</v>
      </c>
      <c r="B487" s="2">
        <f>IF((OR(Fandual!O487="",Fandual!O487&lt;&gt;0)=TRUE),1,0)</f>
        <v>1</v>
      </c>
      <c r="C487" s="2">
        <f>IF(Fandual!B487&lt;&gt;"P",1,0)</f>
        <v>0</v>
      </c>
      <c r="D487" s="2">
        <f t="shared" si="14"/>
        <v>0</v>
      </c>
      <c r="E487" s="2">
        <f>IF(D487=1,Fandual!B487,0)</f>
        <v>0</v>
      </c>
      <c r="F487" s="2">
        <f>IF(D487=1,Fandual!D487,0)</f>
        <v>0</v>
      </c>
      <c r="G487" s="2">
        <f>IF(D487=1,Fandual!F487,0)</f>
        <v>0</v>
      </c>
      <c r="H487" s="2">
        <f>IF(D487=1,Fandual!H487,0)</f>
        <v>0</v>
      </c>
      <c r="I487" s="2">
        <f>IF((Optimizer!$J$8=Fandual!J487),4,0)</f>
        <v>0</v>
      </c>
      <c r="J487" s="2">
        <f>IF((Optimizer!$J$10=Fandual!J487),100,0)</f>
        <v>0</v>
      </c>
      <c r="K487" s="2">
        <f t="shared" si="15"/>
        <v>0</v>
      </c>
      <c r="L487" s="2">
        <f>IF(Fandual!M487="",1,0)</f>
        <v>0</v>
      </c>
    </row>
    <row r="488" spans="1:12" x14ac:dyDescent="0.25">
      <c r="A488" s="2">
        <f>IF((OR(Optimizer!$J$8=Fandual!J488,Optimizer!$J$10=Fandual!J488))=TRUE, 1,0)</f>
        <v>0</v>
      </c>
      <c r="B488" s="2">
        <f>IF((OR(Fandual!O488="",Fandual!O488&lt;&gt;0)=TRUE),1,0)</f>
        <v>1</v>
      </c>
      <c r="C488" s="2">
        <f>IF(Fandual!B488&lt;&gt;"P",1,0)</f>
        <v>0</v>
      </c>
      <c r="D488" s="2">
        <f t="shared" si="14"/>
        <v>0</v>
      </c>
      <c r="E488" s="2">
        <f>IF(D488=1,Fandual!B488,0)</f>
        <v>0</v>
      </c>
      <c r="F488" s="2">
        <f>IF(D488=1,Fandual!D488,0)</f>
        <v>0</v>
      </c>
      <c r="G488" s="2">
        <f>IF(D488=1,Fandual!F488,0)</f>
        <v>0</v>
      </c>
      <c r="H488" s="2">
        <f>IF(D488=1,Fandual!H488,0)</f>
        <v>0</v>
      </c>
      <c r="I488" s="2">
        <f>IF((Optimizer!$J$8=Fandual!J488),4,0)</f>
        <v>0</v>
      </c>
      <c r="J488" s="2">
        <f>IF((Optimizer!$J$10=Fandual!J488),100,0)</f>
        <v>0</v>
      </c>
      <c r="K488" s="2">
        <f t="shared" si="15"/>
        <v>0</v>
      </c>
      <c r="L488" s="2">
        <f>IF(Fandual!M488="",1,0)</f>
        <v>1</v>
      </c>
    </row>
    <row r="489" spans="1:12" x14ac:dyDescent="0.25">
      <c r="A489" s="2">
        <f>IF((OR(Optimizer!$J$8=Fandual!J489,Optimizer!$J$10=Fandual!J489))=TRUE, 1,0)</f>
        <v>1</v>
      </c>
      <c r="B489" s="2">
        <f>IF((OR(Fandual!O489="",Fandual!O489&lt;&gt;0)=TRUE),1,0)</f>
        <v>1</v>
      </c>
      <c r="C489" s="2">
        <f>IF(Fandual!B489&lt;&gt;"P",1,0)</f>
        <v>0</v>
      </c>
      <c r="D489" s="2">
        <f t="shared" si="14"/>
        <v>0</v>
      </c>
      <c r="E489" s="2">
        <f>IF(D489=1,Fandual!B489,0)</f>
        <v>0</v>
      </c>
      <c r="F489" s="2">
        <f>IF(D489=1,Fandual!D489,0)</f>
        <v>0</v>
      </c>
      <c r="G489" s="2">
        <f>IF(D489=1,Fandual!F489,0)</f>
        <v>0</v>
      </c>
      <c r="H489" s="2">
        <f>IF(D489=1,Fandual!H489,0)</f>
        <v>0</v>
      </c>
      <c r="I489" s="2">
        <f>IF((Optimizer!$J$8=Fandual!J489),4,0)</f>
        <v>4</v>
      </c>
      <c r="J489" s="2">
        <f>IF((Optimizer!$J$10=Fandual!J489),100,0)</f>
        <v>0</v>
      </c>
      <c r="K489" s="2">
        <f t="shared" si="15"/>
        <v>0</v>
      </c>
      <c r="L489" s="2">
        <f>IF(Fandual!M489="",1,0)</f>
        <v>1</v>
      </c>
    </row>
    <row r="490" spans="1:12" x14ac:dyDescent="0.25">
      <c r="A490" s="2">
        <f>IF((OR(Optimizer!$J$8=Fandual!J490,Optimizer!$J$10=Fandual!J490))=TRUE, 1,0)</f>
        <v>0</v>
      </c>
      <c r="B490" s="2">
        <f>IF((OR(Fandual!O490="",Fandual!O490&lt;&gt;0)=TRUE),1,0)</f>
        <v>1</v>
      </c>
      <c r="C490" s="2">
        <f>IF(Fandual!B490&lt;&gt;"P",1,0)</f>
        <v>0</v>
      </c>
      <c r="D490" s="2">
        <f t="shared" si="14"/>
        <v>0</v>
      </c>
      <c r="E490" s="2">
        <f>IF(D490=1,Fandual!B490,0)</f>
        <v>0</v>
      </c>
      <c r="F490" s="2">
        <f>IF(D490=1,Fandual!D490,0)</f>
        <v>0</v>
      </c>
      <c r="G490" s="2">
        <f>IF(D490=1,Fandual!F490,0)</f>
        <v>0</v>
      </c>
      <c r="H490" s="2">
        <f>IF(D490=1,Fandual!H490,0)</f>
        <v>0</v>
      </c>
      <c r="I490" s="2">
        <f>IF((Optimizer!$J$8=Fandual!J490),4,0)</f>
        <v>0</v>
      </c>
      <c r="J490" s="2">
        <f>IF((Optimizer!$J$10=Fandual!J490),100,0)</f>
        <v>0</v>
      </c>
      <c r="K490" s="2">
        <f t="shared" si="15"/>
        <v>0</v>
      </c>
      <c r="L490" s="2">
        <f>IF(Fandual!M490="",1,0)</f>
        <v>1</v>
      </c>
    </row>
    <row r="491" spans="1:12" x14ac:dyDescent="0.25">
      <c r="A491" s="2">
        <f>IF((OR(Optimizer!$J$8=Fandual!J491,Optimizer!$J$10=Fandual!J491))=TRUE, 1,0)</f>
        <v>0</v>
      </c>
      <c r="B491" s="2">
        <f>IF((OR(Fandual!O491="",Fandual!O491&lt;&gt;0)=TRUE),1,0)</f>
        <v>1</v>
      </c>
      <c r="C491" s="2">
        <f>IF(Fandual!B491&lt;&gt;"P",1,0)</f>
        <v>0</v>
      </c>
      <c r="D491" s="2">
        <f t="shared" si="14"/>
        <v>0</v>
      </c>
      <c r="E491" s="2">
        <f>IF(D491=1,Fandual!B491,0)</f>
        <v>0</v>
      </c>
      <c r="F491" s="2">
        <f>IF(D491=1,Fandual!D491,0)</f>
        <v>0</v>
      </c>
      <c r="G491" s="2">
        <f>IF(D491=1,Fandual!F491,0)</f>
        <v>0</v>
      </c>
      <c r="H491" s="2">
        <f>IF(D491=1,Fandual!H491,0)</f>
        <v>0</v>
      </c>
      <c r="I491" s="2">
        <f>IF((Optimizer!$J$8=Fandual!J491),4,0)</f>
        <v>0</v>
      </c>
      <c r="J491" s="2">
        <f>IF((Optimizer!$J$10=Fandual!J491),100,0)</f>
        <v>0</v>
      </c>
      <c r="K491" s="2">
        <f t="shared" si="15"/>
        <v>0</v>
      </c>
      <c r="L491" s="2">
        <f>IF(Fandual!M491="",1,0)</f>
        <v>1</v>
      </c>
    </row>
    <row r="492" spans="1:12" x14ac:dyDescent="0.25">
      <c r="A492" s="2">
        <f>IF((OR(Optimizer!$J$8=Fandual!J492,Optimizer!$J$10=Fandual!J492))=TRUE, 1,0)</f>
        <v>0</v>
      </c>
      <c r="B492" s="2">
        <f>IF((OR(Fandual!O492="",Fandual!O492&lt;&gt;0)=TRUE),1,0)</f>
        <v>1</v>
      </c>
      <c r="C492" s="2">
        <f>IF(Fandual!B492&lt;&gt;"P",1,0)</f>
        <v>0</v>
      </c>
      <c r="D492" s="2">
        <f t="shared" si="14"/>
        <v>0</v>
      </c>
      <c r="E492" s="2">
        <f>IF(D492=1,Fandual!B492,0)</f>
        <v>0</v>
      </c>
      <c r="F492" s="2">
        <f>IF(D492=1,Fandual!D492,0)</f>
        <v>0</v>
      </c>
      <c r="G492" s="2">
        <f>IF(D492=1,Fandual!F492,0)</f>
        <v>0</v>
      </c>
      <c r="H492" s="2">
        <f>IF(D492=1,Fandual!H492,0)</f>
        <v>0</v>
      </c>
      <c r="I492" s="2">
        <f>IF((Optimizer!$J$8=Fandual!J492),4,0)</f>
        <v>0</v>
      </c>
      <c r="J492" s="2">
        <f>IF((Optimizer!$J$10=Fandual!J492),100,0)</f>
        <v>0</v>
      </c>
      <c r="K492" s="2">
        <f t="shared" si="15"/>
        <v>0</v>
      </c>
      <c r="L492" s="2">
        <f>IF(Fandual!M492="",1,0)</f>
        <v>1</v>
      </c>
    </row>
    <row r="493" spans="1:12" x14ac:dyDescent="0.25">
      <c r="A493" s="2">
        <f>IF((OR(Optimizer!$J$8=Fandual!J493,Optimizer!$J$10=Fandual!J493))=TRUE, 1,0)</f>
        <v>0</v>
      </c>
      <c r="B493" s="2">
        <f>IF((OR(Fandual!O493="",Fandual!O493&lt;&gt;0)=TRUE),1,0)</f>
        <v>1</v>
      </c>
      <c r="C493" s="2">
        <f>IF(Fandual!B493&lt;&gt;"P",1,0)</f>
        <v>0</v>
      </c>
      <c r="D493" s="2">
        <f t="shared" si="14"/>
        <v>0</v>
      </c>
      <c r="E493" s="2">
        <f>IF(D493=1,Fandual!B493,0)</f>
        <v>0</v>
      </c>
      <c r="F493" s="2">
        <f>IF(D493=1,Fandual!D493,0)</f>
        <v>0</v>
      </c>
      <c r="G493" s="2">
        <f>IF(D493=1,Fandual!F493,0)</f>
        <v>0</v>
      </c>
      <c r="H493" s="2">
        <f>IF(D493=1,Fandual!H493,0)</f>
        <v>0</v>
      </c>
      <c r="I493" s="2">
        <f>IF((Optimizer!$J$8=Fandual!J493),4,0)</f>
        <v>0</v>
      </c>
      <c r="J493" s="2">
        <f>IF((Optimizer!$J$10=Fandual!J493),100,0)</f>
        <v>0</v>
      </c>
      <c r="K493" s="2">
        <f t="shared" si="15"/>
        <v>0</v>
      </c>
      <c r="L493" s="2">
        <f>IF(Fandual!M493="",1,0)</f>
        <v>1</v>
      </c>
    </row>
    <row r="494" spans="1:12" x14ac:dyDescent="0.25">
      <c r="A494" s="2">
        <f>IF((OR(Optimizer!$J$8=Fandual!J494,Optimizer!$J$10=Fandual!J494))=TRUE, 1,0)</f>
        <v>0</v>
      </c>
      <c r="B494" s="2">
        <f>IF((OR(Fandual!O494="",Fandual!O494&lt;&gt;0)=TRUE),1,0)</f>
        <v>1</v>
      </c>
      <c r="C494" s="2">
        <f>IF(Fandual!B494&lt;&gt;"P",1,0)</f>
        <v>0</v>
      </c>
      <c r="D494" s="2">
        <f t="shared" si="14"/>
        <v>0</v>
      </c>
      <c r="E494" s="2">
        <f>IF(D494=1,Fandual!B494,0)</f>
        <v>0</v>
      </c>
      <c r="F494" s="2">
        <f>IF(D494=1,Fandual!D494,0)</f>
        <v>0</v>
      </c>
      <c r="G494" s="2">
        <f>IF(D494=1,Fandual!F494,0)</f>
        <v>0</v>
      </c>
      <c r="H494" s="2">
        <f>IF(D494=1,Fandual!H494,0)</f>
        <v>0</v>
      </c>
      <c r="I494" s="2">
        <f>IF((Optimizer!$J$8=Fandual!J494),4,0)</f>
        <v>0</v>
      </c>
      <c r="J494" s="2">
        <f>IF((Optimizer!$J$10=Fandual!J494),100,0)</f>
        <v>0</v>
      </c>
      <c r="K494" s="2">
        <f t="shared" si="15"/>
        <v>0</v>
      </c>
      <c r="L494" s="2">
        <f>IF(Fandual!M494="",1,0)</f>
        <v>1</v>
      </c>
    </row>
    <row r="495" spans="1:12" x14ac:dyDescent="0.25">
      <c r="A495" s="2">
        <f>IF((OR(Optimizer!$J$8=Fandual!J495,Optimizer!$J$10=Fandual!J495))=TRUE, 1,0)</f>
        <v>0</v>
      </c>
      <c r="B495" s="2">
        <f>IF((OR(Fandual!O495="",Fandual!O495&lt;&gt;0)=TRUE),1,0)</f>
        <v>1</v>
      </c>
      <c r="C495" s="2">
        <f>IF(Fandual!B495&lt;&gt;"P",1,0)</f>
        <v>0</v>
      </c>
      <c r="D495" s="2">
        <f t="shared" si="14"/>
        <v>0</v>
      </c>
      <c r="E495" s="2">
        <f>IF(D495=1,Fandual!B495,0)</f>
        <v>0</v>
      </c>
      <c r="F495" s="2">
        <f>IF(D495=1,Fandual!D495,0)</f>
        <v>0</v>
      </c>
      <c r="G495" s="2">
        <f>IF(D495=1,Fandual!F495,0)</f>
        <v>0</v>
      </c>
      <c r="H495" s="2">
        <f>IF(D495=1,Fandual!H495,0)</f>
        <v>0</v>
      </c>
      <c r="I495" s="2">
        <f>IF((Optimizer!$J$8=Fandual!J495),4,0)</f>
        <v>0</v>
      </c>
      <c r="J495" s="2">
        <f>IF((Optimizer!$J$10=Fandual!J495),100,0)</f>
        <v>0</v>
      </c>
      <c r="K495" s="2">
        <f t="shared" si="15"/>
        <v>0</v>
      </c>
      <c r="L495" s="2">
        <f>IF(Fandual!M495="",1,0)</f>
        <v>1</v>
      </c>
    </row>
    <row r="496" spans="1:12" x14ac:dyDescent="0.25">
      <c r="A496" s="2">
        <f>IF((OR(Optimizer!$J$8=Fandual!J496,Optimizer!$J$10=Fandual!J496))=TRUE, 1,0)</f>
        <v>0</v>
      </c>
      <c r="B496" s="2">
        <f>IF((OR(Fandual!O496="",Fandual!O496&lt;&gt;0)=TRUE),1,0)</f>
        <v>1</v>
      </c>
      <c r="C496" s="2">
        <f>IF(Fandual!B496&lt;&gt;"P",1,0)</f>
        <v>0</v>
      </c>
      <c r="D496" s="2">
        <f t="shared" si="14"/>
        <v>0</v>
      </c>
      <c r="E496" s="2">
        <f>IF(D496=1,Fandual!B496,0)</f>
        <v>0</v>
      </c>
      <c r="F496" s="2">
        <f>IF(D496=1,Fandual!D496,0)</f>
        <v>0</v>
      </c>
      <c r="G496" s="2">
        <f>IF(D496=1,Fandual!F496,0)</f>
        <v>0</v>
      </c>
      <c r="H496" s="2">
        <f>IF(D496=1,Fandual!H496,0)</f>
        <v>0</v>
      </c>
      <c r="I496" s="2">
        <f>IF((Optimizer!$J$8=Fandual!J496),4,0)</f>
        <v>0</v>
      </c>
      <c r="J496" s="2">
        <f>IF((Optimizer!$J$10=Fandual!J496),100,0)</f>
        <v>0</v>
      </c>
      <c r="K496" s="2">
        <f t="shared" si="15"/>
        <v>0</v>
      </c>
      <c r="L496" s="2">
        <f>IF(Fandual!M496="",1,0)</f>
        <v>0</v>
      </c>
    </row>
    <row r="497" spans="1:12" x14ac:dyDescent="0.25">
      <c r="A497" s="2">
        <f>IF((OR(Optimizer!$J$8=Fandual!J497,Optimizer!$J$10=Fandual!J497))=TRUE, 1,0)</f>
        <v>0</v>
      </c>
      <c r="B497" s="2">
        <f>IF((OR(Fandual!O497="",Fandual!O497&lt;&gt;0)=TRUE),1,0)</f>
        <v>1</v>
      </c>
      <c r="C497" s="2">
        <f>IF(Fandual!B497&lt;&gt;"P",1,0)</f>
        <v>0</v>
      </c>
      <c r="D497" s="2">
        <f t="shared" si="14"/>
        <v>0</v>
      </c>
      <c r="E497" s="2">
        <f>IF(D497=1,Fandual!B497,0)</f>
        <v>0</v>
      </c>
      <c r="F497" s="2">
        <f>IF(D497=1,Fandual!D497,0)</f>
        <v>0</v>
      </c>
      <c r="G497" s="2">
        <f>IF(D497=1,Fandual!F497,0)</f>
        <v>0</v>
      </c>
      <c r="H497" s="2">
        <f>IF(D497=1,Fandual!H497,0)</f>
        <v>0</v>
      </c>
      <c r="I497" s="2">
        <f>IF((Optimizer!$J$8=Fandual!J497),4,0)</f>
        <v>0</v>
      </c>
      <c r="J497" s="2">
        <f>IF((Optimizer!$J$10=Fandual!J497),100,0)</f>
        <v>0</v>
      </c>
      <c r="K497" s="2">
        <f t="shared" si="15"/>
        <v>0</v>
      </c>
      <c r="L497" s="2">
        <f>IF(Fandual!M497="",1,0)</f>
        <v>1</v>
      </c>
    </row>
    <row r="498" spans="1:12" x14ac:dyDescent="0.25">
      <c r="A498" s="2">
        <f>IF((OR(Optimizer!$J$8=Fandual!J498,Optimizer!$J$10=Fandual!J498))=TRUE, 1,0)</f>
        <v>0</v>
      </c>
      <c r="B498" s="2">
        <f>IF((OR(Fandual!O498="",Fandual!O498&lt;&gt;0)=TRUE),1,0)</f>
        <v>1</v>
      </c>
      <c r="C498" s="2">
        <f>IF(Fandual!B498&lt;&gt;"P",1,0)</f>
        <v>0</v>
      </c>
      <c r="D498" s="2">
        <f t="shared" si="14"/>
        <v>0</v>
      </c>
      <c r="E498" s="2">
        <f>IF(D498=1,Fandual!B498,0)</f>
        <v>0</v>
      </c>
      <c r="F498" s="2">
        <f>IF(D498=1,Fandual!D498,0)</f>
        <v>0</v>
      </c>
      <c r="G498" s="2">
        <f>IF(D498=1,Fandual!F498,0)</f>
        <v>0</v>
      </c>
      <c r="H498" s="2">
        <f>IF(D498=1,Fandual!H498,0)</f>
        <v>0</v>
      </c>
      <c r="I498" s="2">
        <f>IF((Optimizer!$J$8=Fandual!J498),4,0)</f>
        <v>0</v>
      </c>
      <c r="J498" s="2">
        <f>IF((Optimizer!$J$10=Fandual!J498),100,0)</f>
        <v>0</v>
      </c>
      <c r="K498" s="2">
        <f t="shared" si="15"/>
        <v>0</v>
      </c>
      <c r="L498" s="2">
        <f>IF(Fandual!M498="",1,0)</f>
        <v>1</v>
      </c>
    </row>
    <row r="499" spans="1:12" x14ac:dyDescent="0.25">
      <c r="A499" s="2">
        <f>IF((OR(Optimizer!$J$8=Fandual!J499,Optimizer!$J$10=Fandual!J499))=TRUE, 1,0)</f>
        <v>0</v>
      </c>
      <c r="B499" s="2">
        <f>IF((OR(Fandual!O499="",Fandual!O499&lt;&gt;0)=TRUE),1,0)</f>
        <v>1</v>
      </c>
      <c r="C499" s="2">
        <f>IF(Fandual!B499&lt;&gt;"P",1,0)</f>
        <v>0</v>
      </c>
      <c r="D499" s="2">
        <f t="shared" si="14"/>
        <v>0</v>
      </c>
      <c r="E499" s="2">
        <f>IF(D499=1,Fandual!B499,0)</f>
        <v>0</v>
      </c>
      <c r="F499" s="2">
        <f>IF(D499=1,Fandual!D499,0)</f>
        <v>0</v>
      </c>
      <c r="G499" s="2">
        <f>IF(D499=1,Fandual!F499,0)</f>
        <v>0</v>
      </c>
      <c r="H499" s="2">
        <f>IF(D499=1,Fandual!H499,0)</f>
        <v>0</v>
      </c>
      <c r="I499" s="2">
        <f>IF((Optimizer!$J$8=Fandual!J499),4,0)</f>
        <v>0</v>
      </c>
      <c r="J499" s="2">
        <f>IF((Optimizer!$J$10=Fandual!J499),100,0)</f>
        <v>0</v>
      </c>
      <c r="K499" s="2">
        <f t="shared" si="15"/>
        <v>0</v>
      </c>
      <c r="L499" s="2">
        <f>IF(Fandual!M499="",1,0)</f>
        <v>0</v>
      </c>
    </row>
    <row r="500" spans="1:12" x14ac:dyDescent="0.25">
      <c r="A500" s="2">
        <f>IF((OR(Optimizer!$J$8=Fandual!J500,Optimizer!$J$10=Fandual!J500))=TRUE, 1,0)</f>
        <v>0</v>
      </c>
      <c r="B500" s="2">
        <f>IF((OR(Fandual!O500="",Fandual!O500&lt;&gt;0)=TRUE),1,0)</f>
        <v>1</v>
      </c>
      <c r="C500" s="2">
        <f>IF(Fandual!B500&lt;&gt;"P",1,0)</f>
        <v>0</v>
      </c>
      <c r="D500" s="2">
        <f t="shared" si="14"/>
        <v>0</v>
      </c>
      <c r="E500" s="2">
        <f>IF(D500=1,Fandual!B500,0)</f>
        <v>0</v>
      </c>
      <c r="F500" s="2">
        <f>IF(D500=1,Fandual!D500,0)</f>
        <v>0</v>
      </c>
      <c r="G500" s="2">
        <f>IF(D500=1,Fandual!F500,0)</f>
        <v>0</v>
      </c>
      <c r="H500" s="2">
        <f>IF(D500=1,Fandual!H500,0)</f>
        <v>0</v>
      </c>
      <c r="I500" s="2">
        <f>IF((Optimizer!$J$8=Fandual!J500),4,0)</f>
        <v>0</v>
      </c>
      <c r="J500" s="2">
        <f>IF((Optimizer!$J$10=Fandual!J500),100,0)</f>
        <v>0</v>
      </c>
      <c r="K500" s="2">
        <f t="shared" si="15"/>
        <v>0</v>
      </c>
      <c r="L500" s="2">
        <f>IF(Fandual!M500="",1,0)</f>
        <v>1</v>
      </c>
    </row>
    <row r="501" spans="1:12" x14ac:dyDescent="0.25">
      <c r="A501" s="2">
        <f>IF((OR(Optimizer!$J$8=Fandual!J501,Optimizer!$J$10=Fandual!J501))=TRUE, 1,0)</f>
        <v>0</v>
      </c>
      <c r="B501" s="2">
        <f>IF((OR(Fandual!O501="",Fandual!O501&lt;&gt;0)=TRUE),1,0)</f>
        <v>1</v>
      </c>
      <c r="C501" s="2">
        <f>IF(Fandual!B501&lt;&gt;"P",1,0)</f>
        <v>0</v>
      </c>
      <c r="D501" s="2">
        <f t="shared" si="14"/>
        <v>0</v>
      </c>
      <c r="E501" s="2">
        <f>IF(D501=1,Fandual!B501,0)</f>
        <v>0</v>
      </c>
      <c r="F501" s="2">
        <f>IF(D501=1,Fandual!D501,0)</f>
        <v>0</v>
      </c>
      <c r="G501" s="2">
        <f>IF(D501=1,Fandual!F501,0)</f>
        <v>0</v>
      </c>
      <c r="H501" s="2">
        <f>IF(D501=1,Fandual!H501,0)</f>
        <v>0</v>
      </c>
      <c r="I501" s="2">
        <f>IF((Optimizer!$J$8=Fandual!J501),4,0)</f>
        <v>0</v>
      </c>
      <c r="J501" s="2">
        <f>IF((Optimizer!$J$10=Fandual!J501),100,0)</f>
        <v>0</v>
      </c>
      <c r="K501" s="2">
        <f t="shared" si="15"/>
        <v>0</v>
      </c>
      <c r="L501" s="2">
        <f>IF(Fandual!M501="",1,0)</f>
        <v>1</v>
      </c>
    </row>
    <row r="502" spans="1:12" x14ac:dyDescent="0.25">
      <c r="A502" s="2">
        <f>IF((OR(Optimizer!$J$8=Fandual!J502,Optimizer!$J$10=Fandual!J502))=TRUE, 1,0)</f>
        <v>0</v>
      </c>
      <c r="B502" s="2">
        <f>IF((OR(Fandual!O502="",Fandual!O502&lt;&gt;0)=TRUE),1,0)</f>
        <v>1</v>
      </c>
      <c r="C502" s="2">
        <f>IF(Fandual!B502&lt;&gt;"P",1,0)</f>
        <v>0</v>
      </c>
      <c r="D502" s="2">
        <f t="shared" si="14"/>
        <v>0</v>
      </c>
      <c r="E502" s="2">
        <f>IF(D502=1,Fandual!B502,0)</f>
        <v>0</v>
      </c>
      <c r="F502" s="2">
        <f>IF(D502=1,Fandual!D502,0)</f>
        <v>0</v>
      </c>
      <c r="G502" s="2">
        <f>IF(D502=1,Fandual!F502,0)</f>
        <v>0</v>
      </c>
      <c r="H502" s="2">
        <f>IF(D502=1,Fandual!H502,0)</f>
        <v>0</v>
      </c>
      <c r="I502" s="2">
        <f>IF((Optimizer!$J$8=Fandual!J502),4,0)</f>
        <v>0</v>
      </c>
      <c r="J502" s="2">
        <f>IF((Optimizer!$J$10=Fandual!J502),100,0)</f>
        <v>0</v>
      </c>
      <c r="K502" s="2">
        <f t="shared" si="15"/>
        <v>0</v>
      </c>
      <c r="L502" s="2">
        <f>IF(Fandual!M502="",1,0)</f>
        <v>1</v>
      </c>
    </row>
    <row r="503" spans="1:12" x14ac:dyDescent="0.25">
      <c r="A503" s="2">
        <f>IF((OR(Optimizer!$J$8=Fandual!J503,Optimizer!$J$10=Fandual!J503))=TRUE, 1,0)</f>
        <v>0</v>
      </c>
      <c r="B503" s="2">
        <f>IF((OR(Fandual!O503="",Fandual!O503&lt;&gt;0)=TRUE),1,0)</f>
        <v>1</v>
      </c>
      <c r="C503" s="2">
        <f>IF(Fandual!B503&lt;&gt;"P",1,0)</f>
        <v>0</v>
      </c>
      <c r="D503" s="2">
        <f t="shared" si="14"/>
        <v>0</v>
      </c>
      <c r="E503" s="2">
        <f>IF(D503=1,Fandual!B503,0)</f>
        <v>0</v>
      </c>
      <c r="F503" s="2">
        <f>IF(D503=1,Fandual!D503,0)</f>
        <v>0</v>
      </c>
      <c r="G503" s="2">
        <f>IF(D503=1,Fandual!F503,0)</f>
        <v>0</v>
      </c>
      <c r="H503" s="2">
        <f>IF(D503=1,Fandual!H503,0)</f>
        <v>0</v>
      </c>
      <c r="I503" s="2">
        <f>IF((Optimizer!$J$8=Fandual!J503),4,0)</f>
        <v>0</v>
      </c>
      <c r="J503" s="2">
        <f>IF((Optimizer!$J$10=Fandual!J503),100,0)</f>
        <v>0</v>
      </c>
      <c r="K503" s="2">
        <f t="shared" si="15"/>
        <v>0</v>
      </c>
      <c r="L503" s="2">
        <f>IF(Fandual!M503="",1,0)</f>
        <v>1</v>
      </c>
    </row>
    <row r="504" spans="1:12" x14ac:dyDescent="0.25">
      <c r="A504" s="2">
        <f>IF((OR(Optimizer!$J$8=Fandual!J504,Optimizer!$J$10=Fandual!J504))=TRUE, 1,0)</f>
        <v>0</v>
      </c>
      <c r="B504" s="2">
        <f>IF((OR(Fandual!O504="",Fandual!O504&lt;&gt;0)=TRUE),1,0)</f>
        <v>1</v>
      </c>
      <c r="C504" s="2">
        <f>IF(Fandual!B504&lt;&gt;"P",1,0)</f>
        <v>0</v>
      </c>
      <c r="D504" s="2">
        <f t="shared" si="14"/>
        <v>0</v>
      </c>
      <c r="E504" s="2">
        <f>IF(D504=1,Fandual!B504,0)</f>
        <v>0</v>
      </c>
      <c r="F504" s="2">
        <f>IF(D504=1,Fandual!D504,0)</f>
        <v>0</v>
      </c>
      <c r="G504" s="2">
        <f>IF(D504=1,Fandual!F504,0)</f>
        <v>0</v>
      </c>
      <c r="H504" s="2">
        <f>IF(D504=1,Fandual!H504,0)</f>
        <v>0</v>
      </c>
      <c r="I504" s="2">
        <f>IF((Optimizer!$J$8=Fandual!J504),4,0)</f>
        <v>0</v>
      </c>
      <c r="J504" s="2">
        <f>IF((Optimizer!$J$10=Fandual!J504),100,0)</f>
        <v>0</v>
      </c>
      <c r="K504" s="2">
        <f t="shared" si="15"/>
        <v>0</v>
      </c>
      <c r="L504" s="2">
        <f>IF(Fandual!M504="",1,0)</f>
        <v>1</v>
      </c>
    </row>
    <row r="505" spans="1:12" x14ac:dyDescent="0.25">
      <c r="A505" s="2">
        <f>IF((OR(Optimizer!$J$8=Fandual!J505,Optimizer!$J$10=Fandual!J505))=TRUE, 1,0)</f>
        <v>0</v>
      </c>
      <c r="B505" s="2">
        <f>IF((OR(Fandual!O505="",Fandual!O505&lt;&gt;0)=TRUE),1,0)</f>
        <v>1</v>
      </c>
      <c r="C505" s="2">
        <f>IF(Fandual!B505&lt;&gt;"P",1,0)</f>
        <v>0</v>
      </c>
      <c r="D505" s="2">
        <f t="shared" si="14"/>
        <v>0</v>
      </c>
      <c r="E505" s="2">
        <f>IF(D505=1,Fandual!B505,0)</f>
        <v>0</v>
      </c>
      <c r="F505" s="2">
        <f>IF(D505=1,Fandual!D505,0)</f>
        <v>0</v>
      </c>
      <c r="G505" s="2">
        <f>IF(D505=1,Fandual!F505,0)</f>
        <v>0</v>
      </c>
      <c r="H505" s="2">
        <f>IF(D505=1,Fandual!H505,0)</f>
        <v>0</v>
      </c>
      <c r="I505" s="2">
        <f>IF((Optimizer!$J$8=Fandual!J505),4,0)</f>
        <v>0</v>
      </c>
      <c r="J505" s="2">
        <f>IF((Optimizer!$J$10=Fandual!J505),100,0)</f>
        <v>0</v>
      </c>
      <c r="K505" s="2">
        <f t="shared" si="15"/>
        <v>0</v>
      </c>
      <c r="L505" s="2">
        <f>IF(Fandual!M505="",1,0)</f>
        <v>1</v>
      </c>
    </row>
    <row r="506" spans="1:12" x14ac:dyDescent="0.25">
      <c r="A506" s="2">
        <f>IF((OR(Optimizer!$J$8=Fandual!J506,Optimizer!$J$10=Fandual!J506))=TRUE, 1,0)</f>
        <v>0</v>
      </c>
      <c r="B506" s="2">
        <f>IF((OR(Fandual!O506="",Fandual!O506&lt;&gt;0)=TRUE),1,0)</f>
        <v>1</v>
      </c>
      <c r="C506" s="2">
        <f>IF(Fandual!B506&lt;&gt;"P",1,0)</f>
        <v>0</v>
      </c>
      <c r="D506" s="2">
        <f t="shared" si="14"/>
        <v>0</v>
      </c>
      <c r="E506" s="2">
        <f>IF(D506=1,Fandual!B506,0)</f>
        <v>0</v>
      </c>
      <c r="F506" s="2">
        <f>IF(D506=1,Fandual!D506,0)</f>
        <v>0</v>
      </c>
      <c r="G506" s="2">
        <f>IF(D506=1,Fandual!F506,0)</f>
        <v>0</v>
      </c>
      <c r="H506" s="2">
        <f>IF(D506=1,Fandual!H506,0)</f>
        <v>0</v>
      </c>
      <c r="I506" s="2">
        <f>IF((Optimizer!$J$8=Fandual!J506),4,0)</f>
        <v>0</v>
      </c>
      <c r="J506" s="2">
        <f>IF((Optimizer!$J$10=Fandual!J506),100,0)</f>
        <v>0</v>
      </c>
      <c r="K506" s="2">
        <f t="shared" si="15"/>
        <v>0</v>
      </c>
      <c r="L506" s="2">
        <f>IF(Fandual!M506="",1,0)</f>
        <v>1</v>
      </c>
    </row>
    <row r="507" spans="1:12" x14ac:dyDescent="0.25">
      <c r="A507" s="2">
        <f>IF((OR(Optimizer!$J$8=Fandual!J507,Optimizer!$J$10=Fandual!J507))=TRUE, 1,0)</f>
        <v>0</v>
      </c>
      <c r="B507" s="2">
        <f>IF((OR(Fandual!O507="",Fandual!O507&lt;&gt;0)=TRUE),1,0)</f>
        <v>1</v>
      </c>
      <c r="C507" s="2">
        <f>IF(Fandual!B507&lt;&gt;"P",1,0)</f>
        <v>0</v>
      </c>
      <c r="D507" s="2">
        <f t="shared" si="14"/>
        <v>0</v>
      </c>
      <c r="E507" s="2">
        <f>IF(D507=1,Fandual!B507,0)</f>
        <v>0</v>
      </c>
      <c r="F507" s="2">
        <f>IF(D507=1,Fandual!D507,0)</f>
        <v>0</v>
      </c>
      <c r="G507" s="2">
        <f>IF(D507=1,Fandual!F507,0)</f>
        <v>0</v>
      </c>
      <c r="H507" s="2">
        <f>IF(D507=1,Fandual!H507,0)</f>
        <v>0</v>
      </c>
      <c r="I507" s="2">
        <f>IF((Optimizer!$J$8=Fandual!J507),4,0)</f>
        <v>0</v>
      </c>
      <c r="J507" s="2">
        <f>IF((Optimizer!$J$10=Fandual!J507),100,0)</f>
        <v>0</v>
      </c>
      <c r="K507" s="2">
        <f t="shared" si="15"/>
        <v>0</v>
      </c>
      <c r="L507" s="2">
        <f>IF(Fandual!M507="",1,0)</f>
        <v>1</v>
      </c>
    </row>
    <row r="508" spans="1:12" x14ac:dyDescent="0.25">
      <c r="A508" s="2">
        <f>IF((OR(Optimizer!$J$8=Fandual!J508,Optimizer!$J$10=Fandual!J508))=TRUE, 1,0)</f>
        <v>0</v>
      </c>
      <c r="B508" s="2">
        <f>IF((OR(Fandual!O508="",Fandual!O508&lt;&gt;0)=TRUE),1,0)</f>
        <v>1</v>
      </c>
      <c r="C508" s="2">
        <f>IF(Fandual!B508&lt;&gt;"P",1,0)</f>
        <v>0</v>
      </c>
      <c r="D508" s="2">
        <f t="shared" si="14"/>
        <v>0</v>
      </c>
      <c r="E508" s="2">
        <f>IF(D508=1,Fandual!B508,0)</f>
        <v>0</v>
      </c>
      <c r="F508" s="2">
        <f>IF(D508=1,Fandual!D508,0)</f>
        <v>0</v>
      </c>
      <c r="G508" s="2">
        <f>IF(D508=1,Fandual!F508,0)</f>
        <v>0</v>
      </c>
      <c r="H508" s="2">
        <f>IF(D508=1,Fandual!H508,0)</f>
        <v>0</v>
      </c>
      <c r="I508" s="2">
        <f>IF((Optimizer!$J$8=Fandual!J508),4,0)</f>
        <v>0</v>
      </c>
      <c r="J508" s="2">
        <f>IF((Optimizer!$J$10=Fandual!J508),100,0)</f>
        <v>0</v>
      </c>
      <c r="K508" s="2">
        <f t="shared" si="15"/>
        <v>0</v>
      </c>
      <c r="L508" s="2">
        <f>IF(Fandual!M508="",1,0)</f>
        <v>1</v>
      </c>
    </row>
    <row r="509" spans="1:12" x14ac:dyDescent="0.25">
      <c r="A509" s="2">
        <f>IF((OR(Optimizer!$J$8=Fandual!J509,Optimizer!$J$10=Fandual!J509))=TRUE, 1,0)</f>
        <v>0</v>
      </c>
      <c r="B509" s="2">
        <f>IF((OR(Fandual!O509="",Fandual!O509&lt;&gt;0)=TRUE),1,0)</f>
        <v>1</v>
      </c>
      <c r="C509" s="2">
        <f>IF(Fandual!B509&lt;&gt;"P",1,0)</f>
        <v>0</v>
      </c>
      <c r="D509" s="2">
        <f t="shared" si="14"/>
        <v>0</v>
      </c>
      <c r="E509" s="2">
        <f>IF(D509=1,Fandual!B509,0)</f>
        <v>0</v>
      </c>
      <c r="F509" s="2">
        <f>IF(D509=1,Fandual!D509,0)</f>
        <v>0</v>
      </c>
      <c r="G509" s="2">
        <f>IF(D509=1,Fandual!F509,0)</f>
        <v>0</v>
      </c>
      <c r="H509" s="2">
        <f>IF(D509=1,Fandual!H509,0)</f>
        <v>0</v>
      </c>
      <c r="I509" s="2">
        <f>IF((Optimizer!$J$8=Fandual!J509),4,0)</f>
        <v>0</v>
      </c>
      <c r="J509" s="2">
        <f>IF((Optimizer!$J$10=Fandual!J509),100,0)</f>
        <v>0</v>
      </c>
      <c r="K509" s="2">
        <f t="shared" si="15"/>
        <v>0</v>
      </c>
      <c r="L509" s="2">
        <f>IF(Fandual!M509="",1,0)</f>
        <v>1</v>
      </c>
    </row>
    <row r="510" spans="1:12" x14ac:dyDescent="0.25">
      <c r="A510" s="2">
        <f>IF((OR(Optimizer!$J$8=Fandual!J510,Optimizer!$J$10=Fandual!J510))=TRUE, 1,0)</f>
        <v>0</v>
      </c>
      <c r="B510" s="2">
        <f>IF((OR(Fandual!O510="",Fandual!O510&lt;&gt;0)=TRUE),1,0)</f>
        <v>1</v>
      </c>
      <c r="C510" s="2">
        <f>IF(Fandual!B510&lt;&gt;"P",1,0)</f>
        <v>0</v>
      </c>
      <c r="D510" s="2">
        <f t="shared" si="14"/>
        <v>0</v>
      </c>
      <c r="E510" s="2">
        <f>IF(D510=1,Fandual!B510,0)</f>
        <v>0</v>
      </c>
      <c r="F510" s="2">
        <f>IF(D510=1,Fandual!D510,0)</f>
        <v>0</v>
      </c>
      <c r="G510" s="2">
        <f>IF(D510=1,Fandual!F510,0)</f>
        <v>0</v>
      </c>
      <c r="H510" s="2">
        <f>IF(D510=1,Fandual!H510,0)</f>
        <v>0</v>
      </c>
      <c r="I510" s="2">
        <f>IF((Optimizer!$J$8=Fandual!J510),4,0)</f>
        <v>0</v>
      </c>
      <c r="J510" s="2">
        <f>IF((Optimizer!$J$10=Fandual!J510),100,0)</f>
        <v>0</v>
      </c>
      <c r="K510" s="2">
        <f t="shared" si="15"/>
        <v>0</v>
      </c>
      <c r="L510" s="2">
        <f>IF(Fandual!M510="",1,0)</f>
        <v>1</v>
      </c>
    </row>
    <row r="511" spans="1:12" x14ac:dyDescent="0.25">
      <c r="A511" s="2">
        <f>IF((OR(Optimizer!$J$8=Fandual!J511,Optimizer!$J$10=Fandual!J511))=TRUE, 1,0)</f>
        <v>0</v>
      </c>
      <c r="B511" s="2">
        <f>IF((OR(Fandual!O511="",Fandual!O511&lt;&gt;0)=TRUE),1,0)</f>
        <v>1</v>
      </c>
      <c r="C511" s="2">
        <f>IF(Fandual!B511&lt;&gt;"P",1,0)</f>
        <v>0</v>
      </c>
      <c r="D511" s="2">
        <f t="shared" si="14"/>
        <v>0</v>
      </c>
      <c r="E511" s="2">
        <f>IF(D511=1,Fandual!B511,0)</f>
        <v>0</v>
      </c>
      <c r="F511" s="2">
        <f>IF(D511=1,Fandual!D511,0)</f>
        <v>0</v>
      </c>
      <c r="G511" s="2">
        <f>IF(D511=1,Fandual!F511,0)</f>
        <v>0</v>
      </c>
      <c r="H511" s="2">
        <f>IF(D511=1,Fandual!H511,0)</f>
        <v>0</v>
      </c>
      <c r="I511" s="2">
        <f>IF((Optimizer!$J$8=Fandual!J511),4,0)</f>
        <v>0</v>
      </c>
      <c r="J511" s="2">
        <f>IF((Optimizer!$J$10=Fandual!J511),100,0)</f>
        <v>0</v>
      </c>
      <c r="K511" s="2">
        <f t="shared" si="15"/>
        <v>0</v>
      </c>
      <c r="L511" s="2">
        <f>IF(Fandual!M511="",1,0)</f>
        <v>1</v>
      </c>
    </row>
    <row r="512" spans="1:12" x14ac:dyDescent="0.25">
      <c r="A512" s="2">
        <f>IF((OR(Optimizer!$J$8=Fandual!J512,Optimizer!$J$10=Fandual!J512))=TRUE, 1,0)</f>
        <v>0</v>
      </c>
      <c r="B512" s="2">
        <f>IF((OR(Fandual!O512="",Fandual!O512&lt;&gt;0)=TRUE),1,0)</f>
        <v>1</v>
      </c>
      <c r="C512" s="2">
        <f>IF(Fandual!B512&lt;&gt;"P",1,0)</f>
        <v>0</v>
      </c>
      <c r="D512" s="2">
        <f t="shared" si="14"/>
        <v>0</v>
      </c>
      <c r="E512" s="2">
        <f>IF(D512=1,Fandual!B512,0)</f>
        <v>0</v>
      </c>
      <c r="F512" s="2">
        <f>IF(D512=1,Fandual!D512,0)</f>
        <v>0</v>
      </c>
      <c r="G512" s="2">
        <f>IF(D512=1,Fandual!F512,0)</f>
        <v>0</v>
      </c>
      <c r="H512" s="2">
        <f>IF(D512=1,Fandual!H512,0)</f>
        <v>0</v>
      </c>
      <c r="I512" s="2">
        <f>IF((Optimizer!$J$8=Fandual!J512),4,0)</f>
        <v>0</v>
      </c>
      <c r="J512" s="2">
        <f>IF((Optimizer!$J$10=Fandual!J512),100,0)</f>
        <v>0</v>
      </c>
      <c r="K512" s="2">
        <f t="shared" si="15"/>
        <v>0</v>
      </c>
      <c r="L512" s="2">
        <f>IF(Fandual!M512="",1,0)</f>
        <v>1</v>
      </c>
    </row>
    <row r="513" spans="1:12" x14ac:dyDescent="0.25">
      <c r="A513" s="2">
        <f>IF((OR(Optimizer!$J$8=Fandual!J513,Optimizer!$J$10=Fandual!J513))=TRUE, 1,0)</f>
        <v>0</v>
      </c>
      <c r="B513" s="2">
        <f>IF((OR(Fandual!O513="",Fandual!O513&lt;&gt;0)=TRUE),1,0)</f>
        <v>1</v>
      </c>
      <c r="C513" s="2">
        <f>IF(Fandual!B513&lt;&gt;"P",1,0)</f>
        <v>0</v>
      </c>
      <c r="D513" s="2">
        <f t="shared" si="14"/>
        <v>0</v>
      </c>
      <c r="E513" s="2">
        <f>IF(D513=1,Fandual!B513,0)</f>
        <v>0</v>
      </c>
      <c r="F513" s="2">
        <f>IF(D513=1,Fandual!D513,0)</f>
        <v>0</v>
      </c>
      <c r="G513" s="2">
        <f>IF(D513=1,Fandual!F513,0)</f>
        <v>0</v>
      </c>
      <c r="H513" s="2">
        <f>IF(D513=1,Fandual!H513,0)</f>
        <v>0</v>
      </c>
      <c r="I513" s="2">
        <f>IF((Optimizer!$J$8=Fandual!J513),4,0)</f>
        <v>0</v>
      </c>
      <c r="J513" s="2">
        <f>IF((Optimizer!$J$10=Fandual!J513),100,0)</f>
        <v>0</v>
      </c>
      <c r="K513" s="2">
        <f t="shared" si="15"/>
        <v>0</v>
      </c>
      <c r="L513" s="2">
        <f>IF(Fandual!M513="",1,0)</f>
        <v>1</v>
      </c>
    </row>
    <row r="514" spans="1:12" x14ac:dyDescent="0.25">
      <c r="A514" s="2">
        <f>IF((OR(Optimizer!$J$8=Fandual!J514,Optimizer!$J$10=Fandual!J514))=TRUE, 1,0)</f>
        <v>0</v>
      </c>
      <c r="B514" s="2">
        <f>IF((OR(Fandual!O514="",Fandual!O514&lt;&gt;0)=TRUE),1,0)</f>
        <v>1</v>
      </c>
      <c r="C514" s="2">
        <f>IF(Fandual!B514&lt;&gt;"P",1,0)</f>
        <v>0</v>
      </c>
      <c r="D514" s="2">
        <f t="shared" ref="D514:D577" si="16">A514*B514*C514*L514</f>
        <v>0</v>
      </c>
      <c r="E514" s="2">
        <f>IF(D514=1,Fandual!B514,0)</f>
        <v>0</v>
      </c>
      <c r="F514" s="2">
        <f>IF(D514=1,Fandual!D514,0)</f>
        <v>0</v>
      </c>
      <c r="G514" s="2">
        <f>IF(D514=1,Fandual!F514,0)</f>
        <v>0</v>
      </c>
      <c r="H514" s="2">
        <f>IF(D514=1,Fandual!H514,0)</f>
        <v>0</v>
      </c>
      <c r="I514" s="2">
        <f>IF((Optimizer!$J$8=Fandual!J514),4,0)</f>
        <v>0</v>
      </c>
      <c r="J514" s="2">
        <f>IF((Optimizer!$J$10=Fandual!J514),100,0)</f>
        <v>0</v>
      </c>
      <c r="K514" s="2">
        <f t="shared" si="15"/>
        <v>0</v>
      </c>
      <c r="L514" s="2">
        <f>IF(Fandual!M514="",1,0)</f>
        <v>0</v>
      </c>
    </row>
    <row r="515" spans="1:12" x14ac:dyDescent="0.25">
      <c r="A515" s="2">
        <f>IF((OR(Optimizer!$J$8=Fandual!J515,Optimizer!$J$10=Fandual!J515))=TRUE, 1,0)</f>
        <v>0</v>
      </c>
      <c r="B515" s="2">
        <f>IF((OR(Fandual!O515="",Fandual!O515&lt;&gt;0)=TRUE),1,0)</f>
        <v>1</v>
      </c>
      <c r="C515" s="2">
        <f>IF(Fandual!B515&lt;&gt;"P",1,0)</f>
        <v>0</v>
      </c>
      <c r="D515" s="2">
        <f t="shared" si="16"/>
        <v>0</v>
      </c>
      <c r="E515" s="2">
        <f>IF(D515=1,Fandual!B515,0)</f>
        <v>0</v>
      </c>
      <c r="F515" s="2">
        <f>IF(D515=1,Fandual!D515,0)</f>
        <v>0</v>
      </c>
      <c r="G515" s="2">
        <f>IF(D515=1,Fandual!F515,0)</f>
        <v>0</v>
      </c>
      <c r="H515" s="2">
        <f>IF(D515=1,Fandual!H515,0)</f>
        <v>0</v>
      </c>
      <c r="I515" s="2">
        <f>IF((Optimizer!$J$8=Fandual!J515),4,0)</f>
        <v>0</v>
      </c>
      <c r="J515" s="2">
        <f>IF((Optimizer!$J$10=Fandual!J515),100,0)</f>
        <v>0</v>
      </c>
      <c r="K515" s="2">
        <f t="shared" ref="K515:K578" si="17">(I515+J515)*D515</f>
        <v>0</v>
      </c>
      <c r="L515" s="2">
        <f>IF(Fandual!M515="",1,0)</f>
        <v>1</v>
      </c>
    </row>
    <row r="516" spans="1:12" x14ac:dyDescent="0.25">
      <c r="A516" s="2">
        <f>IF((OR(Optimizer!$J$8=Fandual!J516,Optimizer!$J$10=Fandual!J516))=TRUE, 1,0)</f>
        <v>0</v>
      </c>
      <c r="B516" s="2">
        <f>IF((OR(Fandual!O516="",Fandual!O516&lt;&gt;0)=TRUE),1,0)</f>
        <v>1</v>
      </c>
      <c r="C516" s="2">
        <f>IF(Fandual!B516&lt;&gt;"P",1,0)</f>
        <v>0</v>
      </c>
      <c r="D516" s="2">
        <f t="shared" si="16"/>
        <v>0</v>
      </c>
      <c r="E516" s="2">
        <f>IF(D516=1,Fandual!B516,0)</f>
        <v>0</v>
      </c>
      <c r="F516" s="2">
        <f>IF(D516=1,Fandual!D516,0)</f>
        <v>0</v>
      </c>
      <c r="G516" s="2">
        <f>IF(D516=1,Fandual!F516,0)</f>
        <v>0</v>
      </c>
      <c r="H516" s="2">
        <f>IF(D516=1,Fandual!H516,0)</f>
        <v>0</v>
      </c>
      <c r="I516" s="2">
        <f>IF((Optimizer!$J$8=Fandual!J516),4,0)</f>
        <v>0</v>
      </c>
      <c r="J516" s="2">
        <f>IF((Optimizer!$J$10=Fandual!J516),100,0)</f>
        <v>0</v>
      </c>
      <c r="K516" s="2">
        <f t="shared" si="17"/>
        <v>0</v>
      </c>
      <c r="L516" s="2">
        <f>IF(Fandual!M516="",1,0)</f>
        <v>1</v>
      </c>
    </row>
    <row r="517" spans="1:12" x14ac:dyDescent="0.25">
      <c r="A517" s="2">
        <f>IF((OR(Optimizer!$J$8=Fandual!J517,Optimizer!$J$10=Fandual!J517))=TRUE, 1,0)</f>
        <v>0</v>
      </c>
      <c r="B517" s="2">
        <f>IF((OR(Fandual!O517="",Fandual!O517&lt;&gt;0)=TRUE),1,0)</f>
        <v>1</v>
      </c>
      <c r="C517" s="2">
        <f>IF(Fandual!B517&lt;&gt;"P",1,0)</f>
        <v>0</v>
      </c>
      <c r="D517" s="2">
        <f t="shared" si="16"/>
        <v>0</v>
      </c>
      <c r="E517" s="2">
        <f>IF(D517=1,Fandual!B517,0)</f>
        <v>0</v>
      </c>
      <c r="F517" s="2">
        <f>IF(D517=1,Fandual!D517,0)</f>
        <v>0</v>
      </c>
      <c r="G517" s="2">
        <f>IF(D517=1,Fandual!F517,0)</f>
        <v>0</v>
      </c>
      <c r="H517" s="2">
        <f>IF(D517=1,Fandual!H517,0)</f>
        <v>0</v>
      </c>
      <c r="I517" s="2">
        <f>IF((Optimizer!$J$8=Fandual!J517),4,0)</f>
        <v>0</v>
      </c>
      <c r="J517" s="2">
        <f>IF((Optimizer!$J$10=Fandual!J517),100,0)</f>
        <v>0</v>
      </c>
      <c r="K517" s="2">
        <f t="shared" si="17"/>
        <v>0</v>
      </c>
      <c r="L517" s="2">
        <f>IF(Fandual!M517="",1,0)</f>
        <v>1</v>
      </c>
    </row>
    <row r="518" spans="1:12" x14ac:dyDescent="0.25">
      <c r="A518" s="2">
        <f>IF((OR(Optimizer!$J$8=Fandual!J518,Optimizer!$J$10=Fandual!J518))=TRUE, 1,0)</f>
        <v>0</v>
      </c>
      <c r="B518" s="2">
        <f>IF((OR(Fandual!O518="",Fandual!O518&lt;&gt;0)=TRUE),1,0)</f>
        <v>1</v>
      </c>
      <c r="C518" s="2">
        <f>IF(Fandual!B518&lt;&gt;"P",1,0)</f>
        <v>0</v>
      </c>
      <c r="D518" s="2">
        <f t="shared" si="16"/>
        <v>0</v>
      </c>
      <c r="E518" s="2">
        <f>IF(D518=1,Fandual!B518,0)</f>
        <v>0</v>
      </c>
      <c r="F518" s="2">
        <f>IF(D518=1,Fandual!D518,0)</f>
        <v>0</v>
      </c>
      <c r="G518" s="2">
        <f>IF(D518=1,Fandual!F518,0)</f>
        <v>0</v>
      </c>
      <c r="H518" s="2">
        <f>IF(D518=1,Fandual!H518,0)</f>
        <v>0</v>
      </c>
      <c r="I518" s="2">
        <f>IF((Optimizer!$J$8=Fandual!J518),4,0)</f>
        <v>0</v>
      </c>
      <c r="J518" s="2">
        <f>IF((Optimizer!$J$10=Fandual!J518),100,0)</f>
        <v>0</v>
      </c>
      <c r="K518" s="2">
        <f t="shared" si="17"/>
        <v>0</v>
      </c>
      <c r="L518" s="2">
        <f>IF(Fandual!M518="",1,0)</f>
        <v>1</v>
      </c>
    </row>
    <row r="519" spans="1:12" x14ac:dyDescent="0.25">
      <c r="A519" s="2">
        <f>IF((OR(Optimizer!$J$8=Fandual!J519,Optimizer!$J$10=Fandual!J519))=TRUE, 1,0)</f>
        <v>0</v>
      </c>
      <c r="B519" s="2">
        <f>IF((OR(Fandual!O519="",Fandual!O519&lt;&gt;0)=TRUE),1,0)</f>
        <v>1</v>
      </c>
      <c r="C519" s="2">
        <f>IF(Fandual!B519&lt;&gt;"P",1,0)</f>
        <v>0</v>
      </c>
      <c r="D519" s="2">
        <f t="shared" si="16"/>
        <v>0</v>
      </c>
      <c r="E519" s="2">
        <f>IF(D519=1,Fandual!B519,0)</f>
        <v>0</v>
      </c>
      <c r="F519" s="2">
        <f>IF(D519=1,Fandual!D519,0)</f>
        <v>0</v>
      </c>
      <c r="G519" s="2">
        <f>IF(D519=1,Fandual!F519,0)</f>
        <v>0</v>
      </c>
      <c r="H519" s="2">
        <f>IF(D519=1,Fandual!H519,0)</f>
        <v>0</v>
      </c>
      <c r="I519" s="2">
        <f>IF((Optimizer!$J$8=Fandual!J519),4,0)</f>
        <v>0</v>
      </c>
      <c r="J519" s="2">
        <f>IF((Optimizer!$J$10=Fandual!J519),100,0)</f>
        <v>0</v>
      </c>
      <c r="K519" s="2">
        <f t="shared" si="17"/>
        <v>0</v>
      </c>
      <c r="L519" s="2">
        <f>IF(Fandual!M519="",1,0)</f>
        <v>1</v>
      </c>
    </row>
    <row r="520" spans="1:12" x14ac:dyDescent="0.25">
      <c r="A520" s="2">
        <f>IF((OR(Optimizer!$J$8=Fandual!J520,Optimizer!$J$10=Fandual!J520))=TRUE, 1,0)</f>
        <v>0</v>
      </c>
      <c r="B520" s="2">
        <f>IF((OR(Fandual!O520="",Fandual!O520&lt;&gt;0)=TRUE),1,0)</f>
        <v>1</v>
      </c>
      <c r="C520" s="2">
        <f>IF(Fandual!B520&lt;&gt;"P",1,0)</f>
        <v>0</v>
      </c>
      <c r="D520" s="2">
        <f t="shared" si="16"/>
        <v>0</v>
      </c>
      <c r="E520" s="2">
        <f>IF(D520=1,Fandual!B520,0)</f>
        <v>0</v>
      </c>
      <c r="F520" s="2">
        <f>IF(D520=1,Fandual!D520,0)</f>
        <v>0</v>
      </c>
      <c r="G520" s="2">
        <f>IF(D520=1,Fandual!F520,0)</f>
        <v>0</v>
      </c>
      <c r="H520" s="2">
        <f>IF(D520=1,Fandual!H520,0)</f>
        <v>0</v>
      </c>
      <c r="I520" s="2">
        <f>IF((Optimizer!$J$8=Fandual!J520),4,0)</f>
        <v>0</v>
      </c>
      <c r="J520" s="2">
        <f>IF((Optimizer!$J$10=Fandual!J520),100,0)</f>
        <v>0</v>
      </c>
      <c r="K520" s="2">
        <f t="shared" si="17"/>
        <v>0</v>
      </c>
      <c r="L520" s="2">
        <f>IF(Fandual!M520="",1,0)</f>
        <v>0</v>
      </c>
    </row>
    <row r="521" spans="1:12" x14ac:dyDescent="0.25">
      <c r="A521" s="2">
        <f>IF((OR(Optimizer!$J$8=Fandual!J521,Optimizer!$J$10=Fandual!J521))=TRUE, 1,0)</f>
        <v>0</v>
      </c>
      <c r="B521" s="2">
        <f>IF((OR(Fandual!O521="",Fandual!O521&lt;&gt;0)=TRUE),1,0)</f>
        <v>1</v>
      </c>
      <c r="C521" s="2">
        <f>IF(Fandual!B521&lt;&gt;"P",1,0)</f>
        <v>0</v>
      </c>
      <c r="D521" s="2">
        <f t="shared" si="16"/>
        <v>0</v>
      </c>
      <c r="E521" s="2">
        <f>IF(D521=1,Fandual!B521,0)</f>
        <v>0</v>
      </c>
      <c r="F521" s="2">
        <f>IF(D521=1,Fandual!D521,0)</f>
        <v>0</v>
      </c>
      <c r="G521" s="2">
        <f>IF(D521=1,Fandual!F521,0)</f>
        <v>0</v>
      </c>
      <c r="H521" s="2">
        <f>IF(D521=1,Fandual!H521,0)</f>
        <v>0</v>
      </c>
      <c r="I521" s="2">
        <f>IF((Optimizer!$J$8=Fandual!J521),4,0)</f>
        <v>0</v>
      </c>
      <c r="J521" s="2">
        <f>IF((Optimizer!$J$10=Fandual!J521),100,0)</f>
        <v>0</v>
      </c>
      <c r="K521" s="2">
        <f t="shared" si="17"/>
        <v>0</v>
      </c>
      <c r="L521" s="2">
        <f>IF(Fandual!M521="",1,0)</f>
        <v>1</v>
      </c>
    </row>
    <row r="522" spans="1:12" x14ac:dyDescent="0.25">
      <c r="A522" s="2">
        <f>IF((OR(Optimizer!$J$8=Fandual!J522,Optimizer!$J$10=Fandual!J522))=TRUE, 1,0)</f>
        <v>0</v>
      </c>
      <c r="B522" s="2">
        <f>IF((OR(Fandual!O522="",Fandual!O522&lt;&gt;0)=TRUE),1,0)</f>
        <v>1</v>
      </c>
      <c r="C522" s="2">
        <f>IF(Fandual!B522&lt;&gt;"P",1,0)</f>
        <v>0</v>
      </c>
      <c r="D522" s="2">
        <f t="shared" si="16"/>
        <v>0</v>
      </c>
      <c r="E522" s="2">
        <f>IF(D522=1,Fandual!B522,0)</f>
        <v>0</v>
      </c>
      <c r="F522" s="2">
        <f>IF(D522=1,Fandual!D522,0)</f>
        <v>0</v>
      </c>
      <c r="G522" s="2">
        <f>IF(D522=1,Fandual!F522,0)</f>
        <v>0</v>
      </c>
      <c r="H522" s="2">
        <f>IF(D522=1,Fandual!H522,0)</f>
        <v>0</v>
      </c>
      <c r="I522" s="2">
        <f>IF((Optimizer!$J$8=Fandual!J522),4,0)</f>
        <v>0</v>
      </c>
      <c r="J522" s="2">
        <f>IF((Optimizer!$J$10=Fandual!J522),100,0)</f>
        <v>0</v>
      </c>
      <c r="K522" s="2">
        <f t="shared" si="17"/>
        <v>0</v>
      </c>
      <c r="L522" s="2">
        <f>IF(Fandual!M522="",1,0)</f>
        <v>1</v>
      </c>
    </row>
    <row r="523" spans="1:12" x14ac:dyDescent="0.25">
      <c r="A523" s="2">
        <f>IF((OR(Optimizer!$J$8=Fandual!J523,Optimizer!$J$10=Fandual!J523))=TRUE, 1,0)</f>
        <v>0</v>
      </c>
      <c r="B523" s="2">
        <f>IF((OR(Fandual!O523="",Fandual!O523&lt;&gt;0)=TRUE),1,0)</f>
        <v>1</v>
      </c>
      <c r="C523" s="2">
        <f>IF(Fandual!B523&lt;&gt;"P",1,0)</f>
        <v>0</v>
      </c>
      <c r="D523" s="2">
        <f t="shared" si="16"/>
        <v>0</v>
      </c>
      <c r="E523" s="2">
        <f>IF(D523=1,Fandual!B523,0)</f>
        <v>0</v>
      </c>
      <c r="F523" s="2">
        <f>IF(D523=1,Fandual!D523,0)</f>
        <v>0</v>
      </c>
      <c r="G523" s="2">
        <f>IF(D523=1,Fandual!F523,0)</f>
        <v>0</v>
      </c>
      <c r="H523" s="2">
        <f>IF(D523=1,Fandual!H523,0)</f>
        <v>0</v>
      </c>
      <c r="I523" s="2">
        <f>IF((Optimizer!$J$8=Fandual!J523),4,0)</f>
        <v>0</v>
      </c>
      <c r="J523" s="2">
        <f>IF((Optimizer!$J$10=Fandual!J523),100,0)</f>
        <v>0</v>
      </c>
      <c r="K523" s="2">
        <f t="shared" si="17"/>
        <v>0</v>
      </c>
      <c r="L523" s="2">
        <f>IF(Fandual!M523="",1,0)</f>
        <v>1</v>
      </c>
    </row>
    <row r="524" spans="1:12" x14ac:dyDescent="0.25">
      <c r="A524" s="2">
        <f>IF((OR(Optimizer!$J$8=Fandual!J524,Optimizer!$J$10=Fandual!J524))=TRUE, 1,0)</f>
        <v>0</v>
      </c>
      <c r="B524" s="2">
        <f>IF((OR(Fandual!O524="",Fandual!O524&lt;&gt;0)=TRUE),1,0)</f>
        <v>1</v>
      </c>
      <c r="C524" s="2">
        <f>IF(Fandual!B524&lt;&gt;"P",1,0)</f>
        <v>0</v>
      </c>
      <c r="D524" s="2">
        <f t="shared" si="16"/>
        <v>0</v>
      </c>
      <c r="E524" s="2">
        <f>IF(D524=1,Fandual!B524,0)</f>
        <v>0</v>
      </c>
      <c r="F524" s="2">
        <f>IF(D524=1,Fandual!D524,0)</f>
        <v>0</v>
      </c>
      <c r="G524" s="2">
        <f>IF(D524=1,Fandual!F524,0)</f>
        <v>0</v>
      </c>
      <c r="H524" s="2">
        <f>IF(D524=1,Fandual!H524,0)</f>
        <v>0</v>
      </c>
      <c r="I524" s="2">
        <f>IF((Optimizer!$J$8=Fandual!J524),4,0)</f>
        <v>0</v>
      </c>
      <c r="J524" s="2">
        <f>IF((Optimizer!$J$10=Fandual!J524),100,0)</f>
        <v>0</v>
      </c>
      <c r="K524" s="2">
        <f t="shared" si="17"/>
        <v>0</v>
      </c>
      <c r="L524" s="2">
        <f>IF(Fandual!M524="",1,0)</f>
        <v>1</v>
      </c>
    </row>
    <row r="525" spans="1:12" x14ac:dyDescent="0.25">
      <c r="A525" s="2">
        <f>IF((OR(Optimizer!$J$8=Fandual!J525,Optimizer!$J$10=Fandual!J525))=TRUE, 1,0)</f>
        <v>0</v>
      </c>
      <c r="B525" s="2">
        <f>IF((OR(Fandual!O525="",Fandual!O525&lt;&gt;0)=TRUE),1,0)</f>
        <v>1</v>
      </c>
      <c r="C525" s="2">
        <f>IF(Fandual!B525&lt;&gt;"P",1,0)</f>
        <v>0</v>
      </c>
      <c r="D525" s="2">
        <f t="shared" si="16"/>
        <v>0</v>
      </c>
      <c r="E525" s="2">
        <f>IF(D525=1,Fandual!B525,0)</f>
        <v>0</v>
      </c>
      <c r="F525" s="2">
        <f>IF(D525=1,Fandual!D525,0)</f>
        <v>0</v>
      </c>
      <c r="G525" s="2">
        <f>IF(D525=1,Fandual!F525,0)</f>
        <v>0</v>
      </c>
      <c r="H525" s="2">
        <f>IF(D525=1,Fandual!H525,0)</f>
        <v>0</v>
      </c>
      <c r="I525" s="2">
        <f>IF((Optimizer!$J$8=Fandual!J525),4,0)</f>
        <v>0</v>
      </c>
      <c r="J525" s="2">
        <f>IF((Optimizer!$J$10=Fandual!J525),100,0)</f>
        <v>0</v>
      </c>
      <c r="K525" s="2">
        <f t="shared" si="17"/>
        <v>0</v>
      </c>
      <c r="L525" s="2">
        <f>IF(Fandual!M525="",1,0)</f>
        <v>1</v>
      </c>
    </row>
    <row r="526" spans="1:12" x14ac:dyDescent="0.25">
      <c r="A526" s="2">
        <f>IF((OR(Optimizer!$J$8=Fandual!J526,Optimizer!$J$10=Fandual!J526))=TRUE, 1,0)</f>
        <v>0</v>
      </c>
      <c r="B526" s="2">
        <f>IF((OR(Fandual!O526="",Fandual!O526&lt;&gt;0)=TRUE),1,0)</f>
        <v>1</v>
      </c>
      <c r="C526" s="2">
        <f>IF(Fandual!B526&lt;&gt;"P",1,0)</f>
        <v>0</v>
      </c>
      <c r="D526" s="2">
        <f t="shared" si="16"/>
        <v>0</v>
      </c>
      <c r="E526" s="2">
        <f>IF(D526=1,Fandual!B526,0)</f>
        <v>0</v>
      </c>
      <c r="F526" s="2">
        <f>IF(D526=1,Fandual!D526,0)</f>
        <v>0</v>
      </c>
      <c r="G526" s="2">
        <f>IF(D526=1,Fandual!F526,0)</f>
        <v>0</v>
      </c>
      <c r="H526" s="2">
        <f>IF(D526=1,Fandual!H526,0)</f>
        <v>0</v>
      </c>
      <c r="I526" s="2">
        <f>IF((Optimizer!$J$8=Fandual!J526),4,0)</f>
        <v>0</v>
      </c>
      <c r="J526" s="2">
        <f>IF((Optimizer!$J$10=Fandual!J526),100,0)</f>
        <v>0</v>
      </c>
      <c r="K526" s="2">
        <f t="shared" si="17"/>
        <v>0</v>
      </c>
      <c r="L526" s="2">
        <f>IF(Fandual!M526="",1,0)</f>
        <v>1</v>
      </c>
    </row>
    <row r="527" spans="1:12" x14ac:dyDescent="0.25">
      <c r="A527" s="2">
        <f>IF((OR(Optimizer!$J$8=Fandual!J527,Optimizer!$J$10=Fandual!J527))=TRUE, 1,0)</f>
        <v>0</v>
      </c>
      <c r="B527" s="2">
        <f>IF((OR(Fandual!O527="",Fandual!O527&lt;&gt;0)=TRUE),1,0)</f>
        <v>1</v>
      </c>
      <c r="C527" s="2">
        <f>IF(Fandual!B527&lt;&gt;"P",1,0)</f>
        <v>0</v>
      </c>
      <c r="D527" s="2">
        <f t="shared" si="16"/>
        <v>0</v>
      </c>
      <c r="E527" s="2">
        <f>IF(D527=1,Fandual!B527,0)</f>
        <v>0</v>
      </c>
      <c r="F527" s="2">
        <f>IF(D527=1,Fandual!D527,0)</f>
        <v>0</v>
      </c>
      <c r="G527" s="2">
        <f>IF(D527=1,Fandual!F527,0)</f>
        <v>0</v>
      </c>
      <c r="H527" s="2">
        <f>IF(D527=1,Fandual!H527,0)</f>
        <v>0</v>
      </c>
      <c r="I527" s="2">
        <f>IF((Optimizer!$J$8=Fandual!J527),4,0)</f>
        <v>0</v>
      </c>
      <c r="J527" s="2">
        <f>IF((Optimizer!$J$10=Fandual!J527),100,0)</f>
        <v>0</v>
      </c>
      <c r="K527" s="2">
        <f t="shared" si="17"/>
        <v>0</v>
      </c>
      <c r="L527" s="2">
        <f>IF(Fandual!M527="",1,0)</f>
        <v>0</v>
      </c>
    </row>
    <row r="528" spans="1:12" x14ac:dyDescent="0.25">
      <c r="A528" s="2">
        <f>IF((OR(Optimizer!$J$8=Fandual!J528,Optimizer!$J$10=Fandual!J528))=TRUE, 1,0)</f>
        <v>0</v>
      </c>
      <c r="B528" s="2">
        <f>IF((OR(Fandual!O528="",Fandual!O528&lt;&gt;0)=TRUE),1,0)</f>
        <v>1</v>
      </c>
      <c r="C528" s="2">
        <f>IF(Fandual!B528&lt;&gt;"P",1,0)</f>
        <v>0</v>
      </c>
      <c r="D528" s="2">
        <f t="shared" si="16"/>
        <v>0</v>
      </c>
      <c r="E528" s="2">
        <f>IF(D528=1,Fandual!B528,0)</f>
        <v>0</v>
      </c>
      <c r="F528" s="2">
        <f>IF(D528=1,Fandual!D528,0)</f>
        <v>0</v>
      </c>
      <c r="G528" s="2">
        <f>IF(D528=1,Fandual!F528,0)</f>
        <v>0</v>
      </c>
      <c r="H528" s="2">
        <f>IF(D528=1,Fandual!H528,0)</f>
        <v>0</v>
      </c>
      <c r="I528" s="2">
        <f>IF((Optimizer!$J$8=Fandual!J528),4,0)</f>
        <v>0</v>
      </c>
      <c r="J528" s="2">
        <f>IF((Optimizer!$J$10=Fandual!J528),100,0)</f>
        <v>0</v>
      </c>
      <c r="K528" s="2">
        <f t="shared" si="17"/>
        <v>0</v>
      </c>
      <c r="L528" s="2">
        <f>IF(Fandual!M528="",1,0)</f>
        <v>1</v>
      </c>
    </row>
    <row r="529" spans="1:12" x14ac:dyDescent="0.25">
      <c r="A529" s="2">
        <f>IF((OR(Optimizer!$J$8=Fandual!J529,Optimizer!$J$10=Fandual!J529))=TRUE, 1,0)</f>
        <v>0</v>
      </c>
      <c r="B529" s="2">
        <f>IF((OR(Fandual!O529="",Fandual!O529&lt;&gt;0)=TRUE),1,0)</f>
        <v>1</v>
      </c>
      <c r="C529" s="2">
        <f>IF(Fandual!B529&lt;&gt;"P",1,0)</f>
        <v>0</v>
      </c>
      <c r="D529" s="2">
        <f t="shared" si="16"/>
        <v>0</v>
      </c>
      <c r="E529" s="2">
        <f>IF(D529=1,Fandual!B529,0)</f>
        <v>0</v>
      </c>
      <c r="F529" s="2">
        <f>IF(D529=1,Fandual!D529,0)</f>
        <v>0</v>
      </c>
      <c r="G529" s="2">
        <f>IF(D529=1,Fandual!F529,0)</f>
        <v>0</v>
      </c>
      <c r="H529" s="2">
        <f>IF(D529=1,Fandual!H529,0)</f>
        <v>0</v>
      </c>
      <c r="I529" s="2">
        <f>IF((Optimizer!$J$8=Fandual!J529),4,0)</f>
        <v>0</v>
      </c>
      <c r="J529" s="2">
        <f>IF((Optimizer!$J$10=Fandual!J529),100,0)</f>
        <v>0</v>
      </c>
      <c r="K529" s="2">
        <f t="shared" si="17"/>
        <v>0</v>
      </c>
      <c r="L529" s="2">
        <f>IF(Fandual!M529="",1,0)</f>
        <v>1</v>
      </c>
    </row>
    <row r="530" spans="1:12" x14ac:dyDescent="0.25">
      <c r="A530" s="2">
        <f>IF((OR(Optimizer!$J$8=Fandual!J530,Optimizer!$J$10=Fandual!J530))=TRUE, 1,0)</f>
        <v>0</v>
      </c>
      <c r="B530" s="2">
        <f>IF((OR(Fandual!O530="",Fandual!O530&lt;&gt;0)=TRUE),1,0)</f>
        <v>1</v>
      </c>
      <c r="C530" s="2">
        <f>IF(Fandual!B530&lt;&gt;"P",1,0)</f>
        <v>0</v>
      </c>
      <c r="D530" s="2">
        <f t="shared" si="16"/>
        <v>0</v>
      </c>
      <c r="E530" s="2">
        <f>IF(D530=1,Fandual!B530,0)</f>
        <v>0</v>
      </c>
      <c r="F530" s="2">
        <f>IF(D530=1,Fandual!D530,0)</f>
        <v>0</v>
      </c>
      <c r="G530" s="2">
        <f>IF(D530=1,Fandual!F530,0)</f>
        <v>0</v>
      </c>
      <c r="H530" s="2">
        <f>IF(D530=1,Fandual!H530,0)</f>
        <v>0</v>
      </c>
      <c r="I530" s="2">
        <f>IF((Optimizer!$J$8=Fandual!J530),4,0)</f>
        <v>0</v>
      </c>
      <c r="J530" s="2">
        <f>IF((Optimizer!$J$10=Fandual!J530),100,0)</f>
        <v>0</v>
      </c>
      <c r="K530" s="2">
        <f t="shared" si="17"/>
        <v>0</v>
      </c>
      <c r="L530" s="2">
        <f>IF(Fandual!M530="",1,0)</f>
        <v>1</v>
      </c>
    </row>
    <row r="531" spans="1:12" x14ac:dyDescent="0.25">
      <c r="A531" s="2">
        <f>IF((OR(Optimizer!$J$8=Fandual!J531,Optimizer!$J$10=Fandual!J531))=TRUE, 1,0)</f>
        <v>0</v>
      </c>
      <c r="B531" s="2">
        <f>IF((OR(Fandual!O531="",Fandual!O531&lt;&gt;0)=TRUE),1,0)</f>
        <v>1</v>
      </c>
      <c r="C531" s="2">
        <f>IF(Fandual!B531&lt;&gt;"P",1,0)</f>
        <v>0</v>
      </c>
      <c r="D531" s="2">
        <f t="shared" si="16"/>
        <v>0</v>
      </c>
      <c r="E531" s="2">
        <f>IF(D531=1,Fandual!B531,0)</f>
        <v>0</v>
      </c>
      <c r="F531" s="2">
        <f>IF(D531=1,Fandual!D531,0)</f>
        <v>0</v>
      </c>
      <c r="G531" s="2">
        <f>IF(D531=1,Fandual!F531,0)</f>
        <v>0</v>
      </c>
      <c r="H531" s="2">
        <f>IF(D531=1,Fandual!H531,0)</f>
        <v>0</v>
      </c>
      <c r="I531" s="2">
        <f>IF((Optimizer!$J$8=Fandual!J531),4,0)</f>
        <v>0</v>
      </c>
      <c r="J531" s="2">
        <f>IF((Optimizer!$J$10=Fandual!J531),100,0)</f>
        <v>0</v>
      </c>
      <c r="K531" s="2">
        <f t="shared" si="17"/>
        <v>0</v>
      </c>
      <c r="L531" s="2">
        <f>IF(Fandual!M531="",1,0)</f>
        <v>1</v>
      </c>
    </row>
    <row r="532" spans="1:12" x14ac:dyDescent="0.25">
      <c r="A532" s="2">
        <f>IF((OR(Optimizer!$J$8=Fandual!J532,Optimizer!$J$10=Fandual!J532))=TRUE, 1,0)</f>
        <v>0</v>
      </c>
      <c r="B532" s="2">
        <f>IF((OR(Fandual!O532="",Fandual!O532&lt;&gt;0)=TRUE),1,0)</f>
        <v>1</v>
      </c>
      <c r="C532" s="2">
        <f>IF(Fandual!B532&lt;&gt;"P",1,0)</f>
        <v>0</v>
      </c>
      <c r="D532" s="2">
        <f t="shared" si="16"/>
        <v>0</v>
      </c>
      <c r="E532" s="2">
        <f>IF(D532=1,Fandual!B532,0)</f>
        <v>0</v>
      </c>
      <c r="F532" s="2">
        <f>IF(D532=1,Fandual!D532,0)</f>
        <v>0</v>
      </c>
      <c r="G532" s="2">
        <f>IF(D532=1,Fandual!F532,0)</f>
        <v>0</v>
      </c>
      <c r="H532" s="2">
        <f>IF(D532=1,Fandual!H532,0)</f>
        <v>0</v>
      </c>
      <c r="I532" s="2">
        <f>IF((Optimizer!$J$8=Fandual!J532),4,0)</f>
        <v>0</v>
      </c>
      <c r="J532" s="2">
        <f>IF((Optimizer!$J$10=Fandual!J532),100,0)</f>
        <v>0</v>
      </c>
      <c r="K532" s="2">
        <f t="shared" si="17"/>
        <v>0</v>
      </c>
      <c r="L532" s="2">
        <f>IF(Fandual!M532="",1,0)</f>
        <v>0</v>
      </c>
    </row>
    <row r="533" spans="1:12" x14ac:dyDescent="0.25">
      <c r="A533" s="2">
        <f>IF((OR(Optimizer!$J$8=Fandual!J533,Optimizer!$J$10=Fandual!J533))=TRUE, 1,0)</f>
        <v>0</v>
      </c>
      <c r="B533" s="2">
        <f>IF((OR(Fandual!O533="",Fandual!O533&lt;&gt;0)=TRUE),1,0)</f>
        <v>1</v>
      </c>
      <c r="C533" s="2">
        <f>IF(Fandual!B533&lt;&gt;"P",1,0)</f>
        <v>0</v>
      </c>
      <c r="D533" s="2">
        <f t="shared" si="16"/>
        <v>0</v>
      </c>
      <c r="E533" s="2">
        <f>IF(D533=1,Fandual!B533,0)</f>
        <v>0</v>
      </c>
      <c r="F533" s="2">
        <f>IF(D533=1,Fandual!D533,0)</f>
        <v>0</v>
      </c>
      <c r="G533" s="2">
        <f>IF(D533=1,Fandual!F533,0)</f>
        <v>0</v>
      </c>
      <c r="H533" s="2">
        <f>IF(D533=1,Fandual!H533,0)</f>
        <v>0</v>
      </c>
      <c r="I533" s="2">
        <f>IF((Optimizer!$J$8=Fandual!J533),4,0)</f>
        <v>0</v>
      </c>
      <c r="J533" s="2">
        <f>IF((Optimizer!$J$10=Fandual!J533),100,0)</f>
        <v>0</v>
      </c>
      <c r="K533" s="2">
        <f t="shared" si="17"/>
        <v>0</v>
      </c>
      <c r="L533" s="2">
        <f>IF(Fandual!M533="",1,0)</f>
        <v>1</v>
      </c>
    </row>
    <row r="534" spans="1:12" x14ac:dyDescent="0.25">
      <c r="A534" s="2">
        <f>IF((OR(Optimizer!$J$8=Fandual!J534,Optimizer!$J$10=Fandual!J534))=TRUE, 1,0)</f>
        <v>0</v>
      </c>
      <c r="B534" s="2">
        <f>IF((OR(Fandual!O534="",Fandual!O534&lt;&gt;0)=TRUE),1,0)</f>
        <v>1</v>
      </c>
      <c r="C534" s="2">
        <f>IF(Fandual!B534&lt;&gt;"P",1,0)</f>
        <v>0</v>
      </c>
      <c r="D534" s="2">
        <f t="shared" si="16"/>
        <v>0</v>
      </c>
      <c r="E534" s="2">
        <f>IF(D534=1,Fandual!B534,0)</f>
        <v>0</v>
      </c>
      <c r="F534" s="2">
        <f>IF(D534=1,Fandual!D534,0)</f>
        <v>0</v>
      </c>
      <c r="G534" s="2">
        <f>IF(D534=1,Fandual!F534,0)</f>
        <v>0</v>
      </c>
      <c r="H534" s="2">
        <f>IF(D534=1,Fandual!H534,0)</f>
        <v>0</v>
      </c>
      <c r="I534" s="2">
        <f>IF((Optimizer!$J$8=Fandual!J534),4,0)</f>
        <v>0</v>
      </c>
      <c r="J534" s="2">
        <f>IF((Optimizer!$J$10=Fandual!J534),100,0)</f>
        <v>0</v>
      </c>
      <c r="K534" s="2">
        <f t="shared" si="17"/>
        <v>0</v>
      </c>
      <c r="L534" s="2">
        <f>IF(Fandual!M534="",1,0)</f>
        <v>0</v>
      </c>
    </row>
    <row r="535" spans="1:12" x14ac:dyDescent="0.25">
      <c r="A535" s="2">
        <f>IF((OR(Optimizer!$J$8=Fandual!J535,Optimizer!$J$10=Fandual!J535))=TRUE, 1,0)</f>
        <v>0</v>
      </c>
      <c r="B535" s="2">
        <f>IF((OR(Fandual!O535="",Fandual!O535&lt;&gt;0)=TRUE),1,0)</f>
        <v>1</v>
      </c>
      <c r="C535" s="2">
        <f>IF(Fandual!B535&lt;&gt;"P",1,0)</f>
        <v>0</v>
      </c>
      <c r="D535" s="2">
        <f t="shared" si="16"/>
        <v>0</v>
      </c>
      <c r="E535" s="2">
        <f>IF(D535=1,Fandual!B535,0)</f>
        <v>0</v>
      </c>
      <c r="F535" s="2">
        <f>IF(D535=1,Fandual!D535,0)</f>
        <v>0</v>
      </c>
      <c r="G535" s="2">
        <f>IF(D535=1,Fandual!F535,0)</f>
        <v>0</v>
      </c>
      <c r="H535" s="2">
        <f>IF(D535=1,Fandual!H535,0)</f>
        <v>0</v>
      </c>
      <c r="I535" s="2">
        <f>IF((Optimizer!$J$8=Fandual!J535),4,0)</f>
        <v>0</v>
      </c>
      <c r="J535" s="2">
        <f>IF((Optimizer!$J$10=Fandual!J535),100,0)</f>
        <v>0</v>
      </c>
      <c r="K535" s="2">
        <f t="shared" si="17"/>
        <v>0</v>
      </c>
      <c r="L535" s="2">
        <f>IF(Fandual!M535="",1,0)</f>
        <v>1</v>
      </c>
    </row>
    <row r="536" spans="1:12" x14ac:dyDescent="0.25">
      <c r="A536" s="2">
        <f>IF((OR(Optimizer!$J$8=Fandual!J536,Optimizer!$J$10=Fandual!J536))=TRUE, 1,0)</f>
        <v>0</v>
      </c>
      <c r="B536" s="2">
        <f>IF((OR(Fandual!O536="",Fandual!O536&lt;&gt;0)=TRUE),1,0)</f>
        <v>1</v>
      </c>
      <c r="C536" s="2">
        <f>IF(Fandual!B536&lt;&gt;"P",1,0)</f>
        <v>0</v>
      </c>
      <c r="D536" s="2">
        <f t="shared" si="16"/>
        <v>0</v>
      </c>
      <c r="E536" s="2">
        <f>IF(D536=1,Fandual!B536,0)</f>
        <v>0</v>
      </c>
      <c r="F536" s="2">
        <f>IF(D536=1,Fandual!D536,0)</f>
        <v>0</v>
      </c>
      <c r="G536" s="2">
        <f>IF(D536=1,Fandual!F536,0)</f>
        <v>0</v>
      </c>
      <c r="H536" s="2">
        <f>IF(D536=1,Fandual!H536,0)</f>
        <v>0</v>
      </c>
      <c r="I536" s="2">
        <f>IF((Optimizer!$J$8=Fandual!J536),4,0)</f>
        <v>0</v>
      </c>
      <c r="J536" s="2">
        <f>IF((Optimizer!$J$10=Fandual!J536),100,0)</f>
        <v>0</v>
      </c>
      <c r="K536" s="2">
        <f t="shared" si="17"/>
        <v>0</v>
      </c>
      <c r="L536" s="2">
        <f>IF(Fandual!M536="",1,0)</f>
        <v>1</v>
      </c>
    </row>
    <row r="537" spans="1:12" x14ac:dyDescent="0.25">
      <c r="A537" s="2">
        <f>IF((OR(Optimizer!$J$8=Fandual!J537,Optimizer!$J$10=Fandual!J537))=TRUE, 1,0)</f>
        <v>0</v>
      </c>
      <c r="B537" s="2">
        <f>IF((OR(Fandual!O537="",Fandual!O537&lt;&gt;0)=TRUE),1,0)</f>
        <v>1</v>
      </c>
      <c r="C537" s="2">
        <f>IF(Fandual!B537&lt;&gt;"P",1,0)</f>
        <v>0</v>
      </c>
      <c r="D537" s="2">
        <f t="shared" si="16"/>
        <v>0</v>
      </c>
      <c r="E537" s="2">
        <f>IF(D537=1,Fandual!B537,0)</f>
        <v>0</v>
      </c>
      <c r="F537" s="2">
        <f>IF(D537=1,Fandual!D537,0)</f>
        <v>0</v>
      </c>
      <c r="G537" s="2">
        <f>IF(D537=1,Fandual!F537,0)</f>
        <v>0</v>
      </c>
      <c r="H537" s="2">
        <f>IF(D537=1,Fandual!H537,0)</f>
        <v>0</v>
      </c>
      <c r="I537" s="2">
        <f>IF((Optimizer!$J$8=Fandual!J537),4,0)</f>
        <v>0</v>
      </c>
      <c r="J537" s="2">
        <f>IF((Optimizer!$J$10=Fandual!J537),100,0)</f>
        <v>0</v>
      </c>
      <c r="K537" s="2">
        <f t="shared" si="17"/>
        <v>0</v>
      </c>
      <c r="L537" s="2">
        <f>IF(Fandual!M537="",1,0)</f>
        <v>1</v>
      </c>
    </row>
    <row r="538" spans="1:12" x14ac:dyDescent="0.25">
      <c r="A538" s="2">
        <f>IF((OR(Optimizer!$J$8=Fandual!J538,Optimizer!$J$10=Fandual!J538))=TRUE, 1,0)</f>
        <v>0</v>
      </c>
      <c r="B538" s="2">
        <f>IF((OR(Fandual!O538="",Fandual!O538&lt;&gt;0)=TRUE),1,0)</f>
        <v>1</v>
      </c>
      <c r="C538" s="2">
        <f>IF(Fandual!B538&lt;&gt;"P",1,0)</f>
        <v>0</v>
      </c>
      <c r="D538" s="2">
        <f t="shared" si="16"/>
        <v>0</v>
      </c>
      <c r="E538" s="2">
        <f>IF(D538=1,Fandual!B538,0)</f>
        <v>0</v>
      </c>
      <c r="F538" s="2">
        <f>IF(D538=1,Fandual!D538,0)</f>
        <v>0</v>
      </c>
      <c r="G538" s="2">
        <f>IF(D538=1,Fandual!F538,0)</f>
        <v>0</v>
      </c>
      <c r="H538" s="2">
        <f>IF(D538=1,Fandual!H538,0)</f>
        <v>0</v>
      </c>
      <c r="I538" s="2">
        <f>IF((Optimizer!$J$8=Fandual!J538),4,0)</f>
        <v>0</v>
      </c>
      <c r="J538" s="2">
        <f>IF((Optimizer!$J$10=Fandual!J538),100,0)</f>
        <v>0</v>
      </c>
      <c r="K538" s="2">
        <f t="shared" si="17"/>
        <v>0</v>
      </c>
      <c r="L538" s="2">
        <f>IF(Fandual!M538="",1,0)</f>
        <v>1</v>
      </c>
    </row>
    <row r="539" spans="1:12" x14ac:dyDescent="0.25">
      <c r="A539" s="2">
        <f>IF((OR(Optimizer!$J$8=Fandual!J539,Optimizer!$J$10=Fandual!J539))=TRUE, 1,0)</f>
        <v>0</v>
      </c>
      <c r="B539" s="2">
        <f>IF((OR(Fandual!O539="",Fandual!O539&lt;&gt;0)=TRUE),1,0)</f>
        <v>1</v>
      </c>
      <c r="C539" s="2">
        <f>IF(Fandual!B539&lt;&gt;"P",1,0)</f>
        <v>0</v>
      </c>
      <c r="D539" s="2">
        <f t="shared" si="16"/>
        <v>0</v>
      </c>
      <c r="E539" s="2">
        <f>IF(D539=1,Fandual!B539,0)</f>
        <v>0</v>
      </c>
      <c r="F539" s="2">
        <f>IF(D539=1,Fandual!D539,0)</f>
        <v>0</v>
      </c>
      <c r="G539" s="2">
        <f>IF(D539=1,Fandual!F539,0)</f>
        <v>0</v>
      </c>
      <c r="H539" s="2">
        <f>IF(D539=1,Fandual!H539,0)</f>
        <v>0</v>
      </c>
      <c r="I539" s="2">
        <f>IF((Optimizer!$J$8=Fandual!J539),4,0)</f>
        <v>0</v>
      </c>
      <c r="J539" s="2">
        <f>IF((Optimizer!$J$10=Fandual!J539),100,0)</f>
        <v>0</v>
      </c>
      <c r="K539" s="2">
        <f t="shared" si="17"/>
        <v>0</v>
      </c>
      <c r="L539" s="2">
        <f>IF(Fandual!M539="",1,0)</f>
        <v>1</v>
      </c>
    </row>
    <row r="540" spans="1:12" x14ac:dyDescent="0.25">
      <c r="A540" s="2">
        <f>IF((OR(Optimizer!$J$8=Fandual!J540,Optimizer!$J$10=Fandual!J540))=TRUE, 1,0)</f>
        <v>0</v>
      </c>
      <c r="B540" s="2">
        <f>IF((OR(Fandual!O540="",Fandual!O540&lt;&gt;0)=TRUE),1,0)</f>
        <v>1</v>
      </c>
      <c r="C540" s="2">
        <f>IF(Fandual!B540&lt;&gt;"P",1,0)</f>
        <v>0</v>
      </c>
      <c r="D540" s="2">
        <f t="shared" si="16"/>
        <v>0</v>
      </c>
      <c r="E540" s="2">
        <f>IF(D540=1,Fandual!B540,0)</f>
        <v>0</v>
      </c>
      <c r="F540" s="2">
        <f>IF(D540=1,Fandual!D540,0)</f>
        <v>0</v>
      </c>
      <c r="G540" s="2">
        <f>IF(D540=1,Fandual!F540,0)</f>
        <v>0</v>
      </c>
      <c r="H540" s="2">
        <f>IF(D540=1,Fandual!H540,0)</f>
        <v>0</v>
      </c>
      <c r="I540" s="2">
        <f>IF((Optimizer!$J$8=Fandual!J540),4,0)</f>
        <v>0</v>
      </c>
      <c r="J540" s="2">
        <f>IF((Optimizer!$J$10=Fandual!J540),100,0)</f>
        <v>0</v>
      </c>
      <c r="K540" s="2">
        <f t="shared" si="17"/>
        <v>0</v>
      </c>
      <c r="L540" s="2">
        <f>IF(Fandual!M540="",1,0)</f>
        <v>1</v>
      </c>
    </row>
    <row r="541" spans="1:12" x14ac:dyDescent="0.25">
      <c r="A541" s="2">
        <f>IF((OR(Optimizer!$J$8=Fandual!J541,Optimizer!$J$10=Fandual!J541))=TRUE, 1,0)</f>
        <v>0</v>
      </c>
      <c r="B541" s="2">
        <f>IF((OR(Fandual!O541="",Fandual!O541&lt;&gt;0)=TRUE),1,0)</f>
        <v>1</v>
      </c>
      <c r="C541" s="2">
        <f>IF(Fandual!B541&lt;&gt;"P",1,0)</f>
        <v>0</v>
      </c>
      <c r="D541" s="2">
        <f t="shared" si="16"/>
        <v>0</v>
      </c>
      <c r="E541" s="2">
        <f>IF(D541=1,Fandual!B541,0)</f>
        <v>0</v>
      </c>
      <c r="F541" s="2">
        <f>IF(D541=1,Fandual!D541,0)</f>
        <v>0</v>
      </c>
      <c r="G541" s="2">
        <f>IF(D541=1,Fandual!F541,0)</f>
        <v>0</v>
      </c>
      <c r="H541" s="2">
        <f>IF(D541=1,Fandual!H541,0)</f>
        <v>0</v>
      </c>
      <c r="I541" s="2">
        <f>IF((Optimizer!$J$8=Fandual!J541),4,0)</f>
        <v>0</v>
      </c>
      <c r="J541" s="2">
        <f>IF((Optimizer!$J$10=Fandual!J541),100,0)</f>
        <v>0</v>
      </c>
      <c r="K541" s="2">
        <f t="shared" si="17"/>
        <v>0</v>
      </c>
      <c r="L541" s="2">
        <f>IF(Fandual!M541="",1,0)</f>
        <v>1</v>
      </c>
    </row>
    <row r="542" spans="1:12" x14ac:dyDescent="0.25">
      <c r="A542" s="2">
        <f>IF((OR(Optimizer!$J$8=Fandual!J542,Optimizer!$J$10=Fandual!J542))=TRUE, 1,0)</f>
        <v>0</v>
      </c>
      <c r="B542" s="2">
        <f>IF((OR(Fandual!O542="",Fandual!O542&lt;&gt;0)=TRUE),1,0)</f>
        <v>1</v>
      </c>
      <c r="C542" s="2">
        <f>IF(Fandual!B542&lt;&gt;"P",1,0)</f>
        <v>0</v>
      </c>
      <c r="D542" s="2">
        <f t="shared" si="16"/>
        <v>0</v>
      </c>
      <c r="E542" s="2">
        <f>IF(D542=1,Fandual!B542,0)</f>
        <v>0</v>
      </c>
      <c r="F542" s="2">
        <f>IF(D542=1,Fandual!D542,0)</f>
        <v>0</v>
      </c>
      <c r="G542" s="2">
        <f>IF(D542=1,Fandual!F542,0)</f>
        <v>0</v>
      </c>
      <c r="H542" s="2">
        <f>IF(D542=1,Fandual!H542,0)</f>
        <v>0</v>
      </c>
      <c r="I542" s="2">
        <f>IF((Optimizer!$J$8=Fandual!J542),4,0)</f>
        <v>0</v>
      </c>
      <c r="J542" s="2">
        <f>IF((Optimizer!$J$10=Fandual!J542),100,0)</f>
        <v>0</v>
      </c>
      <c r="K542" s="2">
        <f t="shared" si="17"/>
        <v>0</v>
      </c>
      <c r="L542" s="2">
        <f>IF(Fandual!M542="",1,0)</f>
        <v>1</v>
      </c>
    </row>
    <row r="543" spans="1:12" x14ac:dyDescent="0.25">
      <c r="A543" s="2">
        <f>IF((OR(Optimizer!$J$8=Fandual!J543,Optimizer!$J$10=Fandual!J543))=TRUE, 1,0)</f>
        <v>0</v>
      </c>
      <c r="B543" s="2">
        <f>IF((OR(Fandual!O543="",Fandual!O543&lt;&gt;0)=TRUE),1,0)</f>
        <v>1</v>
      </c>
      <c r="C543" s="2">
        <f>IF(Fandual!B543&lt;&gt;"P",1,0)</f>
        <v>0</v>
      </c>
      <c r="D543" s="2">
        <f t="shared" si="16"/>
        <v>0</v>
      </c>
      <c r="E543" s="2">
        <f>IF(D543=1,Fandual!B543,0)</f>
        <v>0</v>
      </c>
      <c r="F543" s="2">
        <f>IF(D543=1,Fandual!D543,0)</f>
        <v>0</v>
      </c>
      <c r="G543" s="2">
        <f>IF(D543=1,Fandual!F543,0)</f>
        <v>0</v>
      </c>
      <c r="H543" s="2">
        <f>IF(D543=1,Fandual!H543,0)</f>
        <v>0</v>
      </c>
      <c r="I543" s="2">
        <f>IF((Optimizer!$J$8=Fandual!J543),4,0)</f>
        <v>0</v>
      </c>
      <c r="J543" s="2">
        <f>IF((Optimizer!$J$10=Fandual!J543),100,0)</f>
        <v>0</v>
      </c>
      <c r="K543" s="2">
        <f t="shared" si="17"/>
        <v>0</v>
      </c>
      <c r="L543" s="2">
        <f>IF(Fandual!M543="",1,0)</f>
        <v>1</v>
      </c>
    </row>
    <row r="544" spans="1:12" x14ac:dyDescent="0.25">
      <c r="A544" s="2">
        <f>IF((OR(Optimizer!$J$8=Fandual!J544,Optimizer!$J$10=Fandual!J544))=TRUE, 1,0)</f>
        <v>0</v>
      </c>
      <c r="B544" s="2">
        <f>IF((OR(Fandual!O544="",Fandual!O544&lt;&gt;0)=TRUE),1,0)</f>
        <v>1</v>
      </c>
      <c r="C544" s="2">
        <f>IF(Fandual!B544&lt;&gt;"P",1,0)</f>
        <v>0</v>
      </c>
      <c r="D544" s="2">
        <f t="shared" si="16"/>
        <v>0</v>
      </c>
      <c r="E544" s="2">
        <f>IF(D544=1,Fandual!B544,0)</f>
        <v>0</v>
      </c>
      <c r="F544" s="2">
        <f>IF(D544=1,Fandual!D544,0)</f>
        <v>0</v>
      </c>
      <c r="G544" s="2">
        <f>IF(D544=1,Fandual!F544,0)</f>
        <v>0</v>
      </c>
      <c r="H544" s="2">
        <f>IF(D544=1,Fandual!H544,0)</f>
        <v>0</v>
      </c>
      <c r="I544" s="2">
        <f>IF((Optimizer!$J$8=Fandual!J544),4,0)</f>
        <v>0</v>
      </c>
      <c r="J544" s="2">
        <f>IF((Optimizer!$J$10=Fandual!J544),100,0)</f>
        <v>0</v>
      </c>
      <c r="K544" s="2">
        <f t="shared" si="17"/>
        <v>0</v>
      </c>
      <c r="L544" s="2">
        <f>IF(Fandual!M544="",1,0)</f>
        <v>1</v>
      </c>
    </row>
    <row r="545" spans="1:12" x14ac:dyDescent="0.25">
      <c r="A545" s="2">
        <f>IF((OR(Optimizer!$J$8=Fandual!J545,Optimizer!$J$10=Fandual!J545))=TRUE, 1,0)</f>
        <v>0</v>
      </c>
      <c r="B545" s="2">
        <f>IF((OR(Fandual!O545="",Fandual!O545&lt;&gt;0)=TRUE),1,0)</f>
        <v>1</v>
      </c>
      <c r="C545" s="2">
        <f>IF(Fandual!B545&lt;&gt;"P",1,0)</f>
        <v>0</v>
      </c>
      <c r="D545" s="2">
        <f t="shared" si="16"/>
        <v>0</v>
      </c>
      <c r="E545" s="2">
        <f>IF(D545=1,Fandual!B545,0)</f>
        <v>0</v>
      </c>
      <c r="F545" s="2">
        <f>IF(D545=1,Fandual!D545,0)</f>
        <v>0</v>
      </c>
      <c r="G545" s="2">
        <f>IF(D545=1,Fandual!F545,0)</f>
        <v>0</v>
      </c>
      <c r="H545" s="2">
        <f>IF(D545=1,Fandual!H545,0)</f>
        <v>0</v>
      </c>
      <c r="I545" s="2">
        <f>IF((Optimizer!$J$8=Fandual!J545),4,0)</f>
        <v>0</v>
      </c>
      <c r="J545" s="2">
        <f>IF((Optimizer!$J$10=Fandual!J545),100,0)</f>
        <v>0</v>
      </c>
      <c r="K545" s="2">
        <f t="shared" si="17"/>
        <v>0</v>
      </c>
      <c r="L545" s="2">
        <f>IF(Fandual!M545="",1,0)</f>
        <v>1</v>
      </c>
    </row>
    <row r="546" spans="1:12" x14ac:dyDescent="0.25">
      <c r="A546" s="2">
        <f>IF((OR(Optimizer!$J$8=Fandual!J546,Optimizer!$J$10=Fandual!J546))=TRUE, 1,0)</f>
        <v>0</v>
      </c>
      <c r="B546" s="2">
        <f>IF((OR(Fandual!O546="",Fandual!O546&lt;&gt;0)=TRUE),1,0)</f>
        <v>1</v>
      </c>
      <c r="C546" s="2">
        <f>IF(Fandual!B546&lt;&gt;"P",1,0)</f>
        <v>0</v>
      </c>
      <c r="D546" s="2">
        <f t="shared" si="16"/>
        <v>0</v>
      </c>
      <c r="E546" s="2">
        <f>IF(D546=1,Fandual!B546,0)</f>
        <v>0</v>
      </c>
      <c r="F546" s="2">
        <f>IF(D546=1,Fandual!D546,0)</f>
        <v>0</v>
      </c>
      <c r="G546" s="2">
        <f>IF(D546=1,Fandual!F546,0)</f>
        <v>0</v>
      </c>
      <c r="H546" s="2">
        <f>IF(D546=1,Fandual!H546,0)</f>
        <v>0</v>
      </c>
      <c r="I546" s="2">
        <f>IF((Optimizer!$J$8=Fandual!J546),4,0)</f>
        <v>0</v>
      </c>
      <c r="J546" s="2">
        <f>IF((Optimizer!$J$10=Fandual!J546),100,0)</f>
        <v>0</v>
      </c>
      <c r="K546" s="2">
        <f t="shared" si="17"/>
        <v>0</v>
      </c>
      <c r="L546" s="2">
        <f>IF(Fandual!M546="",1,0)</f>
        <v>1</v>
      </c>
    </row>
    <row r="547" spans="1:12" x14ac:dyDescent="0.25">
      <c r="A547" s="2">
        <f>IF((OR(Optimizer!$J$8=Fandual!J547,Optimizer!$J$10=Fandual!J547))=TRUE, 1,0)</f>
        <v>0</v>
      </c>
      <c r="B547" s="2">
        <f>IF((OR(Fandual!O547="",Fandual!O547&lt;&gt;0)=TRUE),1,0)</f>
        <v>1</v>
      </c>
      <c r="C547" s="2">
        <f>IF(Fandual!B547&lt;&gt;"P",1,0)</f>
        <v>0</v>
      </c>
      <c r="D547" s="2">
        <f t="shared" si="16"/>
        <v>0</v>
      </c>
      <c r="E547" s="2">
        <f>IF(D547=1,Fandual!B547,0)</f>
        <v>0</v>
      </c>
      <c r="F547" s="2">
        <f>IF(D547=1,Fandual!D547,0)</f>
        <v>0</v>
      </c>
      <c r="G547" s="2">
        <f>IF(D547=1,Fandual!F547,0)</f>
        <v>0</v>
      </c>
      <c r="H547" s="2">
        <f>IF(D547=1,Fandual!H547,0)</f>
        <v>0</v>
      </c>
      <c r="I547" s="2">
        <f>IF((Optimizer!$J$8=Fandual!J547),4,0)</f>
        <v>0</v>
      </c>
      <c r="J547" s="2">
        <f>IF((Optimizer!$J$10=Fandual!J547),100,0)</f>
        <v>0</v>
      </c>
      <c r="K547" s="2">
        <f t="shared" si="17"/>
        <v>0</v>
      </c>
      <c r="L547" s="2">
        <f>IF(Fandual!M547="",1,0)</f>
        <v>1</v>
      </c>
    </row>
    <row r="548" spans="1:12" x14ac:dyDescent="0.25">
      <c r="A548" s="2">
        <f>IF((OR(Optimizer!$J$8=Fandual!J548,Optimizer!$J$10=Fandual!J548))=TRUE, 1,0)</f>
        <v>0</v>
      </c>
      <c r="B548" s="2">
        <f>IF((OR(Fandual!O548="",Fandual!O548&lt;&gt;0)=TRUE),1,0)</f>
        <v>1</v>
      </c>
      <c r="C548" s="2">
        <f>IF(Fandual!B548&lt;&gt;"P",1,0)</f>
        <v>0</v>
      </c>
      <c r="D548" s="2">
        <f t="shared" si="16"/>
        <v>0</v>
      </c>
      <c r="E548" s="2">
        <f>IF(D548=1,Fandual!B548,0)</f>
        <v>0</v>
      </c>
      <c r="F548" s="2">
        <f>IF(D548=1,Fandual!D548,0)</f>
        <v>0</v>
      </c>
      <c r="G548" s="2">
        <f>IF(D548=1,Fandual!F548,0)</f>
        <v>0</v>
      </c>
      <c r="H548" s="2">
        <f>IF(D548=1,Fandual!H548,0)</f>
        <v>0</v>
      </c>
      <c r="I548" s="2">
        <f>IF((Optimizer!$J$8=Fandual!J548),4,0)</f>
        <v>0</v>
      </c>
      <c r="J548" s="2">
        <f>IF((Optimizer!$J$10=Fandual!J548),100,0)</f>
        <v>0</v>
      </c>
      <c r="K548" s="2">
        <f t="shared" si="17"/>
        <v>0</v>
      </c>
      <c r="L548" s="2">
        <f>IF(Fandual!M548="",1,0)</f>
        <v>1</v>
      </c>
    </row>
    <row r="549" spans="1:12" x14ac:dyDescent="0.25">
      <c r="A549" s="2">
        <f>IF((OR(Optimizer!$J$8=Fandual!J549,Optimizer!$J$10=Fandual!J549))=TRUE, 1,0)</f>
        <v>0</v>
      </c>
      <c r="B549" s="2">
        <f>IF((OR(Fandual!O549="",Fandual!O549&lt;&gt;0)=TRUE),1,0)</f>
        <v>1</v>
      </c>
      <c r="C549" s="2">
        <f>IF(Fandual!B549&lt;&gt;"P",1,0)</f>
        <v>0</v>
      </c>
      <c r="D549" s="2">
        <f t="shared" si="16"/>
        <v>0</v>
      </c>
      <c r="E549" s="2">
        <f>IF(D549=1,Fandual!B549,0)</f>
        <v>0</v>
      </c>
      <c r="F549" s="2">
        <f>IF(D549=1,Fandual!D549,0)</f>
        <v>0</v>
      </c>
      <c r="G549" s="2">
        <f>IF(D549=1,Fandual!F549,0)</f>
        <v>0</v>
      </c>
      <c r="H549" s="2">
        <f>IF(D549=1,Fandual!H549,0)</f>
        <v>0</v>
      </c>
      <c r="I549" s="2">
        <f>IF((Optimizer!$J$8=Fandual!J549),4,0)</f>
        <v>0</v>
      </c>
      <c r="J549" s="2">
        <f>IF((Optimizer!$J$10=Fandual!J549),100,0)</f>
        <v>0</v>
      </c>
      <c r="K549" s="2">
        <f t="shared" si="17"/>
        <v>0</v>
      </c>
      <c r="L549" s="2">
        <f>IF(Fandual!M549="",1,0)</f>
        <v>1</v>
      </c>
    </row>
    <row r="550" spans="1:12" x14ac:dyDescent="0.25">
      <c r="A550" s="2">
        <f>IF((OR(Optimizer!$J$8=Fandual!J550,Optimizer!$J$10=Fandual!J550))=TRUE, 1,0)</f>
        <v>0</v>
      </c>
      <c r="B550" s="2">
        <f>IF((OR(Fandual!O550="",Fandual!O550&lt;&gt;0)=TRUE),1,0)</f>
        <v>1</v>
      </c>
      <c r="C550" s="2">
        <f>IF(Fandual!B550&lt;&gt;"P",1,0)</f>
        <v>0</v>
      </c>
      <c r="D550" s="2">
        <f t="shared" si="16"/>
        <v>0</v>
      </c>
      <c r="E550" s="2">
        <f>IF(D550=1,Fandual!B550,0)</f>
        <v>0</v>
      </c>
      <c r="F550" s="2">
        <f>IF(D550=1,Fandual!D550,0)</f>
        <v>0</v>
      </c>
      <c r="G550" s="2">
        <f>IF(D550=1,Fandual!F550,0)</f>
        <v>0</v>
      </c>
      <c r="H550" s="2">
        <f>IF(D550=1,Fandual!H550,0)</f>
        <v>0</v>
      </c>
      <c r="I550" s="2">
        <f>IF((Optimizer!$J$8=Fandual!J550),4,0)</f>
        <v>0</v>
      </c>
      <c r="J550" s="2">
        <f>IF((Optimizer!$J$10=Fandual!J550),100,0)</f>
        <v>0</v>
      </c>
      <c r="K550" s="2">
        <f t="shared" si="17"/>
        <v>0</v>
      </c>
      <c r="L550" s="2">
        <f>IF(Fandual!M550="",1,0)</f>
        <v>1</v>
      </c>
    </row>
    <row r="551" spans="1:12" x14ac:dyDescent="0.25">
      <c r="A551" s="2">
        <f>IF((OR(Optimizer!$J$8=Fandual!J551,Optimizer!$J$10=Fandual!J551))=TRUE, 1,0)</f>
        <v>0</v>
      </c>
      <c r="B551" s="2">
        <f>IF((OR(Fandual!O551="",Fandual!O551&lt;&gt;0)=TRUE),1,0)</f>
        <v>1</v>
      </c>
      <c r="C551" s="2">
        <f>IF(Fandual!B551&lt;&gt;"P",1,0)</f>
        <v>0</v>
      </c>
      <c r="D551" s="2">
        <f t="shared" si="16"/>
        <v>0</v>
      </c>
      <c r="E551" s="2">
        <f>IF(D551=1,Fandual!B551,0)</f>
        <v>0</v>
      </c>
      <c r="F551" s="2">
        <f>IF(D551=1,Fandual!D551,0)</f>
        <v>0</v>
      </c>
      <c r="G551" s="2">
        <f>IF(D551=1,Fandual!F551,0)</f>
        <v>0</v>
      </c>
      <c r="H551" s="2">
        <f>IF(D551=1,Fandual!H551,0)</f>
        <v>0</v>
      </c>
      <c r="I551" s="2">
        <f>IF((Optimizer!$J$8=Fandual!J551),4,0)</f>
        <v>0</v>
      </c>
      <c r="J551" s="2">
        <f>IF((Optimizer!$J$10=Fandual!J551),100,0)</f>
        <v>0</v>
      </c>
      <c r="K551" s="2">
        <f t="shared" si="17"/>
        <v>0</v>
      </c>
      <c r="L551" s="2">
        <f>IF(Fandual!M551="",1,0)</f>
        <v>1</v>
      </c>
    </row>
    <row r="552" spans="1:12" x14ac:dyDescent="0.25">
      <c r="A552" s="2">
        <f>IF((OR(Optimizer!$J$8=Fandual!J552,Optimizer!$J$10=Fandual!J552))=TRUE, 1,0)</f>
        <v>0</v>
      </c>
      <c r="B552" s="2">
        <f>IF((OR(Fandual!O552="",Fandual!O552&lt;&gt;0)=TRUE),1,0)</f>
        <v>1</v>
      </c>
      <c r="C552" s="2">
        <f>IF(Fandual!B552&lt;&gt;"P",1,0)</f>
        <v>0</v>
      </c>
      <c r="D552" s="2">
        <f t="shared" si="16"/>
        <v>0</v>
      </c>
      <c r="E552" s="2">
        <f>IF(D552=1,Fandual!B552,0)</f>
        <v>0</v>
      </c>
      <c r="F552" s="2">
        <f>IF(D552=1,Fandual!D552,0)</f>
        <v>0</v>
      </c>
      <c r="G552" s="2">
        <f>IF(D552=1,Fandual!F552,0)</f>
        <v>0</v>
      </c>
      <c r="H552" s="2">
        <f>IF(D552=1,Fandual!H552,0)</f>
        <v>0</v>
      </c>
      <c r="I552" s="2">
        <f>IF((Optimizer!$J$8=Fandual!J552),4,0)</f>
        <v>0</v>
      </c>
      <c r="J552" s="2">
        <f>IF((Optimizer!$J$10=Fandual!J552),100,0)</f>
        <v>0</v>
      </c>
      <c r="K552" s="2">
        <f t="shared" si="17"/>
        <v>0</v>
      </c>
      <c r="L552" s="2">
        <f>IF(Fandual!M552="",1,0)</f>
        <v>1</v>
      </c>
    </row>
    <row r="553" spans="1:12" x14ac:dyDescent="0.25">
      <c r="A553" s="2">
        <f>IF((OR(Optimizer!$J$8=Fandual!J553,Optimizer!$J$10=Fandual!J553))=TRUE, 1,0)</f>
        <v>0</v>
      </c>
      <c r="B553" s="2">
        <f>IF((OR(Fandual!O553="",Fandual!O553&lt;&gt;0)=TRUE),1,0)</f>
        <v>1</v>
      </c>
      <c r="C553" s="2">
        <f>IF(Fandual!B553&lt;&gt;"P",1,0)</f>
        <v>0</v>
      </c>
      <c r="D553" s="2">
        <f t="shared" si="16"/>
        <v>0</v>
      </c>
      <c r="E553" s="2">
        <f>IF(D553=1,Fandual!B553,0)</f>
        <v>0</v>
      </c>
      <c r="F553" s="2">
        <f>IF(D553=1,Fandual!D553,0)</f>
        <v>0</v>
      </c>
      <c r="G553" s="2">
        <f>IF(D553=1,Fandual!F553,0)</f>
        <v>0</v>
      </c>
      <c r="H553" s="2">
        <f>IF(D553=1,Fandual!H553,0)</f>
        <v>0</v>
      </c>
      <c r="I553" s="2">
        <f>IF((Optimizer!$J$8=Fandual!J553),4,0)</f>
        <v>0</v>
      </c>
      <c r="J553" s="2">
        <f>IF((Optimizer!$J$10=Fandual!J553),100,0)</f>
        <v>0</v>
      </c>
      <c r="K553" s="2">
        <f t="shared" si="17"/>
        <v>0</v>
      </c>
      <c r="L553" s="2">
        <f>IF(Fandual!M553="",1,0)</f>
        <v>1</v>
      </c>
    </row>
    <row r="554" spans="1:12" x14ac:dyDescent="0.25">
      <c r="A554" s="2">
        <f>IF((OR(Optimizer!$J$8=Fandual!J554,Optimizer!$J$10=Fandual!J554))=TRUE, 1,0)</f>
        <v>0</v>
      </c>
      <c r="B554" s="2">
        <f>IF((OR(Fandual!O554="",Fandual!O554&lt;&gt;0)=TRUE),1,0)</f>
        <v>1</v>
      </c>
      <c r="C554" s="2">
        <f>IF(Fandual!B554&lt;&gt;"P",1,0)</f>
        <v>0</v>
      </c>
      <c r="D554" s="2">
        <f t="shared" si="16"/>
        <v>0</v>
      </c>
      <c r="E554" s="2">
        <f>IF(D554=1,Fandual!B554,0)</f>
        <v>0</v>
      </c>
      <c r="F554" s="2">
        <f>IF(D554=1,Fandual!D554,0)</f>
        <v>0</v>
      </c>
      <c r="G554" s="2">
        <f>IF(D554=1,Fandual!F554,0)</f>
        <v>0</v>
      </c>
      <c r="H554" s="2">
        <f>IF(D554=1,Fandual!H554,0)</f>
        <v>0</v>
      </c>
      <c r="I554" s="2">
        <f>IF((Optimizer!$J$8=Fandual!J554),4,0)</f>
        <v>0</v>
      </c>
      <c r="J554" s="2">
        <f>IF((Optimizer!$J$10=Fandual!J554),100,0)</f>
        <v>0</v>
      </c>
      <c r="K554" s="2">
        <f t="shared" si="17"/>
        <v>0</v>
      </c>
      <c r="L554" s="2">
        <f>IF(Fandual!M554="",1,0)</f>
        <v>0</v>
      </c>
    </row>
    <row r="555" spans="1:12" x14ac:dyDescent="0.25">
      <c r="A555" s="2">
        <f>IF((OR(Optimizer!$J$8=Fandual!J555,Optimizer!$J$10=Fandual!J555))=TRUE, 1,0)</f>
        <v>0</v>
      </c>
      <c r="B555" s="2">
        <f>IF((OR(Fandual!O555="",Fandual!O555&lt;&gt;0)=TRUE),1,0)</f>
        <v>1</v>
      </c>
      <c r="C555" s="2">
        <f>IF(Fandual!B555&lt;&gt;"P",1,0)</f>
        <v>0</v>
      </c>
      <c r="D555" s="2">
        <f t="shared" si="16"/>
        <v>0</v>
      </c>
      <c r="E555" s="2">
        <f>IF(D555=1,Fandual!B555,0)</f>
        <v>0</v>
      </c>
      <c r="F555" s="2">
        <f>IF(D555=1,Fandual!D555,0)</f>
        <v>0</v>
      </c>
      <c r="G555" s="2">
        <f>IF(D555=1,Fandual!F555,0)</f>
        <v>0</v>
      </c>
      <c r="H555" s="2">
        <f>IF(D555=1,Fandual!H555,0)</f>
        <v>0</v>
      </c>
      <c r="I555" s="2">
        <f>IF((Optimizer!$J$8=Fandual!J555),4,0)</f>
        <v>0</v>
      </c>
      <c r="J555" s="2">
        <f>IF((Optimizer!$J$10=Fandual!J555),100,0)</f>
        <v>0</v>
      </c>
      <c r="K555" s="2">
        <f t="shared" si="17"/>
        <v>0</v>
      </c>
      <c r="L555" s="2">
        <f>IF(Fandual!M555="",1,0)</f>
        <v>1</v>
      </c>
    </row>
    <row r="556" spans="1:12" x14ac:dyDescent="0.25">
      <c r="A556" s="2">
        <f>IF((OR(Optimizer!$J$8=Fandual!J556,Optimizer!$J$10=Fandual!J556))=TRUE, 1,0)</f>
        <v>1</v>
      </c>
      <c r="B556" s="2">
        <f>IF((OR(Fandual!O556="",Fandual!O556&lt;&gt;0)=TRUE),1,0)</f>
        <v>1</v>
      </c>
      <c r="C556" s="2">
        <f>IF(Fandual!B556&lt;&gt;"P",1,0)</f>
        <v>0</v>
      </c>
      <c r="D556" s="2">
        <f t="shared" si="16"/>
        <v>0</v>
      </c>
      <c r="E556" s="2">
        <f>IF(D556=1,Fandual!B556,0)</f>
        <v>0</v>
      </c>
      <c r="F556" s="2">
        <f>IF(D556=1,Fandual!D556,0)</f>
        <v>0</v>
      </c>
      <c r="G556" s="2">
        <f>IF(D556=1,Fandual!F556,0)</f>
        <v>0</v>
      </c>
      <c r="H556" s="2">
        <f>IF(D556=1,Fandual!H556,0)</f>
        <v>0</v>
      </c>
      <c r="I556" s="2">
        <f>IF((Optimizer!$J$8=Fandual!J556),4,0)</f>
        <v>0</v>
      </c>
      <c r="J556" s="2">
        <f>IF((Optimizer!$J$10=Fandual!J556),100,0)</f>
        <v>100</v>
      </c>
      <c r="K556" s="2">
        <f t="shared" si="17"/>
        <v>0</v>
      </c>
      <c r="L556" s="2">
        <f>IF(Fandual!M556="",1,0)</f>
        <v>1</v>
      </c>
    </row>
    <row r="557" spans="1:12" x14ac:dyDescent="0.25">
      <c r="A557" s="2">
        <f>IF((OR(Optimizer!$J$8=Fandual!J557,Optimizer!$J$10=Fandual!J557))=TRUE, 1,0)</f>
        <v>0</v>
      </c>
      <c r="B557" s="2">
        <f>IF((OR(Fandual!O557="",Fandual!O557&lt;&gt;0)=TRUE),1,0)</f>
        <v>1</v>
      </c>
      <c r="C557" s="2">
        <f>IF(Fandual!B557&lt;&gt;"P",1,0)</f>
        <v>0</v>
      </c>
      <c r="D557" s="2">
        <f t="shared" si="16"/>
        <v>0</v>
      </c>
      <c r="E557" s="2">
        <f>IF(D557=1,Fandual!B557,0)</f>
        <v>0</v>
      </c>
      <c r="F557" s="2">
        <f>IF(D557=1,Fandual!D557,0)</f>
        <v>0</v>
      </c>
      <c r="G557" s="2">
        <f>IF(D557=1,Fandual!F557,0)</f>
        <v>0</v>
      </c>
      <c r="H557" s="2">
        <f>IF(D557=1,Fandual!H557,0)</f>
        <v>0</v>
      </c>
      <c r="I557" s="2">
        <f>IF((Optimizer!$J$8=Fandual!J557),4,0)</f>
        <v>0</v>
      </c>
      <c r="J557" s="2">
        <f>IF((Optimizer!$J$10=Fandual!J557),100,0)</f>
        <v>0</v>
      </c>
      <c r="K557" s="2">
        <f t="shared" si="17"/>
        <v>0</v>
      </c>
      <c r="L557" s="2">
        <f>IF(Fandual!M557="",1,0)</f>
        <v>1</v>
      </c>
    </row>
    <row r="558" spans="1:12" x14ac:dyDescent="0.25">
      <c r="A558" s="2">
        <f>IF((OR(Optimizer!$J$8=Fandual!J558,Optimizer!$J$10=Fandual!J558))=TRUE, 1,0)</f>
        <v>0</v>
      </c>
      <c r="B558" s="2">
        <f>IF((OR(Fandual!O558="",Fandual!O558&lt;&gt;0)=TRUE),1,0)</f>
        <v>1</v>
      </c>
      <c r="C558" s="2">
        <f>IF(Fandual!B558&lt;&gt;"P",1,0)</f>
        <v>0</v>
      </c>
      <c r="D558" s="2">
        <f t="shared" si="16"/>
        <v>0</v>
      </c>
      <c r="E558" s="2">
        <f>IF(D558=1,Fandual!B558,0)</f>
        <v>0</v>
      </c>
      <c r="F558" s="2">
        <f>IF(D558=1,Fandual!D558,0)</f>
        <v>0</v>
      </c>
      <c r="G558" s="2">
        <f>IF(D558=1,Fandual!F558,0)</f>
        <v>0</v>
      </c>
      <c r="H558" s="2">
        <f>IF(D558=1,Fandual!H558,0)</f>
        <v>0</v>
      </c>
      <c r="I558" s="2">
        <f>IF((Optimizer!$J$8=Fandual!J558),4,0)</f>
        <v>0</v>
      </c>
      <c r="J558" s="2">
        <f>IF((Optimizer!$J$10=Fandual!J558),100,0)</f>
        <v>0</v>
      </c>
      <c r="K558" s="2">
        <f t="shared" si="17"/>
        <v>0</v>
      </c>
      <c r="L558" s="2">
        <f>IF(Fandual!M558="",1,0)</f>
        <v>1</v>
      </c>
    </row>
    <row r="559" spans="1:12" x14ac:dyDescent="0.25">
      <c r="A559" s="2">
        <f>IF((OR(Optimizer!$J$8=Fandual!J559,Optimizer!$J$10=Fandual!J559))=TRUE, 1,0)</f>
        <v>0</v>
      </c>
      <c r="B559" s="2">
        <f>IF((OR(Fandual!O559="",Fandual!O559&lt;&gt;0)=TRUE),1,0)</f>
        <v>1</v>
      </c>
      <c r="C559" s="2">
        <f>IF(Fandual!B559&lt;&gt;"P",1,0)</f>
        <v>0</v>
      </c>
      <c r="D559" s="2">
        <f t="shared" si="16"/>
        <v>0</v>
      </c>
      <c r="E559" s="2">
        <f>IF(D559=1,Fandual!B559,0)</f>
        <v>0</v>
      </c>
      <c r="F559" s="2">
        <f>IF(D559=1,Fandual!D559,0)</f>
        <v>0</v>
      </c>
      <c r="G559" s="2">
        <f>IF(D559=1,Fandual!F559,0)</f>
        <v>0</v>
      </c>
      <c r="H559" s="2">
        <f>IF(D559=1,Fandual!H559,0)</f>
        <v>0</v>
      </c>
      <c r="I559" s="2">
        <f>IF((Optimizer!$J$8=Fandual!J559),4,0)</f>
        <v>0</v>
      </c>
      <c r="J559" s="2">
        <f>IF((Optimizer!$J$10=Fandual!J559),100,0)</f>
        <v>0</v>
      </c>
      <c r="K559" s="2">
        <f t="shared" si="17"/>
        <v>0</v>
      </c>
      <c r="L559" s="2">
        <f>IF(Fandual!M559="",1,0)</f>
        <v>1</v>
      </c>
    </row>
    <row r="560" spans="1:12" x14ac:dyDescent="0.25">
      <c r="A560" s="2">
        <f>IF((OR(Optimizer!$J$8=Fandual!J560,Optimizer!$J$10=Fandual!J560))=TRUE, 1,0)</f>
        <v>0</v>
      </c>
      <c r="B560" s="2">
        <f>IF((OR(Fandual!O560="",Fandual!O560&lt;&gt;0)=TRUE),1,0)</f>
        <v>1</v>
      </c>
      <c r="C560" s="2">
        <f>IF(Fandual!B560&lt;&gt;"P",1,0)</f>
        <v>0</v>
      </c>
      <c r="D560" s="2">
        <f t="shared" si="16"/>
        <v>0</v>
      </c>
      <c r="E560" s="2">
        <f>IF(D560=1,Fandual!B560,0)</f>
        <v>0</v>
      </c>
      <c r="F560" s="2">
        <f>IF(D560=1,Fandual!D560,0)</f>
        <v>0</v>
      </c>
      <c r="G560" s="2">
        <f>IF(D560=1,Fandual!F560,0)</f>
        <v>0</v>
      </c>
      <c r="H560" s="2">
        <f>IF(D560=1,Fandual!H560,0)</f>
        <v>0</v>
      </c>
      <c r="I560" s="2">
        <f>IF((Optimizer!$J$8=Fandual!J560),4,0)</f>
        <v>0</v>
      </c>
      <c r="J560" s="2">
        <f>IF((Optimizer!$J$10=Fandual!J560),100,0)</f>
        <v>0</v>
      </c>
      <c r="K560" s="2">
        <f t="shared" si="17"/>
        <v>0</v>
      </c>
      <c r="L560" s="2">
        <f>IF(Fandual!M560="",1,0)</f>
        <v>1</v>
      </c>
    </row>
    <row r="561" spans="1:12" x14ac:dyDescent="0.25">
      <c r="A561" s="2">
        <f>IF((OR(Optimizer!$J$8=Fandual!J561,Optimizer!$J$10=Fandual!J561))=TRUE, 1,0)</f>
        <v>0</v>
      </c>
      <c r="B561" s="2">
        <f>IF((OR(Fandual!O561="",Fandual!O561&lt;&gt;0)=TRUE),1,0)</f>
        <v>1</v>
      </c>
      <c r="C561" s="2">
        <f>IF(Fandual!B561&lt;&gt;"P",1,0)</f>
        <v>0</v>
      </c>
      <c r="D561" s="2">
        <f t="shared" si="16"/>
        <v>0</v>
      </c>
      <c r="E561" s="2">
        <f>IF(D561=1,Fandual!B561,0)</f>
        <v>0</v>
      </c>
      <c r="F561" s="2">
        <f>IF(D561=1,Fandual!D561,0)</f>
        <v>0</v>
      </c>
      <c r="G561" s="2">
        <f>IF(D561=1,Fandual!F561,0)</f>
        <v>0</v>
      </c>
      <c r="H561" s="2">
        <f>IF(D561=1,Fandual!H561,0)</f>
        <v>0</v>
      </c>
      <c r="I561" s="2">
        <f>IF((Optimizer!$J$8=Fandual!J561),4,0)</f>
        <v>0</v>
      </c>
      <c r="J561" s="2">
        <f>IF((Optimizer!$J$10=Fandual!J561),100,0)</f>
        <v>0</v>
      </c>
      <c r="K561" s="2">
        <f t="shared" si="17"/>
        <v>0</v>
      </c>
      <c r="L561" s="2">
        <f>IF(Fandual!M561="",1,0)</f>
        <v>1</v>
      </c>
    </row>
    <row r="562" spans="1:12" x14ac:dyDescent="0.25">
      <c r="A562" s="2">
        <f>IF((OR(Optimizer!$J$8=Fandual!J562,Optimizer!$J$10=Fandual!J562))=TRUE, 1,0)</f>
        <v>0</v>
      </c>
      <c r="B562" s="2">
        <f>IF((OR(Fandual!O562="",Fandual!O562&lt;&gt;0)=TRUE),1,0)</f>
        <v>1</v>
      </c>
      <c r="C562" s="2">
        <f>IF(Fandual!B562&lt;&gt;"P",1,0)</f>
        <v>0</v>
      </c>
      <c r="D562" s="2">
        <f t="shared" si="16"/>
        <v>0</v>
      </c>
      <c r="E562" s="2">
        <f>IF(D562=1,Fandual!B562,0)</f>
        <v>0</v>
      </c>
      <c r="F562" s="2">
        <f>IF(D562=1,Fandual!D562,0)</f>
        <v>0</v>
      </c>
      <c r="G562" s="2">
        <f>IF(D562=1,Fandual!F562,0)</f>
        <v>0</v>
      </c>
      <c r="H562" s="2">
        <f>IF(D562=1,Fandual!H562,0)</f>
        <v>0</v>
      </c>
      <c r="I562" s="2">
        <f>IF((Optimizer!$J$8=Fandual!J562),4,0)</f>
        <v>0</v>
      </c>
      <c r="J562" s="2">
        <f>IF((Optimizer!$J$10=Fandual!J562),100,0)</f>
        <v>0</v>
      </c>
      <c r="K562" s="2">
        <f t="shared" si="17"/>
        <v>0</v>
      </c>
      <c r="L562" s="2">
        <f>IF(Fandual!M562="",1,0)</f>
        <v>0</v>
      </c>
    </row>
    <row r="563" spans="1:12" x14ac:dyDescent="0.25">
      <c r="A563" s="2">
        <f>IF((OR(Optimizer!$J$8=Fandual!J563,Optimizer!$J$10=Fandual!J563))=TRUE, 1,0)</f>
        <v>0</v>
      </c>
      <c r="B563" s="2">
        <f>IF((OR(Fandual!O563="",Fandual!O563&lt;&gt;0)=TRUE),1,0)</f>
        <v>1</v>
      </c>
      <c r="C563" s="2">
        <f>IF(Fandual!B563&lt;&gt;"P",1,0)</f>
        <v>0</v>
      </c>
      <c r="D563" s="2">
        <f t="shared" si="16"/>
        <v>0</v>
      </c>
      <c r="E563" s="2">
        <f>IF(D563=1,Fandual!B563,0)</f>
        <v>0</v>
      </c>
      <c r="F563" s="2">
        <f>IF(D563=1,Fandual!D563,0)</f>
        <v>0</v>
      </c>
      <c r="G563" s="2">
        <f>IF(D563=1,Fandual!F563,0)</f>
        <v>0</v>
      </c>
      <c r="H563" s="2">
        <f>IF(D563=1,Fandual!H563,0)</f>
        <v>0</v>
      </c>
      <c r="I563" s="2">
        <f>IF((Optimizer!$J$8=Fandual!J563),4,0)</f>
        <v>0</v>
      </c>
      <c r="J563" s="2">
        <f>IF((Optimizer!$J$10=Fandual!J563),100,0)</f>
        <v>0</v>
      </c>
      <c r="K563" s="2">
        <f t="shared" si="17"/>
        <v>0</v>
      </c>
      <c r="L563" s="2">
        <f>IF(Fandual!M563="",1,0)</f>
        <v>0</v>
      </c>
    </row>
    <row r="564" spans="1:12" x14ac:dyDescent="0.25">
      <c r="A564" s="2">
        <f>IF((OR(Optimizer!$J$8=Fandual!J564,Optimizer!$J$10=Fandual!J564))=TRUE, 1,0)</f>
        <v>0</v>
      </c>
      <c r="B564" s="2">
        <f>IF((OR(Fandual!O564="",Fandual!O564&lt;&gt;0)=TRUE),1,0)</f>
        <v>1</v>
      </c>
      <c r="C564" s="2">
        <f>IF(Fandual!B564&lt;&gt;"P",1,0)</f>
        <v>0</v>
      </c>
      <c r="D564" s="2">
        <f t="shared" si="16"/>
        <v>0</v>
      </c>
      <c r="E564" s="2">
        <f>IF(D564=1,Fandual!B564,0)</f>
        <v>0</v>
      </c>
      <c r="F564" s="2">
        <f>IF(D564=1,Fandual!D564,0)</f>
        <v>0</v>
      </c>
      <c r="G564" s="2">
        <f>IF(D564=1,Fandual!F564,0)</f>
        <v>0</v>
      </c>
      <c r="H564" s="2">
        <f>IF(D564=1,Fandual!H564,0)</f>
        <v>0</v>
      </c>
      <c r="I564" s="2">
        <f>IF((Optimizer!$J$8=Fandual!J564),4,0)</f>
        <v>0</v>
      </c>
      <c r="J564" s="2">
        <f>IF((Optimizer!$J$10=Fandual!J564),100,0)</f>
        <v>0</v>
      </c>
      <c r="K564" s="2">
        <f t="shared" si="17"/>
        <v>0</v>
      </c>
      <c r="L564" s="2">
        <f>IF(Fandual!M564="",1,0)</f>
        <v>1</v>
      </c>
    </row>
    <row r="565" spans="1:12" x14ac:dyDescent="0.25">
      <c r="A565" s="2">
        <f>IF((OR(Optimizer!$J$8=Fandual!J565,Optimizer!$J$10=Fandual!J565))=TRUE, 1,0)</f>
        <v>0</v>
      </c>
      <c r="B565" s="2">
        <f>IF((OR(Fandual!O565="",Fandual!O565&lt;&gt;0)=TRUE),1,0)</f>
        <v>1</v>
      </c>
      <c r="C565" s="2">
        <f>IF(Fandual!B565&lt;&gt;"P",1,0)</f>
        <v>0</v>
      </c>
      <c r="D565" s="2">
        <f t="shared" si="16"/>
        <v>0</v>
      </c>
      <c r="E565" s="2">
        <f>IF(D565=1,Fandual!B565,0)</f>
        <v>0</v>
      </c>
      <c r="F565" s="2">
        <f>IF(D565=1,Fandual!D565,0)</f>
        <v>0</v>
      </c>
      <c r="G565" s="2">
        <f>IF(D565=1,Fandual!F565,0)</f>
        <v>0</v>
      </c>
      <c r="H565" s="2">
        <f>IF(D565=1,Fandual!H565,0)</f>
        <v>0</v>
      </c>
      <c r="I565" s="2">
        <f>IF((Optimizer!$J$8=Fandual!J565),4,0)</f>
        <v>0</v>
      </c>
      <c r="J565" s="2">
        <f>IF((Optimizer!$J$10=Fandual!J565),100,0)</f>
        <v>0</v>
      </c>
      <c r="K565" s="2">
        <f t="shared" si="17"/>
        <v>0</v>
      </c>
      <c r="L565" s="2">
        <f>IF(Fandual!M565="",1,0)</f>
        <v>1</v>
      </c>
    </row>
    <row r="566" spans="1:12" x14ac:dyDescent="0.25">
      <c r="A566" s="2">
        <f>IF((OR(Optimizer!$J$8=Fandual!J566,Optimizer!$J$10=Fandual!J566))=TRUE, 1,0)</f>
        <v>0</v>
      </c>
      <c r="B566" s="2">
        <f>IF((OR(Fandual!O566="",Fandual!O566&lt;&gt;0)=TRUE),1,0)</f>
        <v>1</v>
      </c>
      <c r="C566" s="2">
        <f>IF(Fandual!B566&lt;&gt;"P",1,0)</f>
        <v>0</v>
      </c>
      <c r="D566" s="2">
        <f t="shared" si="16"/>
        <v>0</v>
      </c>
      <c r="E566" s="2">
        <f>IF(D566=1,Fandual!B566,0)</f>
        <v>0</v>
      </c>
      <c r="F566" s="2">
        <f>IF(D566=1,Fandual!D566,0)</f>
        <v>0</v>
      </c>
      <c r="G566" s="2">
        <f>IF(D566=1,Fandual!F566,0)</f>
        <v>0</v>
      </c>
      <c r="H566" s="2">
        <f>IF(D566=1,Fandual!H566,0)</f>
        <v>0</v>
      </c>
      <c r="I566" s="2">
        <f>IF((Optimizer!$J$8=Fandual!J566),4,0)</f>
        <v>0</v>
      </c>
      <c r="J566" s="2">
        <f>IF((Optimizer!$J$10=Fandual!J566),100,0)</f>
        <v>0</v>
      </c>
      <c r="K566" s="2">
        <f t="shared" si="17"/>
        <v>0</v>
      </c>
      <c r="L566" s="2">
        <f>IF(Fandual!M566="",1,0)</f>
        <v>1</v>
      </c>
    </row>
    <row r="567" spans="1:12" x14ac:dyDescent="0.25">
      <c r="A567" s="2">
        <f>IF((OR(Optimizer!$J$8=Fandual!J567,Optimizer!$J$10=Fandual!J567))=TRUE, 1,0)</f>
        <v>0</v>
      </c>
      <c r="B567" s="2">
        <f>IF((OR(Fandual!O567="",Fandual!O567&lt;&gt;0)=TRUE),1,0)</f>
        <v>1</v>
      </c>
      <c r="C567" s="2">
        <f>IF(Fandual!B567&lt;&gt;"P",1,0)</f>
        <v>0</v>
      </c>
      <c r="D567" s="2">
        <f t="shared" si="16"/>
        <v>0</v>
      </c>
      <c r="E567" s="2">
        <f>IF(D567=1,Fandual!B567,0)</f>
        <v>0</v>
      </c>
      <c r="F567" s="2">
        <f>IF(D567=1,Fandual!D567,0)</f>
        <v>0</v>
      </c>
      <c r="G567" s="2">
        <f>IF(D567=1,Fandual!F567,0)</f>
        <v>0</v>
      </c>
      <c r="H567" s="2">
        <f>IF(D567=1,Fandual!H567,0)</f>
        <v>0</v>
      </c>
      <c r="I567" s="2">
        <f>IF((Optimizer!$J$8=Fandual!J567),4,0)</f>
        <v>0</v>
      </c>
      <c r="J567" s="2">
        <f>IF((Optimizer!$J$10=Fandual!J567),100,0)</f>
        <v>0</v>
      </c>
      <c r="K567" s="2">
        <f t="shared" si="17"/>
        <v>0</v>
      </c>
      <c r="L567" s="2">
        <f>IF(Fandual!M567="",1,0)</f>
        <v>1</v>
      </c>
    </row>
    <row r="568" spans="1:12" x14ac:dyDescent="0.25">
      <c r="A568" s="2">
        <f>IF((OR(Optimizer!$J$8=Fandual!J568,Optimizer!$J$10=Fandual!J568))=TRUE, 1,0)</f>
        <v>0</v>
      </c>
      <c r="B568" s="2">
        <f>IF((OR(Fandual!O568="",Fandual!O568&lt;&gt;0)=TRUE),1,0)</f>
        <v>1</v>
      </c>
      <c r="C568" s="2">
        <f>IF(Fandual!B568&lt;&gt;"P",1,0)</f>
        <v>0</v>
      </c>
      <c r="D568" s="2">
        <f t="shared" si="16"/>
        <v>0</v>
      </c>
      <c r="E568" s="2">
        <f>IF(D568=1,Fandual!B568,0)</f>
        <v>0</v>
      </c>
      <c r="F568" s="2">
        <f>IF(D568=1,Fandual!D568,0)</f>
        <v>0</v>
      </c>
      <c r="G568" s="2">
        <f>IF(D568=1,Fandual!F568,0)</f>
        <v>0</v>
      </c>
      <c r="H568" s="2">
        <f>IF(D568=1,Fandual!H568,0)</f>
        <v>0</v>
      </c>
      <c r="I568" s="2">
        <f>IF((Optimizer!$J$8=Fandual!J568),4,0)</f>
        <v>0</v>
      </c>
      <c r="J568" s="2">
        <f>IF((Optimizer!$J$10=Fandual!J568),100,0)</f>
        <v>0</v>
      </c>
      <c r="K568" s="2">
        <f t="shared" si="17"/>
        <v>0</v>
      </c>
      <c r="L568" s="2">
        <f>IF(Fandual!M568="",1,0)</f>
        <v>1</v>
      </c>
    </row>
    <row r="569" spans="1:12" x14ac:dyDescent="0.25">
      <c r="A569" s="2">
        <f>IF((OR(Optimizer!$J$8=Fandual!J569,Optimizer!$J$10=Fandual!J569))=TRUE, 1,0)</f>
        <v>0</v>
      </c>
      <c r="B569" s="2">
        <f>IF((OR(Fandual!O569="",Fandual!O569&lt;&gt;0)=TRUE),1,0)</f>
        <v>1</v>
      </c>
      <c r="C569" s="2">
        <f>IF(Fandual!B569&lt;&gt;"P",1,0)</f>
        <v>0</v>
      </c>
      <c r="D569" s="2">
        <f t="shared" si="16"/>
        <v>0</v>
      </c>
      <c r="E569" s="2">
        <f>IF(D569=1,Fandual!B569,0)</f>
        <v>0</v>
      </c>
      <c r="F569" s="2">
        <f>IF(D569=1,Fandual!D569,0)</f>
        <v>0</v>
      </c>
      <c r="G569" s="2">
        <f>IF(D569=1,Fandual!F569,0)</f>
        <v>0</v>
      </c>
      <c r="H569" s="2">
        <f>IF(D569=1,Fandual!H569,0)</f>
        <v>0</v>
      </c>
      <c r="I569" s="2">
        <f>IF((Optimizer!$J$8=Fandual!J569),4,0)</f>
        <v>0</v>
      </c>
      <c r="J569" s="2">
        <f>IF((Optimizer!$J$10=Fandual!J569),100,0)</f>
        <v>0</v>
      </c>
      <c r="K569" s="2">
        <f t="shared" si="17"/>
        <v>0</v>
      </c>
      <c r="L569" s="2">
        <f>IF(Fandual!M569="",1,0)</f>
        <v>0</v>
      </c>
    </row>
    <row r="570" spans="1:12" x14ac:dyDescent="0.25">
      <c r="A570" s="2">
        <f>IF((OR(Optimizer!$J$8=Fandual!J570,Optimizer!$J$10=Fandual!J570))=TRUE, 1,0)</f>
        <v>0</v>
      </c>
      <c r="B570" s="2">
        <f>IF((OR(Fandual!O570="",Fandual!O570&lt;&gt;0)=TRUE),1,0)</f>
        <v>1</v>
      </c>
      <c r="C570" s="2">
        <f>IF(Fandual!B570&lt;&gt;"P",1,0)</f>
        <v>0</v>
      </c>
      <c r="D570" s="2">
        <f t="shared" si="16"/>
        <v>0</v>
      </c>
      <c r="E570" s="2">
        <f>IF(D570=1,Fandual!B570,0)</f>
        <v>0</v>
      </c>
      <c r="F570" s="2">
        <f>IF(D570=1,Fandual!D570,0)</f>
        <v>0</v>
      </c>
      <c r="G570" s="2">
        <f>IF(D570=1,Fandual!F570,0)</f>
        <v>0</v>
      </c>
      <c r="H570" s="2">
        <f>IF(D570=1,Fandual!H570,0)</f>
        <v>0</v>
      </c>
      <c r="I570" s="2">
        <f>IF((Optimizer!$J$8=Fandual!J570),4,0)</f>
        <v>0</v>
      </c>
      <c r="J570" s="2">
        <f>IF((Optimizer!$J$10=Fandual!J570),100,0)</f>
        <v>0</v>
      </c>
      <c r="K570" s="2">
        <f t="shared" si="17"/>
        <v>0</v>
      </c>
      <c r="L570" s="2">
        <f>IF(Fandual!M570="",1,0)</f>
        <v>1</v>
      </c>
    </row>
    <row r="571" spans="1:12" x14ac:dyDescent="0.25">
      <c r="A571" s="2">
        <f>IF((OR(Optimizer!$J$8=Fandual!J571,Optimizer!$J$10=Fandual!J571))=TRUE, 1,0)</f>
        <v>1</v>
      </c>
      <c r="B571" s="2">
        <f>IF((OR(Fandual!O571="",Fandual!O571&lt;&gt;0)=TRUE),1,0)</f>
        <v>1</v>
      </c>
      <c r="C571" s="2">
        <f>IF(Fandual!B571&lt;&gt;"P",1,0)</f>
        <v>0</v>
      </c>
      <c r="D571" s="2">
        <f t="shared" si="16"/>
        <v>0</v>
      </c>
      <c r="E571" s="2">
        <f>IF(D571=1,Fandual!B571,0)</f>
        <v>0</v>
      </c>
      <c r="F571" s="2">
        <f>IF(D571=1,Fandual!D571,0)</f>
        <v>0</v>
      </c>
      <c r="G571" s="2">
        <f>IF(D571=1,Fandual!F571,0)</f>
        <v>0</v>
      </c>
      <c r="H571" s="2">
        <f>IF(D571=1,Fandual!H571,0)</f>
        <v>0</v>
      </c>
      <c r="I571" s="2">
        <f>IF((Optimizer!$J$8=Fandual!J571),4,0)</f>
        <v>0</v>
      </c>
      <c r="J571" s="2">
        <f>IF((Optimizer!$J$10=Fandual!J571),100,0)</f>
        <v>100</v>
      </c>
      <c r="K571" s="2">
        <f t="shared" si="17"/>
        <v>0</v>
      </c>
      <c r="L571" s="2">
        <f>IF(Fandual!M571="",1,0)</f>
        <v>1</v>
      </c>
    </row>
    <row r="572" spans="1:12" x14ac:dyDescent="0.25">
      <c r="A572" s="2">
        <f>IF((OR(Optimizer!$J$8=Fandual!J572,Optimizer!$J$10=Fandual!J572))=TRUE, 1,0)</f>
        <v>0</v>
      </c>
      <c r="B572" s="2">
        <f>IF((OR(Fandual!O572="",Fandual!O572&lt;&gt;0)=TRUE),1,0)</f>
        <v>1</v>
      </c>
      <c r="C572" s="2">
        <f>IF(Fandual!B572&lt;&gt;"P",1,0)</f>
        <v>0</v>
      </c>
      <c r="D572" s="2">
        <f t="shared" si="16"/>
        <v>0</v>
      </c>
      <c r="E572" s="2">
        <f>IF(D572=1,Fandual!B572,0)</f>
        <v>0</v>
      </c>
      <c r="F572" s="2">
        <f>IF(D572=1,Fandual!D572,0)</f>
        <v>0</v>
      </c>
      <c r="G572" s="2">
        <f>IF(D572=1,Fandual!F572,0)</f>
        <v>0</v>
      </c>
      <c r="H572" s="2">
        <f>IF(D572=1,Fandual!H572,0)</f>
        <v>0</v>
      </c>
      <c r="I572" s="2">
        <f>IF((Optimizer!$J$8=Fandual!J572),4,0)</f>
        <v>0</v>
      </c>
      <c r="J572" s="2">
        <f>IF((Optimizer!$J$10=Fandual!J572),100,0)</f>
        <v>0</v>
      </c>
      <c r="K572" s="2">
        <f t="shared" si="17"/>
        <v>0</v>
      </c>
      <c r="L572" s="2">
        <f>IF(Fandual!M572="",1,0)</f>
        <v>0</v>
      </c>
    </row>
    <row r="573" spans="1:12" x14ac:dyDescent="0.25">
      <c r="A573" s="2">
        <f>IF((OR(Optimizer!$J$8=Fandual!J573,Optimizer!$J$10=Fandual!J573))=TRUE, 1,0)</f>
        <v>0</v>
      </c>
      <c r="B573" s="2">
        <f>IF((OR(Fandual!O573="",Fandual!O573&lt;&gt;0)=TRUE),1,0)</f>
        <v>1</v>
      </c>
      <c r="C573" s="2">
        <f>IF(Fandual!B573&lt;&gt;"P",1,0)</f>
        <v>0</v>
      </c>
      <c r="D573" s="2">
        <f t="shared" si="16"/>
        <v>0</v>
      </c>
      <c r="E573" s="2">
        <f>IF(D573=1,Fandual!B573,0)</f>
        <v>0</v>
      </c>
      <c r="F573" s="2">
        <f>IF(D573=1,Fandual!D573,0)</f>
        <v>0</v>
      </c>
      <c r="G573" s="2">
        <f>IF(D573=1,Fandual!F573,0)</f>
        <v>0</v>
      </c>
      <c r="H573" s="2">
        <f>IF(D573=1,Fandual!H573,0)</f>
        <v>0</v>
      </c>
      <c r="I573" s="2">
        <f>IF((Optimizer!$J$8=Fandual!J573),4,0)</f>
        <v>0</v>
      </c>
      <c r="J573" s="2">
        <f>IF((Optimizer!$J$10=Fandual!J573),100,0)</f>
        <v>0</v>
      </c>
      <c r="K573" s="2">
        <f t="shared" si="17"/>
        <v>0</v>
      </c>
      <c r="L573" s="2">
        <f>IF(Fandual!M573="",1,0)</f>
        <v>1</v>
      </c>
    </row>
    <row r="574" spans="1:12" x14ac:dyDescent="0.25">
      <c r="A574" s="2">
        <f>IF((OR(Optimizer!$J$8=Fandual!J574,Optimizer!$J$10=Fandual!J574))=TRUE, 1,0)</f>
        <v>0</v>
      </c>
      <c r="B574" s="2">
        <f>IF((OR(Fandual!O574="",Fandual!O574&lt;&gt;0)=TRUE),1,0)</f>
        <v>1</v>
      </c>
      <c r="C574" s="2">
        <f>IF(Fandual!B574&lt;&gt;"P",1,0)</f>
        <v>0</v>
      </c>
      <c r="D574" s="2">
        <f t="shared" si="16"/>
        <v>0</v>
      </c>
      <c r="E574" s="2">
        <f>IF(D574=1,Fandual!B574,0)</f>
        <v>0</v>
      </c>
      <c r="F574" s="2">
        <f>IF(D574=1,Fandual!D574,0)</f>
        <v>0</v>
      </c>
      <c r="G574" s="2">
        <f>IF(D574=1,Fandual!F574,0)</f>
        <v>0</v>
      </c>
      <c r="H574" s="2">
        <f>IF(D574=1,Fandual!H574,0)</f>
        <v>0</v>
      </c>
      <c r="I574" s="2">
        <f>IF((Optimizer!$J$8=Fandual!J574),4,0)</f>
        <v>0</v>
      </c>
      <c r="J574" s="2">
        <f>IF((Optimizer!$J$10=Fandual!J574),100,0)</f>
        <v>0</v>
      </c>
      <c r="K574" s="2">
        <f t="shared" si="17"/>
        <v>0</v>
      </c>
      <c r="L574" s="2">
        <f>IF(Fandual!M574="",1,0)</f>
        <v>1</v>
      </c>
    </row>
    <row r="575" spans="1:12" x14ac:dyDescent="0.25">
      <c r="A575" s="2">
        <f>IF((OR(Optimizer!$J$8=Fandual!J575,Optimizer!$J$10=Fandual!J575))=TRUE, 1,0)</f>
        <v>1</v>
      </c>
      <c r="B575" s="2">
        <f>IF((OR(Fandual!O575="",Fandual!O575&lt;&gt;0)=TRUE),1,0)</f>
        <v>1</v>
      </c>
      <c r="C575" s="2">
        <f>IF(Fandual!B575&lt;&gt;"P",1,0)</f>
        <v>0</v>
      </c>
      <c r="D575" s="2">
        <f t="shared" si="16"/>
        <v>0</v>
      </c>
      <c r="E575" s="2">
        <f>IF(D575=1,Fandual!B575,0)</f>
        <v>0</v>
      </c>
      <c r="F575" s="2">
        <f>IF(D575=1,Fandual!D575,0)</f>
        <v>0</v>
      </c>
      <c r="G575" s="2">
        <f>IF(D575=1,Fandual!F575,0)</f>
        <v>0</v>
      </c>
      <c r="H575" s="2">
        <f>IF(D575=1,Fandual!H575,0)</f>
        <v>0</v>
      </c>
      <c r="I575" s="2">
        <f>IF((Optimizer!$J$8=Fandual!J575),4,0)</f>
        <v>0</v>
      </c>
      <c r="J575" s="2">
        <f>IF((Optimizer!$J$10=Fandual!J575),100,0)</f>
        <v>100</v>
      </c>
      <c r="K575" s="2">
        <f t="shared" si="17"/>
        <v>0</v>
      </c>
      <c r="L575" s="2">
        <f>IF(Fandual!M575="",1,0)</f>
        <v>1</v>
      </c>
    </row>
    <row r="576" spans="1:12" x14ac:dyDescent="0.25">
      <c r="A576" s="2">
        <f>IF((OR(Optimizer!$J$8=Fandual!J576,Optimizer!$J$10=Fandual!J576))=TRUE, 1,0)</f>
        <v>1</v>
      </c>
      <c r="B576" s="2">
        <f>IF((OR(Fandual!O576="",Fandual!O576&lt;&gt;0)=TRUE),1,0)</f>
        <v>1</v>
      </c>
      <c r="C576" s="2">
        <f>IF(Fandual!B576&lt;&gt;"P",1,0)</f>
        <v>1</v>
      </c>
      <c r="D576" s="2">
        <f t="shared" si="16"/>
        <v>1</v>
      </c>
      <c r="E576" s="2" t="str">
        <f>IF(D576=1,Fandual!B576,0)</f>
        <v>1B</v>
      </c>
      <c r="F576" s="2" t="str">
        <f>IF(D576=1,Fandual!D576,0)</f>
        <v>Paul Goldschmidt</v>
      </c>
      <c r="G576" s="2">
        <f>IF(D576=1,Fandual!F576,0)</f>
        <v>14.657894736842101</v>
      </c>
      <c r="H576" s="2">
        <f>IF(D576=1,Fandual!H576,0)</f>
        <v>5400</v>
      </c>
      <c r="I576" s="2">
        <f>IF((Optimizer!$J$8=Fandual!J576),4,0)</f>
        <v>4</v>
      </c>
      <c r="J576" s="2">
        <f>IF((Optimizer!$J$10=Fandual!J576),100,0)</f>
        <v>0</v>
      </c>
      <c r="K576" s="2">
        <f t="shared" si="17"/>
        <v>4</v>
      </c>
      <c r="L576" s="2">
        <f>IF(Fandual!M576="",1,0)</f>
        <v>1</v>
      </c>
    </row>
    <row r="577" spans="1:12" x14ac:dyDescent="0.25">
      <c r="A577" s="2">
        <f>IF((OR(Optimizer!$J$8=Fandual!J577,Optimizer!$J$10=Fandual!J577))=TRUE, 1,0)</f>
        <v>1</v>
      </c>
      <c r="B577" s="2">
        <f>IF((OR(Fandual!O577="",Fandual!O577&lt;&gt;0)=TRUE),1,0)</f>
        <v>1</v>
      </c>
      <c r="C577" s="2">
        <f>IF(Fandual!B577&lt;&gt;"P",1,0)</f>
        <v>1</v>
      </c>
      <c r="D577" s="2">
        <f t="shared" si="16"/>
        <v>1</v>
      </c>
      <c r="E577" s="2" t="str">
        <f>IF(D577=1,Fandual!B577,0)</f>
        <v>OF</v>
      </c>
      <c r="F577" s="2" t="str">
        <f>IF(D577=1,Fandual!D577,0)</f>
        <v>Charlie Blackmon</v>
      </c>
      <c r="G577" s="2">
        <f>IF(D577=1,Fandual!F577,0)</f>
        <v>14.636363636363599</v>
      </c>
      <c r="H577" s="2">
        <f>IF(D577=1,Fandual!H577,0)</f>
        <v>5000</v>
      </c>
      <c r="I577" s="2">
        <f>IF((Optimizer!$J$8=Fandual!J577),4,0)</f>
        <v>0</v>
      </c>
      <c r="J577" s="2">
        <f>IF((Optimizer!$J$10=Fandual!J577),100,0)</f>
        <v>100</v>
      </c>
      <c r="K577" s="2">
        <f t="shared" si="17"/>
        <v>100</v>
      </c>
      <c r="L577" s="2">
        <f>IF(Fandual!M577="",1,0)</f>
        <v>1</v>
      </c>
    </row>
    <row r="578" spans="1:12" x14ac:dyDescent="0.25">
      <c r="A578" s="2">
        <f>IF((OR(Optimizer!$J$8=Fandual!J578,Optimizer!$J$10=Fandual!J578))=TRUE, 1,0)</f>
        <v>1</v>
      </c>
      <c r="B578" s="2">
        <f>IF((OR(Fandual!O578="",Fandual!O578&lt;&gt;0)=TRUE),1,0)</f>
        <v>1</v>
      </c>
      <c r="C578" s="2">
        <f>IF(Fandual!B578&lt;&gt;"P",1,0)</f>
        <v>1</v>
      </c>
      <c r="D578" s="2">
        <f t="shared" ref="D578:D641" si="18">A578*B578*C578*L578</f>
        <v>1</v>
      </c>
      <c r="E578" s="2" t="str">
        <f>IF(D578=1,Fandual!B578,0)</f>
        <v>OF</v>
      </c>
      <c r="F578" s="2" t="str">
        <f>IF(D578=1,Fandual!D578,0)</f>
        <v>J.D. Martinez</v>
      </c>
      <c r="G578" s="2">
        <f>IF(D578=1,Fandual!F578,0)</f>
        <v>12.6468090300864</v>
      </c>
      <c r="H578" s="2">
        <f>IF(D578=1,Fandual!H578,0)</f>
        <v>5000</v>
      </c>
      <c r="I578" s="2">
        <f>IF((Optimizer!$J$8=Fandual!J578),4,0)</f>
        <v>4</v>
      </c>
      <c r="J578" s="2">
        <f>IF((Optimizer!$J$10=Fandual!J578),100,0)</f>
        <v>0</v>
      </c>
      <c r="K578" s="2">
        <f t="shared" si="17"/>
        <v>4</v>
      </c>
      <c r="L578" s="2">
        <f>IF(Fandual!M578="",1,0)</f>
        <v>1</v>
      </c>
    </row>
    <row r="579" spans="1:12" x14ac:dyDescent="0.25">
      <c r="A579" s="2">
        <f>IF((OR(Optimizer!$J$8=Fandual!J579,Optimizer!$J$10=Fandual!J579))=TRUE, 1,0)</f>
        <v>0</v>
      </c>
      <c r="B579" s="2">
        <f>IF((OR(Fandual!O579="",Fandual!O579&lt;&gt;0)=TRUE),1,0)</f>
        <v>1</v>
      </c>
      <c r="C579" s="2">
        <f>IF(Fandual!B579&lt;&gt;"P",1,0)</f>
        <v>1</v>
      </c>
      <c r="D579" s="2">
        <f t="shared" si="18"/>
        <v>0</v>
      </c>
      <c r="E579" s="2">
        <f>IF(D579=1,Fandual!B579,0)</f>
        <v>0</v>
      </c>
      <c r="F579" s="2">
        <f>IF(D579=1,Fandual!D579,0)</f>
        <v>0</v>
      </c>
      <c r="G579" s="2">
        <f>IF(D579=1,Fandual!F579,0)</f>
        <v>0</v>
      </c>
      <c r="H579" s="2">
        <f>IF(D579=1,Fandual!H579,0)</f>
        <v>0</v>
      </c>
      <c r="I579" s="2">
        <f>IF((Optimizer!$J$8=Fandual!J579),4,0)</f>
        <v>0</v>
      </c>
      <c r="J579" s="2">
        <f>IF((Optimizer!$J$10=Fandual!J579),100,0)</f>
        <v>0</v>
      </c>
      <c r="K579" s="2">
        <f t="shared" ref="K579:K642" si="19">(I579+J579)*D579</f>
        <v>0</v>
      </c>
      <c r="L579" s="2">
        <f>IF(Fandual!M579="",1,0)</f>
        <v>1</v>
      </c>
    </row>
    <row r="580" spans="1:12" x14ac:dyDescent="0.25">
      <c r="A580" s="2">
        <f>IF((OR(Optimizer!$J$8=Fandual!J580,Optimizer!$J$10=Fandual!J580))=TRUE, 1,0)</f>
        <v>0</v>
      </c>
      <c r="B580" s="2">
        <f>IF((OR(Fandual!O580="",Fandual!O580&lt;&gt;0)=TRUE),1,0)</f>
        <v>1</v>
      </c>
      <c r="C580" s="2">
        <f>IF(Fandual!B580&lt;&gt;"P",1,0)</f>
        <v>1</v>
      </c>
      <c r="D580" s="2">
        <f t="shared" si="18"/>
        <v>0</v>
      </c>
      <c r="E580" s="2">
        <f>IF(D580=1,Fandual!B580,0)</f>
        <v>0</v>
      </c>
      <c r="F580" s="2">
        <f>IF(D580=1,Fandual!D580,0)</f>
        <v>0</v>
      </c>
      <c r="G580" s="2">
        <f>IF(D580=1,Fandual!F580,0)</f>
        <v>0</v>
      </c>
      <c r="H580" s="2">
        <f>IF(D580=1,Fandual!H580,0)</f>
        <v>0</v>
      </c>
      <c r="I580" s="2">
        <f>IF((Optimizer!$J$8=Fandual!J580),4,0)</f>
        <v>0</v>
      </c>
      <c r="J580" s="2">
        <f>IF((Optimizer!$J$10=Fandual!J580),100,0)</f>
        <v>0</v>
      </c>
      <c r="K580" s="2">
        <f t="shared" si="19"/>
        <v>0</v>
      </c>
      <c r="L580" s="2">
        <f>IF(Fandual!M580="",1,0)</f>
        <v>1</v>
      </c>
    </row>
    <row r="581" spans="1:12" x14ac:dyDescent="0.25">
      <c r="A581" s="2">
        <f>IF((OR(Optimizer!$J$8=Fandual!J581,Optimizer!$J$10=Fandual!J581))=TRUE, 1,0)</f>
        <v>1</v>
      </c>
      <c r="B581" s="2">
        <f>IF((OR(Fandual!O581="",Fandual!O581&lt;&gt;0)=TRUE),1,0)</f>
        <v>1</v>
      </c>
      <c r="C581" s="2">
        <f>IF(Fandual!B581&lt;&gt;"P",1,0)</f>
        <v>1</v>
      </c>
      <c r="D581" s="2">
        <f t="shared" si="18"/>
        <v>1</v>
      </c>
      <c r="E581" s="2" t="str">
        <f>IF(D581=1,Fandual!B581,0)</f>
        <v>OF</v>
      </c>
      <c r="F581" s="2" t="str">
        <f>IF(D581=1,Fandual!D581,0)</f>
        <v>A.J. Pollock</v>
      </c>
      <c r="G581" s="2">
        <f>IF(D581=1,Fandual!F581,0)</f>
        <v>10.6057472667474</v>
      </c>
      <c r="H581" s="2">
        <f>IF(D581=1,Fandual!H581,0)</f>
        <v>4600</v>
      </c>
      <c r="I581" s="2">
        <f>IF((Optimizer!$J$8=Fandual!J581),4,0)</f>
        <v>4</v>
      </c>
      <c r="J581" s="2">
        <f>IF((Optimizer!$J$10=Fandual!J581),100,0)</f>
        <v>0</v>
      </c>
      <c r="K581" s="2">
        <f t="shared" si="19"/>
        <v>4</v>
      </c>
      <c r="L581" s="2">
        <f>IF(Fandual!M581="",1,0)</f>
        <v>1</v>
      </c>
    </row>
    <row r="582" spans="1:12" x14ac:dyDescent="0.25">
      <c r="A582" s="2">
        <f>IF((OR(Optimizer!$J$8=Fandual!J582,Optimizer!$J$10=Fandual!J582))=TRUE, 1,0)</f>
        <v>1</v>
      </c>
      <c r="B582" s="2">
        <f>IF((OR(Fandual!O582="",Fandual!O582&lt;&gt;0)=TRUE),1,0)</f>
        <v>1</v>
      </c>
      <c r="C582" s="2">
        <f>IF(Fandual!B582&lt;&gt;"P",1,0)</f>
        <v>1</v>
      </c>
      <c r="D582" s="2">
        <f t="shared" si="18"/>
        <v>1</v>
      </c>
      <c r="E582" s="2" t="str">
        <f>IF(D582=1,Fandual!B582,0)</f>
        <v>2B</v>
      </c>
      <c r="F582" s="2" t="str">
        <f>IF(D582=1,Fandual!D582,0)</f>
        <v>Brandon Drury</v>
      </c>
      <c r="G582" s="2">
        <f>IF(D582=1,Fandual!F582,0)</f>
        <v>7.8508771929824501</v>
      </c>
      <c r="H582" s="2">
        <f>IF(D582=1,Fandual!H582,0)</f>
        <v>4500</v>
      </c>
      <c r="I582" s="2">
        <f>IF((Optimizer!$J$8=Fandual!J582),4,0)</f>
        <v>4</v>
      </c>
      <c r="J582" s="2">
        <f>IF((Optimizer!$J$10=Fandual!J582),100,0)</f>
        <v>0</v>
      </c>
      <c r="K582" s="2">
        <f t="shared" si="19"/>
        <v>4</v>
      </c>
      <c r="L582" s="2">
        <f>IF(Fandual!M582="",1,0)</f>
        <v>1</v>
      </c>
    </row>
    <row r="583" spans="1:12" x14ac:dyDescent="0.25">
      <c r="A583" s="2">
        <f>IF((OR(Optimizer!$J$8=Fandual!J583,Optimizer!$J$10=Fandual!J583))=TRUE, 1,0)</f>
        <v>0</v>
      </c>
      <c r="B583" s="2">
        <f>IF((OR(Fandual!O583="",Fandual!O583&lt;&gt;0)=TRUE),1,0)</f>
        <v>1</v>
      </c>
      <c r="C583" s="2">
        <f>IF(Fandual!B583&lt;&gt;"P",1,0)</f>
        <v>1</v>
      </c>
      <c r="D583" s="2">
        <f t="shared" si="18"/>
        <v>0</v>
      </c>
      <c r="E583" s="2">
        <f>IF(D583=1,Fandual!B583,0)</f>
        <v>0</v>
      </c>
      <c r="F583" s="2">
        <f>IF(D583=1,Fandual!D583,0)</f>
        <v>0</v>
      </c>
      <c r="G583" s="2">
        <f>IF(D583=1,Fandual!F583,0)</f>
        <v>0</v>
      </c>
      <c r="H583" s="2">
        <f>IF(D583=1,Fandual!H583,0)</f>
        <v>0</v>
      </c>
      <c r="I583" s="2">
        <f>IF((Optimizer!$J$8=Fandual!J583),4,0)</f>
        <v>0</v>
      </c>
      <c r="J583" s="2">
        <f>IF((Optimizer!$J$10=Fandual!J583),100,0)</f>
        <v>0</v>
      </c>
      <c r="K583" s="2">
        <f t="shared" si="19"/>
        <v>0</v>
      </c>
      <c r="L583" s="2">
        <f>IF(Fandual!M583="",1,0)</f>
        <v>1</v>
      </c>
    </row>
    <row r="584" spans="1:12" x14ac:dyDescent="0.25">
      <c r="A584" s="2">
        <f>IF((OR(Optimizer!$J$8=Fandual!J584,Optimizer!$J$10=Fandual!J584))=TRUE, 1,0)</f>
        <v>1</v>
      </c>
      <c r="B584" s="2">
        <f>IF((OR(Fandual!O584="",Fandual!O584&lt;&gt;0)=TRUE),1,0)</f>
        <v>1</v>
      </c>
      <c r="C584" s="2">
        <f>IF(Fandual!B584&lt;&gt;"P",1,0)</f>
        <v>1</v>
      </c>
      <c r="D584" s="2">
        <f t="shared" si="18"/>
        <v>1</v>
      </c>
      <c r="E584" s="2" t="str">
        <f>IF(D584=1,Fandual!B584,0)</f>
        <v>3B</v>
      </c>
      <c r="F584" s="2" t="str">
        <f>IF(D584=1,Fandual!D584,0)</f>
        <v>Nolan Arenado</v>
      </c>
      <c r="G584" s="2">
        <f>IF(D584=1,Fandual!F584,0)</f>
        <v>13.0297711787333</v>
      </c>
      <c r="H584" s="2">
        <f>IF(D584=1,Fandual!H584,0)</f>
        <v>4500</v>
      </c>
      <c r="I584" s="2">
        <f>IF((Optimizer!$J$8=Fandual!J584),4,0)</f>
        <v>0</v>
      </c>
      <c r="J584" s="2">
        <f>IF((Optimizer!$J$10=Fandual!J584),100,0)</f>
        <v>100</v>
      </c>
      <c r="K584" s="2">
        <f t="shared" si="19"/>
        <v>100</v>
      </c>
      <c r="L584" s="2">
        <f>IF(Fandual!M584="",1,0)</f>
        <v>1</v>
      </c>
    </row>
    <row r="585" spans="1:12" x14ac:dyDescent="0.25">
      <c r="A585" s="2">
        <f>IF((OR(Optimizer!$J$8=Fandual!J585,Optimizer!$J$10=Fandual!J585))=TRUE, 1,0)</f>
        <v>0</v>
      </c>
      <c r="B585" s="2">
        <f>IF((OR(Fandual!O585="",Fandual!O585&lt;&gt;0)=TRUE),1,0)</f>
        <v>1</v>
      </c>
      <c r="C585" s="2">
        <f>IF(Fandual!B585&lt;&gt;"P",1,0)</f>
        <v>1</v>
      </c>
      <c r="D585" s="2">
        <f t="shared" si="18"/>
        <v>0</v>
      </c>
      <c r="E585" s="2">
        <f>IF(D585=1,Fandual!B585,0)</f>
        <v>0</v>
      </c>
      <c r="F585" s="2">
        <f>IF(D585=1,Fandual!D585,0)</f>
        <v>0</v>
      </c>
      <c r="G585" s="2">
        <f>IF(D585=1,Fandual!F585,0)</f>
        <v>0</v>
      </c>
      <c r="H585" s="2">
        <f>IF(D585=1,Fandual!H585,0)</f>
        <v>0</v>
      </c>
      <c r="I585" s="2">
        <f>IF((Optimizer!$J$8=Fandual!J585),4,0)</f>
        <v>0</v>
      </c>
      <c r="J585" s="2">
        <f>IF((Optimizer!$J$10=Fandual!J585),100,0)</f>
        <v>0</v>
      </c>
      <c r="K585" s="2">
        <f t="shared" si="19"/>
        <v>0</v>
      </c>
      <c r="L585" s="2">
        <f>IF(Fandual!M585="",1,0)</f>
        <v>0</v>
      </c>
    </row>
    <row r="586" spans="1:12" x14ac:dyDescent="0.25">
      <c r="A586" s="2">
        <f>IF((OR(Optimizer!$J$8=Fandual!J586,Optimizer!$J$10=Fandual!J586))=TRUE, 1,0)</f>
        <v>0</v>
      </c>
      <c r="B586" s="2">
        <f>IF((OR(Fandual!O586="",Fandual!O586&lt;&gt;0)=TRUE),1,0)</f>
        <v>1</v>
      </c>
      <c r="C586" s="2">
        <f>IF(Fandual!B586&lt;&gt;"P",1,0)</f>
        <v>1</v>
      </c>
      <c r="D586" s="2">
        <f t="shared" si="18"/>
        <v>0</v>
      </c>
      <c r="E586" s="2">
        <f>IF(D586=1,Fandual!B586,0)</f>
        <v>0</v>
      </c>
      <c r="F586" s="2">
        <f>IF(D586=1,Fandual!D586,0)</f>
        <v>0</v>
      </c>
      <c r="G586" s="2">
        <f>IF(D586=1,Fandual!F586,0)</f>
        <v>0</v>
      </c>
      <c r="H586" s="2">
        <f>IF(D586=1,Fandual!H586,0)</f>
        <v>0</v>
      </c>
      <c r="I586" s="2">
        <f>IF((Optimizer!$J$8=Fandual!J586),4,0)</f>
        <v>0</v>
      </c>
      <c r="J586" s="2">
        <f>IF((Optimizer!$J$10=Fandual!J586),100,0)</f>
        <v>0</v>
      </c>
      <c r="K586" s="2">
        <f t="shared" si="19"/>
        <v>0</v>
      </c>
      <c r="L586" s="2">
        <f>IF(Fandual!M586="",1,0)</f>
        <v>1</v>
      </c>
    </row>
    <row r="587" spans="1:12" x14ac:dyDescent="0.25">
      <c r="A587" s="2">
        <f>IF((OR(Optimizer!$J$8=Fandual!J587,Optimizer!$J$10=Fandual!J587))=TRUE, 1,0)</f>
        <v>0</v>
      </c>
      <c r="B587" s="2">
        <f>IF((OR(Fandual!O587="",Fandual!O587&lt;&gt;0)=TRUE),1,0)</f>
        <v>1</v>
      </c>
      <c r="C587" s="2">
        <f>IF(Fandual!B587&lt;&gt;"P",1,0)</f>
        <v>1</v>
      </c>
      <c r="D587" s="2">
        <f t="shared" si="18"/>
        <v>0</v>
      </c>
      <c r="E587" s="2">
        <f>IF(D587=1,Fandual!B587,0)</f>
        <v>0</v>
      </c>
      <c r="F587" s="2">
        <f>IF(D587=1,Fandual!D587,0)</f>
        <v>0</v>
      </c>
      <c r="G587" s="2">
        <f>IF(D587=1,Fandual!F587,0)</f>
        <v>0</v>
      </c>
      <c r="H587" s="2">
        <f>IF(D587=1,Fandual!H587,0)</f>
        <v>0</v>
      </c>
      <c r="I587" s="2">
        <f>IF((Optimizer!$J$8=Fandual!J587),4,0)</f>
        <v>0</v>
      </c>
      <c r="J587" s="2">
        <f>IF((Optimizer!$J$10=Fandual!J587),100,0)</f>
        <v>0</v>
      </c>
      <c r="K587" s="2">
        <f t="shared" si="19"/>
        <v>0</v>
      </c>
      <c r="L587" s="2">
        <f>IF(Fandual!M587="",1,0)</f>
        <v>1</v>
      </c>
    </row>
    <row r="588" spans="1:12" x14ac:dyDescent="0.25">
      <c r="A588" s="2">
        <f>IF((OR(Optimizer!$J$8=Fandual!J588,Optimizer!$J$10=Fandual!J588))=TRUE, 1,0)</f>
        <v>1</v>
      </c>
      <c r="B588" s="2">
        <f>IF((OR(Fandual!O588="",Fandual!O588&lt;&gt;0)=TRUE),1,0)</f>
        <v>1</v>
      </c>
      <c r="C588" s="2">
        <f>IF(Fandual!B588&lt;&gt;"P",1,0)</f>
        <v>1</v>
      </c>
      <c r="D588" s="2">
        <f t="shared" si="18"/>
        <v>1</v>
      </c>
      <c r="E588" s="2" t="str">
        <f>IF(D588=1,Fandual!B588,0)</f>
        <v>3B</v>
      </c>
      <c r="F588" s="2" t="str">
        <f>IF(D588=1,Fandual!D588,0)</f>
        <v>Jake Lamb</v>
      </c>
      <c r="G588" s="2">
        <f>IF(D588=1,Fandual!F588,0)</f>
        <v>12.312903619581601</v>
      </c>
      <c r="H588" s="2">
        <f>IF(D588=1,Fandual!H588,0)</f>
        <v>4300</v>
      </c>
      <c r="I588" s="2">
        <f>IF((Optimizer!$J$8=Fandual!J588),4,0)</f>
        <v>4</v>
      </c>
      <c r="J588" s="2">
        <f>IF((Optimizer!$J$10=Fandual!J588),100,0)</f>
        <v>0</v>
      </c>
      <c r="K588" s="2">
        <f t="shared" si="19"/>
        <v>4</v>
      </c>
      <c r="L588" s="2">
        <f>IF(Fandual!M588="",1,0)</f>
        <v>1</v>
      </c>
    </row>
    <row r="589" spans="1:12" x14ac:dyDescent="0.25">
      <c r="A589" s="2">
        <f>IF((OR(Optimizer!$J$8=Fandual!J589,Optimizer!$J$10=Fandual!J589))=TRUE, 1,0)</f>
        <v>0</v>
      </c>
      <c r="B589" s="2">
        <f>IF((OR(Fandual!O589="",Fandual!O589&lt;&gt;0)=TRUE),1,0)</f>
        <v>1</v>
      </c>
      <c r="C589" s="2">
        <f>IF(Fandual!B589&lt;&gt;"P",1,0)</f>
        <v>1</v>
      </c>
      <c r="D589" s="2">
        <f t="shared" si="18"/>
        <v>0</v>
      </c>
      <c r="E589" s="2">
        <f>IF(D589=1,Fandual!B589,0)</f>
        <v>0</v>
      </c>
      <c r="F589" s="2">
        <f>IF(D589=1,Fandual!D589,0)</f>
        <v>0</v>
      </c>
      <c r="G589" s="2">
        <f>IF(D589=1,Fandual!F589,0)</f>
        <v>0</v>
      </c>
      <c r="H589" s="2">
        <f>IF(D589=1,Fandual!H589,0)</f>
        <v>0</v>
      </c>
      <c r="I589" s="2">
        <f>IF((Optimizer!$J$8=Fandual!J589),4,0)</f>
        <v>0</v>
      </c>
      <c r="J589" s="2">
        <f>IF((Optimizer!$J$10=Fandual!J589),100,0)</f>
        <v>0</v>
      </c>
      <c r="K589" s="2">
        <f t="shared" si="19"/>
        <v>0</v>
      </c>
      <c r="L589" s="2">
        <f>IF(Fandual!M589="",1,0)</f>
        <v>1</v>
      </c>
    </row>
    <row r="590" spans="1:12" x14ac:dyDescent="0.25">
      <c r="A590" s="2">
        <f>IF((OR(Optimizer!$J$8=Fandual!J590,Optimizer!$J$10=Fandual!J590))=TRUE, 1,0)</f>
        <v>0</v>
      </c>
      <c r="B590" s="2">
        <f>IF((OR(Fandual!O590="",Fandual!O590&lt;&gt;0)=TRUE),1,0)</f>
        <v>1</v>
      </c>
      <c r="C590" s="2">
        <f>IF(Fandual!B590&lt;&gt;"P",1,0)</f>
        <v>1</v>
      </c>
      <c r="D590" s="2">
        <f t="shared" si="18"/>
        <v>0</v>
      </c>
      <c r="E590" s="2">
        <f>IF(D590=1,Fandual!B590,0)</f>
        <v>0</v>
      </c>
      <c r="F590" s="2">
        <f>IF(D590=1,Fandual!D590,0)</f>
        <v>0</v>
      </c>
      <c r="G590" s="2">
        <f>IF(D590=1,Fandual!F590,0)</f>
        <v>0</v>
      </c>
      <c r="H590" s="2">
        <f>IF(D590=1,Fandual!H590,0)</f>
        <v>0</v>
      </c>
      <c r="I590" s="2">
        <f>IF((Optimizer!$J$8=Fandual!J590),4,0)</f>
        <v>0</v>
      </c>
      <c r="J590" s="2">
        <f>IF((Optimizer!$J$10=Fandual!J590),100,0)</f>
        <v>0</v>
      </c>
      <c r="K590" s="2">
        <f t="shared" si="19"/>
        <v>0</v>
      </c>
      <c r="L590" s="2">
        <f>IF(Fandual!M590="",1,0)</f>
        <v>1</v>
      </c>
    </row>
    <row r="591" spans="1:12" x14ac:dyDescent="0.25">
      <c r="A591" s="2">
        <f>IF((OR(Optimizer!$J$8=Fandual!J591,Optimizer!$J$10=Fandual!J591))=TRUE, 1,0)</f>
        <v>1</v>
      </c>
      <c r="B591" s="2">
        <f>IF((OR(Fandual!O591="",Fandual!O591&lt;&gt;0)=TRUE),1,0)</f>
        <v>1</v>
      </c>
      <c r="C591" s="2">
        <f>IF(Fandual!B591&lt;&gt;"P",1,0)</f>
        <v>1</v>
      </c>
      <c r="D591" s="2">
        <f t="shared" si="18"/>
        <v>1</v>
      </c>
      <c r="E591" s="2" t="str">
        <f>IF(D591=1,Fandual!B591,0)</f>
        <v>OF</v>
      </c>
      <c r="F591" s="2" t="str">
        <f>IF(D591=1,Fandual!D591,0)</f>
        <v>David Peralta</v>
      </c>
      <c r="G591" s="2">
        <f>IF(D591=1,Fandual!F591,0)</f>
        <v>9.8293099238954706</v>
      </c>
      <c r="H591" s="2">
        <f>IF(D591=1,Fandual!H591,0)</f>
        <v>4100</v>
      </c>
      <c r="I591" s="2">
        <f>IF((Optimizer!$J$8=Fandual!J591),4,0)</f>
        <v>4</v>
      </c>
      <c r="J591" s="2">
        <f>IF((Optimizer!$J$10=Fandual!J591),100,0)</f>
        <v>0</v>
      </c>
      <c r="K591" s="2">
        <f t="shared" si="19"/>
        <v>4</v>
      </c>
      <c r="L591" s="2">
        <f>IF(Fandual!M591="",1,0)</f>
        <v>1</v>
      </c>
    </row>
    <row r="592" spans="1:12" x14ac:dyDescent="0.25">
      <c r="A592" s="2">
        <f>IF((OR(Optimizer!$J$8=Fandual!J592,Optimizer!$J$10=Fandual!J592))=TRUE, 1,0)</f>
        <v>0</v>
      </c>
      <c r="B592" s="2">
        <f>IF((OR(Fandual!O592="",Fandual!O592&lt;&gt;0)=TRUE),1,0)</f>
        <v>1</v>
      </c>
      <c r="C592" s="2">
        <f>IF(Fandual!B592&lt;&gt;"P",1,0)</f>
        <v>1</v>
      </c>
      <c r="D592" s="2">
        <f t="shared" si="18"/>
        <v>0</v>
      </c>
      <c r="E592" s="2">
        <f>IF(D592=1,Fandual!B592,0)</f>
        <v>0</v>
      </c>
      <c r="F592" s="2">
        <f>IF(D592=1,Fandual!D592,0)</f>
        <v>0</v>
      </c>
      <c r="G592" s="2">
        <f>IF(D592=1,Fandual!F592,0)</f>
        <v>0</v>
      </c>
      <c r="H592" s="2">
        <f>IF(D592=1,Fandual!H592,0)</f>
        <v>0</v>
      </c>
      <c r="I592" s="2">
        <f>IF((Optimizer!$J$8=Fandual!J592),4,0)</f>
        <v>0</v>
      </c>
      <c r="J592" s="2">
        <f>IF((Optimizer!$J$10=Fandual!J592),100,0)</f>
        <v>0</v>
      </c>
      <c r="K592" s="2">
        <f t="shared" si="19"/>
        <v>0</v>
      </c>
      <c r="L592" s="2">
        <f>IF(Fandual!M592="",1,0)</f>
        <v>1</v>
      </c>
    </row>
    <row r="593" spans="1:12" x14ac:dyDescent="0.25">
      <c r="A593" s="2">
        <f>IF((OR(Optimizer!$J$8=Fandual!J593,Optimizer!$J$10=Fandual!J593))=TRUE, 1,0)</f>
        <v>0</v>
      </c>
      <c r="B593" s="2">
        <f>IF((OR(Fandual!O593="",Fandual!O593&lt;&gt;0)=TRUE),1,0)</f>
        <v>1</v>
      </c>
      <c r="C593" s="2">
        <f>IF(Fandual!B593&lt;&gt;"P",1,0)</f>
        <v>1</v>
      </c>
      <c r="D593" s="2">
        <f t="shared" si="18"/>
        <v>0</v>
      </c>
      <c r="E593" s="2">
        <f>IF(D593=1,Fandual!B593,0)</f>
        <v>0</v>
      </c>
      <c r="F593" s="2">
        <f>IF(D593=1,Fandual!D593,0)</f>
        <v>0</v>
      </c>
      <c r="G593" s="2">
        <f>IF(D593=1,Fandual!F593,0)</f>
        <v>0</v>
      </c>
      <c r="H593" s="2">
        <f>IF(D593=1,Fandual!H593,0)</f>
        <v>0</v>
      </c>
      <c r="I593" s="2">
        <f>IF((Optimizer!$J$8=Fandual!J593),4,0)</f>
        <v>0</v>
      </c>
      <c r="J593" s="2">
        <f>IF((Optimizer!$J$10=Fandual!J593),100,0)</f>
        <v>0</v>
      </c>
      <c r="K593" s="2">
        <f t="shared" si="19"/>
        <v>0</v>
      </c>
      <c r="L593" s="2">
        <f>IF(Fandual!M593="",1,0)</f>
        <v>1</v>
      </c>
    </row>
    <row r="594" spans="1:12" x14ac:dyDescent="0.25">
      <c r="A594" s="2">
        <f>IF((OR(Optimizer!$J$8=Fandual!J594,Optimizer!$J$10=Fandual!J594))=TRUE, 1,0)</f>
        <v>0</v>
      </c>
      <c r="B594" s="2">
        <f>IF((OR(Fandual!O594="",Fandual!O594&lt;&gt;0)=TRUE),1,0)</f>
        <v>1</v>
      </c>
      <c r="C594" s="2">
        <f>IF(Fandual!B594&lt;&gt;"P",1,0)</f>
        <v>1</v>
      </c>
      <c r="D594" s="2">
        <f t="shared" si="18"/>
        <v>0</v>
      </c>
      <c r="E594" s="2">
        <f>IF(D594=1,Fandual!B594,0)</f>
        <v>0</v>
      </c>
      <c r="F594" s="2">
        <f>IF(D594=1,Fandual!D594,0)</f>
        <v>0</v>
      </c>
      <c r="G594" s="2">
        <f>IF(D594=1,Fandual!F594,0)</f>
        <v>0</v>
      </c>
      <c r="H594" s="2">
        <f>IF(D594=1,Fandual!H594,0)</f>
        <v>0</v>
      </c>
      <c r="I594" s="2">
        <f>IF((Optimizer!$J$8=Fandual!J594),4,0)</f>
        <v>0</v>
      </c>
      <c r="J594" s="2">
        <f>IF((Optimizer!$J$10=Fandual!J594),100,0)</f>
        <v>0</v>
      </c>
      <c r="K594" s="2">
        <f t="shared" si="19"/>
        <v>0</v>
      </c>
      <c r="L594" s="2">
        <f>IF(Fandual!M594="",1,0)</f>
        <v>1</v>
      </c>
    </row>
    <row r="595" spans="1:12" x14ac:dyDescent="0.25">
      <c r="A595" s="2">
        <f>IF((OR(Optimizer!$J$8=Fandual!J595,Optimizer!$J$10=Fandual!J595))=TRUE, 1,0)</f>
        <v>0</v>
      </c>
      <c r="B595" s="2">
        <f>IF((OR(Fandual!O595="",Fandual!O595&lt;&gt;0)=TRUE),1,0)</f>
        <v>1</v>
      </c>
      <c r="C595" s="2">
        <f>IF(Fandual!B595&lt;&gt;"P",1,0)</f>
        <v>1</v>
      </c>
      <c r="D595" s="2">
        <f t="shared" si="18"/>
        <v>0</v>
      </c>
      <c r="E595" s="2">
        <f>IF(D595=1,Fandual!B595,0)</f>
        <v>0</v>
      </c>
      <c r="F595" s="2">
        <f>IF(D595=1,Fandual!D595,0)</f>
        <v>0</v>
      </c>
      <c r="G595" s="2">
        <f>IF(D595=1,Fandual!F595,0)</f>
        <v>0</v>
      </c>
      <c r="H595" s="2">
        <f>IF(D595=1,Fandual!H595,0)</f>
        <v>0</v>
      </c>
      <c r="I595" s="2">
        <f>IF((Optimizer!$J$8=Fandual!J595),4,0)</f>
        <v>0</v>
      </c>
      <c r="J595" s="2">
        <f>IF((Optimizer!$J$10=Fandual!J595),100,0)</f>
        <v>0</v>
      </c>
      <c r="K595" s="2">
        <f t="shared" si="19"/>
        <v>0</v>
      </c>
      <c r="L595" s="2">
        <f>IF(Fandual!M595="",1,0)</f>
        <v>1</v>
      </c>
    </row>
    <row r="596" spans="1:12" x14ac:dyDescent="0.25">
      <c r="A596" s="2">
        <f>IF((OR(Optimizer!$J$8=Fandual!J596,Optimizer!$J$10=Fandual!J596))=TRUE, 1,0)</f>
        <v>0</v>
      </c>
      <c r="B596" s="2">
        <f>IF((OR(Fandual!O596="",Fandual!O596&lt;&gt;0)=TRUE),1,0)</f>
        <v>1</v>
      </c>
      <c r="C596" s="2">
        <f>IF(Fandual!B596&lt;&gt;"P",1,0)</f>
        <v>1</v>
      </c>
      <c r="D596" s="2">
        <f t="shared" si="18"/>
        <v>0</v>
      </c>
      <c r="E596" s="2">
        <f>IF(D596=1,Fandual!B596,0)</f>
        <v>0</v>
      </c>
      <c r="F596" s="2">
        <f>IF(D596=1,Fandual!D596,0)</f>
        <v>0</v>
      </c>
      <c r="G596" s="2">
        <f>IF(D596=1,Fandual!F596,0)</f>
        <v>0</v>
      </c>
      <c r="H596" s="2">
        <f>IF(D596=1,Fandual!H596,0)</f>
        <v>0</v>
      </c>
      <c r="I596" s="2">
        <f>IF((Optimizer!$J$8=Fandual!J596),4,0)</f>
        <v>0</v>
      </c>
      <c r="J596" s="2">
        <f>IF((Optimizer!$J$10=Fandual!J596),100,0)</f>
        <v>0</v>
      </c>
      <c r="K596" s="2">
        <f t="shared" si="19"/>
        <v>0</v>
      </c>
      <c r="L596" s="2">
        <f>IF(Fandual!M596="",1,0)</f>
        <v>1</v>
      </c>
    </row>
    <row r="597" spans="1:12" x14ac:dyDescent="0.25">
      <c r="A597" s="2">
        <f>IF((OR(Optimizer!$J$8=Fandual!J597,Optimizer!$J$10=Fandual!J597))=TRUE, 1,0)</f>
        <v>0</v>
      </c>
      <c r="B597" s="2">
        <f>IF((OR(Fandual!O597="",Fandual!O597&lt;&gt;0)=TRUE),1,0)</f>
        <v>1</v>
      </c>
      <c r="C597" s="2">
        <f>IF(Fandual!B597&lt;&gt;"P",1,0)</f>
        <v>1</v>
      </c>
      <c r="D597" s="2">
        <f t="shared" si="18"/>
        <v>0</v>
      </c>
      <c r="E597" s="2">
        <f>IF(D597=1,Fandual!B597,0)</f>
        <v>0</v>
      </c>
      <c r="F597" s="2">
        <f>IF(D597=1,Fandual!D597,0)</f>
        <v>0</v>
      </c>
      <c r="G597" s="2">
        <f>IF(D597=1,Fandual!F597,0)</f>
        <v>0</v>
      </c>
      <c r="H597" s="2">
        <f>IF(D597=1,Fandual!H597,0)</f>
        <v>0</v>
      </c>
      <c r="I597" s="2">
        <f>IF((Optimizer!$J$8=Fandual!J597),4,0)</f>
        <v>0</v>
      </c>
      <c r="J597" s="2">
        <f>IF((Optimizer!$J$10=Fandual!J597),100,0)</f>
        <v>0</v>
      </c>
      <c r="K597" s="2">
        <f t="shared" si="19"/>
        <v>0</v>
      </c>
      <c r="L597" s="2">
        <f>IF(Fandual!M597="",1,0)</f>
        <v>1</v>
      </c>
    </row>
    <row r="598" spans="1:12" x14ac:dyDescent="0.25">
      <c r="A598" s="2">
        <f>IF((OR(Optimizer!$J$8=Fandual!J598,Optimizer!$J$10=Fandual!J598))=TRUE, 1,0)</f>
        <v>0</v>
      </c>
      <c r="B598" s="2">
        <f>IF((OR(Fandual!O598="",Fandual!O598&lt;&gt;0)=TRUE),1,0)</f>
        <v>1</v>
      </c>
      <c r="C598" s="2">
        <f>IF(Fandual!B598&lt;&gt;"P",1,0)</f>
        <v>1</v>
      </c>
      <c r="D598" s="2">
        <f t="shared" si="18"/>
        <v>0</v>
      </c>
      <c r="E598" s="2">
        <f>IF(D598=1,Fandual!B598,0)</f>
        <v>0</v>
      </c>
      <c r="F598" s="2">
        <f>IF(D598=1,Fandual!D598,0)</f>
        <v>0</v>
      </c>
      <c r="G598" s="2">
        <f>IF(D598=1,Fandual!F598,0)</f>
        <v>0</v>
      </c>
      <c r="H598" s="2">
        <f>IF(D598=1,Fandual!H598,0)</f>
        <v>0</v>
      </c>
      <c r="I598" s="2">
        <f>IF((Optimizer!$J$8=Fandual!J598),4,0)</f>
        <v>0</v>
      </c>
      <c r="J598" s="2">
        <f>IF((Optimizer!$J$10=Fandual!J598),100,0)</f>
        <v>0</v>
      </c>
      <c r="K598" s="2">
        <f t="shared" si="19"/>
        <v>0</v>
      </c>
      <c r="L598" s="2">
        <f>IF(Fandual!M598="",1,0)</f>
        <v>0</v>
      </c>
    </row>
    <row r="599" spans="1:12" x14ac:dyDescent="0.25">
      <c r="A599" s="2">
        <f>IF((OR(Optimizer!$J$8=Fandual!J599,Optimizer!$J$10=Fandual!J599))=TRUE, 1,0)</f>
        <v>0</v>
      </c>
      <c r="B599" s="2">
        <f>IF((OR(Fandual!O599="",Fandual!O599&lt;&gt;0)=TRUE),1,0)</f>
        <v>1</v>
      </c>
      <c r="C599" s="2">
        <f>IF(Fandual!B599&lt;&gt;"P",1,0)</f>
        <v>1</v>
      </c>
      <c r="D599" s="2">
        <f t="shared" si="18"/>
        <v>0</v>
      </c>
      <c r="E599" s="2">
        <f>IF(D599=1,Fandual!B599,0)</f>
        <v>0</v>
      </c>
      <c r="F599" s="2">
        <f>IF(D599=1,Fandual!D599,0)</f>
        <v>0</v>
      </c>
      <c r="G599" s="2">
        <f>IF(D599=1,Fandual!F599,0)</f>
        <v>0</v>
      </c>
      <c r="H599" s="2">
        <f>IF(D599=1,Fandual!H599,0)</f>
        <v>0</v>
      </c>
      <c r="I599" s="2">
        <f>IF((Optimizer!$J$8=Fandual!J599),4,0)</f>
        <v>0</v>
      </c>
      <c r="J599" s="2">
        <f>IF((Optimizer!$J$10=Fandual!J599),100,0)</f>
        <v>0</v>
      </c>
      <c r="K599" s="2">
        <f t="shared" si="19"/>
        <v>0</v>
      </c>
      <c r="L599" s="2">
        <f>IF(Fandual!M599="",1,0)</f>
        <v>0</v>
      </c>
    </row>
    <row r="600" spans="1:12" x14ac:dyDescent="0.25">
      <c r="A600" s="2">
        <f>IF((OR(Optimizer!$J$8=Fandual!J600,Optimizer!$J$10=Fandual!J600))=TRUE, 1,0)</f>
        <v>0</v>
      </c>
      <c r="B600" s="2">
        <f>IF((OR(Fandual!O600="",Fandual!O600&lt;&gt;0)=TRUE),1,0)</f>
        <v>1</v>
      </c>
      <c r="C600" s="2">
        <f>IF(Fandual!B600&lt;&gt;"P",1,0)</f>
        <v>1</v>
      </c>
      <c r="D600" s="2">
        <f t="shared" si="18"/>
        <v>0</v>
      </c>
      <c r="E600" s="2">
        <f>IF(D600=1,Fandual!B600,0)</f>
        <v>0</v>
      </c>
      <c r="F600" s="2">
        <f>IF(D600=1,Fandual!D600,0)</f>
        <v>0</v>
      </c>
      <c r="G600" s="2">
        <f>IF(D600=1,Fandual!F600,0)</f>
        <v>0</v>
      </c>
      <c r="H600" s="2">
        <f>IF(D600=1,Fandual!H600,0)</f>
        <v>0</v>
      </c>
      <c r="I600" s="2">
        <f>IF((Optimizer!$J$8=Fandual!J600),4,0)</f>
        <v>0</v>
      </c>
      <c r="J600" s="2">
        <f>IF((Optimizer!$J$10=Fandual!J600),100,0)</f>
        <v>0</v>
      </c>
      <c r="K600" s="2">
        <f t="shared" si="19"/>
        <v>0</v>
      </c>
      <c r="L600" s="2">
        <f>IF(Fandual!M600="",1,0)</f>
        <v>1</v>
      </c>
    </row>
    <row r="601" spans="1:12" x14ac:dyDescent="0.25">
      <c r="A601" s="2">
        <f>IF((OR(Optimizer!$J$8=Fandual!J601,Optimizer!$J$10=Fandual!J601))=TRUE, 1,0)</f>
        <v>0</v>
      </c>
      <c r="B601" s="2">
        <f>IF((OR(Fandual!O601="",Fandual!O601&lt;&gt;0)=TRUE),1,0)</f>
        <v>1</v>
      </c>
      <c r="C601" s="2">
        <f>IF(Fandual!B601&lt;&gt;"P",1,0)</f>
        <v>1</v>
      </c>
      <c r="D601" s="2">
        <f t="shared" si="18"/>
        <v>0</v>
      </c>
      <c r="E601" s="2">
        <f>IF(D601=1,Fandual!B601,0)</f>
        <v>0</v>
      </c>
      <c r="F601" s="2">
        <f>IF(D601=1,Fandual!D601,0)</f>
        <v>0</v>
      </c>
      <c r="G601" s="2">
        <f>IF(D601=1,Fandual!F601,0)</f>
        <v>0</v>
      </c>
      <c r="H601" s="2">
        <f>IF(D601=1,Fandual!H601,0)</f>
        <v>0</v>
      </c>
      <c r="I601" s="2">
        <f>IF((Optimizer!$J$8=Fandual!J601),4,0)</f>
        <v>0</v>
      </c>
      <c r="J601" s="2">
        <f>IF((Optimizer!$J$10=Fandual!J601),100,0)</f>
        <v>0</v>
      </c>
      <c r="K601" s="2">
        <f t="shared" si="19"/>
        <v>0</v>
      </c>
      <c r="L601" s="2">
        <f>IF(Fandual!M601="",1,0)</f>
        <v>1</v>
      </c>
    </row>
    <row r="602" spans="1:12" x14ac:dyDescent="0.25">
      <c r="A602" s="2">
        <f>IF((OR(Optimizer!$J$8=Fandual!J602,Optimizer!$J$10=Fandual!J602))=TRUE, 1,0)</f>
        <v>0</v>
      </c>
      <c r="B602" s="2">
        <f>IF((OR(Fandual!O602="",Fandual!O602&lt;&gt;0)=TRUE),1,0)</f>
        <v>1</v>
      </c>
      <c r="C602" s="2">
        <f>IF(Fandual!B602&lt;&gt;"P",1,0)</f>
        <v>1</v>
      </c>
      <c r="D602" s="2">
        <f t="shared" si="18"/>
        <v>0</v>
      </c>
      <c r="E602" s="2">
        <f>IF(D602=1,Fandual!B602,0)</f>
        <v>0</v>
      </c>
      <c r="F602" s="2">
        <f>IF(D602=1,Fandual!D602,0)</f>
        <v>0</v>
      </c>
      <c r="G602" s="2">
        <f>IF(D602=1,Fandual!F602,0)</f>
        <v>0</v>
      </c>
      <c r="H602" s="2">
        <f>IF(D602=1,Fandual!H602,0)</f>
        <v>0</v>
      </c>
      <c r="I602" s="2">
        <f>IF((Optimizer!$J$8=Fandual!J602),4,0)</f>
        <v>0</v>
      </c>
      <c r="J602" s="2">
        <f>IF((Optimizer!$J$10=Fandual!J602),100,0)</f>
        <v>0</v>
      </c>
      <c r="K602" s="2">
        <f t="shared" si="19"/>
        <v>0</v>
      </c>
      <c r="L602" s="2">
        <f>IF(Fandual!M602="",1,0)</f>
        <v>1</v>
      </c>
    </row>
    <row r="603" spans="1:12" x14ac:dyDescent="0.25">
      <c r="A603" s="2">
        <f>IF((OR(Optimizer!$J$8=Fandual!J603,Optimizer!$J$10=Fandual!J603))=TRUE, 1,0)</f>
        <v>0</v>
      </c>
      <c r="B603" s="2">
        <f>IF((OR(Fandual!O603="",Fandual!O603&lt;&gt;0)=TRUE),1,0)</f>
        <v>1</v>
      </c>
      <c r="C603" s="2">
        <f>IF(Fandual!B603&lt;&gt;"P",1,0)</f>
        <v>1</v>
      </c>
      <c r="D603" s="2">
        <f t="shared" si="18"/>
        <v>0</v>
      </c>
      <c r="E603" s="2">
        <f>IF(D603=1,Fandual!B603,0)</f>
        <v>0</v>
      </c>
      <c r="F603" s="2">
        <f>IF(D603=1,Fandual!D603,0)</f>
        <v>0</v>
      </c>
      <c r="G603" s="2">
        <f>IF(D603=1,Fandual!F603,0)</f>
        <v>0</v>
      </c>
      <c r="H603" s="2">
        <f>IF(D603=1,Fandual!H603,0)</f>
        <v>0</v>
      </c>
      <c r="I603" s="2">
        <f>IF((Optimizer!$J$8=Fandual!J603),4,0)</f>
        <v>0</v>
      </c>
      <c r="J603" s="2">
        <f>IF((Optimizer!$J$10=Fandual!J603),100,0)</f>
        <v>0</v>
      </c>
      <c r="K603" s="2">
        <f t="shared" si="19"/>
        <v>0</v>
      </c>
      <c r="L603" s="2">
        <f>IF(Fandual!M603="",1,0)</f>
        <v>1</v>
      </c>
    </row>
    <row r="604" spans="1:12" x14ac:dyDescent="0.25">
      <c r="A604" s="2">
        <f>IF((OR(Optimizer!$J$8=Fandual!J604,Optimizer!$J$10=Fandual!J604))=TRUE, 1,0)</f>
        <v>0</v>
      </c>
      <c r="B604" s="2">
        <f>IF((OR(Fandual!O604="",Fandual!O604&lt;&gt;0)=TRUE),1,0)</f>
        <v>1</v>
      </c>
      <c r="C604" s="2">
        <f>IF(Fandual!B604&lt;&gt;"P",1,0)</f>
        <v>1</v>
      </c>
      <c r="D604" s="2">
        <f t="shared" si="18"/>
        <v>0</v>
      </c>
      <c r="E604" s="2">
        <f>IF(D604=1,Fandual!B604,0)</f>
        <v>0</v>
      </c>
      <c r="F604" s="2">
        <f>IF(D604=1,Fandual!D604,0)</f>
        <v>0</v>
      </c>
      <c r="G604" s="2">
        <f>IF(D604=1,Fandual!F604,0)</f>
        <v>0</v>
      </c>
      <c r="H604" s="2">
        <f>IF(D604=1,Fandual!H604,0)</f>
        <v>0</v>
      </c>
      <c r="I604" s="2">
        <f>IF((Optimizer!$J$8=Fandual!J604),4,0)</f>
        <v>0</v>
      </c>
      <c r="J604" s="2">
        <f>IF((Optimizer!$J$10=Fandual!J604),100,0)</f>
        <v>0</v>
      </c>
      <c r="K604" s="2">
        <f t="shared" si="19"/>
        <v>0</v>
      </c>
      <c r="L604" s="2">
        <f>IF(Fandual!M604="",1,0)</f>
        <v>1</v>
      </c>
    </row>
    <row r="605" spans="1:12" x14ac:dyDescent="0.25">
      <c r="A605" s="2">
        <f>IF((OR(Optimizer!$J$8=Fandual!J605,Optimizer!$J$10=Fandual!J605))=TRUE, 1,0)</f>
        <v>0</v>
      </c>
      <c r="B605" s="2">
        <f>IF((OR(Fandual!O605="",Fandual!O605&lt;&gt;0)=TRUE),1,0)</f>
        <v>1</v>
      </c>
      <c r="C605" s="2">
        <f>IF(Fandual!B605&lt;&gt;"P",1,0)</f>
        <v>1</v>
      </c>
      <c r="D605" s="2">
        <f t="shared" si="18"/>
        <v>0</v>
      </c>
      <c r="E605" s="2">
        <f>IF(D605=1,Fandual!B605,0)</f>
        <v>0</v>
      </c>
      <c r="F605" s="2">
        <f>IF(D605=1,Fandual!D605,0)</f>
        <v>0</v>
      </c>
      <c r="G605" s="2">
        <f>IF(D605=1,Fandual!F605,0)</f>
        <v>0</v>
      </c>
      <c r="H605" s="2">
        <f>IF(D605=1,Fandual!H605,0)</f>
        <v>0</v>
      </c>
      <c r="I605" s="2">
        <f>IF((Optimizer!$J$8=Fandual!J605),4,0)</f>
        <v>0</v>
      </c>
      <c r="J605" s="2">
        <f>IF((Optimizer!$J$10=Fandual!J605),100,0)</f>
        <v>0</v>
      </c>
      <c r="K605" s="2">
        <f t="shared" si="19"/>
        <v>0</v>
      </c>
      <c r="L605" s="2">
        <f>IF(Fandual!M605="",1,0)</f>
        <v>1</v>
      </c>
    </row>
    <row r="606" spans="1:12" x14ac:dyDescent="0.25">
      <c r="A606" s="2">
        <f>IF((OR(Optimizer!$J$8=Fandual!J606,Optimizer!$J$10=Fandual!J606))=TRUE, 1,0)</f>
        <v>0</v>
      </c>
      <c r="B606" s="2">
        <f>IF((OR(Fandual!O606="",Fandual!O606&lt;&gt;0)=TRUE),1,0)</f>
        <v>1</v>
      </c>
      <c r="C606" s="2">
        <f>IF(Fandual!B606&lt;&gt;"P",1,0)</f>
        <v>1</v>
      </c>
      <c r="D606" s="2">
        <f t="shared" si="18"/>
        <v>0</v>
      </c>
      <c r="E606" s="2">
        <f>IF(D606=1,Fandual!B606,0)</f>
        <v>0</v>
      </c>
      <c r="F606" s="2">
        <f>IF(D606=1,Fandual!D606,0)</f>
        <v>0</v>
      </c>
      <c r="G606" s="2">
        <f>IF(D606=1,Fandual!F606,0)</f>
        <v>0</v>
      </c>
      <c r="H606" s="2">
        <f>IF(D606=1,Fandual!H606,0)</f>
        <v>0</v>
      </c>
      <c r="I606" s="2">
        <f>IF((Optimizer!$J$8=Fandual!J606),4,0)</f>
        <v>0</v>
      </c>
      <c r="J606" s="2">
        <f>IF((Optimizer!$J$10=Fandual!J606),100,0)</f>
        <v>0</v>
      </c>
      <c r="K606" s="2">
        <f t="shared" si="19"/>
        <v>0</v>
      </c>
      <c r="L606" s="2">
        <f>IF(Fandual!M606="",1,0)</f>
        <v>1</v>
      </c>
    </row>
    <row r="607" spans="1:12" x14ac:dyDescent="0.25">
      <c r="A607" s="2">
        <f>IF((OR(Optimizer!$J$8=Fandual!J607,Optimizer!$J$10=Fandual!J607))=TRUE, 1,0)</f>
        <v>1</v>
      </c>
      <c r="B607" s="2">
        <f>IF((OR(Fandual!O607="",Fandual!O607&lt;&gt;0)=TRUE),1,0)</f>
        <v>1</v>
      </c>
      <c r="C607" s="2">
        <f>IF(Fandual!B607&lt;&gt;"P",1,0)</f>
        <v>1</v>
      </c>
      <c r="D607" s="2">
        <f t="shared" si="18"/>
        <v>1</v>
      </c>
      <c r="E607" s="2" t="str">
        <f>IF(D607=1,Fandual!B607,0)</f>
        <v>2B</v>
      </c>
      <c r="F607" s="2" t="str">
        <f>IF(D607=1,Fandual!D607,0)</f>
        <v>DJ LeMahieu</v>
      </c>
      <c r="G607" s="2">
        <f>IF(D607=1,Fandual!F607,0)</f>
        <v>9.9370078740157393</v>
      </c>
      <c r="H607" s="2">
        <f>IF(D607=1,Fandual!H607,0)</f>
        <v>3900</v>
      </c>
      <c r="I607" s="2">
        <f>IF((Optimizer!$J$8=Fandual!J607),4,0)</f>
        <v>0</v>
      </c>
      <c r="J607" s="2">
        <f>IF((Optimizer!$J$10=Fandual!J607),100,0)</f>
        <v>100</v>
      </c>
      <c r="K607" s="2">
        <f t="shared" si="19"/>
        <v>100</v>
      </c>
      <c r="L607" s="2">
        <f>IF(Fandual!M607="",1,0)</f>
        <v>1</v>
      </c>
    </row>
    <row r="608" spans="1:12" x14ac:dyDescent="0.25">
      <c r="A608" s="2">
        <f>IF((OR(Optimizer!$J$8=Fandual!J608,Optimizer!$J$10=Fandual!J608))=TRUE, 1,0)</f>
        <v>0</v>
      </c>
      <c r="B608" s="2">
        <f>IF((OR(Fandual!O608="",Fandual!O608&lt;&gt;0)=TRUE),1,0)</f>
        <v>1</v>
      </c>
      <c r="C608" s="2">
        <f>IF(Fandual!B608&lt;&gt;"P",1,0)</f>
        <v>1</v>
      </c>
      <c r="D608" s="2">
        <f t="shared" si="18"/>
        <v>0</v>
      </c>
      <c r="E608" s="2">
        <f>IF(D608=1,Fandual!B608,0)</f>
        <v>0</v>
      </c>
      <c r="F608" s="2">
        <f>IF(D608=1,Fandual!D608,0)</f>
        <v>0</v>
      </c>
      <c r="G608" s="2">
        <f>IF(D608=1,Fandual!F608,0)</f>
        <v>0</v>
      </c>
      <c r="H608" s="2">
        <f>IF(D608=1,Fandual!H608,0)</f>
        <v>0</v>
      </c>
      <c r="I608" s="2">
        <f>IF((Optimizer!$J$8=Fandual!J608),4,0)</f>
        <v>0</v>
      </c>
      <c r="J608" s="2">
        <f>IF((Optimizer!$J$10=Fandual!J608),100,0)</f>
        <v>0</v>
      </c>
      <c r="K608" s="2">
        <f t="shared" si="19"/>
        <v>0</v>
      </c>
      <c r="L608" s="2">
        <f>IF(Fandual!M608="",1,0)</f>
        <v>1</v>
      </c>
    </row>
    <row r="609" spans="1:12" x14ac:dyDescent="0.25">
      <c r="A609" s="2">
        <f>IF((OR(Optimizer!$J$8=Fandual!J609,Optimizer!$J$10=Fandual!J609))=TRUE, 1,0)</f>
        <v>0</v>
      </c>
      <c r="B609" s="2">
        <f>IF((OR(Fandual!O609="",Fandual!O609&lt;&gt;0)=TRUE),1,0)</f>
        <v>1</v>
      </c>
      <c r="C609" s="2">
        <f>IF(Fandual!B609&lt;&gt;"P",1,0)</f>
        <v>1</v>
      </c>
      <c r="D609" s="2">
        <f t="shared" si="18"/>
        <v>0</v>
      </c>
      <c r="E609" s="2">
        <f>IF(D609=1,Fandual!B609,0)</f>
        <v>0</v>
      </c>
      <c r="F609" s="2">
        <f>IF(D609=1,Fandual!D609,0)</f>
        <v>0</v>
      </c>
      <c r="G609" s="2">
        <f>IF(D609=1,Fandual!F609,0)</f>
        <v>0</v>
      </c>
      <c r="H609" s="2">
        <f>IF(D609=1,Fandual!H609,0)</f>
        <v>0</v>
      </c>
      <c r="I609" s="2">
        <f>IF((Optimizer!$J$8=Fandual!J609),4,0)</f>
        <v>0</v>
      </c>
      <c r="J609" s="2">
        <f>IF((Optimizer!$J$10=Fandual!J609),100,0)</f>
        <v>0</v>
      </c>
      <c r="K609" s="2">
        <f t="shared" si="19"/>
        <v>0</v>
      </c>
      <c r="L609" s="2">
        <f>IF(Fandual!M609="",1,0)</f>
        <v>1</v>
      </c>
    </row>
    <row r="610" spans="1:12" x14ac:dyDescent="0.25">
      <c r="A610" s="2">
        <f>IF((OR(Optimizer!$J$8=Fandual!J610,Optimizer!$J$10=Fandual!J610))=TRUE, 1,0)</f>
        <v>0</v>
      </c>
      <c r="B610" s="2">
        <f>IF((OR(Fandual!O610="",Fandual!O610&lt;&gt;0)=TRUE),1,0)</f>
        <v>1</v>
      </c>
      <c r="C610" s="2">
        <f>IF(Fandual!B610&lt;&gt;"P",1,0)</f>
        <v>1</v>
      </c>
      <c r="D610" s="2">
        <f t="shared" si="18"/>
        <v>0</v>
      </c>
      <c r="E610" s="2">
        <f>IF(D610=1,Fandual!B610,0)</f>
        <v>0</v>
      </c>
      <c r="F610" s="2">
        <f>IF(D610=1,Fandual!D610,0)</f>
        <v>0</v>
      </c>
      <c r="G610" s="2">
        <f>IF(D610=1,Fandual!F610,0)</f>
        <v>0</v>
      </c>
      <c r="H610" s="2">
        <f>IF(D610=1,Fandual!H610,0)</f>
        <v>0</v>
      </c>
      <c r="I610" s="2">
        <f>IF((Optimizer!$J$8=Fandual!J610),4,0)</f>
        <v>0</v>
      </c>
      <c r="J610" s="2">
        <f>IF((Optimizer!$J$10=Fandual!J610),100,0)</f>
        <v>0</v>
      </c>
      <c r="K610" s="2">
        <f t="shared" si="19"/>
        <v>0</v>
      </c>
      <c r="L610" s="2">
        <f>IF(Fandual!M610="",1,0)</f>
        <v>1</v>
      </c>
    </row>
    <row r="611" spans="1:12" x14ac:dyDescent="0.25">
      <c r="A611" s="2">
        <f>IF((OR(Optimizer!$J$8=Fandual!J611,Optimizer!$J$10=Fandual!J611))=TRUE, 1,0)</f>
        <v>0</v>
      </c>
      <c r="B611" s="2">
        <f>IF((OR(Fandual!O611="",Fandual!O611&lt;&gt;0)=TRUE),1,0)</f>
        <v>1</v>
      </c>
      <c r="C611" s="2">
        <f>IF(Fandual!B611&lt;&gt;"P",1,0)</f>
        <v>1</v>
      </c>
      <c r="D611" s="2">
        <f t="shared" si="18"/>
        <v>0</v>
      </c>
      <c r="E611" s="2">
        <f>IF(D611=1,Fandual!B611,0)</f>
        <v>0</v>
      </c>
      <c r="F611" s="2">
        <f>IF(D611=1,Fandual!D611,0)</f>
        <v>0</v>
      </c>
      <c r="G611" s="2">
        <f>IF(D611=1,Fandual!F611,0)</f>
        <v>0</v>
      </c>
      <c r="H611" s="2">
        <f>IF(D611=1,Fandual!H611,0)</f>
        <v>0</v>
      </c>
      <c r="I611" s="2">
        <f>IF((Optimizer!$J$8=Fandual!J611),4,0)</f>
        <v>0</v>
      </c>
      <c r="J611" s="2">
        <f>IF((Optimizer!$J$10=Fandual!J611),100,0)</f>
        <v>0</v>
      </c>
      <c r="K611" s="2">
        <f t="shared" si="19"/>
        <v>0</v>
      </c>
      <c r="L611" s="2">
        <f>IF(Fandual!M611="",1,0)</f>
        <v>1</v>
      </c>
    </row>
    <row r="612" spans="1:12" x14ac:dyDescent="0.25">
      <c r="A612" s="2">
        <f>IF((OR(Optimizer!$J$8=Fandual!J612,Optimizer!$J$10=Fandual!J612))=TRUE, 1,0)</f>
        <v>1</v>
      </c>
      <c r="B612" s="2">
        <f>IF((OR(Fandual!O612="",Fandual!O612&lt;&gt;0)=TRUE),1,0)</f>
        <v>1</v>
      </c>
      <c r="C612" s="2">
        <f>IF(Fandual!B612&lt;&gt;"P",1,0)</f>
        <v>1</v>
      </c>
      <c r="D612" s="2">
        <f t="shared" si="18"/>
        <v>1</v>
      </c>
      <c r="E612" s="2" t="str">
        <f>IF(D612=1,Fandual!B612,0)</f>
        <v>SS</v>
      </c>
      <c r="F612" s="2" t="str">
        <f>IF(D612=1,Fandual!D612,0)</f>
        <v>Trevor Story</v>
      </c>
      <c r="G612" s="2">
        <f>IF(D612=1,Fandual!F612,0)</f>
        <v>9.0410260583600408</v>
      </c>
      <c r="H612" s="2">
        <f>IF(D612=1,Fandual!H612,0)</f>
        <v>3800</v>
      </c>
      <c r="I612" s="2">
        <f>IF((Optimizer!$J$8=Fandual!J612),4,0)</f>
        <v>0</v>
      </c>
      <c r="J612" s="2">
        <f>IF((Optimizer!$J$10=Fandual!J612),100,0)</f>
        <v>100</v>
      </c>
      <c r="K612" s="2">
        <f t="shared" si="19"/>
        <v>100</v>
      </c>
      <c r="L612" s="2">
        <f>IF(Fandual!M612="",1,0)</f>
        <v>1</v>
      </c>
    </row>
    <row r="613" spans="1:12" x14ac:dyDescent="0.25">
      <c r="A613" s="2">
        <f>IF((OR(Optimizer!$J$8=Fandual!J613,Optimizer!$J$10=Fandual!J613))=TRUE, 1,0)</f>
        <v>0</v>
      </c>
      <c r="B613" s="2">
        <f>IF((OR(Fandual!O613="",Fandual!O613&lt;&gt;0)=TRUE),1,0)</f>
        <v>1</v>
      </c>
      <c r="C613" s="2">
        <f>IF(Fandual!B613&lt;&gt;"P",1,0)</f>
        <v>1</v>
      </c>
      <c r="D613" s="2">
        <f t="shared" si="18"/>
        <v>0</v>
      </c>
      <c r="E613" s="2">
        <f>IF(D613=1,Fandual!B613,0)</f>
        <v>0</v>
      </c>
      <c r="F613" s="2">
        <f>IF(D613=1,Fandual!D613,0)</f>
        <v>0</v>
      </c>
      <c r="G613" s="2">
        <f>IF(D613=1,Fandual!F613,0)</f>
        <v>0</v>
      </c>
      <c r="H613" s="2">
        <f>IF(D613=1,Fandual!H613,0)</f>
        <v>0</v>
      </c>
      <c r="I613" s="2">
        <f>IF((Optimizer!$J$8=Fandual!J613),4,0)</f>
        <v>0</v>
      </c>
      <c r="J613" s="2">
        <f>IF((Optimizer!$J$10=Fandual!J613),100,0)</f>
        <v>0</v>
      </c>
      <c r="K613" s="2">
        <f t="shared" si="19"/>
        <v>0</v>
      </c>
      <c r="L613" s="2">
        <f>IF(Fandual!M613="",1,0)</f>
        <v>1</v>
      </c>
    </row>
    <row r="614" spans="1:12" x14ac:dyDescent="0.25">
      <c r="A614" s="2">
        <f>IF((OR(Optimizer!$J$8=Fandual!J614,Optimizer!$J$10=Fandual!J614))=TRUE, 1,0)</f>
        <v>0</v>
      </c>
      <c r="B614" s="2">
        <f>IF((OR(Fandual!O614="",Fandual!O614&lt;&gt;0)=TRUE),1,0)</f>
        <v>1</v>
      </c>
      <c r="C614" s="2">
        <f>IF(Fandual!B614&lt;&gt;"P",1,0)</f>
        <v>1</v>
      </c>
      <c r="D614" s="2">
        <f t="shared" si="18"/>
        <v>0</v>
      </c>
      <c r="E614" s="2">
        <f>IF(D614=1,Fandual!B614,0)</f>
        <v>0</v>
      </c>
      <c r="F614" s="2">
        <f>IF(D614=1,Fandual!D614,0)</f>
        <v>0</v>
      </c>
      <c r="G614" s="2">
        <f>IF(D614=1,Fandual!F614,0)</f>
        <v>0</v>
      </c>
      <c r="H614" s="2">
        <f>IF(D614=1,Fandual!H614,0)</f>
        <v>0</v>
      </c>
      <c r="I614" s="2">
        <f>IF((Optimizer!$J$8=Fandual!J614),4,0)</f>
        <v>0</v>
      </c>
      <c r="J614" s="2">
        <f>IF((Optimizer!$J$10=Fandual!J614),100,0)</f>
        <v>0</v>
      </c>
      <c r="K614" s="2">
        <f t="shared" si="19"/>
        <v>0</v>
      </c>
      <c r="L614" s="2">
        <f>IF(Fandual!M614="",1,0)</f>
        <v>1</v>
      </c>
    </row>
    <row r="615" spans="1:12" x14ac:dyDescent="0.25">
      <c r="A615" s="2">
        <f>IF((OR(Optimizer!$J$8=Fandual!J615,Optimizer!$J$10=Fandual!J615))=TRUE, 1,0)</f>
        <v>0</v>
      </c>
      <c r="B615" s="2">
        <f>IF((OR(Fandual!O615="",Fandual!O615&lt;&gt;0)=TRUE),1,0)</f>
        <v>1</v>
      </c>
      <c r="C615" s="2">
        <f>IF(Fandual!B615&lt;&gt;"P",1,0)</f>
        <v>1</v>
      </c>
      <c r="D615" s="2">
        <f t="shared" si="18"/>
        <v>0</v>
      </c>
      <c r="E615" s="2">
        <f>IF(D615=1,Fandual!B615,0)</f>
        <v>0</v>
      </c>
      <c r="F615" s="2">
        <f>IF(D615=1,Fandual!D615,0)</f>
        <v>0</v>
      </c>
      <c r="G615" s="2">
        <f>IF(D615=1,Fandual!F615,0)</f>
        <v>0</v>
      </c>
      <c r="H615" s="2">
        <f>IF(D615=1,Fandual!H615,0)</f>
        <v>0</v>
      </c>
      <c r="I615" s="2">
        <f>IF((Optimizer!$J$8=Fandual!J615),4,0)</f>
        <v>0</v>
      </c>
      <c r="J615" s="2">
        <f>IF((Optimizer!$J$10=Fandual!J615),100,0)</f>
        <v>0</v>
      </c>
      <c r="K615" s="2">
        <f t="shared" si="19"/>
        <v>0</v>
      </c>
      <c r="L615" s="2">
        <f>IF(Fandual!M615="",1,0)</f>
        <v>1</v>
      </c>
    </row>
    <row r="616" spans="1:12" x14ac:dyDescent="0.25">
      <c r="A616" s="2">
        <f>IF((OR(Optimizer!$J$8=Fandual!J616,Optimizer!$J$10=Fandual!J616))=TRUE, 1,0)</f>
        <v>0</v>
      </c>
      <c r="B616" s="2">
        <f>IF((OR(Fandual!O616="",Fandual!O616&lt;&gt;0)=TRUE),1,0)</f>
        <v>1</v>
      </c>
      <c r="C616" s="2">
        <f>IF(Fandual!B616&lt;&gt;"P",1,0)</f>
        <v>1</v>
      </c>
      <c r="D616" s="2">
        <f t="shared" si="18"/>
        <v>0</v>
      </c>
      <c r="E616" s="2">
        <f>IF(D616=1,Fandual!B616,0)</f>
        <v>0</v>
      </c>
      <c r="F616" s="2">
        <f>IF(D616=1,Fandual!D616,0)</f>
        <v>0</v>
      </c>
      <c r="G616" s="2">
        <f>IF(D616=1,Fandual!F616,0)</f>
        <v>0</v>
      </c>
      <c r="H616" s="2">
        <f>IF(D616=1,Fandual!H616,0)</f>
        <v>0</v>
      </c>
      <c r="I616" s="2">
        <f>IF((Optimizer!$J$8=Fandual!J616),4,0)</f>
        <v>0</v>
      </c>
      <c r="J616" s="2">
        <f>IF((Optimizer!$J$10=Fandual!J616),100,0)</f>
        <v>0</v>
      </c>
      <c r="K616" s="2">
        <f t="shared" si="19"/>
        <v>0</v>
      </c>
      <c r="L616" s="2">
        <f>IF(Fandual!M616="",1,0)</f>
        <v>0</v>
      </c>
    </row>
    <row r="617" spans="1:12" x14ac:dyDescent="0.25">
      <c r="A617" s="2">
        <f>IF((OR(Optimizer!$J$8=Fandual!J617,Optimizer!$J$10=Fandual!J617))=TRUE, 1,0)</f>
        <v>0</v>
      </c>
      <c r="B617" s="2">
        <f>IF((OR(Fandual!O617="",Fandual!O617&lt;&gt;0)=TRUE),1,0)</f>
        <v>1</v>
      </c>
      <c r="C617" s="2">
        <f>IF(Fandual!B617&lt;&gt;"P",1,0)</f>
        <v>1</v>
      </c>
      <c r="D617" s="2">
        <f t="shared" si="18"/>
        <v>0</v>
      </c>
      <c r="E617" s="2">
        <f>IF(D617=1,Fandual!B617,0)</f>
        <v>0</v>
      </c>
      <c r="F617" s="2">
        <f>IF(D617=1,Fandual!D617,0)</f>
        <v>0</v>
      </c>
      <c r="G617" s="2">
        <f>IF(D617=1,Fandual!F617,0)</f>
        <v>0</v>
      </c>
      <c r="H617" s="2">
        <f>IF(D617=1,Fandual!H617,0)</f>
        <v>0</v>
      </c>
      <c r="I617" s="2">
        <f>IF((Optimizer!$J$8=Fandual!J617),4,0)</f>
        <v>0</v>
      </c>
      <c r="J617" s="2">
        <f>IF((Optimizer!$J$10=Fandual!J617),100,0)</f>
        <v>0</v>
      </c>
      <c r="K617" s="2">
        <f t="shared" si="19"/>
        <v>0</v>
      </c>
      <c r="L617" s="2">
        <f>IF(Fandual!M617="",1,0)</f>
        <v>1</v>
      </c>
    </row>
    <row r="618" spans="1:12" x14ac:dyDescent="0.25">
      <c r="A618" s="2">
        <f>IF((OR(Optimizer!$J$8=Fandual!J618,Optimizer!$J$10=Fandual!J618))=TRUE, 1,0)</f>
        <v>0</v>
      </c>
      <c r="B618" s="2">
        <f>IF((OR(Fandual!O618="",Fandual!O618&lt;&gt;0)=TRUE),1,0)</f>
        <v>1</v>
      </c>
      <c r="C618" s="2">
        <f>IF(Fandual!B618&lt;&gt;"P",1,0)</f>
        <v>1</v>
      </c>
      <c r="D618" s="2">
        <f t="shared" si="18"/>
        <v>0</v>
      </c>
      <c r="E618" s="2">
        <f>IF(D618=1,Fandual!B618,0)</f>
        <v>0</v>
      </c>
      <c r="F618" s="2">
        <f>IF(D618=1,Fandual!D618,0)</f>
        <v>0</v>
      </c>
      <c r="G618" s="2">
        <f>IF(D618=1,Fandual!F618,0)</f>
        <v>0</v>
      </c>
      <c r="H618" s="2">
        <f>IF(D618=1,Fandual!H618,0)</f>
        <v>0</v>
      </c>
      <c r="I618" s="2">
        <f>IF((Optimizer!$J$8=Fandual!J618),4,0)</f>
        <v>0</v>
      </c>
      <c r="J618" s="2">
        <f>IF((Optimizer!$J$10=Fandual!J618),100,0)</f>
        <v>0</v>
      </c>
      <c r="K618" s="2">
        <f t="shared" si="19"/>
        <v>0</v>
      </c>
      <c r="L618" s="2">
        <f>IF(Fandual!M618="",1,0)</f>
        <v>1</v>
      </c>
    </row>
    <row r="619" spans="1:12" x14ac:dyDescent="0.25">
      <c r="A619" s="2">
        <f>IF((OR(Optimizer!$J$8=Fandual!J619,Optimizer!$J$10=Fandual!J619))=TRUE, 1,0)</f>
        <v>0</v>
      </c>
      <c r="B619" s="2">
        <f>IF((OR(Fandual!O619="",Fandual!O619&lt;&gt;0)=TRUE),1,0)</f>
        <v>1</v>
      </c>
      <c r="C619" s="2">
        <f>IF(Fandual!B619&lt;&gt;"P",1,0)</f>
        <v>1</v>
      </c>
      <c r="D619" s="2">
        <f t="shared" si="18"/>
        <v>0</v>
      </c>
      <c r="E619" s="2">
        <f>IF(D619=1,Fandual!B619,0)</f>
        <v>0</v>
      </c>
      <c r="F619" s="2">
        <f>IF(D619=1,Fandual!D619,0)</f>
        <v>0</v>
      </c>
      <c r="G619" s="2">
        <f>IF(D619=1,Fandual!F619,0)</f>
        <v>0</v>
      </c>
      <c r="H619" s="2">
        <f>IF(D619=1,Fandual!H619,0)</f>
        <v>0</v>
      </c>
      <c r="I619" s="2">
        <f>IF((Optimizer!$J$8=Fandual!J619),4,0)</f>
        <v>0</v>
      </c>
      <c r="J619" s="2">
        <f>IF((Optimizer!$J$10=Fandual!J619),100,0)</f>
        <v>0</v>
      </c>
      <c r="K619" s="2">
        <f t="shared" si="19"/>
        <v>0</v>
      </c>
      <c r="L619" s="2">
        <f>IF(Fandual!M619="",1,0)</f>
        <v>1</v>
      </c>
    </row>
    <row r="620" spans="1:12" x14ac:dyDescent="0.25">
      <c r="A620" s="2">
        <f>IF((OR(Optimizer!$J$8=Fandual!J620,Optimizer!$J$10=Fandual!J620))=TRUE, 1,0)</f>
        <v>0</v>
      </c>
      <c r="B620" s="2">
        <f>IF((OR(Fandual!O620="",Fandual!O620&lt;&gt;0)=TRUE),1,0)</f>
        <v>1</v>
      </c>
      <c r="C620" s="2">
        <f>IF(Fandual!B620&lt;&gt;"P",1,0)</f>
        <v>1</v>
      </c>
      <c r="D620" s="2">
        <f t="shared" si="18"/>
        <v>0</v>
      </c>
      <c r="E620" s="2">
        <f>IF(D620=1,Fandual!B620,0)</f>
        <v>0</v>
      </c>
      <c r="F620" s="2">
        <f>IF(D620=1,Fandual!D620,0)</f>
        <v>0</v>
      </c>
      <c r="G620" s="2">
        <f>IF(D620=1,Fandual!F620,0)</f>
        <v>0</v>
      </c>
      <c r="H620" s="2">
        <f>IF(D620=1,Fandual!H620,0)</f>
        <v>0</v>
      </c>
      <c r="I620" s="2">
        <f>IF((Optimizer!$J$8=Fandual!J620),4,0)</f>
        <v>0</v>
      </c>
      <c r="J620" s="2">
        <f>IF((Optimizer!$J$10=Fandual!J620),100,0)</f>
        <v>0</v>
      </c>
      <c r="K620" s="2">
        <f t="shared" si="19"/>
        <v>0</v>
      </c>
      <c r="L620" s="2">
        <f>IF(Fandual!M620="",1,0)</f>
        <v>1</v>
      </c>
    </row>
    <row r="621" spans="1:12" x14ac:dyDescent="0.25">
      <c r="A621" s="2">
        <f>IF((OR(Optimizer!$J$8=Fandual!J621,Optimizer!$J$10=Fandual!J621))=TRUE, 1,0)</f>
        <v>0</v>
      </c>
      <c r="B621" s="2">
        <f>IF((OR(Fandual!O621="",Fandual!O621&lt;&gt;0)=TRUE),1,0)</f>
        <v>1</v>
      </c>
      <c r="C621" s="2">
        <f>IF(Fandual!B621&lt;&gt;"P",1,0)</f>
        <v>1</v>
      </c>
      <c r="D621" s="2">
        <f t="shared" si="18"/>
        <v>0</v>
      </c>
      <c r="E621" s="2">
        <f>IF(D621=1,Fandual!B621,0)</f>
        <v>0</v>
      </c>
      <c r="F621" s="2">
        <f>IF(D621=1,Fandual!D621,0)</f>
        <v>0</v>
      </c>
      <c r="G621" s="2">
        <f>IF(D621=1,Fandual!F621,0)</f>
        <v>0</v>
      </c>
      <c r="H621" s="2">
        <f>IF(D621=1,Fandual!H621,0)</f>
        <v>0</v>
      </c>
      <c r="I621" s="2">
        <f>IF((Optimizer!$J$8=Fandual!J621),4,0)</f>
        <v>0</v>
      </c>
      <c r="J621" s="2">
        <f>IF((Optimizer!$J$10=Fandual!J621),100,0)</f>
        <v>0</v>
      </c>
      <c r="K621" s="2">
        <f t="shared" si="19"/>
        <v>0</v>
      </c>
      <c r="L621" s="2">
        <f>IF(Fandual!M621="",1,0)</f>
        <v>1</v>
      </c>
    </row>
    <row r="622" spans="1:12" x14ac:dyDescent="0.25">
      <c r="A622" s="2">
        <f>IF((OR(Optimizer!$J$8=Fandual!J622,Optimizer!$J$10=Fandual!J622))=TRUE, 1,0)</f>
        <v>0</v>
      </c>
      <c r="B622" s="2">
        <f>IF((OR(Fandual!O622="",Fandual!O622&lt;&gt;0)=TRUE),1,0)</f>
        <v>1</v>
      </c>
      <c r="C622" s="2">
        <f>IF(Fandual!B622&lt;&gt;"P",1,0)</f>
        <v>1</v>
      </c>
      <c r="D622" s="2">
        <f t="shared" si="18"/>
        <v>0</v>
      </c>
      <c r="E622" s="2">
        <f>IF(D622=1,Fandual!B622,0)</f>
        <v>0</v>
      </c>
      <c r="F622" s="2">
        <f>IF(D622=1,Fandual!D622,0)</f>
        <v>0</v>
      </c>
      <c r="G622" s="2">
        <f>IF(D622=1,Fandual!F622,0)</f>
        <v>0</v>
      </c>
      <c r="H622" s="2">
        <f>IF(D622=1,Fandual!H622,0)</f>
        <v>0</v>
      </c>
      <c r="I622" s="2">
        <f>IF((Optimizer!$J$8=Fandual!J622),4,0)</f>
        <v>0</v>
      </c>
      <c r="J622" s="2">
        <f>IF((Optimizer!$J$10=Fandual!J622),100,0)</f>
        <v>0</v>
      </c>
      <c r="K622" s="2">
        <f t="shared" si="19"/>
        <v>0</v>
      </c>
      <c r="L622" s="2">
        <f>IF(Fandual!M622="",1,0)</f>
        <v>1</v>
      </c>
    </row>
    <row r="623" spans="1:12" x14ac:dyDescent="0.25">
      <c r="A623" s="2">
        <f>IF((OR(Optimizer!$J$8=Fandual!J623,Optimizer!$J$10=Fandual!J623))=TRUE, 1,0)</f>
        <v>0</v>
      </c>
      <c r="B623" s="2">
        <f>IF((OR(Fandual!O623="",Fandual!O623&lt;&gt;0)=TRUE),1,0)</f>
        <v>1</v>
      </c>
      <c r="C623" s="2">
        <f>IF(Fandual!B623&lt;&gt;"P",1,0)</f>
        <v>1</v>
      </c>
      <c r="D623" s="2">
        <f t="shared" si="18"/>
        <v>0</v>
      </c>
      <c r="E623" s="2">
        <f>IF(D623=1,Fandual!B623,0)</f>
        <v>0</v>
      </c>
      <c r="F623" s="2">
        <f>IF(D623=1,Fandual!D623,0)</f>
        <v>0</v>
      </c>
      <c r="G623" s="2">
        <f>IF(D623=1,Fandual!F623,0)</f>
        <v>0</v>
      </c>
      <c r="H623" s="2">
        <f>IF(D623=1,Fandual!H623,0)</f>
        <v>0</v>
      </c>
      <c r="I623" s="2">
        <f>IF((Optimizer!$J$8=Fandual!J623),4,0)</f>
        <v>0</v>
      </c>
      <c r="J623" s="2">
        <f>IF((Optimizer!$J$10=Fandual!J623),100,0)</f>
        <v>0</v>
      </c>
      <c r="K623" s="2">
        <f t="shared" si="19"/>
        <v>0</v>
      </c>
      <c r="L623" s="2">
        <f>IF(Fandual!M623="",1,0)</f>
        <v>1</v>
      </c>
    </row>
    <row r="624" spans="1:12" x14ac:dyDescent="0.25">
      <c r="A624" s="2">
        <f>IF((OR(Optimizer!$J$8=Fandual!J624,Optimizer!$J$10=Fandual!J624))=TRUE, 1,0)</f>
        <v>0</v>
      </c>
      <c r="B624" s="2">
        <f>IF((OR(Fandual!O624="",Fandual!O624&lt;&gt;0)=TRUE),1,0)</f>
        <v>1</v>
      </c>
      <c r="C624" s="2">
        <f>IF(Fandual!B624&lt;&gt;"P",1,0)</f>
        <v>1</v>
      </c>
      <c r="D624" s="2">
        <f t="shared" si="18"/>
        <v>0</v>
      </c>
      <c r="E624" s="2">
        <f>IF(D624=1,Fandual!B624,0)</f>
        <v>0</v>
      </c>
      <c r="F624" s="2">
        <f>IF(D624=1,Fandual!D624,0)</f>
        <v>0</v>
      </c>
      <c r="G624" s="2">
        <f>IF(D624=1,Fandual!F624,0)</f>
        <v>0</v>
      </c>
      <c r="H624" s="2">
        <f>IF(D624=1,Fandual!H624,0)</f>
        <v>0</v>
      </c>
      <c r="I624" s="2">
        <f>IF((Optimizer!$J$8=Fandual!J624),4,0)</f>
        <v>0</v>
      </c>
      <c r="J624" s="2">
        <f>IF((Optimizer!$J$10=Fandual!J624),100,0)</f>
        <v>0</v>
      </c>
      <c r="K624" s="2">
        <f t="shared" si="19"/>
        <v>0</v>
      </c>
      <c r="L624" s="2">
        <f>IF(Fandual!M624="",1,0)</f>
        <v>1</v>
      </c>
    </row>
    <row r="625" spans="1:12" x14ac:dyDescent="0.25">
      <c r="A625" s="2">
        <f>IF((OR(Optimizer!$J$8=Fandual!J625,Optimizer!$J$10=Fandual!J625))=TRUE, 1,0)</f>
        <v>0</v>
      </c>
      <c r="B625" s="2">
        <f>IF((OR(Fandual!O625="",Fandual!O625&lt;&gt;0)=TRUE),1,0)</f>
        <v>1</v>
      </c>
      <c r="C625" s="2">
        <f>IF(Fandual!B625&lt;&gt;"P",1,0)</f>
        <v>1</v>
      </c>
      <c r="D625" s="2">
        <f t="shared" si="18"/>
        <v>0</v>
      </c>
      <c r="E625" s="2">
        <f>IF(D625=1,Fandual!B625,0)</f>
        <v>0</v>
      </c>
      <c r="F625" s="2">
        <f>IF(D625=1,Fandual!D625,0)</f>
        <v>0</v>
      </c>
      <c r="G625" s="2">
        <f>IF(D625=1,Fandual!F625,0)</f>
        <v>0</v>
      </c>
      <c r="H625" s="2">
        <f>IF(D625=1,Fandual!H625,0)</f>
        <v>0</v>
      </c>
      <c r="I625" s="2">
        <f>IF((Optimizer!$J$8=Fandual!J625),4,0)</f>
        <v>0</v>
      </c>
      <c r="J625" s="2">
        <f>IF((Optimizer!$J$10=Fandual!J625),100,0)</f>
        <v>0</v>
      </c>
      <c r="K625" s="2">
        <f t="shared" si="19"/>
        <v>0</v>
      </c>
      <c r="L625" s="2">
        <f>IF(Fandual!M625="",1,0)</f>
        <v>1</v>
      </c>
    </row>
    <row r="626" spans="1:12" x14ac:dyDescent="0.25">
      <c r="A626" s="2">
        <f>IF((OR(Optimizer!$J$8=Fandual!J626,Optimizer!$J$10=Fandual!J626))=TRUE, 1,0)</f>
        <v>0</v>
      </c>
      <c r="B626" s="2">
        <f>IF((OR(Fandual!O626="",Fandual!O626&lt;&gt;0)=TRUE),1,0)</f>
        <v>1</v>
      </c>
      <c r="C626" s="2">
        <f>IF(Fandual!B626&lt;&gt;"P",1,0)</f>
        <v>1</v>
      </c>
      <c r="D626" s="2">
        <f t="shared" si="18"/>
        <v>0</v>
      </c>
      <c r="E626" s="2">
        <f>IF(D626=1,Fandual!B626,0)</f>
        <v>0</v>
      </c>
      <c r="F626" s="2">
        <f>IF(D626=1,Fandual!D626,0)</f>
        <v>0</v>
      </c>
      <c r="G626" s="2">
        <f>IF(D626=1,Fandual!F626,0)</f>
        <v>0</v>
      </c>
      <c r="H626" s="2">
        <f>IF(D626=1,Fandual!H626,0)</f>
        <v>0</v>
      </c>
      <c r="I626" s="2">
        <f>IF((Optimizer!$J$8=Fandual!J626),4,0)</f>
        <v>0</v>
      </c>
      <c r="J626" s="2">
        <f>IF((Optimizer!$J$10=Fandual!J626),100,0)</f>
        <v>0</v>
      </c>
      <c r="K626" s="2">
        <f t="shared" si="19"/>
        <v>0</v>
      </c>
      <c r="L626" s="2">
        <f>IF(Fandual!M626="",1,0)</f>
        <v>1</v>
      </c>
    </row>
    <row r="627" spans="1:12" x14ac:dyDescent="0.25">
      <c r="A627" s="2">
        <f>IF((OR(Optimizer!$J$8=Fandual!J627,Optimizer!$J$10=Fandual!J627))=TRUE, 1,0)</f>
        <v>0</v>
      </c>
      <c r="B627" s="2">
        <f>IF((OR(Fandual!O627="",Fandual!O627&lt;&gt;0)=TRUE),1,0)</f>
        <v>1</v>
      </c>
      <c r="C627" s="2">
        <f>IF(Fandual!B627&lt;&gt;"P",1,0)</f>
        <v>1</v>
      </c>
      <c r="D627" s="2">
        <f t="shared" si="18"/>
        <v>0</v>
      </c>
      <c r="E627" s="2">
        <f>IF(D627=1,Fandual!B627,0)</f>
        <v>0</v>
      </c>
      <c r="F627" s="2">
        <f>IF(D627=1,Fandual!D627,0)</f>
        <v>0</v>
      </c>
      <c r="G627" s="2">
        <f>IF(D627=1,Fandual!F627,0)</f>
        <v>0</v>
      </c>
      <c r="H627" s="2">
        <f>IF(D627=1,Fandual!H627,0)</f>
        <v>0</v>
      </c>
      <c r="I627" s="2">
        <f>IF((Optimizer!$J$8=Fandual!J627),4,0)</f>
        <v>0</v>
      </c>
      <c r="J627" s="2">
        <f>IF((Optimizer!$J$10=Fandual!J627),100,0)</f>
        <v>0</v>
      </c>
      <c r="K627" s="2">
        <f t="shared" si="19"/>
        <v>0</v>
      </c>
      <c r="L627" s="2">
        <f>IF(Fandual!M627="",1,0)</f>
        <v>1</v>
      </c>
    </row>
    <row r="628" spans="1:12" x14ac:dyDescent="0.25">
      <c r="A628" s="2">
        <f>IF((OR(Optimizer!$J$8=Fandual!J628,Optimizer!$J$10=Fandual!J628))=TRUE, 1,0)</f>
        <v>0</v>
      </c>
      <c r="B628" s="2">
        <f>IF((OR(Fandual!O628="",Fandual!O628&lt;&gt;0)=TRUE),1,0)</f>
        <v>1</v>
      </c>
      <c r="C628" s="2">
        <f>IF(Fandual!B628&lt;&gt;"P",1,0)</f>
        <v>1</v>
      </c>
      <c r="D628" s="2">
        <f t="shared" si="18"/>
        <v>0</v>
      </c>
      <c r="E628" s="2">
        <f>IF(D628=1,Fandual!B628,0)</f>
        <v>0</v>
      </c>
      <c r="F628" s="2">
        <f>IF(D628=1,Fandual!D628,0)</f>
        <v>0</v>
      </c>
      <c r="G628" s="2">
        <f>IF(D628=1,Fandual!F628,0)</f>
        <v>0</v>
      </c>
      <c r="H628" s="2">
        <f>IF(D628=1,Fandual!H628,0)</f>
        <v>0</v>
      </c>
      <c r="I628" s="2">
        <f>IF((Optimizer!$J$8=Fandual!J628),4,0)</f>
        <v>0</v>
      </c>
      <c r="J628" s="2">
        <f>IF((Optimizer!$J$10=Fandual!J628),100,0)</f>
        <v>0</v>
      </c>
      <c r="K628" s="2">
        <f t="shared" si="19"/>
        <v>0</v>
      </c>
      <c r="L628" s="2">
        <f>IF(Fandual!M628="",1,0)</f>
        <v>1</v>
      </c>
    </row>
    <row r="629" spans="1:12" x14ac:dyDescent="0.25">
      <c r="A629" s="2">
        <f>IF((OR(Optimizer!$J$8=Fandual!J629,Optimizer!$J$10=Fandual!J629))=TRUE, 1,0)</f>
        <v>0</v>
      </c>
      <c r="B629" s="2">
        <f>IF((OR(Fandual!O629="",Fandual!O629&lt;&gt;0)=TRUE),1,0)</f>
        <v>1</v>
      </c>
      <c r="C629" s="2">
        <f>IF(Fandual!B629&lt;&gt;"P",1,0)</f>
        <v>1</v>
      </c>
      <c r="D629" s="2">
        <f t="shared" si="18"/>
        <v>0</v>
      </c>
      <c r="E629" s="2">
        <f>IF(D629=1,Fandual!B629,0)</f>
        <v>0</v>
      </c>
      <c r="F629" s="2">
        <f>IF(D629=1,Fandual!D629,0)</f>
        <v>0</v>
      </c>
      <c r="G629" s="2">
        <f>IF(D629=1,Fandual!F629,0)</f>
        <v>0</v>
      </c>
      <c r="H629" s="2">
        <f>IF(D629=1,Fandual!H629,0)</f>
        <v>0</v>
      </c>
      <c r="I629" s="2">
        <f>IF((Optimizer!$J$8=Fandual!J629),4,0)</f>
        <v>0</v>
      </c>
      <c r="J629" s="2">
        <f>IF((Optimizer!$J$10=Fandual!J629),100,0)</f>
        <v>0</v>
      </c>
      <c r="K629" s="2">
        <f t="shared" si="19"/>
        <v>0</v>
      </c>
      <c r="L629" s="2">
        <f>IF(Fandual!M629="",1,0)</f>
        <v>1</v>
      </c>
    </row>
    <row r="630" spans="1:12" x14ac:dyDescent="0.25">
      <c r="A630" s="2">
        <f>IF((OR(Optimizer!$J$8=Fandual!J630,Optimizer!$J$10=Fandual!J630))=TRUE, 1,0)</f>
        <v>0</v>
      </c>
      <c r="B630" s="2">
        <f>IF((OR(Fandual!O630="",Fandual!O630&lt;&gt;0)=TRUE),1,0)</f>
        <v>1</v>
      </c>
      <c r="C630" s="2">
        <f>IF(Fandual!B630&lt;&gt;"P",1,0)</f>
        <v>1</v>
      </c>
      <c r="D630" s="2">
        <f t="shared" si="18"/>
        <v>0</v>
      </c>
      <c r="E630" s="2">
        <f>IF(D630=1,Fandual!B630,0)</f>
        <v>0</v>
      </c>
      <c r="F630" s="2">
        <f>IF(D630=1,Fandual!D630,0)</f>
        <v>0</v>
      </c>
      <c r="G630" s="2">
        <f>IF(D630=1,Fandual!F630,0)</f>
        <v>0</v>
      </c>
      <c r="H630" s="2">
        <f>IF(D630=1,Fandual!H630,0)</f>
        <v>0</v>
      </c>
      <c r="I630" s="2">
        <f>IF((Optimizer!$J$8=Fandual!J630),4,0)</f>
        <v>0</v>
      </c>
      <c r="J630" s="2">
        <f>IF((Optimizer!$J$10=Fandual!J630),100,0)</f>
        <v>0</v>
      </c>
      <c r="K630" s="2">
        <f t="shared" si="19"/>
        <v>0</v>
      </c>
      <c r="L630" s="2">
        <f>IF(Fandual!M630="",1,0)</f>
        <v>0</v>
      </c>
    </row>
    <row r="631" spans="1:12" x14ac:dyDescent="0.25">
      <c r="A631" s="2">
        <f>IF((OR(Optimizer!$J$8=Fandual!J631,Optimizer!$J$10=Fandual!J631))=TRUE, 1,0)</f>
        <v>0</v>
      </c>
      <c r="B631" s="2">
        <f>IF((OR(Fandual!O631="",Fandual!O631&lt;&gt;0)=TRUE),1,0)</f>
        <v>1</v>
      </c>
      <c r="C631" s="2">
        <f>IF(Fandual!B631&lt;&gt;"P",1,0)</f>
        <v>1</v>
      </c>
      <c r="D631" s="2">
        <f t="shared" si="18"/>
        <v>0</v>
      </c>
      <c r="E631" s="2">
        <f>IF(D631=1,Fandual!B631,0)</f>
        <v>0</v>
      </c>
      <c r="F631" s="2">
        <f>IF(D631=1,Fandual!D631,0)</f>
        <v>0</v>
      </c>
      <c r="G631" s="2">
        <f>IF(D631=1,Fandual!F631,0)</f>
        <v>0</v>
      </c>
      <c r="H631" s="2">
        <f>IF(D631=1,Fandual!H631,0)</f>
        <v>0</v>
      </c>
      <c r="I631" s="2">
        <f>IF((Optimizer!$J$8=Fandual!J631),4,0)</f>
        <v>0</v>
      </c>
      <c r="J631" s="2">
        <f>IF((Optimizer!$J$10=Fandual!J631),100,0)</f>
        <v>0</v>
      </c>
      <c r="K631" s="2">
        <f t="shared" si="19"/>
        <v>0</v>
      </c>
      <c r="L631" s="2">
        <f>IF(Fandual!M631="",1,0)</f>
        <v>1</v>
      </c>
    </row>
    <row r="632" spans="1:12" x14ac:dyDescent="0.25">
      <c r="A632" s="2">
        <f>IF((OR(Optimizer!$J$8=Fandual!J632,Optimizer!$J$10=Fandual!J632))=TRUE, 1,0)</f>
        <v>0</v>
      </c>
      <c r="B632" s="2">
        <f>IF((OR(Fandual!O632="",Fandual!O632&lt;&gt;0)=TRUE),1,0)</f>
        <v>1</v>
      </c>
      <c r="C632" s="2">
        <f>IF(Fandual!B632&lt;&gt;"P",1,0)</f>
        <v>1</v>
      </c>
      <c r="D632" s="2">
        <f t="shared" si="18"/>
        <v>0</v>
      </c>
      <c r="E632" s="2">
        <f>IF(D632=1,Fandual!B632,0)</f>
        <v>0</v>
      </c>
      <c r="F632" s="2">
        <f>IF(D632=1,Fandual!D632,0)</f>
        <v>0</v>
      </c>
      <c r="G632" s="2">
        <f>IF(D632=1,Fandual!F632,0)</f>
        <v>0</v>
      </c>
      <c r="H632" s="2">
        <f>IF(D632=1,Fandual!H632,0)</f>
        <v>0</v>
      </c>
      <c r="I632" s="2">
        <f>IF((Optimizer!$J$8=Fandual!J632),4,0)</f>
        <v>0</v>
      </c>
      <c r="J632" s="2">
        <f>IF((Optimizer!$J$10=Fandual!J632),100,0)</f>
        <v>0</v>
      </c>
      <c r="K632" s="2">
        <f t="shared" si="19"/>
        <v>0</v>
      </c>
      <c r="L632" s="2">
        <f>IF(Fandual!M632="",1,0)</f>
        <v>1</v>
      </c>
    </row>
    <row r="633" spans="1:12" x14ac:dyDescent="0.25">
      <c r="A633" s="2">
        <f>IF((OR(Optimizer!$J$8=Fandual!J633,Optimizer!$J$10=Fandual!J633))=TRUE, 1,0)</f>
        <v>1</v>
      </c>
      <c r="B633" s="2">
        <f>IF((OR(Fandual!O633="",Fandual!O633&lt;&gt;0)=TRUE),1,0)</f>
        <v>1</v>
      </c>
      <c r="C633" s="2">
        <f>IF(Fandual!B633&lt;&gt;"P",1,0)</f>
        <v>1</v>
      </c>
      <c r="D633" s="2">
        <f t="shared" si="18"/>
        <v>0</v>
      </c>
      <c r="E633" s="2">
        <f>IF(D633=1,Fandual!B633,0)</f>
        <v>0</v>
      </c>
      <c r="F633" s="2">
        <f>IF(D633=1,Fandual!D633,0)</f>
        <v>0</v>
      </c>
      <c r="G633" s="2">
        <f>IF(D633=1,Fandual!F633,0)</f>
        <v>0</v>
      </c>
      <c r="H633" s="2">
        <f>IF(D633=1,Fandual!H633,0)</f>
        <v>0</v>
      </c>
      <c r="I633" s="2">
        <f>IF((Optimizer!$J$8=Fandual!J633),4,0)</f>
        <v>0</v>
      </c>
      <c r="J633" s="2">
        <f>IF((Optimizer!$J$10=Fandual!J633),100,0)</f>
        <v>100</v>
      </c>
      <c r="K633" s="2">
        <f t="shared" si="19"/>
        <v>0</v>
      </c>
      <c r="L633" s="2">
        <f>IF(Fandual!M633="",1,0)</f>
        <v>0</v>
      </c>
    </row>
    <row r="634" spans="1:12" x14ac:dyDescent="0.25">
      <c r="A634" s="2">
        <f>IF((OR(Optimizer!$J$8=Fandual!J634,Optimizer!$J$10=Fandual!J634))=TRUE, 1,0)</f>
        <v>0</v>
      </c>
      <c r="B634" s="2">
        <f>IF((OR(Fandual!O634="",Fandual!O634&lt;&gt;0)=TRUE),1,0)</f>
        <v>1</v>
      </c>
      <c r="C634" s="2">
        <f>IF(Fandual!B634&lt;&gt;"P",1,0)</f>
        <v>1</v>
      </c>
      <c r="D634" s="2">
        <f t="shared" si="18"/>
        <v>0</v>
      </c>
      <c r="E634" s="2">
        <f>IF(D634=1,Fandual!B634,0)</f>
        <v>0</v>
      </c>
      <c r="F634" s="2">
        <f>IF(D634=1,Fandual!D634,0)</f>
        <v>0</v>
      </c>
      <c r="G634" s="2">
        <f>IF(D634=1,Fandual!F634,0)</f>
        <v>0</v>
      </c>
      <c r="H634" s="2">
        <f>IF(D634=1,Fandual!H634,0)</f>
        <v>0</v>
      </c>
      <c r="I634" s="2">
        <f>IF((Optimizer!$J$8=Fandual!J634),4,0)</f>
        <v>0</v>
      </c>
      <c r="J634" s="2">
        <f>IF((Optimizer!$J$10=Fandual!J634),100,0)</f>
        <v>0</v>
      </c>
      <c r="K634" s="2">
        <f t="shared" si="19"/>
        <v>0</v>
      </c>
      <c r="L634" s="2">
        <f>IF(Fandual!M634="",1,0)</f>
        <v>1</v>
      </c>
    </row>
    <row r="635" spans="1:12" x14ac:dyDescent="0.25">
      <c r="A635" s="2">
        <f>IF((OR(Optimizer!$J$8=Fandual!J635,Optimizer!$J$10=Fandual!J635))=TRUE, 1,0)</f>
        <v>0</v>
      </c>
      <c r="B635" s="2">
        <f>IF((OR(Fandual!O635="",Fandual!O635&lt;&gt;0)=TRUE),1,0)</f>
        <v>1</v>
      </c>
      <c r="C635" s="2">
        <f>IF(Fandual!B635&lt;&gt;"P",1,0)</f>
        <v>1</v>
      </c>
      <c r="D635" s="2">
        <f t="shared" si="18"/>
        <v>0</v>
      </c>
      <c r="E635" s="2">
        <f>IF(D635=1,Fandual!B635,0)</f>
        <v>0</v>
      </c>
      <c r="F635" s="2">
        <f>IF(D635=1,Fandual!D635,0)</f>
        <v>0</v>
      </c>
      <c r="G635" s="2">
        <f>IF(D635=1,Fandual!F635,0)</f>
        <v>0</v>
      </c>
      <c r="H635" s="2">
        <f>IF(D635=1,Fandual!H635,0)</f>
        <v>0</v>
      </c>
      <c r="I635" s="2">
        <f>IF((Optimizer!$J$8=Fandual!J635),4,0)</f>
        <v>0</v>
      </c>
      <c r="J635" s="2">
        <f>IF((Optimizer!$J$10=Fandual!J635),100,0)</f>
        <v>0</v>
      </c>
      <c r="K635" s="2">
        <f t="shared" si="19"/>
        <v>0</v>
      </c>
      <c r="L635" s="2">
        <f>IF(Fandual!M635="",1,0)</f>
        <v>1</v>
      </c>
    </row>
    <row r="636" spans="1:12" x14ac:dyDescent="0.25">
      <c r="A636" s="2">
        <f>IF((OR(Optimizer!$J$8=Fandual!J636,Optimizer!$J$10=Fandual!J636))=TRUE, 1,0)</f>
        <v>0</v>
      </c>
      <c r="B636" s="2">
        <f>IF((OR(Fandual!O636="",Fandual!O636&lt;&gt;0)=TRUE),1,0)</f>
        <v>1</v>
      </c>
      <c r="C636" s="2">
        <f>IF(Fandual!B636&lt;&gt;"P",1,0)</f>
        <v>1</v>
      </c>
      <c r="D636" s="2">
        <f t="shared" si="18"/>
        <v>0</v>
      </c>
      <c r="E636" s="2">
        <f>IF(D636=1,Fandual!B636,0)</f>
        <v>0</v>
      </c>
      <c r="F636" s="2">
        <f>IF(D636=1,Fandual!D636,0)</f>
        <v>0</v>
      </c>
      <c r="G636" s="2">
        <f>IF(D636=1,Fandual!F636,0)</f>
        <v>0</v>
      </c>
      <c r="H636" s="2">
        <f>IF(D636=1,Fandual!H636,0)</f>
        <v>0</v>
      </c>
      <c r="I636" s="2">
        <f>IF((Optimizer!$J$8=Fandual!J636),4,0)</f>
        <v>0</v>
      </c>
      <c r="J636" s="2">
        <f>IF((Optimizer!$J$10=Fandual!J636),100,0)</f>
        <v>0</v>
      </c>
      <c r="K636" s="2">
        <f t="shared" si="19"/>
        <v>0</v>
      </c>
      <c r="L636" s="2">
        <f>IF(Fandual!M636="",1,0)</f>
        <v>1</v>
      </c>
    </row>
    <row r="637" spans="1:12" x14ac:dyDescent="0.25">
      <c r="A637" s="2">
        <f>IF((OR(Optimizer!$J$8=Fandual!J637,Optimizer!$J$10=Fandual!J637))=TRUE, 1,0)</f>
        <v>1</v>
      </c>
      <c r="B637" s="2">
        <f>IF((OR(Fandual!O637="",Fandual!O637&lt;&gt;0)=TRUE),1,0)</f>
        <v>1</v>
      </c>
      <c r="C637" s="2">
        <f>IF(Fandual!B637&lt;&gt;"P",1,0)</f>
        <v>1</v>
      </c>
      <c r="D637" s="2">
        <f t="shared" si="18"/>
        <v>0</v>
      </c>
      <c r="E637" s="2">
        <f>IF(D637=1,Fandual!B637,0)</f>
        <v>0</v>
      </c>
      <c r="F637" s="2">
        <f>IF(D637=1,Fandual!D637,0)</f>
        <v>0</v>
      </c>
      <c r="G637" s="2">
        <f>IF(D637=1,Fandual!F637,0)</f>
        <v>0</v>
      </c>
      <c r="H637" s="2">
        <f>IF(D637=1,Fandual!H637,0)</f>
        <v>0</v>
      </c>
      <c r="I637" s="2">
        <f>IF((Optimizer!$J$8=Fandual!J637),4,0)</f>
        <v>4</v>
      </c>
      <c r="J637" s="2">
        <f>IF((Optimizer!$J$10=Fandual!J637),100,0)</f>
        <v>0</v>
      </c>
      <c r="K637" s="2">
        <f t="shared" si="19"/>
        <v>0</v>
      </c>
      <c r="L637" s="2">
        <f>IF(Fandual!M637="",1,0)</f>
        <v>0</v>
      </c>
    </row>
    <row r="638" spans="1:12" x14ac:dyDescent="0.25">
      <c r="A638" s="2">
        <f>IF((OR(Optimizer!$J$8=Fandual!J638,Optimizer!$J$10=Fandual!J638))=TRUE, 1,0)</f>
        <v>1</v>
      </c>
      <c r="B638" s="2">
        <f>IF((OR(Fandual!O638="",Fandual!O638&lt;&gt;0)=TRUE),1,0)</f>
        <v>1</v>
      </c>
      <c r="C638" s="2">
        <f>IF(Fandual!B638&lt;&gt;"P",1,0)</f>
        <v>1</v>
      </c>
      <c r="D638" s="2">
        <f t="shared" si="18"/>
        <v>1</v>
      </c>
      <c r="E638" s="2" t="str">
        <f>IF(D638=1,Fandual!B638,0)</f>
        <v>OF</v>
      </c>
      <c r="F638" s="2" t="str">
        <f>IF(D638=1,Fandual!D638,0)</f>
        <v>Gerardo Parra</v>
      </c>
      <c r="G638" s="2">
        <f>IF(D638=1,Fandual!F638,0)</f>
        <v>9.6688173355594706</v>
      </c>
      <c r="H638" s="2">
        <f>IF(D638=1,Fandual!H638,0)</f>
        <v>3600</v>
      </c>
      <c r="I638" s="2">
        <f>IF((Optimizer!$J$8=Fandual!J638),4,0)</f>
        <v>0</v>
      </c>
      <c r="J638" s="2">
        <f>IF((Optimizer!$J$10=Fandual!J638),100,0)</f>
        <v>100</v>
      </c>
      <c r="K638" s="2">
        <f t="shared" si="19"/>
        <v>100</v>
      </c>
      <c r="L638" s="2">
        <f>IF(Fandual!M638="",1,0)</f>
        <v>1</v>
      </c>
    </row>
    <row r="639" spans="1:12" x14ac:dyDescent="0.25">
      <c r="A639" s="2">
        <f>IF((OR(Optimizer!$J$8=Fandual!J639,Optimizer!$J$10=Fandual!J639))=TRUE, 1,0)</f>
        <v>1</v>
      </c>
      <c r="B639" s="2">
        <f>IF((OR(Fandual!O639="",Fandual!O639&lt;&gt;0)=TRUE),1,0)</f>
        <v>1</v>
      </c>
      <c r="C639" s="2">
        <f>IF(Fandual!B639&lt;&gt;"P",1,0)</f>
        <v>1</v>
      </c>
      <c r="D639" s="2">
        <f t="shared" si="18"/>
        <v>1</v>
      </c>
      <c r="E639" s="2" t="str">
        <f>IF(D639=1,Fandual!B639,0)</f>
        <v>1B</v>
      </c>
      <c r="F639" s="2" t="str">
        <f>IF(D639=1,Fandual!D639,0)</f>
        <v>Mark Reynolds</v>
      </c>
      <c r="G639" s="2">
        <f>IF(D639=1,Fandual!F639,0)</f>
        <v>11.2246035621279</v>
      </c>
      <c r="H639" s="2">
        <f>IF(D639=1,Fandual!H639,0)</f>
        <v>3600</v>
      </c>
      <c r="I639" s="2">
        <f>IF((Optimizer!$J$8=Fandual!J639),4,0)</f>
        <v>0</v>
      </c>
      <c r="J639" s="2">
        <f>IF((Optimizer!$J$10=Fandual!J639),100,0)</f>
        <v>100</v>
      </c>
      <c r="K639" s="2">
        <f t="shared" si="19"/>
        <v>100</v>
      </c>
      <c r="L639" s="2">
        <f>IF(Fandual!M639="",1,0)</f>
        <v>1</v>
      </c>
    </row>
    <row r="640" spans="1:12" x14ac:dyDescent="0.25">
      <c r="A640" s="2">
        <f>IF((OR(Optimizer!$J$8=Fandual!J640,Optimizer!$J$10=Fandual!J640))=TRUE, 1,0)</f>
        <v>0</v>
      </c>
      <c r="B640" s="2">
        <f>IF((OR(Fandual!O640="",Fandual!O640&lt;&gt;0)=TRUE),1,0)</f>
        <v>1</v>
      </c>
      <c r="C640" s="2">
        <f>IF(Fandual!B640&lt;&gt;"P",1,0)</f>
        <v>1</v>
      </c>
      <c r="D640" s="2">
        <f t="shared" si="18"/>
        <v>0</v>
      </c>
      <c r="E640" s="2">
        <f>IF(D640=1,Fandual!B640,0)</f>
        <v>0</v>
      </c>
      <c r="F640" s="2">
        <f>IF(D640=1,Fandual!D640,0)</f>
        <v>0</v>
      </c>
      <c r="G640" s="2">
        <f>IF(D640=1,Fandual!F640,0)</f>
        <v>0</v>
      </c>
      <c r="H640" s="2">
        <f>IF(D640=1,Fandual!H640,0)</f>
        <v>0</v>
      </c>
      <c r="I640" s="2">
        <f>IF((Optimizer!$J$8=Fandual!J640),4,0)</f>
        <v>0</v>
      </c>
      <c r="J640" s="2">
        <f>IF((Optimizer!$J$10=Fandual!J640),100,0)</f>
        <v>0</v>
      </c>
      <c r="K640" s="2">
        <f t="shared" si="19"/>
        <v>0</v>
      </c>
      <c r="L640" s="2">
        <f>IF(Fandual!M640="",1,0)</f>
        <v>0</v>
      </c>
    </row>
    <row r="641" spans="1:12" x14ac:dyDescent="0.25">
      <c r="A641" s="2">
        <f>IF((OR(Optimizer!$J$8=Fandual!J641,Optimizer!$J$10=Fandual!J641))=TRUE, 1,0)</f>
        <v>0</v>
      </c>
      <c r="B641" s="2">
        <f>IF((OR(Fandual!O641="",Fandual!O641&lt;&gt;0)=TRUE),1,0)</f>
        <v>1</v>
      </c>
      <c r="C641" s="2">
        <f>IF(Fandual!B641&lt;&gt;"P",1,0)</f>
        <v>1</v>
      </c>
      <c r="D641" s="2">
        <f t="shared" si="18"/>
        <v>0</v>
      </c>
      <c r="E641" s="2">
        <f>IF(D641=1,Fandual!B641,0)</f>
        <v>0</v>
      </c>
      <c r="F641" s="2">
        <f>IF(D641=1,Fandual!D641,0)</f>
        <v>0</v>
      </c>
      <c r="G641" s="2">
        <f>IF(D641=1,Fandual!F641,0)</f>
        <v>0</v>
      </c>
      <c r="H641" s="2">
        <f>IF(D641=1,Fandual!H641,0)</f>
        <v>0</v>
      </c>
      <c r="I641" s="2">
        <f>IF((Optimizer!$J$8=Fandual!J641),4,0)</f>
        <v>0</v>
      </c>
      <c r="J641" s="2">
        <f>IF((Optimizer!$J$10=Fandual!J641),100,0)</f>
        <v>0</v>
      </c>
      <c r="K641" s="2">
        <f t="shared" si="19"/>
        <v>0</v>
      </c>
      <c r="L641" s="2">
        <f>IF(Fandual!M641="",1,0)</f>
        <v>1</v>
      </c>
    </row>
    <row r="642" spans="1:12" x14ac:dyDescent="0.25">
      <c r="A642" s="2">
        <f>IF((OR(Optimizer!$J$8=Fandual!J642,Optimizer!$J$10=Fandual!J642))=TRUE, 1,0)</f>
        <v>0</v>
      </c>
      <c r="B642" s="2">
        <f>IF((OR(Fandual!O642="",Fandual!O642&lt;&gt;0)=TRUE),1,0)</f>
        <v>1</v>
      </c>
      <c r="C642" s="2">
        <f>IF(Fandual!B642&lt;&gt;"P",1,0)</f>
        <v>1</v>
      </c>
      <c r="D642" s="2">
        <f t="shared" ref="D642:D705" si="20">A642*B642*C642*L642</f>
        <v>0</v>
      </c>
      <c r="E642" s="2">
        <f>IF(D642=1,Fandual!B642,0)</f>
        <v>0</v>
      </c>
      <c r="F642" s="2">
        <f>IF(D642=1,Fandual!D642,0)</f>
        <v>0</v>
      </c>
      <c r="G642" s="2">
        <f>IF(D642=1,Fandual!F642,0)</f>
        <v>0</v>
      </c>
      <c r="H642" s="2">
        <f>IF(D642=1,Fandual!H642,0)</f>
        <v>0</v>
      </c>
      <c r="I642" s="2">
        <f>IF((Optimizer!$J$8=Fandual!J642),4,0)</f>
        <v>0</v>
      </c>
      <c r="J642" s="2">
        <f>IF((Optimizer!$J$10=Fandual!J642),100,0)</f>
        <v>0</v>
      </c>
      <c r="K642" s="2">
        <f t="shared" si="19"/>
        <v>0</v>
      </c>
      <c r="L642" s="2">
        <f>IF(Fandual!M642="",1,0)</f>
        <v>1</v>
      </c>
    </row>
    <row r="643" spans="1:12" x14ac:dyDescent="0.25">
      <c r="A643" s="2">
        <f>IF((OR(Optimizer!$J$8=Fandual!J643,Optimizer!$J$10=Fandual!J643))=TRUE, 1,0)</f>
        <v>0</v>
      </c>
      <c r="B643" s="2">
        <f>IF((OR(Fandual!O643="",Fandual!O643&lt;&gt;0)=TRUE),1,0)</f>
        <v>1</v>
      </c>
      <c r="C643" s="2">
        <f>IF(Fandual!B643&lt;&gt;"P",1,0)</f>
        <v>1</v>
      </c>
      <c r="D643" s="2">
        <f t="shared" si="20"/>
        <v>0</v>
      </c>
      <c r="E643" s="2">
        <f>IF(D643=1,Fandual!B643,0)</f>
        <v>0</v>
      </c>
      <c r="F643" s="2">
        <f>IF(D643=1,Fandual!D643,0)</f>
        <v>0</v>
      </c>
      <c r="G643" s="2">
        <f>IF(D643=1,Fandual!F643,0)</f>
        <v>0</v>
      </c>
      <c r="H643" s="2">
        <f>IF(D643=1,Fandual!H643,0)</f>
        <v>0</v>
      </c>
      <c r="I643" s="2">
        <f>IF((Optimizer!$J$8=Fandual!J643),4,0)</f>
        <v>0</v>
      </c>
      <c r="J643" s="2">
        <f>IF((Optimizer!$J$10=Fandual!J643),100,0)</f>
        <v>0</v>
      </c>
      <c r="K643" s="2">
        <f t="shared" ref="K643:K706" si="21">(I643+J643)*D643</f>
        <v>0</v>
      </c>
      <c r="L643" s="2">
        <f>IF(Fandual!M643="",1,0)</f>
        <v>1</v>
      </c>
    </row>
    <row r="644" spans="1:12" x14ac:dyDescent="0.25">
      <c r="A644" s="2">
        <f>IF((OR(Optimizer!$J$8=Fandual!J644,Optimizer!$J$10=Fandual!J644))=TRUE, 1,0)</f>
        <v>0</v>
      </c>
      <c r="B644" s="2">
        <f>IF((OR(Fandual!O644="",Fandual!O644&lt;&gt;0)=TRUE),1,0)</f>
        <v>1</v>
      </c>
      <c r="C644" s="2">
        <f>IF(Fandual!B644&lt;&gt;"P",1,0)</f>
        <v>1</v>
      </c>
      <c r="D644" s="2">
        <f t="shared" si="20"/>
        <v>0</v>
      </c>
      <c r="E644" s="2">
        <f>IF(D644=1,Fandual!B644,0)</f>
        <v>0</v>
      </c>
      <c r="F644" s="2">
        <f>IF(D644=1,Fandual!D644,0)</f>
        <v>0</v>
      </c>
      <c r="G644" s="2">
        <f>IF(D644=1,Fandual!F644,0)</f>
        <v>0</v>
      </c>
      <c r="H644" s="2">
        <f>IF(D644=1,Fandual!H644,0)</f>
        <v>0</v>
      </c>
      <c r="I644" s="2">
        <f>IF((Optimizer!$J$8=Fandual!J644),4,0)</f>
        <v>0</v>
      </c>
      <c r="J644" s="2">
        <f>IF((Optimizer!$J$10=Fandual!J644),100,0)</f>
        <v>0</v>
      </c>
      <c r="K644" s="2">
        <f t="shared" si="21"/>
        <v>0</v>
      </c>
      <c r="L644" s="2">
        <f>IF(Fandual!M644="",1,0)</f>
        <v>1</v>
      </c>
    </row>
    <row r="645" spans="1:12" x14ac:dyDescent="0.25">
      <c r="A645" s="2">
        <f>IF((OR(Optimizer!$J$8=Fandual!J645,Optimizer!$J$10=Fandual!J645))=TRUE, 1,0)</f>
        <v>1</v>
      </c>
      <c r="B645" s="2">
        <f>IF((OR(Fandual!O645="",Fandual!O645&lt;&gt;0)=TRUE),1,0)</f>
        <v>1</v>
      </c>
      <c r="C645" s="2">
        <f>IF(Fandual!B645&lt;&gt;"P",1,0)</f>
        <v>1</v>
      </c>
      <c r="D645" s="2">
        <f t="shared" si="20"/>
        <v>1</v>
      </c>
      <c r="E645" s="2" t="str">
        <f>IF(D645=1,Fandual!B645,0)</f>
        <v>OF</v>
      </c>
      <c r="F645" s="2" t="str">
        <f>IF(D645=1,Fandual!D645,0)</f>
        <v>Ian Desmond</v>
      </c>
      <c r="G645" s="2">
        <f>IF(D645=1,Fandual!F645,0)</f>
        <v>9.2911762910730697</v>
      </c>
      <c r="H645" s="2">
        <f>IF(D645=1,Fandual!H645,0)</f>
        <v>3500</v>
      </c>
      <c r="I645" s="2">
        <f>IF((Optimizer!$J$8=Fandual!J645),4,0)</f>
        <v>0</v>
      </c>
      <c r="J645" s="2">
        <f>IF((Optimizer!$J$10=Fandual!J645),100,0)</f>
        <v>100</v>
      </c>
      <c r="K645" s="2">
        <f t="shared" si="21"/>
        <v>100</v>
      </c>
      <c r="L645" s="2">
        <f>IF(Fandual!M645="",1,0)</f>
        <v>1</v>
      </c>
    </row>
    <row r="646" spans="1:12" x14ac:dyDescent="0.25">
      <c r="A646" s="2">
        <f>IF((OR(Optimizer!$J$8=Fandual!J646,Optimizer!$J$10=Fandual!J646))=TRUE, 1,0)</f>
        <v>0</v>
      </c>
      <c r="B646" s="2">
        <f>IF((OR(Fandual!O646="",Fandual!O646&lt;&gt;0)=TRUE),1,0)</f>
        <v>1</v>
      </c>
      <c r="C646" s="2">
        <f>IF(Fandual!B646&lt;&gt;"P",1,0)</f>
        <v>1</v>
      </c>
      <c r="D646" s="2">
        <f t="shared" si="20"/>
        <v>0</v>
      </c>
      <c r="E646" s="2">
        <f>IF(D646=1,Fandual!B646,0)</f>
        <v>0</v>
      </c>
      <c r="F646" s="2">
        <f>IF(D646=1,Fandual!D646,0)</f>
        <v>0</v>
      </c>
      <c r="G646" s="2">
        <f>IF(D646=1,Fandual!F646,0)</f>
        <v>0</v>
      </c>
      <c r="H646" s="2">
        <f>IF(D646=1,Fandual!H646,0)</f>
        <v>0</v>
      </c>
      <c r="I646" s="2">
        <f>IF((Optimizer!$J$8=Fandual!J646),4,0)</f>
        <v>0</v>
      </c>
      <c r="J646" s="2">
        <f>IF((Optimizer!$J$10=Fandual!J646),100,0)</f>
        <v>0</v>
      </c>
      <c r="K646" s="2">
        <f t="shared" si="21"/>
        <v>0</v>
      </c>
      <c r="L646" s="2">
        <f>IF(Fandual!M646="",1,0)</f>
        <v>1</v>
      </c>
    </row>
    <row r="647" spans="1:12" x14ac:dyDescent="0.25">
      <c r="A647" s="2">
        <f>IF((OR(Optimizer!$J$8=Fandual!J647,Optimizer!$J$10=Fandual!J647))=TRUE, 1,0)</f>
        <v>0</v>
      </c>
      <c r="B647" s="2">
        <f>IF((OR(Fandual!O647="",Fandual!O647&lt;&gt;0)=TRUE),1,0)</f>
        <v>1</v>
      </c>
      <c r="C647" s="2">
        <f>IF(Fandual!B647&lt;&gt;"P",1,0)</f>
        <v>1</v>
      </c>
      <c r="D647" s="2">
        <f t="shared" si="20"/>
        <v>0</v>
      </c>
      <c r="E647" s="2">
        <f>IF(D647=1,Fandual!B647,0)</f>
        <v>0</v>
      </c>
      <c r="F647" s="2">
        <f>IF(D647=1,Fandual!D647,0)</f>
        <v>0</v>
      </c>
      <c r="G647" s="2">
        <f>IF(D647=1,Fandual!F647,0)</f>
        <v>0</v>
      </c>
      <c r="H647" s="2">
        <f>IF(D647=1,Fandual!H647,0)</f>
        <v>0</v>
      </c>
      <c r="I647" s="2">
        <f>IF((Optimizer!$J$8=Fandual!J647),4,0)</f>
        <v>0</v>
      </c>
      <c r="J647" s="2">
        <f>IF((Optimizer!$J$10=Fandual!J647),100,0)</f>
        <v>0</v>
      </c>
      <c r="K647" s="2">
        <f t="shared" si="21"/>
        <v>0</v>
      </c>
      <c r="L647" s="2">
        <f>IF(Fandual!M647="",1,0)</f>
        <v>1</v>
      </c>
    </row>
    <row r="648" spans="1:12" x14ac:dyDescent="0.25">
      <c r="A648" s="2">
        <f>IF((OR(Optimizer!$J$8=Fandual!J648,Optimizer!$J$10=Fandual!J648))=TRUE, 1,0)</f>
        <v>0</v>
      </c>
      <c r="B648" s="2">
        <f>IF((OR(Fandual!O648="",Fandual!O648&lt;&gt;0)=TRUE),1,0)</f>
        <v>1</v>
      </c>
      <c r="C648" s="2">
        <f>IF(Fandual!B648&lt;&gt;"P",1,0)</f>
        <v>1</v>
      </c>
      <c r="D648" s="2">
        <f t="shared" si="20"/>
        <v>0</v>
      </c>
      <c r="E648" s="2">
        <f>IF(D648=1,Fandual!B648,0)</f>
        <v>0</v>
      </c>
      <c r="F648" s="2">
        <f>IF(D648=1,Fandual!D648,0)</f>
        <v>0</v>
      </c>
      <c r="G648" s="2">
        <f>IF(D648=1,Fandual!F648,0)</f>
        <v>0</v>
      </c>
      <c r="H648" s="2">
        <f>IF(D648=1,Fandual!H648,0)</f>
        <v>0</v>
      </c>
      <c r="I648" s="2">
        <f>IF((Optimizer!$J$8=Fandual!J648),4,0)</f>
        <v>0</v>
      </c>
      <c r="J648" s="2">
        <f>IF((Optimizer!$J$10=Fandual!J648),100,0)</f>
        <v>0</v>
      </c>
      <c r="K648" s="2">
        <f t="shared" si="21"/>
        <v>0</v>
      </c>
      <c r="L648" s="2">
        <f>IF(Fandual!M648="",1,0)</f>
        <v>1</v>
      </c>
    </row>
    <row r="649" spans="1:12" x14ac:dyDescent="0.25">
      <c r="A649" s="2">
        <f>IF((OR(Optimizer!$J$8=Fandual!J649,Optimizer!$J$10=Fandual!J649))=TRUE, 1,0)</f>
        <v>0</v>
      </c>
      <c r="B649" s="2">
        <f>IF((OR(Fandual!O649="",Fandual!O649&lt;&gt;0)=TRUE),1,0)</f>
        <v>1</v>
      </c>
      <c r="C649" s="2">
        <f>IF(Fandual!B649&lt;&gt;"P",1,0)</f>
        <v>1</v>
      </c>
      <c r="D649" s="2">
        <f t="shared" si="20"/>
        <v>0</v>
      </c>
      <c r="E649" s="2">
        <f>IF(D649=1,Fandual!B649,0)</f>
        <v>0</v>
      </c>
      <c r="F649" s="2">
        <f>IF(D649=1,Fandual!D649,0)</f>
        <v>0</v>
      </c>
      <c r="G649" s="2">
        <f>IF(D649=1,Fandual!F649,0)</f>
        <v>0</v>
      </c>
      <c r="H649" s="2">
        <f>IF(D649=1,Fandual!H649,0)</f>
        <v>0</v>
      </c>
      <c r="I649" s="2">
        <f>IF((Optimizer!$J$8=Fandual!J649),4,0)</f>
        <v>0</v>
      </c>
      <c r="J649" s="2">
        <f>IF((Optimizer!$J$10=Fandual!J649),100,0)</f>
        <v>0</v>
      </c>
      <c r="K649" s="2">
        <f t="shared" si="21"/>
        <v>0</v>
      </c>
      <c r="L649" s="2">
        <f>IF(Fandual!M649="",1,0)</f>
        <v>1</v>
      </c>
    </row>
    <row r="650" spans="1:12" x14ac:dyDescent="0.25">
      <c r="A650" s="2">
        <f>IF((OR(Optimizer!$J$8=Fandual!J650,Optimizer!$J$10=Fandual!J650))=TRUE, 1,0)</f>
        <v>0</v>
      </c>
      <c r="B650" s="2">
        <f>IF((OR(Fandual!O650="",Fandual!O650&lt;&gt;0)=TRUE),1,0)</f>
        <v>1</v>
      </c>
      <c r="C650" s="2">
        <f>IF(Fandual!B650&lt;&gt;"P",1,0)</f>
        <v>1</v>
      </c>
      <c r="D650" s="2">
        <f t="shared" si="20"/>
        <v>0</v>
      </c>
      <c r="E650" s="2">
        <f>IF(D650=1,Fandual!B650,0)</f>
        <v>0</v>
      </c>
      <c r="F650" s="2">
        <f>IF(D650=1,Fandual!D650,0)</f>
        <v>0</v>
      </c>
      <c r="G650" s="2">
        <f>IF(D650=1,Fandual!F650,0)</f>
        <v>0</v>
      </c>
      <c r="H650" s="2">
        <f>IF(D650=1,Fandual!H650,0)</f>
        <v>0</v>
      </c>
      <c r="I650" s="2">
        <f>IF((Optimizer!$J$8=Fandual!J650),4,0)</f>
        <v>0</v>
      </c>
      <c r="J650" s="2">
        <f>IF((Optimizer!$J$10=Fandual!J650),100,0)</f>
        <v>0</v>
      </c>
      <c r="K650" s="2">
        <f t="shared" si="21"/>
        <v>0</v>
      </c>
      <c r="L650" s="2">
        <f>IF(Fandual!M650="",1,0)</f>
        <v>1</v>
      </c>
    </row>
    <row r="651" spans="1:12" x14ac:dyDescent="0.25">
      <c r="A651" s="2">
        <f>IF((OR(Optimizer!$J$8=Fandual!J651,Optimizer!$J$10=Fandual!J651))=TRUE, 1,0)</f>
        <v>1</v>
      </c>
      <c r="B651" s="2">
        <f>IF((OR(Fandual!O651="",Fandual!O651&lt;&gt;0)=TRUE),1,0)</f>
        <v>1</v>
      </c>
      <c r="C651" s="2">
        <f>IF(Fandual!B651&lt;&gt;"P",1,0)</f>
        <v>1</v>
      </c>
      <c r="D651" s="2">
        <f t="shared" si="20"/>
        <v>1</v>
      </c>
      <c r="E651" s="2" t="str">
        <f>IF(D651=1,Fandual!B651,0)</f>
        <v>C</v>
      </c>
      <c r="F651" s="2" t="str">
        <f>IF(D651=1,Fandual!D651,0)</f>
        <v>Chris Iannetta</v>
      </c>
      <c r="G651" s="2">
        <f>IF(D651=1,Fandual!F651,0)</f>
        <v>8.7600001743861604</v>
      </c>
      <c r="H651" s="2">
        <f>IF(D651=1,Fandual!H651,0)</f>
        <v>3500</v>
      </c>
      <c r="I651" s="2">
        <f>IF((Optimizer!$J$8=Fandual!J651),4,0)</f>
        <v>4</v>
      </c>
      <c r="J651" s="2">
        <f>IF((Optimizer!$J$10=Fandual!J651),100,0)</f>
        <v>0</v>
      </c>
      <c r="K651" s="2">
        <f t="shared" si="21"/>
        <v>4</v>
      </c>
      <c r="L651" s="2">
        <f>IF(Fandual!M651="",1,0)</f>
        <v>1</v>
      </c>
    </row>
    <row r="652" spans="1:12" x14ac:dyDescent="0.25">
      <c r="A652" s="2">
        <f>IF((OR(Optimizer!$J$8=Fandual!J652,Optimizer!$J$10=Fandual!J652))=TRUE, 1,0)</f>
        <v>0</v>
      </c>
      <c r="B652" s="2">
        <f>IF((OR(Fandual!O652="",Fandual!O652&lt;&gt;0)=TRUE),1,0)</f>
        <v>1</v>
      </c>
      <c r="C652" s="2">
        <f>IF(Fandual!B652&lt;&gt;"P",1,0)</f>
        <v>1</v>
      </c>
      <c r="D652" s="2">
        <f t="shared" si="20"/>
        <v>0</v>
      </c>
      <c r="E652" s="2">
        <f>IF(D652=1,Fandual!B652,0)</f>
        <v>0</v>
      </c>
      <c r="F652" s="2">
        <f>IF(D652=1,Fandual!D652,0)</f>
        <v>0</v>
      </c>
      <c r="G652" s="2">
        <f>IF(D652=1,Fandual!F652,0)</f>
        <v>0</v>
      </c>
      <c r="H652" s="2">
        <f>IF(D652=1,Fandual!H652,0)</f>
        <v>0</v>
      </c>
      <c r="I652" s="2">
        <f>IF((Optimizer!$J$8=Fandual!J652),4,0)</f>
        <v>0</v>
      </c>
      <c r="J652" s="2">
        <f>IF((Optimizer!$J$10=Fandual!J652),100,0)</f>
        <v>0</v>
      </c>
      <c r="K652" s="2">
        <f t="shared" si="21"/>
        <v>0</v>
      </c>
      <c r="L652" s="2">
        <f>IF(Fandual!M652="",1,0)</f>
        <v>1</v>
      </c>
    </row>
    <row r="653" spans="1:12" x14ac:dyDescent="0.25">
      <c r="A653" s="2">
        <f>IF((OR(Optimizer!$J$8=Fandual!J653,Optimizer!$J$10=Fandual!J653))=TRUE, 1,0)</f>
        <v>0</v>
      </c>
      <c r="B653" s="2">
        <f>IF((OR(Fandual!O653="",Fandual!O653&lt;&gt;0)=TRUE),1,0)</f>
        <v>1</v>
      </c>
      <c r="C653" s="2">
        <f>IF(Fandual!B653&lt;&gt;"P",1,0)</f>
        <v>1</v>
      </c>
      <c r="D653" s="2">
        <f t="shared" si="20"/>
        <v>0</v>
      </c>
      <c r="E653" s="2">
        <f>IF(D653=1,Fandual!B653,0)</f>
        <v>0</v>
      </c>
      <c r="F653" s="2">
        <f>IF(D653=1,Fandual!D653,0)</f>
        <v>0</v>
      </c>
      <c r="G653" s="2">
        <f>IF(D653=1,Fandual!F653,0)</f>
        <v>0</v>
      </c>
      <c r="H653" s="2">
        <f>IF(D653=1,Fandual!H653,0)</f>
        <v>0</v>
      </c>
      <c r="I653" s="2">
        <f>IF((Optimizer!$J$8=Fandual!J653),4,0)</f>
        <v>0</v>
      </c>
      <c r="J653" s="2">
        <f>IF((Optimizer!$J$10=Fandual!J653),100,0)</f>
        <v>0</v>
      </c>
      <c r="K653" s="2">
        <f t="shared" si="21"/>
        <v>0</v>
      </c>
      <c r="L653" s="2">
        <f>IF(Fandual!M653="",1,0)</f>
        <v>1</v>
      </c>
    </row>
    <row r="654" spans="1:12" x14ac:dyDescent="0.25">
      <c r="A654" s="2">
        <f>IF((OR(Optimizer!$J$8=Fandual!J654,Optimizer!$J$10=Fandual!J654))=TRUE, 1,0)</f>
        <v>0</v>
      </c>
      <c r="B654" s="2">
        <f>IF((OR(Fandual!O654="",Fandual!O654&lt;&gt;0)=TRUE),1,0)</f>
        <v>1</v>
      </c>
      <c r="C654" s="2">
        <f>IF(Fandual!B654&lt;&gt;"P",1,0)</f>
        <v>1</v>
      </c>
      <c r="D654" s="2">
        <f t="shared" si="20"/>
        <v>0</v>
      </c>
      <c r="E654" s="2">
        <f>IF(D654=1,Fandual!B654,0)</f>
        <v>0</v>
      </c>
      <c r="F654" s="2">
        <f>IF(D654=1,Fandual!D654,0)</f>
        <v>0</v>
      </c>
      <c r="G654" s="2">
        <f>IF(D654=1,Fandual!F654,0)</f>
        <v>0</v>
      </c>
      <c r="H654" s="2">
        <f>IF(D654=1,Fandual!H654,0)</f>
        <v>0</v>
      </c>
      <c r="I654" s="2">
        <f>IF((Optimizer!$J$8=Fandual!J654),4,0)</f>
        <v>0</v>
      </c>
      <c r="J654" s="2">
        <f>IF((Optimizer!$J$10=Fandual!J654),100,0)</f>
        <v>0</v>
      </c>
      <c r="K654" s="2">
        <f t="shared" si="21"/>
        <v>0</v>
      </c>
      <c r="L654" s="2">
        <f>IF(Fandual!M654="",1,0)</f>
        <v>1</v>
      </c>
    </row>
    <row r="655" spans="1:12" x14ac:dyDescent="0.25">
      <c r="A655" s="2">
        <f>IF((OR(Optimizer!$J$8=Fandual!J655,Optimizer!$J$10=Fandual!J655))=TRUE, 1,0)</f>
        <v>0</v>
      </c>
      <c r="B655" s="2">
        <f>IF((OR(Fandual!O655="",Fandual!O655&lt;&gt;0)=TRUE),1,0)</f>
        <v>1</v>
      </c>
      <c r="C655" s="2">
        <f>IF(Fandual!B655&lt;&gt;"P",1,0)</f>
        <v>1</v>
      </c>
      <c r="D655" s="2">
        <f t="shared" si="20"/>
        <v>0</v>
      </c>
      <c r="E655" s="2">
        <f>IF(D655=1,Fandual!B655,0)</f>
        <v>0</v>
      </c>
      <c r="F655" s="2">
        <f>IF(D655=1,Fandual!D655,0)</f>
        <v>0</v>
      </c>
      <c r="G655" s="2">
        <f>IF(D655=1,Fandual!F655,0)</f>
        <v>0</v>
      </c>
      <c r="H655" s="2">
        <f>IF(D655=1,Fandual!H655,0)</f>
        <v>0</v>
      </c>
      <c r="I655" s="2">
        <f>IF((Optimizer!$J$8=Fandual!J655),4,0)</f>
        <v>0</v>
      </c>
      <c r="J655" s="2">
        <f>IF((Optimizer!$J$10=Fandual!J655),100,0)</f>
        <v>0</v>
      </c>
      <c r="K655" s="2">
        <f t="shared" si="21"/>
        <v>0</v>
      </c>
      <c r="L655" s="2">
        <f>IF(Fandual!M655="",1,0)</f>
        <v>0</v>
      </c>
    </row>
    <row r="656" spans="1:12" x14ac:dyDescent="0.25">
      <c r="A656" s="2">
        <f>IF((OR(Optimizer!$J$8=Fandual!J656,Optimizer!$J$10=Fandual!J656))=TRUE, 1,0)</f>
        <v>0</v>
      </c>
      <c r="B656" s="2">
        <f>IF((OR(Fandual!O656="",Fandual!O656&lt;&gt;0)=TRUE),1,0)</f>
        <v>1</v>
      </c>
      <c r="C656" s="2">
        <f>IF(Fandual!B656&lt;&gt;"P",1,0)</f>
        <v>1</v>
      </c>
      <c r="D656" s="2">
        <f t="shared" si="20"/>
        <v>0</v>
      </c>
      <c r="E656" s="2">
        <f>IF(D656=1,Fandual!B656,0)</f>
        <v>0</v>
      </c>
      <c r="F656" s="2">
        <f>IF(D656=1,Fandual!D656,0)</f>
        <v>0</v>
      </c>
      <c r="G656" s="2">
        <f>IF(D656=1,Fandual!F656,0)</f>
        <v>0</v>
      </c>
      <c r="H656" s="2">
        <f>IF(D656=1,Fandual!H656,0)</f>
        <v>0</v>
      </c>
      <c r="I656" s="2">
        <f>IF((Optimizer!$J$8=Fandual!J656),4,0)</f>
        <v>0</v>
      </c>
      <c r="J656" s="2">
        <f>IF((Optimizer!$J$10=Fandual!J656),100,0)</f>
        <v>0</v>
      </c>
      <c r="K656" s="2">
        <f t="shared" si="21"/>
        <v>0</v>
      </c>
      <c r="L656" s="2">
        <f>IF(Fandual!M656="",1,0)</f>
        <v>1</v>
      </c>
    </row>
    <row r="657" spans="1:12" x14ac:dyDescent="0.25">
      <c r="A657" s="2">
        <f>IF((OR(Optimizer!$J$8=Fandual!J657,Optimizer!$J$10=Fandual!J657))=TRUE, 1,0)</f>
        <v>0</v>
      </c>
      <c r="B657" s="2">
        <f>IF((OR(Fandual!O657="",Fandual!O657&lt;&gt;0)=TRUE),1,0)</f>
        <v>1</v>
      </c>
      <c r="C657" s="2">
        <f>IF(Fandual!B657&lt;&gt;"P",1,0)</f>
        <v>1</v>
      </c>
      <c r="D657" s="2">
        <f t="shared" si="20"/>
        <v>0</v>
      </c>
      <c r="E657" s="2">
        <f>IF(D657=1,Fandual!B657,0)</f>
        <v>0</v>
      </c>
      <c r="F657" s="2">
        <f>IF(D657=1,Fandual!D657,0)</f>
        <v>0</v>
      </c>
      <c r="G657" s="2">
        <f>IF(D657=1,Fandual!F657,0)</f>
        <v>0</v>
      </c>
      <c r="H657" s="2">
        <f>IF(D657=1,Fandual!H657,0)</f>
        <v>0</v>
      </c>
      <c r="I657" s="2">
        <f>IF((Optimizer!$J$8=Fandual!J657),4,0)</f>
        <v>0</v>
      </c>
      <c r="J657" s="2">
        <f>IF((Optimizer!$J$10=Fandual!J657),100,0)</f>
        <v>0</v>
      </c>
      <c r="K657" s="2">
        <f t="shared" si="21"/>
        <v>0</v>
      </c>
      <c r="L657" s="2">
        <f>IF(Fandual!M657="",1,0)</f>
        <v>1</v>
      </c>
    </row>
    <row r="658" spans="1:12" x14ac:dyDescent="0.25">
      <c r="A658" s="2">
        <f>IF((OR(Optimizer!$J$8=Fandual!J658,Optimizer!$J$10=Fandual!J658))=TRUE, 1,0)</f>
        <v>0</v>
      </c>
      <c r="B658" s="2">
        <f>IF((OR(Fandual!O658="",Fandual!O658&lt;&gt;0)=TRUE),1,0)</f>
        <v>1</v>
      </c>
      <c r="C658" s="2">
        <f>IF(Fandual!B658&lt;&gt;"P",1,0)</f>
        <v>1</v>
      </c>
      <c r="D658" s="2">
        <f t="shared" si="20"/>
        <v>0</v>
      </c>
      <c r="E658" s="2">
        <f>IF(D658=1,Fandual!B658,0)</f>
        <v>0</v>
      </c>
      <c r="F658" s="2">
        <f>IF(D658=1,Fandual!D658,0)</f>
        <v>0</v>
      </c>
      <c r="G658" s="2">
        <f>IF(D658=1,Fandual!F658,0)</f>
        <v>0</v>
      </c>
      <c r="H658" s="2">
        <f>IF(D658=1,Fandual!H658,0)</f>
        <v>0</v>
      </c>
      <c r="I658" s="2">
        <f>IF((Optimizer!$J$8=Fandual!J658),4,0)</f>
        <v>0</v>
      </c>
      <c r="J658" s="2">
        <f>IF((Optimizer!$J$10=Fandual!J658),100,0)</f>
        <v>0</v>
      </c>
      <c r="K658" s="2">
        <f t="shared" si="21"/>
        <v>0</v>
      </c>
      <c r="L658" s="2">
        <f>IF(Fandual!M658="",1,0)</f>
        <v>1</v>
      </c>
    </row>
    <row r="659" spans="1:12" x14ac:dyDescent="0.25">
      <c r="A659" s="2">
        <f>IF((OR(Optimizer!$J$8=Fandual!J659,Optimizer!$J$10=Fandual!J659))=TRUE, 1,0)</f>
        <v>0</v>
      </c>
      <c r="B659" s="2">
        <f>IF((OR(Fandual!O659="",Fandual!O659&lt;&gt;0)=TRUE),1,0)</f>
        <v>1</v>
      </c>
      <c r="C659" s="2">
        <f>IF(Fandual!B659&lt;&gt;"P",1,0)</f>
        <v>1</v>
      </c>
      <c r="D659" s="2">
        <f t="shared" si="20"/>
        <v>0</v>
      </c>
      <c r="E659" s="2">
        <f>IF(D659=1,Fandual!B659,0)</f>
        <v>0</v>
      </c>
      <c r="F659" s="2">
        <f>IF(D659=1,Fandual!D659,0)</f>
        <v>0</v>
      </c>
      <c r="G659" s="2">
        <f>IF(D659=1,Fandual!F659,0)</f>
        <v>0</v>
      </c>
      <c r="H659" s="2">
        <f>IF(D659=1,Fandual!H659,0)</f>
        <v>0</v>
      </c>
      <c r="I659" s="2">
        <f>IF((Optimizer!$J$8=Fandual!J659),4,0)</f>
        <v>0</v>
      </c>
      <c r="J659" s="2">
        <f>IF((Optimizer!$J$10=Fandual!J659),100,0)</f>
        <v>0</v>
      </c>
      <c r="K659" s="2">
        <f t="shared" si="21"/>
        <v>0</v>
      </c>
      <c r="L659" s="2">
        <f>IF(Fandual!M659="",1,0)</f>
        <v>0</v>
      </c>
    </row>
    <row r="660" spans="1:12" x14ac:dyDescent="0.25">
      <c r="A660" s="2">
        <f>IF((OR(Optimizer!$J$8=Fandual!J660,Optimizer!$J$10=Fandual!J660))=TRUE, 1,0)</f>
        <v>0</v>
      </c>
      <c r="B660" s="2">
        <f>IF((OR(Fandual!O660="",Fandual!O660&lt;&gt;0)=TRUE),1,0)</f>
        <v>1</v>
      </c>
      <c r="C660" s="2">
        <f>IF(Fandual!B660&lt;&gt;"P",1,0)</f>
        <v>1</v>
      </c>
      <c r="D660" s="2">
        <f t="shared" si="20"/>
        <v>0</v>
      </c>
      <c r="E660" s="2">
        <f>IF(D660=1,Fandual!B660,0)</f>
        <v>0</v>
      </c>
      <c r="F660" s="2">
        <f>IF(D660=1,Fandual!D660,0)</f>
        <v>0</v>
      </c>
      <c r="G660" s="2">
        <f>IF(D660=1,Fandual!F660,0)</f>
        <v>0</v>
      </c>
      <c r="H660" s="2">
        <f>IF(D660=1,Fandual!H660,0)</f>
        <v>0</v>
      </c>
      <c r="I660" s="2">
        <f>IF((Optimizer!$J$8=Fandual!J660),4,0)</f>
        <v>0</v>
      </c>
      <c r="J660" s="2">
        <f>IF((Optimizer!$J$10=Fandual!J660),100,0)</f>
        <v>0</v>
      </c>
      <c r="K660" s="2">
        <f t="shared" si="21"/>
        <v>0</v>
      </c>
      <c r="L660" s="2">
        <f>IF(Fandual!M660="",1,0)</f>
        <v>1</v>
      </c>
    </row>
    <row r="661" spans="1:12" x14ac:dyDescent="0.25">
      <c r="A661" s="2">
        <f>IF((OR(Optimizer!$J$8=Fandual!J661,Optimizer!$J$10=Fandual!J661))=TRUE, 1,0)</f>
        <v>0</v>
      </c>
      <c r="B661" s="2">
        <f>IF((OR(Fandual!O661="",Fandual!O661&lt;&gt;0)=TRUE),1,0)</f>
        <v>1</v>
      </c>
      <c r="C661" s="2">
        <f>IF(Fandual!B661&lt;&gt;"P",1,0)</f>
        <v>1</v>
      </c>
      <c r="D661" s="2">
        <f t="shared" si="20"/>
        <v>0</v>
      </c>
      <c r="E661" s="2">
        <f>IF(D661=1,Fandual!B661,0)</f>
        <v>0</v>
      </c>
      <c r="F661" s="2">
        <f>IF(D661=1,Fandual!D661,0)</f>
        <v>0</v>
      </c>
      <c r="G661" s="2">
        <f>IF(D661=1,Fandual!F661,0)</f>
        <v>0</v>
      </c>
      <c r="H661" s="2">
        <f>IF(D661=1,Fandual!H661,0)</f>
        <v>0</v>
      </c>
      <c r="I661" s="2">
        <f>IF((Optimizer!$J$8=Fandual!J661),4,0)</f>
        <v>0</v>
      </c>
      <c r="J661" s="2">
        <f>IF((Optimizer!$J$10=Fandual!J661),100,0)</f>
        <v>0</v>
      </c>
      <c r="K661" s="2">
        <f t="shared" si="21"/>
        <v>0</v>
      </c>
      <c r="L661" s="2">
        <f>IF(Fandual!M661="",1,0)</f>
        <v>1</v>
      </c>
    </row>
    <row r="662" spans="1:12" x14ac:dyDescent="0.25">
      <c r="A662" s="2">
        <f>IF((OR(Optimizer!$J$8=Fandual!J662,Optimizer!$J$10=Fandual!J662))=TRUE, 1,0)</f>
        <v>1</v>
      </c>
      <c r="B662" s="2">
        <f>IF((OR(Fandual!O662="",Fandual!O662&lt;&gt;0)=TRUE),1,0)</f>
        <v>1</v>
      </c>
      <c r="C662" s="2">
        <f>IF(Fandual!B662&lt;&gt;"P",1,0)</f>
        <v>1</v>
      </c>
      <c r="D662" s="2">
        <f t="shared" si="20"/>
        <v>1</v>
      </c>
      <c r="E662" s="2" t="str">
        <f>IF(D662=1,Fandual!B662,0)</f>
        <v>C</v>
      </c>
      <c r="F662" s="2" t="str">
        <f>IF(D662=1,Fandual!D662,0)</f>
        <v>Chris Herrmann</v>
      </c>
      <c r="G662" s="2">
        <f>IF(D662=1,Fandual!F662,0)</f>
        <v>5.0365590741557398</v>
      </c>
      <c r="H662" s="2">
        <f>IF(D662=1,Fandual!H662,0)</f>
        <v>3400</v>
      </c>
      <c r="I662" s="2">
        <f>IF((Optimizer!$J$8=Fandual!J662),4,0)</f>
        <v>4</v>
      </c>
      <c r="J662" s="2">
        <f>IF((Optimizer!$J$10=Fandual!J662),100,0)</f>
        <v>0</v>
      </c>
      <c r="K662" s="2">
        <f t="shared" si="21"/>
        <v>4</v>
      </c>
      <c r="L662" s="2">
        <f>IF(Fandual!M662="",1,0)</f>
        <v>1</v>
      </c>
    </row>
    <row r="663" spans="1:12" x14ac:dyDescent="0.25">
      <c r="A663" s="2">
        <f>IF((OR(Optimizer!$J$8=Fandual!J663,Optimizer!$J$10=Fandual!J663))=TRUE, 1,0)</f>
        <v>0</v>
      </c>
      <c r="B663" s="2">
        <f>IF((OR(Fandual!O663="",Fandual!O663&lt;&gt;0)=TRUE),1,0)</f>
        <v>1</v>
      </c>
      <c r="C663" s="2">
        <f>IF(Fandual!B663&lt;&gt;"P",1,0)</f>
        <v>1</v>
      </c>
      <c r="D663" s="2">
        <f t="shared" si="20"/>
        <v>0</v>
      </c>
      <c r="E663" s="2">
        <f>IF(D663=1,Fandual!B663,0)</f>
        <v>0</v>
      </c>
      <c r="F663" s="2">
        <f>IF(D663=1,Fandual!D663,0)</f>
        <v>0</v>
      </c>
      <c r="G663" s="2">
        <f>IF(D663=1,Fandual!F663,0)</f>
        <v>0</v>
      </c>
      <c r="H663" s="2">
        <f>IF(D663=1,Fandual!H663,0)</f>
        <v>0</v>
      </c>
      <c r="I663" s="2">
        <f>IF((Optimizer!$J$8=Fandual!J663),4,0)</f>
        <v>0</v>
      </c>
      <c r="J663" s="2">
        <f>IF((Optimizer!$J$10=Fandual!J663),100,0)</f>
        <v>0</v>
      </c>
      <c r="K663" s="2">
        <f t="shared" si="21"/>
        <v>0</v>
      </c>
      <c r="L663" s="2">
        <f>IF(Fandual!M663="",1,0)</f>
        <v>1</v>
      </c>
    </row>
    <row r="664" spans="1:12" x14ac:dyDescent="0.25">
      <c r="A664" s="2">
        <f>IF((OR(Optimizer!$J$8=Fandual!J664,Optimizer!$J$10=Fandual!J664))=TRUE, 1,0)</f>
        <v>0</v>
      </c>
      <c r="B664" s="2">
        <f>IF((OR(Fandual!O664="",Fandual!O664&lt;&gt;0)=TRUE),1,0)</f>
        <v>1</v>
      </c>
      <c r="C664" s="2">
        <f>IF(Fandual!B664&lt;&gt;"P",1,0)</f>
        <v>1</v>
      </c>
      <c r="D664" s="2">
        <f t="shared" si="20"/>
        <v>0</v>
      </c>
      <c r="E664" s="2">
        <f>IF(D664=1,Fandual!B664,0)</f>
        <v>0</v>
      </c>
      <c r="F664" s="2">
        <f>IF(D664=1,Fandual!D664,0)</f>
        <v>0</v>
      </c>
      <c r="G664" s="2">
        <f>IF(D664=1,Fandual!F664,0)</f>
        <v>0</v>
      </c>
      <c r="H664" s="2">
        <f>IF(D664=1,Fandual!H664,0)</f>
        <v>0</v>
      </c>
      <c r="I664" s="2">
        <f>IF((Optimizer!$J$8=Fandual!J664),4,0)</f>
        <v>0</v>
      </c>
      <c r="J664" s="2">
        <f>IF((Optimizer!$J$10=Fandual!J664),100,0)</f>
        <v>0</v>
      </c>
      <c r="K664" s="2">
        <f t="shared" si="21"/>
        <v>0</v>
      </c>
      <c r="L664" s="2">
        <f>IF(Fandual!M664="",1,0)</f>
        <v>0</v>
      </c>
    </row>
    <row r="665" spans="1:12" x14ac:dyDescent="0.25">
      <c r="A665" s="2">
        <f>IF((OR(Optimizer!$J$8=Fandual!J665,Optimizer!$J$10=Fandual!J665))=TRUE, 1,0)</f>
        <v>0</v>
      </c>
      <c r="B665" s="2">
        <f>IF((OR(Fandual!O665="",Fandual!O665&lt;&gt;0)=TRUE),1,0)</f>
        <v>1</v>
      </c>
      <c r="C665" s="2">
        <f>IF(Fandual!B665&lt;&gt;"P",1,0)</f>
        <v>1</v>
      </c>
      <c r="D665" s="2">
        <f t="shared" si="20"/>
        <v>0</v>
      </c>
      <c r="E665" s="2">
        <f>IF(D665=1,Fandual!B665,0)</f>
        <v>0</v>
      </c>
      <c r="F665" s="2">
        <f>IF(D665=1,Fandual!D665,0)</f>
        <v>0</v>
      </c>
      <c r="G665" s="2">
        <f>IF(D665=1,Fandual!F665,0)</f>
        <v>0</v>
      </c>
      <c r="H665" s="2">
        <f>IF(D665=1,Fandual!H665,0)</f>
        <v>0</v>
      </c>
      <c r="I665" s="2">
        <f>IF((Optimizer!$J$8=Fandual!J665),4,0)</f>
        <v>0</v>
      </c>
      <c r="J665" s="2">
        <f>IF((Optimizer!$J$10=Fandual!J665),100,0)</f>
        <v>0</v>
      </c>
      <c r="K665" s="2">
        <f t="shared" si="21"/>
        <v>0</v>
      </c>
      <c r="L665" s="2">
        <f>IF(Fandual!M665="",1,0)</f>
        <v>1</v>
      </c>
    </row>
    <row r="666" spans="1:12" x14ac:dyDescent="0.25">
      <c r="A666" s="2">
        <f>IF((OR(Optimizer!$J$8=Fandual!J666,Optimizer!$J$10=Fandual!J666))=TRUE, 1,0)</f>
        <v>0</v>
      </c>
      <c r="B666" s="2">
        <f>IF((OR(Fandual!O666="",Fandual!O666&lt;&gt;0)=TRUE),1,0)</f>
        <v>1</v>
      </c>
      <c r="C666" s="2">
        <f>IF(Fandual!B666&lt;&gt;"P",1,0)</f>
        <v>1</v>
      </c>
      <c r="D666" s="2">
        <f t="shared" si="20"/>
        <v>0</v>
      </c>
      <c r="E666" s="2">
        <f>IF(D666=1,Fandual!B666,0)</f>
        <v>0</v>
      </c>
      <c r="F666" s="2">
        <f>IF(D666=1,Fandual!D666,0)</f>
        <v>0</v>
      </c>
      <c r="G666" s="2">
        <f>IF(D666=1,Fandual!F666,0)</f>
        <v>0</v>
      </c>
      <c r="H666" s="2">
        <f>IF(D666=1,Fandual!H666,0)</f>
        <v>0</v>
      </c>
      <c r="I666" s="2">
        <f>IF((Optimizer!$J$8=Fandual!J666),4,0)</f>
        <v>0</v>
      </c>
      <c r="J666" s="2">
        <f>IF((Optimizer!$J$10=Fandual!J666),100,0)</f>
        <v>0</v>
      </c>
      <c r="K666" s="2">
        <f t="shared" si="21"/>
        <v>0</v>
      </c>
      <c r="L666" s="2">
        <f>IF(Fandual!M666="",1,0)</f>
        <v>1</v>
      </c>
    </row>
    <row r="667" spans="1:12" x14ac:dyDescent="0.25">
      <c r="A667" s="2">
        <f>IF((OR(Optimizer!$J$8=Fandual!J667,Optimizer!$J$10=Fandual!J667))=TRUE, 1,0)</f>
        <v>0</v>
      </c>
      <c r="B667" s="2">
        <f>IF((OR(Fandual!O667="",Fandual!O667&lt;&gt;0)=TRUE),1,0)</f>
        <v>1</v>
      </c>
      <c r="C667" s="2">
        <f>IF(Fandual!B667&lt;&gt;"P",1,0)</f>
        <v>1</v>
      </c>
      <c r="D667" s="2">
        <f t="shared" si="20"/>
        <v>0</v>
      </c>
      <c r="E667" s="2">
        <f>IF(D667=1,Fandual!B667,0)</f>
        <v>0</v>
      </c>
      <c r="F667" s="2">
        <f>IF(D667=1,Fandual!D667,0)</f>
        <v>0</v>
      </c>
      <c r="G667" s="2">
        <f>IF(D667=1,Fandual!F667,0)</f>
        <v>0</v>
      </c>
      <c r="H667" s="2">
        <f>IF(D667=1,Fandual!H667,0)</f>
        <v>0</v>
      </c>
      <c r="I667" s="2">
        <f>IF((Optimizer!$J$8=Fandual!J667),4,0)</f>
        <v>0</v>
      </c>
      <c r="J667" s="2">
        <f>IF((Optimizer!$J$10=Fandual!J667),100,0)</f>
        <v>0</v>
      </c>
      <c r="K667" s="2">
        <f t="shared" si="21"/>
        <v>0</v>
      </c>
      <c r="L667" s="2">
        <f>IF(Fandual!M667="",1,0)</f>
        <v>1</v>
      </c>
    </row>
    <row r="668" spans="1:12" x14ac:dyDescent="0.25">
      <c r="A668" s="2">
        <f>IF((OR(Optimizer!$J$8=Fandual!J668,Optimizer!$J$10=Fandual!J668))=TRUE, 1,0)</f>
        <v>0</v>
      </c>
      <c r="B668" s="2">
        <f>IF((OR(Fandual!O668="",Fandual!O668&lt;&gt;0)=TRUE),1,0)</f>
        <v>1</v>
      </c>
      <c r="C668" s="2">
        <f>IF(Fandual!B668&lt;&gt;"P",1,0)</f>
        <v>1</v>
      </c>
      <c r="D668" s="2">
        <f t="shared" si="20"/>
        <v>0</v>
      </c>
      <c r="E668" s="2">
        <f>IF(D668=1,Fandual!B668,0)</f>
        <v>0</v>
      </c>
      <c r="F668" s="2">
        <f>IF(D668=1,Fandual!D668,0)</f>
        <v>0</v>
      </c>
      <c r="G668" s="2">
        <f>IF(D668=1,Fandual!F668,0)</f>
        <v>0</v>
      </c>
      <c r="H668" s="2">
        <f>IF(D668=1,Fandual!H668,0)</f>
        <v>0</v>
      </c>
      <c r="I668" s="2">
        <f>IF((Optimizer!$J$8=Fandual!J668),4,0)</f>
        <v>0</v>
      </c>
      <c r="J668" s="2">
        <f>IF((Optimizer!$J$10=Fandual!J668),100,0)</f>
        <v>0</v>
      </c>
      <c r="K668" s="2">
        <f t="shared" si="21"/>
        <v>0</v>
      </c>
      <c r="L668" s="2">
        <f>IF(Fandual!M668="",1,0)</f>
        <v>1</v>
      </c>
    </row>
    <row r="669" spans="1:12" x14ac:dyDescent="0.25">
      <c r="A669" s="2">
        <f>IF((OR(Optimizer!$J$8=Fandual!J669,Optimizer!$J$10=Fandual!J669))=TRUE, 1,0)</f>
        <v>0</v>
      </c>
      <c r="B669" s="2">
        <f>IF((OR(Fandual!O669="",Fandual!O669&lt;&gt;0)=TRUE),1,0)</f>
        <v>1</v>
      </c>
      <c r="C669" s="2">
        <f>IF(Fandual!B669&lt;&gt;"P",1,0)</f>
        <v>1</v>
      </c>
      <c r="D669" s="2">
        <f t="shared" si="20"/>
        <v>0</v>
      </c>
      <c r="E669" s="2">
        <f>IF(D669=1,Fandual!B669,0)</f>
        <v>0</v>
      </c>
      <c r="F669" s="2">
        <f>IF(D669=1,Fandual!D669,0)</f>
        <v>0</v>
      </c>
      <c r="G669" s="2">
        <f>IF(D669=1,Fandual!F669,0)</f>
        <v>0</v>
      </c>
      <c r="H669" s="2">
        <f>IF(D669=1,Fandual!H669,0)</f>
        <v>0</v>
      </c>
      <c r="I669" s="2">
        <f>IF((Optimizer!$J$8=Fandual!J669),4,0)</f>
        <v>0</v>
      </c>
      <c r="J669" s="2">
        <f>IF((Optimizer!$J$10=Fandual!J669),100,0)</f>
        <v>0</v>
      </c>
      <c r="K669" s="2">
        <f t="shared" si="21"/>
        <v>0</v>
      </c>
      <c r="L669" s="2">
        <f>IF(Fandual!M669="",1,0)</f>
        <v>1</v>
      </c>
    </row>
    <row r="670" spans="1:12" x14ac:dyDescent="0.25">
      <c r="A670" s="2">
        <f>IF((OR(Optimizer!$J$8=Fandual!J670,Optimizer!$J$10=Fandual!J670))=TRUE, 1,0)</f>
        <v>0</v>
      </c>
      <c r="B670" s="2">
        <f>IF((OR(Fandual!O670="",Fandual!O670&lt;&gt;0)=TRUE),1,0)</f>
        <v>1</v>
      </c>
      <c r="C670" s="2">
        <f>IF(Fandual!B670&lt;&gt;"P",1,0)</f>
        <v>1</v>
      </c>
      <c r="D670" s="2">
        <f t="shared" si="20"/>
        <v>0</v>
      </c>
      <c r="E670" s="2">
        <f>IF(D670=1,Fandual!B670,0)</f>
        <v>0</v>
      </c>
      <c r="F670" s="2">
        <f>IF(D670=1,Fandual!D670,0)</f>
        <v>0</v>
      </c>
      <c r="G670" s="2">
        <f>IF(D670=1,Fandual!F670,0)</f>
        <v>0</v>
      </c>
      <c r="H670" s="2">
        <f>IF(D670=1,Fandual!H670,0)</f>
        <v>0</v>
      </c>
      <c r="I670" s="2">
        <f>IF((Optimizer!$J$8=Fandual!J670),4,0)</f>
        <v>0</v>
      </c>
      <c r="J670" s="2">
        <f>IF((Optimizer!$J$10=Fandual!J670),100,0)</f>
        <v>0</v>
      </c>
      <c r="K670" s="2">
        <f t="shared" si="21"/>
        <v>0</v>
      </c>
      <c r="L670" s="2">
        <f>IF(Fandual!M670="",1,0)</f>
        <v>1</v>
      </c>
    </row>
    <row r="671" spans="1:12" x14ac:dyDescent="0.25">
      <c r="A671" s="2">
        <f>IF((OR(Optimizer!$J$8=Fandual!J671,Optimizer!$J$10=Fandual!J671))=TRUE, 1,0)</f>
        <v>0</v>
      </c>
      <c r="B671" s="2">
        <f>IF((OR(Fandual!O671="",Fandual!O671&lt;&gt;0)=TRUE),1,0)</f>
        <v>1</v>
      </c>
      <c r="C671" s="2">
        <f>IF(Fandual!B671&lt;&gt;"P",1,0)</f>
        <v>1</v>
      </c>
      <c r="D671" s="2">
        <f t="shared" si="20"/>
        <v>0</v>
      </c>
      <c r="E671" s="2">
        <f>IF(D671=1,Fandual!B671,0)</f>
        <v>0</v>
      </c>
      <c r="F671" s="2">
        <f>IF(D671=1,Fandual!D671,0)</f>
        <v>0</v>
      </c>
      <c r="G671" s="2">
        <f>IF(D671=1,Fandual!F671,0)</f>
        <v>0</v>
      </c>
      <c r="H671" s="2">
        <f>IF(D671=1,Fandual!H671,0)</f>
        <v>0</v>
      </c>
      <c r="I671" s="2">
        <f>IF((Optimizer!$J$8=Fandual!J671),4,0)</f>
        <v>0</v>
      </c>
      <c r="J671" s="2">
        <f>IF((Optimizer!$J$10=Fandual!J671),100,0)</f>
        <v>0</v>
      </c>
      <c r="K671" s="2">
        <f t="shared" si="21"/>
        <v>0</v>
      </c>
      <c r="L671" s="2">
        <f>IF(Fandual!M671="",1,0)</f>
        <v>1</v>
      </c>
    </row>
    <row r="672" spans="1:12" x14ac:dyDescent="0.25">
      <c r="A672" s="2">
        <f>IF((OR(Optimizer!$J$8=Fandual!J672,Optimizer!$J$10=Fandual!J672))=TRUE, 1,0)</f>
        <v>0</v>
      </c>
      <c r="B672" s="2">
        <f>IF((OR(Fandual!O672="",Fandual!O672&lt;&gt;0)=TRUE),1,0)</f>
        <v>1</v>
      </c>
      <c r="C672" s="2">
        <f>IF(Fandual!B672&lt;&gt;"P",1,0)</f>
        <v>1</v>
      </c>
      <c r="D672" s="2">
        <f t="shared" si="20"/>
        <v>0</v>
      </c>
      <c r="E672" s="2">
        <f>IF(D672=1,Fandual!B672,0)</f>
        <v>0</v>
      </c>
      <c r="F672" s="2">
        <f>IF(D672=1,Fandual!D672,0)</f>
        <v>0</v>
      </c>
      <c r="G672" s="2">
        <f>IF(D672=1,Fandual!F672,0)</f>
        <v>0</v>
      </c>
      <c r="H672" s="2">
        <f>IF(D672=1,Fandual!H672,0)</f>
        <v>0</v>
      </c>
      <c r="I672" s="2">
        <f>IF((Optimizer!$J$8=Fandual!J672),4,0)</f>
        <v>0</v>
      </c>
      <c r="J672" s="2">
        <f>IF((Optimizer!$J$10=Fandual!J672),100,0)</f>
        <v>0</v>
      </c>
      <c r="K672" s="2">
        <f t="shared" si="21"/>
        <v>0</v>
      </c>
      <c r="L672" s="2">
        <f>IF(Fandual!M672="",1,0)</f>
        <v>1</v>
      </c>
    </row>
    <row r="673" spans="1:12" x14ac:dyDescent="0.25">
      <c r="A673" s="2">
        <f>IF((OR(Optimizer!$J$8=Fandual!J673,Optimizer!$J$10=Fandual!J673))=TRUE, 1,0)</f>
        <v>0</v>
      </c>
      <c r="B673" s="2">
        <f>IF((OR(Fandual!O673="",Fandual!O673&lt;&gt;0)=TRUE),1,0)</f>
        <v>1</v>
      </c>
      <c r="C673" s="2">
        <f>IF(Fandual!B673&lt;&gt;"P",1,0)</f>
        <v>1</v>
      </c>
      <c r="D673" s="2">
        <f t="shared" si="20"/>
        <v>0</v>
      </c>
      <c r="E673" s="2">
        <f>IF(D673=1,Fandual!B673,0)</f>
        <v>0</v>
      </c>
      <c r="F673" s="2">
        <f>IF(D673=1,Fandual!D673,0)</f>
        <v>0</v>
      </c>
      <c r="G673" s="2">
        <f>IF(D673=1,Fandual!F673,0)</f>
        <v>0</v>
      </c>
      <c r="H673" s="2">
        <f>IF(D673=1,Fandual!H673,0)</f>
        <v>0</v>
      </c>
      <c r="I673" s="2">
        <f>IF((Optimizer!$J$8=Fandual!J673),4,0)</f>
        <v>0</v>
      </c>
      <c r="J673" s="2">
        <f>IF((Optimizer!$J$10=Fandual!J673),100,0)</f>
        <v>0</v>
      </c>
      <c r="K673" s="2">
        <f t="shared" si="21"/>
        <v>0</v>
      </c>
      <c r="L673" s="2">
        <f>IF(Fandual!M673="",1,0)</f>
        <v>1</v>
      </c>
    </row>
    <row r="674" spans="1:12" x14ac:dyDescent="0.25">
      <c r="A674" s="2">
        <f>IF((OR(Optimizer!$J$8=Fandual!J674,Optimizer!$J$10=Fandual!J674))=TRUE, 1,0)</f>
        <v>0</v>
      </c>
      <c r="B674" s="2">
        <f>IF((OR(Fandual!O674="",Fandual!O674&lt;&gt;0)=TRUE),1,0)</f>
        <v>1</v>
      </c>
      <c r="C674" s="2">
        <f>IF(Fandual!B674&lt;&gt;"P",1,0)</f>
        <v>1</v>
      </c>
      <c r="D674" s="2">
        <f t="shared" si="20"/>
        <v>0</v>
      </c>
      <c r="E674" s="2">
        <f>IF(D674=1,Fandual!B674,0)</f>
        <v>0</v>
      </c>
      <c r="F674" s="2">
        <f>IF(D674=1,Fandual!D674,0)</f>
        <v>0</v>
      </c>
      <c r="G674" s="2">
        <f>IF(D674=1,Fandual!F674,0)</f>
        <v>0</v>
      </c>
      <c r="H674" s="2">
        <f>IF(D674=1,Fandual!H674,0)</f>
        <v>0</v>
      </c>
      <c r="I674" s="2">
        <f>IF((Optimizer!$J$8=Fandual!J674),4,0)</f>
        <v>0</v>
      </c>
      <c r="J674" s="2">
        <f>IF((Optimizer!$J$10=Fandual!J674),100,0)</f>
        <v>0</v>
      </c>
      <c r="K674" s="2">
        <f t="shared" si="21"/>
        <v>0</v>
      </c>
      <c r="L674" s="2">
        <f>IF(Fandual!M674="",1,0)</f>
        <v>1</v>
      </c>
    </row>
    <row r="675" spans="1:12" x14ac:dyDescent="0.25">
      <c r="A675" s="2">
        <f>IF((OR(Optimizer!$J$8=Fandual!J675,Optimizer!$J$10=Fandual!J675))=TRUE, 1,0)</f>
        <v>0</v>
      </c>
      <c r="B675" s="2">
        <f>IF((OR(Fandual!O675="",Fandual!O675&lt;&gt;0)=TRUE),1,0)</f>
        <v>1</v>
      </c>
      <c r="C675" s="2">
        <f>IF(Fandual!B675&lt;&gt;"P",1,0)</f>
        <v>1</v>
      </c>
      <c r="D675" s="2">
        <f t="shared" si="20"/>
        <v>0</v>
      </c>
      <c r="E675" s="2">
        <f>IF(D675=1,Fandual!B675,0)</f>
        <v>0</v>
      </c>
      <c r="F675" s="2">
        <f>IF(D675=1,Fandual!D675,0)</f>
        <v>0</v>
      </c>
      <c r="G675" s="2">
        <f>IF(D675=1,Fandual!F675,0)</f>
        <v>0</v>
      </c>
      <c r="H675" s="2">
        <f>IF(D675=1,Fandual!H675,0)</f>
        <v>0</v>
      </c>
      <c r="I675" s="2">
        <f>IF((Optimizer!$J$8=Fandual!J675),4,0)</f>
        <v>0</v>
      </c>
      <c r="J675" s="2">
        <f>IF((Optimizer!$J$10=Fandual!J675),100,0)</f>
        <v>0</v>
      </c>
      <c r="K675" s="2">
        <f t="shared" si="21"/>
        <v>0</v>
      </c>
      <c r="L675" s="2">
        <f>IF(Fandual!M675="",1,0)</f>
        <v>1</v>
      </c>
    </row>
    <row r="676" spans="1:12" x14ac:dyDescent="0.25">
      <c r="A676" s="2">
        <f>IF((OR(Optimizer!$J$8=Fandual!J676,Optimizer!$J$10=Fandual!J676))=TRUE, 1,0)</f>
        <v>0</v>
      </c>
      <c r="B676" s="2">
        <f>IF((OR(Fandual!O676="",Fandual!O676&lt;&gt;0)=TRUE),1,0)</f>
        <v>1</v>
      </c>
      <c r="C676" s="2">
        <f>IF(Fandual!B676&lt;&gt;"P",1,0)</f>
        <v>1</v>
      </c>
      <c r="D676" s="2">
        <f t="shared" si="20"/>
        <v>0</v>
      </c>
      <c r="E676" s="2">
        <f>IF(D676=1,Fandual!B676,0)</f>
        <v>0</v>
      </c>
      <c r="F676" s="2">
        <f>IF(D676=1,Fandual!D676,0)</f>
        <v>0</v>
      </c>
      <c r="G676" s="2">
        <f>IF(D676=1,Fandual!F676,0)</f>
        <v>0</v>
      </c>
      <c r="H676" s="2">
        <f>IF(D676=1,Fandual!H676,0)</f>
        <v>0</v>
      </c>
      <c r="I676" s="2">
        <f>IF((Optimizer!$J$8=Fandual!J676),4,0)</f>
        <v>0</v>
      </c>
      <c r="J676" s="2">
        <f>IF((Optimizer!$J$10=Fandual!J676),100,0)</f>
        <v>0</v>
      </c>
      <c r="K676" s="2">
        <f t="shared" si="21"/>
        <v>0</v>
      </c>
      <c r="L676" s="2">
        <f>IF(Fandual!M676="",1,0)</f>
        <v>1</v>
      </c>
    </row>
    <row r="677" spans="1:12" x14ac:dyDescent="0.25">
      <c r="A677" s="2">
        <f>IF((OR(Optimizer!$J$8=Fandual!J677,Optimizer!$J$10=Fandual!J677))=TRUE, 1,0)</f>
        <v>0</v>
      </c>
      <c r="B677" s="2">
        <f>IF((OR(Fandual!O677="",Fandual!O677&lt;&gt;0)=TRUE),1,0)</f>
        <v>1</v>
      </c>
      <c r="C677" s="2">
        <f>IF(Fandual!B677&lt;&gt;"P",1,0)</f>
        <v>1</v>
      </c>
      <c r="D677" s="2">
        <f t="shared" si="20"/>
        <v>0</v>
      </c>
      <c r="E677" s="2">
        <f>IF(D677=1,Fandual!B677,0)</f>
        <v>0</v>
      </c>
      <c r="F677" s="2">
        <f>IF(D677=1,Fandual!D677,0)</f>
        <v>0</v>
      </c>
      <c r="G677" s="2">
        <f>IF(D677=1,Fandual!F677,0)</f>
        <v>0</v>
      </c>
      <c r="H677" s="2">
        <f>IF(D677=1,Fandual!H677,0)</f>
        <v>0</v>
      </c>
      <c r="I677" s="2">
        <f>IF((Optimizer!$J$8=Fandual!J677),4,0)</f>
        <v>0</v>
      </c>
      <c r="J677" s="2">
        <f>IF((Optimizer!$J$10=Fandual!J677),100,0)</f>
        <v>0</v>
      </c>
      <c r="K677" s="2">
        <f t="shared" si="21"/>
        <v>0</v>
      </c>
      <c r="L677" s="2">
        <f>IF(Fandual!M677="",1,0)</f>
        <v>1</v>
      </c>
    </row>
    <row r="678" spans="1:12" x14ac:dyDescent="0.25">
      <c r="A678" s="2">
        <f>IF((OR(Optimizer!$J$8=Fandual!J678,Optimizer!$J$10=Fandual!J678))=TRUE, 1,0)</f>
        <v>0</v>
      </c>
      <c r="B678" s="2">
        <f>IF((OR(Fandual!O678="",Fandual!O678&lt;&gt;0)=TRUE),1,0)</f>
        <v>1</v>
      </c>
      <c r="C678" s="2">
        <f>IF(Fandual!B678&lt;&gt;"P",1,0)</f>
        <v>1</v>
      </c>
      <c r="D678" s="2">
        <f t="shared" si="20"/>
        <v>0</v>
      </c>
      <c r="E678" s="2">
        <f>IF(D678=1,Fandual!B678,0)</f>
        <v>0</v>
      </c>
      <c r="F678" s="2">
        <f>IF(D678=1,Fandual!D678,0)</f>
        <v>0</v>
      </c>
      <c r="G678" s="2">
        <f>IF(D678=1,Fandual!F678,0)</f>
        <v>0</v>
      </c>
      <c r="H678" s="2">
        <f>IF(D678=1,Fandual!H678,0)</f>
        <v>0</v>
      </c>
      <c r="I678" s="2">
        <f>IF((Optimizer!$J$8=Fandual!J678),4,0)</f>
        <v>0</v>
      </c>
      <c r="J678" s="2">
        <f>IF((Optimizer!$J$10=Fandual!J678),100,0)</f>
        <v>0</v>
      </c>
      <c r="K678" s="2">
        <f t="shared" si="21"/>
        <v>0</v>
      </c>
      <c r="L678" s="2">
        <f>IF(Fandual!M678="",1,0)</f>
        <v>1</v>
      </c>
    </row>
    <row r="679" spans="1:12" x14ac:dyDescent="0.25">
      <c r="A679" s="2">
        <f>IF((OR(Optimizer!$J$8=Fandual!J679,Optimizer!$J$10=Fandual!J679))=TRUE, 1,0)</f>
        <v>0</v>
      </c>
      <c r="B679" s="2">
        <f>IF((OR(Fandual!O679="",Fandual!O679&lt;&gt;0)=TRUE),1,0)</f>
        <v>1</v>
      </c>
      <c r="C679" s="2">
        <f>IF(Fandual!B679&lt;&gt;"P",1,0)</f>
        <v>1</v>
      </c>
      <c r="D679" s="2">
        <f t="shared" si="20"/>
        <v>0</v>
      </c>
      <c r="E679" s="2">
        <f>IF(D679=1,Fandual!B679,0)</f>
        <v>0</v>
      </c>
      <c r="F679" s="2">
        <f>IF(D679=1,Fandual!D679,0)</f>
        <v>0</v>
      </c>
      <c r="G679" s="2">
        <f>IF(D679=1,Fandual!F679,0)</f>
        <v>0</v>
      </c>
      <c r="H679" s="2">
        <f>IF(D679=1,Fandual!H679,0)</f>
        <v>0</v>
      </c>
      <c r="I679" s="2">
        <f>IF((Optimizer!$J$8=Fandual!J679),4,0)</f>
        <v>0</v>
      </c>
      <c r="J679" s="2">
        <f>IF((Optimizer!$J$10=Fandual!J679),100,0)</f>
        <v>0</v>
      </c>
      <c r="K679" s="2">
        <f t="shared" si="21"/>
        <v>0</v>
      </c>
      <c r="L679" s="2">
        <f>IF(Fandual!M679="",1,0)</f>
        <v>1</v>
      </c>
    </row>
    <row r="680" spans="1:12" x14ac:dyDescent="0.25">
      <c r="A680" s="2">
        <f>IF((OR(Optimizer!$J$8=Fandual!J680,Optimizer!$J$10=Fandual!J680))=TRUE, 1,0)</f>
        <v>0</v>
      </c>
      <c r="B680" s="2">
        <f>IF((OR(Fandual!O680="",Fandual!O680&lt;&gt;0)=TRUE),1,0)</f>
        <v>1</v>
      </c>
      <c r="C680" s="2">
        <f>IF(Fandual!B680&lt;&gt;"P",1,0)</f>
        <v>1</v>
      </c>
      <c r="D680" s="2">
        <f t="shared" si="20"/>
        <v>0</v>
      </c>
      <c r="E680" s="2">
        <f>IF(D680=1,Fandual!B680,0)</f>
        <v>0</v>
      </c>
      <c r="F680" s="2">
        <f>IF(D680=1,Fandual!D680,0)</f>
        <v>0</v>
      </c>
      <c r="G680" s="2">
        <f>IF(D680=1,Fandual!F680,0)</f>
        <v>0</v>
      </c>
      <c r="H680" s="2">
        <f>IF(D680=1,Fandual!H680,0)</f>
        <v>0</v>
      </c>
      <c r="I680" s="2">
        <f>IF((Optimizer!$J$8=Fandual!J680),4,0)</f>
        <v>0</v>
      </c>
      <c r="J680" s="2">
        <f>IF((Optimizer!$J$10=Fandual!J680),100,0)</f>
        <v>0</v>
      </c>
      <c r="K680" s="2">
        <f t="shared" si="21"/>
        <v>0</v>
      </c>
      <c r="L680" s="2">
        <f>IF(Fandual!M680="",1,0)</f>
        <v>1</v>
      </c>
    </row>
    <row r="681" spans="1:12" x14ac:dyDescent="0.25">
      <c r="A681" s="2">
        <f>IF((OR(Optimizer!$J$8=Fandual!J681,Optimizer!$J$10=Fandual!J681))=TRUE, 1,0)</f>
        <v>0</v>
      </c>
      <c r="B681" s="2">
        <f>IF((OR(Fandual!O681="",Fandual!O681&lt;&gt;0)=TRUE),1,0)</f>
        <v>1</v>
      </c>
      <c r="C681" s="2">
        <f>IF(Fandual!B681&lt;&gt;"P",1,0)</f>
        <v>1</v>
      </c>
      <c r="D681" s="2">
        <f t="shared" si="20"/>
        <v>0</v>
      </c>
      <c r="E681" s="2">
        <f>IF(D681=1,Fandual!B681,0)</f>
        <v>0</v>
      </c>
      <c r="F681" s="2">
        <f>IF(D681=1,Fandual!D681,0)</f>
        <v>0</v>
      </c>
      <c r="G681" s="2">
        <f>IF(D681=1,Fandual!F681,0)</f>
        <v>0</v>
      </c>
      <c r="H681" s="2">
        <f>IF(D681=1,Fandual!H681,0)</f>
        <v>0</v>
      </c>
      <c r="I681" s="2">
        <f>IF((Optimizer!$J$8=Fandual!J681),4,0)</f>
        <v>0</v>
      </c>
      <c r="J681" s="2">
        <f>IF((Optimizer!$J$10=Fandual!J681),100,0)</f>
        <v>0</v>
      </c>
      <c r="K681" s="2">
        <f t="shared" si="21"/>
        <v>0</v>
      </c>
      <c r="L681" s="2">
        <f>IF(Fandual!M681="",1,0)</f>
        <v>1</v>
      </c>
    </row>
    <row r="682" spans="1:12" x14ac:dyDescent="0.25">
      <c r="A682" s="2">
        <f>IF((OR(Optimizer!$J$8=Fandual!J682,Optimizer!$J$10=Fandual!J682))=TRUE, 1,0)</f>
        <v>0</v>
      </c>
      <c r="B682" s="2">
        <f>IF((OR(Fandual!O682="",Fandual!O682&lt;&gt;0)=TRUE),1,0)</f>
        <v>1</v>
      </c>
      <c r="C682" s="2">
        <f>IF(Fandual!B682&lt;&gt;"P",1,0)</f>
        <v>1</v>
      </c>
      <c r="D682" s="2">
        <f t="shared" si="20"/>
        <v>0</v>
      </c>
      <c r="E682" s="2">
        <f>IF(D682=1,Fandual!B682,0)</f>
        <v>0</v>
      </c>
      <c r="F682" s="2">
        <f>IF(D682=1,Fandual!D682,0)</f>
        <v>0</v>
      </c>
      <c r="G682" s="2">
        <f>IF(D682=1,Fandual!F682,0)</f>
        <v>0</v>
      </c>
      <c r="H682" s="2">
        <f>IF(D682=1,Fandual!H682,0)</f>
        <v>0</v>
      </c>
      <c r="I682" s="2">
        <f>IF((Optimizer!$J$8=Fandual!J682),4,0)</f>
        <v>0</v>
      </c>
      <c r="J682" s="2">
        <f>IF((Optimizer!$J$10=Fandual!J682),100,0)</f>
        <v>0</v>
      </c>
      <c r="K682" s="2">
        <f t="shared" si="21"/>
        <v>0</v>
      </c>
      <c r="L682" s="2">
        <f>IF(Fandual!M682="",1,0)</f>
        <v>1</v>
      </c>
    </row>
    <row r="683" spans="1:12" x14ac:dyDescent="0.25">
      <c r="A683" s="2">
        <f>IF((OR(Optimizer!$J$8=Fandual!J683,Optimizer!$J$10=Fandual!J683))=TRUE, 1,0)</f>
        <v>0</v>
      </c>
      <c r="B683" s="2">
        <f>IF((OR(Fandual!O683="",Fandual!O683&lt;&gt;0)=TRUE),1,0)</f>
        <v>1</v>
      </c>
      <c r="C683" s="2">
        <f>IF(Fandual!B683&lt;&gt;"P",1,0)</f>
        <v>1</v>
      </c>
      <c r="D683" s="2">
        <f t="shared" si="20"/>
        <v>0</v>
      </c>
      <c r="E683" s="2">
        <f>IF(D683=1,Fandual!B683,0)</f>
        <v>0</v>
      </c>
      <c r="F683" s="2">
        <f>IF(D683=1,Fandual!D683,0)</f>
        <v>0</v>
      </c>
      <c r="G683" s="2">
        <f>IF(D683=1,Fandual!F683,0)</f>
        <v>0</v>
      </c>
      <c r="H683" s="2">
        <f>IF(D683=1,Fandual!H683,0)</f>
        <v>0</v>
      </c>
      <c r="I683" s="2">
        <f>IF((Optimizer!$J$8=Fandual!J683),4,0)</f>
        <v>0</v>
      </c>
      <c r="J683" s="2">
        <f>IF((Optimizer!$J$10=Fandual!J683),100,0)</f>
        <v>0</v>
      </c>
      <c r="K683" s="2">
        <f t="shared" si="21"/>
        <v>0</v>
      </c>
      <c r="L683" s="2">
        <f>IF(Fandual!M683="",1,0)</f>
        <v>1</v>
      </c>
    </row>
    <row r="684" spans="1:12" x14ac:dyDescent="0.25">
      <c r="A684" s="2">
        <f>IF((OR(Optimizer!$J$8=Fandual!J684,Optimizer!$J$10=Fandual!J684))=TRUE, 1,0)</f>
        <v>0</v>
      </c>
      <c r="B684" s="2">
        <f>IF((OR(Fandual!O684="",Fandual!O684&lt;&gt;0)=TRUE),1,0)</f>
        <v>1</v>
      </c>
      <c r="C684" s="2">
        <f>IF(Fandual!B684&lt;&gt;"P",1,0)</f>
        <v>1</v>
      </c>
      <c r="D684" s="2">
        <f t="shared" si="20"/>
        <v>0</v>
      </c>
      <c r="E684" s="2">
        <f>IF(D684=1,Fandual!B684,0)</f>
        <v>0</v>
      </c>
      <c r="F684" s="2">
        <f>IF(D684=1,Fandual!D684,0)</f>
        <v>0</v>
      </c>
      <c r="G684" s="2">
        <f>IF(D684=1,Fandual!F684,0)</f>
        <v>0</v>
      </c>
      <c r="H684" s="2">
        <f>IF(D684=1,Fandual!H684,0)</f>
        <v>0</v>
      </c>
      <c r="I684" s="2">
        <f>IF((Optimizer!$J$8=Fandual!J684),4,0)</f>
        <v>0</v>
      </c>
      <c r="J684" s="2">
        <f>IF((Optimizer!$J$10=Fandual!J684),100,0)</f>
        <v>0</v>
      </c>
      <c r="K684" s="2">
        <f t="shared" si="21"/>
        <v>0</v>
      </c>
      <c r="L684" s="2">
        <f>IF(Fandual!M684="",1,0)</f>
        <v>1</v>
      </c>
    </row>
    <row r="685" spans="1:12" x14ac:dyDescent="0.25">
      <c r="A685" s="2">
        <f>IF((OR(Optimizer!$J$8=Fandual!J685,Optimizer!$J$10=Fandual!J685))=TRUE, 1,0)</f>
        <v>1</v>
      </c>
      <c r="B685" s="2">
        <f>IF((OR(Fandual!O685="",Fandual!O685&lt;&gt;0)=TRUE),1,0)</f>
        <v>1</v>
      </c>
      <c r="C685" s="2">
        <f>IF(Fandual!B685&lt;&gt;"P",1,0)</f>
        <v>1</v>
      </c>
      <c r="D685" s="2">
        <f t="shared" si="20"/>
        <v>0</v>
      </c>
      <c r="E685" s="2">
        <f>IF(D685=1,Fandual!B685,0)</f>
        <v>0</v>
      </c>
      <c r="F685" s="2">
        <f>IF(D685=1,Fandual!D685,0)</f>
        <v>0</v>
      </c>
      <c r="G685" s="2">
        <f>IF(D685=1,Fandual!F685,0)</f>
        <v>0</v>
      </c>
      <c r="H685" s="2">
        <f>IF(D685=1,Fandual!H685,0)</f>
        <v>0</v>
      </c>
      <c r="I685" s="2">
        <f>IF((Optimizer!$J$8=Fandual!J685),4,0)</f>
        <v>4</v>
      </c>
      <c r="J685" s="2">
        <f>IF((Optimizer!$J$10=Fandual!J685),100,0)</f>
        <v>0</v>
      </c>
      <c r="K685" s="2">
        <f t="shared" si="21"/>
        <v>0</v>
      </c>
      <c r="L685" s="2">
        <f>IF(Fandual!M685="",1,0)</f>
        <v>0</v>
      </c>
    </row>
    <row r="686" spans="1:12" x14ac:dyDescent="0.25">
      <c r="A686" s="2">
        <f>IF((OR(Optimizer!$J$8=Fandual!J686,Optimizer!$J$10=Fandual!J686))=TRUE, 1,0)</f>
        <v>0</v>
      </c>
      <c r="B686" s="2">
        <f>IF((OR(Fandual!O686="",Fandual!O686&lt;&gt;0)=TRUE),1,0)</f>
        <v>1</v>
      </c>
      <c r="C686" s="2">
        <f>IF(Fandual!B686&lt;&gt;"P",1,0)</f>
        <v>1</v>
      </c>
      <c r="D686" s="2">
        <f t="shared" si="20"/>
        <v>0</v>
      </c>
      <c r="E686" s="2">
        <f>IF(D686=1,Fandual!B686,0)</f>
        <v>0</v>
      </c>
      <c r="F686" s="2">
        <f>IF(D686=1,Fandual!D686,0)</f>
        <v>0</v>
      </c>
      <c r="G686" s="2">
        <f>IF(D686=1,Fandual!F686,0)</f>
        <v>0</v>
      </c>
      <c r="H686" s="2">
        <f>IF(D686=1,Fandual!H686,0)</f>
        <v>0</v>
      </c>
      <c r="I686" s="2">
        <f>IF((Optimizer!$J$8=Fandual!J686),4,0)</f>
        <v>0</v>
      </c>
      <c r="J686" s="2">
        <f>IF((Optimizer!$J$10=Fandual!J686),100,0)</f>
        <v>0</v>
      </c>
      <c r="K686" s="2">
        <f t="shared" si="21"/>
        <v>0</v>
      </c>
      <c r="L686" s="2">
        <f>IF(Fandual!M686="",1,0)</f>
        <v>0</v>
      </c>
    </row>
    <row r="687" spans="1:12" x14ac:dyDescent="0.25">
      <c r="A687" s="2">
        <f>IF((OR(Optimizer!$J$8=Fandual!J687,Optimizer!$J$10=Fandual!J687))=TRUE, 1,0)</f>
        <v>1</v>
      </c>
      <c r="B687" s="2">
        <f>IF((OR(Fandual!O687="",Fandual!O687&lt;&gt;0)=TRUE),1,0)</f>
        <v>1</v>
      </c>
      <c r="C687" s="2">
        <f>IF(Fandual!B687&lt;&gt;"P",1,0)</f>
        <v>1</v>
      </c>
      <c r="D687" s="2">
        <f t="shared" si="20"/>
        <v>1</v>
      </c>
      <c r="E687" s="2" t="str">
        <f>IF(D687=1,Fandual!B687,0)</f>
        <v>SS</v>
      </c>
      <c r="F687" s="2" t="str">
        <f>IF(D687=1,Fandual!D687,0)</f>
        <v>Ketel Marte</v>
      </c>
      <c r="G687" s="2">
        <f>IF(D687=1,Fandual!F687,0)</f>
        <v>7.1148934871592404</v>
      </c>
      <c r="H687" s="2">
        <f>IF(D687=1,Fandual!H687,0)</f>
        <v>3300</v>
      </c>
      <c r="I687" s="2">
        <f>IF((Optimizer!$J$8=Fandual!J687),4,0)</f>
        <v>4</v>
      </c>
      <c r="J687" s="2">
        <f>IF((Optimizer!$J$10=Fandual!J687),100,0)</f>
        <v>0</v>
      </c>
      <c r="K687" s="2">
        <f t="shared" si="21"/>
        <v>4</v>
      </c>
      <c r="L687" s="2">
        <f>IF(Fandual!M687="",1,0)</f>
        <v>1</v>
      </c>
    </row>
    <row r="688" spans="1:12" x14ac:dyDescent="0.25">
      <c r="A688" s="2">
        <f>IF((OR(Optimizer!$J$8=Fandual!J688,Optimizer!$J$10=Fandual!J688))=TRUE, 1,0)</f>
        <v>1</v>
      </c>
      <c r="B688" s="2">
        <f>IF((OR(Fandual!O688="",Fandual!O688&lt;&gt;0)=TRUE),1,0)</f>
        <v>1</v>
      </c>
      <c r="C688" s="2">
        <f>IF(Fandual!B688&lt;&gt;"P",1,0)</f>
        <v>1</v>
      </c>
      <c r="D688" s="2">
        <f t="shared" si="20"/>
        <v>1</v>
      </c>
      <c r="E688" s="2" t="str">
        <f>IF(D688=1,Fandual!B688,0)</f>
        <v>SS</v>
      </c>
      <c r="F688" s="2" t="str">
        <f>IF(D688=1,Fandual!D688,0)</f>
        <v>Adam Rosales</v>
      </c>
      <c r="G688" s="2">
        <f>IF(D688=1,Fandual!F688,0)</f>
        <v>5.7494254276670196</v>
      </c>
      <c r="H688" s="2">
        <f>IF(D688=1,Fandual!H688,0)</f>
        <v>3300</v>
      </c>
      <c r="I688" s="2">
        <f>IF((Optimizer!$J$8=Fandual!J688),4,0)</f>
        <v>4</v>
      </c>
      <c r="J688" s="2">
        <f>IF((Optimizer!$J$10=Fandual!J688),100,0)</f>
        <v>0</v>
      </c>
      <c r="K688" s="2">
        <f t="shared" si="21"/>
        <v>4</v>
      </c>
      <c r="L688" s="2">
        <f>IF(Fandual!M688="",1,0)</f>
        <v>1</v>
      </c>
    </row>
    <row r="689" spans="1:12" x14ac:dyDescent="0.25">
      <c r="A689" s="2">
        <f>IF((OR(Optimizer!$J$8=Fandual!J689,Optimizer!$J$10=Fandual!J689))=TRUE, 1,0)</f>
        <v>0</v>
      </c>
      <c r="B689" s="2">
        <f>IF((OR(Fandual!O689="",Fandual!O689&lt;&gt;0)=TRUE),1,0)</f>
        <v>1</v>
      </c>
      <c r="C689" s="2">
        <f>IF(Fandual!B689&lt;&gt;"P",1,0)</f>
        <v>1</v>
      </c>
      <c r="D689" s="2">
        <f t="shared" si="20"/>
        <v>0</v>
      </c>
      <c r="E689" s="2">
        <f>IF(D689=1,Fandual!B689,0)</f>
        <v>0</v>
      </c>
      <c r="F689" s="2">
        <f>IF(D689=1,Fandual!D689,0)</f>
        <v>0</v>
      </c>
      <c r="G689" s="2">
        <f>IF(D689=1,Fandual!F689,0)</f>
        <v>0</v>
      </c>
      <c r="H689" s="2">
        <f>IF(D689=1,Fandual!H689,0)</f>
        <v>0</v>
      </c>
      <c r="I689" s="2">
        <f>IF((Optimizer!$J$8=Fandual!J689),4,0)</f>
        <v>0</v>
      </c>
      <c r="J689" s="2">
        <f>IF((Optimizer!$J$10=Fandual!J689),100,0)</f>
        <v>0</v>
      </c>
      <c r="K689" s="2">
        <f t="shared" si="21"/>
        <v>0</v>
      </c>
      <c r="L689" s="2">
        <f>IF(Fandual!M689="",1,0)</f>
        <v>1</v>
      </c>
    </row>
    <row r="690" spans="1:12" x14ac:dyDescent="0.25">
      <c r="A690" s="2">
        <f>IF((OR(Optimizer!$J$8=Fandual!J690,Optimizer!$J$10=Fandual!J690))=TRUE, 1,0)</f>
        <v>0</v>
      </c>
      <c r="B690" s="2">
        <f>IF((OR(Fandual!O690="",Fandual!O690&lt;&gt;0)=TRUE),1,0)</f>
        <v>1</v>
      </c>
      <c r="C690" s="2">
        <f>IF(Fandual!B690&lt;&gt;"P",1,0)</f>
        <v>1</v>
      </c>
      <c r="D690" s="2">
        <f t="shared" si="20"/>
        <v>0</v>
      </c>
      <c r="E690" s="2">
        <f>IF(D690=1,Fandual!B690,0)</f>
        <v>0</v>
      </c>
      <c r="F690" s="2">
        <f>IF(D690=1,Fandual!D690,0)</f>
        <v>0</v>
      </c>
      <c r="G690" s="2">
        <f>IF(D690=1,Fandual!F690,0)</f>
        <v>0</v>
      </c>
      <c r="H690" s="2">
        <f>IF(D690=1,Fandual!H690,0)</f>
        <v>0</v>
      </c>
      <c r="I690" s="2">
        <f>IF((Optimizer!$J$8=Fandual!J690),4,0)</f>
        <v>0</v>
      </c>
      <c r="J690" s="2">
        <f>IF((Optimizer!$J$10=Fandual!J690),100,0)</f>
        <v>0</v>
      </c>
      <c r="K690" s="2">
        <f t="shared" si="21"/>
        <v>0</v>
      </c>
      <c r="L690" s="2">
        <f>IF(Fandual!M690="",1,0)</f>
        <v>0</v>
      </c>
    </row>
    <row r="691" spans="1:12" x14ac:dyDescent="0.25">
      <c r="A691" s="2">
        <f>IF((OR(Optimizer!$J$8=Fandual!J691,Optimizer!$J$10=Fandual!J691))=TRUE, 1,0)</f>
        <v>1</v>
      </c>
      <c r="B691" s="2">
        <f>IF((OR(Fandual!O691="",Fandual!O691&lt;&gt;0)=TRUE),1,0)</f>
        <v>1</v>
      </c>
      <c r="C691" s="2">
        <f>IF(Fandual!B691&lt;&gt;"P",1,0)</f>
        <v>1</v>
      </c>
      <c r="D691" s="2">
        <f t="shared" si="20"/>
        <v>1</v>
      </c>
      <c r="E691" s="2" t="str">
        <f>IF(D691=1,Fandual!B691,0)</f>
        <v>OF</v>
      </c>
      <c r="F691" s="2" t="str">
        <f>IF(D691=1,Fandual!D691,0)</f>
        <v>Gregor Blanco</v>
      </c>
      <c r="G691" s="2">
        <f>IF(D691=1,Fandual!F691,0)</f>
        <v>6.7948053533380603</v>
      </c>
      <c r="H691" s="2">
        <f>IF(D691=1,Fandual!H691,0)</f>
        <v>3300</v>
      </c>
      <c r="I691" s="2">
        <f>IF((Optimizer!$J$8=Fandual!J691),4,0)</f>
        <v>4</v>
      </c>
      <c r="J691" s="2">
        <f>IF((Optimizer!$J$10=Fandual!J691),100,0)</f>
        <v>0</v>
      </c>
      <c r="K691" s="2">
        <f t="shared" si="21"/>
        <v>4</v>
      </c>
      <c r="L691" s="2">
        <f>IF(Fandual!M691="",1,0)</f>
        <v>1</v>
      </c>
    </row>
    <row r="692" spans="1:12" x14ac:dyDescent="0.25">
      <c r="A692" s="2">
        <f>IF((OR(Optimizer!$J$8=Fandual!J692,Optimizer!$J$10=Fandual!J692))=TRUE, 1,0)</f>
        <v>1</v>
      </c>
      <c r="B692" s="2">
        <f>IF((OR(Fandual!O692="",Fandual!O692&lt;&gt;0)=TRUE),1,0)</f>
        <v>1</v>
      </c>
      <c r="C692" s="2">
        <f>IF(Fandual!B692&lt;&gt;"P",1,0)</f>
        <v>1</v>
      </c>
      <c r="D692" s="2">
        <f t="shared" si="20"/>
        <v>1</v>
      </c>
      <c r="E692" s="2" t="str">
        <f>IF(D692=1,Fandual!B692,0)</f>
        <v>C</v>
      </c>
      <c r="F692" s="2" t="str">
        <f>IF(D692=1,Fandual!D692,0)</f>
        <v>Jonathan Lucroy</v>
      </c>
      <c r="G692" s="2">
        <f>IF(D692=1,Fandual!F692,0)</f>
        <v>7.1676765210700699</v>
      </c>
      <c r="H692" s="2">
        <f>IF(D692=1,Fandual!H692,0)</f>
        <v>3300</v>
      </c>
      <c r="I692" s="2">
        <f>IF((Optimizer!$J$8=Fandual!J692),4,0)</f>
        <v>0</v>
      </c>
      <c r="J692" s="2">
        <f>IF((Optimizer!$J$10=Fandual!J692),100,0)</f>
        <v>100</v>
      </c>
      <c r="K692" s="2">
        <f t="shared" si="21"/>
        <v>100</v>
      </c>
      <c r="L692" s="2">
        <f>IF(Fandual!M692="",1,0)</f>
        <v>1</v>
      </c>
    </row>
    <row r="693" spans="1:12" x14ac:dyDescent="0.25">
      <c r="A693" s="2">
        <f>IF((OR(Optimizer!$J$8=Fandual!J693,Optimizer!$J$10=Fandual!J693))=TRUE, 1,0)</f>
        <v>0</v>
      </c>
      <c r="B693" s="2">
        <f>IF((OR(Fandual!O693="",Fandual!O693&lt;&gt;0)=TRUE),1,0)</f>
        <v>1</v>
      </c>
      <c r="C693" s="2">
        <f>IF(Fandual!B693&lt;&gt;"P",1,0)</f>
        <v>1</v>
      </c>
      <c r="D693" s="2">
        <f t="shared" si="20"/>
        <v>0</v>
      </c>
      <c r="E693" s="2">
        <f>IF(D693=1,Fandual!B693,0)</f>
        <v>0</v>
      </c>
      <c r="F693" s="2">
        <f>IF(D693=1,Fandual!D693,0)</f>
        <v>0</v>
      </c>
      <c r="G693" s="2">
        <f>IF(D693=1,Fandual!F693,0)</f>
        <v>0</v>
      </c>
      <c r="H693" s="2">
        <f>IF(D693=1,Fandual!H693,0)</f>
        <v>0</v>
      </c>
      <c r="I693" s="2">
        <f>IF((Optimizer!$J$8=Fandual!J693),4,0)</f>
        <v>0</v>
      </c>
      <c r="J693" s="2">
        <f>IF((Optimizer!$J$10=Fandual!J693),100,0)</f>
        <v>0</v>
      </c>
      <c r="K693" s="2">
        <f t="shared" si="21"/>
        <v>0</v>
      </c>
      <c r="L693" s="2">
        <f>IF(Fandual!M693="",1,0)</f>
        <v>1</v>
      </c>
    </row>
    <row r="694" spans="1:12" x14ac:dyDescent="0.25">
      <c r="A694" s="2">
        <f>IF((OR(Optimizer!$J$8=Fandual!J694,Optimizer!$J$10=Fandual!J694))=TRUE, 1,0)</f>
        <v>0</v>
      </c>
      <c r="B694" s="2">
        <f>IF((OR(Fandual!O694="",Fandual!O694&lt;&gt;0)=TRUE),1,0)</f>
        <v>1</v>
      </c>
      <c r="C694" s="2">
        <f>IF(Fandual!B694&lt;&gt;"P",1,0)</f>
        <v>1</v>
      </c>
      <c r="D694" s="2">
        <f t="shared" si="20"/>
        <v>0</v>
      </c>
      <c r="E694" s="2">
        <f>IF(D694=1,Fandual!B694,0)</f>
        <v>0</v>
      </c>
      <c r="F694" s="2">
        <f>IF(D694=1,Fandual!D694,0)</f>
        <v>0</v>
      </c>
      <c r="G694" s="2">
        <f>IF(D694=1,Fandual!F694,0)</f>
        <v>0</v>
      </c>
      <c r="H694" s="2">
        <f>IF(D694=1,Fandual!H694,0)</f>
        <v>0</v>
      </c>
      <c r="I694" s="2">
        <f>IF((Optimizer!$J$8=Fandual!J694),4,0)</f>
        <v>0</v>
      </c>
      <c r="J694" s="2">
        <f>IF((Optimizer!$J$10=Fandual!J694),100,0)</f>
        <v>0</v>
      </c>
      <c r="K694" s="2">
        <f t="shared" si="21"/>
        <v>0</v>
      </c>
      <c r="L694" s="2">
        <f>IF(Fandual!M694="",1,0)</f>
        <v>1</v>
      </c>
    </row>
    <row r="695" spans="1:12" x14ac:dyDescent="0.25">
      <c r="A695" s="2">
        <f>IF((OR(Optimizer!$J$8=Fandual!J695,Optimizer!$J$10=Fandual!J695))=TRUE, 1,0)</f>
        <v>0</v>
      </c>
      <c r="B695" s="2">
        <f>IF((OR(Fandual!O695="",Fandual!O695&lt;&gt;0)=TRUE),1,0)</f>
        <v>1</v>
      </c>
      <c r="C695" s="2">
        <f>IF(Fandual!B695&lt;&gt;"P",1,0)</f>
        <v>1</v>
      </c>
      <c r="D695" s="2">
        <f t="shared" si="20"/>
        <v>0</v>
      </c>
      <c r="E695" s="2">
        <f>IF(D695=1,Fandual!B695,0)</f>
        <v>0</v>
      </c>
      <c r="F695" s="2">
        <f>IF(D695=1,Fandual!D695,0)</f>
        <v>0</v>
      </c>
      <c r="G695" s="2">
        <f>IF(D695=1,Fandual!F695,0)</f>
        <v>0</v>
      </c>
      <c r="H695" s="2">
        <f>IF(D695=1,Fandual!H695,0)</f>
        <v>0</v>
      </c>
      <c r="I695" s="2">
        <f>IF((Optimizer!$J$8=Fandual!J695),4,0)</f>
        <v>0</v>
      </c>
      <c r="J695" s="2">
        <f>IF((Optimizer!$J$10=Fandual!J695),100,0)</f>
        <v>0</v>
      </c>
      <c r="K695" s="2">
        <f t="shared" si="21"/>
        <v>0</v>
      </c>
      <c r="L695" s="2">
        <f>IF(Fandual!M695="",1,0)</f>
        <v>1</v>
      </c>
    </row>
    <row r="696" spans="1:12" x14ac:dyDescent="0.25">
      <c r="A696" s="2">
        <f>IF((OR(Optimizer!$J$8=Fandual!J696,Optimizer!$J$10=Fandual!J696))=TRUE, 1,0)</f>
        <v>0</v>
      </c>
      <c r="B696" s="2">
        <f>IF((OR(Fandual!O696="",Fandual!O696&lt;&gt;0)=TRUE),1,0)</f>
        <v>1</v>
      </c>
      <c r="C696" s="2">
        <f>IF(Fandual!B696&lt;&gt;"P",1,0)</f>
        <v>1</v>
      </c>
      <c r="D696" s="2">
        <f t="shared" si="20"/>
        <v>0</v>
      </c>
      <c r="E696" s="2">
        <f>IF(D696=1,Fandual!B696,0)</f>
        <v>0</v>
      </c>
      <c r="F696" s="2">
        <f>IF(D696=1,Fandual!D696,0)</f>
        <v>0</v>
      </c>
      <c r="G696" s="2">
        <f>IF(D696=1,Fandual!F696,0)</f>
        <v>0</v>
      </c>
      <c r="H696" s="2">
        <f>IF(D696=1,Fandual!H696,0)</f>
        <v>0</v>
      </c>
      <c r="I696" s="2">
        <f>IF((Optimizer!$J$8=Fandual!J696),4,0)</f>
        <v>0</v>
      </c>
      <c r="J696" s="2">
        <f>IF((Optimizer!$J$10=Fandual!J696),100,0)</f>
        <v>0</v>
      </c>
      <c r="K696" s="2">
        <f t="shared" si="21"/>
        <v>0</v>
      </c>
      <c r="L696" s="2">
        <f>IF(Fandual!M696="",1,0)</f>
        <v>0</v>
      </c>
    </row>
    <row r="697" spans="1:12" x14ac:dyDescent="0.25">
      <c r="A697" s="2">
        <f>IF((OR(Optimizer!$J$8=Fandual!J697,Optimizer!$J$10=Fandual!J697))=TRUE, 1,0)</f>
        <v>0</v>
      </c>
      <c r="B697" s="2">
        <f>IF((OR(Fandual!O697="",Fandual!O697&lt;&gt;0)=TRUE),1,0)</f>
        <v>1</v>
      </c>
      <c r="C697" s="2">
        <f>IF(Fandual!B697&lt;&gt;"P",1,0)</f>
        <v>1</v>
      </c>
      <c r="D697" s="2">
        <f t="shared" si="20"/>
        <v>0</v>
      </c>
      <c r="E697" s="2">
        <f>IF(D697=1,Fandual!B697,0)</f>
        <v>0</v>
      </c>
      <c r="F697" s="2">
        <f>IF(D697=1,Fandual!D697,0)</f>
        <v>0</v>
      </c>
      <c r="G697" s="2">
        <f>IF(D697=1,Fandual!F697,0)</f>
        <v>0</v>
      </c>
      <c r="H697" s="2">
        <f>IF(D697=1,Fandual!H697,0)</f>
        <v>0</v>
      </c>
      <c r="I697" s="2">
        <f>IF((Optimizer!$J$8=Fandual!J697),4,0)</f>
        <v>0</v>
      </c>
      <c r="J697" s="2">
        <f>IF((Optimizer!$J$10=Fandual!J697),100,0)</f>
        <v>0</v>
      </c>
      <c r="K697" s="2">
        <f t="shared" si="21"/>
        <v>0</v>
      </c>
      <c r="L697" s="2">
        <f>IF(Fandual!M697="",1,0)</f>
        <v>1</v>
      </c>
    </row>
    <row r="698" spans="1:12" x14ac:dyDescent="0.25">
      <c r="A698" s="2">
        <f>IF((OR(Optimizer!$J$8=Fandual!J698,Optimizer!$J$10=Fandual!J698))=TRUE, 1,0)</f>
        <v>0</v>
      </c>
      <c r="B698" s="2">
        <f>IF((OR(Fandual!O698="",Fandual!O698&lt;&gt;0)=TRUE),1,0)</f>
        <v>1</v>
      </c>
      <c r="C698" s="2">
        <f>IF(Fandual!B698&lt;&gt;"P",1,0)</f>
        <v>1</v>
      </c>
      <c r="D698" s="2">
        <f t="shared" si="20"/>
        <v>0</v>
      </c>
      <c r="E698" s="2">
        <f>IF(D698=1,Fandual!B698,0)</f>
        <v>0</v>
      </c>
      <c r="F698" s="2">
        <f>IF(D698=1,Fandual!D698,0)</f>
        <v>0</v>
      </c>
      <c r="G698" s="2">
        <f>IF(D698=1,Fandual!F698,0)</f>
        <v>0</v>
      </c>
      <c r="H698" s="2">
        <f>IF(D698=1,Fandual!H698,0)</f>
        <v>0</v>
      </c>
      <c r="I698" s="2">
        <f>IF((Optimizer!$J$8=Fandual!J698),4,0)</f>
        <v>0</v>
      </c>
      <c r="J698" s="2">
        <f>IF((Optimizer!$J$10=Fandual!J698),100,0)</f>
        <v>0</v>
      </c>
      <c r="K698" s="2">
        <f t="shared" si="21"/>
        <v>0</v>
      </c>
      <c r="L698" s="2">
        <f>IF(Fandual!M698="",1,0)</f>
        <v>1</v>
      </c>
    </row>
    <row r="699" spans="1:12" x14ac:dyDescent="0.25">
      <c r="A699" s="2">
        <f>IF((OR(Optimizer!$J$8=Fandual!J699,Optimizer!$J$10=Fandual!J699))=TRUE, 1,0)</f>
        <v>0</v>
      </c>
      <c r="B699" s="2">
        <f>IF((OR(Fandual!O699="",Fandual!O699&lt;&gt;0)=TRUE),1,0)</f>
        <v>1</v>
      </c>
      <c r="C699" s="2">
        <f>IF(Fandual!B699&lt;&gt;"P",1,0)</f>
        <v>1</v>
      </c>
      <c r="D699" s="2">
        <f t="shared" si="20"/>
        <v>0</v>
      </c>
      <c r="E699" s="2">
        <f>IF(D699=1,Fandual!B699,0)</f>
        <v>0</v>
      </c>
      <c r="F699" s="2">
        <f>IF(D699=1,Fandual!D699,0)</f>
        <v>0</v>
      </c>
      <c r="G699" s="2">
        <f>IF(D699=1,Fandual!F699,0)</f>
        <v>0</v>
      </c>
      <c r="H699" s="2">
        <f>IF(D699=1,Fandual!H699,0)</f>
        <v>0</v>
      </c>
      <c r="I699" s="2">
        <f>IF((Optimizer!$J$8=Fandual!J699),4,0)</f>
        <v>0</v>
      </c>
      <c r="J699" s="2">
        <f>IF((Optimizer!$J$10=Fandual!J699),100,0)</f>
        <v>0</v>
      </c>
      <c r="K699" s="2">
        <f t="shared" si="21"/>
        <v>0</v>
      </c>
      <c r="L699" s="2">
        <f>IF(Fandual!M699="",1,0)</f>
        <v>1</v>
      </c>
    </row>
    <row r="700" spans="1:12" x14ac:dyDescent="0.25">
      <c r="A700" s="2">
        <f>IF((OR(Optimizer!$J$8=Fandual!J700,Optimizer!$J$10=Fandual!J700))=TRUE, 1,0)</f>
        <v>0</v>
      </c>
      <c r="B700" s="2">
        <f>IF((OR(Fandual!O700="",Fandual!O700&lt;&gt;0)=TRUE),1,0)</f>
        <v>1</v>
      </c>
      <c r="C700" s="2">
        <f>IF(Fandual!B700&lt;&gt;"P",1,0)</f>
        <v>1</v>
      </c>
      <c r="D700" s="2">
        <f t="shared" si="20"/>
        <v>0</v>
      </c>
      <c r="E700" s="2">
        <f>IF(D700=1,Fandual!B700,0)</f>
        <v>0</v>
      </c>
      <c r="F700" s="2">
        <f>IF(D700=1,Fandual!D700,0)</f>
        <v>0</v>
      </c>
      <c r="G700" s="2">
        <f>IF(D700=1,Fandual!F700,0)</f>
        <v>0</v>
      </c>
      <c r="H700" s="2">
        <f>IF(D700=1,Fandual!H700,0)</f>
        <v>0</v>
      </c>
      <c r="I700" s="2">
        <f>IF((Optimizer!$J$8=Fandual!J700),4,0)</f>
        <v>0</v>
      </c>
      <c r="J700" s="2">
        <f>IF((Optimizer!$J$10=Fandual!J700),100,0)</f>
        <v>0</v>
      </c>
      <c r="K700" s="2">
        <f t="shared" si="21"/>
        <v>0</v>
      </c>
      <c r="L700" s="2">
        <f>IF(Fandual!M700="",1,0)</f>
        <v>1</v>
      </c>
    </row>
    <row r="701" spans="1:12" x14ac:dyDescent="0.25">
      <c r="A701" s="2">
        <f>IF((OR(Optimizer!$J$8=Fandual!J701,Optimizer!$J$10=Fandual!J701))=TRUE, 1,0)</f>
        <v>0</v>
      </c>
      <c r="B701" s="2">
        <f>IF((OR(Fandual!O701="",Fandual!O701&lt;&gt;0)=TRUE),1,0)</f>
        <v>1</v>
      </c>
      <c r="C701" s="2">
        <f>IF(Fandual!B701&lt;&gt;"P",1,0)</f>
        <v>1</v>
      </c>
      <c r="D701" s="2">
        <f t="shared" si="20"/>
        <v>0</v>
      </c>
      <c r="E701" s="2">
        <f>IF(D701=1,Fandual!B701,0)</f>
        <v>0</v>
      </c>
      <c r="F701" s="2">
        <f>IF(D701=1,Fandual!D701,0)</f>
        <v>0</v>
      </c>
      <c r="G701" s="2">
        <f>IF(D701=1,Fandual!F701,0)</f>
        <v>0</v>
      </c>
      <c r="H701" s="2">
        <f>IF(D701=1,Fandual!H701,0)</f>
        <v>0</v>
      </c>
      <c r="I701" s="2">
        <f>IF((Optimizer!$J$8=Fandual!J701),4,0)</f>
        <v>0</v>
      </c>
      <c r="J701" s="2">
        <f>IF((Optimizer!$J$10=Fandual!J701),100,0)</f>
        <v>0</v>
      </c>
      <c r="K701" s="2">
        <f t="shared" si="21"/>
        <v>0</v>
      </c>
      <c r="L701" s="2">
        <f>IF(Fandual!M701="",1,0)</f>
        <v>1</v>
      </c>
    </row>
    <row r="702" spans="1:12" x14ac:dyDescent="0.25">
      <c r="A702" s="2">
        <f>IF((OR(Optimizer!$J$8=Fandual!J702,Optimizer!$J$10=Fandual!J702))=TRUE, 1,0)</f>
        <v>0</v>
      </c>
      <c r="B702" s="2">
        <f>IF((OR(Fandual!O702="",Fandual!O702&lt;&gt;0)=TRUE),1,0)</f>
        <v>1</v>
      </c>
      <c r="C702" s="2">
        <f>IF(Fandual!B702&lt;&gt;"P",1,0)</f>
        <v>1</v>
      </c>
      <c r="D702" s="2">
        <f t="shared" si="20"/>
        <v>0</v>
      </c>
      <c r="E702" s="2">
        <f>IF(D702=1,Fandual!B702,0)</f>
        <v>0</v>
      </c>
      <c r="F702" s="2">
        <f>IF(D702=1,Fandual!D702,0)</f>
        <v>0</v>
      </c>
      <c r="G702" s="2">
        <f>IF(D702=1,Fandual!F702,0)</f>
        <v>0</v>
      </c>
      <c r="H702" s="2">
        <f>IF(D702=1,Fandual!H702,0)</f>
        <v>0</v>
      </c>
      <c r="I702" s="2">
        <f>IF((Optimizer!$J$8=Fandual!J702),4,0)</f>
        <v>0</v>
      </c>
      <c r="J702" s="2">
        <f>IF((Optimizer!$J$10=Fandual!J702),100,0)</f>
        <v>0</v>
      </c>
      <c r="K702" s="2">
        <f t="shared" si="21"/>
        <v>0</v>
      </c>
      <c r="L702" s="2">
        <f>IF(Fandual!M702="",1,0)</f>
        <v>0</v>
      </c>
    </row>
    <row r="703" spans="1:12" x14ac:dyDescent="0.25">
      <c r="A703" s="2">
        <f>IF((OR(Optimizer!$J$8=Fandual!J703,Optimizer!$J$10=Fandual!J703))=TRUE, 1,0)</f>
        <v>0</v>
      </c>
      <c r="B703" s="2">
        <f>IF((OR(Fandual!O703="",Fandual!O703&lt;&gt;0)=TRUE),1,0)</f>
        <v>1</v>
      </c>
      <c r="C703" s="2">
        <f>IF(Fandual!B703&lt;&gt;"P",1,0)</f>
        <v>1</v>
      </c>
      <c r="D703" s="2">
        <f t="shared" si="20"/>
        <v>0</v>
      </c>
      <c r="E703" s="2">
        <f>IF(D703=1,Fandual!B703,0)</f>
        <v>0</v>
      </c>
      <c r="F703" s="2">
        <f>IF(D703=1,Fandual!D703,0)</f>
        <v>0</v>
      </c>
      <c r="G703" s="2">
        <f>IF(D703=1,Fandual!F703,0)</f>
        <v>0</v>
      </c>
      <c r="H703" s="2">
        <f>IF(D703=1,Fandual!H703,0)</f>
        <v>0</v>
      </c>
      <c r="I703" s="2">
        <f>IF((Optimizer!$J$8=Fandual!J703),4,0)</f>
        <v>0</v>
      </c>
      <c r="J703" s="2">
        <f>IF((Optimizer!$J$10=Fandual!J703),100,0)</f>
        <v>0</v>
      </c>
      <c r="K703" s="2">
        <f t="shared" si="21"/>
        <v>0</v>
      </c>
      <c r="L703" s="2">
        <f>IF(Fandual!M703="",1,0)</f>
        <v>0</v>
      </c>
    </row>
    <row r="704" spans="1:12" x14ac:dyDescent="0.25">
      <c r="A704" s="2">
        <f>IF((OR(Optimizer!$J$8=Fandual!J704,Optimizer!$J$10=Fandual!J704))=TRUE, 1,0)</f>
        <v>0</v>
      </c>
      <c r="B704" s="2">
        <f>IF((OR(Fandual!O704="",Fandual!O704&lt;&gt;0)=TRUE),1,0)</f>
        <v>1</v>
      </c>
      <c r="C704" s="2">
        <f>IF(Fandual!B704&lt;&gt;"P",1,0)</f>
        <v>1</v>
      </c>
      <c r="D704" s="2">
        <f t="shared" si="20"/>
        <v>0</v>
      </c>
      <c r="E704" s="2">
        <f>IF(D704=1,Fandual!B704,0)</f>
        <v>0</v>
      </c>
      <c r="F704" s="2">
        <f>IF(D704=1,Fandual!D704,0)</f>
        <v>0</v>
      </c>
      <c r="G704" s="2">
        <f>IF(D704=1,Fandual!F704,0)</f>
        <v>0</v>
      </c>
      <c r="H704" s="2">
        <f>IF(D704=1,Fandual!H704,0)</f>
        <v>0</v>
      </c>
      <c r="I704" s="2">
        <f>IF((Optimizer!$J$8=Fandual!J704),4,0)</f>
        <v>0</v>
      </c>
      <c r="J704" s="2">
        <f>IF((Optimizer!$J$10=Fandual!J704),100,0)</f>
        <v>0</v>
      </c>
      <c r="K704" s="2">
        <f t="shared" si="21"/>
        <v>0</v>
      </c>
      <c r="L704" s="2">
        <f>IF(Fandual!M704="",1,0)</f>
        <v>1</v>
      </c>
    </row>
    <row r="705" spans="1:12" x14ac:dyDescent="0.25">
      <c r="A705" s="2">
        <f>IF((OR(Optimizer!$J$8=Fandual!J705,Optimizer!$J$10=Fandual!J705))=TRUE, 1,0)</f>
        <v>0</v>
      </c>
      <c r="B705" s="2">
        <f>IF((OR(Fandual!O705="",Fandual!O705&lt;&gt;0)=TRUE),1,0)</f>
        <v>1</v>
      </c>
      <c r="C705" s="2">
        <f>IF(Fandual!B705&lt;&gt;"P",1,0)</f>
        <v>1</v>
      </c>
      <c r="D705" s="2">
        <f t="shared" si="20"/>
        <v>0</v>
      </c>
      <c r="E705" s="2">
        <f>IF(D705=1,Fandual!B705,0)</f>
        <v>0</v>
      </c>
      <c r="F705" s="2">
        <f>IF(D705=1,Fandual!D705,0)</f>
        <v>0</v>
      </c>
      <c r="G705" s="2">
        <f>IF(D705=1,Fandual!F705,0)</f>
        <v>0</v>
      </c>
      <c r="H705" s="2">
        <f>IF(D705=1,Fandual!H705,0)</f>
        <v>0</v>
      </c>
      <c r="I705" s="2">
        <f>IF((Optimizer!$J$8=Fandual!J705),4,0)</f>
        <v>0</v>
      </c>
      <c r="J705" s="2">
        <f>IF((Optimizer!$J$10=Fandual!J705),100,0)</f>
        <v>0</v>
      </c>
      <c r="K705" s="2">
        <f t="shared" si="21"/>
        <v>0</v>
      </c>
      <c r="L705" s="2">
        <f>IF(Fandual!M705="",1,0)</f>
        <v>1</v>
      </c>
    </row>
    <row r="706" spans="1:12" x14ac:dyDescent="0.25">
      <c r="A706" s="2">
        <f>IF((OR(Optimizer!$J$8=Fandual!J706,Optimizer!$J$10=Fandual!J706))=TRUE, 1,0)</f>
        <v>0</v>
      </c>
      <c r="B706" s="2">
        <f>IF((OR(Fandual!O706="",Fandual!O706&lt;&gt;0)=TRUE),1,0)</f>
        <v>1</v>
      </c>
      <c r="C706" s="2">
        <f>IF(Fandual!B706&lt;&gt;"P",1,0)</f>
        <v>1</v>
      </c>
      <c r="D706" s="2">
        <f t="shared" ref="D706:D769" si="22">A706*B706*C706*L706</f>
        <v>0</v>
      </c>
      <c r="E706" s="2">
        <f>IF(D706=1,Fandual!B706,0)</f>
        <v>0</v>
      </c>
      <c r="F706" s="2">
        <f>IF(D706=1,Fandual!D706,0)</f>
        <v>0</v>
      </c>
      <c r="G706" s="2">
        <f>IF(D706=1,Fandual!F706,0)</f>
        <v>0</v>
      </c>
      <c r="H706" s="2">
        <f>IF(D706=1,Fandual!H706,0)</f>
        <v>0</v>
      </c>
      <c r="I706" s="2">
        <f>IF((Optimizer!$J$8=Fandual!J706),4,0)</f>
        <v>0</v>
      </c>
      <c r="J706" s="2">
        <f>IF((Optimizer!$J$10=Fandual!J706),100,0)</f>
        <v>0</v>
      </c>
      <c r="K706" s="2">
        <f t="shared" si="21"/>
        <v>0</v>
      </c>
      <c r="L706" s="2">
        <f>IF(Fandual!M706="",1,0)</f>
        <v>1</v>
      </c>
    </row>
    <row r="707" spans="1:12" x14ac:dyDescent="0.25">
      <c r="A707" s="2">
        <f>IF((OR(Optimizer!$J$8=Fandual!J707,Optimizer!$J$10=Fandual!J707))=TRUE, 1,0)</f>
        <v>1</v>
      </c>
      <c r="B707" s="2">
        <f>IF((OR(Fandual!O707="",Fandual!O707&lt;&gt;0)=TRUE),1,0)</f>
        <v>1</v>
      </c>
      <c r="C707" s="2">
        <f>IF(Fandual!B707&lt;&gt;"P",1,0)</f>
        <v>1</v>
      </c>
      <c r="D707" s="2">
        <f t="shared" si="22"/>
        <v>1</v>
      </c>
      <c r="E707" s="2" t="str">
        <f>IF(D707=1,Fandual!B707,0)</f>
        <v>2B</v>
      </c>
      <c r="F707" s="2" t="str">
        <f>IF(D707=1,Fandual!D707,0)</f>
        <v>Daniel Descalso</v>
      </c>
      <c r="G707" s="2">
        <f>IF(D707=1,Fandual!F707,0)</f>
        <v>6.8403667484948398</v>
      </c>
      <c r="H707" s="2">
        <f>IF(D707=1,Fandual!H707,0)</f>
        <v>3100</v>
      </c>
      <c r="I707" s="2">
        <f>IF((Optimizer!$J$8=Fandual!J707),4,0)</f>
        <v>4</v>
      </c>
      <c r="J707" s="2">
        <f>IF((Optimizer!$J$10=Fandual!J707),100,0)</f>
        <v>0</v>
      </c>
      <c r="K707" s="2">
        <f t="shared" ref="K707:K770" si="23">(I707+J707)*D707</f>
        <v>4</v>
      </c>
      <c r="L707" s="2">
        <f>IF(Fandual!M707="",1,0)</f>
        <v>1</v>
      </c>
    </row>
    <row r="708" spans="1:12" x14ac:dyDescent="0.25">
      <c r="A708" s="2">
        <f>IF((OR(Optimizer!$J$8=Fandual!J708,Optimizer!$J$10=Fandual!J708))=TRUE, 1,0)</f>
        <v>0</v>
      </c>
      <c r="B708" s="2">
        <f>IF((OR(Fandual!O708="",Fandual!O708&lt;&gt;0)=TRUE),1,0)</f>
        <v>1</v>
      </c>
      <c r="C708" s="2">
        <f>IF(Fandual!B708&lt;&gt;"P",1,0)</f>
        <v>1</v>
      </c>
      <c r="D708" s="2">
        <f t="shared" si="22"/>
        <v>0</v>
      </c>
      <c r="E708" s="2">
        <f>IF(D708=1,Fandual!B708,0)</f>
        <v>0</v>
      </c>
      <c r="F708" s="2">
        <f>IF(D708=1,Fandual!D708,0)</f>
        <v>0</v>
      </c>
      <c r="G708" s="2">
        <f>IF(D708=1,Fandual!F708,0)</f>
        <v>0</v>
      </c>
      <c r="H708" s="2">
        <f>IF(D708=1,Fandual!H708,0)</f>
        <v>0</v>
      </c>
      <c r="I708" s="2">
        <f>IF((Optimizer!$J$8=Fandual!J708),4,0)</f>
        <v>0</v>
      </c>
      <c r="J708" s="2">
        <f>IF((Optimizer!$J$10=Fandual!J708),100,0)</f>
        <v>0</v>
      </c>
      <c r="K708" s="2">
        <f t="shared" si="23"/>
        <v>0</v>
      </c>
      <c r="L708" s="2">
        <f>IF(Fandual!M708="",1,0)</f>
        <v>0</v>
      </c>
    </row>
    <row r="709" spans="1:12" x14ac:dyDescent="0.25">
      <c r="A709" s="2">
        <f>IF((OR(Optimizer!$J$8=Fandual!J709,Optimizer!$J$10=Fandual!J709))=TRUE, 1,0)</f>
        <v>0</v>
      </c>
      <c r="B709" s="2">
        <f>IF((OR(Fandual!O709="",Fandual!O709&lt;&gt;0)=TRUE),1,0)</f>
        <v>1</v>
      </c>
      <c r="C709" s="2">
        <f>IF(Fandual!B709&lt;&gt;"P",1,0)</f>
        <v>1</v>
      </c>
      <c r="D709" s="2">
        <f t="shared" si="22"/>
        <v>0</v>
      </c>
      <c r="E709" s="2">
        <f>IF(D709=1,Fandual!B709,0)</f>
        <v>0</v>
      </c>
      <c r="F709" s="2">
        <f>IF(D709=1,Fandual!D709,0)</f>
        <v>0</v>
      </c>
      <c r="G709" s="2">
        <f>IF(D709=1,Fandual!F709,0)</f>
        <v>0</v>
      </c>
      <c r="H709" s="2">
        <f>IF(D709=1,Fandual!H709,0)</f>
        <v>0</v>
      </c>
      <c r="I709" s="2">
        <f>IF((Optimizer!$J$8=Fandual!J709),4,0)</f>
        <v>0</v>
      </c>
      <c r="J709" s="2">
        <f>IF((Optimizer!$J$10=Fandual!J709),100,0)</f>
        <v>0</v>
      </c>
      <c r="K709" s="2">
        <f t="shared" si="23"/>
        <v>0</v>
      </c>
      <c r="L709" s="2">
        <f>IF(Fandual!M709="",1,0)</f>
        <v>1</v>
      </c>
    </row>
    <row r="710" spans="1:12" x14ac:dyDescent="0.25">
      <c r="A710" s="2">
        <f>IF((OR(Optimizer!$J$8=Fandual!J710,Optimizer!$J$10=Fandual!J710))=TRUE, 1,0)</f>
        <v>0</v>
      </c>
      <c r="B710" s="2">
        <f>IF((OR(Fandual!O710="",Fandual!O710&lt;&gt;0)=TRUE),1,0)</f>
        <v>1</v>
      </c>
      <c r="C710" s="2">
        <f>IF(Fandual!B710&lt;&gt;"P",1,0)</f>
        <v>1</v>
      </c>
      <c r="D710" s="2">
        <f t="shared" si="22"/>
        <v>0</v>
      </c>
      <c r="E710" s="2">
        <f>IF(D710=1,Fandual!B710,0)</f>
        <v>0</v>
      </c>
      <c r="F710" s="2">
        <f>IF(D710=1,Fandual!D710,0)</f>
        <v>0</v>
      </c>
      <c r="G710" s="2">
        <f>IF(D710=1,Fandual!F710,0)</f>
        <v>0</v>
      </c>
      <c r="H710" s="2">
        <f>IF(D710=1,Fandual!H710,0)</f>
        <v>0</v>
      </c>
      <c r="I710" s="2">
        <f>IF((Optimizer!$J$8=Fandual!J710),4,0)</f>
        <v>0</v>
      </c>
      <c r="J710" s="2">
        <f>IF((Optimizer!$J$10=Fandual!J710),100,0)</f>
        <v>0</v>
      </c>
      <c r="K710" s="2">
        <f t="shared" si="23"/>
        <v>0</v>
      </c>
      <c r="L710" s="2">
        <f>IF(Fandual!M710="",1,0)</f>
        <v>1</v>
      </c>
    </row>
    <row r="711" spans="1:12" x14ac:dyDescent="0.25">
      <c r="A711" s="2">
        <f>IF((OR(Optimizer!$J$8=Fandual!J711,Optimizer!$J$10=Fandual!J711))=TRUE, 1,0)</f>
        <v>1</v>
      </c>
      <c r="B711" s="2">
        <f>IF((OR(Fandual!O711="",Fandual!O711&lt;&gt;0)=TRUE),1,0)</f>
        <v>1</v>
      </c>
      <c r="C711" s="2">
        <f>IF(Fandual!B711&lt;&gt;"P",1,0)</f>
        <v>1</v>
      </c>
      <c r="D711" s="2">
        <f t="shared" si="22"/>
        <v>1</v>
      </c>
      <c r="E711" s="2" t="str">
        <f>IF(D711=1,Fandual!B711,0)</f>
        <v>C</v>
      </c>
      <c r="F711" s="2" t="str">
        <f>IF(D711=1,Fandual!D711,0)</f>
        <v>Tom Murphy</v>
      </c>
      <c r="G711" s="2">
        <f>IF(D711=1,Fandual!F711,0)</f>
        <v>2.3375000953674299</v>
      </c>
      <c r="H711" s="2">
        <f>IF(D711=1,Fandual!H711,0)</f>
        <v>3100</v>
      </c>
      <c r="I711" s="2">
        <f>IF((Optimizer!$J$8=Fandual!J711),4,0)</f>
        <v>0</v>
      </c>
      <c r="J711" s="2">
        <f>IF((Optimizer!$J$10=Fandual!J711),100,0)</f>
        <v>100</v>
      </c>
      <c r="K711" s="2">
        <f t="shared" si="23"/>
        <v>100</v>
      </c>
      <c r="L711" s="2">
        <f>IF(Fandual!M711="",1,0)</f>
        <v>1</v>
      </c>
    </row>
    <row r="712" spans="1:12" x14ac:dyDescent="0.25">
      <c r="A712" s="2">
        <f>IF((OR(Optimizer!$J$8=Fandual!J712,Optimizer!$J$10=Fandual!J712))=TRUE, 1,0)</f>
        <v>0</v>
      </c>
      <c r="B712" s="2">
        <f>IF((OR(Fandual!O712="",Fandual!O712&lt;&gt;0)=TRUE),1,0)</f>
        <v>1</v>
      </c>
      <c r="C712" s="2">
        <f>IF(Fandual!B712&lt;&gt;"P",1,0)</f>
        <v>1</v>
      </c>
      <c r="D712" s="2">
        <f t="shared" si="22"/>
        <v>0</v>
      </c>
      <c r="E712" s="2">
        <f>IF(D712=1,Fandual!B712,0)</f>
        <v>0</v>
      </c>
      <c r="F712" s="2">
        <f>IF(D712=1,Fandual!D712,0)</f>
        <v>0</v>
      </c>
      <c r="G712" s="2">
        <f>IF(D712=1,Fandual!F712,0)</f>
        <v>0</v>
      </c>
      <c r="H712" s="2">
        <f>IF(D712=1,Fandual!H712,0)</f>
        <v>0</v>
      </c>
      <c r="I712" s="2">
        <f>IF((Optimizer!$J$8=Fandual!J712),4,0)</f>
        <v>0</v>
      </c>
      <c r="J712" s="2">
        <f>IF((Optimizer!$J$10=Fandual!J712),100,0)</f>
        <v>0</v>
      </c>
      <c r="K712" s="2">
        <f t="shared" si="23"/>
        <v>0</v>
      </c>
      <c r="L712" s="2">
        <f>IF(Fandual!M712="",1,0)</f>
        <v>1</v>
      </c>
    </row>
    <row r="713" spans="1:12" x14ac:dyDescent="0.25">
      <c r="A713" s="2">
        <f>IF((OR(Optimizer!$J$8=Fandual!J713,Optimizer!$J$10=Fandual!J713))=TRUE, 1,0)</f>
        <v>0</v>
      </c>
      <c r="B713" s="2">
        <f>IF((OR(Fandual!O713="",Fandual!O713&lt;&gt;0)=TRUE),1,0)</f>
        <v>1</v>
      </c>
      <c r="C713" s="2">
        <f>IF(Fandual!B713&lt;&gt;"P",1,0)</f>
        <v>1</v>
      </c>
      <c r="D713" s="2">
        <f t="shared" si="22"/>
        <v>0</v>
      </c>
      <c r="E713" s="2">
        <f>IF(D713=1,Fandual!B713,0)</f>
        <v>0</v>
      </c>
      <c r="F713" s="2">
        <f>IF(D713=1,Fandual!D713,0)</f>
        <v>0</v>
      </c>
      <c r="G713" s="2">
        <f>IF(D713=1,Fandual!F713,0)</f>
        <v>0</v>
      </c>
      <c r="H713" s="2">
        <f>IF(D713=1,Fandual!H713,0)</f>
        <v>0</v>
      </c>
      <c r="I713" s="2">
        <f>IF((Optimizer!$J$8=Fandual!J713),4,0)</f>
        <v>0</v>
      </c>
      <c r="J713" s="2">
        <f>IF((Optimizer!$J$10=Fandual!J713),100,0)</f>
        <v>0</v>
      </c>
      <c r="K713" s="2">
        <f t="shared" si="23"/>
        <v>0</v>
      </c>
      <c r="L713" s="2">
        <f>IF(Fandual!M713="",1,0)</f>
        <v>1</v>
      </c>
    </row>
    <row r="714" spans="1:12" x14ac:dyDescent="0.25">
      <c r="A714" s="2">
        <f>IF((OR(Optimizer!$J$8=Fandual!J714,Optimizer!$J$10=Fandual!J714))=TRUE, 1,0)</f>
        <v>0</v>
      </c>
      <c r="B714" s="2">
        <f>IF((OR(Fandual!O714="",Fandual!O714&lt;&gt;0)=TRUE),1,0)</f>
        <v>1</v>
      </c>
      <c r="C714" s="2">
        <f>IF(Fandual!B714&lt;&gt;"P",1,0)</f>
        <v>1</v>
      </c>
      <c r="D714" s="2">
        <f t="shared" si="22"/>
        <v>0</v>
      </c>
      <c r="E714" s="2">
        <f>IF(D714=1,Fandual!B714,0)</f>
        <v>0</v>
      </c>
      <c r="F714" s="2">
        <f>IF(D714=1,Fandual!D714,0)</f>
        <v>0</v>
      </c>
      <c r="G714" s="2">
        <f>IF(D714=1,Fandual!F714,0)</f>
        <v>0</v>
      </c>
      <c r="H714" s="2">
        <f>IF(D714=1,Fandual!H714,0)</f>
        <v>0</v>
      </c>
      <c r="I714" s="2">
        <f>IF((Optimizer!$J$8=Fandual!J714),4,0)</f>
        <v>0</v>
      </c>
      <c r="J714" s="2">
        <f>IF((Optimizer!$J$10=Fandual!J714),100,0)</f>
        <v>0</v>
      </c>
      <c r="K714" s="2">
        <f t="shared" si="23"/>
        <v>0</v>
      </c>
      <c r="L714" s="2">
        <f>IF(Fandual!M714="",1,0)</f>
        <v>1</v>
      </c>
    </row>
    <row r="715" spans="1:12" x14ac:dyDescent="0.25">
      <c r="A715" s="2">
        <f>IF((OR(Optimizer!$J$8=Fandual!J715,Optimizer!$J$10=Fandual!J715))=TRUE, 1,0)</f>
        <v>0</v>
      </c>
      <c r="B715" s="2">
        <f>IF((OR(Fandual!O715="",Fandual!O715&lt;&gt;0)=TRUE),1,0)</f>
        <v>1</v>
      </c>
      <c r="C715" s="2">
        <f>IF(Fandual!B715&lt;&gt;"P",1,0)</f>
        <v>1</v>
      </c>
      <c r="D715" s="2">
        <f t="shared" si="22"/>
        <v>0</v>
      </c>
      <c r="E715" s="2">
        <f>IF(D715=1,Fandual!B715,0)</f>
        <v>0</v>
      </c>
      <c r="F715" s="2">
        <f>IF(D715=1,Fandual!D715,0)</f>
        <v>0</v>
      </c>
      <c r="G715" s="2">
        <f>IF(D715=1,Fandual!F715,0)</f>
        <v>0</v>
      </c>
      <c r="H715" s="2">
        <f>IF(D715=1,Fandual!H715,0)</f>
        <v>0</v>
      </c>
      <c r="I715" s="2">
        <f>IF((Optimizer!$J$8=Fandual!J715),4,0)</f>
        <v>0</v>
      </c>
      <c r="J715" s="2">
        <f>IF((Optimizer!$J$10=Fandual!J715),100,0)</f>
        <v>0</v>
      </c>
      <c r="K715" s="2">
        <f t="shared" si="23"/>
        <v>0</v>
      </c>
      <c r="L715" s="2">
        <f>IF(Fandual!M715="",1,0)</f>
        <v>1</v>
      </c>
    </row>
    <row r="716" spans="1:12" x14ac:dyDescent="0.25">
      <c r="A716" s="2">
        <f>IF((OR(Optimizer!$J$8=Fandual!J716,Optimizer!$J$10=Fandual!J716))=TRUE, 1,0)</f>
        <v>0</v>
      </c>
      <c r="B716" s="2">
        <f>IF((OR(Fandual!O716="",Fandual!O716&lt;&gt;0)=TRUE),1,0)</f>
        <v>1</v>
      </c>
      <c r="C716" s="2">
        <f>IF(Fandual!B716&lt;&gt;"P",1,0)</f>
        <v>1</v>
      </c>
      <c r="D716" s="2">
        <f t="shared" si="22"/>
        <v>0</v>
      </c>
      <c r="E716" s="2">
        <f>IF(D716=1,Fandual!B716,0)</f>
        <v>0</v>
      </c>
      <c r="F716" s="2">
        <f>IF(D716=1,Fandual!D716,0)</f>
        <v>0</v>
      </c>
      <c r="G716" s="2">
        <f>IF(D716=1,Fandual!F716,0)</f>
        <v>0</v>
      </c>
      <c r="H716" s="2">
        <f>IF(D716=1,Fandual!H716,0)</f>
        <v>0</v>
      </c>
      <c r="I716" s="2">
        <f>IF((Optimizer!$J$8=Fandual!J716),4,0)</f>
        <v>0</v>
      </c>
      <c r="J716" s="2">
        <f>IF((Optimizer!$J$10=Fandual!J716),100,0)</f>
        <v>0</v>
      </c>
      <c r="K716" s="2">
        <f t="shared" si="23"/>
        <v>0</v>
      </c>
      <c r="L716" s="2">
        <f>IF(Fandual!M716="",1,0)</f>
        <v>1</v>
      </c>
    </row>
    <row r="717" spans="1:12" x14ac:dyDescent="0.25">
      <c r="A717" s="2">
        <f>IF((OR(Optimizer!$J$8=Fandual!J717,Optimizer!$J$10=Fandual!J717))=TRUE, 1,0)</f>
        <v>0</v>
      </c>
      <c r="B717" s="2">
        <f>IF((OR(Fandual!O717="",Fandual!O717&lt;&gt;0)=TRUE),1,0)</f>
        <v>1</v>
      </c>
      <c r="C717" s="2">
        <f>IF(Fandual!B717&lt;&gt;"P",1,0)</f>
        <v>1</v>
      </c>
      <c r="D717" s="2">
        <f t="shared" si="22"/>
        <v>0</v>
      </c>
      <c r="E717" s="2">
        <f>IF(D717=1,Fandual!B717,0)</f>
        <v>0</v>
      </c>
      <c r="F717" s="2">
        <f>IF(D717=1,Fandual!D717,0)</f>
        <v>0</v>
      </c>
      <c r="G717" s="2">
        <f>IF(D717=1,Fandual!F717,0)</f>
        <v>0</v>
      </c>
      <c r="H717" s="2">
        <f>IF(D717=1,Fandual!H717,0)</f>
        <v>0</v>
      </c>
      <c r="I717" s="2">
        <f>IF((Optimizer!$J$8=Fandual!J717),4,0)</f>
        <v>0</v>
      </c>
      <c r="J717" s="2">
        <f>IF((Optimizer!$J$10=Fandual!J717),100,0)</f>
        <v>0</v>
      </c>
      <c r="K717" s="2">
        <f t="shared" si="23"/>
        <v>0</v>
      </c>
      <c r="L717" s="2">
        <f>IF(Fandual!M717="",1,0)</f>
        <v>1</v>
      </c>
    </row>
    <row r="718" spans="1:12" x14ac:dyDescent="0.25">
      <c r="A718" s="2">
        <f>IF((OR(Optimizer!$J$8=Fandual!J718,Optimizer!$J$10=Fandual!J718))=TRUE, 1,0)</f>
        <v>0</v>
      </c>
      <c r="B718" s="2">
        <f>IF((OR(Fandual!O718="",Fandual!O718&lt;&gt;0)=TRUE),1,0)</f>
        <v>1</v>
      </c>
      <c r="C718" s="2">
        <f>IF(Fandual!B718&lt;&gt;"P",1,0)</f>
        <v>1</v>
      </c>
      <c r="D718" s="2">
        <f t="shared" si="22"/>
        <v>0</v>
      </c>
      <c r="E718" s="2">
        <f>IF(D718=1,Fandual!B718,0)</f>
        <v>0</v>
      </c>
      <c r="F718" s="2">
        <f>IF(D718=1,Fandual!D718,0)</f>
        <v>0</v>
      </c>
      <c r="G718" s="2">
        <f>IF(D718=1,Fandual!F718,0)</f>
        <v>0</v>
      </c>
      <c r="H718" s="2">
        <f>IF(D718=1,Fandual!H718,0)</f>
        <v>0</v>
      </c>
      <c r="I718" s="2">
        <f>IF((Optimizer!$J$8=Fandual!J718),4,0)</f>
        <v>0</v>
      </c>
      <c r="J718" s="2">
        <f>IF((Optimizer!$J$10=Fandual!J718),100,0)</f>
        <v>0</v>
      </c>
      <c r="K718" s="2">
        <f t="shared" si="23"/>
        <v>0</v>
      </c>
      <c r="L718" s="2">
        <f>IF(Fandual!M718="",1,0)</f>
        <v>0</v>
      </c>
    </row>
    <row r="719" spans="1:12" x14ac:dyDescent="0.25">
      <c r="A719" s="2">
        <f>IF((OR(Optimizer!$J$8=Fandual!J719,Optimizer!$J$10=Fandual!J719))=TRUE, 1,0)</f>
        <v>0</v>
      </c>
      <c r="B719" s="2">
        <f>IF((OR(Fandual!O719="",Fandual!O719&lt;&gt;0)=TRUE),1,0)</f>
        <v>1</v>
      </c>
      <c r="C719" s="2">
        <f>IF(Fandual!B719&lt;&gt;"P",1,0)</f>
        <v>1</v>
      </c>
      <c r="D719" s="2">
        <f t="shared" si="22"/>
        <v>0</v>
      </c>
      <c r="E719" s="2">
        <f>IF(D719=1,Fandual!B719,0)</f>
        <v>0</v>
      </c>
      <c r="F719" s="2">
        <f>IF(D719=1,Fandual!D719,0)</f>
        <v>0</v>
      </c>
      <c r="G719" s="2">
        <f>IF(D719=1,Fandual!F719,0)</f>
        <v>0</v>
      </c>
      <c r="H719" s="2">
        <f>IF(D719=1,Fandual!H719,0)</f>
        <v>0</v>
      </c>
      <c r="I719" s="2">
        <f>IF((Optimizer!$J$8=Fandual!J719),4,0)</f>
        <v>0</v>
      </c>
      <c r="J719" s="2">
        <f>IF((Optimizer!$J$10=Fandual!J719),100,0)</f>
        <v>0</v>
      </c>
      <c r="K719" s="2">
        <f t="shared" si="23"/>
        <v>0</v>
      </c>
      <c r="L719" s="2">
        <f>IF(Fandual!M719="",1,0)</f>
        <v>0</v>
      </c>
    </row>
    <row r="720" spans="1:12" x14ac:dyDescent="0.25">
      <c r="A720" s="2">
        <f>IF((OR(Optimizer!$J$8=Fandual!J720,Optimizer!$J$10=Fandual!J720))=TRUE, 1,0)</f>
        <v>0</v>
      </c>
      <c r="B720" s="2">
        <f>IF((OR(Fandual!O720="",Fandual!O720&lt;&gt;0)=TRUE),1,0)</f>
        <v>1</v>
      </c>
      <c r="C720" s="2">
        <f>IF(Fandual!B720&lt;&gt;"P",1,0)</f>
        <v>1</v>
      </c>
      <c r="D720" s="2">
        <f t="shared" si="22"/>
        <v>0</v>
      </c>
      <c r="E720" s="2">
        <f>IF(D720=1,Fandual!B720,0)</f>
        <v>0</v>
      </c>
      <c r="F720" s="2">
        <f>IF(D720=1,Fandual!D720,0)</f>
        <v>0</v>
      </c>
      <c r="G720" s="2">
        <f>IF(D720=1,Fandual!F720,0)</f>
        <v>0</v>
      </c>
      <c r="H720" s="2">
        <f>IF(D720=1,Fandual!H720,0)</f>
        <v>0</v>
      </c>
      <c r="I720" s="2">
        <f>IF((Optimizer!$J$8=Fandual!J720),4,0)</f>
        <v>0</v>
      </c>
      <c r="J720" s="2">
        <f>IF((Optimizer!$J$10=Fandual!J720),100,0)</f>
        <v>0</v>
      </c>
      <c r="K720" s="2">
        <f t="shared" si="23"/>
        <v>0</v>
      </c>
      <c r="L720" s="2">
        <f>IF(Fandual!M720="",1,0)</f>
        <v>1</v>
      </c>
    </row>
    <row r="721" spans="1:12" x14ac:dyDescent="0.25">
      <c r="A721" s="2">
        <f>IF((OR(Optimizer!$J$8=Fandual!J721,Optimizer!$J$10=Fandual!J721))=TRUE, 1,0)</f>
        <v>0</v>
      </c>
      <c r="B721" s="2">
        <f>IF((OR(Fandual!O721="",Fandual!O721&lt;&gt;0)=TRUE),1,0)</f>
        <v>1</v>
      </c>
      <c r="C721" s="2">
        <f>IF(Fandual!B721&lt;&gt;"P",1,0)</f>
        <v>1</v>
      </c>
      <c r="D721" s="2">
        <f t="shared" si="22"/>
        <v>0</v>
      </c>
      <c r="E721" s="2">
        <f>IF(D721=1,Fandual!B721,0)</f>
        <v>0</v>
      </c>
      <c r="F721" s="2">
        <f>IF(D721=1,Fandual!D721,0)</f>
        <v>0</v>
      </c>
      <c r="G721" s="2">
        <f>IF(D721=1,Fandual!F721,0)</f>
        <v>0</v>
      </c>
      <c r="H721" s="2">
        <f>IF(D721=1,Fandual!H721,0)</f>
        <v>0</v>
      </c>
      <c r="I721" s="2">
        <f>IF((Optimizer!$J$8=Fandual!J721),4,0)</f>
        <v>0</v>
      </c>
      <c r="J721" s="2">
        <f>IF((Optimizer!$J$10=Fandual!J721),100,0)</f>
        <v>0</v>
      </c>
      <c r="K721" s="2">
        <f t="shared" si="23"/>
        <v>0</v>
      </c>
      <c r="L721" s="2">
        <f>IF(Fandual!M721="",1,0)</f>
        <v>1</v>
      </c>
    </row>
    <row r="722" spans="1:12" x14ac:dyDescent="0.25">
      <c r="A722" s="2">
        <f>IF((OR(Optimizer!$J$8=Fandual!J722,Optimizer!$J$10=Fandual!J722))=TRUE, 1,0)</f>
        <v>0</v>
      </c>
      <c r="B722" s="2">
        <f>IF((OR(Fandual!O722="",Fandual!O722&lt;&gt;0)=TRUE),1,0)</f>
        <v>1</v>
      </c>
      <c r="C722" s="2">
        <f>IF(Fandual!B722&lt;&gt;"P",1,0)</f>
        <v>1</v>
      </c>
      <c r="D722" s="2">
        <f t="shared" si="22"/>
        <v>0</v>
      </c>
      <c r="E722" s="2">
        <f>IF(D722=1,Fandual!B722,0)</f>
        <v>0</v>
      </c>
      <c r="F722" s="2">
        <f>IF(D722=1,Fandual!D722,0)</f>
        <v>0</v>
      </c>
      <c r="G722" s="2">
        <f>IF(D722=1,Fandual!F722,0)</f>
        <v>0</v>
      </c>
      <c r="H722" s="2">
        <f>IF(D722=1,Fandual!H722,0)</f>
        <v>0</v>
      </c>
      <c r="I722" s="2">
        <f>IF((Optimizer!$J$8=Fandual!J722),4,0)</f>
        <v>0</v>
      </c>
      <c r="J722" s="2">
        <f>IF((Optimizer!$J$10=Fandual!J722),100,0)</f>
        <v>0</v>
      </c>
      <c r="K722" s="2">
        <f t="shared" si="23"/>
        <v>0</v>
      </c>
      <c r="L722" s="2">
        <f>IF(Fandual!M722="",1,0)</f>
        <v>1</v>
      </c>
    </row>
    <row r="723" spans="1:12" x14ac:dyDescent="0.25">
      <c r="A723" s="2">
        <f>IF((OR(Optimizer!$J$8=Fandual!J723,Optimizer!$J$10=Fandual!J723))=TRUE, 1,0)</f>
        <v>0</v>
      </c>
      <c r="B723" s="2">
        <f>IF((OR(Fandual!O723="",Fandual!O723&lt;&gt;0)=TRUE),1,0)</f>
        <v>1</v>
      </c>
      <c r="C723" s="2">
        <f>IF(Fandual!B723&lt;&gt;"P",1,0)</f>
        <v>1</v>
      </c>
      <c r="D723" s="2">
        <f t="shared" si="22"/>
        <v>0</v>
      </c>
      <c r="E723" s="2">
        <f>IF(D723=1,Fandual!B723,0)</f>
        <v>0</v>
      </c>
      <c r="F723" s="2">
        <f>IF(D723=1,Fandual!D723,0)</f>
        <v>0</v>
      </c>
      <c r="G723" s="2">
        <f>IF(D723=1,Fandual!F723,0)</f>
        <v>0</v>
      </c>
      <c r="H723" s="2">
        <f>IF(D723=1,Fandual!H723,0)</f>
        <v>0</v>
      </c>
      <c r="I723" s="2">
        <f>IF((Optimizer!$J$8=Fandual!J723),4,0)</f>
        <v>0</v>
      </c>
      <c r="J723" s="2">
        <f>IF((Optimizer!$J$10=Fandual!J723),100,0)</f>
        <v>0</v>
      </c>
      <c r="K723" s="2">
        <f t="shared" si="23"/>
        <v>0</v>
      </c>
      <c r="L723" s="2">
        <f>IF(Fandual!M723="",1,0)</f>
        <v>1</v>
      </c>
    </row>
    <row r="724" spans="1:12" x14ac:dyDescent="0.25">
      <c r="A724" s="2">
        <f>IF((OR(Optimizer!$J$8=Fandual!J724,Optimizer!$J$10=Fandual!J724))=TRUE, 1,0)</f>
        <v>0</v>
      </c>
      <c r="B724" s="2">
        <f>IF((OR(Fandual!O724="",Fandual!O724&lt;&gt;0)=TRUE),1,0)</f>
        <v>1</v>
      </c>
      <c r="C724" s="2">
        <f>IF(Fandual!B724&lt;&gt;"P",1,0)</f>
        <v>1</v>
      </c>
      <c r="D724" s="2">
        <f t="shared" si="22"/>
        <v>0</v>
      </c>
      <c r="E724" s="2">
        <f>IF(D724=1,Fandual!B724,0)</f>
        <v>0</v>
      </c>
      <c r="F724" s="2">
        <f>IF(D724=1,Fandual!D724,0)</f>
        <v>0</v>
      </c>
      <c r="G724" s="2">
        <f>IF(D724=1,Fandual!F724,0)</f>
        <v>0</v>
      </c>
      <c r="H724" s="2">
        <f>IF(D724=1,Fandual!H724,0)</f>
        <v>0</v>
      </c>
      <c r="I724" s="2">
        <f>IF((Optimizer!$J$8=Fandual!J724),4,0)</f>
        <v>0</v>
      </c>
      <c r="J724" s="2">
        <f>IF((Optimizer!$J$10=Fandual!J724),100,0)</f>
        <v>0</v>
      </c>
      <c r="K724" s="2">
        <f t="shared" si="23"/>
        <v>0</v>
      </c>
      <c r="L724" s="2">
        <f>IF(Fandual!M724="",1,0)</f>
        <v>1</v>
      </c>
    </row>
    <row r="725" spans="1:12" x14ac:dyDescent="0.25">
      <c r="A725" s="2">
        <f>IF((OR(Optimizer!$J$8=Fandual!J725,Optimizer!$J$10=Fandual!J725))=TRUE, 1,0)</f>
        <v>0</v>
      </c>
      <c r="B725" s="2">
        <f>IF((OR(Fandual!O725="",Fandual!O725&lt;&gt;0)=TRUE),1,0)</f>
        <v>1</v>
      </c>
      <c r="C725" s="2">
        <f>IF(Fandual!B725&lt;&gt;"P",1,0)</f>
        <v>1</v>
      </c>
      <c r="D725" s="2">
        <f t="shared" si="22"/>
        <v>0</v>
      </c>
      <c r="E725" s="2">
        <f>IF(D725=1,Fandual!B725,0)</f>
        <v>0</v>
      </c>
      <c r="F725" s="2">
        <f>IF(D725=1,Fandual!D725,0)</f>
        <v>0</v>
      </c>
      <c r="G725" s="2">
        <f>IF(D725=1,Fandual!F725,0)</f>
        <v>0</v>
      </c>
      <c r="H725" s="2">
        <f>IF(D725=1,Fandual!H725,0)</f>
        <v>0</v>
      </c>
      <c r="I725" s="2">
        <f>IF((Optimizer!$J$8=Fandual!J725),4,0)</f>
        <v>0</v>
      </c>
      <c r="J725" s="2">
        <f>IF((Optimizer!$J$10=Fandual!J725),100,0)</f>
        <v>0</v>
      </c>
      <c r="K725" s="2">
        <f t="shared" si="23"/>
        <v>0</v>
      </c>
      <c r="L725" s="2">
        <f>IF(Fandual!M725="",1,0)</f>
        <v>0</v>
      </c>
    </row>
    <row r="726" spans="1:12" x14ac:dyDescent="0.25">
      <c r="A726" s="2">
        <f>IF((OR(Optimizer!$J$8=Fandual!J726,Optimizer!$J$10=Fandual!J726))=TRUE, 1,0)</f>
        <v>1</v>
      </c>
      <c r="B726" s="2">
        <f>IF((OR(Fandual!O726="",Fandual!O726&lt;&gt;0)=TRUE),1,0)</f>
        <v>1</v>
      </c>
      <c r="C726" s="2">
        <f>IF(Fandual!B726&lt;&gt;"P",1,0)</f>
        <v>1</v>
      </c>
      <c r="D726" s="2">
        <f t="shared" si="22"/>
        <v>1</v>
      </c>
      <c r="E726" s="2" t="str">
        <f>IF(D726=1,Fandual!B726,0)</f>
        <v>SS</v>
      </c>
      <c r="F726" s="2" t="str">
        <f>IF(D726=1,Fandual!D726,0)</f>
        <v>Pat Valaika</v>
      </c>
      <c r="G726" s="2">
        <f>IF(D726=1,Fandual!F726,0)</f>
        <v>5.0978260869565197</v>
      </c>
      <c r="H726" s="2">
        <f>IF(D726=1,Fandual!H726,0)</f>
        <v>3000</v>
      </c>
      <c r="I726" s="2">
        <f>IF((Optimizer!$J$8=Fandual!J726),4,0)</f>
        <v>0</v>
      </c>
      <c r="J726" s="2">
        <f>IF((Optimizer!$J$10=Fandual!J726),100,0)</f>
        <v>100</v>
      </c>
      <c r="K726" s="2">
        <f t="shared" si="23"/>
        <v>100</v>
      </c>
      <c r="L726" s="2">
        <f>IF(Fandual!M726="",1,0)</f>
        <v>1</v>
      </c>
    </row>
    <row r="727" spans="1:12" x14ac:dyDescent="0.25">
      <c r="A727" s="2">
        <f>IF((OR(Optimizer!$J$8=Fandual!J727,Optimizer!$J$10=Fandual!J727))=TRUE, 1,0)</f>
        <v>0</v>
      </c>
      <c r="B727" s="2">
        <f>IF((OR(Fandual!O727="",Fandual!O727&lt;&gt;0)=TRUE),1,0)</f>
        <v>1</v>
      </c>
      <c r="C727" s="2">
        <f>IF(Fandual!B727&lt;&gt;"P",1,0)</f>
        <v>1</v>
      </c>
      <c r="D727" s="2">
        <f t="shared" si="22"/>
        <v>0</v>
      </c>
      <c r="E727" s="2">
        <f>IF(D727=1,Fandual!B727,0)</f>
        <v>0</v>
      </c>
      <c r="F727" s="2">
        <f>IF(D727=1,Fandual!D727,0)</f>
        <v>0</v>
      </c>
      <c r="G727" s="2">
        <f>IF(D727=1,Fandual!F727,0)</f>
        <v>0</v>
      </c>
      <c r="H727" s="2">
        <f>IF(D727=1,Fandual!H727,0)</f>
        <v>0</v>
      </c>
      <c r="I727" s="2">
        <f>IF((Optimizer!$J$8=Fandual!J727),4,0)</f>
        <v>0</v>
      </c>
      <c r="J727" s="2">
        <f>IF((Optimizer!$J$10=Fandual!J727),100,0)</f>
        <v>0</v>
      </c>
      <c r="K727" s="2">
        <f t="shared" si="23"/>
        <v>0</v>
      </c>
      <c r="L727" s="2">
        <f>IF(Fandual!M727="",1,0)</f>
        <v>1</v>
      </c>
    </row>
    <row r="728" spans="1:12" x14ac:dyDescent="0.25">
      <c r="A728" s="2">
        <f>IF((OR(Optimizer!$J$8=Fandual!J728,Optimizer!$J$10=Fandual!J728))=TRUE, 1,0)</f>
        <v>0</v>
      </c>
      <c r="B728" s="2">
        <f>IF((OR(Fandual!O728="",Fandual!O728&lt;&gt;0)=TRUE),1,0)</f>
        <v>1</v>
      </c>
      <c r="C728" s="2">
        <f>IF(Fandual!B728&lt;&gt;"P",1,0)</f>
        <v>1</v>
      </c>
      <c r="D728" s="2">
        <f t="shared" si="22"/>
        <v>0</v>
      </c>
      <c r="E728" s="2">
        <f>IF(D728=1,Fandual!B728,0)</f>
        <v>0</v>
      </c>
      <c r="F728" s="2">
        <f>IF(D728=1,Fandual!D728,0)</f>
        <v>0</v>
      </c>
      <c r="G728" s="2">
        <f>IF(D728=1,Fandual!F728,0)</f>
        <v>0</v>
      </c>
      <c r="H728" s="2">
        <f>IF(D728=1,Fandual!H728,0)</f>
        <v>0</v>
      </c>
      <c r="I728" s="2">
        <f>IF((Optimizer!$J$8=Fandual!J728),4,0)</f>
        <v>0</v>
      </c>
      <c r="J728" s="2">
        <f>IF((Optimizer!$J$10=Fandual!J728),100,0)</f>
        <v>0</v>
      </c>
      <c r="K728" s="2">
        <f t="shared" si="23"/>
        <v>0</v>
      </c>
      <c r="L728" s="2">
        <f>IF(Fandual!M728="",1,0)</f>
        <v>0</v>
      </c>
    </row>
    <row r="729" spans="1:12" x14ac:dyDescent="0.25">
      <c r="A729" s="2">
        <f>IF((OR(Optimizer!$J$8=Fandual!J729,Optimizer!$J$10=Fandual!J729))=TRUE, 1,0)</f>
        <v>0</v>
      </c>
      <c r="B729" s="2">
        <f>IF((OR(Fandual!O729="",Fandual!O729&lt;&gt;0)=TRUE),1,0)</f>
        <v>1</v>
      </c>
      <c r="C729" s="2">
        <f>IF(Fandual!B729&lt;&gt;"P",1,0)</f>
        <v>1</v>
      </c>
      <c r="D729" s="2">
        <f t="shared" si="22"/>
        <v>0</v>
      </c>
      <c r="E729" s="2">
        <f>IF(D729=1,Fandual!B729,0)</f>
        <v>0</v>
      </c>
      <c r="F729" s="2">
        <f>IF(D729=1,Fandual!D729,0)</f>
        <v>0</v>
      </c>
      <c r="G729" s="2">
        <f>IF(D729=1,Fandual!F729,0)</f>
        <v>0</v>
      </c>
      <c r="H729" s="2">
        <f>IF(D729=1,Fandual!H729,0)</f>
        <v>0</v>
      </c>
      <c r="I729" s="2">
        <f>IF((Optimizer!$J$8=Fandual!J729),4,0)</f>
        <v>0</v>
      </c>
      <c r="J729" s="2">
        <f>IF((Optimizer!$J$10=Fandual!J729),100,0)</f>
        <v>0</v>
      </c>
      <c r="K729" s="2">
        <f t="shared" si="23"/>
        <v>0</v>
      </c>
      <c r="L729" s="2">
        <f>IF(Fandual!M729="",1,0)</f>
        <v>1</v>
      </c>
    </row>
    <row r="730" spans="1:12" x14ac:dyDescent="0.25">
      <c r="A730" s="2">
        <f>IF((OR(Optimizer!$J$8=Fandual!J730,Optimizer!$J$10=Fandual!J730))=TRUE, 1,0)</f>
        <v>0</v>
      </c>
      <c r="B730" s="2">
        <f>IF((OR(Fandual!O730="",Fandual!O730&lt;&gt;0)=TRUE),1,0)</f>
        <v>1</v>
      </c>
      <c r="C730" s="2">
        <f>IF(Fandual!B730&lt;&gt;"P",1,0)</f>
        <v>1</v>
      </c>
      <c r="D730" s="2">
        <f t="shared" si="22"/>
        <v>0</v>
      </c>
      <c r="E730" s="2">
        <f>IF(D730=1,Fandual!B730,0)</f>
        <v>0</v>
      </c>
      <c r="F730" s="2">
        <f>IF(D730=1,Fandual!D730,0)</f>
        <v>0</v>
      </c>
      <c r="G730" s="2">
        <f>IF(D730=1,Fandual!F730,0)</f>
        <v>0</v>
      </c>
      <c r="H730" s="2">
        <f>IF(D730=1,Fandual!H730,0)</f>
        <v>0</v>
      </c>
      <c r="I730" s="2">
        <f>IF((Optimizer!$J$8=Fandual!J730),4,0)</f>
        <v>0</v>
      </c>
      <c r="J730" s="2">
        <f>IF((Optimizer!$J$10=Fandual!J730),100,0)</f>
        <v>0</v>
      </c>
      <c r="K730" s="2">
        <f t="shared" si="23"/>
        <v>0</v>
      </c>
      <c r="L730" s="2">
        <f>IF(Fandual!M730="",1,0)</f>
        <v>1</v>
      </c>
    </row>
    <row r="731" spans="1:12" x14ac:dyDescent="0.25">
      <c r="A731" s="2">
        <f>IF((OR(Optimizer!$J$8=Fandual!J731,Optimizer!$J$10=Fandual!J731))=TRUE, 1,0)</f>
        <v>0</v>
      </c>
      <c r="B731" s="2">
        <f>IF((OR(Fandual!O731="",Fandual!O731&lt;&gt;0)=TRUE),1,0)</f>
        <v>1</v>
      </c>
      <c r="C731" s="2">
        <f>IF(Fandual!B731&lt;&gt;"P",1,0)</f>
        <v>1</v>
      </c>
      <c r="D731" s="2">
        <f t="shared" si="22"/>
        <v>0</v>
      </c>
      <c r="E731" s="2">
        <f>IF(D731=1,Fandual!B731,0)</f>
        <v>0</v>
      </c>
      <c r="F731" s="2">
        <f>IF(D731=1,Fandual!D731,0)</f>
        <v>0</v>
      </c>
      <c r="G731" s="2">
        <f>IF(D731=1,Fandual!F731,0)</f>
        <v>0</v>
      </c>
      <c r="H731" s="2">
        <f>IF(D731=1,Fandual!H731,0)</f>
        <v>0</v>
      </c>
      <c r="I731" s="2">
        <f>IF((Optimizer!$J$8=Fandual!J731),4,0)</f>
        <v>0</v>
      </c>
      <c r="J731" s="2">
        <f>IF((Optimizer!$J$10=Fandual!J731),100,0)</f>
        <v>0</v>
      </c>
      <c r="K731" s="2">
        <f t="shared" si="23"/>
        <v>0</v>
      </c>
      <c r="L731" s="2">
        <f>IF(Fandual!M731="",1,0)</f>
        <v>1</v>
      </c>
    </row>
    <row r="732" spans="1:12" x14ac:dyDescent="0.25">
      <c r="A732" s="2">
        <f>IF((OR(Optimizer!$J$8=Fandual!J732,Optimizer!$J$10=Fandual!J732))=TRUE, 1,0)</f>
        <v>1</v>
      </c>
      <c r="B732" s="2">
        <f>IF((OR(Fandual!O732="",Fandual!O732&lt;&gt;0)=TRUE),1,0)</f>
        <v>1</v>
      </c>
      <c r="C732" s="2">
        <f>IF(Fandual!B732&lt;&gt;"P",1,0)</f>
        <v>1</v>
      </c>
      <c r="D732" s="2">
        <f t="shared" si="22"/>
        <v>1</v>
      </c>
      <c r="E732" s="2" t="str">
        <f>IF(D732=1,Fandual!B732,0)</f>
        <v>2B</v>
      </c>
      <c r="F732" s="2" t="str">
        <f>IF(D732=1,Fandual!D732,0)</f>
        <v>Alexi Amarista</v>
      </c>
      <c r="G732" s="2">
        <f>IF(D732=1,Fandual!F732,0)</f>
        <v>3.74268285239615</v>
      </c>
      <c r="H732" s="2">
        <f>IF(D732=1,Fandual!H732,0)</f>
        <v>3000</v>
      </c>
      <c r="I732" s="2">
        <f>IF((Optimizer!$J$8=Fandual!J732),4,0)</f>
        <v>0</v>
      </c>
      <c r="J732" s="2">
        <f>IF((Optimizer!$J$10=Fandual!J732),100,0)</f>
        <v>100</v>
      </c>
      <c r="K732" s="2">
        <f t="shared" si="23"/>
        <v>100</v>
      </c>
      <c r="L732" s="2">
        <f>IF(Fandual!M732="",1,0)</f>
        <v>1</v>
      </c>
    </row>
    <row r="733" spans="1:12" x14ac:dyDescent="0.25">
      <c r="A733" s="2">
        <f>IF((OR(Optimizer!$J$8=Fandual!J733,Optimizer!$J$10=Fandual!J733))=TRUE, 1,0)</f>
        <v>0</v>
      </c>
      <c r="B733" s="2">
        <f>IF((OR(Fandual!O733="",Fandual!O733&lt;&gt;0)=TRUE),1,0)</f>
        <v>1</v>
      </c>
      <c r="C733" s="2">
        <f>IF(Fandual!B733&lt;&gt;"P",1,0)</f>
        <v>1</v>
      </c>
      <c r="D733" s="2">
        <f t="shared" si="22"/>
        <v>0</v>
      </c>
      <c r="E733" s="2">
        <f>IF(D733=1,Fandual!B733,0)</f>
        <v>0</v>
      </c>
      <c r="F733" s="2">
        <f>IF(D733=1,Fandual!D733,0)</f>
        <v>0</v>
      </c>
      <c r="G733" s="2">
        <f>IF(D733=1,Fandual!F733,0)</f>
        <v>0</v>
      </c>
      <c r="H733" s="2">
        <f>IF(D733=1,Fandual!H733,0)</f>
        <v>0</v>
      </c>
      <c r="I733" s="2">
        <f>IF((Optimizer!$J$8=Fandual!J733),4,0)</f>
        <v>0</v>
      </c>
      <c r="J733" s="2">
        <f>IF((Optimizer!$J$10=Fandual!J733),100,0)</f>
        <v>0</v>
      </c>
      <c r="K733" s="2">
        <f t="shared" si="23"/>
        <v>0</v>
      </c>
      <c r="L733" s="2">
        <f>IF(Fandual!M733="",1,0)</f>
        <v>1</v>
      </c>
    </row>
    <row r="734" spans="1:12" x14ac:dyDescent="0.25">
      <c r="A734" s="2">
        <f>IF((OR(Optimizer!$J$8=Fandual!J734,Optimizer!$J$10=Fandual!J734))=TRUE, 1,0)</f>
        <v>0</v>
      </c>
      <c r="B734" s="2">
        <f>IF((OR(Fandual!O734="",Fandual!O734&lt;&gt;0)=TRUE),1,0)</f>
        <v>1</v>
      </c>
      <c r="C734" s="2">
        <f>IF(Fandual!B734&lt;&gt;"P",1,0)</f>
        <v>1</v>
      </c>
      <c r="D734" s="2">
        <f t="shared" si="22"/>
        <v>0</v>
      </c>
      <c r="E734" s="2">
        <f>IF(D734=1,Fandual!B734,0)</f>
        <v>0</v>
      </c>
      <c r="F734" s="2">
        <f>IF(D734=1,Fandual!D734,0)</f>
        <v>0</v>
      </c>
      <c r="G734" s="2">
        <f>IF(D734=1,Fandual!F734,0)</f>
        <v>0</v>
      </c>
      <c r="H734" s="2">
        <f>IF(D734=1,Fandual!H734,0)</f>
        <v>0</v>
      </c>
      <c r="I734" s="2">
        <f>IF((Optimizer!$J$8=Fandual!J734),4,0)</f>
        <v>0</v>
      </c>
      <c r="J734" s="2">
        <f>IF((Optimizer!$J$10=Fandual!J734),100,0)</f>
        <v>0</v>
      </c>
      <c r="K734" s="2">
        <f t="shared" si="23"/>
        <v>0</v>
      </c>
      <c r="L734" s="2">
        <f>IF(Fandual!M734="",1,0)</f>
        <v>1</v>
      </c>
    </row>
    <row r="735" spans="1:12" x14ac:dyDescent="0.25">
      <c r="A735" s="2">
        <f>IF((OR(Optimizer!$J$8=Fandual!J735,Optimizer!$J$10=Fandual!J735))=TRUE, 1,0)</f>
        <v>1</v>
      </c>
      <c r="B735" s="2">
        <f>IF((OR(Fandual!O735="",Fandual!O735&lt;&gt;0)=TRUE),1,0)</f>
        <v>1</v>
      </c>
      <c r="C735" s="2">
        <f>IF(Fandual!B735&lt;&gt;"P",1,0)</f>
        <v>1</v>
      </c>
      <c r="D735" s="2">
        <f t="shared" si="22"/>
        <v>1</v>
      </c>
      <c r="E735" s="2" t="str">
        <f>IF(D735=1,Fandual!B735,0)</f>
        <v>3B</v>
      </c>
      <c r="F735" s="2" t="str">
        <f>IF(D735=1,Fandual!D735,0)</f>
        <v>Ryan McMahon</v>
      </c>
      <c r="G735" s="2">
        <f>IF(D735=1,Fandual!F735,0)</f>
        <v>5.4250001907348597</v>
      </c>
      <c r="H735" s="2">
        <f>IF(D735=1,Fandual!H735,0)</f>
        <v>3000</v>
      </c>
      <c r="I735" s="2">
        <f>IF((Optimizer!$J$8=Fandual!J735),4,0)</f>
        <v>0</v>
      </c>
      <c r="J735" s="2">
        <f>IF((Optimizer!$J$10=Fandual!J735),100,0)</f>
        <v>100</v>
      </c>
      <c r="K735" s="2">
        <f t="shared" si="23"/>
        <v>100</v>
      </c>
      <c r="L735" s="2">
        <f>IF(Fandual!M735="",1,0)</f>
        <v>1</v>
      </c>
    </row>
    <row r="736" spans="1:12" x14ac:dyDescent="0.25">
      <c r="A736" s="2">
        <f>IF((OR(Optimizer!$J$8=Fandual!J736,Optimizer!$J$10=Fandual!J736))=TRUE, 1,0)</f>
        <v>1</v>
      </c>
      <c r="B736" s="2">
        <f>IF((OR(Fandual!O736="",Fandual!O736&lt;&gt;0)=TRUE),1,0)</f>
        <v>1</v>
      </c>
      <c r="C736" s="2">
        <f>IF(Fandual!B736&lt;&gt;"P",1,0)</f>
        <v>1</v>
      </c>
      <c r="D736" s="2">
        <f t="shared" si="22"/>
        <v>1</v>
      </c>
      <c r="E736" s="2" t="str">
        <f>IF(D736=1,Fandual!B736,0)</f>
        <v>OF</v>
      </c>
      <c r="F736" s="2" t="str">
        <f>IF(D736=1,Fandual!D736,0)</f>
        <v>Mike Tauchman</v>
      </c>
      <c r="G736" s="2">
        <f>IF(D736=1,Fandual!F736,0)</f>
        <v>2.15</v>
      </c>
      <c r="H736" s="2">
        <f>IF(D736=1,Fandual!H736,0)</f>
        <v>3000</v>
      </c>
      <c r="I736" s="2">
        <f>IF((Optimizer!$J$8=Fandual!J736),4,0)</f>
        <v>0</v>
      </c>
      <c r="J736" s="2">
        <f>IF((Optimizer!$J$10=Fandual!J736),100,0)</f>
        <v>100</v>
      </c>
      <c r="K736" s="2">
        <f t="shared" si="23"/>
        <v>100</v>
      </c>
      <c r="L736" s="2">
        <f>IF(Fandual!M736="",1,0)</f>
        <v>1</v>
      </c>
    </row>
    <row r="737" spans="1:12" x14ac:dyDescent="0.25">
      <c r="A737" s="2">
        <f>IF((OR(Optimizer!$J$8=Fandual!J737,Optimizer!$J$10=Fandual!J737))=TRUE, 1,0)</f>
        <v>1</v>
      </c>
      <c r="B737" s="2">
        <f>IF((OR(Fandual!O737="",Fandual!O737&lt;&gt;0)=TRUE),1,0)</f>
        <v>1</v>
      </c>
      <c r="C737" s="2">
        <f>IF(Fandual!B737&lt;&gt;"P",1,0)</f>
        <v>1</v>
      </c>
      <c r="D737" s="2">
        <f t="shared" si="22"/>
        <v>1</v>
      </c>
      <c r="E737" s="2" t="str">
        <f>IF(D737=1,Fandual!B737,0)</f>
        <v>OF</v>
      </c>
      <c r="F737" s="2" t="str">
        <f>IF(D737=1,Fandual!D737,0)</f>
        <v>Carlos Gonzalez</v>
      </c>
      <c r="G737" s="2">
        <f>IF(D737=1,Fandual!F737,0)</f>
        <v>7.6769911504424702</v>
      </c>
      <c r="H737" s="2">
        <f>IF(D737=1,Fandual!H737,0)</f>
        <v>3000</v>
      </c>
      <c r="I737" s="2">
        <f>IF((Optimizer!$J$8=Fandual!J737),4,0)</f>
        <v>0</v>
      </c>
      <c r="J737" s="2">
        <f>IF((Optimizer!$J$10=Fandual!J737),100,0)</f>
        <v>100</v>
      </c>
      <c r="K737" s="2">
        <f t="shared" si="23"/>
        <v>100</v>
      </c>
      <c r="L737" s="2">
        <f>IF(Fandual!M737="",1,0)</f>
        <v>1</v>
      </c>
    </row>
    <row r="738" spans="1:12" x14ac:dyDescent="0.25">
      <c r="A738" s="2">
        <f>IF((OR(Optimizer!$J$8=Fandual!J738,Optimizer!$J$10=Fandual!J738))=TRUE, 1,0)</f>
        <v>0</v>
      </c>
      <c r="B738" s="2">
        <f>IF((OR(Fandual!O738="",Fandual!O738&lt;&gt;0)=TRUE),1,0)</f>
        <v>1</v>
      </c>
      <c r="C738" s="2">
        <f>IF(Fandual!B738&lt;&gt;"P",1,0)</f>
        <v>1</v>
      </c>
      <c r="D738" s="2">
        <f t="shared" si="22"/>
        <v>0</v>
      </c>
      <c r="E738" s="2">
        <f>IF(D738=1,Fandual!B738,0)</f>
        <v>0</v>
      </c>
      <c r="F738" s="2">
        <f>IF(D738=1,Fandual!D738,0)</f>
        <v>0</v>
      </c>
      <c r="G738" s="2">
        <f>IF(D738=1,Fandual!F738,0)</f>
        <v>0</v>
      </c>
      <c r="H738" s="2">
        <f>IF(D738=1,Fandual!H738,0)</f>
        <v>0</v>
      </c>
      <c r="I738" s="2">
        <f>IF((Optimizer!$J$8=Fandual!J738),4,0)</f>
        <v>0</v>
      </c>
      <c r="J738" s="2">
        <f>IF((Optimizer!$J$10=Fandual!J738),100,0)</f>
        <v>0</v>
      </c>
      <c r="K738" s="2">
        <f t="shared" si="23"/>
        <v>0</v>
      </c>
      <c r="L738" s="2">
        <f>IF(Fandual!M738="",1,0)</f>
        <v>1</v>
      </c>
    </row>
    <row r="739" spans="1:12" x14ac:dyDescent="0.25">
      <c r="A739" s="2">
        <f>IF((OR(Optimizer!$J$8=Fandual!J739,Optimizer!$J$10=Fandual!J739))=TRUE, 1,0)</f>
        <v>1</v>
      </c>
      <c r="B739" s="2">
        <f>IF((OR(Fandual!O739="",Fandual!O739&lt;&gt;0)=TRUE),1,0)</f>
        <v>1</v>
      </c>
      <c r="C739" s="2">
        <f>IF(Fandual!B739&lt;&gt;"P",1,0)</f>
        <v>1</v>
      </c>
      <c r="D739" s="2">
        <f t="shared" si="22"/>
        <v>1</v>
      </c>
      <c r="E739" s="2" t="str">
        <f>IF(D739=1,Fandual!B739,0)</f>
        <v>SS</v>
      </c>
      <c r="F739" s="2" t="str">
        <f>IF(D739=1,Fandual!D739,0)</f>
        <v>Cristhian Adames</v>
      </c>
      <c r="G739" s="2">
        <f>IF(D739=1,Fandual!F739,0)</f>
        <v>0.51666665077209395</v>
      </c>
      <c r="H739" s="2">
        <f>IF(D739=1,Fandual!H739,0)</f>
        <v>3000</v>
      </c>
      <c r="I739" s="2">
        <f>IF((Optimizer!$J$8=Fandual!J739),4,0)</f>
        <v>0</v>
      </c>
      <c r="J739" s="2">
        <f>IF((Optimizer!$J$10=Fandual!J739),100,0)</f>
        <v>100</v>
      </c>
      <c r="K739" s="2">
        <f t="shared" si="23"/>
        <v>100</v>
      </c>
      <c r="L739" s="2">
        <f>IF(Fandual!M739="",1,0)</f>
        <v>1</v>
      </c>
    </row>
    <row r="740" spans="1:12" x14ac:dyDescent="0.25">
      <c r="A740" s="2">
        <f>IF((OR(Optimizer!$J$8=Fandual!J740,Optimizer!$J$10=Fandual!J740))=TRUE, 1,0)</f>
        <v>0</v>
      </c>
      <c r="B740" s="2">
        <f>IF((OR(Fandual!O740="",Fandual!O740&lt;&gt;0)=TRUE),1,0)</f>
        <v>1</v>
      </c>
      <c r="C740" s="2">
        <f>IF(Fandual!B740&lt;&gt;"P",1,0)</f>
        <v>1</v>
      </c>
      <c r="D740" s="2">
        <f t="shared" si="22"/>
        <v>0</v>
      </c>
      <c r="E740" s="2">
        <f>IF(D740=1,Fandual!B740,0)</f>
        <v>0</v>
      </c>
      <c r="F740" s="2">
        <f>IF(D740=1,Fandual!D740,0)</f>
        <v>0</v>
      </c>
      <c r="G740" s="2">
        <f>IF(D740=1,Fandual!F740,0)</f>
        <v>0</v>
      </c>
      <c r="H740" s="2">
        <f>IF(D740=1,Fandual!H740,0)</f>
        <v>0</v>
      </c>
      <c r="I740" s="2">
        <f>IF((Optimizer!$J$8=Fandual!J740),4,0)</f>
        <v>0</v>
      </c>
      <c r="J740" s="2">
        <f>IF((Optimizer!$J$10=Fandual!J740),100,0)</f>
        <v>0</v>
      </c>
      <c r="K740" s="2">
        <f t="shared" si="23"/>
        <v>0</v>
      </c>
      <c r="L740" s="2">
        <f>IF(Fandual!M740="",1,0)</f>
        <v>1</v>
      </c>
    </row>
    <row r="741" spans="1:12" x14ac:dyDescent="0.25">
      <c r="A741" s="2">
        <f>IF((OR(Optimizer!$J$8=Fandual!J741,Optimizer!$J$10=Fandual!J741))=TRUE, 1,0)</f>
        <v>0</v>
      </c>
      <c r="B741" s="2">
        <f>IF((OR(Fandual!O741="",Fandual!O741&lt;&gt;0)=TRUE),1,0)</f>
        <v>1</v>
      </c>
      <c r="C741" s="2">
        <f>IF(Fandual!B741&lt;&gt;"P",1,0)</f>
        <v>1</v>
      </c>
      <c r="D741" s="2">
        <f t="shared" si="22"/>
        <v>0</v>
      </c>
      <c r="E741" s="2">
        <f>IF(D741=1,Fandual!B741,0)</f>
        <v>0</v>
      </c>
      <c r="F741" s="2">
        <f>IF(D741=1,Fandual!D741,0)</f>
        <v>0</v>
      </c>
      <c r="G741" s="2">
        <f>IF(D741=1,Fandual!F741,0)</f>
        <v>0</v>
      </c>
      <c r="H741" s="2">
        <f>IF(D741=1,Fandual!H741,0)</f>
        <v>0</v>
      </c>
      <c r="I741" s="2">
        <f>IF((Optimizer!$J$8=Fandual!J741),4,0)</f>
        <v>0</v>
      </c>
      <c r="J741" s="2">
        <f>IF((Optimizer!$J$10=Fandual!J741),100,0)</f>
        <v>0</v>
      </c>
      <c r="K741" s="2">
        <f t="shared" si="23"/>
        <v>0</v>
      </c>
      <c r="L741" s="2">
        <f>IF(Fandual!M741="",1,0)</f>
        <v>1</v>
      </c>
    </row>
    <row r="742" spans="1:12" x14ac:dyDescent="0.25">
      <c r="A742" s="2">
        <f>IF((OR(Optimizer!$J$8=Fandual!J742,Optimizer!$J$10=Fandual!J742))=TRUE, 1,0)</f>
        <v>0</v>
      </c>
      <c r="B742" s="2">
        <f>IF((OR(Fandual!O742="",Fandual!O742&lt;&gt;0)=TRUE),1,0)</f>
        <v>1</v>
      </c>
      <c r="C742" s="2">
        <f>IF(Fandual!B742&lt;&gt;"P",1,0)</f>
        <v>1</v>
      </c>
      <c r="D742" s="2">
        <f t="shared" si="22"/>
        <v>0</v>
      </c>
      <c r="E742" s="2">
        <f>IF(D742=1,Fandual!B742,0)</f>
        <v>0</v>
      </c>
      <c r="F742" s="2">
        <f>IF(D742=1,Fandual!D742,0)</f>
        <v>0</v>
      </c>
      <c r="G742" s="2">
        <f>IF(D742=1,Fandual!F742,0)</f>
        <v>0</v>
      </c>
      <c r="H742" s="2">
        <f>IF(D742=1,Fandual!H742,0)</f>
        <v>0</v>
      </c>
      <c r="I742" s="2">
        <f>IF((Optimizer!$J$8=Fandual!J742),4,0)</f>
        <v>0</v>
      </c>
      <c r="J742" s="2">
        <f>IF((Optimizer!$J$10=Fandual!J742),100,0)</f>
        <v>0</v>
      </c>
      <c r="K742" s="2">
        <f t="shared" si="23"/>
        <v>0</v>
      </c>
      <c r="L742" s="2">
        <f>IF(Fandual!M742="",1,0)</f>
        <v>0</v>
      </c>
    </row>
    <row r="743" spans="1:12" x14ac:dyDescent="0.25">
      <c r="A743" s="2">
        <f>IF((OR(Optimizer!$J$8=Fandual!J743,Optimizer!$J$10=Fandual!J743))=TRUE, 1,0)</f>
        <v>1</v>
      </c>
      <c r="B743" s="2">
        <f>IF((OR(Fandual!O743="",Fandual!O743&lt;&gt;0)=TRUE),1,0)</f>
        <v>1</v>
      </c>
      <c r="C743" s="2">
        <f>IF(Fandual!B743&lt;&gt;"P",1,0)</f>
        <v>1</v>
      </c>
      <c r="D743" s="2">
        <f t="shared" si="22"/>
        <v>0</v>
      </c>
      <c r="E743" s="2">
        <f>IF(D743=1,Fandual!B743,0)</f>
        <v>0</v>
      </c>
      <c r="F743" s="2">
        <f>IF(D743=1,Fandual!D743,0)</f>
        <v>0</v>
      </c>
      <c r="G743" s="2">
        <f>IF(D743=1,Fandual!F743,0)</f>
        <v>0</v>
      </c>
      <c r="H743" s="2">
        <f>IF(D743=1,Fandual!H743,0)</f>
        <v>0</v>
      </c>
      <c r="I743" s="2">
        <f>IF((Optimizer!$J$8=Fandual!J743),4,0)</f>
        <v>4</v>
      </c>
      <c r="J743" s="2">
        <f>IF((Optimizer!$J$10=Fandual!J743),100,0)</f>
        <v>0</v>
      </c>
      <c r="K743" s="2">
        <f t="shared" si="23"/>
        <v>0</v>
      </c>
      <c r="L743" s="2">
        <f>IF(Fandual!M743="",1,0)</f>
        <v>0</v>
      </c>
    </row>
    <row r="744" spans="1:12" x14ac:dyDescent="0.25">
      <c r="A744" s="2">
        <f>IF((OR(Optimizer!$J$8=Fandual!J744,Optimizer!$J$10=Fandual!J744))=TRUE, 1,0)</f>
        <v>1</v>
      </c>
      <c r="B744" s="2">
        <f>IF((OR(Fandual!O744="",Fandual!O744&lt;&gt;0)=TRUE),1,0)</f>
        <v>1</v>
      </c>
      <c r="C744" s="2">
        <f>IF(Fandual!B744&lt;&gt;"P",1,0)</f>
        <v>1</v>
      </c>
      <c r="D744" s="2">
        <f t="shared" si="22"/>
        <v>1</v>
      </c>
      <c r="E744" s="2" t="str">
        <f>IF(D744=1,Fandual!B744,0)</f>
        <v>OF</v>
      </c>
      <c r="F744" s="2" t="str">
        <f>IF(D744=1,Fandual!D744,0)</f>
        <v>Raimel Tapia</v>
      </c>
      <c r="G744" s="2">
        <f>IF(D744=1,Fandual!F744,0)</f>
        <v>6.2999998848393197</v>
      </c>
      <c r="H744" s="2">
        <f>IF(D744=1,Fandual!H744,0)</f>
        <v>3000</v>
      </c>
      <c r="I744" s="2">
        <f>IF((Optimizer!$J$8=Fandual!J744),4,0)</f>
        <v>0</v>
      </c>
      <c r="J744" s="2">
        <f>IF((Optimizer!$J$10=Fandual!J744),100,0)</f>
        <v>100</v>
      </c>
      <c r="K744" s="2">
        <f t="shared" si="23"/>
        <v>100</v>
      </c>
      <c r="L744" s="2">
        <f>IF(Fandual!M744="",1,0)</f>
        <v>1</v>
      </c>
    </row>
    <row r="745" spans="1:12" x14ac:dyDescent="0.25">
      <c r="A745" s="2">
        <f>IF((OR(Optimizer!$J$8=Fandual!J745,Optimizer!$J$10=Fandual!J745))=TRUE, 1,0)</f>
        <v>1</v>
      </c>
      <c r="B745" s="2">
        <f>IF((OR(Fandual!O745="",Fandual!O745&lt;&gt;0)=TRUE),1,0)</f>
        <v>1</v>
      </c>
      <c r="C745" s="2">
        <f>IF(Fandual!B745&lt;&gt;"P",1,0)</f>
        <v>1</v>
      </c>
      <c r="D745" s="2">
        <f t="shared" si="22"/>
        <v>1</v>
      </c>
      <c r="E745" s="2" t="str">
        <f>IF(D745=1,Fandual!B745,0)</f>
        <v>C</v>
      </c>
      <c r="F745" s="2" t="str">
        <f>IF(D745=1,Fandual!D745,0)</f>
        <v>Tony Wolters</v>
      </c>
      <c r="G745" s="2">
        <f>IF(D745=1,Fandual!F745,0)</f>
        <v>6.0142857142857098</v>
      </c>
      <c r="H745" s="2">
        <f>IF(D745=1,Fandual!H745,0)</f>
        <v>3000</v>
      </c>
      <c r="I745" s="2">
        <f>IF((Optimizer!$J$8=Fandual!J745),4,0)</f>
        <v>0</v>
      </c>
      <c r="J745" s="2">
        <f>IF((Optimizer!$J$10=Fandual!J745),100,0)</f>
        <v>100</v>
      </c>
      <c r="K745" s="2">
        <f t="shared" si="23"/>
        <v>100</v>
      </c>
      <c r="L745" s="2">
        <f>IF(Fandual!M745="",1,0)</f>
        <v>1</v>
      </c>
    </row>
    <row r="746" spans="1:12" x14ac:dyDescent="0.25">
      <c r="A746" s="2">
        <f>IF((OR(Optimizer!$J$8=Fandual!J746,Optimizer!$J$10=Fandual!J746))=TRUE, 1,0)</f>
        <v>0</v>
      </c>
      <c r="B746" s="2">
        <f>IF((OR(Fandual!O746="",Fandual!O746&lt;&gt;0)=TRUE),1,0)</f>
        <v>1</v>
      </c>
      <c r="C746" s="2">
        <f>IF(Fandual!B746&lt;&gt;"P",1,0)</f>
        <v>1</v>
      </c>
      <c r="D746" s="2">
        <f t="shared" si="22"/>
        <v>0</v>
      </c>
      <c r="E746" s="2">
        <f>IF(D746=1,Fandual!B746,0)</f>
        <v>0</v>
      </c>
      <c r="F746" s="2">
        <f>IF(D746=1,Fandual!D746,0)</f>
        <v>0</v>
      </c>
      <c r="G746" s="2">
        <f>IF(D746=1,Fandual!F746,0)</f>
        <v>0</v>
      </c>
      <c r="H746" s="2">
        <f>IF(D746=1,Fandual!H746,0)</f>
        <v>0</v>
      </c>
      <c r="I746" s="2">
        <f>IF((Optimizer!$J$8=Fandual!J746),4,0)</f>
        <v>0</v>
      </c>
      <c r="J746" s="2">
        <f>IF((Optimizer!$J$10=Fandual!J746),100,0)</f>
        <v>0</v>
      </c>
      <c r="K746" s="2">
        <f t="shared" si="23"/>
        <v>0</v>
      </c>
      <c r="L746" s="2">
        <f>IF(Fandual!M746="",1,0)</f>
        <v>1</v>
      </c>
    </row>
    <row r="747" spans="1:12" x14ac:dyDescent="0.25">
      <c r="A747" s="2">
        <f>IF((OR(Optimizer!$J$8=Fandual!J747,Optimizer!$J$10=Fandual!J747))=TRUE, 1,0)</f>
        <v>0</v>
      </c>
      <c r="B747" s="2">
        <f>IF((OR(Fandual!O747="",Fandual!O747&lt;&gt;0)=TRUE),1,0)</f>
        <v>1</v>
      </c>
      <c r="C747" s="2">
        <f>IF(Fandual!B747&lt;&gt;"P",1,0)</f>
        <v>1</v>
      </c>
      <c r="D747" s="2">
        <f t="shared" si="22"/>
        <v>0</v>
      </c>
      <c r="E747" s="2">
        <f>IF(D747=1,Fandual!B747,0)</f>
        <v>0</v>
      </c>
      <c r="F747" s="2">
        <f>IF(D747=1,Fandual!D747,0)</f>
        <v>0</v>
      </c>
      <c r="G747" s="2">
        <f>IF(D747=1,Fandual!F747,0)</f>
        <v>0</v>
      </c>
      <c r="H747" s="2">
        <f>IF(D747=1,Fandual!H747,0)</f>
        <v>0</v>
      </c>
      <c r="I747" s="2">
        <f>IF((Optimizer!$J$8=Fandual!J747),4,0)</f>
        <v>0</v>
      </c>
      <c r="J747" s="2">
        <f>IF((Optimizer!$J$10=Fandual!J747),100,0)</f>
        <v>0</v>
      </c>
      <c r="K747" s="2">
        <f t="shared" si="23"/>
        <v>0</v>
      </c>
      <c r="L747" s="2">
        <f>IF(Fandual!M747="",1,0)</f>
        <v>1</v>
      </c>
    </row>
    <row r="748" spans="1:12" x14ac:dyDescent="0.25">
      <c r="A748" s="2">
        <f>IF((OR(Optimizer!$J$8=Fandual!J748,Optimizer!$J$10=Fandual!J748))=TRUE, 1,0)</f>
        <v>1</v>
      </c>
      <c r="B748" s="2">
        <f>IF((OR(Fandual!O748="",Fandual!O748&lt;&gt;0)=TRUE),1,0)</f>
        <v>1</v>
      </c>
      <c r="C748" s="2">
        <f>IF(Fandual!B748&lt;&gt;"P",1,0)</f>
        <v>1</v>
      </c>
      <c r="D748" s="2">
        <f t="shared" si="22"/>
        <v>1</v>
      </c>
      <c r="E748" s="2" t="str">
        <f>IF(D748=1,Fandual!B748,0)</f>
        <v>OF</v>
      </c>
      <c r="F748" s="2" t="str">
        <f>IF(D748=1,Fandual!D748,0)</f>
        <v>Socrates Brito</v>
      </c>
      <c r="G748" s="2">
        <f>IF(D748=1,Fandual!F748,0)</f>
        <v>4.8499999999999996</v>
      </c>
      <c r="H748" s="2">
        <f>IF(D748=1,Fandual!H748,0)</f>
        <v>3000</v>
      </c>
      <c r="I748" s="2">
        <f>IF((Optimizer!$J$8=Fandual!J748),4,0)</f>
        <v>4</v>
      </c>
      <c r="J748" s="2">
        <f>IF((Optimizer!$J$10=Fandual!J748),100,0)</f>
        <v>0</v>
      </c>
      <c r="K748" s="2">
        <f t="shared" si="23"/>
        <v>4</v>
      </c>
      <c r="L748" s="2">
        <f>IF(Fandual!M748="",1,0)</f>
        <v>1</v>
      </c>
    </row>
    <row r="749" spans="1:12" x14ac:dyDescent="0.25">
      <c r="A749" s="2">
        <f>IF((OR(Optimizer!$J$8=Fandual!J749,Optimizer!$J$10=Fandual!J749))=TRUE, 1,0)</f>
        <v>0</v>
      </c>
      <c r="B749" s="2">
        <f>IF((OR(Fandual!O749="",Fandual!O749&lt;&gt;0)=TRUE),1,0)</f>
        <v>1</v>
      </c>
      <c r="C749" s="2">
        <f>IF(Fandual!B749&lt;&gt;"P",1,0)</f>
        <v>1</v>
      </c>
      <c r="D749" s="2">
        <f t="shared" si="22"/>
        <v>0</v>
      </c>
      <c r="E749" s="2">
        <f>IF(D749=1,Fandual!B749,0)</f>
        <v>0</v>
      </c>
      <c r="F749" s="2">
        <f>IF(D749=1,Fandual!D749,0)</f>
        <v>0</v>
      </c>
      <c r="G749" s="2">
        <f>IF(D749=1,Fandual!F749,0)</f>
        <v>0</v>
      </c>
      <c r="H749" s="2">
        <f>IF(D749=1,Fandual!H749,0)</f>
        <v>0</v>
      </c>
      <c r="I749" s="2">
        <f>IF((Optimizer!$J$8=Fandual!J749),4,0)</f>
        <v>0</v>
      </c>
      <c r="J749" s="2">
        <f>IF((Optimizer!$J$10=Fandual!J749),100,0)</f>
        <v>0</v>
      </c>
      <c r="K749" s="2">
        <f t="shared" si="23"/>
        <v>0</v>
      </c>
      <c r="L749" s="2">
        <f>IF(Fandual!M749="",1,0)</f>
        <v>1</v>
      </c>
    </row>
    <row r="750" spans="1:12" x14ac:dyDescent="0.25">
      <c r="A750" s="2">
        <f>IF((OR(Optimizer!$J$8=Fandual!J750,Optimizer!$J$10=Fandual!J750))=TRUE, 1,0)</f>
        <v>1</v>
      </c>
      <c r="B750" s="2">
        <f>IF((OR(Fandual!O750="",Fandual!O750&lt;&gt;0)=TRUE),1,0)</f>
        <v>1</v>
      </c>
      <c r="C750" s="2">
        <f>IF(Fandual!B750&lt;&gt;"P",1,0)</f>
        <v>1</v>
      </c>
      <c r="D750" s="2">
        <f t="shared" si="22"/>
        <v>0</v>
      </c>
      <c r="E750" s="2">
        <f>IF(D750=1,Fandual!B750,0)</f>
        <v>0</v>
      </c>
      <c r="F750" s="2">
        <f>IF(D750=1,Fandual!D750,0)</f>
        <v>0</v>
      </c>
      <c r="G750" s="2">
        <f>IF(D750=1,Fandual!F750,0)</f>
        <v>0</v>
      </c>
      <c r="H750" s="2">
        <f>IF(D750=1,Fandual!H750,0)</f>
        <v>0</v>
      </c>
      <c r="I750" s="2">
        <f>IF((Optimizer!$J$8=Fandual!J750),4,0)</f>
        <v>0</v>
      </c>
      <c r="J750" s="2">
        <f>IF((Optimizer!$J$10=Fandual!J750),100,0)</f>
        <v>100</v>
      </c>
      <c r="K750" s="2">
        <f t="shared" si="23"/>
        <v>0</v>
      </c>
      <c r="L750" s="2">
        <f>IF(Fandual!M750="",1,0)</f>
        <v>0</v>
      </c>
    </row>
    <row r="751" spans="1:12" x14ac:dyDescent="0.25">
      <c r="A751" s="2">
        <f>IF((OR(Optimizer!$J$8=Fandual!J751,Optimizer!$J$10=Fandual!J751))=TRUE, 1,0)</f>
        <v>1</v>
      </c>
      <c r="B751" s="2">
        <f>IF((OR(Fandual!O751="",Fandual!O751&lt;&gt;0)=TRUE),1,0)</f>
        <v>1</v>
      </c>
      <c r="C751" s="2">
        <f>IF(Fandual!B751&lt;&gt;"P",1,0)</f>
        <v>1</v>
      </c>
      <c r="D751" s="2">
        <f t="shared" si="22"/>
        <v>1</v>
      </c>
      <c r="E751" s="2" t="str">
        <f>IF(D751=1,Fandual!B751,0)</f>
        <v>OF</v>
      </c>
      <c r="F751" s="2" t="str">
        <f>IF(D751=1,Fandual!D751,0)</f>
        <v>Rey Fuentes</v>
      </c>
      <c r="G751" s="2">
        <f>IF(D751=1,Fandual!F751,0)</f>
        <v>4.59999993506898</v>
      </c>
      <c r="H751" s="2">
        <f>IF(D751=1,Fandual!H751,0)</f>
        <v>3000</v>
      </c>
      <c r="I751" s="2">
        <f>IF((Optimizer!$J$8=Fandual!J751),4,0)</f>
        <v>4</v>
      </c>
      <c r="J751" s="2">
        <f>IF((Optimizer!$J$10=Fandual!J751),100,0)</f>
        <v>0</v>
      </c>
      <c r="K751" s="2">
        <f t="shared" si="23"/>
        <v>4</v>
      </c>
      <c r="L751" s="2">
        <f>IF(Fandual!M751="",1,0)</f>
        <v>1</v>
      </c>
    </row>
    <row r="752" spans="1:12" x14ac:dyDescent="0.25">
      <c r="A752" s="2">
        <f>IF((OR(Optimizer!$J$8=Fandual!J752,Optimizer!$J$10=Fandual!J752))=TRUE, 1,0)</f>
        <v>0</v>
      </c>
      <c r="B752" s="2">
        <f>IF((OR(Fandual!O752="",Fandual!O752&lt;&gt;0)=TRUE),1,0)</f>
        <v>1</v>
      </c>
      <c r="C752" s="2">
        <f>IF(Fandual!B752&lt;&gt;"P",1,0)</f>
        <v>1</v>
      </c>
      <c r="D752" s="2">
        <f t="shared" si="22"/>
        <v>0</v>
      </c>
      <c r="E752" s="2">
        <f>IF(D752=1,Fandual!B752,0)</f>
        <v>0</v>
      </c>
      <c r="F752" s="2">
        <f>IF(D752=1,Fandual!D752,0)</f>
        <v>0</v>
      </c>
      <c r="G752" s="2">
        <f>IF(D752=1,Fandual!F752,0)</f>
        <v>0</v>
      </c>
      <c r="H752" s="2">
        <f>IF(D752=1,Fandual!H752,0)</f>
        <v>0</v>
      </c>
      <c r="I752" s="2">
        <f>IF((Optimizer!$J$8=Fandual!J752),4,0)</f>
        <v>0</v>
      </c>
      <c r="J752" s="2">
        <f>IF((Optimizer!$J$10=Fandual!J752),100,0)</f>
        <v>0</v>
      </c>
      <c r="K752" s="2">
        <f t="shared" si="23"/>
        <v>0</v>
      </c>
      <c r="L752" s="2">
        <f>IF(Fandual!M752="",1,0)</f>
        <v>1</v>
      </c>
    </row>
    <row r="753" spans="1:12" x14ac:dyDescent="0.25">
      <c r="A753" s="2">
        <f>IF((OR(Optimizer!$J$8=Fandual!J753,Optimizer!$J$10=Fandual!J753))=TRUE, 1,0)</f>
        <v>1</v>
      </c>
      <c r="B753" s="2">
        <f>IF((OR(Fandual!O753="",Fandual!O753&lt;&gt;0)=TRUE),1,0)</f>
        <v>1</v>
      </c>
      <c r="C753" s="2">
        <f>IF(Fandual!B753&lt;&gt;"P",1,0)</f>
        <v>1</v>
      </c>
      <c r="D753" s="2">
        <f t="shared" si="22"/>
        <v>1</v>
      </c>
      <c r="E753" s="2" t="str">
        <f>IF(D753=1,Fandual!B753,0)</f>
        <v>OF</v>
      </c>
      <c r="F753" s="2" t="str">
        <f>IF(D753=1,Fandual!D753,0)</f>
        <v>Jeremy Hazelbaker</v>
      </c>
      <c r="G753" s="2">
        <f>IF(D753=1,Fandual!F753,0)</f>
        <v>4.2363637288411402</v>
      </c>
      <c r="H753" s="2">
        <f>IF(D753=1,Fandual!H753,0)</f>
        <v>3000</v>
      </c>
      <c r="I753" s="2">
        <f>IF((Optimizer!$J$8=Fandual!J753),4,0)</f>
        <v>4</v>
      </c>
      <c r="J753" s="2">
        <f>IF((Optimizer!$J$10=Fandual!J753),100,0)</f>
        <v>0</v>
      </c>
      <c r="K753" s="2">
        <f t="shared" si="23"/>
        <v>4</v>
      </c>
      <c r="L753" s="2">
        <f>IF(Fandual!M753="",1,0)</f>
        <v>1</v>
      </c>
    </row>
    <row r="754" spans="1:12" x14ac:dyDescent="0.25">
      <c r="A754" s="2">
        <f>IF((OR(Optimizer!$J$8=Fandual!J754,Optimizer!$J$10=Fandual!J754))=TRUE, 1,0)</f>
        <v>0</v>
      </c>
      <c r="B754" s="2">
        <f>IF((OR(Fandual!O754="",Fandual!O754&lt;&gt;0)=TRUE),1,0)</f>
        <v>1</v>
      </c>
      <c r="C754" s="2">
        <f>IF(Fandual!B754&lt;&gt;"P",1,0)</f>
        <v>1</v>
      </c>
      <c r="D754" s="2">
        <f t="shared" si="22"/>
        <v>0</v>
      </c>
      <c r="E754" s="2">
        <f>IF(D754=1,Fandual!B754,0)</f>
        <v>0</v>
      </c>
      <c r="F754" s="2">
        <f>IF(D754=1,Fandual!D754,0)</f>
        <v>0</v>
      </c>
      <c r="G754" s="2">
        <f>IF(D754=1,Fandual!F754,0)</f>
        <v>0</v>
      </c>
      <c r="H754" s="2">
        <f>IF(D754=1,Fandual!H754,0)</f>
        <v>0</v>
      </c>
      <c r="I754" s="2">
        <f>IF((Optimizer!$J$8=Fandual!J754),4,0)</f>
        <v>0</v>
      </c>
      <c r="J754" s="2">
        <f>IF((Optimizer!$J$10=Fandual!J754),100,0)</f>
        <v>0</v>
      </c>
      <c r="K754" s="2">
        <f t="shared" si="23"/>
        <v>0</v>
      </c>
      <c r="L754" s="2">
        <f>IF(Fandual!M754="",1,0)</f>
        <v>1</v>
      </c>
    </row>
    <row r="755" spans="1:12" x14ac:dyDescent="0.25">
      <c r="A755" s="2">
        <f>IF((OR(Optimizer!$J$8=Fandual!J755,Optimizer!$J$10=Fandual!J755))=TRUE, 1,0)</f>
        <v>0</v>
      </c>
      <c r="B755" s="2">
        <f>IF((OR(Fandual!O755="",Fandual!O755&lt;&gt;0)=TRUE),1,0)</f>
        <v>1</v>
      </c>
      <c r="C755" s="2">
        <f>IF(Fandual!B755&lt;&gt;"P",1,0)</f>
        <v>1</v>
      </c>
      <c r="D755" s="2">
        <f t="shared" si="22"/>
        <v>0</v>
      </c>
      <c r="E755" s="2">
        <f>IF(D755=1,Fandual!B755,0)</f>
        <v>0</v>
      </c>
      <c r="F755" s="2">
        <f>IF(D755=1,Fandual!D755,0)</f>
        <v>0</v>
      </c>
      <c r="G755" s="2">
        <f>IF(D755=1,Fandual!F755,0)</f>
        <v>0</v>
      </c>
      <c r="H755" s="2">
        <f>IF(D755=1,Fandual!H755,0)</f>
        <v>0</v>
      </c>
      <c r="I755" s="2">
        <f>IF((Optimizer!$J$8=Fandual!J755),4,0)</f>
        <v>0</v>
      </c>
      <c r="J755" s="2">
        <f>IF((Optimizer!$J$10=Fandual!J755),100,0)</f>
        <v>0</v>
      </c>
      <c r="K755" s="2">
        <f t="shared" si="23"/>
        <v>0</v>
      </c>
      <c r="L755" s="2">
        <f>IF(Fandual!M755="",1,0)</f>
        <v>0</v>
      </c>
    </row>
    <row r="756" spans="1:12" x14ac:dyDescent="0.25">
      <c r="A756" s="2">
        <f>IF((OR(Optimizer!$J$8=Fandual!J756,Optimizer!$J$10=Fandual!J756))=TRUE, 1,0)</f>
        <v>0</v>
      </c>
      <c r="B756" s="2">
        <f>IF((OR(Fandual!O756="",Fandual!O756&lt;&gt;0)=TRUE),1,0)</f>
        <v>1</v>
      </c>
      <c r="C756" s="2">
        <f>IF(Fandual!B756&lt;&gt;"P",1,0)</f>
        <v>1</v>
      </c>
      <c r="D756" s="2">
        <f t="shared" si="22"/>
        <v>0</v>
      </c>
      <c r="E756" s="2">
        <f>IF(D756=1,Fandual!B756,0)</f>
        <v>0</v>
      </c>
      <c r="F756" s="2">
        <f>IF(D756=1,Fandual!D756,0)</f>
        <v>0</v>
      </c>
      <c r="G756" s="2">
        <f>IF(D756=1,Fandual!F756,0)</f>
        <v>0</v>
      </c>
      <c r="H756" s="2">
        <f>IF(D756=1,Fandual!H756,0)</f>
        <v>0</v>
      </c>
      <c r="I756" s="2">
        <f>IF((Optimizer!$J$8=Fandual!J756),4,0)</f>
        <v>0</v>
      </c>
      <c r="J756" s="2">
        <f>IF((Optimizer!$J$10=Fandual!J756),100,0)</f>
        <v>0</v>
      </c>
      <c r="K756" s="2">
        <f t="shared" si="23"/>
        <v>0</v>
      </c>
      <c r="L756" s="2">
        <f>IF(Fandual!M756="",1,0)</f>
        <v>1</v>
      </c>
    </row>
    <row r="757" spans="1:12" x14ac:dyDescent="0.25">
      <c r="A757" s="2">
        <f>IF((OR(Optimizer!$J$8=Fandual!J757,Optimizer!$J$10=Fandual!J757))=TRUE, 1,0)</f>
        <v>0</v>
      </c>
      <c r="B757" s="2">
        <f>IF((OR(Fandual!O757="",Fandual!O757&lt;&gt;0)=TRUE),1,0)</f>
        <v>1</v>
      </c>
      <c r="C757" s="2">
        <f>IF(Fandual!B757&lt;&gt;"P",1,0)</f>
        <v>1</v>
      </c>
      <c r="D757" s="2">
        <f t="shared" si="22"/>
        <v>0</v>
      </c>
      <c r="E757" s="2">
        <f>IF(D757=1,Fandual!B757,0)</f>
        <v>0</v>
      </c>
      <c r="F757" s="2">
        <f>IF(D757=1,Fandual!D757,0)</f>
        <v>0</v>
      </c>
      <c r="G757" s="2">
        <f>IF(D757=1,Fandual!F757,0)</f>
        <v>0</v>
      </c>
      <c r="H757" s="2">
        <f>IF(D757=1,Fandual!H757,0)</f>
        <v>0</v>
      </c>
      <c r="I757" s="2">
        <f>IF((Optimizer!$J$8=Fandual!J757),4,0)</f>
        <v>0</v>
      </c>
      <c r="J757" s="2">
        <f>IF((Optimizer!$J$10=Fandual!J757),100,0)</f>
        <v>0</v>
      </c>
      <c r="K757" s="2">
        <f t="shared" si="23"/>
        <v>0</v>
      </c>
      <c r="L757" s="2">
        <f>IF(Fandual!M757="",1,0)</f>
        <v>0</v>
      </c>
    </row>
    <row r="758" spans="1:12" x14ac:dyDescent="0.25">
      <c r="A758" s="2">
        <f>IF((OR(Optimizer!$J$8=Fandual!J758,Optimizer!$J$10=Fandual!J758))=TRUE, 1,0)</f>
        <v>0</v>
      </c>
      <c r="B758" s="2">
        <f>IF((OR(Fandual!O758="",Fandual!O758&lt;&gt;0)=TRUE),1,0)</f>
        <v>1</v>
      </c>
      <c r="C758" s="2">
        <f>IF(Fandual!B758&lt;&gt;"P",1,0)</f>
        <v>1</v>
      </c>
      <c r="D758" s="2">
        <f t="shared" si="22"/>
        <v>0</v>
      </c>
      <c r="E758" s="2">
        <f>IF(D758=1,Fandual!B758,0)</f>
        <v>0</v>
      </c>
      <c r="F758" s="2">
        <f>IF(D758=1,Fandual!D758,0)</f>
        <v>0</v>
      </c>
      <c r="G758" s="2">
        <f>IF(D758=1,Fandual!F758,0)</f>
        <v>0</v>
      </c>
      <c r="H758" s="2">
        <f>IF(D758=1,Fandual!H758,0)</f>
        <v>0</v>
      </c>
      <c r="I758" s="2">
        <f>IF((Optimizer!$J$8=Fandual!J758),4,0)</f>
        <v>0</v>
      </c>
      <c r="J758" s="2">
        <f>IF((Optimizer!$J$10=Fandual!J758),100,0)</f>
        <v>0</v>
      </c>
      <c r="K758" s="2">
        <f t="shared" si="23"/>
        <v>0</v>
      </c>
      <c r="L758" s="2">
        <f>IF(Fandual!M758="",1,0)</f>
        <v>1</v>
      </c>
    </row>
    <row r="759" spans="1:12" x14ac:dyDescent="0.25">
      <c r="A759" s="2">
        <f>IF((OR(Optimizer!$J$8=Fandual!J759,Optimizer!$J$10=Fandual!J759))=TRUE, 1,0)</f>
        <v>1</v>
      </c>
      <c r="B759" s="2">
        <f>IF((OR(Fandual!O759="",Fandual!O759&lt;&gt;0)=TRUE),1,0)</f>
        <v>1</v>
      </c>
      <c r="C759" s="2">
        <f>IF(Fandual!B759&lt;&gt;"P",1,0)</f>
        <v>1</v>
      </c>
      <c r="D759" s="2">
        <f t="shared" si="22"/>
        <v>1</v>
      </c>
      <c r="E759" s="2" t="str">
        <f>IF(D759=1,Fandual!B759,0)</f>
        <v>SS</v>
      </c>
      <c r="F759" s="2" t="str">
        <f>IF(D759=1,Fandual!D759,0)</f>
        <v>Jack Reinheimer</v>
      </c>
      <c r="G759" s="2">
        <f>IF(D759=1,Fandual!F759,0)</f>
        <v>0</v>
      </c>
      <c r="H759" s="2">
        <f>IF(D759=1,Fandual!H759,0)</f>
        <v>3000</v>
      </c>
      <c r="I759" s="2">
        <f>IF((Optimizer!$J$8=Fandual!J759),4,0)</f>
        <v>4</v>
      </c>
      <c r="J759" s="2">
        <f>IF((Optimizer!$J$10=Fandual!J759),100,0)</f>
        <v>0</v>
      </c>
      <c r="K759" s="2">
        <f t="shared" si="23"/>
        <v>4</v>
      </c>
      <c r="L759" s="2">
        <f>IF(Fandual!M759="",1,0)</f>
        <v>1</v>
      </c>
    </row>
    <row r="760" spans="1:12" x14ac:dyDescent="0.25">
      <c r="A760" s="2">
        <f>IF((OR(Optimizer!$J$8=Fandual!J760,Optimizer!$J$10=Fandual!J760))=TRUE, 1,0)</f>
        <v>0</v>
      </c>
      <c r="B760" s="2">
        <f>IF((OR(Fandual!O760="",Fandual!O760&lt;&gt;0)=TRUE),1,0)</f>
        <v>1</v>
      </c>
      <c r="C760" s="2">
        <f>IF(Fandual!B760&lt;&gt;"P",1,0)</f>
        <v>1</v>
      </c>
      <c r="D760" s="2">
        <f t="shared" si="22"/>
        <v>0</v>
      </c>
      <c r="E760" s="2">
        <f>IF(D760=1,Fandual!B760,0)</f>
        <v>0</v>
      </c>
      <c r="F760" s="2">
        <f>IF(D760=1,Fandual!D760,0)</f>
        <v>0</v>
      </c>
      <c r="G760" s="2">
        <f>IF(D760=1,Fandual!F760,0)</f>
        <v>0</v>
      </c>
      <c r="H760" s="2">
        <f>IF(D760=1,Fandual!H760,0)</f>
        <v>0</v>
      </c>
      <c r="I760" s="2">
        <f>IF((Optimizer!$J$8=Fandual!J760),4,0)</f>
        <v>0</v>
      </c>
      <c r="J760" s="2">
        <f>IF((Optimizer!$J$10=Fandual!J760),100,0)</f>
        <v>0</v>
      </c>
      <c r="K760" s="2">
        <f t="shared" si="23"/>
        <v>0</v>
      </c>
      <c r="L760" s="2">
        <f>IF(Fandual!M760="",1,0)</f>
        <v>1</v>
      </c>
    </row>
    <row r="761" spans="1:12" x14ac:dyDescent="0.25">
      <c r="A761" s="2">
        <f>IF((OR(Optimizer!$J$8=Fandual!J761,Optimizer!$J$10=Fandual!J761))=TRUE, 1,0)</f>
        <v>0</v>
      </c>
      <c r="B761" s="2">
        <f>IF((OR(Fandual!O761="",Fandual!O761&lt;&gt;0)=TRUE),1,0)</f>
        <v>1</v>
      </c>
      <c r="C761" s="2">
        <f>IF(Fandual!B761&lt;&gt;"P",1,0)</f>
        <v>1</v>
      </c>
      <c r="D761" s="2">
        <f t="shared" si="22"/>
        <v>0</v>
      </c>
      <c r="E761" s="2">
        <f>IF(D761=1,Fandual!B761,0)</f>
        <v>0</v>
      </c>
      <c r="F761" s="2">
        <f>IF(D761=1,Fandual!D761,0)</f>
        <v>0</v>
      </c>
      <c r="G761" s="2">
        <f>IF(D761=1,Fandual!F761,0)</f>
        <v>0</v>
      </c>
      <c r="H761" s="2">
        <f>IF(D761=1,Fandual!H761,0)</f>
        <v>0</v>
      </c>
      <c r="I761" s="2">
        <f>IF((Optimizer!$J$8=Fandual!J761),4,0)</f>
        <v>0</v>
      </c>
      <c r="J761" s="2">
        <f>IF((Optimizer!$J$10=Fandual!J761),100,0)</f>
        <v>0</v>
      </c>
      <c r="K761" s="2">
        <f t="shared" si="23"/>
        <v>0</v>
      </c>
      <c r="L761" s="2">
        <f>IF(Fandual!M761="",1,0)</f>
        <v>1</v>
      </c>
    </row>
    <row r="762" spans="1:12" x14ac:dyDescent="0.25">
      <c r="A762" s="2">
        <f>IF((OR(Optimizer!$J$8=Fandual!J762,Optimizer!$J$10=Fandual!J762))=TRUE, 1,0)</f>
        <v>0</v>
      </c>
      <c r="B762" s="2">
        <f>IF((OR(Fandual!O762="",Fandual!O762&lt;&gt;0)=TRUE),1,0)</f>
        <v>1</v>
      </c>
      <c r="C762" s="2">
        <f>IF(Fandual!B762&lt;&gt;"P",1,0)</f>
        <v>1</v>
      </c>
      <c r="D762" s="2">
        <f t="shared" si="22"/>
        <v>0</v>
      </c>
      <c r="E762" s="2">
        <f>IF(D762=1,Fandual!B762,0)</f>
        <v>0</v>
      </c>
      <c r="F762" s="2">
        <f>IF(D762=1,Fandual!D762,0)</f>
        <v>0</v>
      </c>
      <c r="G762" s="2">
        <f>IF(D762=1,Fandual!F762,0)</f>
        <v>0</v>
      </c>
      <c r="H762" s="2">
        <f>IF(D762=1,Fandual!H762,0)</f>
        <v>0</v>
      </c>
      <c r="I762" s="2">
        <f>IF((Optimizer!$J$8=Fandual!J762),4,0)</f>
        <v>0</v>
      </c>
      <c r="J762" s="2">
        <f>IF((Optimizer!$J$10=Fandual!J762),100,0)</f>
        <v>0</v>
      </c>
      <c r="K762" s="2">
        <f t="shared" si="23"/>
        <v>0</v>
      </c>
      <c r="L762" s="2">
        <f>IF(Fandual!M762="",1,0)</f>
        <v>0</v>
      </c>
    </row>
    <row r="763" spans="1:12" x14ac:dyDescent="0.25">
      <c r="A763" s="2">
        <f>IF((OR(Optimizer!$J$8=Fandual!J763,Optimizer!$J$10=Fandual!J763))=TRUE, 1,0)</f>
        <v>0</v>
      </c>
      <c r="B763" s="2">
        <f>IF((OR(Fandual!O763="",Fandual!O763&lt;&gt;0)=TRUE),1,0)</f>
        <v>1</v>
      </c>
      <c r="C763" s="2">
        <f>IF(Fandual!B763&lt;&gt;"P",1,0)</f>
        <v>1</v>
      </c>
      <c r="D763" s="2">
        <f t="shared" si="22"/>
        <v>0</v>
      </c>
      <c r="E763" s="2">
        <f>IF(D763=1,Fandual!B763,0)</f>
        <v>0</v>
      </c>
      <c r="F763" s="2">
        <f>IF(D763=1,Fandual!D763,0)</f>
        <v>0</v>
      </c>
      <c r="G763" s="2">
        <f>IF(D763=1,Fandual!F763,0)</f>
        <v>0</v>
      </c>
      <c r="H763" s="2">
        <f>IF(D763=1,Fandual!H763,0)</f>
        <v>0</v>
      </c>
      <c r="I763" s="2">
        <f>IF((Optimizer!$J$8=Fandual!J763),4,0)</f>
        <v>0</v>
      </c>
      <c r="J763" s="2">
        <f>IF((Optimizer!$J$10=Fandual!J763),100,0)</f>
        <v>0</v>
      </c>
      <c r="K763" s="2">
        <f t="shared" si="23"/>
        <v>0</v>
      </c>
      <c r="L763" s="2">
        <f>IF(Fandual!M763="",1,0)</f>
        <v>1</v>
      </c>
    </row>
    <row r="764" spans="1:12" x14ac:dyDescent="0.25">
      <c r="A764" s="2">
        <f>IF((OR(Optimizer!$J$8=Fandual!J764,Optimizer!$J$10=Fandual!J764))=TRUE, 1,0)</f>
        <v>0</v>
      </c>
      <c r="B764" s="2">
        <f>IF((OR(Fandual!O764="",Fandual!O764&lt;&gt;0)=TRUE),1,0)</f>
        <v>1</v>
      </c>
      <c r="C764" s="2">
        <f>IF(Fandual!B764&lt;&gt;"P",1,0)</f>
        <v>1</v>
      </c>
      <c r="D764" s="2">
        <f t="shared" si="22"/>
        <v>0</v>
      </c>
      <c r="E764" s="2">
        <f>IF(D764=1,Fandual!B764,0)</f>
        <v>0</v>
      </c>
      <c r="F764" s="2">
        <f>IF(D764=1,Fandual!D764,0)</f>
        <v>0</v>
      </c>
      <c r="G764" s="2">
        <f>IF(D764=1,Fandual!F764,0)</f>
        <v>0</v>
      </c>
      <c r="H764" s="2">
        <f>IF(D764=1,Fandual!H764,0)</f>
        <v>0</v>
      </c>
      <c r="I764" s="2">
        <f>IF((Optimizer!$J$8=Fandual!J764),4,0)</f>
        <v>0</v>
      </c>
      <c r="J764" s="2">
        <f>IF((Optimizer!$J$10=Fandual!J764),100,0)</f>
        <v>0</v>
      </c>
      <c r="K764" s="2">
        <f t="shared" si="23"/>
        <v>0</v>
      </c>
      <c r="L764" s="2">
        <f>IF(Fandual!M764="",1,0)</f>
        <v>1</v>
      </c>
    </row>
    <row r="765" spans="1:12" x14ac:dyDescent="0.25">
      <c r="A765" s="2">
        <f>IF((OR(Optimizer!$J$8=Fandual!J765,Optimizer!$J$10=Fandual!J765))=TRUE, 1,0)</f>
        <v>0</v>
      </c>
      <c r="B765" s="2">
        <f>IF((OR(Fandual!O765="",Fandual!O765&lt;&gt;0)=TRUE),1,0)</f>
        <v>1</v>
      </c>
      <c r="C765" s="2">
        <f>IF(Fandual!B765&lt;&gt;"P",1,0)</f>
        <v>1</v>
      </c>
      <c r="D765" s="2">
        <f t="shared" si="22"/>
        <v>0</v>
      </c>
      <c r="E765" s="2">
        <f>IF(D765=1,Fandual!B765,0)</f>
        <v>0</v>
      </c>
      <c r="F765" s="2">
        <f>IF(D765=1,Fandual!D765,0)</f>
        <v>0</v>
      </c>
      <c r="G765" s="2">
        <f>IF(D765=1,Fandual!F765,0)</f>
        <v>0</v>
      </c>
      <c r="H765" s="2">
        <f>IF(D765=1,Fandual!H765,0)</f>
        <v>0</v>
      </c>
      <c r="I765" s="2">
        <f>IF((Optimizer!$J$8=Fandual!J765),4,0)</f>
        <v>0</v>
      </c>
      <c r="J765" s="2">
        <f>IF((Optimizer!$J$10=Fandual!J765),100,0)</f>
        <v>0</v>
      </c>
      <c r="K765" s="2">
        <f t="shared" si="23"/>
        <v>0</v>
      </c>
      <c r="L765" s="2">
        <f>IF(Fandual!M765="",1,0)</f>
        <v>1</v>
      </c>
    </row>
    <row r="766" spans="1:12" x14ac:dyDescent="0.25">
      <c r="A766" s="2">
        <f>IF((OR(Optimizer!$J$8=Fandual!J766,Optimizer!$J$10=Fandual!J766))=TRUE, 1,0)</f>
        <v>0</v>
      </c>
      <c r="B766" s="2">
        <f>IF((OR(Fandual!O766="",Fandual!O766&lt;&gt;0)=TRUE),1,0)</f>
        <v>1</v>
      </c>
      <c r="C766" s="2">
        <f>IF(Fandual!B766&lt;&gt;"P",1,0)</f>
        <v>1</v>
      </c>
      <c r="D766" s="2">
        <f t="shared" si="22"/>
        <v>0</v>
      </c>
      <c r="E766" s="2">
        <f>IF(D766=1,Fandual!B766,0)</f>
        <v>0</v>
      </c>
      <c r="F766" s="2">
        <f>IF(D766=1,Fandual!D766,0)</f>
        <v>0</v>
      </c>
      <c r="G766" s="2">
        <f>IF(D766=1,Fandual!F766,0)</f>
        <v>0</v>
      </c>
      <c r="H766" s="2">
        <f>IF(D766=1,Fandual!H766,0)</f>
        <v>0</v>
      </c>
      <c r="I766" s="2">
        <f>IF((Optimizer!$J$8=Fandual!J766),4,0)</f>
        <v>0</v>
      </c>
      <c r="J766" s="2">
        <f>IF((Optimizer!$J$10=Fandual!J766),100,0)</f>
        <v>0</v>
      </c>
      <c r="K766" s="2">
        <f t="shared" si="23"/>
        <v>0</v>
      </c>
      <c r="L766" s="2">
        <f>IF(Fandual!M766="",1,0)</f>
        <v>1</v>
      </c>
    </row>
    <row r="767" spans="1:12" x14ac:dyDescent="0.25">
      <c r="A767" s="2">
        <f>IF((OR(Optimizer!$J$8=Fandual!J767,Optimizer!$J$10=Fandual!J767))=TRUE, 1,0)</f>
        <v>0</v>
      </c>
      <c r="B767" s="2">
        <f>IF((OR(Fandual!O767="",Fandual!O767&lt;&gt;0)=TRUE),1,0)</f>
        <v>1</v>
      </c>
      <c r="C767" s="2">
        <f>IF(Fandual!B767&lt;&gt;"P",1,0)</f>
        <v>1</v>
      </c>
      <c r="D767" s="2">
        <f t="shared" si="22"/>
        <v>0</v>
      </c>
      <c r="E767" s="2">
        <f>IF(D767=1,Fandual!B767,0)</f>
        <v>0</v>
      </c>
      <c r="F767" s="2">
        <f>IF(D767=1,Fandual!D767,0)</f>
        <v>0</v>
      </c>
      <c r="G767" s="2">
        <f>IF(D767=1,Fandual!F767,0)</f>
        <v>0</v>
      </c>
      <c r="H767" s="2">
        <f>IF(D767=1,Fandual!H767,0)</f>
        <v>0</v>
      </c>
      <c r="I767" s="2">
        <f>IF((Optimizer!$J$8=Fandual!J767),4,0)</f>
        <v>0</v>
      </c>
      <c r="J767" s="2">
        <f>IF((Optimizer!$J$10=Fandual!J767),100,0)</f>
        <v>0</v>
      </c>
      <c r="K767" s="2">
        <f t="shared" si="23"/>
        <v>0</v>
      </c>
      <c r="L767" s="2">
        <f>IF(Fandual!M767="",1,0)</f>
        <v>1</v>
      </c>
    </row>
    <row r="768" spans="1:12" x14ac:dyDescent="0.25">
      <c r="A768" s="2">
        <f>IF((OR(Optimizer!$J$8=Fandual!J768,Optimizer!$J$10=Fandual!J768))=TRUE, 1,0)</f>
        <v>0</v>
      </c>
      <c r="B768" s="2">
        <f>IF((OR(Fandual!O768="",Fandual!O768&lt;&gt;0)=TRUE),1,0)</f>
        <v>1</v>
      </c>
      <c r="C768" s="2">
        <f>IF(Fandual!B768&lt;&gt;"P",1,0)</f>
        <v>1</v>
      </c>
      <c r="D768" s="2">
        <f t="shared" si="22"/>
        <v>0</v>
      </c>
      <c r="E768" s="2">
        <f>IF(D768=1,Fandual!B768,0)</f>
        <v>0</v>
      </c>
      <c r="F768" s="2">
        <f>IF(D768=1,Fandual!D768,0)</f>
        <v>0</v>
      </c>
      <c r="G768" s="2">
        <f>IF(D768=1,Fandual!F768,0)</f>
        <v>0</v>
      </c>
      <c r="H768" s="2">
        <f>IF(D768=1,Fandual!H768,0)</f>
        <v>0</v>
      </c>
      <c r="I768" s="2">
        <f>IF((Optimizer!$J$8=Fandual!J768),4,0)</f>
        <v>0</v>
      </c>
      <c r="J768" s="2">
        <f>IF((Optimizer!$J$10=Fandual!J768),100,0)</f>
        <v>0</v>
      </c>
      <c r="K768" s="2">
        <f t="shared" si="23"/>
        <v>0</v>
      </c>
      <c r="L768" s="2">
        <f>IF(Fandual!M768="",1,0)</f>
        <v>1</v>
      </c>
    </row>
    <row r="769" spans="1:12" x14ac:dyDescent="0.25">
      <c r="A769" s="2">
        <f>IF((OR(Optimizer!$J$8=Fandual!J769,Optimizer!$J$10=Fandual!J769))=TRUE, 1,0)</f>
        <v>0</v>
      </c>
      <c r="B769" s="2">
        <f>IF((OR(Fandual!O769="",Fandual!O769&lt;&gt;0)=TRUE),1,0)</f>
        <v>1</v>
      </c>
      <c r="C769" s="2">
        <f>IF(Fandual!B769&lt;&gt;"P",1,0)</f>
        <v>1</v>
      </c>
      <c r="D769" s="2">
        <f t="shared" si="22"/>
        <v>0</v>
      </c>
      <c r="E769" s="2">
        <f>IF(D769=1,Fandual!B769,0)</f>
        <v>0</v>
      </c>
      <c r="F769" s="2">
        <f>IF(D769=1,Fandual!D769,0)</f>
        <v>0</v>
      </c>
      <c r="G769" s="2">
        <f>IF(D769=1,Fandual!F769,0)</f>
        <v>0</v>
      </c>
      <c r="H769" s="2">
        <f>IF(D769=1,Fandual!H769,0)</f>
        <v>0</v>
      </c>
      <c r="I769" s="2">
        <f>IF((Optimizer!$J$8=Fandual!J769),4,0)</f>
        <v>0</v>
      </c>
      <c r="J769" s="2">
        <f>IF((Optimizer!$J$10=Fandual!J769),100,0)</f>
        <v>0</v>
      </c>
      <c r="K769" s="2">
        <f t="shared" si="23"/>
        <v>0</v>
      </c>
      <c r="L769" s="2">
        <f>IF(Fandual!M769="",1,0)</f>
        <v>1</v>
      </c>
    </row>
    <row r="770" spans="1:12" x14ac:dyDescent="0.25">
      <c r="A770" s="2">
        <f>IF((OR(Optimizer!$J$8=Fandual!J770,Optimizer!$J$10=Fandual!J770))=TRUE, 1,0)</f>
        <v>0</v>
      </c>
      <c r="B770" s="2">
        <f>IF((OR(Fandual!O770="",Fandual!O770&lt;&gt;0)=TRUE),1,0)</f>
        <v>1</v>
      </c>
      <c r="C770" s="2">
        <f>IF(Fandual!B770&lt;&gt;"P",1,0)</f>
        <v>1</v>
      </c>
      <c r="D770" s="2">
        <f t="shared" ref="D770:D833" si="24">A770*B770*C770*L770</f>
        <v>0</v>
      </c>
      <c r="E770" s="2">
        <f>IF(D770=1,Fandual!B770,0)</f>
        <v>0</v>
      </c>
      <c r="F770" s="2">
        <f>IF(D770=1,Fandual!D770,0)</f>
        <v>0</v>
      </c>
      <c r="G770" s="2">
        <f>IF(D770=1,Fandual!F770,0)</f>
        <v>0</v>
      </c>
      <c r="H770" s="2">
        <f>IF(D770=1,Fandual!H770,0)</f>
        <v>0</v>
      </c>
      <c r="I770" s="2">
        <f>IF((Optimizer!$J$8=Fandual!J770),4,0)</f>
        <v>0</v>
      </c>
      <c r="J770" s="2">
        <f>IF((Optimizer!$J$10=Fandual!J770),100,0)</f>
        <v>0</v>
      </c>
      <c r="K770" s="2">
        <f t="shared" si="23"/>
        <v>0</v>
      </c>
      <c r="L770" s="2">
        <f>IF(Fandual!M770="",1,0)</f>
        <v>1</v>
      </c>
    </row>
    <row r="771" spans="1:12" x14ac:dyDescent="0.25">
      <c r="A771" s="2">
        <f>IF((OR(Optimizer!$J$8=Fandual!J771,Optimizer!$J$10=Fandual!J771))=TRUE, 1,0)</f>
        <v>0</v>
      </c>
      <c r="B771" s="2">
        <f>IF((OR(Fandual!O771="",Fandual!O771&lt;&gt;0)=TRUE),1,0)</f>
        <v>1</v>
      </c>
      <c r="C771" s="2">
        <f>IF(Fandual!B771&lt;&gt;"P",1,0)</f>
        <v>1</v>
      </c>
      <c r="D771" s="2">
        <f t="shared" si="24"/>
        <v>0</v>
      </c>
      <c r="E771" s="2">
        <f>IF(D771=1,Fandual!B771,0)</f>
        <v>0</v>
      </c>
      <c r="F771" s="2">
        <f>IF(D771=1,Fandual!D771,0)</f>
        <v>0</v>
      </c>
      <c r="G771" s="2">
        <f>IF(D771=1,Fandual!F771,0)</f>
        <v>0</v>
      </c>
      <c r="H771" s="2">
        <f>IF(D771=1,Fandual!H771,0)</f>
        <v>0</v>
      </c>
      <c r="I771" s="2">
        <f>IF((Optimizer!$J$8=Fandual!J771),4,0)</f>
        <v>0</v>
      </c>
      <c r="J771" s="2">
        <f>IF((Optimizer!$J$10=Fandual!J771),100,0)</f>
        <v>0</v>
      </c>
      <c r="K771" s="2">
        <f t="shared" ref="K771:K834" si="25">(I771+J771)*D771</f>
        <v>0</v>
      </c>
      <c r="L771" s="2">
        <f>IF(Fandual!M771="",1,0)</f>
        <v>1</v>
      </c>
    </row>
    <row r="772" spans="1:12" x14ac:dyDescent="0.25">
      <c r="A772" s="2">
        <f>IF((OR(Optimizer!$J$8=Fandual!J772,Optimizer!$J$10=Fandual!J772))=TRUE, 1,0)</f>
        <v>0</v>
      </c>
      <c r="B772" s="2">
        <f>IF((OR(Fandual!O772="",Fandual!O772&lt;&gt;0)=TRUE),1,0)</f>
        <v>1</v>
      </c>
      <c r="C772" s="2">
        <f>IF(Fandual!B772&lt;&gt;"P",1,0)</f>
        <v>1</v>
      </c>
      <c r="D772" s="2">
        <f t="shared" si="24"/>
        <v>0</v>
      </c>
      <c r="E772" s="2">
        <f>IF(D772=1,Fandual!B772,0)</f>
        <v>0</v>
      </c>
      <c r="F772" s="2">
        <f>IF(D772=1,Fandual!D772,0)</f>
        <v>0</v>
      </c>
      <c r="G772" s="2">
        <f>IF(D772=1,Fandual!F772,0)</f>
        <v>0</v>
      </c>
      <c r="H772" s="2">
        <f>IF(D772=1,Fandual!H772,0)</f>
        <v>0</v>
      </c>
      <c r="I772" s="2">
        <f>IF((Optimizer!$J$8=Fandual!J772),4,0)</f>
        <v>0</v>
      </c>
      <c r="J772" s="2">
        <f>IF((Optimizer!$J$10=Fandual!J772),100,0)</f>
        <v>0</v>
      </c>
      <c r="K772" s="2">
        <f t="shared" si="25"/>
        <v>0</v>
      </c>
      <c r="L772" s="2">
        <f>IF(Fandual!M772="",1,0)</f>
        <v>1</v>
      </c>
    </row>
    <row r="773" spans="1:12" x14ac:dyDescent="0.25">
      <c r="A773" s="2">
        <f>IF((OR(Optimizer!$J$8=Fandual!J773,Optimizer!$J$10=Fandual!J773))=TRUE, 1,0)</f>
        <v>0</v>
      </c>
      <c r="B773" s="2">
        <f>IF((OR(Fandual!O773="",Fandual!O773&lt;&gt;0)=TRUE),1,0)</f>
        <v>1</v>
      </c>
      <c r="C773" s="2">
        <f>IF(Fandual!B773&lt;&gt;"P",1,0)</f>
        <v>1</v>
      </c>
      <c r="D773" s="2">
        <f t="shared" si="24"/>
        <v>0</v>
      </c>
      <c r="E773" s="2">
        <f>IF(D773=1,Fandual!B773,0)</f>
        <v>0</v>
      </c>
      <c r="F773" s="2">
        <f>IF(D773=1,Fandual!D773,0)</f>
        <v>0</v>
      </c>
      <c r="G773" s="2">
        <f>IF(D773=1,Fandual!F773,0)</f>
        <v>0</v>
      </c>
      <c r="H773" s="2">
        <f>IF(D773=1,Fandual!H773,0)</f>
        <v>0</v>
      </c>
      <c r="I773" s="2">
        <f>IF((Optimizer!$J$8=Fandual!J773),4,0)</f>
        <v>0</v>
      </c>
      <c r="J773" s="2">
        <f>IF((Optimizer!$J$10=Fandual!J773),100,0)</f>
        <v>0</v>
      </c>
      <c r="K773" s="2">
        <f t="shared" si="25"/>
        <v>0</v>
      </c>
      <c r="L773" s="2">
        <f>IF(Fandual!M773="",1,0)</f>
        <v>1</v>
      </c>
    </row>
    <row r="774" spans="1:12" x14ac:dyDescent="0.25">
      <c r="A774" s="2">
        <f>IF((OR(Optimizer!$J$8=Fandual!J774,Optimizer!$J$10=Fandual!J774))=TRUE, 1,0)</f>
        <v>0</v>
      </c>
      <c r="B774" s="2">
        <f>IF((OR(Fandual!O774="",Fandual!O774&lt;&gt;0)=TRUE),1,0)</f>
        <v>1</v>
      </c>
      <c r="C774" s="2">
        <f>IF(Fandual!B774&lt;&gt;"P",1,0)</f>
        <v>1</v>
      </c>
      <c r="D774" s="2">
        <f t="shared" si="24"/>
        <v>0</v>
      </c>
      <c r="E774" s="2">
        <f>IF(D774=1,Fandual!B774,0)</f>
        <v>0</v>
      </c>
      <c r="F774" s="2">
        <f>IF(D774=1,Fandual!D774,0)</f>
        <v>0</v>
      </c>
      <c r="G774" s="2">
        <f>IF(D774=1,Fandual!F774,0)</f>
        <v>0</v>
      </c>
      <c r="H774" s="2">
        <f>IF(D774=1,Fandual!H774,0)</f>
        <v>0</v>
      </c>
      <c r="I774" s="2">
        <f>IF((Optimizer!$J$8=Fandual!J774),4,0)</f>
        <v>0</v>
      </c>
      <c r="J774" s="2">
        <f>IF((Optimizer!$J$10=Fandual!J774),100,0)</f>
        <v>0</v>
      </c>
      <c r="K774" s="2">
        <f t="shared" si="25"/>
        <v>0</v>
      </c>
      <c r="L774" s="2">
        <f>IF(Fandual!M774="",1,0)</f>
        <v>1</v>
      </c>
    </row>
    <row r="775" spans="1:12" x14ac:dyDescent="0.25">
      <c r="A775" s="2">
        <f>IF((OR(Optimizer!$J$8=Fandual!J775,Optimizer!$J$10=Fandual!J775))=TRUE, 1,0)</f>
        <v>0</v>
      </c>
      <c r="B775" s="2">
        <f>IF((OR(Fandual!O775="",Fandual!O775&lt;&gt;0)=TRUE),1,0)</f>
        <v>1</v>
      </c>
      <c r="C775" s="2">
        <f>IF(Fandual!B775&lt;&gt;"P",1,0)</f>
        <v>1</v>
      </c>
      <c r="D775" s="2">
        <f t="shared" si="24"/>
        <v>0</v>
      </c>
      <c r="E775" s="2">
        <f>IF(D775=1,Fandual!B775,0)</f>
        <v>0</v>
      </c>
      <c r="F775" s="2">
        <f>IF(D775=1,Fandual!D775,0)</f>
        <v>0</v>
      </c>
      <c r="G775" s="2">
        <f>IF(D775=1,Fandual!F775,0)</f>
        <v>0</v>
      </c>
      <c r="H775" s="2">
        <f>IF(D775=1,Fandual!H775,0)</f>
        <v>0</v>
      </c>
      <c r="I775" s="2">
        <f>IF((Optimizer!$J$8=Fandual!J775),4,0)</f>
        <v>0</v>
      </c>
      <c r="J775" s="2">
        <f>IF((Optimizer!$J$10=Fandual!J775),100,0)</f>
        <v>0</v>
      </c>
      <c r="K775" s="2">
        <f t="shared" si="25"/>
        <v>0</v>
      </c>
      <c r="L775" s="2">
        <f>IF(Fandual!M775="",1,0)</f>
        <v>1</v>
      </c>
    </row>
    <row r="776" spans="1:12" x14ac:dyDescent="0.25">
      <c r="A776" s="2">
        <f>IF((OR(Optimizer!$J$8=Fandual!J776,Optimizer!$J$10=Fandual!J776))=TRUE, 1,0)</f>
        <v>0</v>
      </c>
      <c r="B776" s="2">
        <f>IF((OR(Fandual!O776="",Fandual!O776&lt;&gt;0)=TRUE),1,0)</f>
        <v>1</v>
      </c>
      <c r="C776" s="2">
        <f>IF(Fandual!B776&lt;&gt;"P",1,0)</f>
        <v>1</v>
      </c>
      <c r="D776" s="2">
        <f t="shared" si="24"/>
        <v>0</v>
      </c>
      <c r="E776" s="2">
        <f>IF(D776=1,Fandual!B776,0)</f>
        <v>0</v>
      </c>
      <c r="F776" s="2">
        <f>IF(D776=1,Fandual!D776,0)</f>
        <v>0</v>
      </c>
      <c r="G776" s="2">
        <f>IF(D776=1,Fandual!F776,0)</f>
        <v>0</v>
      </c>
      <c r="H776" s="2">
        <f>IF(D776=1,Fandual!H776,0)</f>
        <v>0</v>
      </c>
      <c r="I776" s="2">
        <f>IF((Optimizer!$J$8=Fandual!J776),4,0)</f>
        <v>0</v>
      </c>
      <c r="J776" s="2">
        <f>IF((Optimizer!$J$10=Fandual!J776),100,0)</f>
        <v>0</v>
      </c>
      <c r="K776" s="2">
        <f t="shared" si="25"/>
        <v>0</v>
      </c>
      <c r="L776" s="2">
        <f>IF(Fandual!M776="",1,0)</f>
        <v>1</v>
      </c>
    </row>
    <row r="777" spans="1:12" x14ac:dyDescent="0.25">
      <c r="A777" s="2">
        <f>IF((OR(Optimizer!$J$8=Fandual!J777,Optimizer!$J$10=Fandual!J777))=TRUE, 1,0)</f>
        <v>0</v>
      </c>
      <c r="B777" s="2">
        <f>IF((OR(Fandual!O777="",Fandual!O777&lt;&gt;0)=TRUE),1,0)</f>
        <v>1</v>
      </c>
      <c r="C777" s="2">
        <f>IF(Fandual!B777&lt;&gt;"P",1,0)</f>
        <v>1</v>
      </c>
      <c r="D777" s="2">
        <f t="shared" si="24"/>
        <v>0</v>
      </c>
      <c r="E777" s="2">
        <f>IF(D777=1,Fandual!B777,0)</f>
        <v>0</v>
      </c>
      <c r="F777" s="2">
        <f>IF(D777=1,Fandual!D777,0)</f>
        <v>0</v>
      </c>
      <c r="G777" s="2">
        <f>IF(D777=1,Fandual!F777,0)</f>
        <v>0</v>
      </c>
      <c r="H777" s="2">
        <f>IF(D777=1,Fandual!H777,0)</f>
        <v>0</v>
      </c>
      <c r="I777" s="2">
        <f>IF((Optimizer!$J$8=Fandual!J777),4,0)</f>
        <v>0</v>
      </c>
      <c r="J777" s="2">
        <f>IF((Optimizer!$J$10=Fandual!J777),100,0)</f>
        <v>0</v>
      </c>
      <c r="K777" s="2">
        <f t="shared" si="25"/>
        <v>0</v>
      </c>
      <c r="L777" s="2">
        <f>IF(Fandual!M777="",1,0)</f>
        <v>1</v>
      </c>
    </row>
    <row r="778" spans="1:12" x14ac:dyDescent="0.25">
      <c r="A778" s="2">
        <f>IF((OR(Optimizer!$J$8=Fandual!J778,Optimizer!$J$10=Fandual!J778))=TRUE, 1,0)</f>
        <v>0</v>
      </c>
      <c r="B778" s="2">
        <f>IF((OR(Fandual!O778="",Fandual!O778&lt;&gt;0)=TRUE),1,0)</f>
        <v>1</v>
      </c>
      <c r="C778" s="2">
        <f>IF(Fandual!B778&lt;&gt;"P",1,0)</f>
        <v>1</v>
      </c>
      <c r="D778" s="2">
        <f t="shared" si="24"/>
        <v>0</v>
      </c>
      <c r="E778" s="2">
        <f>IF(D778=1,Fandual!B778,0)</f>
        <v>0</v>
      </c>
      <c r="F778" s="2">
        <f>IF(D778=1,Fandual!D778,0)</f>
        <v>0</v>
      </c>
      <c r="G778" s="2">
        <f>IF(D778=1,Fandual!F778,0)</f>
        <v>0</v>
      </c>
      <c r="H778" s="2">
        <f>IF(D778=1,Fandual!H778,0)</f>
        <v>0</v>
      </c>
      <c r="I778" s="2">
        <f>IF((Optimizer!$J$8=Fandual!J778),4,0)</f>
        <v>0</v>
      </c>
      <c r="J778" s="2">
        <f>IF((Optimizer!$J$10=Fandual!J778),100,0)</f>
        <v>0</v>
      </c>
      <c r="K778" s="2">
        <f t="shared" si="25"/>
        <v>0</v>
      </c>
      <c r="L778" s="2">
        <f>IF(Fandual!M778="",1,0)</f>
        <v>1</v>
      </c>
    </row>
    <row r="779" spans="1:12" x14ac:dyDescent="0.25">
      <c r="A779" s="2">
        <f>IF((OR(Optimizer!$J$8=Fandual!J779,Optimizer!$J$10=Fandual!J779))=TRUE, 1,0)</f>
        <v>0</v>
      </c>
      <c r="B779" s="2">
        <f>IF((OR(Fandual!O779="",Fandual!O779&lt;&gt;0)=TRUE),1,0)</f>
        <v>1</v>
      </c>
      <c r="C779" s="2">
        <f>IF(Fandual!B779&lt;&gt;"P",1,0)</f>
        <v>1</v>
      </c>
      <c r="D779" s="2">
        <f t="shared" si="24"/>
        <v>0</v>
      </c>
      <c r="E779" s="2">
        <f>IF(D779=1,Fandual!B779,0)</f>
        <v>0</v>
      </c>
      <c r="F779" s="2">
        <f>IF(D779=1,Fandual!D779,0)</f>
        <v>0</v>
      </c>
      <c r="G779" s="2">
        <f>IF(D779=1,Fandual!F779,0)</f>
        <v>0</v>
      </c>
      <c r="H779" s="2">
        <f>IF(D779=1,Fandual!H779,0)</f>
        <v>0</v>
      </c>
      <c r="I779" s="2">
        <f>IF((Optimizer!$J$8=Fandual!J779),4,0)</f>
        <v>0</v>
      </c>
      <c r="J779" s="2">
        <f>IF((Optimizer!$J$10=Fandual!J779),100,0)</f>
        <v>0</v>
      </c>
      <c r="K779" s="2">
        <f t="shared" si="25"/>
        <v>0</v>
      </c>
      <c r="L779" s="2">
        <f>IF(Fandual!M779="",1,0)</f>
        <v>1</v>
      </c>
    </row>
    <row r="780" spans="1:12" x14ac:dyDescent="0.25">
      <c r="A780" s="2">
        <f>IF((OR(Optimizer!$J$8=Fandual!J780,Optimizer!$J$10=Fandual!J780))=TRUE, 1,0)</f>
        <v>0</v>
      </c>
      <c r="B780" s="2">
        <f>IF((OR(Fandual!O780="",Fandual!O780&lt;&gt;0)=TRUE),1,0)</f>
        <v>1</v>
      </c>
      <c r="C780" s="2">
        <f>IF(Fandual!B780&lt;&gt;"P",1,0)</f>
        <v>1</v>
      </c>
      <c r="D780" s="2">
        <f t="shared" si="24"/>
        <v>0</v>
      </c>
      <c r="E780" s="2">
        <f>IF(D780=1,Fandual!B780,0)</f>
        <v>0</v>
      </c>
      <c r="F780" s="2">
        <f>IF(D780=1,Fandual!D780,0)</f>
        <v>0</v>
      </c>
      <c r="G780" s="2">
        <f>IF(D780=1,Fandual!F780,0)</f>
        <v>0</v>
      </c>
      <c r="H780" s="2">
        <f>IF(D780=1,Fandual!H780,0)</f>
        <v>0</v>
      </c>
      <c r="I780" s="2">
        <f>IF((Optimizer!$J$8=Fandual!J780),4,0)</f>
        <v>0</v>
      </c>
      <c r="J780" s="2">
        <f>IF((Optimizer!$J$10=Fandual!J780),100,0)</f>
        <v>0</v>
      </c>
      <c r="K780" s="2">
        <f t="shared" si="25"/>
        <v>0</v>
      </c>
      <c r="L780" s="2">
        <f>IF(Fandual!M780="",1,0)</f>
        <v>1</v>
      </c>
    </row>
    <row r="781" spans="1:12" x14ac:dyDescent="0.25">
      <c r="A781" s="2">
        <f>IF((OR(Optimizer!$J$8=Fandual!J781,Optimizer!$J$10=Fandual!J781))=TRUE, 1,0)</f>
        <v>0</v>
      </c>
      <c r="B781" s="2">
        <f>IF((OR(Fandual!O781="",Fandual!O781&lt;&gt;0)=TRUE),1,0)</f>
        <v>1</v>
      </c>
      <c r="C781" s="2">
        <f>IF(Fandual!B781&lt;&gt;"P",1,0)</f>
        <v>1</v>
      </c>
      <c r="D781" s="2">
        <f t="shared" si="24"/>
        <v>0</v>
      </c>
      <c r="E781" s="2">
        <f>IF(D781=1,Fandual!B781,0)</f>
        <v>0</v>
      </c>
      <c r="F781" s="2">
        <f>IF(D781=1,Fandual!D781,0)</f>
        <v>0</v>
      </c>
      <c r="G781" s="2">
        <f>IF(D781=1,Fandual!F781,0)</f>
        <v>0</v>
      </c>
      <c r="H781" s="2">
        <f>IF(D781=1,Fandual!H781,0)</f>
        <v>0</v>
      </c>
      <c r="I781" s="2">
        <f>IF((Optimizer!$J$8=Fandual!J781),4,0)</f>
        <v>0</v>
      </c>
      <c r="J781" s="2">
        <f>IF((Optimizer!$J$10=Fandual!J781),100,0)</f>
        <v>0</v>
      </c>
      <c r="K781" s="2">
        <f t="shared" si="25"/>
        <v>0</v>
      </c>
      <c r="L781" s="2">
        <f>IF(Fandual!M781="",1,0)</f>
        <v>1</v>
      </c>
    </row>
    <row r="782" spans="1:12" x14ac:dyDescent="0.25">
      <c r="A782" s="2">
        <f>IF((OR(Optimizer!$J$8=Fandual!J782,Optimizer!$J$10=Fandual!J782))=TRUE, 1,0)</f>
        <v>0</v>
      </c>
      <c r="B782" s="2">
        <f>IF((OR(Fandual!O782="",Fandual!O782&lt;&gt;0)=TRUE),1,0)</f>
        <v>1</v>
      </c>
      <c r="C782" s="2">
        <f>IF(Fandual!B782&lt;&gt;"P",1,0)</f>
        <v>1</v>
      </c>
      <c r="D782" s="2">
        <f t="shared" si="24"/>
        <v>0</v>
      </c>
      <c r="E782" s="2">
        <f>IF(D782=1,Fandual!B782,0)</f>
        <v>0</v>
      </c>
      <c r="F782" s="2">
        <f>IF(D782=1,Fandual!D782,0)</f>
        <v>0</v>
      </c>
      <c r="G782" s="2">
        <f>IF(D782=1,Fandual!F782,0)</f>
        <v>0</v>
      </c>
      <c r="H782" s="2">
        <f>IF(D782=1,Fandual!H782,0)</f>
        <v>0</v>
      </c>
      <c r="I782" s="2">
        <f>IF((Optimizer!$J$8=Fandual!J782),4,0)</f>
        <v>0</v>
      </c>
      <c r="J782" s="2">
        <f>IF((Optimizer!$J$10=Fandual!J782),100,0)</f>
        <v>0</v>
      </c>
      <c r="K782" s="2">
        <f t="shared" si="25"/>
        <v>0</v>
      </c>
      <c r="L782" s="2">
        <f>IF(Fandual!M782="",1,0)</f>
        <v>1</v>
      </c>
    </row>
    <row r="783" spans="1:12" x14ac:dyDescent="0.25">
      <c r="A783" s="2">
        <f>IF((OR(Optimizer!$J$8=Fandual!J783,Optimizer!$J$10=Fandual!J783))=TRUE, 1,0)</f>
        <v>0</v>
      </c>
      <c r="B783" s="2">
        <f>IF((OR(Fandual!O783="",Fandual!O783&lt;&gt;0)=TRUE),1,0)</f>
        <v>1</v>
      </c>
      <c r="C783" s="2">
        <f>IF(Fandual!B783&lt;&gt;"P",1,0)</f>
        <v>1</v>
      </c>
      <c r="D783" s="2">
        <f t="shared" si="24"/>
        <v>0</v>
      </c>
      <c r="E783" s="2">
        <f>IF(D783=1,Fandual!B783,0)</f>
        <v>0</v>
      </c>
      <c r="F783" s="2">
        <f>IF(D783=1,Fandual!D783,0)</f>
        <v>0</v>
      </c>
      <c r="G783" s="2">
        <f>IF(D783=1,Fandual!F783,0)</f>
        <v>0</v>
      </c>
      <c r="H783" s="2">
        <f>IF(D783=1,Fandual!H783,0)</f>
        <v>0</v>
      </c>
      <c r="I783" s="2">
        <f>IF((Optimizer!$J$8=Fandual!J783),4,0)</f>
        <v>0</v>
      </c>
      <c r="J783" s="2">
        <f>IF((Optimizer!$J$10=Fandual!J783),100,0)</f>
        <v>0</v>
      </c>
      <c r="K783" s="2">
        <f t="shared" si="25"/>
        <v>0</v>
      </c>
      <c r="L783" s="2">
        <f>IF(Fandual!M783="",1,0)</f>
        <v>1</v>
      </c>
    </row>
    <row r="784" spans="1:12" x14ac:dyDescent="0.25">
      <c r="A784" s="2">
        <f>IF((OR(Optimizer!$J$8=Fandual!J784,Optimizer!$J$10=Fandual!J784))=TRUE, 1,0)</f>
        <v>0</v>
      </c>
      <c r="B784" s="2">
        <f>IF((OR(Fandual!O784="",Fandual!O784&lt;&gt;0)=TRUE),1,0)</f>
        <v>1</v>
      </c>
      <c r="C784" s="2">
        <f>IF(Fandual!B784&lt;&gt;"P",1,0)</f>
        <v>1</v>
      </c>
      <c r="D784" s="2">
        <f t="shared" si="24"/>
        <v>0</v>
      </c>
      <c r="E784" s="2">
        <f>IF(D784=1,Fandual!B784,0)</f>
        <v>0</v>
      </c>
      <c r="F784" s="2">
        <f>IF(D784=1,Fandual!D784,0)</f>
        <v>0</v>
      </c>
      <c r="G784" s="2">
        <f>IF(D784=1,Fandual!F784,0)</f>
        <v>0</v>
      </c>
      <c r="H784" s="2">
        <f>IF(D784=1,Fandual!H784,0)</f>
        <v>0</v>
      </c>
      <c r="I784" s="2">
        <f>IF((Optimizer!$J$8=Fandual!J784),4,0)</f>
        <v>0</v>
      </c>
      <c r="J784" s="2">
        <f>IF((Optimizer!$J$10=Fandual!J784),100,0)</f>
        <v>0</v>
      </c>
      <c r="K784" s="2">
        <f t="shared" si="25"/>
        <v>0</v>
      </c>
      <c r="L784" s="2">
        <f>IF(Fandual!M784="",1,0)</f>
        <v>1</v>
      </c>
    </row>
    <row r="785" spans="1:12" x14ac:dyDescent="0.25">
      <c r="A785" s="2">
        <f>IF((OR(Optimizer!$J$8=Fandual!J785,Optimizer!$J$10=Fandual!J785))=TRUE, 1,0)</f>
        <v>0</v>
      </c>
      <c r="B785" s="2">
        <f>IF((OR(Fandual!O785="",Fandual!O785&lt;&gt;0)=TRUE),1,0)</f>
        <v>1</v>
      </c>
      <c r="C785" s="2">
        <f>IF(Fandual!B785&lt;&gt;"P",1,0)</f>
        <v>1</v>
      </c>
      <c r="D785" s="2">
        <f t="shared" si="24"/>
        <v>0</v>
      </c>
      <c r="E785" s="2">
        <f>IF(D785=1,Fandual!B785,0)</f>
        <v>0</v>
      </c>
      <c r="F785" s="2">
        <f>IF(D785=1,Fandual!D785,0)</f>
        <v>0</v>
      </c>
      <c r="G785" s="2">
        <f>IF(D785=1,Fandual!F785,0)</f>
        <v>0</v>
      </c>
      <c r="H785" s="2">
        <f>IF(D785=1,Fandual!H785,0)</f>
        <v>0</v>
      </c>
      <c r="I785" s="2">
        <f>IF((Optimizer!$J$8=Fandual!J785),4,0)</f>
        <v>0</v>
      </c>
      <c r="J785" s="2">
        <f>IF((Optimizer!$J$10=Fandual!J785),100,0)</f>
        <v>0</v>
      </c>
      <c r="K785" s="2">
        <f t="shared" si="25"/>
        <v>0</v>
      </c>
      <c r="L785" s="2">
        <f>IF(Fandual!M785="",1,0)</f>
        <v>1</v>
      </c>
    </row>
    <row r="786" spans="1:12" x14ac:dyDescent="0.25">
      <c r="A786" s="2">
        <f>IF((OR(Optimizer!$J$8=Fandual!J786,Optimizer!$J$10=Fandual!J786))=TRUE, 1,0)</f>
        <v>0</v>
      </c>
      <c r="B786" s="2">
        <f>IF((OR(Fandual!O786="",Fandual!O786&lt;&gt;0)=TRUE),1,0)</f>
        <v>1</v>
      </c>
      <c r="C786" s="2">
        <f>IF(Fandual!B786&lt;&gt;"P",1,0)</f>
        <v>1</v>
      </c>
      <c r="D786" s="2">
        <f t="shared" si="24"/>
        <v>0</v>
      </c>
      <c r="E786" s="2">
        <f>IF(D786=1,Fandual!B786,0)</f>
        <v>0</v>
      </c>
      <c r="F786" s="2">
        <f>IF(D786=1,Fandual!D786,0)</f>
        <v>0</v>
      </c>
      <c r="G786" s="2">
        <f>IF(D786=1,Fandual!F786,0)</f>
        <v>0</v>
      </c>
      <c r="H786" s="2">
        <f>IF(D786=1,Fandual!H786,0)</f>
        <v>0</v>
      </c>
      <c r="I786" s="2">
        <f>IF((Optimizer!$J$8=Fandual!J786),4,0)</f>
        <v>0</v>
      </c>
      <c r="J786" s="2">
        <f>IF((Optimizer!$J$10=Fandual!J786),100,0)</f>
        <v>0</v>
      </c>
      <c r="K786" s="2">
        <f t="shared" si="25"/>
        <v>0</v>
      </c>
      <c r="L786" s="2">
        <f>IF(Fandual!M786="",1,0)</f>
        <v>1</v>
      </c>
    </row>
    <row r="787" spans="1:12" x14ac:dyDescent="0.25">
      <c r="A787" s="2">
        <f>IF((OR(Optimizer!$J$8=Fandual!J787,Optimizer!$J$10=Fandual!J787))=TRUE, 1,0)</f>
        <v>0</v>
      </c>
      <c r="B787" s="2">
        <f>IF((OR(Fandual!O787="",Fandual!O787&lt;&gt;0)=TRUE),1,0)</f>
        <v>1</v>
      </c>
      <c r="C787" s="2">
        <f>IF(Fandual!B787&lt;&gt;"P",1,0)</f>
        <v>1</v>
      </c>
      <c r="D787" s="2">
        <f t="shared" si="24"/>
        <v>0</v>
      </c>
      <c r="E787" s="2">
        <f>IF(D787=1,Fandual!B787,0)</f>
        <v>0</v>
      </c>
      <c r="F787" s="2">
        <f>IF(D787=1,Fandual!D787,0)</f>
        <v>0</v>
      </c>
      <c r="G787" s="2">
        <f>IF(D787=1,Fandual!F787,0)</f>
        <v>0</v>
      </c>
      <c r="H787" s="2">
        <f>IF(D787=1,Fandual!H787,0)</f>
        <v>0</v>
      </c>
      <c r="I787" s="2">
        <f>IF((Optimizer!$J$8=Fandual!J787),4,0)</f>
        <v>0</v>
      </c>
      <c r="J787" s="2">
        <f>IF((Optimizer!$J$10=Fandual!J787),100,0)</f>
        <v>0</v>
      </c>
      <c r="K787" s="2">
        <f t="shared" si="25"/>
        <v>0</v>
      </c>
      <c r="L787" s="2">
        <f>IF(Fandual!M787="",1,0)</f>
        <v>1</v>
      </c>
    </row>
    <row r="788" spans="1:12" x14ac:dyDescent="0.25">
      <c r="A788" s="2">
        <f>IF((OR(Optimizer!$J$8=Fandual!J788,Optimizer!$J$10=Fandual!J788))=TRUE, 1,0)</f>
        <v>0</v>
      </c>
      <c r="B788" s="2">
        <f>IF((OR(Fandual!O788="",Fandual!O788&lt;&gt;0)=TRUE),1,0)</f>
        <v>1</v>
      </c>
      <c r="C788" s="2">
        <f>IF(Fandual!B788&lt;&gt;"P",1,0)</f>
        <v>1</v>
      </c>
      <c r="D788" s="2">
        <f t="shared" si="24"/>
        <v>0</v>
      </c>
      <c r="E788" s="2">
        <f>IF(D788=1,Fandual!B788,0)</f>
        <v>0</v>
      </c>
      <c r="F788" s="2">
        <f>IF(D788=1,Fandual!D788,0)</f>
        <v>0</v>
      </c>
      <c r="G788" s="2">
        <f>IF(D788=1,Fandual!F788,0)</f>
        <v>0</v>
      </c>
      <c r="H788" s="2">
        <f>IF(D788=1,Fandual!H788,0)</f>
        <v>0</v>
      </c>
      <c r="I788" s="2">
        <f>IF((Optimizer!$J$8=Fandual!J788),4,0)</f>
        <v>0</v>
      </c>
      <c r="J788" s="2">
        <f>IF((Optimizer!$J$10=Fandual!J788),100,0)</f>
        <v>0</v>
      </c>
      <c r="K788" s="2">
        <f t="shared" si="25"/>
        <v>0</v>
      </c>
      <c r="L788" s="2">
        <f>IF(Fandual!M788="",1,0)</f>
        <v>1</v>
      </c>
    </row>
    <row r="789" spans="1:12" x14ac:dyDescent="0.25">
      <c r="A789" s="2">
        <f>IF((OR(Optimizer!$J$8=Fandual!J789,Optimizer!$J$10=Fandual!J789))=TRUE, 1,0)</f>
        <v>0</v>
      </c>
      <c r="B789" s="2">
        <f>IF((OR(Fandual!O789="",Fandual!O789&lt;&gt;0)=TRUE),1,0)</f>
        <v>1</v>
      </c>
      <c r="C789" s="2">
        <f>IF(Fandual!B789&lt;&gt;"P",1,0)</f>
        <v>1</v>
      </c>
      <c r="D789" s="2">
        <f t="shared" si="24"/>
        <v>0</v>
      </c>
      <c r="E789" s="2">
        <f>IF(D789=1,Fandual!B789,0)</f>
        <v>0</v>
      </c>
      <c r="F789" s="2">
        <f>IF(D789=1,Fandual!D789,0)</f>
        <v>0</v>
      </c>
      <c r="G789" s="2">
        <f>IF(D789=1,Fandual!F789,0)</f>
        <v>0</v>
      </c>
      <c r="H789" s="2">
        <f>IF(D789=1,Fandual!H789,0)</f>
        <v>0</v>
      </c>
      <c r="I789" s="2">
        <f>IF((Optimizer!$J$8=Fandual!J789),4,0)</f>
        <v>0</v>
      </c>
      <c r="J789" s="2">
        <f>IF((Optimizer!$J$10=Fandual!J789),100,0)</f>
        <v>0</v>
      </c>
      <c r="K789" s="2">
        <f t="shared" si="25"/>
        <v>0</v>
      </c>
      <c r="L789" s="2">
        <f>IF(Fandual!M789="",1,0)</f>
        <v>1</v>
      </c>
    </row>
    <row r="790" spans="1:12" x14ac:dyDescent="0.25">
      <c r="A790" s="2">
        <f>IF((OR(Optimizer!$J$8=Fandual!J790,Optimizer!$J$10=Fandual!J790))=TRUE, 1,0)</f>
        <v>0</v>
      </c>
      <c r="B790" s="2">
        <f>IF((OR(Fandual!O790="",Fandual!O790&lt;&gt;0)=TRUE),1,0)</f>
        <v>1</v>
      </c>
      <c r="C790" s="2">
        <f>IF(Fandual!B790&lt;&gt;"P",1,0)</f>
        <v>1</v>
      </c>
      <c r="D790" s="2">
        <f t="shared" si="24"/>
        <v>0</v>
      </c>
      <c r="E790" s="2">
        <f>IF(D790=1,Fandual!B790,0)</f>
        <v>0</v>
      </c>
      <c r="F790" s="2">
        <f>IF(D790=1,Fandual!D790,0)</f>
        <v>0</v>
      </c>
      <c r="G790" s="2">
        <f>IF(D790=1,Fandual!F790,0)</f>
        <v>0</v>
      </c>
      <c r="H790" s="2">
        <f>IF(D790=1,Fandual!H790,0)</f>
        <v>0</v>
      </c>
      <c r="I790" s="2">
        <f>IF((Optimizer!$J$8=Fandual!J790),4,0)</f>
        <v>0</v>
      </c>
      <c r="J790" s="2">
        <f>IF((Optimizer!$J$10=Fandual!J790),100,0)</f>
        <v>0</v>
      </c>
      <c r="K790" s="2">
        <f t="shared" si="25"/>
        <v>0</v>
      </c>
      <c r="L790" s="2">
        <f>IF(Fandual!M790="",1,0)</f>
        <v>0</v>
      </c>
    </row>
    <row r="791" spans="1:12" x14ac:dyDescent="0.25">
      <c r="A791" s="2">
        <f>IF((OR(Optimizer!$J$8=Fandual!J791,Optimizer!$J$10=Fandual!J791))=TRUE, 1,0)</f>
        <v>0</v>
      </c>
      <c r="B791" s="2">
        <f>IF((OR(Fandual!O791="",Fandual!O791&lt;&gt;0)=TRUE),1,0)</f>
        <v>1</v>
      </c>
      <c r="C791" s="2">
        <f>IF(Fandual!B791&lt;&gt;"P",1,0)</f>
        <v>1</v>
      </c>
      <c r="D791" s="2">
        <f t="shared" si="24"/>
        <v>0</v>
      </c>
      <c r="E791" s="2">
        <f>IF(D791=1,Fandual!B791,0)</f>
        <v>0</v>
      </c>
      <c r="F791" s="2">
        <f>IF(D791=1,Fandual!D791,0)</f>
        <v>0</v>
      </c>
      <c r="G791" s="2">
        <f>IF(D791=1,Fandual!F791,0)</f>
        <v>0</v>
      </c>
      <c r="H791" s="2">
        <f>IF(D791=1,Fandual!H791,0)</f>
        <v>0</v>
      </c>
      <c r="I791" s="2">
        <f>IF((Optimizer!$J$8=Fandual!J791),4,0)</f>
        <v>0</v>
      </c>
      <c r="J791" s="2">
        <f>IF((Optimizer!$J$10=Fandual!J791),100,0)</f>
        <v>0</v>
      </c>
      <c r="K791" s="2">
        <f t="shared" si="25"/>
        <v>0</v>
      </c>
      <c r="L791" s="2">
        <f>IF(Fandual!M791="",1,0)</f>
        <v>1</v>
      </c>
    </row>
    <row r="792" spans="1:12" x14ac:dyDescent="0.25">
      <c r="A792" s="2">
        <f>IF((OR(Optimizer!$J$8=Fandual!J792,Optimizer!$J$10=Fandual!J792))=TRUE, 1,0)</f>
        <v>0</v>
      </c>
      <c r="B792" s="2">
        <f>IF((OR(Fandual!O792="",Fandual!O792&lt;&gt;0)=TRUE),1,0)</f>
        <v>1</v>
      </c>
      <c r="C792" s="2">
        <f>IF(Fandual!B792&lt;&gt;"P",1,0)</f>
        <v>1</v>
      </c>
      <c r="D792" s="2">
        <f t="shared" si="24"/>
        <v>0</v>
      </c>
      <c r="E792" s="2">
        <f>IF(D792=1,Fandual!B792,0)</f>
        <v>0</v>
      </c>
      <c r="F792" s="2">
        <f>IF(D792=1,Fandual!D792,0)</f>
        <v>0</v>
      </c>
      <c r="G792" s="2">
        <f>IF(D792=1,Fandual!F792,0)</f>
        <v>0</v>
      </c>
      <c r="H792" s="2">
        <f>IF(D792=1,Fandual!H792,0)</f>
        <v>0</v>
      </c>
      <c r="I792" s="2">
        <f>IF((Optimizer!$J$8=Fandual!J792),4,0)</f>
        <v>0</v>
      </c>
      <c r="J792" s="2">
        <f>IF((Optimizer!$J$10=Fandual!J792),100,0)</f>
        <v>0</v>
      </c>
      <c r="K792" s="2">
        <f t="shared" si="25"/>
        <v>0</v>
      </c>
      <c r="L792" s="2">
        <f>IF(Fandual!M792="",1,0)</f>
        <v>1</v>
      </c>
    </row>
    <row r="793" spans="1:12" x14ac:dyDescent="0.25">
      <c r="A793" s="2">
        <f>IF((OR(Optimizer!$J$8=Fandual!J793,Optimizer!$J$10=Fandual!J793))=TRUE, 1,0)</f>
        <v>0</v>
      </c>
      <c r="B793" s="2">
        <f>IF((OR(Fandual!O793="",Fandual!O793&lt;&gt;0)=TRUE),1,0)</f>
        <v>1</v>
      </c>
      <c r="C793" s="2">
        <f>IF(Fandual!B793&lt;&gt;"P",1,0)</f>
        <v>1</v>
      </c>
      <c r="D793" s="2">
        <f t="shared" si="24"/>
        <v>0</v>
      </c>
      <c r="E793" s="2">
        <f>IF(D793=1,Fandual!B793,0)</f>
        <v>0</v>
      </c>
      <c r="F793" s="2">
        <f>IF(D793=1,Fandual!D793,0)</f>
        <v>0</v>
      </c>
      <c r="G793" s="2">
        <f>IF(D793=1,Fandual!F793,0)</f>
        <v>0</v>
      </c>
      <c r="H793" s="2">
        <f>IF(D793=1,Fandual!H793,0)</f>
        <v>0</v>
      </c>
      <c r="I793" s="2">
        <f>IF((Optimizer!$J$8=Fandual!J793),4,0)</f>
        <v>0</v>
      </c>
      <c r="J793" s="2">
        <f>IF((Optimizer!$J$10=Fandual!J793),100,0)</f>
        <v>0</v>
      </c>
      <c r="K793" s="2">
        <f t="shared" si="25"/>
        <v>0</v>
      </c>
      <c r="L793" s="2">
        <f>IF(Fandual!M793="",1,0)</f>
        <v>1</v>
      </c>
    </row>
    <row r="794" spans="1:12" x14ac:dyDescent="0.25">
      <c r="A794" s="2">
        <f>IF((OR(Optimizer!$J$8=Fandual!J794,Optimizer!$J$10=Fandual!J794))=TRUE, 1,0)</f>
        <v>0</v>
      </c>
      <c r="B794" s="2">
        <f>IF((OR(Fandual!O794="",Fandual!O794&lt;&gt;0)=TRUE),1,0)</f>
        <v>1</v>
      </c>
      <c r="C794" s="2">
        <f>IF(Fandual!B794&lt;&gt;"P",1,0)</f>
        <v>1</v>
      </c>
      <c r="D794" s="2">
        <f t="shared" si="24"/>
        <v>0</v>
      </c>
      <c r="E794" s="2">
        <f>IF(D794=1,Fandual!B794,0)</f>
        <v>0</v>
      </c>
      <c r="F794" s="2">
        <f>IF(D794=1,Fandual!D794,0)</f>
        <v>0</v>
      </c>
      <c r="G794" s="2">
        <f>IF(D794=1,Fandual!F794,0)</f>
        <v>0</v>
      </c>
      <c r="H794" s="2">
        <f>IF(D794=1,Fandual!H794,0)</f>
        <v>0</v>
      </c>
      <c r="I794" s="2">
        <f>IF((Optimizer!$J$8=Fandual!J794),4,0)</f>
        <v>0</v>
      </c>
      <c r="J794" s="2">
        <f>IF((Optimizer!$J$10=Fandual!J794),100,0)</f>
        <v>0</v>
      </c>
      <c r="K794" s="2">
        <f t="shared" si="25"/>
        <v>0</v>
      </c>
      <c r="L794" s="2">
        <f>IF(Fandual!M794="",1,0)</f>
        <v>1</v>
      </c>
    </row>
    <row r="795" spans="1:12" x14ac:dyDescent="0.25">
      <c r="A795" s="2">
        <f>IF((OR(Optimizer!$J$8=Fandual!J795,Optimizer!$J$10=Fandual!J795))=TRUE, 1,0)</f>
        <v>0</v>
      </c>
      <c r="B795" s="2">
        <f>IF((OR(Fandual!O795="",Fandual!O795&lt;&gt;0)=TRUE),1,0)</f>
        <v>1</v>
      </c>
      <c r="C795" s="2">
        <f>IF(Fandual!B795&lt;&gt;"P",1,0)</f>
        <v>1</v>
      </c>
      <c r="D795" s="2">
        <f t="shared" si="24"/>
        <v>0</v>
      </c>
      <c r="E795" s="2">
        <f>IF(D795=1,Fandual!B795,0)</f>
        <v>0</v>
      </c>
      <c r="F795" s="2">
        <f>IF(D795=1,Fandual!D795,0)</f>
        <v>0</v>
      </c>
      <c r="G795" s="2">
        <f>IF(D795=1,Fandual!F795,0)</f>
        <v>0</v>
      </c>
      <c r="H795" s="2">
        <f>IF(D795=1,Fandual!H795,0)</f>
        <v>0</v>
      </c>
      <c r="I795" s="2">
        <f>IF((Optimizer!$J$8=Fandual!J795),4,0)</f>
        <v>0</v>
      </c>
      <c r="J795" s="2">
        <f>IF((Optimizer!$J$10=Fandual!J795),100,0)</f>
        <v>0</v>
      </c>
      <c r="K795" s="2">
        <f t="shared" si="25"/>
        <v>0</v>
      </c>
      <c r="L795" s="2">
        <f>IF(Fandual!M795="",1,0)</f>
        <v>1</v>
      </c>
    </row>
    <row r="796" spans="1:12" x14ac:dyDescent="0.25">
      <c r="A796" s="2">
        <f>IF((OR(Optimizer!$J$8=Fandual!J796,Optimizer!$J$10=Fandual!J796))=TRUE, 1,0)</f>
        <v>0</v>
      </c>
      <c r="B796" s="2">
        <f>IF((OR(Fandual!O796="",Fandual!O796&lt;&gt;0)=TRUE),1,0)</f>
        <v>1</v>
      </c>
      <c r="C796" s="2">
        <f>IF(Fandual!B796&lt;&gt;"P",1,0)</f>
        <v>1</v>
      </c>
      <c r="D796" s="2">
        <f t="shared" si="24"/>
        <v>0</v>
      </c>
      <c r="E796" s="2">
        <f>IF(D796=1,Fandual!B796,0)</f>
        <v>0</v>
      </c>
      <c r="F796" s="2">
        <f>IF(D796=1,Fandual!D796,0)</f>
        <v>0</v>
      </c>
      <c r="G796" s="2">
        <f>IF(D796=1,Fandual!F796,0)</f>
        <v>0</v>
      </c>
      <c r="H796" s="2">
        <f>IF(D796=1,Fandual!H796,0)</f>
        <v>0</v>
      </c>
      <c r="I796" s="2">
        <f>IF((Optimizer!$J$8=Fandual!J796),4,0)</f>
        <v>0</v>
      </c>
      <c r="J796" s="2">
        <f>IF((Optimizer!$J$10=Fandual!J796),100,0)</f>
        <v>0</v>
      </c>
      <c r="K796" s="2">
        <f t="shared" si="25"/>
        <v>0</v>
      </c>
      <c r="L796" s="2">
        <f>IF(Fandual!M796="",1,0)</f>
        <v>1</v>
      </c>
    </row>
    <row r="797" spans="1:12" x14ac:dyDescent="0.25">
      <c r="A797" s="2">
        <f>IF((OR(Optimizer!$J$8=Fandual!J797,Optimizer!$J$10=Fandual!J797))=TRUE, 1,0)</f>
        <v>0</v>
      </c>
      <c r="B797" s="2">
        <f>IF((OR(Fandual!O797="",Fandual!O797&lt;&gt;0)=TRUE),1,0)</f>
        <v>1</v>
      </c>
      <c r="C797" s="2">
        <f>IF(Fandual!B797&lt;&gt;"P",1,0)</f>
        <v>1</v>
      </c>
      <c r="D797" s="2">
        <f t="shared" si="24"/>
        <v>0</v>
      </c>
      <c r="E797" s="2">
        <f>IF(D797=1,Fandual!B797,0)</f>
        <v>0</v>
      </c>
      <c r="F797" s="2">
        <f>IF(D797=1,Fandual!D797,0)</f>
        <v>0</v>
      </c>
      <c r="G797" s="2">
        <f>IF(D797=1,Fandual!F797,0)</f>
        <v>0</v>
      </c>
      <c r="H797" s="2">
        <f>IF(D797=1,Fandual!H797,0)</f>
        <v>0</v>
      </c>
      <c r="I797" s="2">
        <f>IF((Optimizer!$J$8=Fandual!J797),4,0)</f>
        <v>0</v>
      </c>
      <c r="J797" s="2">
        <f>IF((Optimizer!$J$10=Fandual!J797),100,0)</f>
        <v>0</v>
      </c>
      <c r="K797" s="2">
        <f t="shared" si="25"/>
        <v>0</v>
      </c>
      <c r="L797" s="2">
        <f>IF(Fandual!M797="",1,0)</f>
        <v>1</v>
      </c>
    </row>
    <row r="798" spans="1:12" x14ac:dyDescent="0.25">
      <c r="A798" s="2">
        <f>IF((OR(Optimizer!$J$8=Fandual!J798,Optimizer!$J$10=Fandual!J798))=TRUE, 1,0)</f>
        <v>0</v>
      </c>
      <c r="B798" s="2">
        <f>IF((OR(Fandual!O798="",Fandual!O798&lt;&gt;0)=TRUE),1,0)</f>
        <v>1</v>
      </c>
      <c r="C798" s="2">
        <f>IF(Fandual!B798&lt;&gt;"P",1,0)</f>
        <v>1</v>
      </c>
      <c r="D798" s="2">
        <f t="shared" si="24"/>
        <v>0</v>
      </c>
      <c r="E798" s="2">
        <f>IF(D798=1,Fandual!B798,0)</f>
        <v>0</v>
      </c>
      <c r="F798" s="2">
        <f>IF(D798=1,Fandual!D798,0)</f>
        <v>0</v>
      </c>
      <c r="G798" s="2">
        <f>IF(D798=1,Fandual!F798,0)</f>
        <v>0</v>
      </c>
      <c r="H798" s="2">
        <f>IF(D798=1,Fandual!H798,0)</f>
        <v>0</v>
      </c>
      <c r="I798" s="2">
        <f>IF((Optimizer!$J$8=Fandual!J798),4,0)</f>
        <v>0</v>
      </c>
      <c r="J798" s="2">
        <f>IF((Optimizer!$J$10=Fandual!J798),100,0)</f>
        <v>0</v>
      </c>
      <c r="K798" s="2">
        <f t="shared" si="25"/>
        <v>0</v>
      </c>
      <c r="L798" s="2">
        <f>IF(Fandual!M798="",1,0)</f>
        <v>0</v>
      </c>
    </row>
    <row r="799" spans="1:12" x14ac:dyDescent="0.25">
      <c r="A799" s="2">
        <f>IF((OR(Optimizer!$J$8=Fandual!J799,Optimizer!$J$10=Fandual!J799))=TRUE, 1,0)</f>
        <v>0</v>
      </c>
      <c r="B799" s="2">
        <f>IF((OR(Fandual!O799="",Fandual!O799&lt;&gt;0)=TRUE),1,0)</f>
        <v>1</v>
      </c>
      <c r="C799" s="2">
        <f>IF(Fandual!B799&lt;&gt;"P",1,0)</f>
        <v>1</v>
      </c>
      <c r="D799" s="2">
        <f t="shared" si="24"/>
        <v>0</v>
      </c>
      <c r="E799" s="2">
        <f>IF(D799=1,Fandual!B799,0)</f>
        <v>0</v>
      </c>
      <c r="F799" s="2">
        <f>IF(D799=1,Fandual!D799,0)</f>
        <v>0</v>
      </c>
      <c r="G799" s="2">
        <f>IF(D799=1,Fandual!F799,0)</f>
        <v>0</v>
      </c>
      <c r="H799" s="2">
        <f>IF(D799=1,Fandual!H799,0)</f>
        <v>0</v>
      </c>
      <c r="I799" s="2">
        <f>IF((Optimizer!$J$8=Fandual!J799),4,0)</f>
        <v>0</v>
      </c>
      <c r="J799" s="2">
        <f>IF((Optimizer!$J$10=Fandual!J799),100,0)</f>
        <v>0</v>
      </c>
      <c r="K799" s="2">
        <f t="shared" si="25"/>
        <v>0</v>
      </c>
      <c r="L799" s="2">
        <f>IF(Fandual!M799="",1,0)</f>
        <v>1</v>
      </c>
    </row>
    <row r="800" spans="1:12" x14ac:dyDescent="0.25">
      <c r="A800" s="2">
        <f>IF((OR(Optimizer!$J$8=Fandual!J800,Optimizer!$J$10=Fandual!J800))=TRUE, 1,0)</f>
        <v>0</v>
      </c>
      <c r="B800" s="2">
        <f>IF((OR(Fandual!O800="",Fandual!O800&lt;&gt;0)=TRUE),1,0)</f>
        <v>1</v>
      </c>
      <c r="C800" s="2">
        <f>IF(Fandual!B800&lt;&gt;"P",1,0)</f>
        <v>1</v>
      </c>
      <c r="D800" s="2">
        <f t="shared" si="24"/>
        <v>0</v>
      </c>
      <c r="E800" s="2">
        <f>IF(D800=1,Fandual!B800,0)</f>
        <v>0</v>
      </c>
      <c r="F800" s="2">
        <f>IF(D800=1,Fandual!D800,0)</f>
        <v>0</v>
      </c>
      <c r="G800" s="2">
        <f>IF(D800=1,Fandual!F800,0)</f>
        <v>0</v>
      </c>
      <c r="H800" s="2">
        <f>IF(D800=1,Fandual!H800,0)</f>
        <v>0</v>
      </c>
      <c r="I800" s="2">
        <f>IF((Optimizer!$J$8=Fandual!J800),4,0)</f>
        <v>0</v>
      </c>
      <c r="J800" s="2">
        <f>IF((Optimizer!$J$10=Fandual!J800),100,0)</f>
        <v>0</v>
      </c>
      <c r="K800" s="2">
        <f t="shared" si="25"/>
        <v>0</v>
      </c>
      <c r="L800" s="2">
        <f>IF(Fandual!M800="",1,0)</f>
        <v>1</v>
      </c>
    </row>
    <row r="801" spans="1:12" x14ac:dyDescent="0.25">
      <c r="A801" s="2">
        <f>IF((OR(Optimizer!$J$8=Fandual!J801,Optimizer!$J$10=Fandual!J801))=TRUE, 1,0)</f>
        <v>0</v>
      </c>
      <c r="B801" s="2">
        <f>IF((OR(Fandual!O801="",Fandual!O801&lt;&gt;0)=TRUE),1,0)</f>
        <v>1</v>
      </c>
      <c r="C801" s="2">
        <f>IF(Fandual!B801&lt;&gt;"P",1,0)</f>
        <v>1</v>
      </c>
      <c r="D801" s="2">
        <f t="shared" si="24"/>
        <v>0</v>
      </c>
      <c r="E801" s="2">
        <f>IF(D801=1,Fandual!B801,0)</f>
        <v>0</v>
      </c>
      <c r="F801" s="2">
        <f>IF(D801=1,Fandual!D801,0)</f>
        <v>0</v>
      </c>
      <c r="G801" s="2">
        <f>IF(D801=1,Fandual!F801,0)</f>
        <v>0</v>
      </c>
      <c r="H801" s="2">
        <f>IF(D801=1,Fandual!H801,0)</f>
        <v>0</v>
      </c>
      <c r="I801" s="2">
        <f>IF((Optimizer!$J$8=Fandual!J801),4,0)</f>
        <v>0</v>
      </c>
      <c r="J801" s="2">
        <f>IF((Optimizer!$J$10=Fandual!J801),100,0)</f>
        <v>0</v>
      </c>
      <c r="K801" s="2">
        <f t="shared" si="25"/>
        <v>0</v>
      </c>
      <c r="L801" s="2">
        <f>IF(Fandual!M801="",1,0)</f>
        <v>1</v>
      </c>
    </row>
    <row r="802" spans="1:12" x14ac:dyDescent="0.25">
      <c r="A802" s="2">
        <f>IF((OR(Optimizer!$J$8=Fandual!J802,Optimizer!$J$10=Fandual!J802))=TRUE, 1,0)</f>
        <v>0</v>
      </c>
      <c r="B802" s="2">
        <f>IF((OR(Fandual!O802="",Fandual!O802&lt;&gt;0)=TRUE),1,0)</f>
        <v>1</v>
      </c>
      <c r="C802" s="2">
        <f>IF(Fandual!B802&lt;&gt;"P",1,0)</f>
        <v>1</v>
      </c>
      <c r="D802" s="2">
        <f t="shared" si="24"/>
        <v>0</v>
      </c>
      <c r="E802" s="2">
        <f>IF(D802=1,Fandual!B802,0)</f>
        <v>0</v>
      </c>
      <c r="F802" s="2">
        <f>IF(D802=1,Fandual!D802,0)</f>
        <v>0</v>
      </c>
      <c r="G802" s="2">
        <f>IF(D802=1,Fandual!F802,0)</f>
        <v>0</v>
      </c>
      <c r="H802" s="2">
        <f>IF(D802=1,Fandual!H802,0)</f>
        <v>0</v>
      </c>
      <c r="I802" s="2">
        <f>IF((Optimizer!$J$8=Fandual!J802),4,0)</f>
        <v>0</v>
      </c>
      <c r="J802" s="2">
        <f>IF((Optimizer!$J$10=Fandual!J802),100,0)</f>
        <v>0</v>
      </c>
      <c r="K802" s="2">
        <f t="shared" si="25"/>
        <v>0</v>
      </c>
      <c r="L802" s="2">
        <f>IF(Fandual!M802="",1,0)</f>
        <v>0</v>
      </c>
    </row>
    <row r="803" spans="1:12" x14ac:dyDescent="0.25">
      <c r="A803" s="2">
        <f>IF((OR(Optimizer!$J$8=Fandual!J803,Optimizer!$J$10=Fandual!J803))=TRUE, 1,0)</f>
        <v>0</v>
      </c>
      <c r="B803" s="2">
        <f>IF((OR(Fandual!O803="",Fandual!O803&lt;&gt;0)=TRUE),1,0)</f>
        <v>1</v>
      </c>
      <c r="C803" s="2">
        <f>IF(Fandual!B803&lt;&gt;"P",1,0)</f>
        <v>1</v>
      </c>
      <c r="D803" s="2">
        <f t="shared" si="24"/>
        <v>0</v>
      </c>
      <c r="E803" s="2">
        <f>IF(D803=1,Fandual!B803,0)</f>
        <v>0</v>
      </c>
      <c r="F803" s="2">
        <f>IF(D803=1,Fandual!D803,0)</f>
        <v>0</v>
      </c>
      <c r="G803" s="2">
        <f>IF(D803=1,Fandual!F803,0)</f>
        <v>0</v>
      </c>
      <c r="H803" s="2">
        <f>IF(D803=1,Fandual!H803,0)</f>
        <v>0</v>
      </c>
      <c r="I803" s="2">
        <f>IF((Optimizer!$J$8=Fandual!J803),4,0)</f>
        <v>0</v>
      </c>
      <c r="J803" s="2">
        <f>IF((Optimizer!$J$10=Fandual!J803),100,0)</f>
        <v>0</v>
      </c>
      <c r="K803" s="2">
        <f t="shared" si="25"/>
        <v>0</v>
      </c>
      <c r="L803" s="2">
        <f>IF(Fandual!M803="",1,0)</f>
        <v>1</v>
      </c>
    </row>
    <row r="804" spans="1:12" x14ac:dyDescent="0.25">
      <c r="A804" s="2">
        <f>IF((OR(Optimizer!$J$8=Fandual!J804,Optimizer!$J$10=Fandual!J804))=TRUE, 1,0)</f>
        <v>0</v>
      </c>
      <c r="B804" s="2">
        <f>IF((OR(Fandual!O804="",Fandual!O804&lt;&gt;0)=TRUE),1,0)</f>
        <v>1</v>
      </c>
      <c r="C804" s="2">
        <f>IF(Fandual!B804&lt;&gt;"P",1,0)</f>
        <v>1</v>
      </c>
      <c r="D804" s="2">
        <f t="shared" si="24"/>
        <v>0</v>
      </c>
      <c r="E804" s="2">
        <f>IF(D804=1,Fandual!B804,0)</f>
        <v>0</v>
      </c>
      <c r="F804" s="2">
        <f>IF(D804=1,Fandual!D804,0)</f>
        <v>0</v>
      </c>
      <c r="G804" s="2">
        <f>IF(D804=1,Fandual!F804,0)</f>
        <v>0</v>
      </c>
      <c r="H804" s="2">
        <f>IF(D804=1,Fandual!H804,0)</f>
        <v>0</v>
      </c>
      <c r="I804" s="2">
        <f>IF((Optimizer!$J$8=Fandual!J804),4,0)</f>
        <v>0</v>
      </c>
      <c r="J804" s="2">
        <f>IF((Optimizer!$J$10=Fandual!J804),100,0)</f>
        <v>0</v>
      </c>
      <c r="K804" s="2">
        <f t="shared" si="25"/>
        <v>0</v>
      </c>
      <c r="L804" s="2">
        <f>IF(Fandual!M804="",1,0)</f>
        <v>0</v>
      </c>
    </row>
    <row r="805" spans="1:12" x14ac:dyDescent="0.25">
      <c r="A805" s="2">
        <f>IF((OR(Optimizer!$J$8=Fandual!J805,Optimizer!$J$10=Fandual!J805))=TRUE, 1,0)</f>
        <v>0</v>
      </c>
      <c r="B805" s="2">
        <f>IF((OR(Fandual!O805="",Fandual!O805&lt;&gt;0)=TRUE),1,0)</f>
        <v>1</v>
      </c>
      <c r="C805" s="2">
        <f>IF(Fandual!B805&lt;&gt;"P",1,0)</f>
        <v>1</v>
      </c>
      <c r="D805" s="2">
        <f t="shared" si="24"/>
        <v>0</v>
      </c>
      <c r="E805" s="2">
        <f>IF(D805=1,Fandual!B805,0)</f>
        <v>0</v>
      </c>
      <c r="F805" s="2">
        <f>IF(D805=1,Fandual!D805,0)</f>
        <v>0</v>
      </c>
      <c r="G805" s="2">
        <f>IF(D805=1,Fandual!F805,0)</f>
        <v>0</v>
      </c>
      <c r="H805" s="2">
        <f>IF(D805=1,Fandual!H805,0)</f>
        <v>0</v>
      </c>
      <c r="I805" s="2">
        <f>IF((Optimizer!$J$8=Fandual!J805),4,0)</f>
        <v>0</v>
      </c>
      <c r="J805" s="2">
        <f>IF((Optimizer!$J$10=Fandual!J805),100,0)</f>
        <v>0</v>
      </c>
      <c r="K805" s="2">
        <f t="shared" si="25"/>
        <v>0</v>
      </c>
      <c r="L805" s="2">
        <f>IF(Fandual!M805="",1,0)</f>
        <v>0</v>
      </c>
    </row>
    <row r="806" spans="1:12" x14ac:dyDescent="0.25">
      <c r="A806" s="2">
        <f>IF((OR(Optimizer!$J$8=Fandual!J806,Optimizer!$J$10=Fandual!J806))=TRUE, 1,0)</f>
        <v>0</v>
      </c>
      <c r="B806" s="2">
        <f>IF((OR(Fandual!O806="",Fandual!O806&lt;&gt;0)=TRUE),1,0)</f>
        <v>1</v>
      </c>
      <c r="C806" s="2">
        <f>IF(Fandual!B806&lt;&gt;"P",1,0)</f>
        <v>1</v>
      </c>
      <c r="D806" s="2">
        <f t="shared" si="24"/>
        <v>0</v>
      </c>
      <c r="E806" s="2">
        <f>IF(D806=1,Fandual!B806,0)</f>
        <v>0</v>
      </c>
      <c r="F806" s="2">
        <f>IF(D806=1,Fandual!D806,0)</f>
        <v>0</v>
      </c>
      <c r="G806" s="2">
        <f>IF(D806=1,Fandual!F806,0)</f>
        <v>0</v>
      </c>
      <c r="H806" s="2">
        <f>IF(D806=1,Fandual!H806,0)</f>
        <v>0</v>
      </c>
      <c r="I806" s="2">
        <f>IF((Optimizer!$J$8=Fandual!J806),4,0)</f>
        <v>0</v>
      </c>
      <c r="J806" s="2">
        <f>IF((Optimizer!$J$10=Fandual!J806),100,0)</f>
        <v>0</v>
      </c>
      <c r="K806" s="2">
        <f t="shared" si="25"/>
        <v>0</v>
      </c>
      <c r="L806" s="2">
        <f>IF(Fandual!M806="",1,0)</f>
        <v>1</v>
      </c>
    </row>
    <row r="807" spans="1:12" x14ac:dyDescent="0.25">
      <c r="A807" s="2">
        <f>IF((OR(Optimizer!$J$8=Fandual!J807,Optimizer!$J$10=Fandual!J807))=TRUE, 1,0)</f>
        <v>0</v>
      </c>
      <c r="B807" s="2">
        <f>IF((OR(Fandual!O807="",Fandual!O807&lt;&gt;0)=TRUE),1,0)</f>
        <v>1</v>
      </c>
      <c r="C807" s="2">
        <f>IF(Fandual!B807&lt;&gt;"P",1,0)</f>
        <v>1</v>
      </c>
      <c r="D807" s="2">
        <f t="shared" si="24"/>
        <v>0</v>
      </c>
      <c r="E807" s="2">
        <f>IF(D807=1,Fandual!B807,0)</f>
        <v>0</v>
      </c>
      <c r="F807" s="2">
        <f>IF(D807=1,Fandual!D807,0)</f>
        <v>0</v>
      </c>
      <c r="G807" s="2">
        <f>IF(D807=1,Fandual!F807,0)</f>
        <v>0</v>
      </c>
      <c r="H807" s="2">
        <f>IF(D807=1,Fandual!H807,0)</f>
        <v>0</v>
      </c>
      <c r="I807" s="2">
        <f>IF((Optimizer!$J$8=Fandual!J807),4,0)</f>
        <v>0</v>
      </c>
      <c r="J807" s="2">
        <f>IF((Optimizer!$J$10=Fandual!J807),100,0)</f>
        <v>0</v>
      </c>
      <c r="K807" s="2">
        <f t="shared" si="25"/>
        <v>0</v>
      </c>
      <c r="L807" s="2">
        <f>IF(Fandual!M807="",1,0)</f>
        <v>1</v>
      </c>
    </row>
    <row r="808" spans="1:12" x14ac:dyDescent="0.25">
      <c r="A808" s="2">
        <f>IF((OR(Optimizer!$J$8=Fandual!J808,Optimizer!$J$10=Fandual!J808))=TRUE, 1,0)</f>
        <v>0</v>
      </c>
      <c r="B808" s="2">
        <f>IF((OR(Fandual!O808="",Fandual!O808&lt;&gt;0)=TRUE),1,0)</f>
        <v>1</v>
      </c>
      <c r="C808" s="2">
        <f>IF(Fandual!B808&lt;&gt;"P",1,0)</f>
        <v>1</v>
      </c>
      <c r="D808" s="2">
        <f t="shared" si="24"/>
        <v>0</v>
      </c>
      <c r="E808" s="2">
        <f>IF(D808=1,Fandual!B808,0)</f>
        <v>0</v>
      </c>
      <c r="F808" s="2">
        <f>IF(D808=1,Fandual!D808,0)</f>
        <v>0</v>
      </c>
      <c r="G808" s="2">
        <f>IF(D808=1,Fandual!F808,0)</f>
        <v>0</v>
      </c>
      <c r="H808" s="2">
        <f>IF(D808=1,Fandual!H808,0)</f>
        <v>0</v>
      </c>
      <c r="I808" s="2">
        <f>IF((Optimizer!$J$8=Fandual!J808),4,0)</f>
        <v>0</v>
      </c>
      <c r="J808" s="2">
        <f>IF((Optimizer!$J$10=Fandual!J808),100,0)</f>
        <v>0</v>
      </c>
      <c r="K808" s="2">
        <f t="shared" si="25"/>
        <v>0</v>
      </c>
      <c r="L808" s="2">
        <f>IF(Fandual!M808="",1,0)</f>
        <v>1</v>
      </c>
    </row>
    <row r="809" spans="1:12" x14ac:dyDescent="0.25">
      <c r="A809" s="2">
        <f>IF((OR(Optimizer!$J$8=Fandual!J809,Optimizer!$J$10=Fandual!J809))=TRUE, 1,0)</f>
        <v>0</v>
      </c>
      <c r="B809" s="2">
        <f>IF((OR(Fandual!O809="",Fandual!O809&lt;&gt;0)=TRUE),1,0)</f>
        <v>1</v>
      </c>
      <c r="C809" s="2">
        <f>IF(Fandual!B809&lt;&gt;"P",1,0)</f>
        <v>1</v>
      </c>
      <c r="D809" s="2">
        <f t="shared" si="24"/>
        <v>0</v>
      </c>
      <c r="E809" s="2">
        <f>IF(D809=1,Fandual!B809,0)</f>
        <v>0</v>
      </c>
      <c r="F809" s="2">
        <f>IF(D809=1,Fandual!D809,0)</f>
        <v>0</v>
      </c>
      <c r="G809" s="2">
        <f>IF(D809=1,Fandual!F809,0)</f>
        <v>0</v>
      </c>
      <c r="H809" s="2">
        <f>IF(D809=1,Fandual!H809,0)</f>
        <v>0</v>
      </c>
      <c r="I809" s="2">
        <f>IF((Optimizer!$J$8=Fandual!J809),4,0)</f>
        <v>0</v>
      </c>
      <c r="J809" s="2">
        <f>IF((Optimizer!$J$10=Fandual!J809),100,0)</f>
        <v>0</v>
      </c>
      <c r="K809" s="2">
        <f t="shared" si="25"/>
        <v>0</v>
      </c>
      <c r="L809" s="2">
        <f>IF(Fandual!M809="",1,0)</f>
        <v>1</v>
      </c>
    </row>
    <row r="810" spans="1:12" x14ac:dyDescent="0.25">
      <c r="A810" s="2">
        <f>IF((OR(Optimizer!$J$8=Fandual!J810,Optimizer!$J$10=Fandual!J810))=TRUE, 1,0)</f>
        <v>0</v>
      </c>
      <c r="B810" s="2">
        <f>IF((OR(Fandual!O810="",Fandual!O810&lt;&gt;0)=TRUE),1,0)</f>
        <v>1</v>
      </c>
      <c r="C810" s="2">
        <f>IF(Fandual!B810&lt;&gt;"P",1,0)</f>
        <v>1</v>
      </c>
      <c r="D810" s="2">
        <f t="shared" si="24"/>
        <v>0</v>
      </c>
      <c r="E810" s="2">
        <f>IF(D810=1,Fandual!B810,0)</f>
        <v>0</v>
      </c>
      <c r="F810" s="2">
        <f>IF(D810=1,Fandual!D810,0)</f>
        <v>0</v>
      </c>
      <c r="G810" s="2">
        <f>IF(D810=1,Fandual!F810,0)</f>
        <v>0</v>
      </c>
      <c r="H810" s="2">
        <f>IF(D810=1,Fandual!H810,0)</f>
        <v>0</v>
      </c>
      <c r="I810" s="2">
        <f>IF((Optimizer!$J$8=Fandual!J810),4,0)</f>
        <v>0</v>
      </c>
      <c r="J810" s="2">
        <f>IF((Optimizer!$J$10=Fandual!J810),100,0)</f>
        <v>0</v>
      </c>
      <c r="K810" s="2">
        <f t="shared" si="25"/>
        <v>0</v>
      </c>
      <c r="L810" s="2">
        <f>IF(Fandual!M810="",1,0)</f>
        <v>1</v>
      </c>
    </row>
    <row r="811" spans="1:12" x14ac:dyDescent="0.25">
      <c r="A811" s="2">
        <f>IF((OR(Optimizer!$J$8=Fandual!J811,Optimizer!$J$10=Fandual!J811))=TRUE, 1,0)</f>
        <v>0</v>
      </c>
      <c r="B811" s="2">
        <f>IF((OR(Fandual!O811="",Fandual!O811&lt;&gt;0)=TRUE),1,0)</f>
        <v>1</v>
      </c>
      <c r="C811" s="2">
        <f>IF(Fandual!B811&lt;&gt;"P",1,0)</f>
        <v>1</v>
      </c>
      <c r="D811" s="2">
        <f t="shared" si="24"/>
        <v>0</v>
      </c>
      <c r="E811" s="2">
        <f>IF(D811=1,Fandual!B811,0)</f>
        <v>0</v>
      </c>
      <c r="F811" s="2">
        <f>IF(D811=1,Fandual!D811,0)</f>
        <v>0</v>
      </c>
      <c r="G811" s="2">
        <f>IF(D811=1,Fandual!F811,0)</f>
        <v>0</v>
      </c>
      <c r="H811" s="2">
        <f>IF(D811=1,Fandual!H811,0)</f>
        <v>0</v>
      </c>
      <c r="I811" s="2">
        <f>IF((Optimizer!$J$8=Fandual!J811),4,0)</f>
        <v>0</v>
      </c>
      <c r="J811" s="2">
        <f>IF((Optimizer!$J$10=Fandual!J811),100,0)</f>
        <v>0</v>
      </c>
      <c r="K811" s="2">
        <f t="shared" si="25"/>
        <v>0</v>
      </c>
      <c r="L811" s="2">
        <f>IF(Fandual!M811="",1,0)</f>
        <v>1</v>
      </c>
    </row>
    <row r="812" spans="1:12" x14ac:dyDescent="0.25">
      <c r="A812" s="2">
        <f>IF((OR(Optimizer!$J$8=Fandual!J812,Optimizer!$J$10=Fandual!J812))=TRUE, 1,0)</f>
        <v>0</v>
      </c>
      <c r="B812" s="2">
        <f>IF((OR(Fandual!O812="",Fandual!O812&lt;&gt;0)=TRUE),1,0)</f>
        <v>1</v>
      </c>
      <c r="C812" s="2">
        <f>IF(Fandual!B812&lt;&gt;"P",1,0)</f>
        <v>1</v>
      </c>
      <c r="D812" s="2">
        <f t="shared" si="24"/>
        <v>0</v>
      </c>
      <c r="E812" s="2">
        <f>IF(D812=1,Fandual!B812,0)</f>
        <v>0</v>
      </c>
      <c r="F812" s="2">
        <f>IF(D812=1,Fandual!D812,0)</f>
        <v>0</v>
      </c>
      <c r="G812" s="2">
        <f>IF(D812=1,Fandual!F812,0)</f>
        <v>0</v>
      </c>
      <c r="H812" s="2">
        <f>IF(D812=1,Fandual!H812,0)</f>
        <v>0</v>
      </c>
      <c r="I812" s="2">
        <f>IF((Optimizer!$J$8=Fandual!J812),4,0)</f>
        <v>0</v>
      </c>
      <c r="J812" s="2">
        <f>IF((Optimizer!$J$10=Fandual!J812),100,0)</f>
        <v>0</v>
      </c>
      <c r="K812" s="2">
        <f t="shared" si="25"/>
        <v>0</v>
      </c>
      <c r="L812" s="2">
        <f>IF(Fandual!M812="",1,0)</f>
        <v>1</v>
      </c>
    </row>
    <row r="813" spans="1:12" x14ac:dyDescent="0.25">
      <c r="A813" s="2">
        <f>IF((OR(Optimizer!$J$8=Fandual!J813,Optimizer!$J$10=Fandual!J813))=TRUE, 1,0)</f>
        <v>0</v>
      </c>
      <c r="B813" s="2">
        <f>IF((OR(Fandual!O813="",Fandual!O813&lt;&gt;0)=TRUE),1,0)</f>
        <v>1</v>
      </c>
      <c r="C813" s="2">
        <f>IF(Fandual!B813&lt;&gt;"P",1,0)</f>
        <v>1</v>
      </c>
      <c r="D813" s="2">
        <f t="shared" si="24"/>
        <v>0</v>
      </c>
      <c r="E813" s="2">
        <f>IF(D813=1,Fandual!B813,0)</f>
        <v>0</v>
      </c>
      <c r="F813" s="2">
        <f>IF(D813=1,Fandual!D813,0)</f>
        <v>0</v>
      </c>
      <c r="G813" s="2">
        <f>IF(D813=1,Fandual!F813,0)</f>
        <v>0</v>
      </c>
      <c r="H813" s="2">
        <f>IF(D813=1,Fandual!H813,0)</f>
        <v>0</v>
      </c>
      <c r="I813" s="2">
        <f>IF((Optimizer!$J$8=Fandual!J813),4,0)</f>
        <v>0</v>
      </c>
      <c r="J813" s="2">
        <f>IF((Optimizer!$J$10=Fandual!J813),100,0)</f>
        <v>0</v>
      </c>
      <c r="K813" s="2">
        <f t="shared" si="25"/>
        <v>0</v>
      </c>
      <c r="L813" s="2">
        <f>IF(Fandual!M813="",1,0)</f>
        <v>1</v>
      </c>
    </row>
    <row r="814" spans="1:12" x14ac:dyDescent="0.25">
      <c r="A814" s="2">
        <f>IF((OR(Optimizer!$J$8=Fandual!J814,Optimizer!$J$10=Fandual!J814))=TRUE, 1,0)</f>
        <v>0</v>
      </c>
      <c r="B814" s="2">
        <f>IF((OR(Fandual!O814="",Fandual!O814&lt;&gt;0)=TRUE),1,0)</f>
        <v>1</v>
      </c>
      <c r="C814" s="2">
        <f>IF(Fandual!B814&lt;&gt;"P",1,0)</f>
        <v>1</v>
      </c>
      <c r="D814" s="2">
        <f t="shared" si="24"/>
        <v>0</v>
      </c>
      <c r="E814" s="2">
        <f>IF(D814=1,Fandual!B814,0)</f>
        <v>0</v>
      </c>
      <c r="F814" s="2">
        <f>IF(D814=1,Fandual!D814,0)</f>
        <v>0</v>
      </c>
      <c r="G814" s="2">
        <f>IF(D814=1,Fandual!F814,0)</f>
        <v>0</v>
      </c>
      <c r="H814" s="2">
        <f>IF(D814=1,Fandual!H814,0)</f>
        <v>0</v>
      </c>
      <c r="I814" s="2">
        <f>IF((Optimizer!$J$8=Fandual!J814),4,0)</f>
        <v>0</v>
      </c>
      <c r="J814" s="2">
        <f>IF((Optimizer!$J$10=Fandual!J814),100,0)</f>
        <v>0</v>
      </c>
      <c r="K814" s="2">
        <f t="shared" si="25"/>
        <v>0</v>
      </c>
      <c r="L814" s="2">
        <f>IF(Fandual!M814="",1,0)</f>
        <v>0</v>
      </c>
    </row>
    <row r="815" spans="1:12" x14ac:dyDescent="0.25">
      <c r="A815" s="2">
        <f>IF((OR(Optimizer!$J$8=Fandual!J815,Optimizer!$J$10=Fandual!J815))=TRUE, 1,0)</f>
        <v>0</v>
      </c>
      <c r="B815" s="2">
        <f>IF((OR(Fandual!O815="",Fandual!O815&lt;&gt;0)=TRUE),1,0)</f>
        <v>1</v>
      </c>
      <c r="C815" s="2">
        <f>IF(Fandual!B815&lt;&gt;"P",1,0)</f>
        <v>1</v>
      </c>
      <c r="D815" s="2">
        <f t="shared" si="24"/>
        <v>0</v>
      </c>
      <c r="E815" s="2">
        <f>IF(D815=1,Fandual!B815,0)</f>
        <v>0</v>
      </c>
      <c r="F815" s="2">
        <f>IF(D815=1,Fandual!D815,0)</f>
        <v>0</v>
      </c>
      <c r="G815" s="2">
        <f>IF(D815=1,Fandual!F815,0)</f>
        <v>0</v>
      </c>
      <c r="H815" s="2">
        <f>IF(D815=1,Fandual!H815,0)</f>
        <v>0</v>
      </c>
      <c r="I815" s="2">
        <f>IF((Optimizer!$J$8=Fandual!J815),4,0)</f>
        <v>0</v>
      </c>
      <c r="J815" s="2">
        <f>IF((Optimizer!$J$10=Fandual!J815),100,0)</f>
        <v>0</v>
      </c>
      <c r="K815" s="2">
        <f t="shared" si="25"/>
        <v>0</v>
      </c>
      <c r="L815" s="2">
        <f>IF(Fandual!M815="",1,0)</f>
        <v>0</v>
      </c>
    </row>
    <row r="816" spans="1:12" x14ac:dyDescent="0.25">
      <c r="A816" s="2">
        <f>IF((OR(Optimizer!$J$8=Fandual!J816,Optimizer!$J$10=Fandual!J816))=TRUE, 1,0)</f>
        <v>0</v>
      </c>
      <c r="B816" s="2">
        <f>IF((OR(Fandual!O816="",Fandual!O816&lt;&gt;0)=TRUE),1,0)</f>
        <v>1</v>
      </c>
      <c r="C816" s="2">
        <f>IF(Fandual!B816&lt;&gt;"P",1,0)</f>
        <v>1</v>
      </c>
      <c r="D816" s="2">
        <f t="shared" si="24"/>
        <v>0</v>
      </c>
      <c r="E816" s="2">
        <f>IF(D816=1,Fandual!B816,0)</f>
        <v>0</v>
      </c>
      <c r="F816" s="2">
        <f>IF(D816=1,Fandual!D816,0)</f>
        <v>0</v>
      </c>
      <c r="G816" s="2">
        <f>IF(D816=1,Fandual!F816,0)</f>
        <v>0</v>
      </c>
      <c r="H816" s="2">
        <f>IF(D816=1,Fandual!H816,0)</f>
        <v>0</v>
      </c>
      <c r="I816" s="2">
        <f>IF((Optimizer!$J$8=Fandual!J816),4,0)</f>
        <v>0</v>
      </c>
      <c r="J816" s="2">
        <f>IF((Optimizer!$J$10=Fandual!J816),100,0)</f>
        <v>0</v>
      </c>
      <c r="K816" s="2">
        <f t="shared" si="25"/>
        <v>0</v>
      </c>
      <c r="L816" s="2">
        <f>IF(Fandual!M816="",1,0)</f>
        <v>1</v>
      </c>
    </row>
    <row r="817" spans="1:12" x14ac:dyDescent="0.25">
      <c r="A817" s="2">
        <f>IF((OR(Optimizer!$J$8=Fandual!J817,Optimizer!$J$10=Fandual!J817))=TRUE, 1,0)</f>
        <v>0</v>
      </c>
      <c r="B817" s="2">
        <f>IF((OR(Fandual!O817="",Fandual!O817&lt;&gt;0)=TRUE),1,0)</f>
        <v>1</v>
      </c>
      <c r="C817" s="2">
        <f>IF(Fandual!B817&lt;&gt;"P",1,0)</f>
        <v>1</v>
      </c>
      <c r="D817" s="2">
        <f t="shared" si="24"/>
        <v>0</v>
      </c>
      <c r="E817" s="2">
        <f>IF(D817=1,Fandual!B817,0)</f>
        <v>0</v>
      </c>
      <c r="F817" s="2">
        <f>IF(D817=1,Fandual!D817,0)</f>
        <v>0</v>
      </c>
      <c r="G817" s="2">
        <f>IF(D817=1,Fandual!F817,0)</f>
        <v>0</v>
      </c>
      <c r="H817" s="2">
        <f>IF(D817=1,Fandual!H817,0)</f>
        <v>0</v>
      </c>
      <c r="I817" s="2">
        <f>IF((Optimizer!$J$8=Fandual!J817),4,0)</f>
        <v>0</v>
      </c>
      <c r="J817" s="2">
        <f>IF((Optimizer!$J$10=Fandual!J817),100,0)</f>
        <v>0</v>
      </c>
      <c r="K817" s="2">
        <f t="shared" si="25"/>
        <v>0</v>
      </c>
      <c r="L817" s="2">
        <f>IF(Fandual!M817="",1,0)</f>
        <v>1</v>
      </c>
    </row>
    <row r="818" spans="1:12" x14ac:dyDescent="0.25">
      <c r="A818" s="2">
        <f>IF((OR(Optimizer!$J$8=Fandual!J818,Optimizer!$J$10=Fandual!J818))=TRUE, 1,0)</f>
        <v>0</v>
      </c>
      <c r="B818" s="2">
        <f>IF((OR(Fandual!O818="",Fandual!O818&lt;&gt;0)=TRUE),1,0)</f>
        <v>1</v>
      </c>
      <c r="C818" s="2">
        <f>IF(Fandual!B818&lt;&gt;"P",1,0)</f>
        <v>1</v>
      </c>
      <c r="D818" s="2">
        <f t="shared" si="24"/>
        <v>0</v>
      </c>
      <c r="E818" s="2">
        <f>IF(D818=1,Fandual!B818,0)</f>
        <v>0</v>
      </c>
      <c r="F818" s="2">
        <f>IF(D818=1,Fandual!D818,0)</f>
        <v>0</v>
      </c>
      <c r="G818" s="2">
        <f>IF(D818=1,Fandual!F818,0)</f>
        <v>0</v>
      </c>
      <c r="H818" s="2">
        <f>IF(D818=1,Fandual!H818,0)</f>
        <v>0</v>
      </c>
      <c r="I818" s="2">
        <f>IF((Optimizer!$J$8=Fandual!J818),4,0)</f>
        <v>0</v>
      </c>
      <c r="J818" s="2">
        <f>IF((Optimizer!$J$10=Fandual!J818),100,0)</f>
        <v>0</v>
      </c>
      <c r="K818" s="2">
        <f t="shared" si="25"/>
        <v>0</v>
      </c>
      <c r="L818" s="2">
        <f>IF(Fandual!M818="",1,0)</f>
        <v>1</v>
      </c>
    </row>
    <row r="819" spans="1:12" x14ac:dyDescent="0.25">
      <c r="A819" s="2">
        <f>IF((OR(Optimizer!$J$8=Fandual!J819,Optimizer!$J$10=Fandual!J819))=TRUE, 1,0)</f>
        <v>0</v>
      </c>
      <c r="B819" s="2">
        <f>IF((OR(Fandual!O819="",Fandual!O819&lt;&gt;0)=TRUE),1,0)</f>
        <v>1</v>
      </c>
      <c r="C819" s="2">
        <f>IF(Fandual!B819&lt;&gt;"P",1,0)</f>
        <v>1</v>
      </c>
      <c r="D819" s="2">
        <f t="shared" si="24"/>
        <v>0</v>
      </c>
      <c r="E819" s="2">
        <f>IF(D819=1,Fandual!B819,0)</f>
        <v>0</v>
      </c>
      <c r="F819" s="2">
        <f>IF(D819=1,Fandual!D819,0)</f>
        <v>0</v>
      </c>
      <c r="G819" s="2">
        <f>IF(D819=1,Fandual!F819,0)</f>
        <v>0</v>
      </c>
      <c r="H819" s="2">
        <f>IF(D819=1,Fandual!H819,0)</f>
        <v>0</v>
      </c>
      <c r="I819" s="2">
        <f>IF((Optimizer!$J$8=Fandual!J819),4,0)</f>
        <v>0</v>
      </c>
      <c r="J819" s="2">
        <f>IF((Optimizer!$J$10=Fandual!J819),100,0)</f>
        <v>0</v>
      </c>
      <c r="K819" s="2">
        <f t="shared" si="25"/>
        <v>0</v>
      </c>
      <c r="L819" s="2">
        <f>IF(Fandual!M819="",1,0)</f>
        <v>1</v>
      </c>
    </row>
    <row r="820" spans="1:12" x14ac:dyDescent="0.25">
      <c r="A820" s="2">
        <f>IF((OR(Optimizer!$J$8=Fandual!J820,Optimizer!$J$10=Fandual!J820))=TRUE, 1,0)</f>
        <v>0</v>
      </c>
      <c r="B820" s="2">
        <f>IF((OR(Fandual!O820="",Fandual!O820&lt;&gt;0)=TRUE),1,0)</f>
        <v>1</v>
      </c>
      <c r="C820" s="2">
        <f>IF(Fandual!B820&lt;&gt;"P",1,0)</f>
        <v>1</v>
      </c>
      <c r="D820" s="2">
        <f t="shared" si="24"/>
        <v>0</v>
      </c>
      <c r="E820" s="2">
        <f>IF(D820=1,Fandual!B820,0)</f>
        <v>0</v>
      </c>
      <c r="F820" s="2">
        <f>IF(D820=1,Fandual!D820,0)</f>
        <v>0</v>
      </c>
      <c r="G820" s="2">
        <f>IF(D820=1,Fandual!F820,0)</f>
        <v>0</v>
      </c>
      <c r="H820" s="2">
        <f>IF(D820=1,Fandual!H820,0)</f>
        <v>0</v>
      </c>
      <c r="I820" s="2">
        <f>IF((Optimizer!$J$8=Fandual!J820),4,0)</f>
        <v>0</v>
      </c>
      <c r="J820" s="2">
        <f>IF((Optimizer!$J$10=Fandual!J820),100,0)</f>
        <v>0</v>
      </c>
      <c r="K820" s="2">
        <f t="shared" si="25"/>
        <v>0</v>
      </c>
      <c r="L820" s="2">
        <f>IF(Fandual!M820="",1,0)</f>
        <v>0</v>
      </c>
    </row>
    <row r="821" spans="1:12" x14ac:dyDescent="0.25">
      <c r="A821" s="2">
        <f>IF((OR(Optimizer!$J$8=Fandual!J821,Optimizer!$J$10=Fandual!J821))=TRUE, 1,0)</f>
        <v>0</v>
      </c>
      <c r="B821" s="2">
        <f>IF((OR(Fandual!O821="",Fandual!O821&lt;&gt;0)=TRUE),1,0)</f>
        <v>1</v>
      </c>
      <c r="C821" s="2">
        <f>IF(Fandual!B821&lt;&gt;"P",1,0)</f>
        <v>1</v>
      </c>
      <c r="D821" s="2">
        <f t="shared" si="24"/>
        <v>0</v>
      </c>
      <c r="E821" s="2">
        <f>IF(D821=1,Fandual!B821,0)</f>
        <v>0</v>
      </c>
      <c r="F821" s="2">
        <f>IF(D821=1,Fandual!D821,0)</f>
        <v>0</v>
      </c>
      <c r="G821" s="2">
        <f>IF(D821=1,Fandual!F821,0)</f>
        <v>0</v>
      </c>
      <c r="H821" s="2">
        <f>IF(D821=1,Fandual!H821,0)</f>
        <v>0</v>
      </c>
      <c r="I821" s="2">
        <f>IF((Optimizer!$J$8=Fandual!J821),4,0)</f>
        <v>0</v>
      </c>
      <c r="J821" s="2">
        <f>IF((Optimizer!$J$10=Fandual!J821),100,0)</f>
        <v>0</v>
      </c>
      <c r="K821" s="2">
        <f t="shared" si="25"/>
        <v>0</v>
      </c>
      <c r="L821" s="2">
        <f>IF(Fandual!M821="",1,0)</f>
        <v>1</v>
      </c>
    </row>
    <row r="822" spans="1:12" x14ac:dyDescent="0.25">
      <c r="A822" s="2">
        <f>IF((OR(Optimizer!$J$8=Fandual!J822,Optimizer!$J$10=Fandual!J822))=TRUE, 1,0)</f>
        <v>0</v>
      </c>
      <c r="B822" s="2">
        <f>IF((OR(Fandual!O822="",Fandual!O822&lt;&gt;0)=TRUE),1,0)</f>
        <v>1</v>
      </c>
      <c r="C822" s="2">
        <f>IF(Fandual!B822&lt;&gt;"P",1,0)</f>
        <v>1</v>
      </c>
      <c r="D822" s="2">
        <f t="shared" si="24"/>
        <v>0</v>
      </c>
      <c r="E822" s="2">
        <f>IF(D822=1,Fandual!B822,0)</f>
        <v>0</v>
      </c>
      <c r="F822" s="2">
        <f>IF(D822=1,Fandual!D822,0)</f>
        <v>0</v>
      </c>
      <c r="G822" s="2">
        <f>IF(D822=1,Fandual!F822,0)</f>
        <v>0</v>
      </c>
      <c r="H822" s="2">
        <f>IF(D822=1,Fandual!H822,0)</f>
        <v>0</v>
      </c>
      <c r="I822" s="2">
        <f>IF((Optimizer!$J$8=Fandual!J822),4,0)</f>
        <v>0</v>
      </c>
      <c r="J822" s="2">
        <f>IF((Optimizer!$J$10=Fandual!J822),100,0)</f>
        <v>0</v>
      </c>
      <c r="K822" s="2">
        <f t="shared" si="25"/>
        <v>0</v>
      </c>
      <c r="L822" s="2">
        <f>IF(Fandual!M822="",1,0)</f>
        <v>1</v>
      </c>
    </row>
    <row r="823" spans="1:12" x14ac:dyDescent="0.25">
      <c r="A823" s="2">
        <f>IF((OR(Optimizer!$J$8=Fandual!J823,Optimizer!$J$10=Fandual!J823))=TRUE, 1,0)</f>
        <v>0</v>
      </c>
      <c r="B823" s="2">
        <f>IF((OR(Fandual!O823="",Fandual!O823&lt;&gt;0)=TRUE),1,0)</f>
        <v>1</v>
      </c>
      <c r="C823" s="2">
        <f>IF(Fandual!B823&lt;&gt;"P",1,0)</f>
        <v>1</v>
      </c>
      <c r="D823" s="2">
        <f t="shared" si="24"/>
        <v>0</v>
      </c>
      <c r="E823" s="2">
        <f>IF(D823=1,Fandual!B823,0)</f>
        <v>0</v>
      </c>
      <c r="F823" s="2">
        <f>IF(D823=1,Fandual!D823,0)</f>
        <v>0</v>
      </c>
      <c r="G823" s="2">
        <f>IF(D823=1,Fandual!F823,0)</f>
        <v>0</v>
      </c>
      <c r="H823" s="2">
        <f>IF(D823=1,Fandual!H823,0)</f>
        <v>0</v>
      </c>
      <c r="I823" s="2">
        <f>IF((Optimizer!$J$8=Fandual!J823),4,0)</f>
        <v>0</v>
      </c>
      <c r="J823" s="2">
        <f>IF((Optimizer!$J$10=Fandual!J823),100,0)</f>
        <v>0</v>
      </c>
      <c r="K823" s="2">
        <f t="shared" si="25"/>
        <v>0</v>
      </c>
      <c r="L823" s="2">
        <f>IF(Fandual!M823="",1,0)</f>
        <v>1</v>
      </c>
    </row>
    <row r="824" spans="1:12" x14ac:dyDescent="0.25">
      <c r="A824" s="2">
        <f>IF((OR(Optimizer!$J$8=Fandual!J824,Optimizer!$J$10=Fandual!J824))=TRUE, 1,0)</f>
        <v>0</v>
      </c>
      <c r="B824" s="2">
        <f>IF((OR(Fandual!O824="",Fandual!O824&lt;&gt;0)=TRUE),1,0)</f>
        <v>1</v>
      </c>
      <c r="C824" s="2">
        <f>IF(Fandual!B824&lt;&gt;"P",1,0)</f>
        <v>1</v>
      </c>
      <c r="D824" s="2">
        <f t="shared" si="24"/>
        <v>0</v>
      </c>
      <c r="E824" s="2">
        <f>IF(D824=1,Fandual!B824,0)</f>
        <v>0</v>
      </c>
      <c r="F824" s="2">
        <f>IF(D824=1,Fandual!D824,0)</f>
        <v>0</v>
      </c>
      <c r="G824" s="2">
        <f>IF(D824=1,Fandual!F824,0)</f>
        <v>0</v>
      </c>
      <c r="H824" s="2">
        <f>IF(D824=1,Fandual!H824,0)</f>
        <v>0</v>
      </c>
      <c r="I824" s="2">
        <f>IF((Optimizer!$J$8=Fandual!J824),4,0)</f>
        <v>0</v>
      </c>
      <c r="J824" s="2">
        <f>IF((Optimizer!$J$10=Fandual!J824),100,0)</f>
        <v>0</v>
      </c>
      <c r="K824" s="2">
        <f t="shared" si="25"/>
        <v>0</v>
      </c>
      <c r="L824" s="2">
        <f>IF(Fandual!M824="",1,0)</f>
        <v>1</v>
      </c>
    </row>
    <row r="825" spans="1:12" x14ac:dyDescent="0.25">
      <c r="A825" s="2">
        <f>IF((OR(Optimizer!$J$8=Fandual!J825,Optimizer!$J$10=Fandual!J825))=TRUE, 1,0)</f>
        <v>0</v>
      </c>
      <c r="B825" s="2">
        <f>IF((OR(Fandual!O825="",Fandual!O825&lt;&gt;0)=TRUE),1,0)</f>
        <v>1</v>
      </c>
      <c r="C825" s="2">
        <f>IF(Fandual!B825&lt;&gt;"P",1,0)</f>
        <v>1</v>
      </c>
      <c r="D825" s="2">
        <f t="shared" si="24"/>
        <v>0</v>
      </c>
      <c r="E825" s="2">
        <f>IF(D825=1,Fandual!B825,0)</f>
        <v>0</v>
      </c>
      <c r="F825" s="2">
        <f>IF(D825=1,Fandual!D825,0)</f>
        <v>0</v>
      </c>
      <c r="G825" s="2">
        <f>IF(D825=1,Fandual!F825,0)</f>
        <v>0</v>
      </c>
      <c r="H825" s="2">
        <f>IF(D825=1,Fandual!H825,0)</f>
        <v>0</v>
      </c>
      <c r="I825" s="2">
        <f>IF((Optimizer!$J$8=Fandual!J825),4,0)</f>
        <v>0</v>
      </c>
      <c r="J825" s="2">
        <f>IF((Optimizer!$J$10=Fandual!J825),100,0)</f>
        <v>0</v>
      </c>
      <c r="K825" s="2">
        <f t="shared" si="25"/>
        <v>0</v>
      </c>
      <c r="L825" s="2">
        <f>IF(Fandual!M825="",1,0)</f>
        <v>1</v>
      </c>
    </row>
    <row r="826" spans="1:12" x14ac:dyDescent="0.25">
      <c r="A826" s="2">
        <f>IF((OR(Optimizer!$J$8=Fandual!J826,Optimizer!$J$10=Fandual!J826))=TRUE, 1,0)</f>
        <v>0</v>
      </c>
      <c r="B826" s="2">
        <f>IF((OR(Fandual!O826="",Fandual!O826&lt;&gt;0)=TRUE),1,0)</f>
        <v>1</v>
      </c>
      <c r="C826" s="2">
        <f>IF(Fandual!B826&lt;&gt;"P",1,0)</f>
        <v>1</v>
      </c>
      <c r="D826" s="2">
        <f t="shared" si="24"/>
        <v>0</v>
      </c>
      <c r="E826" s="2">
        <f>IF(D826=1,Fandual!B826,0)</f>
        <v>0</v>
      </c>
      <c r="F826" s="2">
        <f>IF(D826=1,Fandual!D826,0)</f>
        <v>0</v>
      </c>
      <c r="G826" s="2">
        <f>IF(D826=1,Fandual!F826,0)</f>
        <v>0</v>
      </c>
      <c r="H826" s="2">
        <f>IF(D826=1,Fandual!H826,0)</f>
        <v>0</v>
      </c>
      <c r="I826" s="2">
        <f>IF((Optimizer!$J$8=Fandual!J826),4,0)</f>
        <v>0</v>
      </c>
      <c r="J826" s="2">
        <f>IF((Optimizer!$J$10=Fandual!J826),100,0)</f>
        <v>0</v>
      </c>
      <c r="K826" s="2">
        <f t="shared" si="25"/>
        <v>0</v>
      </c>
      <c r="L826" s="2">
        <f>IF(Fandual!M826="",1,0)</f>
        <v>0</v>
      </c>
    </row>
    <row r="827" spans="1:12" x14ac:dyDescent="0.25">
      <c r="A827" s="2">
        <f>IF((OR(Optimizer!$J$8=Fandual!J827,Optimizer!$J$10=Fandual!J827))=TRUE, 1,0)</f>
        <v>0</v>
      </c>
      <c r="B827" s="2">
        <f>IF((OR(Fandual!O827="",Fandual!O827&lt;&gt;0)=TRUE),1,0)</f>
        <v>1</v>
      </c>
      <c r="C827" s="2">
        <f>IF(Fandual!B827&lt;&gt;"P",1,0)</f>
        <v>1</v>
      </c>
      <c r="D827" s="2">
        <f t="shared" si="24"/>
        <v>0</v>
      </c>
      <c r="E827" s="2">
        <f>IF(D827=1,Fandual!B827,0)</f>
        <v>0</v>
      </c>
      <c r="F827" s="2">
        <f>IF(D827=1,Fandual!D827,0)</f>
        <v>0</v>
      </c>
      <c r="G827" s="2">
        <f>IF(D827=1,Fandual!F827,0)</f>
        <v>0</v>
      </c>
      <c r="H827" s="2">
        <f>IF(D827=1,Fandual!H827,0)</f>
        <v>0</v>
      </c>
      <c r="I827" s="2">
        <f>IF((Optimizer!$J$8=Fandual!J827),4,0)</f>
        <v>0</v>
      </c>
      <c r="J827" s="2">
        <f>IF((Optimizer!$J$10=Fandual!J827),100,0)</f>
        <v>0</v>
      </c>
      <c r="K827" s="2">
        <f t="shared" si="25"/>
        <v>0</v>
      </c>
      <c r="L827" s="2">
        <f>IF(Fandual!M827="",1,0)</f>
        <v>1</v>
      </c>
    </row>
    <row r="828" spans="1:12" x14ac:dyDescent="0.25">
      <c r="A828" s="2">
        <f>IF((OR(Optimizer!$J$8=Fandual!J828,Optimizer!$J$10=Fandual!J828))=TRUE, 1,0)</f>
        <v>0</v>
      </c>
      <c r="B828" s="2">
        <f>IF((OR(Fandual!O828="",Fandual!O828&lt;&gt;0)=TRUE),1,0)</f>
        <v>1</v>
      </c>
      <c r="C828" s="2">
        <f>IF(Fandual!B828&lt;&gt;"P",1,0)</f>
        <v>1</v>
      </c>
      <c r="D828" s="2">
        <f t="shared" si="24"/>
        <v>0</v>
      </c>
      <c r="E828" s="2">
        <f>IF(D828=1,Fandual!B828,0)</f>
        <v>0</v>
      </c>
      <c r="F828" s="2">
        <f>IF(D828=1,Fandual!D828,0)</f>
        <v>0</v>
      </c>
      <c r="G828" s="2">
        <f>IF(D828=1,Fandual!F828,0)</f>
        <v>0</v>
      </c>
      <c r="H828" s="2">
        <f>IF(D828=1,Fandual!H828,0)</f>
        <v>0</v>
      </c>
      <c r="I828" s="2">
        <f>IF((Optimizer!$J$8=Fandual!J828),4,0)</f>
        <v>0</v>
      </c>
      <c r="J828" s="2">
        <f>IF((Optimizer!$J$10=Fandual!J828),100,0)</f>
        <v>0</v>
      </c>
      <c r="K828" s="2">
        <f t="shared" si="25"/>
        <v>0</v>
      </c>
      <c r="L828" s="2">
        <f>IF(Fandual!M828="",1,0)</f>
        <v>1</v>
      </c>
    </row>
    <row r="829" spans="1:12" x14ac:dyDescent="0.25">
      <c r="A829" s="2">
        <f>IF((OR(Optimizer!$J$8=Fandual!J829,Optimizer!$J$10=Fandual!J829))=TRUE, 1,0)</f>
        <v>0</v>
      </c>
      <c r="B829" s="2">
        <f>IF((OR(Fandual!O829="",Fandual!O829&lt;&gt;0)=TRUE),1,0)</f>
        <v>1</v>
      </c>
      <c r="C829" s="2">
        <f>IF(Fandual!B829&lt;&gt;"P",1,0)</f>
        <v>1</v>
      </c>
      <c r="D829" s="2">
        <f t="shared" si="24"/>
        <v>0</v>
      </c>
      <c r="E829" s="2">
        <f>IF(D829=1,Fandual!B829,0)</f>
        <v>0</v>
      </c>
      <c r="F829" s="2">
        <f>IF(D829=1,Fandual!D829,0)</f>
        <v>0</v>
      </c>
      <c r="G829" s="2">
        <f>IF(D829=1,Fandual!F829,0)</f>
        <v>0</v>
      </c>
      <c r="H829" s="2">
        <f>IF(D829=1,Fandual!H829,0)</f>
        <v>0</v>
      </c>
      <c r="I829" s="2">
        <f>IF((Optimizer!$J$8=Fandual!J829),4,0)</f>
        <v>0</v>
      </c>
      <c r="J829" s="2">
        <f>IF((Optimizer!$J$10=Fandual!J829),100,0)</f>
        <v>0</v>
      </c>
      <c r="K829" s="2">
        <f t="shared" si="25"/>
        <v>0</v>
      </c>
      <c r="L829" s="2">
        <f>IF(Fandual!M829="",1,0)</f>
        <v>1</v>
      </c>
    </row>
    <row r="830" spans="1:12" x14ac:dyDescent="0.25">
      <c r="A830" s="2">
        <f>IF((OR(Optimizer!$J$8=Fandual!J830,Optimizer!$J$10=Fandual!J830))=TRUE, 1,0)</f>
        <v>0</v>
      </c>
      <c r="B830" s="2">
        <f>IF((OR(Fandual!O830="",Fandual!O830&lt;&gt;0)=TRUE),1,0)</f>
        <v>1</v>
      </c>
      <c r="C830" s="2">
        <f>IF(Fandual!B830&lt;&gt;"P",1,0)</f>
        <v>1</v>
      </c>
      <c r="D830" s="2">
        <f t="shared" si="24"/>
        <v>0</v>
      </c>
      <c r="E830" s="2">
        <f>IF(D830=1,Fandual!B830,0)</f>
        <v>0</v>
      </c>
      <c r="F830" s="2">
        <f>IF(D830=1,Fandual!D830,0)</f>
        <v>0</v>
      </c>
      <c r="G830" s="2">
        <f>IF(D830=1,Fandual!F830,0)</f>
        <v>0</v>
      </c>
      <c r="H830" s="2">
        <f>IF(D830=1,Fandual!H830,0)</f>
        <v>0</v>
      </c>
      <c r="I830" s="2">
        <f>IF((Optimizer!$J$8=Fandual!J830),4,0)</f>
        <v>0</v>
      </c>
      <c r="J830" s="2">
        <f>IF((Optimizer!$J$10=Fandual!J830),100,0)</f>
        <v>0</v>
      </c>
      <c r="K830" s="2">
        <f t="shared" si="25"/>
        <v>0</v>
      </c>
      <c r="L830" s="2">
        <f>IF(Fandual!M830="",1,0)</f>
        <v>0</v>
      </c>
    </row>
    <row r="831" spans="1:12" x14ac:dyDescent="0.25">
      <c r="A831" s="2">
        <f>IF((OR(Optimizer!$J$8=Fandual!J831,Optimizer!$J$10=Fandual!J831))=TRUE, 1,0)</f>
        <v>0</v>
      </c>
      <c r="B831" s="2">
        <f>IF((OR(Fandual!O831="",Fandual!O831&lt;&gt;0)=TRUE),1,0)</f>
        <v>1</v>
      </c>
      <c r="C831" s="2">
        <f>IF(Fandual!B831&lt;&gt;"P",1,0)</f>
        <v>1</v>
      </c>
      <c r="D831" s="2">
        <f t="shared" si="24"/>
        <v>0</v>
      </c>
      <c r="E831" s="2">
        <f>IF(D831=1,Fandual!B831,0)</f>
        <v>0</v>
      </c>
      <c r="F831" s="2">
        <f>IF(D831=1,Fandual!D831,0)</f>
        <v>0</v>
      </c>
      <c r="G831" s="2">
        <f>IF(D831=1,Fandual!F831,0)</f>
        <v>0</v>
      </c>
      <c r="H831" s="2">
        <f>IF(D831=1,Fandual!H831,0)</f>
        <v>0</v>
      </c>
      <c r="I831" s="2">
        <f>IF((Optimizer!$J$8=Fandual!J831),4,0)</f>
        <v>0</v>
      </c>
      <c r="J831" s="2">
        <f>IF((Optimizer!$J$10=Fandual!J831),100,0)</f>
        <v>0</v>
      </c>
      <c r="K831" s="2">
        <f t="shared" si="25"/>
        <v>0</v>
      </c>
      <c r="L831" s="2">
        <f>IF(Fandual!M831="",1,0)</f>
        <v>1</v>
      </c>
    </row>
    <row r="832" spans="1:12" x14ac:dyDescent="0.25">
      <c r="A832" s="2">
        <f>IF((OR(Optimizer!$J$8=Fandual!J832,Optimizer!$J$10=Fandual!J832))=TRUE, 1,0)</f>
        <v>0</v>
      </c>
      <c r="B832" s="2">
        <f>IF((OR(Fandual!O832="",Fandual!O832&lt;&gt;0)=TRUE),1,0)</f>
        <v>1</v>
      </c>
      <c r="C832" s="2">
        <f>IF(Fandual!B832&lt;&gt;"P",1,0)</f>
        <v>1</v>
      </c>
      <c r="D832" s="2">
        <f t="shared" si="24"/>
        <v>0</v>
      </c>
      <c r="E832" s="2">
        <f>IF(D832=1,Fandual!B832,0)</f>
        <v>0</v>
      </c>
      <c r="F832" s="2">
        <f>IF(D832=1,Fandual!D832,0)</f>
        <v>0</v>
      </c>
      <c r="G832" s="2">
        <f>IF(D832=1,Fandual!F832,0)</f>
        <v>0</v>
      </c>
      <c r="H832" s="2">
        <f>IF(D832=1,Fandual!H832,0)</f>
        <v>0</v>
      </c>
      <c r="I832" s="2">
        <f>IF((Optimizer!$J$8=Fandual!J832),4,0)</f>
        <v>0</v>
      </c>
      <c r="J832" s="2">
        <f>IF((Optimizer!$J$10=Fandual!J832),100,0)</f>
        <v>0</v>
      </c>
      <c r="K832" s="2">
        <f t="shared" si="25"/>
        <v>0</v>
      </c>
      <c r="L832" s="2">
        <f>IF(Fandual!M832="",1,0)</f>
        <v>0</v>
      </c>
    </row>
    <row r="833" spans="1:12" x14ac:dyDescent="0.25">
      <c r="A833" s="2">
        <f>IF((OR(Optimizer!$J$8=Fandual!J833,Optimizer!$J$10=Fandual!J833))=TRUE, 1,0)</f>
        <v>0</v>
      </c>
      <c r="B833" s="2">
        <f>IF((OR(Fandual!O833="",Fandual!O833&lt;&gt;0)=TRUE),1,0)</f>
        <v>1</v>
      </c>
      <c r="C833" s="2">
        <f>IF(Fandual!B833&lt;&gt;"P",1,0)</f>
        <v>1</v>
      </c>
      <c r="D833" s="2">
        <f t="shared" si="24"/>
        <v>0</v>
      </c>
      <c r="E833" s="2">
        <f>IF(D833=1,Fandual!B833,0)</f>
        <v>0</v>
      </c>
      <c r="F833" s="2">
        <f>IF(D833=1,Fandual!D833,0)</f>
        <v>0</v>
      </c>
      <c r="G833" s="2">
        <f>IF(D833=1,Fandual!F833,0)</f>
        <v>0</v>
      </c>
      <c r="H833" s="2">
        <f>IF(D833=1,Fandual!H833,0)</f>
        <v>0</v>
      </c>
      <c r="I833" s="2">
        <f>IF((Optimizer!$J$8=Fandual!J833),4,0)</f>
        <v>0</v>
      </c>
      <c r="J833" s="2">
        <f>IF((Optimizer!$J$10=Fandual!J833),100,0)</f>
        <v>0</v>
      </c>
      <c r="K833" s="2">
        <f t="shared" si="25"/>
        <v>0</v>
      </c>
      <c r="L833" s="2">
        <f>IF(Fandual!M833="",1,0)</f>
        <v>1</v>
      </c>
    </row>
    <row r="834" spans="1:12" x14ac:dyDescent="0.25">
      <c r="A834" s="2">
        <f>IF((OR(Optimizer!$J$8=Fandual!J834,Optimizer!$J$10=Fandual!J834))=TRUE, 1,0)</f>
        <v>0</v>
      </c>
      <c r="B834" s="2">
        <f>IF((OR(Fandual!O834="",Fandual!O834&lt;&gt;0)=TRUE),1,0)</f>
        <v>1</v>
      </c>
      <c r="C834" s="2">
        <f>IF(Fandual!B834&lt;&gt;"P",1,0)</f>
        <v>1</v>
      </c>
      <c r="D834" s="2">
        <f t="shared" ref="D834:D897" si="26">A834*B834*C834*L834</f>
        <v>0</v>
      </c>
      <c r="E834" s="2">
        <f>IF(D834=1,Fandual!B834,0)</f>
        <v>0</v>
      </c>
      <c r="F834" s="2">
        <f>IF(D834=1,Fandual!D834,0)</f>
        <v>0</v>
      </c>
      <c r="G834" s="2">
        <f>IF(D834=1,Fandual!F834,0)</f>
        <v>0</v>
      </c>
      <c r="H834" s="2">
        <f>IF(D834=1,Fandual!H834,0)</f>
        <v>0</v>
      </c>
      <c r="I834" s="2">
        <f>IF((Optimizer!$J$8=Fandual!J834),4,0)</f>
        <v>0</v>
      </c>
      <c r="J834" s="2">
        <f>IF((Optimizer!$J$10=Fandual!J834),100,0)</f>
        <v>0</v>
      </c>
      <c r="K834" s="2">
        <f t="shared" si="25"/>
        <v>0</v>
      </c>
      <c r="L834" s="2">
        <f>IF(Fandual!M834="",1,0)</f>
        <v>1</v>
      </c>
    </row>
    <row r="835" spans="1:12" x14ac:dyDescent="0.25">
      <c r="A835" s="2">
        <f>IF((OR(Optimizer!$J$8=Fandual!J835,Optimizer!$J$10=Fandual!J835))=TRUE, 1,0)</f>
        <v>0</v>
      </c>
      <c r="B835" s="2">
        <f>IF((OR(Fandual!O835="",Fandual!O835&lt;&gt;0)=TRUE),1,0)</f>
        <v>1</v>
      </c>
      <c r="C835" s="2">
        <f>IF(Fandual!B835&lt;&gt;"P",1,0)</f>
        <v>1</v>
      </c>
      <c r="D835" s="2">
        <f t="shared" si="26"/>
        <v>0</v>
      </c>
      <c r="E835" s="2">
        <f>IF(D835=1,Fandual!B835,0)</f>
        <v>0</v>
      </c>
      <c r="F835" s="2">
        <f>IF(D835=1,Fandual!D835,0)</f>
        <v>0</v>
      </c>
      <c r="G835" s="2">
        <f>IF(D835=1,Fandual!F835,0)</f>
        <v>0</v>
      </c>
      <c r="H835" s="2">
        <f>IF(D835=1,Fandual!H835,0)</f>
        <v>0</v>
      </c>
      <c r="I835" s="2">
        <f>IF((Optimizer!$J$8=Fandual!J835),4,0)</f>
        <v>0</v>
      </c>
      <c r="J835" s="2">
        <f>IF((Optimizer!$J$10=Fandual!J835),100,0)</f>
        <v>0</v>
      </c>
      <c r="K835" s="2">
        <f t="shared" ref="K835:K898" si="27">(I835+J835)*D835</f>
        <v>0</v>
      </c>
      <c r="L835" s="2">
        <f>IF(Fandual!M835="",1,0)</f>
        <v>1</v>
      </c>
    </row>
    <row r="836" spans="1:12" x14ac:dyDescent="0.25">
      <c r="A836" s="2">
        <f>IF((OR(Optimizer!$J$8=Fandual!J836,Optimizer!$J$10=Fandual!J836))=TRUE, 1,0)</f>
        <v>0</v>
      </c>
      <c r="B836" s="2">
        <f>IF((OR(Fandual!O836="",Fandual!O836&lt;&gt;0)=TRUE),1,0)</f>
        <v>1</v>
      </c>
      <c r="C836" s="2">
        <f>IF(Fandual!B836&lt;&gt;"P",1,0)</f>
        <v>1</v>
      </c>
      <c r="D836" s="2">
        <f t="shared" si="26"/>
        <v>0</v>
      </c>
      <c r="E836" s="2">
        <f>IF(D836=1,Fandual!B836,0)</f>
        <v>0</v>
      </c>
      <c r="F836" s="2">
        <f>IF(D836=1,Fandual!D836,0)</f>
        <v>0</v>
      </c>
      <c r="G836" s="2">
        <f>IF(D836=1,Fandual!F836,0)</f>
        <v>0</v>
      </c>
      <c r="H836" s="2">
        <f>IF(D836=1,Fandual!H836,0)</f>
        <v>0</v>
      </c>
      <c r="I836" s="2">
        <f>IF((Optimizer!$J$8=Fandual!J836),4,0)</f>
        <v>0</v>
      </c>
      <c r="J836" s="2">
        <f>IF((Optimizer!$J$10=Fandual!J836),100,0)</f>
        <v>0</v>
      </c>
      <c r="K836" s="2">
        <f t="shared" si="27"/>
        <v>0</v>
      </c>
      <c r="L836" s="2">
        <f>IF(Fandual!M836="",1,0)</f>
        <v>1</v>
      </c>
    </row>
    <row r="837" spans="1:12" x14ac:dyDescent="0.25">
      <c r="A837" s="2">
        <f>IF((OR(Optimizer!$J$8=Fandual!J837,Optimizer!$J$10=Fandual!J837))=TRUE, 1,0)</f>
        <v>0</v>
      </c>
      <c r="B837" s="2">
        <f>IF((OR(Fandual!O837="",Fandual!O837&lt;&gt;0)=TRUE),1,0)</f>
        <v>1</v>
      </c>
      <c r="C837" s="2">
        <f>IF(Fandual!B837&lt;&gt;"P",1,0)</f>
        <v>1</v>
      </c>
      <c r="D837" s="2">
        <f t="shared" si="26"/>
        <v>0</v>
      </c>
      <c r="E837" s="2">
        <f>IF(D837=1,Fandual!B837,0)</f>
        <v>0</v>
      </c>
      <c r="F837" s="2">
        <f>IF(D837=1,Fandual!D837,0)</f>
        <v>0</v>
      </c>
      <c r="G837" s="2">
        <f>IF(D837=1,Fandual!F837,0)</f>
        <v>0</v>
      </c>
      <c r="H837" s="2">
        <f>IF(D837=1,Fandual!H837,0)</f>
        <v>0</v>
      </c>
      <c r="I837" s="2">
        <f>IF((Optimizer!$J$8=Fandual!J837),4,0)</f>
        <v>0</v>
      </c>
      <c r="J837" s="2">
        <f>IF((Optimizer!$J$10=Fandual!J837),100,0)</f>
        <v>0</v>
      </c>
      <c r="K837" s="2">
        <f t="shared" si="27"/>
        <v>0</v>
      </c>
      <c r="L837" s="2">
        <f>IF(Fandual!M837="",1,0)</f>
        <v>1</v>
      </c>
    </row>
    <row r="838" spans="1:12" x14ac:dyDescent="0.25">
      <c r="A838" s="2">
        <f>IF((OR(Optimizer!$J$8=Fandual!J838,Optimizer!$J$10=Fandual!J838))=TRUE, 1,0)</f>
        <v>0</v>
      </c>
      <c r="B838" s="2">
        <f>IF((OR(Fandual!O838="",Fandual!O838&lt;&gt;0)=TRUE),1,0)</f>
        <v>1</v>
      </c>
      <c r="C838" s="2">
        <f>IF(Fandual!B838&lt;&gt;"P",1,0)</f>
        <v>1</v>
      </c>
      <c r="D838" s="2">
        <f t="shared" si="26"/>
        <v>0</v>
      </c>
      <c r="E838" s="2">
        <f>IF(D838=1,Fandual!B838,0)</f>
        <v>0</v>
      </c>
      <c r="F838" s="2">
        <f>IF(D838=1,Fandual!D838,0)</f>
        <v>0</v>
      </c>
      <c r="G838" s="2">
        <f>IF(D838=1,Fandual!F838,0)</f>
        <v>0</v>
      </c>
      <c r="H838" s="2">
        <f>IF(D838=1,Fandual!H838,0)</f>
        <v>0</v>
      </c>
      <c r="I838" s="2">
        <f>IF((Optimizer!$J$8=Fandual!J838),4,0)</f>
        <v>0</v>
      </c>
      <c r="J838" s="2">
        <f>IF((Optimizer!$J$10=Fandual!J838),100,0)</f>
        <v>0</v>
      </c>
      <c r="K838" s="2">
        <f t="shared" si="27"/>
        <v>0</v>
      </c>
      <c r="L838" s="2">
        <f>IF(Fandual!M838="",1,0)</f>
        <v>1</v>
      </c>
    </row>
    <row r="839" spans="1:12" x14ac:dyDescent="0.25">
      <c r="A839" s="2">
        <f>IF((OR(Optimizer!$J$8=Fandual!J839,Optimizer!$J$10=Fandual!J839))=TRUE, 1,0)</f>
        <v>0</v>
      </c>
      <c r="B839" s="2">
        <f>IF((OR(Fandual!O839="",Fandual!O839&lt;&gt;0)=TRUE),1,0)</f>
        <v>1</v>
      </c>
      <c r="C839" s="2">
        <f>IF(Fandual!B839&lt;&gt;"P",1,0)</f>
        <v>1</v>
      </c>
      <c r="D839" s="2">
        <f t="shared" si="26"/>
        <v>0</v>
      </c>
      <c r="E839" s="2">
        <f>IF(D839=1,Fandual!B839,0)</f>
        <v>0</v>
      </c>
      <c r="F839" s="2">
        <f>IF(D839=1,Fandual!D839,0)</f>
        <v>0</v>
      </c>
      <c r="G839" s="2">
        <f>IF(D839=1,Fandual!F839,0)</f>
        <v>0</v>
      </c>
      <c r="H839" s="2">
        <f>IF(D839=1,Fandual!H839,0)</f>
        <v>0</v>
      </c>
      <c r="I839" s="2">
        <f>IF((Optimizer!$J$8=Fandual!J839),4,0)</f>
        <v>0</v>
      </c>
      <c r="J839" s="2">
        <f>IF((Optimizer!$J$10=Fandual!J839),100,0)</f>
        <v>0</v>
      </c>
      <c r="K839" s="2">
        <f t="shared" si="27"/>
        <v>0</v>
      </c>
      <c r="L839" s="2">
        <f>IF(Fandual!M839="",1,0)</f>
        <v>1</v>
      </c>
    </row>
    <row r="840" spans="1:12" x14ac:dyDescent="0.25">
      <c r="A840" s="2">
        <f>IF((OR(Optimizer!$J$8=Fandual!J840,Optimizer!$J$10=Fandual!J840))=TRUE, 1,0)</f>
        <v>0</v>
      </c>
      <c r="B840" s="2">
        <f>IF((OR(Fandual!O840="",Fandual!O840&lt;&gt;0)=TRUE),1,0)</f>
        <v>1</v>
      </c>
      <c r="C840" s="2">
        <f>IF(Fandual!B840&lt;&gt;"P",1,0)</f>
        <v>1</v>
      </c>
      <c r="D840" s="2">
        <f t="shared" si="26"/>
        <v>0</v>
      </c>
      <c r="E840" s="2">
        <f>IF(D840=1,Fandual!B840,0)</f>
        <v>0</v>
      </c>
      <c r="F840" s="2">
        <f>IF(D840=1,Fandual!D840,0)</f>
        <v>0</v>
      </c>
      <c r="G840" s="2">
        <f>IF(D840=1,Fandual!F840,0)</f>
        <v>0</v>
      </c>
      <c r="H840" s="2">
        <f>IF(D840=1,Fandual!H840,0)</f>
        <v>0</v>
      </c>
      <c r="I840" s="2">
        <f>IF((Optimizer!$J$8=Fandual!J840),4,0)</f>
        <v>0</v>
      </c>
      <c r="J840" s="2">
        <f>IF((Optimizer!$J$10=Fandual!J840),100,0)</f>
        <v>0</v>
      </c>
      <c r="K840" s="2">
        <f t="shared" si="27"/>
        <v>0</v>
      </c>
      <c r="L840" s="2">
        <f>IF(Fandual!M840="",1,0)</f>
        <v>1</v>
      </c>
    </row>
    <row r="841" spans="1:12" x14ac:dyDescent="0.25">
      <c r="A841" s="2">
        <f>IF((OR(Optimizer!$J$8=Fandual!J841,Optimizer!$J$10=Fandual!J841))=TRUE, 1,0)</f>
        <v>0</v>
      </c>
      <c r="B841" s="2">
        <f>IF((OR(Fandual!O841="",Fandual!O841&lt;&gt;0)=TRUE),1,0)</f>
        <v>1</v>
      </c>
      <c r="C841" s="2">
        <f>IF(Fandual!B841&lt;&gt;"P",1,0)</f>
        <v>1</v>
      </c>
      <c r="D841" s="2">
        <f t="shared" si="26"/>
        <v>0</v>
      </c>
      <c r="E841" s="2">
        <f>IF(D841=1,Fandual!B841,0)</f>
        <v>0</v>
      </c>
      <c r="F841" s="2">
        <f>IF(D841=1,Fandual!D841,0)</f>
        <v>0</v>
      </c>
      <c r="G841" s="2">
        <f>IF(D841=1,Fandual!F841,0)</f>
        <v>0</v>
      </c>
      <c r="H841" s="2">
        <f>IF(D841=1,Fandual!H841,0)</f>
        <v>0</v>
      </c>
      <c r="I841" s="2">
        <f>IF((Optimizer!$J$8=Fandual!J841),4,0)</f>
        <v>0</v>
      </c>
      <c r="J841" s="2">
        <f>IF((Optimizer!$J$10=Fandual!J841),100,0)</f>
        <v>0</v>
      </c>
      <c r="K841" s="2">
        <f t="shared" si="27"/>
        <v>0</v>
      </c>
      <c r="L841" s="2">
        <f>IF(Fandual!M841="",1,0)</f>
        <v>0</v>
      </c>
    </row>
    <row r="842" spans="1:12" x14ac:dyDescent="0.25">
      <c r="A842" s="2">
        <f>IF((OR(Optimizer!$J$8=Fandual!J842,Optimizer!$J$10=Fandual!J842))=TRUE, 1,0)</f>
        <v>0</v>
      </c>
      <c r="B842" s="2">
        <f>IF((OR(Fandual!O842="",Fandual!O842&lt;&gt;0)=TRUE),1,0)</f>
        <v>1</v>
      </c>
      <c r="C842" s="2">
        <f>IF(Fandual!B842&lt;&gt;"P",1,0)</f>
        <v>1</v>
      </c>
      <c r="D842" s="2">
        <f t="shared" si="26"/>
        <v>0</v>
      </c>
      <c r="E842" s="2">
        <f>IF(D842=1,Fandual!B842,0)</f>
        <v>0</v>
      </c>
      <c r="F842" s="2">
        <f>IF(D842=1,Fandual!D842,0)</f>
        <v>0</v>
      </c>
      <c r="G842" s="2">
        <f>IF(D842=1,Fandual!F842,0)</f>
        <v>0</v>
      </c>
      <c r="H842" s="2">
        <f>IF(D842=1,Fandual!H842,0)</f>
        <v>0</v>
      </c>
      <c r="I842" s="2">
        <f>IF((Optimizer!$J$8=Fandual!J842),4,0)</f>
        <v>0</v>
      </c>
      <c r="J842" s="2">
        <f>IF((Optimizer!$J$10=Fandual!J842),100,0)</f>
        <v>0</v>
      </c>
      <c r="K842" s="2">
        <f t="shared" si="27"/>
        <v>0</v>
      </c>
      <c r="L842" s="2">
        <f>IF(Fandual!M842="",1,0)</f>
        <v>1</v>
      </c>
    </row>
    <row r="843" spans="1:12" x14ac:dyDescent="0.25">
      <c r="A843" s="2">
        <f>IF((OR(Optimizer!$J$8=Fandual!J843,Optimizer!$J$10=Fandual!J843))=TRUE, 1,0)</f>
        <v>0</v>
      </c>
      <c r="B843" s="2">
        <f>IF((OR(Fandual!O843="",Fandual!O843&lt;&gt;0)=TRUE),1,0)</f>
        <v>1</v>
      </c>
      <c r="C843" s="2">
        <f>IF(Fandual!B843&lt;&gt;"P",1,0)</f>
        <v>1</v>
      </c>
      <c r="D843" s="2">
        <f t="shared" si="26"/>
        <v>0</v>
      </c>
      <c r="E843" s="2">
        <f>IF(D843=1,Fandual!B843,0)</f>
        <v>0</v>
      </c>
      <c r="F843" s="2">
        <f>IF(D843=1,Fandual!D843,0)</f>
        <v>0</v>
      </c>
      <c r="G843" s="2">
        <f>IF(D843=1,Fandual!F843,0)</f>
        <v>0</v>
      </c>
      <c r="H843" s="2">
        <f>IF(D843=1,Fandual!H843,0)</f>
        <v>0</v>
      </c>
      <c r="I843" s="2">
        <f>IF((Optimizer!$J$8=Fandual!J843),4,0)</f>
        <v>0</v>
      </c>
      <c r="J843" s="2">
        <f>IF((Optimizer!$J$10=Fandual!J843),100,0)</f>
        <v>0</v>
      </c>
      <c r="K843" s="2">
        <f t="shared" si="27"/>
        <v>0</v>
      </c>
      <c r="L843" s="2">
        <f>IF(Fandual!M843="",1,0)</f>
        <v>1</v>
      </c>
    </row>
    <row r="844" spans="1:12" x14ac:dyDescent="0.25">
      <c r="A844" s="2">
        <f>IF((OR(Optimizer!$J$8=Fandual!J844,Optimizer!$J$10=Fandual!J844))=TRUE, 1,0)</f>
        <v>0</v>
      </c>
      <c r="B844" s="2">
        <f>IF((OR(Fandual!O844="",Fandual!O844&lt;&gt;0)=TRUE),1,0)</f>
        <v>1</v>
      </c>
      <c r="C844" s="2">
        <f>IF(Fandual!B844&lt;&gt;"P",1,0)</f>
        <v>1</v>
      </c>
      <c r="D844" s="2">
        <f t="shared" si="26"/>
        <v>0</v>
      </c>
      <c r="E844" s="2">
        <f>IF(D844=1,Fandual!B844,0)</f>
        <v>0</v>
      </c>
      <c r="F844" s="2">
        <f>IF(D844=1,Fandual!D844,0)</f>
        <v>0</v>
      </c>
      <c r="G844" s="2">
        <f>IF(D844=1,Fandual!F844,0)</f>
        <v>0</v>
      </c>
      <c r="H844" s="2">
        <f>IF(D844=1,Fandual!H844,0)</f>
        <v>0</v>
      </c>
      <c r="I844" s="2">
        <f>IF((Optimizer!$J$8=Fandual!J844),4,0)</f>
        <v>0</v>
      </c>
      <c r="J844" s="2">
        <f>IF((Optimizer!$J$10=Fandual!J844),100,0)</f>
        <v>0</v>
      </c>
      <c r="K844" s="2">
        <f t="shared" si="27"/>
        <v>0</v>
      </c>
      <c r="L844" s="2">
        <f>IF(Fandual!M844="",1,0)</f>
        <v>0</v>
      </c>
    </row>
    <row r="845" spans="1:12" x14ac:dyDescent="0.25">
      <c r="A845" s="2">
        <f>IF((OR(Optimizer!$J$8=Fandual!J845,Optimizer!$J$10=Fandual!J845))=TRUE, 1,0)</f>
        <v>0</v>
      </c>
      <c r="B845" s="2">
        <f>IF((OR(Fandual!O845="",Fandual!O845&lt;&gt;0)=TRUE),1,0)</f>
        <v>1</v>
      </c>
      <c r="C845" s="2">
        <f>IF(Fandual!B845&lt;&gt;"P",1,0)</f>
        <v>1</v>
      </c>
      <c r="D845" s="2">
        <f t="shared" si="26"/>
        <v>0</v>
      </c>
      <c r="E845" s="2">
        <f>IF(D845=1,Fandual!B845,0)</f>
        <v>0</v>
      </c>
      <c r="F845" s="2">
        <f>IF(D845=1,Fandual!D845,0)</f>
        <v>0</v>
      </c>
      <c r="G845" s="2">
        <f>IF(D845=1,Fandual!F845,0)</f>
        <v>0</v>
      </c>
      <c r="H845" s="2">
        <f>IF(D845=1,Fandual!H845,0)</f>
        <v>0</v>
      </c>
      <c r="I845" s="2">
        <f>IF((Optimizer!$J$8=Fandual!J845),4,0)</f>
        <v>0</v>
      </c>
      <c r="J845" s="2">
        <f>IF((Optimizer!$J$10=Fandual!J845),100,0)</f>
        <v>0</v>
      </c>
      <c r="K845" s="2">
        <f t="shared" si="27"/>
        <v>0</v>
      </c>
      <c r="L845" s="2">
        <f>IF(Fandual!M845="",1,0)</f>
        <v>1</v>
      </c>
    </row>
    <row r="846" spans="1:12" x14ac:dyDescent="0.25">
      <c r="A846" s="2">
        <f>IF((OR(Optimizer!$J$8=Fandual!J846,Optimizer!$J$10=Fandual!J846))=TRUE, 1,0)</f>
        <v>0</v>
      </c>
      <c r="B846" s="2">
        <f>IF((OR(Fandual!O846="",Fandual!O846&lt;&gt;0)=TRUE),1,0)</f>
        <v>1</v>
      </c>
      <c r="C846" s="2">
        <f>IF(Fandual!B846&lt;&gt;"P",1,0)</f>
        <v>1</v>
      </c>
      <c r="D846" s="2">
        <f t="shared" si="26"/>
        <v>0</v>
      </c>
      <c r="E846" s="2">
        <f>IF(D846=1,Fandual!B846,0)</f>
        <v>0</v>
      </c>
      <c r="F846" s="2">
        <f>IF(D846=1,Fandual!D846,0)</f>
        <v>0</v>
      </c>
      <c r="G846" s="2">
        <f>IF(D846=1,Fandual!F846,0)</f>
        <v>0</v>
      </c>
      <c r="H846" s="2">
        <f>IF(D846=1,Fandual!H846,0)</f>
        <v>0</v>
      </c>
      <c r="I846" s="2">
        <f>IF((Optimizer!$J$8=Fandual!J846),4,0)</f>
        <v>0</v>
      </c>
      <c r="J846" s="2">
        <f>IF((Optimizer!$J$10=Fandual!J846),100,0)</f>
        <v>0</v>
      </c>
      <c r="K846" s="2">
        <f t="shared" si="27"/>
        <v>0</v>
      </c>
      <c r="L846" s="2">
        <f>IF(Fandual!M846="",1,0)</f>
        <v>1</v>
      </c>
    </row>
    <row r="847" spans="1:12" x14ac:dyDescent="0.25">
      <c r="A847" s="2">
        <f>IF((OR(Optimizer!$J$8=Fandual!J847,Optimizer!$J$10=Fandual!J847))=TRUE, 1,0)</f>
        <v>0</v>
      </c>
      <c r="B847" s="2">
        <f>IF((OR(Fandual!O847="",Fandual!O847&lt;&gt;0)=TRUE),1,0)</f>
        <v>1</v>
      </c>
      <c r="C847" s="2">
        <f>IF(Fandual!B847&lt;&gt;"P",1,0)</f>
        <v>1</v>
      </c>
      <c r="D847" s="2">
        <f t="shared" si="26"/>
        <v>0</v>
      </c>
      <c r="E847" s="2">
        <f>IF(D847=1,Fandual!B847,0)</f>
        <v>0</v>
      </c>
      <c r="F847" s="2">
        <f>IF(D847=1,Fandual!D847,0)</f>
        <v>0</v>
      </c>
      <c r="G847" s="2">
        <f>IF(D847=1,Fandual!F847,0)</f>
        <v>0</v>
      </c>
      <c r="H847" s="2">
        <f>IF(D847=1,Fandual!H847,0)</f>
        <v>0</v>
      </c>
      <c r="I847" s="2">
        <f>IF((Optimizer!$J$8=Fandual!J847),4,0)</f>
        <v>0</v>
      </c>
      <c r="J847" s="2">
        <f>IF((Optimizer!$J$10=Fandual!J847),100,0)</f>
        <v>0</v>
      </c>
      <c r="K847" s="2">
        <f t="shared" si="27"/>
        <v>0</v>
      </c>
      <c r="L847" s="2">
        <f>IF(Fandual!M847="",1,0)</f>
        <v>1</v>
      </c>
    </row>
    <row r="848" spans="1:12" x14ac:dyDescent="0.25">
      <c r="A848" s="2">
        <f>IF((OR(Optimizer!$J$8=Fandual!J848,Optimizer!$J$10=Fandual!J848))=TRUE, 1,0)</f>
        <v>0</v>
      </c>
      <c r="B848" s="2">
        <f>IF((OR(Fandual!O848="",Fandual!O848&lt;&gt;0)=TRUE),1,0)</f>
        <v>1</v>
      </c>
      <c r="C848" s="2">
        <f>IF(Fandual!B848&lt;&gt;"P",1,0)</f>
        <v>1</v>
      </c>
      <c r="D848" s="2">
        <f t="shared" si="26"/>
        <v>0</v>
      </c>
      <c r="E848" s="2">
        <f>IF(D848=1,Fandual!B848,0)</f>
        <v>0</v>
      </c>
      <c r="F848" s="2">
        <f>IF(D848=1,Fandual!D848,0)</f>
        <v>0</v>
      </c>
      <c r="G848" s="2">
        <f>IF(D848=1,Fandual!F848,0)</f>
        <v>0</v>
      </c>
      <c r="H848" s="2">
        <f>IF(D848=1,Fandual!H848,0)</f>
        <v>0</v>
      </c>
      <c r="I848" s="2">
        <f>IF((Optimizer!$J$8=Fandual!J848),4,0)</f>
        <v>0</v>
      </c>
      <c r="J848" s="2">
        <f>IF((Optimizer!$J$10=Fandual!J848),100,0)</f>
        <v>0</v>
      </c>
      <c r="K848" s="2">
        <f t="shared" si="27"/>
        <v>0</v>
      </c>
      <c r="L848" s="2">
        <f>IF(Fandual!M848="",1,0)</f>
        <v>1</v>
      </c>
    </row>
    <row r="849" spans="1:12" x14ac:dyDescent="0.25">
      <c r="A849" s="2">
        <f>IF((OR(Optimizer!$J$8=Fandual!J849,Optimizer!$J$10=Fandual!J849))=TRUE, 1,0)</f>
        <v>0</v>
      </c>
      <c r="B849" s="2">
        <f>IF((OR(Fandual!O849="",Fandual!O849&lt;&gt;0)=TRUE),1,0)</f>
        <v>1</v>
      </c>
      <c r="C849" s="2">
        <f>IF(Fandual!B849&lt;&gt;"P",1,0)</f>
        <v>1</v>
      </c>
      <c r="D849" s="2">
        <f t="shared" si="26"/>
        <v>0</v>
      </c>
      <c r="E849" s="2">
        <f>IF(D849=1,Fandual!B849,0)</f>
        <v>0</v>
      </c>
      <c r="F849" s="2">
        <f>IF(D849=1,Fandual!D849,0)</f>
        <v>0</v>
      </c>
      <c r="G849" s="2">
        <f>IF(D849=1,Fandual!F849,0)</f>
        <v>0</v>
      </c>
      <c r="H849" s="2">
        <f>IF(D849=1,Fandual!H849,0)</f>
        <v>0</v>
      </c>
      <c r="I849" s="2">
        <f>IF((Optimizer!$J$8=Fandual!J849),4,0)</f>
        <v>0</v>
      </c>
      <c r="J849" s="2">
        <f>IF((Optimizer!$J$10=Fandual!J849),100,0)</f>
        <v>0</v>
      </c>
      <c r="K849" s="2">
        <f t="shared" si="27"/>
        <v>0</v>
      </c>
      <c r="L849" s="2">
        <f>IF(Fandual!M849="",1,0)</f>
        <v>1</v>
      </c>
    </row>
    <row r="850" spans="1:12" x14ac:dyDescent="0.25">
      <c r="A850" s="2">
        <f>IF((OR(Optimizer!$J$8=Fandual!J850,Optimizer!$J$10=Fandual!J850))=TRUE, 1,0)</f>
        <v>0</v>
      </c>
      <c r="B850" s="2">
        <f>IF((OR(Fandual!O850="",Fandual!O850&lt;&gt;0)=TRUE),1,0)</f>
        <v>1</v>
      </c>
      <c r="C850" s="2">
        <f>IF(Fandual!B850&lt;&gt;"P",1,0)</f>
        <v>1</v>
      </c>
      <c r="D850" s="2">
        <f t="shared" si="26"/>
        <v>0</v>
      </c>
      <c r="E850" s="2">
        <f>IF(D850=1,Fandual!B850,0)</f>
        <v>0</v>
      </c>
      <c r="F850" s="2">
        <f>IF(D850=1,Fandual!D850,0)</f>
        <v>0</v>
      </c>
      <c r="G850" s="2">
        <f>IF(D850=1,Fandual!F850,0)</f>
        <v>0</v>
      </c>
      <c r="H850" s="2">
        <f>IF(D850=1,Fandual!H850,0)</f>
        <v>0</v>
      </c>
      <c r="I850" s="2">
        <f>IF((Optimizer!$J$8=Fandual!J850),4,0)</f>
        <v>0</v>
      </c>
      <c r="J850" s="2">
        <f>IF((Optimizer!$J$10=Fandual!J850),100,0)</f>
        <v>0</v>
      </c>
      <c r="K850" s="2">
        <f t="shared" si="27"/>
        <v>0</v>
      </c>
      <c r="L850" s="2">
        <f>IF(Fandual!M850="",1,0)</f>
        <v>1</v>
      </c>
    </row>
    <row r="851" spans="1:12" x14ac:dyDescent="0.25">
      <c r="A851" s="2">
        <f>IF((OR(Optimizer!$J$8=Fandual!J851,Optimizer!$J$10=Fandual!J851))=TRUE, 1,0)</f>
        <v>0</v>
      </c>
      <c r="B851" s="2">
        <f>IF((OR(Fandual!O851="",Fandual!O851&lt;&gt;0)=TRUE),1,0)</f>
        <v>1</v>
      </c>
      <c r="C851" s="2">
        <f>IF(Fandual!B851&lt;&gt;"P",1,0)</f>
        <v>1</v>
      </c>
      <c r="D851" s="2">
        <f t="shared" si="26"/>
        <v>0</v>
      </c>
      <c r="E851" s="2">
        <f>IF(D851=1,Fandual!B851,0)</f>
        <v>0</v>
      </c>
      <c r="F851" s="2">
        <f>IF(D851=1,Fandual!D851,0)</f>
        <v>0</v>
      </c>
      <c r="G851" s="2">
        <f>IF(D851=1,Fandual!F851,0)</f>
        <v>0</v>
      </c>
      <c r="H851" s="2">
        <f>IF(D851=1,Fandual!H851,0)</f>
        <v>0</v>
      </c>
      <c r="I851" s="2">
        <f>IF((Optimizer!$J$8=Fandual!J851),4,0)</f>
        <v>0</v>
      </c>
      <c r="J851" s="2">
        <f>IF((Optimizer!$J$10=Fandual!J851),100,0)</f>
        <v>0</v>
      </c>
      <c r="K851" s="2">
        <f t="shared" si="27"/>
        <v>0</v>
      </c>
      <c r="L851" s="2">
        <f>IF(Fandual!M851="",1,0)</f>
        <v>0</v>
      </c>
    </row>
    <row r="852" spans="1:12" x14ac:dyDescent="0.25">
      <c r="A852" s="2">
        <f>IF((OR(Optimizer!$J$8=Fandual!J852,Optimizer!$J$10=Fandual!J852))=TRUE, 1,0)</f>
        <v>0</v>
      </c>
      <c r="B852" s="2">
        <f>IF((OR(Fandual!O852="",Fandual!O852&lt;&gt;0)=TRUE),1,0)</f>
        <v>1</v>
      </c>
      <c r="C852" s="2">
        <f>IF(Fandual!B852&lt;&gt;"P",1,0)</f>
        <v>1</v>
      </c>
      <c r="D852" s="2">
        <f t="shared" si="26"/>
        <v>0</v>
      </c>
      <c r="E852" s="2">
        <f>IF(D852=1,Fandual!B852,0)</f>
        <v>0</v>
      </c>
      <c r="F852" s="2">
        <f>IF(D852=1,Fandual!D852,0)</f>
        <v>0</v>
      </c>
      <c r="G852" s="2">
        <f>IF(D852=1,Fandual!F852,0)</f>
        <v>0</v>
      </c>
      <c r="H852" s="2">
        <f>IF(D852=1,Fandual!H852,0)</f>
        <v>0</v>
      </c>
      <c r="I852" s="2">
        <f>IF((Optimizer!$J$8=Fandual!J852),4,0)</f>
        <v>0</v>
      </c>
      <c r="J852" s="2">
        <f>IF((Optimizer!$J$10=Fandual!J852),100,0)</f>
        <v>0</v>
      </c>
      <c r="K852" s="2">
        <f t="shared" si="27"/>
        <v>0</v>
      </c>
      <c r="L852" s="2">
        <f>IF(Fandual!M852="",1,0)</f>
        <v>1</v>
      </c>
    </row>
    <row r="853" spans="1:12" x14ac:dyDescent="0.25">
      <c r="A853" s="2">
        <f>IF((OR(Optimizer!$J$8=Fandual!J853,Optimizer!$J$10=Fandual!J853))=TRUE, 1,0)</f>
        <v>0</v>
      </c>
      <c r="B853" s="2">
        <f>IF((OR(Fandual!O853="",Fandual!O853&lt;&gt;0)=TRUE),1,0)</f>
        <v>1</v>
      </c>
      <c r="C853" s="2">
        <f>IF(Fandual!B853&lt;&gt;"P",1,0)</f>
        <v>1</v>
      </c>
      <c r="D853" s="2">
        <f t="shared" si="26"/>
        <v>0</v>
      </c>
      <c r="E853" s="2">
        <f>IF(D853=1,Fandual!B853,0)</f>
        <v>0</v>
      </c>
      <c r="F853" s="2">
        <f>IF(D853=1,Fandual!D853,0)</f>
        <v>0</v>
      </c>
      <c r="G853" s="2">
        <f>IF(D853=1,Fandual!F853,0)</f>
        <v>0</v>
      </c>
      <c r="H853" s="2">
        <f>IF(D853=1,Fandual!H853,0)</f>
        <v>0</v>
      </c>
      <c r="I853" s="2">
        <f>IF((Optimizer!$J$8=Fandual!J853),4,0)</f>
        <v>0</v>
      </c>
      <c r="J853" s="2">
        <f>IF((Optimizer!$J$10=Fandual!J853),100,0)</f>
        <v>0</v>
      </c>
      <c r="K853" s="2">
        <f t="shared" si="27"/>
        <v>0</v>
      </c>
      <c r="L853" s="2">
        <f>IF(Fandual!M853="",1,0)</f>
        <v>1</v>
      </c>
    </row>
    <row r="854" spans="1:12" x14ac:dyDescent="0.25">
      <c r="A854" s="2">
        <f>IF((OR(Optimizer!$J$8=Fandual!J854,Optimizer!$J$10=Fandual!J854))=TRUE, 1,0)</f>
        <v>0</v>
      </c>
      <c r="B854" s="2">
        <f>IF((OR(Fandual!O854="",Fandual!O854&lt;&gt;0)=TRUE),1,0)</f>
        <v>1</v>
      </c>
      <c r="C854" s="2">
        <f>IF(Fandual!B854&lt;&gt;"P",1,0)</f>
        <v>1</v>
      </c>
      <c r="D854" s="2">
        <f t="shared" si="26"/>
        <v>0</v>
      </c>
      <c r="E854" s="2">
        <f>IF(D854=1,Fandual!B854,0)</f>
        <v>0</v>
      </c>
      <c r="F854" s="2">
        <f>IF(D854=1,Fandual!D854,0)</f>
        <v>0</v>
      </c>
      <c r="G854" s="2">
        <f>IF(D854=1,Fandual!F854,0)</f>
        <v>0</v>
      </c>
      <c r="H854" s="2">
        <f>IF(D854=1,Fandual!H854,0)</f>
        <v>0</v>
      </c>
      <c r="I854" s="2">
        <f>IF((Optimizer!$J$8=Fandual!J854),4,0)</f>
        <v>0</v>
      </c>
      <c r="J854" s="2">
        <f>IF((Optimizer!$J$10=Fandual!J854),100,0)</f>
        <v>0</v>
      </c>
      <c r="K854" s="2">
        <f t="shared" si="27"/>
        <v>0</v>
      </c>
      <c r="L854" s="2">
        <f>IF(Fandual!M854="",1,0)</f>
        <v>1</v>
      </c>
    </row>
    <row r="855" spans="1:12" x14ac:dyDescent="0.25">
      <c r="A855" s="2">
        <f>IF((OR(Optimizer!$J$8=Fandual!J855,Optimizer!$J$10=Fandual!J855))=TRUE, 1,0)</f>
        <v>0</v>
      </c>
      <c r="B855" s="2">
        <f>IF((OR(Fandual!O855="",Fandual!O855&lt;&gt;0)=TRUE),1,0)</f>
        <v>1</v>
      </c>
      <c r="C855" s="2">
        <f>IF(Fandual!B855&lt;&gt;"P",1,0)</f>
        <v>1</v>
      </c>
      <c r="D855" s="2">
        <f t="shared" si="26"/>
        <v>0</v>
      </c>
      <c r="E855" s="2">
        <f>IF(D855=1,Fandual!B855,0)</f>
        <v>0</v>
      </c>
      <c r="F855" s="2">
        <f>IF(D855=1,Fandual!D855,0)</f>
        <v>0</v>
      </c>
      <c r="G855" s="2">
        <f>IF(D855=1,Fandual!F855,0)</f>
        <v>0</v>
      </c>
      <c r="H855" s="2">
        <f>IF(D855=1,Fandual!H855,0)</f>
        <v>0</v>
      </c>
      <c r="I855" s="2">
        <f>IF((Optimizer!$J$8=Fandual!J855),4,0)</f>
        <v>0</v>
      </c>
      <c r="J855" s="2">
        <f>IF((Optimizer!$J$10=Fandual!J855),100,0)</f>
        <v>0</v>
      </c>
      <c r="K855" s="2">
        <f t="shared" si="27"/>
        <v>0</v>
      </c>
      <c r="L855" s="2">
        <f>IF(Fandual!M855="",1,0)</f>
        <v>1</v>
      </c>
    </row>
    <row r="856" spans="1:12" x14ac:dyDescent="0.25">
      <c r="A856" s="2">
        <f>IF((OR(Optimizer!$J$8=Fandual!J856,Optimizer!$J$10=Fandual!J856))=TRUE, 1,0)</f>
        <v>0</v>
      </c>
      <c r="B856" s="2">
        <f>IF((OR(Fandual!O856="",Fandual!O856&lt;&gt;0)=TRUE),1,0)</f>
        <v>1</v>
      </c>
      <c r="C856" s="2">
        <f>IF(Fandual!B856&lt;&gt;"P",1,0)</f>
        <v>1</v>
      </c>
      <c r="D856" s="2">
        <f t="shared" si="26"/>
        <v>0</v>
      </c>
      <c r="E856" s="2">
        <f>IF(D856=1,Fandual!B856,0)</f>
        <v>0</v>
      </c>
      <c r="F856" s="2">
        <f>IF(D856=1,Fandual!D856,0)</f>
        <v>0</v>
      </c>
      <c r="G856" s="2">
        <f>IF(D856=1,Fandual!F856,0)</f>
        <v>0</v>
      </c>
      <c r="H856" s="2">
        <f>IF(D856=1,Fandual!H856,0)</f>
        <v>0</v>
      </c>
      <c r="I856" s="2">
        <f>IF((Optimizer!$J$8=Fandual!J856),4,0)</f>
        <v>0</v>
      </c>
      <c r="J856" s="2">
        <f>IF((Optimizer!$J$10=Fandual!J856),100,0)</f>
        <v>0</v>
      </c>
      <c r="K856" s="2">
        <f t="shared" si="27"/>
        <v>0</v>
      </c>
      <c r="L856" s="2">
        <f>IF(Fandual!M856="",1,0)</f>
        <v>1</v>
      </c>
    </row>
    <row r="857" spans="1:12" x14ac:dyDescent="0.25">
      <c r="A857" s="2">
        <f>IF((OR(Optimizer!$J$8=Fandual!J857,Optimizer!$J$10=Fandual!J857))=TRUE, 1,0)</f>
        <v>0</v>
      </c>
      <c r="B857" s="2">
        <f>IF((OR(Fandual!O857="",Fandual!O857&lt;&gt;0)=TRUE),1,0)</f>
        <v>1</v>
      </c>
      <c r="C857" s="2">
        <f>IF(Fandual!B857&lt;&gt;"P",1,0)</f>
        <v>1</v>
      </c>
      <c r="D857" s="2">
        <f t="shared" si="26"/>
        <v>0</v>
      </c>
      <c r="E857" s="2">
        <f>IF(D857=1,Fandual!B857,0)</f>
        <v>0</v>
      </c>
      <c r="F857" s="2">
        <f>IF(D857=1,Fandual!D857,0)</f>
        <v>0</v>
      </c>
      <c r="G857" s="2">
        <f>IF(D857=1,Fandual!F857,0)</f>
        <v>0</v>
      </c>
      <c r="H857" s="2">
        <f>IF(D857=1,Fandual!H857,0)</f>
        <v>0</v>
      </c>
      <c r="I857" s="2">
        <f>IF((Optimizer!$J$8=Fandual!J857),4,0)</f>
        <v>0</v>
      </c>
      <c r="J857" s="2">
        <f>IF((Optimizer!$J$10=Fandual!J857),100,0)</f>
        <v>0</v>
      </c>
      <c r="K857" s="2">
        <f t="shared" si="27"/>
        <v>0</v>
      </c>
      <c r="L857" s="2">
        <f>IF(Fandual!M857="",1,0)</f>
        <v>1</v>
      </c>
    </row>
    <row r="858" spans="1:12" x14ac:dyDescent="0.25">
      <c r="A858" s="2">
        <f>IF((OR(Optimizer!$J$8=Fandual!J858,Optimizer!$J$10=Fandual!J858))=TRUE, 1,0)</f>
        <v>0</v>
      </c>
      <c r="B858" s="2">
        <f>IF((OR(Fandual!O858="",Fandual!O858&lt;&gt;0)=TRUE),1,0)</f>
        <v>1</v>
      </c>
      <c r="C858" s="2">
        <f>IF(Fandual!B858&lt;&gt;"P",1,0)</f>
        <v>1</v>
      </c>
      <c r="D858" s="2">
        <f t="shared" si="26"/>
        <v>0</v>
      </c>
      <c r="E858" s="2">
        <f>IF(D858=1,Fandual!B858,0)</f>
        <v>0</v>
      </c>
      <c r="F858" s="2">
        <f>IF(D858=1,Fandual!D858,0)</f>
        <v>0</v>
      </c>
      <c r="G858" s="2">
        <f>IF(D858=1,Fandual!F858,0)</f>
        <v>0</v>
      </c>
      <c r="H858" s="2">
        <f>IF(D858=1,Fandual!H858,0)</f>
        <v>0</v>
      </c>
      <c r="I858" s="2">
        <f>IF((Optimizer!$J$8=Fandual!J858),4,0)</f>
        <v>0</v>
      </c>
      <c r="J858" s="2">
        <f>IF((Optimizer!$J$10=Fandual!J858),100,0)</f>
        <v>0</v>
      </c>
      <c r="K858" s="2">
        <f t="shared" si="27"/>
        <v>0</v>
      </c>
      <c r="L858" s="2">
        <f>IF(Fandual!M858="",1,0)</f>
        <v>1</v>
      </c>
    </row>
    <row r="859" spans="1:12" x14ac:dyDescent="0.25">
      <c r="A859" s="2">
        <f>IF((OR(Optimizer!$J$8=Fandual!J859,Optimizer!$J$10=Fandual!J859))=TRUE, 1,0)</f>
        <v>0</v>
      </c>
      <c r="B859" s="2">
        <f>IF((OR(Fandual!O859="",Fandual!O859&lt;&gt;0)=TRUE),1,0)</f>
        <v>1</v>
      </c>
      <c r="C859" s="2">
        <f>IF(Fandual!B859&lt;&gt;"P",1,0)</f>
        <v>1</v>
      </c>
      <c r="D859" s="2">
        <f t="shared" si="26"/>
        <v>0</v>
      </c>
      <c r="E859" s="2">
        <f>IF(D859=1,Fandual!B859,0)</f>
        <v>0</v>
      </c>
      <c r="F859" s="2">
        <f>IF(D859=1,Fandual!D859,0)</f>
        <v>0</v>
      </c>
      <c r="G859" s="2">
        <f>IF(D859=1,Fandual!F859,0)</f>
        <v>0</v>
      </c>
      <c r="H859" s="2">
        <f>IF(D859=1,Fandual!H859,0)</f>
        <v>0</v>
      </c>
      <c r="I859" s="2">
        <f>IF((Optimizer!$J$8=Fandual!J859),4,0)</f>
        <v>0</v>
      </c>
      <c r="J859" s="2">
        <f>IF((Optimizer!$J$10=Fandual!J859),100,0)</f>
        <v>0</v>
      </c>
      <c r="K859" s="2">
        <f t="shared" si="27"/>
        <v>0</v>
      </c>
      <c r="L859" s="2">
        <f>IF(Fandual!M859="",1,0)</f>
        <v>1</v>
      </c>
    </row>
    <row r="860" spans="1:12" x14ac:dyDescent="0.25">
      <c r="A860" s="2">
        <f>IF((OR(Optimizer!$J$8=Fandual!J860,Optimizer!$J$10=Fandual!J860))=TRUE, 1,0)</f>
        <v>0</v>
      </c>
      <c r="B860" s="2">
        <f>IF((OR(Fandual!O860="",Fandual!O860&lt;&gt;0)=TRUE),1,0)</f>
        <v>1</v>
      </c>
      <c r="C860" s="2">
        <f>IF(Fandual!B860&lt;&gt;"P",1,0)</f>
        <v>1</v>
      </c>
      <c r="D860" s="2">
        <f t="shared" si="26"/>
        <v>0</v>
      </c>
      <c r="E860" s="2">
        <f>IF(D860=1,Fandual!B860,0)</f>
        <v>0</v>
      </c>
      <c r="F860" s="2">
        <f>IF(D860=1,Fandual!D860,0)</f>
        <v>0</v>
      </c>
      <c r="G860" s="2">
        <f>IF(D860=1,Fandual!F860,0)</f>
        <v>0</v>
      </c>
      <c r="H860" s="2">
        <f>IF(D860=1,Fandual!H860,0)</f>
        <v>0</v>
      </c>
      <c r="I860" s="2">
        <f>IF((Optimizer!$J$8=Fandual!J860),4,0)</f>
        <v>0</v>
      </c>
      <c r="J860" s="2">
        <f>IF((Optimizer!$J$10=Fandual!J860),100,0)</f>
        <v>0</v>
      </c>
      <c r="K860" s="2">
        <f t="shared" si="27"/>
        <v>0</v>
      </c>
      <c r="L860" s="2">
        <f>IF(Fandual!M860="",1,0)</f>
        <v>1</v>
      </c>
    </row>
    <row r="861" spans="1:12" x14ac:dyDescent="0.25">
      <c r="A861" s="2">
        <f>IF((OR(Optimizer!$J$8=Fandual!J861,Optimizer!$J$10=Fandual!J861))=TRUE, 1,0)</f>
        <v>0</v>
      </c>
      <c r="B861" s="2">
        <f>IF((OR(Fandual!O861="",Fandual!O861&lt;&gt;0)=TRUE),1,0)</f>
        <v>1</v>
      </c>
      <c r="C861" s="2">
        <f>IF(Fandual!B861&lt;&gt;"P",1,0)</f>
        <v>1</v>
      </c>
      <c r="D861" s="2">
        <f t="shared" si="26"/>
        <v>0</v>
      </c>
      <c r="E861" s="2">
        <f>IF(D861=1,Fandual!B861,0)</f>
        <v>0</v>
      </c>
      <c r="F861" s="2">
        <f>IF(D861=1,Fandual!D861,0)</f>
        <v>0</v>
      </c>
      <c r="G861" s="2">
        <f>IF(D861=1,Fandual!F861,0)</f>
        <v>0</v>
      </c>
      <c r="H861" s="2">
        <f>IF(D861=1,Fandual!H861,0)</f>
        <v>0</v>
      </c>
      <c r="I861" s="2">
        <f>IF((Optimizer!$J$8=Fandual!J861),4,0)</f>
        <v>0</v>
      </c>
      <c r="J861" s="2">
        <f>IF((Optimizer!$J$10=Fandual!J861),100,0)</f>
        <v>0</v>
      </c>
      <c r="K861" s="2">
        <f t="shared" si="27"/>
        <v>0</v>
      </c>
      <c r="L861" s="2">
        <f>IF(Fandual!M861="",1,0)</f>
        <v>1</v>
      </c>
    </row>
    <row r="862" spans="1:12" x14ac:dyDescent="0.25">
      <c r="A862" s="2">
        <f>IF((OR(Optimizer!$J$8=Fandual!J862,Optimizer!$J$10=Fandual!J862))=TRUE, 1,0)</f>
        <v>0</v>
      </c>
      <c r="B862" s="2">
        <f>IF((OR(Fandual!O862="",Fandual!O862&lt;&gt;0)=TRUE),1,0)</f>
        <v>1</v>
      </c>
      <c r="C862" s="2">
        <f>IF(Fandual!B862&lt;&gt;"P",1,0)</f>
        <v>1</v>
      </c>
      <c r="D862" s="2">
        <f t="shared" si="26"/>
        <v>0</v>
      </c>
      <c r="E862" s="2">
        <f>IF(D862=1,Fandual!B862,0)</f>
        <v>0</v>
      </c>
      <c r="F862" s="2">
        <f>IF(D862=1,Fandual!D862,0)</f>
        <v>0</v>
      </c>
      <c r="G862" s="2">
        <f>IF(D862=1,Fandual!F862,0)</f>
        <v>0</v>
      </c>
      <c r="H862" s="2">
        <f>IF(D862=1,Fandual!H862,0)</f>
        <v>0</v>
      </c>
      <c r="I862" s="2">
        <f>IF((Optimizer!$J$8=Fandual!J862),4,0)</f>
        <v>0</v>
      </c>
      <c r="J862" s="2">
        <f>IF((Optimizer!$J$10=Fandual!J862),100,0)</f>
        <v>0</v>
      </c>
      <c r="K862" s="2">
        <f t="shared" si="27"/>
        <v>0</v>
      </c>
      <c r="L862" s="2">
        <f>IF(Fandual!M862="",1,0)</f>
        <v>0</v>
      </c>
    </row>
    <row r="863" spans="1:12" x14ac:dyDescent="0.25">
      <c r="A863" s="2">
        <f>IF((OR(Optimizer!$J$8=Fandual!J863,Optimizer!$J$10=Fandual!J863))=TRUE, 1,0)</f>
        <v>0</v>
      </c>
      <c r="B863" s="2">
        <f>IF((OR(Fandual!O863="",Fandual!O863&lt;&gt;0)=TRUE),1,0)</f>
        <v>1</v>
      </c>
      <c r="C863" s="2">
        <f>IF(Fandual!B863&lt;&gt;"P",1,0)</f>
        <v>1</v>
      </c>
      <c r="D863" s="2">
        <f t="shared" si="26"/>
        <v>0</v>
      </c>
      <c r="E863" s="2">
        <f>IF(D863=1,Fandual!B863,0)</f>
        <v>0</v>
      </c>
      <c r="F863" s="2">
        <f>IF(D863=1,Fandual!D863,0)</f>
        <v>0</v>
      </c>
      <c r="G863" s="2">
        <f>IF(D863=1,Fandual!F863,0)</f>
        <v>0</v>
      </c>
      <c r="H863" s="2">
        <f>IF(D863=1,Fandual!H863,0)</f>
        <v>0</v>
      </c>
      <c r="I863" s="2">
        <f>IF((Optimizer!$J$8=Fandual!J863),4,0)</f>
        <v>0</v>
      </c>
      <c r="J863" s="2">
        <f>IF((Optimizer!$J$10=Fandual!J863),100,0)</f>
        <v>0</v>
      </c>
      <c r="K863" s="2">
        <f t="shared" si="27"/>
        <v>0</v>
      </c>
      <c r="L863" s="2">
        <f>IF(Fandual!M863="",1,0)</f>
        <v>1</v>
      </c>
    </row>
    <row r="864" spans="1:12" x14ac:dyDescent="0.25">
      <c r="A864" s="2">
        <f>IF((OR(Optimizer!$J$8=Fandual!J864,Optimizer!$J$10=Fandual!J864))=TRUE, 1,0)</f>
        <v>0</v>
      </c>
      <c r="B864" s="2">
        <f>IF((OR(Fandual!O864="",Fandual!O864&lt;&gt;0)=TRUE),1,0)</f>
        <v>1</v>
      </c>
      <c r="C864" s="2">
        <f>IF(Fandual!B864&lt;&gt;"P",1,0)</f>
        <v>1</v>
      </c>
      <c r="D864" s="2">
        <f t="shared" si="26"/>
        <v>0</v>
      </c>
      <c r="E864" s="2">
        <f>IF(D864=1,Fandual!B864,0)</f>
        <v>0</v>
      </c>
      <c r="F864" s="2">
        <f>IF(D864=1,Fandual!D864,0)</f>
        <v>0</v>
      </c>
      <c r="G864" s="2">
        <f>IF(D864=1,Fandual!F864,0)</f>
        <v>0</v>
      </c>
      <c r="H864" s="2">
        <f>IF(D864=1,Fandual!H864,0)</f>
        <v>0</v>
      </c>
      <c r="I864" s="2">
        <f>IF((Optimizer!$J$8=Fandual!J864),4,0)</f>
        <v>0</v>
      </c>
      <c r="J864" s="2">
        <f>IF((Optimizer!$J$10=Fandual!J864),100,0)</f>
        <v>0</v>
      </c>
      <c r="K864" s="2">
        <f t="shared" si="27"/>
        <v>0</v>
      </c>
      <c r="L864" s="2">
        <f>IF(Fandual!M864="",1,0)</f>
        <v>1</v>
      </c>
    </row>
    <row r="865" spans="1:12" x14ac:dyDescent="0.25">
      <c r="A865" s="2">
        <f>IF((OR(Optimizer!$J$8=Fandual!J865,Optimizer!$J$10=Fandual!J865))=TRUE, 1,0)</f>
        <v>0</v>
      </c>
      <c r="B865" s="2">
        <f>IF((OR(Fandual!O865="",Fandual!O865&lt;&gt;0)=TRUE),1,0)</f>
        <v>1</v>
      </c>
      <c r="C865" s="2">
        <f>IF(Fandual!B865&lt;&gt;"P",1,0)</f>
        <v>1</v>
      </c>
      <c r="D865" s="2">
        <f t="shared" si="26"/>
        <v>0</v>
      </c>
      <c r="E865" s="2">
        <f>IF(D865=1,Fandual!B865,0)</f>
        <v>0</v>
      </c>
      <c r="F865" s="2">
        <f>IF(D865=1,Fandual!D865,0)</f>
        <v>0</v>
      </c>
      <c r="G865" s="2">
        <f>IF(D865=1,Fandual!F865,0)</f>
        <v>0</v>
      </c>
      <c r="H865" s="2">
        <f>IF(D865=1,Fandual!H865,0)</f>
        <v>0</v>
      </c>
      <c r="I865" s="2">
        <f>IF((Optimizer!$J$8=Fandual!J865),4,0)</f>
        <v>0</v>
      </c>
      <c r="J865" s="2">
        <f>IF((Optimizer!$J$10=Fandual!J865),100,0)</f>
        <v>0</v>
      </c>
      <c r="K865" s="2">
        <f t="shared" si="27"/>
        <v>0</v>
      </c>
      <c r="L865" s="2">
        <f>IF(Fandual!M865="",1,0)</f>
        <v>1</v>
      </c>
    </row>
    <row r="866" spans="1:12" x14ac:dyDescent="0.25">
      <c r="A866" s="2">
        <f>IF((OR(Optimizer!$J$8=Fandual!J866,Optimizer!$J$10=Fandual!J866))=TRUE, 1,0)</f>
        <v>0</v>
      </c>
      <c r="B866" s="2">
        <f>IF((OR(Fandual!O866="",Fandual!O866&lt;&gt;0)=TRUE),1,0)</f>
        <v>1</v>
      </c>
      <c r="C866" s="2">
        <f>IF(Fandual!B866&lt;&gt;"P",1,0)</f>
        <v>1</v>
      </c>
      <c r="D866" s="2">
        <f t="shared" si="26"/>
        <v>0</v>
      </c>
      <c r="E866" s="2">
        <f>IF(D866=1,Fandual!B866,0)</f>
        <v>0</v>
      </c>
      <c r="F866" s="2">
        <f>IF(D866=1,Fandual!D866,0)</f>
        <v>0</v>
      </c>
      <c r="G866" s="2">
        <f>IF(D866=1,Fandual!F866,0)</f>
        <v>0</v>
      </c>
      <c r="H866" s="2">
        <f>IF(D866=1,Fandual!H866,0)</f>
        <v>0</v>
      </c>
      <c r="I866" s="2">
        <f>IF((Optimizer!$J$8=Fandual!J866),4,0)</f>
        <v>0</v>
      </c>
      <c r="J866" s="2">
        <f>IF((Optimizer!$J$10=Fandual!J866),100,0)</f>
        <v>0</v>
      </c>
      <c r="K866" s="2">
        <f t="shared" si="27"/>
        <v>0</v>
      </c>
      <c r="L866" s="2">
        <f>IF(Fandual!M866="",1,0)</f>
        <v>1</v>
      </c>
    </row>
    <row r="867" spans="1:12" x14ac:dyDescent="0.25">
      <c r="A867" s="2">
        <f>IF((OR(Optimizer!$J$8=Fandual!J867,Optimizer!$J$10=Fandual!J867))=TRUE, 1,0)</f>
        <v>0</v>
      </c>
      <c r="B867" s="2">
        <f>IF((OR(Fandual!O867="",Fandual!O867&lt;&gt;0)=TRUE),1,0)</f>
        <v>1</v>
      </c>
      <c r="C867" s="2">
        <f>IF(Fandual!B867&lt;&gt;"P",1,0)</f>
        <v>1</v>
      </c>
      <c r="D867" s="2">
        <f t="shared" si="26"/>
        <v>0</v>
      </c>
      <c r="E867" s="2">
        <f>IF(D867=1,Fandual!B867,0)</f>
        <v>0</v>
      </c>
      <c r="F867" s="2">
        <f>IF(D867=1,Fandual!D867,0)</f>
        <v>0</v>
      </c>
      <c r="G867" s="2">
        <f>IF(D867=1,Fandual!F867,0)</f>
        <v>0</v>
      </c>
      <c r="H867" s="2">
        <f>IF(D867=1,Fandual!H867,0)</f>
        <v>0</v>
      </c>
      <c r="I867" s="2">
        <f>IF((Optimizer!$J$8=Fandual!J867),4,0)</f>
        <v>0</v>
      </c>
      <c r="J867" s="2">
        <f>IF((Optimizer!$J$10=Fandual!J867),100,0)</f>
        <v>0</v>
      </c>
      <c r="K867" s="2">
        <f t="shared" si="27"/>
        <v>0</v>
      </c>
      <c r="L867" s="2">
        <f>IF(Fandual!M867="",1,0)</f>
        <v>1</v>
      </c>
    </row>
    <row r="868" spans="1:12" x14ac:dyDescent="0.25">
      <c r="A868" s="2">
        <f>IF((OR(Optimizer!$J$8=Fandual!J868,Optimizer!$J$10=Fandual!J868))=TRUE, 1,0)</f>
        <v>0</v>
      </c>
      <c r="B868" s="2">
        <f>IF((OR(Fandual!O868="",Fandual!O868&lt;&gt;0)=TRUE),1,0)</f>
        <v>1</v>
      </c>
      <c r="C868" s="2">
        <f>IF(Fandual!B868&lt;&gt;"P",1,0)</f>
        <v>1</v>
      </c>
      <c r="D868" s="2">
        <f t="shared" si="26"/>
        <v>0</v>
      </c>
      <c r="E868" s="2">
        <f>IF(D868=1,Fandual!B868,0)</f>
        <v>0</v>
      </c>
      <c r="F868" s="2">
        <f>IF(D868=1,Fandual!D868,0)</f>
        <v>0</v>
      </c>
      <c r="G868" s="2">
        <f>IF(D868=1,Fandual!F868,0)</f>
        <v>0</v>
      </c>
      <c r="H868" s="2">
        <f>IF(D868=1,Fandual!H868,0)</f>
        <v>0</v>
      </c>
      <c r="I868" s="2">
        <f>IF((Optimizer!$J$8=Fandual!J868),4,0)</f>
        <v>0</v>
      </c>
      <c r="J868" s="2">
        <f>IF((Optimizer!$J$10=Fandual!J868),100,0)</f>
        <v>0</v>
      </c>
      <c r="K868" s="2">
        <f t="shared" si="27"/>
        <v>0</v>
      </c>
      <c r="L868" s="2">
        <f>IF(Fandual!M868="",1,0)</f>
        <v>1</v>
      </c>
    </row>
    <row r="869" spans="1:12" x14ac:dyDescent="0.25">
      <c r="A869" s="2">
        <f>IF((OR(Optimizer!$J$8=Fandual!J869,Optimizer!$J$10=Fandual!J869))=TRUE, 1,0)</f>
        <v>0</v>
      </c>
      <c r="B869" s="2">
        <f>IF((OR(Fandual!O869="",Fandual!O869&lt;&gt;0)=TRUE),1,0)</f>
        <v>1</v>
      </c>
      <c r="C869" s="2">
        <f>IF(Fandual!B869&lt;&gt;"P",1,0)</f>
        <v>1</v>
      </c>
      <c r="D869" s="2">
        <f t="shared" si="26"/>
        <v>0</v>
      </c>
      <c r="E869" s="2">
        <f>IF(D869=1,Fandual!B869,0)</f>
        <v>0</v>
      </c>
      <c r="F869" s="2">
        <f>IF(D869=1,Fandual!D869,0)</f>
        <v>0</v>
      </c>
      <c r="G869" s="2">
        <f>IF(D869=1,Fandual!F869,0)</f>
        <v>0</v>
      </c>
      <c r="H869" s="2">
        <f>IF(D869=1,Fandual!H869,0)</f>
        <v>0</v>
      </c>
      <c r="I869" s="2">
        <f>IF((Optimizer!$J$8=Fandual!J869),4,0)</f>
        <v>0</v>
      </c>
      <c r="J869" s="2">
        <f>IF((Optimizer!$J$10=Fandual!J869),100,0)</f>
        <v>0</v>
      </c>
      <c r="K869" s="2">
        <f t="shared" si="27"/>
        <v>0</v>
      </c>
      <c r="L869" s="2">
        <f>IF(Fandual!M869="",1,0)</f>
        <v>1</v>
      </c>
    </row>
    <row r="870" spans="1:12" x14ac:dyDescent="0.25">
      <c r="A870" s="2">
        <f>IF((OR(Optimizer!$J$8=Fandual!J870,Optimizer!$J$10=Fandual!J870))=TRUE, 1,0)</f>
        <v>0</v>
      </c>
      <c r="B870" s="2">
        <f>IF((OR(Fandual!O870="",Fandual!O870&lt;&gt;0)=TRUE),1,0)</f>
        <v>1</v>
      </c>
      <c r="C870" s="2">
        <f>IF(Fandual!B870&lt;&gt;"P",1,0)</f>
        <v>1</v>
      </c>
      <c r="D870" s="2">
        <f t="shared" si="26"/>
        <v>0</v>
      </c>
      <c r="E870" s="2">
        <f>IF(D870=1,Fandual!B870,0)</f>
        <v>0</v>
      </c>
      <c r="F870" s="2">
        <f>IF(D870=1,Fandual!D870,0)</f>
        <v>0</v>
      </c>
      <c r="G870" s="2">
        <f>IF(D870=1,Fandual!F870,0)</f>
        <v>0</v>
      </c>
      <c r="H870" s="2">
        <f>IF(D870=1,Fandual!H870,0)</f>
        <v>0</v>
      </c>
      <c r="I870" s="2">
        <f>IF((Optimizer!$J$8=Fandual!J870),4,0)</f>
        <v>0</v>
      </c>
      <c r="J870" s="2">
        <f>IF((Optimizer!$J$10=Fandual!J870),100,0)</f>
        <v>0</v>
      </c>
      <c r="K870" s="2">
        <f t="shared" si="27"/>
        <v>0</v>
      </c>
      <c r="L870" s="2">
        <f>IF(Fandual!M870="",1,0)</f>
        <v>1</v>
      </c>
    </row>
    <row r="871" spans="1:12" x14ac:dyDescent="0.25">
      <c r="A871" s="2">
        <f>IF((OR(Optimizer!$J$8=Fandual!J871,Optimizer!$J$10=Fandual!J871))=TRUE, 1,0)</f>
        <v>0</v>
      </c>
      <c r="B871" s="2">
        <f>IF((OR(Fandual!O871="",Fandual!O871&lt;&gt;0)=TRUE),1,0)</f>
        <v>1</v>
      </c>
      <c r="C871" s="2">
        <f>IF(Fandual!B871&lt;&gt;"P",1,0)</f>
        <v>1</v>
      </c>
      <c r="D871" s="2">
        <f t="shared" si="26"/>
        <v>0</v>
      </c>
      <c r="E871" s="2">
        <f>IF(D871=1,Fandual!B871,0)</f>
        <v>0</v>
      </c>
      <c r="F871" s="2">
        <f>IF(D871=1,Fandual!D871,0)</f>
        <v>0</v>
      </c>
      <c r="G871" s="2">
        <f>IF(D871=1,Fandual!F871,0)</f>
        <v>0</v>
      </c>
      <c r="H871" s="2">
        <f>IF(D871=1,Fandual!H871,0)</f>
        <v>0</v>
      </c>
      <c r="I871" s="2">
        <f>IF((Optimizer!$J$8=Fandual!J871),4,0)</f>
        <v>0</v>
      </c>
      <c r="J871" s="2">
        <f>IF((Optimizer!$J$10=Fandual!J871),100,0)</f>
        <v>0</v>
      </c>
      <c r="K871" s="2">
        <f t="shared" si="27"/>
        <v>0</v>
      </c>
      <c r="L871" s="2">
        <f>IF(Fandual!M871="",1,0)</f>
        <v>1</v>
      </c>
    </row>
    <row r="872" spans="1:12" x14ac:dyDescent="0.25">
      <c r="A872" s="2">
        <f>IF((OR(Optimizer!$J$8=Fandual!J872,Optimizer!$J$10=Fandual!J872))=TRUE, 1,0)</f>
        <v>0</v>
      </c>
      <c r="B872" s="2">
        <f>IF((OR(Fandual!O872="",Fandual!O872&lt;&gt;0)=TRUE),1,0)</f>
        <v>1</v>
      </c>
      <c r="C872" s="2">
        <f>IF(Fandual!B872&lt;&gt;"P",1,0)</f>
        <v>1</v>
      </c>
      <c r="D872" s="2">
        <f t="shared" si="26"/>
        <v>0</v>
      </c>
      <c r="E872" s="2">
        <f>IF(D872=1,Fandual!B872,0)</f>
        <v>0</v>
      </c>
      <c r="F872" s="2">
        <f>IF(D872=1,Fandual!D872,0)</f>
        <v>0</v>
      </c>
      <c r="G872" s="2">
        <f>IF(D872=1,Fandual!F872,0)</f>
        <v>0</v>
      </c>
      <c r="H872" s="2">
        <f>IF(D872=1,Fandual!H872,0)</f>
        <v>0</v>
      </c>
      <c r="I872" s="2">
        <f>IF((Optimizer!$J$8=Fandual!J872),4,0)</f>
        <v>0</v>
      </c>
      <c r="J872" s="2">
        <f>IF((Optimizer!$J$10=Fandual!J872),100,0)</f>
        <v>0</v>
      </c>
      <c r="K872" s="2">
        <f t="shared" si="27"/>
        <v>0</v>
      </c>
      <c r="L872" s="2">
        <f>IF(Fandual!M872="",1,0)</f>
        <v>1</v>
      </c>
    </row>
    <row r="873" spans="1:12" x14ac:dyDescent="0.25">
      <c r="A873" s="2">
        <f>IF((OR(Optimizer!$J$8=Fandual!J873,Optimizer!$J$10=Fandual!J873))=TRUE, 1,0)</f>
        <v>0</v>
      </c>
      <c r="B873" s="2">
        <f>IF((OR(Fandual!O873="",Fandual!O873&lt;&gt;0)=TRUE),1,0)</f>
        <v>1</v>
      </c>
      <c r="C873" s="2">
        <f>IF(Fandual!B873&lt;&gt;"P",1,0)</f>
        <v>1</v>
      </c>
      <c r="D873" s="2">
        <f t="shared" si="26"/>
        <v>0</v>
      </c>
      <c r="E873" s="2">
        <f>IF(D873=1,Fandual!B873,0)</f>
        <v>0</v>
      </c>
      <c r="F873" s="2">
        <f>IF(D873=1,Fandual!D873,0)</f>
        <v>0</v>
      </c>
      <c r="G873" s="2">
        <f>IF(D873=1,Fandual!F873,0)</f>
        <v>0</v>
      </c>
      <c r="H873" s="2">
        <f>IF(D873=1,Fandual!H873,0)</f>
        <v>0</v>
      </c>
      <c r="I873" s="2">
        <f>IF((Optimizer!$J$8=Fandual!J873),4,0)</f>
        <v>0</v>
      </c>
      <c r="J873" s="2">
        <f>IF((Optimizer!$J$10=Fandual!J873),100,0)</f>
        <v>0</v>
      </c>
      <c r="K873" s="2">
        <f t="shared" si="27"/>
        <v>0</v>
      </c>
      <c r="L873" s="2">
        <f>IF(Fandual!M873="",1,0)</f>
        <v>1</v>
      </c>
    </row>
    <row r="874" spans="1:12" x14ac:dyDescent="0.25">
      <c r="A874" s="2">
        <f>IF((OR(Optimizer!$J$8=Fandual!J874,Optimizer!$J$10=Fandual!J874))=TRUE, 1,0)</f>
        <v>0</v>
      </c>
      <c r="B874" s="2">
        <f>IF((OR(Fandual!O874="",Fandual!O874&lt;&gt;0)=TRUE),1,0)</f>
        <v>1</v>
      </c>
      <c r="C874" s="2">
        <f>IF(Fandual!B874&lt;&gt;"P",1,0)</f>
        <v>1</v>
      </c>
      <c r="D874" s="2">
        <f t="shared" si="26"/>
        <v>0</v>
      </c>
      <c r="E874" s="2">
        <f>IF(D874=1,Fandual!B874,0)</f>
        <v>0</v>
      </c>
      <c r="F874" s="2">
        <f>IF(D874=1,Fandual!D874,0)</f>
        <v>0</v>
      </c>
      <c r="G874" s="2">
        <f>IF(D874=1,Fandual!F874,0)</f>
        <v>0</v>
      </c>
      <c r="H874" s="2">
        <f>IF(D874=1,Fandual!H874,0)</f>
        <v>0</v>
      </c>
      <c r="I874" s="2">
        <f>IF((Optimizer!$J$8=Fandual!J874),4,0)</f>
        <v>0</v>
      </c>
      <c r="J874" s="2">
        <f>IF((Optimizer!$J$10=Fandual!J874),100,0)</f>
        <v>0</v>
      </c>
      <c r="K874" s="2">
        <f t="shared" si="27"/>
        <v>0</v>
      </c>
      <c r="L874" s="2">
        <f>IF(Fandual!M874="",1,0)</f>
        <v>1</v>
      </c>
    </row>
    <row r="875" spans="1:12" x14ac:dyDescent="0.25">
      <c r="A875" s="2">
        <f>IF((OR(Optimizer!$J$8=Fandual!J875,Optimizer!$J$10=Fandual!J875))=TRUE, 1,0)</f>
        <v>0</v>
      </c>
      <c r="B875" s="2">
        <f>IF((OR(Fandual!O875="",Fandual!O875&lt;&gt;0)=TRUE),1,0)</f>
        <v>1</v>
      </c>
      <c r="C875" s="2">
        <f>IF(Fandual!B875&lt;&gt;"P",1,0)</f>
        <v>1</v>
      </c>
      <c r="D875" s="2">
        <f t="shared" si="26"/>
        <v>0</v>
      </c>
      <c r="E875" s="2">
        <f>IF(D875=1,Fandual!B875,0)</f>
        <v>0</v>
      </c>
      <c r="F875" s="2">
        <f>IF(D875=1,Fandual!D875,0)</f>
        <v>0</v>
      </c>
      <c r="G875" s="2">
        <f>IF(D875=1,Fandual!F875,0)</f>
        <v>0</v>
      </c>
      <c r="H875" s="2">
        <f>IF(D875=1,Fandual!H875,0)</f>
        <v>0</v>
      </c>
      <c r="I875" s="2">
        <f>IF((Optimizer!$J$8=Fandual!J875),4,0)</f>
        <v>0</v>
      </c>
      <c r="J875" s="2">
        <f>IF((Optimizer!$J$10=Fandual!J875),100,0)</f>
        <v>0</v>
      </c>
      <c r="K875" s="2">
        <f t="shared" si="27"/>
        <v>0</v>
      </c>
      <c r="L875" s="2">
        <f>IF(Fandual!M875="",1,0)</f>
        <v>1</v>
      </c>
    </row>
    <row r="876" spans="1:12" x14ac:dyDescent="0.25">
      <c r="A876" s="2">
        <f>IF((OR(Optimizer!$J$8=Fandual!J876,Optimizer!$J$10=Fandual!J876))=TRUE, 1,0)</f>
        <v>0</v>
      </c>
      <c r="B876" s="2">
        <f>IF((OR(Fandual!O876="",Fandual!O876&lt;&gt;0)=TRUE),1,0)</f>
        <v>1</v>
      </c>
      <c r="C876" s="2">
        <f>IF(Fandual!B876&lt;&gt;"P",1,0)</f>
        <v>1</v>
      </c>
      <c r="D876" s="2">
        <f t="shared" si="26"/>
        <v>0</v>
      </c>
      <c r="E876" s="2">
        <f>IF(D876=1,Fandual!B876,0)</f>
        <v>0</v>
      </c>
      <c r="F876" s="2">
        <f>IF(D876=1,Fandual!D876,0)</f>
        <v>0</v>
      </c>
      <c r="G876" s="2">
        <f>IF(D876=1,Fandual!F876,0)</f>
        <v>0</v>
      </c>
      <c r="H876" s="2">
        <f>IF(D876=1,Fandual!H876,0)</f>
        <v>0</v>
      </c>
      <c r="I876" s="2">
        <f>IF((Optimizer!$J$8=Fandual!J876),4,0)</f>
        <v>0</v>
      </c>
      <c r="J876" s="2">
        <f>IF((Optimizer!$J$10=Fandual!J876),100,0)</f>
        <v>0</v>
      </c>
      <c r="K876" s="2">
        <f t="shared" si="27"/>
        <v>0</v>
      </c>
      <c r="L876" s="2">
        <f>IF(Fandual!M876="",1,0)</f>
        <v>1</v>
      </c>
    </row>
    <row r="877" spans="1:12" x14ac:dyDescent="0.25">
      <c r="A877" s="2">
        <f>IF((OR(Optimizer!$J$8=Fandual!J877,Optimizer!$J$10=Fandual!J877))=TRUE, 1,0)</f>
        <v>0</v>
      </c>
      <c r="B877" s="2">
        <f>IF((OR(Fandual!O877="",Fandual!O877&lt;&gt;0)=TRUE),1,0)</f>
        <v>1</v>
      </c>
      <c r="C877" s="2">
        <f>IF(Fandual!B877&lt;&gt;"P",1,0)</f>
        <v>1</v>
      </c>
      <c r="D877" s="2">
        <f t="shared" si="26"/>
        <v>0</v>
      </c>
      <c r="E877" s="2">
        <f>IF(D877=1,Fandual!B877,0)</f>
        <v>0</v>
      </c>
      <c r="F877" s="2">
        <f>IF(D877=1,Fandual!D877,0)</f>
        <v>0</v>
      </c>
      <c r="G877" s="2">
        <f>IF(D877=1,Fandual!F877,0)</f>
        <v>0</v>
      </c>
      <c r="H877" s="2">
        <f>IF(D877=1,Fandual!H877,0)</f>
        <v>0</v>
      </c>
      <c r="I877" s="2">
        <f>IF((Optimizer!$J$8=Fandual!J877),4,0)</f>
        <v>0</v>
      </c>
      <c r="J877" s="2">
        <f>IF((Optimizer!$J$10=Fandual!J877),100,0)</f>
        <v>0</v>
      </c>
      <c r="K877" s="2">
        <f t="shared" si="27"/>
        <v>0</v>
      </c>
      <c r="L877" s="2">
        <f>IF(Fandual!M877="",1,0)</f>
        <v>1</v>
      </c>
    </row>
    <row r="878" spans="1:12" x14ac:dyDescent="0.25">
      <c r="A878" s="2">
        <f>IF((OR(Optimizer!$J$8=Fandual!J878,Optimizer!$J$10=Fandual!J878))=TRUE, 1,0)</f>
        <v>0</v>
      </c>
      <c r="B878" s="2">
        <f>IF((OR(Fandual!O878="",Fandual!O878&lt;&gt;0)=TRUE),1,0)</f>
        <v>1</v>
      </c>
      <c r="C878" s="2">
        <f>IF(Fandual!B878&lt;&gt;"P",1,0)</f>
        <v>1</v>
      </c>
      <c r="D878" s="2">
        <f t="shared" si="26"/>
        <v>0</v>
      </c>
      <c r="E878" s="2">
        <f>IF(D878=1,Fandual!B878,0)</f>
        <v>0</v>
      </c>
      <c r="F878" s="2">
        <f>IF(D878=1,Fandual!D878,0)</f>
        <v>0</v>
      </c>
      <c r="G878" s="2">
        <f>IF(D878=1,Fandual!F878,0)</f>
        <v>0</v>
      </c>
      <c r="H878" s="2">
        <f>IF(D878=1,Fandual!H878,0)</f>
        <v>0</v>
      </c>
      <c r="I878" s="2">
        <f>IF((Optimizer!$J$8=Fandual!J878),4,0)</f>
        <v>0</v>
      </c>
      <c r="J878" s="2">
        <f>IF((Optimizer!$J$10=Fandual!J878),100,0)</f>
        <v>0</v>
      </c>
      <c r="K878" s="2">
        <f t="shared" si="27"/>
        <v>0</v>
      </c>
      <c r="L878" s="2">
        <f>IF(Fandual!M878="",1,0)</f>
        <v>1</v>
      </c>
    </row>
    <row r="879" spans="1:12" x14ac:dyDescent="0.25">
      <c r="A879" s="2">
        <f>IF((OR(Optimizer!$J$8=Fandual!J879,Optimizer!$J$10=Fandual!J879))=TRUE, 1,0)</f>
        <v>0</v>
      </c>
      <c r="B879" s="2">
        <f>IF((OR(Fandual!O879="",Fandual!O879&lt;&gt;0)=TRUE),1,0)</f>
        <v>1</v>
      </c>
      <c r="C879" s="2">
        <f>IF(Fandual!B879&lt;&gt;"P",1,0)</f>
        <v>1</v>
      </c>
      <c r="D879" s="2">
        <f t="shared" si="26"/>
        <v>0</v>
      </c>
      <c r="E879" s="2">
        <f>IF(D879=1,Fandual!B879,0)</f>
        <v>0</v>
      </c>
      <c r="F879" s="2">
        <f>IF(D879=1,Fandual!D879,0)</f>
        <v>0</v>
      </c>
      <c r="G879" s="2">
        <f>IF(D879=1,Fandual!F879,0)</f>
        <v>0</v>
      </c>
      <c r="H879" s="2">
        <f>IF(D879=1,Fandual!H879,0)</f>
        <v>0</v>
      </c>
      <c r="I879" s="2">
        <f>IF((Optimizer!$J$8=Fandual!J879),4,0)</f>
        <v>0</v>
      </c>
      <c r="J879" s="2">
        <f>IF((Optimizer!$J$10=Fandual!J879),100,0)</f>
        <v>0</v>
      </c>
      <c r="K879" s="2">
        <f t="shared" si="27"/>
        <v>0</v>
      </c>
      <c r="L879" s="2">
        <f>IF(Fandual!M879="",1,0)</f>
        <v>1</v>
      </c>
    </row>
    <row r="880" spans="1:12" x14ac:dyDescent="0.25">
      <c r="A880" s="2">
        <f>IF((OR(Optimizer!$J$8=Fandual!J880,Optimizer!$J$10=Fandual!J880))=TRUE, 1,0)</f>
        <v>0</v>
      </c>
      <c r="B880" s="2">
        <f>IF((OR(Fandual!O880="",Fandual!O880&lt;&gt;0)=TRUE),1,0)</f>
        <v>1</v>
      </c>
      <c r="C880" s="2">
        <f>IF(Fandual!B880&lt;&gt;"P",1,0)</f>
        <v>1</v>
      </c>
      <c r="D880" s="2">
        <f t="shared" si="26"/>
        <v>0</v>
      </c>
      <c r="E880" s="2">
        <f>IF(D880=1,Fandual!B880,0)</f>
        <v>0</v>
      </c>
      <c r="F880" s="2">
        <f>IF(D880=1,Fandual!D880,0)</f>
        <v>0</v>
      </c>
      <c r="G880" s="2">
        <f>IF(D880=1,Fandual!F880,0)</f>
        <v>0</v>
      </c>
      <c r="H880" s="2">
        <f>IF(D880=1,Fandual!H880,0)</f>
        <v>0</v>
      </c>
      <c r="I880" s="2">
        <f>IF((Optimizer!$J$8=Fandual!J880),4,0)</f>
        <v>0</v>
      </c>
      <c r="J880" s="2">
        <f>IF((Optimizer!$J$10=Fandual!J880),100,0)</f>
        <v>0</v>
      </c>
      <c r="K880" s="2">
        <f t="shared" si="27"/>
        <v>0</v>
      </c>
      <c r="L880" s="2">
        <f>IF(Fandual!M880="",1,0)</f>
        <v>1</v>
      </c>
    </row>
    <row r="881" spans="1:12" x14ac:dyDescent="0.25">
      <c r="A881" s="2">
        <f>IF((OR(Optimizer!$J$8=Fandual!J881,Optimizer!$J$10=Fandual!J881))=TRUE, 1,0)</f>
        <v>0</v>
      </c>
      <c r="B881" s="2">
        <f>IF((OR(Fandual!O881="",Fandual!O881&lt;&gt;0)=TRUE),1,0)</f>
        <v>1</v>
      </c>
      <c r="C881" s="2">
        <f>IF(Fandual!B881&lt;&gt;"P",1,0)</f>
        <v>1</v>
      </c>
      <c r="D881" s="2">
        <f t="shared" si="26"/>
        <v>0</v>
      </c>
      <c r="E881" s="2">
        <f>IF(D881=1,Fandual!B881,0)</f>
        <v>0</v>
      </c>
      <c r="F881" s="2">
        <f>IF(D881=1,Fandual!D881,0)</f>
        <v>0</v>
      </c>
      <c r="G881" s="2">
        <f>IF(D881=1,Fandual!F881,0)</f>
        <v>0</v>
      </c>
      <c r="H881" s="2">
        <f>IF(D881=1,Fandual!H881,0)</f>
        <v>0</v>
      </c>
      <c r="I881" s="2">
        <f>IF((Optimizer!$J$8=Fandual!J881),4,0)</f>
        <v>0</v>
      </c>
      <c r="J881" s="2">
        <f>IF((Optimizer!$J$10=Fandual!J881),100,0)</f>
        <v>0</v>
      </c>
      <c r="K881" s="2">
        <f t="shared" si="27"/>
        <v>0</v>
      </c>
      <c r="L881" s="2">
        <f>IF(Fandual!M881="",1,0)</f>
        <v>1</v>
      </c>
    </row>
    <row r="882" spans="1:12" x14ac:dyDescent="0.25">
      <c r="A882" s="2">
        <f>IF((OR(Optimizer!$J$8=Fandual!J882,Optimizer!$J$10=Fandual!J882))=TRUE, 1,0)</f>
        <v>0</v>
      </c>
      <c r="B882" s="2">
        <f>IF((OR(Fandual!O882="",Fandual!O882&lt;&gt;0)=TRUE),1,0)</f>
        <v>1</v>
      </c>
      <c r="C882" s="2">
        <f>IF(Fandual!B882&lt;&gt;"P",1,0)</f>
        <v>1</v>
      </c>
      <c r="D882" s="2">
        <f t="shared" si="26"/>
        <v>0</v>
      </c>
      <c r="E882" s="2">
        <f>IF(D882=1,Fandual!B882,0)</f>
        <v>0</v>
      </c>
      <c r="F882" s="2">
        <f>IF(D882=1,Fandual!D882,0)</f>
        <v>0</v>
      </c>
      <c r="G882" s="2">
        <f>IF(D882=1,Fandual!F882,0)</f>
        <v>0</v>
      </c>
      <c r="H882" s="2">
        <f>IF(D882=1,Fandual!H882,0)</f>
        <v>0</v>
      </c>
      <c r="I882" s="2">
        <f>IF((Optimizer!$J$8=Fandual!J882),4,0)</f>
        <v>0</v>
      </c>
      <c r="J882" s="2">
        <f>IF((Optimizer!$J$10=Fandual!J882),100,0)</f>
        <v>0</v>
      </c>
      <c r="K882" s="2">
        <f t="shared" si="27"/>
        <v>0</v>
      </c>
      <c r="L882" s="2">
        <f>IF(Fandual!M882="",1,0)</f>
        <v>1</v>
      </c>
    </row>
    <row r="883" spans="1:12" x14ac:dyDescent="0.25">
      <c r="A883" s="2">
        <f>IF((OR(Optimizer!$J$8=Fandual!J883,Optimizer!$J$10=Fandual!J883))=TRUE, 1,0)</f>
        <v>0</v>
      </c>
      <c r="B883" s="2">
        <f>IF((OR(Fandual!O883="",Fandual!O883&lt;&gt;0)=TRUE),1,0)</f>
        <v>1</v>
      </c>
      <c r="C883" s="2">
        <f>IF(Fandual!B883&lt;&gt;"P",1,0)</f>
        <v>1</v>
      </c>
      <c r="D883" s="2">
        <f t="shared" si="26"/>
        <v>0</v>
      </c>
      <c r="E883" s="2">
        <f>IF(D883=1,Fandual!B883,0)</f>
        <v>0</v>
      </c>
      <c r="F883" s="2">
        <f>IF(D883=1,Fandual!D883,0)</f>
        <v>0</v>
      </c>
      <c r="G883" s="2">
        <f>IF(D883=1,Fandual!F883,0)</f>
        <v>0</v>
      </c>
      <c r="H883" s="2">
        <f>IF(D883=1,Fandual!H883,0)</f>
        <v>0</v>
      </c>
      <c r="I883" s="2">
        <f>IF((Optimizer!$J$8=Fandual!J883),4,0)</f>
        <v>0</v>
      </c>
      <c r="J883" s="2">
        <f>IF((Optimizer!$J$10=Fandual!J883),100,0)</f>
        <v>0</v>
      </c>
      <c r="K883" s="2">
        <f t="shared" si="27"/>
        <v>0</v>
      </c>
      <c r="L883" s="2">
        <f>IF(Fandual!M883="",1,0)</f>
        <v>1</v>
      </c>
    </row>
    <row r="884" spans="1:12" x14ac:dyDescent="0.25">
      <c r="A884" s="2">
        <f>IF((OR(Optimizer!$J$8=Fandual!J884,Optimizer!$J$10=Fandual!J884))=TRUE, 1,0)</f>
        <v>0</v>
      </c>
      <c r="B884" s="2">
        <f>IF((OR(Fandual!O884="",Fandual!O884&lt;&gt;0)=TRUE),1,0)</f>
        <v>1</v>
      </c>
      <c r="C884" s="2">
        <f>IF(Fandual!B884&lt;&gt;"P",1,0)</f>
        <v>1</v>
      </c>
      <c r="D884" s="2">
        <f t="shared" si="26"/>
        <v>0</v>
      </c>
      <c r="E884" s="2">
        <f>IF(D884=1,Fandual!B884,0)</f>
        <v>0</v>
      </c>
      <c r="F884" s="2">
        <f>IF(D884=1,Fandual!D884,0)</f>
        <v>0</v>
      </c>
      <c r="G884" s="2">
        <f>IF(D884=1,Fandual!F884,0)</f>
        <v>0</v>
      </c>
      <c r="H884" s="2">
        <f>IF(D884=1,Fandual!H884,0)</f>
        <v>0</v>
      </c>
      <c r="I884" s="2">
        <f>IF((Optimizer!$J$8=Fandual!J884),4,0)</f>
        <v>0</v>
      </c>
      <c r="J884" s="2">
        <f>IF((Optimizer!$J$10=Fandual!J884),100,0)</f>
        <v>0</v>
      </c>
      <c r="K884" s="2">
        <f t="shared" si="27"/>
        <v>0</v>
      </c>
      <c r="L884" s="2">
        <f>IF(Fandual!M884="",1,0)</f>
        <v>1</v>
      </c>
    </row>
    <row r="885" spans="1:12" x14ac:dyDescent="0.25">
      <c r="A885" s="2">
        <f>IF((OR(Optimizer!$J$8=Fandual!J885,Optimizer!$J$10=Fandual!J885))=TRUE, 1,0)</f>
        <v>0</v>
      </c>
      <c r="B885" s="2">
        <f>IF((OR(Fandual!O885="",Fandual!O885&lt;&gt;0)=TRUE),1,0)</f>
        <v>1</v>
      </c>
      <c r="C885" s="2">
        <f>IF(Fandual!B885&lt;&gt;"P",1,0)</f>
        <v>1</v>
      </c>
      <c r="D885" s="2">
        <f t="shared" si="26"/>
        <v>0</v>
      </c>
      <c r="E885" s="2">
        <f>IF(D885=1,Fandual!B885,0)</f>
        <v>0</v>
      </c>
      <c r="F885" s="2">
        <f>IF(D885=1,Fandual!D885,0)</f>
        <v>0</v>
      </c>
      <c r="G885" s="2">
        <f>IF(D885=1,Fandual!F885,0)</f>
        <v>0</v>
      </c>
      <c r="H885" s="2">
        <f>IF(D885=1,Fandual!H885,0)</f>
        <v>0</v>
      </c>
      <c r="I885" s="2">
        <f>IF((Optimizer!$J$8=Fandual!J885),4,0)</f>
        <v>0</v>
      </c>
      <c r="J885" s="2">
        <f>IF((Optimizer!$J$10=Fandual!J885),100,0)</f>
        <v>0</v>
      </c>
      <c r="K885" s="2">
        <f t="shared" si="27"/>
        <v>0</v>
      </c>
      <c r="L885" s="2">
        <f>IF(Fandual!M885="",1,0)</f>
        <v>1</v>
      </c>
    </row>
    <row r="886" spans="1:12" x14ac:dyDescent="0.25">
      <c r="A886" s="2">
        <f>IF((OR(Optimizer!$J$8=Fandual!J886,Optimizer!$J$10=Fandual!J886))=TRUE, 1,0)</f>
        <v>0</v>
      </c>
      <c r="B886" s="2">
        <f>IF((OR(Fandual!O886="",Fandual!O886&lt;&gt;0)=TRUE),1,0)</f>
        <v>1</v>
      </c>
      <c r="C886" s="2">
        <f>IF(Fandual!B886&lt;&gt;"P",1,0)</f>
        <v>1</v>
      </c>
      <c r="D886" s="2">
        <f t="shared" si="26"/>
        <v>0</v>
      </c>
      <c r="E886" s="2">
        <f>IF(D886=1,Fandual!B886,0)</f>
        <v>0</v>
      </c>
      <c r="F886" s="2">
        <f>IF(D886=1,Fandual!D886,0)</f>
        <v>0</v>
      </c>
      <c r="G886" s="2">
        <f>IF(D886=1,Fandual!F886,0)</f>
        <v>0</v>
      </c>
      <c r="H886" s="2">
        <f>IF(D886=1,Fandual!H886,0)</f>
        <v>0</v>
      </c>
      <c r="I886" s="2">
        <f>IF((Optimizer!$J$8=Fandual!J886),4,0)</f>
        <v>0</v>
      </c>
      <c r="J886" s="2">
        <f>IF((Optimizer!$J$10=Fandual!J886),100,0)</f>
        <v>0</v>
      </c>
      <c r="K886" s="2">
        <f t="shared" si="27"/>
        <v>0</v>
      </c>
      <c r="L886" s="2">
        <f>IF(Fandual!M886="",1,0)</f>
        <v>1</v>
      </c>
    </row>
    <row r="887" spans="1:12" x14ac:dyDescent="0.25">
      <c r="A887" s="2">
        <f>IF((OR(Optimizer!$J$8=Fandual!J887,Optimizer!$J$10=Fandual!J887))=TRUE, 1,0)</f>
        <v>0</v>
      </c>
      <c r="B887" s="2">
        <f>IF((OR(Fandual!O887="",Fandual!O887&lt;&gt;0)=TRUE),1,0)</f>
        <v>1</v>
      </c>
      <c r="C887" s="2">
        <f>IF(Fandual!B887&lt;&gt;"P",1,0)</f>
        <v>1</v>
      </c>
      <c r="D887" s="2">
        <f t="shared" si="26"/>
        <v>0</v>
      </c>
      <c r="E887" s="2">
        <f>IF(D887=1,Fandual!B887,0)</f>
        <v>0</v>
      </c>
      <c r="F887" s="2">
        <f>IF(D887=1,Fandual!D887,0)</f>
        <v>0</v>
      </c>
      <c r="G887" s="2">
        <f>IF(D887=1,Fandual!F887,0)</f>
        <v>0</v>
      </c>
      <c r="H887" s="2">
        <f>IF(D887=1,Fandual!H887,0)</f>
        <v>0</v>
      </c>
      <c r="I887" s="2">
        <f>IF((Optimizer!$J$8=Fandual!J887),4,0)</f>
        <v>0</v>
      </c>
      <c r="J887" s="2">
        <f>IF((Optimizer!$J$10=Fandual!J887),100,0)</f>
        <v>0</v>
      </c>
      <c r="K887" s="2">
        <f t="shared" si="27"/>
        <v>0</v>
      </c>
      <c r="L887" s="2">
        <f>IF(Fandual!M887="",1,0)</f>
        <v>1</v>
      </c>
    </row>
    <row r="888" spans="1:12" x14ac:dyDescent="0.25">
      <c r="A888" s="2">
        <f>IF((OR(Optimizer!$J$8=Fandual!J888,Optimizer!$J$10=Fandual!J888))=TRUE, 1,0)</f>
        <v>0</v>
      </c>
      <c r="B888" s="2">
        <f>IF((OR(Fandual!O888="",Fandual!O888&lt;&gt;0)=TRUE),1,0)</f>
        <v>1</v>
      </c>
      <c r="C888" s="2">
        <f>IF(Fandual!B888&lt;&gt;"P",1,0)</f>
        <v>1</v>
      </c>
      <c r="D888" s="2">
        <f t="shared" si="26"/>
        <v>0</v>
      </c>
      <c r="E888" s="2">
        <f>IF(D888=1,Fandual!B888,0)</f>
        <v>0</v>
      </c>
      <c r="F888" s="2">
        <f>IF(D888=1,Fandual!D888,0)</f>
        <v>0</v>
      </c>
      <c r="G888" s="2">
        <f>IF(D888=1,Fandual!F888,0)</f>
        <v>0</v>
      </c>
      <c r="H888" s="2">
        <f>IF(D888=1,Fandual!H888,0)</f>
        <v>0</v>
      </c>
      <c r="I888" s="2">
        <f>IF((Optimizer!$J$8=Fandual!J888),4,0)</f>
        <v>0</v>
      </c>
      <c r="J888" s="2">
        <f>IF((Optimizer!$J$10=Fandual!J888),100,0)</f>
        <v>0</v>
      </c>
      <c r="K888" s="2">
        <f t="shared" si="27"/>
        <v>0</v>
      </c>
      <c r="L888" s="2">
        <f>IF(Fandual!M888="",1,0)</f>
        <v>1</v>
      </c>
    </row>
    <row r="889" spans="1:12" x14ac:dyDescent="0.25">
      <c r="A889" s="2">
        <f>IF((OR(Optimizer!$J$8=Fandual!J889,Optimizer!$J$10=Fandual!J889))=TRUE, 1,0)</f>
        <v>0</v>
      </c>
      <c r="B889" s="2">
        <f>IF((OR(Fandual!O889="",Fandual!O889&lt;&gt;0)=TRUE),1,0)</f>
        <v>1</v>
      </c>
      <c r="C889" s="2">
        <f>IF(Fandual!B889&lt;&gt;"P",1,0)</f>
        <v>1</v>
      </c>
      <c r="D889" s="2">
        <f t="shared" si="26"/>
        <v>0</v>
      </c>
      <c r="E889" s="2">
        <f>IF(D889=1,Fandual!B889,0)</f>
        <v>0</v>
      </c>
      <c r="F889" s="2">
        <f>IF(D889=1,Fandual!D889,0)</f>
        <v>0</v>
      </c>
      <c r="G889" s="2">
        <f>IF(D889=1,Fandual!F889,0)</f>
        <v>0</v>
      </c>
      <c r="H889" s="2">
        <f>IF(D889=1,Fandual!H889,0)</f>
        <v>0</v>
      </c>
      <c r="I889" s="2">
        <f>IF((Optimizer!$J$8=Fandual!J889),4,0)</f>
        <v>0</v>
      </c>
      <c r="J889" s="2">
        <f>IF((Optimizer!$J$10=Fandual!J889),100,0)</f>
        <v>0</v>
      </c>
      <c r="K889" s="2">
        <f t="shared" si="27"/>
        <v>0</v>
      </c>
      <c r="L889" s="2">
        <f>IF(Fandual!M889="",1,0)</f>
        <v>1</v>
      </c>
    </row>
    <row r="890" spans="1:12" x14ac:dyDescent="0.25">
      <c r="A890" s="2">
        <f>IF((OR(Optimizer!$J$8=Fandual!J890,Optimizer!$J$10=Fandual!J890))=TRUE, 1,0)</f>
        <v>0</v>
      </c>
      <c r="B890" s="2">
        <f>IF((OR(Fandual!O890="",Fandual!O890&lt;&gt;0)=TRUE),1,0)</f>
        <v>1</v>
      </c>
      <c r="C890" s="2">
        <f>IF(Fandual!B890&lt;&gt;"P",1,0)</f>
        <v>1</v>
      </c>
      <c r="D890" s="2">
        <f t="shared" si="26"/>
        <v>0</v>
      </c>
      <c r="E890" s="2">
        <f>IF(D890=1,Fandual!B890,0)</f>
        <v>0</v>
      </c>
      <c r="F890" s="2">
        <f>IF(D890=1,Fandual!D890,0)</f>
        <v>0</v>
      </c>
      <c r="G890" s="2">
        <f>IF(D890=1,Fandual!F890,0)</f>
        <v>0</v>
      </c>
      <c r="H890" s="2">
        <f>IF(D890=1,Fandual!H890,0)</f>
        <v>0</v>
      </c>
      <c r="I890" s="2">
        <f>IF((Optimizer!$J$8=Fandual!J890),4,0)</f>
        <v>0</v>
      </c>
      <c r="J890" s="2">
        <f>IF((Optimizer!$J$10=Fandual!J890),100,0)</f>
        <v>0</v>
      </c>
      <c r="K890" s="2">
        <f t="shared" si="27"/>
        <v>0</v>
      </c>
      <c r="L890" s="2">
        <f>IF(Fandual!M890="",1,0)</f>
        <v>1</v>
      </c>
    </row>
    <row r="891" spans="1:12" x14ac:dyDescent="0.25">
      <c r="A891" s="2">
        <f>IF((OR(Optimizer!$J$8=Fandual!J891,Optimizer!$J$10=Fandual!J891))=TRUE, 1,0)</f>
        <v>0</v>
      </c>
      <c r="B891" s="2">
        <f>IF((OR(Fandual!O891="",Fandual!O891&lt;&gt;0)=TRUE),1,0)</f>
        <v>1</v>
      </c>
      <c r="C891" s="2">
        <f>IF(Fandual!B891&lt;&gt;"P",1,0)</f>
        <v>1</v>
      </c>
      <c r="D891" s="2">
        <f t="shared" si="26"/>
        <v>0</v>
      </c>
      <c r="E891" s="2">
        <f>IF(D891=1,Fandual!B891,0)</f>
        <v>0</v>
      </c>
      <c r="F891" s="2">
        <f>IF(D891=1,Fandual!D891,0)</f>
        <v>0</v>
      </c>
      <c r="G891" s="2">
        <f>IF(D891=1,Fandual!F891,0)</f>
        <v>0</v>
      </c>
      <c r="H891" s="2">
        <f>IF(D891=1,Fandual!H891,0)</f>
        <v>0</v>
      </c>
      <c r="I891" s="2">
        <f>IF((Optimizer!$J$8=Fandual!J891),4,0)</f>
        <v>0</v>
      </c>
      <c r="J891" s="2">
        <f>IF((Optimizer!$J$10=Fandual!J891),100,0)</f>
        <v>0</v>
      </c>
      <c r="K891" s="2">
        <f t="shared" si="27"/>
        <v>0</v>
      </c>
      <c r="L891" s="2">
        <f>IF(Fandual!M891="",1,0)</f>
        <v>1</v>
      </c>
    </row>
    <row r="892" spans="1:12" x14ac:dyDescent="0.25">
      <c r="A892" s="2">
        <f>IF((OR(Optimizer!$J$8=Fandual!J892,Optimizer!$J$10=Fandual!J892))=TRUE, 1,0)</f>
        <v>0</v>
      </c>
      <c r="B892" s="2">
        <f>IF((OR(Fandual!O892="",Fandual!O892&lt;&gt;0)=TRUE),1,0)</f>
        <v>1</v>
      </c>
      <c r="C892" s="2">
        <f>IF(Fandual!B892&lt;&gt;"P",1,0)</f>
        <v>1</v>
      </c>
      <c r="D892" s="2">
        <f t="shared" si="26"/>
        <v>0</v>
      </c>
      <c r="E892" s="2">
        <f>IF(D892=1,Fandual!B892,0)</f>
        <v>0</v>
      </c>
      <c r="F892" s="2">
        <f>IF(D892=1,Fandual!D892,0)</f>
        <v>0</v>
      </c>
      <c r="G892" s="2">
        <f>IF(D892=1,Fandual!F892,0)</f>
        <v>0</v>
      </c>
      <c r="H892" s="2">
        <f>IF(D892=1,Fandual!H892,0)</f>
        <v>0</v>
      </c>
      <c r="I892" s="2">
        <f>IF((Optimizer!$J$8=Fandual!J892),4,0)</f>
        <v>0</v>
      </c>
      <c r="J892" s="2">
        <f>IF((Optimizer!$J$10=Fandual!J892),100,0)</f>
        <v>0</v>
      </c>
      <c r="K892" s="2">
        <f t="shared" si="27"/>
        <v>0</v>
      </c>
      <c r="L892" s="2">
        <f>IF(Fandual!M892="",1,0)</f>
        <v>1</v>
      </c>
    </row>
    <row r="893" spans="1:12" x14ac:dyDescent="0.25">
      <c r="A893" s="2">
        <f>IF((OR(Optimizer!$J$8=Fandual!J893,Optimizer!$J$10=Fandual!J893))=TRUE, 1,0)</f>
        <v>0</v>
      </c>
      <c r="B893" s="2">
        <f>IF((OR(Fandual!O893="",Fandual!O893&lt;&gt;0)=TRUE),1,0)</f>
        <v>1</v>
      </c>
      <c r="C893" s="2">
        <f>IF(Fandual!B893&lt;&gt;"P",1,0)</f>
        <v>1</v>
      </c>
      <c r="D893" s="2">
        <f t="shared" si="26"/>
        <v>0</v>
      </c>
      <c r="E893" s="2">
        <f>IF(D893=1,Fandual!B893,0)</f>
        <v>0</v>
      </c>
      <c r="F893" s="2">
        <f>IF(D893=1,Fandual!D893,0)</f>
        <v>0</v>
      </c>
      <c r="G893" s="2">
        <f>IF(D893=1,Fandual!F893,0)</f>
        <v>0</v>
      </c>
      <c r="H893" s="2">
        <f>IF(D893=1,Fandual!H893,0)</f>
        <v>0</v>
      </c>
      <c r="I893" s="2">
        <f>IF((Optimizer!$J$8=Fandual!J893),4,0)</f>
        <v>0</v>
      </c>
      <c r="J893" s="2">
        <f>IF((Optimizer!$J$10=Fandual!J893),100,0)</f>
        <v>0</v>
      </c>
      <c r="K893" s="2">
        <f t="shared" si="27"/>
        <v>0</v>
      </c>
      <c r="L893" s="2">
        <f>IF(Fandual!M893="",1,0)</f>
        <v>1</v>
      </c>
    </row>
    <row r="894" spans="1:12" x14ac:dyDescent="0.25">
      <c r="A894" s="2">
        <f>IF((OR(Optimizer!$J$8=Fandual!J894,Optimizer!$J$10=Fandual!J894))=TRUE, 1,0)</f>
        <v>0</v>
      </c>
      <c r="B894" s="2">
        <f>IF((OR(Fandual!O894="",Fandual!O894&lt;&gt;0)=TRUE),1,0)</f>
        <v>1</v>
      </c>
      <c r="C894" s="2">
        <f>IF(Fandual!B894&lt;&gt;"P",1,0)</f>
        <v>1</v>
      </c>
      <c r="D894" s="2">
        <f t="shared" si="26"/>
        <v>0</v>
      </c>
      <c r="E894" s="2">
        <f>IF(D894=1,Fandual!B894,0)</f>
        <v>0</v>
      </c>
      <c r="F894" s="2">
        <f>IF(D894=1,Fandual!D894,0)</f>
        <v>0</v>
      </c>
      <c r="G894" s="2">
        <f>IF(D894=1,Fandual!F894,0)</f>
        <v>0</v>
      </c>
      <c r="H894" s="2">
        <f>IF(D894=1,Fandual!H894,0)</f>
        <v>0</v>
      </c>
      <c r="I894" s="2">
        <f>IF((Optimizer!$J$8=Fandual!J894),4,0)</f>
        <v>0</v>
      </c>
      <c r="J894" s="2">
        <f>IF((Optimizer!$J$10=Fandual!J894),100,0)</f>
        <v>0</v>
      </c>
      <c r="K894" s="2">
        <f t="shared" si="27"/>
        <v>0</v>
      </c>
      <c r="L894" s="2">
        <f>IF(Fandual!M894="",1,0)</f>
        <v>0</v>
      </c>
    </row>
    <row r="895" spans="1:12" x14ac:dyDescent="0.25">
      <c r="A895" s="2">
        <f>IF((OR(Optimizer!$J$8=Fandual!J895,Optimizer!$J$10=Fandual!J895))=TRUE, 1,0)</f>
        <v>0</v>
      </c>
      <c r="B895" s="2">
        <f>IF((OR(Fandual!O895="",Fandual!O895&lt;&gt;0)=TRUE),1,0)</f>
        <v>1</v>
      </c>
      <c r="C895" s="2">
        <f>IF(Fandual!B895&lt;&gt;"P",1,0)</f>
        <v>1</v>
      </c>
      <c r="D895" s="2">
        <f t="shared" si="26"/>
        <v>0</v>
      </c>
      <c r="E895" s="2">
        <f>IF(D895=1,Fandual!B895,0)</f>
        <v>0</v>
      </c>
      <c r="F895" s="2">
        <f>IF(D895=1,Fandual!D895,0)</f>
        <v>0</v>
      </c>
      <c r="G895" s="2">
        <f>IF(D895=1,Fandual!F895,0)</f>
        <v>0</v>
      </c>
      <c r="H895" s="2">
        <f>IF(D895=1,Fandual!H895,0)</f>
        <v>0</v>
      </c>
      <c r="I895" s="2">
        <f>IF((Optimizer!$J$8=Fandual!J895),4,0)</f>
        <v>0</v>
      </c>
      <c r="J895" s="2">
        <f>IF((Optimizer!$J$10=Fandual!J895),100,0)</f>
        <v>0</v>
      </c>
      <c r="K895" s="2">
        <f t="shared" si="27"/>
        <v>0</v>
      </c>
      <c r="L895" s="2">
        <f>IF(Fandual!M895="",1,0)</f>
        <v>0</v>
      </c>
    </row>
    <row r="896" spans="1:12" x14ac:dyDescent="0.25">
      <c r="A896" s="2">
        <f>IF((OR(Optimizer!$J$8=Fandual!J896,Optimizer!$J$10=Fandual!J896))=TRUE, 1,0)</f>
        <v>0</v>
      </c>
      <c r="B896" s="2">
        <f>IF((OR(Fandual!O896="",Fandual!O896&lt;&gt;0)=TRUE),1,0)</f>
        <v>1</v>
      </c>
      <c r="C896" s="2">
        <f>IF(Fandual!B896&lt;&gt;"P",1,0)</f>
        <v>1</v>
      </c>
      <c r="D896" s="2">
        <f t="shared" si="26"/>
        <v>0</v>
      </c>
      <c r="E896" s="2">
        <f>IF(D896=1,Fandual!B896,0)</f>
        <v>0</v>
      </c>
      <c r="F896" s="2">
        <f>IF(D896=1,Fandual!D896,0)</f>
        <v>0</v>
      </c>
      <c r="G896" s="2">
        <f>IF(D896=1,Fandual!F896,0)</f>
        <v>0</v>
      </c>
      <c r="H896" s="2">
        <f>IF(D896=1,Fandual!H896,0)</f>
        <v>0</v>
      </c>
      <c r="I896" s="2">
        <f>IF((Optimizer!$J$8=Fandual!J896),4,0)</f>
        <v>0</v>
      </c>
      <c r="J896" s="2">
        <f>IF((Optimizer!$J$10=Fandual!J896),100,0)</f>
        <v>0</v>
      </c>
      <c r="K896" s="2">
        <f t="shared" si="27"/>
        <v>0</v>
      </c>
      <c r="L896" s="2">
        <f>IF(Fandual!M896="",1,0)</f>
        <v>1</v>
      </c>
    </row>
    <row r="897" spans="1:12" x14ac:dyDescent="0.25">
      <c r="A897" s="2">
        <f>IF((OR(Optimizer!$J$8=Fandual!J897,Optimizer!$J$10=Fandual!J897))=TRUE, 1,0)</f>
        <v>0</v>
      </c>
      <c r="B897" s="2">
        <f>IF((OR(Fandual!O897="",Fandual!O897&lt;&gt;0)=TRUE),1,0)</f>
        <v>1</v>
      </c>
      <c r="C897" s="2">
        <f>IF(Fandual!B897&lt;&gt;"P",1,0)</f>
        <v>1</v>
      </c>
      <c r="D897" s="2">
        <f t="shared" si="26"/>
        <v>0</v>
      </c>
      <c r="E897" s="2">
        <f>IF(D897=1,Fandual!B897,0)</f>
        <v>0</v>
      </c>
      <c r="F897" s="2">
        <f>IF(D897=1,Fandual!D897,0)</f>
        <v>0</v>
      </c>
      <c r="G897" s="2">
        <f>IF(D897=1,Fandual!F897,0)</f>
        <v>0</v>
      </c>
      <c r="H897" s="2">
        <f>IF(D897=1,Fandual!H897,0)</f>
        <v>0</v>
      </c>
      <c r="I897" s="2">
        <f>IF((Optimizer!$J$8=Fandual!J897),4,0)</f>
        <v>0</v>
      </c>
      <c r="J897" s="2">
        <f>IF((Optimizer!$J$10=Fandual!J897),100,0)</f>
        <v>0</v>
      </c>
      <c r="K897" s="2">
        <f t="shared" si="27"/>
        <v>0</v>
      </c>
      <c r="L897" s="2">
        <f>IF(Fandual!M897="",1,0)</f>
        <v>1</v>
      </c>
    </row>
    <row r="898" spans="1:12" x14ac:dyDescent="0.25">
      <c r="A898" s="2">
        <f>IF((OR(Optimizer!$J$8=Fandual!J898,Optimizer!$J$10=Fandual!J898))=TRUE, 1,0)</f>
        <v>0</v>
      </c>
      <c r="B898" s="2">
        <f>IF((OR(Fandual!O898="",Fandual!O898&lt;&gt;0)=TRUE),1,0)</f>
        <v>1</v>
      </c>
      <c r="C898" s="2">
        <f>IF(Fandual!B898&lt;&gt;"P",1,0)</f>
        <v>1</v>
      </c>
      <c r="D898" s="2">
        <f t="shared" ref="D898:D961" si="28">A898*B898*C898*L898</f>
        <v>0</v>
      </c>
      <c r="E898" s="2">
        <f>IF(D898=1,Fandual!B898,0)</f>
        <v>0</v>
      </c>
      <c r="F898" s="2">
        <f>IF(D898=1,Fandual!D898,0)</f>
        <v>0</v>
      </c>
      <c r="G898" s="2">
        <f>IF(D898=1,Fandual!F898,0)</f>
        <v>0</v>
      </c>
      <c r="H898" s="2">
        <f>IF(D898=1,Fandual!H898,0)</f>
        <v>0</v>
      </c>
      <c r="I898" s="2">
        <f>IF((Optimizer!$J$8=Fandual!J898),4,0)</f>
        <v>0</v>
      </c>
      <c r="J898" s="2">
        <f>IF((Optimizer!$J$10=Fandual!J898),100,0)</f>
        <v>0</v>
      </c>
      <c r="K898" s="2">
        <f t="shared" si="27"/>
        <v>0</v>
      </c>
      <c r="L898" s="2">
        <f>IF(Fandual!M898="",1,0)</f>
        <v>1</v>
      </c>
    </row>
    <row r="899" spans="1:12" x14ac:dyDescent="0.25">
      <c r="A899" s="2">
        <f>IF((OR(Optimizer!$J$8=Fandual!J899,Optimizer!$J$10=Fandual!J899))=TRUE, 1,0)</f>
        <v>0</v>
      </c>
      <c r="B899" s="2">
        <f>IF((OR(Fandual!O899="",Fandual!O899&lt;&gt;0)=TRUE),1,0)</f>
        <v>1</v>
      </c>
      <c r="C899" s="2">
        <f>IF(Fandual!B899&lt;&gt;"P",1,0)</f>
        <v>1</v>
      </c>
      <c r="D899" s="2">
        <f t="shared" si="28"/>
        <v>0</v>
      </c>
      <c r="E899" s="2">
        <f>IF(D899=1,Fandual!B899,0)</f>
        <v>0</v>
      </c>
      <c r="F899" s="2">
        <f>IF(D899=1,Fandual!D899,0)</f>
        <v>0</v>
      </c>
      <c r="G899" s="2">
        <f>IF(D899=1,Fandual!F899,0)</f>
        <v>0</v>
      </c>
      <c r="H899" s="2">
        <f>IF(D899=1,Fandual!H899,0)</f>
        <v>0</v>
      </c>
      <c r="I899" s="2">
        <f>IF((Optimizer!$J$8=Fandual!J899),4,0)</f>
        <v>0</v>
      </c>
      <c r="J899" s="2">
        <f>IF((Optimizer!$J$10=Fandual!J899),100,0)</f>
        <v>0</v>
      </c>
      <c r="K899" s="2">
        <f t="shared" ref="K899:K962" si="29">(I899+J899)*D899</f>
        <v>0</v>
      </c>
      <c r="L899" s="2">
        <f>IF(Fandual!M899="",1,0)</f>
        <v>1</v>
      </c>
    </row>
    <row r="900" spans="1:12" x14ac:dyDescent="0.25">
      <c r="A900" s="2">
        <f>IF((OR(Optimizer!$J$8=Fandual!J900,Optimizer!$J$10=Fandual!J900))=TRUE, 1,0)</f>
        <v>0</v>
      </c>
      <c r="B900" s="2">
        <f>IF((OR(Fandual!O900="",Fandual!O900&lt;&gt;0)=TRUE),1,0)</f>
        <v>1</v>
      </c>
      <c r="C900" s="2">
        <f>IF(Fandual!B900&lt;&gt;"P",1,0)</f>
        <v>1</v>
      </c>
      <c r="D900" s="2">
        <f t="shared" si="28"/>
        <v>0</v>
      </c>
      <c r="E900" s="2">
        <f>IF(D900=1,Fandual!B900,0)</f>
        <v>0</v>
      </c>
      <c r="F900" s="2">
        <f>IF(D900=1,Fandual!D900,0)</f>
        <v>0</v>
      </c>
      <c r="G900" s="2">
        <f>IF(D900=1,Fandual!F900,0)</f>
        <v>0</v>
      </c>
      <c r="H900" s="2">
        <f>IF(D900=1,Fandual!H900,0)</f>
        <v>0</v>
      </c>
      <c r="I900" s="2">
        <f>IF((Optimizer!$J$8=Fandual!J900),4,0)</f>
        <v>0</v>
      </c>
      <c r="J900" s="2">
        <f>IF((Optimizer!$J$10=Fandual!J900),100,0)</f>
        <v>0</v>
      </c>
      <c r="K900" s="2">
        <f t="shared" si="29"/>
        <v>0</v>
      </c>
      <c r="L900" s="2">
        <f>IF(Fandual!M900="",1,0)</f>
        <v>1</v>
      </c>
    </row>
    <row r="901" spans="1:12" x14ac:dyDescent="0.25">
      <c r="A901" s="2">
        <f>IF((OR(Optimizer!$J$8=Fandual!J901,Optimizer!$J$10=Fandual!J901))=TRUE, 1,0)</f>
        <v>0</v>
      </c>
      <c r="B901" s="2">
        <f>IF((OR(Fandual!O901="",Fandual!O901&lt;&gt;0)=TRUE),1,0)</f>
        <v>1</v>
      </c>
      <c r="C901" s="2">
        <f>IF(Fandual!B901&lt;&gt;"P",1,0)</f>
        <v>1</v>
      </c>
      <c r="D901" s="2">
        <f t="shared" si="28"/>
        <v>0</v>
      </c>
      <c r="E901" s="2">
        <f>IF(D901=1,Fandual!B901,0)</f>
        <v>0</v>
      </c>
      <c r="F901" s="2">
        <f>IF(D901=1,Fandual!D901,0)</f>
        <v>0</v>
      </c>
      <c r="G901" s="2">
        <f>IF(D901=1,Fandual!F901,0)</f>
        <v>0</v>
      </c>
      <c r="H901" s="2">
        <f>IF(D901=1,Fandual!H901,0)</f>
        <v>0</v>
      </c>
      <c r="I901" s="2">
        <f>IF((Optimizer!$J$8=Fandual!J901),4,0)</f>
        <v>0</v>
      </c>
      <c r="J901" s="2">
        <f>IF((Optimizer!$J$10=Fandual!J901),100,0)</f>
        <v>0</v>
      </c>
      <c r="K901" s="2">
        <f t="shared" si="29"/>
        <v>0</v>
      </c>
      <c r="L901" s="2">
        <f>IF(Fandual!M901="",1,0)</f>
        <v>1</v>
      </c>
    </row>
    <row r="902" spans="1:12" x14ac:dyDescent="0.25">
      <c r="A902" s="2">
        <f>IF((OR(Optimizer!$J$8=Fandual!J902,Optimizer!$J$10=Fandual!J902))=TRUE, 1,0)</f>
        <v>0</v>
      </c>
      <c r="B902" s="2">
        <f>IF((OR(Fandual!O902="",Fandual!O902&lt;&gt;0)=TRUE),1,0)</f>
        <v>1</v>
      </c>
      <c r="C902" s="2">
        <f>IF(Fandual!B902&lt;&gt;"P",1,0)</f>
        <v>1</v>
      </c>
      <c r="D902" s="2">
        <f t="shared" si="28"/>
        <v>0</v>
      </c>
      <c r="E902" s="2">
        <f>IF(D902=1,Fandual!B902,0)</f>
        <v>0</v>
      </c>
      <c r="F902" s="2">
        <f>IF(D902=1,Fandual!D902,0)</f>
        <v>0</v>
      </c>
      <c r="G902" s="2">
        <f>IF(D902=1,Fandual!F902,0)</f>
        <v>0</v>
      </c>
      <c r="H902" s="2">
        <f>IF(D902=1,Fandual!H902,0)</f>
        <v>0</v>
      </c>
      <c r="I902" s="2">
        <f>IF((Optimizer!$J$8=Fandual!J902),4,0)</f>
        <v>0</v>
      </c>
      <c r="J902" s="2">
        <f>IF((Optimizer!$J$10=Fandual!J902),100,0)</f>
        <v>0</v>
      </c>
      <c r="K902" s="2">
        <f t="shared" si="29"/>
        <v>0</v>
      </c>
      <c r="L902" s="2">
        <f>IF(Fandual!M902="",1,0)</f>
        <v>1</v>
      </c>
    </row>
    <row r="903" spans="1:12" x14ac:dyDescent="0.25">
      <c r="A903" s="2">
        <f>IF((OR(Optimizer!$J$8=Fandual!J903,Optimizer!$J$10=Fandual!J903))=TRUE, 1,0)</f>
        <v>0</v>
      </c>
      <c r="B903" s="2">
        <f>IF((OR(Fandual!O903="",Fandual!O903&lt;&gt;0)=TRUE),1,0)</f>
        <v>1</v>
      </c>
      <c r="C903" s="2">
        <f>IF(Fandual!B903&lt;&gt;"P",1,0)</f>
        <v>1</v>
      </c>
      <c r="D903" s="2">
        <f t="shared" si="28"/>
        <v>0</v>
      </c>
      <c r="E903" s="2">
        <f>IF(D903=1,Fandual!B903,0)</f>
        <v>0</v>
      </c>
      <c r="F903" s="2">
        <f>IF(D903=1,Fandual!D903,0)</f>
        <v>0</v>
      </c>
      <c r="G903" s="2">
        <f>IF(D903=1,Fandual!F903,0)</f>
        <v>0</v>
      </c>
      <c r="H903" s="2">
        <f>IF(D903=1,Fandual!H903,0)</f>
        <v>0</v>
      </c>
      <c r="I903" s="2">
        <f>IF((Optimizer!$J$8=Fandual!J903),4,0)</f>
        <v>0</v>
      </c>
      <c r="J903" s="2">
        <f>IF((Optimizer!$J$10=Fandual!J903),100,0)</f>
        <v>0</v>
      </c>
      <c r="K903" s="2">
        <f t="shared" si="29"/>
        <v>0</v>
      </c>
      <c r="L903" s="2">
        <f>IF(Fandual!M903="",1,0)</f>
        <v>1</v>
      </c>
    </row>
    <row r="904" spans="1:12" x14ac:dyDescent="0.25">
      <c r="A904" s="2">
        <f>IF((OR(Optimizer!$J$8=Fandual!J904,Optimizer!$J$10=Fandual!J904))=TRUE, 1,0)</f>
        <v>0</v>
      </c>
      <c r="B904" s="2">
        <f>IF((OR(Fandual!O904="",Fandual!O904&lt;&gt;0)=TRUE),1,0)</f>
        <v>1</v>
      </c>
      <c r="C904" s="2">
        <f>IF(Fandual!B904&lt;&gt;"P",1,0)</f>
        <v>1</v>
      </c>
      <c r="D904" s="2">
        <f t="shared" si="28"/>
        <v>0</v>
      </c>
      <c r="E904" s="2">
        <f>IF(D904=1,Fandual!B904,0)</f>
        <v>0</v>
      </c>
      <c r="F904" s="2">
        <f>IF(D904=1,Fandual!D904,0)</f>
        <v>0</v>
      </c>
      <c r="G904" s="2">
        <f>IF(D904=1,Fandual!F904,0)</f>
        <v>0</v>
      </c>
      <c r="H904" s="2">
        <f>IF(D904=1,Fandual!H904,0)</f>
        <v>0</v>
      </c>
      <c r="I904" s="2">
        <f>IF((Optimizer!$J$8=Fandual!J904),4,0)</f>
        <v>0</v>
      </c>
      <c r="J904" s="2">
        <f>IF((Optimizer!$J$10=Fandual!J904),100,0)</f>
        <v>0</v>
      </c>
      <c r="K904" s="2">
        <f t="shared" si="29"/>
        <v>0</v>
      </c>
      <c r="L904" s="2">
        <f>IF(Fandual!M904="",1,0)</f>
        <v>1</v>
      </c>
    </row>
    <row r="905" spans="1:12" x14ac:dyDescent="0.25">
      <c r="A905" s="2">
        <f>IF((OR(Optimizer!$J$8=Fandual!J905,Optimizer!$J$10=Fandual!J905))=TRUE, 1,0)</f>
        <v>0</v>
      </c>
      <c r="B905" s="2">
        <f>IF((OR(Fandual!O905="",Fandual!O905&lt;&gt;0)=TRUE),1,0)</f>
        <v>1</v>
      </c>
      <c r="C905" s="2">
        <f>IF(Fandual!B905&lt;&gt;"P",1,0)</f>
        <v>1</v>
      </c>
      <c r="D905" s="2">
        <f t="shared" si="28"/>
        <v>0</v>
      </c>
      <c r="E905" s="2">
        <f>IF(D905=1,Fandual!B905,0)</f>
        <v>0</v>
      </c>
      <c r="F905" s="2">
        <f>IF(D905=1,Fandual!D905,0)</f>
        <v>0</v>
      </c>
      <c r="G905" s="2">
        <f>IF(D905=1,Fandual!F905,0)</f>
        <v>0</v>
      </c>
      <c r="H905" s="2">
        <f>IF(D905=1,Fandual!H905,0)</f>
        <v>0</v>
      </c>
      <c r="I905" s="2">
        <f>IF((Optimizer!$J$8=Fandual!J905),4,0)</f>
        <v>0</v>
      </c>
      <c r="J905" s="2">
        <f>IF((Optimizer!$J$10=Fandual!J905),100,0)</f>
        <v>0</v>
      </c>
      <c r="K905" s="2">
        <f t="shared" si="29"/>
        <v>0</v>
      </c>
      <c r="L905" s="2">
        <f>IF(Fandual!M905="",1,0)</f>
        <v>1</v>
      </c>
    </row>
    <row r="906" spans="1:12" x14ac:dyDescent="0.25">
      <c r="A906" s="2">
        <f>IF((OR(Optimizer!$J$8=Fandual!J906,Optimizer!$J$10=Fandual!J906))=TRUE, 1,0)</f>
        <v>0</v>
      </c>
      <c r="B906" s="2">
        <f>IF((OR(Fandual!O906="",Fandual!O906&lt;&gt;0)=TRUE),1,0)</f>
        <v>1</v>
      </c>
      <c r="C906" s="2">
        <f>IF(Fandual!B906&lt;&gt;"P",1,0)</f>
        <v>1</v>
      </c>
      <c r="D906" s="2">
        <f t="shared" si="28"/>
        <v>0</v>
      </c>
      <c r="E906" s="2">
        <f>IF(D906=1,Fandual!B906,0)</f>
        <v>0</v>
      </c>
      <c r="F906" s="2">
        <f>IF(D906=1,Fandual!D906,0)</f>
        <v>0</v>
      </c>
      <c r="G906" s="2">
        <f>IF(D906=1,Fandual!F906,0)</f>
        <v>0</v>
      </c>
      <c r="H906" s="2">
        <f>IF(D906=1,Fandual!H906,0)</f>
        <v>0</v>
      </c>
      <c r="I906" s="2">
        <f>IF((Optimizer!$J$8=Fandual!J906),4,0)</f>
        <v>0</v>
      </c>
      <c r="J906" s="2">
        <f>IF((Optimizer!$J$10=Fandual!J906),100,0)</f>
        <v>0</v>
      </c>
      <c r="K906" s="2">
        <f t="shared" si="29"/>
        <v>0</v>
      </c>
      <c r="L906" s="2">
        <f>IF(Fandual!M906="",1,0)</f>
        <v>1</v>
      </c>
    </row>
    <row r="907" spans="1:12" x14ac:dyDescent="0.25">
      <c r="A907" s="2">
        <f>IF((OR(Optimizer!$J$8=Fandual!J907,Optimizer!$J$10=Fandual!J907))=TRUE, 1,0)</f>
        <v>0</v>
      </c>
      <c r="B907" s="2">
        <f>IF((OR(Fandual!O907="",Fandual!O907&lt;&gt;0)=TRUE),1,0)</f>
        <v>1</v>
      </c>
      <c r="C907" s="2">
        <f>IF(Fandual!B907&lt;&gt;"P",1,0)</f>
        <v>1</v>
      </c>
      <c r="D907" s="2">
        <f t="shared" si="28"/>
        <v>0</v>
      </c>
      <c r="E907" s="2">
        <f>IF(D907=1,Fandual!B907,0)</f>
        <v>0</v>
      </c>
      <c r="F907" s="2">
        <f>IF(D907=1,Fandual!D907,0)</f>
        <v>0</v>
      </c>
      <c r="G907" s="2">
        <f>IF(D907=1,Fandual!F907,0)</f>
        <v>0</v>
      </c>
      <c r="H907" s="2">
        <f>IF(D907=1,Fandual!H907,0)</f>
        <v>0</v>
      </c>
      <c r="I907" s="2">
        <f>IF((Optimizer!$J$8=Fandual!J907),4,0)</f>
        <v>0</v>
      </c>
      <c r="J907" s="2">
        <f>IF((Optimizer!$J$10=Fandual!J907),100,0)</f>
        <v>0</v>
      </c>
      <c r="K907" s="2">
        <f t="shared" si="29"/>
        <v>0</v>
      </c>
      <c r="L907" s="2">
        <f>IF(Fandual!M907="",1,0)</f>
        <v>1</v>
      </c>
    </row>
    <row r="908" spans="1:12" x14ac:dyDescent="0.25">
      <c r="A908" s="2">
        <f>IF((OR(Optimizer!$J$8=Fandual!J908,Optimizer!$J$10=Fandual!J908))=TRUE, 1,0)</f>
        <v>0</v>
      </c>
      <c r="B908" s="2">
        <f>IF((OR(Fandual!O908="",Fandual!O908&lt;&gt;0)=TRUE),1,0)</f>
        <v>1</v>
      </c>
      <c r="C908" s="2">
        <f>IF(Fandual!B908&lt;&gt;"P",1,0)</f>
        <v>1</v>
      </c>
      <c r="D908" s="2">
        <f t="shared" si="28"/>
        <v>0</v>
      </c>
      <c r="E908" s="2">
        <f>IF(D908=1,Fandual!B908,0)</f>
        <v>0</v>
      </c>
      <c r="F908" s="2">
        <f>IF(D908=1,Fandual!D908,0)</f>
        <v>0</v>
      </c>
      <c r="G908" s="2">
        <f>IF(D908=1,Fandual!F908,0)</f>
        <v>0</v>
      </c>
      <c r="H908" s="2">
        <f>IF(D908=1,Fandual!H908,0)</f>
        <v>0</v>
      </c>
      <c r="I908" s="2">
        <f>IF((Optimizer!$J$8=Fandual!J908),4,0)</f>
        <v>0</v>
      </c>
      <c r="J908" s="2">
        <f>IF((Optimizer!$J$10=Fandual!J908),100,0)</f>
        <v>0</v>
      </c>
      <c r="K908" s="2">
        <f t="shared" si="29"/>
        <v>0</v>
      </c>
      <c r="L908" s="2">
        <f>IF(Fandual!M908="",1,0)</f>
        <v>1</v>
      </c>
    </row>
    <row r="909" spans="1:12" x14ac:dyDescent="0.25">
      <c r="A909" s="2">
        <f>IF((OR(Optimizer!$J$8=Fandual!J909,Optimizer!$J$10=Fandual!J909))=TRUE, 1,0)</f>
        <v>0</v>
      </c>
      <c r="B909" s="2">
        <f>IF((OR(Fandual!O909="",Fandual!O909&lt;&gt;0)=TRUE),1,0)</f>
        <v>1</v>
      </c>
      <c r="C909" s="2">
        <f>IF(Fandual!B909&lt;&gt;"P",1,0)</f>
        <v>1</v>
      </c>
      <c r="D909" s="2">
        <f t="shared" si="28"/>
        <v>0</v>
      </c>
      <c r="E909" s="2">
        <f>IF(D909=1,Fandual!B909,0)</f>
        <v>0</v>
      </c>
      <c r="F909" s="2">
        <f>IF(D909=1,Fandual!D909,0)</f>
        <v>0</v>
      </c>
      <c r="G909" s="2">
        <f>IF(D909=1,Fandual!F909,0)</f>
        <v>0</v>
      </c>
      <c r="H909" s="2">
        <f>IF(D909=1,Fandual!H909,0)</f>
        <v>0</v>
      </c>
      <c r="I909" s="2">
        <f>IF((Optimizer!$J$8=Fandual!J909),4,0)</f>
        <v>0</v>
      </c>
      <c r="J909" s="2">
        <f>IF((Optimizer!$J$10=Fandual!J909),100,0)</f>
        <v>0</v>
      </c>
      <c r="K909" s="2">
        <f t="shared" si="29"/>
        <v>0</v>
      </c>
      <c r="L909" s="2">
        <f>IF(Fandual!M909="",1,0)</f>
        <v>1</v>
      </c>
    </row>
    <row r="910" spans="1:12" x14ac:dyDescent="0.25">
      <c r="A910" s="2">
        <f>IF((OR(Optimizer!$J$8=Fandual!J910,Optimizer!$J$10=Fandual!J910))=TRUE, 1,0)</f>
        <v>0</v>
      </c>
      <c r="B910" s="2">
        <f>IF((OR(Fandual!O910="",Fandual!O910&lt;&gt;0)=TRUE),1,0)</f>
        <v>1</v>
      </c>
      <c r="C910" s="2">
        <f>IF(Fandual!B910&lt;&gt;"P",1,0)</f>
        <v>1</v>
      </c>
      <c r="D910" s="2">
        <f t="shared" si="28"/>
        <v>0</v>
      </c>
      <c r="E910" s="2">
        <f>IF(D910=1,Fandual!B910,0)</f>
        <v>0</v>
      </c>
      <c r="F910" s="2">
        <f>IF(D910=1,Fandual!D910,0)</f>
        <v>0</v>
      </c>
      <c r="G910" s="2">
        <f>IF(D910=1,Fandual!F910,0)</f>
        <v>0</v>
      </c>
      <c r="H910" s="2">
        <f>IF(D910=1,Fandual!H910,0)</f>
        <v>0</v>
      </c>
      <c r="I910" s="2">
        <f>IF((Optimizer!$J$8=Fandual!J910),4,0)</f>
        <v>0</v>
      </c>
      <c r="J910" s="2">
        <f>IF((Optimizer!$J$10=Fandual!J910),100,0)</f>
        <v>0</v>
      </c>
      <c r="K910" s="2">
        <f t="shared" si="29"/>
        <v>0</v>
      </c>
      <c r="L910" s="2">
        <f>IF(Fandual!M910="",1,0)</f>
        <v>1</v>
      </c>
    </row>
    <row r="911" spans="1:12" x14ac:dyDescent="0.25">
      <c r="A911" s="2">
        <f>IF((OR(Optimizer!$J$8=Fandual!J911,Optimizer!$J$10=Fandual!J911))=TRUE, 1,0)</f>
        <v>0</v>
      </c>
      <c r="B911" s="2">
        <f>IF((OR(Fandual!O911="",Fandual!O911&lt;&gt;0)=TRUE),1,0)</f>
        <v>1</v>
      </c>
      <c r="C911" s="2">
        <f>IF(Fandual!B911&lt;&gt;"P",1,0)</f>
        <v>1</v>
      </c>
      <c r="D911" s="2">
        <f t="shared" si="28"/>
        <v>0</v>
      </c>
      <c r="E911" s="2">
        <f>IF(D911=1,Fandual!B911,0)</f>
        <v>0</v>
      </c>
      <c r="F911" s="2">
        <f>IF(D911=1,Fandual!D911,0)</f>
        <v>0</v>
      </c>
      <c r="G911" s="2">
        <f>IF(D911=1,Fandual!F911,0)</f>
        <v>0</v>
      </c>
      <c r="H911" s="2">
        <f>IF(D911=1,Fandual!H911,0)</f>
        <v>0</v>
      </c>
      <c r="I911" s="2">
        <f>IF((Optimizer!$J$8=Fandual!J911),4,0)</f>
        <v>0</v>
      </c>
      <c r="J911" s="2">
        <f>IF((Optimizer!$J$10=Fandual!J911),100,0)</f>
        <v>0</v>
      </c>
      <c r="K911" s="2">
        <f t="shared" si="29"/>
        <v>0</v>
      </c>
      <c r="L911" s="2">
        <f>IF(Fandual!M911="",1,0)</f>
        <v>1</v>
      </c>
    </row>
    <row r="912" spans="1:12" x14ac:dyDescent="0.25">
      <c r="A912" s="2">
        <f>IF((OR(Optimizer!$J$8=Fandual!J912,Optimizer!$J$10=Fandual!J912))=TRUE, 1,0)</f>
        <v>0</v>
      </c>
      <c r="B912" s="2">
        <f>IF((OR(Fandual!O912="",Fandual!O912&lt;&gt;0)=TRUE),1,0)</f>
        <v>1</v>
      </c>
      <c r="C912" s="2">
        <f>IF(Fandual!B912&lt;&gt;"P",1,0)</f>
        <v>1</v>
      </c>
      <c r="D912" s="2">
        <f t="shared" si="28"/>
        <v>0</v>
      </c>
      <c r="E912" s="2">
        <f>IF(D912=1,Fandual!B912,0)</f>
        <v>0</v>
      </c>
      <c r="F912" s="2">
        <f>IF(D912=1,Fandual!D912,0)</f>
        <v>0</v>
      </c>
      <c r="G912" s="2">
        <f>IF(D912=1,Fandual!F912,0)</f>
        <v>0</v>
      </c>
      <c r="H912" s="2">
        <f>IF(D912=1,Fandual!H912,0)</f>
        <v>0</v>
      </c>
      <c r="I912" s="2">
        <f>IF((Optimizer!$J$8=Fandual!J912),4,0)</f>
        <v>0</v>
      </c>
      <c r="J912" s="2">
        <f>IF((Optimizer!$J$10=Fandual!J912),100,0)</f>
        <v>0</v>
      </c>
      <c r="K912" s="2">
        <f t="shared" si="29"/>
        <v>0</v>
      </c>
      <c r="L912" s="2">
        <f>IF(Fandual!M912="",1,0)</f>
        <v>1</v>
      </c>
    </row>
    <row r="913" spans="1:12" x14ac:dyDescent="0.25">
      <c r="A913" s="2">
        <f>IF((OR(Optimizer!$J$8=Fandual!J913,Optimizer!$J$10=Fandual!J913))=TRUE, 1,0)</f>
        <v>0</v>
      </c>
      <c r="B913" s="2">
        <f>IF((OR(Fandual!O913="",Fandual!O913&lt;&gt;0)=TRUE),1,0)</f>
        <v>1</v>
      </c>
      <c r="C913" s="2">
        <f>IF(Fandual!B913&lt;&gt;"P",1,0)</f>
        <v>1</v>
      </c>
      <c r="D913" s="2">
        <f t="shared" si="28"/>
        <v>0</v>
      </c>
      <c r="E913" s="2">
        <f>IF(D913=1,Fandual!B913,0)</f>
        <v>0</v>
      </c>
      <c r="F913" s="2">
        <f>IF(D913=1,Fandual!D913,0)</f>
        <v>0</v>
      </c>
      <c r="G913" s="2">
        <f>IF(D913=1,Fandual!F913,0)</f>
        <v>0</v>
      </c>
      <c r="H913" s="2">
        <f>IF(D913=1,Fandual!H913,0)</f>
        <v>0</v>
      </c>
      <c r="I913" s="2">
        <f>IF((Optimizer!$J$8=Fandual!J913),4,0)</f>
        <v>0</v>
      </c>
      <c r="J913" s="2">
        <f>IF((Optimizer!$J$10=Fandual!J913),100,0)</f>
        <v>0</v>
      </c>
      <c r="K913" s="2">
        <f t="shared" si="29"/>
        <v>0</v>
      </c>
      <c r="L913" s="2">
        <f>IF(Fandual!M913="",1,0)</f>
        <v>1</v>
      </c>
    </row>
    <row r="914" spans="1:12" x14ac:dyDescent="0.25">
      <c r="A914" s="2">
        <f>IF((OR(Optimizer!$J$8=Fandual!J914,Optimizer!$J$10=Fandual!J914))=TRUE, 1,0)</f>
        <v>0</v>
      </c>
      <c r="B914" s="2">
        <f>IF((OR(Fandual!O914="",Fandual!O914&lt;&gt;0)=TRUE),1,0)</f>
        <v>1</v>
      </c>
      <c r="C914" s="2">
        <f>IF(Fandual!B914&lt;&gt;"P",1,0)</f>
        <v>1</v>
      </c>
      <c r="D914" s="2">
        <f t="shared" si="28"/>
        <v>0</v>
      </c>
      <c r="E914" s="2">
        <f>IF(D914=1,Fandual!B914,0)</f>
        <v>0</v>
      </c>
      <c r="F914" s="2">
        <f>IF(D914=1,Fandual!D914,0)</f>
        <v>0</v>
      </c>
      <c r="G914" s="2">
        <f>IF(D914=1,Fandual!F914,0)</f>
        <v>0</v>
      </c>
      <c r="H914" s="2">
        <f>IF(D914=1,Fandual!H914,0)</f>
        <v>0</v>
      </c>
      <c r="I914" s="2">
        <f>IF((Optimizer!$J$8=Fandual!J914),4,0)</f>
        <v>0</v>
      </c>
      <c r="J914" s="2">
        <f>IF((Optimizer!$J$10=Fandual!J914),100,0)</f>
        <v>0</v>
      </c>
      <c r="K914" s="2">
        <f t="shared" si="29"/>
        <v>0</v>
      </c>
      <c r="L914" s="2">
        <f>IF(Fandual!M914="",1,0)</f>
        <v>1</v>
      </c>
    </row>
    <row r="915" spans="1:12" x14ac:dyDescent="0.25">
      <c r="A915" s="2">
        <f>IF((OR(Optimizer!$J$8=Fandual!J915,Optimizer!$J$10=Fandual!J915))=TRUE, 1,0)</f>
        <v>0</v>
      </c>
      <c r="B915" s="2">
        <f>IF((OR(Fandual!O915="",Fandual!O915&lt;&gt;0)=TRUE),1,0)</f>
        <v>1</v>
      </c>
      <c r="C915" s="2">
        <f>IF(Fandual!B915&lt;&gt;"P",1,0)</f>
        <v>1</v>
      </c>
      <c r="D915" s="2">
        <f t="shared" si="28"/>
        <v>0</v>
      </c>
      <c r="E915" s="2">
        <f>IF(D915=1,Fandual!B915,0)</f>
        <v>0</v>
      </c>
      <c r="F915" s="2">
        <f>IF(D915=1,Fandual!D915,0)</f>
        <v>0</v>
      </c>
      <c r="G915" s="2">
        <f>IF(D915=1,Fandual!F915,0)</f>
        <v>0</v>
      </c>
      <c r="H915" s="2">
        <f>IF(D915=1,Fandual!H915,0)</f>
        <v>0</v>
      </c>
      <c r="I915" s="2">
        <f>IF((Optimizer!$J$8=Fandual!J915),4,0)</f>
        <v>0</v>
      </c>
      <c r="J915" s="2">
        <f>IF((Optimizer!$J$10=Fandual!J915),100,0)</f>
        <v>0</v>
      </c>
      <c r="K915" s="2">
        <f t="shared" si="29"/>
        <v>0</v>
      </c>
      <c r="L915" s="2">
        <f>IF(Fandual!M915="",1,0)</f>
        <v>0</v>
      </c>
    </row>
    <row r="916" spans="1:12" x14ac:dyDescent="0.25">
      <c r="A916" s="2">
        <f>IF((OR(Optimizer!$J$8=Fandual!J916,Optimizer!$J$10=Fandual!J916))=TRUE, 1,0)</f>
        <v>0</v>
      </c>
      <c r="B916" s="2">
        <f>IF((OR(Fandual!O916="",Fandual!O916&lt;&gt;0)=TRUE),1,0)</f>
        <v>1</v>
      </c>
      <c r="C916" s="2">
        <f>IF(Fandual!B916&lt;&gt;"P",1,0)</f>
        <v>1</v>
      </c>
      <c r="D916" s="2">
        <f t="shared" si="28"/>
        <v>0</v>
      </c>
      <c r="E916" s="2">
        <f>IF(D916=1,Fandual!B916,0)</f>
        <v>0</v>
      </c>
      <c r="F916" s="2">
        <f>IF(D916=1,Fandual!D916,0)</f>
        <v>0</v>
      </c>
      <c r="G916" s="2">
        <f>IF(D916=1,Fandual!F916,0)</f>
        <v>0</v>
      </c>
      <c r="H916" s="2">
        <f>IF(D916=1,Fandual!H916,0)</f>
        <v>0</v>
      </c>
      <c r="I916" s="2">
        <f>IF((Optimizer!$J$8=Fandual!J916),4,0)</f>
        <v>0</v>
      </c>
      <c r="J916" s="2">
        <f>IF((Optimizer!$J$10=Fandual!J916),100,0)</f>
        <v>0</v>
      </c>
      <c r="K916" s="2">
        <f t="shared" si="29"/>
        <v>0</v>
      </c>
      <c r="L916" s="2">
        <f>IF(Fandual!M916="",1,0)</f>
        <v>1</v>
      </c>
    </row>
    <row r="917" spans="1:12" x14ac:dyDescent="0.25">
      <c r="A917" s="2">
        <f>IF((OR(Optimizer!$J$8=Fandual!J917,Optimizer!$J$10=Fandual!J917))=TRUE, 1,0)</f>
        <v>0</v>
      </c>
      <c r="B917" s="2">
        <f>IF((OR(Fandual!O917="",Fandual!O917&lt;&gt;0)=TRUE),1,0)</f>
        <v>1</v>
      </c>
      <c r="C917" s="2">
        <f>IF(Fandual!B917&lt;&gt;"P",1,0)</f>
        <v>1</v>
      </c>
      <c r="D917" s="2">
        <f t="shared" si="28"/>
        <v>0</v>
      </c>
      <c r="E917" s="2">
        <f>IF(D917=1,Fandual!B917,0)</f>
        <v>0</v>
      </c>
      <c r="F917" s="2">
        <f>IF(D917=1,Fandual!D917,0)</f>
        <v>0</v>
      </c>
      <c r="G917" s="2">
        <f>IF(D917=1,Fandual!F917,0)</f>
        <v>0</v>
      </c>
      <c r="H917" s="2">
        <f>IF(D917=1,Fandual!H917,0)</f>
        <v>0</v>
      </c>
      <c r="I917" s="2">
        <f>IF((Optimizer!$J$8=Fandual!J917),4,0)</f>
        <v>0</v>
      </c>
      <c r="J917" s="2">
        <f>IF((Optimizer!$J$10=Fandual!J917),100,0)</f>
        <v>0</v>
      </c>
      <c r="K917" s="2">
        <f t="shared" si="29"/>
        <v>0</v>
      </c>
      <c r="L917" s="2">
        <f>IF(Fandual!M917="",1,0)</f>
        <v>0</v>
      </c>
    </row>
    <row r="918" spans="1:12" x14ac:dyDescent="0.25">
      <c r="A918" s="2">
        <f>IF((OR(Optimizer!$J$8=Fandual!J918,Optimizer!$J$10=Fandual!J918))=TRUE, 1,0)</f>
        <v>0</v>
      </c>
      <c r="B918" s="2">
        <f>IF((OR(Fandual!O918="",Fandual!O918&lt;&gt;0)=TRUE),1,0)</f>
        <v>1</v>
      </c>
      <c r="C918" s="2">
        <f>IF(Fandual!B918&lt;&gt;"P",1,0)</f>
        <v>1</v>
      </c>
      <c r="D918" s="2">
        <f t="shared" si="28"/>
        <v>0</v>
      </c>
      <c r="E918" s="2">
        <f>IF(D918=1,Fandual!B918,0)</f>
        <v>0</v>
      </c>
      <c r="F918" s="2">
        <f>IF(D918=1,Fandual!D918,0)</f>
        <v>0</v>
      </c>
      <c r="G918" s="2">
        <f>IF(D918=1,Fandual!F918,0)</f>
        <v>0</v>
      </c>
      <c r="H918" s="2">
        <f>IF(D918=1,Fandual!H918,0)</f>
        <v>0</v>
      </c>
      <c r="I918" s="2">
        <f>IF((Optimizer!$J$8=Fandual!J918),4,0)</f>
        <v>0</v>
      </c>
      <c r="J918" s="2">
        <f>IF((Optimizer!$J$10=Fandual!J918),100,0)</f>
        <v>0</v>
      </c>
      <c r="K918" s="2">
        <f t="shared" si="29"/>
        <v>0</v>
      </c>
      <c r="L918" s="2">
        <f>IF(Fandual!M918="",1,0)</f>
        <v>1</v>
      </c>
    </row>
    <row r="919" spans="1:12" x14ac:dyDescent="0.25">
      <c r="A919" s="2">
        <f>IF((OR(Optimizer!$J$8=Fandual!J919,Optimizer!$J$10=Fandual!J919))=TRUE, 1,0)</f>
        <v>0</v>
      </c>
      <c r="B919" s="2">
        <f>IF((OR(Fandual!O919="",Fandual!O919&lt;&gt;0)=TRUE),1,0)</f>
        <v>1</v>
      </c>
      <c r="C919" s="2">
        <f>IF(Fandual!B919&lt;&gt;"P",1,0)</f>
        <v>1</v>
      </c>
      <c r="D919" s="2">
        <f t="shared" si="28"/>
        <v>0</v>
      </c>
      <c r="E919" s="2">
        <f>IF(D919=1,Fandual!B919,0)</f>
        <v>0</v>
      </c>
      <c r="F919" s="2">
        <f>IF(D919=1,Fandual!D919,0)</f>
        <v>0</v>
      </c>
      <c r="G919" s="2">
        <f>IF(D919=1,Fandual!F919,0)</f>
        <v>0</v>
      </c>
      <c r="H919" s="2">
        <f>IF(D919=1,Fandual!H919,0)</f>
        <v>0</v>
      </c>
      <c r="I919" s="2">
        <f>IF((Optimizer!$J$8=Fandual!J919),4,0)</f>
        <v>0</v>
      </c>
      <c r="J919" s="2">
        <f>IF((Optimizer!$J$10=Fandual!J919),100,0)</f>
        <v>0</v>
      </c>
      <c r="K919" s="2">
        <f t="shared" si="29"/>
        <v>0</v>
      </c>
      <c r="L919" s="2">
        <f>IF(Fandual!M919="",1,0)</f>
        <v>1</v>
      </c>
    </row>
    <row r="920" spans="1:12" x14ac:dyDescent="0.25">
      <c r="A920" s="2">
        <f>IF((OR(Optimizer!$J$8=Fandual!J920,Optimizer!$J$10=Fandual!J920))=TRUE, 1,0)</f>
        <v>0</v>
      </c>
      <c r="B920" s="2">
        <f>IF((OR(Fandual!O920="",Fandual!O920&lt;&gt;0)=TRUE),1,0)</f>
        <v>1</v>
      </c>
      <c r="C920" s="2">
        <f>IF(Fandual!B920&lt;&gt;"P",1,0)</f>
        <v>1</v>
      </c>
      <c r="D920" s="2">
        <f t="shared" si="28"/>
        <v>0</v>
      </c>
      <c r="E920" s="2">
        <f>IF(D920=1,Fandual!B920,0)</f>
        <v>0</v>
      </c>
      <c r="F920" s="2">
        <f>IF(D920=1,Fandual!D920,0)</f>
        <v>0</v>
      </c>
      <c r="G920" s="2">
        <f>IF(D920=1,Fandual!F920,0)</f>
        <v>0</v>
      </c>
      <c r="H920" s="2">
        <f>IF(D920=1,Fandual!H920,0)</f>
        <v>0</v>
      </c>
      <c r="I920" s="2">
        <f>IF((Optimizer!$J$8=Fandual!J920),4,0)</f>
        <v>0</v>
      </c>
      <c r="J920" s="2">
        <f>IF((Optimizer!$J$10=Fandual!J920),100,0)</f>
        <v>0</v>
      </c>
      <c r="K920" s="2">
        <f t="shared" si="29"/>
        <v>0</v>
      </c>
      <c r="L920" s="2">
        <f>IF(Fandual!M920="",1,0)</f>
        <v>1</v>
      </c>
    </row>
    <row r="921" spans="1:12" x14ac:dyDescent="0.25">
      <c r="A921" s="2">
        <f>IF((OR(Optimizer!$J$8=Fandual!J921,Optimizer!$J$10=Fandual!J921))=TRUE, 1,0)</f>
        <v>0</v>
      </c>
      <c r="B921" s="2">
        <f>IF((OR(Fandual!O921="",Fandual!O921&lt;&gt;0)=TRUE),1,0)</f>
        <v>1</v>
      </c>
      <c r="C921" s="2">
        <f>IF(Fandual!B921&lt;&gt;"P",1,0)</f>
        <v>1</v>
      </c>
      <c r="D921" s="2">
        <f t="shared" si="28"/>
        <v>0</v>
      </c>
      <c r="E921" s="2">
        <f>IF(D921=1,Fandual!B921,0)</f>
        <v>0</v>
      </c>
      <c r="F921" s="2">
        <f>IF(D921=1,Fandual!D921,0)</f>
        <v>0</v>
      </c>
      <c r="G921" s="2">
        <f>IF(D921=1,Fandual!F921,0)</f>
        <v>0</v>
      </c>
      <c r="H921" s="2">
        <f>IF(D921=1,Fandual!H921,0)</f>
        <v>0</v>
      </c>
      <c r="I921" s="2">
        <f>IF((Optimizer!$J$8=Fandual!J921),4,0)</f>
        <v>0</v>
      </c>
      <c r="J921" s="2">
        <f>IF((Optimizer!$J$10=Fandual!J921),100,0)</f>
        <v>0</v>
      </c>
      <c r="K921" s="2">
        <f t="shared" si="29"/>
        <v>0</v>
      </c>
      <c r="L921" s="2">
        <f>IF(Fandual!M921="",1,0)</f>
        <v>1</v>
      </c>
    </row>
    <row r="922" spans="1:12" x14ac:dyDescent="0.25">
      <c r="A922" s="2">
        <f>IF((OR(Optimizer!$J$8=Fandual!J922,Optimizer!$J$10=Fandual!J922))=TRUE, 1,0)</f>
        <v>0</v>
      </c>
      <c r="B922" s="2">
        <f>IF((OR(Fandual!O922="",Fandual!O922&lt;&gt;0)=TRUE),1,0)</f>
        <v>1</v>
      </c>
      <c r="C922" s="2">
        <f>IF(Fandual!B922&lt;&gt;"P",1,0)</f>
        <v>1</v>
      </c>
      <c r="D922" s="2">
        <f t="shared" si="28"/>
        <v>0</v>
      </c>
      <c r="E922" s="2">
        <f>IF(D922=1,Fandual!B922,0)</f>
        <v>0</v>
      </c>
      <c r="F922" s="2">
        <f>IF(D922=1,Fandual!D922,0)</f>
        <v>0</v>
      </c>
      <c r="G922" s="2">
        <f>IF(D922=1,Fandual!F922,0)</f>
        <v>0</v>
      </c>
      <c r="H922" s="2">
        <f>IF(D922=1,Fandual!H922,0)</f>
        <v>0</v>
      </c>
      <c r="I922" s="2">
        <f>IF((Optimizer!$J$8=Fandual!J922),4,0)</f>
        <v>0</v>
      </c>
      <c r="J922" s="2">
        <f>IF((Optimizer!$J$10=Fandual!J922),100,0)</f>
        <v>0</v>
      </c>
      <c r="K922" s="2">
        <f t="shared" si="29"/>
        <v>0</v>
      </c>
      <c r="L922" s="2">
        <f>IF(Fandual!M922="",1,0)</f>
        <v>1</v>
      </c>
    </row>
    <row r="923" spans="1:12" x14ac:dyDescent="0.25">
      <c r="A923" s="2">
        <f>IF((OR(Optimizer!$J$8=Fandual!J923,Optimizer!$J$10=Fandual!J923))=TRUE, 1,0)</f>
        <v>0</v>
      </c>
      <c r="B923" s="2">
        <f>IF((OR(Fandual!O923="",Fandual!O923&lt;&gt;0)=TRUE),1,0)</f>
        <v>1</v>
      </c>
      <c r="C923" s="2">
        <f>IF(Fandual!B923&lt;&gt;"P",1,0)</f>
        <v>1</v>
      </c>
      <c r="D923" s="2">
        <f t="shared" si="28"/>
        <v>0</v>
      </c>
      <c r="E923" s="2">
        <f>IF(D923=1,Fandual!B923,0)</f>
        <v>0</v>
      </c>
      <c r="F923" s="2">
        <f>IF(D923=1,Fandual!D923,0)</f>
        <v>0</v>
      </c>
      <c r="G923" s="2">
        <f>IF(D923=1,Fandual!F923,0)</f>
        <v>0</v>
      </c>
      <c r="H923" s="2">
        <f>IF(D923=1,Fandual!H923,0)</f>
        <v>0</v>
      </c>
      <c r="I923" s="2">
        <f>IF((Optimizer!$J$8=Fandual!J923),4,0)</f>
        <v>0</v>
      </c>
      <c r="J923" s="2">
        <f>IF((Optimizer!$J$10=Fandual!J923),100,0)</f>
        <v>0</v>
      </c>
      <c r="K923" s="2">
        <f t="shared" si="29"/>
        <v>0</v>
      </c>
      <c r="L923" s="2">
        <f>IF(Fandual!M923="",1,0)</f>
        <v>1</v>
      </c>
    </row>
    <row r="924" spans="1:12" x14ac:dyDescent="0.25">
      <c r="A924" s="2">
        <f>IF((OR(Optimizer!$J$8=Fandual!J924,Optimizer!$J$10=Fandual!J924))=TRUE, 1,0)</f>
        <v>0</v>
      </c>
      <c r="B924" s="2">
        <f>IF((OR(Fandual!O924="",Fandual!O924&lt;&gt;0)=TRUE),1,0)</f>
        <v>1</v>
      </c>
      <c r="C924" s="2">
        <f>IF(Fandual!B924&lt;&gt;"P",1,0)</f>
        <v>1</v>
      </c>
      <c r="D924" s="2">
        <f t="shared" si="28"/>
        <v>0</v>
      </c>
      <c r="E924" s="2">
        <f>IF(D924=1,Fandual!B924,0)</f>
        <v>0</v>
      </c>
      <c r="F924" s="2">
        <f>IF(D924=1,Fandual!D924,0)</f>
        <v>0</v>
      </c>
      <c r="G924" s="2">
        <f>IF(D924=1,Fandual!F924,0)</f>
        <v>0</v>
      </c>
      <c r="H924" s="2">
        <f>IF(D924=1,Fandual!H924,0)</f>
        <v>0</v>
      </c>
      <c r="I924" s="2">
        <f>IF((Optimizer!$J$8=Fandual!J924),4,0)</f>
        <v>0</v>
      </c>
      <c r="J924" s="2">
        <f>IF((Optimizer!$J$10=Fandual!J924),100,0)</f>
        <v>0</v>
      </c>
      <c r="K924" s="2">
        <f t="shared" si="29"/>
        <v>0</v>
      </c>
      <c r="L924" s="2">
        <f>IF(Fandual!M924="",1,0)</f>
        <v>1</v>
      </c>
    </row>
    <row r="925" spans="1:12" x14ac:dyDescent="0.25">
      <c r="A925" s="2">
        <f>IF((OR(Optimizer!$J$8=Fandual!J925,Optimizer!$J$10=Fandual!J925))=TRUE, 1,0)</f>
        <v>0</v>
      </c>
      <c r="B925" s="2">
        <f>IF((OR(Fandual!O925="",Fandual!O925&lt;&gt;0)=TRUE),1,0)</f>
        <v>1</v>
      </c>
      <c r="C925" s="2">
        <f>IF(Fandual!B925&lt;&gt;"P",1,0)</f>
        <v>1</v>
      </c>
      <c r="D925" s="2">
        <f t="shared" si="28"/>
        <v>0</v>
      </c>
      <c r="E925" s="2">
        <f>IF(D925=1,Fandual!B925,0)</f>
        <v>0</v>
      </c>
      <c r="F925" s="2">
        <f>IF(D925=1,Fandual!D925,0)</f>
        <v>0</v>
      </c>
      <c r="G925" s="2">
        <f>IF(D925=1,Fandual!F925,0)</f>
        <v>0</v>
      </c>
      <c r="H925" s="2">
        <f>IF(D925=1,Fandual!H925,0)</f>
        <v>0</v>
      </c>
      <c r="I925" s="2">
        <f>IF((Optimizer!$J$8=Fandual!J925),4,0)</f>
        <v>0</v>
      </c>
      <c r="J925" s="2">
        <f>IF((Optimizer!$J$10=Fandual!J925),100,0)</f>
        <v>0</v>
      </c>
      <c r="K925" s="2">
        <f t="shared" si="29"/>
        <v>0</v>
      </c>
      <c r="L925" s="2">
        <f>IF(Fandual!M925="",1,0)</f>
        <v>1</v>
      </c>
    </row>
    <row r="926" spans="1:12" x14ac:dyDescent="0.25">
      <c r="A926" s="2">
        <f>IF((OR(Optimizer!$J$8=Fandual!J926,Optimizer!$J$10=Fandual!J926))=TRUE, 1,0)</f>
        <v>0</v>
      </c>
      <c r="B926" s="2">
        <f>IF((OR(Fandual!O926="",Fandual!O926&lt;&gt;0)=TRUE),1,0)</f>
        <v>1</v>
      </c>
      <c r="C926" s="2">
        <f>IF(Fandual!B926&lt;&gt;"P",1,0)</f>
        <v>1</v>
      </c>
      <c r="D926" s="2">
        <f t="shared" si="28"/>
        <v>0</v>
      </c>
      <c r="E926" s="2">
        <f>IF(D926=1,Fandual!B926,0)</f>
        <v>0</v>
      </c>
      <c r="F926" s="2">
        <f>IF(D926=1,Fandual!D926,0)</f>
        <v>0</v>
      </c>
      <c r="G926" s="2">
        <f>IF(D926=1,Fandual!F926,0)</f>
        <v>0</v>
      </c>
      <c r="H926" s="2">
        <f>IF(D926=1,Fandual!H926,0)</f>
        <v>0</v>
      </c>
      <c r="I926" s="2">
        <f>IF((Optimizer!$J$8=Fandual!J926),4,0)</f>
        <v>0</v>
      </c>
      <c r="J926" s="2">
        <f>IF((Optimizer!$J$10=Fandual!J926),100,0)</f>
        <v>0</v>
      </c>
      <c r="K926" s="2">
        <f t="shared" si="29"/>
        <v>0</v>
      </c>
      <c r="L926" s="2">
        <f>IF(Fandual!M926="",1,0)</f>
        <v>1</v>
      </c>
    </row>
    <row r="927" spans="1:12" x14ac:dyDescent="0.25">
      <c r="A927" s="2">
        <f>IF((OR(Optimizer!$J$8=Fandual!J927,Optimizer!$J$10=Fandual!J927))=TRUE, 1,0)</f>
        <v>0</v>
      </c>
      <c r="B927" s="2">
        <f>IF((OR(Fandual!O927="",Fandual!O927&lt;&gt;0)=TRUE),1,0)</f>
        <v>1</v>
      </c>
      <c r="C927" s="2">
        <f>IF(Fandual!B927&lt;&gt;"P",1,0)</f>
        <v>1</v>
      </c>
      <c r="D927" s="2">
        <f t="shared" si="28"/>
        <v>0</v>
      </c>
      <c r="E927" s="2">
        <f>IF(D927=1,Fandual!B927,0)</f>
        <v>0</v>
      </c>
      <c r="F927" s="2">
        <f>IF(D927=1,Fandual!D927,0)</f>
        <v>0</v>
      </c>
      <c r="G927" s="2">
        <f>IF(D927=1,Fandual!F927,0)</f>
        <v>0</v>
      </c>
      <c r="H927" s="2">
        <f>IF(D927=1,Fandual!H927,0)</f>
        <v>0</v>
      </c>
      <c r="I927" s="2">
        <f>IF((Optimizer!$J$8=Fandual!J927),4,0)</f>
        <v>0</v>
      </c>
      <c r="J927" s="2">
        <f>IF((Optimizer!$J$10=Fandual!J927),100,0)</f>
        <v>0</v>
      </c>
      <c r="K927" s="2">
        <f t="shared" si="29"/>
        <v>0</v>
      </c>
      <c r="L927" s="2">
        <f>IF(Fandual!M927="",1,0)</f>
        <v>1</v>
      </c>
    </row>
    <row r="928" spans="1:12" x14ac:dyDescent="0.25">
      <c r="A928" s="2">
        <f>IF((OR(Optimizer!$J$8=Fandual!J928,Optimizer!$J$10=Fandual!J928))=TRUE, 1,0)</f>
        <v>0</v>
      </c>
      <c r="B928" s="2">
        <f>IF((OR(Fandual!O928="",Fandual!O928&lt;&gt;0)=TRUE),1,0)</f>
        <v>1</v>
      </c>
      <c r="C928" s="2">
        <f>IF(Fandual!B928&lt;&gt;"P",1,0)</f>
        <v>1</v>
      </c>
      <c r="D928" s="2">
        <f t="shared" si="28"/>
        <v>0</v>
      </c>
      <c r="E928" s="2">
        <f>IF(D928=1,Fandual!B928,0)</f>
        <v>0</v>
      </c>
      <c r="F928" s="2">
        <f>IF(D928=1,Fandual!D928,0)</f>
        <v>0</v>
      </c>
      <c r="G928" s="2">
        <f>IF(D928=1,Fandual!F928,0)</f>
        <v>0</v>
      </c>
      <c r="H928" s="2">
        <f>IF(D928=1,Fandual!H928,0)</f>
        <v>0</v>
      </c>
      <c r="I928" s="2">
        <f>IF((Optimizer!$J$8=Fandual!J928),4,0)</f>
        <v>0</v>
      </c>
      <c r="J928" s="2">
        <f>IF((Optimizer!$J$10=Fandual!J928),100,0)</f>
        <v>0</v>
      </c>
      <c r="K928" s="2">
        <f t="shared" si="29"/>
        <v>0</v>
      </c>
      <c r="L928" s="2">
        <f>IF(Fandual!M928="",1,0)</f>
        <v>1</v>
      </c>
    </row>
    <row r="929" spans="1:12" x14ac:dyDescent="0.25">
      <c r="A929" s="2">
        <f>IF((OR(Optimizer!$J$8=Fandual!J929,Optimizer!$J$10=Fandual!J929))=TRUE, 1,0)</f>
        <v>0</v>
      </c>
      <c r="B929" s="2">
        <f>IF((OR(Fandual!O929="",Fandual!O929&lt;&gt;0)=TRUE),1,0)</f>
        <v>1</v>
      </c>
      <c r="C929" s="2">
        <f>IF(Fandual!B929&lt;&gt;"P",1,0)</f>
        <v>1</v>
      </c>
      <c r="D929" s="2">
        <f t="shared" si="28"/>
        <v>0</v>
      </c>
      <c r="E929" s="2">
        <f>IF(D929=1,Fandual!B929,0)</f>
        <v>0</v>
      </c>
      <c r="F929" s="2">
        <f>IF(D929=1,Fandual!D929,0)</f>
        <v>0</v>
      </c>
      <c r="G929" s="2">
        <f>IF(D929=1,Fandual!F929,0)</f>
        <v>0</v>
      </c>
      <c r="H929" s="2">
        <f>IF(D929=1,Fandual!H929,0)</f>
        <v>0</v>
      </c>
      <c r="I929" s="2">
        <f>IF((Optimizer!$J$8=Fandual!J929),4,0)</f>
        <v>0</v>
      </c>
      <c r="J929" s="2">
        <f>IF((Optimizer!$J$10=Fandual!J929),100,0)</f>
        <v>0</v>
      </c>
      <c r="K929" s="2">
        <f t="shared" si="29"/>
        <v>0</v>
      </c>
      <c r="L929" s="2">
        <f>IF(Fandual!M929="",1,0)</f>
        <v>1</v>
      </c>
    </row>
    <row r="930" spans="1:12" x14ac:dyDescent="0.25">
      <c r="A930" s="2">
        <f>IF((OR(Optimizer!$J$8=Fandual!J930,Optimizer!$J$10=Fandual!J930))=TRUE, 1,0)</f>
        <v>0</v>
      </c>
      <c r="B930" s="2">
        <f>IF((OR(Fandual!O930="",Fandual!O930&lt;&gt;0)=TRUE),1,0)</f>
        <v>1</v>
      </c>
      <c r="C930" s="2">
        <f>IF(Fandual!B930&lt;&gt;"P",1,0)</f>
        <v>1</v>
      </c>
      <c r="D930" s="2">
        <f t="shared" si="28"/>
        <v>0</v>
      </c>
      <c r="E930" s="2">
        <f>IF(D930=1,Fandual!B930,0)</f>
        <v>0</v>
      </c>
      <c r="F930" s="2">
        <f>IF(D930=1,Fandual!D930,0)</f>
        <v>0</v>
      </c>
      <c r="G930" s="2">
        <f>IF(D930=1,Fandual!F930,0)</f>
        <v>0</v>
      </c>
      <c r="H930" s="2">
        <f>IF(D930=1,Fandual!H930,0)</f>
        <v>0</v>
      </c>
      <c r="I930" s="2">
        <f>IF((Optimizer!$J$8=Fandual!J930),4,0)</f>
        <v>0</v>
      </c>
      <c r="J930" s="2">
        <f>IF((Optimizer!$J$10=Fandual!J930),100,0)</f>
        <v>0</v>
      </c>
      <c r="K930" s="2">
        <f t="shared" si="29"/>
        <v>0</v>
      </c>
      <c r="L930" s="2">
        <f>IF(Fandual!M930="",1,0)</f>
        <v>1</v>
      </c>
    </row>
    <row r="931" spans="1:12" x14ac:dyDescent="0.25">
      <c r="A931" s="2">
        <f>IF((OR(Optimizer!$J$8=Fandual!J931,Optimizer!$J$10=Fandual!J931))=TRUE, 1,0)</f>
        <v>0</v>
      </c>
      <c r="B931" s="2">
        <f>IF((OR(Fandual!O931="",Fandual!O931&lt;&gt;0)=TRUE),1,0)</f>
        <v>1</v>
      </c>
      <c r="C931" s="2">
        <f>IF(Fandual!B931&lt;&gt;"P",1,0)</f>
        <v>1</v>
      </c>
      <c r="D931" s="2">
        <f t="shared" si="28"/>
        <v>0</v>
      </c>
      <c r="E931" s="2">
        <f>IF(D931=1,Fandual!B931,0)</f>
        <v>0</v>
      </c>
      <c r="F931" s="2">
        <f>IF(D931=1,Fandual!D931,0)</f>
        <v>0</v>
      </c>
      <c r="G931" s="2">
        <f>IF(D931=1,Fandual!F931,0)</f>
        <v>0</v>
      </c>
      <c r="H931" s="2">
        <f>IF(D931=1,Fandual!H931,0)</f>
        <v>0</v>
      </c>
      <c r="I931" s="2">
        <f>IF((Optimizer!$J$8=Fandual!J931),4,0)</f>
        <v>0</v>
      </c>
      <c r="J931" s="2">
        <f>IF((Optimizer!$J$10=Fandual!J931),100,0)</f>
        <v>0</v>
      </c>
      <c r="K931" s="2">
        <f t="shared" si="29"/>
        <v>0</v>
      </c>
      <c r="L931" s="2">
        <f>IF(Fandual!M931="",1,0)</f>
        <v>1</v>
      </c>
    </row>
    <row r="932" spans="1:12" x14ac:dyDescent="0.25">
      <c r="A932" s="2">
        <f>IF((OR(Optimizer!$J$8=Fandual!J932,Optimizer!$J$10=Fandual!J932))=TRUE, 1,0)</f>
        <v>0</v>
      </c>
      <c r="B932" s="2">
        <f>IF((OR(Fandual!O932="",Fandual!O932&lt;&gt;0)=TRUE),1,0)</f>
        <v>1</v>
      </c>
      <c r="C932" s="2">
        <f>IF(Fandual!B932&lt;&gt;"P",1,0)</f>
        <v>1</v>
      </c>
      <c r="D932" s="2">
        <f t="shared" si="28"/>
        <v>0</v>
      </c>
      <c r="E932" s="2">
        <f>IF(D932=1,Fandual!B932,0)</f>
        <v>0</v>
      </c>
      <c r="F932" s="2">
        <f>IF(D932=1,Fandual!D932,0)</f>
        <v>0</v>
      </c>
      <c r="G932" s="2">
        <f>IF(D932=1,Fandual!F932,0)</f>
        <v>0</v>
      </c>
      <c r="H932" s="2">
        <f>IF(D932=1,Fandual!H932,0)</f>
        <v>0</v>
      </c>
      <c r="I932" s="2">
        <f>IF((Optimizer!$J$8=Fandual!J932),4,0)</f>
        <v>0</v>
      </c>
      <c r="J932" s="2">
        <f>IF((Optimizer!$J$10=Fandual!J932),100,0)</f>
        <v>0</v>
      </c>
      <c r="K932" s="2">
        <f t="shared" si="29"/>
        <v>0</v>
      </c>
      <c r="L932" s="2">
        <f>IF(Fandual!M932="",1,0)</f>
        <v>1</v>
      </c>
    </row>
    <row r="933" spans="1:12" x14ac:dyDescent="0.25">
      <c r="A933" s="2">
        <f>IF((OR(Optimizer!$J$8=Fandual!J933,Optimizer!$J$10=Fandual!J933))=TRUE, 1,0)</f>
        <v>0</v>
      </c>
      <c r="B933" s="2">
        <f>IF((OR(Fandual!O933="",Fandual!O933&lt;&gt;0)=TRUE),1,0)</f>
        <v>1</v>
      </c>
      <c r="C933" s="2">
        <f>IF(Fandual!B933&lt;&gt;"P",1,0)</f>
        <v>1</v>
      </c>
      <c r="D933" s="2">
        <f t="shared" si="28"/>
        <v>0</v>
      </c>
      <c r="E933" s="2">
        <f>IF(D933=1,Fandual!B933,0)</f>
        <v>0</v>
      </c>
      <c r="F933" s="2">
        <f>IF(D933=1,Fandual!D933,0)</f>
        <v>0</v>
      </c>
      <c r="G933" s="2">
        <f>IF(D933=1,Fandual!F933,0)</f>
        <v>0</v>
      </c>
      <c r="H933" s="2">
        <f>IF(D933=1,Fandual!H933,0)</f>
        <v>0</v>
      </c>
      <c r="I933" s="2">
        <f>IF((Optimizer!$J$8=Fandual!J933),4,0)</f>
        <v>0</v>
      </c>
      <c r="J933" s="2">
        <f>IF((Optimizer!$J$10=Fandual!J933),100,0)</f>
        <v>0</v>
      </c>
      <c r="K933" s="2">
        <f t="shared" si="29"/>
        <v>0</v>
      </c>
      <c r="L933" s="2">
        <f>IF(Fandual!M933="",1,0)</f>
        <v>1</v>
      </c>
    </row>
    <row r="934" spans="1:12" x14ac:dyDescent="0.25">
      <c r="A934" s="2">
        <f>IF((OR(Optimizer!$J$8=Fandual!J934,Optimizer!$J$10=Fandual!J934))=TRUE, 1,0)</f>
        <v>0</v>
      </c>
      <c r="B934" s="2">
        <f>IF((OR(Fandual!O934="",Fandual!O934&lt;&gt;0)=TRUE),1,0)</f>
        <v>1</v>
      </c>
      <c r="C934" s="2">
        <f>IF(Fandual!B934&lt;&gt;"P",1,0)</f>
        <v>1</v>
      </c>
      <c r="D934" s="2">
        <f t="shared" si="28"/>
        <v>0</v>
      </c>
      <c r="E934" s="2">
        <f>IF(D934=1,Fandual!B934,0)</f>
        <v>0</v>
      </c>
      <c r="F934" s="2">
        <f>IF(D934=1,Fandual!D934,0)</f>
        <v>0</v>
      </c>
      <c r="G934" s="2">
        <f>IF(D934=1,Fandual!F934,0)</f>
        <v>0</v>
      </c>
      <c r="H934" s="2">
        <f>IF(D934=1,Fandual!H934,0)</f>
        <v>0</v>
      </c>
      <c r="I934" s="2">
        <f>IF((Optimizer!$J$8=Fandual!J934),4,0)</f>
        <v>0</v>
      </c>
      <c r="J934" s="2">
        <f>IF((Optimizer!$J$10=Fandual!J934),100,0)</f>
        <v>0</v>
      </c>
      <c r="K934" s="2">
        <f t="shared" si="29"/>
        <v>0</v>
      </c>
      <c r="L934" s="2">
        <f>IF(Fandual!M934="",1,0)</f>
        <v>1</v>
      </c>
    </row>
    <row r="935" spans="1:12" x14ac:dyDescent="0.25">
      <c r="A935" s="2">
        <f>IF((OR(Optimizer!$J$8=Fandual!J935,Optimizer!$J$10=Fandual!J935))=TRUE, 1,0)</f>
        <v>0</v>
      </c>
      <c r="B935" s="2">
        <f>IF((OR(Fandual!O935="",Fandual!O935&lt;&gt;0)=TRUE),1,0)</f>
        <v>1</v>
      </c>
      <c r="C935" s="2">
        <f>IF(Fandual!B935&lt;&gt;"P",1,0)</f>
        <v>1</v>
      </c>
      <c r="D935" s="2">
        <f t="shared" si="28"/>
        <v>0</v>
      </c>
      <c r="E935" s="2">
        <f>IF(D935=1,Fandual!B935,0)</f>
        <v>0</v>
      </c>
      <c r="F935" s="2">
        <f>IF(D935=1,Fandual!D935,0)</f>
        <v>0</v>
      </c>
      <c r="G935" s="2">
        <f>IF(D935=1,Fandual!F935,0)</f>
        <v>0</v>
      </c>
      <c r="H935" s="2">
        <f>IF(D935=1,Fandual!H935,0)</f>
        <v>0</v>
      </c>
      <c r="I935" s="2">
        <f>IF((Optimizer!$J$8=Fandual!J935),4,0)</f>
        <v>0</v>
      </c>
      <c r="J935" s="2">
        <f>IF((Optimizer!$J$10=Fandual!J935),100,0)</f>
        <v>0</v>
      </c>
      <c r="K935" s="2">
        <f t="shared" si="29"/>
        <v>0</v>
      </c>
      <c r="L935" s="2">
        <f>IF(Fandual!M935="",1,0)</f>
        <v>1</v>
      </c>
    </row>
    <row r="936" spans="1:12" x14ac:dyDescent="0.25">
      <c r="A936" s="2">
        <f>IF((OR(Optimizer!$J$8=Fandual!J936,Optimizer!$J$10=Fandual!J936))=TRUE, 1,0)</f>
        <v>0</v>
      </c>
      <c r="B936" s="2">
        <f>IF((OR(Fandual!O936="",Fandual!O936&lt;&gt;0)=TRUE),1,0)</f>
        <v>1</v>
      </c>
      <c r="C936" s="2">
        <f>IF(Fandual!B936&lt;&gt;"P",1,0)</f>
        <v>1</v>
      </c>
      <c r="D936" s="2">
        <f t="shared" si="28"/>
        <v>0</v>
      </c>
      <c r="E936" s="2">
        <f>IF(D936=1,Fandual!B936,0)</f>
        <v>0</v>
      </c>
      <c r="F936" s="2">
        <f>IF(D936=1,Fandual!D936,0)</f>
        <v>0</v>
      </c>
      <c r="G936" s="2">
        <f>IF(D936=1,Fandual!F936,0)</f>
        <v>0</v>
      </c>
      <c r="H936" s="2">
        <f>IF(D936=1,Fandual!H936,0)</f>
        <v>0</v>
      </c>
      <c r="I936" s="2">
        <f>IF((Optimizer!$J$8=Fandual!J936),4,0)</f>
        <v>0</v>
      </c>
      <c r="J936" s="2">
        <f>IF((Optimizer!$J$10=Fandual!J936),100,0)</f>
        <v>0</v>
      </c>
      <c r="K936" s="2">
        <f t="shared" si="29"/>
        <v>0</v>
      </c>
      <c r="L936" s="2">
        <f>IF(Fandual!M936="",1,0)</f>
        <v>1</v>
      </c>
    </row>
    <row r="937" spans="1:12" x14ac:dyDescent="0.25">
      <c r="A937" s="2">
        <f>IF((OR(Optimizer!$J$8=Fandual!J937,Optimizer!$J$10=Fandual!J937))=TRUE, 1,0)</f>
        <v>0</v>
      </c>
      <c r="B937" s="2">
        <f>IF((OR(Fandual!O937="",Fandual!O937&lt;&gt;0)=TRUE),1,0)</f>
        <v>1</v>
      </c>
      <c r="C937" s="2">
        <f>IF(Fandual!B937&lt;&gt;"P",1,0)</f>
        <v>1</v>
      </c>
      <c r="D937" s="2">
        <f t="shared" si="28"/>
        <v>0</v>
      </c>
      <c r="E937" s="2">
        <f>IF(D937=1,Fandual!B937,0)</f>
        <v>0</v>
      </c>
      <c r="F937" s="2">
        <f>IF(D937=1,Fandual!D937,0)</f>
        <v>0</v>
      </c>
      <c r="G937" s="2">
        <f>IF(D937=1,Fandual!F937,0)</f>
        <v>0</v>
      </c>
      <c r="H937" s="2">
        <f>IF(D937=1,Fandual!H937,0)</f>
        <v>0</v>
      </c>
      <c r="I937" s="2">
        <f>IF((Optimizer!$J$8=Fandual!J937),4,0)</f>
        <v>0</v>
      </c>
      <c r="J937" s="2">
        <f>IF((Optimizer!$J$10=Fandual!J937),100,0)</f>
        <v>0</v>
      </c>
      <c r="K937" s="2">
        <f t="shared" si="29"/>
        <v>0</v>
      </c>
      <c r="L937" s="2">
        <f>IF(Fandual!M937="",1,0)</f>
        <v>1</v>
      </c>
    </row>
    <row r="938" spans="1:12" x14ac:dyDescent="0.25">
      <c r="A938" s="2">
        <f>IF((OR(Optimizer!$J$8=Fandual!J938,Optimizer!$J$10=Fandual!J938))=TRUE, 1,0)</f>
        <v>0</v>
      </c>
      <c r="B938" s="2">
        <f>IF((OR(Fandual!O938="",Fandual!O938&lt;&gt;0)=TRUE),1,0)</f>
        <v>1</v>
      </c>
      <c r="C938" s="2">
        <f>IF(Fandual!B938&lt;&gt;"P",1,0)</f>
        <v>1</v>
      </c>
      <c r="D938" s="2">
        <f t="shared" si="28"/>
        <v>0</v>
      </c>
      <c r="E938" s="2">
        <f>IF(D938=1,Fandual!B938,0)</f>
        <v>0</v>
      </c>
      <c r="F938" s="2">
        <f>IF(D938=1,Fandual!D938,0)</f>
        <v>0</v>
      </c>
      <c r="G938" s="2">
        <f>IF(D938=1,Fandual!F938,0)</f>
        <v>0</v>
      </c>
      <c r="H938" s="2">
        <f>IF(D938=1,Fandual!H938,0)</f>
        <v>0</v>
      </c>
      <c r="I938" s="2">
        <f>IF((Optimizer!$J$8=Fandual!J938),4,0)</f>
        <v>0</v>
      </c>
      <c r="J938" s="2">
        <f>IF((Optimizer!$J$10=Fandual!J938),100,0)</f>
        <v>0</v>
      </c>
      <c r="K938" s="2">
        <f t="shared" si="29"/>
        <v>0</v>
      </c>
      <c r="L938" s="2">
        <f>IF(Fandual!M938="",1,0)</f>
        <v>1</v>
      </c>
    </row>
    <row r="939" spans="1:12" x14ac:dyDescent="0.25">
      <c r="A939" s="2">
        <f>IF((OR(Optimizer!$J$8=Fandual!J939,Optimizer!$J$10=Fandual!J939))=TRUE, 1,0)</f>
        <v>0</v>
      </c>
      <c r="B939" s="2">
        <f>IF((OR(Fandual!O939="",Fandual!O939&lt;&gt;0)=TRUE),1,0)</f>
        <v>1</v>
      </c>
      <c r="C939" s="2">
        <f>IF(Fandual!B939&lt;&gt;"P",1,0)</f>
        <v>1</v>
      </c>
      <c r="D939" s="2">
        <f t="shared" si="28"/>
        <v>0</v>
      </c>
      <c r="E939" s="2">
        <f>IF(D939=1,Fandual!B939,0)</f>
        <v>0</v>
      </c>
      <c r="F939" s="2">
        <f>IF(D939=1,Fandual!D939,0)</f>
        <v>0</v>
      </c>
      <c r="G939" s="2">
        <f>IF(D939=1,Fandual!F939,0)</f>
        <v>0</v>
      </c>
      <c r="H939" s="2">
        <f>IF(D939=1,Fandual!H939,0)</f>
        <v>0</v>
      </c>
      <c r="I939" s="2">
        <f>IF((Optimizer!$J$8=Fandual!J939),4,0)</f>
        <v>0</v>
      </c>
      <c r="J939" s="2">
        <f>IF((Optimizer!$J$10=Fandual!J939),100,0)</f>
        <v>0</v>
      </c>
      <c r="K939" s="2">
        <f t="shared" si="29"/>
        <v>0</v>
      </c>
      <c r="L939" s="2">
        <f>IF(Fandual!M939="",1,0)</f>
        <v>1</v>
      </c>
    </row>
    <row r="940" spans="1:12" x14ac:dyDescent="0.25">
      <c r="A940" s="2">
        <f>IF((OR(Optimizer!$J$8=Fandual!J940,Optimizer!$J$10=Fandual!J940))=TRUE, 1,0)</f>
        <v>0</v>
      </c>
      <c r="B940" s="2">
        <f>IF((OR(Fandual!O940="",Fandual!O940&lt;&gt;0)=TRUE),1,0)</f>
        <v>1</v>
      </c>
      <c r="C940" s="2">
        <f>IF(Fandual!B940&lt;&gt;"P",1,0)</f>
        <v>1</v>
      </c>
      <c r="D940" s="2">
        <f t="shared" si="28"/>
        <v>0</v>
      </c>
      <c r="E940" s="2">
        <f>IF(D940=1,Fandual!B940,0)</f>
        <v>0</v>
      </c>
      <c r="F940" s="2">
        <f>IF(D940=1,Fandual!D940,0)</f>
        <v>0</v>
      </c>
      <c r="G940" s="2">
        <f>IF(D940=1,Fandual!F940,0)</f>
        <v>0</v>
      </c>
      <c r="H940" s="2">
        <f>IF(D940=1,Fandual!H940,0)</f>
        <v>0</v>
      </c>
      <c r="I940" s="2">
        <f>IF((Optimizer!$J$8=Fandual!J940),4,0)</f>
        <v>0</v>
      </c>
      <c r="J940" s="2">
        <f>IF((Optimizer!$J$10=Fandual!J940),100,0)</f>
        <v>0</v>
      </c>
      <c r="K940" s="2">
        <f t="shared" si="29"/>
        <v>0</v>
      </c>
      <c r="L940" s="2">
        <f>IF(Fandual!M940="",1,0)</f>
        <v>1</v>
      </c>
    </row>
    <row r="941" spans="1:12" x14ac:dyDescent="0.25">
      <c r="A941" s="2">
        <f>IF((OR(Optimizer!$J$8=Fandual!J941,Optimizer!$J$10=Fandual!J941))=TRUE, 1,0)</f>
        <v>0</v>
      </c>
      <c r="B941" s="2">
        <f>IF((OR(Fandual!O941="",Fandual!O941&lt;&gt;0)=TRUE),1,0)</f>
        <v>1</v>
      </c>
      <c r="C941" s="2">
        <f>IF(Fandual!B941&lt;&gt;"P",1,0)</f>
        <v>1</v>
      </c>
      <c r="D941" s="2">
        <f t="shared" si="28"/>
        <v>0</v>
      </c>
      <c r="E941" s="2">
        <f>IF(D941=1,Fandual!B941,0)</f>
        <v>0</v>
      </c>
      <c r="F941" s="2">
        <f>IF(D941=1,Fandual!D941,0)</f>
        <v>0</v>
      </c>
      <c r="G941" s="2">
        <f>IF(D941=1,Fandual!F941,0)</f>
        <v>0</v>
      </c>
      <c r="H941" s="2">
        <f>IF(D941=1,Fandual!H941,0)</f>
        <v>0</v>
      </c>
      <c r="I941" s="2">
        <f>IF((Optimizer!$J$8=Fandual!J941),4,0)</f>
        <v>0</v>
      </c>
      <c r="J941" s="2">
        <f>IF((Optimizer!$J$10=Fandual!J941),100,0)</f>
        <v>0</v>
      </c>
      <c r="K941" s="2">
        <f t="shared" si="29"/>
        <v>0</v>
      </c>
      <c r="L941" s="2">
        <f>IF(Fandual!M941="",1,0)</f>
        <v>1</v>
      </c>
    </row>
    <row r="942" spans="1:12" x14ac:dyDescent="0.25">
      <c r="A942" s="2">
        <f>IF((OR(Optimizer!$J$8=Fandual!J942,Optimizer!$J$10=Fandual!J942))=TRUE, 1,0)</f>
        <v>0</v>
      </c>
      <c r="B942" s="2">
        <f>IF((OR(Fandual!O942="",Fandual!O942&lt;&gt;0)=TRUE),1,0)</f>
        <v>1</v>
      </c>
      <c r="C942" s="2">
        <f>IF(Fandual!B942&lt;&gt;"P",1,0)</f>
        <v>1</v>
      </c>
      <c r="D942" s="2">
        <f t="shared" si="28"/>
        <v>0</v>
      </c>
      <c r="E942" s="2">
        <f>IF(D942=1,Fandual!B942,0)</f>
        <v>0</v>
      </c>
      <c r="F942" s="2">
        <f>IF(D942=1,Fandual!D942,0)</f>
        <v>0</v>
      </c>
      <c r="G942" s="2">
        <f>IF(D942=1,Fandual!F942,0)</f>
        <v>0</v>
      </c>
      <c r="H942" s="2">
        <f>IF(D942=1,Fandual!H942,0)</f>
        <v>0</v>
      </c>
      <c r="I942" s="2">
        <f>IF((Optimizer!$J$8=Fandual!J942),4,0)</f>
        <v>0</v>
      </c>
      <c r="J942" s="2">
        <f>IF((Optimizer!$J$10=Fandual!J942),100,0)</f>
        <v>0</v>
      </c>
      <c r="K942" s="2">
        <f t="shared" si="29"/>
        <v>0</v>
      </c>
      <c r="L942" s="2">
        <f>IF(Fandual!M942="",1,0)</f>
        <v>1</v>
      </c>
    </row>
    <row r="943" spans="1:12" x14ac:dyDescent="0.25">
      <c r="A943" s="2">
        <f>IF((OR(Optimizer!$J$8=Fandual!J943,Optimizer!$J$10=Fandual!J943))=TRUE, 1,0)</f>
        <v>0</v>
      </c>
      <c r="B943" s="2">
        <f>IF((OR(Fandual!O943="",Fandual!O943&lt;&gt;0)=TRUE),1,0)</f>
        <v>1</v>
      </c>
      <c r="C943" s="2">
        <f>IF(Fandual!B943&lt;&gt;"P",1,0)</f>
        <v>1</v>
      </c>
      <c r="D943" s="2">
        <f t="shared" si="28"/>
        <v>0</v>
      </c>
      <c r="E943" s="2">
        <f>IF(D943=1,Fandual!B943,0)</f>
        <v>0</v>
      </c>
      <c r="F943" s="2">
        <f>IF(D943=1,Fandual!D943,0)</f>
        <v>0</v>
      </c>
      <c r="G943" s="2">
        <f>IF(D943=1,Fandual!F943,0)</f>
        <v>0</v>
      </c>
      <c r="H943" s="2">
        <f>IF(D943=1,Fandual!H943,0)</f>
        <v>0</v>
      </c>
      <c r="I943" s="2">
        <f>IF((Optimizer!$J$8=Fandual!J943),4,0)</f>
        <v>0</v>
      </c>
      <c r="J943" s="2">
        <f>IF((Optimizer!$J$10=Fandual!J943),100,0)</f>
        <v>0</v>
      </c>
      <c r="K943" s="2">
        <f t="shared" si="29"/>
        <v>0</v>
      </c>
      <c r="L943" s="2">
        <f>IF(Fandual!M943="",1,0)</f>
        <v>1</v>
      </c>
    </row>
    <row r="944" spans="1:12" x14ac:dyDescent="0.25">
      <c r="A944" s="2">
        <f>IF((OR(Optimizer!$J$8=Fandual!J944,Optimizer!$J$10=Fandual!J944))=TRUE, 1,0)</f>
        <v>0</v>
      </c>
      <c r="B944" s="2">
        <f>IF((OR(Fandual!O944="",Fandual!O944&lt;&gt;0)=TRUE),1,0)</f>
        <v>1</v>
      </c>
      <c r="C944" s="2">
        <f>IF(Fandual!B944&lt;&gt;"P",1,0)</f>
        <v>1</v>
      </c>
      <c r="D944" s="2">
        <f t="shared" si="28"/>
        <v>0</v>
      </c>
      <c r="E944" s="2">
        <f>IF(D944=1,Fandual!B944,0)</f>
        <v>0</v>
      </c>
      <c r="F944" s="2">
        <f>IF(D944=1,Fandual!D944,0)</f>
        <v>0</v>
      </c>
      <c r="G944" s="2">
        <f>IF(D944=1,Fandual!F944,0)</f>
        <v>0</v>
      </c>
      <c r="H944" s="2">
        <f>IF(D944=1,Fandual!H944,0)</f>
        <v>0</v>
      </c>
      <c r="I944" s="2">
        <f>IF((Optimizer!$J$8=Fandual!J944),4,0)</f>
        <v>0</v>
      </c>
      <c r="J944" s="2">
        <f>IF((Optimizer!$J$10=Fandual!J944),100,0)</f>
        <v>0</v>
      </c>
      <c r="K944" s="2">
        <f t="shared" si="29"/>
        <v>0</v>
      </c>
      <c r="L944" s="2">
        <f>IF(Fandual!M944="",1,0)</f>
        <v>1</v>
      </c>
    </row>
    <row r="945" spans="1:12" x14ac:dyDescent="0.25">
      <c r="A945" s="2">
        <f>IF((OR(Optimizer!$J$8=Fandual!J945,Optimizer!$J$10=Fandual!J945))=TRUE, 1,0)</f>
        <v>0</v>
      </c>
      <c r="B945" s="2">
        <f>IF((OR(Fandual!O945="",Fandual!O945&lt;&gt;0)=TRUE),1,0)</f>
        <v>1</v>
      </c>
      <c r="C945" s="2">
        <f>IF(Fandual!B945&lt;&gt;"P",1,0)</f>
        <v>1</v>
      </c>
      <c r="D945" s="2">
        <f t="shared" si="28"/>
        <v>0</v>
      </c>
      <c r="E945" s="2">
        <f>IF(D945=1,Fandual!B945,0)</f>
        <v>0</v>
      </c>
      <c r="F945" s="2">
        <f>IF(D945=1,Fandual!D945,0)</f>
        <v>0</v>
      </c>
      <c r="G945" s="2">
        <f>IF(D945=1,Fandual!F945,0)</f>
        <v>0</v>
      </c>
      <c r="H945" s="2">
        <f>IF(D945=1,Fandual!H945,0)</f>
        <v>0</v>
      </c>
      <c r="I945" s="2">
        <f>IF((Optimizer!$J$8=Fandual!J945),4,0)</f>
        <v>0</v>
      </c>
      <c r="J945" s="2">
        <f>IF((Optimizer!$J$10=Fandual!J945),100,0)</f>
        <v>0</v>
      </c>
      <c r="K945" s="2">
        <f t="shared" si="29"/>
        <v>0</v>
      </c>
      <c r="L945" s="2">
        <f>IF(Fandual!M945="",1,0)</f>
        <v>1</v>
      </c>
    </row>
    <row r="946" spans="1:12" x14ac:dyDescent="0.25">
      <c r="A946" s="2">
        <f>IF((OR(Optimizer!$J$8=Fandual!J946,Optimizer!$J$10=Fandual!J946))=TRUE, 1,0)</f>
        <v>0</v>
      </c>
      <c r="B946" s="2">
        <f>IF((OR(Fandual!O946="",Fandual!O946&lt;&gt;0)=TRUE),1,0)</f>
        <v>1</v>
      </c>
      <c r="C946" s="2">
        <f>IF(Fandual!B946&lt;&gt;"P",1,0)</f>
        <v>1</v>
      </c>
      <c r="D946" s="2">
        <f t="shared" si="28"/>
        <v>0</v>
      </c>
      <c r="E946" s="2">
        <f>IF(D946=1,Fandual!B946,0)</f>
        <v>0</v>
      </c>
      <c r="F946" s="2">
        <f>IF(D946=1,Fandual!D946,0)</f>
        <v>0</v>
      </c>
      <c r="G946" s="2">
        <f>IF(D946=1,Fandual!F946,0)</f>
        <v>0</v>
      </c>
      <c r="H946" s="2">
        <f>IF(D946=1,Fandual!H946,0)</f>
        <v>0</v>
      </c>
      <c r="I946" s="2">
        <f>IF((Optimizer!$J$8=Fandual!J946),4,0)</f>
        <v>0</v>
      </c>
      <c r="J946" s="2">
        <f>IF((Optimizer!$J$10=Fandual!J946),100,0)</f>
        <v>0</v>
      </c>
      <c r="K946" s="2">
        <f t="shared" si="29"/>
        <v>0</v>
      </c>
      <c r="L946" s="2">
        <f>IF(Fandual!M946="",1,0)</f>
        <v>1</v>
      </c>
    </row>
    <row r="947" spans="1:12" x14ac:dyDescent="0.25">
      <c r="A947" s="2">
        <f>IF((OR(Optimizer!$J$8=Fandual!J947,Optimizer!$J$10=Fandual!J947))=TRUE, 1,0)</f>
        <v>0</v>
      </c>
      <c r="B947" s="2">
        <f>IF((OR(Fandual!O947="",Fandual!O947&lt;&gt;0)=TRUE),1,0)</f>
        <v>1</v>
      </c>
      <c r="C947" s="2">
        <f>IF(Fandual!B947&lt;&gt;"P",1,0)</f>
        <v>1</v>
      </c>
      <c r="D947" s="2">
        <f t="shared" si="28"/>
        <v>0</v>
      </c>
      <c r="E947" s="2">
        <f>IF(D947=1,Fandual!B947,0)</f>
        <v>0</v>
      </c>
      <c r="F947" s="2">
        <f>IF(D947=1,Fandual!D947,0)</f>
        <v>0</v>
      </c>
      <c r="G947" s="2">
        <f>IF(D947=1,Fandual!F947,0)</f>
        <v>0</v>
      </c>
      <c r="H947" s="2">
        <f>IF(D947=1,Fandual!H947,0)</f>
        <v>0</v>
      </c>
      <c r="I947" s="2">
        <f>IF((Optimizer!$J$8=Fandual!J947),4,0)</f>
        <v>0</v>
      </c>
      <c r="J947" s="2">
        <f>IF((Optimizer!$J$10=Fandual!J947),100,0)</f>
        <v>0</v>
      </c>
      <c r="K947" s="2">
        <f t="shared" si="29"/>
        <v>0</v>
      </c>
      <c r="L947" s="2">
        <f>IF(Fandual!M947="",1,0)</f>
        <v>1</v>
      </c>
    </row>
    <row r="948" spans="1:12" x14ac:dyDescent="0.25">
      <c r="A948" s="2">
        <f>IF((OR(Optimizer!$J$8=Fandual!J948,Optimizer!$J$10=Fandual!J948))=TRUE, 1,0)</f>
        <v>0</v>
      </c>
      <c r="B948" s="2">
        <f>IF((OR(Fandual!O948="",Fandual!O948&lt;&gt;0)=TRUE),1,0)</f>
        <v>1</v>
      </c>
      <c r="C948" s="2">
        <f>IF(Fandual!B948&lt;&gt;"P",1,0)</f>
        <v>1</v>
      </c>
      <c r="D948" s="2">
        <f t="shared" si="28"/>
        <v>0</v>
      </c>
      <c r="E948" s="2">
        <f>IF(D948=1,Fandual!B948,0)</f>
        <v>0</v>
      </c>
      <c r="F948" s="2">
        <f>IF(D948=1,Fandual!D948,0)</f>
        <v>0</v>
      </c>
      <c r="G948" s="2">
        <f>IF(D948=1,Fandual!F948,0)</f>
        <v>0</v>
      </c>
      <c r="H948" s="2">
        <f>IF(D948=1,Fandual!H948,0)</f>
        <v>0</v>
      </c>
      <c r="I948" s="2">
        <f>IF((Optimizer!$J$8=Fandual!J948),4,0)</f>
        <v>0</v>
      </c>
      <c r="J948" s="2">
        <f>IF((Optimizer!$J$10=Fandual!J948),100,0)</f>
        <v>0</v>
      </c>
      <c r="K948" s="2">
        <f t="shared" si="29"/>
        <v>0</v>
      </c>
      <c r="L948" s="2">
        <f>IF(Fandual!M948="",1,0)</f>
        <v>1</v>
      </c>
    </row>
    <row r="949" spans="1:12" x14ac:dyDescent="0.25">
      <c r="A949" s="2">
        <f>IF((OR(Optimizer!$J$8=Fandual!J949,Optimizer!$J$10=Fandual!J949))=TRUE, 1,0)</f>
        <v>0</v>
      </c>
      <c r="B949" s="2">
        <f>IF((OR(Fandual!O949="",Fandual!O949&lt;&gt;0)=TRUE),1,0)</f>
        <v>1</v>
      </c>
      <c r="C949" s="2">
        <f>IF(Fandual!B949&lt;&gt;"P",1,0)</f>
        <v>1</v>
      </c>
      <c r="D949" s="2">
        <f t="shared" si="28"/>
        <v>0</v>
      </c>
      <c r="E949" s="2">
        <f>IF(D949=1,Fandual!B949,0)</f>
        <v>0</v>
      </c>
      <c r="F949" s="2">
        <f>IF(D949=1,Fandual!D949,0)</f>
        <v>0</v>
      </c>
      <c r="G949" s="2">
        <f>IF(D949=1,Fandual!F949,0)</f>
        <v>0</v>
      </c>
      <c r="H949" s="2">
        <f>IF(D949=1,Fandual!H949,0)</f>
        <v>0</v>
      </c>
      <c r="I949" s="2">
        <f>IF((Optimizer!$J$8=Fandual!J949),4,0)</f>
        <v>0</v>
      </c>
      <c r="J949" s="2">
        <f>IF((Optimizer!$J$10=Fandual!J949),100,0)</f>
        <v>0</v>
      </c>
      <c r="K949" s="2">
        <f t="shared" si="29"/>
        <v>0</v>
      </c>
      <c r="L949" s="2">
        <f>IF(Fandual!M949="",1,0)</f>
        <v>0</v>
      </c>
    </row>
    <row r="950" spans="1:12" x14ac:dyDescent="0.25">
      <c r="A950" s="2">
        <f>IF((OR(Optimizer!$J$8=Fandual!J950,Optimizer!$J$10=Fandual!J950))=TRUE, 1,0)</f>
        <v>0</v>
      </c>
      <c r="B950" s="2">
        <f>IF((OR(Fandual!O950="",Fandual!O950&lt;&gt;0)=TRUE),1,0)</f>
        <v>1</v>
      </c>
      <c r="C950" s="2">
        <f>IF(Fandual!B950&lt;&gt;"P",1,0)</f>
        <v>1</v>
      </c>
      <c r="D950" s="2">
        <f t="shared" si="28"/>
        <v>0</v>
      </c>
      <c r="E950" s="2">
        <f>IF(D950=1,Fandual!B950,0)</f>
        <v>0</v>
      </c>
      <c r="F950" s="2">
        <f>IF(D950=1,Fandual!D950,0)</f>
        <v>0</v>
      </c>
      <c r="G950" s="2">
        <f>IF(D950=1,Fandual!F950,0)</f>
        <v>0</v>
      </c>
      <c r="H950" s="2">
        <f>IF(D950=1,Fandual!H950,0)</f>
        <v>0</v>
      </c>
      <c r="I950" s="2">
        <f>IF((Optimizer!$J$8=Fandual!J950),4,0)</f>
        <v>0</v>
      </c>
      <c r="J950" s="2">
        <f>IF((Optimizer!$J$10=Fandual!J950),100,0)</f>
        <v>0</v>
      </c>
      <c r="K950" s="2">
        <f t="shared" si="29"/>
        <v>0</v>
      </c>
      <c r="L950" s="2">
        <f>IF(Fandual!M950="",1,0)</f>
        <v>0</v>
      </c>
    </row>
    <row r="951" spans="1:12" x14ac:dyDescent="0.25">
      <c r="A951" s="2">
        <f>IF((OR(Optimizer!$J$8=Fandual!J951,Optimizer!$J$10=Fandual!J951))=TRUE, 1,0)</f>
        <v>0</v>
      </c>
      <c r="B951" s="2">
        <f>IF((OR(Fandual!O951="",Fandual!O951&lt;&gt;0)=TRUE),1,0)</f>
        <v>1</v>
      </c>
      <c r="C951" s="2">
        <f>IF(Fandual!B951&lt;&gt;"P",1,0)</f>
        <v>1</v>
      </c>
      <c r="D951" s="2">
        <f t="shared" si="28"/>
        <v>0</v>
      </c>
      <c r="E951" s="2">
        <f>IF(D951=1,Fandual!B951,0)</f>
        <v>0</v>
      </c>
      <c r="F951" s="2">
        <f>IF(D951=1,Fandual!D951,0)</f>
        <v>0</v>
      </c>
      <c r="G951" s="2">
        <f>IF(D951=1,Fandual!F951,0)</f>
        <v>0</v>
      </c>
      <c r="H951" s="2">
        <f>IF(D951=1,Fandual!H951,0)</f>
        <v>0</v>
      </c>
      <c r="I951" s="2">
        <f>IF((Optimizer!$J$8=Fandual!J951),4,0)</f>
        <v>0</v>
      </c>
      <c r="J951" s="2">
        <f>IF((Optimizer!$J$10=Fandual!J951),100,0)</f>
        <v>0</v>
      </c>
      <c r="K951" s="2">
        <f t="shared" si="29"/>
        <v>0</v>
      </c>
      <c r="L951" s="2">
        <f>IF(Fandual!M951="",1,0)</f>
        <v>0</v>
      </c>
    </row>
    <row r="952" spans="1:12" x14ac:dyDescent="0.25">
      <c r="A952" s="2">
        <f>IF((OR(Optimizer!$J$8=Fandual!J952,Optimizer!$J$10=Fandual!J952))=TRUE, 1,0)</f>
        <v>0</v>
      </c>
      <c r="B952" s="2">
        <f>IF((OR(Fandual!O952="",Fandual!O952&lt;&gt;0)=TRUE),1,0)</f>
        <v>1</v>
      </c>
      <c r="C952" s="2">
        <f>IF(Fandual!B952&lt;&gt;"P",1,0)</f>
        <v>1</v>
      </c>
      <c r="D952" s="2">
        <f t="shared" si="28"/>
        <v>0</v>
      </c>
      <c r="E952" s="2">
        <f>IF(D952=1,Fandual!B952,0)</f>
        <v>0</v>
      </c>
      <c r="F952" s="2">
        <f>IF(D952=1,Fandual!D952,0)</f>
        <v>0</v>
      </c>
      <c r="G952" s="2">
        <f>IF(D952=1,Fandual!F952,0)</f>
        <v>0</v>
      </c>
      <c r="H952" s="2">
        <f>IF(D952=1,Fandual!H952,0)</f>
        <v>0</v>
      </c>
      <c r="I952" s="2">
        <f>IF((Optimizer!$J$8=Fandual!J952),4,0)</f>
        <v>0</v>
      </c>
      <c r="J952" s="2">
        <f>IF((Optimizer!$J$10=Fandual!J952),100,0)</f>
        <v>0</v>
      </c>
      <c r="K952" s="2">
        <f t="shared" si="29"/>
        <v>0</v>
      </c>
      <c r="L952" s="2">
        <f>IF(Fandual!M952="",1,0)</f>
        <v>1</v>
      </c>
    </row>
    <row r="953" spans="1:12" x14ac:dyDescent="0.25">
      <c r="A953" s="2">
        <f>IF((OR(Optimizer!$J$8=Fandual!J953,Optimizer!$J$10=Fandual!J953))=TRUE, 1,0)</f>
        <v>0</v>
      </c>
      <c r="B953" s="2">
        <f>IF((OR(Fandual!O953="",Fandual!O953&lt;&gt;0)=TRUE),1,0)</f>
        <v>1</v>
      </c>
      <c r="C953" s="2">
        <f>IF(Fandual!B953&lt;&gt;"P",1,0)</f>
        <v>1</v>
      </c>
      <c r="D953" s="2">
        <f t="shared" si="28"/>
        <v>0</v>
      </c>
      <c r="E953" s="2">
        <f>IF(D953=1,Fandual!B953,0)</f>
        <v>0</v>
      </c>
      <c r="F953" s="2">
        <f>IF(D953=1,Fandual!D953,0)</f>
        <v>0</v>
      </c>
      <c r="G953" s="2">
        <f>IF(D953=1,Fandual!F953,0)</f>
        <v>0</v>
      </c>
      <c r="H953" s="2">
        <f>IF(D953=1,Fandual!H953,0)</f>
        <v>0</v>
      </c>
      <c r="I953" s="2">
        <f>IF((Optimizer!$J$8=Fandual!J953),4,0)</f>
        <v>0</v>
      </c>
      <c r="J953" s="2">
        <f>IF((Optimizer!$J$10=Fandual!J953),100,0)</f>
        <v>0</v>
      </c>
      <c r="K953" s="2">
        <f t="shared" si="29"/>
        <v>0</v>
      </c>
      <c r="L953" s="2">
        <f>IF(Fandual!M953="",1,0)</f>
        <v>0</v>
      </c>
    </row>
    <row r="954" spans="1:12" x14ac:dyDescent="0.25">
      <c r="A954" s="2">
        <f>IF((OR(Optimizer!$J$8=Fandual!J954,Optimizer!$J$10=Fandual!J954))=TRUE, 1,0)</f>
        <v>0</v>
      </c>
      <c r="B954" s="2">
        <f>IF((OR(Fandual!O954="",Fandual!O954&lt;&gt;0)=TRUE),1,0)</f>
        <v>1</v>
      </c>
      <c r="C954" s="2">
        <f>IF(Fandual!B954&lt;&gt;"P",1,0)</f>
        <v>1</v>
      </c>
      <c r="D954" s="2">
        <f t="shared" si="28"/>
        <v>0</v>
      </c>
      <c r="E954" s="2">
        <f>IF(D954=1,Fandual!B954,0)</f>
        <v>0</v>
      </c>
      <c r="F954" s="2">
        <f>IF(D954=1,Fandual!D954,0)</f>
        <v>0</v>
      </c>
      <c r="G954" s="2">
        <f>IF(D954=1,Fandual!F954,0)</f>
        <v>0</v>
      </c>
      <c r="H954" s="2">
        <f>IF(D954=1,Fandual!H954,0)</f>
        <v>0</v>
      </c>
      <c r="I954" s="2">
        <f>IF((Optimizer!$J$8=Fandual!J954),4,0)</f>
        <v>0</v>
      </c>
      <c r="J954" s="2">
        <f>IF((Optimizer!$J$10=Fandual!J954),100,0)</f>
        <v>0</v>
      </c>
      <c r="K954" s="2">
        <f t="shared" si="29"/>
        <v>0</v>
      </c>
      <c r="L954" s="2">
        <f>IF(Fandual!M954="",1,0)</f>
        <v>1</v>
      </c>
    </row>
    <row r="955" spans="1:12" x14ac:dyDescent="0.25">
      <c r="A955" s="2">
        <f>IF((OR(Optimizer!$J$8=Fandual!J955,Optimizer!$J$10=Fandual!J955))=TRUE, 1,0)</f>
        <v>0</v>
      </c>
      <c r="B955" s="2">
        <f>IF((OR(Fandual!O955="",Fandual!O955&lt;&gt;0)=TRUE),1,0)</f>
        <v>1</v>
      </c>
      <c r="C955" s="2">
        <f>IF(Fandual!B955&lt;&gt;"P",1,0)</f>
        <v>1</v>
      </c>
      <c r="D955" s="2">
        <f t="shared" si="28"/>
        <v>0</v>
      </c>
      <c r="E955" s="2">
        <f>IF(D955=1,Fandual!B955,0)</f>
        <v>0</v>
      </c>
      <c r="F955" s="2">
        <f>IF(D955=1,Fandual!D955,0)</f>
        <v>0</v>
      </c>
      <c r="G955" s="2">
        <f>IF(D955=1,Fandual!F955,0)</f>
        <v>0</v>
      </c>
      <c r="H955" s="2">
        <f>IF(D955=1,Fandual!H955,0)</f>
        <v>0</v>
      </c>
      <c r="I955" s="2">
        <f>IF((Optimizer!$J$8=Fandual!J955),4,0)</f>
        <v>0</v>
      </c>
      <c r="J955" s="2">
        <f>IF((Optimizer!$J$10=Fandual!J955),100,0)</f>
        <v>0</v>
      </c>
      <c r="K955" s="2">
        <f t="shared" si="29"/>
        <v>0</v>
      </c>
      <c r="L955" s="2">
        <f>IF(Fandual!M955="",1,0)</f>
        <v>1</v>
      </c>
    </row>
    <row r="956" spans="1:12" x14ac:dyDescent="0.25">
      <c r="A956" s="2">
        <f>IF((OR(Optimizer!$J$8=Fandual!J956,Optimizer!$J$10=Fandual!J956))=TRUE, 1,0)</f>
        <v>0</v>
      </c>
      <c r="B956" s="2">
        <f>IF((OR(Fandual!O956="",Fandual!O956&lt;&gt;0)=TRUE),1,0)</f>
        <v>1</v>
      </c>
      <c r="C956" s="2">
        <f>IF(Fandual!B956&lt;&gt;"P",1,0)</f>
        <v>1</v>
      </c>
      <c r="D956" s="2">
        <f t="shared" si="28"/>
        <v>0</v>
      </c>
      <c r="E956" s="2">
        <f>IF(D956=1,Fandual!B956,0)</f>
        <v>0</v>
      </c>
      <c r="F956" s="2">
        <f>IF(D956=1,Fandual!D956,0)</f>
        <v>0</v>
      </c>
      <c r="G956" s="2">
        <f>IF(D956=1,Fandual!F956,0)</f>
        <v>0</v>
      </c>
      <c r="H956" s="2">
        <f>IF(D956=1,Fandual!H956,0)</f>
        <v>0</v>
      </c>
      <c r="I956" s="2">
        <f>IF((Optimizer!$J$8=Fandual!J956),4,0)</f>
        <v>0</v>
      </c>
      <c r="J956" s="2">
        <f>IF((Optimizer!$J$10=Fandual!J956),100,0)</f>
        <v>0</v>
      </c>
      <c r="K956" s="2">
        <f t="shared" si="29"/>
        <v>0</v>
      </c>
      <c r="L956" s="2">
        <f>IF(Fandual!M956="",1,0)</f>
        <v>1</v>
      </c>
    </row>
    <row r="957" spans="1:12" x14ac:dyDescent="0.25">
      <c r="A957" s="2">
        <f>IF((OR(Optimizer!$J$8=Fandual!J957,Optimizer!$J$10=Fandual!J957))=TRUE, 1,0)</f>
        <v>0</v>
      </c>
      <c r="B957" s="2">
        <f>IF((OR(Fandual!O957="",Fandual!O957&lt;&gt;0)=TRUE),1,0)</f>
        <v>1</v>
      </c>
      <c r="C957" s="2">
        <f>IF(Fandual!B957&lt;&gt;"P",1,0)</f>
        <v>1</v>
      </c>
      <c r="D957" s="2">
        <f t="shared" si="28"/>
        <v>0</v>
      </c>
      <c r="E957" s="2">
        <f>IF(D957=1,Fandual!B957,0)</f>
        <v>0</v>
      </c>
      <c r="F957" s="2">
        <f>IF(D957=1,Fandual!D957,0)</f>
        <v>0</v>
      </c>
      <c r="G957" s="2">
        <f>IF(D957=1,Fandual!F957,0)</f>
        <v>0</v>
      </c>
      <c r="H957" s="2">
        <f>IF(D957=1,Fandual!H957,0)</f>
        <v>0</v>
      </c>
      <c r="I957" s="2">
        <f>IF((Optimizer!$J$8=Fandual!J957),4,0)</f>
        <v>0</v>
      </c>
      <c r="J957" s="2">
        <f>IF((Optimizer!$J$10=Fandual!J957),100,0)</f>
        <v>0</v>
      </c>
      <c r="K957" s="2">
        <f t="shared" si="29"/>
        <v>0</v>
      </c>
      <c r="L957" s="2">
        <f>IF(Fandual!M957="",1,0)</f>
        <v>1</v>
      </c>
    </row>
    <row r="958" spans="1:12" x14ac:dyDescent="0.25">
      <c r="A958" s="2">
        <f>IF((OR(Optimizer!$J$8=Fandual!J958,Optimizer!$J$10=Fandual!J958))=TRUE, 1,0)</f>
        <v>0</v>
      </c>
      <c r="B958" s="2">
        <f>IF((OR(Fandual!O958="",Fandual!O958&lt;&gt;0)=TRUE),1,0)</f>
        <v>1</v>
      </c>
      <c r="C958" s="2">
        <f>IF(Fandual!B958&lt;&gt;"P",1,0)</f>
        <v>1</v>
      </c>
      <c r="D958" s="2">
        <f t="shared" si="28"/>
        <v>0</v>
      </c>
      <c r="E958" s="2">
        <f>IF(D958=1,Fandual!B958,0)</f>
        <v>0</v>
      </c>
      <c r="F958" s="2">
        <f>IF(D958=1,Fandual!D958,0)</f>
        <v>0</v>
      </c>
      <c r="G958" s="2">
        <f>IF(D958=1,Fandual!F958,0)</f>
        <v>0</v>
      </c>
      <c r="H958" s="2">
        <f>IF(D958=1,Fandual!H958,0)</f>
        <v>0</v>
      </c>
      <c r="I958" s="2">
        <f>IF((Optimizer!$J$8=Fandual!J958),4,0)</f>
        <v>0</v>
      </c>
      <c r="J958" s="2">
        <f>IF((Optimizer!$J$10=Fandual!J958),100,0)</f>
        <v>0</v>
      </c>
      <c r="K958" s="2">
        <f t="shared" si="29"/>
        <v>0</v>
      </c>
      <c r="L958" s="2">
        <f>IF(Fandual!M958="",1,0)</f>
        <v>1</v>
      </c>
    </row>
    <row r="959" spans="1:12" x14ac:dyDescent="0.25">
      <c r="A959" s="2">
        <f>IF((OR(Optimizer!$J$8=Fandual!J959,Optimizer!$J$10=Fandual!J959))=TRUE, 1,0)</f>
        <v>0</v>
      </c>
      <c r="B959" s="2">
        <f>IF((OR(Fandual!O959="",Fandual!O959&lt;&gt;0)=TRUE),1,0)</f>
        <v>1</v>
      </c>
      <c r="C959" s="2">
        <f>IF(Fandual!B959&lt;&gt;"P",1,0)</f>
        <v>1</v>
      </c>
      <c r="D959" s="2">
        <f t="shared" si="28"/>
        <v>0</v>
      </c>
      <c r="E959" s="2">
        <f>IF(D959=1,Fandual!B959,0)</f>
        <v>0</v>
      </c>
      <c r="F959" s="2">
        <f>IF(D959=1,Fandual!D959,0)</f>
        <v>0</v>
      </c>
      <c r="G959" s="2">
        <f>IF(D959=1,Fandual!F959,0)</f>
        <v>0</v>
      </c>
      <c r="H959" s="2">
        <f>IF(D959=1,Fandual!H959,0)</f>
        <v>0</v>
      </c>
      <c r="I959" s="2">
        <f>IF((Optimizer!$J$8=Fandual!J959),4,0)</f>
        <v>0</v>
      </c>
      <c r="J959" s="2">
        <f>IF((Optimizer!$J$10=Fandual!J959),100,0)</f>
        <v>0</v>
      </c>
      <c r="K959" s="2">
        <f t="shared" si="29"/>
        <v>0</v>
      </c>
      <c r="L959" s="2">
        <f>IF(Fandual!M959="",1,0)</f>
        <v>1</v>
      </c>
    </row>
    <row r="960" spans="1:12" x14ac:dyDescent="0.25">
      <c r="A960" s="2">
        <f>IF((OR(Optimizer!$J$8=Fandual!J960,Optimizer!$J$10=Fandual!J960))=TRUE, 1,0)</f>
        <v>0</v>
      </c>
      <c r="B960" s="2">
        <f>IF((OR(Fandual!O960="",Fandual!O960&lt;&gt;0)=TRUE),1,0)</f>
        <v>1</v>
      </c>
      <c r="C960" s="2">
        <f>IF(Fandual!B960&lt;&gt;"P",1,0)</f>
        <v>1</v>
      </c>
      <c r="D960" s="2">
        <f t="shared" si="28"/>
        <v>0</v>
      </c>
      <c r="E960" s="2">
        <f>IF(D960=1,Fandual!B960,0)</f>
        <v>0</v>
      </c>
      <c r="F960" s="2">
        <f>IF(D960=1,Fandual!D960,0)</f>
        <v>0</v>
      </c>
      <c r="G960" s="2">
        <f>IF(D960=1,Fandual!F960,0)</f>
        <v>0</v>
      </c>
      <c r="H960" s="2">
        <f>IF(D960=1,Fandual!H960,0)</f>
        <v>0</v>
      </c>
      <c r="I960" s="2">
        <f>IF((Optimizer!$J$8=Fandual!J960),4,0)</f>
        <v>0</v>
      </c>
      <c r="J960" s="2">
        <f>IF((Optimizer!$J$10=Fandual!J960),100,0)</f>
        <v>0</v>
      </c>
      <c r="K960" s="2">
        <f t="shared" si="29"/>
        <v>0</v>
      </c>
      <c r="L960" s="2">
        <f>IF(Fandual!M960="",1,0)</f>
        <v>0</v>
      </c>
    </row>
    <row r="961" spans="1:12" x14ac:dyDescent="0.25">
      <c r="A961" s="2">
        <f>IF((OR(Optimizer!$J$8=Fandual!J961,Optimizer!$J$10=Fandual!J961))=TRUE, 1,0)</f>
        <v>0</v>
      </c>
      <c r="B961" s="2">
        <f>IF((OR(Fandual!O961="",Fandual!O961&lt;&gt;0)=TRUE),1,0)</f>
        <v>1</v>
      </c>
      <c r="C961" s="2">
        <f>IF(Fandual!B961&lt;&gt;"P",1,0)</f>
        <v>1</v>
      </c>
      <c r="D961" s="2">
        <f t="shared" si="28"/>
        <v>0</v>
      </c>
      <c r="E961" s="2">
        <f>IF(D961=1,Fandual!B961,0)</f>
        <v>0</v>
      </c>
      <c r="F961" s="2">
        <f>IF(D961=1,Fandual!D961,0)</f>
        <v>0</v>
      </c>
      <c r="G961" s="2">
        <f>IF(D961=1,Fandual!F961,0)</f>
        <v>0</v>
      </c>
      <c r="H961" s="2">
        <f>IF(D961=1,Fandual!H961,0)</f>
        <v>0</v>
      </c>
      <c r="I961" s="2">
        <f>IF((Optimizer!$J$8=Fandual!J961),4,0)</f>
        <v>0</v>
      </c>
      <c r="J961" s="2">
        <f>IF((Optimizer!$J$10=Fandual!J961),100,0)</f>
        <v>0</v>
      </c>
      <c r="K961" s="2">
        <f t="shared" si="29"/>
        <v>0</v>
      </c>
      <c r="L961" s="2">
        <f>IF(Fandual!M961="",1,0)</f>
        <v>1</v>
      </c>
    </row>
    <row r="962" spans="1:12" x14ac:dyDescent="0.25">
      <c r="A962" s="2">
        <f>IF((OR(Optimizer!$J$8=Fandual!J962,Optimizer!$J$10=Fandual!J962))=TRUE, 1,0)</f>
        <v>0</v>
      </c>
      <c r="B962" s="2">
        <f>IF((OR(Fandual!O962="",Fandual!O962&lt;&gt;0)=TRUE),1,0)</f>
        <v>1</v>
      </c>
      <c r="C962" s="2">
        <f>IF(Fandual!B962&lt;&gt;"P",1,0)</f>
        <v>1</v>
      </c>
      <c r="D962" s="2">
        <f t="shared" ref="D962:D1025" si="30">A962*B962*C962*L962</f>
        <v>0</v>
      </c>
      <c r="E962" s="2">
        <f>IF(D962=1,Fandual!B962,0)</f>
        <v>0</v>
      </c>
      <c r="F962" s="2">
        <f>IF(D962=1,Fandual!D962,0)</f>
        <v>0</v>
      </c>
      <c r="G962" s="2">
        <f>IF(D962=1,Fandual!F962,0)</f>
        <v>0</v>
      </c>
      <c r="H962" s="2">
        <f>IF(D962=1,Fandual!H962,0)</f>
        <v>0</v>
      </c>
      <c r="I962" s="2">
        <f>IF((Optimizer!$J$8=Fandual!J962),4,0)</f>
        <v>0</v>
      </c>
      <c r="J962" s="2">
        <f>IF((Optimizer!$J$10=Fandual!J962),100,0)</f>
        <v>0</v>
      </c>
      <c r="K962" s="2">
        <f t="shared" si="29"/>
        <v>0</v>
      </c>
      <c r="L962" s="2">
        <f>IF(Fandual!M962="",1,0)</f>
        <v>1</v>
      </c>
    </row>
    <row r="963" spans="1:12" x14ac:dyDescent="0.25">
      <c r="A963" s="2">
        <f>IF((OR(Optimizer!$J$8=Fandual!J963,Optimizer!$J$10=Fandual!J963))=TRUE, 1,0)</f>
        <v>0</v>
      </c>
      <c r="B963" s="2">
        <f>IF((OR(Fandual!O963="",Fandual!O963&lt;&gt;0)=TRUE),1,0)</f>
        <v>1</v>
      </c>
      <c r="C963" s="2">
        <f>IF(Fandual!B963&lt;&gt;"P",1,0)</f>
        <v>1</v>
      </c>
      <c r="D963" s="2">
        <f t="shared" si="30"/>
        <v>0</v>
      </c>
      <c r="E963" s="2">
        <f>IF(D963=1,Fandual!B963,0)</f>
        <v>0</v>
      </c>
      <c r="F963" s="2">
        <f>IF(D963=1,Fandual!D963,0)</f>
        <v>0</v>
      </c>
      <c r="G963" s="2">
        <f>IF(D963=1,Fandual!F963,0)</f>
        <v>0</v>
      </c>
      <c r="H963" s="2">
        <f>IF(D963=1,Fandual!H963,0)</f>
        <v>0</v>
      </c>
      <c r="I963" s="2">
        <f>IF((Optimizer!$J$8=Fandual!J963),4,0)</f>
        <v>0</v>
      </c>
      <c r="J963" s="2">
        <f>IF((Optimizer!$J$10=Fandual!J963),100,0)</f>
        <v>0</v>
      </c>
      <c r="K963" s="2">
        <f t="shared" ref="K963:K1026" si="31">(I963+J963)*D963</f>
        <v>0</v>
      </c>
      <c r="L963" s="2">
        <f>IF(Fandual!M963="",1,0)</f>
        <v>1</v>
      </c>
    </row>
    <row r="964" spans="1:12" x14ac:dyDescent="0.25">
      <c r="A964" s="2">
        <f>IF((OR(Optimizer!$J$8=Fandual!J964,Optimizer!$J$10=Fandual!J964))=TRUE, 1,0)</f>
        <v>0</v>
      </c>
      <c r="B964" s="2">
        <f>IF((OR(Fandual!O964="",Fandual!O964&lt;&gt;0)=TRUE),1,0)</f>
        <v>1</v>
      </c>
      <c r="C964" s="2">
        <f>IF(Fandual!B964&lt;&gt;"P",1,0)</f>
        <v>1</v>
      </c>
      <c r="D964" s="2">
        <f t="shared" si="30"/>
        <v>0</v>
      </c>
      <c r="E964" s="2">
        <f>IF(D964=1,Fandual!B964,0)</f>
        <v>0</v>
      </c>
      <c r="F964" s="2">
        <f>IF(D964=1,Fandual!D964,0)</f>
        <v>0</v>
      </c>
      <c r="G964" s="2">
        <f>IF(D964=1,Fandual!F964,0)</f>
        <v>0</v>
      </c>
      <c r="H964" s="2">
        <f>IF(D964=1,Fandual!H964,0)</f>
        <v>0</v>
      </c>
      <c r="I964" s="2">
        <f>IF((Optimizer!$J$8=Fandual!J964),4,0)</f>
        <v>0</v>
      </c>
      <c r="J964" s="2">
        <f>IF((Optimizer!$J$10=Fandual!J964),100,0)</f>
        <v>0</v>
      </c>
      <c r="K964" s="2">
        <f t="shared" si="31"/>
        <v>0</v>
      </c>
      <c r="L964" s="2">
        <f>IF(Fandual!M964="",1,0)</f>
        <v>1</v>
      </c>
    </row>
    <row r="965" spans="1:12" x14ac:dyDescent="0.25">
      <c r="A965" s="2">
        <f>IF((OR(Optimizer!$J$8=Fandual!J965,Optimizer!$J$10=Fandual!J965))=TRUE, 1,0)</f>
        <v>0</v>
      </c>
      <c r="B965" s="2">
        <f>IF((OR(Fandual!O965="",Fandual!O965&lt;&gt;0)=TRUE),1,0)</f>
        <v>1</v>
      </c>
      <c r="C965" s="2">
        <f>IF(Fandual!B965&lt;&gt;"P",1,0)</f>
        <v>1</v>
      </c>
      <c r="D965" s="2">
        <f t="shared" si="30"/>
        <v>0</v>
      </c>
      <c r="E965" s="2">
        <f>IF(D965=1,Fandual!B965,0)</f>
        <v>0</v>
      </c>
      <c r="F965" s="2">
        <f>IF(D965=1,Fandual!D965,0)</f>
        <v>0</v>
      </c>
      <c r="G965" s="2">
        <f>IF(D965=1,Fandual!F965,0)</f>
        <v>0</v>
      </c>
      <c r="H965" s="2">
        <f>IF(D965=1,Fandual!H965,0)</f>
        <v>0</v>
      </c>
      <c r="I965" s="2">
        <f>IF((Optimizer!$J$8=Fandual!J965),4,0)</f>
        <v>0</v>
      </c>
      <c r="J965" s="2">
        <f>IF((Optimizer!$J$10=Fandual!J965),100,0)</f>
        <v>0</v>
      </c>
      <c r="K965" s="2">
        <f t="shared" si="31"/>
        <v>0</v>
      </c>
      <c r="L965" s="2">
        <f>IF(Fandual!M965="",1,0)</f>
        <v>1</v>
      </c>
    </row>
    <row r="966" spans="1:12" x14ac:dyDescent="0.25">
      <c r="A966" s="2">
        <f>IF((OR(Optimizer!$J$8=Fandual!J966,Optimizer!$J$10=Fandual!J966))=TRUE, 1,0)</f>
        <v>0</v>
      </c>
      <c r="B966" s="2">
        <f>IF((OR(Fandual!O966="",Fandual!O966&lt;&gt;0)=TRUE),1,0)</f>
        <v>1</v>
      </c>
      <c r="C966" s="2">
        <f>IF(Fandual!B966&lt;&gt;"P",1,0)</f>
        <v>1</v>
      </c>
      <c r="D966" s="2">
        <f t="shared" si="30"/>
        <v>0</v>
      </c>
      <c r="E966" s="2">
        <f>IF(D966=1,Fandual!B966,0)</f>
        <v>0</v>
      </c>
      <c r="F966" s="2">
        <f>IF(D966=1,Fandual!D966,0)</f>
        <v>0</v>
      </c>
      <c r="G966" s="2">
        <f>IF(D966=1,Fandual!F966,0)</f>
        <v>0</v>
      </c>
      <c r="H966" s="2">
        <f>IF(D966=1,Fandual!H966,0)</f>
        <v>0</v>
      </c>
      <c r="I966" s="2">
        <f>IF((Optimizer!$J$8=Fandual!J966),4,0)</f>
        <v>0</v>
      </c>
      <c r="J966" s="2">
        <f>IF((Optimizer!$J$10=Fandual!J966),100,0)</f>
        <v>0</v>
      </c>
      <c r="K966" s="2">
        <f t="shared" si="31"/>
        <v>0</v>
      </c>
      <c r="L966" s="2">
        <f>IF(Fandual!M966="",1,0)</f>
        <v>0</v>
      </c>
    </row>
    <row r="967" spans="1:12" x14ac:dyDescent="0.25">
      <c r="A967" s="2">
        <f>IF((OR(Optimizer!$J$8=Fandual!J967,Optimizer!$J$10=Fandual!J967))=TRUE, 1,0)</f>
        <v>0</v>
      </c>
      <c r="B967" s="2">
        <f>IF((OR(Fandual!O967="",Fandual!O967&lt;&gt;0)=TRUE),1,0)</f>
        <v>1</v>
      </c>
      <c r="C967" s="2">
        <f>IF(Fandual!B967&lt;&gt;"P",1,0)</f>
        <v>1</v>
      </c>
      <c r="D967" s="2">
        <f t="shared" si="30"/>
        <v>0</v>
      </c>
      <c r="E967" s="2">
        <f>IF(D967=1,Fandual!B967,0)</f>
        <v>0</v>
      </c>
      <c r="F967" s="2">
        <f>IF(D967=1,Fandual!D967,0)</f>
        <v>0</v>
      </c>
      <c r="G967" s="2">
        <f>IF(D967=1,Fandual!F967,0)</f>
        <v>0</v>
      </c>
      <c r="H967" s="2">
        <f>IF(D967=1,Fandual!H967,0)</f>
        <v>0</v>
      </c>
      <c r="I967" s="2">
        <f>IF((Optimizer!$J$8=Fandual!J967),4,0)</f>
        <v>0</v>
      </c>
      <c r="J967" s="2">
        <f>IF((Optimizer!$J$10=Fandual!J967),100,0)</f>
        <v>0</v>
      </c>
      <c r="K967" s="2">
        <f t="shared" si="31"/>
        <v>0</v>
      </c>
      <c r="L967" s="2">
        <f>IF(Fandual!M967="",1,0)</f>
        <v>1</v>
      </c>
    </row>
    <row r="968" spans="1:12" x14ac:dyDescent="0.25">
      <c r="A968" s="2">
        <f>IF((OR(Optimizer!$J$8=Fandual!J968,Optimizer!$J$10=Fandual!J968))=TRUE, 1,0)</f>
        <v>0</v>
      </c>
      <c r="B968" s="2">
        <f>IF((OR(Fandual!O968="",Fandual!O968&lt;&gt;0)=TRUE),1,0)</f>
        <v>1</v>
      </c>
      <c r="C968" s="2">
        <f>IF(Fandual!B968&lt;&gt;"P",1,0)</f>
        <v>1</v>
      </c>
      <c r="D968" s="2">
        <f t="shared" si="30"/>
        <v>0</v>
      </c>
      <c r="E968" s="2">
        <f>IF(D968=1,Fandual!B968,0)</f>
        <v>0</v>
      </c>
      <c r="F968" s="2">
        <f>IF(D968=1,Fandual!D968,0)</f>
        <v>0</v>
      </c>
      <c r="G968" s="2">
        <f>IF(D968=1,Fandual!F968,0)</f>
        <v>0</v>
      </c>
      <c r="H968" s="2">
        <f>IF(D968=1,Fandual!H968,0)</f>
        <v>0</v>
      </c>
      <c r="I968" s="2">
        <f>IF((Optimizer!$J$8=Fandual!J968),4,0)</f>
        <v>0</v>
      </c>
      <c r="J968" s="2">
        <f>IF((Optimizer!$J$10=Fandual!J968),100,0)</f>
        <v>0</v>
      </c>
      <c r="K968" s="2">
        <f t="shared" si="31"/>
        <v>0</v>
      </c>
      <c r="L968" s="2">
        <f>IF(Fandual!M968="",1,0)</f>
        <v>0</v>
      </c>
    </row>
    <row r="969" spans="1:12" x14ac:dyDescent="0.25">
      <c r="A969" s="2">
        <f>IF((OR(Optimizer!$J$8=Fandual!J969,Optimizer!$J$10=Fandual!J969))=TRUE, 1,0)</f>
        <v>0</v>
      </c>
      <c r="B969" s="2">
        <f>IF((OR(Fandual!O969="",Fandual!O969&lt;&gt;0)=TRUE),1,0)</f>
        <v>1</v>
      </c>
      <c r="C969" s="2">
        <f>IF(Fandual!B969&lt;&gt;"P",1,0)</f>
        <v>1</v>
      </c>
      <c r="D969" s="2">
        <f t="shared" si="30"/>
        <v>0</v>
      </c>
      <c r="E969" s="2">
        <f>IF(D969=1,Fandual!B969,0)</f>
        <v>0</v>
      </c>
      <c r="F969" s="2">
        <f>IF(D969=1,Fandual!D969,0)</f>
        <v>0</v>
      </c>
      <c r="G969" s="2">
        <f>IF(D969=1,Fandual!F969,0)</f>
        <v>0</v>
      </c>
      <c r="H969" s="2">
        <f>IF(D969=1,Fandual!H969,0)</f>
        <v>0</v>
      </c>
      <c r="I969" s="2">
        <f>IF((Optimizer!$J$8=Fandual!J969),4,0)</f>
        <v>0</v>
      </c>
      <c r="J969" s="2">
        <f>IF((Optimizer!$J$10=Fandual!J969),100,0)</f>
        <v>0</v>
      </c>
      <c r="K969" s="2">
        <f t="shared" si="31"/>
        <v>0</v>
      </c>
      <c r="L969" s="2">
        <f>IF(Fandual!M969="",1,0)</f>
        <v>1</v>
      </c>
    </row>
    <row r="970" spans="1:12" x14ac:dyDescent="0.25">
      <c r="A970" s="2">
        <f>IF((OR(Optimizer!$J$8=Fandual!J970,Optimizer!$J$10=Fandual!J970))=TRUE, 1,0)</f>
        <v>0</v>
      </c>
      <c r="B970" s="2">
        <f>IF((OR(Fandual!O970="",Fandual!O970&lt;&gt;0)=TRUE),1,0)</f>
        <v>1</v>
      </c>
      <c r="C970" s="2">
        <f>IF(Fandual!B970&lt;&gt;"P",1,0)</f>
        <v>1</v>
      </c>
      <c r="D970" s="2">
        <f t="shared" si="30"/>
        <v>0</v>
      </c>
      <c r="E970" s="2">
        <f>IF(D970=1,Fandual!B970,0)</f>
        <v>0</v>
      </c>
      <c r="F970" s="2">
        <f>IF(D970=1,Fandual!D970,0)</f>
        <v>0</v>
      </c>
      <c r="G970" s="2">
        <f>IF(D970=1,Fandual!F970,0)</f>
        <v>0</v>
      </c>
      <c r="H970" s="2">
        <f>IF(D970=1,Fandual!H970,0)</f>
        <v>0</v>
      </c>
      <c r="I970" s="2">
        <f>IF((Optimizer!$J$8=Fandual!J970),4,0)</f>
        <v>0</v>
      </c>
      <c r="J970" s="2">
        <f>IF((Optimizer!$J$10=Fandual!J970),100,0)</f>
        <v>0</v>
      </c>
      <c r="K970" s="2">
        <f t="shared" si="31"/>
        <v>0</v>
      </c>
      <c r="L970" s="2">
        <f>IF(Fandual!M970="",1,0)</f>
        <v>1</v>
      </c>
    </row>
    <row r="971" spans="1:12" x14ac:dyDescent="0.25">
      <c r="A971" s="2">
        <f>IF((OR(Optimizer!$J$8=Fandual!J971,Optimizer!$J$10=Fandual!J971))=TRUE, 1,0)</f>
        <v>0</v>
      </c>
      <c r="B971" s="2">
        <f>IF((OR(Fandual!O971="",Fandual!O971&lt;&gt;0)=TRUE),1,0)</f>
        <v>1</v>
      </c>
      <c r="C971" s="2">
        <f>IF(Fandual!B971&lt;&gt;"P",1,0)</f>
        <v>1</v>
      </c>
      <c r="D971" s="2">
        <f t="shared" si="30"/>
        <v>0</v>
      </c>
      <c r="E971" s="2">
        <f>IF(D971=1,Fandual!B971,0)</f>
        <v>0</v>
      </c>
      <c r="F971" s="2">
        <f>IF(D971=1,Fandual!D971,0)</f>
        <v>0</v>
      </c>
      <c r="G971" s="2">
        <f>IF(D971=1,Fandual!F971,0)</f>
        <v>0</v>
      </c>
      <c r="H971" s="2">
        <f>IF(D971=1,Fandual!H971,0)</f>
        <v>0</v>
      </c>
      <c r="I971" s="2">
        <f>IF((Optimizer!$J$8=Fandual!J971),4,0)</f>
        <v>0</v>
      </c>
      <c r="J971" s="2">
        <f>IF((Optimizer!$J$10=Fandual!J971),100,0)</f>
        <v>0</v>
      </c>
      <c r="K971" s="2">
        <f t="shared" si="31"/>
        <v>0</v>
      </c>
      <c r="L971" s="2">
        <f>IF(Fandual!M971="",1,0)</f>
        <v>1</v>
      </c>
    </row>
    <row r="972" spans="1:12" x14ac:dyDescent="0.25">
      <c r="A972" s="2">
        <f>IF((OR(Optimizer!$J$8=Fandual!J972,Optimizer!$J$10=Fandual!J972))=TRUE, 1,0)</f>
        <v>0</v>
      </c>
      <c r="B972" s="2">
        <f>IF((OR(Fandual!O972="",Fandual!O972&lt;&gt;0)=TRUE),1,0)</f>
        <v>1</v>
      </c>
      <c r="C972" s="2">
        <f>IF(Fandual!B972&lt;&gt;"P",1,0)</f>
        <v>1</v>
      </c>
      <c r="D972" s="2">
        <f t="shared" si="30"/>
        <v>0</v>
      </c>
      <c r="E972" s="2">
        <f>IF(D972=1,Fandual!B972,0)</f>
        <v>0</v>
      </c>
      <c r="F972" s="2">
        <f>IF(D972=1,Fandual!D972,0)</f>
        <v>0</v>
      </c>
      <c r="G972" s="2">
        <f>IF(D972=1,Fandual!F972,0)</f>
        <v>0</v>
      </c>
      <c r="H972" s="2">
        <f>IF(D972=1,Fandual!H972,0)</f>
        <v>0</v>
      </c>
      <c r="I972" s="2">
        <f>IF((Optimizer!$J$8=Fandual!J972),4,0)</f>
        <v>0</v>
      </c>
      <c r="J972" s="2">
        <f>IF((Optimizer!$J$10=Fandual!J972),100,0)</f>
        <v>0</v>
      </c>
      <c r="K972" s="2">
        <f t="shared" si="31"/>
        <v>0</v>
      </c>
      <c r="L972" s="2">
        <f>IF(Fandual!M972="",1,0)</f>
        <v>0</v>
      </c>
    </row>
    <row r="973" spans="1:12" x14ac:dyDescent="0.25">
      <c r="A973" s="2">
        <f>IF((OR(Optimizer!$J$8=Fandual!J973,Optimizer!$J$10=Fandual!J973))=TRUE, 1,0)</f>
        <v>0</v>
      </c>
      <c r="B973" s="2">
        <f>IF((OR(Fandual!O973="",Fandual!O973&lt;&gt;0)=TRUE),1,0)</f>
        <v>1</v>
      </c>
      <c r="C973" s="2">
        <f>IF(Fandual!B973&lt;&gt;"P",1,0)</f>
        <v>1</v>
      </c>
      <c r="D973" s="2">
        <f t="shared" si="30"/>
        <v>0</v>
      </c>
      <c r="E973" s="2">
        <f>IF(D973=1,Fandual!B973,0)</f>
        <v>0</v>
      </c>
      <c r="F973" s="2">
        <f>IF(D973=1,Fandual!D973,0)</f>
        <v>0</v>
      </c>
      <c r="G973" s="2">
        <f>IF(D973=1,Fandual!F973,0)</f>
        <v>0</v>
      </c>
      <c r="H973" s="2">
        <f>IF(D973=1,Fandual!H973,0)</f>
        <v>0</v>
      </c>
      <c r="I973" s="2">
        <f>IF((Optimizer!$J$8=Fandual!J973),4,0)</f>
        <v>0</v>
      </c>
      <c r="J973" s="2">
        <f>IF((Optimizer!$J$10=Fandual!J973),100,0)</f>
        <v>0</v>
      </c>
      <c r="K973" s="2">
        <f t="shared" si="31"/>
        <v>0</v>
      </c>
      <c r="L973" s="2">
        <f>IF(Fandual!M973="",1,0)</f>
        <v>1</v>
      </c>
    </row>
    <row r="974" spans="1:12" x14ac:dyDescent="0.25">
      <c r="A974" s="2">
        <f>IF((OR(Optimizer!$J$8=Fandual!J974,Optimizer!$J$10=Fandual!J974))=TRUE, 1,0)</f>
        <v>0</v>
      </c>
      <c r="B974" s="2">
        <f>IF((OR(Fandual!O974="",Fandual!O974&lt;&gt;0)=TRUE),1,0)</f>
        <v>1</v>
      </c>
      <c r="C974" s="2">
        <f>IF(Fandual!B974&lt;&gt;"P",1,0)</f>
        <v>1</v>
      </c>
      <c r="D974" s="2">
        <f t="shared" si="30"/>
        <v>0</v>
      </c>
      <c r="E974" s="2">
        <f>IF(D974=1,Fandual!B974,0)</f>
        <v>0</v>
      </c>
      <c r="F974" s="2">
        <f>IF(D974=1,Fandual!D974,0)</f>
        <v>0</v>
      </c>
      <c r="G974" s="2">
        <f>IF(D974=1,Fandual!F974,0)</f>
        <v>0</v>
      </c>
      <c r="H974" s="2">
        <f>IF(D974=1,Fandual!H974,0)</f>
        <v>0</v>
      </c>
      <c r="I974" s="2">
        <f>IF((Optimizer!$J$8=Fandual!J974),4,0)</f>
        <v>0</v>
      </c>
      <c r="J974" s="2">
        <f>IF((Optimizer!$J$10=Fandual!J974),100,0)</f>
        <v>0</v>
      </c>
      <c r="K974" s="2">
        <f t="shared" si="31"/>
        <v>0</v>
      </c>
      <c r="L974" s="2">
        <f>IF(Fandual!M974="",1,0)</f>
        <v>1</v>
      </c>
    </row>
    <row r="975" spans="1:12" x14ac:dyDescent="0.25">
      <c r="A975" s="2">
        <f>IF((OR(Optimizer!$J$8=Fandual!J975,Optimizer!$J$10=Fandual!J975))=TRUE, 1,0)</f>
        <v>0</v>
      </c>
      <c r="B975" s="2">
        <f>IF((OR(Fandual!O975="",Fandual!O975&lt;&gt;0)=TRUE),1,0)</f>
        <v>1</v>
      </c>
      <c r="C975" s="2">
        <f>IF(Fandual!B975&lt;&gt;"P",1,0)</f>
        <v>1</v>
      </c>
      <c r="D975" s="2">
        <f t="shared" si="30"/>
        <v>0</v>
      </c>
      <c r="E975" s="2">
        <f>IF(D975=1,Fandual!B975,0)</f>
        <v>0</v>
      </c>
      <c r="F975" s="2">
        <f>IF(D975=1,Fandual!D975,0)</f>
        <v>0</v>
      </c>
      <c r="G975" s="2">
        <f>IF(D975=1,Fandual!F975,0)</f>
        <v>0</v>
      </c>
      <c r="H975" s="2">
        <f>IF(D975=1,Fandual!H975,0)</f>
        <v>0</v>
      </c>
      <c r="I975" s="2">
        <f>IF((Optimizer!$J$8=Fandual!J975),4,0)</f>
        <v>0</v>
      </c>
      <c r="J975" s="2">
        <f>IF((Optimizer!$J$10=Fandual!J975),100,0)</f>
        <v>0</v>
      </c>
      <c r="K975" s="2">
        <f t="shared" si="31"/>
        <v>0</v>
      </c>
      <c r="L975" s="2">
        <f>IF(Fandual!M975="",1,0)</f>
        <v>1</v>
      </c>
    </row>
    <row r="976" spans="1:12" x14ac:dyDescent="0.25">
      <c r="A976" s="2">
        <f>IF((OR(Optimizer!$J$8=Fandual!J976,Optimizer!$J$10=Fandual!J976))=TRUE, 1,0)</f>
        <v>0</v>
      </c>
      <c r="B976" s="2">
        <f>IF((OR(Fandual!O976="",Fandual!O976&lt;&gt;0)=TRUE),1,0)</f>
        <v>1</v>
      </c>
      <c r="C976" s="2">
        <f>IF(Fandual!B976&lt;&gt;"P",1,0)</f>
        <v>1</v>
      </c>
      <c r="D976" s="2">
        <f t="shared" si="30"/>
        <v>0</v>
      </c>
      <c r="E976" s="2">
        <f>IF(D976=1,Fandual!B976,0)</f>
        <v>0</v>
      </c>
      <c r="F976" s="2">
        <f>IF(D976=1,Fandual!D976,0)</f>
        <v>0</v>
      </c>
      <c r="G976" s="2">
        <f>IF(D976=1,Fandual!F976,0)</f>
        <v>0</v>
      </c>
      <c r="H976" s="2">
        <f>IF(D976=1,Fandual!H976,0)</f>
        <v>0</v>
      </c>
      <c r="I976" s="2">
        <f>IF((Optimizer!$J$8=Fandual!J976),4,0)</f>
        <v>0</v>
      </c>
      <c r="J976" s="2">
        <f>IF((Optimizer!$J$10=Fandual!J976),100,0)</f>
        <v>0</v>
      </c>
      <c r="K976" s="2">
        <f t="shared" si="31"/>
        <v>0</v>
      </c>
      <c r="L976" s="2">
        <f>IF(Fandual!M976="",1,0)</f>
        <v>1</v>
      </c>
    </row>
    <row r="977" spans="1:12" x14ac:dyDescent="0.25">
      <c r="A977" s="2">
        <f>IF((OR(Optimizer!$J$8=Fandual!J977,Optimizer!$J$10=Fandual!J977))=TRUE, 1,0)</f>
        <v>0</v>
      </c>
      <c r="B977" s="2">
        <f>IF((OR(Fandual!O977="",Fandual!O977&lt;&gt;0)=TRUE),1,0)</f>
        <v>1</v>
      </c>
      <c r="C977" s="2">
        <f>IF(Fandual!B977&lt;&gt;"P",1,0)</f>
        <v>1</v>
      </c>
      <c r="D977" s="2">
        <f t="shared" si="30"/>
        <v>0</v>
      </c>
      <c r="E977" s="2">
        <f>IF(D977=1,Fandual!B977,0)</f>
        <v>0</v>
      </c>
      <c r="F977" s="2">
        <f>IF(D977=1,Fandual!D977,0)</f>
        <v>0</v>
      </c>
      <c r="G977" s="2">
        <f>IF(D977=1,Fandual!F977,0)</f>
        <v>0</v>
      </c>
      <c r="H977" s="2">
        <f>IF(D977=1,Fandual!H977,0)</f>
        <v>0</v>
      </c>
      <c r="I977" s="2">
        <f>IF((Optimizer!$J$8=Fandual!J977),4,0)</f>
        <v>0</v>
      </c>
      <c r="J977" s="2">
        <f>IF((Optimizer!$J$10=Fandual!J977),100,0)</f>
        <v>0</v>
      </c>
      <c r="K977" s="2">
        <f t="shared" si="31"/>
        <v>0</v>
      </c>
      <c r="L977" s="2">
        <f>IF(Fandual!M977="",1,0)</f>
        <v>1</v>
      </c>
    </row>
    <row r="978" spans="1:12" x14ac:dyDescent="0.25">
      <c r="A978" s="2">
        <f>IF((OR(Optimizer!$J$8=Fandual!J978,Optimizer!$J$10=Fandual!J978))=TRUE, 1,0)</f>
        <v>0</v>
      </c>
      <c r="B978" s="2">
        <f>IF((OR(Fandual!O978="",Fandual!O978&lt;&gt;0)=TRUE),1,0)</f>
        <v>1</v>
      </c>
      <c r="C978" s="2">
        <f>IF(Fandual!B978&lt;&gt;"P",1,0)</f>
        <v>1</v>
      </c>
      <c r="D978" s="2">
        <f t="shared" si="30"/>
        <v>0</v>
      </c>
      <c r="E978" s="2">
        <f>IF(D978=1,Fandual!B978,0)</f>
        <v>0</v>
      </c>
      <c r="F978" s="2">
        <f>IF(D978=1,Fandual!D978,0)</f>
        <v>0</v>
      </c>
      <c r="G978" s="2">
        <f>IF(D978=1,Fandual!F978,0)</f>
        <v>0</v>
      </c>
      <c r="H978" s="2">
        <f>IF(D978=1,Fandual!H978,0)</f>
        <v>0</v>
      </c>
      <c r="I978" s="2">
        <f>IF((Optimizer!$J$8=Fandual!J978),4,0)</f>
        <v>0</v>
      </c>
      <c r="J978" s="2">
        <f>IF((Optimizer!$J$10=Fandual!J978),100,0)</f>
        <v>0</v>
      </c>
      <c r="K978" s="2">
        <f t="shared" si="31"/>
        <v>0</v>
      </c>
      <c r="L978" s="2">
        <f>IF(Fandual!M978="",1,0)</f>
        <v>1</v>
      </c>
    </row>
    <row r="979" spans="1:12" x14ac:dyDescent="0.25">
      <c r="A979" s="2">
        <f>IF((OR(Optimizer!$J$8=Fandual!J979,Optimizer!$J$10=Fandual!J979))=TRUE, 1,0)</f>
        <v>0</v>
      </c>
      <c r="B979" s="2">
        <f>IF((OR(Fandual!O979="",Fandual!O979&lt;&gt;0)=TRUE),1,0)</f>
        <v>1</v>
      </c>
      <c r="C979" s="2">
        <f>IF(Fandual!B979&lt;&gt;"P",1,0)</f>
        <v>1</v>
      </c>
      <c r="D979" s="2">
        <f t="shared" si="30"/>
        <v>0</v>
      </c>
      <c r="E979" s="2">
        <f>IF(D979=1,Fandual!B979,0)</f>
        <v>0</v>
      </c>
      <c r="F979" s="2">
        <f>IF(D979=1,Fandual!D979,0)</f>
        <v>0</v>
      </c>
      <c r="G979" s="2">
        <f>IF(D979=1,Fandual!F979,0)</f>
        <v>0</v>
      </c>
      <c r="H979" s="2">
        <f>IF(D979=1,Fandual!H979,0)</f>
        <v>0</v>
      </c>
      <c r="I979" s="2">
        <f>IF((Optimizer!$J$8=Fandual!J979),4,0)</f>
        <v>0</v>
      </c>
      <c r="J979" s="2">
        <f>IF((Optimizer!$J$10=Fandual!J979),100,0)</f>
        <v>0</v>
      </c>
      <c r="K979" s="2">
        <f t="shared" si="31"/>
        <v>0</v>
      </c>
      <c r="L979" s="2">
        <f>IF(Fandual!M979="",1,0)</f>
        <v>1</v>
      </c>
    </row>
    <row r="980" spans="1:12" x14ac:dyDescent="0.25">
      <c r="A980" s="2">
        <f>IF((OR(Optimizer!$J$8=Fandual!J980,Optimizer!$J$10=Fandual!J980))=TRUE, 1,0)</f>
        <v>0</v>
      </c>
      <c r="B980" s="2">
        <f>IF((OR(Fandual!O980="",Fandual!O980&lt;&gt;0)=TRUE),1,0)</f>
        <v>1</v>
      </c>
      <c r="C980" s="2">
        <f>IF(Fandual!B980&lt;&gt;"P",1,0)</f>
        <v>1</v>
      </c>
      <c r="D980" s="2">
        <f t="shared" si="30"/>
        <v>0</v>
      </c>
      <c r="E980" s="2">
        <f>IF(D980=1,Fandual!B980,0)</f>
        <v>0</v>
      </c>
      <c r="F980" s="2">
        <f>IF(D980=1,Fandual!D980,0)</f>
        <v>0</v>
      </c>
      <c r="G980" s="2">
        <f>IF(D980=1,Fandual!F980,0)</f>
        <v>0</v>
      </c>
      <c r="H980" s="2">
        <f>IF(D980=1,Fandual!H980,0)</f>
        <v>0</v>
      </c>
      <c r="I980" s="2">
        <f>IF((Optimizer!$J$8=Fandual!J980),4,0)</f>
        <v>0</v>
      </c>
      <c r="J980" s="2">
        <f>IF((Optimizer!$J$10=Fandual!J980),100,0)</f>
        <v>0</v>
      </c>
      <c r="K980" s="2">
        <f t="shared" si="31"/>
        <v>0</v>
      </c>
      <c r="L980" s="2">
        <f>IF(Fandual!M980="",1,0)</f>
        <v>1</v>
      </c>
    </row>
    <row r="981" spans="1:12" x14ac:dyDescent="0.25">
      <c r="A981" s="2">
        <f>IF((OR(Optimizer!$J$8=Fandual!J981,Optimizer!$J$10=Fandual!J981))=TRUE, 1,0)</f>
        <v>0</v>
      </c>
      <c r="B981" s="2">
        <f>IF((OR(Fandual!O981="",Fandual!O981&lt;&gt;0)=TRUE),1,0)</f>
        <v>1</v>
      </c>
      <c r="C981" s="2">
        <f>IF(Fandual!B981&lt;&gt;"P",1,0)</f>
        <v>1</v>
      </c>
      <c r="D981" s="2">
        <f t="shared" si="30"/>
        <v>0</v>
      </c>
      <c r="E981" s="2">
        <f>IF(D981=1,Fandual!B981,0)</f>
        <v>0</v>
      </c>
      <c r="F981" s="2">
        <f>IF(D981=1,Fandual!D981,0)</f>
        <v>0</v>
      </c>
      <c r="G981" s="2">
        <f>IF(D981=1,Fandual!F981,0)</f>
        <v>0</v>
      </c>
      <c r="H981" s="2">
        <f>IF(D981=1,Fandual!H981,0)</f>
        <v>0</v>
      </c>
      <c r="I981" s="2">
        <f>IF((Optimizer!$J$8=Fandual!J981),4,0)</f>
        <v>0</v>
      </c>
      <c r="J981" s="2">
        <f>IF((Optimizer!$J$10=Fandual!J981),100,0)</f>
        <v>0</v>
      </c>
      <c r="K981" s="2">
        <f t="shared" si="31"/>
        <v>0</v>
      </c>
      <c r="L981" s="2">
        <f>IF(Fandual!M981="",1,0)</f>
        <v>1</v>
      </c>
    </row>
    <row r="982" spans="1:12" x14ac:dyDescent="0.25">
      <c r="A982" s="2">
        <f>IF((OR(Optimizer!$J$8=Fandual!J982,Optimizer!$J$10=Fandual!J982))=TRUE, 1,0)</f>
        <v>0</v>
      </c>
      <c r="B982" s="2">
        <f>IF((OR(Fandual!O982="",Fandual!O982&lt;&gt;0)=TRUE),1,0)</f>
        <v>1</v>
      </c>
      <c r="C982" s="2">
        <f>IF(Fandual!B982&lt;&gt;"P",1,0)</f>
        <v>1</v>
      </c>
      <c r="D982" s="2">
        <f t="shared" si="30"/>
        <v>0</v>
      </c>
      <c r="E982" s="2">
        <f>IF(D982=1,Fandual!B982,0)</f>
        <v>0</v>
      </c>
      <c r="F982" s="2">
        <f>IF(D982=1,Fandual!D982,0)</f>
        <v>0</v>
      </c>
      <c r="G982" s="2">
        <f>IF(D982=1,Fandual!F982,0)</f>
        <v>0</v>
      </c>
      <c r="H982" s="2">
        <f>IF(D982=1,Fandual!H982,0)</f>
        <v>0</v>
      </c>
      <c r="I982" s="2">
        <f>IF((Optimizer!$J$8=Fandual!J982),4,0)</f>
        <v>0</v>
      </c>
      <c r="J982" s="2">
        <f>IF((Optimizer!$J$10=Fandual!J982),100,0)</f>
        <v>0</v>
      </c>
      <c r="K982" s="2">
        <f t="shared" si="31"/>
        <v>0</v>
      </c>
      <c r="L982" s="2">
        <f>IF(Fandual!M982="",1,0)</f>
        <v>1</v>
      </c>
    </row>
    <row r="983" spans="1:12" x14ac:dyDescent="0.25">
      <c r="A983" s="2">
        <f>IF((OR(Optimizer!$J$8=Fandual!J983,Optimizer!$J$10=Fandual!J983))=TRUE, 1,0)</f>
        <v>0</v>
      </c>
      <c r="B983" s="2">
        <f>IF((OR(Fandual!O983="",Fandual!O983&lt;&gt;0)=TRUE),1,0)</f>
        <v>1</v>
      </c>
      <c r="C983" s="2">
        <f>IF(Fandual!B983&lt;&gt;"P",1,0)</f>
        <v>1</v>
      </c>
      <c r="D983" s="2">
        <f t="shared" si="30"/>
        <v>0</v>
      </c>
      <c r="E983" s="2">
        <f>IF(D983=1,Fandual!B983,0)</f>
        <v>0</v>
      </c>
      <c r="F983" s="2">
        <f>IF(D983=1,Fandual!D983,0)</f>
        <v>0</v>
      </c>
      <c r="G983" s="2">
        <f>IF(D983=1,Fandual!F983,0)</f>
        <v>0</v>
      </c>
      <c r="H983" s="2">
        <f>IF(D983=1,Fandual!H983,0)</f>
        <v>0</v>
      </c>
      <c r="I983" s="2">
        <f>IF((Optimizer!$J$8=Fandual!J983),4,0)</f>
        <v>0</v>
      </c>
      <c r="J983" s="2">
        <f>IF((Optimizer!$J$10=Fandual!J983),100,0)</f>
        <v>0</v>
      </c>
      <c r="K983" s="2">
        <f t="shared" si="31"/>
        <v>0</v>
      </c>
      <c r="L983" s="2">
        <f>IF(Fandual!M983="",1,0)</f>
        <v>0</v>
      </c>
    </row>
    <row r="984" spans="1:12" x14ac:dyDescent="0.25">
      <c r="A984" s="2">
        <f>IF((OR(Optimizer!$J$8=Fandual!J984,Optimizer!$J$10=Fandual!J984))=TRUE, 1,0)</f>
        <v>0</v>
      </c>
      <c r="B984" s="2">
        <f>IF((OR(Fandual!O984="",Fandual!O984&lt;&gt;0)=TRUE),1,0)</f>
        <v>1</v>
      </c>
      <c r="C984" s="2">
        <f>IF(Fandual!B984&lt;&gt;"P",1,0)</f>
        <v>1</v>
      </c>
      <c r="D984" s="2">
        <f t="shared" si="30"/>
        <v>0</v>
      </c>
      <c r="E984" s="2">
        <f>IF(D984=1,Fandual!B984,0)</f>
        <v>0</v>
      </c>
      <c r="F984" s="2">
        <f>IF(D984=1,Fandual!D984,0)</f>
        <v>0</v>
      </c>
      <c r="G984" s="2">
        <f>IF(D984=1,Fandual!F984,0)</f>
        <v>0</v>
      </c>
      <c r="H984" s="2">
        <f>IF(D984=1,Fandual!H984,0)</f>
        <v>0</v>
      </c>
      <c r="I984" s="2">
        <f>IF((Optimizer!$J$8=Fandual!J984),4,0)</f>
        <v>0</v>
      </c>
      <c r="J984" s="2">
        <f>IF((Optimizer!$J$10=Fandual!J984),100,0)</f>
        <v>0</v>
      </c>
      <c r="K984" s="2">
        <f t="shared" si="31"/>
        <v>0</v>
      </c>
      <c r="L984" s="2">
        <f>IF(Fandual!M984="",1,0)</f>
        <v>1</v>
      </c>
    </row>
    <row r="985" spans="1:12" x14ac:dyDescent="0.25">
      <c r="A985" s="2">
        <f>IF((OR(Optimizer!$J$8=Fandual!J985,Optimizer!$J$10=Fandual!J985))=TRUE, 1,0)</f>
        <v>0</v>
      </c>
      <c r="B985" s="2">
        <f>IF((OR(Fandual!O985="",Fandual!O985&lt;&gt;0)=TRUE),1,0)</f>
        <v>1</v>
      </c>
      <c r="C985" s="2">
        <f>IF(Fandual!B985&lt;&gt;"P",1,0)</f>
        <v>1</v>
      </c>
      <c r="D985" s="2">
        <f t="shared" si="30"/>
        <v>0</v>
      </c>
      <c r="E985" s="2">
        <f>IF(D985=1,Fandual!B985,0)</f>
        <v>0</v>
      </c>
      <c r="F985" s="2">
        <f>IF(D985=1,Fandual!D985,0)</f>
        <v>0</v>
      </c>
      <c r="G985" s="2">
        <f>IF(D985=1,Fandual!F985,0)</f>
        <v>0</v>
      </c>
      <c r="H985" s="2">
        <f>IF(D985=1,Fandual!H985,0)</f>
        <v>0</v>
      </c>
      <c r="I985" s="2">
        <f>IF((Optimizer!$J$8=Fandual!J985),4,0)</f>
        <v>0</v>
      </c>
      <c r="J985" s="2">
        <f>IF((Optimizer!$J$10=Fandual!J985),100,0)</f>
        <v>0</v>
      </c>
      <c r="K985" s="2">
        <f t="shared" si="31"/>
        <v>0</v>
      </c>
      <c r="L985" s="2">
        <f>IF(Fandual!M985="",1,0)</f>
        <v>1</v>
      </c>
    </row>
    <row r="986" spans="1:12" x14ac:dyDescent="0.25">
      <c r="A986" s="2">
        <f>IF((OR(Optimizer!$J$8=Fandual!J986,Optimizer!$J$10=Fandual!J986))=TRUE, 1,0)</f>
        <v>0</v>
      </c>
      <c r="B986" s="2">
        <f>IF((OR(Fandual!O986="",Fandual!O986&lt;&gt;0)=TRUE),1,0)</f>
        <v>1</v>
      </c>
      <c r="C986" s="2">
        <f>IF(Fandual!B986&lt;&gt;"P",1,0)</f>
        <v>1</v>
      </c>
      <c r="D986" s="2">
        <f t="shared" si="30"/>
        <v>0</v>
      </c>
      <c r="E986" s="2">
        <f>IF(D986=1,Fandual!B986,0)</f>
        <v>0</v>
      </c>
      <c r="F986" s="2">
        <f>IF(D986=1,Fandual!D986,0)</f>
        <v>0</v>
      </c>
      <c r="G986" s="2">
        <f>IF(D986=1,Fandual!F986,0)</f>
        <v>0</v>
      </c>
      <c r="H986" s="2">
        <f>IF(D986=1,Fandual!H986,0)</f>
        <v>0</v>
      </c>
      <c r="I986" s="2">
        <f>IF((Optimizer!$J$8=Fandual!J986),4,0)</f>
        <v>0</v>
      </c>
      <c r="J986" s="2">
        <f>IF((Optimizer!$J$10=Fandual!J986),100,0)</f>
        <v>0</v>
      </c>
      <c r="K986" s="2">
        <f t="shared" si="31"/>
        <v>0</v>
      </c>
      <c r="L986" s="2">
        <f>IF(Fandual!M986="",1,0)</f>
        <v>1</v>
      </c>
    </row>
    <row r="987" spans="1:12" x14ac:dyDescent="0.25">
      <c r="A987" s="2">
        <f>IF((OR(Optimizer!$J$8=Fandual!J987,Optimizer!$J$10=Fandual!J987))=TRUE, 1,0)</f>
        <v>0</v>
      </c>
      <c r="B987" s="2">
        <f>IF((OR(Fandual!O987="",Fandual!O987&lt;&gt;0)=TRUE),1,0)</f>
        <v>1</v>
      </c>
      <c r="C987" s="2">
        <f>IF(Fandual!B987&lt;&gt;"P",1,0)</f>
        <v>1</v>
      </c>
      <c r="D987" s="2">
        <f t="shared" si="30"/>
        <v>0</v>
      </c>
      <c r="E987" s="2">
        <f>IF(D987=1,Fandual!B987,0)</f>
        <v>0</v>
      </c>
      <c r="F987" s="2">
        <f>IF(D987=1,Fandual!D987,0)</f>
        <v>0</v>
      </c>
      <c r="G987" s="2">
        <f>IF(D987=1,Fandual!F987,0)</f>
        <v>0</v>
      </c>
      <c r="H987" s="2">
        <f>IF(D987=1,Fandual!H987,0)</f>
        <v>0</v>
      </c>
      <c r="I987" s="2">
        <f>IF((Optimizer!$J$8=Fandual!J987),4,0)</f>
        <v>0</v>
      </c>
      <c r="J987" s="2">
        <f>IF((Optimizer!$J$10=Fandual!J987),100,0)</f>
        <v>0</v>
      </c>
      <c r="K987" s="2">
        <f t="shared" si="31"/>
        <v>0</v>
      </c>
      <c r="L987" s="2">
        <f>IF(Fandual!M987="",1,0)</f>
        <v>0</v>
      </c>
    </row>
    <row r="988" spans="1:12" x14ac:dyDescent="0.25">
      <c r="A988" s="2">
        <f>IF((OR(Optimizer!$J$8=Fandual!J988,Optimizer!$J$10=Fandual!J988))=TRUE, 1,0)</f>
        <v>0</v>
      </c>
      <c r="B988" s="2">
        <f>IF((OR(Fandual!O988="",Fandual!O988&lt;&gt;0)=TRUE),1,0)</f>
        <v>1</v>
      </c>
      <c r="C988" s="2">
        <f>IF(Fandual!B988&lt;&gt;"P",1,0)</f>
        <v>1</v>
      </c>
      <c r="D988" s="2">
        <f t="shared" si="30"/>
        <v>0</v>
      </c>
      <c r="E988" s="2">
        <f>IF(D988=1,Fandual!B988,0)</f>
        <v>0</v>
      </c>
      <c r="F988" s="2">
        <f>IF(D988=1,Fandual!D988,0)</f>
        <v>0</v>
      </c>
      <c r="G988" s="2">
        <f>IF(D988=1,Fandual!F988,0)</f>
        <v>0</v>
      </c>
      <c r="H988" s="2">
        <f>IF(D988=1,Fandual!H988,0)</f>
        <v>0</v>
      </c>
      <c r="I988" s="2">
        <f>IF((Optimizer!$J$8=Fandual!J988),4,0)</f>
        <v>0</v>
      </c>
      <c r="J988" s="2">
        <f>IF((Optimizer!$J$10=Fandual!J988),100,0)</f>
        <v>0</v>
      </c>
      <c r="K988" s="2">
        <f t="shared" si="31"/>
        <v>0</v>
      </c>
      <c r="L988" s="2">
        <f>IF(Fandual!M988="",1,0)</f>
        <v>1</v>
      </c>
    </row>
    <row r="989" spans="1:12" x14ac:dyDescent="0.25">
      <c r="A989" s="2">
        <f>IF((OR(Optimizer!$J$8=Fandual!J989,Optimizer!$J$10=Fandual!J989))=TRUE, 1,0)</f>
        <v>0</v>
      </c>
      <c r="B989" s="2">
        <f>IF((OR(Fandual!O989="",Fandual!O989&lt;&gt;0)=TRUE),1,0)</f>
        <v>1</v>
      </c>
      <c r="C989" s="2">
        <f>IF(Fandual!B989&lt;&gt;"P",1,0)</f>
        <v>1</v>
      </c>
      <c r="D989" s="2">
        <f t="shared" si="30"/>
        <v>0</v>
      </c>
      <c r="E989" s="2">
        <f>IF(D989=1,Fandual!B989,0)</f>
        <v>0</v>
      </c>
      <c r="F989" s="2">
        <f>IF(D989=1,Fandual!D989,0)</f>
        <v>0</v>
      </c>
      <c r="G989" s="2">
        <f>IF(D989=1,Fandual!F989,0)</f>
        <v>0</v>
      </c>
      <c r="H989" s="2">
        <f>IF(D989=1,Fandual!H989,0)</f>
        <v>0</v>
      </c>
      <c r="I989" s="2">
        <f>IF((Optimizer!$J$8=Fandual!J989),4,0)</f>
        <v>0</v>
      </c>
      <c r="J989" s="2">
        <f>IF((Optimizer!$J$10=Fandual!J989),100,0)</f>
        <v>0</v>
      </c>
      <c r="K989" s="2">
        <f t="shared" si="31"/>
        <v>0</v>
      </c>
      <c r="L989" s="2">
        <f>IF(Fandual!M989="",1,0)</f>
        <v>0</v>
      </c>
    </row>
    <row r="990" spans="1:12" x14ac:dyDescent="0.25">
      <c r="A990" s="2">
        <f>IF((OR(Optimizer!$J$8=Fandual!J990,Optimizer!$J$10=Fandual!J990))=TRUE, 1,0)</f>
        <v>0</v>
      </c>
      <c r="B990" s="2">
        <f>IF((OR(Fandual!O990="",Fandual!O990&lt;&gt;0)=TRUE),1,0)</f>
        <v>1</v>
      </c>
      <c r="C990" s="2">
        <f>IF(Fandual!B990&lt;&gt;"P",1,0)</f>
        <v>1</v>
      </c>
      <c r="D990" s="2">
        <f t="shared" si="30"/>
        <v>0</v>
      </c>
      <c r="E990" s="2">
        <f>IF(D990=1,Fandual!B990,0)</f>
        <v>0</v>
      </c>
      <c r="F990" s="2">
        <f>IF(D990=1,Fandual!D990,0)</f>
        <v>0</v>
      </c>
      <c r="G990" s="2">
        <f>IF(D990=1,Fandual!F990,0)</f>
        <v>0</v>
      </c>
      <c r="H990" s="2">
        <f>IF(D990=1,Fandual!H990,0)</f>
        <v>0</v>
      </c>
      <c r="I990" s="2">
        <f>IF((Optimizer!$J$8=Fandual!J990),4,0)</f>
        <v>0</v>
      </c>
      <c r="J990" s="2">
        <f>IF((Optimizer!$J$10=Fandual!J990),100,0)</f>
        <v>0</v>
      </c>
      <c r="K990" s="2">
        <f t="shared" si="31"/>
        <v>0</v>
      </c>
      <c r="L990" s="2">
        <f>IF(Fandual!M990="",1,0)</f>
        <v>0</v>
      </c>
    </row>
    <row r="991" spans="1:12" x14ac:dyDescent="0.25">
      <c r="A991" s="2">
        <f>IF((OR(Optimizer!$J$8=Fandual!J991,Optimizer!$J$10=Fandual!J991))=TRUE, 1,0)</f>
        <v>0</v>
      </c>
      <c r="B991" s="2">
        <f>IF((OR(Fandual!O991="",Fandual!O991&lt;&gt;0)=TRUE),1,0)</f>
        <v>1</v>
      </c>
      <c r="C991" s="2">
        <f>IF(Fandual!B991&lt;&gt;"P",1,0)</f>
        <v>1</v>
      </c>
      <c r="D991" s="2">
        <f t="shared" si="30"/>
        <v>0</v>
      </c>
      <c r="E991" s="2">
        <f>IF(D991=1,Fandual!B991,0)</f>
        <v>0</v>
      </c>
      <c r="F991" s="2">
        <f>IF(D991=1,Fandual!D991,0)</f>
        <v>0</v>
      </c>
      <c r="G991" s="2">
        <f>IF(D991=1,Fandual!F991,0)</f>
        <v>0</v>
      </c>
      <c r="H991" s="2">
        <f>IF(D991=1,Fandual!H991,0)</f>
        <v>0</v>
      </c>
      <c r="I991" s="2">
        <f>IF((Optimizer!$J$8=Fandual!J991),4,0)</f>
        <v>0</v>
      </c>
      <c r="J991" s="2">
        <f>IF((Optimizer!$J$10=Fandual!J991),100,0)</f>
        <v>0</v>
      </c>
      <c r="K991" s="2">
        <f t="shared" si="31"/>
        <v>0</v>
      </c>
      <c r="L991" s="2">
        <f>IF(Fandual!M991="",1,0)</f>
        <v>0</v>
      </c>
    </row>
    <row r="992" spans="1:12" x14ac:dyDescent="0.25">
      <c r="A992" s="2">
        <f>IF((OR(Optimizer!$J$8=Fandual!J992,Optimizer!$J$10=Fandual!J992))=TRUE, 1,0)</f>
        <v>0</v>
      </c>
      <c r="B992" s="2">
        <f>IF((OR(Fandual!O992="",Fandual!O992&lt;&gt;0)=TRUE),1,0)</f>
        <v>1</v>
      </c>
      <c r="C992" s="2">
        <f>IF(Fandual!B992&lt;&gt;"P",1,0)</f>
        <v>1</v>
      </c>
      <c r="D992" s="2">
        <f t="shared" si="30"/>
        <v>0</v>
      </c>
      <c r="E992" s="2">
        <f>IF(D992=1,Fandual!B992,0)</f>
        <v>0</v>
      </c>
      <c r="F992" s="2">
        <f>IF(D992=1,Fandual!D992,0)</f>
        <v>0</v>
      </c>
      <c r="G992" s="2">
        <f>IF(D992=1,Fandual!F992,0)</f>
        <v>0</v>
      </c>
      <c r="H992" s="2">
        <f>IF(D992=1,Fandual!H992,0)</f>
        <v>0</v>
      </c>
      <c r="I992" s="2">
        <f>IF((Optimizer!$J$8=Fandual!J992),4,0)</f>
        <v>0</v>
      </c>
      <c r="J992" s="2">
        <f>IF((Optimizer!$J$10=Fandual!J992),100,0)</f>
        <v>0</v>
      </c>
      <c r="K992" s="2">
        <f t="shared" si="31"/>
        <v>0</v>
      </c>
      <c r="L992" s="2">
        <f>IF(Fandual!M992="",1,0)</f>
        <v>1</v>
      </c>
    </row>
    <row r="993" spans="1:12" x14ac:dyDescent="0.25">
      <c r="A993" s="2">
        <f>IF((OR(Optimizer!$J$8=Fandual!J993,Optimizer!$J$10=Fandual!J993))=TRUE, 1,0)</f>
        <v>0</v>
      </c>
      <c r="B993" s="2">
        <f>IF((OR(Fandual!O993="",Fandual!O993&lt;&gt;0)=TRUE),1,0)</f>
        <v>1</v>
      </c>
      <c r="C993" s="2">
        <f>IF(Fandual!B993&lt;&gt;"P",1,0)</f>
        <v>1</v>
      </c>
      <c r="D993" s="2">
        <f t="shared" si="30"/>
        <v>0</v>
      </c>
      <c r="E993" s="2">
        <f>IF(D993=1,Fandual!B993,0)</f>
        <v>0</v>
      </c>
      <c r="F993" s="2">
        <f>IF(D993=1,Fandual!D993,0)</f>
        <v>0</v>
      </c>
      <c r="G993" s="2">
        <f>IF(D993=1,Fandual!F993,0)</f>
        <v>0</v>
      </c>
      <c r="H993" s="2">
        <f>IF(D993=1,Fandual!H993,0)</f>
        <v>0</v>
      </c>
      <c r="I993" s="2">
        <f>IF((Optimizer!$J$8=Fandual!J993),4,0)</f>
        <v>0</v>
      </c>
      <c r="J993" s="2">
        <f>IF((Optimizer!$J$10=Fandual!J993),100,0)</f>
        <v>0</v>
      </c>
      <c r="K993" s="2">
        <f t="shared" si="31"/>
        <v>0</v>
      </c>
      <c r="L993" s="2">
        <f>IF(Fandual!M993="",1,0)</f>
        <v>1</v>
      </c>
    </row>
    <row r="994" spans="1:12" x14ac:dyDescent="0.25">
      <c r="A994" s="2">
        <f>IF((OR(Optimizer!$J$8=Fandual!J994,Optimizer!$J$10=Fandual!J994))=TRUE, 1,0)</f>
        <v>0</v>
      </c>
      <c r="B994" s="2">
        <f>IF((OR(Fandual!O994="",Fandual!O994&lt;&gt;0)=TRUE),1,0)</f>
        <v>1</v>
      </c>
      <c r="C994" s="2">
        <f>IF(Fandual!B994&lt;&gt;"P",1,0)</f>
        <v>1</v>
      </c>
      <c r="D994" s="2">
        <f t="shared" si="30"/>
        <v>0</v>
      </c>
      <c r="E994" s="2">
        <f>IF(D994=1,Fandual!B994,0)</f>
        <v>0</v>
      </c>
      <c r="F994" s="2">
        <f>IF(D994=1,Fandual!D994,0)</f>
        <v>0</v>
      </c>
      <c r="G994" s="2">
        <f>IF(D994=1,Fandual!F994,0)</f>
        <v>0</v>
      </c>
      <c r="H994" s="2">
        <f>IF(D994=1,Fandual!H994,0)</f>
        <v>0</v>
      </c>
      <c r="I994" s="2">
        <f>IF((Optimizer!$J$8=Fandual!J994),4,0)</f>
        <v>0</v>
      </c>
      <c r="J994" s="2">
        <f>IF((Optimizer!$J$10=Fandual!J994),100,0)</f>
        <v>0</v>
      </c>
      <c r="K994" s="2">
        <f t="shared" si="31"/>
        <v>0</v>
      </c>
      <c r="L994" s="2">
        <f>IF(Fandual!M994="",1,0)</f>
        <v>0</v>
      </c>
    </row>
    <row r="995" spans="1:12" x14ac:dyDescent="0.25">
      <c r="A995" s="2">
        <f>IF((OR(Optimizer!$J$8=Fandual!J995,Optimizer!$J$10=Fandual!J995))=TRUE, 1,0)</f>
        <v>0</v>
      </c>
      <c r="B995" s="2">
        <f>IF((OR(Fandual!O995="",Fandual!O995&lt;&gt;0)=TRUE),1,0)</f>
        <v>1</v>
      </c>
      <c r="C995" s="2">
        <f>IF(Fandual!B995&lt;&gt;"P",1,0)</f>
        <v>1</v>
      </c>
      <c r="D995" s="2">
        <f t="shared" si="30"/>
        <v>0</v>
      </c>
      <c r="E995" s="2">
        <f>IF(D995=1,Fandual!B995,0)</f>
        <v>0</v>
      </c>
      <c r="F995" s="2">
        <f>IF(D995=1,Fandual!D995,0)</f>
        <v>0</v>
      </c>
      <c r="G995" s="2">
        <f>IF(D995=1,Fandual!F995,0)</f>
        <v>0</v>
      </c>
      <c r="H995" s="2">
        <f>IF(D995=1,Fandual!H995,0)</f>
        <v>0</v>
      </c>
      <c r="I995" s="2">
        <f>IF((Optimizer!$J$8=Fandual!J995),4,0)</f>
        <v>0</v>
      </c>
      <c r="J995" s="2">
        <f>IF((Optimizer!$J$10=Fandual!J995),100,0)</f>
        <v>0</v>
      </c>
      <c r="K995" s="2">
        <f t="shared" si="31"/>
        <v>0</v>
      </c>
      <c r="L995" s="2">
        <f>IF(Fandual!M995="",1,0)</f>
        <v>1</v>
      </c>
    </row>
    <row r="996" spans="1:12" x14ac:dyDescent="0.25">
      <c r="A996" s="2">
        <f>IF((OR(Optimizer!$J$8=Fandual!J996,Optimizer!$J$10=Fandual!J996))=TRUE, 1,0)</f>
        <v>0</v>
      </c>
      <c r="B996" s="2">
        <f>IF((OR(Fandual!O996="",Fandual!O996&lt;&gt;0)=TRUE),1,0)</f>
        <v>1</v>
      </c>
      <c r="C996" s="2">
        <f>IF(Fandual!B996&lt;&gt;"P",1,0)</f>
        <v>1</v>
      </c>
      <c r="D996" s="2">
        <f t="shared" si="30"/>
        <v>0</v>
      </c>
      <c r="E996" s="2">
        <f>IF(D996=1,Fandual!B996,0)</f>
        <v>0</v>
      </c>
      <c r="F996" s="2">
        <f>IF(D996=1,Fandual!D996,0)</f>
        <v>0</v>
      </c>
      <c r="G996" s="2">
        <f>IF(D996=1,Fandual!F996,0)</f>
        <v>0</v>
      </c>
      <c r="H996" s="2">
        <f>IF(D996=1,Fandual!H996,0)</f>
        <v>0</v>
      </c>
      <c r="I996" s="2">
        <f>IF((Optimizer!$J$8=Fandual!J996),4,0)</f>
        <v>0</v>
      </c>
      <c r="J996" s="2">
        <f>IF((Optimizer!$J$10=Fandual!J996),100,0)</f>
        <v>0</v>
      </c>
      <c r="K996" s="2">
        <f t="shared" si="31"/>
        <v>0</v>
      </c>
      <c r="L996" s="2">
        <f>IF(Fandual!M996="",1,0)</f>
        <v>0</v>
      </c>
    </row>
    <row r="997" spans="1:12" x14ac:dyDescent="0.25">
      <c r="A997" s="2">
        <f>IF((OR(Optimizer!$J$8=Fandual!J997,Optimizer!$J$10=Fandual!J997))=TRUE, 1,0)</f>
        <v>0</v>
      </c>
      <c r="B997" s="2">
        <f>IF((OR(Fandual!O997="",Fandual!O997&lt;&gt;0)=TRUE),1,0)</f>
        <v>1</v>
      </c>
      <c r="C997" s="2">
        <f>IF(Fandual!B997&lt;&gt;"P",1,0)</f>
        <v>1</v>
      </c>
      <c r="D997" s="2">
        <f t="shared" si="30"/>
        <v>0</v>
      </c>
      <c r="E997" s="2">
        <f>IF(D997=1,Fandual!B997,0)</f>
        <v>0</v>
      </c>
      <c r="F997" s="2">
        <f>IF(D997=1,Fandual!D997,0)</f>
        <v>0</v>
      </c>
      <c r="G997" s="2">
        <f>IF(D997=1,Fandual!F997,0)</f>
        <v>0</v>
      </c>
      <c r="H997" s="2">
        <f>IF(D997=1,Fandual!H997,0)</f>
        <v>0</v>
      </c>
      <c r="I997" s="2">
        <f>IF((Optimizer!$J$8=Fandual!J997),4,0)</f>
        <v>0</v>
      </c>
      <c r="J997" s="2">
        <f>IF((Optimizer!$J$10=Fandual!J997),100,0)</f>
        <v>0</v>
      </c>
      <c r="K997" s="2">
        <f t="shared" si="31"/>
        <v>0</v>
      </c>
      <c r="L997" s="2">
        <f>IF(Fandual!M997="",1,0)</f>
        <v>1</v>
      </c>
    </row>
    <row r="998" spans="1:12" x14ac:dyDescent="0.25">
      <c r="A998" s="2">
        <f>IF((OR(Optimizer!$J$8=Fandual!J998,Optimizer!$J$10=Fandual!J998))=TRUE, 1,0)</f>
        <v>0</v>
      </c>
      <c r="B998" s="2">
        <f>IF((OR(Fandual!O998="",Fandual!O998&lt;&gt;0)=TRUE),1,0)</f>
        <v>1</v>
      </c>
      <c r="C998" s="2">
        <f>IF(Fandual!B998&lt;&gt;"P",1,0)</f>
        <v>1</v>
      </c>
      <c r="D998" s="2">
        <f t="shared" si="30"/>
        <v>0</v>
      </c>
      <c r="E998" s="2">
        <f>IF(D998=1,Fandual!B998,0)</f>
        <v>0</v>
      </c>
      <c r="F998" s="2">
        <f>IF(D998=1,Fandual!D998,0)</f>
        <v>0</v>
      </c>
      <c r="G998" s="2">
        <f>IF(D998=1,Fandual!F998,0)</f>
        <v>0</v>
      </c>
      <c r="H998" s="2">
        <f>IF(D998=1,Fandual!H998,0)</f>
        <v>0</v>
      </c>
      <c r="I998" s="2">
        <f>IF((Optimizer!$J$8=Fandual!J998),4,0)</f>
        <v>0</v>
      </c>
      <c r="J998" s="2">
        <f>IF((Optimizer!$J$10=Fandual!J998),100,0)</f>
        <v>0</v>
      </c>
      <c r="K998" s="2">
        <f t="shared" si="31"/>
        <v>0</v>
      </c>
      <c r="L998" s="2">
        <f>IF(Fandual!M998="",1,0)</f>
        <v>1</v>
      </c>
    </row>
    <row r="999" spans="1:12" x14ac:dyDescent="0.25">
      <c r="A999" s="2">
        <f>IF((OR(Optimizer!$J$8=Fandual!J999,Optimizer!$J$10=Fandual!J999))=TRUE, 1,0)</f>
        <v>0</v>
      </c>
      <c r="B999" s="2">
        <f>IF((OR(Fandual!O999="",Fandual!O999&lt;&gt;0)=TRUE),1,0)</f>
        <v>1</v>
      </c>
      <c r="C999" s="2">
        <f>IF(Fandual!B999&lt;&gt;"P",1,0)</f>
        <v>1</v>
      </c>
      <c r="D999" s="2">
        <f t="shared" si="30"/>
        <v>0</v>
      </c>
      <c r="E999" s="2">
        <f>IF(D999=1,Fandual!B999,0)</f>
        <v>0</v>
      </c>
      <c r="F999" s="2">
        <f>IF(D999=1,Fandual!D999,0)</f>
        <v>0</v>
      </c>
      <c r="G999" s="2">
        <f>IF(D999=1,Fandual!F999,0)</f>
        <v>0</v>
      </c>
      <c r="H999" s="2">
        <f>IF(D999=1,Fandual!H999,0)</f>
        <v>0</v>
      </c>
      <c r="I999" s="2">
        <f>IF((Optimizer!$J$8=Fandual!J999),4,0)</f>
        <v>0</v>
      </c>
      <c r="J999" s="2">
        <f>IF((Optimizer!$J$10=Fandual!J999),100,0)</f>
        <v>0</v>
      </c>
      <c r="K999" s="2">
        <f t="shared" si="31"/>
        <v>0</v>
      </c>
      <c r="L999" s="2">
        <f>IF(Fandual!M999="",1,0)</f>
        <v>1</v>
      </c>
    </row>
    <row r="1000" spans="1:12" x14ac:dyDescent="0.25">
      <c r="A1000" s="2">
        <f>IF((OR(Optimizer!$J$8=Fandual!J1000,Optimizer!$J$10=Fandual!J1000))=TRUE, 1,0)</f>
        <v>0</v>
      </c>
      <c r="B1000" s="2">
        <f>IF((OR(Fandual!O1000="",Fandual!O1000&lt;&gt;0)=TRUE),1,0)</f>
        <v>1</v>
      </c>
      <c r="C1000" s="2">
        <f>IF(Fandual!B1000&lt;&gt;"P",1,0)</f>
        <v>1</v>
      </c>
      <c r="D1000" s="2">
        <f t="shared" si="30"/>
        <v>0</v>
      </c>
      <c r="E1000" s="2">
        <f>IF(D1000=1,Fandual!B1000,0)</f>
        <v>0</v>
      </c>
      <c r="F1000" s="2">
        <f>IF(D1000=1,Fandual!D1000,0)</f>
        <v>0</v>
      </c>
      <c r="G1000" s="2">
        <f>IF(D1000=1,Fandual!F1000,0)</f>
        <v>0</v>
      </c>
      <c r="H1000" s="2">
        <f>IF(D1000=1,Fandual!H1000,0)</f>
        <v>0</v>
      </c>
      <c r="I1000" s="2">
        <f>IF((Optimizer!$J$8=Fandual!J1000),4,0)</f>
        <v>0</v>
      </c>
      <c r="J1000" s="2">
        <f>IF((Optimizer!$J$10=Fandual!J1000),100,0)</f>
        <v>0</v>
      </c>
      <c r="K1000" s="2">
        <f t="shared" si="31"/>
        <v>0</v>
      </c>
      <c r="L1000" s="2">
        <f>IF(Fandual!M1000="",1,0)</f>
        <v>1</v>
      </c>
    </row>
    <row r="1001" spans="1:12" x14ac:dyDescent="0.25">
      <c r="A1001" s="2">
        <f>IF((OR(Optimizer!$J$8=Fandual!J1001,Optimizer!$J$10=Fandual!J1001))=TRUE, 1,0)</f>
        <v>0</v>
      </c>
      <c r="B1001" s="2">
        <f>IF((OR(Fandual!O1001="",Fandual!O1001&lt;&gt;0)=TRUE),1,0)</f>
        <v>1</v>
      </c>
      <c r="C1001" s="2">
        <f>IF(Fandual!B1001&lt;&gt;"P",1,0)</f>
        <v>1</v>
      </c>
      <c r="D1001" s="2">
        <f t="shared" si="30"/>
        <v>0</v>
      </c>
      <c r="E1001" s="2">
        <f>IF(D1001=1,Fandual!B1001,0)</f>
        <v>0</v>
      </c>
      <c r="F1001" s="2">
        <f>IF(D1001=1,Fandual!D1001,0)</f>
        <v>0</v>
      </c>
      <c r="G1001" s="2">
        <f>IF(D1001=1,Fandual!F1001,0)</f>
        <v>0</v>
      </c>
      <c r="H1001" s="2">
        <f>IF(D1001=1,Fandual!H1001,0)</f>
        <v>0</v>
      </c>
      <c r="I1001" s="2">
        <f>IF((Optimizer!$J$8=Fandual!J1001),4,0)</f>
        <v>0</v>
      </c>
      <c r="J1001" s="2">
        <f>IF((Optimizer!$J$10=Fandual!J1001),100,0)</f>
        <v>0</v>
      </c>
      <c r="K1001" s="2">
        <f t="shared" si="31"/>
        <v>0</v>
      </c>
      <c r="L1001" s="2">
        <f>IF(Fandual!M1001="",1,0)</f>
        <v>0</v>
      </c>
    </row>
    <row r="1002" spans="1:12" x14ac:dyDescent="0.25">
      <c r="A1002" s="2">
        <f>IF((OR(Optimizer!$J$8=Fandual!J1002,Optimizer!$J$10=Fandual!J1002))=TRUE, 1,0)</f>
        <v>0</v>
      </c>
      <c r="B1002" s="2">
        <f>IF((OR(Fandual!O1002="",Fandual!O1002&lt;&gt;0)=TRUE),1,0)</f>
        <v>1</v>
      </c>
      <c r="C1002" s="2">
        <f>IF(Fandual!B1002&lt;&gt;"P",1,0)</f>
        <v>1</v>
      </c>
      <c r="D1002" s="2">
        <f t="shared" si="30"/>
        <v>0</v>
      </c>
      <c r="E1002" s="2">
        <f>IF(D1002=1,Fandual!B1002,0)</f>
        <v>0</v>
      </c>
      <c r="F1002" s="2">
        <f>IF(D1002=1,Fandual!D1002,0)</f>
        <v>0</v>
      </c>
      <c r="G1002" s="2">
        <f>IF(D1002=1,Fandual!F1002,0)</f>
        <v>0</v>
      </c>
      <c r="H1002" s="2">
        <f>IF(D1002=1,Fandual!H1002,0)</f>
        <v>0</v>
      </c>
      <c r="I1002" s="2">
        <f>IF((Optimizer!$J$8=Fandual!J1002),4,0)</f>
        <v>0</v>
      </c>
      <c r="J1002" s="2">
        <f>IF((Optimizer!$J$10=Fandual!J1002),100,0)</f>
        <v>0</v>
      </c>
      <c r="K1002" s="2">
        <f t="shared" si="31"/>
        <v>0</v>
      </c>
      <c r="L1002" s="2">
        <f>IF(Fandual!M1002="",1,0)</f>
        <v>1</v>
      </c>
    </row>
    <row r="1003" spans="1:12" x14ac:dyDescent="0.25">
      <c r="A1003" s="2">
        <f>IF((OR(Optimizer!$J$8=Fandual!J1003,Optimizer!$J$10=Fandual!J1003))=TRUE, 1,0)</f>
        <v>0</v>
      </c>
      <c r="B1003" s="2">
        <f>IF((OR(Fandual!O1003="",Fandual!O1003&lt;&gt;0)=TRUE),1,0)</f>
        <v>1</v>
      </c>
      <c r="C1003" s="2">
        <f>IF(Fandual!B1003&lt;&gt;"P",1,0)</f>
        <v>1</v>
      </c>
      <c r="D1003" s="2">
        <f t="shared" si="30"/>
        <v>0</v>
      </c>
      <c r="E1003" s="2">
        <f>IF(D1003=1,Fandual!B1003,0)</f>
        <v>0</v>
      </c>
      <c r="F1003" s="2">
        <f>IF(D1003=1,Fandual!D1003,0)</f>
        <v>0</v>
      </c>
      <c r="G1003" s="2">
        <f>IF(D1003=1,Fandual!F1003,0)</f>
        <v>0</v>
      </c>
      <c r="H1003" s="2">
        <f>IF(D1003=1,Fandual!H1003,0)</f>
        <v>0</v>
      </c>
      <c r="I1003" s="2">
        <f>IF((Optimizer!$J$8=Fandual!J1003),4,0)</f>
        <v>0</v>
      </c>
      <c r="J1003" s="2">
        <f>IF((Optimizer!$J$10=Fandual!J1003),100,0)</f>
        <v>0</v>
      </c>
      <c r="K1003" s="2">
        <f t="shared" si="31"/>
        <v>0</v>
      </c>
      <c r="L1003" s="2">
        <f>IF(Fandual!M1003="",1,0)</f>
        <v>1</v>
      </c>
    </row>
    <row r="1004" spans="1:12" x14ac:dyDescent="0.25">
      <c r="A1004" s="2">
        <f>IF((OR(Optimizer!$J$8=Fandual!J1004,Optimizer!$J$10=Fandual!J1004))=TRUE, 1,0)</f>
        <v>0</v>
      </c>
      <c r="B1004" s="2">
        <f>IF((OR(Fandual!O1004="",Fandual!O1004&lt;&gt;0)=TRUE),1,0)</f>
        <v>1</v>
      </c>
      <c r="C1004" s="2">
        <f>IF(Fandual!B1004&lt;&gt;"P",1,0)</f>
        <v>1</v>
      </c>
      <c r="D1004" s="2">
        <f t="shared" si="30"/>
        <v>0</v>
      </c>
      <c r="E1004" s="2">
        <f>IF(D1004=1,Fandual!B1004,0)</f>
        <v>0</v>
      </c>
      <c r="F1004" s="2">
        <f>IF(D1004=1,Fandual!D1004,0)</f>
        <v>0</v>
      </c>
      <c r="G1004" s="2">
        <f>IF(D1004=1,Fandual!F1004,0)</f>
        <v>0</v>
      </c>
      <c r="H1004" s="2">
        <f>IF(D1004=1,Fandual!H1004,0)</f>
        <v>0</v>
      </c>
      <c r="I1004" s="2">
        <f>IF((Optimizer!$J$8=Fandual!J1004),4,0)</f>
        <v>0</v>
      </c>
      <c r="J1004" s="2">
        <f>IF((Optimizer!$J$10=Fandual!J1004),100,0)</f>
        <v>0</v>
      </c>
      <c r="K1004" s="2">
        <f t="shared" si="31"/>
        <v>0</v>
      </c>
      <c r="L1004" s="2">
        <f>IF(Fandual!M1004="",1,0)</f>
        <v>1</v>
      </c>
    </row>
    <row r="1005" spans="1:12" x14ac:dyDescent="0.25">
      <c r="A1005" s="2">
        <f>IF((OR(Optimizer!$J$8=Fandual!J1005,Optimizer!$J$10=Fandual!J1005))=TRUE, 1,0)</f>
        <v>0</v>
      </c>
      <c r="B1005" s="2">
        <f>IF((OR(Fandual!O1005="",Fandual!O1005&lt;&gt;0)=TRUE),1,0)</f>
        <v>1</v>
      </c>
      <c r="C1005" s="2">
        <f>IF(Fandual!B1005&lt;&gt;"P",1,0)</f>
        <v>1</v>
      </c>
      <c r="D1005" s="2">
        <f t="shared" si="30"/>
        <v>0</v>
      </c>
      <c r="E1005" s="2">
        <f>IF(D1005=1,Fandual!B1005,0)</f>
        <v>0</v>
      </c>
      <c r="F1005" s="2">
        <f>IF(D1005=1,Fandual!D1005,0)</f>
        <v>0</v>
      </c>
      <c r="G1005" s="2">
        <f>IF(D1005=1,Fandual!F1005,0)</f>
        <v>0</v>
      </c>
      <c r="H1005" s="2">
        <f>IF(D1005=1,Fandual!H1005,0)</f>
        <v>0</v>
      </c>
      <c r="I1005" s="2">
        <f>IF((Optimizer!$J$8=Fandual!J1005),4,0)</f>
        <v>0</v>
      </c>
      <c r="J1005" s="2">
        <f>IF((Optimizer!$J$10=Fandual!J1005),100,0)</f>
        <v>0</v>
      </c>
      <c r="K1005" s="2">
        <f t="shared" si="31"/>
        <v>0</v>
      </c>
      <c r="L1005" s="2">
        <f>IF(Fandual!M1005="",1,0)</f>
        <v>1</v>
      </c>
    </row>
    <row r="1006" spans="1:12" x14ac:dyDescent="0.25">
      <c r="A1006" s="2">
        <f>IF((OR(Optimizer!$J$8=Fandual!J1006,Optimizer!$J$10=Fandual!J1006))=TRUE, 1,0)</f>
        <v>0</v>
      </c>
      <c r="B1006" s="2">
        <f>IF((OR(Fandual!O1006="",Fandual!O1006&lt;&gt;0)=TRUE),1,0)</f>
        <v>1</v>
      </c>
      <c r="C1006" s="2">
        <f>IF(Fandual!B1006&lt;&gt;"P",1,0)</f>
        <v>1</v>
      </c>
      <c r="D1006" s="2">
        <f t="shared" si="30"/>
        <v>0</v>
      </c>
      <c r="E1006" s="2">
        <f>IF(D1006=1,Fandual!B1006,0)</f>
        <v>0</v>
      </c>
      <c r="F1006" s="2">
        <f>IF(D1006=1,Fandual!D1006,0)</f>
        <v>0</v>
      </c>
      <c r="G1006" s="2">
        <f>IF(D1006=1,Fandual!F1006,0)</f>
        <v>0</v>
      </c>
      <c r="H1006" s="2">
        <f>IF(D1006=1,Fandual!H1006,0)</f>
        <v>0</v>
      </c>
      <c r="I1006" s="2">
        <f>IF((Optimizer!$J$8=Fandual!J1006),4,0)</f>
        <v>0</v>
      </c>
      <c r="J1006" s="2">
        <f>IF((Optimizer!$J$10=Fandual!J1006),100,0)</f>
        <v>0</v>
      </c>
      <c r="K1006" s="2">
        <f t="shared" si="31"/>
        <v>0</v>
      </c>
      <c r="L1006" s="2">
        <f>IF(Fandual!M1006="",1,0)</f>
        <v>1</v>
      </c>
    </row>
    <row r="1007" spans="1:12" x14ac:dyDescent="0.25">
      <c r="A1007" s="2">
        <f>IF((OR(Optimizer!$J$8=Fandual!J1007,Optimizer!$J$10=Fandual!J1007))=TRUE, 1,0)</f>
        <v>0</v>
      </c>
      <c r="B1007" s="2">
        <f>IF((OR(Fandual!O1007="",Fandual!O1007&lt;&gt;0)=TRUE),1,0)</f>
        <v>1</v>
      </c>
      <c r="C1007" s="2">
        <f>IF(Fandual!B1007&lt;&gt;"P",1,0)</f>
        <v>1</v>
      </c>
      <c r="D1007" s="2">
        <f t="shared" si="30"/>
        <v>0</v>
      </c>
      <c r="E1007" s="2">
        <f>IF(D1007=1,Fandual!B1007,0)</f>
        <v>0</v>
      </c>
      <c r="F1007" s="2">
        <f>IF(D1007=1,Fandual!D1007,0)</f>
        <v>0</v>
      </c>
      <c r="G1007" s="2">
        <f>IF(D1007=1,Fandual!F1007,0)</f>
        <v>0</v>
      </c>
      <c r="H1007" s="2">
        <f>IF(D1007=1,Fandual!H1007,0)</f>
        <v>0</v>
      </c>
      <c r="I1007" s="2">
        <f>IF((Optimizer!$J$8=Fandual!J1007),4,0)</f>
        <v>0</v>
      </c>
      <c r="J1007" s="2">
        <f>IF((Optimizer!$J$10=Fandual!J1007),100,0)</f>
        <v>0</v>
      </c>
      <c r="K1007" s="2">
        <f t="shared" si="31"/>
        <v>0</v>
      </c>
      <c r="L1007" s="2">
        <f>IF(Fandual!M1007="",1,0)</f>
        <v>1</v>
      </c>
    </row>
    <row r="1008" spans="1:12" x14ac:dyDescent="0.25">
      <c r="A1008" s="2">
        <f>IF((OR(Optimizer!$J$8=Fandual!J1008,Optimizer!$J$10=Fandual!J1008))=TRUE, 1,0)</f>
        <v>0</v>
      </c>
      <c r="B1008" s="2">
        <f>IF((OR(Fandual!O1008="",Fandual!O1008&lt;&gt;0)=TRUE),1,0)</f>
        <v>1</v>
      </c>
      <c r="C1008" s="2">
        <f>IF(Fandual!B1008&lt;&gt;"P",1,0)</f>
        <v>1</v>
      </c>
      <c r="D1008" s="2">
        <f t="shared" si="30"/>
        <v>0</v>
      </c>
      <c r="E1008" s="2">
        <f>IF(D1008=1,Fandual!B1008,0)</f>
        <v>0</v>
      </c>
      <c r="F1008" s="2">
        <f>IF(D1008=1,Fandual!D1008,0)</f>
        <v>0</v>
      </c>
      <c r="G1008" s="2">
        <f>IF(D1008=1,Fandual!F1008,0)</f>
        <v>0</v>
      </c>
      <c r="H1008" s="2">
        <f>IF(D1008=1,Fandual!H1008,0)</f>
        <v>0</v>
      </c>
      <c r="I1008" s="2">
        <f>IF((Optimizer!$J$8=Fandual!J1008),4,0)</f>
        <v>0</v>
      </c>
      <c r="J1008" s="2">
        <f>IF((Optimizer!$J$10=Fandual!J1008),100,0)</f>
        <v>0</v>
      </c>
      <c r="K1008" s="2">
        <f t="shared" si="31"/>
        <v>0</v>
      </c>
      <c r="L1008" s="2">
        <f>IF(Fandual!M1008="",1,0)</f>
        <v>1</v>
      </c>
    </row>
    <row r="1009" spans="1:12" x14ac:dyDescent="0.25">
      <c r="A1009" s="2">
        <f>IF((OR(Optimizer!$J$8=Fandual!J1009,Optimizer!$J$10=Fandual!J1009))=TRUE, 1,0)</f>
        <v>0</v>
      </c>
      <c r="B1009" s="2">
        <f>IF((OR(Fandual!O1009="",Fandual!O1009&lt;&gt;0)=TRUE),1,0)</f>
        <v>1</v>
      </c>
      <c r="C1009" s="2">
        <f>IF(Fandual!B1009&lt;&gt;"P",1,0)</f>
        <v>1</v>
      </c>
      <c r="D1009" s="2">
        <f t="shared" si="30"/>
        <v>0</v>
      </c>
      <c r="E1009" s="2">
        <f>IF(D1009=1,Fandual!B1009,0)</f>
        <v>0</v>
      </c>
      <c r="F1009" s="2">
        <f>IF(D1009=1,Fandual!D1009,0)</f>
        <v>0</v>
      </c>
      <c r="G1009" s="2">
        <f>IF(D1009=1,Fandual!F1009,0)</f>
        <v>0</v>
      </c>
      <c r="H1009" s="2">
        <f>IF(D1009=1,Fandual!H1009,0)</f>
        <v>0</v>
      </c>
      <c r="I1009" s="2">
        <f>IF((Optimizer!$J$8=Fandual!J1009),4,0)</f>
        <v>0</v>
      </c>
      <c r="J1009" s="2">
        <f>IF((Optimizer!$J$10=Fandual!J1009),100,0)</f>
        <v>0</v>
      </c>
      <c r="K1009" s="2">
        <f t="shared" si="31"/>
        <v>0</v>
      </c>
      <c r="L1009" s="2">
        <f>IF(Fandual!M1009="",1,0)</f>
        <v>1</v>
      </c>
    </row>
    <row r="1010" spans="1:12" x14ac:dyDescent="0.25">
      <c r="A1010" s="2">
        <f>IF((OR(Optimizer!$J$8=Fandual!J1010,Optimizer!$J$10=Fandual!J1010))=TRUE, 1,0)</f>
        <v>0</v>
      </c>
      <c r="B1010" s="2">
        <f>IF((OR(Fandual!O1010="",Fandual!O1010&lt;&gt;0)=TRUE),1,0)</f>
        <v>1</v>
      </c>
      <c r="C1010" s="2">
        <f>IF(Fandual!B1010&lt;&gt;"P",1,0)</f>
        <v>1</v>
      </c>
      <c r="D1010" s="2">
        <f t="shared" si="30"/>
        <v>0</v>
      </c>
      <c r="E1010" s="2">
        <f>IF(D1010=1,Fandual!B1010,0)</f>
        <v>0</v>
      </c>
      <c r="F1010" s="2">
        <f>IF(D1010=1,Fandual!D1010,0)</f>
        <v>0</v>
      </c>
      <c r="G1010" s="2">
        <f>IF(D1010=1,Fandual!F1010,0)</f>
        <v>0</v>
      </c>
      <c r="H1010" s="2">
        <f>IF(D1010=1,Fandual!H1010,0)</f>
        <v>0</v>
      </c>
      <c r="I1010" s="2">
        <f>IF((Optimizer!$J$8=Fandual!J1010),4,0)</f>
        <v>0</v>
      </c>
      <c r="J1010" s="2">
        <f>IF((Optimizer!$J$10=Fandual!J1010),100,0)</f>
        <v>0</v>
      </c>
      <c r="K1010" s="2">
        <f t="shared" si="31"/>
        <v>0</v>
      </c>
      <c r="L1010" s="2">
        <f>IF(Fandual!M1010="",1,0)</f>
        <v>1</v>
      </c>
    </row>
    <row r="1011" spans="1:12" x14ac:dyDescent="0.25">
      <c r="A1011" s="2">
        <f>IF((OR(Optimizer!$J$8=Fandual!J1011,Optimizer!$J$10=Fandual!J1011))=TRUE, 1,0)</f>
        <v>0</v>
      </c>
      <c r="B1011" s="2">
        <f>IF((OR(Fandual!O1011="",Fandual!O1011&lt;&gt;0)=TRUE),1,0)</f>
        <v>1</v>
      </c>
      <c r="C1011" s="2">
        <f>IF(Fandual!B1011&lt;&gt;"P",1,0)</f>
        <v>1</v>
      </c>
      <c r="D1011" s="2">
        <f t="shared" si="30"/>
        <v>0</v>
      </c>
      <c r="E1011" s="2">
        <f>IF(D1011=1,Fandual!B1011,0)</f>
        <v>0</v>
      </c>
      <c r="F1011" s="2">
        <f>IF(D1011=1,Fandual!D1011,0)</f>
        <v>0</v>
      </c>
      <c r="G1011" s="2">
        <f>IF(D1011=1,Fandual!F1011,0)</f>
        <v>0</v>
      </c>
      <c r="H1011" s="2">
        <f>IF(D1011=1,Fandual!H1011,0)</f>
        <v>0</v>
      </c>
      <c r="I1011" s="2">
        <f>IF((Optimizer!$J$8=Fandual!J1011),4,0)</f>
        <v>0</v>
      </c>
      <c r="J1011" s="2">
        <f>IF((Optimizer!$J$10=Fandual!J1011),100,0)</f>
        <v>0</v>
      </c>
      <c r="K1011" s="2">
        <f t="shared" si="31"/>
        <v>0</v>
      </c>
      <c r="L1011" s="2">
        <f>IF(Fandual!M1011="",1,0)</f>
        <v>1</v>
      </c>
    </row>
    <row r="1012" spans="1:12" x14ac:dyDescent="0.25">
      <c r="A1012" s="2">
        <f>IF((OR(Optimizer!$J$8=Fandual!J1012,Optimizer!$J$10=Fandual!J1012))=TRUE, 1,0)</f>
        <v>0</v>
      </c>
      <c r="B1012" s="2">
        <f>IF((OR(Fandual!O1012="",Fandual!O1012&lt;&gt;0)=TRUE),1,0)</f>
        <v>1</v>
      </c>
      <c r="C1012" s="2">
        <f>IF(Fandual!B1012&lt;&gt;"P",1,0)</f>
        <v>1</v>
      </c>
      <c r="D1012" s="2">
        <f t="shared" si="30"/>
        <v>0</v>
      </c>
      <c r="E1012" s="2">
        <f>IF(D1012=1,Fandual!B1012,0)</f>
        <v>0</v>
      </c>
      <c r="F1012" s="2">
        <f>IF(D1012=1,Fandual!D1012,0)</f>
        <v>0</v>
      </c>
      <c r="G1012" s="2">
        <f>IF(D1012=1,Fandual!F1012,0)</f>
        <v>0</v>
      </c>
      <c r="H1012" s="2">
        <f>IF(D1012=1,Fandual!H1012,0)</f>
        <v>0</v>
      </c>
      <c r="I1012" s="2">
        <f>IF((Optimizer!$J$8=Fandual!J1012),4,0)</f>
        <v>0</v>
      </c>
      <c r="J1012" s="2">
        <f>IF((Optimizer!$J$10=Fandual!J1012),100,0)</f>
        <v>0</v>
      </c>
      <c r="K1012" s="2">
        <f t="shared" si="31"/>
        <v>0</v>
      </c>
      <c r="L1012" s="2">
        <f>IF(Fandual!M1012="",1,0)</f>
        <v>1</v>
      </c>
    </row>
    <row r="1013" spans="1:12" x14ac:dyDescent="0.25">
      <c r="A1013" s="2">
        <f>IF((OR(Optimizer!$J$8=Fandual!J1013,Optimizer!$J$10=Fandual!J1013))=TRUE, 1,0)</f>
        <v>0</v>
      </c>
      <c r="B1013" s="2">
        <f>IF((OR(Fandual!O1013="",Fandual!O1013&lt;&gt;0)=TRUE),1,0)</f>
        <v>1</v>
      </c>
      <c r="C1013" s="2">
        <f>IF(Fandual!B1013&lt;&gt;"P",1,0)</f>
        <v>1</v>
      </c>
      <c r="D1013" s="2">
        <f t="shared" si="30"/>
        <v>0</v>
      </c>
      <c r="E1013" s="2">
        <f>IF(D1013=1,Fandual!B1013,0)</f>
        <v>0</v>
      </c>
      <c r="F1013" s="2">
        <f>IF(D1013=1,Fandual!D1013,0)</f>
        <v>0</v>
      </c>
      <c r="G1013" s="2">
        <f>IF(D1013=1,Fandual!F1013,0)</f>
        <v>0</v>
      </c>
      <c r="H1013" s="2">
        <f>IF(D1013=1,Fandual!H1013,0)</f>
        <v>0</v>
      </c>
      <c r="I1013" s="2">
        <f>IF((Optimizer!$J$8=Fandual!J1013),4,0)</f>
        <v>0</v>
      </c>
      <c r="J1013" s="2">
        <f>IF((Optimizer!$J$10=Fandual!J1013),100,0)</f>
        <v>0</v>
      </c>
      <c r="K1013" s="2">
        <f t="shared" si="31"/>
        <v>0</v>
      </c>
      <c r="L1013" s="2">
        <f>IF(Fandual!M1013="",1,0)</f>
        <v>1</v>
      </c>
    </row>
    <row r="1014" spans="1:12" x14ac:dyDescent="0.25">
      <c r="A1014" s="2">
        <f>IF((OR(Optimizer!$J$8=Fandual!J1014,Optimizer!$J$10=Fandual!J1014))=TRUE, 1,0)</f>
        <v>0</v>
      </c>
      <c r="B1014" s="2">
        <f>IF((OR(Fandual!O1014="",Fandual!O1014&lt;&gt;0)=TRUE),1,0)</f>
        <v>1</v>
      </c>
      <c r="C1014" s="2">
        <f>IF(Fandual!B1014&lt;&gt;"P",1,0)</f>
        <v>1</v>
      </c>
      <c r="D1014" s="2">
        <f t="shared" si="30"/>
        <v>0</v>
      </c>
      <c r="E1014" s="2">
        <f>IF(D1014=1,Fandual!B1014,0)</f>
        <v>0</v>
      </c>
      <c r="F1014" s="2">
        <f>IF(D1014=1,Fandual!D1014,0)</f>
        <v>0</v>
      </c>
      <c r="G1014" s="2">
        <f>IF(D1014=1,Fandual!F1014,0)</f>
        <v>0</v>
      </c>
      <c r="H1014" s="2">
        <f>IF(D1014=1,Fandual!H1014,0)</f>
        <v>0</v>
      </c>
      <c r="I1014" s="2">
        <f>IF((Optimizer!$J$8=Fandual!J1014),4,0)</f>
        <v>0</v>
      </c>
      <c r="J1014" s="2">
        <f>IF((Optimizer!$J$10=Fandual!J1014),100,0)</f>
        <v>0</v>
      </c>
      <c r="K1014" s="2">
        <f t="shared" si="31"/>
        <v>0</v>
      </c>
      <c r="L1014" s="2">
        <f>IF(Fandual!M1014="",1,0)</f>
        <v>1</v>
      </c>
    </row>
    <row r="1015" spans="1:12" x14ac:dyDescent="0.25">
      <c r="A1015" s="2">
        <f>IF((OR(Optimizer!$J$8=Fandual!J1015,Optimizer!$J$10=Fandual!J1015))=TRUE, 1,0)</f>
        <v>0</v>
      </c>
      <c r="B1015" s="2">
        <f>IF((OR(Fandual!O1015="",Fandual!O1015&lt;&gt;0)=TRUE),1,0)</f>
        <v>1</v>
      </c>
      <c r="C1015" s="2">
        <f>IF(Fandual!B1015&lt;&gt;"P",1,0)</f>
        <v>1</v>
      </c>
      <c r="D1015" s="2">
        <f t="shared" si="30"/>
        <v>0</v>
      </c>
      <c r="E1015" s="2">
        <f>IF(D1015=1,Fandual!B1015,0)</f>
        <v>0</v>
      </c>
      <c r="F1015" s="2">
        <f>IF(D1015=1,Fandual!D1015,0)</f>
        <v>0</v>
      </c>
      <c r="G1015" s="2">
        <f>IF(D1015=1,Fandual!F1015,0)</f>
        <v>0</v>
      </c>
      <c r="H1015" s="2">
        <f>IF(D1015=1,Fandual!H1015,0)</f>
        <v>0</v>
      </c>
      <c r="I1015" s="2">
        <f>IF((Optimizer!$J$8=Fandual!J1015),4,0)</f>
        <v>0</v>
      </c>
      <c r="J1015" s="2">
        <f>IF((Optimizer!$J$10=Fandual!J1015),100,0)</f>
        <v>0</v>
      </c>
      <c r="K1015" s="2">
        <f t="shared" si="31"/>
        <v>0</v>
      </c>
      <c r="L1015" s="2">
        <f>IF(Fandual!M1015="",1,0)</f>
        <v>1</v>
      </c>
    </row>
    <row r="1016" spans="1:12" x14ac:dyDescent="0.25">
      <c r="A1016" s="2">
        <f>IF((OR(Optimizer!$J$8=Fandual!J1016,Optimizer!$J$10=Fandual!J1016))=TRUE, 1,0)</f>
        <v>0</v>
      </c>
      <c r="B1016" s="2">
        <f>IF((OR(Fandual!O1016="",Fandual!O1016&lt;&gt;0)=TRUE),1,0)</f>
        <v>1</v>
      </c>
      <c r="C1016" s="2">
        <f>IF(Fandual!B1016&lt;&gt;"P",1,0)</f>
        <v>1</v>
      </c>
      <c r="D1016" s="2">
        <f t="shared" si="30"/>
        <v>0</v>
      </c>
      <c r="E1016" s="2">
        <f>IF(D1016=1,Fandual!B1016,0)</f>
        <v>0</v>
      </c>
      <c r="F1016" s="2">
        <f>IF(D1016=1,Fandual!D1016,0)</f>
        <v>0</v>
      </c>
      <c r="G1016" s="2">
        <f>IF(D1016=1,Fandual!F1016,0)</f>
        <v>0</v>
      </c>
      <c r="H1016" s="2">
        <f>IF(D1016=1,Fandual!H1016,0)</f>
        <v>0</v>
      </c>
      <c r="I1016" s="2">
        <f>IF((Optimizer!$J$8=Fandual!J1016),4,0)</f>
        <v>0</v>
      </c>
      <c r="J1016" s="2">
        <f>IF((Optimizer!$J$10=Fandual!J1016),100,0)</f>
        <v>0</v>
      </c>
      <c r="K1016" s="2">
        <f t="shared" si="31"/>
        <v>0</v>
      </c>
      <c r="L1016" s="2">
        <f>IF(Fandual!M1016="",1,0)</f>
        <v>1</v>
      </c>
    </row>
    <row r="1017" spans="1:12" x14ac:dyDescent="0.25">
      <c r="A1017" s="2">
        <f>IF((OR(Optimizer!$J$8=Fandual!J1017,Optimizer!$J$10=Fandual!J1017))=TRUE, 1,0)</f>
        <v>0</v>
      </c>
      <c r="B1017" s="2">
        <f>IF((OR(Fandual!O1017="",Fandual!O1017&lt;&gt;0)=TRUE),1,0)</f>
        <v>1</v>
      </c>
      <c r="C1017" s="2">
        <f>IF(Fandual!B1017&lt;&gt;"P",1,0)</f>
        <v>1</v>
      </c>
      <c r="D1017" s="2">
        <f t="shared" si="30"/>
        <v>0</v>
      </c>
      <c r="E1017" s="2">
        <f>IF(D1017=1,Fandual!B1017,0)</f>
        <v>0</v>
      </c>
      <c r="F1017" s="2">
        <f>IF(D1017=1,Fandual!D1017,0)</f>
        <v>0</v>
      </c>
      <c r="G1017" s="2">
        <f>IF(D1017=1,Fandual!F1017,0)</f>
        <v>0</v>
      </c>
      <c r="H1017" s="2">
        <f>IF(D1017=1,Fandual!H1017,0)</f>
        <v>0</v>
      </c>
      <c r="I1017" s="2">
        <f>IF((Optimizer!$J$8=Fandual!J1017),4,0)</f>
        <v>0</v>
      </c>
      <c r="J1017" s="2">
        <f>IF((Optimizer!$J$10=Fandual!J1017),100,0)</f>
        <v>0</v>
      </c>
      <c r="K1017" s="2">
        <f t="shared" si="31"/>
        <v>0</v>
      </c>
      <c r="L1017" s="2">
        <f>IF(Fandual!M1017="",1,0)</f>
        <v>1</v>
      </c>
    </row>
    <row r="1018" spans="1:12" x14ac:dyDescent="0.25">
      <c r="A1018" s="2">
        <f>IF((OR(Optimizer!$J$8=Fandual!J1018,Optimizer!$J$10=Fandual!J1018))=TRUE, 1,0)</f>
        <v>0</v>
      </c>
      <c r="B1018" s="2">
        <f>IF((OR(Fandual!O1018="",Fandual!O1018&lt;&gt;0)=TRUE),1,0)</f>
        <v>1</v>
      </c>
      <c r="C1018" s="2">
        <f>IF(Fandual!B1018&lt;&gt;"P",1,0)</f>
        <v>1</v>
      </c>
      <c r="D1018" s="2">
        <f t="shared" si="30"/>
        <v>0</v>
      </c>
      <c r="E1018" s="2">
        <f>IF(D1018=1,Fandual!B1018,0)</f>
        <v>0</v>
      </c>
      <c r="F1018" s="2">
        <f>IF(D1018=1,Fandual!D1018,0)</f>
        <v>0</v>
      </c>
      <c r="G1018" s="2">
        <f>IF(D1018=1,Fandual!F1018,0)</f>
        <v>0</v>
      </c>
      <c r="H1018" s="2">
        <f>IF(D1018=1,Fandual!H1018,0)</f>
        <v>0</v>
      </c>
      <c r="I1018" s="2">
        <f>IF((Optimizer!$J$8=Fandual!J1018),4,0)</f>
        <v>0</v>
      </c>
      <c r="J1018" s="2">
        <f>IF((Optimizer!$J$10=Fandual!J1018),100,0)</f>
        <v>0</v>
      </c>
      <c r="K1018" s="2">
        <f t="shared" si="31"/>
        <v>0</v>
      </c>
      <c r="L1018" s="2">
        <f>IF(Fandual!M1018="",1,0)</f>
        <v>1</v>
      </c>
    </row>
    <row r="1019" spans="1:12" x14ac:dyDescent="0.25">
      <c r="A1019" s="2">
        <f>IF((OR(Optimizer!$J$8=Fandual!J1019,Optimizer!$J$10=Fandual!J1019))=TRUE, 1,0)</f>
        <v>0</v>
      </c>
      <c r="B1019" s="2">
        <f>IF((OR(Fandual!O1019="",Fandual!O1019&lt;&gt;0)=TRUE),1,0)</f>
        <v>1</v>
      </c>
      <c r="C1019" s="2">
        <f>IF(Fandual!B1019&lt;&gt;"P",1,0)</f>
        <v>1</v>
      </c>
      <c r="D1019" s="2">
        <f t="shared" si="30"/>
        <v>0</v>
      </c>
      <c r="E1019" s="2">
        <f>IF(D1019=1,Fandual!B1019,0)</f>
        <v>0</v>
      </c>
      <c r="F1019" s="2">
        <f>IF(D1019=1,Fandual!D1019,0)</f>
        <v>0</v>
      </c>
      <c r="G1019" s="2">
        <f>IF(D1019=1,Fandual!F1019,0)</f>
        <v>0</v>
      </c>
      <c r="H1019" s="2">
        <f>IF(D1019=1,Fandual!H1019,0)</f>
        <v>0</v>
      </c>
      <c r="I1019" s="2">
        <f>IF((Optimizer!$J$8=Fandual!J1019),4,0)</f>
        <v>0</v>
      </c>
      <c r="J1019" s="2">
        <f>IF((Optimizer!$J$10=Fandual!J1019),100,0)</f>
        <v>0</v>
      </c>
      <c r="K1019" s="2">
        <f t="shared" si="31"/>
        <v>0</v>
      </c>
      <c r="L1019" s="2">
        <f>IF(Fandual!M1019="",1,0)</f>
        <v>0</v>
      </c>
    </row>
    <row r="1020" spans="1:12" x14ac:dyDescent="0.25">
      <c r="A1020" s="2">
        <f>IF((OR(Optimizer!$J$8=Fandual!J1020,Optimizer!$J$10=Fandual!J1020))=TRUE, 1,0)</f>
        <v>0</v>
      </c>
      <c r="B1020" s="2">
        <f>IF((OR(Fandual!O1020="",Fandual!O1020&lt;&gt;0)=TRUE),1,0)</f>
        <v>1</v>
      </c>
      <c r="C1020" s="2">
        <f>IF(Fandual!B1020&lt;&gt;"P",1,0)</f>
        <v>1</v>
      </c>
      <c r="D1020" s="2">
        <f t="shared" si="30"/>
        <v>0</v>
      </c>
      <c r="E1020" s="2">
        <f>IF(D1020=1,Fandual!B1020,0)</f>
        <v>0</v>
      </c>
      <c r="F1020" s="2">
        <f>IF(D1020=1,Fandual!D1020,0)</f>
        <v>0</v>
      </c>
      <c r="G1020" s="2">
        <f>IF(D1020=1,Fandual!F1020,0)</f>
        <v>0</v>
      </c>
      <c r="H1020" s="2">
        <f>IF(D1020=1,Fandual!H1020,0)</f>
        <v>0</v>
      </c>
      <c r="I1020" s="2">
        <f>IF((Optimizer!$J$8=Fandual!J1020),4,0)</f>
        <v>0</v>
      </c>
      <c r="J1020" s="2">
        <f>IF((Optimizer!$J$10=Fandual!J1020),100,0)</f>
        <v>0</v>
      </c>
      <c r="K1020" s="2">
        <f t="shared" si="31"/>
        <v>0</v>
      </c>
      <c r="L1020" s="2">
        <f>IF(Fandual!M1020="",1,0)</f>
        <v>1</v>
      </c>
    </row>
    <row r="1021" spans="1:12" x14ac:dyDescent="0.25">
      <c r="A1021" s="2">
        <f>IF((OR(Optimizer!$J$8=Fandual!J1021,Optimizer!$J$10=Fandual!J1021))=TRUE, 1,0)</f>
        <v>0</v>
      </c>
      <c r="B1021" s="2">
        <f>IF((OR(Fandual!O1021="",Fandual!O1021&lt;&gt;0)=TRUE),1,0)</f>
        <v>1</v>
      </c>
      <c r="C1021" s="2">
        <f>IF(Fandual!B1021&lt;&gt;"P",1,0)</f>
        <v>1</v>
      </c>
      <c r="D1021" s="2">
        <f t="shared" si="30"/>
        <v>0</v>
      </c>
      <c r="E1021" s="2">
        <f>IF(D1021=1,Fandual!B1021,0)</f>
        <v>0</v>
      </c>
      <c r="F1021" s="2">
        <f>IF(D1021=1,Fandual!D1021,0)</f>
        <v>0</v>
      </c>
      <c r="G1021" s="2">
        <f>IF(D1021=1,Fandual!F1021,0)</f>
        <v>0</v>
      </c>
      <c r="H1021" s="2">
        <f>IF(D1021=1,Fandual!H1021,0)</f>
        <v>0</v>
      </c>
      <c r="I1021" s="2">
        <f>IF((Optimizer!$J$8=Fandual!J1021),4,0)</f>
        <v>0</v>
      </c>
      <c r="J1021" s="2">
        <f>IF((Optimizer!$J$10=Fandual!J1021),100,0)</f>
        <v>0</v>
      </c>
      <c r="K1021" s="2">
        <f t="shared" si="31"/>
        <v>0</v>
      </c>
      <c r="L1021" s="2">
        <f>IF(Fandual!M1021="",1,0)</f>
        <v>1</v>
      </c>
    </row>
    <row r="1022" spans="1:12" x14ac:dyDescent="0.25">
      <c r="A1022" s="2">
        <f>IF((OR(Optimizer!$J$8=Fandual!J1022,Optimizer!$J$10=Fandual!J1022))=TRUE, 1,0)</f>
        <v>0</v>
      </c>
      <c r="B1022" s="2">
        <f>IF((OR(Fandual!O1022="",Fandual!O1022&lt;&gt;0)=TRUE),1,0)</f>
        <v>1</v>
      </c>
      <c r="C1022" s="2">
        <f>IF(Fandual!B1022&lt;&gt;"P",1,0)</f>
        <v>1</v>
      </c>
      <c r="D1022" s="2">
        <f t="shared" si="30"/>
        <v>0</v>
      </c>
      <c r="E1022" s="2">
        <f>IF(D1022=1,Fandual!B1022,0)</f>
        <v>0</v>
      </c>
      <c r="F1022" s="2">
        <f>IF(D1022=1,Fandual!D1022,0)</f>
        <v>0</v>
      </c>
      <c r="G1022" s="2">
        <f>IF(D1022=1,Fandual!F1022,0)</f>
        <v>0</v>
      </c>
      <c r="H1022" s="2">
        <f>IF(D1022=1,Fandual!H1022,0)</f>
        <v>0</v>
      </c>
      <c r="I1022" s="2">
        <f>IF((Optimizer!$J$8=Fandual!J1022),4,0)</f>
        <v>0</v>
      </c>
      <c r="J1022" s="2">
        <f>IF((Optimizer!$J$10=Fandual!J1022),100,0)</f>
        <v>0</v>
      </c>
      <c r="K1022" s="2">
        <f t="shared" si="31"/>
        <v>0</v>
      </c>
      <c r="L1022" s="2">
        <f>IF(Fandual!M1022="",1,0)</f>
        <v>1</v>
      </c>
    </row>
    <row r="1023" spans="1:12" x14ac:dyDescent="0.25">
      <c r="A1023" s="2">
        <f>IF((OR(Optimizer!$J$8=Fandual!J1023,Optimizer!$J$10=Fandual!J1023))=TRUE, 1,0)</f>
        <v>0</v>
      </c>
      <c r="B1023" s="2">
        <f>IF((OR(Fandual!O1023="",Fandual!O1023&lt;&gt;0)=TRUE),1,0)</f>
        <v>1</v>
      </c>
      <c r="C1023" s="2">
        <f>IF(Fandual!B1023&lt;&gt;"P",1,0)</f>
        <v>1</v>
      </c>
      <c r="D1023" s="2">
        <f t="shared" si="30"/>
        <v>0</v>
      </c>
      <c r="E1023" s="2">
        <f>IF(D1023=1,Fandual!B1023,0)</f>
        <v>0</v>
      </c>
      <c r="F1023" s="2">
        <f>IF(D1023=1,Fandual!D1023,0)</f>
        <v>0</v>
      </c>
      <c r="G1023" s="2">
        <f>IF(D1023=1,Fandual!F1023,0)</f>
        <v>0</v>
      </c>
      <c r="H1023" s="2">
        <f>IF(D1023=1,Fandual!H1023,0)</f>
        <v>0</v>
      </c>
      <c r="I1023" s="2">
        <f>IF((Optimizer!$J$8=Fandual!J1023),4,0)</f>
        <v>0</v>
      </c>
      <c r="J1023" s="2">
        <f>IF((Optimizer!$J$10=Fandual!J1023),100,0)</f>
        <v>0</v>
      </c>
      <c r="K1023" s="2">
        <f t="shared" si="31"/>
        <v>0</v>
      </c>
      <c r="L1023" s="2">
        <f>IF(Fandual!M1023="",1,0)</f>
        <v>0</v>
      </c>
    </row>
    <row r="1024" spans="1:12" x14ac:dyDescent="0.25">
      <c r="A1024" s="2">
        <f>IF((OR(Optimizer!$J$8=Fandual!J1024,Optimizer!$J$10=Fandual!J1024))=TRUE, 1,0)</f>
        <v>0</v>
      </c>
      <c r="B1024" s="2">
        <f>IF((OR(Fandual!O1024="",Fandual!O1024&lt;&gt;0)=TRUE),1,0)</f>
        <v>1</v>
      </c>
      <c r="C1024" s="2">
        <f>IF(Fandual!B1024&lt;&gt;"P",1,0)</f>
        <v>1</v>
      </c>
      <c r="D1024" s="2">
        <f t="shared" si="30"/>
        <v>0</v>
      </c>
      <c r="E1024" s="2">
        <f>IF(D1024=1,Fandual!B1024,0)</f>
        <v>0</v>
      </c>
      <c r="F1024" s="2">
        <f>IF(D1024=1,Fandual!D1024,0)</f>
        <v>0</v>
      </c>
      <c r="G1024" s="2">
        <f>IF(D1024=1,Fandual!F1024,0)</f>
        <v>0</v>
      </c>
      <c r="H1024" s="2">
        <f>IF(D1024=1,Fandual!H1024,0)</f>
        <v>0</v>
      </c>
      <c r="I1024" s="2">
        <f>IF((Optimizer!$J$8=Fandual!J1024),4,0)</f>
        <v>0</v>
      </c>
      <c r="J1024" s="2">
        <f>IF((Optimizer!$J$10=Fandual!J1024),100,0)</f>
        <v>0</v>
      </c>
      <c r="K1024" s="2">
        <f t="shared" si="31"/>
        <v>0</v>
      </c>
      <c r="L1024" s="2">
        <f>IF(Fandual!M1024="",1,0)</f>
        <v>1</v>
      </c>
    </row>
    <row r="1025" spans="1:12" x14ac:dyDescent="0.25">
      <c r="A1025" s="2">
        <f>IF((OR(Optimizer!$J$8=Fandual!J1025,Optimizer!$J$10=Fandual!J1025))=TRUE, 1,0)</f>
        <v>0</v>
      </c>
      <c r="B1025" s="2">
        <f>IF((OR(Fandual!O1025="",Fandual!O1025&lt;&gt;0)=TRUE),1,0)</f>
        <v>1</v>
      </c>
      <c r="C1025" s="2">
        <f>IF(Fandual!B1025&lt;&gt;"P",1,0)</f>
        <v>1</v>
      </c>
      <c r="D1025" s="2">
        <f t="shared" si="30"/>
        <v>0</v>
      </c>
      <c r="E1025" s="2">
        <f>IF(D1025=1,Fandual!B1025,0)</f>
        <v>0</v>
      </c>
      <c r="F1025" s="2">
        <f>IF(D1025=1,Fandual!D1025,0)</f>
        <v>0</v>
      </c>
      <c r="G1025" s="2">
        <f>IF(D1025=1,Fandual!F1025,0)</f>
        <v>0</v>
      </c>
      <c r="H1025" s="2">
        <f>IF(D1025=1,Fandual!H1025,0)</f>
        <v>0</v>
      </c>
      <c r="I1025" s="2">
        <f>IF((Optimizer!$J$8=Fandual!J1025),4,0)</f>
        <v>0</v>
      </c>
      <c r="J1025" s="2">
        <f>IF((Optimizer!$J$10=Fandual!J1025),100,0)</f>
        <v>0</v>
      </c>
      <c r="K1025" s="2">
        <f t="shared" si="31"/>
        <v>0</v>
      </c>
      <c r="L1025" s="2">
        <f>IF(Fandual!M1025="",1,0)</f>
        <v>1</v>
      </c>
    </row>
    <row r="1026" spans="1:12" x14ac:dyDescent="0.25">
      <c r="A1026" s="2">
        <f>IF((OR(Optimizer!$J$8=Fandual!J1026,Optimizer!$J$10=Fandual!J1026))=TRUE, 1,0)</f>
        <v>0</v>
      </c>
      <c r="B1026" s="2">
        <f>IF((OR(Fandual!O1026="",Fandual!O1026&lt;&gt;0)=TRUE),1,0)</f>
        <v>1</v>
      </c>
      <c r="C1026" s="2">
        <f>IF(Fandual!B1026&lt;&gt;"P",1,0)</f>
        <v>1</v>
      </c>
      <c r="D1026" s="2">
        <f t="shared" ref="D1026:D1089" si="32">A1026*B1026*C1026*L1026</f>
        <v>0</v>
      </c>
      <c r="E1026" s="2">
        <f>IF(D1026=1,Fandual!B1026,0)</f>
        <v>0</v>
      </c>
      <c r="F1026" s="2">
        <f>IF(D1026=1,Fandual!D1026,0)</f>
        <v>0</v>
      </c>
      <c r="G1026" s="2">
        <f>IF(D1026=1,Fandual!F1026,0)</f>
        <v>0</v>
      </c>
      <c r="H1026" s="2">
        <f>IF(D1026=1,Fandual!H1026,0)</f>
        <v>0</v>
      </c>
      <c r="I1026" s="2">
        <f>IF((Optimizer!$J$8=Fandual!J1026),4,0)</f>
        <v>0</v>
      </c>
      <c r="J1026" s="2">
        <f>IF((Optimizer!$J$10=Fandual!J1026),100,0)</f>
        <v>0</v>
      </c>
      <c r="K1026" s="2">
        <f t="shared" si="31"/>
        <v>0</v>
      </c>
      <c r="L1026" s="2">
        <f>IF(Fandual!M1026="",1,0)</f>
        <v>1</v>
      </c>
    </row>
    <row r="1027" spans="1:12" x14ac:dyDescent="0.25">
      <c r="A1027" s="2">
        <f>IF((OR(Optimizer!$J$8=Fandual!J1027,Optimizer!$J$10=Fandual!J1027))=TRUE, 1,0)</f>
        <v>0</v>
      </c>
      <c r="B1027" s="2">
        <f>IF((OR(Fandual!O1027="",Fandual!O1027&lt;&gt;0)=TRUE),1,0)</f>
        <v>1</v>
      </c>
      <c r="C1027" s="2">
        <f>IF(Fandual!B1027&lt;&gt;"P",1,0)</f>
        <v>1</v>
      </c>
      <c r="D1027" s="2">
        <f t="shared" si="32"/>
        <v>0</v>
      </c>
      <c r="E1027" s="2">
        <f>IF(D1027=1,Fandual!B1027,0)</f>
        <v>0</v>
      </c>
      <c r="F1027" s="2">
        <f>IF(D1027=1,Fandual!D1027,0)</f>
        <v>0</v>
      </c>
      <c r="G1027" s="2">
        <f>IF(D1027=1,Fandual!F1027,0)</f>
        <v>0</v>
      </c>
      <c r="H1027" s="2">
        <f>IF(D1027=1,Fandual!H1027,0)</f>
        <v>0</v>
      </c>
      <c r="I1027" s="2">
        <f>IF((Optimizer!$J$8=Fandual!J1027),4,0)</f>
        <v>0</v>
      </c>
      <c r="J1027" s="2">
        <f>IF((Optimizer!$J$10=Fandual!J1027),100,0)</f>
        <v>0</v>
      </c>
      <c r="K1027" s="2">
        <f t="shared" ref="K1027:K1090" si="33">(I1027+J1027)*D1027</f>
        <v>0</v>
      </c>
      <c r="L1027" s="2">
        <f>IF(Fandual!M1027="",1,0)</f>
        <v>1</v>
      </c>
    </row>
    <row r="1028" spans="1:12" x14ac:dyDescent="0.25">
      <c r="A1028" s="2">
        <f>IF((OR(Optimizer!$J$8=Fandual!J1028,Optimizer!$J$10=Fandual!J1028))=TRUE, 1,0)</f>
        <v>0</v>
      </c>
      <c r="B1028" s="2">
        <f>IF((OR(Fandual!O1028="",Fandual!O1028&lt;&gt;0)=TRUE),1,0)</f>
        <v>1</v>
      </c>
      <c r="C1028" s="2">
        <f>IF(Fandual!B1028&lt;&gt;"P",1,0)</f>
        <v>1</v>
      </c>
      <c r="D1028" s="2">
        <f t="shared" si="32"/>
        <v>0</v>
      </c>
      <c r="E1028" s="2">
        <f>IF(D1028=1,Fandual!B1028,0)</f>
        <v>0</v>
      </c>
      <c r="F1028" s="2">
        <f>IF(D1028=1,Fandual!D1028,0)</f>
        <v>0</v>
      </c>
      <c r="G1028" s="2">
        <f>IF(D1028=1,Fandual!F1028,0)</f>
        <v>0</v>
      </c>
      <c r="H1028" s="2">
        <f>IF(D1028=1,Fandual!H1028,0)</f>
        <v>0</v>
      </c>
      <c r="I1028" s="2">
        <f>IF((Optimizer!$J$8=Fandual!J1028),4,0)</f>
        <v>0</v>
      </c>
      <c r="J1028" s="2">
        <f>IF((Optimizer!$J$10=Fandual!J1028),100,0)</f>
        <v>0</v>
      </c>
      <c r="K1028" s="2">
        <f t="shared" si="33"/>
        <v>0</v>
      </c>
      <c r="L1028" s="2">
        <f>IF(Fandual!M1028="",1,0)</f>
        <v>1</v>
      </c>
    </row>
    <row r="1029" spans="1:12" x14ac:dyDescent="0.25">
      <c r="A1029" s="2">
        <f>IF((OR(Optimizer!$J$8=Fandual!J1029,Optimizer!$J$10=Fandual!J1029))=TRUE, 1,0)</f>
        <v>0</v>
      </c>
      <c r="B1029" s="2">
        <f>IF((OR(Fandual!O1029="",Fandual!O1029&lt;&gt;0)=TRUE),1,0)</f>
        <v>1</v>
      </c>
      <c r="C1029" s="2">
        <f>IF(Fandual!B1029&lt;&gt;"P",1,0)</f>
        <v>1</v>
      </c>
      <c r="D1029" s="2">
        <f t="shared" si="32"/>
        <v>0</v>
      </c>
      <c r="E1029" s="2">
        <f>IF(D1029=1,Fandual!B1029,0)</f>
        <v>0</v>
      </c>
      <c r="F1029" s="2">
        <f>IF(D1029=1,Fandual!D1029,0)</f>
        <v>0</v>
      </c>
      <c r="G1029" s="2">
        <f>IF(D1029=1,Fandual!F1029,0)</f>
        <v>0</v>
      </c>
      <c r="H1029" s="2">
        <f>IF(D1029=1,Fandual!H1029,0)</f>
        <v>0</v>
      </c>
      <c r="I1029" s="2">
        <f>IF((Optimizer!$J$8=Fandual!J1029),4,0)</f>
        <v>0</v>
      </c>
      <c r="J1029" s="2">
        <f>IF((Optimizer!$J$10=Fandual!J1029),100,0)</f>
        <v>0</v>
      </c>
      <c r="K1029" s="2">
        <f t="shared" si="33"/>
        <v>0</v>
      </c>
      <c r="L1029" s="2">
        <f>IF(Fandual!M1029="",1,0)</f>
        <v>1</v>
      </c>
    </row>
    <row r="1030" spans="1:12" x14ac:dyDescent="0.25">
      <c r="A1030" s="2">
        <f>IF((OR(Optimizer!$J$8=Fandual!J1030,Optimizer!$J$10=Fandual!J1030))=TRUE, 1,0)</f>
        <v>0</v>
      </c>
      <c r="B1030" s="2">
        <f>IF((OR(Fandual!O1030="",Fandual!O1030&lt;&gt;0)=TRUE),1,0)</f>
        <v>1</v>
      </c>
      <c r="C1030" s="2">
        <f>IF(Fandual!B1030&lt;&gt;"P",1,0)</f>
        <v>1</v>
      </c>
      <c r="D1030" s="2">
        <f t="shared" si="32"/>
        <v>0</v>
      </c>
      <c r="E1030" s="2">
        <f>IF(D1030=1,Fandual!B1030,0)</f>
        <v>0</v>
      </c>
      <c r="F1030" s="2">
        <f>IF(D1030=1,Fandual!D1030,0)</f>
        <v>0</v>
      </c>
      <c r="G1030" s="2">
        <f>IF(D1030=1,Fandual!F1030,0)</f>
        <v>0</v>
      </c>
      <c r="H1030" s="2">
        <f>IF(D1030=1,Fandual!H1030,0)</f>
        <v>0</v>
      </c>
      <c r="I1030" s="2">
        <f>IF((Optimizer!$J$8=Fandual!J1030),4,0)</f>
        <v>0</v>
      </c>
      <c r="J1030" s="2">
        <f>IF((Optimizer!$J$10=Fandual!J1030),100,0)</f>
        <v>0</v>
      </c>
      <c r="K1030" s="2">
        <f t="shared" si="33"/>
        <v>0</v>
      </c>
      <c r="L1030" s="2">
        <f>IF(Fandual!M1030="",1,0)</f>
        <v>1</v>
      </c>
    </row>
    <row r="1031" spans="1:12" x14ac:dyDescent="0.25">
      <c r="A1031" s="2">
        <f>IF((OR(Optimizer!$J$8=Fandual!J1031,Optimizer!$J$10=Fandual!J1031))=TRUE, 1,0)</f>
        <v>0</v>
      </c>
      <c r="B1031" s="2">
        <f>IF((OR(Fandual!O1031="",Fandual!O1031&lt;&gt;0)=TRUE),1,0)</f>
        <v>1</v>
      </c>
      <c r="C1031" s="2">
        <f>IF(Fandual!B1031&lt;&gt;"P",1,0)</f>
        <v>1</v>
      </c>
      <c r="D1031" s="2">
        <f t="shared" si="32"/>
        <v>0</v>
      </c>
      <c r="E1031" s="2">
        <f>IF(D1031=1,Fandual!B1031,0)</f>
        <v>0</v>
      </c>
      <c r="F1031" s="2">
        <f>IF(D1031=1,Fandual!D1031,0)</f>
        <v>0</v>
      </c>
      <c r="G1031" s="2">
        <f>IF(D1031=1,Fandual!F1031,0)</f>
        <v>0</v>
      </c>
      <c r="H1031" s="2">
        <f>IF(D1031=1,Fandual!H1031,0)</f>
        <v>0</v>
      </c>
      <c r="I1031" s="2">
        <f>IF((Optimizer!$J$8=Fandual!J1031),4,0)</f>
        <v>0</v>
      </c>
      <c r="J1031" s="2">
        <f>IF((Optimizer!$J$10=Fandual!J1031),100,0)</f>
        <v>0</v>
      </c>
      <c r="K1031" s="2">
        <f t="shared" si="33"/>
        <v>0</v>
      </c>
      <c r="L1031" s="2">
        <f>IF(Fandual!M1031="",1,0)</f>
        <v>1</v>
      </c>
    </row>
    <row r="1032" spans="1:12" x14ac:dyDescent="0.25">
      <c r="A1032" s="2">
        <f>IF((OR(Optimizer!$J$8=Fandual!J1032,Optimizer!$J$10=Fandual!J1032))=TRUE, 1,0)</f>
        <v>0</v>
      </c>
      <c r="B1032" s="2">
        <f>IF((OR(Fandual!O1032="",Fandual!O1032&lt;&gt;0)=TRUE),1,0)</f>
        <v>1</v>
      </c>
      <c r="C1032" s="2">
        <f>IF(Fandual!B1032&lt;&gt;"P",1,0)</f>
        <v>1</v>
      </c>
      <c r="D1032" s="2">
        <f t="shared" si="32"/>
        <v>0</v>
      </c>
      <c r="E1032" s="2">
        <f>IF(D1032=1,Fandual!B1032,0)</f>
        <v>0</v>
      </c>
      <c r="F1032" s="2">
        <f>IF(D1032=1,Fandual!D1032,0)</f>
        <v>0</v>
      </c>
      <c r="G1032" s="2">
        <f>IF(D1032=1,Fandual!F1032,0)</f>
        <v>0</v>
      </c>
      <c r="H1032" s="2">
        <f>IF(D1032=1,Fandual!H1032,0)</f>
        <v>0</v>
      </c>
      <c r="I1032" s="2">
        <f>IF((Optimizer!$J$8=Fandual!J1032),4,0)</f>
        <v>0</v>
      </c>
      <c r="J1032" s="2">
        <f>IF((Optimizer!$J$10=Fandual!J1032),100,0)</f>
        <v>0</v>
      </c>
      <c r="K1032" s="2">
        <f t="shared" si="33"/>
        <v>0</v>
      </c>
      <c r="L1032" s="2">
        <f>IF(Fandual!M1032="",1,0)</f>
        <v>1</v>
      </c>
    </row>
    <row r="1033" spans="1:12" x14ac:dyDescent="0.25">
      <c r="A1033" s="2">
        <f>IF((OR(Optimizer!$J$8=Fandual!J1033,Optimizer!$J$10=Fandual!J1033))=TRUE, 1,0)</f>
        <v>0</v>
      </c>
      <c r="B1033" s="2">
        <f>IF((OR(Fandual!O1033="",Fandual!O1033&lt;&gt;0)=TRUE),1,0)</f>
        <v>1</v>
      </c>
      <c r="C1033" s="2">
        <f>IF(Fandual!B1033&lt;&gt;"P",1,0)</f>
        <v>1</v>
      </c>
      <c r="D1033" s="2">
        <f t="shared" si="32"/>
        <v>0</v>
      </c>
      <c r="E1033" s="2">
        <f>IF(D1033=1,Fandual!B1033,0)</f>
        <v>0</v>
      </c>
      <c r="F1033" s="2">
        <f>IF(D1033=1,Fandual!D1033,0)</f>
        <v>0</v>
      </c>
      <c r="G1033" s="2">
        <f>IF(D1033=1,Fandual!F1033,0)</f>
        <v>0</v>
      </c>
      <c r="H1033" s="2">
        <f>IF(D1033=1,Fandual!H1033,0)</f>
        <v>0</v>
      </c>
      <c r="I1033" s="2">
        <f>IF((Optimizer!$J$8=Fandual!J1033),4,0)</f>
        <v>0</v>
      </c>
      <c r="J1033" s="2">
        <f>IF((Optimizer!$J$10=Fandual!J1033),100,0)</f>
        <v>0</v>
      </c>
      <c r="K1033" s="2">
        <f t="shared" si="33"/>
        <v>0</v>
      </c>
      <c r="L1033" s="2">
        <f>IF(Fandual!M1033="",1,0)</f>
        <v>1</v>
      </c>
    </row>
    <row r="1034" spans="1:12" x14ac:dyDescent="0.25">
      <c r="A1034" s="2">
        <f>IF((OR(Optimizer!$J$8=Fandual!J1034,Optimizer!$J$10=Fandual!J1034))=TRUE, 1,0)</f>
        <v>0</v>
      </c>
      <c r="B1034" s="2">
        <f>IF((OR(Fandual!O1034="",Fandual!O1034&lt;&gt;0)=TRUE),1,0)</f>
        <v>1</v>
      </c>
      <c r="C1034" s="2">
        <f>IF(Fandual!B1034&lt;&gt;"P",1,0)</f>
        <v>1</v>
      </c>
      <c r="D1034" s="2">
        <f t="shared" si="32"/>
        <v>0</v>
      </c>
      <c r="E1034" s="2">
        <f>IF(D1034=1,Fandual!B1034,0)</f>
        <v>0</v>
      </c>
      <c r="F1034" s="2">
        <f>IF(D1034=1,Fandual!D1034,0)</f>
        <v>0</v>
      </c>
      <c r="G1034" s="2">
        <f>IF(D1034=1,Fandual!F1034,0)</f>
        <v>0</v>
      </c>
      <c r="H1034" s="2">
        <f>IF(D1034=1,Fandual!H1034,0)</f>
        <v>0</v>
      </c>
      <c r="I1034" s="2">
        <f>IF((Optimizer!$J$8=Fandual!J1034),4,0)</f>
        <v>0</v>
      </c>
      <c r="J1034" s="2">
        <f>IF((Optimizer!$J$10=Fandual!J1034),100,0)</f>
        <v>0</v>
      </c>
      <c r="K1034" s="2">
        <f t="shared" si="33"/>
        <v>0</v>
      </c>
      <c r="L1034" s="2">
        <f>IF(Fandual!M1034="",1,0)</f>
        <v>1</v>
      </c>
    </row>
    <row r="1035" spans="1:12" x14ac:dyDescent="0.25">
      <c r="A1035" s="2">
        <f>IF((OR(Optimizer!$J$8=Fandual!J1035,Optimizer!$J$10=Fandual!J1035))=TRUE, 1,0)</f>
        <v>0</v>
      </c>
      <c r="B1035" s="2">
        <f>IF((OR(Fandual!O1035="",Fandual!O1035&lt;&gt;0)=TRUE),1,0)</f>
        <v>1</v>
      </c>
      <c r="C1035" s="2">
        <f>IF(Fandual!B1035&lt;&gt;"P",1,0)</f>
        <v>1</v>
      </c>
      <c r="D1035" s="2">
        <f t="shared" si="32"/>
        <v>0</v>
      </c>
      <c r="E1035" s="2">
        <f>IF(D1035=1,Fandual!B1035,0)</f>
        <v>0</v>
      </c>
      <c r="F1035" s="2">
        <f>IF(D1035=1,Fandual!D1035,0)</f>
        <v>0</v>
      </c>
      <c r="G1035" s="2">
        <f>IF(D1035=1,Fandual!F1035,0)</f>
        <v>0</v>
      </c>
      <c r="H1035" s="2">
        <f>IF(D1035=1,Fandual!H1035,0)</f>
        <v>0</v>
      </c>
      <c r="I1035" s="2">
        <f>IF((Optimizer!$J$8=Fandual!J1035),4,0)</f>
        <v>0</v>
      </c>
      <c r="J1035" s="2">
        <f>IF((Optimizer!$J$10=Fandual!J1035),100,0)</f>
        <v>0</v>
      </c>
      <c r="K1035" s="2">
        <f t="shared" si="33"/>
        <v>0</v>
      </c>
      <c r="L1035" s="2">
        <f>IF(Fandual!M1035="",1,0)</f>
        <v>1</v>
      </c>
    </row>
    <row r="1036" spans="1:12" x14ac:dyDescent="0.25">
      <c r="A1036" s="2">
        <f>IF((OR(Optimizer!$J$8=Fandual!J1036,Optimizer!$J$10=Fandual!J1036))=TRUE, 1,0)</f>
        <v>0</v>
      </c>
      <c r="B1036" s="2">
        <f>IF((OR(Fandual!O1036="",Fandual!O1036&lt;&gt;0)=TRUE),1,0)</f>
        <v>1</v>
      </c>
      <c r="C1036" s="2">
        <f>IF(Fandual!B1036&lt;&gt;"P",1,0)</f>
        <v>1</v>
      </c>
      <c r="D1036" s="2">
        <f t="shared" si="32"/>
        <v>0</v>
      </c>
      <c r="E1036" s="2">
        <f>IF(D1036=1,Fandual!B1036,0)</f>
        <v>0</v>
      </c>
      <c r="F1036" s="2">
        <f>IF(D1036=1,Fandual!D1036,0)</f>
        <v>0</v>
      </c>
      <c r="G1036" s="2">
        <f>IF(D1036=1,Fandual!F1036,0)</f>
        <v>0</v>
      </c>
      <c r="H1036" s="2">
        <f>IF(D1036=1,Fandual!H1036,0)</f>
        <v>0</v>
      </c>
      <c r="I1036" s="2">
        <f>IF((Optimizer!$J$8=Fandual!J1036),4,0)</f>
        <v>0</v>
      </c>
      <c r="J1036" s="2">
        <f>IF((Optimizer!$J$10=Fandual!J1036),100,0)</f>
        <v>0</v>
      </c>
      <c r="K1036" s="2">
        <f t="shared" si="33"/>
        <v>0</v>
      </c>
      <c r="L1036" s="2">
        <f>IF(Fandual!M1036="",1,0)</f>
        <v>0</v>
      </c>
    </row>
    <row r="1037" spans="1:12" x14ac:dyDescent="0.25">
      <c r="A1037" s="2">
        <f>IF((OR(Optimizer!$J$8=Fandual!J1037,Optimizer!$J$10=Fandual!J1037))=TRUE, 1,0)</f>
        <v>0</v>
      </c>
      <c r="B1037" s="2">
        <f>IF((OR(Fandual!O1037="",Fandual!O1037&lt;&gt;0)=TRUE),1,0)</f>
        <v>1</v>
      </c>
      <c r="C1037" s="2">
        <f>IF(Fandual!B1037&lt;&gt;"P",1,0)</f>
        <v>1</v>
      </c>
      <c r="D1037" s="2">
        <f t="shared" si="32"/>
        <v>0</v>
      </c>
      <c r="E1037" s="2">
        <f>IF(D1037=1,Fandual!B1037,0)</f>
        <v>0</v>
      </c>
      <c r="F1037" s="2">
        <f>IF(D1037=1,Fandual!D1037,0)</f>
        <v>0</v>
      </c>
      <c r="G1037" s="2">
        <f>IF(D1037=1,Fandual!F1037,0)</f>
        <v>0</v>
      </c>
      <c r="H1037" s="2">
        <f>IF(D1037=1,Fandual!H1037,0)</f>
        <v>0</v>
      </c>
      <c r="I1037" s="2">
        <f>IF((Optimizer!$J$8=Fandual!J1037),4,0)</f>
        <v>0</v>
      </c>
      <c r="J1037" s="2">
        <f>IF((Optimizer!$J$10=Fandual!J1037),100,0)</f>
        <v>0</v>
      </c>
      <c r="K1037" s="2">
        <f t="shared" si="33"/>
        <v>0</v>
      </c>
      <c r="L1037" s="2">
        <f>IF(Fandual!M1037="",1,0)</f>
        <v>1</v>
      </c>
    </row>
    <row r="1038" spans="1:12" x14ac:dyDescent="0.25">
      <c r="A1038" s="2">
        <f>IF((OR(Optimizer!$J$8=Fandual!J1038,Optimizer!$J$10=Fandual!J1038))=TRUE, 1,0)</f>
        <v>0</v>
      </c>
      <c r="B1038" s="2">
        <f>IF((OR(Fandual!O1038="",Fandual!O1038&lt;&gt;0)=TRUE),1,0)</f>
        <v>1</v>
      </c>
      <c r="C1038" s="2">
        <f>IF(Fandual!B1038&lt;&gt;"P",1,0)</f>
        <v>1</v>
      </c>
      <c r="D1038" s="2">
        <f t="shared" si="32"/>
        <v>0</v>
      </c>
      <c r="E1038" s="2">
        <f>IF(D1038=1,Fandual!B1038,0)</f>
        <v>0</v>
      </c>
      <c r="F1038" s="2">
        <f>IF(D1038=1,Fandual!D1038,0)</f>
        <v>0</v>
      </c>
      <c r="G1038" s="2">
        <f>IF(D1038=1,Fandual!F1038,0)</f>
        <v>0</v>
      </c>
      <c r="H1038" s="2">
        <f>IF(D1038=1,Fandual!H1038,0)</f>
        <v>0</v>
      </c>
      <c r="I1038" s="2">
        <f>IF((Optimizer!$J$8=Fandual!J1038),4,0)</f>
        <v>0</v>
      </c>
      <c r="J1038" s="2">
        <f>IF((Optimizer!$J$10=Fandual!J1038),100,0)</f>
        <v>0</v>
      </c>
      <c r="K1038" s="2">
        <f t="shared" si="33"/>
        <v>0</v>
      </c>
      <c r="L1038" s="2">
        <f>IF(Fandual!M1038="",1,0)</f>
        <v>1</v>
      </c>
    </row>
    <row r="1039" spans="1:12" x14ac:dyDescent="0.25">
      <c r="A1039" s="2">
        <f>IF((OR(Optimizer!$J$8=Fandual!J1039,Optimizer!$J$10=Fandual!J1039))=TRUE, 1,0)</f>
        <v>0</v>
      </c>
      <c r="B1039" s="2">
        <f>IF((OR(Fandual!O1039="",Fandual!O1039&lt;&gt;0)=TRUE),1,0)</f>
        <v>1</v>
      </c>
      <c r="C1039" s="2">
        <f>IF(Fandual!B1039&lt;&gt;"P",1,0)</f>
        <v>1</v>
      </c>
      <c r="D1039" s="2">
        <f t="shared" si="32"/>
        <v>0</v>
      </c>
      <c r="E1039" s="2">
        <f>IF(D1039=1,Fandual!B1039,0)</f>
        <v>0</v>
      </c>
      <c r="F1039" s="2">
        <f>IF(D1039=1,Fandual!D1039,0)</f>
        <v>0</v>
      </c>
      <c r="G1039" s="2">
        <f>IF(D1039=1,Fandual!F1039,0)</f>
        <v>0</v>
      </c>
      <c r="H1039" s="2">
        <f>IF(D1039=1,Fandual!H1039,0)</f>
        <v>0</v>
      </c>
      <c r="I1039" s="2">
        <f>IF((Optimizer!$J$8=Fandual!J1039),4,0)</f>
        <v>0</v>
      </c>
      <c r="J1039" s="2">
        <f>IF((Optimizer!$J$10=Fandual!J1039),100,0)</f>
        <v>0</v>
      </c>
      <c r="K1039" s="2">
        <f t="shared" si="33"/>
        <v>0</v>
      </c>
      <c r="L1039" s="2">
        <f>IF(Fandual!M1039="",1,0)</f>
        <v>1</v>
      </c>
    </row>
    <row r="1040" spans="1:12" x14ac:dyDescent="0.25">
      <c r="A1040" s="2">
        <f>IF((OR(Optimizer!$J$8=Fandual!J1040,Optimizer!$J$10=Fandual!J1040))=TRUE, 1,0)</f>
        <v>0</v>
      </c>
      <c r="B1040" s="2">
        <f>IF((OR(Fandual!O1040="",Fandual!O1040&lt;&gt;0)=TRUE),1,0)</f>
        <v>1</v>
      </c>
      <c r="C1040" s="2">
        <f>IF(Fandual!B1040&lt;&gt;"P",1,0)</f>
        <v>1</v>
      </c>
      <c r="D1040" s="2">
        <f t="shared" si="32"/>
        <v>0</v>
      </c>
      <c r="E1040" s="2">
        <f>IF(D1040=1,Fandual!B1040,0)</f>
        <v>0</v>
      </c>
      <c r="F1040" s="2">
        <f>IF(D1040=1,Fandual!D1040,0)</f>
        <v>0</v>
      </c>
      <c r="G1040" s="2">
        <f>IF(D1040=1,Fandual!F1040,0)</f>
        <v>0</v>
      </c>
      <c r="H1040" s="2">
        <f>IF(D1040=1,Fandual!H1040,0)</f>
        <v>0</v>
      </c>
      <c r="I1040" s="2">
        <f>IF((Optimizer!$J$8=Fandual!J1040),4,0)</f>
        <v>0</v>
      </c>
      <c r="J1040" s="2">
        <f>IF((Optimizer!$J$10=Fandual!J1040),100,0)</f>
        <v>0</v>
      </c>
      <c r="K1040" s="2">
        <f t="shared" si="33"/>
        <v>0</v>
      </c>
      <c r="L1040" s="2">
        <f>IF(Fandual!M1040="",1,0)</f>
        <v>1</v>
      </c>
    </row>
    <row r="1041" spans="1:12" x14ac:dyDescent="0.25">
      <c r="A1041" s="2">
        <f>IF((OR(Optimizer!$J$8=Fandual!J1041,Optimizer!$J$10=Fandual!J1041))=TRUE, 1,0)</f>
        <v>0</v>
      </c>
      <c r="B1041" s="2">
        <f>IF((OR(Fandual!O1041="",Fandual!O1041&lt;&gt;0)=TRUE),1,0)</f>
        <v>1</v>
      </c>
      <c r="C1041" s="2">
        <f>IF(Fandual!B1041&lt;&gt;"P",1,0)</f>
        <v>1</v>
      </c>
      <c r="D1041" s="2">
        <f t="shared" si="32"/>
        <v>0</v>
      </c>
      <c r="E1041" s="2">
        <f>IF(D1041=1,Fandual!B1041,0)</f>
        <v>0</v>
      </c>
      <c r="F1041" s="2">
        <f>IF(D1041=1,Fandual!D1041,0)</f>
        <v>0</v>
      </c>
      <c r="G1041" s="2">
        <f>IF(D1041=1,Fandual!F1041,0)</f>
        <v>0</v>
      </c>
      <c r="H1041" s="2">
        <f>IF(D1041=1,Fandual!H1041,0)</f>
        <v>0</v>
      </c>
      <c r="I1041" s="2">
        <f>IF((Optimizer!$J$8=Fandual!J1041),4,0)</f>
        <v>0</v>
      </c>
      <c r="J1041" s="2">
        <f>IF((Optimizer!$J$10=Fandual!J1041),100,0)</f>
        <v>0</v>
      </c>
      <c r="K1041" s="2">
        <f t="shared" si="33"/>
        <v>0</v>
      </c>
      <c r="L1041" s="2">
        <f>IF(Fandual!M1041="",1,0)</f>
        <v>1</v>
      </c>
    </row>
    <row r="1042" spans="1:12" x14ac:dyDescent="0.25">
      <c r="A1042" s="2">
        <f>IF((OR(Optimizer!$J$8=Fandual!J1042,Optimizer!$J$10=Fandual!J1042))=TRUE, 1,0)</f>
        <v>0</v>
      </c>
      <c r="B1042" s="2">
        <f>IF((OR(Fandual!O1042="",Fandual!O1042&lt;&gt;0)=TRUE),1,0)</f>
        <v>1</v>
      </c>
      <c r="C1042" s="2">
        <f>IF(Fandual!B1042&lt;&gt;"P",1,0)</f>
        <v>1</v>
      </c>
      <c r="D1042" s="2">
        <f t="shared" si="32"/>
        <v>0</v>
      </c>
      <c r="E1042" s="2">
        <f>IF(D1042=1,Fandual!B1042,0)</f>
        <v>0</v>
      </c>
      <c r="F1042" s="2">
        <f>IF(D1042=1,Fandual!D1042,0)</f>
        <v>0</v>
      </c>
      <c r="G1042" s="2">
        <f>IF(D1042=1,Fandual!F1042,0)</f>
        <v>0</v>
      </c>
      <c r="H1042" s="2">
        <f>IF(D1042=1,Fandual!H1042,0)</f>
        <v>0</v>
      </c>
      <c r="I1042" s="2">
        <f>IF((Optimizer!$J$8=Fandual!J1042),4,0)</f>
        <v>0</v>
      </c>
      <c r="J1042" s="2">
        <f>IF((Optimizer!$J$10=Fandual!J1042),100,0)</f>
        <v>0</v>
      </c>
      <c r="K1042" s="2">
        <f t="shared" si="33"/>
        <v>0</v>
      </c>
      <c r="L1042" s="2">
        <f>IF(Fandual!M1042="",1,0)</f>
        <v>1</v>
      </c>
    </row>
    <row r="1043" spans="1:12" x14ac:dyDescent="0.25">
      <c r="A1043" s="2">
        <f>IF((OR(Optimizer!$J$8=Fandual!J1043,Optimizer!$J$10=Fandual!J1043))=TRUE, 1,0)</f>
        <v>0</v>
      </c>
      <c r="B1043" s="2">
        <f>IF((OR(Fandual!O1043="",Fandual!O1043&lt;&gt;0)=TRUE),1,0)</f>
        <v>1</v>
      </c>
      <c r="C1043" s="2">
        <f>IF(Fandual!B1043&lt;&gt;"P",1,0)</f>
        <v>1</v>
      </c>
      <c r="D1043" s="2">
        <f t="shared" si="32"/>
        <v>0</v>
      </c>
      <c r="E1043" s="2">
        <f>IF(D1043=1,Fandual!B1043,0)</f>
        <v>0</v>
      </c>
      <c r="F1043" s="2">
        <f>IF(D1043=1,Fandual!D1043,0)</f>
        <v>0</v>
      </c>
      <c r="G1043" s="2">
        <f>IF(D1043=1,Fandual!F1043,0)</f>
        <v>0</v>
      </c>
      <c r="H1043" s="2">
        <f>IF(D1043=1,Fandual!H1043,0)</f>
        <v>0</v>
      </c>
      <c r="I1043" s="2">
        <f>IF((Optimizer!$J$8=Fandual!J1043),4,0)</f>
        <v>0</v>
      </c>
      <c r="J1043" s="2">
        <f>IF((Optimizer!$J$10=Fandual!J1043),100,0)</f>
        <v>0</v>
      </c>
      <c r="K1043" s="2">
        <f t="shared" si="33"/>
        <v>0</v>
      </c>
      <c r="L1043" s="2">
        <f>IF(Fandual!M1043="",1,0)</f>
        <v>1</v>
      </c>
    </row>
    <row r="1044" spans="1:12" x14ac:dyDescent="0.25">
      <c r="A1044" s="2">
        <f>IF((OR(Optimizer!$J$8=Fandual!J1044,Optimizer!$J$10=Fandual!J1044))=TRUE, 1,0)</f>
        <v>0</v>
      </c>
      <c r="B1044" s="2">
        <f>IF((OR(Fandual!O1044="",Fandual!O1044&lt;&gt;0)=TRUE),1,0)</f>
        <v>1</v>
      </c>
      <c r="C1044" s="2">
        <f>IF(Fandual!B1044&lt;&gt;"P",1,0)</f>
        <v>1</v>
      </c>
      <c r="D1044" s="2">
        <f t="shared" si="32"/>
        <v>0</v>
      </c>
      <c r="E1044" s="2">
        <f>IF(D1044=1,Fandual!B1044,0)</f>
        <v>0</v>
      </c>
      <c r="F1044" s="2">
        <f>IF(D1044=1,Fandual!D1044,0)</f>
        <v>0</v>
      </c>
      <c r="G1044" s="2">
        <f>IF(D1044=1,Fandual!F1044,0)</f>
        <v>0</v>
      </c>
      <c r="H1044" s="2">
        <f>IF(D1044=1,Fandual!H1044,0)</f>
        <v>0</v>
      </c>
      <c r="I1044" s="2">
        <f>IF((Optimizer!$J$8=Fandual!J1044),4,0)</f>
        <v>0</v>
      </c>
      <c r="J1044" s="2">
        <f>IF((Optimizer!$J$10=Fandual!J1044),100,0)</f>
        <v>0</v>
      </c>
      <c r="K1044" s="2">
        <f t="shared" si="33"/>
        <v>0</v>
      </c>
      <c r="L1044" s="2">
        <f>IF(Fandual!M1044="",1,0)</f>
        <v>1</v>
      </c>
    </row>
    <row r="1045" spans="1:12" x14ac:dyDescent="0.25">
      <c r="A1045" s="2">
        <f>IF((OR(Optimizer!$J$8=Fandual!J1045,Optimizer!$J$10=Fandual!J1045))=TRUE, 1,0)</f>
        <v>0</v>
      </c>
      <c r="B1045" s="2">
        <f>IF((OR(Fandual!O1045="",Fandual!O1045&lt;&gt;0)=TRUE),1,0)</f>
        <v>1</v>
      </c>
      <c r="C1045" s="2">
        <f>IF(Fandual!B1045&lt;&gt;"P",1,0)</f>
        <v>1</v>
      </c>
      <c r="D1045" s="2">
        <f t="shared" si="32"/>
        <v>0</v>
      </c>
      <c r="E1045" s="2">
        <f>IF(D1045=1,Fandual!B1045,0)</f>
        <v>0</v>
      </c>
      <c r="F1045" s="2">
        <f>IF(D1045=1,Fandual!D1045,0)</f>
        <v>0</v>
      </c>
      <c r="G1045" s="2">
        <f>IF(D1045=1,Fandual!F1045,0)</f>
        <v>0</v>
      </c>
      <c r="H1045" s="2">
        <f>IF(D1045=1,Fandual!H1045,0)</f>
        <v>0</v>
      </c>
      <c r="I1045" s="2">
        <f>IF((Optimizer!$J$8=Fandual!J1045),4,0)</f>
        <v>0</v>
      </c>
      <c r="J1045" s="2">
        <f>IF((Optimizer!$J$10=Fandual!J1045),100,0)</f>
        <v>0</v>
      </c>
      <c r="K1045" s="2">
        <f t="shared" si="33"/>
        <v>0</v>
      </c>
      <c r="L1045" s="2">
        <f>IF(Fandual!M1045="",1,0)</f>
        <v>1</v>
      </c>
    </row>
    <row r="1046" spans="1:12" x14ac:dyDescent="0.25">
      <c r="A1046" s="2">
        <f>IF((OR(Optimizer!$J$8=Fandual!J1046,Optimizer!$J$10=Fandual!J1046))=TRUE, 1,0)</f>
        <v>0</v>
      </c>
      <c r="B1046" s="2">
        <f>IF((OR(Fandual!O1046="",Fandual!O1046&lt;&gt;0)=TRUE),1,0)</f>
        <v>1</v>
      </c>
      <c r="C1046" s="2">
        <f>IF(Fandual!B1046&lt;&gt;"P",1,0)</f>
        <v>1</v>
      </c>
      <c r="D1046" s="2">
        <f t="shared" si="32"/>
        <v>0</v>
      </c>
      <c r="E1046" s="2">
        <f>IF(D1046=1,Fandual!B1046,0)</f>
        <v>0</v>
      </c>
      <c r="F1046" s="2">
        <f>IF(D1046=1,Fandual!D1046,0)</f>
        <v>0</v>
      </c>
      <c r="G1046" s="2">
        <f>IF(D1046=1,Fandual!F1046,0)</f>
        <v>0</v>
      </c>
      <c r="H1046" s="2">
        <f>IF(D1046=1,Fandual!H1046,0)</f>
        <v>0</v>
      </c>
      <c r="I1046" s="2">
        <f>IF((Optimizer!$J$8=Fandual!J1046),4,0)</f>
        <v>0</v>
      </c>
      <c r="J1046" s="2">
        <f>IF((Optimizer!$J$10=Fandual!J1046),100,0)</f>
        <v>0</v>
      </c>
      <c r="K1046" s="2">
        <f t="shared" si="33"/>
        <v>0</v>
      </c>
      <c r="L1046" s="2">
        <f>IF(Fandual!M1046="",1,0)</f>
        <v>1</v>
      </c>
    </row>
    <row r="1047" spans="1:12" x14ac:dyDescent="0.25">
      <c r="A1047" s="2">
        <f>IF((OR(Optimizer!$J$8=Fandual!J1047,Optimizer!$J$10=Fandual!J1047))=TRUE, 1,0)</f>
        <v>0</v>
      </c>
      <c r="B1047" s="2">
        <f>IF((OR(Fandual!O1047="",Fandual!O1047&lt;&gt;0)=TRUE),1,0)</f>
        <v>1</v>
      </c>
      <c r="C1047" s="2">
        <f>IF(Fandual!B1047&lt;&gt;"P",1,0)</f>
        <v>1</v>
      </c>
      <c r="D1047" s="2">
        <f t="shared" si="32"/>
        <v>0</v>
      </c>
      <c r="E1047" s="2">
        <f>IF(D1047=1,Fandual!B1047,0)</f>
        <v>0</v>
      </c>
      <c r="F1047" s="2">
        <f>IF(D1047=1,Fandual!D1047,0)</f>
        <v>0</v>
      </c>
      <c r="G1047" s="2">
        <f>IF(D1047=1,Fandual!F1047,0)</f>
        <v>0</v>
      </c>
      <c r="H1047" s="2">
        <f>IF(D1047=1,Fandual!H1047,0)</f>
        <v>0</v>
      </c>
      <c r="I1047" s="2">
        <f>IF((Optimizer!$J$8=Fandual!J1047),4,0)</f>
        <v>0</v>
      </c>
      <c r="J1047" s="2">
        <f>IF((Optimizer!$J$10=Fandual!J1047),100,0)</f>
        <v>0</v>
      </c>
      <c r="K1047" s="2">
        <f t="shared" si="33"/>
        <v>0</v>
      </c>
      <c r="L1047" s="2">
        <f>IF(Fandual!M1047="",1,0)</f>
        <v>1</v>
      </c>
    </row>
    <row r="1048" spans="1:12" x14ac:dyDescent="0.25">
      <c r="A1048" s="2">
        <f>IF((OR(Optimizer!$J$8=Fandual!J1048,Optimizer!$J$10=Fandual!J1048))=TRUE, 1,0)</f>
        <v>0</v>
      </c>
      <c r="B1048" s="2">
        <f>IF((OR(Fandual!O1048="",Fandual!O1048&lt;&gt;0)=TRUE),1,0)</f>
        <v>1</v>
      </c>
      <c r="C1048" s="2">
        <f>IF(Fandual!B1048&lt;&gt;"P",1,0)</f>
        <v>1</v>
      </c>
      <c r="D1048" s="2">
        <f t="shared" si="32"/>
        <v>0</v>
      </c>
      <c r="E1048" s="2">
        <f>IF(D1048=1,Fandual!B1048,0)</f>
        <v>0</v>
      </c>
      <c r="F1048" s="2">
        <f>IF(D1048=1,Fandual!D1048,0)</f>
        <v>0</v>
      </c>
      <c r="G1048" s="2">
        <f>IF(D1048=1,Fandual!F1048,0)</f>
        <v>0</v>
      </c>
      <c r="H1048" s="2">
        <f>IF(D1048=1,Fandual!H1048,0)</f>
        <v>0</v>
      </c>
      <c r="I1048" s="2">
        <f>IF((Optimizer!$J$8=Fandual!J1048),4,0)</f>
        <v>0</v>
      </c>
      <c r="J1048" s="2">
        <f>IF((Optimizer!$J$10=Fandual!J1048),100,0)</f>
        <v>0</v>
      </c>
      <c r="K1048" s="2">
        <f t="shared" si="33"/>
        <v>0</v>
      </c>
      <c r="L1048" s="2">
        <f>IF(Fandual!M1048="",1,0)</f>
        <v>1</v>
      </c>
    </row>
    <row r="1049" spans="1:12" x14ac:dyDescent="0.25">
      <c r="A1049" s="2">
        <f>IF((OR(Optimizer!$J$8=Fandual!J1049,Optimizer!$J$10=Fandual!J1049))=TRUE, 1,0)</f>
        <v>0</v>
      </c>
      <c r="B1049" s="2">
        <f>IF((OR(Fandual!O1049="",Fandual!O1049&lt;&gt;0)=TRUE),1,0)</f>
        <v>1</v>
      </c>
      <c r="C1049" s="2">
        <f>IF(Fandual!B1049&lt;&gt;"P",1,0)</f>
        <v>1</v>
      </c>
      <c r="D1049" s="2">
        <f t="shared" si="32"/>
        <v>0</v>
      </c>
      <c r="E1049" s="2">
        <f>IF(D1049=1,Fandual!B1049,0)</f>
        <v>0</v>
      </c>
      <c r="F1049" s="2">
        <f>IF(D1049=1,Fandual!D1049,0)</f>
        <v>0</v>
      </c>
      <c r="G1049" s="2">
        <f>IF(D1049=1,Fandual!F1049,0)</f>
        <v>0</v>
      </c>
      <c r="H1049" s="2">
        <f>IF(D1049=1,Fandual!H1049,0)</f>
        <v>0</v>
      </c>
      <c r="I1049" s="2">
        <f>IF((Optimizer!$J$8=Fandual!J1049),4,0)</f>
        <v>0</v>
      </c>
      <c r="J1049" s="2">
        <f>IF((Optimizer!$J$10=Fandual!J1049),100,0)</f>
        <v>0</v>
      </c>
      <c r="K1049" s="2">
        <f t="shared" si="33"/>
        <v>0</v>
      </c>
      <c r="L1049" s="2">
        <f>IF(Fandual!M1049="",1,0)</f>
        <v>1</v>
      </c>
    </row>
    <row r="1050" spans="1:12" x14ac:dyDescent="0.25">
      <c r="A1050" s="2">
        <f>IF((OR(Optimizer!$J$8=Fandual!J1050,Optimizer!$J$10=Fandual!J1050))=TRUE, 1,0)</f>
        <v>0</v>
      </c>
      <c r="B1050" s="2">
        <f>IF((OR(Fandual!O1050="",Fandual!O1050&lt;&gt;0)=TRUE),1,0)</f>
        <v>1</v>
      </c>
      <c r="C1050" s="2">
        <f>IF(Fandual!B1050&lt;&gt;"P",1,0)</f>
        <v>1</v>
      </c>
      <c r="D1050" s="2">
        <f t="shared" si="32"/>
        <v>0</v>
      </c>
      <c r="E1050" s="2">
        <f>IF(D1050=1,Fandual!B1050,0)</f>
        <v>0</v>
      </c>
      <c r="F1050" s="2">
        <f>IF(D1050=1,Fandual!D1050,0)</f>
        <v>0</v>
      </c>
      <c r="G1050" s="2">
        <f>IF(D1050=1,Fandual!F1050,0)</f>
        <v>0</v>
      </c>
      <c r="H1050" s="2">
        <f>IF(D1050=1,Fandual!H1050,0)</f>
        <v>0</v>
      </c>
      <c r="I1050" s="2">
        <f>IF((Optimizer!$J$8=Fandual!J1050),4,0)</f>
        <v>0</v>
      </c>
      <c r="J1050" s="2">
        <f>IF((Optimizer!$J$10=Fandual!J1050),100,0)</f>
        <v>0</v>
      </c>
      <c r="K1050" s="2">
        <f t="shared" si="33"/>
        <v>0</v>
      </c>
      <c r="L1050" s="2">
        <f>IF(Fandual!M1050="",1,0)</f>
        <v>1</v>
      </c>
    </row>
    <row r="1051" spans="1:12" x14ac:dyDescent="0.25">
      <c r="A1051" s="2">
        <f>IF((OR(Optimizer!$J$8=Fandual!J1051,Optimizer!$J$10=Fandual!J1051))=TRUE, 1,0)</f>
        <v>0</v>
      </c>
      <c r="B1051" s="2">
        <f>IF((OR(Fandual!O1051="",Fandual!O1051&lt;&gt;0)=TRUE),1,0)</f>
        <v>1</v>
      </c>
      <c r="C1051" s="2">
        <f>IF(Fandual!B1051&lt;&gt;"P",1,0)</f>
        <v>1</v>
      </c>
      <c r="D1051" s="2">
        <f t="shared" si="32"/>
        <v>0</v>
      </c>
      <c r="E1051" s="2">
        <f>IF(D1051=1,Fandual!B1051,0)</f>
        <v>0</v>
      </c>
      <c r="F1051" s="2">
        <f>IF(D1051=1,Fandual!D1051,0)</f>
        <v>0</v>
      </c>
      <c r="G1051" s="2">
        <f>IF(D1051=1,Fandual!F1051,0)</f>
        <v>0</v>
      </c>
      <c r="H1051" s="2">
        <f>IF(D1051=1,Fandual!H1051,0)</f>
        <v>0</v>
      </c>
      <c r="I1051" s="2">
        <f>IF((Optimizer!$J$8=Fandual!J1051),4,0)</f>
        <v>0</v>
      </c>
      <c r="J1051" s="2">
        <f>IF((Optimizer!$J$10=Fandual!J1051),100,0)</f>
        <v>0</v>
      </c>
      <c r="K1051" s="2">
        <f t="shared" si="33"/>
        <v>0</v>
      </c>
      <c r="L1051" s="2">
        <f>IF(Fandual!M1051="",1,0)</f>
        <v>1</v>
      </c>
    </row>
    <row r="1052" spans="1:12" x14ac:dyDescent="0.25">
      <c r="A1052" s="2">
        <f>IF((OR(Optimizer!$J$8=Fandual!J1052,Optimizer!$J$10=Fandual!J1052))=TRUE, 1,0)</f>
        <v>0</v>
      </c>
      <c r="B1052" s="2">
        <f>IF((OR(Fandual!O1052="",Fandual!O1052&lt;&gt;0)=TRUE),1,0)</f>
        <v>1</v>
      </c>
      <c r="C1052" s="2">
        <f>IF(Fandual!B1052&lt;&gt;"P",1,0)</f>
        <v>1</v>
      </c>
      <c r="D1052" s="2">
        <f t="shared" si="32"/>
        <v>0</v>
      </c>
      <c r="E1052" s="2">
        <f>IF(D1052=1,Fandual!B1052,0)</f>
        <v>0</v>
      </c>
      <c r="F1052" s="2">
        <f>IF(D1052=1,Fandual!D1052,0)</f>
        <v>0</v>
      </c>
      <c r="G1052" s="2">
        <f>IF(D1052=1,Fandual!F1052,0)</f>
        <v>0</v>
      </c>
      <c r="H1052" s="2">
        <f>IF(D1052=1,Fandual!H1052,0)</f>
        <v>0</v>
      </c>
      <c r="I1052" s="2">
        <f>IF((Optimizer!$J$8=Fandual!J1052),4,0)</f>
        <v>0</v>
      </c>
      <c r="J1052" s="2">
        <f>IF((Optimizer!$J$10=Fandual!J1052),100,0)</f>
        <v>0</v>
      </c>
      <c r="K1052" s="2">
        <f t="shared" si="33"/>
        <v>0</v>
      </c>
      <c r="L1052" s="2">
        <f>IF(Fandual!M1052="",1,0)</f>
        <v>1</v>
      </c>
    </row>
    <row r="1053" spans="1:12" x14ac:dyDescent="0.25">
      <c r="A1053" s="2">
        <f>IF((OR(Optimizer!$J$8=Fandual!J1053,Optimizer!$J$10=Fandual!J1053))=TRUE, 1,0)</f>
        <v>0</v>
      </c>
      <c r="B1053" s="2">
        <f>IF((OR(Fandual!O1053="",Fandual!O1053&lt;&gt;0)=TRUE),1,0)</f>
        <v>1</v>
      </c>
      <c r="C1053" s="2">
        <f>IF(Fandual!B1053&lt;&gt;"P",1,0)</f>
        <v>1</v>
      </c>
      <c r="D1053" s="2">
        <f t="shared" si="32"/>
        <v>0</v>
      </c>
      <c r="E1053" s="2">
        <f>IF(D1053=1,Fandual!B1053,0)</f>
        <v>0</v>
      </c>
      <c r="F1053" s="2">
        <f>IF(D1053=1,Fandual!D1053,0)</f>
        <v>0</v>
      </c>
      <c r="G1053" s="2">
        <f>IF(D1053=1,Fandual!F1053,0)</f>
        <v>0</v>
      </c>
      <c r="H1053" s="2">
        <f>IF(D1053=1,Fandual!H1053,0)</f>
        <v>0</v>
      </c>
      <c r="I1053" s="2">
        <f>IF((Optimizer!$J$8=Fandual!J1053),4,0)</f>
        <v>0</v>
      </c>
      <c r="J1053" s="2">
        <f>IF((Optimizer!$J$10=Fandual!J1053),100,0)</f>
        <v>0</v>
      </c>
      <c r="K1053" s="2">
        <f t="shared" si="33"/>
        <v>0</v>
      </c>
      <c r="L1053" s="2">
        <f>IF(Fandual!M1053="",1,0)</f>
        <v>1</v>
      </c>
    </row>
    <row r="1054" spans="1:12" x14ac:dyDescent="0.25">
      <c r="A1054" s="2">
        <f>IF((OR(Optimizer!$J$8=Fandual!J1054,Optimizer!$J$10=Fandual!J1054))=TRUE, 1,0)</f>
        <v>0</v>
      </c>
      <c r="B1054" s="2">
        <f>IF((OR(Fandual!O1054="",Fandual!O1054&lt;&gt;0)=TRUE),1,0)</f>
        <v>1</v>
      </c>
      <c r="C1054" s="2">
        <f>IF(Fandual!B1054&lt;&gt;"P",1,0)</f>
        <v>1</v>
      </c>
      <c r="D1054" s="2">
        <f t="shared" si="32"/>
        <v>0</v>
      </c>
      <c r="E1054" s="2">
        <f>IF(D1054=1,Fandual!B1054,0)</f>
        <v>0</v>
      </c>
      <c r="F1054" s="2">
        <f>IF(D1054=1,Fandual!D1054,0)</f>
        <v>0</v>
      </c>
      <c r="G1054" s="2">
        <f>IF(D1054=1,Fandual!F1054,0)</f>
        <v>0</v>
      </c>
      <c r="H1054" s="2">
        <f>IF(D1054=1,Fandual!H1054,0)</f>
        <v>0</v>
      </c>
      <c r="I1054" s="2">
        <f>IF((Optimizer!$J$8=Fandual!J1054),4,0)</f>
        <v>0</v>
      </c>
      <c r="J1054" s="2">
        <f>IF((Optimizer!$J$10=Fandual!J1054),100,0)</f>
        <v>0</v>
      </c>
      <c r="K1054" s="2">
        <f t="shared" si="33"/>
        <v>0</v>
      </c>
      <c r="L1054" s="2">
        <f>IF(Fandual!M1054="",1,0)</f>
        <v>1</v>
      </c>
    </row>
    <row r="1055" spans="1:12" x14ac:dyDescent="0.25">
      <c r="A1055" s="2">
        <f>IF((OR(Optimizer!$J$8=Fandual!J1055,Optimizer!$J$10=Fandual!J1055))=TRUE, 1,0)</f>
        <v>0</v>
      </c>
      <c r="B1055" s="2">
        <f>IF((OR(Fandual!O1055="",Fandual!O1055&lt;&gt;0)=TRUE),1,0)</f>
        <v>1</v>
      </c>
      <c r="C1055" s="2">
        <f>IF(Fandual!B1055&lt;&gt;"P",1,0)</f>
        <v>1</v>
      </c>
      <c r="D1055" s="2">
        <f t="shared" si="32"/>
        <v>0</v>
      </c>
      <c r="E1055" s="2">
        <f>IF(D1055=1,Fandual!B1055,0)</f>
        <v>0</v>
      </c>
      <c r="F1055" s="2">
        <f>IF(D1055=1,Fandual!D1055,0)</f>
        <v>0</v>
      </c>
      <c r="G1055" s="2">
        <f>IF(D1055=1,Fandual!F1055,0)</f>
        <v>0</v>
      </c>
      <c r="H1055" s="2">
        <f>IF(D1055=1,Fandual!H1055,0)</f>
        <v>0</v>
      </c>
      <c r="I1055" s="2">
        <f>IF((Optimizer!$J$8=Fandual!J1055),4,0)</f>
        <v>0</v>
      </c>
      <c r="J1055" s="2">
        <f>IF((Optimizer!$J$10=Fandual!J1055),100,0)</f>
        <v>0</v>
      </c>
      <c r="K1055" s="2">
        <f t="shared" si="33"/>
        <v>0</v>
      </c>
      <c r="L1055" s="2">
        <f>IF(Fandual!M1055="",1,0)</f>
        <v>1</v>
      </c>
    </row>
    <row r="1056" spans="1:12" x14ac:dyDescent="0.25">
      <c r="A1056" s="2">
        <f>IF((OR(Optimizer!$J$8=Fandual!J1056,Optimizer!$J$10=Fandual!J1056))=TRUE, 1,0)</f>
        <v>0</v>
      </c>
      <c r="B1056" s="2">
        <f>IF((OR(Fandual!O1056="",Fandual!O1056&lt;&gt;0)=TRUE),1,0)</f>
        <v>1</v>
      </c>
      <c r="C1056" s="2">
        <f>IF(Fandual!B1056&lt;&gt;"P",1,0)</f>
        <v>1</v>
      </c>
      <c r="D1056" s="2">
        <f t="shared" si="32"/>
        <v>0</v>
      </c>
      <c r="E1056" s="2">
        <f>IF(D1056=1,Fandual!B1056,0)</f>
        <v>0</v>
      </c>
      <c r="F1056" s="2">
        <f>IF(D1056=1,Fandual!D1056,0)</f>
        <v>0</v>
      </c>
      <c r="G1056" s="2">
        <f>IF(D1056=1,Fandual!F1056,0)</f>
        <v>0</v>
      </c>
      <c r="H1056" s="2">
        <f>IF(D1056=1,Fandual!H1056,0)</f>
        <v>0</v>
      </c>
      <c r="I1056" s="2">
        <f>IF((Optimizer!$J$8=Fandual!J1056),4,0)</f>
        <v>0</v>
      </c>
      <c r="J1056" s="2">
        <f>IF((Optimizer!$J$10=Fandual!J1056),100,0)</f>
        <v>0</v>
      </c>
      <c r="K1056" s="2">
        <f t="shared" si="33"/>
        <v>0</v>
      </c>
      <c r="L1056" s="2">
        <f>IF(Fandual!M1056="",1,0)</f>
        <v>1</v>
      </c>
    </row>
    <row r="1057" spans="1:12" x14ac:dyDescent="0.25">
      <c r="A1057" s="2">
        <f>IF((OR(Optimizer!$J$8=Fandual!J1057,Optimizer!$J$10=Fandual!J1057))=TRUE, 1,0)</f>
        <v>0</v>
      </c>
      <c r="B1057" s="2">
        <f>IF((OR(Fandual!O1057="",Fandual!O1057&lt;&gt;0)=TRUE),1,0)</f>
        <v>1</v>
      </c>
      <c r="C1057" s="2">
        <f>IF(Fandual!B1057&lt;&gt;"P",1,0)</f>
        <v>1</v>
      </c>
      <c r="D1057" s="2">
        <f t="shared" si="32"/>
        <v>0</v>
      </c>
      <c r="E1057" s="2">
        <f>IF(D1057=1,Fandual!B1057,0)</f>
        <v>0</v>
      </c>
      <c r="F1057" s="2">
        <f>IF(D1057=1,Fandual!D1057,0)</f>
        <v>0</v>
      </c>
      <c r="G1057" s="2">
        <f>IF(D1057=1,Fandual!F1057,0)</f>
        <v>0</v>
      </c>
      <c r="H1057" s="2">
        <f>IF(D1057=1,Fandual!H1057,0)</f>
        <v>0</v>
      </c>
      <c r="I1057" s="2">
        <f>IF((Optimizer!$J$8=Fandual!J1057),4,0)</f>
        <v>0</v>
      </c>
      <c r="J1057" s="2">
        <f>IF((Optimizer!$J$10=Fandual!J1057),100,0)</f>
        <v>0</v>
      </c>
      <c r="K1057" s="2">
        <f t="shared" si="33"/>
        <v>0</v>
      </c>
      <c r="L1057" s="2">
        <f>IF(Fandual!M1057="",1,0)</f>
        <v>1</v>
      </c>
    </row>
    <row r="1058" spans="1:12" x14ac:dyDescent="0.25">
      <c r="A1058" s="2">
        <f>IF((OR(Optimizer!$J$8=Fandual!J1058,Optimizer!$J$10=Fandual!J1058))=TRUE, 1,0)</f>
        <v>0</v>
      </c>
      <c r="B1058" s="2">
        <f>IF((OR(Fandual!O1058="",Fandual!O1058&lt;&gt;0)=TRUE),1,0)</f>
        <v>1</v>
      </c>
      <c r="C1058" s="2">
        <f>IF(Fandual!B1058&lt;&gt;"P",1,0)</f>
        <v>1</v>
      </c>
      <c r="D1058" s="2">
        <f t="shared" si="32"/>
        <v>0</v>
      </c>
      <c r="E1058" s="2">
        <f>IF(D1058=1,Fandual!B1058,0)</f>
        <v>0</v>
      </c>
      <c r="F1058" s="2">
        <f>IF(D1058=1,Fandual!D1058,0)</f>
        <v>0</v>
      </c>
      <c r="G1058" s="2">
        <f>IF(D1058=1,Fandual!F1058,0)</f>
        <v>0</v>
      </c>
      <c r="H1058" s="2">
        <f>IF(D1058=1,Fandual!H1058,0)</f>
        <v>0</v>
      </c>
      <c r="I1058" s="2">
        <f>IF((Optimizer!$J$8=Fandual!J1058),4,0)</f>
        <v>0</v>
      </c>
      <c r="J1058" s="2">
        <f>IF((Optimizer!$J$10=Fandual!J1058),100,0)</f>
        <v>0</v>
      </c>
      <c r="K1058" s="2">
        <f t="shared" si="33"/>
        <v>0</v>
      </c>
      <c r="L1058" s="2">
        <f>IF(Fandual!M1058="",1,0)</f>
        <v>1</v>
      </c>
    </row>
    <row r="1059" spans="1:12" x14ac:dyDescent="0.25">
      <c r="A1059" s="2">
        <f>IF((OR(Optimizer!$J$8=Fandual!J1059,Optimizer!$J$10=Fandual!J1059))=TRUE, 1,0)</f>
        <v>0</v>
      </c>
      <c r="B1059" s="2">
        <f>IF((OR(Fandual!O1059="",Fandual!O1059&lt;&gt;0)=TRUE),1,0)</f>
        <v>1</v>
      </c>
      <c r="C1059" s="2">
        <f>IF(Fandual!B1059&lt;&gt;"P",1,0)</f>
        <v>1</v>
      </c>
      <c r="D1059" s="2">
        <f t="shared" si="32"/>
        <v>0</v>
      </c>
      <c r="E1059" s="2">
        <f>IF(D1059=1,Fandual!B1059,0)</f>
        <v>0</v>
      </c>
      <c r="F1059" s="2">
        <f>IF(D1059=1,Fandual!D1059,0)</f>
        <v>0</v>
      </c>
      <c r="G1059" s="2">
        <f>IF(D1059=1,Fandual!F1059,0)</f>
        <v>0</v>
      </c>
      <c r="H1059" s="2">
        <f>IF(D1059=1,Fandual!H1059,0)</f>
        <v>0</v>
      </c>
      <c r="I1059" s="2">
        <f>IF((Optimizer!$J$8=Fandual!J1059),4,0)</f>
        <v>0</v>
      </c>
      <c r="J1059" s="2">
        <f>IF((Optimizer!$J$10=Fandual!J1059),100,0)</f>
        <v>0</v>
      </c>
      <c r="K1059" s="2">
        <f t="shared" si="33"/>
        <v>0</v>
      </c>
      <c r="L1059" s="2">
        <f>IF(Fandual!M1059="",1,0)</f>
        <v>1</v>
      </c>
    </row>
    <row r="1060" spans="1:12" x14ac:dyDescent="0.25">
      <c r="A1060" s="2">
        <f>IF((OR(Optimizer!$J$8=Fandual!J1060,Optimizer!$J$10=Fandual!J1060))=TRUE, 1,0)</f>
        <v>0</v>
      </c>
      <c r="B1060" s="2">
        <f>IF((OR(Fandual!O1060="",Fandual!O1060&lt;&gt;0)=TRUE),1,0)</f>
        <v>1</v>
      </c>
      <c r="C1060" s="2">
        <f>IF(Fandual!B1060&lt;&gt;"P",1,0)</f>
        <v>1</v>
      </c>
      <c r="D1060" s="2">
        <f t="shared" si="32"/>
        <v>0</v>
      </c>
      <c r="E1060" s="2">
        <f>IF(D1060=1,Fandual!B1060,0)</f>
        <v>0</v>
      </c>
      <c r="F1060" s="2">
        <f>IF(D1060=1,Fandual!D1060,0)</f>
        <v>0</v>
      </c>
      <c r="G1060" s="2">
        <f>IF(D1060=1,Fandual!F1060,0)</f>
        <v>0</v>
      </c>
      <c r="H1060" s="2">
        <f>IF(D1060=1,Fandual!H1060,0)</f>
        <v>0</v>
      </c>
      <c r="I1060" s="2">
        <f>IF((Optimizer!$J$8=Fandual!J1060),4,0)</f>
        <v>0</v>
      </c>
      <c r="J1060" s="2">
        <f>IF((Optimizer!$J$10=Fandual!J1060),100,0)</f>
        <v>0</v>
      </c>
      <c r="K1060" s="2">
        <f t="shared" si="33"/>
        <v>0</v>
      </c>
      <c r="L1060" s="2">
        <f>IF(Fandual!M1060="",1,0)</f>
        <v>1</v>
      </c>
    </row>
    <row r="1061" spans="1:12" x14ac:dyDescent="0.25">
      <c r="A1061" s="2">
        <f>IF((OR(Optimizer!$J$8=Fandual!J1061,Optimizer!$J$10=Fandual!J1061))=TRUE, 1,0)</f>
        <v>0</v>
      </c>
      <c r="B1061" s="2">
        <f>IF((OR(Fandual!O1061="",Fandual!O1061&lt;&gt;0)=TRUE),1,0)</f>
        <v>1</v>
      </c>
      <c r="C1061" s="2">
        <f>IF(Fandual!B1061&lt;&gt;"P",1,0)</f>
        <v>1</v>
      </c>
      <c r="D1061" s="2">
        <f t="shared" si="32"/>
        <v>0</v>
      </c>
      <c r="E1061" s="2">
        <f>IF(D1061=1,Fandual!B1061,0)</f>
        <v>0</v>
      </c>
      <c r="F1061" s="2">
        <f>IF(D1061=1,Fandual!D1061,0)</f>
        <v>0</v>
      </c>
      <c r="G1061" s="2">
        <f>IF(D1061=1,Fandual!F1061,0)</f>
        <v>0</v>
      </c>
      <c r="H1061" s="2">
        <f>IF(D1061=1,Fandual!H1061,0)</f>
        <v>0</v>
      </c>
      <c r="I1061" s="2">
        <f>IF((Optimizer!$J$8=Fandual!J1061),4,0)</f>
        <v>0</v>
      </c>
      <c r="J1061" s="2">
        <f>IF((Optimizer!$J$10=Fandual!J1061),100,0)</f>
        <v>0</v>
      </c>
      <c r="K1061" s="2">
        <f t="shared" si="33"/>
        <v>0</v>
      </c>
      <c r="L1061" s="2">
        <f>IF(Fandual!M1061="",1,0)</f>
        <v>1</v>
      </c>
    </row>
    <row r="1062" spans="1:12" x14ac:dyDescent="0.25">
      <c r="A1062" s="2">
        <f>IF((OR(Optimizer!$J$8=Fandual!J1062,Optimizer!$J$10=Fandual!J1062))=TRUE, 1,0)</f>
        <v>0</v>
      </c>
      <c r="B1062" s="2">
        <f>IF((OR(Fandual!O1062="",Fandual!O1062&lt;&gt;0)=TRUE),1,0)</f>
        <v>1</v>
      </c>
      <c r="C1062" s="2">
        <f>IF(Fandual!B1062&lt;&gt;"P",1,0)</f>
        <v>1</v>
      </c>
      <c r="D1062" s="2">
        <f t="shared" si="32"/>
        <v>0</v>
      </c>
      <c r="E1062" s="2">
        <f>IF(D1062=1,Fandual!B1062,0)</f>
        <v>0</v>
      </c>
      <c r="F1062" s="2">
        <f>IF(D1062=1,Fandual!D1062,0)</f>
        <v>0</v>
      </c>
      <c r="G1062" s="2">
        <f>IF(D1062=1,Fandual!F1062,0)</f>
        <v>0</v>
      </c>
      <c r="H1062" s="2">
        <f>IF(D1062=1,Fandual!H1062,0)</f>
        <v>0</v>
      </c>
      <c r="I1062" s="2">
        <f>IF((Optimizer!$J$8=Fandual!J1062),4,0)</f>
        <v>0</v>
      </c>
      <c r="J1062" s="2">
        <f>IF((Optimizer!$J$10=Fandual!J1062),100,0)</f>
        <v>0</v>
      </c>
      <c r="K1062" s="2">
        <f t="shared" si="33"/>
        <v>0</v>
      </c>
      <c r="L1062" s="2">
        <f>IF(Fandual!M1062="",1,0)</f>
        <v>1</v>
      </c>
    </row>
    <row r="1063" spans="1:12" x14ac:dyDescent="0.25">
      <c r="A1063" s="2">
        <f>IF((OR(Optimizer!$J$8=Fandual!J1063,Optimizer!$J$10=Fandual!J1063))=TRUE, 1,0)</f>
        <v>0</v>
      </c>
      <c r="B1063" s="2">
        <f>IF((OR(Fandual!O1063="",Fandual!O1063&lt;&gt;0)=TRUE),1,0)</f>
        <v>1</v>
      </c>
      <c r="C1063" s="2">
        <f>IF(Fandual!B1063&lt;&gt;"P",1,0)</f>
        <v>1</v>
      </c>
      <c r="D1063" s="2">
        <f t="shared" si="32"/>
        <v>0</v>
      </c>
      <c r="E1063" s="2">
        <f>IF(D1063=1,Fandual!B1063,0)</f>
        <v>0</v>
      </c>
      <c r="F1063" s="2">
        <f>IF(D1063=1,Fandual!D1063,0)</f>
        <v>0</v>
      </c>
      <c r="G1063" s="2">
        <f>IF(D1063=1,Fandual!F1063,0)</f>
        <v>0</v>
      </c>
      <c r="H1063" s="2">
        <f>IF(D1063=1,Fandual!H1063,0)</f>
        <v>0</v>
      </c>
      <c r="I1063" s="2">
        <f>IF((Optimizer!$J$8=Fandual!J1063),4,0)</f>
        <v>0</v>
      </c>
      <c r="J1063" s="2">
        <f>IF((Optimizer!$J$10=Fandual!J1063),100,0)</f>
        <v>0</v>
      </c>
      <c r="K1063" s="2">
        <f t="shared" si="33"/>
        <v>0</v>
      </c>
      <c r="L1063" s="2">
        <f>IF(Fandual!M1063="",1,0)</f>
        <v>1</v>
      </c>
    </row>
    <row r="1064" spans="1:12" x14ac:dyDescent="0.25">
      <c r="A1064" s="2">
        <f>IF((OR(Optimizer!$J$8=Fandual!J1064,Optimizer!$J$10=Fandual!J1064))=TRUE, 1,0)</f>
        <v>0</v>
      </c>
      <c r="B1064" s="2">
        <f>IF((OR(Fandual!O1064="",Fandual!O1064&lt;&gt;0)=TRUE),1,0)</f>
        <v>1</v>
      </c>
      <c r="C1064" s="2">
        <f>IF(Fandual!B1064&lt;&gt;"P",1,0)</f>
        <v>1</v>
      </c>
      <c r="D1064" s="2">
        <f t="shared" si="32"/>
        <v>0</v>
      </c>
      <c r="E1064" s="2">
        <f>IF(D1064=1,Fandual!B1064,0)</f>
        <v>0</v>
      </c>
      <c r="F1064" s="2">
        <f>IF(D1064=1,Fandual!D1064,0)</f>
        <v>0</v>
      </c>
      <c r="G1064" s="2">
        <f>IF(D1064=1,Fandual!F1064,0)</f>
        <v>0</v>
      </c>
      <c r="H1064" s="2">
        <f>IF(D1064=1,Fandual!H1064,0)</f>
        <v>0</v>
      </c>
      <c r="I1064" s="2">
        <f>IF((Optimizer!$J$8=Fandual!J1064),4,0)</f>
        <v>0</v>
      </c>
      <c r="J1064" s="2">
        <f>IF((Optimizer!$J$10=Fandual!J1064),100,0)</f>
        <v>0</v>
      </c>
      <c r="K1064" s="2">
        <f t="shared" si="33"/>
        <v>0</v>
      </c>
      <c r="L1064" s="2">
        <f>IF(Fandual!M1064="",1,0)</f>
        <v>1</v>
      </c>
    </row>
    <row r="1065" spans="1:12" x14ac:dyDescent="0.25">
      <c r="A1065" s="2">
        <f>IF((OR(Optimizer!$J$8=Fandual!J1065,Optimizer!$J$10=Fandual!J1065))=TRUE, 1,0)</f>
        <v>0</v>
      </c>
      <c r="B1065" s="2">
        <f>IF((OR(Fandual!O1065="",Fandual!O1065&lt;&gt;0)=TRUE),1,0)</f>
        <v>1</v>
      </c>
      <c r="C1065" s="2">
        <f>IF(Fandual!B1065&lt;&gt;"P",1,0)</f>
        <v>1</v>
      </c>
      <c r="D1065" s="2">
        <f t="shared" si="32"/>
        <v>0</v>
      </c>
      <c r="E1065" s="2">
        <f>IF(D1065=1,Fandual!B1065,0)</f>
        <v>0</v>
      </c>
      <c r="F1065" s="2">
        <f>IF(D1065=1,Fandual!D1065,0)</f>
        <v>0</v>
      </c>
      <c r="G1065" s="2">
        <f>IF(D1065=1,Fandual!F1065,0)</f>
        <v>0</v>
      </c>
      <c r="H1065" s="2">
        <f>IF(D1065=1,Fandual!H1065,0)</f>
        <v>0</v>
      </c>
      <c r="I1065" s="2">
        <f>IF((Optimizer!$J$8=Fandual!J1065),4,0)</f>
        <v>0</v>
      </c>
      <c r="J1065" s="2">
        <f>IF((Optimizer!$J$10=Fandual!J1065),100,0)</f>
        <v>0</v>
      </c>
      <c r="K1065" s="2">
        <f t="shared" si="33"/>
        <v>0</v>
      </c>
      <c r="L1065" s="2">
        <f>IF(Fandual!M1065="",1,0)</f>
        <v>1</v>
      </c>
    </row>
    <row r="1066" spans="1:12" x14ac:dyDescent="0.25">
      <c r="A1066" s="2">
        <f>IF((OR(Optimizer!$J$8=Fandual!J1066,Optimizer!$J$10=Fandual!J1066))=TRUE, 1,0)</f>
        <v>0</v>
      </c>
      <c r="B1066" s="2">
        <f>IF((OR(Fandual!O1066="",Fandual!O1066&lt;&gt;0)=TRUE),1,0)</f>
        <v>1</v>
      </c>
      <c r="C1066" s="2">
        <f>IF(Fandual!B1066&lt;&gt;"P",1,0)</f>
        <v>1</v>
      </c>
      <c r="D1066" s="2">
        <f t="shared" si="32"/>
        <v>0</v>
      </c>
      <c r="E1066" s="2">
        <f>IF(D1066=1,Fandual!B1066,0)</f>
        <v>0</v>
      </c>
      <c r="F1066" s="2">
        <f>IF(D1066=1,Fandual!D1066,0)</f>
        <v>0</v>
      </c>
      <c r="G1066" s="2">
        <f>IF(D1066=1,Fandual!F1066,0)</f>
        <v>0</v>
      </c>
      <c r="H1066" s="2">
        <f>IF(D1066=1,Fandual!H1066,0)</f>
        <v>0</v>
      </c>
      <c r="I1066" s="2">
        <f>IF((Optimizer!$J$8=Fandual!J1066),4,0)</f>
        <v>0</v>
      </c>
      <c r="J1066" s="2">
        <f>IF((Optimizer!$J$10=Fandual!J1066),100,0)</f>
        <v>0</v>
      </c>
      <c r="K1066" s="2">
        <f t="shared" si="33"/>
        <v>0</v>
      </c>
      <c r="L1066" s="2">
        <f>IF(Fandual!M1066="",1,0)</f>
        <v>1</v>
      </c>
    </row>
    <row r="1067" spans="1:12" x14ac:dyDescent="0.25">
      <c r="A1067" s="2">
        <f>IF((OR(Optimizer!$J$8=Fandual!J1067,Optimizer!$J$10=Fandual!J1067))=TRUE, 1,0)</f>
        <v>0</v>
      </c>
      <c r="B1067" s="2">
        <f>IF((OR(Fandual!O1067="",Fandual!O1067&lt;&gt;0)=TRUE),1,0)</f>
        <v>1</v>
      </c>
      <c r="C1067" s="2">
        <f>IF(Fandual!B1067&lt;&gt;"P",1,0)</f>
        <v>1</v>
      </c>
      <c r="D1067" s="2">
        <f t="shared" si="32"/>
        <v>0</v>
      </c>
      <c r="E1067" s="2">
        <f>IF(D1067=1,Fandual!B1067,0)</f>
        <v>0</v>
      </c>
      <c r="F1067" s="2">
        <f>IF(D1067=1,Fandual!D1067,0)</f>
        <v>0</v>
      </c>
      <c r="G1067" s="2">
        <f>IF(D1067=1,Fandual!F1067,0)</f>
        <v>0</v>
      </c>
      <c r="H1067" s="2">
        <f>IF(D1067=1,Fandual!H1067,0)</f>
        <v>0</v>
      </c>
      <c r="I1067" s="2">
        <f>IF((Optimizer!$J$8=Fandual!J1067),4,0)</f>
        <v>0</v>
      </c>
      <c r="J1067" s="2">
        <f>IF((Optimizer!$J$10=Fandual!J1067),100,0)</f>
        <v>0</v>
      </c>
      <c r="K1067" s="2">
        <f t="shared" si="33"/>
        <v>0</v>
      </c>
      <c r="L1067" s="2">
        <f>IF(Fandual!M1067="",1,0)</f>
        <v>1</v>
      </c>
    </row>
    <row r="1068" spans="1:12" x14ac:dyDescent="0.25">
      <c r="A1068" s="2">
        <f>IF((OR(Optimizer!$J$8=Fandual!J1068,Optimizer!$J$10=Fandual!J1068))=TRUE, 1,0)</f>
        <v>0</v>
      </c>
      <c r="B1068" s="2">
        <f>IF((OR(Fandual!O1068="",Fandual!O1068&lt;&gt;0)=TRUE),1,0)</f>
        <v>1</v>
      </c>
      <c r="C1068" s="2">
        <f>IF(Fandual!B1068&lt;&gt;"P",1,0)</f>
        <v>1</v>
      </c>
      <c r="D1068" s="2">
        <f t="shared" si="32"/>
        <v>0</v>
      </c>
      <c r="E1068" s="2">
        <f>IF(D1068=1,Fandual!B1068,0)</f>
        <v>0</v>
      </c>
      <c r="F1068" s="2">
        <f>IF(D1068=1,Fandual!D1068,0)</f>
        <v>0</v>
      </c>
      <c r="G1068" s="2">
        <f>IF(D1068=1,Fandual!F1068,0)</f>
        <v>0</v>
      </c>
      <c r="H1068" s="2">
        <f>IF(D1068=1,Fandual!H1068,0)</f>
        <v>0</v>
      </c>
      <c r="I1068" s="2">
        <f>IF((Optimizer!$J$8=Fandual!J1068),4,0)</f>
        <v>0</v>
      </c>
      <c r="J1068" s="2">
        <f>IF((Optimizer!$J$10=Fandual!J1068),100,0)</f>
        <v>0</v>
      </c>
      <c r="K1068" s="2">
        <f t="shared" si="33"/>
        <v>0</v>
      </c>
      <c r="L1068" s="2">
        <f>IF(Fandual!M1068="",1,0)</f>
        <v>1</v>
      </c>
    </row>
    <row r="1069" spans="1:12" x14ac:dyDescent="0.25">
      <c r="A1069" s="2">
        <f>IF((OR(Optimizer!$J$8=Fandual!J1069,Optimizer!$J$10=Fandual!J1069))=TRUE, 1,0)</f>
        <v>0</v>
      </c>
      <c r="B1069" s="2">
        <f>IF((OR(Fandual!O1069="",Fandual!O1069&lt;&gt;0)=TRUE),1,0)</f>
        <v>1</v>
      </c>
      <c r="C1069" s="2">
        <f>IF(Fandual!B1069&lt;&gt;"P",1,0)</f>
        <v>1</v>
      </c>
      <c r="D1069" s="2">
        <f t="shared" si="32"/>
        <v>0</v>
      </c>
      <c r="E1069" s="2">
        <f>IF(D1069=1,Fandual!B1069,0)</f>
        <v>0</v>
      </c>
      <c r="F1069" s="2">
        <f>IF(D1069=1,Fandual!D1069,0)</f>
        <v>0</v>
      </c>
      <c r="G1069" s="2">
        <f>IF(D1069=1,Fandual!F1069,0)</f>
        <v>0</v>
      </c>
      <c r="H1069" s="2">
        <f>IF(D1069=1,Fandual!H1069,0)</f>
        <v>0</v>
      </c>
      <c r="I1069" s="2">
        <f>IF((Optimizer!$J$8=Fandual!J1069),4,0)</f>
        <v>0</v>
      </c>
      <c r="J1069" s="2">
        <f>IF((Optimizer!$J$10=Fandual!J1069),100,0)</f>
        <v>0</v>
      </c>
      <c r="K1069" s="2">
        <f t="shared" si="33"/>
        <v>0</v>
      </c>
      <c r="L1069" s="2">
        <f>IF(Fandual!M1069="",1,0)</f>
        <v>1</v>
      </c>
    </row>
    <row r="1070" spans="1:12" x14ac:dyDescent="0.25">
      <c r="A1070" s="2">
        <f>IF((OR(Optimizer!$J$8=Fandual!J1070,Optimizer!$J$10=Fandual!J1070))=TRUE, 1,0)</f>
        <v>0</v>
      </c>
      <c r="B1070" s="2">
        <f>IF((OR(Fandual!O1070="",Fandual!O1070&lt;&gt;0)=TRUE),1,0)</f>
        <v>1</v>
      </c>
      <c r="C1070" s="2">
        <f>IF(Fandual!B1070&lt;&gt;"P",1,0)</f>
        <v>1</v>
      </c>
      <c r="D1070" s="2">
        <f t="shared" si="32"/>
        <v>0</v>
      </c>
      <c r="E1070" s="2">
        <f>IF(D1070=1,Fandual!B1070,0)</f>
        <v>0</v>
      </c>
      <c r="F1070" s="2">
        <f>IF(D1070=1,Fandual!D1070,0)</f>
        <v>0</v>
      </c>
      <c r="G1070" s="2">
        <f>IF(D1070=1,Fandual!F1070,0)</f>
        <v>0</v>
      </c>
      <c r="H1070" s="2">
        <f>IF(D1070=1,Fandual!H1070,0)</f>
        <v>0</v>
      </c>
      <c r="I1070" s="2">
        <f>IF((Optimizer!$J$8=Fandual!J1070),4,0)</f>
        <v>0</v>
      </c>
      <c r="J1070" s="2">
        <f>IF((Optimizer!$J$10=Fandual!J1070),100,0)</f>
        <v>0</v>
      </c>
      <c r="K1070" s="2">
        <f t="shared" si="33"/>
        <v>0</v>
      </c>
      <c r="L1070" s="2">
        <f>IF(Fandual!M1070="",1,0)</f>
        <v>1</v>
      </c>
    </row>
    <row r="1071" spans="1:12" x14ac:dyDescent="0.25">
      <c r="A1071" s="2">
        <f>IF((OR(Optimizer!$J$8=Fandual!J1071,Optimizer!$J$10=Fandual!J1071))=TRUE, 1,0)</f>
        <v>0</v>
      </c>
      <c r="B1071" s="2">
        <f>IF((OR(Fandual!O1071="",Fandual!O1071&lt;&gt;0)=TRUE),1,0)</f>
        <v>1</v>
      </c>
      <c r="C1071" s="2">
        <f>IF(Fandual!B1071&lt;&gt;"P",1,0)</f>
        <v>1</v>
      </c>
      <c r="D1071" s="2">
        <f t="shared" si="32"/>
        <v>0</v>
      </c>
      <c r="E1071" s="2">
        <f>IF(D1071=1,Fandual!B1071,0)</f>
        <v>0</v>
      </c>
      <c r="F1071" s="2">
        <f>IF(D1071=1,Fandual!D1071,0)</f>
        <v>0</v>
      </c>
      <c r="G1071" s="2">
        <f>IF(D1071=1,Fandual!F1071,0)</f>
        <v>0</v>
      </c>
      <c r="H1071" s="2">
        <f>IF(D1071=1,Fandual!H1071,0)</f>
        <v>0</v>
      </c>
      <c r="I1071" s="2">
        <f>IF((Optimizer!$J$8=Fandual!J1071),4,0)</f>
        <v>0</v>
      </c>
      <c r="J1071" s="2">
        <f>IF((Optimizer!$J$10=Fandual!J1071),100,0)</f>
        <v>0</v>
      </c>
      <c r="K1071" s="2">
        <f t="shared" si="33"/>
        <v>0</v>
      </c>
      <c r="L1071" s="2">
        <f>IF(Fandual!M1071="",1,0)</f>
        <v>1</v>
      </c>
    </row>
    <row r="1072" spans="1:12" x14ac:dyDescent="0.25">
      <c r="A1072" s="2">
        <f>IF((OR(Optimizer!$J$8=Fandual!J1072,Optimizer!$J$10=Fandual!J1072))=TRUE, 1,0)</f>
        <v>0</v>
      </c>
      <c r="B1072" s="2">
        <f>IF((OR(Fandual!O1072="",Fandual!O1072&lt;&gt;0)=TRUE),1,0)</f>
        <v>1</v>
      </c>
      <c r="C1072" s="2">
        <f>IF(Fandual!B1072&lt;&gt;"P",1,0)</f>
        <v>1</v>
      </c>
      <c r="D1072" s="2">
        <f t="shared" si="32"/>
        <v>0</v>
      </c>
      <c r="E1072" s="2">
        <f>IF(D1072=1,Fandual!B1072,0)</f>
        <v>0</v>
      </c>
      <c r="F1072" s="2">
        <f>IF(D1072=1,Fandual!D1072,0)</f>
        <v>0</v>
      </c>
      <c r="G1072" s="2">
        <f>IF(D1072=1,Fandual!F1072,0)</f>
        <v>0</v>
      </c>
      <c r="H1072" s="2">
        <f>IF(D1072=1,Fandual!H1072,0)</f>
        <v>0</v>
      </c>
      <c r="I1072" s="2">
        <f>IF((Optimizer!$J$8=Fandual!J1072),4,0)</f>
        <v>0</v>
      </c>
      <c r="J1072" s="2">
        <f>IF((Optimizer!$J$10=Fandual!J1072),100,0)</f>
        <v>0</v>
      </c>
      <c r="K1072" s="2">
        <f t="shared" si="33"/>
        <v>0</v>
      </c>
      <c r="L1072" s="2">
        <f>IF(Fandual!M1072="",1,0)</f>
        <v>1</v>
      </c>
    </row>
    <row r="1073" spans="1:12" x14ac:dyDescent="0.25">
      <c r="A1073" s="2">
        <f>IF((OR(Optimizer!$J$8=Fandual!J1073,Optimizer!$J$10=Fandual!J1073))=TRUE, 1,0)</f>
        <v>0</v>
      </c>
      <c r="B1073" s="2">
        <f>IF((OR(Fandual!O1073="",Fandual!O1073&lt;&gt;0)=TRUE),1,0)</f>
        <v>1</v>
      </c>
      <c r="C1073" s="2">
        <f>IF(Fandual!B1073&lt;&gt;"P",1,0)</f>
        <v>1</v>
      </c>
      <c r="D1073" s="2">
        <f t="shared" si="32"/>
        <v>0</v>
      </c>
      <c r="E1073" s="2">
        <f>IF(D1073=1,Fandual!B1073,0)</f>
        <v>0</v>
      </c>
      <c r="F1073" s="2">
        <f>IF(D1073=1,Fandual!D1073,0)</f>
        <v>0</v>
      </c>
      <c r="G1073" s="2">
        <f>IF(D1073=1,Fandual!F1073,0)</f>
        <v>0</v>
      </c>
      <c r="H1073" s="2">
        <f>IF(D1073=1,Fandual!H1073,0)</f>
        <v>0</v>
      </c>
      <c r="I1073" s="2">
        <f>IF((Optimizer!$J$8=Fandual!J1073),4,0)</f>
        <v>0</v>
      </c>
      <c r="J1073" s="2">
        <f>IF((Optimizer!$J$10=Fandual!J1073),100,0)</f>
        <v>0</v>
      </c>
      <c r="K1073" s="2">
        <f t="shared" si="33"/>
        <v>0</v>
      </c>
      <c r="L1073" s="2">
        <f>IF(Fandual!M1073="",1,0)</f>
        <v>1</v>
      </c>
    </row>
    <row r="1074" spans="1:12" x14ac:dyDescent="0.25">
      <c r="A1074" s="2">
        <f>IF((OR(Optimizer!$J$8=Fandual!J1074,Optimizer!$J$10=Fandual!J1074))=TRUE, 1,0)</f>
        <v>0</v>
      </c>
      <c r="B1074" s="2">
        <f>IF((OR(Fandual!O1074="",Fandual!O1074&lt;&gt;0)=TRUE),1,0)</f>
        <v>1</v>
      </c>
      <c r="C1074" s="2">
        <f>IF(Fandual!B1074&lt;&gt;"P",1,0)</f>
        <v>1</v>
      </c>
      <c r="D1074" s="2">
        <f t="shared" si="32"/>
        <v>0</v>
      </c>
      <c r="E1074" s="2">
        <f>IF(D1074=1,Fandual!B1074,0)</f>
        <v>0</v>
      </c>
      <c r="F1074" s="2">
        <f>IF(D1074=1,Fandual!D1074,0)</f>
        <v>0</v>
      </c>
      <c r="G1074" s="2">
        <f>IF(D1074=1,Fandual!F1074,0)</f>
        <v>0</v>
      </c>
      <c r="H1074" s="2">
        <f>IF(D1074=1,Fandual!H1074,0)</f>
        <v>0</v>
      </c>
      <c r="I1074" s="2">
        <f>IF((Optimizer!$J$8=Fandual!J1074),4,0)</f>
        <v>0</v>
      </c>
      <c r="J1074" s="2">
        <f>IF((Optimizer!$J$10=Fandual!J1074),100,0)</f>
        <v>0</v>
      </c>
      <c r="K1074" s="2">
        <f t="shared" si="33"/>
        <v>0</v>
      </c>
      <c r="L1074" s="2">
        <f>IF(Fandual!M1074="",1,0)</f>
        <v>1</v>
      </c>
    </row>
    <row r="1075" spans="1:12" x14ac:dyDescent="0.25">
      <c r="A1075" s="2">
        <f>IF((OR(Optimizer!$J$8=Fandual!J1075,Optimizer!$J$10=Fandual!J1075))=TRUE, 1,0)</f>
        <v>0</v>
      </c>
      <c r="B1075" s="2">
        <f>IF((OR(Fandual!O1075="",Fandual!O1075&lt;&gt;0)=TRUE),1,0)</f>
        <v>1</v>
      </c>
      <c r="C1075" s="2">
        <f>IF(Fandual!B1075&lt;&gt;"P",1,0)</f>
        <v>1</v>
      </c>
      <c r="D1075" s="2">
        <f t="shared" si="32"/>
        <v>0</v>
      </c>
      <c r="E1075" s="2">
        <f>IF(D1075=1,Fandual!B1075,0)</f>
        <v>0</v>
      </c>
      <c r="F1075" s="2">
        <f>IF(D1075=1,Fandual!D1075,0)</f>
        <v>0</v>
      </c>
      <c r="G1075" s="2">
        <f>IF(D1075=1,Fandual!F1075,0)</f>
        <v>0</v>
      </c>
      <c r="H1075" s="2">
        <f>IF(D1075=1,Fandual!H1075,0)</f>
        <v>0</v>
      </c>
      <c r="I1075" s="2">
        <f>IF((Optimizer!$J$8=Fandual!J1075),4,0)</f>
        <v>0</v>
      </c>
      <c r="J1075" s="2">
        <f>IF((Optimizer!$J$10=Fandual!J1075),100,0)</f>
        <v>0</v>
      </c>
      <c r="K1075" s="2">
        <f t="shared" si="33"/>
        <v>0</v>
      </c>
      <c r="L1075" s="2">
        <f>IF(Fandual!M1075="",1,0)</f>
        <v>1</v>
      </c>
    </row>
    <row r="1076" spans="1:12" x14ac:dyDescent="0.25">
      <c r="A1076" s="2">
        <f>IF((OR(Optimizer!$J$8=Fandual!J1076,Optimizer!$J$10=Fandual!J1076))=TRUE, 1,0)</f>
        <v>0</v>
      </c>
      <c r="B1076" s="2">
        <f>IF((OR(Fandual!O1076="",Fandual!O1076&lt;&gt;0)=TRUE),1,0)</f>
        <v>1</v>
      </c>
      <c r="C1076" s="2">
        <f>IF(Fandual!B1076&lt;&gt;"P",1,0)</f>
        <v>1</v>
      </c>
      <c r="D1076" s="2">
        <f t="shared" si="32"/>
        <v>0</v>
      </c>
      <c r="E1076" s="2">
        <f>IF(D1076=1,Fandual!B1076,0)</f>
        <v>0</v>
      </c>
      <c r="F1076" s="2">
        <f>IF(D1076=1,Fandual!D1076,0)</f>
        <v>0</v>
      </c>
      <c r="G1076" s="2">
        <f>IF(D1076=1,Fandual!F1076,0)</f>
        <v>0</v>
      </c>
      <c r="H1076" s="2">
        <f>IF(D1076=1,Fandual!H1076,0)</f>
        <v>0</v>
      </c>
      <c r="I1076" s="2">
        <f>IF((Optimizer!$J$8=Fandual!J1076),4,0)</f>
        <v>0</v>
      </c>
      <c r="J1076" s="2">
        <f>IF((Optimizer!$J$10=Fandual!J1076),100,0)</f>
        <v>0</v>
      </c>
      <c r="K1076" s="2">
        <f t="shared" si="33"/>
        <v>0</v>
      </c>
      <c r="L1076" s="2">
        <f>IF(Fandual!M1076="",1,0)</f>
        <v>1</v>
      </c>
    </row>
    <row r="1077" spans="1:12" x14ac:dyDescent="0.25">
      <c r="A1077" s="2">
        <f>IF((OR(Optimizer!$J$8=Fandual!J1077,Optimizer!$J$10=Fandual!J1077))=TRUE, 1,0)</f>
        <v>0</v>
      </c>
      <c r="B1077" s="2">
        <f>IF((OR(Fandual!O1077="",Fandual!O1077&lt;&gt;0)=TRUE),1,0)</f>
        <v>1</v>
      </c>
      <c r="C1077" s="2">
        <f>IF(Fandual!B1077&lt;&gt;"P",1,0)</f>
        <v>1</v>
      </c>
      <c r="D1077" s="2">
        <f t="shared" si="32"/>
        <v>0</v>
      </c>
      <c r="E1077" s="2">
        <f>IF(D1077=1,Fandual!B1077,0)</f>
        <v>0</v>
      </c>
      <c r="F1077" s="2">
        <f>IF(D1077=1,Fandual!D1077,0)</f>
        <v>0</v>
      </c>
      <c r="G1077" s="2">
        <f>IF(D1077=1,Fandual!F1077,0)</f>
        <v>0</v>
      </c>
      <c r="H1077" s="2">
        <f>IF(D1077=1,Fandual!H1077,0)</f>
        <v>0</v>
      </c>
      <c r="I1077" s="2">
        <f>IF((Optimizer!$J$8=Fandual!J1077),4,0)</f>
        <v>0</v>
      </c>
      <c r="J1077" s="2">
        <f>IF((Optimizer!$J$10=Fandual!J1077),100,0)</f>
        <v>0</v>
      </c>
      <c r="K1077" s="2">
        <f t="shared" si="33"/>
        <v>0</v>
      </c>
      <c r="L1077" s="2">
        <f>IF(Fandual!M1077="",1,0)</f>
        <v>1</v>
      </c>
    </row>
    <row r="1078" spans="1:12" x14ac:dyDescent="0.25">
      <c r="A1078" s="2">
        <f>IF((OR(Optimizer!$J$8=Fandual!J1078,Optimizer!$J$10=Fandual!J1078))=TRUE, 1,0)</f>
        <v>0</v>
      </c>
      <c r="B1078" s="2">
        <f>IF((OR(Fandual!O1078="",Fandual!O1078&lt;&gt;0)=TRUE),1,0)</f>
        <v>1</v>
      </c>
      <c r="C1078" s="2">
        <f>IF(Fandual!B1078&lt;&gt;"P",1,0)</f>
        <v>1</v>
      </c>
      <c r="D1078" s="2">
        <f t="shared" si="32"/>
        <v>0</v>
      </c>
      <c r="E1078" s="2">
        <f>IF(D1078=1,Fandual!B1078,0)</f>
        <v>0</v>
      </c>
      <c r="F1078" s="2">
        <f>IF(D1078=1,Fandual!D1078,0)</f>
        <v>0</v>
      </c>
      <c r="G1078" s="2">
        <f>IF(D1078=1,Fandual!F1078,0)</f>
        <v>0</v>
      </c>
      <c r="H1078" s="2">
        <f>IF(D1078=1,Fandual!H1078,0)</f>
        <v>0</v>
      </c>
      <c r="I1078" s="2">
        <f>IF((Optimizer!$J$8=Fandual!J1078),4,0)</f>
        <v>0</v>
      </c>
      <c r="J1078" s="2">
        <f>IF((Optimizer!$J$10=Fandual!J1078),100,0)</f>
        <v>0</v>
      </c>
      <c r="K1078" s="2">
        <f t="shared" si="33"/>
        <v>0</v>
      </c>
      <c r="L1078" s="2">
        <f>IF(Fandual!M1078="",1,0)</f>
        <v>1</v>
      </c>
    </row>
    <row r="1079" spans="1:12" x14ac:dyDescent="0.25">
      <c r="A1079" s="2">
        <f>IF((OR(Optimizer!$J$8=Fandual!J1079,Optimizer!$J$10=Fandual!J1079))=TRUE, 1,0)</f>
        <v>0</v>
      </c>
      <c r="B1079" s="2">
        <f>IF((OR(Fandual!O1079="",Fandual!O1079&lt;&gt;0)=TRUE),1,0)</f>
        <v>1</v>
      </c>
      <c r="C1079" s="2">
        <f>IF(Fandual!B1079&lt;&gt;"P",1,0)</f>
        <v>1</v>
      </c>
      <c r="D1079" s="2">
        <f t="shared" si="32"/>
        <v>0</v>
      </c>
      <c r="E1079" s="2">
        <f>IF(D1079=1,Fandual!B1079,0)</f>
        <v>0</v>
      </c>
      <c r="F1079" s="2">
        <f>IF(D1079=1,Fandual!D1079,0)</f>
        <v>0</v>
      </c>
      <c r="G1079" s="2">
        <f>IF(D1079=1,Fandual!F1079,0)</f>
        <v>0</v>
      </c>
      <c r="H1079" s="2">
        <f>IF(D1079=1,Fandual!H1079,0)</f>
        <v>0</v>
      </c>
      <c r="I1079" s="2">
        <f>IF((Optimizer!$J$8=Fandual!J1079),4,0)</f>
        <v>0</v>
      </c>
      <c r="J1079" s="2">
        <f>IF((Optimizer!$J$10=Fandual!J1079),100,0)</f>
        <v>0</v>
      </c>
      <c r="K1079" s="2">
        <f t="shared" si="33"/>
        <v>0</v>
      </c>
      <c r="L1079" s="2">
        <f>IF(Fandual!M1079="",1,0)</f>
        <v>1</v>
      </c>
    </row>
    <row r="1080" spans="1:12" x14ac:dyDescent="0.25">
      <c r="A1080" s="2">
        <f>IF((OR(Optimizer!$J$8=Fandual!J1080,Optimizer!$J$10=Fandual!J1080))=TRUE, 1,0)</f>
        <v>0</v>
      </c>
      <c r="B1080" s="2">
        <f>IF((OR(Fandual!O1080="",Fandual!O1080&lt;&gt;0)=TRUE),1,0)</f>
        <v>1</v>
      </c>
      <c r="C1080" s="2">
        <f>IF(Fandual!B1080&lt;&gt;"P",1,0)</f>
        <v>1</v>
      </c>
      <c r="D1080" s="2">
        <f t="shared" si="32"/>
        <v>0</v>
      </c>
      <c r="E1080" s="2">
        <f>IF(D1080=1,Fandual!B1080,0)</f>
        <v>0</v>
      </c>
      <c r="F1080" s="2">
        <f>IF(D1080=1,Fandual!D1080,0)</f>
        <v>0</v>
      </c>
      <c r="G1080" s="2">
        <f>IF(D1080=1,Fandual!F1080,0)</f>
        <v>0</v>
      </c>
      <c r="H1080" s="2">
        <f>IF(D1080=1,Fandual!H1080,0)</f>
        <v>0</v>
      </c>
      <c r="I1080" s="2">
        <f>IF((Optimizer!$J$8=Fandual!J1080),4,0)</f>
        <v>0</v>
      </c>
      <c r="J1080" s="2">
        <f>IF((Optimizer!$J$10=Fandual!J1080),100,0)</f>
        <v>0</v>
      </c>
      <c r="K1080" s="2">
        <f t="shared" si="33"/>
        <v>0</v>
      </c>
      <c r="L1080" s="2">
        <f>IF(Fandual!M1080="",1,0)</f>
        <v>1</v>
      </c>
    </row>
    <row r="1081" spans="1:12" x14ac:dyDescent="0.25">
      <c r="A1081" s="2">
        <f>IF((OR(Optimizer!$J$8=Fandual!J1081,Optimizer!$J$10=Fandual!J1081))=TRUE, 1,0)</f>
        <v>0</v>
      </c>
      <c r="B1081" s="2">
        <f>IF((OR(Fandual!O1081="",Fandual!O1081&lt;&gt;0)=TRUE),1,0)</f>
        <v>1</v>
      </c>
      <c r="C1081" s="2">
        <f>IF(Fandual!B1081&lt;&gt;"P",1,0)</f>
        <v>1</v>
      </c>
      <c r="D1081" s="2">
        <f t="shared" si="32"/>
        <v>0</v>
      </c>
      <c r="E1081" s="2">
        <f>IF(D1081=1,Fandual!B1081,0)</f>
        <v>0</v>
      </c>
      <c r="F1081" s="2">
        <f>IF(D1081=1,Fandual!D1081,0)</f>
        <v>0</v>
      </c>
      <c r="G1081" s="2">
        <f>IF(D1081=1,Fandual!F1081,0)</f>
        <v>0</v>
      </c>
      <c r="H1081" s="2">
        <f>IF(D1081=1,Fandual!H1081,0)</f>
        <v>0</v>
      </c>
      <c r="I1081" s="2">
        <f>IF((Optimizer!$J$8=Fandual!J1081),4,0)</f>
        <v>0</v>
      </c>
      <c r="J1081" s="2">
        <f>IF((Optimizer!$J$10=Fandual!J1081),100,0)</f>
        <v>0</v>
      </c>
      <c r="K1081" s="2">
        <f t="shared" si="33"/>
        <v>0</v>
      </c>
      <c r="L1081" s="2">
        <f>IF(Fandual!M1081="",1,0)</f>
        <v>1</v>
      </c>
    </row>
    <row r="1082" spans="1:12" x14ac:dyDescent="0.25">
      <c r="A1082" s="2">
        <f>IF((OR(Optimizer!$J$8=Fandual!J1082,Optimizer!$J$10=Fandual!J1082))=TRUE, 1,0)</f>
        <v>0</v>
      </c>
      <c r="B1082" s="2">
        <f>IF((OR(Fandual!O1082="",Fandual!O1082&lt;&gt;0)=TRUE),1,0)</f>
        <v>1</v>
      </c>
      <c r="C1082" s="2">
        <f>IF(Fandual!B1082&lt;&gt;"P",1,0)</f>
        <v>1</v>
      </c>
      <c r="D1082" s="2">
        <f t="shared" si="32"/>
        <v>0</v>
      </c>
      <c r="E1082" s="2">
        <f>IF(D1082=1,Fandual!B1082,0)</f>
        <v>0</v>
      </c>
      <c r="F1082" s="2">
        <f>IF(D1082=1,Fandual!D1082,0)</f>
        <v>0</v>
      </c>
      <c r="G1082" s="2">
        <f>IF(D1082=1,Fandual!F1082,0)</f>
        <v>0</v>
      </c>
      <c r="H1082" s="2">
        <f>IF(D1082=1,Fandual!H1082,0)</f>
        <v>0</v>
      </c>
      <c r="I1082" s="2">
        <f>IF((Optimizer!$J$8=Fandual!J1082),4,0)</f>
        <v>0</v>
      </c>
      <c r="J1082" s="2">
        <f>IF((Optimizer!$J$10=Fandual!J1082),100,0)</f>
        <v>0</v>
      </c>
      <c r="K1082" s="2">
        <f t="shared" si="33"/>
        <v>0</v>
      </c>
      <c r="L1082" s="2">
        <f>IF(Fandual!M1082="",1,0)</f>
        <v>1</v>
      </c>
    </row>
    <row r="1083" spans="1:12" x14ac:dyDescent="0.25">
      <c r="A1083" s="2">
        <f>IF((OR(Optimizer!$J$8=Fandual!J1083,Optimizer!$J$10=Fandual!J1083))=TRUE, 1,0)</f>
        <v>0</v>
      </c>
      <c r="B1083" s="2">
        <f>IF((OR(Fandual!O1083="",Fandual!O1083&lt;&gt;0)=TRUE),1,0)</f>
        <v>1</v>
      </c>
      <c r="C1083" s="2">
        <f>IF(Fandual!B1083&lt;&gt;"P",1,0)</f>
        <v>1</v>
      </c>
      <c r="D1083" s="2">
        <f t="shared" si="32"/>
        <v>0</v>
      </c>
      <c r="E1083" s="2">
        <f>IF(D1083=1,Fandual!B1083,0)</f>
        <v>0</v>
      </c>
      <c r="F1083" s="2">
        <f>IF(D1083=1,Fandual!D1083,0)</f>
        <v>0</v>
      </c>
      <c r="G1083" s="2">
        <f>IF(D1083=1,Fandual!F1083,0)</f>
        <v>0</v>
      </c>
      <c r="H1083" s="2">
        <f>IF(D1083=1,Fandual!H1083,0)</f>
        <v>0</v>
      </c>
      <c r="I1083" s="2">
        <f>IF((Optimizer!$J$8=Fandual!J1083),4,0)</f>
        <v>0</v>
      </c>
      <c r="J1083" s="2">
        <f>IF((Optimizer!$J$10=Fandual!J1083),100,0)</f>
        <v>0</v>
      </c>
      <c r="K1083" s="2">
        <f t="shared" si="33"/>
        <v>0</v>
      </c>
      <c r="L1083" s="2">
        <f>IF(Fandual!M1083="",1,0)</f>
        <v>1</v>
      </c>
    </row>
    <row r="1084" spans="1:12" x14ac:dyDescent="0.25">
      <c r="A1084" s="2">
        <f>IF((OR(Optimizer!$J$8=Fandual!J1084,Optimizer!$J$10=Fandual!J1084))=TRUE, 1,0)</f>
        <v>0</v>
      </c>
      <c r="B1084" s="2">
        <f>IF((OR(Fandual!O1084="",Fandual!O1084&lt;&gt;0)=TRUE),1,0)</f>
        <v>1</v>
      </c>
      <c r="C1084" s="2">
        <f>IF(Fandual!B1084&lt;&gt;"P",1,0)</f>
        <v>1</v>
      </c>
      <c r="D1084" s="2">
        <f t="shared" si="32"/>
        <v>0</v>
      </c>
      <c r="E1084" s="2">
        <f>IF(D1084=1,Fandual!B1084,0)</f>
        <v>0</v>
      </c>
      <c r="F1084" s="2">
        <f>IF(D1084=1,Fandual!D1084,0)</f>
        <v>0</v>
      </c>
      <c r="G1084" s="2">
        <f>IF(D1084=1,Fandual!F1084,0)</f>
        <v>0</v>
      </c>
      <c r="H1084" s="2">
        <f>IF(D1084=1,Fandual!H1084,0)</f>
        <v>0</v>
      </c>
      <c r="I1084" s="2">
        <f>IF((Optimizer!$J$8=Fandual!J1084),4,0)</f>
        <v>0</v>
      </c>
      <c r="J1084" s="2">
        <f>IF((Optimizer!$J$10=Fandual!J1084),100,0)</f>
        <v>0</v>
      </c>
      <c r="K1084" s="2">
        <f t="shared" si="33"/>
        <v>0</v>
      </c>
      <c r="L1084" s="2">
        <f>IF(Fandual!M1084="",1,0)</f>
        <v>1</v>
      </c>
    </row>
    <row r="1085" spans="1:12" x14ac:dyDescent="0.25">
      <c r="A1085" s="2">
        <f>IF((OR(Optimizer!$J$8=Fandual!J1085,Optimizer!$J$10=Fandual!J1085))=TRUE, 1,0)</f>
        <v>0</v>
      </c>
      <c r="B1085" s="2">
        <f>IF((OR(Fandual!O1085="",Fandual!O1085&lt;&gt;0)=TRUE),1,0)</f>
        <v>1</v>
      </c>
      <c r="C1085" s="2">
        <f>IF(Fandual!B1085&lt;&gt;"P",1,0)</f>
        <v>1</v>
      </c>
      <c r="D1085" s="2">
        <f t="shared" si="32"/>
        <v>0</v>
      </c>
      <c r="E1085" s="2">
        <f>IF(D1085=1,Fandual!B1085,0)</f>
        <v>0</v>
      </c>
      <c r="F1085" s="2">
        <f>IF(D1085=1,Fandual!D1085,0)</f>
        <v>0</v>
      </c>
      <c r="G1085" s="2">
        <f>IF(D1085=1,Fandual!F1085,0)</f>
        <v>0</v>
      </c>
      <c r="H1085" s="2">
        <f>IF(D1085=1,Fandual!H1085,0)</f>
        <v>0</v>
      </c>
      <c r="I1085" s="2">
        <f>IF((Optimizer!$J$8=Fandual!J1085),4,0)</f>
        <v>0</v>
      </c>
      <c r="J1085" s="2">
        <f>IF((Optimizer!$J$10=Fandual!J1085),100,0)</f>
        <v>0</v>
      </c>
      <c r="K1085" s="2">
        <f t="shared" si="33"/>
        <v>0</v>
      </c>
      <c r="L1085" s="2">
        <f>IF(Fandual!M1085="",1,0)</f>
        <v>1</v>
      </c>
    </row>
    <row r="1086" spans="1:12" x14ac:dyDescent="0.25">
      <c r="A1086" s="2">
        <f>IF((OR(Optimizer!$J$8=Fandual!J1086,Optimizer!$J$10=Fandual!J1086))=TRUE, 1,0)</f>
        <v>0</v>
      </c>
      <c r="B1086" s="2">
        <f>IF((OR(Fandual!O1086="",Fandual!O1086&lt;&gt;0)=TRUE),1,0)</f>
        <v>1</v>
      </c>
      <c r="C1086" s="2">
        <f>IF(Fandual!B1086&lt;&gt;"P",1,0)</f>
        <v>1</v>
      </c>
      <c r="D1086" s="2">
        <f t="shared" si="32"/>
        <v>0</v>
      </c>
      <c r="E1086" s="2">
        <f>IF(D1086=1,Fandual!B1086,0)</f>
        <v>0</v>
      </c>
      <c r="F1086" s="2">
        <f>IF(D1086=1,Fandual!D1086,0)</f>
        <v>0</v>
      </c>
      <c r="G1086" s="2">
        <f>IF(D1086=1,Fandual!F1086,0)</f>
        <v>0</v>
      </c>
      <c r="H1086" s="2">
        <f>IF(D1086=1,Fandual!H1086,0)</f>
        <v>0</v>
      </c>
      <c r="I1086" s="2">
        <f>IF((Optimizer!$J$8=Fandual!J1086),4,0)</f>
        <v>0</v>
      </c>
      <c r="J1086" s="2">
        <f>IF((Optimizer!$J$10=Fandual!J1086),100,0)</f>
        <v>0</v>
      </c>
      <c r="K1086" s="2">
        <f t="shared" si="33"/>
        <v>0</v>
      </c>
      <c r="L1086" s="2">
        <f>IF(Fandual!M1086="",1,0)</f>
        <v>1</v>
      </c>
    </row>
    <row r="1087" spans="1:12" x14ac:dyDescent="0.25">
      <c r="A1087" s="2">
        <f>IF((OR(Optimizer!$J$8=Fandual!J1087,Optimizer!$J$10=Fandual!J1087))=TRUE, 1,0)</f>
        <v>0</v>
      </c>
      <c r="B1087" s="2">
        <f>IF((OR(Fandual!O1087="",Fandual!O1087&lt;&gt;0)=TRUE),1,0)</f>
        <v>1</v>
      </c>
      <c r="C1087" s="2">
        <f>IF(Fandual!B1087&lt;&gt;"P",1,0)</f>
        <v>1</v>
      </c>
      <c r="D1087" s="2">
        <f t="shared" si="32"/>
        <v>0</v>
      </c>
      <c r="E1087" s="2">
        <f>IF(D1087=1,Fandual!B1087,0)</f>
        <v>0</v>
      </c>
      <c r="F1087" s="2">
        <f>IF(D1087=1,Fandual!D1087,0)</f>
        <v>0</v>
      </c>
      <c r="G1087" s="2">
        <f>IF(D1087=1,Fandual!F1087,0)</f>
        <v>0</v>
      </c>
      <c r="H1087" s="2">
        <f>IF(D1087=1,Fandual!H1087,0)</f>
        <v>0</v>
      </c>
      <c r="I1087" s="2">
        <f>IF((Optimizer!$J$8=Fandual!J1087),4,0)</f>
        <v>0</v>
      </c>
      <c r="J1087" s="2">
        <f>IF((Optimizer!$J$10=Fandual!J1087),100,0)</f>
        <v>0</v>
      </c>
      <c r="K1087" s="2">
        <f t="shared" si="33"/>
        <v>0</v>
      </c>
      <c r="L1087" s="2">
        <f>IF(Fandual!M1087="",1,0)</f>
        <v>1</v>
      </c>
    </row>
    <row r="1088" spans="1:12" x14ac:dyDescent="0.25">
      <c r="A1088" s="2">
        <f>IF((OR(Optimizer!$J$8=Fandual!J1088,Optimizer!$J$10=Fandual!J1088))=TRUE, 1,0)</f>
        <v>0</v>
      </c>
      <c r="B1088" s="2">
        <f>IF((OR(Fandual!O1088="",Fandual!O1088&lt;&gt;0)=TRUE),1,0)</f>
        <v>1</v>
      </c>
      <c r="C1088" s="2">
        <f>IF(Fandual!B1088&lt;&gt;"P",1,0)</f>
        <v>1</v>
      </c>
      <c r="D1088" s="2">
        <f t="shared" si="32"/>
        <v>0</v>
      </c>
      <c r="E1088" s="2">
        <f>IF(D1088=1,Fandual!B1088,0)</f>
        <v>0</v>
      </c>
      <c r="F1088" s="2">
        <f>IF(D1088=1,Fandual!D1088,0)</f>
        <v>0</v>
      </c>
      <c r="G1088" s="2">
        <f>IF(D1088=1,Fandual!F1088,0)</f>
        <v>0</v>
      </c>
      <c r="H1088" s="2">
        <f>IF(D1088=1,Fandual!H1088,0)</f>
        <v>0</v>
      </c>
      <c r="I1088" s="2">
        <f>IF((Optimizer!$J$8=Fandual!J1088),4,0)</f>
        <v>0</v>
      </c>
      <c r="J1088" s="2">
        <f>IF((Optimizer!$J$10=Fandual!J1088),100,0)</f>
        <v>0</v>
      </c>
      <c r="K1088" s="2">
        <f t="shared" si="33"/>
        <v>0</v>
      </c>
      <c r="L1088" s="2">
        <f>IF(Fandual!M1088="",1,0)</f>
        <v>1</v>
      </c>
    </row>
    <row r="1089" spans="1:12" x14ac:dyDescent="0.25">
      <c r="A1089" s="2">
        <f>IF((OR(Optimizer!$J$8=Fandual!J1089,Optimizer!$J$10=Fandual!J1089))=TRUE, 1,0)</f>
        <v>0</v>
      </c>
      <c r="B1089" s="2">
        <f>IF((OR(Fandual!O1089="",Fandual!O1089&lt;&gt;0)=TRUE),1,0)</f>
        <v>1</v>
      </c>
      <c r="C1089" s="2">
        <f>IF(Fandual!B1089&lt;&gt;"P",1,0)</f>
        <v>1</v>
      </c>
      <c r="D1089" s="2">
        <f t="shared" si="32"/>
        <v>0</v>
      </c>
      <c r="E1089" s="2">
        <f>IF(D1089=1,Fandual!B1089,0)</f>
        <v>0</v>
      </c>
      <c r="F1089" s="2">
        <f>IF(D1089=1,Fandual!D1089,0)</f>
        <v>0</v>
      </c>
      <c r="G1089" s="2">
        <f>IF(D1089=1,Fandual!F1089,0)</f>
        <v>0</v>
      </c>
      <c r="H1089" s="2">
        <f>IF(D1089=1,Fandual!H1089,0)</f>
        <v>0</v>
      </c>
      <c r="I1089" s="2">
        <f>IF((Optimizer!$J$8=Fandual!J1089),4,0)</f>
        <v>0</v>
      </c>
      <c r="J1089" s="2">
        <f>IF((Optimizer!$J$10=Fandual!J1089),100,0)</f>
        <v>0</v>
      </c>
      <c r="K1089" s="2">
        <f t="shared" si="33"/>
        <v>0</v>
      </c>
      <c r="L1089" s="2">
        <f>IF(Fandual!M1089="",1,0)</f>
        <v>1</v>
      </c>
    </row>
    <row r="1090" spans="1:12" x14ac:dyDescent="0.25">
      <c r="A1090" s="2">
        <f>IF((OR(Optimizer!$J$8=Fandual!J1090,Optimizer!$J$10=Fandual!J1090))=TRUE, 1,0)</f>
        <v>0</v>
      </c>
      <c r="B1090" s="2">
        <f>IF((OR(Fandual!O1090="",Fandual!O1090&lt;&gt;0)=TRUE),1,0)</f>
        <v>1</v>
      </c>
      <c r="C1090" s="2">
        <f>IF(Fandual!B1090&lt;&gt;"P",1,0)</f>
        <v>1</v>
      </c>
      <c r="D1090" s="2">
        <f t="shared" ref="D1090:D1124" si="34">A1090*B1090*C1090*L1090</f>
        <v>0</v>
      </c>
      <c r="E1090" s="2">
        <f>IF(D1090=1,Fandual!B1090,0)</f>
        <v>0</v>
      </c>
      <c r="F1090" s="2">
        <f>IF(D1090=1,Fandual!D1090,0)</f>
        <v>0</v>
      </c>
      <c r="G1090" s="2">
        <f>IF(D1090=1,Fandual!F1090,0)</f>
        <v>0</v>
      </c>
      <c r="H1090" s="2">
        <f>IF(D1090=1,Fandual!H1090,0)</f>
        <v>0</v>
      </c>
      <c r="I1090" s="2">
        <f>IF((Optimizer!$J$8=Fandual!J1090),4,0)</f>
        <v>0</v>
      </c>
      <c r="J1090" s="2">
        <f>IF((Optimizer!$J$10=Fandual!J1090),100,0)</f>
        <v>0</v>
      </c>
      <c r="K1090" s="2">
        <f t="shared" si="33"/>
        <v>0</v>
      </c>
      <c r="L1090" s="2">
        <f>IF(Fandual!M1090="",1,0)</f>
        <v>1</v>
      </c>
    </row>
    <row r="1091" spans="1:12" x14ac:dyDescent="0.25">
      <c r="A1091" s="2">
        <f>IF((OR(Optimizer!$J$8=Fandual!J1091,Optimizer!$J$10=Fandual!J1091))=TRUE, 1,0)</f>
        <v>0</v>
      </c>
      <c r="B1091" s="2">
        <f>IF((OR(Fandual!O1091="",Fandual!O1091&lt;&gt;0)=TRUE),1,0)</f>
        <v>1</v>
      </c>
      <c r="C1091" s="2">
        <f>IF(Fandual!B1091&lt;&gt;"P",1,0)</f>
        <v>1</v>
      </c>
      <c r="D1091" s="2">
        <f t="shared" si="34"/>
        <v>0</v>
      </c>
      <c r="E1091" s="2">
        <f>IF(D1091=1,Fandual!B1091,0)</f>
        <v>0</v>
      </c>
      <c r="F1091" s="2">
        <f>IF(D1091=1,Fandual!D1091,0)</f>
        <v>0</v>
      </c>
      <c r="G1091" s="2">
        <f>IF(D1091=1,Fandual!F1091,0)</f>
        <v>0</v>
      </c>
      <c r="H1091" s="2">
        <f>IF(D1091=1,Fandual!H1091,0)</f>
        <v>0</v>
      </c>
      <c r="I1091" s="2">
        <f>IF((Optimizer!$J$8=Fandual!J1091),4,0)</f>
        <v>0</v>
      </c>
      <c r="J1091" s="2">
        <f>IF((Optimizer!$J$10=Fandual!J1091),100,0)</f>
        <v>0</v>
      </c>
      <c r="K1091" s="2">
        <f t="shared" ref="K1091:K1124" si="35">(I1091+J1091)*D1091</f>
        <v>0</v>
      </c>
      <c r="L1091" s="2">
        <f>IF(Fandual!M1091="",1,0)</f>
        <v>1</v>
      </c>
    </row>
    <row r="1092" spans="1:12" x14ac:dyDescent="0.25">
      <c r="A1092" s="2">
        <f>IF((OR(Optimizer!$J$8=Fandual!J1092,Optimizer!$J$10=Fandual!J1092))=TRUE, 1,0)</f>
        <v>0</v>
      </c>
      <c r="B1092" s="2">
        <f>IF((OR(Fandual!O1092="",Fandual!O1092&lt;&gt;0)=TRUE),1,0)</f>
        <v>1</v>
      </c>
      <c r="C1092" s="2">
        <f>IF(Fandual!B1092&lt;&gt;"P",1,0)</f>
        <v>1</v>
      </c>
      <c r="D1092" s="2">
        <f t="shared" si="34"/>
        <v>0</v>
      </c>
      <c r="E1092" s="2">
        <f>IF(D1092=1,Fandual!B1092,0)</f>
        <v>0</v>
      </c>
      <c r="F1092" s="2">
        <f>IF(D1092=1,Fandual!D1092,0)</f>
        <v>0</v>
      </c>
      <c r="G1092" s="2">
        <f>IF(D1092=1,Fandual!F1092,0)</f>
        <v>0</v>
      </c>
      <c r="H1092" s="2">
        <f>IF(D1092=1,Fandual!H1092,0)</f>
        <v>0</v>
      </c>
      <c r="I1092" s="2">
        <f>IF((Optimizer!$J$8=Fandual!J1092),4,0)</f>
        <v>0</v>
      </c>
      <c r="J1092" s="2">
        <f>IF((Optimizer!$J$10=Fandual!J1092),100,0)</f>
        <v>0</v>
      </c>
      <c r="K1092" s="2">
        <f t="shared" si="35"/>
        <v>0</v>
      </c>
      <c r="L1092" s="2">
        <f>IF(Fandual!M1092="",1,0)</f>
        <v>1</v>
      </c>
    </row>
    <row r="1093" spans="1:12" x14ac:dyDescent="0.25">
      <c r="A1093" s="2">
        <f>IF((OR(Optimizer!$J$8=Fandual!J1093,Optimizer!$J$10=Fandual!J1093))=TRUE, 1,0)</f>
        <v>0</v>
      </c>
      <c r="B1093" s="2">
        <f>IF((OR(Fandual!O1093="",Fandual!O1093&lt;&gt;0)=TRUE),1,0)</f>
        <v>1</v>
      </c>
      <c r="C1093" s="2">
        <f>IF(Fandual!B1093&lt;&gt;"P",1,0)</f>
        <v>1</v>
      </c>
      <c r="D1093" s="2">
        <f t="shared" si="34"/>
        <v>0</v>
      </c>
      <c r="E1093" s="2">
        <f>IF(D1093=1,Fandual!B1093,0)</f>
        <v>0</v>
      </c>
      <c r="F1093" s="2">
        <f>IF(D1093=1,Fandual!D1093,0)</f>
        <v>0</v>
      </c>
      <c r="G1093" s="2">
        <f>IF(D1093=1,Fandual!F1093,0)</f>
        <v>0</v>
      </c>
      <c r="H1093" s="2">
        <f>IF(D1093=1,Fandual!H1093,0)</f>
        <v>0</v>
      </c>
      <c r="I1093" s="2">
        <f>IF((Optimizer!$J$8=Fandual!J1093),4,0)</f>
        <v>0</v>
      </c>
      <c r="J1093" s="2">
        <f>IF((Optimizer!$J$10=Fandual!J1093),100,0)</f>
        <v>0</v>
      </c>
      <c r="K1093" s="2">
        <f t="shared" si="35"/>
        <v>0</v>
      </c>
      <c r="L1093" s="2">
        <f>IF(Fandual!M1093="",1,0)</f>
        <v>1</v>
      </c>
    </row>
    <row r="1094" spans="1:12" x14ac:dyDescent="0.25">
      <c r="A1094" s="2">
        <f>IF((OR(Optimizer!$J$8=Fandual!J1094,Optimizer!$J$10=Fandual!J1094))=TRUE, 1,0)</f>
        <v>0</v>
      </c>
      <c r="B1094" s="2">
        <f>IF((OR(Fandual!O1094="",Fandual!O1094&lt;&gt;0)=TRUE),1,0)</f>
        <v>1</v>
      </c>
      <c r="C1094" s="2">
        <f>IF(Fandual!B1094&lt;&gt;"P",1,0)</f>
        <v>1</v>
      </c>
      <c r="D1094" s="2">
        <f t="shared" si="34"/>
        <v>0</v>
      </c>
      <c r="E1094" s="2">
        <f>IF(D1094=1,Fandual!B1094,0)</f>
        <v>0</v>
      </c>
      <c r="F1094" s="2">
        <f>IF(D1094=1,Fandual!D1094,0)</f>
        <v>0</v>
      </c>
      <c r="G1094" s="2">
        <f>IF(D1094=1,Fandual!F1094,0)</f>
        <v>0</v>
      </c>
      <c r="H1094" s="2">
        <f>IF(D1094=1,Fandual!H1094,0)</f>
        <v>0</v>
      </c>
      <c r="I1094" s="2">
        <f>IF((Optimizer!$J$8=Fandual!J1094),4,0)</f>
        <v>0</v>
      </c>
      <c r="J1094" s="2">
        <f>IF((Optimizer!$J$10=Fandual!J1094),100,0)</f>
        <v>0</v>
      </c>
      <c r="K1094" s="2">
        <f t="shared" si="35"/>
        <v>0</v>
      </c>
      <c r="L1094" s="2">
        <f>IF(Fandual!M1094="",1,0)</f>
        <v>1</v>
      </c>
    </row>
    <row r="1095" spans="1:12" x14ac:dyDescent="0.25">
      <c r="A1095" s="2">
        <f>IF((OR(Optimizer!$J$8=Fandual!J1095,Optimizer!$J$10=Fandual!J1095))=TRUE, 1,0)</f>
        <v>0</v>
      </c>
      <c r="B1095" s="2">
        <f>IF((OR(Fandual!O1095="",Fandual!O1095&lt;&gt;0)=TRUE),1,0)</f>
        <v>1</v>
      </c>
      <c r="C1095" s="2">
        <f>IF(Fandual!B1095&lt;&gt;"P",1,0)</f>
        <v>1</v>
      </c>
      <c r="D1095" s="2">
        <f t="shared" si="34"/>
        <v>0</v>
      </c>
      <c r="E1095" s="2">
        <f>IF(D1095=1,Fandual!B1095,0)</f>
        <v>0</v>
      </c>
      <c r="F1095" s="2">
        <f>IF(D1095=1,Fandual!D1095,0)</f>
        <v>0</v>
      </c>
      <c r="G1095" s="2">
        <f>IF(D1095=1,Fandual!F1095,0)</f>
        <v>0</v>
      </c>
      <c r="H1095" s="2">
        <f>IF(D1095=1,Fandual!H1095,0)</f>
        <v>0</v>
      </c>
      <c r="I1095" s="2">
        <f>IF((Optimizer!$J$8=Fandual!J1095),4,0)</f>
        <v>0</v>
      </c>
      <c r="J1095" s="2">
        <f>IF((Optimizer!$J$10=Fandual!J1095),100,0)</f>
        <v>0</v>
      </c>
      <c r="K1095" s="2">
        <f t="shared" si="35"/>
        <v>0</v>
      </c>
      <c r="L1095" s="2">
        <f>IF(Fandual!M1095="",1,0)</f>
        <v>1</v>
      </c>
    </row>
    <row r="1096" spans="1:12" x14ac:dyDescent="0.25">
      <c r="A1096" s="2">
        <f>IF((OR(Optimizer!$J$8=Fandual!J1096,Optimizer!$J$10=Fandual!J1096))=TRUE, 1,0)</f>
        <v>0</v>
      </c>
      <c r="B1096" s="2">
        <f>IF((OR(Fandual!O1096="",Fandual!O1096&lt;&gt;0)=TRUE),1,0)</f>
        <v>1</v>
      </c>
      <c r="C1096" s="2">
        <f>IF(Fandual!B1096&lt;&gt;"P",1,0)</f>
        <v>1</v>
      </c>
      <c r="D1096" s="2">
        <f t="shared" si="34"/>
        <v>0</v>
      </c>
      <c r="E1096" s="2">
        <f>IF(D1096=1,Fandual!B1096,0)</f>
        <v>0</v>
      </c>
      <c r="F1096" s="2">
        <f>IF(D1096=1,Fandual!D1096,0)</f>
        <v>0</v>
      </c>
      <c r="G1096" s="2">
        <f>IF(D1096=1,Fandual!F1096,0)</f>
        <v>0</v>
      </c>
      <c r="H1096" s="2">
        <f>IF(D1096=1,Fandual!H1096,0)</f>
        <v>0</v>
      </c>
      <c r="I1096" s="2">
        <f>IF((Optimizer!$J$8=Fandual!J1096),4,0)</f>
        <v>0</v>
      </c>
      <c r="J1096" s="2">
        <f>IF((Optimizer!$J$10=Fandual!J1096),100,0)</f>
        <v>0</v>
      </c>
      <c r="K1096" s="2">
        <f t="shared" si="35"/>
        <v>0</v>
      </c>
      <c r="L1096" s="2">
        <f>IF(Fandual!M1096="",1,0)</f>
        <v>1</v>
      </c>
    </row>
    <row r="1097" spans="1:12" x14ac:dyDescent="0.25">
      <c r="A1097" s="2">
        <f>IF((OR(Optimizer!$J$8=Fandual!J1097,Optimizer!$J$10=Fandual!J1097))=TRUE, 1,0)</f>
        <v>0</v>
      </c>
      <c r="B1097" s="2">
        <f>IF((OR(Fandual!O1097="",Fandual!O1097&lt;&gt;0)=TRUE),1,0)</f>
        <v>1</v>
      </c>
      <c r="C1097" s="2">
        <f>IF(Fandual!B1097&lt;&gt;"P",1,0)</f>
        <v>1</v>
      </c>
      <c r="D1097" s="2">
        <f t="shared" si="34"/>
        <v>0</v>
      </c>
      <c r="E1097" s="2">
        <f>IF(D1097=1,Fandual!B1097,0)</f>
        <v>0</v>
      </c>
      <c r="F1097" s="2">
        <f>IF(D1097=1,Fandual!D1097,0)</f>
        <v>0</v>
      </c>
      <c r="G1097" s="2">
        <f>IF(D1097=1,Fandual!F1097,0)</f>
        <v>0</v>
      </c>
      <c r="H1097" s="2">
        <f>IF(D1097=1,Fandual!H1097,0)</f>
        <v>0</v>
      </c>
      <c r="I1097" s="2">
        <f>IF((Optimizer!$J$8=Fandual!J1097),4,0)</f>
        <v>0</v>
      </c>
      <c r="J1097" s="2">
        <f>IF((Optimizer!$J$10=Fandual!J1097),100,0)</f>
        <v>0</v>
      </c>
      <c r="K1097" s="2">
        <f t="shared" si="35"/>
        <v>0</v>
      </c>
      <c r="L1097" s="2">
        <f>IF(Fandual!M1097="",1,0)</f>
        <v>1</v>
      </c>
    </row>
    <row r="1098" spans="1:12" x14ac:dyDescent="0.25">
      <c r="A1098" s="2">
        <f>IF((OR(Optimizer!$J$8=Fandual!J1098,Optimizer!$J$10=Fandual!J1098))=TRUE, 1,0)</f>
        <v>0</v>
      </c>
      <c r="B1098" s="2">
        <f>IF((OR(Fandual!O1098="",Fandual!O1098&lt;&gt;0)=TRUE),1,0)</f>
        <v>1</v>
      </c>
      <c r="C1098" s="2">
        <f>IF(Fandual!B1098&lt;&gt;"P",1,0)</f>
        <v>1</v>
      </c>
      <c r="D1098" s="2">
        <f t="shared" si="34"/>
        <v>0</v>
      </c>
      <c r="E1098" s="2">
        <f>IF(D1098=1,Fandual!B1098,0)</f>
        <v>0</v>
      </c>
      <c r="F1098" s="2">
        <f>IF(D1098=1,Fandual!D1098,0)</f>
        <v>0</v>
      </c>
      <c r="G1098" s="2">
        <f>IF(D1098=1,Fandual!F1098,0)</f>
        <v>0</v>
      </c>
      <c r="H1098" s="2">
        <f>IF(D1098=1,Fandual!H1098,0)</f>
        <v>0</v>
      </c>
      <c r="I1098" s="2">
        <f>IF((Optimizer!$J$8=Fandual!J1098),4,0)</f>
        <v>0</v>
      </c>
      <c r="J1098" s="2">
        <f>IF((Optimizer!$J$10=Fandual!J1098),100,0)</f>
        <v>0</v>
      </c>
      <c r="K1098" s="2">
        <f t="shared" si="35"/>
        <v>0</v>
      </c>
      <c r="L1098" s="2">
        <f>IF(Fandual!M1098="",1,0)</f>
        <v>1</v>
      </c>
    </row>
    <row r="1099" spans="1:12" x14ac:dyDescent="0.25">
      <c r="A1099" s="2">
        <f>IF((OR(Optimizer!$J$8=Fandual!J1099,Optimizer!$J$10=Fandual!J1099))=TRUE, 1,0)</f>
        <v>0</v>
      </c>
      <c r="B1099" s="2">
        <f>IF((OR(Fandual!O1099="",Fandual!O1099&lt;&gt;0)=TRUE),1,0)</f>
        <v>1</v>
      </c>
      <c r="C1099" s="2">
        <f>IF(Fandual!B1099&lt;&gt;"P",1,0)</f>
        <v>1</v>
      </c>
      <c r="D1099" s="2">
        <f t="shared" si="34"/>
        <v>0</v>
      </c>
      <c r="E1099" s="2">
        <f>IF(D1099=1,Fandual!B1099,0)</f>
        <v>0</v>
      </c>
      <c r="F1099" s="2">
        <f>IF(D1099=1,Fandual!D1099,0)</f>
        <v>0</v>
      </c>
      <c r="G1099" s="2">
        <f>IF(D1099=1,Fandual!F1099,0)</f>
        <v>0</v>
      </c>
      <c r="H1099" s="2">
        <f>IF(D1099=1,Fandual!H1099,0)</f>
        <v>0</v>
      </c>
      <c r="I1099" s="2">
        <f>IF((Optimizer!$J$8=Fandual!J1099),4,0)</f>
        <v>0</v>
      </c>
      <c r="J1099" s="2">
        <f>IF((Optimizer!$J$10=Fandual!J1099),100,0)</f>
        <v>0</v>
      </c>
      <c r="K1099" s="2">
        <f t="shared" si="35"/>
        <v>0</v>
      </c>
      <c r="L1099" s="2">
        <f>IF(Fandual!M1099="",1,0)</f>
        <v>1</v>
      </c>
    </row>
    <row r="1100" spans="1:12" x14ac:dyDescent="0.25">
      <c r="A1100" s="2">
        <f>IF((OR(Optimizer!$J$8=Fandual!J1100,Optimizer!$J$10=Fandual!J1100))=TRUE, 1,0)</f>
        <v>0</v>
      </c>
      <c r="B1100" s="2">
        <f>IF((OR(Fandual!O1100="",Fandual!O1100&lt;&gt;0)=TRUE),1,0)</f>
        <v>1</v>
      </c>
      <c r="C1100" s="2">
        <f>IF(Fandual!B1100&lt;&gt;"P",1,0)</f>
        <v>1</v>
      </c>
      <c r="D1100" s="2">
        <f t="shared" si="34"/>
        <v>0</v>
      </c>
      <c r="E1100" s="2">
        <f>IF(D1100=1,Fandual!B1100,0)</f>
        <v>0</v>
      </c>
      <c r="F1100" s="2">
        <f>IF(D1100=1,Fandual!D1100,0)</f>
        <v>0</v>
      </c>
      <c r="G1100" s="2">
        <f>IF(D1100=1,Fandual!F1100,0)</f>
        <v>0</v>
      </c>
      <c r="H1100" s="2">
        <f>IF(D1100=1,Fandual!H1100,0)</f>
        <v>0</v>
      </c>
      <c r="I1100" s="2">
        <f>IF((Optimizer!$J$8=Fandual!J1100),4,0)</f>
        <v>0</v>
      </c>
      <c r="J1100" s="2">
        <f>IF((Optimizer!$J$10=Fandual!J1100),100,0)</f>
        <v>0</v>
      </c>
      <c r="K1100" s="2">
        <f t="shared" si="35"/>
        <v>0</v>
      </c>
      <c r="L1100" s="2">
        <f>IF(Fandual!M1100="",1,0)</f>
        <v>1</v>
      </c>
    </row>
    <row r="1101" spans="1:12" x14ac:dyDescent="0.25">
      <c r="A1101" s="2">
        <f>IF((OR(Optimizer!$J$8=Fandual!J1101,Optimizer!$J$10=Fandual!J1101))=TRUE, 1,0)</f>
        <v>0</v>
      </c>
      <c r="B1101" s="2">
        <f>IF((OR(Fandual!O1101="",Fandual!O1101&lt;&gt;0)=TRUE),1,0)</f>
        <v>1</v>
      </c>
      <c r="C1101" s="2">
        <f>IF(Fandual!B1101&lt;&gt;"P",1,0)</f>
        <v>1</v>
      </c>
      <c r="D1101" s="2">
        <f t="shared" si="34"/>
        <v>0</v>
      </c>
      <c r="E1101" s="2">
        <f>IF(D1101=1,Fandual!B1101,0)</f>
        <v>0</v>
      </c>
      <c r="F1101" s="2">
        <f>IF(D1101=1,Fandual!D1101,0)</f>
        <v>0</v>
      </c>
      <c r="G1101" s="2">
        <f>IF(D1101=1,Fandual!F1101,0)</f>
        <v>0</v>
      </c>
      <c r="H1101" s="2">
        <f>IF(D1101=1,Fandual!H1101,0)</f>
        <v>0</v>
      </c>
      <c r="I1101" s="2">
        <f>IF((Optimizer!$J$8=Fandual!J1101),4,0)</f>
        <v>0</v>
      </c>
      <c r="J1101" s="2">
        <f>IF((Optimizer!$J$10=Fandual!J1101),100,0)</f>
        <v>0</v>
      </c>
      <c r="K1101" s="2">
        <f t="shared" si="35"/>
        <v>0</v>
      </c>
      <c r="L1101" s="2">
        <f>IF(Fandual!M1101="",1,0)</f>
        <v>1</v>
      </c>
    </row>
    <row r="1102" spans="1:12" x14ac:dyDescent="0.25">
      <c r="A1102" s="2">
        <f>IF((OR(Optimizer!$J$8=Fandual!J1102,Optimizer!$J$10=Fandual!J1102))=TRUE, 1,0)</f>
        <v>0</v>
      </c>
      <c r="B1102" s="2">
        <f>IF((OR(Fandual!O1102="",Fandual!O1102&lt;&gt;0)=TRUE),1,0)</f>
        <v>1</v>
      </c>
      <c r="C1102" s="2">
        <f>IF(Fandual!B1102&lt;&gt;"P",1,0)</f>
        <v>1</v>
      </c>
      <c r="D1102" s="2">
        <f t="shared" si="34"/>
        <v>0</v>
      </c>
      <c r="E1102" s="2">
        <f>IF(D1102=1,Fandual!B1102,0)</f>
        <v>0</v>
      </c>
      <c r="F1102" s="2">
        <f>IF(D1102=1,Fandual!D1102,0)</f>
        <v>0</v>
      </c>
      <c r="G1102" s="2">
        <f>IF(D1102=1,Fandual!F1102,0)</f>
        <v>0</v>
      </c>
      <c r="H1102" s="2">
        <f>IF(D1102=1,Fandual!H1102,0)</f>
        <v>0</v>
      </c>
      <c r="I1102" s="2">
        <f>IF((Optimizer!$J$8=Fandual!J1102),4,0)</f>
        <v>0</v>
      </c>
      <c r="J1102" s="2">
        <f>IF((Optimizer!$J$10=Fandual!J1102),100,0)</f>
        <v>0</v>
      </c>
      <c r="K1102" s="2">
        <f t="shared" si="35"/>
        <v>0</v>
      </c>
      <c r="L1102" s="2">
        <f>IF(Fandual!M1102="",1,0)</f>
        <v>1</v>
      </c>
    </row>
    <row r="1103" spans="1:12" x14ac:dyDescent="0.25">
      <c r="A1103" s="2">
        <f>IF((OR(Optimizer!$J$8=Fandual!J1103,Optimizer!$J$10=Fandual!J1103))=TRUE, 1,0)</f>
        <v>0</v>
      </c>
      <c r="B1103" s="2">
        <f>IF((OR(Fandual!O1103="",Fandual!O1103&lt;&gt;0)=TRUE),1,0)</f>
        <v>1</v>
      </c>
      <c r="C1103" s="2">
        <f>IF(Fandual!B1103&lt;&gt;"P",1,0)</f>
        <v>1</v>
      </c>
      <c r="D1103" s="2">
        <f t="shared" si="34"/>
        <v>0</v>
      </c>
      <c r="E1103" s="2">
        <f>IF(D1103=1,Fandual!B1103,0)</f>
        <v>0</v>
      </c>
      <c r="F1103" s="2">
        <f>IF(D1103=1,Fandual!D1103,0)</f>
        <v>0</v>
      </c>
      <c r="G1103" s="2">
        <f>IF(D1103=1,Fandual!F1103,0)</f>
        <v>0</v>
      </c>
      <c r="H1103" s="2">
        <f>IF(D1103=1,Fandual!H1103,0)</f>
        <v>0</v>
      </c>
      <c r="I1103" s="2">
        <f>IF((Optimizer!$J$8=Fandual!J1103),4,0)</f>
        <v>0</v>
      </c>
      <c r="J1103" s="2">
        <f>IF((Optimizer!$J$10=Fandual!J1103),100,0)</f>
        <v>0</v>
      </c>
      <c r="K1103" s="2">
        <f t="shared" si="35"/>
        <v>0</v>
      </c>
      <c r="L1103" s="2">
        <f>IF(Fandual!M1103="",1,0)</f>
        <v>1</v>
      </c>
    </row>
    <row r="1104" spans="1:12" x14ac:dyDescent="0.25">
      <c r="A1104" s="2">
        <f>IF((OR(Optimizer!$J$8=Fandual!J1104,Optimizer!$J$10=Fandual!J1104))=TRUE, 1,0)</f>
        <v>0</v>
      </c>
      <c r="B1104" s="2">
        <f>IF((OR(Fandual!O1104="",Fandual!O1104&lt;&gt;0)=TRUE),1,0)</f>
        <v>1</v>
      </c>
      <c r="C1104" s="2">
        <f>IF(Fandual!B1104&lt;&gt;"P",1,0)</f>
        <v>1</v>
      </c>
      <c r="D1104" s="2">
        <f t="shared" si="34"/>
        <v>0</v>
      </c>
      <c r="E1104" s="2">
        <f>IF(D1104=1,Fandual!B1104,0)</f>
        <v>0</v>
      </c>
      <c r="F1104" s="2">
        <f>IF(D1104=1,Fandual!D1104,0)</f>
        <v>0</v>
      </c>
      <c r="G1104" s="2">
        <f>IF(D1104=1,Fandual!F1104,0)</f>
        <v>0</v>
      </c>
      <c r="H1104" s="2">
        <f>IF(D1104=1,Fandual!H1104,0)</f>
        <v>0</v>
      </c>
      <c r="I1104" s="2">
        <f>IF((Optimizer!$J$8=Fandual!J1104),4,0)</f>
        <v>0</v>
      </c>
      <c r="J1104" s="2">
        <f>IF((Optimizer!$J$10=Fandual!J1104),100,0)</f>
        <v>0</v>
      </c>
      <c r="K1104" s="2">
        <f t="shared" si="35"/>
        <v>0</v>
      </c>
      <c r="L1104" s="2">
        <f>IF(Fandual!M1104="",1,0)</f>
        <v>1</v>
      </c>
    </row>
    <row r="1105" spans="1:12" x14ac:dyDescent="0.25">
      <c r="A1105" s="2">
        <f>IF((OR(Optimizer!$J$8=Fandual!J1105,Optimizer!$J$10=Fandual!J1105))=TRUE, 1,0)</f>
        <v>0</v>
      </c>
      <c r="B1105" s="2">
        <f>IF((OR(Fandual!O1105="",Fandual!O1105&lt;&gt;0)=TRUE),1,0)</f>
        <v>1</v>
      </c>
      <c r="C1105" s="2">
        <f>IF(Fandual!B1105&lt;&gt;"P",1,0)</f>
        <v>1</v>
      </c>
      <c r="D1105" s="2">
        <f t="shared" si="34"/>
        <v>0</v>
      </c>
      <c r="E1105" s="2">
        <f>IF(D1105=1,Fandual!B1105,0)</f>
        <v>0</v>
      </c>
      <c r="F1105" s="2">
        <f>IF(D1105=1,Fandual!D1105,0)</f>
        <v>0</v>
      </c>
      <c r="G1105" s="2">
        <f>IF(D1105=1,Fandual!F1105,0)</f>
        <v>0</v>
      </c>
      <c r="H1105" s="2">
        <f>IF(D1105=1,Fandual!H1105,0)</f>
        <v>0</v>
      </c>
      <c r="I1105" s="2">
        <f>IF((Optimizer!$J$8=Fandual!J1105),4,0)</f>
        <v>0</v>
      </c>
      <c r="J1105" s="2">
        <f>IF((Optimizer!$J$10=Fandual!J1105),100,0)</f>
        <v>0</v>
      </c>
      <c r="K1105" s="2">
        <f t="shared" si="35"/>
        <v>0</v>
      </c>
      <c r="L1105" s="2">
        <f>IF(Fandual!M1105="",1,0)</f>
        <v>1</v>
      </c>
    </row>
    <row r="1106" spans="1:12" x14ac:dyDescent="0.25">
      <c r="A1106" s="2">
        <f>IF((OR(Optimizer!$J$8=Fandual!J1106,Optimizer!$J$10=Fandual!J1106))=TRUE, 1,0)</f>
        <v>0</v>
      </c>
      <c r="B1106" s="2">
        <f>IF((OR(Fandual!O1106="",Fandual!O1106&lt;&gt;0)=TRUE),1,0)</f>
        <v>1</v>
      </c>
      <c r="C1106" s="2">
        <f>IF(Fandual!B1106&lt;&gt;"P",1,0)</f>
        <v>1</v>
      </c>
      <c r="D1106" s="2">
        <f t="shared" si="34"/>
        <v>0</v>
      </c>
      <c r="E1106" s="2">
        <f>IF(D1106=1,Fandual!B1106,0)</f>
        <v>0</v>
      </c>
      <c r="F1106" s="2">
        <f>IF(D1106=1,Fandual!D1106,0)</f>
        <v>0</v>
      </c>
      <c r="G1106" s="2">
        <f>IF(D1106=1,Fandual!F1106,0)</f>
        <v>0</v>
      </c>
      <c r="H1106" s="2">
        <f>IF(D1106=1,Fandual!H1106,0)</f>
        <v>0</v>
      </c>
      <c r="I1106" s="2">
        <f>IF((Optimizer!$J$8=Fandual!J1106),4,0)</f>
        <v>0</v>
      </c>
      <c r="J1106" s="2">
        <f>IF((Optimizer!$J$10=Fandual!J1106),100,0)</f>
        <v>0</v>
      </c>
      <c r="K1106" s="2">
        <f t="shared" si="35"/>
        <v>0</v>
      </c>
      <c r="L1106" s="2">
        <f>IF(Fandual!M1106="",1,0)</f>
        <v>1</v>
      </c>
    </row>
    <row r="1107" spans="1:12" x14ac:dyDescent="0.25">
      <c r="A1107" s="2">
        <f>IF((OR(Optimizer!$J$8=Fandual!J1107,Optimizer!$J$10=Fandual!J1107))=TRUE, 1,0)</f>
        <v>0</v>
      </c>
      <c r="B1107" s="2">
        <f>IF((OR(Fandual!O1107="",Fandual!O1107&lt;&gt;0)=TRUE),1,0)</f>
        <v>1</v>
      </c>
      <c r="C1107" s="2">
        <f>IF(Fandual!B1107&lt;&gt;"P",1,0)</f>
        <v>1</v>
      </c>
      <c r="D1107" s="2">
        <f t="shared" si="34"/>
        <v>0</v>
      </c>
      <c r="E1107" s="2">
        <f>IF(D1107=1,Fandual!B1107,0)</f>
        <v>0</v>
      </c>
      <c r="F1107" s="2">
        <f>IF(D1107=1,Fandual!D1107,0)</f>
        <v>0</v>
      </c>
      <c r="G1107" s="2">
        <f>IF(D1107=1,Fandual!F1107,0)</f>
        <v>0</v>
      </c>
      <c r="H1107" s="2">
        <f>IF(D1107=1,Fandual!H1107,0)</f>
        <v>0</v>
      </c>
      <c r="I1107" s="2">
        <f>IF((Optimizer!$J$8=Fandual!J1107),4,0)</f>
        <v>0</v>
      </c>
      <c r="J1107" s="2">
        <f>IF((Optimizer!$J$10=Fandual!J1107),100,0)</f>
        <v>0</v>
      </c>
      <c r="K1107" s="2">
        <f t="shared" si="35"/>
        <v>0</v>
      </c>
      <c r="L1107" s="2">
        <f>IF(Fandual!M1107="",1,0)</f>
        <v>1</v>
      </c>
    </row>
    <row r="1108" spans="1:12" x14ac:dyDescent="0.25">
      <c r="A1108" s="2">
        <f>IF((OR(Optimizer!$J$8=Fandual!J1108,Optimizer!$J$10=Fandual!J1108))=TRUE, 1,0)</f>
        <v>0</v>
      </c>
      <c r="B1108" s="2">
        <f>IF((OR(Fandual!O1108="",Fandual!O1108&lt;&gt;0)=TRUE),1,0)</f>
        <v>1</v>
      </c>
      <c r="C1108" s="2">
        <f>IF(Fandual!B1108&lt;&gt;"P",1,0)</f>
        <v>1</v>
      </c>
      <c r="D1108" s="2">
        <f t="shared" si="34"/>
        <v>0</v>
      </c>
      <c r="E1108" s="2">
        <f>IF(D1108=1,Fandual!B1108,0)</f>
        <v>0</v>
      </c>
      <c r="F1108" s="2">
        <f>IF(D1108=1,Fandual!D1108,0)</f>
        <v>0</v>
      </c>
      <c r="G1108" s="2">
        <f>IF(D1108=1,Fandual!F1108,0)</f>
        <v>0</v>
      </c>
      <c r="H1108" s="2">
        <f>IF(D1108=1,Fandual!H1108,0)</f>
        <v>0</v>
      </c>
      <c r="I1108" s="2">
        <f>IF((Optimizer!$J$8=Fandual!J1108),4,0)</f>
        <v>0</v>
      </c>
      <c r="J1108" s="2">
        <f>IF((Optimizer!$J$10=Fandual!J1108),100,0)</f>
        <v>0</v>
      </c>
      <c r="K1108" s="2">
        <f t="shared" si="35"/>
        <v>0</v>
      </c>
      <c r="L1108" s="2">
        <f>IF(Fandual!M1108="",1,0)</f>
        <v>1</v>
      </c>
    </row>
    <row r="1109" spans="1:12" x14ac:dyDescent="0.25">
      <c r="A1109" s="2">
        <f>IF((OR(Optimizer!$J$8=Fandual!J1109,Optimizer!$J$10=Fandual!J1109))=TRUE, 1,0)</f>
        <v>0</v>
      </c>
      <c r="B1109" s="2">
        <f>IF((OR(Fandual!O1109="",Fandual!O1109&lt;&gt;0)=TRUE),1,0)</f>
        <v>1</v>
      </c>
      <c r="C1109" s="2">
        <f>IF(Fandual!B1109&lt;&gt;"P",1,0)</f>
        <v>1</v>
      </c>
      <c r="D1109" s="2">
        <f t="shared" si="34"/>
        <v>0</v>
      </c>
      <c r="E1109" s="2">
        <f>IF(D1109=1,Fandual!B1109,0)</f>
        <v>0</v>
      </c>
      <c r="F1109" s="2">
        <f>IF(D1109=1,Fandual!D1109,0)</f>
        <v>0</v>
      </c>
      <c r="G1109" s="2">
        <f>IF(D1109=1,Fandual!F1109,0)</f>
        <v>0</v>
      </c>
      <c r="H1109" s="2">
        <f>IF(D1109=1,Fandual!H1109,0)</f>
        <v>0</v>
      </c>
      <c r="I1109" s="2">
        <f>IF((Optimizer!$J$8=Fandual!J1109),4,0)</f>
        <v>0</v>
      </c>
      <c r="J1109" s="2">
        <f>IF((Optimizer!$J$10=Fandual!J1109),100,0)</f>
        <v>0</v>
      </c>
      <c r="K1109" s="2">
        <f t="shared" si="35"/>
        <v>0</v>
      </c>
      <c r="L1109" s="2">
        <f>IF(Fandual!M1109="",1,0)</f>
        <v>1</v>
      </c>
    </row>
    <row r="1110" spans="1:12" x14ac:dyDescent="0.25">
      <c r="A1110" s="2">
        <f>IF((OR(Optimizer!$J$8=Fandual!J1110,Optimizer!$J$10=Fandual!J1110))=TRUE, 1,0)</f>
        <v>0</v>
      </c>
      <c r="B1110" s="2">
        <f>IF((OR(Fandual!O1110="",Fandual!O1110&lt;&gt;0)=TRUE),1,0)</f>
        <v>1</v>
      </c>
      <c r="C1110" s="2">
        <f>IF(Fandual!B1110&lt;&gt;"P",1,0)</f>
        <v>1</v>
      </c>
      <c r="D1110" s="2">
        <f t="shared" si="34"/>
        <v>0</v>
      </c>
      <c r="E1110" s="2">
        <f>IF(D1110=1,Fandual!B1110,0)</f>
        <v>0</v>
      </c>
      <c r="F1110" s="2">
        <f>IF(D1110=1,Fandual!D1110,0)</f>
        <v>0</v>
      </c>
      <c r="G1110" s="2">
        <f>IF(D1110=1,Fandual!F1110,0)</f>
        <v>0</v>
      </c>
      <c r="H1110" s="2">
        <f>IF(D1110=1,Fandual!H1110,0)</f>
        <v>0</v>
      </c>
      <c r="I1110" s="2">
        <f>IF((Optimizer!$J$8=Fandual!J1110),4,0)</f>
        <v>0</v>
      </c>
      <c r="J1110" s="2">
        <f>IF((Optimizer!$J$10=Fandual!J1110),100,0)</f>
        <v>0</v>
      </c>
      <c r="K1110" s="2">
        <f t="shared" si="35"/>
        <v>0</v>
      </c>
      <c r="L1110" s="2">
        <f>IF(Fandual!M1110="",1,0)</f>
        <v>1</v>
      </c>
    </row>
    <row r="1111" spans="1:12" x14ac:dyDescent="0.25">
      <c r="A1111" s="2">
        <f>IF((OR(Optimizer!$J$8=Fandual!J1111,Optimizer!$J$10=Fandual!J1111))=TRUE, 1,0)</f>
        <v>0</v>
      </c>
      <c r="B1111" s="2">
        <f>IF((OR(Fandual!O1111="",Fandual!O1111&lt;&gt;0)=TRUE),1,0)</f>
        <v>1</v>
      </c>
      <c r="C1111" s="2">
        <f>IF(Fandual!B1111&lt;&gt;"P",1,0)</f>
        <v>1</v>
      </c>
      <c r="D1111" s="2">
        <f t="shared" si="34"/>
        <v>0</v>
      </c>
      <c r="E1111" s="2">
        <f>IF(D1111=1,Fandual!B1111,0)</f>
        <v>0</v>
      </c>
      <c r="F1111" s="2">
        <f>IF(D1111=1,Fandual!D1111,0)</f>
        <v>0</v>
      </c>
      <c r="G1111" s="2">
        <f>IF(D1111=1,Fandual!F1111,0)</f>
        <v>0</v>
      </c>
      <c r="H1111" s="2">
        <f>IF(D1111=1,Fandual!H1111,0)</f>
        <v>0</v>
      </c>
      <c r="I1111" s="2">
        <f>IF((Optimizer!$J$8=Fandual!J1111),4,0)</f>
        <v>0</v>
      </c>
      <c r="J1111" s="2">
        <f>IF((Optimizer!$J$10=Fandual!J1111),100,0)</f>
        <v>0</v>
      </c>
      <c r="K1111" s="2">
        <f t="shared" si="35"/>
        <v>0</v>
      </c>
      <c r="L1111" s="2">
        <f>IF(Fandual!M1111="",1,0)</f>
        <v>1</v>
      </c>
    </row>
    <row r="1112" spans="1:12" x14ac:dyDescent="0.25">
      <c r="A1112" s="2">
        <f>IF((OR(Optimizer!$J$8=Fandual!J1112,Optimizer!$J$10=Fandual!J1112))=TRUE, 1,0)</f>
        <v>0</v>
      </c>
      <c r="B1112" s="2">
        <f>IF((OR(Fandual!O1112="",Fandual!O1112&lt;&gt;0)=TRUE),1,0)</f>
        <v>1</v>
      </c>
      <c r="C1112" s="2">
        <f>IF(Fandual!B1112&lt;&gt;"P",1,0)</f>
        <v>1</v>
      </c>
      <c r="D1112" s="2">
        <f t="shared" si="34"/>
        <v>0</v>
      </c>
      <c r="E1112" s="2">
        <f>IF(D1112=1,Fandual!B1112,0)</f>
        <v>0</v>
      </c>
      <c r="F1112" s="2">
        <f>IF(D1112=1,Fandual!D1112,0)</f>
        <v>0</v>
      </c>
      <c r="G1112" s="2">
        <f>IF(D1112=1,Fandual!F1112,0)</f>
        <v>0</v>
      </c>
      <c r="H1112" s="2">
        <f>IF(D1112=1,Fandual!H1112,0)</f>
        <v>0</v>
      </c>
      <c r="I1112" s="2">
        <f>IF((Optimizer!$J$8=Fandual!J1112),4,0)</f>
        <v>0</v>
      </c>
      <c r="J1112" s="2">
        <f>IF((Optimizer!$J$10=Fandual!J1112),100,0)</f>
        <v>0</v>
      </c>
      <c r="K1112" s="2">
        <f t="shared" si="35"/>
        <v>0</v>
      </c>
      <c r="L1112" s="2">
        <f>IF(Fandual!M1112="",1,0)</f>
        <v>1</v>
      </c>
    </row>
    <row r="1113" spans="1:12" x14ac:dyDescent="0.25">
      <c r="A1113" s="2">
        <f>IF((OR(Optimizer!$J$8=Fandual!J1113,Optimizer!$J$10=Fandual!J1113))=TRUE, 1,0)</f>
        <v>0</v>
      </c>
      <c r="B1113" s="2">
        <f>IF((OR(Fandual!O1113="",Fandual!O1113&lt;&gt;0)=TRUE),1,0)</f>
        <v>1</v>
      </c>
      <c r="C1113" s="2">
        <f>IF(Fandual!B1113&lt;&gt;"P",1,0)</f>
        <v>1</v>
      </c>
      <c r="D1113" s="2">
        <f t="shared" si="34"/>
        <v>0</v>
      </c>
      <c r="E1113" s="2">
        <f>IF(D1113=1,Fandual!B1113,0)</f>
        <v>0</v>
      </c>
      <c r="F1113" s="2">
        <f>IF(D1113=1,Fandual!D1113,0)</f>
        <v>0</v>
      </c>
      <c r="G1113" s="2">
        <f>IF(D1113=1,Fandual!F1113,0)</f>
        <v>0</v>
      </c>
      <c r="H1113" s="2">
        <f>IF(D1113=1,Fandual!H1113,0)</f>
        <v>0</v>
      </c>
      <c r="I1113" s="2">
        <f>IF((Optimizer!$J$8=Fandual!J1113),4,0)</f>
        <v>0</v>
      </c>
      <c r="J1113" s="2">
        <f>IF((Optimizer!$J$10=Fandual!J1113),100,0)</f>
        <v>0</v>
      </c>
      <c r="K1113" s="2">
        <f t="shared" si="35"/>
        <v>0</v>
      </c>
      <c r="L1113" s="2">
        <f>IF(Fandual!M1113="",1,0)</f>
        <v>1</v>
      </c>
    </row>
    <row r="1114" spans="1:12" x14ac:dyDescent="0.25">
      <c r="A1114" s="2">
        <f>IF((OR(Optimizer!$J$8=Fandual!J1114,Optimizer!$J$10=Fandual!J1114))=TRUE, 1,0)</f>
        <v>0</v>
      </c>
      <c r="B1114" s="2">
        <f>IF((OR(Fandual!O1114="",Fandual!O1114&lt;&gt;0)=TRUE),1,0)</f>
        <v>1</v>
      </c>
      <c r="C1114" s="2">
        <f>IF(Fandual!B1114&lt;&gt;"P",1,0)</f>
        <v>1</v>
      </c>
      <c r="D1114" s="2">
        <f t="shared" si="34"/>
        <v>0</v>
      </c>
      <c r="E1114" s="2">
        <f>IF(D1114=1,Fandual!B1114,0)</f>
        <v>0</v>
      </c>
      <c r="F1114" s="2">
        <f>IF(D1114=1,Fandual!D1114,0)</f>
        <v>0</v>
      </c>
      <c r="G1114" s="2">
        <f>IF(D1114=1,Fandual!F1114,0)</f>
        <v>0</v>
      </c>
      <c r="H1114" s="2">
        <f>IF(D1114=1,Fandual!H1114,0)</f>
        <v>0</v>
      </c>
      <c r="I1114" s="2">
        <f>IF((Optimizer!$J$8=Fandual!J1114),4,0)</f>
        <v>0</v>
      </c>
      <c r="J1114" s="2">
        <f>IF((Optimizer!$J$10=Fandual!J1114),100,0)</f>
        <v>0</v>
      </c>
      <c r="K1114" s="2">
        <f t="shared" si="35"/>
        <v>0</v>
      </c>
      <c r="L1114" s="2">
        <f>IF(Fandual!M1114="",1,0)</f>
        <v>1</v>
      </c>
    </row>
    <row r="1115" spans="1:12" x14ac:dyDescent="0.25">
      <c r="A1115" s="2">
        <f>IF((OR(Optimizer!$J$8=Fandual!J1115,Optimizer!$J$10=Fandual!J1115))=TRUE, 1,0)</f>
        <v>0</v>
      </c>
      <c r="B1115" s="2">
        <f>IF((OR(Fandual!O1115="",Fandual!O1115&lt;&gt;0)=TRUE),1,0)</f>
        <v>1</v>
      </c>
      <c r="C1115" s="2">
        <f>IF(Fandual!B1115&lt;&gt;"P",1,0)</f>
        <v>1</v>
      </c>
      <c r="D1115" s="2">
        <f t="shared" si="34"/>
        <v>0</v>
      </c>
      <c r="E1115" s="2">
        <f>IF(D1115=1,Fandual!B1115,0)</f>
        <v>0</v>
      </c>
      <c r="F1115" s="2">
        <f>IF(D1115=1,Fandual!D1115,0)</f>
        <v>0</v>
      </c>
      <c r="G1115" s="2">
        <f>IF(D1115=1,Fandual!F1115,0)</f>
        <v>0</v>
      </c>
      <c r="H1115" s="2">
        <f>IF(D1115=1,Fandual!H1115,0)</f>
        <v>0</v>
      </c>
      <c r="I1115" s="2">
        <f>IF((Optimizer!$J$8=Fandual!J1115),4,0)</f>
        <v>0</v>
      </c>
      <c r="J1115" s="2">
        <f>IF((Optimizer!$J$10=Fandual!J1115),100,0)</f>
        <v>0</v>
      </c>
      <c r="K1115" s="2">
        <f t="shared" si="35"/>
        <v>0</v>
      </c>
      <c r="L1115" s="2">
        <f>IF(Fandual!M1115="",1,0)</f>
        <v>1</v>
      </c>
    </row>
    <row r="1116" spans="1:12" x14ac:dyDescent="0.25">
      <c r="A1116" s="2">
        <f>IF((OR(Optimizer!$J$8=Fandual!J1116,Optimizer!$J$10=Fandual!J1116))=TRUE, 1,0)</f>
        <v>0</v>
      </c>
      <c r="B1116" s="2">
        <f>IF((OR(Fandual!O1116="",Fandual!O1116&lt;&gt;0)=TRUE),1,0)</f>
        <v>1</v>
      </c>
      <c r="C1116" s="2">
        <f>IF(Fandual!B1116&lt;&gt;"P",1,0)</f>
        <v>1</v>
      </c>
      <c r="D1116" s="2">
        <f t="shared" si="34"/>
        <v>0</v>
      </c>
      <c r="E1116" s="2">
        <f>IF(D1116=1,Fandual!B1116,0)</f>
        <v>0</v>
      </c>
      <c r="F1116" s="2">
        <f>IF(D1116=1,Fandual!D1116,0)</f>
        <v>0</v>
      </c>
      <c r="G1116" s="2">
        <f>IF(D1116=1,Fandual!F1116,0)</f>
        <v>0</v>
      </c>
      <c r="H1116" s="2">
        <f>IF(D1116=1,Fandual!H1116,0)</f>
        <v>0</v>
      </c>
      <c r="I1116" s="2">
        <f>IF((Optimizer!$J$8=Fandual!J1116),4,0)</f>
        <v>0</v>
      </c>
      <c r="J1116" s="2">
        <f>IF((Optimizer!$J$10=Fandual!J1116),100,0)</f>
        <v>0</v>
      </c>
      <c r="K1116" s="2">
        <f t="shared" si="35"/>
        <v>0</v>
      </c>
      <c r="L1116" s="2">
        <f>IF(Fandual!M1116="",1,0)</f>
        <v>1</v>
      </c>
    </row>
    <row r="1117" spans="1:12" x14ac:dyDescent="0.25">
      <c r="A1117" s="2">
        <f>IF((OR(Optimizer!$J$8=Fandual!J1117,Optimizer!$J$10=Fandual!J1117))=TRUE, 1,0)</f>
        <v>0</v>
      </c>
      <c r="B1117" s="2">
        <f>IF((OR(Fandual!O1117="",Fandual!O1117&lt;&gt;0)=TRUE),1,0)</f>
        <v>1</v>
      </c>
      <c r="C1117" s="2">
        <f>IF(Fandual!B1117&lt;&gt;"P",1,0)</f>
        <v>1</v>
      </c>
      <c r="D1117" s="2">
        <f t="shared" si="34"/>
        <v>0</v>
      </c>
      <c r="E1117" s="2">
        <f>IF(D1117=1,Fandual!B1117,0)</f>
        <v>0</v>
      </c>
      <c r="F1117" s="2">
        <f>IF(D1117=1,Fandual!D1117,0)</f>
        <v>0</v>
      </c>
      <c r="G1117" s="2">
        <f>IF(D1117=1,Fandual!F1117,0)</f>
        <v>0</v>
      </c>
      <c r="H1117" s="2">
        <f>IF(D1117=1,Fandual!H1117,0)</f>
        <v>0</v>
      </c>
      <c r="I1117" s="2">
        <f>IF((Optimizer!$J$8=Fandual!J1117),4,0)</f>
        <v>0</v>
      </c>
      <c r="J1117" s="2">
        <f>IF((Optimizer!$J$10=Fandual!J1117),100,0)</f>
        <v>0</v>
      </c>
      <c r="K1117" s="2">
        <f t="shared" si="35"/>
        <v>0</v>
      </c>
      <c r="L1117" s="2">
        <f>IF(Fandual!M1117="",1,0)</f>
        <v>1</v>
      </c>
    </row>
    <row r="1118" spans="1:12" x14ac:dyDescent="0.25">
      <c r="A1118" s="2">
        <f>IF((OR(Optimizer!$J$8=Fandual!J1118,Optimizer!$J$10=Fandual!J1118))=TRUE, 1,0)</f>
        <v>0</v>
      </c>
      <c r="B1118" s="2">
        <f>IF((OR(Fandual!O1118="",Fandual!O1118&lt;&gt;0)=TRUE),1,0)</f>
        <v>1</v>
      </c>
      <c r="C1118" s="2">
        <f>IF(Fandual!B1118&lt;&gt;"P",1,0)</f>
        <v>1</v>
      </c>
      <c r="D1118" s="2">
        <f t="shared" si="34"/>
        <v>0</v>
      </c>
      <c r="E1118" s="2">
        <f>IF(D1118=1,Fandual!B1118,0)</f>
        <v>0</v>
      </c>
      <c r="F1118" s="2">
        <f>IF(D1118=1,Fandual!D1118,0)</f>
        <v>0</v>
      </c>
      <c r="G1118" s="2">
        <f>IF(D1118=1,Fandual!F1118,0)</f>
        <v>0</v>
      </c>
      <c r="H1118" s="2">
        <f>IF(D1118=1,Fandual!H1118,0)</f>
        <v>0</v>
      </c>
      <c r="I1118" s="2">
        <f>IF((Optimizer!$J$8=Fandual!J1118),4,0)</f>
        <v>0</v>
      </c>
      <c r="J1118" s="2">
        <f>IF((Optimizer!$J$10=Fandual!J1118),100,0)</f>
        <v>0</v>
      </c>
      <c r="K1118" s="2">
        <f t="shared" si="35"/>
        <v>0</v>
      </c>
      <c r="L1118" s="2">
        <f>IF(Fandual!M1118="",1,0)</f>
        <v>1</v>
      </c>
    </row>
    <row r="1119" spans="1:12" x14ac:dyDescent="0.25">
      <c r="A1119" s="2">
        <f>IF((OR(Optimizer!$J$8=Fandual!J1119,Optimizer!$J$10=Fandual!J1119))=TRUE, 1,0)</f>
        <v>0</v>
      </c>
      <c r="B1119" s="2">
        <f>IF((OR(Fandual!O1119="",Fandual!O1119&lt;&gt;0)=TRUE),1,0)</f>
        <v>1</v>
      </c>
      <c r="C1119" s="2">
        <f>IF(Fandual!B1119&lt;&gt;"P",1,0)</f>
        <v>1</v>
      </c>
      <c r="D1119" s="2">
        <f t="shared" si="34"/>
        <v>0</v>
      </c>
      <c r="E1119" s="2">
        <f>IF(D1119=1,Fandual!B1119,0)</f>
        <v>0</v>
      </c>
      <c r="F1119" s="2">
        <f>IF(D1119=1,Fandual!D1119,0)</f>
        <v>0</v>
      </c>
      <c r="G1119" s="2">
        <f>IF(D1119=1,Fandual!F1119,0)</f>
        <v>0</v>
      </c>
      <c r="H1119" s="2">
        <f>IF(D1119=1,Fandual!H1119,0)</f>
        <v>0</v>
      </c>
      <c r="I1119" s="2">
        <f>IF((Optimizer!$J$8=Fandual!J1119),4,0)</f>
        <v>0</v>
      </c>
      <c r="J1119" s="2">
        <f>IF((Optimizer!$J$10=Fandual!J1119),100,0)</f>
        <v>0</v>
      </c>
      <c r="K1119" s="2">
        <f t="shared" si="35"/>
        <v>0</v>
      </c>
      <c r="L1119" s="2">
        <f>IF(Fandual!M1119="",1,0)</f>
        <v>1</v>
      </c>
    </row>
    <row r="1120" spans="1:12" x14ac:dyDescent="0.25">
      <c r="A1120" s="2">
        <f>IF((OR(Optimizer!$J$8=Fandual!J1120,Optimizer!$J$10=Fandual!J1120))=TRUE, 1,0)</f>
        <v>0</v>
      </c>
      <c r="B1120" s="2">
        <f>IF((OR(Fandual!O1120="",Fandual!O1120&lt;&gt;0)=TRUE),1,0)</f>
        <v>1</v>
      </c>
      <c r="C1120" s="2">
        <f>IF(Fandual!B1120&lt;&gt;"P",1,0)</f>
        <v>1</v>
      </c>
      <c r="D1120" s="2">
        <f t="shared" si="34"/>
        <v>0</v>
      </c>
      <c r="E1120" s="2">
        <f>IF(D1120=1,Fandual!B1120,0)</f>
        <v>0</v>
      </c>
      <c r="F1120" s="2">
        <f>IF(D1120=1,Fandual!D1120,0)</f>
        <v>0</v>
      </c>
      <c r="G1120" s="2">
        <f>IF(D1120=1,Fandual!F1120,0)</f>
        <v>0</v>
      </c>
      <c r="H1120" s="2">
        <f>IF(D1120=1,Fandual!H1120,0)</f>
        <v>0</v>
      </c>
      <c r="I1120" s="2">
        <f>IF((Optimizer!$J$8=Fandual!J1120),4,0)</f>
        <v>0</v>
      </c>
      <c r="J1120" s="2">
        <f>IF((Optimizer!$J$10=Fandual!J1120),100,0)</f>
        <v>0</v>
      </c>
      <c r="K1120" s="2">
        <f t="shared" si="35"/>
        <v>0</v>
      </c>
      <c r="L1120" s="2">
        <f>IF(Fandual!M1120="",1,0)</f>
        <v>1</v>
      </c>
    </row>
    <row r="1121" spans="1:12" x14ac:dyDescent="0.25">
      <c r="A1121" s="2">
        <f>IF((OR(Optimizer!$J$8=Fandual!J1121,Optimizer!$J$10=Fandual!J1121))=TRUE, 1,0)</f>
        <v>0</v>
      </c>
      <c r="B1121" s="2">
        <f>IF((OR(Fandual!O1121="",Fandual!O1121&lt;&gt;0)=TRUE),1,0)</f>
        <v>1</v>
      </c>
      <c r="C1121" s="2">
        <f>IF(Fandual!B1121&lt;&gt;"P",1,0)</f>
        <v>1</v>
      </c>
      <c r="D1121" s="2">
        <f t="shared" si="34"/>
        <v>0</v>
      </c>
      <c r="E1121" s="2">
        <f>IF(D1121=1,Fandual!B1121,0)</f>
        <v>0</v>
      </c>
      <c r="F1121" s="2">
        <f>IF(D1121=1,Fandual!D1121,0)</f>
        <v>0</v>
      </c>
      <c r="G1121" s="2">
        <f>IF(D1121=1,Fandual!F1121,0)</f>
        <v>0</v>
      </c>
      <c r="H1121" s="2">
        <f>IF(D1121=1,Fandual!H1121,0)</f>
        <v>0</v>
      </c>
      <c r="I1121" s="2">
        <f>IF((Optimizer!$J$8=Fandual!J1121),4,0)</f>
        <v>0</v>
      </c>
      <c r="J1121" s="2">
        <f>IF((Optimizer!$J$10=Fandual!J1121),100,0)</f>
        <v>0</v>
      </c>
      <c r="K1121" s="2">
        <f t="shared" si="35"/>
        <v>0</v>
      </c>
      <c r="L1121" s="2">
        <f>IF(Fandual!M1121="",1,0)</f>
        <v>1</v>
      </c>
    </row>
    <row r="1122" spans="1:12" x14ac:dyDescent="0.25">
      <c r="A1122" s="2">
        <f>IF((OR(Optimizer!$J$8=Fandual!J1122,Optimizer!$J$10=Fandual!J1122))=TRUE, 1,0)</f>
        <v>0</v>
      </c>
      <c r="B1122" s="2">
        <f>IF((OR(Fandual!O1122="",Fandual!O1122&lt;&gt;0)=TRUE),1,0)</f>
        <v>1</v>
      </c>
      <c r="C1122" s="2">
        <f>IF(Fandual!B1122&lt;&gt;"P",1,0)</f>
        <v>1</v>
      </c>
      <c r="D1122" s="2">
        <f t="shared" si="34"/>
        <v>0</v>
      </c>
      <c r="E1122" s="2">
        <f>IF(D1122=1,Fandual!B1122,0)</f>
        <v>0</v>
      </c>
      <c r="F1122" s="2">
        <f>IF(D1122=1,Fandual!D1122,0)</f>
        <v>0</v>
      </c>
      <c r="G1122" s="2">
        <f>IF(D1122=1,Fandual!F1122,0)</f>
        <v>0</v>
      </c>
      <c r="H1122" s="2">
        <f>IF(D1122=1,Fandual!H1122,0)</f>
        <v>0</v>
      </c>
      <c r="I1122" s="2">
        <f>IF((Optimizer!$J$8=Fandual!J1122),4,0)</f>
        <v>0</v>
      </c>
      <c r="J1122" s="2">
        <f>IF((Optimizer!$J$10=Fandual!J1122),100,0)</f>
        <v>0</v>
      </c>
      <c r="K1122" s="2">
        <f t="shared" si="35"/>
        <v>0</v>
      </c>
      <c r="L1122" s="2">
        <f>IF(Fandual!M1122="",1,0)</f>
        <v>1</v>
      </c>
    </row>
    <row r="1123" spans="1:12" x14ac:dyDescent="0.25">
      <c r="A1123" s="2">
        <f>IF((OR(Optimizer!$J$8=Fandual!J1123,Optimizer!$J$10=Fandual!J1123))=TRUE, 1,0)</f>
        <v>0</v>
      </c>
      <c r="B1123" s="2">
        <f>IF((OR(Fandual!O1123="",Fandual!O1123&lt;&gt;0)=TRUE),1,0)</f>
        <v>1</v>
      </c>
      <c r="C1123" s="2">
        <f>IF(Fandual!B1123&lt;&gt;"P",1,0)</f>
        <v>1</v>
      </c>
      <c r="D1123" s="2">
        <f t="shared" si="34"/>
        <v>0</v>
      </c>
      <c r="E1123" s="2">
        <f>IF(D1123=1,Fandual!B1123,0)</f>
        <v>0</v>
      </c>
      <c r="F1123" s="2">
        <f>IF(D1123=1,Fandual!D1123,0)</f>
        <v>0</v>
      </c>
      <c r="G1123" s="2">
        <f>IF(D1123=1,Fandual!F1123,0)</f>
        <v>0</v>
      </c>
      <c r="H1123" s="2">
        <f>IF(D1123=1,Fandual!H1123,0)</f>
        <v>0</v>
      </c>
      <c r="I1123" s="2">
        <f>IF((Optimizer!$J$8=Fandual!J1123),4,0)</f>
        <v>0</v>
      </c>
      <c r="J1123" s="2">
        <f>IF((Optimizer!$J$10=Fandual!J1123),100,0)</f>
        <v>0</v>
      </c>
      <c r="K1123" s="2">
        <f t="shared" si="35"/>
        <v>0</v>
      </c>
      <c r="L1123" s="2">
        <f>IF(Fandual!M1123="",1,0)</f>
        <v>1</v>
      </c>
    </row>
    <row r="1124" spans="1:12" x14ac:dyDescent="0.25">
      <c r="A1124" s="2">
        <f>IF((OR(Optimizer!$J$8=Fandual!J1124,Optimizer!$J$10=Fandual!J1124))=TRUE, 1,0)</f>
        <v>0</v>
      </c>
      <c r="B1124" s="2">
        <f>IF((OR(Fandual!O1124="",Fandual!O1124&lt;&gt;0)=TRUE),1,0)</f>
        <v>1</v>
      </c>
      <c r="C1124" s="2">
        <f>IF(Fandual!B1124&lt;&gt;"P",1,0)</f>
        <v>1</v>
      </c>
      <c r="D1124" s="2">
        <f t="shared" si="34"/>
        <v>0</v>
      </c>
      <c r="E1124" s="2">
        <f>IF(D1124=1,Fandual!B1124,0)</f>
        <v>0</v>
      </c>
      <c r="F1124" s="2">
        <f>IF(D1124=1,Fandual!D1124,0)</f>
        <v>0</v>
      </c>
      <c r="G1124" s="2">
        <f>IF(D1124=1,Fandual!F1124,0)</f>
        <v>0</v>
      </c>
      <c r="H1124" s="2">
        <f>IF(D1124=1,Fandual!H1124,0)</f>
        <v>0</v>
      </c>
      <c r="I1124" s="2">
        <f>IF((Optimizer!$J$8=Fandual!J1124),4,0)</f>
        <v>0</v>
      </c>
      <c r="J1124" s="2">
        <f>IF((Optimizer!$J$10=Fandual!J1124),100,0)</f>
        <v>0</v>
      </c>
      <c r="K1124" s="2">
        <f t="shared" si="35"/>
        <v>0</v>
      </c>
      <c r="L1124" s="2">
        <f>IF(Fandual!M1124="",1,0)</f>
        <v>1</v>
      </c>
    </row>
  </sheetData>
  <pageMargins left="0.7" right="0.7" top="0.75" bottom="0.75" header="0.3" footer="0.3"/>
  <pageSetup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040"/>
  <sheetViews>
    <sheetView zoomScale="70" zoomScaleNormal="70" workbookViewId="0">
      <selection activeCell="T19" sqref="T19"/>
    </sheetView>
  </sheetViews>
  <sheetFormatPr defaultRowHeight="15" x14ac:dyDescent="0.25"/>
  <cols>
    <col min="1" max="16384" width="9.140625" style="2"/>
  </cols>
  <sheetData>
    <row r="1" spans="1:15" x14ac:dyDescent="0.25">
      <c r="A1" s="2" t="s">
        <v>181</v>
      </c>
      <c r="B1" s="2" t="s">
        <v>0</v>
      </c>
      <c r="C1" s="2" t="s">
        <v>182</v>
      </c>
      <c r="D1" s="2" t="s">
        <v>183</v>
      </c>
      <c r="E1" s="2" t="s">
        <v>184</v>
      </c>
      <c r="F1" s="2" t="s">
        <v>185</v>
      </c>
      <c r="G1" s="2" t="s">
        <v>186</v>
      </c>
      <c r="H1" s="2" t="s">
        <v>187</v>
      </c>
      <c r="I1" s="2" t="s">
        <v>188</v>
      </c>
      <c r="J1" s="2" t="s">
        <v>39</v>
      </c>
      <c r="K1" s="2" t="s">
        <v>32</v>
      </c>
      <c r="L1" s="2" t="s">
        <v>189</v>
      </c>
      <c r="M1" s="2" t="s">
        <v>190</v>
      </c>
      <c r="N1" s="2" t="s">
        <v>191</v>
      </c>
      <c r="O1" s="2" t="s">
        <v>192</v>
      </c>
    </row>
    <row r="2" spans="1:15" x14ac:dyDescent="0.25">
      <c r="A2" s="2" t="s">
        <v>2062</v>
      </c>
      <c r="B2" s="2" t="s">
        <v>18</v>
      </c>
      <c r="C2" s="2" t="s">
        <v>193</v>
      </c>
      <c r="D2" s="2" t="s">
        <v>2063</v>
      </c>
      <c r="E2" s="2" t="s">
        <v>2064</v>
      </c>
      <c r="F2" s="2">
        <v>47.142857142857103</v>
      </c>
      <c r="G2" s="2">
        <v>21</v>
      </c>
      <c r="H2" s="2">
        <v>12100</v>
      </c>
      <c r="I2" s="2" t="s">
        <v>2065</v>
      </c>
      <c r="J2" s="2" t="s">
        <v>2066</v>
      </c>
      <c r="K2" s="2" t="s">
        <v>69</v>
      </c>
      <c r="L2" s="2" t="s">
        <v>200</v>
      </c>
      <c r="M2" s="2" t="s">
        <v>317</v>
      </c>
      <c r="N2" s="2" t="s">
        <v>199</v>
      </c>
    </row>
    <row r="3" spans="1:15" x14ac:dyDescent="0.25">
      <c r="A3" s="2" t="s">
        <v>2067</v>
      </c>
      <c r="B3" s="2" t="s">
        <v>18</v>
      </c>
      <c r="C3" s="2" t="s">
        <v>8</v>
      </c>
      <c r="D3" s="2" t="s">
        <v>194</v>
      </c>
      <c r="E3" s="2" t="s">
        <v>195</v>
      </c>
      <c r="F3" s="2">
        <v>49.08</v>
      </c>
      <c r="G3" s="2">
        <v>25</v>
      </c>
      <c r="H3" s="2">
        <v>11700</v>
      </c>
      <c r="I3" s="2" t="s">
        <v>2068</v>
      </c>
      <c r="J3" s="2" t="s">
        <v>38</v>
      </c>
      <c r="K3" s="2" t="s">
        <v>860</v>
      </c>
    </row>
    <row r="4" spans="1:15" x14ac:dyDescent="0.25">
      <c r="A4" s="2" t="s">
        <v>2069</v>
      </c>
      <c r="B4" s="2" t="s">
        <v>18</v>
      </c>
      <c r="C4" s="2" t="s">
        <v>196</v>
      </c>
      <c r="D4" s="2" t="s">
        <v>1772</v>
      </c>
      <c r="E4" s="2" t="s">
        <v>1773</v>
      </c>
      <c r="F4" s="2">
        <v>49.2173913043478</v>
      </c>
      <c r="G4" s="2">
        <v>23</v>
      </c>
      <c r="H4" s="2">
        <v>11300</v>
      </c>
      <c r="I4" s="2" t="s">
        <v>2070</v>
      </c>
      <c r="J4" s="2" t="s">
        <v>36</v>
      </c>
      <c r="K4" s="2" t="s">
        <v>848</v>
      </c>
    </row>
    <row r="5" spans="1:15" x14ac:dyDescent="0.25">
      <c r="A5" s="2" t="s">
        <v>2071</v>
      </c>
      <c r="B5" s="2" t="s">
        <v>18</v>
      </c>
      <c r="C5" s="2" t="s">
        <v>197</v>
      </c>
      <c r="D5" s="2" t="s">
        <v>164</v>
      </c>
      <c r="E5" s="2" t="s">
        <v>198</v>
      </c>
      <c r="F5" s="2">
        <v>50.037037037037003</v>
      </c>
      <c r="G5" s="2">
        <v>27</v>
      </c>
      <c r="H5" s="2">
        <v>11200</v>
      </c>
      <c r="I5" s="2" t="s">
        <v>2072</v>
      </c>
      <c r="J5" s="2" t="s">
        <v>74</v>
      </c>
      <c r="K5" s="2" t="s">
        <v>842</v>
      </c>
    </row>
    <row r="6" spans="1:15" x14ac:dyDescent="0.25">
      <c r="A6" s="2" t="s">
        <v>2073</v>
      </c>
      <c r="B6" s="2" t="s">
        <v>18</v>
      </c>
      <c r="C6" s="2" t="s">
        <v>201</v>
      </c>
      <c r="D6" s="2" t="s">
        <v>202</v>
      </c>
      <c r="E6" s="2" t="s">
        <v>203</v>
      </c>
      <c r="F6" s="2">
        <v>39.652173913043399</v>
      </c>
      <c r="G6" s="2">
        <v>23</v>
      </c>
      <c r="H6" s="2">
        <v>10600</v>
      </c>
      <c r="I6" s="2" t="s">
        <v>2068</v>
      </c>
      <c r="J6" s="2" t="s">
        <v>38</v>
      </c>
      <c r="K6" s="2" t="s">
        <v>860</v>
      </c>
    </row>
    <row r="7" spans="1:15" x14ac:dyDescent="0.25">
      <c r="A7" s="2" t="s">
        <v>2074</v>
      </c>
      <c r="B7" s="2" t="s">
        <v>18</v>
      </c>
      <c r="C7" s="2" t="s">
        <v>197</v>
      </c>
      <c r="D7" s="2" t="s">
        <v>1777</v>
      </c>
      <c r="E7" s="2" t="s">
        <v>1778</v>
      </c>
      <c r="F7" s="2">
        <v>40.142857142857103</v>
      </c>
      <c r="G7" s="2">
        <v>28</v>
      </c>
      <c r="H7" s="2">
        <v>10100</v>
      </c>
      <c r="I7" s="2" t="s">
        <v>2075</v>
      </c>
      <c r="J7" s="2" t="s">
        <v>37</v>
      </c>
      <c r="K7" s="2" t="s">
        <v>2076</v>
      </c>
    </row>
    <row r="8" spans="1:15" x14ac:dyDescent="0.25">
      <c r="A8" s="2" t="s">
        <v>2077</v>
      </c>
      <c r="B8" s="2" t="s">
        <v>18</v>
      </c>
      <c r="C8" s="2" t="s">
        <v>308</v>
      </c>
      <c r="D8" s="2" t="s">
        <v>857</v>
      </c>
      <c r="E8" s="2" t="s">
        <v>858</v>
      </c>
      <c r="F8" s="2">
        <v>39.576923076923002</v>
      </c>
      <c r="G8" s="2">
        <v>26</v>
      </c>
      <c r="H8" s="2">
        <v>10000</v>
      </c>
      <c r="I8" s="2" t="s">
        <v>2072</v>
      </c>
      <c r="J8" s="2" t="s">
        <v>842</v>
      </c>
      <c r="K8" s="2" t="s">
        <v>74</v>
      </c>
    </row>
    <row r="9" spans="1:15" x14ac:dyDescent="0.25">
      <c r="A9" s="2" t="s">
        <v>2078</v>
      </c>
      <c r="B9" s="2" t="s">
        <v>18</v>
      </c>
      <c r="C9" s="2" t="s">
        <v>1774</v>
      </c>
      <c r="D9" s="2" t="s">
        <v>1775</v>
      </c>
      <c r="E9" s="2" t="s">
        <v>1776</v>
      </c>
      <c r="F9" s="2">
        <v>36.615384615384599</v>
      </c>
      <c r="G9" s="2">
        <v>13</v>
      </c>
      <c r="H9" s="2">
        <v>9800</v>
      </c>
      <c r="I9" s="2" t="s">
        <v>2079</v>
      </c>
      <c r="J9" s="2" t="s">
        <v>843</v>
      </c>
      <c r="K9" s="2" t="s">
        <v>855</v>
      </c>
      <c r="L9" s="2" t="s">
        <v>364</v>
      </c>
      <c r="M9" s="2" t="s">
        <v>784</v>
      </c>
    </row>
    <row r="10" spans="1:15" x14ac:dyDescent="0.25">
      <c r="A10" s="2" t="s">
        <v>2080</v>
      </c>
      <c r="B10" s="2" t="s">
        <v>18</v>
      </c>
      <c r="C10" s="2" t="s">
        <v>217</v>
      </c>
      <c r="D10" s="2" t="s">
        <v>218</v>
      </c>
      <c r="E10" s="2" t="s">
        <v>219</v>
      </c>
      <c r="F10" s="2">
        <v>39.299999999999997</v>
      </c>
      <c r="G10" s="2">
        <v>20</v>
      </c>
      <c r="H10" s="2">
        <v>9800</v>
      </c>
      <c r="I10" s="2" t="s">
        <v>2081</v>
      </c>
      <c r="J10" s="2" t="s">
        <v>76</v>
      </c>
      <c r="K10" s="2" t="s">
        <v>73</v>
      </c>
      <c r="L10" s="2" t="s">
        <v>200</v>
      </c>
      <c r="M10" s="2" t="s">
        <v>2082</v>
      </c>
    </row>
    <row r="11" spans="1:15" x14ac:dyDescent="0.25">
      <c r="A11" s="2" t="s">
        <v>2083</v>
      </c>
      <c r="B11" s="2" t="s">
        <v>18</v>
      </c>
      <c r="C11" s="2" t="s">
        <v>211</v>
      </c>
      <c r="D11" s="2" t="s">
        <v>854</v>
      </c>
      <c r="E11" s="2" t="s">
        <v>780</v>
      </c>
      <c r="F11" s="2">
        <v>34.344827586206897</v>
      </c>
      <c r="G11" s="2">
        <v>29</v>
      </c>
      <c r="H11" s="2">
        <v>9700</v>
      </c>
      <c r="I11" s="2" t="s">
        <v>2079</v>
      </c>
      <c r="J11" s="2" t="s">
        <v>855</v>
      </c>
      <c r="K11" s="2" t="s">
        <v>843</v>
      </c>
    </row>
    <row r="12" spans="1:15" x14ac:dyDescent="0.25">
      <c r="A12" s="2" t="s">
        <v>2084</v>
      </c>
      <c r="B12" s="2" t="s">
        <v>18</v>
      </c>
      <c r="C12" s="2" t="s">
        <v>849</v>
      </c>
      <c r="D12" s="2" t="s">
        <v>850</v>
      </c>
      <c r="E12" s="2" t="s">
        <v>851</v>
      </c>
      <c r="F12" s="2">
        <v>35.384615384615302</v>
      </c>
      <c r="G12" s="2">
        <v>26</v>
      </c>
      <c r="H12" s="2">
        <v>9600</v>
      </c>
      <c r="I12" s="2" t="s">
        <v>2065</v>
      </c>
      <c r="J12" s="2" t="s">
        <v>2066</v>
      </c>
      <c r="K12" s="2" t="s">
        <v>69</v>
      </c>
    </row>
    <row r="13" spans="1:15" x14ac:dyDescent="0.25">
      <c r="A13" s="2" t="s">
        <v>2085</v>
      </c>
      <c r="B13" s="2" t="s">
        <v>18</v>
      </c>
      <c r="C13" s="2" t="s">
        <v>204</v>
      </c>
      <c r="D13" s="2" t="s">
        <v>2086</v>
      </c>
      <c r="E13" s="2" t="s">
        <v>205</v>
      </c>
      <c r="F13" s="2">
        <v>35.636363636363598</v>
      </c>
      <c r="G13" s="2">
        <v>22</v>
      </c>
      <c r="H13" s="2">
        <v>9600</v>
      </c>
      <c r="I13" s="2" t="s">
        <v>2065</v>
      </c>
      <c r="J13" s="2" t="s">
        <v>2066</v>
      </c>
      <c r="K13" s="2" t="s">
        <v>69</v>
      </c>
      <c r="L13" s="2" t="s">
        <v>200</v>
      </c>
      <c r="M13" s="2" t="s">
        <v>1586</v>
      </c>
    </row>
    <row r="14" spans="1:15" x14ac:dyDescent="0.25">
      <c r="A14" s="2" t="s">
        <v>2087</v>
      </c>
      <c r="B14" s="2" t="s">
        <v>18</v>
      </c>
      <c r="C14" s="2" t="s">
        <v>214</v>
      </c>
      <c r="D14" s="2" t="s">
        <v>2088</v>
      </c>
      <c r="E14" s="2" t="s">
        <v>2089</v>
      </c>
      <c r="F14" s="2">
        <v>40.454545454545404</v>
      </c>
      <c r="G14" s="2">
        <v>22</v>
      </c>
      <c r="H14" s="2">
        <v>9600</v>
      </c>
      <c r="I14" s="2" t="s">
        <v>2090</v>
      </c>
      <c r="J14" s="2" t="s">
        <v>2091</v>
      </c>
      <c r="K14" s="2" t="s">
        <v>844</v>
      </c>
    </row>
    <row r="15" spans="1:15" x14ac:dyDescent="0.25">
      <c r="A15" s="2" t="s">
        <v>2092</v>
      </c>
      <c r="B15" s="2" t="s">
        <v>18</v>
      </c>
      <c r="C15" s="2" t="s">
        <v>211</v>
      </c>
      <c r="D15" s="2" t="s">
        <v>1779</v>
      </c>
      <c r="E15" s="2" t="s">
        <v>1780</v>
      </c>
      <c r="F15" s="2">
        <v>36.038461538461497</v>
      </c>
      <c r="G15" s="2">
        <v>26</v>
      </c>
      <c r="H15" s="2">
        <v>9500</v>
      </c>
      <c r="I15" s="2" t="s">
        <v>2070</v>
      </c>
      <c r="J15" s="2" t="s">
        <v>36</v>
      </c>
      <c r="K15" s="2" t="s">
        <v>848</v>
      </c>
    </row>
    <row r="16" spans="1:15" x14ac:dyDescent="0.25">
      <c r="A16" s="2" t="s">
        <v>2093</v>
      </c>
      <c r="B16" s="2" t="s">
        <v>18</v>
      </c>
      <c r="C16" s="2" t="s">
        <v>207</v>
      </c>
      <c r="D16" s="2" t="s">
        <v>208</v>
      </c>
      <c r="E16" s="2" t="s">
        <v>209</v>
      </c>
      <c r="F16" s="2">
        <v>32.818181818181799</v>
      </c>
      <c r="G16" s="2">
        <v>11</v>
      </c>
      <c r="H16" s="2">
        <v>9500</v>
      </c>
      <c r="I16" s="2" t="s">
        <v>2072</v>
      </c>
      <c r="J16" s="2" t="s">
        <v>74</v>
      </c>
      <c r="K16" s="2" t="s">
        <v>842</v>
      </c>
      <c r="L16" s="2" t="s">
        <v>200</v>
      </c>
      <c r="M16" s="2" t="s">
        <v>267</v>
      </c>
    </row>
    <row r="17" spans="1:14" x14ac:dyDescent="0.25">
      <c r="A17" s="2" t="s">
        <v>2094</v>
      </c>
      <c r="B17" s="2" t="s">
        <v>18</v>
      </c>
      <c r="C17" s="2" t="s">
        <v>246</v>
      </c>
      <c r="D17" s="2" t="s">
        <v>1790</v>
      </c>
      <c r="E17" s="2" t="s">
        <v>1791</v>
      </c>
      <c r="F17" s="2">
        <v>32.5555555555555</v>
      </c>
      <c r="G17" s="2">
        <v>18</v>
      </c>
      <c r="H17" s="2">
        <v>9400</v>
      </c>
      <c r="I17" s="2" t="s">
        <v>2070</v>
      </c>
      <c r="J17" s="2" t="s">
        <v>36</v>
      </c>
      <c r="K17" s="2" t="s">
        <v>848</v>
      </c>
      <c r="L17" s="2" t="s">
        <v>200</v>
      </c>
      <c r="M17" s="2" t="s">
        <v>267</v>
      </c>
    </row>
    <row r="18" spans="1:14" x14ac:dyDescent="0.25">
      <c r="A18" s="2" t="s">
        <v>2095</v>
      </c>
      <c r="B18" s="2" t="s">
        <v>18</v>
      </c>
      <c r="C18" s="2" t="s">
        <v>864</v>
      </c>
      <c r="D18" s="2" t="s">
        <v>865</v>
      </c>
      <c r="E18" s="2" t="s">
        <v>866</v>
      </c>
      <c r="F18" s="2">
        <v>31.72</v>
      </c>
      <c r="G18" s="2">
        <v>25</v>
      </c>
      <c r="H18" s="2">
        <v>9400</v>
      </c>
      <c r="I18" s="2" t="s">
        <v>2072</v>
      </c>
      <c r="J18" s="2" t="s">
        <v>842</v>
      </c>
      <c r="K18" s="2" t="s">
        <v>74</v>
      </c>
    </row>
    <row r="19" spans="1:14" x14ac:dyDescent="0.25">
      <c r="A19" s="2" t="s">
        <v>2096</v>
      </c>
      <c r="B19" s="2" t="s">
        <v>18</v>
      </c>
      <c r="C19" s="2" t="s">
        <v>212</v>
      </c>
      <c r="D19" s="2" t="s">
        <v>160</v>
      </c>
      <c r="E19" s="2" t="s">
        <v>213</v>
      </c>
      <c r="F19" s="2">
        <v>33.299999999999997</v>
      </c>
      <c r="G19" s="2">
        <v>20</v>
      </c>
      <c r="H19" s="2">
        <v>9400</v>
      </c>
      <c r="I19" s="2" t="s">
        <v>2097</v>
      </c>
      <c r="J19" s="2" t="s">
        <v>159</v>
      </c>
      <c r="K19" s="2" t="s">
        <v>853</v>
      </c>
    </row>
    <row r="20" spans="1:14" x14ac:dyDescent="0.25">
      <c r="A20" s="2" t="s">
        <v>2098</v>
      </c>
      <c r="B20" s="2" t="s">
        <v>18</v>
      </c>
      <c r="C20" s="2" t="s">
        <v>286</v>
      </c>
      <c r="D20" s="2" t="s">
        <v>2099</v>
      </c>
      <c r="E20" s="2" t="s">
        <v>2100</v>
      </c>
      <c r="F20" s="2">
        <v>30.068965517241299</v>
      </c>
      <c r="G20" s="2">
        <v>29</v>
      </c>
      <c r="H20" s="2">
        <v>9400</v>
      </c>
      <c r="I20" s="2" t="s">
        <v>2090</v>
      </c>
      <c r="J20" s="2" t="s">
        <v>2091</v>
      </c>
      <c r="K20" s="2" t="s">
        <v>844</v>
      </c>
    </row>
    <row r="21" spans="1:14" x14ac:dyDescent="0.25">
      <c r="A21" s="2" t="s">
        <v>2101</v>
      </c>
      <c r="B21" s="2" t="s">
        <v>18</v>
      </c>
      <c r="C21" s="2" t="s">
        <v>206</v>
      </c>
      <c r="D21" s="2" t="s">
        <v>2102</v>
      </c>
      <c r="E21" s="2" t="s">
        <v>2103</v>
      </c>
      <c r="F21" s="2">
        <v>38</v>
      </c>
      <c r="G21" s="2">
        <v>28</v>
      </c>
      <c r="H21" s="2">
        <v>9400</v>
      </c>
      <c r="I21" s="2" t="s">
        <v>2090</v>
      </c>
      <c r="J21" s="2" t="s">
        <v>2091</v>
      </c>
      <c r="K21" s="2" t="s">
        <v>844</v>
      </c>
    </row>
    <row r="22" spans="1:14" x14ac:dyDescent="0.25">
      <c r="A22" s="2" t="s">
        <v>2104</v>
      </c>
      <c r="B22" s="2" t="s">
        <v>18</v>
      </c>
      <c r="C22" s="2" t="s">
        <v>215</v>
      </c>
      <c r="D22" s="2" t="s">
        <v>158</v>
      </c>
      <c r="E22" s="2" t="s">
        <v>216</v>
      </c>
      <c r="F22" s="2">
        <v>37.518518518518498</v>
      </c>
      <c r="G22" s="2">
        <v>27</v>
      </c>
      <c r="H22" s="2">
        <v>9300</v>
      </c>
      <c r="I22" s="2" t="s">
        <v>2068</v>
      </c>
      <c r="J22" s="2" t="s">
        <v>38</v>
      </c>
      <c r="K22" s="2" t="s">
        <v>860</v>
      </c>
    </row>
    <row r="23" spans="1:14" x14ac:dyDescent="0.25">
      <c r="A23" s="2" t="s">
        <v>2105</v>
      </c>
      <c r="B23" s="2" t="s">
        <v>18</v>
      </c>
      <c r="C23" s="2" t="s">
        <v>275</v>
      </c>
      <c r="D23" s="2" t="s">
        <v>71</v>
      </c>
      <c r="E23" s="2" t="s">
        <v>276</v>
      </c>
      <c r="F23" s="2">
        <v>32.92</v>
      </c>
      <c r="G23" s="2">
        <v>25</v>
      </c>
      <c r="H23" s="2">
        <v>9200</v>
      </c>
      <c r="I23" s="2" t="s">
        <v>2106</v>
      </c>
      <c r="J23" s="2" t="s">
        <v>34</v>
      </c>
      <c r="K23" s="2" t="s">
        <v>35</v>
      </c>
    </row>
    <row r="24" spans="1:14" x14ac:dyDescent="0.25">
      <c r="A24" s="2" t="s">
        <v>2107</v>
      </c>
      <c r="B24" s="2" t="s">
        <v>18</v>
      </c>
      <c r="C24" s="2" t="s">
        <v>873</v>
      </c>
      <c r="D24" s="2" t="s">
        <v>874</v>
      </c>
      <c r="E24" s="2" t="s">
        <v>336</v>
      </c>
      <c r="F24" s="2">
        <v>31.535714285714199</v>
      </c>
      <c r="G24" s="2">
        <v>28</v>
      </c>
      <c r="H24" s="2">
        <v>9100</v>
      </c>
      <c r="I24" s="2" t="s">
        <v>2108</v>
      </c>
      <c r="J24" s="2" t="s">
        <v>856</v>
      </c>
      <c r="K24" s="2" t="s">
        <v>841</v>
      </c>
      <c r="N24" s="2" t="s">
        <v>199</v>
      </c>
    </row>
    <row r="25" spans="1:14" x14ac:dyDescent="0.25">
      <c r="A25" s="2" t="s">
        <v>2109</v>
      </c>
      <c r="B25" s="2" t="s">
        <v>18</v>
      </c>
      <c r="C25" s="2" t="s">
        <v>220</v>
      </c>
      <c r="D25" s="2" t="s">
        <v>221</v>
      </c>
      <c r="E25" s="2" t="s">
        <v>222</v>
      </c>
      <c r="F25" s="2">
        <v>34.4444444444444</v>
      </c>
      <c r="G25" s="2">
        <v>27</v>
      </c>
      <c r="H25" s="2">
        <v>9100</v>
      </c>
      <c r="I25" s="2" t="s">
        <v>2097</v>
      </c>
      <c r="J25" s="2" t="s">
        <v>159</v>
      </c>
      <c r="K25" s="2" t="s">
        <v>853</v>
      </c>
    </row>
    <row r="26" spans="1:14" x14ac:dyDescent="0.25">
      <c r="A26" s="2" t="s">
        <v>2110</v>
      </c>
      <c r="B26" s="2" t="s">
        <v>18</v>
      </c>
      <c r="C26" s="2" t="s">
        <v>2111</v>
      </c>
      <c r="D26" s="2" t="s">
        <v>2112</v>
      </c>
      <c r="E26" s="2" t="s">
        <v>224</v>
      </c>
      <c r="F26" s="2">
        <v>32.200000000000003</v>
      </c>
      <c r="G26" s="2">
        <v>20</v>
      </c>
      <c r="H26" s="2">
        <v>9000</v>
      </c>
      <c r="I26" s="2" t="s">
        <v>2065</v>
      </c>
      <c r="J26" s="2" t="s">
        <v>2066</v>
      </c>
      <c r="K26" s="2" t="s">
        <v>69</v>
      </c>
    </row>
    <row r="27" spans="1:14" x14ac:dyDescent="0.25">
      <c r="A27" s="2" t="s">
        <v>2113</v>
      </c>
      <c r="B27" s="2" t="s">
        <v>18</v>
      </c>
      <c r="C27" s="2" t="s">
        <v>240</v>
      </c>
      <c r="D27" s="2" t="s">
        <v>241</v>
      </c>
      <c r="E27" s="2" t="s">
        <v>242</v>
      </c>
      <c r="F27" s="2">
        <v>31.785714285714199</v>
      </c>
      <c r="G27" s="2">
        <v>28</v>
      </c>
      <c r="H27" s="2">
        <v>8800</v>
      </c>
      <c r="I27" s="2" t="s">
        <v>2106</v>
      </c>
      <c r="J27" s="2" t="s">
        <v>35</v>
      </c>
      <c r="K27" s="2" t="s">
        <v>34</v>
      </c>
    </row>
    <row r="28" spans="1:14" x14ac:dyDescent="0.25">
      <c r="A28" s="2" t="s">
        <v>2114</v>
      </c>
      <c r="B28" s="2" t="s">
        <v>18</v>
      </c>
      <c r="C28" s="2" t="s">
        <v>1784</v>
      </c>
      <c r="D28" s="2" t="s">
        <v>1785</v>
      </c>
      <c r="E28" s="2" t="s">
        <v>228</v>
      </c>
      <c r="F28" s="2">
        <v>33.857142857142797</v>
      </c>
      <c r="G28" s="2">
        <v>21</v>
      </c>
      <c r="H28" s="2">
        <v>8800</v>
      </c>
      <c r="I28" s="2" t="s">
        <v>2072</v>
      </c>
      <c r="J28" s="2" t="s">
        <v>842</v>
      </c>
      <c r="K28" s="2" t="s">
        <v>74</v>
      </c>
      <c r="N28" s="2" t="s">
        <v>199</v>
      </c>
    </row>
    <row r="29" spans="1:14" x14ac:dyDescent="0.25">
      <c r="A29" s="2" t="s">
        <v>2115</v>
      </c>
      <c r="B29" s="2" t="s">
        <v>18</v>
      </c>
      <c r="C29" s="2" t="s">
        <v>277</v>
      </c>
      <c r="D29" s="2" t="s">
        <v>278</v>
      </c>
      <c r="E29" s="2" t="s">
        <v>279</v>
      </c>
      <c r="F29" s="2">
        <v>25.964285714285701</v>
      </c>
      <c r="G29" s="2">
        <v>28</v>
      </c>
      <c r="H29" s="2">
        <v>8700</v>
      </c>
      <c r="I29" s="2" t="s">
        <v>2106</v>
      </c>
      <c r="J29" s="2" t="s">
        <v>34</v>
      </c>
      <c r="K29" s="2" t="s">
        <v>35</v>
      </c>
      <c r="N29" s="2" t="s">
        <v>199</v>
      </c>
    </row>
    <row r="30" spans="1:14" x14ac:dyDescent="0.25">
      <c r="A30" s="2" t="s">
        <v>2116</v>
      </c>
      <c r="B30" s="2" t="s">
        <v>18</v>
      </c>
      <c r="C30" s="2" t="s">
        <v>260</v>
      </c>
      <c r="D30" s="2" t="s">
        <v>862</v>
      </c>
      <c r="E30" s="2" t="s">
        <v>863</v>
      </c>
      <c r="F30" s="2">
        <v>36.045454545454497</v>
      </c>
      <c r="G30" s="2">
        <v>22</v>
      </c>
      <c r="H30" s="2">
        <v>8700</v>
      </c>
      <c r="I30" s="2" t="s">
        <v>1783</v>
      </c>
      <c r="J30" s="2" t="s">
        <v>861</v>
      </c>
      <c r="K30" s="2" t="s">
        <v>840</v>
      </c>
    </row>
    <row r="31" spans="1:14" x14ac:dyDescent="0.25">
      <c r="A31" s="2" t="s">
        <v>2117</v>
      </c>
      <c r="B31" s="2" t="s">
        <v>18</v>
      </c>
      <c r="C31" s="2" t="s">
        <v>745</v>
      </c>
      <c r="D31" s="2" t="s">
        <v>1781</v>
      </c>
      <c r="E31" s="2" t="s">
        <v>1782</v>
      </c>
      <c r="F31" s="2">
        <v>30.533333333333299</v>
      </c>
      <c r="G31" s="2">
        <v>30</v>
      </c>
      <c r="H31" s="2">
        <v>8600</v>
      </c>
      <c r="I31" s="2" t="s">
        <v>2079</v>
      </c>
      <c r="J31" s="2" t="s">
        <v>843</v>
      </c>
      <c r="K31" s="2" t="s">
        <v>855</v>
      </c>
    </row>
    <row r="32" spans="1:14" x14ac:dyDescent="0.25">
      <c r="A32" s="2" t="s">
        <v>2118</v>
      </c>
      <c r="B32" s="2" t="s">
        <v>18</v>
      </c>
      <c r="C32" s="2" t="s">
        <v>2119</v>
      </c>
      <c r="D32" s="2" t="s">
        <v>2120</v>
      </c>
      <c r="E32" s="2" t="s">
        <v>2121</v>
      </c>
      <c r="F32" s="2">
        <v>26.04</v>
      </c>
      <c r="G32" s="2">
        <v>25</v>
      </c>
      <c r="H32" s="2">
        <v>8600</v>
      </c>
      <c r="I32" s="2" t="s">
        <v>2065</v>
      </c>
      <c r="J32" s="2" t="s">
        <v>2066</v>
      </c>
      <c r="K32" s="2" t="s">
        <v>69</v>
      </c>
    </row>
    <row r="33" spans="1:14" x14ac:dyDescent="0.25">
      <c r="A33" s="2" t="s">
        <v>2122</v>
      </c>
      <c r="B33" s="2" t="s">
        <v>18</v>
      </c>
      <c r="C33" s="2" t="s">
        <v>492</v>
      </c>
      <c r="D33" s="2" t="s">
        <v>1012</v>
      </c>
      <c r="E33" s="2" t="s">
        <v>532</v>
      </c>
      <c r="F33" s="2">
        <v>21.8888888888888</v>
      </c>
      <c r="G33" s="2">
        <v>9</v>
      </c>
      <c r="H33" s="2">
        <v>8600</v>
      </c>
      <c r="I33" s="2" t="s">
        <v>2079</v>
      </c>
      <c r="J33" s="2" t="s">
        <v>855</v>
      </c>
      <c r="K33" s="2" t="s">
        <v>843</v>
      </c>
    </row>
    <row r="34" spans="1:14" x14ac:dyDescent="0.25">
      <c r="A34" s="2" t="s">
        <v>2123</v>
      </c>
      <c r="B34" s="2" t="s">
        <v>18</v>
      </c>
      <c r="C34" s="2" t="s">
        <v>336</v>
      </c>
      <c r="D34" s="2" t="s">
        <v>868</v>
      </c>
      <c r="E34" s="2" t="s">
        <v>869</v>
      </c>
      <c r="F34" s="2">
        <v>28.823529411764699</v>
      </c>
      <c r="G34" s="2">
        <v>17</v>
      </c>
      <c r="H34" s="2">
        <v>8600</v>
      </c>
      <c r="I34" s="2" t="s">
        <v>2124</v>
      </c>
      <c r="J34" s="2" t="s">
        <v>852</v>
      </c>
      <c r="K34" s="2" t="s">
        <v>2125</v>
      </c>
      <c r="N34" s="2" t="s">
        <v>199</v>
      </c>
    </row>
    <row r="35" spans="1:14" x14ac:dyDescent="0.25">
      <c r="A35" s="2" t="s">
        <v>2126</v>
      </c>
      <c r="B35" s="2" t="s">
        <v>18</v>
      </c>
      <c r="C35" s="2" t="s">
        <v>206</v>
      </c>
      <c r="D35" s="2" t="s">
        <v>2127</v>
      </c>
      <c r="E35" s="2" t="s">
        <v>2128</v>
      </c>
      <c r="F35" s="2">
        <v>33.380952380952301</v>
      </c>
      <c r="G35" s="2">
        <v>21</v>
      </c>
      <c r="H35" s="2">
        <v>8500</v>
      </c>
      <c r="I35" s="2" t="s">
        <v>2090</v>
      </c>
      <c r="J35" s="2" t="s">
        <v>2091</v>
      </c>
      <c r="K35" s="2" t="s">
        <v>844</v>
      </c>
    </row>
    <row r="36" spans="1:14" x14ac:dyDescent="0.25">
      <c r="A36" s="2" t="s">
        <v>2129</v>
      </c>
      <c r="B36" s="2" t="s">
        <v>18</v>
      </c>
      <c r="C36" s="2" t="s">
        <v>223</v>
      </c>
      <c r="D36" s="2" t="s">
        <v>1796</v>
      </c>
      <c r="E36" s="2" t="s">
        <v>1797</v>
      </c>
      <c r="F36" s="2">
        <v>30.7777777777777</v>
      </c>
      <c r="G36" s="2">
        <v>27</v>
      </c>
      <c r="H36" s="2">
        <v>8500</v>
      </c>
      <c r="I36" s="2" t="s">
        <v>2070</v>
      </c>
      <c r="J36" s="2" t="s">
        <v>36</v>
      </c>
      <c r="K36" s="2" t="s">
        <v>848</v>
      </c>
    </row>
    <row r="37" spans="1:14" x14ac:dyDescent="0.25">
      <c r="A37" s="2" t="s">
        <v>2130</v>
      </c>
      <c r="B37" s="2" t="s">
        <v>18</v>
      </c>
      <c r="C37" s="2" t="s">
        <v>877</v>
      </c>
      <c r="D37" s="2" t="s">
        <v>2131</v>
      </c>
      <c r="E37" s="2" t="s">
        <v>2132</v>
      </c>
      <c r="F37" s="2">
        <v>26</v>
      </c>
      <c r="G37" s="2">
        <v>1</v>
      </c>
      <c r="H37" s="2">
        <v>8500</v>
      </c>
      <c r="I37" s="2" t="s">
        <v>2124</v>
      </c>
      <c r="J37" s="2" t="s">
        <v>2125</v>
      </c>
      <c r="K37" s="2" t="s">
        <v>852</v>
      </c>
      <c r="L37" s="2" t="s">
        <v>200</v>
      </c>
      <c r="M37" s="2" t="s">
        <v>615</v>
      </c>
    </row>
    <row r="38" spans="1:14" x14ac:dyDescent="0.25">
      <c r="A38" s="2" t="s">
        <v>2133</v>
      </c>
      <c r="B38" s="2" t="s">
        <v>18</v>
      </c>
      <c r="C38" s="2" t="s">
        <v>252</v>
      </c>
      <c r="D38" s="2" t="s">
        <v>1806</v>
      </c>
      <c r="E38" s="2" t="s">
        <v>1807</v>
      </c>
      <c r="F38" s="2">
        <v>28.2</v>
      </c>
      <c r="G38" s="2">
        <v>20</v>
      </c>
      <c r="H38" s="2">
        <v>8500</v>
      </c>
      <c r="I38" s="2" t="s">
        <v>2070</v>
      </c>
      <c r="J38" s="2" t="s">
        <v>36</v>
      </c>
      <c r="K38" s="2" t="s">
        <v>848</v>
      </c>
      <c r="N38" s="2" t="s">
        <v>199</v>
      </c>
    </row>
    <row r="39" spans="1:14" x14ac:dyDescent="0.25">
      <c r="A39" s="2" t="s">
        <v>2134</v>
      </c>
      <c r="B39" s="2" t="s">
        <v>18</v>
      </c>
      <c r="C39" s="2" t="s">
        <v>581</v>
      </c>
      <c r="D39" s="2" t="s">
        <v>859</v>
      </c>
      <c r="E39" s="2" t="s">
        <v>643</v>
      </c>
      <c r="F39" s="2">
        <v>35.296296296296298</v>
      </c>
      <c r="G39" s="2">
        <v>27</v>
      </c>
      <c r="H39" s="2">
        <v>8500</v>
      </c>
      <c r="I39" s="2" t="s">
        <v>2068</v>
      </c>
      <c r="J39" s="2" t="s">
        <v>860</v>
      </c>
      <c r="K39" s="2" t="s">
        <v>38</v>
      </c>
      <c r="N39" s="2" t="s">
        <v>199</v>
      </c>
    </row>
    <row r="40" spans="1:14" x14ac:dyDescent="0.25">
      <c r="A40" s="2" t="s">
        <v>2135</v>
      </c>
      <c r="B40" s="2" t="s">
        <v>18</v>
      </c>
      <c r="C40" s="2" t="s">
        <v>249</v>
      </c>
      <c r="D40" s="2" t="s">
        <v>250</v>
      </c>
      <c r="E40" s="2" t="s">
        <v>251</v>
      </c>
      <c r="F40" s="2">
        <v>31.178571428571399</v>
      </c>
      <c r="G40" s="2">
        <v>28</v>
      </c>
      <c r="H40" s="2">
        <v>8500</v>
      </c>
      <c r="I40" s="2" t="s">
        <v>2072</v>
      </c>
      <c r="J40" s="2" t="s">
        <v>74</v>
      </c>
      <c r="K40" s="2" t="s">
        <v>842</v>
      </c>
    </row>
    <row r="41" spans="1:14" x14ac:dyDescent="0.25">
      <c r="A41" s="2" t="s">
        <v>2136</v>
      </c>
      <c r="B41" s="2" t="s">
        <v>18</v>
      </c>
      <c r="C41" s="2" t="s">
        <v>237</v>
      </c>
      <c r="D41" s="2" t="s">
        <v>238</v>
      </c>
      <c r="E41" s="2" t="s">
        <v>239</v>
      </c>
      <c r="F41" s="2">
        <v>32.923076923076898</v>
      </c>
      <c r="G41" s="2">
        <v>26</v>
      </c>
      <c r="H41" s="2">
        <v>8400</v>
      </c>
      <c r="I41" s="2" t="s">
        <v>2072</v>
      </c>
      <c r="J41" s="2" t="s">
        <v>74</v>
      </c>
      <c r="K41" s="2" t="s">
        <v>842</v>
      </c>
    </row>
    <row r="42" spans="1:14" x14ac:dyDescent="0.25">
      <c r="A42" s="2" t="s">
        <v>2137</v>
      </c>
      <c r="B42" s="2" t="s">
        <v>18</v>
      </c>
      <c r="C42" s="2" t="s">
        <v>211</v>
      </c>
      <c r="D42" s="2" t="s">
        <v>2138</v>
      </c>
      <c r="E42" s="2" t="s">
        <v>2139</v>
      </c>
      <c r="F42" s="2">
        <v>32.272727272727202</v>
      </c>
      <c r="G42" s="2">
        <v>11</v>
      </c>
      <c r="H42" s="2">
        <v>8400</v>
      </c>
      <c r="I42" s="2" t="s">
        <v>2075</v>
      </c>
      <c r="J42" s="2" t="s">
        <v>2076</v>
      </c>
      <c r="K42" s="2" t="s">
        <v>37</v>
      </c>
    </row>
    <row r="43" spans="1:14" x14ac:dyDescent="0.25">
      <c r="A43" s="2" t="s">
        <v>2140</v>
      </c>
      <c r="B43" s="2" t="s">
        <v>18</v>
      </c>
      <c r="C43" s="2" t="s">
        <v>351</v>
      </c>
      <c r="D43" s="2" t="s">
        <v>876</v>
      </c>
      <c r="E43" s="2" t="s">
        <v>518</v>
      </c>
      <c r="F43" s="2">
        <v>31.842105263157801</v>
      </c>
      <c r="G43" s="2">
        <v>19</v>
      </c>
      <c r="H43" s="2">
        <v>8400</v>
      </c>
      <c r="I43" s="2" t="s">
        <v>2068</v>
      </c>
      <c r="J43" s="2" t="s">
        <v>860</v>
      </c>
      <c r="K43" s="2" t="s">
        <v>38</v>
      </c>
    </row>
    <row r="44" spans="1:14" x14ac:dyDescent="0.25">
      <c r="A44" s="2" t="s">
        <v>2141</v>
      </c>
      <c r="B44" s="2" t="s">
        <v>18</v>
      </c>
      <c r="C44" s="2" t="s">
        <v>2142</v>
      </c>
      <c r="D44" s="2" t="s">
        <v>2143</v>
      </c>
      <c r="E44" s="2" t="s">
        <v>2144</v>
      </c>
      <c r="F44" s="2">
        <v>6</v>
      </c>
      <c r="G44" s="2">
        <v>1</v>
      </c>
      <c r="H44" s="2">
        <v>8400</v>
      </c>
      <c r="I44" s="2" t="s">
        <v>2081</v>
      </c>
      <c r="J44" s="2" t="s">
        <v>76</v>
      </c>
      <c r="K44" s="2" t="s">
        <v>73</v>
      </c>
    </row>
    <row r="45" spans="1:14" x14ac:dyDescent="0.25">
      <c r="A45" s="2" t="s">
        <v>2145</v>
      </c>
      <c r="B45" s="2" t="s">
        <v>18</v>
      </c>
      <c r="C45" s="2" t="s">
        <v>225</v>
      </c>
      <c r="D45" s="2" t="s">
        <v>226</v>
      </c>
      <c r="E45" s="2" t="s">
        <v>227</v>
      </c>
      <c r="F45" s="2">
        <v>18</v>
      </c>
      <c r="G45" s="2">
        <v>20</v>
      </c>
      <c r="H45" s="2">
        <v>8300</v>
      </c>
      <c r="I45" s="2" t="s">
        <v>2068</v>
      </c>
      <c r="J45" s="2" t="s">
        <v>38</v>
      </c>
      <c r="K45" s="2" t="s">
        <v>860</v>
      </c>
      <c r="L45" s="2" t="s">
        <v>200</v>
      </c>
      <c r="M45" s="2" t="s">
        <v>267</v>
      </c>
    </row>
    <row r="46" spans="1:14" x14ac:dyDescent="0.25">
      <c r="A46" s="2" t="s">
        <v>2146</v>
      </c>
      <c r="B46" s="2" t="s">
        <v>18</v>
      </c>
      <c r="C46" s="2" t="s">
        <v>287</v>
      </c>
      <c r="D46" s="2" t="s">
        <v>1819</v>
      </c>
      <c r="E46" s="2" t="s">
        <v>379</v>
      </c>
      <c r="F46" s="2">
        <v>24</v>
      </c>
      <c r="G46" s="2">
        <v>27</v>
      </c>
      <c r="H46" s="2">
        <v>8200</v>
      </c>
      <c r="I46" s="2" t="s">
        <v>2079</v>
      </c>
      <c r="J46" s="2" t="s">
        <v>843</v>
      </c>
      <c r="K46" s="2" t="s">
        <v>855</v>
      </c>
    </row>
    <row r="47" spans="1:14" x14ac:dyDescent="0.25">
      <c r="A47" s="2" t="s">
        <v>2147</v>
      </c>
      <c r="B47" s="2" t="s">
        <v>18</v>
      </c>
      <c r="C47" s="2" t="s">
        <v>415</v>
      </c>
      <c r="D47" s="2" t="s">
        <v>880</v>
      </c>
      <c r="E47" s="2" t="s">
        <v>881</v>
      </c>
      <c r="F47" s="2">
        <v>28.481481481481399</v>
      </c>
      <c r="G47" s="2">
        <v>27</v>
      </c>
      <c r="H47" s="2">
        <v>8200</v>
      </c>
      <c r="I47" s="2" t="s">
        <v>1783</v>
      </c>
      <c r="J47" s="2" t="s">
        <v>840</v>
      </c>
      <c r="K47" s="2" t="s">
        <v>861</v>
      </c>
    </row>
    <row r="48" spans="1:14" x14ac:dyDescent="0.25">
      <c r="A48" s="2" t="s">
        <v>2148</v>
      </c>
      <c r="B48" s="2" t="s">
        <v>18</v>
      </c>
      <c r="C48" s="2" t="s">
        <v>234</v>
      </c>
      <c r="D48" s="2" t="s">
        <v>235</v>
      </c>
      <c r="E48" s="2" t="s">
        <v>236</v>
      </c>
      <c r="F48" s="2">
        <v>29</v>
      </c>
      <c r="G48" s="2">
        <v>13</v>
      </c>
      <c r="H48" s="2">
        <v>8200</v>
      </c>
      <c r="I48" s="2" t="s">
        <v>2081</v>
      </c>
      <c r="J48" s="2" t="s">
        <v>76</v>
      </c>
      <c r="K48" s="2" t="s">
        <v>73</v>
      </c>
      <c r="L48" s="2" t="s">
        <v>200</v>
      </c>
      <c r="M48" s="2" t="s">
        <v>247</v>
      </c>
    </row>
    <row r="49" spans="1:14" x14ac:dyDescent="0.25">
      <c r="A49" s="2" t="s">
        <v>2149</v>
      </c>
      <c r="B49" s="2" t="s">
        <v>18</v>
      </c>
      <c r="C49" s="2" t="s">
        <v>246</v>
      </c>
      <c r="D49" s="2" t="s">
        <v>878</v>
      </c>
      <c r="E49" s="2" t="s">
        <v>879</v>
      </c>
      <c r="F49" s="2">
        <v>32</v>
      </c>
      <c r="G49" s="2">
        <v>21</v>
      </c>
      <c r="H49" s="2">
        <v>8100</v>
      </c>
      <c r="I49" s="2" t="s">
        <v>2097</v>
      </c>
      <c r="J49" s="2" t="s">
        <v>853</v>
      </c>
      <c r="K49" s="2" t="s">
        <v>159</v>
      </c>
      <c r="L49" s="2" t="s">
        <v>200</v>
      </c>
      <c r="M49" s="2" t="s">
        <v>267</v>
      </c>
    </row>
    <row r="50" spans="1:14" x14ac:dyDescent="0.25">
      <c r="A50" s="2" t="s">
        <v>2150</v>
      </c>
      <c r="B50" s="2" t="s">
        <v>18</v>
      </c>
      <c r="C50" s="2" t="s">
        <v>268</v>
      </c>
      <c r="D50" s="2" t="s">
        <v>70</v>
      </c>
      <c r="E50" s="2" t="s">
        <v>269</v>
      </c>
      <c r="F50" s="2">
        <v>28.038461538461501</v>
      </c>
      <c r="G50" s="2">
        <v>26</v>
      </c>
      <c r="H50" s="2">
        <v>8100</v>
      </c>
      <c r="I50" s="2" t="s">
        <v>2068</v>
      </c>
      <c r="J50" s="2" t="s">
        <v>38</v>
      </c>
      <c r="K50" s="2" t="s">
        <v>860</v>
      </c>
      <c r="N50" s="2" t="s">
        <v>199</v>
      </c>
    </row>
    <row r="51" spans="1:14" x14ac:dyDescent="0.25">
      <c r="A51" s="2" t="s">
        <v>2151</v>
      </c>
      <c r="B51" s="2" t="s">
        <v>18</v>
      </c>
      <c r="C51" s="2" t="s">
        <v>886</v>
      </c>
      <c r="D51" s="2" t="s">
        <v>887</v>
      </c>
      <c r="E51" s="2" t="s">
        <v>888</v>
      </c>
      <c r="F51" s="2">
        <v>27.7777777777777</v>
      </c>
      <c r="G51" s="2">
        <v>9</v>
      </c>
      <c r="H51" s="2">
        <v>8100</v>
      </c>
      <c r="I51" s="2" t="s">
        <v>2097</v>
      </c>
      <c r="J51" s="2" t="s">
        <v>853</v>
      </c>
      <c r="K51" s="2" t="s">
        <v>159</v>
      </c>
      <c r="L51" s="2" t="s">
        <v>200</v>
      </c>
      <c r="M51" s="2" t="s">
        <v>386</v>
      </c>
    </row>
    <row r="52" spans="1:14" x14ac:dyDescent="0.25">
      <c r="A52" s="2" t="s">
        <v>2152</v>
      </c>
      <c r="B52" s="2" t="s">
        <v>18</v>
      </c>
      <c r="C52" s="2" t="s">
        <v>308</v>
      </c>
      <c r="D52" s="2" t="s">
        <v>927</v>
      </c>
      <c r="E52" s="2" t="s">
        <v>724</v>
      </c>
      <c r="F52" s="2">
        <v>33.615384615384599</v>
      </c>
      <c r="G52" s="2">
        <v>13</v>
      </c>
      <c r="H52" s="2">
        <v>8100</v>
      </c>
      <c r="I52" s="2" t="s">
        <v>2108</v>
      </c>
      <c r="J52" s="2" t="s">
        <v>841</v>
      </c>
      <c r="K52" s="2" t="s">
        <v>856</v>
      </c>
      <c r="N52" s="2" t="s">
        <v>199</v>
      </c>
    </row>
    <row r="53" spans="1:14" x14ac:dyDescent="0.25">
      <c r="A53" s="2" t="s">
        <v>2153</v>
      </c>
      <c r="B53" s="2" t="s">
        <v>18</v>
      </c>
      <c r="C53" s="2" t="s">
        <v>256</v>
      </c>
      <c r="D53" s="2" t="s">
        <v>2154</v>
      </c>
      <c r="E53" s="2" t="s">
        <v>2155</v>
      </c>
      <c r="F53" s="2">
        <v>25.925925925925899</v>
      </c>
      <c r="G53" s="2">
        <v>27</v>
      </c>
      <c r="H53" s="2">
        <v>8100</v>
      </c>
      <c r="I53" s="2" t="s">
        <v>2065</v>
      </c>
      <c r="J53" s="2" t="s">
        <v>2066</v>
      </c>
      <c r="K53" s="2" t="s">
        <v>69</v>
      </c>
      <c r="L53" s="2" t="s">
        <v>200</v>
      </c>
      <c r="M53" s="2" t="s">
        <v>257</v>
      </c>
    </row>
    <row r="54" spans="1:14" x14ac:dyDescent="0.25">
      <c r="A54" s="2" t="s">
        <v>2156</v>
      </c>
      <c r="B54" s="2" t="s">
        <v>18</v>
      </c>
      <c r="C54" s="2" t="s">
        <v>342</v>
      </c>
      <c r="D54" s="2" t="s">
        <v>919</v>
      </c>
      <c r="E54" s="2" t="s">
        <v>920</v>
      </c>
      <c r="F54" s="2">
        <v>27</v>
      </c>
      <c r="G54" s="2">
        <v>28</v>
      </c>
      <c r="H54" s="2">
        <v>8000</v>
      </c>
      <c r="I54" s="2" t="s">
        <v>2068</v>
      </c>
      <c r="J54" s="2" t="s">
        <v>860</v>
      </c>
      <c r="K54" s="2" t="s">
        <v>38</v>
      </c>
    </row>
    <row r="55" spans="1:14" x14ac:dyDescent="0.25">
      <c r="A55" s="2" t="s">
        <v>2157</v>
      </c>
      <c r="B55" s="2" t="s">
        <v>18</v>
      </c>
      <c r="C55" s="2" t="s">
        <v>204</v>
      </c>
      <c r="D55" s="2" t="s">
        <v>2158</v>
      </c>
      <c r="E55" s="2" t="s">
        <v>2159</v>
      </c>
      <c r="F55" s="2">
        <v>30.076923076922998</v>
      </c>
      <c r="G55" s="2">
        <v>13</v>
      </c>
      <c r="H55" s="2">
        <v>8000</v>
      </c>
      <c r="I55" s="2" t="s">
        <v>2124</v>
      </c>
      <c r="J55" s="2" t="s">
        <v>2125</v>
      </c>
      <c r="K55" s="2" t="s">
        <v>852</v>
      </c>
      <c r="L55" s="2" t="s">
        <v>200</v>
      </c>
      <c r="M55" s="2" t="s">
        <v>247</v>
      </c>
    </row>
    <row r="56" spans="1:14" x14ac:dyDescent="0.25">
      <c r="A56" s="2" t="s">
        <v>2160</v>
      </c>
      <c r="B56" s="2" t="s">
        <v>18</v>
      </c>
      <c r="C56" s="2" t="s">
        <v>867</v>
      </c>
      <c r="D56" s="2" t="s">
        <v>1794</v>
      </c>
      <c r="E56" s="2" t="s">
        <v>1795</v>
      </c>
      <c r="F56" s="2">
        <v>29.210526315789402</v>
      </c>
      <c r="G56" s="2">
        <v>19</v>
      </c>
      <c r="H56" s="2">
        <v>8000</v>
      </c>
      <c r="I56" s="2" t="s">
        <v>2079</v>
      </c>
      <c r="J56" s="2" t="s">
        <v>843</v>
      </c>
      <c r="K56" s="2" t="s">
        <v>855</v>
      </c>
      <c r="L56" s="2" t="s">
        <v>200</v>
      </c>
      <c r="M56" s="2" t="s">
        <v>386</v>
      </c>
      <c r="N56" s="2" t="s">
        <v>199</v>
      </c>
    </row>
    <row r="57" spans="1:14" x14ac:dyDescent="0.25">
      <c r="A57" s="2" t="s">
        <v>2161</v>
      </c>
      <c r="B57" s="2" t="s">
        <v>18</v>
      </c>
      <c r="C57" s="2" t="s">
        <v>248</v>
      </c>
      <c r="D57" s="2" t="s">
        <v>1788</v>
      </c>
      <c r="E57" s="2" t="s">
        <v>1789</v>
      </c>
      <c r="F57" s="2">
        <v>34.307692307692299</v>
      </c>
      <c r="G57" s="2">
        <v>13</v>
      </c>
      <c r="H57" s="2">
        <v>7900</v>
      </c>
      <c r="I57" s="2" t="s">
        <v>2075</v>
      </c>
      <c r="J57" s="2" t="s">
        <v>37</v>
      </c>
      <c r="K57" s="2" t="s">
        <v>2076</v>
      </c>
      <c r="L57" s="2" t="s">
        <v>200</v>
      </c>
      <c r="M57" s="2" t="s">
        <v>1119</v>
      </c>
    </row>
    <row r="58" spans="1:14" x14ac:dyDescent="0.25">
      <c r="A58" s="2" t="s">
        <v>2162</v>
      </c>
      <c r="B58" s="2" t="s">
        <v>18</v>
      </c>
      <c r="C58" s="2" t="s">
        <v>2163</v>
      </c>
      <c r="D58" s="2" t="s">
        <v>2164</v>
      </c>
      <c r="E58" s="2" t="s">
        <v>2165</v>
      </c>
      <c r="F58" s="2">
        <v>26.3333333333333</v>
      </c>
      <c r="G58" s="2">
        <v>21</v>
      </c>
      <c r="H58" s="2">
        <v>7800</v>
      </c>
      <c r="I58" s="2" t="s">
        <v>2065</v>
      </c>
      <c r="J58" s="2" t="s">
        <v>2066</v>
      </c>
      <c r="K58" s="2" t="s">
        <v>69</v>
      </c>
    </row>
    <row r="59" spans="1:14" x14ac:dyDescent="0.25">
      <c r="A59" s="2" t="s">
        <v>2166</v>
      </c>
      <c r="B59" s="2" t="s">
        <v>18</v>
      </c>
      <c r="C59" s="2" t="s">
        <v>270</v>
      </c>
      <c r="D59" s="2" t="s">
        <v>33</v>
      </c>
      <c r="E59" s="2" t="s">
        <v>271</v>
      </c>
      <c r="F59" s="2">
        <v>27.25</v>
      </c>
      <c r="G59" s="2">
        <v>28</v>
      </c>
      <c r="H59" s="2">
        <v>7800</v>
      </c>
      <c r="I59" s="2" t="s">
        <v>2106</v>
      </c>
      <c r="J59" s="2" t="s">
        <v>35</v>
      </c>
      <c r="K59" s="2" t="s">
        <v>34</v>
      </c>
    </row>
    <row r="60" spans="1:14" x14ac:dyDescent="0.25">
      <c r="A60" s="2" t="s">
        <v>2167</v>
      </c>
      <c r="B60" s="2" t="s">
        <v>18</v>
      </c>
      <c r="C60" s="2" t="s">
        <v>287</v>
      </c>
      <c r="D60" s="2" t="s">
        <v>2168</v>
      </c>
      <c r="E60" s="2" t="s">
        <v>2169</v>
      </c>
      <c r="F60" s="2">
        <v>27.071428571428498</v>
      </c>
      <c r="G60" s="2">
        <v>14</v>
      </c>
      <c r="H60" s="2">
        <v>7800</v>
      </c>
      <c r="I60" s="2" t="s">
        <v>2124</v>
      </c>
      <c r="J60" s="2" t="s">
        <v>2125</v>
      </c>
      <c r="K60" s="2" t="s">
        <v>852</v>
      </c>
      <c r="L60" s="2" t="s">
        <v>200</v>
      </c>
      <c r="M60" s="2" t="s">
        <v>386</v>
      </c>
    </row>
    <row r="61" spans="1:14" x14ac:dyDescent="0.25">
      <c r="A61" s="2" t="s">
        <v>2170</v>
      </c>
      <c r="B61" s="2" t="s">
        <v>18</v>
      </c>
      <c r="C61" s="2" t="s">
        <v>210</v>
      </c>
      <c r="D61" s="2" t="s">
        <v>925</v>
      </c>
      <c r="E61" s="2" t="s">
        <v>926</v>
      </c>
      <c r="F61" s="2">
        <v>30.6666666666666</v>
      </c>
      <c r="G61" s="2">
        <v>27</v>
      </c>
      <c r="H61" s="2">
        <v>7800</v>
      </c>
      <c r="I61" s="2" t="s">
        <v>2079</v>
      </c>
      <c r="J61" s="2" t="s">
        <v>855</v>
      </c>
      <c r="K61" s="2" t="s">
        <v>843</v>
      </c>
    </row>
    <row r="62" spans="1:14" x14ac:dyDescent="0.25">
      <c r="A62" s="2" t="s">
        <v>2171</v>
      </c>
      <c r="B62" s="2" t="s">
        <v>18</v>
      </c>
      <c r="C62" s="2" t="s">
        <v>655</v>
      </c>
      <c r="D62" s="2" t="s">
        <v>894</v>
      </c>
      <c r="E62" s="2" t="s">
        <v>895</v>
      </c>
      <c r="F62" s="2">
        <v>33</v>
      </c>
      <c r="G62" s="2">
        <v>20</v>
      </c>
      <c r="H62" s="2">
        <v>7700</v>
      </c>
      <c r="I62" s="2" t="s">
        <v>2108</v>
      </c>
      <c r="J62" s="2" t="s">
        <v>841</v>
      </c>
      <c r="K62" s="2" t="s">
        <v>856</v>
      </c>
      <c r="L62" s="2" t="s">
        <v>200</v>
      </c>
      <c r="M62" s="2" t="s">
        <v>267</v>
      </c>
    </row>
    <row r="63" spans="1:14" x14ac:dyDescent="0.25">
      <c r="A63" s="2" t="s">
        <v>2172</v>
      </c>
      <c r="B63" s="2" t="s">
        <v>18</v>
      </c>
      <c r="C63" s="2" t="s">
        <v>272</v>
      </c>
      <c r="D63" s="2" t="s">
        <v>273</v>
      </c>
      <c r="E63" s="2" t="s">
        <v>274</v>
      </c>
      <c r="F63" s="2">
        <v>17.3333333333333</v>
      </c>
      <c r="G63" s="2">
        <v>6</v>
      </c>
      <c r="H63" s="2">
        <v>7600</v>
      </c>
      <c r="I63" s="2" t="s">
        <v>2081</v>
      </c>
      <c r="J63" s="2" t="s">
        <v>76</v>
      </c>
      <c r="K63" s="2" t="s">
        <v>73</v>
      </c>
      <c r="L63" s="2" t="s">
        <v>200</v>
      </c>
      <c r="M63" s="2" t="s">
        <v>247</v>
      </c>
    </row>
    <row r="64" spans="1:14" x14ac:dyDescent="0.25">
      <c r="A64" s="2" t="s">
        <v>2173</v>
      </c>
      <c r="B64" s="2" t="s">
        <v>18</v>
      </c>
      <c r="C64" s="2" t="s">
        <v>1798</v>
      </c>
      <c r="D64" s="2" t="s">
        <v>1799</v>
      </c>
      <c r="E64" s="2" t="s">
        <v>1800</v>
      </c>
      <c r="F64" s="2">
        <v>31.9375</v>
      </c>
      <c r="G64" s="2">
        <v>16</v>
      </c>
      <c r="H64" s="2">
        <v>7600</v>
      </c>
      <c r="I64" s="2" t="s">
        <v>2065</v>
      </c>
      <c r="J64" s="2" t="s">
        <v>69</v>
      </c>
      <c r="K64" s="2" t="s">
        <v>2066</v>
      </c>
      <c r="N64" s="2" t="s">
        <v>199</v>
      </c>
    </row>
    <row r="65" spans="1:14" x14ac:dyDescent="0.25">
      <c r="A65" s="2" t="s">
        <v>2174</v>
      </c>
      <c r="B65" s="2" t="s">
        <v>18</v>
      </c>
      <c r="C65" s="2" t="s">
        <v>845</v>
      </c>
      <c r="D65" s="2" t="s">
        <v>961</v>
      </c>
      <c r="E65" s="2" t="s">
        <v>228</v>
      </c>
      <c r="F65" s="2">
        <v>28.571428571428498</v>
      </c>
      <c r="G65" s="2">
        <v>14</v>
      </c>
      <c r="H65" s="2">
        <v>7600</v>
      </c>
      <c r="I65" s="2" t="s">
        <v>2090</v>
      </c>
      <c r="J65" s="2" t="s">
        <v>844</v>
      </c>
      <c r="K65" s="2" t="s">
        <v>2091</v>
      </c>
    </row>
    <row r="66" spans="1:14" x14ac:dyDescent="0.25">
      <c r="A66" s="2" t="s">
        <v>2175</v>
      </c>
      <c r="B66" s="2" t="s">
        <v>18</v>
      </c>
      <c r="C66" s="2" t="s">
        <v>264</v>
      </c>
      <c r="D66" s="2" t="s">
        <v>265</v>
      </c>
      <c r="E66" s="2" t="s">
        <v>266</v>
      </c>
      <c r="F66" s="2">
        <v>29.85</v>
      </c>
      <c r="G66" s="2">
        <v>20</v>
      </c>
      <c r="H66" s="2">
        <v>7600</v>
      </c>
      <c r="I66" s="2" t="s">
        <v>2106</v>
      </c>
      <c r="J66" s="2" t="s">
        <v>35</v>
      </c>
      <c r="K66" s="2" t="s">
        <v>34</v>
      </c>
    </row>
    <row r="67" spans="1:14" x14ac:dyDescent="0.25">
      <c r="A67" s="2" t="s">
        <v>2176</v>
      </c>
      <c r="B67" s="2" t="s">
        <v>18</v>
      </c>
      <c r="C67" s="2" t="s">
        <v>285</v>
      </c>
      <c r="D67" s="2" t="s">
        <v>1808</v>
      </c>
      <c r="E67" s="2" t="s">
        <v>1809</v>
      </c>
      <c r="F67" s="2">
        <v>23.45</v>
      </c>
      <c r="G67" s="2">
        <v>20</v>
      </c>
      <c r="H67" s="2">
        <v>7500</v>
      </c>
      <c r="I67" s="2" t="s">
        <v>2070</v>
      </c>
      <c r="J67" s="2" t="s">
        <v>36</v>
      </c>
      <c r="K67" s="2" t="s">
        <v>848</v>
      </c>
    </row>
    <row r="68" spans="1:14" x14ac:dyDescent="0.25">
      <c r="A68" s="2" t="s">
        <v>2177</v>
      </c>
      <c r="B68" s="2" t="s">
        <v>18</v>
      </c>
      <c r="C68" s="2" t="s">
        <v>891</v>
      </c>
      <c r="D68" s="2" t="s">
        <v>892</v>
      </c>
      <c r="E68" s="2" t="s">
        <v>893</v>
      </c>
      <c r="F68" s="2">
        <v>25.2</v>
      </c>
      <c r="G68" s="2">
        <v>5</v>
      </c>
      <c r="H68" s="2">
        <v>7500</v>
      </c>
      <c r="I68" s="2" t="s">
        <v>1783</v>
      </c>
      <c r="J68" s="2" t="s">
        <v>840</v>
      </c>
      <c r="K68" s="2" t="s">
        <v>861</v>
      </c>
      <c r="L68" s="2" t="s">
        <v>200</v>
      </c>
      <c r="M68" s="2" t="s">
        <v>267</v>
      </c>
    </row>
    <row r="69" spans="1:14" x14ac:dyDescent="0.25">
      <c r="A69" s="2" t="s">
        <v>2178</v>
      </c>
      <c r="B69" s="2" t="s">
        <v>18</v>
      </c>
      <c r="C69" s="2" t="s">
        <v>260</v>
      </c>
      <c r="D69" s="2" t="s">
        <v>261</v>
      </c>
      <c r="E69" s="2" t="s">
        <v>262</v>
      </c>
      <c r="F69" s="2">
        <v>18.375</v>
      </c>
      <c r="G69" s="2">
        <v>8</v>
      </c>
      <c r="H69" s="2">
        <v>7500</v>
      </c>
      <c r="I69" s="2" t="s">
        <v>2106</v>
      </c>
      <c r="J69" s="2" t="s">
        <v>35</v>
      </c>
      <c r="K69" s="2" t="s">
        <v>34</v>
      </c>
      <c r="L69" s="2" t="s">
        <v>200</v>
      </c>
      <c r="M69" s="2" t="s">
        <v>263</v>
      </c>
    </row>
    <row r="70" spans="1:14" x14ac:dyDescent="0.25">
      <c r="A70" s="2" t="s">
        <v>2179</v>
      </c>
      <c r="B70" s="2" t="s">
        <v>18</v>
      </c>
      <c r="C70" s="2" t="s">
        <v>280</v>
      </c>
      <c r="D70" s="2" t="s">
        <v>281</v>
      </c>
      <c r="E70" s="2" t="s">
        <v>282</v>
      </c>
      <c r="F70" s="2">
        <v>11</v>
      </c>
      <c r="G70" s="2">
        <v>5</v>
      </c>
      <c r="H70" s="2">
        <v>7500</v>
      </c>
      <c r="I70" s="2" t="s">
        <v>2072</v>
      </c>
      <c r="J70" s="2" t="s">
        <v>74</v>
      </c>
      <c r="K70" s="2" t="s">
        <v>842</v>
      </c>
      <c r="L70" s="2" t="s">
        <v>200</v>
      </c>
      <c r="M70" s="2" t="s">
        <v>232</v>
      </c>
    </row>
    <row r="71" spans="1:14" x14ac:dyDescent="0.25">
      <c r="A71" s="2" t="s">
        <v>2180</v>
      </c>
      <c r="B71" s="2" t="s">
        <v>18</v>
      </c>
      <c r="C71" s="2" t="s">
        <v>394</v>
      </c>
      <c r="D71" s="2" t="s">
        <v>903</v>
      </c>
      <c r="E71" s="2" t="s">
        <v>904</v>
      </c>
      <c r="F71" s="2">
        <v>22.875</v>
      </c>
      <c r="G71" s="2">
        <v>16</v>
      </c>
      <c r="H71" s="2">
        <v>7500</v>
      </c>
      <c r="I71" s="2" t="s">
        <v>1783</v>
      </c>
      <c r="J71" s="2" t="s">
        <v>840</v>
      </c>
      <c r="K71" s="2" t="s">
        <v>861</v>
      </c>
    </row>
    <row r="72" spans="1:14" x14ac:dyDescent="0.25">
      <c r="A72" s="2" t="s">
        <v>2181</v>
      </c>
      <c r="B72" s="2" t="s">
        <v>18</v>
      </c>
      <c r="C72" s="2" t="s">
        <v>321</v>
      </c>
      <c r="D72" s="2" t="s">
        <v>322</v>
      </c>
      <c r="E72" s="2" t="s">
        <v>323</v>
      </c>
      <c r="F72" s="2">
        <v>23.3333333333333</v>
      </c>
      <c r="G72" s="2">
        <v>12</v>
      </c>
      <c r="H72" s="2">
        <v>7500</v>
      </c>
      <c r="I72" s="2" t="s">
        <v>2072</v>
      </c>
      <c r="J72" s="2" t="s">
        <v>74</v>
      </c>
      <c r="K72" s="2" t="s">
        <v>842</v>
      </c>
      <c r="N72" s="2" t="s">
        <v>199</v>
      </c>
    </row>
    <row r="73" spans="1:14" x14ac:dyDescent="0.25">
      <c r="A73" s="2" t="s">
        <v>2182</v>
      </c>
      <c r="B73" s="2" t="s">
        <v>18</v>
      </c>
      <c r="C73" s="2" t="s">
        <v>229</v>
      </c>
      <c r="D73" s="2" t="s">
        <v>230</v>
      </c>
      <c r="E73" s="2" t="s">
        <v>231</v>
      </c>
      <c r="F73" s="2">
        <v>29.15</v>
      </c>
      <c r="G73" s="2">
        <v>20</v>
      </c>
      <c r="H73" s="2">
        <v>7400</v>
      </c>
      <c r="I73" s="2" t="s">
        <v>2072</v>
      </c>
      <c r="J73" s="2" t="s">
        <v>74</v>
      </c>
      <c r="K73" s="2" t="s">
        <v>842</v>
      </c>
    </row>
    <row r="74" spans="1:14" x14ac:dyDescent="0.25">
      <c r="A74" s="2" t="s">
        <v>2183</v>
      </c>
      <c r="B74" s="2" t="s">
        <v>18</v>
      </c>
      <c r="C74" s="2" t="s">
        <v>384</v>
      </c>
      <c r="D74" s="2" t="s">
        <v>2184</v>
      </c>
      <c r="E74" s="2" t="s">
        <v>216</v>
      </c>
      <c r="F74" s="2">
        <v>25.363636363636299</v>
      </c>
      <c r="G74" s="2">
        <v>22</v>
      </c>
      <c r="H74" s="2">
        <v>7400</v>
      </c>
      <c r="I74" s="2" t="s">
        <v>2124</v>
      </c>
      <c r="J74" s="2" t="s">
        <v>852</v>
      </c>
      <c r="K74" s="2" t="s">
        <v>2125</v>
      </c>
    </row>
    <row r="75" spans="1:14" x14ac:dyDescent="0.25">
      <c r="A75" s="2" t="s">
        <v>2185</v>
      </c>
      <c r="B75" s="2" t="s">
        <v>18</v>
      </c>
      <c r="C75" s="2" t="s">
        <v>204</v>
      </c>
      <c r="D75" s="2" t="s">
        <v>1801</v>
      </c>
      <c r="E75" s="2" t="s">
        <v>1802</v>
      </c>
      <c r="F75" s="2">
        <v>28.32</v>
      </c>
      <c r="G75" s="2">
        <v>25</v>
      </c>
      <c r="H75" s="2">
        <v>7300</v>
      </c>
      <c r="I75" s="2" t="s">
        <v>2075</v>
      </c>
      <c r="J75" s="2" t="s">
        <v>37</v>
      </c>
      <c r="K75" s="2" t="s">
        <v>2076</v>
      </c>
    </row>
    <row r="76" spans="1:14" x14ac:dyDescent="0.25">
      <c r="A76" s="2" t="s">
        <v>2186</v>
      </c>
      <c r="B76" s="2" t="s">
        <v>18</v>
      </c>
      <c r="C76" s="2" t="s">
        <v>333</v>
      </c>
      <c r="D76" s="2" t="s">
        <v>1830</v>
      </c>
      <c r="E76" s="2" t="s">
        <v>1831</v>
      </c>
      <c r="F76" s="2">
        <v>24.6666666666666</v>
      </c>
      <c r="G76" s="2">
        <v>18</v>
      </c>
      <c r="H76" s="2">
        <v>7300</v>
      </c>
      <c r="I76" s="2" t="s">
        <v>2075</v>
      </c>
      <c r="J76" s="2" t="s">
        <v>37</v>
      </c>
      <c r="K76" s="2" t="s">
        <v>2076</v>
      </c>
      <c r="N76" s="2" t="s">
        <v>199</v>
      </c>
    </row>
    <row r="77" spans="1:14" x14ac:dyDescent="0.25">
      <c r="A77" s="2" t="s">
        <v>2187</v>
      </c>
      <c r="B77" s="2" t="s">
        <v>18</v>
      </c>
      <c r="C77" s="2" t="s">
        <v>248</v>
      </c>
      <c r="D77" s="2" t="s">
        <v>991</v>
      </c>
      <c r="E77" s="2" t="s">
        <v>992</v>
      </c>
      <c r="F77" s="2">
        <v>22.857142857142801</v>
      </c>
      <c r="G77" s="2">
        <v>14</v>
      </c>
      <c r="H77" s="2">
        <v>7300</v>
      </c>
      <c r="I77" s="2" t="s">
        <v>2097</v>
      </c>
      <c r="J77" s="2" t="s">
        <v>853</v>
      </c>
      <c r="K77" s="2" t="s">
        <v>159</v>
      </c>
    </row>
    <row r="78" spans="1:14" x14ac:dyDescent="0.25">
      <c r="A78" s="2" t="s">
        <v>2188</v>
      </c>
      <c r="B78" s="2" t="s">
        <v>18</v>
      </c>
      <c r="C78" s="2" t="s">
        <v>489</v>
      </c>
      <c r="D78" s="2" t="s">
        <v>846</v>
      </c>
      <c r="E78" s="2" t="s">
        <v>847</v>
      </c>
      <c r="F78" s="2">
        <v>30.32</v>
      </c>
      <c r="G78" s="2">
        <v>25</v>
      </c>
      <c r="H78" s="2">
        <v>7200</v>
      </c>
      <c r="I78" s="2" t="s">
        <v>2070</v>
      </c>
      <c r="J78" s="2" t="s">
        <v>848</v>
      </c>
      <c r="K78" s="2" t="s">
        <v>36</v>
      </c>
    </row>
    <row r="79" spans="1:14" x14ac:dyDescent="0.25">
      <c r="A79" s="2" t="s">
        <v>2189</v>
      </c>
      <c r="B79" s="2" t="s">
        <v>18</v>
      </c>
      <c r="C79" s="2" t="s">
        <v>931</v>
      </c>
      <c r="D79" s="2" t="s">
        <v>932</v>
      </c>
      <c r="E79" s="2" t="s">
        <v>933</v>
      </c>
      <c r="F79" s="2">
        <v>25.823529411764699</v>
      </c>
      <c r="G79" s="2">
        <v>17</v>
      </c>
      <c r="H79" s="2">
        <v>7100</v>
      </c>
      <c r="I79" s="2" t="s">
        <v>1783</v>
      </c>
      <c r="J79" s="2" t="s">
        <v>840</v>
      </c>
      <c r="K79" s="2" t="s">
        <v>861</v>
      </c>
      <c r="L79" s="2" t="s">
        <v>200</v>
      </c>
      <c r="M79" s="2" t="s">
        <v>267</v>
      </c>
    </row>
    <row r="80" spans="1:14" x14ac:dyDescent="0.25">
      <c r="A80" s="2" t="s">
        <v>2190</v>
      </c>
      <c r="B80" s="2" t="s">
        <v>18</v>
      </c>
      <c r="C80" s="2" t="s">
        <v>1820</v>
      </c>
      <c r="D80" s="2" t="s">
        <v>1821</v>
      </c>
      <c r="E80" s="2" t="s">
        <v>1822</v>
      </c>
      <c r="F80" s="2">
        <v>24.428571428571399</v>
      </c>
      <c r="G80" s="2">
        <v>14</v>
      </c>
      <c r="H80" s="2">
        <v>7100</v>
      </c>
      <c r="I80" s="2" t="s">
        <v>2081</v>
      </c>
      <c r="J80" s="2" t="s">
        <v>73</v>
      </c>
      <c r="K80" s="2" t="s">
        <v>76</v>
      </c>
    </row>
    <row r="81" spans="1:14" x14ac:dyDescent="0.25">
      <c r="A81" s="2" t="s">
        <v>2191</v>
      </c>
      <c r="B81" s="2" t="s">
        <v>18</v>
      </c>
      <c r="C81" s="2" t="s">
        <v>255</v>
      </c>
      <c r="D81" s="2" t="s">
        <v>2192</v>
      </c>
      <c r="E81" s="2" t="s">
        <v>2193</v>
      </c>
      <c r="F81" s="2">
        <v>13</v>
      </c>
      <c r="G81" s="2">
        <v>5</v>
      </c>
      <c r="H81" s="2">
        <v>7000</v>
      </c>
      <c r="I81" s="2" t="s">
        <v>2065</v>
      </c>
      <c r="J81" s="2" t="s">
        <v>2066</v>
      </c>
      <c r="K81" s="2" t="s">
        <v>69</v>
      </c>
      <c r="L81" s="2" t="s">
        <v>200</v>
      </c>
      <c r="M81" s="2" t="s">
        <v>247</v>
      </c>
    </row>
    <row r="82" spans="1:14" x14ac:dyDescent="0.25">
      <c r="A82" s="2" t="s">
        <v>2194</v>
      </c>
      <c r="B82" s="2" t="s">
        <v>18</v>
      </c>
      <c r="C82" s="2" t="s">
        <v>197</v>
      </c>
      <c r="D82" s="2" t="s">
        <v>1918</v>
      </c>
      <c r="E82" s="2" t="s">
        <v>1919</v>
      </c>
      <c r="F82" s="2">
        <v>23.5</v>
      </c>
      <c r="G82" s="2">
        <v>8</v>
      </c>
      <c r="H82" s="2">
        <v>7000</v>
      </c>
      <c r="I82" s="2" t="s">
        <v>2079</v>
      </c>
      <c r="J82" s="2" t="s">
        <v>843</v>
      </c>
      <c r="K82" s="2" t="s">
        <v>855</v>
      </c>
    </row>
    <row r="83" spans="1:14" x14ac:dyDescent="0.25">
      <c r="A83" s="2" t="s">
        <v>2195</v>
      </c>
      <c r="B83" s="2" t="s">
        <v>18</v>
      </c>
      <c r="C83" s="2" t="s">
        <v>334</v>
      </c>
      <c r="D83" s="2" t="s">
        <v>335</v>
      </c>
      <c r="E83" s="2" t="s">
        <v>336</v>
      </c>
      <c r="F83" s="2">
        <v>27.6</v>
      </c>
      <c r="G83" s="2">
        <v>5</v>
      </c>
      <c r="H83" s="2">
        <v>7000</v>
      </c>
      <c r="I83" s="2" t="s">
        <v>2068</v>
      </c>
      <c r="J83" s="2" t="s">
        <v>38</v>
      </c>
      <c r="K83" s="2" t="s">
        <v>860</v>
      </c>
    </row>
    <row r="84" spans="1:14" x14ac:dyDescent="0.25">
      <c r="A84" s="2" t="s">
        <v>2196</v>
      </c>
      <c r="B84" s="2" t="s">
        <v>18</v>
      </c>
      <c r="C84" s="2" t="s">
        <v>425</v>
      </c>
      <c r="D84" s="2" t="s">
        <v>906</v>
      </c>
      <c r="E84" s="2" t="s">
        <v>518</v>
      </c>
      <c r="F84" s="2">
        <v>21.538461538461501</v>
      </c>
      <c r="G84" s="2">
        <v>13</v>
      </c>
      <c r="H84" s="2">
        <v>7000</v>
      </c>
      <c r="I84" s="2" t="s">
        <v>2090</v>
      </c>
      <c r="J84" s="2" t="s">
        <v>844</v>
      </c>
      <c r="K84" s="2" t="s">
        <v>2091</v>
      </c>
      <c r="L84" s="2" t="s">
        <v>200</v>
      </c>
      <c r="M84" s="2" t="s">
        <v>232</v>
      </c>
    </row>
    <row r="85" spans="1:14" x14ac:dyDescent="0.25">
      <c r="A85" s="2" t="s">
        <v>2197</v>
      </c>
      <c r="B85" s="2" t="s">
        <v>18</v>
      </c>
      <c r="C85" s="2" t="s">
        <v>287</v>
      </c>
      <c r="D85" s="2" t="s">
        <v>1817</v>
      </c>
      <c r="E85" s="2" t="s">
        <v>1818</v>
      </c>
      <c r="F85" s="2">
        <v>25.769230769230699</v>
      </c>
      <c r="G85" s="2">
        <v>13</v>
      </c>
      <c r="H85" s="2">
        <v>7000</v>
      </c>
      <c r="I85" s="2" t="s">
        <v>2075</v>
      </c>
      <c r="J85" s="2" t="s">
        <v>37</v>
      </c>
      <c r="K85" s="2" t="s">
        <v>2076</v>
      </c>
    </row>
    <row r="86" spans="1:14" x14ac:dyDescent="0.25">
      <c r="A86" s="2" t="s">
        <v>2198</v>
      </c>
      <c r="B86" s="2" t="s">
        <v>18</v>
      </c>
      <c r="C86" s="2" t="s">
        <v>283</v>
      </c>
      <c r="D86" s="2" t="s">
        <v>2199</v>
      </c>
      <c r="E86" s="2" t="s">
        <v>284</v>
      </c>
      <c r="F86" s="2">
        <v>25.9375</v>
      </c>
      <c r="G86" s="2">
        <v>16</v>
      </c>
      <c r="H86" s="2">
        <v>7000</v>
      </c>
      <c r="I86" s="2" t="s">
        <v>2065</v>
      </c>
      <c r="J86" s="2" t="s">
        <v>2066</v>
      </c>
      <c r="K86" s="2" t="s">
        <v>69</v>
      </c>
      <c r="L86" s="2" t="s">
        <v>200</v>
      </c>
      <c r="M86" s="2" t="s">
        <v>263</v>
      </c>
    </row>
    <row r="87" spans="1:14" x14ac:dyDescent="0.25">
      <c r="A87" s="2" t="s">
        <v>2200</v>
      </c>
      <c r="B87" s="2" t="s">
        <v>18</v>
      </c>
      <c r="C87" s="2" t="s">
        <v>958</v>
      </c>
      <c r="D87" s="2" t="s">
        <v>959</v>
      </c>
      <c r="E87" s="2" t="s">
        <v>960</v>
      </c>
      <c r="F87" s="2">
        <v>24.7083333333333</v>
      </c>
      <c r="G87" s="2">
        <v>24</v>
      </c>
      <c r="H87" s="2">
        <v>6900</v>
      </c>
      <c r="I87" s="2" t="s">
        <v>1783</v>
      </c>
      <c r="J87" s="2" t="s">
        <v>861</v>
      </c>
      <c r="K87" s="2" t="s">
        <v>840</v>
      </c>
      <c r="L87" s="2" t="s">
        <v>200</v>
      </c>
      <c r="M87" s="2" t="s">
        <v>493</v>
      </c>
    </row>
    <row r="88" spans="1:14" x14ac:dyDescent="0.25">
      <c r="A88" s="2" t="s">
        <v>2201</v>
      </c>
      <c r="B88" s="2" t="s">
        <v>18</v>
      </c>
      <c r="C88" s="2" t="s">
        <v>425</v>
      </c>
      <c r="D88" s="2" t="s">
        <v>949</v>
      </c>
      <c r="E88" s="2" t="s">
        <v>950</v>
      </c>
      <c r="F88" s="2">
        <v>13.466666666666599</v>
      </c>
      <c r="G88" s="2">
        <v>15</v>
      </c>
      <c r="H88" s="2">
        <v>6900</v>
      </c>
      <c r="I88" s="2" t="s">
        <v>2108</v>
      </c>
      <c r="J88" s="2" t="s">
        <v>856</v>
      </c>
      <c r="K88" s="2" t="s">
        <v>841</v>
      </c>
    </row>
    <row r="89" spans="1:14" x14ac:dyDescent="0.25">
      <c r="A89" s="2" t="s">
        <v>2202</v>
      </c>
      <c r="B89" s="2" t="s">
        <v>18</v>
      </c>
      <c r="C89" s="2" t="s">
        <v>308</v>
      </c>
      <c r="D89" s="2" t="s">
        <v>1843</v>
      </c>
      <c r="E89" s="2" t="s">
        <v>1844</v>
      </c>
      <c r="F89" s="2">
        <v>24.375</v>
      </c>
      <c r="G89" s="2">
        <v>24</v>
      </c>
      <c r="H89" s="2">
        <v>6900</v>
      </c>
      <c r="I89" s="2" t="s">
        <v>2065</v>
      </c>
      <c r="J89" s="2" t="s">
        <v>69</v>
      </c>
      <c r="K89" s="2" t="s">
        <v>2066</v>
      </c>
    </row>
    <row r="90" spans="1:14" x14ac:dyDescent="0.25">
      <c r="A90" s="2" t="s">
        <v>2203</v>
      </c>
      <c r="B90" s="2" t="s">
        <v>18</v>
      </c>
      <c r="C90" s="2" t="s">
        <v>489</v>
      </c>
      <c r="D90" s="2" t="s">
        <v>884</v>
      </c>
      <c r="E90" s="2" t="s">
        <v>885</v>
      </c>
      <c r="F90" s="2">
        <v>28.24</v>
      </c>
      <c r="G90" s="2">
        <v>25</v>
      </c>
      <c r="H90" s="2">
        <v>6900</v>
      </c>
      <c r="I90" s="2" t="s">
        <v>2079</v>
      </c>
      <c r="J90" s="2" t="s">
        <v>855</v>
      </c>
      <c r="K90" s="2" t="s">
        <v>843</v>
      </c>
    </row>
    <row r="91" spans="1:14" x14ac:dyDescent="0.25">
      <c r="A91" s="2" t="s">
        <v>2204</v>
      </c>
      <c r="B91" s="2" t="s">
        <v>18</v>
      </c>
      <c r="C91" s="2" t="s">
        <v>898</v>
      </c>
      <c r="D91" s="2" t="s">
        <v>899</v>
      </c>
      <c r="E91" s="2" t="s">
        <v>900</v>
      </c>
      <c r="F91" s="2">
        <v>27.6666666666666</v>
      </c>
      <c r="G91" s="2">
        <v>27</v>
      </c>
      <c r="H91" s="2">
        <v>6900</v>
      </c>
      <c r="I91" s="2" t="s">
        <v>2108</v>
      </c>
      <c r="J91" s="2" t="s">
        <v>856</v>
      </c>
      <c r="K91" s="2" t="s">
        <v>841</v>
      </c>
    </row>
    <row r="92" spans="1:14" x14ac:dyDescent="0.25">
      <c r="A92" s="2" t="s">
        <v>2205</v>
      </c>
      <c r="B92" s="2" t="s">
        <v>18</v>
      </c>
      <c r="C92" s="2" t="s">
        <v>774</v>
      </c>
      <c r="D92" s="2" t="s">
        <v>936</v>
      </c>
      <c r="E92" s="2" t="s">
        <v>937</v>
      </c>
      <c r="F92" s="2">
        <v>20.807692307692299</v>
      </c>
      <c r="G92" s="2">
        <v>26</v>
      </c>
      <c r="H92" s="2">
        <v>6800</v>
      </c>
      <c r="I92" s="2" t="s">
        <v>2106</v>
      </c>
      <c r="J92" s="2" t="s">
        <v>34</v>
      </c>
      <c r="K92" s="2" t="s">
        <v>35</v>
      </c>
    </row>
    <row r="93" spans="1:14" x14ac:dyDescent="0.25">
      <c r="A93" s="2" t="s">
        <v>2206</v>
      </c>
      <c r="B93" s="2" t="s">
        <v>18</v>
      </c>
      <c r="C93" s="2" t="s">
        <v>714</v>
      </c>
      <c r="D93" s="2" t="s">
        <v>942</v>
      </c>
      <c r="E93" s="2" t="s">
        <v>943</v>
      </c>
      <c r="F93" s="2">
        <v>21.068965517241299</v>
      </c>
      <c r="G93" s="2">
        <v>29</v>
      </c>
      <c r="H93" s="2">
        <v>6800</v>
      </c>
      <c r="I93" s="2" t="s">
        <v>2108</v>
      </c>
      <c r="J93" s="2" t="s">
        <v>856</v>
      </c>
      <c r="K93" s="2" t="s">
        <v>841</v>
      </c>
    </row>
    <row r="94" spans="1:14" x14ac:dyDescent="0.25">
      <c r="A94" s="2" t="s">
        <v>2207</v>
      </c>
      <c r="B94" s="2" t="s">
        <v>18</v>
      </c>
      <c r="C94" s="2" t="s">
        <v>2208</v>
      </c>
      <c r="D94" s="2" t="s">
        <v>2209</v>
      </c>
      <c r="E94" s="2" t="s">
        <v>1217</v>
      </c>
      <c r="F94" s="2">
        <v>23.5</v>
      </c>
      <c r="G94" s="2">
        <v>2</v>
      </c>
      <c r="H94" s="2">
        <v>6800</v>
      </c>
      <c r="I94" s="2" t="s">
        <v>2075</v>
      </c>
      <c r="J94" s="2" t="s">
        <v>2076</v>
      </c>
      <c r="K94" s="2" t="s">
        <v>37</v>
      </c>
      <c r="N94" s="2" t="s">
        <v>199</v>
      </c>
    </row>
    <row r="95" spans="1:14" x14ac:dyDescent="0.25">
      <c r="A95" s="2" t="s">
        <v>2210</v>
      </c>
      <c r="B95" s="2" t="s">
        <v>18</v>
      </c>
      <c r="C95" s="2" t="s">
        <v>670</v>
      </c>
      <c r="D95" s="2" t="s">
        <v>971</v>
      </c>
      <c r="E95" s="2" t="s">
        <v>972</v>
      </c>
      <c r="F95" s="2">
        <v>13.909090909090899</v>
      </c>
      <c r="G95" s="2">
        <v>22</v>
      </c>
      <c r="H95" s="2">
        <v>6700</v>
      </c>
      <c r="I95" s="2" t="s">
        <v>1783</v>
      </c>
      <c r="J95" s="2" t="s">
        <v>861</v>
      </c>
      <c r="K95" s="2" t="s">
        <v>840</v>
      </c>
    </row>
    <row r="96" spans="1:14" x14ac:dyDescent="0.25">
      <c r="A96" s="2" t="s">
        <v>2211</v>
      </c>
      <c r="B96" s="2" t="s">
        <v>18</v>
      </c>
      <c r="C96" s="2" t="s">
        <v>316</v>
      </c>
      <c r="D96" s="2" t="s">
        <v>1828</v>
      </c>
      <c r="E96" s="2" t="s">
        <v>1829</v>
      </c>
      <c r="F96" s="2">
        <v>22.9166666666666</v>
      </c>
      <c r="G96" s="2">
        <v>12</v>
      </c>
      <c r="H96" s="2">
        <v>6700</v>
      </c>
      <c r="I96" s="2" t="s">
        <v>2081</v>
      </c>
      <c r="J96" s="2" t="s">
        <v>73</v>
      </c>
      <c r="K96" s="2" t="s">
        <v>76</v>
      </c>
    </row>
    <row r="97" spans="1:14" x14ac:dyDescent="0.25">
      <c r="A97" s="2" t="s">
        <v>2212</v>
      </c>
      <c r="B97" s="2" t="s">
        <v>18</v>
      </c>
      <c r="C97" s="2" t="s">
        <v>294</v>
      </c>
      <c r="D97" s="2" t="s">
        <v>295</v>
      </c>
      <c r="E97" s="2" t="s">
        <v>296</v>
      </c>
      <c r="F97" s="2">
        <v>26.25</v>
      </c>
      <c r="G97" s="2">
        <v>24</v>
      </c>
      <c r="H97" s="2">
        <v>6700</v>
      </c>
      <c r="I97" s="2" t="s">
        <v>2072</v>
      </c>
      <c r="J97" s="2" t="s">
        <v>842</v>
      </c>
      <c r="K97" s="2" t="s">
        <v>74</v>
      </c>
    </row>
    <row r="98" spans="1:14" x14ac:dyDescent="0.25">
      <c r="A98" s="2" t="s">
        <v>2213</v>
      </c>
      <c r="B98" s="2" t="s">
        <v>18</v>
      </c>
      <c r="C98" s="2" t="s">
        <v>947</v>
      </c>
      <c r="D98" s="2" t="s">
        <v>948</v>
      </c>
      <c r="E98" s="2" t="s">
        <v>877</v>
      </c>
      <c r="F98" s="2">
        <v>18.3333333333333</v>
      </c>
      <c r="G98" s="2">
        <v>12</v>
      </c>
      <c r="H98" s="2">
        <v>6700</v>
      </c>
      <c r="I98" s="2" t="s">
        <v>2108</v>
      </c>
      <c r="J98" s="2" t="s">
        <v>841</v>
      </c>
      <c r="K98" s="2" t="s">
        <v>856</v>
      </c>
    </row>
    <row r="99" spans="1:14" x14ac:dyDescent="0.25">
      <c r="A99" s="2" t="s">
        <v>2214</v>
      </c>
      <c r="B99" s="2" t="s">
        <v>18</v>
      </c>
      <c r="C99" s="2" t="s">
        <v>365</v>
      </c>
      <c r="D99" s="2" t="s">
        <v>366</v>
      </c>
      <c r="E99" s="2" t="s">
        <v>367</v>
      </c>
      <c r="F99" s="2">
        <v>16.6875</v>
      </c>
      <c r="G99" s="2">
        <v>16</v>
      </c>
      <c r="H99" s="2">
        <v>6700</v>
      </c>
      <c r="I99" s="2" t="s">
        <v>2068</v>
      </c>
      <c r="J99" s="2" t="s">
        <v>38</v>
      </c>
      <c r="K99" s="2" t="s">
        <v>860</v>
      </c>
    </row>
    <row r="100" spans="1:14" x14ac:dyDescent="0.25">
      <c r="A100" s="2" t="s">
        <v>2215</v>
      </c>
      <c r="B100" s="2" t="s">
        <v>18</v>
      </c>
      <c r="C100" s="2" t="s">
        <v>956</v>
      </c>
      <c r="D100" s="2" t="s">
        <v>957</v>
      </c>
      <c r="E100" s="2" t="s">
        <v>518</v>
      </c>
      <c r="F100" s="2">
        <v>13.285714285714199</v>
      </c>
      <c r="G100" s="2">
        <v>7</v>
      </c>
      <c r="H100" s="2">
        <v>6700</v>
      </c>
      <c r="I100" s="2" t="s">
        <v>2106</v>
      </c>
      <c r="J100" s="2" t="s">
        <v>35</v>
      </c>
      <c r="K100" s="2" t="s">
        <v>34</v>
      </c>
    </row>
    <row r="101" spans="1:14" x14ac:dyDescent="0.25">
      <c r="A101" s="2" t="s">
        <v>2216</v>
      </c>
      <c r="B101" s="2" t="s">
        <v>18</v>
      </c>
      <c r="C101" s="2" t="s">
        <v>394</v>
      </c>
      <c r="D101" s="2" t="s">
        <v>882</v>
      </c>
      <c r="E101" s="2" t="s">
        <v>883</v>
      </c>
      <c r="F101" s="2">
        <v>21.96</v>
      </c>
      <c r="G101" s="2">
        <v>25</v>
      </c>
      <c r="H101" s="2">
        <v>6700</v>
      </c>
      <c r="I101" s="2" t="s">
        <v>2079</v>
      </c>
      <c r="J101" s="2" t="s">
        <v>855</v>
      </c>
      <c r="K101" s="2" t="s">
        <v>843</v>
      </c>
      <c r="L101" s="2" t="s">
        <v>200</v>
      </c>
      <c r="M101" s="2" t="s">
        <v>267</v>
      </c>
    </row>
    <row r="102" spans="1:14" x14ac:dyDescent="0.25">
      <c r="A102" s="2" t="s">
        <v>2217</v>
      </c>
      <c r="B102" s="2" t="s">
        <v>18</v>
      </c>
      <c r="C102" s="2" t="s">
        <v>928</v>
      </c>
      <c r="D102" s="2" t="s">
        <v>929</v>
      </c>
      <c r="E102" s="2" t="s">
        <v>930</v>
      </c>
      <c r="F102" s="2">
        <v>27.636363636363601</v>
      </c>
      <c r="G102" s="2">
        <v>22</v>
      </c>
      <c r="H102" s="2">
        <v>6700</v>
      </c>
      <c r="I102" s="2" t="s">
        <v>2072</v>
      </c>
      <c r="J102" s="2" t="s">
        <v>842</v>
      </c>
      <c r="K102" s="2" t="s">
        <v>74</v>
      </c>
    </row>
    <row r="103" spans="1:14" x14ac:dyDescent="0.25">
      <c r="A103" s="2" t="s">
        <v>2218</v>
      </c>
      <c r="B103" s="2" t="s">
        <v>18</v>
      </c>
      <c r="C103" s="2" t="s">
        <v>968</v>
      </c>
      <c r="D103" s="2" t="s">
        <v>969</v>
      </c>
      <c r="E103" s="2" t="s">
        <v>970</v>
      </c>
      <c r="F103" s="2">
        <v>16.352941176470502</v>
      </c>
      <c r="G103" s="2">
        <v>17</v>
      </c>
      <c r="H103" s="2">
        <v>6700</v>
      </c>
      <c r="I103" s="2" t="s">
        <v>2068</v>
      </c>
      <c r="J103" s="2" t="s">
        <v>860</v>
      </c>
      <c r="K103" s="2" t="s">
        <v>38</v>
      </c>
      <c r="L103" s="2" t="s">
        <v>200</v>
      </c>
      <c r="M103" s="2" t="s">
        <v>247</v>
      </c>
    </row>
    <row r="104" spans="1:14" x14ac:dyDescent="0.25">
      <c r="A104" s="2" t="s">
        <v>2219</v>
      </c>
      <c r="B104" s="2" t="s">
        <v>18</v>
      </c>
      <c r="C104" s="2" t="s">
        <v>193</v>
      </c>
      <c r="D104" s="2" t="s">
        <v>1823</v>
      </c>
      <c r="E104" s="2" t="s">
        <v>300</v>
      </c>
      <c r="F104" s="2">
        <v>25.074074074074002</v>
      </c>
      <c r="G104" s="2">
        <v>27</v>
      </c>
      <c r="H104" s="2">
        <v>6700</v>
      </c>
      <c r="I104" s="2" t="s">
        <v>2065</v>
      </c>
      <c r="J104" s="2" t="s">
        <v>69</v>
      </c>
      <c r="K104" s="2" t="s">
        <v>2066</v>
      </c>
    </row>
    <row r="105" spans="1:14" x14ac:dyDescent="0.25">
      <c r="A105" s="2" t="s">
        <v>2220</v>
      </c>
      <c r="B105" s="2" t="s">
        <v>18</v>
      </c>
      <c r="C105" s="2" t="s">
        <v>450</v>
      </c>
      <c r="D105" s="2" t="s">
        <v>909</v>
      </c>
      <c r="E105" s="2" t="s">
        <v>910</v>
      </c>
      <c r="F105" s="2">
        <v>22.45</v>
      </c>
      <c r="G105" s="2">
        <v>20</v>
      </c>
      <c r="H105" s="2">
        <v>6600</v>
      </c>
      <c r="I105" s="2" t="s">
        <v>1783</v>
      </c>
      <c r="J105" s="2" t="s">
        <v>861</v>
      </c>
      <c r="K105" s="2" t="s">
        <v>840</v>
      </c>
      <c r="N105" s="2" t="s">
        <v>199</v>
      </c>
    </row>
    <row r="106" spans="1:14" x14ac:dyDescent="0.25">
      <c r="A106" s="2" t="s">
        <v>2221</v>
      </c>
      <c r="B106" s="2" t="s">
        <v>18</v>
      </c>
      <c r="C106" s="2" t="s">
        <v>905</v>
      </c>
      <c r="D106" s="2" t="s">
        <v>1812</v>
      </c>
      <c r="E106" s="2" t="s">
        <v>1813</v>
      </c>
      <c r="F106" s="2">
        <v>15.4705882352941</v>
      </c>
      <c r="G106" s="2">
        <v>34</v>
      </c>
      <c r="H106" s="2">
        <v>6600</v>
      </c>
      <c r="I106" s="2" t="s">
        <v>2079</v>
      </c>
      <c r="J106" s="2" t="s">
        <v>843</v>
      </c>
      <c r="K106" s="2" t="s">
        <v>855</v>
      </c>
    </row>
    <row r="107" spans="1:14" x14ac:dyDescent="0.25">
      <c r="A107" s="2" t="s">
        <v>2222</v>
      </c>
      <c r="B107" s="2" t="s">
        <v>18</v>
      </c>
      <c r="C107" s="2" t="s">
        <v>288</v>
      </c>
      <c r="D107" s="2" t="s">
        <v>72</v>
      </c>
      <c r="E107" s="2" t="s">
        <v>289</v>
      </c>
      <c r="F107" s="2">
        <v>20.4166666666666</v>
      </c>
      <c r="G107" s="2">
        <v>12</v>
      </c>
      <c r="H107" s="2">
        <v>6600</v>
      </c>
      <c r="I107" s="2" t="s">
        <v>2081</v>
      </c>
      <c r="J107" s="2" t="s">
        <v>76</v>
      </c>
      <c r="K107" s="2" t="s">
        <v>73</v>
      </c>
    </row>
    <row r="108" spans="1:14" x14ac:dyDescent="0.25">
      <c r="A108" s="2" t="s">
        <v>2223</v>
      </c>
      <c r="B108" s="2" t="s">
        <v>18</v>
      </c>
      <c r="C108" s="2" t="s">
        <v>441</v>
      </c>
      <c r="D108" s="2" t="s">
        <v>1101</v>
      </c>
      <c r="E108" s="2" t="s">
        <v>1102</v>
      </c>
      <c r="F108" s="2">
        <v>5.0833333333333304</v>
      </c>
      <c r="G108" s="2">
        <v>36</v>
      </c>
      <c r="H108" s="2">
        <v>6600</v>
      </c>
      <c r="I108" s="2" t="s">
        <v>2079</v>
      </c>
      <c r="J108" s="2" t="s">
        <v>855</v>
      </c>
      <c r="K108" s="2" t="s">
        <v>843</v>
      </c>
    </row>
    <row r="109" spans="1:14" x14ac:dyDescent="0.25">
      <c r="A109" s="2" t="s">
        <v>2224</v>
      </c>
      <c r="B109" s="2" t="s">
        <v>18</v>
      </c>
      <c r="C109" s="2" t="s">
        <v>330</v>
      </c>
      <c r="D109" s="2" t="s">
        <v>331</v>
      </c>
      <c r="E109" s="2" t="s">
        <v>332</v>
      </c>
      <c r="F109" s="2">
        <v>20.9130434782608</v>
      </c>
      <c r="G109" s="2">
        <v>23</v>
      </c>
      <c r="H109" s="2">
        <v>6600</v>
      </c>
      <c r="I109" s="2" t="s">
        <v>2097</v>
      </c>
      <c r="J109" s="2" t="s">
        <v>159</v>
      </c>
      <c r="K109" s="2" t="s">
        <v>853</v>
      </c>
    </row>
    <row r="110" spans="1:14" x14ac:dyDescent="0.25">
      <c r="A110" s="2" t="s">
        <v>2225</v>
      </c>
      <c r="B110" s="2" t="s">
        <v>18</v>
      </c>
      <c r="C110" s="2" t="s">
        <v>313</v>
      </c>
      <c r="D110" s="2" t="s">
        <v>314</v>
      </c>
      <c r="E110" s="2" t="s">
        <v>315</v>
      </c>
      <c r="F110" s="2">
        <v>23.148148148148099</v>
      </c>
      <c r="G110" s="2">
        <v>27</v>
      </c>
      <c r="H110" s="2">
        <v>6600</v>
      </c>
      <c r="I110" s="2" t="s">
        <v>2106</v>
      </c>
      <c r="J110" s="2" t="s">
        <v>34</v>
      </c>
      <c r="K110" s="2" t="s">
        <v>35</v>
      </c>
    </row>
    <row r="111" spans="1:14" x14ac:dyDescent="0.25">
      <c r="A111" s="2" t="s">
        <v>2226</v>
      </c>
      <c r="B111" s="2" t="s">
        <v>18</v>
      </c>
      <c r="C111" s="2" t="s">
        <v>212</v>
      </c>
      <c r="D111" s="2" t="s">
        <v>1826</v>
      </c>
      <c r="E111" s="2" t="s">
        <v>1827</v>
      </c>
      <c r="F111" s="2">
        <v>11</v>
      </c>
      <c r="G111" s="2">
        <v>1</v>
      </c>
      <c r="H111" s="2">
        <v>6600</v>
      </c>
      <c r="I111" s="2" t="s">
        <v>2075</v>
      </c>
      <c r="J111" s="2" t="s">
        <v>37</v>
      </c>
      <c r="K111" s="2" t="s">
        <v>2076</v>
      </c>
      <c r="L111" s="2" t="s">
        <v>200</v>
      </c>
      <c r="M111" s="2" t="s">
        <v>267</v>
      </c>
    </row>
    <row r="112" spans="1:14" x14ac:dyDescent="0.25">
      <c r="A112" s="2" t="s">
        <v>2227</v>
      </c>
      <c r="B112" s="2" t="s">
        <v>18</v>
      </c>
      <c r="C112" s="2" t="s">
        <v>316</v>
      </c>
      <c r="D112" s="2" t="s">
        <v>962</v>
      </c>
      <c r="E112" s="2" t="s">
        <v>963</v>
      </c>
      <c r="F112" s="2">
        <v>24.375</v>
      </c>
      <c r="G112" s="2">
        <v>16</v>
      </c>
      <c r="H112" s="2">
        <v>6600</v>
      </c>
      <c r="I112" s="2" t="s">
        <v>2070</v>
      </c>
      <c r="J112" s="2" t="s">
        <v>848</v>
      </c>
      <c r="K112" s="2" t="s">
        <v>36</v>
      </c>
      <c r="L112" s="2" t="s">
        <v>200</v>
      </c>
      <c r="M112" s="2" t="s">
        <v>568</v>
      </c>
    </row>
    <row r="113" spans="1:14" x14ac:dyDescent="0.25">
      <c r="A113" s="2" t="s">
        <v>2228</v>
      </c>
      <c r="B113" s="2" t="s">
        <v>18</v>
      </c>
      <c r="C113" s="2" t="s">
        <v>620</v>
      </c>
      <c r="D113" s="2" t="s">
        <v>1768</v>
      </c>
      <c r="E113" s="2" t="s">
        <v>678</v>
      </c>
      <c r="F113" s="2">
        <v>-3</v>
      </c>
      <c r="G113" s="2">
        <v>1</v>
      </c>
      <c r="H113" s="2">
        <v>6600</v>
      </c>
      <c r="I113" s="2" t="s">
        <v>2068</v>
      </c>
      <c r="J113" s="2" t="s">
        <v>38</v>
      </c>
      <c r="K113" s="2" t="s">
        <v>860</v>
      </c>
    </row>
    <row r="114" spans="1:14" x14ac:dyDescent="0.25">
      <c r="A114" s="2" t="s">
        <v>2229</v>
      </c>
      <c r="B114" s="2" t="s">
        <v>18</v>
      </c>
      <c r="C114" s="2" t="s">
        <v>951</v>
      </c>
      <c r="D114" s="2" t="s">
        <v>2230</v>
      </c>
      <c r="E114" s="2" t="s">
        <v>2231</v>
      </c>
      <c r="F114" s="2">
        <v>26.6</v>
      </c>
      <c r="G114" s="2">
        <v>15</v>
      </c>
      <c r="H114" s="2">
        <v>6600</v>
      </c>
      <c r="I114" s="2" t="s">
        <v>2124</v>
      </c>
      <c r="J114" s="2" t="s">
        <v>2125</v>
      </c>
      <c r="K114" s="2" t="s">
        <v>852</v>
      </c>
    </row>
    <row r="115" spans="1:14" x14ac:dyDescent="0.25">
      <c r="A115" s="2" t="s">
        <v>2232</v>
      </c>
      <c r="B115" s="2" t="s">
        <v>18</v>
      </c>
      <c r="C115" s="2" t="s">
        <v>318</v>
      </c>
      <c r="D115" s="2" t="s">
        <v>319</v>
      </c>
      <c r="E115" s="2" t="s">
        <v>320</v>
      </c>
      <c r="F115" s="2">
        <v>25</v>
      </c>
      <c r="G115" s="2">
        <v>5</v>
      </c>
      <c r="H115" s="2">
        <v>6600</v>
      </c>
      <c r="I115" s="2" t="s">
        <v>2072</v>
      </c>
      <c r="J115" s="2" t="s">
        <v>74</v>
      </c>
      <c r="K115" s="2" t="s">
        <v>842</v>
      </c>
    </row>
    <row r="116" spans="1:14" x14ac:dyDescent="0.25">
      <c r="A116" s="2" t="s">
        <v>2233</v>
      </c>
      <c r="B116" s="2" t="s">
        <v>18</v>
      </c>
      <c r="C116" s="2" t="s">
        <v>993</v>
      </c>
      <c r="D116" s="2" t="s">
        <v>994</v>
      </c>
      <c r="E116" s="2" t="s">
        <v>995</v>
      </c>
      <c r="F116" s="2">
        <v>30.173913043478201</v>
      </c>
      <c r="G116" s="2">
        <v>23</v>
      </c>
      <c r="H116" s="2">
        <v>6500</v>
      </c>
      <c r="I116" s="2" t="s">
        <v>2090</v>
      </c>
      <c r="J116" s="2" t="s">
        <v>844</v>
      </c>
      <c r="K116" s="2" t="s">
        <v>2091</v>
      </c>
    </row>
    <row r="117" spans="1:14" x14ac:dyDescent="0.25">
      <c r="A117" s="2" t="s">
        <v>2234</v>
      </c>
      <c r="B117" s="2" t="s">
        <v>18</v>
      </c>
      <c r="C117" s="2" t="s">
        <v>870</v>
      </c>
      <c r="D117" s="2" t="s">
        <v>871</v>
      </c>
      <c r="E117" s="2" t="s">
        <v>872</v>
      </c>
      <c r="F117" s="2">
        <v>26.45</v>
      </c>
      <c r="G117" s="2">
        <v>20</v>
      </c>
      <c r="H117" s="2">
        <v>6500</v>
      </c>
      <c r="I117" s="2" t="s">
        <v>2108</v>
      </c>
      <c r="J117" s="2" t="s">
        <v>856</v>
      </c>
      <c r="K117" s="2" t="s">
        <v>841</v>
      </c>
    </row>
    <row r="118" spans="1:14" x14ac:dyDescent="0.25">
      <c r="A118" s="2" t="s">
        <v>2235</v>
      </c>
      <c r="B118" s="2" t="s">
        <v>18</v>
      </c>
      <c r="C118" s="2" t="s">
        <v>2236</v>
      </c>
      <c r="D118" s="2" t="s">
        <v>2237</v>
      </c>
      <c r="E118" s="2" t="s">
        <v>349</v>
      </c>
      <c r="F118" s="2">
        <v>24.5555555555555</v>
      </c>
      <c r="G118" s="2">
        <v>27</v>
      </c>
      <c r="H118" s="2">
        <v>6500</v>
      </c>
      <c r="I118" s="2" t="s">
        <v>2124</v>
      </c>
      <c r="J118" s="2" t="s">
        <v>2125</v>
      </c>
      <c r="K118" s="2" t="s">
        <v>852</v>
      </c>
      <c r="L118" s="2" t="s">
        <v>200</v>
      </c>
      <c r="M118" s="2" t="s">
        <v>386</v>
      </c>
    </row>
    <row r="119" spans="1:14" x14ac:dyDescent="0.25">
      <c r="A119" s="2" t="s">
        <v>2238</v>
      </c>
      <c r="B119" s="2" t="s">
        <v>18</v>
      </c>
      <c r="C119" s="2" t="s">
        <v>223</v>
      </c>
      <c r="D119" s="2" t="s">
        <v>938</v>
      </c>
      <c r="E119" s="2" t="s">
        <v>939</v>
      </c>
      <c r="F119" s="2">
        <v>20.296296296296202</v>
      </c>
      <c r="G119" s="2">
        <v>27</v>
      </c>
      <c r="H119" s="2">
        <v>6500</v>
      </c>
      <c r="I119" s="2" t="s">
        <v>2108</v>
      </c>
      <c r="J119" s="2" t="s">
        <v>856</v>
      </c>
      <c r="K119" s="2" t="s">
        <v>841</v>
      </c>
    </row>
    <row r="120" spans="1:14" x14ac:dyDescent="0.25">
      <c r="A120" s="2" t="s">
        <v>2239</v>
      </c>
      <c r="B120" s="2" t="s">
        <v>18</v>
      </c>
      <c r="C120" s="2" t="s">
        <v>982</v>
      </c>
      <c r="D120" s="2" t="s">
        <v>1164</v>
      </c>
      <c r="E120" s="2" t="s">
        <v>1165</v>
      </c>
      <c r="F120" s="2">
        <v>13.1428571428571</v>
      </c>
      <c r="G120" s="2">
        <v>21</v>
      </c>
      <c r="H120" s="2">
        <v>6500</v>
      </c>
      <c r="I120" s="2" t="s">
        <v>2108</v>
      </c>
      <c r="J120" s="2" t="s">
        <v>841</v>
      </c>
      <c r="K120" s="2" t="s">
        <v>856</v>
      </c>
    </row>
    <row r="121" spans="1:14" x14ac:dyDescent="0.25">
      <c r="A121" s="2" t="s">
        <v>2240</v>
      </c>
      <c r="B121" s="2" t="s">
        <v>18</v>
      </c>
      <c r="C121" s="2" t="s">
        <v>308</v>
      </c>
      <c r="D121" s="2" t="s">
        <v>954</v>
      </c>
      <c r="E121" s="2" t="s">
        <v>955</v>
      </c>
      <c r="F121" s="2">
        <v>14.1</v>
      </c>
      <c r="G121" s="2">
        <v>10</v>
      </c>
      <c r="H121" s="2">
        <v>6500</v>
      </c>
      <c r="I121" s="2" t="s">
        <v>2072</v>
      </c>
      <c r="J121" s="2" t="s">
        <v>842</v>
      </c>
      <c r="K121" s="2" t="s">
        <v>74</v>
      </c>
      <c r="L121" s="2" t="s">
        <v>200</v>
      </c>
      <c r="M121" s="2" t="s">
        <v>341</v>
      </c>
    </row>
    <row r="122" spans="1:14" x14ac:dyDescent="0.25">
      <c r="A122" s="2" t="s">
        <v>2241</v>
      </c>
      <c r="B122" s="2" t="s">
        <v>18</v>
      </c>
      <c r="C122" s="2" t="s">
        <v>252</v>
      </c>
      <c r="D122" s="2" t="s">
        <v>896</v>
      </c>
      <c r="E122" s="2" t="s">
        <v>897</v>
      </c>
      <c r="F122" s="2">
        <v>24.185185185185102</v>
      </c>
      <c r="G122" s="2">
        <v>27</v>
      </c>
      <c r="H122" s="2">
        <v>6500</v>
      </c>
      <c r="I122" s="2" t="s">
        <v>2081</v>
      </c>
      <c r="J122" s="2" t="s">
        <v>76</v>
      </c>
      <c r="K122" s="2" t="s">
        <v>73</v>
      </c>
      <c r="N122" s="2" t="s">
        <v>199</v>
      </c>
    </row>
    <row r="123" spans="1:14" x14ac:dyDescent="0.25">
      <c r="A123" s="2" t="s">
        <v>2242</v>
      </c>
      <c r="B123" s="2" t="s">
        <v>18</v>
      </c>
      <c r="C123" s="2" t="s">
        <v>404</v>
      </c>
      <c r="D123" s="2" t="s">
        <v>901</v>
      </c>
      <c r="E123" s="2" t="s">
        <v>902</v>
      </c>
      <c r="F123" s="2">
        <v>24.730769230769202</v>
      </c>
      <c r="G123" s="2">
        <v>26</v>
      </c>
      <c r="H123" s="2">
        <v>6500</v>
      </c>
      <c r="I123" s="2" t="s">
        <v>2097</v>
      </c>
      <c r="J123" s="2" t="s">
        <v>853</v>
      </c>
      <c r="K123" s="2" t="s">
        <v>159</v>
      </c>
      <c r="N123" s="2" t="s">
        <v>199</v>
      </c>
    </row>
    <row r="124" spans="1:14" x14ac:dyDescent="0.25">
      <c r="A124" s="2" t="s">
        <v>2243</v>
      </c>
      <c r="B124" s="2" t="s">
        <v>18</v>
      </c>
      <c r="C124" s="2" t="s">
        <v>1803</v>
      </c>
      <c r="D124" s="2" t="s">
        <v>1804</v>
      </c>
      <c r="E124" s="2" t="s">
        <v>1805</v>
      </c>
      <c r="F124" s="2">
        <v>25.586206896551701</v>
      </c>
      <c r="G124" s="2">
        <v>29</v>
      </c>
      <c r="H124" s="2">
        <v>6500</v>
      </c>
      <c r="I124" s="2" t="s">
        <v>2065</v>
      </c>
      <c r="J124" s="2" t="s">
        <v>69</v>
      </c>
      <c r="K124" s="2" t="s">
        <v>2066</v>
      </c>
    </row>
    <row r="125" spans="1:14" x14ac:dyDescent="0.25">
      <c r="A125" s="2" t="s">
        <v>2244</v>
      </c>
      <c r="B125" s="2" t="s">
        <v>18</v>
      </c>
      <c r="C125" s="2" t="s">
        <v>526</v>
      </c>
      <c r="D125" s="2" t="s">
        <v>889</v>
      </c>
      <c r="E125" s="2" t="s">
        <v>890</v>
      </c>
      <c r="F125" s="2">
        <v>27.2083333333333</v>
      </c>
      <c r="G125" s="2">
        <v>24</v>
      </c>
      <c r="H125" s="2">
        <v>6500</v>
      </c>
      <c r="I125" s="2" t="s">
        <v>2072</v>
      </c>
      <c r="J125" s="2" t="s">
        <v>842</v>
      </c>
      <c r="K125" s="2" t="s">
        <v>74</v>
      </c>
    </row>
    <row r="126" spans="1:14" x14ac:dyDescent="0.25">
      <c r="A126" s="2" t="s">
        <v>2245</v>
      </c>
      <c r="B126" s="2" t="s">
        <v>18</v>
      </c>
      <c r="C126" s="2" t="s">
        <v>212</v>
      </c>
      <c r="D126" s="2" t="s">
        <v>911</v>
      </c>
      <c r="E126" s="2" t="s">
        <v>912</v>
      </c>
      <c r="F126" s="2">
        <v>20.566666666666599</v>
      </c>
      <c r="G126" s="2">
        <v>30</v>
      </c>
      <c r="H126" s="2">
        <v>6400</v>
      </c>
      <c r="I126" s="2" t="s">
        <v>1783</v>
      </c>
      <c r="J126" s="2" t="s">
        <v>840</v>
      </c>
      <c r="K126" s="2" t="s">
        <v>861</v>
      </c>
    </row>
    <row r="127" spans="1:14" x14ac:dyDescent="0.25">
      <c r="A127" s="2" t="s">
        <v>2246</v>
      </c>
      <c r="B127" s="2" t="s">
        <v>18</v>
      </c>
      <c r="C127" s="2" t="s">
        <v>304</v>
      </c>
      <c r="D127" s="2" t="s">
        <v>2247</v>
      </c>
      <c r="E127" s="2" t="s">
        <v>2248</v>
      </c>
      <c r="F127" s="2">
        <v>28.3333333333333</v>
      </c>
      <c r="G127" s="2">
        <v>3</v>
      </c>
      <c r="H127" s="2">
        <v>6400</v>
      </c>
      <c r="I127" s="2" t="s">
        <v>2124</v>
      </c>
      <c r="J127" s="2" t="s">
        <v>2125</v>
      </c>
      <c r="K127" s="2" t="s">
        <v>852</v>
      </c>
    </row>
    <row r="128" spans="1:14" x14ac:dyDescent="0.25">
      <c r="A128" s="2" t="s">
        <v>2249</v>
      </c>
      <c r="B128" s="2" t="s">
        <v>18</v>
      </c>
      <c r="C128" s="2" t="s">
        <v>712</v>
      </c>
      <c r="D128" s="2" t="s">
        <v>964</v>
      </c>
      <c r="E128" s="2" t="s">
        <v>531</v>
      </c>
      <c r="F128" s="2">
        <v>23.115384615384599</v>
      </c>
      <c r="G128" s="2">
        <v>26</v>
      </c>
      <c r="H128" s="2">
        <v>6400</v>
      </c>
      <c r="I128" s="2" t="s">
        <v>2124</v>
      </c>
      <c r="J128" s="2" t="s">
        <v>852</v>
      </c>
      <c r="K128" s="2" t="s">
        <v>2125</v>
      </c>
    </row>
    <row r="129" spans="1:14" x14ac:dyDescent="0.25">
      <c r="A129" s="2" t="s">
        <v>2250</v>
      </c>
      <c r="B129" s="2" t="s">
        <v>18</v>
      </c>
      <c r="C129" s="2" t="s">
        <v>304</v>
      </c>
      <c r="D129" s="2" t="s">
        <v>378</v>
      </c>
      <c r="E129" s="2" t="s">
        <v>379</v>
      </c>
      <c r="F129" s="2">
        <v>14.714285714285699</v>
      </c>
      <c r="G129" s="2">
        <v>7</v>
      </c>
      <c r="H129" s="2">
        <v>6400</v>
      </c>
      <c r="I129" s="2" t="s">
        <v>2081</v>
      </c>
      <c r="J129" s="2" t="s">
        <v>76</v>
      </c>
      <c r="K129" s="2" t="s">
        <v>73</v>
      </c>
    </row>
    <row r="130" spans="1:14" x14ac:dyDescent="0.25">
      <c r="A130" s="2" t="s">
        <v>2251</v>
      </c>
      <c r="B130" s="2" t="s">
        <v>18</v>
      </c>
      <c r="C130" s="2" t="s">
        <v>2252</v>
      </c>
      <c r="D130" s="2" t="s">
        <v>2253</v>
      </c>
      <c r="E130" s="2" t="s">
        <v>2254</v>
      </c>
      <c r="F130" s="2">
        <v>24</v>
      </c>
      <c r="G130" s="2">
        <v>27</v>
      </c>
      <c r="H130" s="2">
        <v>6400</v>
      </c>
      <c r="I130" s="2" t="s">
        <v>2124</v>
      </c>
      <c r="J130" s="2" t="s">
        <v>2125</v>
      </c>
      <c r="K130" s="2" t="s">
        <v>852</v>
      </c>
    </row>
    <row r="131" spans="1:14" x14ac:dyDescent="0.25">
      <c r="A131" s="2" t="s">
        <v>2255</v>
      </c>
      <c r="B131" s="2" t="s">
        <v>18</v>
      </c>
      <c r="C131" s="2" t="s">
        <v>1028</v>
      </c>
      <c r="D131" s="2" t="s">
        <v>1029</v>
      </c>
      <c r="E131" s="2" t="s">
        <v>1030</v>
      </c>
      <c r="F131" s="2">
        <v>24.272727272727199</v>
      </c>
      <c r="G131" s="2">
        <v>11</v>
      </c>
      <c r="H131" s="2">
        <v>6400</v>
      </c>
      <c r="I131" s="2" t="s">
        <v>2108</v>
      </c>
      <c r="J131" s="2" t="s">
        <v>841</v>
      </c>
      <c r="K131" s="2" t="s">
        <v>856</v>
      </c>
    </row>
    <row r="132" spans="1:14" x14ac:dyDescent="0.25">
      <c r="A132" s="2" t="s">
        <v>2256</v>
      </c>
      <c r="B132" s="2" t="s">
        <v>18</v>
      </c>
      <c r="C132" s="2" t="s">
        <v>304</v>
      </c>
      <c r="D132" s="2" t="s">
        <v>980</v>
      </c>
      <c r="E132" s="2" t="s">
        <v>981</v>
      </c>
      <c r="F132" s="2">
        <v>25.681818181818102</v>
      </c>
      <c r="G132" s="2">
        <v>22</v>
      </c>
      <c r="H132" s="2">
        <v>6400</v>
      </c>
      <c r="I132" s="2" t="s">
        <v>2124</v>
      </c>
      <c r="J132" s="2" t="s">
        <v>852</v>
      </c>
      <c r="K132" s="2" t="s">
        <v>2125</v>
      </c>
    </row>
    <row r="133" spans="1:14" x14ac:dyDescent="0.25">
      <c r="A133" s="2" t="s">
        <v>2257</v>
      </c>
      <c r="B133" s="2" t="s">
        <v>18</v>
      </c>
      <c r="C133" s="2" t="s">
        <v>1851</v>
      </c>
      <c r="D133" s="2" t="s">
        <v>1852</v>
      </c>
      <c r="E133" s="2" t="s">
        <v>349</v>
      </c>
      <c r="F133" s="2">
        <v>13.90625</v>
      </c>
      <c r="G133" s="2">
        <v>32</v>
      </c>
      <c r="H133" s="2">
        <v>6300</v>
      </c>
      <c r="I133" s="2" t="s">
        <v>2081</v>
      </c>
      <c r="J133" s="2" t="s">
        <v>76</v>
      </c>
      <c r="K133" s="2" t="s">
        <v>73</v>
      </c>
    </row>
    <row r="134" spans="1:14" x14ac:dyDescent="0.25">
      <c r="A134" s="2" t="s">
        <v>2258</v>
      </c>
      <c r="B134" s="2" t="s">
        <v>18</v>
      </c>
      <c r="C134" s="2" t="s">
        <v>2259</v>
      </c>
      <c r="D134" s="2" t="s">
        <v>2260</v>
      </c>
      <c r="E134" s="2" t="s">
        <v>258</v>
      </c>
      <c r="F134" s="2">
        <v>29.181818181818102</v>
      </c>
      <c r="G134" s="2">
        <v>22</v>
      </c>
      <c r="H134" s="2">
        <v>6300</v>
      </c>
      <c r="I134" s="2" t="s">
        <v>2090</v>
      </c>
      <c r="J134" s="2" t="s">
        <v>2091</v>
      </c>
      <c r="K134" s="2" t="s">
        <v>844</v>
      </c>
      <c r="N134" s="2" t="s">
        <v>199</v>
      </c>
    </row>
    <row r="135" spans="1:14" x14ac:dyDescent="0.25">
      <c r="A135" s="2" t="s">
        <v>2261</v>
      </c>
      <c r="B135" s="2" t="s">
        <v>18</v>
      </c>
      <c r="C135" s="2" t="s">
        <v>248</v>
      </c>
      <c r="D135" s="2" t="s">
        <v>1154</v>
      </c>
      <c r="E135" s="2" t="s">
        <v>771</v>
      </c>
      <c r="F135" s="2">
        <v>10.285714285714199</v>
      </c>
      <c r="G135" s="2">
        <v>7</v>
      </c>
      <c r="H135" s="2">
        <v>6300</v>
      </c>
      <c r="I135" s="2" t="s">
        <v>1783</v>
      </c>
      <c r="J135" s="2" t="s">
        <v>861</v>
      </c>
      <c r="K135" s="2" t="s">
        <v>840</v>
      </c>
    </row>
    <row r="136" spans="1:14" x14ac:dyDescent="0.25">
      <c r="A136" s="2" t="s">
        <v>2262</v>
      </c>
      <c r="B136" s="2" t="s">
        <v>18</v>
      </c>
      <c r="C136" s="2" t="s">
        <v>291</v>
      </c>
      <c r="D136" s="2" t="s">
        <v>292</v>
      </c>
      <c r="E136" s="2" t="s">
        <v>293</v>
      </c>
      <c r="F136" s="2">
        <v>15.9230769230769</v>
      </c>
      <c r="G136" s="2">
        <v>13</v>
      </c>
      <c r="H136" s="2">
        <v>6300</v>
      </c>
      <c r="I136" s="2" t="s">
        <v>2081</v>
      </c>
      <c r="J136" s="2" t="s">
        <v>76</v>
      </c>
      <c r="K136" s="2" t="s">
        <v>73</v>
      </c>
    </row>
    <row r="137" spans="1:14" x14ac:dyDescent="0.25">
      <c r="A137" s="2" t="s">
        <v>2263</v>
      </c>
      <c r="B137" s="2" t="s">
        <v>18</v>
      </c>
      <c r="C137" s="2" t="s">
        <v>404</v>
      </c>
      <c r="D137" s="2" t="s">
        <v>875</v>
      </c>
      <c r="E137" s="2" t="s">
        <v>695</v>
      </c>
      <c r="F137" s="2">
        <v>28.269230769230699</v>
      </c>
      <c r="G137" s="2">
        <v>26</v>
      </c>
      <c r="H137" s="2">
        <v>6200</v>
      </c>
      <c r="I137" s="2" t="s">
        <v>2097</v>
      </c>
      <c r="J137" s="2" t="s">
        <v>853</v>
      </c>
      <c r="K137" s="2" t="s">
        <v>159</v>
      </c>
    </row>
    <row r="138" spans="1:14" x14ac:dyDescent="0.25">
      <c r="A138" s="2" t="s">
        <v>2264</v>
      </c>
      <c r="B138" s="2" t="s">
        <v>18</v>
      </c>
      <c r="C138" s="2" t="s">
        <v>248</v>
      </c>
      <c r="D138" s="2" t="s">
        <v>1810</v>
      </c>
      <c r="E138" s="2" t="s">
        <v>1811</v>
      </c>
      <c r="F138" s="2">
        <v>22.9130434782608</v>
      </c>
      <c r="G138" s="2">
        <v>23</v>
      </c>
      <c r="H138" s="2">
        <v>6200</v>
      </c>
      <c r="I138" s="2" t="s">
        <v>2075</v>
      </c>
      <c r="J138" s="2" t="s">
        <v>37</v>
      </c>
      <c r="K138" s="2" t="s">
        <v>2076</v>
      </c>
    </row>
    <row r="139" spans="1:14" x14ac:dyDescent="0.25">
      <c r="A139" s="2" t="s">
        <v>2265</v>
      </c>
      <c r="B139" s="2" t="s">
        <v>18</v>
      </c>
      <c r="C139" s="2" t="s">
        <v>297</v>
      </c>
      <c r="D139" s="2" t="s">
        <v>298</v>
      </c>
      <c r="E139" s="2" t="s">
        <v>299</v>
      </c>
      <c r="F139" s="2">
        <v>18.592592592592499</v>
      </c>
      <c r="G139" s="2">
        <v>27</v>
      </c>
      <c r="H139" s="2">
        <v>6200</v>
      </c>
      <c r="I139" s="2" t="s">
        <v>2106</v>
      </c>
      <c r="J139" s="2" t="s">
        <v>34</v>
      </c>
      <c r="K139" s="2" t="s">
        <v>35</v>
      </c>
    </row>
    <row r="140" spans="1:14" x14ac:dyDescent="0.25">
      <c r="A140" s="2" t="s">
        <v>2266</v>
      </c>
      <c r="B140" s="2" t="s">
        <v>18</v>
      </c>
      <c r="C140" s="2" t="s">
        <v>986</v>
      </c>
      <c r="D140" s="2" t="s">
        <v>987</v>
      </c>
      <c r="E140" s="2" t="s">
        <v>988</v>
      </c>
      <c r="F140" s="2">
        <v>3.5</v>
      </c>
      <c r="G140" s="2">
        <v>2</v>
      </c>
      <c r="H140" s="2">
        <v>6200</v>
      </c>
      <c r="I140" s="2" t="s">
        <v>1783</v>
      </c>
      <c r="J140" s="2" t="s">
        <v>861</v>
      </c>
      <c r="K140" s="2" t="s">
        <v>840</v>
      </c>
      <c r="L140" s="2" t="s">
        <v>200</v>
      </c>
      <c r="M140" s="2" t="s">
        <v>386</v>
      </c>
    </row>
    <row r="141" spans="1:14" x14ac:dyDescent="0.25">
      <c r="A141" s="2" t="s">
        <v>2267</v>
      </c>
      <c r="B141" s="2" t="s">
        <v>18</v>
      </c>
      <c r="C141" s="2" t="s">
        <v>223</v>
      </c>
      <c r="D141" s="2" t="s">
        <v>1786</v>
      </c>
      <c r="E141" s="2" t="s">
        <v>1787</v>
      </c>
      <c r="F141" s="2">
        <v>27.5</v>
      </c>
      <c r="G141" s="2">
        <v>14</v>
      </c>
      <c r="H141" s="2">
        <v>6200</v>
      </c>
      <c r="I141" s="2" t="s">
        <v>2097</v>
      </c>
      <c r="J141" s="2" t="s">
        <v>853</v>
      </c>
      <c r="K141" s="2" t="s">
        <v>159</v>
      </c>
      <c r="L141" s="2" t="s">
        <v>200</v>
      </c>
      <c r="M141" s="2" t="s">
        <v>247</v>
      </c>
    </row>
    <row r="142" spans="1:14" x14ac:dyDescent="0.25">
      <c r="A142" s="2" t="s">
        <v>2268</v>
      </c>
      <c r="B142" s="2" t="s">
        <v>18</v>
      </c>
      <c r="C142" s="2" t="s">
        <v>358</v>
      </c>
      <c r="D142" s="2" t="s">
        <v>359</v>
      </c>
      <c r="E142" s="2" t="s">
        <v>360</v>
      </c>
      <c r="F142" s="2">
        <v>17.863636363636299</v>
      </c>
      <c r="G142" s="2">
        <v>22</v>
      </c>
      <c r="H142" s="2">
        <v>6200</v>
      </c>
      <c r="I142" s="2" t="s">
        <v>2097</v>
      </c>
      <c r="J142" s="2" t="s">
        <v>159</v>
      </c>
      <c r="K142" s="2" t="s">
        <v>853</v>
      </c>
    </row>
    <row r="143" spans="1:14" x14ac:dyDescent="0.25">
      <c r="A143" s="2" t="s">
        <v>2269</v>
      </c>
      <c r="B143" s="2" t="s">
        <v>18</v>
      </c>
      <c r="C143" s="2" t="s">
        <v>197</v>
      </c>
      <c r="D143" s="2" t="s">
        <v>1834</v>
      </c>
      <c r="E143" s="2" t="s">
        <v>1835</v>
      </c>
      <c r="F143" s="2">
        <v>20.8</v>
      </c>
      <c r="G143" s="2">
        <v>5</v>
      </c>
      <c r="H143" s="2">
        <v>6200</v>
      </c>
      <c r="I143" s="2" t="s">
        <v>2081</v>
      </c>
      <c r="J143" s="2" t="s">
        <v>73</v>
      </c>
      <c r="K143" s="2" t="s">
        <v>76</v>
      </c>
    </row>
    <row r="144" spans="1:14" x14ac:dyDescent="0.25">
      <c r="A144" s="2" t="s">
        <v>2270</v>
      </c>
      <c r="B144" s="2" t="s">
        <v>18</v>
      </c>
      <c r="C144" s="2" t="s">
        <v>620</v>
      </c>
      <c r="D144" s="2" t="s">
        <v>2271</v>
      </c>
      <c r="E144" s="2" t="s">
        <v>2272</v>
      </c>
      <c r="F144" s="2">
        <v>12</v>
      </c>
      <c r="G144" s="2">
        <v>26</v>
      </c>
      <c r="H144" s="2">
        <v>6100</v>
      </c>
      <c r="I144" s="2" t="s">
        <v>2075</v>
      </c>
      <c r="J144" s="2" t="s">
        <v>37</v>
      </c>
      <c r="K144" s="2" t="s">
        <v>2076</v>
      </c>
    </row>
    <row r="145" spans="1:14" x14ac:dyDescent="0.25">
      <c r="A145" s="2" t="s">
        <v>2273</v>
      </c>
      <c r="B145" s="2" t="s">
        <v>18</v>
      </c>
      <c r="C145" s="2" t="s">
        <v>996</v>
      </c>
      <c r="D145" s="2" t="s">
        <v>997</v>
      </c>
      <c r="E145" s="2" t="s">
        <v>998</v>
      </c>
      <c r="F145" s="2">
        <v>24.6</v>
      </c>
      <c r="G145" s="2">
        <v>5</v>
      </c>
      <c r="H145" s="2">
        <v>6100</v>
      </c>
      <c r="I145" s="2" t="s">
        <v>2070</v>
      </c>
      <c r="J145" s="2" t="s">
        <v>848</v>
      </c>
      <c r="K145" s="2" t="s">
        <v>36</v>
      </c>
      <c r="N145" s="2" t="s">
        <v>199</v>
      </c>
    </row>
    <row r="146" spans="1:14" x14ac:dyDescent="0.25">
      <c r="A146" s="2" t="s">
        <v>2274</v>
      </c>
      <c r="B146" s="2" t="s">
        <v>18</v>
      </c>
      <c r="C146" s="2" t="s">
        <v>1814</v>
      </c>
      <c r="D146" s="2" t="s">
        <v>1815</v>
      </c>
      <c r="E146" s="2" t="s">
        <v>1816</v>
      </c>
      <c r="F146" s="2">
        <v>23.55</v>
      </c>
      <c r="G146" s="2">
        <v>20</v>
      </c>
      <c r="H146" s="2">
        <v>6100</v>
      </c>
      <c r="I146" s="2" t="s">
        <v>2081</v>
      </c>
      <c r="J146" s="2" t="s">
        <v>73</v>
      </c>
      <c r="K146" s="2" t="s">
        <v>76</v>
      </c>
    </row>
    <row r="147" spans="1:14" x14ac:dyDescent="0.25">
      <c r="A147" s="2" t="s">
        <v>2275</v>
      </c>
      <c r="B147" s="2" t="s">
        <v>18</v>
      </c>
      <c r="C147" s="2" t="s">
        <v>233</v>
      </c>
      <c r="D147" s="2" t="s">
        <v>1792</v>
      </c>
      <c r="E147" s="2" t="s">
        <v>1793</v>
      </c>
      <c r="F147" s="2">
        <v>26.7916666666666</v>
      </c>
      <c r="G147" s="2">
        <v>24</v>
      </c>
      <c r="H147" s="2">
        <v>6100</v>
      </c>
      <c r="I147" s="2" t="s">
        <v>2081</v>
      </c>
      <c r="J147" s="2" t="s">
        <v>73</v>
      </c>
      <c r="K147" s="2" t="s">
        <v>76</v>
      </c>
      <c r="N147" s="2" t="s">
        <v>199</v>
      </c>
    </row>
    <row r="148" spans="1:14" x14ac:dyDescent="0.25">
      <c r="A148" s="2" t="s">
        <v>2276</v>
      </c>
      <c r="B148" s="2" t="s">
        <v>18</v>
      </c>
      <c r="C148" s="2" t="s">
        <v>381</v>
      </c>
      <c r="D148" s="2" t="s">
        <v>952</v>
      </c>
      <c r="E148" s="2" t="s">
        <v>953</v>
      </c>
      <c r="F148" s="2">
        <v>23.7</v>
      </c>
      <c r="G148" s="2">
        <v>10</v>
      </c>
      <c r="H148" s="2">
        <v>6100</v>
      </c>
      <c r="I148" s="2" t="s">
        <v>1783</v>
      </c>
      <c r="J148" s="2" t="s">
        <v>861</v>
      </c>
      <c r="K148" s="2" t="s">
        <v>840</v>
      </c>
    </row>
    <row r="149" spans="1:14" x14ac:dyDescent="0.25">
      <c r="A149" s="2" t="s">
        <v>2277</v>
      </c>
      <c r="B149" s="2" t="s">
        <v>18</v>
      </c>
      <c r="C149" s="2" t="s">
        <v>944</v>
      </c>
      <c r="D149" s="2" t="s">
        <v>945</v>
      </c>
      <c r="E149" s="2" t="s">
        <v>946</v>
      </c>
      <c r="F149" s="2">
        <v>20.3125</v>
      </c>
      <c r="G149" s="2">
        <v>16</v>
      </c>
      <c r="H149" s="2">
        <v>6100</v>
      </c>
      <c r="I149" s="2" t="s">
        <v>1783</v>
      </c>
      <c r="J149" s="2" t="s">
        <v>861</v>
      </c>
      <c r="K149" s="2" t="s">
        <v>840</v>
      </c>
      <c r="L149" s="2" t="s">
        <v>200</v>
      </c>
      <c r="M149" s="2" t="s">
        <v>263</v>
      </c>
    </row>
    <row r="150" spans="1:14" x14ac:dyDescent="0.25">
      <c r="A150" s="2" t="s">
        <v>2278</v>
      </c>
      <c r="B150" s="2" t="s">
        <v>18</v>
      </c>
      <c r="C150" s="2" t="s">
        <v>243</v>
      </c>
      <c r="D150" s="2" t="s">
        <v>244</v>
      </c>
      <c r="E150" s="2" t="s">
        <v>245</v>
      </c>
      <c r="F150" s="2">
        <v>24.107142857142801</v>
      </c>
      <c r="G150" s="2">
        <v>28</v>
      </c>
      <c r="H150" s="2">
        <v>6100</v>
      </c>
      <c r="I150" s="2" t="s">
        <v>2081</v>
      </c>
      <c r="J150" s="2" t="s">
        <v>76</v>
      </c>
      <c r="K150" s="2" t="s">
        <v>73</v>
      </c>
    </row>
    <row r="151" spans="1:14" x14ac:dyDescent="0.25">
      <c r="A151" s="2" t="s">
        <v>2279</v>
      </c>
      <c r="B151" s="2" t="s">
        <v>18</v>
      </c>
      <c r="C151" s="2" t="s">
        <v>338</v>
      </c>
      <c r="D151" s="2" t="s">
        <v>339</v>
      </c>
      <c r="E151" s="2" t="s">
        <v>340</v>
      </c>
      <c r="F151" s="2">
        <v>-0.33333333333333298</v>
      </c>
      <c r="G151" s="2">
        <v>3</v>
      </c>
      <c r="H151" s="2">
        <v>6100</v>
      </c>
      <c r="I151" s="2" t="s">
        <v>2072</v>
      </c>
      <c r="J151" s="2" t="s">
        <v>74</v>
      </c>
      <c r="K151" s="2" t="s">
        <v>842</v>
      </c>
    </row>
    <row r="152" spans="1:14" x14ac:dyDescent="0.25">
      <c r="A152" s="2" t="s">
        <v>2280</v>
      </c>
      <c r="B152" s="2" t="s">
        <v>18</v>
      </c>
      <c r="C152" s="2" t="s">
        <v>334</v>
      </c>
      <c r="D152" s="2" t="s">
        <v>934</v>
      </c>
      <c r="E152" s="2" t="s">
        <v>935</v>
      </c>
      <c r="F152" s="2">
        <v>22.076923076922998</v>
      </c>
      <c r="G152" s="2">
        <v>13</v>
      </c>
      <c r="H152" s="2">
        <v>6000</v>
      </c>
      <c r="I152" s="2" t="s">
        <v>2124</v>
      </c>
      <c r="J152" s="2" t="s">
        <v>852</v>
      </c>
      <c r="K152" s="2" t="s">
        <v>2125</v>
      </c>
    </row>
    <row r="153" spans="1:14" x14ac:dyDescent="0.25">
      <c r="A153" s="2" t="s">
        <v>2281</v>
      </c>
      <c r="B153" s="2" t="s">
        <v>18</v>
      </c>
      <c r="C153" s="2" t="s">
        <v>1021</v>
      </c>
      <c r="D153" s="2" t="s">
        <v>1022</v>
      </c>
      <c r="E153" s="2" t="s">
        <v>1023</v>
      </c>
      <c r="F153" s="2">
        <v>19.535714285714199</v>
      </c>
      <c r="G153" s="2">
        <v>28</v>
      </c>
      <c r="H153" s="2">
        <v>6000</v>
      </c>
      <c r="I153" s="2" t="s">
        <v>2090</v>
      </c>
      <c r="J153" s="2" t="s">
        <v>844</v>
      </c>
      <c r="K153" s="2" t="s">
        <v>2091</v>
      </c>
    </row>
    <row r="154" spans="1:14" x14ac:dyDescent="0.25">
      <c r="A154" s="2" t="s">
        <v>2282</v>
      </c>
      <c r="B154" s="2" t="s">
        <v>18</v>
      </c>
      <c r="C154" s="2" t="s">
        <v>351</v>
      </c>
      <c r="D154" s="2" t="s">
        <v>352</v>
      </c>
      <c r="E154" s="2" t="s">
        <v>353</v>
      </c>
      <c r="F154" s="2">
        <v>9.71428571428571</v>
      </c>
      <c r="G154" s="2">
        <v>7</v>
      </c>
      <c r="H154" s="2">
        <v>6000</v>
      </c>
      <c r="I154" s="2" t="s">
        <v>2081</v>
      </c>
      <c r="J154" s="2" t="s">
        <v>76</v>
      </c>
      <c r="K154" s="2" t="s">
        <v>73</v>
      </c>
    </row>
    <row r="155" spans="1:14" x14ac:dyDescent="0.25">
      <c r="A155" s="2" t="s">
        <v>2283</v>
      </c>
      <c r="B155" s="2" t="s">
        <v>18</v>
      </c>
      <c r="C155" s="2" t="s">
        <v>324</v>
      </c>
      <c r="D155" s="2" t="s">
        <v>2284</v>
      </c>
      <c r="E155" s="2" t="s">
        <v>2285</v>
      </c>
      <c r="F155" s="2">
        <v>30.5</v>
      </c>
      <c r="G155" s="2">
        <v>2</v>
      </c>
      <c r="H155" s="2">
        <v>6000</v>
      </c>
      <c r="I155" s="2" t="s">
        <v>2075</v>
      </c>
      <c r="J155" s="2" t="s">
        <v>2076</v>
      </c>
      <c r="K155" s="2" t="s">
        <v>37</v>
      </c>
    </row>
    <row r="156" spans="1:14" x14ac:dyDescent="0.25">
      <c r="A156" s="2" t="s">
        <v>2286</v>
      </c>
      <c r="B156" s="2" t="s">
        <v>18</v>
      </c>
      <c r="C156" s="2" t="s">
        <v>923</v>
      </c>
      <c r="D156" s="2" t="s">
        <v>924</v>
      </c>
      <c r="E156" s="2" t="s">
        <v>227</v>
      </c>
      <c r="F156" s="2">
        <v>15.7</v>
      </c>
      <c r="G156" s="2">
        <v>10</v>
      </c>
      <c r="H156" s="2">
        <v>6000</v>
      </c>
      <c r="I156" s="2" t="s">
        <v>2124</v>
      </c>
      <c r="J156" s="2" t="s">
        <v>852</v>
      </c>
      <c r="K156" s="2" t="s">
        <v>2125</v>
      </c>
    </row>
    <row r="157" spans="1:14" x14ac:dyDescent="0.25">
      <c r="A157" s="2" t="s">
        <v>2287</v>
      </c>
      <c r="B157" s="2" t="s">
        <v>18</v>
      </c>
      <c r="C157" s="2" t="s">
        <v>342</v>
      </c>
      <c r="D157" s="2" t="s">
        <v>1837</v>
      </c>
      <c r="E157" s="2" t="s">
        <v>1838</v>
      </c>
      <c r="F157" s="2">
        <v>11</v>
      </c>
      <c r="G157" s="2">
        <v>3</v>
      </c>
      <c r="H157" s="2">
        <v>6000</v>
      </c>
      <c r="I157" s="2" t="s">
        <v>2065</v>
      </c>
      <c r="J157" s="2" t="s">
        <v>69</v>
      </c>
      <c r="K157" s="2" t="s">
        <v>2066</v>
      </c>
    </row>
    <row r="158" spans="1:14" x14ac:dyDescent="0.25">
      <c r="A158" s="2" t="s">
        <v>2288</v>
      </c>
      <c r="B158" s="2" t="s">
        <v>18</v>
      </c>
      <c r="C158" s="2" t="s">
        <v>745</v>
      </c>
      <c r="D158" s="2" t="s">
        <v>976</v>
      </c>
      <c r="E158" s="2" t="s">
        <v>977</v>
      </c>
      <c r="F158" s="2">
        <v>23.294117647058801</v>
      </c>
      <c r="G158" s="2">
        <v>17</v>
      </c>
      <c r="H158" s="2">
        <v>6000</v>
      </c>
      <c r="I158" s="2" t="s">
        <v>2090</v>
      </c>
      <c r="J158" s="2" t="s">
        <v>844</v>
      </c>
      <c r="K158" s="2" t="s">
        <v>2091</v>
      </c>
    </row>
    <row r="159" spans="1:14" x14ac:dyDescent="0.25">
      <c r="A159" s="2" t="s">
        <v>2289</v>
      </c>
      <c r="B159" s="2" t="s">
        <v>18</v>
      </c>
      <c r="C159" s="2" t="s">
        <v>425</v>
      </c>
      <c r="D159" s="2" t="s">
        <v>2290</v>
      </c>
      <c r="E159" s="2" t="s">
        <v>2291</v>
      </c>
      <c r="F159" s="2">
        <v>21</v>
      </c>
      <c r="G159" s="2">
        <v>1</v>
      </c>
      <c r="H159" s="2">
        <v>6000</v>
      </c>
      <c r="I159" s="2" t="s">
        <v>2108</v>
      </c>
      <c r="J159" s="2" t="s">
        <v>841</v>
      </c>
      <c r="K159" s="2" t="s">
        <v>856</v>
      </c>
    </row>
    <row r="160" spans="1:14" x14ac:dyDescent="0.25">
      <c r="A160" s="2" t="s">
        <v>2292</v>
      </c>
      <c r="B160" s="2" t="s">
        <v>18</v>
      </c>
      <c r="C160" s="2" t="s">
        <v>495</v>
      </c>
      <c r="D160" s="2" t="s">
        <v>978</v>
      </c>
      <c r="E160" s="2" t="s">
        <v>979</v>
      </c>
      <c r="F160" s="2">
        <v>7.75</v>
      </c>
      <c r="G160" s="2">
        <v>4</v>
      </c>
      <c r="H160" s="2">
        <v>6000</v>
      </c>
      <c r="I160" s="2" t="s">
        <v>2097</v>
      </c>
      <c r="J160" s="2" t="s">
        <v>853</v>
      </c>
      <c r="K160" s="2" t="s">
        <v>159</v>
      </c>
    </row>
    <row r="161" spans="1:14" x14ac:dyDescent="0.25">
      <c r="A161" s="2" t="s">
        <v>2293</v>
      </c>
      <c r="B161" s="2" t="s">
        <v>18</v>
      </c>
      <c r="C161" s="2" t="s">
        <v>234</v>
      </c>
      <c r="D161" s="2" t="s">
        <v>494</v>
      </c>
      <c r="E161" s="2" t="s">
        <v>354</v>
      </c>
      <c r="F161" s="2">
        <v>7</v>
      </c>
      <c r="G161" s="2">
        <v>2</v>
      </c>
      <c r="H161" s="2">
        <v>6000</v>
      </c>
      <c r="I161" s="2" t="s">
        <v>2097</v>
      </c>
      <c r="J161" s="2" t="s">
        <v>159</v>
      </c>
      <c r="K161" s="2" t="s">
        <v>853</v>
      </c>
    </row>
    <row r="162" spans="1:14" x14ac:dyDescent="0.25">
      <c r="A162" s="2" t="s">
        <v>2294</v>
      </c>
      <c r="B162" s="2" t="s">
        <v>18</v>
      </c>
      <c r="C162" s="2" t="s">
        <v>346</v>
      </c>
      <c r="D162" s="2" t="s">
        <v>347</v>
      </c>
      <c r="E162" s="2" t="s">
        <v>348</v>
      </c>
      <c r="F162" s="2">
        <v>15.3333333333333</v>
      </c>
      <c r="G162" s="2">
        <v>3</v>
      </c>
      <c r="H162" s="2">
        <v>6000</v>
      </c>
      <c r="I162" s="2" t="s">
        <v>2106</v>
      </c>
      <c r="J162" s="2" t="s">
        <v>35</v>
      </c>
      <c r="K162" s="2" t="s">
        <v>34</v>
      </c>
    </row>
    <row r="163" spans="1:14" x14ac:dyDescent="0.25">
      <c r="A163" s="2" t="s">
        <v>2295</v>
      </c>
      <c r="B163" s="2" t="s">
        <v>18</v>
      </c>
      <c r="C163" s="2" t="s">
        <v>217</v>
      </c>
      <c r="D163" s="2" t="s">
        <v>2296</v>
      </c>
      <c r="E163" s="2" t="s">
        <v>2297</v>
      </c>
      <c r="F163" s="2">
        <v>21.5</v>
      </c>
      <c r="G163" s="2">
        <v>16</v>
      </c>
      <c r="H163" s="2">
        <v>6000</v>
      </c>
      <c r="I163" s="2" t="s">
        <v>2075</v>
      </c>
      <c r="J163" s="2" t="s">
        <v>2076</v>
      </c>
      <c r="K163" s="2" t="s">
        <v>37</v>
      </c>
    </row>
    <row r="164" spans="1:14" x14ac:dyDescent="0.25">
      <c r="A164" s="2" t="s">
        <v>2298</v>
      </c>
      <c r="B164" s="2" t="s">
        <v>18</v>
      </c>
      <c r="C164" s="2" t="s">
        <v>425</v>
      </c>
      <c r="D164" s="2" t="s">
        <v>2299</v>
      </c>
      <c r="E164" s="2" t="s">
        <v>2300</v>
      </c>
      <c r="F164" s="2">
        <v>25.5</v>
      </c>
      <c r="G164" s="2">
        <v>10</v>
      </c>
      <c r="H164" s="2">
        <v>6000</v>
      </c>
      <c r="I164" s="2" t="s">
        <v>2124</v>
      </c>
      <c r="J164" s="2" t="s">
        <v>2125</v>
      </c>
      <c r="K164" s="2" t="s">
        <v>852</v>
      </c>
      <c r="N164" s="2" t="s">
        <v>199</v>
      </c>
    </row>
    <row r="165" spans="1:14" x14ac:dyDescent="0.25">
      <c r="A165" s="2" t="s">
        <v>2301</v>
      </c>
      <c r="B165" s="2" t="s">
        <v>18</v>
      </c>
      <c r="C165" s="2" t="s">
        <v>212</v>
      </c>
      <c r="D165" s="2" t="s">
        <v>1960</v>
      </c>
      <c r="E165" s="2" t="s">
        <v>403</v>
      </c>
      <c r="F165" s="2">
        <v>6</v>
      </c>
      <c r="G165" s="2">
        <v>9</v>
      </c>
      <c r="H165" s="2">
        <v>6000</v>
      </c>
      <c r="I165" s="2" t="s">
        <v>2065</v>
      </c>
      <c r="J165" s="2" t="s">
        <v>69</v>
      </c>
      <c r="K165" s="2" t="s">
        <v>2066</v>
      </c>
    </row>
    <row r="166" spans="1:14" x14ac:dyDescent="0.25">
      <c r="A166" s="2" t="s">
        <v>2302</v>
      </c>
      <c r="B166" s="2" t="s">
        <v>18</v>
      </c>
      <c r="C166" s="2" t="s">
        <v>350</v>
      </c>
      <c r="D166" s="2" t="s">
        <v>1839</v>
      </c>
      <c r="E166" s="2" t="s">
        <v>1840</v>
      </c>
      <c r="F166" s="2">
        <v>20.928571428571399</v>
      </c>
      <c r="G166" s="2">
        <v>14</v>
      </c>
      <c r="H166" s="2">
        <v>6000</v>
      </c>
      <c r="I166" s="2" t="s">
        <v>2081</v>
      </c>
      <c r="J166" s="2" t="s">
        <v>73</v>
      </c>
      <c r="K166" s="2" t="s">
        <v>76</v>
      </c>
    </row>
    <row r="167" spans="1:14" x14ac:dyDescent="0.25">
      <c r="A167" s="2" t="s">
        <v>2303</v>
      </c>
      <c r="B167" s="2" t="s">
        <v>18</v>
      </c>
      <c r="C167" s="2" t="s">
        <v>480</v>
      </c>
      <c r="D167" s="2" t="s">
        <v>481</v>
      </c>
      <c r="E167" s="2" t="s">
        <v>482</v>
      </c>
      <c r="F167" s="2">
        <v>16.8</v>
      </c>
      <c r="G167" s="2">
        <v>10</v>
      </c>
      <c r="H167" s="2">
        <v>5900</v>
      </c>
      <c r="I167" s="2" t="s">
        <v>2097</v>
      </c>
      <c r="J167" s="2" t="s">
        <v>159</v>
      </c>
      <c r="K167" s="2" t="s">
        <v>853</v>
      </c>
      <c r="N167" s="2" t="s">
        <v>199</v>
      </c>
    </row>
    <row r="168" spans="1:14" x14ac:dyDescent="0.25">
      <c r="A168" s="2" t="s">
        <v>2304</v>
      </c>
      <c r="B168" s="2" t="s">
        <v>18</v>
      </c>
      <c r="C168" s="2" t="s">
        <v>450</v>
      </c>
      <c r="D168" s="2" t="s">
        <v>1016</v>
      </c>
      <c r="E168" s="2" t="s">
        <v>780</v>
      </c>
      <c r="F168" s="2">
        <v>18.2222222222222</v>
      </c>
      <c r="G168" s="2">
        <v>18</v>
      </c>
      <c r="H168" s="2">
        <v>5900</v>
      </c>
      <c r="I168" s="2" t="s">
        <v>2124</v>
      </c>
      <c r="J168" s="2" t="s">
        <v>852</v>
      </c>
      <c r="K168" s="2" t="s">
        <v>2125</v>
      </c>
    </row>
    <row r="169" spans="1:14" x14ac:dyDescent="0.25">
      <c r="A169" s="2" t="s">
        <v>2305</v>
      </c>
      <c r="B169" s="2" t="s">
        <v>18</v>
      </c>
      <c r="C169" s="2" t="s">
        <v>973</v>
      </c>
      <c r="D169" s="2" t="s">
        <v>974</v>
      </c>
      <c r="E169" s="2" t="s">
        <v>975</v>
      </c>
      <c r="F169" s="2">
        <v>10.5</v>
      </c>
      <c r="G169" s="2">
        <v>10</v>
      </c>
      <c r="H169" s="2">
        <v>5900</v>
      </c>
      <c r="I169" s="2" t="s">
        <v>2108</v>
      </c>
      <c r="J169" s="2" t="s">
        <v>841</v>
      </c>
      <c r="K169" s="2" t="s">
        <v>856</v>
      </c>
      <c r="L169" s="2" t="s">
        <v>364</v>
      </c>
      <c r="M169" s="2" t="s">
        <v>267</v>
      </c>
    </row>
    <row r="170" spans="1:14" x14ac:dyDescent="0.25">
      <c r="A170" s="2" t="s">
        <v>2306</v>
      </c>
      <c r="B170" s="2" t="s">
        <v>18</v>
      </c>
      <c r="C170" s="2" t="s">
        <v>256</v>
      </c>
      <c r="D170" s="2" t="s">
        <v>1007</v>
      </c>
      <c r="E170" s="2" t="s">
        <v>1008</v>
      </c>
      <c r="F170" s="2">
        <v>24.4761904761904</v>
      </c>
      <c r="G170" s="2">
        <v>21</v>
      </c>
      <c r="H170" s="2">
        <v>5900</v>
      </c>
      <c r="I170" s="2" t="s">
        <v>2108</v>
      </c>
      <c r="J170" s="2" t="s">
        <v>841</v>
      </c>
      <c r="K170" s="2" t="s">
        <v>856</v>
      </c>
      <c r="L170" s="2" t="s">
        <v>200</v>
      </c>
      <c r="M170" s="2" t="s">
        <v>232</v>
      </c>
    </row>
    <row r="171" spans="1:14" x14ac:dyDescent="0.25">
      <c r="A171" s="2" t="s">
        <v>2307</v>
      </c>
      <c r="B171" s="2" t="s">
        <v>18</v>
      </c>
      <c r="C171" s="2" t="s">
        <v>965</v>
      </c>
      <c r="D171" s="2" t="s">
        <v>966</v>
      </c>
      <c r="E171" s="2" t="s">
        <v>967</v>
      </c>
      <c r="F171" s="2">
        <v>19.615384615384599</v>
      </c>
      <c r="G171" s="2">
        <v>13</v>
      </c>
      <c r="H171" s="2">
        <v>5900</v>
      </c>
      <c r="I171" s="2" t="s">
        <v>2068</v>
      </c>
      <c r="J171" s="2" t="s">
        <v>860</v>
      </c>
      <c r="K171" s="2" t="s">
        <v>38</v>
      </c>
    </row>
    <row r="172" spans="1:14" x14ac:dyDescent="0.25">
      <c r="A172" s="2" t="s">
        <v>2308</v>
      </c>
      <c r="B172" s="2" t="s">
        <v>18</v>
      </c>
      <c r="C172" s="2" t="s">
        <v>287</v>
      </c>
      <c r="D172" s="2" t="s">
        <v>915</v>
      </c>
      <c r="E172" s="2" t="s">
        <v>916</v>
      </c>
      <c r="F172" s="2">
        <v>20.904761904761902</v>
      </c>
      <c r="G172" s="2">
        <v>21</v>
      </c>
      <c r="H172" s="2">
        <v>5900</v>
      </c>
      <c r="I172" s="2" t="s">
        <v>2068</v>
      </c>
      <c r="J172" s="2" t="s">
        <v>860</v>
      </c>
      <c r="K172" s="2" t="s">
        <v>38</v>
      </c>
    </row>
    <row r="173" spans="1:14" x14ac:dyDescent="0.25">
      <c r="A173" s="2" t="s">
        <v>2309</v>
      </c>
      <c r="B173" s="2" t="s">
        <v>18</v>
      </c>
      <c r="C173" s="2" t="s">
        <v>423</v>
      </c>
      <c r="D173" s="2" t="s">
        <v>907</v>
      </c>
      <c r="E173" s="2" t="s">
        <v>908</v>
      </c>
      <c r="F173" s="2">
        <v>22.12</v>
      </c>
      <c r="G173" s="2">
        <v>25</v>
      </c>
      <c r="H173" s="2">
        <v>5900</v>
      </c>
      <c r="I173" s="2" t="s">
        <v>2097</v>
      </c>
      <c r="J173" s="2" t="s">
        <v>853</v>
      </c>
      <c r="K173" s="2" t="s">
        <v>159</v>
      </c>
    </row>
    <row r="174" spans="1:14" x14ac:dyDescent="0.25">
      <c r="A174" s="2" t="s">
        <v>2310</v>
      </c>
      <c r="B174" s="2" t="s">
        <v>18</v>
      </c>
      <c r="C174" s="2" t="s">
        <v>355</v>
      </c>
      <c r="D174" s="2" t="s">
        <v>356</v>
      </c>
      <c r="E174" s="2" t="s">
        <v>357</v>
      </c>
      <c r="F174" s="2">
        <v>6.5</v>
      </c>
      <c r="G174" s="2">
        <v>2</v>
      </c>
      <c r="H174" s="2">
        <v>5800</v>
      </c>
      <c r="I174" s="2" t="s">
        <v>2081</v>
      </c>
      <c r="J174" s="2" t="s">
        <v>76</v>
      </c>
      <c r="K174" s="2" t="s">
        <v>73</v>
      </c>
      <c r="L174" s="2" t="s">
        <v>364</v>
      </c>
      <c r="M174" s="2" t="s">
        <v>312</v>
      </c>
    </row>
    <row r="175" spans="1:14" x14ac:dyDescent="0.25">
      <c r="A175" s="2" t="s">
        <v>2311</v>
      </c>
      <c r="B175" s="2" t="s">
        <v>18</v>
      </c>
      <c r="C175" s="2" t="s">
        <v>717</v>
      </c>
      <c r="D175" s="2" t="s">
        <v>1148</v>
      </c>
      <c r="E175" s="2" t="s">
        <v>205</v>
      </c>
      <c r="F175" s="2">
        <v>8.05555555555555</v>
      </c>
      <c r="G175" s="2">
        <v>36</v>
      </c>
      <c r="H175" s="2">
        <v>5800</v>
      </c>
      <c r="I175" s="2" t="s">
        <v>2065</v>
      </c>
      <c r="J175" s="2" t="s">
        <v>69</v>
      </c>
      <c r="K175" s="2" t="s">
        <v>2066</v>
      </c>
    </row>
    <row r="176" spans="1:14" x14ac:dyDescent="0.25">
      <c r="A176" s="2" t="s">
        <v>2312</v>
      </c>
      <c r="B176" s="2" t="s">
        <v>18</v>
      </c>
      <c r="C176" s="2" t="s">
        <v>361</v>
      </c>
      <c r="D176" s="2" t="s">
        <v>362</v>
      </c>
      <c r="E176" s="2" t="s">
        <v>363</v>
      </c>
      <c r="F176" s="2">
        <v>15.5</v>
      </c>
      <c r="G176" s="2">
        <v>4</v>
      </c>
      <c r="H176" s="2">
        <v>5800</v>
      </c>
      <c r="I176" s="2" t="s">
        <v>2106</v>
      </c>
      <c r="J176" s="2" t="s">
        <v>34</v>
      </c>
      <c r="K176" s="2" t="s">
        <v>35</v>
      </c>
    </row>
    <row r="177" spans="1:14" x14ac:dyDescent="0.25">
      <c r="A177" s="2" t="s">
        <v>2313</v>
      </c>
      <c r="B177" s="2" t="s">
        <v>18</v>
      </c>
      <c r="C177" s="2" t="s">
        <v>316</v>
      </c>
      <c r="D177" s="2" t="s">
        <v>1841</v>
      </c>
      <c r="E177" s="2" t="s">
        <v>1842</v>
      </c>
      <c r="F177" s="2">
        <v>3</v>
      </c>
      <c r="G177" s="2">
        <v>2</v>
      </c>
      <c r="H177" s="2">
        <v>5800</v>
      </c>
      <c r="I177" s="2" t="s">
        <v>2081</v>
      </c>
      <c r="J177" s="2" t="s">
        <v>73</v>
      </c>
      <c r="K177" s="2" t="s">
        <v>76</v>
      </c>
    </row>
    <row r="178" spans="1:14" x14ac:dyDescent="0.25">
      <c r="A178" s="2" t="s">
        <v>2314</v>
      </c>
      <c r="B178" s="2" t="s">
        <v>18</v>
      </c>
      <c r="C178" s="2" t="s">
        <v>327</v>
      </c>
      <c r="D178" s="2" t="s">
        <v>328</v>
      </c>
      <c r="E178" s="2" t="s">
        <v>329</v>
      </c>
      <c r="F178" s="2">
        <v>21.6111111111111</v>
      </c>
      <c r="G178" s="2">
        <v>18</v>
      </c>
      <c r="H178" s="2">
        <v>5800</v>
      </c>
      <c r="I178" s="2" t="s">
        <v>2097</v>
      </c>
      <c r="J178" s="2" t="s">
        <v>159</v>
      </c>
      <c r="K178" s="2" t="s">
        <v>853</v>
      </c>
      <c r="L178" s="2" t="s">
        <v>200</v>
      </c>
      <c r="M178" s="2" t="s">
        <v>615</v>
      </c>
    </row>
    <row r="179" spans="1:14" x14ac:dyDescent="0.25">
      <c r="A179" s="2" t="s">
        <v>2315</v>
      </c>
      <c r="B179" s="2" t="s">
        <v>18</v>
      </c>
      <c r="C179" s="2" t="s">
        <v>1036</v>
      </c>
      <c r="D179" s="2" t="s">
        <v>2316</v>
      </c>
      <c r="E179" s="2" t="s">
        <v>773</v>
      </c>
      <c r="F179" s="2">
        <v>0</v>
      </c>
      <c r="G179" s="2">
        <v>0</v>
      </c>
      <c r="H179" s="2">
        <v>5800</v>
      </c>
      <c r="I179" s="2" t="s">
        <v>2079</v>
      </c>
      <c r="J179" s="2" t="s">
        <v>855</v>
      </c>
      <c r="K179" s="2" t="s">
        <v>843</v>
      </c>
      <c r="N179" s="2" t="s">
        <v>199</v>
      </c>
    </row>
    <row r="180" spans="1:14" x14ac:dyDescent="0.25">
      <c r="A180" s="2" t="s">
        <v>2317</v>
      </c>
      <c r="B180" s="2" t="s">
        <v>18</v>
      </c>
      <c r="C180" s="2" t="s">
        <v>227</v>
      </c>
      <c r="D180" s="2" t="s">
        <v>2318</v>
      </c>
      <c r="E180" s="2" t="s">
        <v>2319</v>
      </c>
      <c r="F180" s="2">
        <v>8.5</v>
      </c>
      <c r="G180" s="2">
        <v>40</v>
      </c>
      <c r="H180" s="2">
        <v>5800</v>
      </c>
      <c r="I180" s="2" t="s">
        <v>2065</v>
      </c>
      <c r="J180" s="2" t="s">
        <v>2066</v>
      </c>
      <c r="K180" s="2" t="s">
        <v>69</v>
      </c>
    </row>
    <row r="181" spans="1:14" x14ac:dyDescent="0.25">
      <c r="A181" s="2" t="s">
        <v>2320</v>
      </c>
      <c r="B181" s="2" t="s">
        <v>18</v>
      </c>
      <c r="C181" s="2" t="s">
        <v>370</v>
      </c>
      <c r="D181" s="2" t="s">
        <v>75</v>
      </c>
      <c r="E181" s="2" t="s">
        <v>380</v>
      </c>
      <c r="F181" s="2">
        <v>19.25</v>
      </c>
      <c r="G181" s="2">
        <v>4</v>
      </c>
      <c r="H181" s="2">
        <v>5700</v>
      </c>
      <c r="I181" s="2" t="s">
        <v>2072</v>
      </c>
      <c r="J181" s="2" t="s">
        <v>74</v>
      </c>
      <c r="K181" s="2" t="s">
        <v>842</v>
      </c>
    </row>
    <row r="182" spans="1:14" x14ac:dyDescent="0.25">
      <c r="A182" s="2" t="s">
        <v>2321</v>
      </c>
      <c r="B182" s="2" t="s">
        <v>18</v>
      </c>
      <c r="C182" s="2" t="s">
        <v>367</v>
      </c>
      <c r="D182" s="2" t="s">
        <v>1017</v>
      </c>
      <c r="E182" s="2" t="s">
        <v>1018</v>
      </c>
      <c r="F182" s="2">
        <v>36</v>
      </c>
      <c r="G182" s="2">
        <v>1</v>
      </c>
      <c r="H182" s="2">
        <v>5700</v>
      </c>
      <c r="I182" s="2" t="s">
        <v>2108</v>
      </c>
      <c r="J182" s="2" t="s">
        <v>841</v>
      </c>
      <c r="K182" s="2" t="s">
        <v>856</v>
      </c>
    </row>
    <row r="183" spans="1:14" x14ac:dyDescent="0.25">
      <c r="A183" s="2" t="s">
        <v>2322</v>
      </c>
      <c r="B183" s="2" t="s">
        <v>18</v>
      </c>
      <c r="C183" s="2" t="s">
        <v>214</v>
      </c>
      <c r="D183" s="2" t="s">
        <v>1845</v>
      </c>
      <c r="E183" s="2" t="s">
        <v>1846</v>
      </c>
      <c r="F183" s="2">
        <v>25</v>
      </c>
      <c r="G183" s="2">
        <v>3</v>
      </c>
      <c r="H183" s="2">
        <v>5700</v>
      </c>
      <c r="I183" s="2" t="s">
        <v>2065</v>
      </c>
      <c r="J183" s="2" t="s">
        <v>69</v>
      </c>
      <c r="K183" s="2" t="s">
        <v>2066</v>
      </c>
      <c r="L183" s="2" t="s">
        <v>200</v>
      </c>
      <c r="M183" s="2" t="s">
        <v>267</v>
      </c>
    </row>
    <row r="184" spans="1:14" x14ac:dyDescent="0.25">
      <c r="A184" s="2" t="s">
        <v>2323</v>
      </c>
      <c r="B184" s="2" t="s">
        <v>18</v>
      </c>
      <c r="C184" s="2" t="s">
        <v>383</v>
      </c>
      <c r="D184" s="2" t="s">
        <v>1019</v>
      </c>
      <c r="E184" s="2" t="s">
        <v>1020</v>
      </c>
      <c r="F184" s="2">
        <v>2</v>
      </c>
      <c r="G184" s="2">
        <v>1</v>
      </c>
      <c r="H184" s="2">
        <v>5700</v>
      </c>
      <c r="I184" s="2" t="s">
        <v>2068</v>
      </c>
      <c r="J184" s="2" t="s">
        <v>860</v>
      </c>
      <c r="K184" s="2" t="s">
        <v>38</v>
      </c>
    </row>
    <row r="185" spans="1:14" x14ac:dyDescent="0.25">
      <c r="A185" s="2" t="s">
        <v>2324</v>
      </c>
      <c r="B185" s="2" t="s">
        <v>18</v>
      </c>
      <c r="C185" s="2" t="s">
        <v>425</v>
      </c>
      <c r="D185" s="2" t="s">
        <v>2325</v>
      </c>
      <c r="E185" s="2" t="s">
        <v>2326</v>
      </c>
      <c r="F185" s="2">
        <v>39</v>
      </c>
      <c r="G185" s="2">
        <v>1</v>
      </c>
      <c r="H185" s="2">
        <v>5700</v>
      </c>
      <c r="I185" s="2" t="s">
        <v>2075</v>
      </c>
      <c r="J185" s="2" t="s">
        <v>2076</v>
      </c>
      <c r="K185" s="2" t="s">
        <v>37</v>
      </c>
    </row>
    <row r="186" spans="1:14" x14ac:dyDescent="0.25">
      <c r="A186" s="2" t="s">
        <v>2327</v>
      </c>
      <c r="B186" s="2" t="s">
        <v>18</v>
      </c>
      <c r="C186" s="2" t="s">
        <v>342</v>
      </c>
      <c r="D186" s="2" t="s">
        <v>1001</v>
      </c>
      <c r="E186" s="2" t="s">
        <v>1002</v>
      </c>
      <c r="F186" s="2">
        <v>17.4545454545454</v>
      </c>
      <c r="G186" s="2">
        <v>11</v>
      </c>
      <c r="H186" s="2">
        <v>5700</v>
      </c>
      <c r="I186" s="2" t="s">
        <v>1783</v>
      </c>
      <c r="J186" s="2" t="s">
        <v>861</v>
      </c>
      <c r="K186" s="2" t="s">
        <v>840</v>
      </c>
      <c r="L186" s="2" t="s">
        <v>200</v>
      </c>
      <c r="M186" s="2" t="s">
        <v>247</v>
      </c>
    </row>
    <row r="187" spans="1:14" x14ac:dyDescent="0.25">
      <c r="A187" s="2" t="s">
        <v>2328</v>
      </c>
      <c r="B187" s="2" t="s">
        <v>18</v>
      </c>
      <c r="C187" s="2" t="s">
        <v>337</v>
      </c>
      <c r="D187" s="2" t="s">
        <v>1832</v>
      </c>
      <c r="E187" s="2" t="s">
        <v>1833</v>
      </c>
      <c r="F187" s="2">
        <v>17.399999999999999</v>
      </c>
      <c r="G187" s="2">
        <v>5</v>
      </c>
      <c r="H187" s="2">
        <v>5700</v>
      </c>
      <c r="I187" s="2" t="s">
        <v>2070</v>
      </c>
      <c r="J187" s="2" t="s">
        <v>36</v>
      </c>
      <c r="K187" s="2" t="s">
        <v>848</v>
      </c>
    </row>
    <row r="188" spans="1:14" x14ac:dyDescent="0.25">
      <c r="A188" s="2" t="s">
        <v>2329</v>
      </c>
      <c r="B188" s="2" t="s">
        <v>18</v>
      </c>
      <c r="C188" s="2" t="s">
        <v>1847</v>
      </c>
      <c r="D188" s="2" t="s">
        <v>1848</v>
      </c>
      <c r="E188" s="2" t="s">
        <v>1849</v>
      </c>
      <c r="F188" s="2">
        <v>21.1428571428571</v>
      </c>
      <c r="G188" s="2">
        <v>21</v>
      </c>
      <c r="H188" s="2">
        <v>5700</v>
      </c>
      <c r="I188" s="2" t="s">
        <v>2065</v>
      </c>
      <c r="J188" s="2" t="s">
        <v>69</v>
      </c>
      <c r="K188" s="2" t="s">
        <v>2066</v>
      </c>
      <c r="L188" s="2" t="s">
        <v>200</v>
      </c>
      <c r="M188" s="2" t="s">
        <v>267</v>
      </c>
    </row>
    <row r="189" spans="1:14" x14ac:dyDescent="0.25">
      <c r="A189" s="2" t="s">
        <v>2330</v>
      </c>
      <c r="B189" s="2" t="s">
        <v>18</v>
      </c>
      <c r="C189" s="2" t="s">
        <v>330</v>
      </c>
      <c r="D189" s="2" t="s">
        <v>1005</v>
      </c>
      <c r="E189" s="2" t="s">
        <v>1006</v>
      </c>
      <c r="F189" s="2">
        <v>23.740740740740701</v>
      </c>
      <c r="G189" s="2">
        <v>27</v>
      </c>
      <c r="H189" s="2">
        <v>5700</v>
      </c>
      <c r="I189" s="2" t="s">
        <v>2090</v>
      </c>
      <c r="J189" s="2" t="s">
        <v>844</v>
      </c>
      <c r="K189" s="2" t="s">
        <v>2091</v>
      </c>
      <c r="N189" s="2" t="s">
        <v>199</v>
      </c>
    </row>
    <row r="190" spans="1:14" x14ac:dyDescent="0.25">
      <c r="A190" s="2" t="s">
        <v>2331</v>
      </c>
      <c r="B190" s="2" t="s">
        <v>18</v>
      </c>
      <c r="C190" s="2" t="s">
        <v>370</v>
      </c>
      <c r="D190" s="2" t="s">
        <v>371</v>
      </c>
      <c r="E190" s="2" t="s">
        <v>372</v>
      </c>
      <c r="F190" s="2">
        <v>18.399999999999999</v>
      </c>
      <c r="G190" s="2">
        <v>15</v>
      </c>
      <c r="H190" s="2">
        <v>5700</v>
      </c>
      <c r="I190" s="2" t="s">
        <v>2097</v>
      </c>
      <c r="J190" s="2" t="s">
        <v>159</v>
      </c>
      <c r="K190" s="2" t="s">
        <v>853</v>
      </c>
      <c r="L190" s="2" t="s">
        <v>200</v>
      </c>
      <c r="M190" s="2" t="s">
        <v>317</v>
      </c>
    </row>
    <row r="191" spans="1:14" x14ac:dyDescent="0.25">
      <c r="A191" s="2" t="s">
        <v>2332</v>
      </c>
      <c r="B191" s="2" t="s">
        <v>18</v>
      </c>
      <c r="C191" s="2" t="s">
        <v>350</v>
      </c>
      <c r="D191" s="2" t="s">
        <v>2333</v>
      </c>
      <c r="E191" s="2" t="s">
        <v>2334</v>
      </c>
      <c r="F191" s="2">
        <v>19.724137931034399</v>
      </c>
      <c r="G191" s="2">
        <v>29</v>
      </c>
      <c r="H191" s="2">
        <v>5700</v>
      </c>
      <c r="I191" s="2" t="s">
        <v>2124</v>
      </c>
      <c r="J191" s="2" t="s">
        <v>2125</v>
      </c>
      <c r="K191" s="2" t="s">
        <v>852</v>
      </c>
    </row>
    <row r="192" spans="1:14" x14ac:dyDescent="0.25">
      <c r="A192" s="2" t="s">
        <v>2335</v>
      </c>
      <c r="B192" s="2" t="s">
        <v>18</v>
      </c>
      <c r="C192" s="2" t="s">
        <v>702</v>
      </c>
      <c r="D192" s="2" t="s">
        <v>2336</v>
      </c>
      <c r="E192" s="2" t="s">
        <v>603</v>
      </c>
      <c r="F192" s="2">
        <v>15.8333333333333</v>
      </c>
      <c r="G192" s="2">
        <v>6</v>
      </c>
      <c r="H192" s="2">
        <v>5700</v>
      </c>
      <c r="I192" s="2" t="s">
        <v>2124</v>
      </c>
      <c r="J192" s="2" t="s">
        <v>2125</v>
      </c>
      <c r="K192" s="2" t="s">
        <v>852</v>
      </c>
    </row>
    <row r="193" spans="1:13" x14ac:dyDescent="0.25">
      <c r="A193" s="2" t="s">
        <v>2337</v>
      </c>
      <c r="B193" s="2" t="s">
        <v>18</v>
      </c>
      <c r="C193" s="2" t="s">
        <v>1273</v>
      </c>
      <c r="D193" s="2" t="s">
        <v>1274</v>
      </c>
      <c r="E193" s="2" t="s">
        <v>1247</v>
      </c>
      <c r="F193" s="2">
        <v>15.9230769230769</v>
      </c>
      <c r="G193" s="2">
        <v>13</v>
      </c>
      <c r="H193" s="2">
        <v>5700</v>
      </c>
      <c r="I193" s="2" t="s">
        <v>2108</v>
      </c>
      <c r="J193" s="2" t="s">
        <v>841</v>
      </c>
      <c r="K193" s="2" t="s">
        <v>856</v>
      </c>
    </row>
    <row r="194" spans="1:13" x14ac:dyDescent="0.25">
      <c r="A194" s="2" t="s">
        <v>2338</v>
      </c>
      <c r="B194" s="2" t="s">
        <v>18</v>
      </c>
      <c r="C194" s="2" t="s">
        <v>526</v>
      </c>
      <c r="D194" s="2" t="s">
        <v>940</v>
      </c>
      <c r="E194" s="2" t="s">
        <v>941</v>
      </c>
      <c r="F194" s="2">
        <v>19.6538461538461</v>
      </c>
      <c r="G194" s="2">
        <v>26</v>
      </c>
      <c r="H194" s="2">
        <v>5600</v>
      </c>
      <c r="I194" s="2" t="s">
        <v>2070</v>
      </c>
      <c r="J194" s="2" t="s">
        <v>848</v>
      </c>
      <c r="K194" s="2" t="s">
        <v>36</v>
      </c>
    </row>
    <row r="195" spans="1:13" x14ac:dyDescent="0.25">
      <c r="A195" s="2" t="s">
        <v>2339</v>
      </c>
      <c r="B195" s="2" t="s">
        <v>18</v>
      </c>
      <c r="C195" s="2" t="s">
        <v>373</v>
      </c>
      <c r="D195" s="2" t="s">
        <v>1850</v>
      </c>
      <c r="E195" s="2" t="s">
        <v>374</v>
      </c>
      <c r="F195" s="2">
        <v>-4</v>
      </c>
      <c r="G195" s="2">
        <v>3</v>
      </c>
      <c r="H195" s="2">
        <v>5600</v>
      </c>
      <c r="I195" s="2" t="s">
        <v>2081</v>
      </c>
      <c r="J195" s="2" t="s">
        <v>73</v>
      </c>
      <c r="K195" s="2" t="s">
        <v>76</v>
      </c>
    </row>
    <row r="196" spans="1:13" x14ac:dyDescent="0.25">
      <c r="A196" s="2" t="s">
        <v>2340</v>
      </c>
      <c r="B196" s="2" t="s">
        <v>18</v>
      </c>
      <c r="C196" s="2" t="s">
        <v>324</v>
      </c>
      <c r="D196" s="2" t="s">
        <v>325</v>
      </c>
      <c r="E196" s="2" t="s">
        <v>326</v>
      </c>
      <c r="F196" s="2">
        <v>5.5</v>
      </c>
      <c r="G196" s="2">
        <v>4</v>
      </c>
      <c r="H196" s="2">
        <v>5600</v>
      </c>
      <c r="I196" s="2" t="s">
        <v>2106</v>
      </c>
      <c r="J196" s="2" t="s">
        <v>35</v>
      </c>
      <c r="K196" s="2" t="s">
        <v>34</v>
      </c>
      <c r="L196" s="2" t="s">
        <v>200</v>
      </c>
      <c r="M196" s="2" t="s">
        <v>2341</v>
      </c>
    </row>
    <row r="197" spans="1:13" x14ac:dyDescent="0.25">
      <c r="A197" s="2" t="s">
        <v>2342</v>
      </c>
      <c r="B197" s="2" t="s">
        <v>18</v>
      </c>
      <c r="C197" s="2" t="s">
        <v>714</v>
      </c>
      <c r="D197" s="2" t="s">
        <v>999</v>
      </c>
      <c r="E197" s="2" t="s">
        <v>1000</v>
      </c>
      <c r="F197" s="2">
        <v>21.5</v>
      </c>
      <c r="G197" s="2">
        <v>4</v>
      </c>
      <c r="H197" s="2">
        <v>5600</v>
      </c>
      <c r="I197" s="2" t="s">
        <v>2090</v>
      </c>
      <c r="J197" s="2" t="s">
        <v>844</v>
      </c>
      <c r="K197" s="2" t="s">
        <v>2091</v>
      </c>
    </row>
    <row r="198" spans="1:13" x14ac:dyDescent="0.25">
      <c r="A198" s="2" t="s">
        <v>2343</v>
      </c>
      <c r="B198" s="2" t="s">
        <v>18</v>
      </c>
      <c r="C198" s="2" t="s">
        <v>714</v>
      </c>
      <c r="D198" s="2" t="s">
        <v>1144</v>
      </c>
      <c r="E198" s="2" t="s">
        <v>1145</v>
      </c>
      <c r="F198" s="2">
        <v>12.967741935483801</v>
      </c>
      <c r="G198" s="2">
        <v>31</v>
      </c>
      <c r="H198" s="2">
        <v>5600</v>
      </c>
      <c r="I198" s="2" t="s">
        <v>2072</v>
      </c>
      <c r="J198" s="2" t="s">
        <v>842</v>
      </c>
      <c r="K198" s="2" t="s">
        <v>74</v>
      </c>
    </row>
    <row r="199" spans="1:13" x14ac:dyDescent="0.25">
      <c r="A199" s="2" t="s">
        <v>2344</v>
      </c>
      <c r="B199" s="2" t="s">
        <v>18</v>
      </c>
      <c r="C199" s="2" t="s">
        <v>291</v>
      </c>
      <c r="D199" s="2" t="s">
        <v>1853</v>
      </c>
      <c r="E199" s="2" t="s">
        <v>1854</v>
      </c>
      <c r="F199" s="2">
        <v>22.625</v>
      </c>
      <c r="G199" s="2">
        <v>24</v>
      </c>
      <c r="H199" s="2">
        <v>5600</v>
      </c>
      <c r="I199" s="2" t="s">
        <v>2065</v>
      </c>
      <c r="J199" s="2" t="s">
        <v>69</v>
      </c>
      <c r="K199" s="2" t="s">
        <v>2066</v>
      </c>
      <c r="L199" s="2" t="s">
        <v>200</v>
      </c>
      <c r="M199" s="2" t="s">
        <v>267</v>
      </c>
    </row>
    <row r="200" spans="1:13" x14ac:dyDescent="0.25">
      <c r="A200" s="2" t="s">
        <v>2345</v>
      </c>
      <c r="B200" s="2" t="s">
        <v>18</v>
      </c>
      <c r="C200" s="2" t="s">
        <v>1024</v>
      </c>
      <c r="D200" s="2" t="s">
        <v>1025</v>
      </c>
      <c r="E200" s="2" t="s">
        <v>1026</v>
      </c>
      <c r="F200" s="2">
        <v>13.6666666666666</v>
      </c>
      <c r="G200" s="2">
        <v>15</v>
      </c>
      <c r="H200" s="2">
        <v>5600</v>
      </c>
      <c r="I200" s="2" t="s">
        <v>2106</v>
      </c>
      <c r="J200" s="2" t="s">
        <v>35</v>
      </c>
      <c r="K200" s="2" t="s">
        <v>34</v>
      </c>
    </row>
    <row r="201" spans="1:13" x14ac:dyDescent="0.25">
      <c r="A201" s="2" t="s">
        <v>2346</v>
      </c>
      <c r="B201" s="2" t="s">
        <v>18</v>
      </c>
      <c r="C201" s="2" t="s">
        <v>197</v>
      </c>
      <c r="D201" s="2" t="s">
        <v>1199</v>
      </c>
      <c r="E201" s="2" t="s">
        <v>1200</v>
      </c>
      <c r="F201" s="2">
        <v>20.8333333333333</v>
      </c>
      <c r="G201" s="2">
        <v>6</v>
      </c>
      <c r="H201" s="2">
        <v>5600</v>
      </c>
      <c r="I201" s="2" t="s">
        <v>1783</v>
      </c>
      <c r="J201" s="2" t="s">
        <v>840</v>
      </c>
      <c r="K201" s="2" t="s">
        <v>861</v>
      </c>
      <c r="L201" s="2" t="s">
        <v>200</v>
      </c>
      <c r="M201" s="2" t="s">
        <v>681</v>
      </c>
    </row>
    <row r="202" spans="1:13" x14ac:dyDescent="0.25">
      <c r="A202" s="2" t="s">
        <v>2347</v>
      </c>
      <c r="B202" s="2" t="s">
        <v>18</v>
      </c>
      <c r="C202" s="2" t="s">
        <v>1855</v>
      </c>
      <c r="D202" s="2" t="s">
        <v>1856</v>
      </c>
      <c r="E202" s="2" t="s">
        <v>1857</v>
      </c>
      <c r="F202" s="2">
        <v>11.1428571428571</v>
      </c>
      <c r="G202" s="2">
        <v>7</v>
      </c>
      <c r="H202" s="2">
        <v>5600</v>
      </c>
      <c r="I202" s="2" t="s">
        <v>2065</v>
      </c>
      <c r="J202" s="2" t="s">
        <v>69</v>
      </c>
      <c r="K202" s="2" t="s">
        <v>2066</v>
      </c>
      <c r="L202" s="2" t="s">
        <v>200</v>
      </c>
      <c r="M202" s="2" t="s">
        <v>267</v>
      </c>
    </row>
    <row r="203" spans="1:13" x14ac:dyDescent="0.25">
      <c r="A203" s="2" t="s">
        <v>2348</v>
      </c>
      <c r="B203" s="2" t="s">
        <v>18</v>
      </c>
      <c r="C203" s="2" t="s">
        <v>509</v>
      </c>
      <c r="D203" s="2" t="s">
        <v>1207</v>
      </c>
      <c r="E203" s="2" t="s">
        <v>1208</v>
      </c>
      <c r="F203" s="2">
        <v>14.705882352941099</v>
      </c>
      <c r="G203" s="2">
        <v>17</v>
      </c>
      <c r="H203" s="2">
        <v>5600</v>
      </c>
      <c r="I203" s="2" t="s">
        <v>2108</v>
      </c>
      <c r="J203" s="2" t="s">
        <v>841</v>
      </c>
      <c r="K203" s="2" t="s">
        <v>856</v>
      </c>
    </row>
    <row r="204" spans="1:13" x14ac:dyDescent="0.25">
      <c r="A204" s="2" t="s">
        <v>2349</v>
      </c>
      <c r="B204" s="2" t="s">
        <v>18</v>
      </c>
      <c r="C204" s="2" t="s">
        <v>655</v>
      </c>
      <c r="D204" s="2" t="s">
        <v>2350</v>
      </c>
      <c r="E204" s="2" t="s">
        <v>2351</v>
      </c>
      <c r="F204" s="2">
        <v>19.5</v>
      </c>
      <c r="G204" s="2">
        <v>4</v>
      </c>
      <c r="H204" s="2">
        <v>5600</v>
      </c>
      <c r="I204" s="2" t="s">
        <v>2090</v>
      </c>
      <c r="J204" s="2" t="s">
        <v>2091</v>
      </c>
      <c r="K204" s="2" t="s">
        <v>844</v>
      </c>
    </row>
    <row r="205" spans="1:13" x14ac:dyDescent="0.25">
      <c r="A205" s="2" t="s">
        <v>2352</v>
      </c>
      <c r="B205" s="2" t="s">
        <v>18</v>
      </c>
      <c r="C205" s="2" t="s">
        <v>343</v>
      </c>
      <c r="D205" s="2" t="s">
        <v>344</v>
      </c>
      <c r="E205" s="2" t="s">
        <v>345</v>
      </c>
      <c r="F205" s="2">
        <v>18.079999999999998</v>
      </c>
      <c r="G205" s="2">
        <v>25</v>
      </c>
      <c r="H205" s="2">
        <v>5600</v>
      </c>
      <c r="I205" s="2" t="s">
        <v>2081</v>
      </c>
      <c r="J205" s="2" t="s">
        <v>76</v>
      </c>
      <c r="K205" s="2" t="s">
        <v>73</v>
      </c>
    </row>
    <row r="206" spans="1:13" x14ac:dyDescent="0.25">
      <c r="A206" s="2" t="s">
        <v>2353</v>
      </c>
      <c r="B206" s="2" t="s">
        <v>18</v>
      </c>
      <c r="C206" s="2" t="s">
        <v>519</v>
      </c>
      <c r="D206" s="2" t="s">
        <v>520</v>
      </c>
      <c r="E206" s="2" t="s">
        <v>521</v>
      </c>
      <c r="F206" s="2">
        <v>14</v>
      </c>
      <c r="G206" s="2">
        <v>4</v>
      </c>
      <c r="H206" s="2">
        <v>5600</v>
      </c>
      <c r="I206" s="2" t="s">
        <v>2106</v>
      </c>
      <c r="J206" s="2" t="s">
        <v>34</v>
      </c>
      <c r="K206" s="2" t="s">
        <v>35</v>
      </c>
    </row>
    <row r="207" spans="1:13" x14ac:dyDescent="0.25">
      <c r="A207" s="2" t="s">
        <v>2354</v>
      </c>
      <c r="B207" s="2" t="s">
        <v>18</v>
      </c>
      <c r="C207" s="2" t="s">
        <v>275</v>
      </c>
      <c r="D207" s="2" t="s">
        <v>2355</v>
      </c>
      <c r="E207" s="2" t="s">
        <v>2356</v>
      </c>
      <c r="F207" s="2">
        <v>7.9090909090909003</v>
      </c>
      <c r="G207" s="2">
        <v>11</v>
      </c>
      <c r="H207" s="2">
        <v>5500</v>
      </c>
      <c r="I207" s="2" t="s">
        <v>2075</v>
      </c>
      <c r="J207" s="2" t="s">
        <v>2076</v>
      </c>
      <c r="K207" s="2" t="s">
        <v>37</v>
      </c>
    </row>
    <row r="208" spans="1:13" x14ac:dyDescent="0.25">
      <c r="A208" s="2" t="s">
        <v>2357</v>
      </c>
      <c r="B208" s="2" t="s">
        <v>18</v>
      </c>
      <c r="C208" s="2" t="s">
        <v>917</v>
      </c>
      <c r="D208" s="2" t="s">
        <v>918</v>
      </c>
      <c r="E208" s="2" t="s">
        <v>262</v>
      </c>
      <c r="F208" s="2">
        <v>13.2272727272727</v>
      </c>
      <c r="G208" s="2">
        <v>22</v>
      </c>
      <c r="H208" s="2">
        <v>5500</v>
      </c>
      <c r="I208" s="2" t="s">
        <v>2070</v>
      </c>
      <c r="J208" s="2" t="s">
        <v>848</v>
      </c>
      <c r="K208" s="2" t="s">
        <v>36</v>
      </c>
      <c r="L208" s="2" t="s">
        <v>200</v>
      </c>
      <c r="M208" s="2" t="s">
        <v>551</v>
      </c>
    </row>
    <row r="209" spans="1:13" x14ac:dyDescent="0.25">
      <c r="A209" s="2" t="s">
        <v>2358</v>
      </c>
      <c r="B209" s="2" t="s">
        <v>18</v>
      </c>
      <c r="C209" s="2" t="s">
        <v>381</v>
      </c>
      <c r="D209" s="2" t="s">
        <v>382</v>
      </c>
      <c r="E209" s="2" t="s">
        <v>383</v>
      </c>
      <c r="F209" s="2">
        <v>5.4285714285714199</v>
      </c>
      <c r="G209" s="2">
        <v>14</v>
      </c>
      <c r="H209" s="2">
        <v>5500</v>
      </c>
      <c r="I209" s="2" t="s">
        <v>2072</v>
      </c>
      <c r="J209" s="2" t="s">
        <v>74</v>
      </c>
      <c r="K209" s="2" t="s">
        <v>842</v>
      </c>
    </row>
    <row r="210" spans="1:13" x14ac:dyDescent="0.25">
      <c r="A210" s="2" t="s">
        <v>2359</v>
      </c>
      <c r="B210" s="2" t="s">
        <v>18</v>
      </c>
      <c r="C210" s="2" t="s">
        <v>384</v>
      </c>
      <c r="D210" s="2" t="s">
        <v>1858</v>
      </c>
      <c r="E210" s="2" t="s">
        <v>385</v>
      </c>
      <c r="F210" s="2">
        <v>4.3333333333333304</v>
      </c>
      <c r="G210" s="2">
        <v>24</v>
      </c>
      <c r="H210" s="2">
        <v>5500</v>
      </c>
      <c r="I210" s="2" t="s">
        <v>2065</v>
      </c>
      <c r="J210" s="2" t="s">
        <v>69</v>
      </c>
      <c r="K210" s="2" t="s">
        <v>2066</v>
      </c>
    </row>
    <row r="211" spans="1:13" x14ac:dyDescent="0.25">
      <c r="A211" s="2" t="s">
        <v>2360</v>
      </c>
      <c r="B211" s="2" t="s">
        <v>18</v>
      </c>
      <c r="C211" s="2" t="s">
        <v>197</v>
      </c>
      <c r="D211" s="2" t="s">
        <v>506</v>
      </c>
      <c r="E211" s="2" t="s">
        <v>419</v>
      </c>
      <c r="F211" s="2">
        <v>14.7777777777777</v>
      </c>
      <c r="G211" s="2">
        <v>9</v>
      </c>
      <c r="H211" s="2">
        <v>5500</v>
      </c>
      <c r="I211" s="2" t="s">
        <v>2081</v>
      </c>
      <c r="J211" s="2" t="s">
        <v>73</v>
      </c>
      <c r="K211" s="2" t="s">
        <v>76</v>
      </c>
    </row>
    <row r="212" spans="1:13" x14ac:dyDescent="0.25">
      <c r="A212" s="2" t="s">
        <v>2361</v>
      </c>
      <c r="B212" s="2" t="s">
        <v>18</v>
      </c>
      <c r="C212" s="2" t="s">
        <v>387</v>
      </c>
      <c r="D212" s="2" t="s">
        <v>388</v>
      </c>
      <c r="E212" s="2" t="s">
        <v>389</v>
      </c>
      <c r="F212" s="2">
        <v>6</v>
      </c>
      <c r="G212" s="2">
        <v>10</v>
      </c>
      <c r="H212" s="2">
        <v>5500</v>
      </c>
      <c r="I212" s="2" t="s">
        <v>2072</v>
      </c>
      <c r="J212" s="2" t="s">
        <v>74</v>
      </c>
      <c r="K212" s="2" t="s">
        <v>842</v>
      </c>
    </row>
    <row r="213" spans="1:13" x14ac:dyDescent="0.25">
      <c r="A213" s="2" t="s">
        <v>2362</v>
      </c>
      <c r="B213" s="2" t="s">
        <v>18</v>
      </c>
      <c r="C213" s="2" t="s">
        <v>516</v>
      </c>
      <c r="D213" s="2" t="s">
        <v>1031</v>
      </c>
      <c r="E213" s="2" t="s">
        <v>1032</v>
      </c>
      <c r="F213" s="2">
        <v>2</v>
      </c>
      <c r="G213" s="2">
        <v>6</v>
      </c>
      <c r="H213" s="2">
        <v>5500</v>
      </c>
      <c r="I213" s="2" t="s">
        <v>2108</v>
      </c>
      <c r="J213" s="2" t="s">
        <v>841</v>
      </c>
      <c r="K213" s="2" t="s">
        <v>856</v>
      </c>
    </row>
    <row r="214" spans="1:13" x14ac:dyDescent="0.25">
      <c r="A214" s="2" t="s">
        <v>2363</v>
      </c>
      <c r="B214" s="2" t="s">
        <v>18</v>
      </c>
      <c r="C214" s="2" t="s">
        <v>390</v>
      </c>
      <c r="D214" s="2" t="s">
        <v>391</v>
      </c>
      <c r="E214" s="2" t="s">
        <v>392</v>
      </c>
      <c r="F214" s="2">
        <v>-7.5</v>
      </c>
      <c r="G214" s="2">
        <v>2</v>
      </c>
      <c r="H214" s="2">
        <v>5500</v>
      </c>
      <c r="I214" s="2" t="s">
        <v>2097</v>
      </c>
      <c r="J214" s="2" t="s">
        <v>853</v>
      </c>
      <c r="K214" s="2" t="s">
        <v>159</v>
      </c>
      <c r="L214" s="2" t="s">
        <v>200</v>
      </c>
      <c r="M214" s="2" t="s">
        <v>2341</v>
      </c>
    </row>
    <row r="215" spans="1:13" x14ac:dyDescent="0.25">
      <c r="A215" s="2" t="s">
        <v>2364</v>
      </c>
      <c r="B215" s="2" t="s">
        <v>18</v>
      </c>
      <c r="C215" s="2" t="s">
        <v>395</v>
      </c>
      <c r="D215" s="2" t="s">
        <v>396</v>
      </c>
      <c r="E215" s="2" t="s">
        <v>397</v>
      </c>
      <c r="F215" s="2">
        <v>9</v>
      </c>
      <c r="G215" s="2">
        <v>20</v>
      </c>
      <c r="H215" s="2">
        <v>5500</v>
      </c>
      <c r="I215" s="2" t="s">
        <v>2081</v>
      </c>
      <c r="J215" s="2" t="s">
        <v>76</v>
      </c>
      <c r="K215" s="2" t="s">
        <v>73</v>
      </c>
    </row>
    <row r="216" spans="1:13" x14ac:dyDescent="0.25">
      <c r="A216" s="2" t="s">
        <v>2365</v>
      </c>
      <c r="B216" s="2" t="s">
        <v>18</v>
      </c>
      <c r="C216" s="2" t="s">
        <v>211</v>
      </c>
      <c r="D216" s="2" t="s">
        <v>1033</v>
      </c>
      <c r="E216" s="2" t="s">
        <v>466</v>
      </c>
      <c r="F216" s="2">
        <v>4.94827586206896</v>
      </c>
      <c r="G216" s="2">
        <v>58</v>
      </c>
      <c r="H216" s="2">
        <v>5500</v>
      </c>
      <c r="I216" s="2" t="s">
        <v>2068</v>
      </c>
      <c r="J216" s="2" t="s">
        <v>860</v>
      </c>
      <c r="K216" s="2" t="s">
        <v>38</v>
      </c>
    </row>
    <row r="217" spans="1:13" x14ac:dyDescent="0.25">
      <c r="A217" s="2" t="s">
        <v>2366</v>
      </c>
      <c r="B217" s="2" t="s">
        <v>18</v>
      </c>
      <c r="C217" s="2" t="s">
        <v>252</v>
      </c>
      <c r="D217" s="2" t="s">
        <v>2367</v>
      </c>
      <c r="E217" s="2" t="s">
        <v>2368</v>
      </c>
      <c r="F217" s="2">
        <v>4</v>
      </c>
      <c r="G217" s="2">
        <v>10</v>
      </c>
      <c r="H217" s="2">
        <v>5500</v>
      </c>
      <c r="I217" s="2" t="s">
        <v>2124</v>
      </c>
      <c r="J217" s="2" t="s">
        <v>2125</v>
      </c>
      <c r="K217" s="2" t="s">
        <v>852</v>
      </c>
    </row>
    <row r="218" spans="1:13" x14ac:dyDescent="0.25">
      <c r="A218" s="2" t="s">
        <v>2369</v>
      </c>
      <c r="B218" s="2" t="s">
        <v>18</v>
      </c>
      <c r="C218" s="2" t="s">
        <v>398</v>
      </c>
      <c r="D218" s="2" t="s">
        <v>399</v>
      </c>
      <c r="E218" s="2" t="s">
        <v>400</v>
      </c>
      <c r="F218" s="2">
        <v>3.5</v>
      </c>
      <c r="G218" s="2">
        <v>8</v>
      </c>
      <c r="H218" s="2">
        <v>5500</v>
      </c>
      <c r="I218" s="2" t="s">
        <v>2106</v>
      </c>
      <c r="J218" s="2" t="s">
        <v>34</v>
      </c>
      <c r="K218" s="2" t="s">
        <v>35</v>
      </c>
    </row>
    <row r="219" spans="1:13" x14ac:dyDescent="0.25">
      <c r="A219" s="2" t="s">
        <v>2370</v>
      </c>
      <c r="B219" s="2" t="s">
        <v>18</v>
      </c>
      <c r="C219" s="2" t="s">
        <v>789</v>
      </c>
      <c r="D219" s="2" t="s">
        <v>1034</v>
      </c>
      <c r="E219" s="2" t="s">
        <v>1035</v>
      </c>
      <c r="F219" s="2">
        <v>6</v>
      </c>
      <c r="G219" s="2">
        <v>1</v>
      </c>
      <c r="H219" s="2">
        <v>5500</v>
      </c>
      <c r="I219" s="2" t="s">
        <v>2090</v>
      </c>
      <c r="J219" s="2" t="s">
        <v>844</v>
      </c>
      <c r="K219" s="2" t="s">
        <v>2091</v>
      </c>
    </row>
    <row r="220" spans="1:13" x14ac:dyDescent="0.25">
      <c r="A220" s="2" t="s">
        <v>2371</v>
      </c>
      <c r="B220" s="2" t="s">
        <v>18</v>
      </c>
      <c r="C220" s="2" t="s">
        <v>2372</v>
      </c>
      <c r="D220" s="2" t="s">
        <v>2373</v>
      </c>
      <c r="E220" s="2" t="s">
        <v>2374</v>
      </c>
      <c r="F220" s="2">
        <v>3.3793103448275801</v>
      </c>
      <c r="G220" s="2">
        <v>29</v>
      </c>
      <c r="H220" s="2">
        <v>5500</v>
      </c>
      <c r="I220" s="2" t="s">
        <v>2065</v>
      </c>
      <c r="J220" s="2" t="s">
        <v>2066</v>
      </c>
      <c r="K220" s="2" t="s">
        <v>69</v>
      </c>
      <c r="L220" s="2" t="s">
        <v>200</v>
      </c>
      <c r="M220" s="2" t="s">
        <v>267</v>
      </c>
    </row>
    <row r="221" spans="1:13" x14ac:dyDescent="0.25">
      <c r="A221" s="2" t="s">
        <v>2375</v>
      </c>
      <c r="B221" s="2" t="s">
        <v>18</v>
      </c>
      <c r="C221" s="2" t="s">
        <v>401</v>
      </c>
      <c r="D221" s="2" t="s">
        <v>402</v>
      </c>
      <c r="E221" s="2" t="s">
        <v>403</v>
      </c>
      <c r="F221" s="2">
        <v>7.9090909090909003</v>
      </c>
      <c r="G221" s="2">
        <v>11</v>
      </c>
      <c r="H221" s="2">
        <v>5500</v>
      </c>
      <c r="I221" s="2" t="s">
        <v>2106</v>
      </c>
      <c r="J221" s="2" t="s">
        <v>35</v>
      </c>
      <c r="K221" s="2" t="s">
        <v>34</v>
      </c>
      <c r="L221" s="2" t="s">
        <v>200</v>
      </c>
      <c r="M221" s="2" t="s">
        <v>247</v>
      </c>
    </row>
    <row r="222" spans="1:13" x14ac:dyDescent="0.25">
      <c r="A222" s="2" t="s">
        <v>2376</v>
      </c>
      <c r="B222" s="2" t="s">
        <v>18</v>
      </c>
      <c r="C222" s="2" t="s">
        <v>283</v>
      </c>
      <c r="D222" s="2" t="s">
        <v>408</v>
      </c>
      <c r="E222" s="2" t="s">
        <v>409</v>
      </c>
      <c r="F222" s="2">
        <v>6.1818181818181799</v>
      </c>
      <c r="G222" s="2">
        <v>22</v>
      </c>
      <c r="H222" s="2">
        <v>5500</v>
      </c>
      <c r="I222" s="2" t="s">
        <v>2072</v>
      </c>
      <c r="J222" s="2" t="s">
        <v>74</v>
      </c>
      <c r="K222" s="2" t="s">
        <v>842</v>
      </c>
    </row>
    <row r="223" spans="1:13" x14ac:dyDescent="0.25">
      <c r="A223" s="2" t="s">
        <v>2377</v>
      </c>
      <c r="B223" s="2" t="s">
        <v>18</v>
      </c>
      <c r="C223" s="2" t="s">
        <v>410</v>
      </c>
      <c r="D223" s="2" t="s">
        <v>411</v>
      </c>
      <c r="E223" s="2" t="s">
        <v>349</v>
      </c>
      <c r="F223" s="2">
        <v>10</v>
      </c>
      <c r="G223" s="2">
        <v>2</v>
      </c>
      <c r="H223" s="2">
        <v>5500</v>
      </c>
      <c r="I223" s="2" t="s">
        <v>2124</v>
      </c>
      <c r="J223" s="2" t="s">
        <v>2125</v>
      </c>
      <c r="K223" s="2" t="s">
        <v>852</v>
      </c>
    </row>
    <row r="224" spans="1:13" x14ac:dyDescent="0.25">
      <c r="A224" s="2" t="s">
        <v>2378</v>
      </c>
      <c r="B224" s="2" t="s">
        <v>18</v>
      </c>
      <c r="C224" s="2" t="s">
        <v>243</v>
      </c>
      <c r="D224" s="2" t="s">
        <v>1037</v>
      </c>
      <c r="E224" s="2" t="s">
        <v>236</v>
      </c>
      <c r="F224" s="2">
        <v>8.1999999999999993</v>
      </c>
      <c r="G224" s="2">
        <v>10</v>
      </c>
      <c r="H224" s="2">
        <v>5500</v>
      </c>
      <c r="I224" s="2" t="s">
        <v>2108</v>
      </c>
      <c r="J224" s="2" t="s">
        <v>841</v>
      </c>
      <c r="K224" s="2" t="s">
        <v>856</v>
      </c>
    </row>
    <row r="225" spans="1:11" x14ac:dyDescent="0.25">
      <c r="A225" s="2" t="s">
        <v>2379</v>
      </c>
      <c r="B225" s="2" t="s">
        <v>18</v>
      </c>
      <c r="C225" s="2" t="s">
        <v>1038</v>
      </c>
      <c r="D225" s="2" t="s">
        <v>1039</v>
      </c>
      <c r="E225" s="2" t="s">
        <v>385</v>
      </c>
      <c r="F225" s="2">
        <v>1.5</v>
      </c>
      <c r="G225" s="2">
        <v>4</v>
      </c>
      <c r="H225" s="2">
        <v>5500</v>
      </c>
      <c r="I225" s="2" t="s">
        <v>2090</v>
      </c>
      <c r="J225" s="2" t="s">
        <v>844</v>
      </c>
      <c r="K225" s="2" t="s">
        <v>2091</v>
      </c>
    </row>
    <row r="226" spans="1:11" x14ac:dyDescent="0.25">
      <c r="A226" s="2" t="s">
        <v>2380</v>
      </c>
      <c r="B226" s="2" t="s">
        <v>18</v>
      </c>
      <c r="C226" s="2" t="s">
        <v>204</v>
      </c>
      <c r="D226" s="2" t="s">
        <v>413</v>
      </c>
      <c r="E226" s="2" t="s">
        <v>414</v>
      </c>
      <c r="F226" s="2">
        <v>5.1666666666666599</v>
      </c>
      <c r="G226" s="2">
        <v>6</v>
      </c>
      <c r="H226" s="2">
        <v>5500</v>
      </c>
      <c r="I226" s="2" t="s">
        <v>2097</v>
      </c>
      <c r="J226" s="2" t="s">
        <v>159</v>
      </c>
      <c r="K226" s="2" t="s">
        <v>853</v>
      </c>
    </row>
    <row r="227" spans="1:11" x14ac:dyDescent="0.25">
      <c r="A227" s="2" t="s">
        <v>2381</v>
      </c>
      <c r="B227" s="2" t="s">
        <v>18</v>
      </c>
      <c r="C227" s="2" t="s">
        <v>415</v>
      </c>
      <c r="D227" s="2" t="s">
        <v>416</v>
      </c>
      <c r="E227" s="2" t="s">
        <v>417</v>
      </c>
      <c r="F227" s="2">
        <v>5.4838709677419297</v>
      </c>
      <c r="G227" s="2">
        <v>31</v>
      </c>
      <c r="H227" s="2">
        <v>5500</v>
      </c>
      <c r="I227" s="2" t="s">
        <v>2081</v>
      </c>
      <c r="J227" s="2" t="s">
        <v>76</v>
      </c>
      <c r="K227" s="2" t="s">
        <v>73</v>
      </c>
    </row>
    <row r="228" spans="1:11" x14ac:dyDescent="0.25">
      <c r="A228" s="2" t="s">
        <v>2382</v>
      </c>
      <c r="B228" s="2" t="s">
        <v>18</v>
      </c>
      <c r="C228" s="2" t="s">
        <v>779</v>
      </c>
      <c r="D228" s="2" t="s">
        <v>2383</v>
      </c>
      <c r="E228" s="2" t="s">
        <v>2384</v>
      </c>
      <c r="F228" s="2">
        <v>6.2666666666666604</v>
      </c>
      <c r="G228" s="2">
        <v>30</v>
      </c>
      <c r="H228" s="2">
        <v>5500</v>
      </c>
      <c r="I228" s="2" t="s">
        <v>2075</v>
      </c>
      <c r="J228" s="2" t="s">
        <v>2076</v>
      </c>
      <c r="K228" s="2" t="s">
        <v>37</v>
      </c>
    </row>
    <row r="229" spans="1:11" x14ac:dyDescent="0.25">
      <c r="A229" s="2" t="s">
        <v>2385</v>
      </c>
      <c r="B229" s="2" t="s">
        <v>18</v>
      </c>
      <c r="C229" s="2" t="s">
        <v>714</v>
      </c>
      <c r="D229" s="2" t="s">
        <v>1040</v>
      </c>
      <c r="E229" s="2" t="s">
        <v>1041</v>
      </c>
      <c r="F229" s="2">
        <v>8.6315789473684195</v>
      </c>
      <c r="G229" s="2">
        <v>19</v>
      </c>
      <c r="H229" s="2">
        <v>5500</v>
      </c>
      <c r="I229" s="2" t="s">
        <v>2070</v>
      </c>
      <c r="J229" s="2" t="s">
        <v>848</v>
      </c>
      <c r="K229" s="2" t="s">
        <v>36</v>
      </c>
    </row>
    <row r="230" spans="1:11" x14ac:dyDescent="0.25">
      <c r="A230" s="2" t="s">
        <v>2386</v>
      </c>
      <c r="B230" s="2" t="s">
        <v>18</v>
      </c>
      <c r="C230" s="2" t="s">
        <v>425</v>
      </c>
      <c r="D230" s="2" t="s">
        <v>426</v>
      </c>
      <c r="E230" s="2" t="s">
        <v>427</v>
      </c>
      <c r="F230" s="2">
        <v>5.8888888888888804</v>
      </c>
      <c r="G230" s="2">
        <v>9</v>
      </c>
      <c r="H230" s="2">
        <v>5500</v>
      </c>
      <c r="I230" s="2" t="s">
        <v>2106</v>
      </c>
      <c r="J230" s="2" t="s">
        <v>34</v>
      </c>
      <c r="K230" s="2" t="s">
        <v>35</v>
      </c>
    </row>
    <row r="231" spans="1:11" x14ac:dyDescent="0.25">
      <c r="A231" s="2" t="s">
        <v>2387</v>
      </c>
      <c r="B231" s="2" t="s">
        <v>18</v>
      </c>
      <c r="C231" s="2" t="s">
        <v>287</v>
      </c>
      <c r="D231" s="2" t="s">
        <v>430</v>
      </c>
      <c r="E231" s="2" t="s">
        <v>431</v>
      </c>
      <c r="F231" s="2">
        <v>3.1</v>
      </c>
      <c r="G231" s="2">
        <v>10</v>
      </c>
      <c r="H231" s="2">
        <v>5500</v>
      </c>
      <c r="I231" s="2" t="s">
        <v>2106</v>
      </c>
      <c r="J231" s="2" t="s">
        <v>35</v>
      </c>
      <c r="K231" s="2" t="s">
        <v>34</v>
      </c>
    </row>
    <row r="232" spans="1:11" x14ac:dyDescent="0.25">
      <c r="A232" s="2" t="s">
        <v>2388</v>
      </c>
      <c r="B232" s="2" t="s">
        <v>18</v>
      </c>
      <c r="C232" s="2" t="s">
        <v>432</v>
      </c>
      <c r="D232" s="2" t="s">
        <v>433</v>
      </c>
      <c r="E232" s="2" t="s">
        <v>256</v>
      </c>
      <c r="F232" s="2">
        <v>2.9</v>
      </c>
      <c r="G232" s="2">
        <v>50</v>
      </c>
      <c r="H232" s="2">
        <v>5500</v>
      </c>
      <c r="I232" s="2" t="s">
        <v>2072</v>
      </c>
      <c r="J232" s="2" t="s">
        <v>74</v>
      </c>
      <c r="K232" s="2" t="s">
        <v>842</v>
      </c>
    </row>
    <row r="233" spans="1:11" x14ac:dyDescent="0.25">
      <c r="A233" s="2" t="s">
        <v>2389</v>
      </c>
      <c r="B233" s="2" t="s">
        <v>18</v>
      </c>
      <c r="C233" s="2" t="s">
        <v>652</v>
      </c>
      <c r="D233" s="2" t="s">
        <v>1042</v>
      </c>
      <c r="E233" s="2" t="s">
        <v>1043</v>
      </c>
      <c r="F233" s="2">
        <v>5.4411764705882302</v>
      </c>
      <c r="G233" s="2">
        <v>34</v>
      </c>
      <c r="H233" s="2">
        <v>5500</v>
      </c>
      <c r="I233" s="2" t="s">
        <v>2072</v>
      </c>
      <c r="J233" s="2" t="s">
        <v>842</v>
      </c>
      <c r="K233" s="2" t="s">
        <v>74</v>
      </c>
    </row>
    <row r="234" spans="1:11" x14ac:dyDescent="0.25">
      <c r="A234" s="2" t="s">
        <v>2390</v>
      </c>
      <c r="B234" s="2" t="s">
        <v>18</v>
      </c>
      <c r="C234" s="2" t="s">
        <v>1044</v>
      </c>
      <c r="D234" s="2" t="s">
        <v>1045</v>
      </c>
      <c r="E234" s="2" t="s">
        <v>686</v>
      </c>
      <c r="F234" s="2">
        <v>4.6393442622950802</v>
      </c>
      <c r="G234" s="2">
        <v>61</v>
      </c>
      <c r="H234" s="2">
        <v>5500</v>
      </c>
      <c r="I234" s="2" t="s">
        <v>2108</v>
      </c>
      <c r="J234" s="2" t="s">
        <v>841</v>
      </c>
      <c r="K234" s="2" t="s">
        <v>856</v>
      </c>
    </row>
    <row r="235" spans="1:11" x14ac:dyDescent="0.25">
      <c r="A235" s="2" t="s">
        <v>2391</v>
      </c>
      <c r="B235" s="2" t="s">
        <v>18</v>
      </c>
      <c r="C235" s="2" t="s">
        <v>1046</v>
      </c>
      <c r="D235" s="2" t="s">
        <v>1047</v>
      </c>
      <c r="E235" s="2" t="s">
        <v>1048</v>
      </c>
      <c r="F235" s="2">
        <v>5.53488372093023</v>
      </c>
      <c r="G235" s="2">
        <v>43</v>
      </c>
      <c r="H235" s="2">
        <v>5500</v>
      </c>
      <c r="I235" s="2" t="s">
        <v>2124</v>
      </c>
      <c r="J235" s="2" t="s">
        <v>852</v>
      </c>
      <c r="K235" s="2" t="s">
        <v>2125</v>
      </c>
    </row>
    <row r="236" spans="1:11" x14ac:dyDescent="0.25">
      <c r="A236" s="2" t="s">
        <v>2392</v>
      </c>
      <c r="B236" s="2" t="s">
        <v>18</v>
      </c>
      <c r="C236" s="2" t="s">
        <v>1049</v>
      </c>
      <c r="D236" s="2" t="s">
        <v>1050</v>
      </c>
      <c r="E236" s="2" t="s">
        <v>1051</v>
      </c>
      <c r="F236" s="2">
        <v>5.2222222222222197</v>
      </c>
      <c r="G236" s="2">
        <v>18</v>
      </c>
      <c r="H236" s="2">
        <v>5500</v>
      </c>
      <c r="I236" s="2" t="s">
        <v>2081</v>
      </c>
      <c r="J236" s="2" t="s">
        <v>76</v>
      </c>
      <c r="K236" s="2" t="s">
        <v>73</v>
      </c>
    </row>
    <row r="237" spans="1:11" x14ac:dyDescent="0.25">
      <c r="A237" s="2" t="s">
        <v>2393</v>
      </c>
      <c r="B237" s="2" t="s">
        <v>18</v>
      </c>
      <c r="C237" s="2" t="s">
        <v>277</v>
      </c>
      <c r="D237" s="2" t="s">
        <v>1052</v>
      </c>
      <c r="E237" s="2" t="s">
        <v>284</v>
      </c>
      <c r="F237" s="2">
        <v>4.7391304347826004</v>
      </c>
      <c r="G237" s="2">
        <v>23</v>
      </c>
      <c r="H237" s="2">
        <v>5500</v>
      </c>
      <c r="I237" s="2" t="s">
        <v>2097</v>
      </c>
      <c r="J237" s="2" t="s">
        <v>853</v>
      </c>
      <c r="K237" s="2" t="s">
        <v>159</v>
      </c>
    </row>
    <row r="238" spans="1:11" x14ac:dyDescent="0.25">
      <c r="A238" s="2" t="s">
        <v>2394</v>
      </c>
      <c r="B238" s="2" t="s">
        <v>18</v>
      </c>
      <c r="C238" s="2" t="s">
        <v>316</v>
      </c>
      <c r="D238" s="2" t="s">
        <v>1053</v>
      </c>
      <c r="E238" s="2" t="s">
        <v>1054</v>
      </c>
      <c r="F238" s="2">
        <v>4.2033898305084696</v>
      </c>
      <c r="G238" s="2">
        <v>59</v>
      </c>
      <c r="H238" s="2">
        <v>5500</v>
      </c>
      <c r="I238" s="2" t="s">
        <v>2108</v>
      </c>
      <c r="J238" s="2" t="s">
        <v>856</v>
      </c>
      <c r="K238" s="2" t="s">
        <v>841</v>
      </c>
    </row>
    <row r="239" spans="1:11" x14ac:dyDescent="0.25">
      <c r="A239" s="2" t="s">
        <v>2395</v>
      </c>
      <c r="B239" s="2" t="s">
        <v>18</v>
      </c>
      <c r="C239" s="2" t="s">
        <v>287</v>
      </c>
      <c r="D239" s="2" t="s">
        <v>2396</v>
      </c>
      <c r="E239" s="2" t="s">
        <v>2397</v>
      </c>
      <c r="F239" s="2">
        <v>-9</v>
      </c>
      <c r="G239" s="2">
        <v>1</v>
      </c>
      <c r="H239" s="2">
        <v>5500</v>
      </c>
      <c r="I239" s="2" t="s">
        <v>2090</v>
      </c>
      <c r="J239" s="2" t="s">
        <v>2091</v>
      </c>
      <c r="K239" s="2" t="s">
        <v>844</v>
      </c>
    </row>
    <row r="240" spans="1:11" x14ac:dyDescent="0.25">
      <c r="A240" s="2" t="s">
        <v>2398</v>
      </c>
      <c r="B240" s="2" t="s">
        <v>18</v>
      </c>
      <c r="C240" s="2" t="s">
        <v>252</v>
      </c>
      <c r="D240" s="2" t="s">
        <v>1055</v>
      </c>
      <c r="E240" s="2" t="s">
        <v>1056</v>
      </c>
      <c r="F240" s="2">
        <v>4.5964912280701702</v>
      </c>
      <c r="G240" s="2">
        <v>57</v>
      </c>
      <c r="H240" s="2">
        <v>5500</v>
      </c>
      <c r="I240" s="2" t="s">
        <v>2090</v>
      </c>
      <c r="J240" s="2" t="s">
        <v>844</v>
      </c>
      <c r="K240" s="2" t="s">
        <v>2091</v>
      </c>
    </row>
    <row r="241" spans="1:13" x14ac:dyDescent="0.25">
      <c r="A241" s="2" t="s">
        <v>2399</v>
      </c>
      <c r="B241" s="2" t="s">
        <v>18</v>
      </c>
      <c r="C241" s="2" t="s">
        <v>1057</v>
      </c>
      <c r="D241" s="2" t="s">
        <v>1058</v>
      </c>
      <c r="E241" s="2" t="s">
        <v>1059</v>
      </c>
      <c r="F241" s="2">
        <v>10</v>
      </c>
      <c r="G241" s="2">
        <v>21</v>
      </c>
      <c r="H241" s="2">
        <v>5500</v>
      </c>
      <c r="I241" s="2" t="s">
        <v>1783</v>
      </c>
      <c r="J241" s="2" t="s">
        <v>840</v>
      </c>
      <c r="K241" s="2" t="s">
        <v>861</v>
      </c>
    </row>
    <row r="242" spans="1:13" x14ac:dyDescent="0.25">
      <c r="A242" s="2" t="s">
        <v>2400</v>
      </c>
      <c r="B242" s="2" t="s">
        <v>18</v>
      </c>
      <c r="C242" s="2" t="s">
        <v>1060</v>
      </c>
      <c r="D242" s="2" t="s">
        <v>1061</v>
      </c>
      <c r="E242" s="2" t="s">
        <v>231</v>
      </c>
      <c r="F242" s="2">
        <v>3.1111111111111098</v>
      </c>
      <c r="G242" s="2">
        <v>27</v>
      </c>
      <c r="H242" s="2">
        <v>5500</v>
      </c>
      <c r="I242" s="2" t="s">
        <v>2124</v>
      </c>
      <c r="J242" s="2" t="s">
        <v>852</v>
      </c>
      <c r="K242" s="2" t="s">
        <v>2125</v>
      </c>
    </row>
    <row r="243" spans="1:13" x14ac:dyDescent="0.25">
      <c r="A243" s="2" t="s">
        <v>2401</v>
      </c>
      <c r="B243" s="2" t="s">
        <v>18</v>
      </c>
      <c r="C243" s="2" t="s">
        <v>375</v>
      </c>
      <c r="D243" s="2" t="s">
        <v>376</v>
      </c>
      <c r="E243" s="2" t="s">
        <v>377</v>
      </c>
      <c r="F243" s="2">
        <v>9.6818181818181799</v>
      </c>
      <c r="G243" s="2">
        <v>22</v>
      </c>
      <c r="H243" s="2">
        <v>5500</v>
      </c>
      <c r="I243" s="2" t="s">
        <v>2081</v>
      </c>
      <c r="J243" s="2" t="s">
        <v>76</v>
      </c>
      <c r="K243" s="2" t="s">
        <v>73</v>
      </c>
    </row>
    <row r="244" spans="1:13" x14ac:dyDescent="0.25">
      <c r="A244" s="2" t="s">
        <v>2402</v>
      </c>
      <c r="B244" s="2" t="s">
        <v>18</v>
      </c>
      <c r="C244" s="2" t="s">
        <v>1859</v>
      </c>
      <c r="D244" s="2" t="s">
        <v>1860</v>
      </c>
      <c r="E244" s="2" t="s">
        <v>1861</v>
      </c>
      <c r="F244" s="2">
        <v>5</v>
      </c>
      <c r="G244" s="2">
        <v>7</v>
      </c>
      <c r="H244" s="2">
        <v>5500</v>
      </c>
      <c r="I244" s="2" t="s">
        <v>2081</v>
      </c>
      <c r="J244" s="2" t="s">
        <v>73</v>
      </c>
      <c r="K244" s="2" t="s">
        <v>76</v>
      </c>
      <c r="L244" s="2" t="s">
        <v>200</v>
      </c>
      <c r="M244" s="2" t="s">
        <v>247</v>
      </c>
    </row>
    <row r="245" spans="1:13" x14ac:dyDescent="0.25">
      <c r="A245" s="2" t="s">
        <v>2403</v>
      </c>
      <c r="B245" s="2" t="s">
        <v>18</v>
      </c>
      <c r="C245" s="2" t="s">
        <v>441</v>
      </c>
      <c r="D245" s="2" t="s">
        <v>1862</v>
      </c>
      <c r="E245" s="2" t="s">
        <v>1863</v>
      </c>
      <c r="F245" s="2">
        <v>3.6818181818181799</v>
      </c>
      <c r="G245" s="2">
        <v>22</v>
      </c>
      <c r="H245" s="2">
        <v>5500</v>
      </c>
      <c r="I245" s="2" t="s">
        <v>2081</v>
      </c>
      <c r="J245" s="2" t="s">
        <v>73</v>
      </c>
      <c r="K245" s="2" t="s">
        <v>76</v>
      </c>
    </row>
    <row r="246" spans="1:13" x14ac:dyDescent="0.25">
      <c r="A246" s="2" t="s">
        <v>2404</v>
      </c>
      <c r="B246" s="2" t="s">
        <v>18</v>
      </c>
      <c r="C246" s="2" t="s">
        <v>212</v>
      </c>
      <c r="D246" s="2" t="s">
        <v>1864</v>
      </c>
      <c r="E246" s="2" t="s">
        <v>1865</v>
      </c>
      <c r="F246" s="2">
        <v>3.8846153846153801</v>
      </c>
      <c r="G246" s="2">
        <v>26</v>
      </c>
      <c r="H246" s="2">
        <v>5500</v>
      </c>
      <c r="I246" s="2" t="s">
        <v>2075</v>
      </c>
      <c r="J246" s="2" t="s">
        <v>37</v>
      </c>
      <c r="K246" s="2" t="s">
        <v>2076</v>
      </c>
    </row>
    <row r="247" spans="1:13" x14ac:dyDescent="0.25">
      <c r="A247" s="2" t="s">
        <v>2405</v>
      </c>
      <c r="B247" s="2" t="s">
        <v>18</v>
      </c>
      <c r="C247" s="2" t="s">
        <v>2406</v>
      </c>
      <c r="D247" s="2" t="s">
        <v>2407</v>
      </c>
      <c r="E247" s="2" t="s">
        <v>2408</v>
      </c>
      <c r="F247" s="2">
        <v>8.21428571428571</v>
      </c>
      <c r="G247" s="2">
        <v>56</v>
      </c>
      <c r="H247" s="2">
        <v>5500</v>
      </c>
      <c r="I247" s="2" t="s">
        <v>2065</v>
      </c>
      <c r="J247" s="2" t="s">
        <v>2066</v>
      </c>
      <c r="K247" s="2" t="s">
        <v>69</v>
      </c>
    </row>
    <row r="248" spans="1:13" x14ac:dyDescent="0.25">
      <c r="A248" s="2" t="s">
        <v>2409</v>
      </c>
      <c r="B248" s="2" t="s">
        <v>18</v>
      </c>
      <c r="C248" s="2" t="s">
        <v>412</v>
      </c>
      <c r="D248" s="2" t="s">
        <v>442</v>
      </c>
      <c r="E248" s="2" t="s">
        <v>443</v>
      </c>
      <c r="F248" s="2">
        <v>4.7105263157894699</v>
      </c>
      <c r="G248" s="2">
        <v>38</v>
      </c>
      <c r="H248" s="2">
        <v>5500</v>
      </c>
      <c r="I248" s="2" t="s">
        <v>2072</v>
      </c>
      <c r="J248" s="2" t="s">
        <v>74</v>
      </c>
      <c r="K248" s="2" t="s">
        <v>842</v>
      </c>
    </row>
    <row r="249" spans="1:13" x14ac:dyDescent="0.25">
      <c r="A249" s="2" t="s">
        <v>2410</v>
      </c>
      <c r="B249" s="2" t="s">
        <v>18</v>
      </c>
      <c r="C249" s="2" t="s">
        <v>1062</v>
      </c>
      <c r="D249" s="2" t="s">
        <v>1063</v>
      </c>
      <c r="E249" s="2" t="s">
        <v>1064</v>
      </c>
      <c r="F249" s="2">
        <v>5.9736842105263097</v>
      </c>
      <c r="G249" s="2">
        <v>38</v>
      </c>
      <c r="H249" s="2">
        <v>5500</v>
      </c>
      <c r="I249" s="2" t="s">
        <v>2072</v>
      </c>
      <c r="J249" s="2" t="s">
        <v>842</v>
      </c>
      <c r="K249" s="2" t="s">
        <v>74</v>
      </c>
    </row>
    <row r="250" spans="1:13" x14ac:dyDescent="0.25">
      <c r="A250" s="2" t="s">
        <v>2411</v>
      </c>
      <c r="B250" s="2" t="s">
        <v>18</v>
      </c>
      <c r="C250" s="2" t="s">
        <v>1065</v>
      </c>
      <c r="D250" s="2" t="s">
        <v>1066</v>
      </c>
      <c r="E250" s="2" t="s">
        <v>1027</v>
      </c>
      <c r="F250" s="2">
        <v>5.2156862745097996</v>
      </c>
      <c r="G250" s="2">
        <v>51</v>
      </c>
      <c r="H250" s="2">
        <v>5500</v>
      </c>
      <c r="I250" s="2" t="s">
        <v>2090</v>
      </c>
      <c r="J250" s="2" t="s">
        <v>844</v>
      </c>
      <c r="K250" s="2" t="s">
        <v>2091</v>
      </c>
    </row>
    <row r="251" spans="1:13" x14ac:dyDescent="0.25">
      <c r="A251" s="2" t="s">
        <v>2412</v>
      </c>
      <c r="B251" s="2" t="s">
        <v>18</v>
      </c>
      <c r="C251" s="2" t="s">
        <v>450</v>
      </c>
      <c r="D251" s="2" t="s">
        <v>1866</v>
      </c>
      <c r="E251" s="2" t="s">
        <v>1867</v>
      </c>
      <c r="F251" s="2">
        <v>6.5</v>
      </c>
      <c r="G251" s="2">
        <v>44</v>
      </c>
      <c r="H251" s="2">
        <v>5500</v>
      </c>
      <c r="I251" s="2" t="s">
        <v>2070</v>
      </c>
      <c r="J251" s="2" t="s">
        <v>36</v>
      </c>
      <c r="K251" s="2" t="s">
        <v>848</v>
      </c>
    </row>
    <row r="252" spans="1:13" x14ac:dyDescent="0.25">
      <c r="A252" s="2" t="s">
        <v>2413</v>
      </c>
      <c r="B252" s="2" t="s">
        <v>18</v>
      </c>
      <c r="C252" s="2" t="s">
        <v>252</v>
      </c>
      <c r="D252" s="2" t="s">
        <v>1067</v>
      </c>
      <c r="E252" s="2" t="s">
        <v>1068</v>
      </c>
      <c r="F252" s="2">
        <v>7.1886792452830104</v>
      </c>
      <c r="G252" s="2">
        <v>53</v>
      </c>
      <c r="H252" s="2">
        <v>5500</v>
      </c>
      <c r="I252" s="2" t="s">
        <v>2097</v>
      </c>
      <c r="J252" s="2" t="s">
        <v>853</v>
      </c>
      <c r="K252" s="2" t="s">
        <v>159</v>
      </c>
    </row>
    <row r="253" spans="1:13" x14ac:dyDescent="0.25">
      <c r="A253" s="2" t="s">
        <v>2414</v>
      </c>
      <c r="B253" s="2" t="s">
        <v>18</v>
      </c>
      <c r="C253" s="2" t="s">
        <v>252</v>
      </c>
      <c r="D253" s="2" t="s">
        <v>1069</v>
      </c>
      <c r="E253" s="2" t="s">
        <v>1070</v>
      </c>
      <c r="F253" s="2">
        <v>1.6666666666666601</v>
      </c>
      <c r="G253" s="2">
        <v>3</v>
      </c>
      <c r="H253" s="2">
        <v>5500</v>
      </c>
      <c r="I253" s="2" t="s">
        <v>2079</v>
      </c>
      <c r="J253" s="2" t="s">
        <v>855</v>
      </c>
      <c r="K253" s="2" t="s">
        <v>843</v>
      </c>
    </row>
    <row r="254" spans="1:13" x14ac:dyDescent="0.25">
      <c r="A254" s="2" t="s">
        <v>2415</v>
      </c>
      <c r="B254" s="2" t="s">
        <v>18</v>
      </c>
      <c r="C254" s="2" t="s">
        <v>387</v>
      </c>
      <c r="D254" s="2" t="s">
        <v>1014</v>
      </c>
      <c r="E254" s="2" t="s">
        <v>1015</v>
      </c>
      <c r="F254" s="2">
        <v>11.3</v>
      </c>
      <c r="G254" s="2">
        <v>10</v>
      </c>
      <c r="H254" s="2">
        <v>5500</v>
      </c>
      <c r="I254" s="2" t="s">
        <v>1783</v>
      </c>
      <c r="J254" s="2" t="s">
        <v>840</v>
      </c>
      <c r="K254" s="2" t="s">
        <v>861</v>
      </c>
    </row>
    <row r="255" spans="1:13" x14ac:dyDescent="0.25">
      <c r="A255" s="2" t="s">
        <v>2416</v>
      </c>
      <c r="B255" s="2" t="s">
        <v>18</v>
      </c>
      <c r="C255" s="2" t="s">
        <v>774</v>
      </c>
      <c r="D255" s="2" t="s">
        <v>1071</v>
      </c>
      <c r="E255" s="2" t="s">
        <v>1072</v>
      </c>
      <c r="F255" s="2">
        <v>3.9591836734693802</v>
      </c>
      <c r="G255" s="2">
        <v>49</v>
      </c>
      <c r="H255" s="2">
        <v>5500</v>
      </c>
      <c r="I255" s="2" t="s">
        <v>2068</v>
      </c>
      <c r="J255" s="2" t="s">
        <v>860</v>
      </c>
      <c r="K255" s="2" t="s">
        <v>38</v>
      </c>
    </row>
    <row r="256" spans="1:13" x14ac:dyDescent="0.25">
      <c r="A256" s="2" t="s">
        <v>2417</v>
      </c>
      <c r="B256" s="2" t="s">
        <v>18</v>
      </c>
      <c r="C256" s="2" t="s">
        <v>1868</v>
      </c>
      <c r="D256" s="2" t="s">
        <v>1869</v>
      </c>
      <c r="E256" s="2" t="s">
        <v>466</v>
      </c>
      <c r="F256" s="2">
        <v>5.5090909090908999</v>
      </c>
      <c r="G256" s="2">
        <v>55</v>
      </c>
      <c r="H256" s="2">
        <v>5500</v>
      </c>
      <c r="I256" s="2" t="s">
        <v>2065</v>
      </c>
      <c r="J256" s="2" t="s">
        <v>69</v>
      </c>
      <c r="K256" s="2" t="s">
        <v>2066</v>
      </c>
    </row>
    <row r="257" spans="1:11" x14ac:dyDescent="0.25">
      <c r="A257" s="2" t="s">
        <v>2418</v>
      </c>
      <c r="B257" s="2" t="s">
        <v>18</v>
      </c>
      <c r="C257" s="2" t="s">
        <v>197</v>
      </c>
      <c r="D257" s="2" t="s">
        <v>2419</v>
      </c>
      <c r="E257" s="2" t="s">
        <v>2420</v>
      </c>
      <c r="F257" s="2">
        <v>6.3235294117647003</v>
      </c>
      <c r="G257" s="2">
        <v>34</v>
      </c>
      <c r="H257" s="2">
        <v>5500</v>
      </c>
      <c r="I257" s="2" t="s">
        <v>2081</v>
      </c>
      <c r="J257" s="2" t="s">
        <v>73</v>
      </c>
      <c r="K257" s="2" t="s">
        <v>76</v>
      </c>
    </row>
    <row r="258" spans="1:11" x14ac:dyDescent="0.25">
      <c r="A258" s="2" t="s">
        <v>2421</v>
      </c>
      <c r="B258" s="2" t="s">
        <v>18</v>
      </c>
      <c r="C258" s="2" t="s">
        <v>197</v>
      </c>
      <c r="D258" s="2" t="s">
        <v>2422</v>
      </c>
      <c r="E258" s="2" t="s">
        <v>2423</v>
      </c>
      <c r="F258" s="2">
        <v>3.3265306122448899</v>
      </c>
      <c r="G258" s="2">
        <v>49</v>
      </c>
      <c r="H258" s="2">
        <v>5500</v>
      </c>
      <c r="I258" s="2" t="s">
        <v>2075</v>
      </c>
      <c r="J258" s="2" t="s">
        <v>2076</v>
      </c>
      <c r="K258" s="2" t="s">
        <v>37</v>
      </c>
    </row>
    <row r="259" spans="1:11" x14ac:dyDescent="0.25">
      <c r="A259" s="2" t="s">
        <v>2424</v>
      </c>
      <c r="B259" s="2" t="s">
        <v>18</v>
      </c>
      <c r="C259" s="2" t="s">
        <v>283</v>
      </c>
      <c r="D259" s="2" t="s">
        <v>485</v>
      </c>
      <c r="E259" s="2" t="s">
        <v>486</v>
      </c>
      <c r="F259" s="2">
        <v>4.2372881355932197</v>
      </c>
      <c r="G259" s="2">
        <v>59</v>
      </c>
      <c r="H259" s="2">
        <v>5500</v>
      </c>
      <c r="I259" s="2" t="s">
        <v>2068</v>
      </c>
      <c r="J259" s="2" t="s">
        <v>38</v>
      </c>
      <c r="K259" s="2" t="s">
        <v>860</v>
      </c>
    </row>
    <row r="260" spans="1:11" x14ac:dyDescent="0.25">
      <c r="A260" s="2" t="s">
        <v>2425</v>
      </c>
      <c r="B260" s="2" t="s">
        <v>18</v>
      </c>
      <c r="C260" s="2" t="s">
        <v>1870</v>
      </c>
      <c r="D260" s="2" t="s">
        <v>1871</v>
      </c>
      <c r="E260" s="2" t="s">
        <v>1872</v>
      </c>
      <c r="F260" s="2">
        <v>5.8695652173913002</v>
      </c>
      <c r="G260" s="2">
        <v>23</v>
      </c>
      <c r="H260" s="2">
        <v>5500</v>
      </c>
      <c r="I260" s="2" t="s">
        <v>2081</v>
      </c>
      <c r="J260" s="2" t="s">
        <v>73</v>
      </c>
      <c r="K260" s="2" t="s">
        <v>76</v>
      </c>
    </row>
    <row r="261" spans="1:11" x14ac:dyDescent="0.25">
      <c r="A261" s="2" t="s">
        <v>2426</v>
      </c>
      <c r="B261" s="2" t="s">
        <v>18</v>
      </c>
      <c r="C261" s="2" t="s">
        <v>288</v>
      </c>
      <c r="D261" s="2" t="s">
        <v>1073</v>
      </c>
      <c r="E261" s="2" t="s">
        <v>1074</v>
      </c>
      <c r="F261" s="2">
        <v>5.9285714285714199</v>
      </c>
      <c r="G261" s="2">
        <v>28</v>
      </c>
      <c r="H261" s="2">
        <v>5500</v>
      </c>
      <c r="I261" s="2" t="s">
        <v>2079</v>
      </c>
      <c r="J261" s="2" t="s">
        <v>855</v>
      </c>
      <c r="K261" s="2" t="s">
        <v>843</v>
      </c>
    </row>
    <row r="262" spans="1:11" x14ac:dyDescent="0.25">
      <c r="A262" s="2" t="s">
        <v>2427</v>
      </c>
      <c r="B262" s="2" t="s">
        <v>18</v>
      </c>
      <c r="C262" s="2" t="s">
        <v>248</v>
      </c>
      <c r="D262" s="2" t="s">
        <v>1075</v>
      </c>
      <c r="E262" s="2" t="s">
        <v>1076</v>
      </c>
      <c r="F262" s="2">
        <v>4.9803921568627398</v>
      </c>
      <c r="G262" s="2">
        <v>51</v>
      </c>
      <c r="H262" s="2">
        <v>5500</v>
      </c>
      <c r="I262" s="2" t="s">
        <v>2090</v>
      </c>
      <c r="J262" s="2" t="s">
        <v>844</v>
      </c>
      <c r="K262" s="2" t="s">
        <v>2091</v>
      </c>
    </row>
    <row r="263" spans="1:11" x14ac:dyDescent="0.25">
      <c r="A263" s="2" t="s">
        <v>2428</v>
      </c>
      <c r="B263" s="2" t="s">
        <v>18</v>
      </c>
      <c r="C263" s="2" t="s">
        <v>500</v>
      </c>
      <c r="D263" s="2" t="s">
        <v>501</v>
      </c>
      <c r="E263" s="2" t="s">
        <v>502</v>
      </c>
      <c r="F263" s="2">
        <v>5.1315789473684204</v>
      </c>
      <c r="G263" s="2">
        <v>38</v>
      </c>
      <c r="H263" s="2">
        <v>5500</v>
      </c>
      <c r="I263" s="2" t="s">
        <v>2075</v>
      </c>
      <c r="J263" s="2" t="s">
        <v>37</v>
      </c>
      <c r="K263" s="2" t="s">
        <v>2076</v>
      </c>
    </row>
    <row r="264" spans="1:11" x14ac:dyDescent="0.25">
      <c r="A264" s="2" t="s">
        <v>2429</v>
      </c>
      <c r="B264" s="2" t="s">
        <v>18</v>
      </c>
      <c r="C264" s="2" t="s">
        <v>1077</v>
      </c>
      <c r="D264" s="2" t="s">
        <v>1078</v>
      </c>
      <c r="E264" s="2" t="s">
        <v>1079</v>
      </c>
      <c r="F264" s="2">
        <v>7.3035714285714199</v>
      </c>
      <c r="G264" s="2">
        <v>56</v>
      </c>
      <c r="H264" s="2">
        <v>5500</v>
      </c>
      <c r="I264" s="2" t="s">
        <v>2108</v>
      </c>
      <c r="J264" s="2" t="s">
        <v>841</v>
      </c>
      <c r="K264" s="2" t="s">
        <v>856</v>
      </c>
    </row>
    <row r="265" spans="1:11" x14ac:dyDescent="0.25">
      <c r="A265" s="2" t="s">
        <v>2430</v>
      </c>
      <c r="B265" s="2" t="s">
        <v>18</v>
      </c>
      <c r="C265" s="2" t="s">
        <v>197</v>
      </c>
      <c r="D265" s="2" t="s">
        <v>506</v>
      </c>
      <c r="E265" s="2" t="s">
        <v>419</v>
      </c>
      <c r="F265" s="2">
        <v>2.25</v>
      </c>
      <c r="G265" s="2">
        <v>4</v>
      </c>
      <c r="H265" s="2">
        <v>5500</v>
      </c>
      <c r="I265" s="2" t="s">
        <v>2106</v>
      </c>
      <c r="J265" s="2" t="s">
        <v>35</v>
      </c>
      <c r="K265" s="2" t="s">
        <v>34</v>
      </c>
    </row>
    <row r="266" spans="1:11" x14ac:dyDescent="0.25">
      <c r="A266" s="2" t="s">
        <v>2431</v>
      </c>
      <c r="B266" s="2" t="s">
        <v>18</v>
      </c>
      <c r="C266" s="2" t="s">
        <v>1080</v>
      </c>
      <c r="D266" s="2" t="s">
        <v>1081</v>
      </c>
      <c r="E266" s="2" t="s">
        <v>1082</v>
      </c>
      <c r="F266" s="2">
        <v>4.21428571428571</v>
      </c>
      <c r="G266" s="2">
        <v>14</v>
      </c>
      <c r="H266" s="2">
        <v>5500</v>
      </c>
      <c r="I266" s="2" t="s">
        <v>2108</v>
      </c>
      <c r="J266" s="2" t="s">
        <v>841</v>
      </c>
      <c r="K266" s="2" t="s">
        <v>856</v>
      </c>
    </row>
    <row r="267" spans="1:11" x14ac:dyDescent="0.25">
      <c r="A267" s="2" t="s">
        <v>2432</v>
      </c>
      <c r="B267" s="2" t="s">
        <v>18</v>
      </c>
      <c r="C267" s="2" t="s">
        <v>507</v>
      </c>
      <c r="D267" s="2" t="s">
        <v>508</v>
      </c>
      <c r="E267" s="2" t="s">
        <v>509</v>
      </c>
      <c r="F267" s="2">
        <v>10.043478260869501</v>
      </c>
      <c r="G267" s="2">
        <v>23</v>
      </c>
      <c r="H267" s="2">
        <v>5500</v>
      </c>
      <c r="I267" s="2" t="s">
        <v>2106</v>
      </c>
      <c r="J267" s="2" t="s">
        <v>34</v>
      </c>
      <c r="K267" s="2" t="s">
        <v>35</v>
      </c>
    </row>
    <row r="268" spans="1:11" x14ac:dyDescent="0.25">
      <c r="A268" s="2" t="s">
        <v>2433</v>
      </c>
      <c r="B268" s="2" t="s">
        <v>18</v>
      </c>
      <c r="C268" s="2" t="s">
        <v>204</v>
      </c>
      <c r="D268" s="2" t="s">
        <v>1083</v>
      </c>
      <c r="E268" s="2" t="s">
        <v>1084</v>
      </c>
      <c r="F268" s="2">
        <v>5.4067796610169401</v>
      </c>
      <c r="G268" s="2">
        <v>59</v>
      </c>
      <c r="H268" s="2">
        <v>5500</v>
      </c>
      <c r="I268" s="2" t="s">
        <v>2124</v>
      </c>
      <c r="J268" s="2" t="s">
        <v>852</v>
      </c>
      <c r="K268" s="2" t="s">
        <v>2125</v>
      </c>
    </row>
    <row r="269" spans="1:11" x14ac:dyDescent="0.25">
      <c r="A269" s="2" t="s">
        <v>2434</v>
      </c>
      <c r="B269" s="2" t="s">
        <v>18</v>
      </c>
      <c r="C269" s="2" t="s">
        <v>2435</v>
      </c>
      <c r="D269" s="2" t="s">
        <v>2436</v>
      </c>
      <c r="E269" s="2" t="s">
        <v>2437</v>
      </c>
      <c r="F269" s="2">
        <v>4.7692307692307603</v>
      </c>
      <c r="G269" s="2">
        <v>13</v>
      </c>
      <c r="H269" s="2">
        <v>5500</v>
      </c>
      <c r="I269" s="2" t="s">
        <v>2090</v>
      </c>
      <c r="J269" s="2" t="s">
        <v>2091</v>
      </c>
      <c r="K269" s="2" t="s">
        <v>844</v>
      </c>
    </row>
    <row r="270" spans="1:11" x14ac:dyDescent="0.25">
      <c r="A270" s="2" t="s">
        <v>2438</v>
      </c>
      <c r="B270" s="2" t="s">
        <v>18</v>
      </c>
      <c r="C270" s="2" t="s">
        <v>620</v>
      </c>
      <c r="D270" s="2" t="s">
        <v>913</v>
      </c>
      <c r="E270" s="2" t="s">
        <v>914</v>
      </c>
      <c r="F270" s="2">
        <v>11.3888888888888</v>
      </c>
      <c r="G270" s="2">
        <v>18</v>
      </c>
      <c r="H270" s="2">
        <v>5500</v>
      </c>
      <c r="I270" s="2" t="s">
        <v>2124</v>
      </c>
      <c r="J270" s="2" t="s">
        <v>852</v>
      </c>
      <c r="K270" s="2" t="s">
        <v>2125</v>
      </c>
    </row>
    <row r="271" spans="1:11" x14ac:dyDescent="0.25">
      <c r="A271" s="2" t="s">
        <v>2439</v>
      </c>
      <c r="B271" s="2" t="s">
        <v>18</v>
      </c>
      <c r="C271" s="2" t="s">
        <v>1085</v>
      </c>
      <c r="D271" s="2" t="s">
        <v>1086</v>
      </c>
      <c r="E271" s="2" t="s">
        <v>993</v>
      </c>
      <c r="F271" s="2">
        <v>10.6</v>
      </c>
      <c r="G271" s="2">
        <v>5</v>
      </c>
      <c r="H271" s="2">
        <v>5500</v>
      </c>
      <c r="I271" s="2" t="s">
        <v>2072</v>
      </c>
      <c r="J271" s="2" t="s">
        <v>842</v>
      </c>
      <c r="K271" s="2" t="s">
        <v>74</v>
      </c>
    </row>
    <row r="272" spans="1:11" x14ac:dyDescent="0.25">
      <c r="A272" s="2" t="s">
        <v>2440</v>
      </c>
      <c r="B272" s="2" t="s">
        <v>18</v>
      </c>
      <c r="C272" s="2" t="s">
        <v>1013</v>
      </c>
      <c r="D272" s="2" t="s">
        <v>1873</v>
      </c>
      <c r="E272" s="2" t="s">
        <v>1874</v>
      </c>
      <c r="F272" s="2">
        <v>0</v>
      </c>
      <c r="G272" s="2">
        <v>0</v>
      </c>
      <c r="H272" s="2">
        <v>5500</v>
      </c>
      <c r="I272" s="2" t="s">
        <v>2079</v>
      </c>
      <c r="J272" s="2" t="s">
        <v>843</v>
      </c>
      <c r="K272" s="2" t="s">
        <v>855</v>
      </c>
    </row>
    <row r="273" spans="1:11" x14ac:dyDescent="0.25">
      <c r="A273" s="2" t="s">
        <v>2441</v>
      </c>
      <c r="B273" s="2" t="s">
        <v>18</v>
      </c>
      <c r="C273" s="2" t="s">
        <v>1087</v>
      </c>
      <c r="D273" s="2" t="s">
        <v>1088</v>
      </c>
      <c r="E273" s="2" t="s">
        <v>1089</v>
      </c>
      <c r="F273" s="2">
        <v>6</v>
      </c>
      <c r="G273" s="2">
        <v>10</v>
      </c>
      <c r="H273" s="2">
        <v>5500</v>
      </c>
      <c r="I273" s="2" t="s">
        <v>2072</v>
      </c>
      <c r="J273" s="2" t="s">
        <v>842</v>
      </c>
      <c r="K273" s="2" t="s">
        <v>74</v>
      </c>
    </row>
    <row r="274" spans="1:11" x14ac:dyDescent="0.25">
      <c r="A274" s="2" t="s">
        <v>2442</v>
      </c>
      <c r="B274" s="2" t="s">
        <v>18</v>
      </c>
      <c r="C274" s="2" t="s">
        <v>2443</v>
      </c>
      <c r="D274" s="2" t="s">
        <v>2444</v>
      </c>
      <c r="E274" s="2" t="s">
        <v>2445</v>
      </c>
      <c r="F274" s="2">
        <v>10.5</v>
      </c>
      <c r="G274" s="2">
        <v>2</v>
      </c>
      <c r="H274" s="2">
        <v>5500</v>
      </c>
      <c r="I274" s="2" t="s">
        <v>2090</v>
      </c>
      <c r="J274" s="2" t="s">
        <v>2091</v>
      </c>
      <c r="K274" s="2" t="s">
        <v>844</v>
      </c>
    </row>
    <row r="275" spans="1:11" x14ac:dyDescent="0.25">
      <c r="A275" s="2" t="s">
        <v>2446</v>
      </c>
      <c r="B275" s="2" t="s">
        <v>18</v>
      </c>
      <c r="C275" s="2" t="s">
        <v>1944</v>
      </c>
      <c r="D275" s="2" t="s">
        <v>2447</v>
      </c>
      <c r="E275" s="2" t="s">
        <v>2448</v>
      </c>
      <c r="F275" s="2">
        <v>1.6</v>
      </c>
      <c r="G275" s="2">
        <v>5</v>
      </c>
      <c r="H275" s="2">
        <v>5500</v>
      </c>
      <c r="I275" s="2" t="s">
        <v>1783</v>
      </c>
      <c r="J275" s="2" t="s">
        <v>840</v>
      </c>
      <c r="K275" s="2" t="s">
        <v>861</v>
      </c>
    </row>
    <row r="276" spans="1:11" x14ac:dyDescent="0.25">
      <c r="A276" s="2" t="s">
        <v>2449</v>
      </c>
      <c r="B276" s="2" t="s">
        <v>18</v>
      </c>
      <c r="C276" s="2" t="s">
        <v>330</v>
      </c>
      <c r="D276" s="2" t="s">
        <v>1875</v>
      </c>
      <c r="E276" s="2" t="s">
        <v>1876</v>
      </c>
      <c r="F276" s="2">
        <v>-0.33333333333333298</v>
      </c>
      <c r="G276" s="2">
        <v>3</v>
      </c>
      <c r="H276" s="2">
        <v>5500</v>
      </c>
      <c r="I276" s="2" t="s">
        <v>2070</v>
      </c>
      <c r="J276" s="2" t="s">
        <v>36</v>
      </c>
      <c r="K276" s="2" t="s">
        <v>848</v>
      </c>
    </row>
    <row r="277" spans="1:11" x14ac:dyDescent="0.25">
      <c r="A277" s="2" t="s">
        <v>2450</v>
      </c>
      <c r="B277" s="2" t="s">
        <v>18</v>
      </c>
      <c r="C277" s="2" t="s">
        <v>1090</v>
      </c>
      <c r="D277" s="2" t="s">
        <v>1091</v>
      </c>
      <c r="E277" s="2" t="s">
        <v>1092</v>
      </c>
      <c r="F277" s="2">
        <v>9.3333333333333304</v>
      </c>
      <c r="G277" s="2">
        <v>6</v>
      </c>
      <c r="H277" s="2">
        <v>5500</v>
      </c>
      <c r="I277" s="2" t="s">
        <v>2124</v>
      </c>
      <c r="J277" s="2" t="s">
        <v>852</v>
      </c>
      <c r="K277" s="2" t="s">
        <v>2125</v>
      </c>
    </row>
    <row r="278" spans="1:11" x14ac:dyDescent="0.25">
      <c r="A278" s="2" t="s">
        <v>2451</v>
      </c>
      <c r="B278" s="2" t="s">
        <v>18</v>
      </c>
      <c r="C278" s="2" t="s">
        <v>217</v>
      </c>
      <c r="D278" s="2" t="s">
        <v>522</v>
      </c>
      <c r="E278" s="2" t="s">
        <v>523</v>
      </c>
      <c r="F278" s="2">
        <v>5.78</v>
      </c>
      <c r="G278" s="2">
        <v>50</v>
      </c>
      <c r="H278" s="2">
        <v>5500</v>
      </c>
      <c r="I278" s="2" t="s">
        <v>2081</v>
      </c>
      <c r="J278" s="2" t="s">
        <v>76</v>
      </c>
      <c r="K278" s="2" t="s">
        <v>73</v>
      </c>
    </row>
    <row r="279" spans="1:11" x14ac:dyDescent="0.25">
      <c r="A279" s="2" t="s">
        <v>2452</v>
      </c>
      <c r="B279" s="2" t="s">
        <v>18</v>
      </c>
      <c r="C279" s="2" t="s">
        <v>425</v>
      </c>
      <c r="D279" s="2" t="s">
        <v>524</v>
      </c>
      <c r="E279" s="2" t="s">
        <v>525</v>
      </c>
      <c r="F279" s="2">
        <v>5.9130434782608603</v>
      </c>
      <c r="G279" s="2">
        <v>46</v>
      </c>
      <c r="H279" s="2">
        <v>5500</v>
      </c>
      <c r="I279" s="2" t="s">
        <v>2097</v>
      </c>
      <c r="J279" s="2" t="s">
        <v>159</v>
      </c>
      <c r="K279" s="2" t="s">
        <v>853</v>
      </c>
    </row>
    <row r="280" spans="1:11" x14ac:dyDescent="0.25">
      <c r="A280" s="2" t="s">
        <v>2453</v>
      </c>
      <c r="B280" s="2" t="s">
        <v>18</v>
      </c>
      <c r="C280" s="2" t="s">
        <v>318</v>
      </c>
      <c r="D280" s="2" t="s">
        <v>1093</v>
      </c>
      <c r="E280" s="2" t="s">
        <v>1094</v>
      </c>
      <c r="F280" s="2">
        <v>4.8214285714285703</v>
      </c>
      <c r="G280" s="2">
        <v>28</v>
      </c>
      <c r="H280" s="2">
        <v>5500</v>
      </c>
      <c r="I280" s="2" t="s">
        <v>1783</v>
      </c>
      <c r="J280" s="2" t="s">
        <v>840</v>
      </c>
      <c r="K280" s="2" t="s">
        <v>861</v>
      </c>
    </row>
    <row r="281" spans="1:11" x14ac:dyDescent="0.25">
      <c r="A281" s="2" t="s">
        <v>2454</v>
      </c>
      <c r="B281" s="2" t="s">
        <v>18</v>
      </c>
      <c r="C281" s="2" t="s">
        <v>526</v>
      </c>
      <c r="D281" s="2" t="s">
        <v>527</v>
      </c>
      <c r="E281" s="2" t="s">
        <v>528</v>
      </c>
      <c r="F281" s="2">
        <v>5.3333333333333304</v>
      </c>
      <c r="G281" s="2">
        <v>3</v>
      </c>
      <c r="H281" s="2">
        <v>5500</v>
      </c>
      <c r="I281" s="2" t="s">
        <v>2065</v>
      </c>
      <c r="J281" s="2" t="s">
        <v>2066</v>
      </c>
      <c r="K281" s="2" t="s">
        <v>69</v>
      </c>
    </row>
    <row r="282" spans="1:11" x14ac:dyDescent="0.25">
      <c r="A282" s="2" t="s">
        <v>2455</v>
      </c>
      <c r="B282" s="2" t="s">
        <v>18</v>
      </c>
      <c r="C282" s="2" t="s">
        <v>1096</v>
      </c>
      <c r="D282" s="2" t="s">
        <v>1097</v>
      </c>
      <c r="E282" s="2" t="s">
        <v>1098</v>
      </c>
      <c r="F282" s="2">
        <v>4.0909090909090899</v>
      </c>
      <c r="G282" s="2">
        <v>11</v>
      </c>
      <c r="H282" s="2">
        <v>5500</v>
      </c>
      <c r="I282" s="2" t="s">
        <v>2075</v>
      </c>
      <c r="J282" s="2" t="s">
        <v>2076</v>
      </c>
      <c r="K282" s="2" t="s">
        <v>37</v>
      </c>
    </row>
    <row r="283" spans="1:11" x14ac:dyDescent="0.25">
      <c r="A283" s="2" t="s">
        <v>2456</v>
      </c>
      <c r="B283" s="2" t="s">
        <v>18</v>
      </c>
      <c r="C283" s="2" t="s">
        <v>342</v>
      </c>
      <c r="D283" s="2" t="s">
        <v>533</v>
      </c>
      <c r="E283" s="2" t="s">
        <v>534</v>
      </c>
      <c r="F283" s="2">
        <v>4.0333333333333297</v>
      </c>
      <c r="G283" s="2">
        <v>30</v>
      </c>
      <c r="H283" s="2">
        <v>5500</v>
      </c>
      <c r="I283" s="2" t="s">
        <v>2106</v>
      </c>
      <c r="J283" s="2" t="s">
        <v>34</v>
      </c>
      <c r="K283" s="2" t="s">
        <v>35</v>
      </c>
    </row>
    <row r="284" spans="1:11" x14ac:dyDescent="0.25">
      <c r="A284" s="2" t="s">
        <v>2457</v>
      </c>
      <c r="B284" s="2" t="s">
        <v>18</v>
      </c>
      <c r="C284" s="2" t="s">
        <v>237</v>
      </c>
      <c r="D284" s="2" t="s">
        <v>1099</v>
      </c>
      <c r="E284" s="2" t="s">
        <v>1100</v>
      </c>
      <c r="F284" s="2">
        <v>5.96</v>
      </c>
      <c r="G284" s="2">
        <v>25</v>
      </c>
      <c r="H284" s="2">
        <v>5500</v>
      </c>
      <c r="I284" s="2" t="s">
        <v>1783</v>
      </c>
      <c r="J284" s="2" t="s">
        <v>840</v>
      </c>
      <c r="K284" s="2" t="s">
        <v>861</v>
      </c>
    </row>
    <row r="285" spans="1:11" x14ac:dyDescent="0.25">
      <c r="A285" s="2" t="s">
        <v>2458</v>
      </c>
      <c r="B285" s="2" t="s">
        <v>18</v>
      </c>
      <c r="C285" s="2" t="s">
        <v>404</v>
      </c>
      <c r="D285" s="2" t="s">
        <v>538</v>
      </c>
      <c r="E285" s="2" t="s">
        <v>539</v>
      </c>
      <c r="F285" s="2">
        <v>0</v>
      </c>
      <c r="G285" s="2">
        <v>2</v>
      </c>
      <c r="H285" s="2">
        <v>5500</v>
      </c>
      <c r="I285" s="2" t="s">
        <v>2106</v>
      </c>
      <c r="J285" s="2" t="s">
        <v>34</v>
      </c>
      <c r="K285" s="2" t="s">
        <v>35</v>
      </c>
    </row>
    <row r="286" spans="1:11" x14ac:dyDescent="0.25">
      <c r="A286" s="2" t="s">
        <v>2459</v>
      </c>
      <c r="B286" s="2" t="s">
        <v>18</v>
      </c>
      <c r="C286" s="2" t="s">
        <v>337</v>
      </c>
      <c r="D286" s="2" t="s">
        <v>543</v>
      </c>
      <c r="E286" s="2" t="s">
        <v>544</v>
      </c>
      <c r="F286" s="2">
        <v>6.0483870967741904</v>
      </c>
      <c r="G286" s="2">
        <v>62</v>
      </c>
      <c r="H286" s="2">
        <v>5500</v>
      </c>
      <c r="I286" s="2" t="s">
        <v>2106</v>
      </c>
      <c r="J286" s="2" t="s">
        <v>35</v>
      </c>
      <c r="K286" s="2" t="s">
        <v>34</v>
      </c>
    </row>
    <row r="287" spans="1:11" x14ac:dyDescent="0.25">
      <c r="A287" s="2" t="s">
        <v>2460</v>
      </c>
      <c r="B287" s="2" t="s">
        <v>18</v>
      </c>
      <c r="C287" s="2" t="s">
        <v>204</v>
      </c>
      <c r="D287" s="2" t="s">
        <v>1877</v>
      </c>
      <c r="E287" s="2" t="s">
        <v>1878</v>
      </c>
      <c r="F287" s="2">
        <v>5.1403508771929802</v>
      </c>
      <c r="G287" s="2">
        <v>57</v>
      </c>
      <c r="H287" s="2">
        <v>5500</v>
      </c>
      <c r="I287" s="2" t="s">
        <v>2075</v>
      </c>
      <c r="J287" s="2" t="s">
        <v>37</v>
      </c>
      <c r="K287" s="2" t="s">
        <v>2076</v>
      </c>
    </row>
    <row r="288" spans="1:11" x14ac:dyDescent="0.25">
      <c r="A288" s="2" t="s">
        <v>2461</v>
      </c>
      <c r="B288" s="2" t="s">
        <v>18</v>
      </c>
      <c r="C288" s="2" t="s">
        <v>545</v>
      </c>
      <c r="D288" s="2" t="s">
        <v>546</v>
      </c>
      <c r="E288" s="2" t="s">
        <v>547</v>
      </c>
      <c r="F288" s="2">
        <v>7.6</v>
      </c>
      <c r="G288" s="2">
        <v>5</v>
      </c>
      <c r="H288" s="2">
        <v>5500</v>
      </c>
      <c r="I288" s="2" t="s">
        <v>2075</v>
      </c>
      <c r="J288" s="2" t="s">
        <v>2076</v>
      </c>
      <c r="K288" s="2" t="s">
        <v>37</v>
      </c>
    </row>
    <row r="289" spans="1:13" x14ac:dyDescent="0.25">
      <c r="A289" s="2" t="s">
        <v>2462</v>
      </c>
      <c r="B289" s="2" t="s">
        <v>18</v>
      </c>
      <c r="C289" s="2" t="s">
        <v>355</v>
      </c>
      <c r="D289" s="2" t="s">
        <v>1103</v>
      </c>
      <c r="E289" s="2" t="s">
        <v>1104</v>
      </c>
      <c r="F289" s="2">
        <v>3.88888888888888</v>
      </c>
      <c r="G289" s="2">
        <v>18</v>
      </c>
      <c r="H289" s="2">
        <v>5500</v>
      </c>
      <c r="I289" s="2" t="s">
        <v>2068</v>
      </c>
      <c r="J289" s="2" t="s">
        <v>860</v>
      </c>
      <c r="K289" s="2" t="s">
        <v>38</v>
      </c>
    </row>
    <row r="290" spans="1:13" x14ac:dyDescent="0.25">
      <c r="A290" s="2" t="s">
        <v>2463</v>
      </c>
      <c r="B290" s="2" t="s">
        <v>18</v>
      </c>
      <c r="C290" s="2" t="s">
        <v>548</v>
      </c>
      <c r="D290" s="2" t="s">
        <v>549</v>
      </c>
      <c r="E290" s="2" t="s">
        <v>550</v>
      </c>
      <c r="F290" s="2">
        <v>1.8333333333333299</v>
      </c>
      <c r="G290" s="2">
        <v>6</v>
      </c>
      <c r="H290" s="2">
        <v>5500</v>
      </c>
      <c r="I290" s="2" t="s">
        <v>2081</v>
      </c>
      <c r="J290" s="2" t="s">
        <v>76</v>
      </c>
      <c r="K290" s="2" t="s">
        <v>73</v>
      </c>
    </row>
    <row r="291" spans="1:13" x14ac:dyDescent="0.25">
      <c r="A291" s="2" t="s">
        <v>2464</v>
      </c>
      <c r="B291" s="2" t="s">
        <v>18</v>
      </c>
      <c r="C291" s="2" t="s">
        <v>351</v>
      </c>
      <c r="D291" s="2" t="s">
        <v>1879</v>
      </c>
      <c r="E291" s="2" t="s">
        <v>1880</v>
      </c>
      <c r="F291" s="2">
        <v>6.3529411764705799</v>
      </c>
      <c r="G291" s="2">
        <v>34</v>
      </c>
      <c r="H291" s="2">
        <v>5500</v>
      </c>
      <c r="I291" s="2" t="s">
        <v>2075</v>
      </c>
      <c r="J291" s="2" t="s">
        <v>37</v>
      </c>
      <c r="K291" s="2" t="s">
        <v>2076</v>
      </c>
    </row>
    <row r="292" spans="1:13" x14ac:dyDescent="0.25">
      <c r="A292" s="2" t="s">
        <v>2465</v>
      </c>
      <c r="B292" s="2" t="s">
        <v>18</v>
      </c>
      <c r="C292" s="2" t="s">
        <v>288</v>
      </c>
      <c r="D292" s="2" t="s">
        <v>1881</v>
      </c>
      <c r="E292" s="2" t="s">
        <v>753</v>
      </c>
      <c r="F292" s="2">
        <v>3.47727272727272</v>
      </c>
      <c r="G292" s="2">
        <v>44</v>
      </c>
      <c r="H292" s="2">
        <v>5500</v>
      </c>
      <c r="I292" s="2" t="s">
        <v>2079</v>
      </c>
      <c r="J292" s="2" t="s">
        <v>843</v>
      </c>
      <c r="K292" s="2" t="s">
        <v>855</v>
      </c>
    </row>
    <row r="293" spans="1:13" x14ac:dyDescent="0.25">
      <c r="A293" s="2" t="s">
        <v>2466</v>
      </c>
      <c r="B293" s="2" t="s">
        <v>18</v>
      </c>
      <c r="C293" s="2" t="s">
        <v>2467</v>
      </c>
      <c r="D293" s="2" t="s">
        <v>2468</v>
      </c>
      <c r="E293" s="2" t="s">
        <v>2469</v>
      </c>
      <c r="F293" s="2">
        <v>11.5</v>
      </c>
      <c r="G293" s="2">
        <v>26</v>
      </c>
      <c r="H293" s="2">
        <v>5500</v>
      </c>
      <c r="I293" s="2" t="s">
        <v>2090</v>
      </c>
      <c r="J293" s="2" t="s">
        <v>2091</v>
      </c>
      <c r="K293" s="2" t="s">
        <v>844</v>
      </c>
      <c r="L293" s="2" t="s">
        <v>200</v>
      </c>
      <c r="M293" s="2" t="s">
        <v>267</v>
      </c>
    </row>
    <row r="294" spans="1:13" x14ac:dyDescent="0.25">
      <c r="A294" s="2" t="s">
        <v>2470</v>
      </c>
      <c r="B294" s="2" t="s">
        <v>18</v>
      </c>
      <c r="C294" s="2" t="s">
        <v>552</v>
      </c>
      <c r="D294" s="2" t="s">
        <v>2471</v>
      </c>
      <c r="E294" s="2" t="s">
        <v>2472</v>
      </c>
      <c r="F294" s="2">
        <v>5.1842105263157796</v>
      </c>
      <c r="G294" s="2">
        <v>38</v>
      </c>
      <c r="H294" s="2">
        <v>5500</v>
      </c>
      <c r="I294" s="2" t="s">
        <v>2090</v>
      </c>
      <c r="J294" s="2" t="s">
        <v>2091</v>
      </c>
      <c r="K294" s="2" t="s">
        <v>844</v>
      </c>
    </row>
    <row r="295" spans="1:13" x14ac:dyDescent="0.25">
      <c r="A295" s="2" t="s">
        <v>2473</v>
      </c>
      <c r="B295" s="2" t="s">
        <v>18</v>
      </c>
      <c r="C295" s="2" t="s">
        <v>233</v>
      </c>
      <c r="D295" s="2" t="s">
        <v>1105</v>
      </c>
      <c r="E295" s="2" t="s">
        <v>1106</v>
      </c>
      <c r="F295" s="2">
        <v>3.5</v>
      </c>
      <c r="G295" s="2">
        <v>2</v>
      </c>
      <c r="H295" s="2">
        <v>5500</v>
      </c>
      <c r="I295" s="2" t="s">
        <v>2079</v>
      </c>
      <c r="J295" s="2" t="s">
        <v>855</v>
      </c>
      <c r="K295" s="2" t="s">
        <v>843</v>
      </c>
    </row>
    <row r="296" spans="1:13" x14ac:dyDescent="0.25">
      <c r="A296" s="2" t="s">
        <v>2474</v>
      </c>
      <c r="B296" s="2" t="s">
        <v>18</v>
      </c>
      <c r="C296" s="2" t="s">
        <v>214</v>
      </c>
      <c r="D296" s="2" t="s">
        <v>553</v>
      </c>
      <c r="E296" s="2" t="s">
        <v>554</v>
      </c>
      <c r="F296" s="2">
        <v>4.125</v>
      </c>
      <c r="G296" s="2">
        <v>8</v>
      </c>
      <c r="H296" s="2">
        <v>5500</v>
      </c>
      <c r="I296" s="2" t="s">
        <v>2072</v>
      </c>
      <c r="J296" s="2" t="s">
        <v>74</v>
      </c>
      <c r="K296" s="2" t="s">
        <v>842</v>
      </c>
      <c r="L296" s="2" t="s">
        <v>200</v>
      </c>
      <c r="M296" s="2" t="s">
        <v>317</v>
      </c>
    </row>
    <row r="297" spans="1:13" x14ac:dyDescent="0.25">
      <c r="A297" s="2" t="s">
        <v>2475</v>
      </c>
      <c r="B297" s="2" t="s">
        <v>18</v>
      </c>
      <c r="C297" s="2" t="s">
        <v>211</v>
      </c>
      <c r="D297" s="2" t="s">
        <v>1107</v>
      </c>
      <c r="E297" s="2" t="s">
        <v>1108</v>
      </c>
      <c r="F297" s="2">
        <v>4.9523809523809499</v>
      </c>
      <c r="G297" s="2">
        <v>21</v>
      </c>
      <c r="H297" s="2">
        <v>5500</v>
      </c>
      <c r="I297" s="2" t="s">
        <v>2090</v>
      </c>
      <c r="J297" s="2" t="s">
        <v>844</v>
      </c>
      <c r="K297" s="2" t="s">
        <v>2091</v>
      </c>
    </row>
    <row r="298" spans="1:13" x14ac:dyDescent="0.25">
      <c r="A298" s="2" t="s">
        <v>2476</v>
      </c>
      <c r="B298" s="2" t="s">
        <v>18</v>
      </c>
      <c r="C298" s="2" t="s">
        <v>451</v>
      </c>
      <c r="D298" s="2" t="s">
        <v>555</v>
      </c>
      <c r="E298" s="2" t="s">
        <v>556</v>
      </c>
      <c r="F298" s="2">
        <v>7.55555555555555</v>
      </c>
      <c r="G298" s="2">
        <v>18</v>
      </c>
      <c r="H298" s="2">
        <v>5500</v>
      </c>
      <c r="I298" s="2" t="s">
        <v>2068</v>
      </c>
      <c r="J298" s="2" t="s">
        <v>38</v>
      </c>
      <c r="K298" s="2" t="s">
        <v>860</v>
      </c>
    </row>
    <row r="299" spans="1:13" x14ac:dyDescent="0.25">
      <c r="A299" s="2" t="s">
        <v>2477</v>
      </c>
      <c r="B299" s="2" t="s">
        <v>18</v>
      </c>
      <c r="C299" s="2" t="s">
        <v>526</v>
      </c>
      <c r="D299" s="2" t="s">
        <v>1109</v>
      </c>
      <c r="E299" s="2" t="s">
        <v>1110</v>
      </c>
      <c r="F299" s="2">
        <v>3.96969696969696</v>
      </c>
      <c r="G299" s="2">
        <v>33</v>
      </c>
      <c r="H299" s="2">
        <v>5500</v>
      </c>
      <c r="I299" s="2" t="s">
        <v>2065</v>
      </c>
      <c r="J299" s="2" t="s">
        <v>69</v>
      </c>
      <c r="K299" s="2" t="s">
        <v>2066</v>
      </c>
    </row>
    <row r="300" spans="1:13" x14ac:dyDescent="0.25">
      <c r="A300" s="2" t="s">
        <v>2478</v>
      </c>
      <c r="B300" s="2" t="s">
        <v>18</v>
      </c>
      <c r="C300" s="2" t="s">
        <v>557</v>
      </c>
      <c r="D300" s="2" t="s">
        <v>558</v>
      </c>
      <c r="E300" s="2" t="s">
        <v>559</v>
      </c>
      <c r="F300" s="2">
        <v>5.2</v>
      </c>
      <c r="G300" s="2">
        <v>55</v>
      </c>
      <c r="H300" s="2">
        <v>5500</v>
      </c>
      <c r="I300" s="2" t="s">
        <v>2072</v>
      </c>
      <c r="J300" s="2" t="s">
        <v>74</v>
      </c>
      <c r="K300" s="2" t="s">
        <v>842</v>
      </c>
    </row>
    <row r="301" spans="1:13" x14ac:dyDescent="0.25">
      <c r="A301" s="2" t="s">
        <v>2479</v>
      </c>
      <c r="B301" s="2" t="s">
        <v>18</v>
      </c>
      <c r="C301" s="2" t="s">
        <v>560</v>
      </c>
      <c r="D301" s="2" t="s">
        <v>561</v>
      </c>
      <c r="E301" s="2" t="s">
        <v>562</v>
      </c>
      <c r="F301" s="2">
        <v>2.0588235294117601</v>
      </c>
      <c r="G301" s="2">
        <v>17</v>
      </c>
      <c r="H301" s="2">
        <v>5500</v>
      </c>
      <c r="I301" s="2" t="s">
        <v>2081</v>
      </c>
      <c r="J301" s="2" t="s">
        <v>76</v>
      </c>
      <c r="K301" s="2" t="s">
        <v>73</v>
      </c>
    </row>
    <row r="302" spans="1:13" x14ac:dyDescent="0.25">
      <c r="A302" s="2" t="s">
        <v>2480</v>
      </c>
      <c r="B302" s="2" t="s">
        <v>18</v>
      </c>
      <c r="C302" s="2" t="s">
        <v>425</v>
      </c>
      <c r="D302" s="2" t="s">
        <v>984</v>
      </c>
      <c r="E302" s="2" t="s">
        <v>985</v>
      </c>
      <c r="F302" s="2">
        <v>18.785714285714199</v>
      </c>
      <c r="G302" s="2">
        <v>28</v>
      </c>
      <c r="H302" s="2">
        <v>5500</v>
      </c>
      <c r="I302" s="2" t="s">
        <v>2090</v>
      </c>
      <c r="J302" s="2" t="s">
        <v>844</v>
      </c>
      <c r="K302" s="2" t="s">
        <v>2091</v>
      </c>
    </row>
    <row r="303" spans="1:13" x14ac:dyDescent="0.25">
      <c r="A303" s="2" t="s">
        <v>2481</v>
      </c>
      <c r="B303" s="2" t="s">
        <v>18</v>
      </c>
      <c r="C303" s="2" t="s">
        <v>746</v>
      </c>
      <c r="D303" s="2" t="s">
        <v>1111</v>
      </c>
      <c r="E303" s="2" t="s">
        <v>1095</v>
      </c>
      <c r="F303" s="2">
        <v>2.9523809523809499</v>
      </c>
      <c r="G303" s="2">
        <v>21</v>
      </c>
      <c r="H303" s="2">
        <v>5500</v>
      </c>
      <c r="I303" s="2" t="s">
        <v>2070</v>
      </c>
      <c r="J303" s="2" t="s">
        <v>848</v>
      </c>
      <c r="K303" s="2" t="s">
        <v>36</v>
      </c>
    </row>
    <row r="304" spans="1:13" x14ac:dyDescent="0.25">
      <c r="A304" s="2" t="s">
        <v>2482</v>
      </c>
      <c r="B304" s="2" t="s">
        <v>18</v>
      </c>
      <c r="C304" s="2" t="s">
        <v>384</v>
      </c>
      <c r="D304" s="2" t="s">
        <v>563</v>
      </c>
      <c r="E304" s="2" t="s">
        <v>564</v>
      </c>
      <c r="F304" s="2">
        <v>6.8709677419354804</v>
      </c>
      <c r="G304" s="2">
        <v>31</v>
      </c>
      <c r="H304" s="2">
        <v>5500</v>
      </c>
      <c r="I304" s="2" t="s">
        <v>2106</v>
      </c>
      <c r="J304" s="2" t="s">
        <v>34</v>
      </c>
      <c r="K304" s="2" t="s">
        <v>35</v>
      </c>
    </row>
    <row r="305" spans="1:13" x14ac:dyDescent="0.25">
      <c r="A305" s="2" t="s">
        <v>2483</v>
      </c>
      <c r="B305" s="2" t="s">
        <v>18</v>
      </c>
      <c r="C305" s="2" t="s">
        <v>415</v>
      </c>
      <c r="D305" s="2" t="s">
        <v>1882</v>
      </c>
      <c r="E305" s="2" t="s">
        <v>1883</v>
      </c>
      <c r="F305" s="2">
        <v>4.8181818181818103</v>
      </c>
      <c r="G305" s="2">
        <v>44</v>
      </c>
      <c r="H305" s="2">
        <v>5500</v>
      </c>
      <c r="I305" s="2" t="s">
        <v>2070</v>
      </c>
      <c r="J305" s="2" t="s">
        <v>36</v>
      </c>
      <c r="K305" s="2" t="s">
        <v>848</v>
      </c>
    </row>
    <row r="306" spans="1:13" x14ac:dyDescent="0.25">
      <c r="A306" s="2" t="s">
        <v>2484</v>
      </c>
      <c r="B306" s="2" t="s">
        <v>18</v>
      </c>
      <c r="C306" s="2" t="s">
        <v>223</v>
      </c>
      <c r="D306" s="2" t="s">
        <v>1112</v>
      </c>
      <c r="E306" s="2" t="s">
        <v>1113</v>
      </c>
      <c r="F306" s="2">
        <v>6.7</v>
      </c>
      <c r="G306" s="2">
        <v>50</v>
      </c>
      <c r="H306" s="2">
        <v>5500</v>
      </c>
      <c r="I306" s="2" t="s">
        <v>2079</v>
      </c>
      <c r="J306" s="2" t="s">
        <v>855</v>
      </c>
      <c r="K306" s="2" t="s">
        <v>843</v>
      </c>
      <c r="L306" s="2" t="s">
        <v>200</v>
      </c>
      <c r="M306" s="2" t="s">
        <v>267</v>
      </c>
    </row>
    <row r="307" spans="1:13" x14ac:dyDescent="0.25">
      <c r="A307" s="2" t="s">
        <v>2485</v>
      </c>
      <c r="B307" s="2" t="s">
        <v>18</v>
      </c>
      <c r="C307" s="2" t="s">
        <v>2486</v>
      </c>
      <c r="D307" s="2" t="s">
        <v>2487</v>
      </c>
      <c r="E307" s="2" t="s">
        <v>564</v>
      </c>
      <c r="F307" s="2">
        <v>7.1875</v>
      </c>
      <c r="G307" s="2">
        <v>16</v>
      </c>
      <c r="H307" s="2">
        <v>5500</v>
      </c>
      <c r="I307" s="2" t="s">
        <v>2081</v>
      </c>
      <c r="J307" s="2" t="s">
        <v>73</v>
      </c>
      <c r="K307" s="2" t="s">
        <v>76</v>
      </c>
    </row>
    <row r="308" spans="1:13" x14ac:dyDescent="0.25">
      <c r="A308" s="2" t="s">
        <v>2488</v>
      </c>
      <c r="B308" s="2" t="s">
        <v>18</v>
      </c>
      <c r="C308" s="2" t="s">
        <v>517</v>
      </c>
      <c r="D308" s="2" t="s">
        <v>1884</v>
      </c>
      <c r="E308" s="2" t="s">
        <v>572</v>
      </c>
      <c r="F308" s="2">
        <v>6.1818181818181799</v>
      </c>
      <c r="G308" s="2">
        <v>55</v>
      </c>
      <c r="H308" s="2">
        <v>5500</v>
      </c>
      <c r="I308" s="2" t="s">
        <v>2070</v>
      </c>
      <c r="J308" s="2" t="s">
        <v>36</v>
      </c>
      <c r="K308" s="2" t="s">
        <v>848</v>
      </c>
    </row>
    <row r="309" spans="1:13" x14ac:dyDescent="0.25">
      <c r="A309" s="2" t="s">
        <v>2489</v>
      </c>
      <c r="B309" s="2" t="s">
        <v>18</v>
      </c>
      <c r="C309" s="2" t="s">
        <v>592</v>
      </c>
      <c r="D309" s="2" t="s">
        <v>2490</v>
      </c>
      <c r="E309" s="2" t="s">
        <v>2491</v>
      </c>
      <c r="F309" s="2">
        <v>5</v>
      </c>
      <c r="G309" s="2">
        <v>1</v>
      </c>
      <c r="H309" s="2">
        <v>5500</v>
      </c>
      <c r="I309" s="2" t="s">
        <v>1783</v>
      </c>
      <c r="J309" s="2" t="s">
        <v>861</v>
      </c>
      <c r="K309" s="2" t="s">
        <v>840</v>
      </c>
    </row>
    <row r="310" spans="1:13" x14ac:dyDescent="0.25">
      <c r="A310" s="2" t="s">
        <v>2492</v>
      </c>
      <c r="B310" s="2" t="s">
        <v>18</v>
      </c>
      <c r="C310" s="2" t="s">
        <v>333</v>
      </c>
      <c r="D310" s="2" t="s">
        <v>2493</v>
      </c>
      <c r="E310" s="2" t="s">
        <v>951</v>
      </c>
      <c r="F310" s="2">
        <v>6</v>
      </c>
      <c r="G310" s="2">
        <v>63</v>
      </c>
      <c r="H310" s="2">
        <v>5500</v>
      </c>
      <c r="I310" s="2" t="s">
        <v>2124</v>
      </c>
      <c r="J310" s="2" t="s">
        <v>2125</v>
      </c>
      <c r="K310" s="2" t="s">
        <v>852</v>
      </c>
    </row>
    <row r="311" spans="1:13" x14ac:dyDescent="0.25">
      <c r="A311" s="2" t="s">
        <v>2494</v>
      </c>
      <c r="B311" s="2" t="s">
        <v>18</v>
      </c>
      <c r="C311" s="2" t="s">
        <v>420</v>
      </c>
      <c r="D311" s="2" t="s">
        <v>573</v>
      </c>
      <c r="E311" s="2" t="s">
        <v>574</v>
      </c>
      <c r="F311" s="2">
        <v>5.0444444444444398</v>
      </c>
      <c r="G311" s="2">
        <v>45</v>
      </c>
      <c r="H311" s="2">
        <v>5500</v>
      </c>
      <c r="I311" s="2" t="s">
        <v>2081</v>
      </c>
      <c r="J311" s="2" t="s">
        <v>76</v>
      </c>
      <c r="K311" s="2" t="s">
        <v>73</v>
      </c>
      <c r="L311" s="2" t="s">
        <v>200</v>
      </c>
      <c r="M311" s="2" t="s">
        <v>267</v>
      </c>
    </row>
    <row r="312" spans="1:13" x14ac:dyDescent="0.25">
      <c r="A312" s="2" t="s">
        <v>2495</v>
      </c>
      <c r="B312" s="2" t="s">
        <v>18</v>
      </c>
      <c r="C312" s="2" t="s">
        <v>333</v>
      </c>
      <c r="D312" s="2" t="s">
        <v>575</v>
      </c>
      <c r="E312" s="2" t="s">
        <v>576</v>
      </c>
      <c r="F312" s="2">
        <v>4.7413793103448203</v>
      </c>
      <c r="G312" s="2">
        <v>58</v>
      </c>
      <c r="H312" s="2">
        <v>5500</v>
      </c>
      <c r="I312" s="2" t="s">
        <v>2081</v>
      </c>
      <c r="J312" s="2" t="s">
        <v>73</v>
      </c>
      <c r="K312" s="2" t="s">
        <v>76</v>
      </c>
    </row>
    <row r="313" spans="1:13" x14ac:dyDescent="0.25">
      <c r="A313" s="2" t="s">
        <v>2496</v>
      </c>
      <c r="B313" s="2" t="s">
        <v>18</v>
      </c>
      <c r="C313" s="2" t="s">
        <v>577</v>
      </c>
      <c r="D313" s="2" t="s">
        <v>578</v>
      </c>
      <c r="E313" s="2" t="s">
        <v>579</v>
      </c>
      <c r="F313" s="2">
        <v>2.8</v>
      </c>
      <c r="G313" s="2">
        <v>5</v>
      </c>
      <c r="H313" s="2">
        <v>5500</v>
      </c>
      <c r="I313" s="2" t="s">
        <v>2097</v>
      </c>
      <c r="J313" s="2" t="s">
        <v>159</v>
      </c>
      <c r="K313" s="2" t="s">
        <v>853</v>
      </c>
    </row>
    <row r="314" spans="1:13" x14ac:dyDescent="0.25">
      <c r="A314" s="2" t="s">
        <v>2497</v>
      </c>
      <c r="B314" s="2" t="s">
        <v>18</v>
      </c>
      <c r="C314" s="2" t="s">
        <v>246</v>
      </c>
      <c r="D314" s="2" t="s">
        <v>580</v>
      </c>
      <c r="E314" s="2" t="s">
        <v>422</v>
      </c>
      <c r="F314" s="2">
        <v>5.68</v>
      </c>
      <c r="G314" s="2">
        <v>50</v>
      </c>
      <c r="H314" s="2">
        <v>5500</v>
      </c>
      <c r="I314" s="2" t="s">
        <v>2106</v>
      </c>
      <c r="J314" s="2" t="s">
        <v>35</v>
      </c>
      <c r="K314" s="2" t="s">
        <v>34</v>
      </c>
    </row>
    <row r="315" spans="1:13" x14ac:dyDescent="0.25">
      <c r="A315" s="2" t="s">
        <v>2498</v>
      </c>
      <c r="B315" s="2" t="s">
        <v>18</v>
      </c>
      <c r="C315" s="2" t="s">
        <v>472</v>
      </c>
      <c r="D315" s="2" t="s">
        <v>1885</v>
      </c>
      <c r="E315" s="2" t="s">
        <v>1886</v>
      </c>
      <c r="F315" s="2">
        <v>4.6571428571428504</v>
      </c>
      <c r="G315" s="2">
        <v>35</v>
      </c>
      <c r="H315" s="2">
        <v>5500</v>
      </c>
      <c r="I315" s="2" t="s">
        <v>2065</v>
      </c>
      <c r="J315" s="2" t="s">
        <v>69</v>
      </c>
      <c r="K315" s="2" t="s">
        <v>2066</v>
      </c>
    </row>
    <row r="316" spans="1:13" x14ac:dyDescent="0.25">
      <c r="A316" s="2" t="s">
        <v>2499</v>
      </c>
      <c r="B316" s="2" t="s">
        <v>18</v>
      </c>
      <c r="C316" s="2" t="s">
        <v>581</v>
      </c>
      <c r="D316" s="2" t="s">
        <v>582</v>
      </c>
      <c r="E316" s="2" t="s">
        <v>583</v>
      </c>
      <c r="F316" s="2">
        <v>3.5</v>
      </c>
      <c r="G316" s="2">
        <v>4</v>
      </c>
      <c r="H316" s="2">
        <v>5500</v>
      </c>
      <c r="I316" s="2" t="s">
        <v>2106</v>
      </c>
      <c r="J316" s="2" t="s">
        <v>34</v>
      </c>
      <c r="K316" s="2" t="s">
        <v>35</v>
      </c>
    </row>
    <row r="317" spans="1:13" x14ac:dyDescent="0.25">
      <c r="A317" s="2" t="s">
        <v>2500</v>
      </c>
      <c r="B317" s="2" t="s">
        <v>18</v>
      </c>
      <c r="C317" s="2" t="s">
        <v>1114</v>
      </c>
      <c r="D317" s="2" t="s">
        <v>1115</v>
      </c>
      <c r="E317" s="2" t="s">
        <v>1116</v>
      </c>
      <c r="F317" s="2">
        <v>7</v>
      </c>
      <c r="G317" s="2">
        <v>34</v>
      </c>
      <c r="H317" s="2">
        <v>5500</v>
      </c>
      <c r="I317" s="2" t="s">
        <v>2124</v>
      </c>
      <c r="J317" s="2" t="s">
        <v>852</v>
      </c>
      <c r="K317" s="2" t="s">
        <v>2125</v>
      </c>
      <c r="L317" s="2" t="s">
        <v>200</v>
      </c>
      <c r="M317" s="2" t="s">
        <v>247</v>
      </c>
    </row>
    <row r="318" spans="1:13" x14ac:dyDescent="0.25">
      <c r="A318" s="2" t="s">
        <v>2501</v>
      </c>
      <c r="B318" s="2" t="s">
        <v>18</v>
      </c>
      <c r="C318" s="2" t="s">
        <v>248</v>
      </c>
      <c r="D318" s="2" t="s">
        <v>1117</v>
      </c>
      <c r="E318" s="2" t="s">
        <v>1118</v>
      </c>
      <c r="F318" s="2">
        <v>4.5454545454545396</v>
      </c>
      <c r="G318" s="2">
        <v>66</v>
      </c>
      <c r="H318" s="2">
        <v>5500</v>
      </c>
      <c r="I318" s="2" t="s">
        <v>2124</v>
      </c>
      <c r="J318" s="2" t="s">
        <v>852</v>
      </c>
      <c r="K318" s="2" t="s">
        <v>2125</v>
      </c>
      <c r="L318" s="2" t="s">
        <v>200</v>
      </c>
      <c r="M318" s="2" t="s">
        <v>1119</v>
      </c>
    </row>
    <row r="319" spans="1:13" x14ac:dyDescent="0.25">
      <c r="A319" s="2" t="s">
        <v>2502</v>
      </c>
      <c r="B319" s="2" t="s">
        <v>18</v>
      </c>
      <c r="C319" s="2" t="s">
        <v>283</v>
      </c>
      <c r="D319" s="2" t="s">
        <v>1120</v>
      </c>
      <c r="E319" s="2" t="s">
        <v>1121</v>
      </c>
      <c r="F319" s="2">
        <v>29</v>
      </c>
      <c r="G319" s="2">
        <v>3</v>
      </c>
      <c r="H319" s="2">
        <v>5500</v>
      </c>
      <c r="I319" s="2" t="s">
        <v>2068</v>
      </c>
      <c r="J319" s="2" t="s">
        <v>860</v>
      </c>
      <c r="K319" s="2" t="s">
        <v>38</v>
      </c>
    </row>
    <row r="320" spans="1:13" x14ac:dyDescent="0.25">
      <c r="A320" s="2" t="s">
        <v>2503</v>
      </c>
      <c r="B320" s="2" t="s">
        <v>18</v>
      </c>
      <c r="C320" s="2" t="s">
        <v>586</v>
      </c>
      <c r="D320" s="2" t="s">
        <v>587</v>
      </c>
      <c r="E320" s="2" t="s">
        <v>588</v>
      </c>
      <c r="F320" s="2">
        <v>6.6666666666666599</v>
      </c>
      <c r="G320" s="2">
        <v>3</v>
      </c>
      <c r="H320" s="2">
        <v>5500</v>
      </c>
      <c r="I320" s="2" t="s">
        <v>2081</v>
      </c>
      <c r="J320" s="2" t="s">
        <v>76</v>
      </c>
      <c r="K320" s="2" t="s">
        <v>73</v>
      </c>
    </row>
    <row r="321" spans="1:13" x14ac:dyDescent="0.25">
      <c r="A321" s="2" t="s">
        <v>2504</v>
      </c>
      <c r="B321" s="2" t="s">
        <v>18</v>
      </c>
      <c r="C321" s="2" t="s">
        <v>718</v>
      </c>
      <c r="D321" s="2" t="s">
        <v>921</v>
      </c>
      <c r="E321" s="2" t="s">
        <v>922</v>
      </c>
      <c r="F321" s="2">
        <v>19.407407407407401</v>
      </c>
      <c r="G321" s="2">
        <v>27</v>
      </c>
      <c r="H321" s="2">
        <v>5500</v>
      </c>
      <c r="I321" s="2" t="s">
        <v>2108</v>
      </c>
      <c r="J321" s="2" t="s">
        <v>841</v>
      </c>
      <c r="K321" s="2" t="s">
        <v>856</v>
      </c>
    </row>
    <row r="322" spans="1:13" x14ac:dyDescent="0.25">
      <c r="A322" s="2" t="s">
        <v>2505</v>
      </c>
      <c r="B322" s="2" t="s">
        <v>18</v>
      </c>
      <c r="C322" s="2" t="s">
        <v>207</v>
      </c>
      <c r="D322" s="2" t="s">
        <v>1122</v>
      </c>
      <c r="E322" s="2" t="s">
        <v>1123</v>
      </c>
      <c r="F322" s="2">
        <v>5.8148148148148104</v>
      </c>
      <c r="G322" s="2">
        <v>54</v>
      </c>
      <c r="H322" s="2">
        <v>5500</v>
      </c>
      <c r="I322" s="2" t="s">
        <v>2081</v>
      </c>
      <c r="J322" s="2" t="s">
        <v>76</v>
      </c>
      <c r="K322" s="2" t="s">
        <v>73</v>
      </c>
      <c r="L322" s="2" t="s">
        <v>364</v>
      </c>
      <c r="M322" s="2" t="s">
        <v>267</v>
      </c>
    </row>
    <row r="323" spans="1:13" x14ac:dyDescent="0.25">
      <c r="A323" s="2" t="s">
        <v>2506</v>
      </c>
      <c r="B323" s="2" t="s">
        <v>18</v>
      </c>
      <c r="C323" s="2" t="s">
        <v>529</v>
      </c>
      <c r="D323" s="2" t="s">
        <v>1124</v>
      </c>
      <c r="E323" s="2" t="s">
        <v>1125</v>
      </c>
      <c r="F323" s="2">
        <v>4.5925925925925899</v>
      </c>
      <c r="G323" s="2">
        <v>54</v>
      </c>
      <c r="H323" s="2">
        <v>5500</v>
      </c>
      <c r="I323" s="2" t="s">
        <v>2068</v>
      </c>
      <c r="J323" s="2" t="s">
        <v>860</v>
      </c>
      <c r="K323" s="2" t="s">
        <v>38</v>
      </c>
    </row>
    <row r="324" spans="1:13" x14ac:dyDescent="0.25">
      <c r="A324" s="2" t="s">
        <v>2507</v>
      </c>
      <c r="B324" s="2" t="s">
        <v>18</v>
      </c>
      <c r="C324" s="2" t="s">
        <v>425</v>
      </c>
      <c r="D324" s="2" t="s">
        <v>589</v>
      </c>
      <c r="E324" s="2" t="s">
        <v>590</v>
      </c>
      <c r="F324" s="2">
        <v>7.0298507462686501</v>
      </c>
      <c r="G324" s="2">
        <v>67</v>
      </c>
      <c r="H324" s="2">
        <v>5500</v>
      </c>
      <c r="I324" s="2" t="s">
        <v>2072</v>
      </c>
      <c r="J324" s="2" t="s">
        <v>74</v>
      </c>
      <c r="K324" s="2" t="s">
        <v>842</v>
      </c>
      <c r="L324" s="2" t="s">
        <v>200</v>
      </c>
      <c r="M324" s="2" t="s">
        <v>247</v>
      </c>
    </row>
    <row r="325" spans="1:13" x14ac:dyDescent="0.25">
      <c r="A325" s="2" t="s">
        <v>2508</v>
      </c>
      <c r="B325" s="2" t="s">
        <v>18</v>
      </c>
      <c r="C325" s="2" t="s">
        <v>252</v>
      </c>
      <c r="D325" s="2" t="s">
        <v>591</v>
      </c>
      <c r="E325" s="2" t="s">
        <v>282</v>
      </c>
      <c r="F325" s="2">
        <v>8.71428571428571</v>
      </c>
      <c r="G325" s="2">
        <v>7</v>
      </c>
      <c r="H325" s="2">
        <v>5500</v>
      </c>
      <c r="I325" s="2" t="s">
        <v>2106</v>
      </c>
      <c r="J325" s="2" t="s">
        <v>34</v>
      </c>
      <c r="K325" s="2" t="s">
        <v>35</v>
      </c>
    </row>
    <row r="326" spans="1:13" x14ac:dyDescent="0.25">
      <c r="A326" s="2" t="s">
        <v>2509</v>
      </c>
      <c r="B326" s="2" t="s">
        <v>18</v>
      </c>
      <c r="C326" s="2" t="s">
        <v>592</v>
      </c>
      <c r="D326" s="2" t="s">
        <v>2510</v>
      </c>
      <c r="E326" s="2" t="s">
        <v>593</v>
      </c>
      <c r="F326" s="2">
        <v>5.5818181818181802</v>
      </c>
      <c r="G326" s="2">
        <v>55</v>
      </c>
      <c r="H326" s="2">
        <v>5500</v>
      </c>
      <c r="I326" s="2" t="s">
        <v>2065</v>
      </c>
      <c r="J326" s="2" t="s">
        <v>2066</v>
      </c>
      <c r="K326" s="2" t="s">
        <v>69</v>
      </c>
    </row>
    <row r="327" spans="1:13" x14ac:dyDescent="0.25">
      <c r="A327" s="2" t="s">
        <v>2511</v>
      </c>
      <c r="B327" s="2" t="s">
        <v>18</v>
      </c>
      <c r="C327" s="2" t="s">
        <v>197</v>
      </c>
      <c r="D327" s="2" t="s">
        <v>1126</v>
      </c>
      <c r="E327" s="2" t="s">
        <v>1127</v>
      </c>
      <c r="F327" s="2">
        <v>7.2291666666666599</v>
      </c>
      <c r="G327" s="2">
        <v>48</v>
      </c>
      <c r="H327" s="2">
        <v>5500</v>
      </c>
      <c r="I327" s="2" t="s">
        <v>2090</v>
      </c>
      <c r="J327" s="2" t="s">
        <v>844</v>
      </c>
      <c r="K327" s="2" t="s">
        <v>2091</v>
      </c>
    </row>
    <row r="328" spans="1:13" x14ac:dyDescent="0.25">
      <c r="A328" s="2" t="s">
        <v>2512</v>
      </c>
      <c r="B328" s="2" t="s">
        <v>18</v>
      </c>
      <c r="C328" s="2" t="s">
        <v>467</v>
      </c>
      <c r="D328" s="2" t="s">
        <v>1887</v>
      </c>
      <c r="E328" s="2" t="s">
        <v>1888</v>
      </c>
      <c r="F328" s="2">
        <v>5</v>
      </c>
      <c r="G328" s="2">
        <v>19</v>
      </c>
      <c r="H328" s="2">
        <v>5500</v>
      </c>
      <c r="I328" s="2" t="s">
        <v>2070</v>
      </c>
      <c r="J328" s="2" t="s">
        <v>36</v>
      </c>
      <c r="K328" s="2" t="s">
        <v>848</v>
      </c>
    </row>
    <row r="329" spans="1:13" x14ac:dyDescent="0.25">
      <c r="A329" s="2" t="s">
        <v>2513</v>
      </c>
      <c r="B329" s="2" t="s">
        <v>18</v>
      </c>
      <c r="C329" s="2" t="s">
        <v>2514</v>
      </c>
      <c r="D329" s="2" t="s">
        <v>2515</v>
      </c>
      <c r="E329" s="2" t="s">
        <v>2516</v>
      </c>
      <c r="F329" s="2">
        <v>5.2222222222222197</v>
      </c>
      <c r="G329" s="2">
        <v>9</v>
      </c>
      <c r="H329" s="2">
        <v>5500</v>
      </c>
      <c r="I329" s="2" t="s">
        <v>2090</v>
      </c>
      <c r="J329" s="2" t="s">
        <v>2091</v>
      </c>
      <c r="K329" s="2" t="s">
        <v>844</v>
      </c>
      <c r="L329" s="2" t="s">
        <v>364</v>
      </c>
      <c r="M329" s="2" t="s">
        <v>267</v>
      </c>
    </row>
    <row r="330" spans="1:13" x14ac:dyDescent="0.25">
      <c r="A330" s="2" t="s">
        <v>2517</v>
      </c>
      <c r="B330" s="2" t="s">
        <v>18</v>
      </c>
      <c r="C330" s="2" t="s">
        <v>334</v>
      </c>
      <c r="D330" s="2" t="s">
        <v>1128</v>
      </c>
      <c r="E330" s="2" t="s">
        <v>1129</v>
      </c>
      <c r="F330" s="2">
        <v>5.8181818181818103</v>
      </c>
      <c r="G330" s="2">
        <v>22</v>
      </c>
      <c r="H330" s="2">
        <v>5500</v>
      </c>
      <c r="I330" s="2" t="s">
        <v>2108</v>
      </c>
      <c r="J330" s="2" t="s">
        <v>856</v>
      </c>
      <c r="K330" s="2" t="s">
        <v>841</v>
      </c>
    </row>
    <row r="331" spans="1:13" x14ac:dyDescent="0.25">
      <c r="A331" s="2" t="s">
        <v>2518</v>
      </c>
      <c r="B331" s="2" t="s">
        <v>18</v>
      </c>
      <c r="C331" s="2" t="s">
        <v>596</v>
      </c>
      <c r="D331" s="2" t="s">
        <v>597</v>
      </c>
      <c r="E331" s="2" t="s">
        <v>598</v>
      </c>
      <c r="F331" s="2">
        <v>5.8983050847457603</v>
      </c>
      <c r="G331" s="2">
        <v>59</v>
      </c>
      <c r="H331" s="2">
        <v>5500</v>
      </c>
      <c r="I331" s="2" t="s">
        <v>2106</v>
      </c>
      <c r="J331" s="2" t="s">
        <v>35</v>
      </c>
      <c r="K331" s="2" t="s">
        <v>34</v>
      </c>
    </row>
    <row r="332" spans="1:13" x14ac:dyDescent="0.25">
      <c r="A332" s="2" t="s">
        <v>2519</v>
      </c>
      <c r="B332" s="2" t="s">
        <v>18</v>
      </c>
      <c r="C332" s="2" t="s">
        <v>277</v>
      </c>
      <c r="D332" s="2" t="s">
        <v>1130</v>
      </c>
      <c r="E332" s="2" t="s">
        <v>1131</v>
      </c>
      <c r="F332" s="2">
        <v>4.1025641025641004</v>
      </c>
      <c r="G332" s="2">
        <v>39</v>
      </c>
      <c r="H332" s="2">
        <v>5500</v>
      </c>
      <c r="I332" s="2" t="s">
        <v>2079</v>
      </c>
      <c r="J332" s="2" t="s">
        <v>855</v>
      </c>
      <c r="K332" s="2" t="s">
        <v>843</v>
      </c>
    </row>
    <row r="333" spans="1:13" x14ac:dyDescent="0.25">
      <c r="A333" s="2" t="s">
        <v>2520</v>
      </c>
      <c r="B333" s="2" t="s">
        <v>18</v>
      </c>
      <c r="C333" s="2" t="s">
        <v>246</v>
      </c>
      <c r="D333" s="2" t="s">
        <v>1889</v>
      </c>
      <c r="E333" s="2" t="s">
        <v>1890</v>
      </c>
      <c r="F333" s="2">
        <v>4.6904761904761898</v>
      </c>
      <c r="G333" s="2">
        <v>42</v>
      </c>
      <c r="H333" s="2">
        <v>5500</v>
      </c>
      <c r="I333" s="2" t="s">
        <v>2075</v>
      </c>
      <c r="J333" s="2" t="s">
        <v>2076</v>
      </c>
      <c r="K333" s="2" t="s">
        <v>37</v>
      </c>
    </row>
    <row r="334" spans="1:13" x14ac:dyDescent="0.25">
      <c r="A334" s="2" t="s">
        <v>2521</v>
      </c>
      <c r="B334" s="2" t="s">
        <v>18</v>
      </c>
      <c r="C334" s="2" t="s">
        <v>420</v>
      </c>
      <c r="D334" s="2" t="s">
        <v>1132</v>
      </c>
      <c r="E334" s="2" t="s">
        <v>1133</v>
      </c>
      <c r="F334" s="2">
        <v>5.5128205128205101</v>
      </c>
      <c r="G334" s="2">
        <v>39</v>
      </c>
      <c r="H334" s="2">
        <v>5500</v>
      </c>
      <c r="I334" s="2" t="s">
        <v>2124</v>
      </c>
      <c r="J334" s="2" t="s">
        <v>852</v>
      </c>
      <c r="K334" s="2" t="s">
        <v>2125</v>
      </c>
    </row>
    <row r="335" spans="1:13" x14ac:dyDescent="0.25">
      <c r="A335" s="2" t="s">
        <v>2522</v>
      </c>
      <c r="B335" s="2" t="s">
        <v>18</v>
      </c>
      <c r="C335" s="2" t="s">
        <v>548</v>
      </c>
      <c r="D335" s="2" t="s">
        <v>602</v>
      </c>
      <c r="E335" s="2" t="s">
        <v>603</v>
      </c>
      <c r="F335" s="2">
        <v>1.625</v>
      </c>
      <c r="G335" s="2">
        <v>8</v>
      </c>
      <c r="H335" s="2">
        <v>5500</v>
      </c>
      <c r="I335" s="2" t="s">
        <v>2081</v>
      </c>
      <c r="J335" s="2" t="s">
        <v>76</v>
      </c>
      <c r="K335" s="2" t="s">
        <v>73</v>
      </c>
      <c r="L335" s="2" t="s">
        <v>200</v>
      </c>
      <c r="M335" s="2" t="s">
        <v>267</v>
      </c>
    </row>
    <row r="336" spans="1:13" x14ac:dyDescent="0.25">
      <c r="A336" s="2" t="s">
        <v>2523</v>
      </c>
      <c r="B336" s="2" t="s">
        <v>18</v>
      </c>
      <c r="C336" s="2" t="s">
        <v>259</v>
      </c>
      <c r="D336" s="2" t="s">
        <v>604</v>
      </c>
      <c r="E336" s="2" t="s">
        <v>605</v>
      </c>
      <c r="F336" s="2">
        <v>5.6363636363636296</v>
      </c>
      <c r="G336" s="2">
        <v>55</v>
      </c>
      <c r="H336" s="2">
        <v>5500</v>
      </c>
      <c r="I336" s="2" t="s">
        <v>2106</v>
      </c>
      <c r="J336" s="2" t="s">
        <v>34</v>
      </c>
      <c r="K336" s="2" t="s">
        <v>35</v>
      </c>
    </row>
    <row r="337" spans="1:13" x14ac:dyDescent="0.25">
      <c r="A337" s="2" t="s">
        <v>2524</v>
      </c>
      <c r="B337" s="2" t="s">
        <v>18</v>
      </c>
      <c r="C337" s="2" t="s">
        <v>745</v>
      </c>
      <c r="D337" s="2" t="s">
        <v>1134</v>
      </c>
      <c r="E337" s="2" t="s">
        <v>1135</v>
      </c>
      <c r="F337" s="2">
        <v>12.4285714285714</v>
      </c>
      <c r="G337" s="2">
        <v>7</v>
      </c>
      <c r="H337" s="2">
        <v>5500</v>
      </c>
      <c r="I337" s="2" t="s">
        <v>1783</v>
      </c>
      <c r="J337" s="2" t="s">
        <v>840</v>
      </c>
      <c r="K337" s="2" t="s">
        <v>861</v>
      </c>
    </row>
    <row r="338" spans="1:13" x14ac:dyDescent="0.25">
      <c r="A338" s="2" t="s">
        <v>2525</v>
      </c>
      <c r="B338" s="2" t="s">
        <v>18</v>
      </c>
      <c r="C338" s="2" t="s">
        <v>1462</v>
      </c>
      <c r="D338" s="2" t="s">
        <v>2526</v>
      </c>
      <c r="E338" s="2" t="s">
        <v>1450</v>
      </c>
      <c r="F338" s="2">
        <v>8.75</v>
      </c>
      <c r="G338" s="2">
        <v>12</v>
      </c>
      <c r="H338" s="2">
        <v>5500</v>
      </c>
      <c r="I338" s="2" t="s">
        <v>2079</v>
      </c>
      <c r="J338" s="2" t="s">
        <v>843</v>
      </c>
      <c r="K338" s="2" t="s">
        <v>855</v>
      </c>
    </row>
    <row r="339" spans="1:13" x14ac:dyDescent="0.25">
      <c r="A339" s="2" t="s">
        <v>2527</v>
      </c>
      <c r="B339" s="2" t="s">
        <v>18</v>
      </c>
      <c r="C339" s="2" t="s">
        <v>1891</v>
      </c>
      <c r="D339" s="2" t="s">
        <v>1892</v>
      </c>
      <c r="E339" s="2" t="s">
        <v>1893</v>
      </c>
      <c r="F339" s="2">
        <v>5.5454545454545396</v>
      </c>
      <c r="G339" s="2">
        <v>55</v>
      </c>
      <c r="H339" s="2">
        <v>5500</v>
      </c>
      <c r="I339" s="2" t="s">
        <v>2079</v>
      </c>
      <c r="J339" s="2" t="s">
        <v>843</v>
      </c>
      <c r="K339" s="2" t="s">
        <v>855</v>
      </c>
    </row>
    <row r="340" spans="1:13" x14ac:dyDescent="0.25">
      <c r="A340" s="2" t="s">
        <v>2528</v>
      </c>
      <c r="B340" s="2" t="s">
        <v>18</v>
      </c>
      <c r="C340" s="2" t="s">
        <v>956</v>
      </c>
      <c r="D340" s="2" t="s">
        <v>2529</v>
      </c>
      <c r="E340" s="2" t="s">
        <v>2530</v>
      </c>
      <c r="F340" s="2">
        <v>6.8378378378378297</v>
      </c>
      <c r="G340" s="2">
        <v>37</v>
      </c>
      <c r="H340" s="2">
        <v>5500</v>
      </c>
      <c r="I340" s="2" t="s">
        <v>2106</v>
      </c>
      <c r="J340" s="2" t="s">
        <v>35</v>
      </c>
      <c r="K340" s="2" t="s">
        <v>34</v>
      </c>
    </row>
    <row r="341" spans="1:13" x14ac:dyDescent="0.25">
      <c r="A341" s="2" t="s">
        <v>2531</v>
      </c>
      <c r="B341" s="2" t="s">
        <v>18</v>
      </c>
      <c r="C341" s="2" t="s">
        <v>425</v>
      </c>
      <c r="D341" s="2" t="s">
        <v>2532</v>
      </c>
      <c r="E341" s="2" t="s">
        <v>729</v>
      </c>
      <c r="F341" s="2">
        <v>4.375</v>
      </c>
      <c r="G341" s="2">
        <v>16</v>
      </c>
      <c r="H341" s="2">
        <v>5500</v>
      </c>
      <c r="I341" s="2" t="s">
        <v>2070</v>
      </c>
      <c r="J341" s="2" t="s">
        <v>36</v>
      </c>
      <c r="K341" s="2" t="s">
        <v>848</v>
      </c>
    </row>
    <row r="342" spans="1:13" x14ac:dyDescent="0.25">
      <c r="A342" s="2" t="s">
        <v>2533</v>
      </c>
      <c r="B342" s="2" t="s">
        <v>18</v>
      </c>
      <c r="C342" s="2" t="s">
        <v>1136</v>
      </c>
      <c r="D342" s="2" t="s">
        <v>1137</v>
      </c>
      <c r="E342" s="2" t="s">
        <v>435</v>
      </c>
      <c r="F342" s="2">
        <v>5.8780487804878003</v>
      </c>
      <c r="G342" s="2">
        <v>41</v>
      </c>
      <c r="H342" s="2">
        <v>5500</v>
      </c>
      <c r="I342" s="2" t="s">
        <v>2072</v>
      </c>
      <c r="J342" s="2" t="s">
        <v>842</v>
      </c>
      <c r="K342" s="2" t="s">
        <v>74</v>
      </c>
    </row>
    <row r="343" spans="1:13" x14ac:dyDescent="0.25">
      <c r="A343" s="2" t="s">
        <v>2534</v>
      </c>
      <c r="B343" s="2" t="s">
        <v>18</v>
      </c>
      <c r="C343" s="2" t="s">
        <v>1138</v>
      </c>
      <c r="D343" s="2" t="s">
        <v>1139</v>
      </c>
      <c r="E343" s="2" t="s">
        <v>1140</v>
      </c>
      <c r="F343" s="2">
        <v>4.5964912280701702</v>
      </c>
      <c r="G343" s="2">
        <v>57</v>
      </c>
      <c r="H343" s="2">
        <v>5500</v>
      </c>
      <c r="I343" s="2" t="s">
        <v>2079</v>
      </c>
      <c r="J343" s="2" t="s">
        <v>855</v>
      </c>
      <c r="K343" s="2" t="s">
        <v>843</v>
      </c>
    </row>
    <row r="344" spans="1:13" x14ac:dyDescent="0.25">
      <c r="A344" s="2" t="s">
        <v>2535</v>
      </c>
      <c r="B344" s="2" t="s">
        <v>18</v>
      </c>
      <c r="C344" s="2" t="s">
        <v>342</v>
      </c>
      <c r="D344" s="2" t="s">
        <v>1894</v>
      </c>
      <c r="E344" s="2" t="s">
        <v>1895</v>
      </c>
      <c r="F344" s="2">
        <v>5.8333333333333304</v>
      </c>
      <c r="G344" s="2">
        <v>6</v>
      </c>
      <c r="H344" s="2">
        <v>5500</v>
      </c>
      <c r="I344" s="2" t="s">
        <v>2081</v>
      </c>
      <c r="J344" s="2" t="s">
        <v>73</v>
      </c>
      <c r="K344" s="2" t="s">
        <v>76</v>
      </c>
    </row>
    <row r="345" spans="1:13" x14ac:dyDescent="0.25">
      <c r="A345" s="2" t="s">
        <v>2536</v>
      </c>
      <c r="B345" s="2" t="s">
        <v>18</v>
      </c>
      <c r="C345" s="2" t="s">
        <v>337</v>
      </c>
      <c r="D345" s="2" t="s">
        <v>613</v>
      </c>
      <c r="E345" s="2" t="s">
        <v>614</v>
      </c>
      <c r="F345" s="2">
        <v>8</v>
      </c>
      <c r="G345" s="2">
        <v>1</v>
      </c>
      <c r="H345" s="2">
        <v>5500</v>
      </c>
      <c r="I345" s="2" t="s">
        <v>2081</v>
      </c>
      <c r="J345" s="2" t="s">
        <v>76</v>
      </c>
      <c r="K345" s="2" t="s">
        <v>73</v>
      </c>
      <c r="L345" s="2" t="s">
        <v>200</v>
      </c>
      <c r="M345" s="2" t="s">
        <v>615</v>
      </c>
    </row>
    <row r="346" spans="1:13" x14ac:dyDescent="0.25">
      <c r="A346" s="2" t="s">
        <v>2537</v>
      </c>
      <c r="B346" s="2" t="s">
        <v>18</v>
      </c>
      <c r="C346" s="2" t="s">
        <v>280</v>
      </c>
      <c r="D346" s="2" t="s">
        <v>1896</v>
      </c>
      <c r="E346" s="2" t="s">
        <v>1897</v>
      </c>
      <c r="F346" s="2">
        <v>2.1875</v>
      </c>
      <c r="G346" s="2">
        <v>32</v>
      </c>
      <c r="H346" s="2">
        <v>5500</v>
      </c>
      <c r="I346" s="2" t="s">
        <v>2079</v>
      </c>
      <c r="J346" s="2" t="s">
        <v>843</v>
      </c>
      <c r="K346" s="2" t="s">
        <v>855</v>
      </c>
    </row>
    <row r="347" spans="1:13" x14ac:dyDescent="0.25">
      <c r="A347" s="2" t="s">
        <v>2538</v>
      </c>
      <c r="B347" s="2" t="s">
        <v>18</v>
      </c>
      <c r="C347" s="2" t="s">
        <v>1141</v>
      </c>
      <c r="D347" s="2" t="s">
        <v>1142</v>
      </c>
      <c r="E347" s="2" t="s">
        <v>1143</v>
      </c>
      <c r="F347" s="2">
        <v>6.0285714285714196</v>
      </c>
      <c r="G347" s="2">
        <v>35</v>
      </c>
      <c r="H347" s="2">
        <v>5500</v>
      </c>
      <c r="I347" s="2" t="s">
        <v>2070</v>
      </c>
      <c r="J347" s="2" t="s">
        <v>848</v>
      </c>
      <c r="K347" s="2" t="s">
        <v>36</v>
      </c>
    </row>
    <row r="348" spans="1:13" x14ac:dyDescent="0.25">
      <c r="A348" s="2" t="s">
        <v>2539</v>
      </c>
      <c r="B348" s="2" t="s">
        <v>18</v>
      </c>
      <c r="C348" s="2" t="s">
        <v>394</v>
      </c>
      <c r="D348" s="2" t="s">
        <v>1898</v>
      </c>
      <c r="E348" s="2" t="s">
        <v>1899</v>
      </c>
      <c r="F348" s="2">
        <v>5.5</v>
      </c>
      <c r="G348" s="2">
        <v>2</v>
      </c>
      <c r="H348" s="2">
        <v>5500</v>
      </c>
      <c r="I348" s="2" t="s">
        <v>2070</v>
      </c>
      <c r="J348" s="2" t="s">
        <v>36</v>
      </c>
      <c r="K348" s="2" t="s">
        <v>848</v>
      </c>
    </row>
    <row r="349" spans="1:13" x14ac:dyDescent="0.25">
      <c r="A349" s="2" t="s">
        <v>2540</v>
      </c>
      <c r="B349" s="2" t="s">
        <v>18</v>
      </c>
      <c r="C349" s="2" t="s">
        <v>1900</v>
      </c>
      <c r="D349" s="2" t="s">
        <v>1901</v>
      </c>
      <c r="E349" s="2" t="s">
        <v>1902</v>
      </c>
      <c r="F349" s="2">
        <v>5.1228070175438596</v>
      </c>
      <c r="G349" s="2">
        <v>57</v>
      </c>
      <c r="H349" s="2">
        <v>5500</v>
      </c>
      <c r="I349" s="2" t="s">
        <v>2081</v>
      </c>
      <c r="J349" s="2" t="s">
        <v>73</v>
      </c>
      <c r="K349" s="2" t="s">
        <v>76</v>
      </c>
    </row>
    <row r="350" spans="1:13" x14ac:dyDescent="0.25">
      <c r="A350" s="2" t="s">
        <v>2541</v>
      </c>
      <c r="B350" s="2" t="s">
        <v>18</v>
      </c>
      <c r="C350" s="2" t="s">
        <v>285</v>
      </c>
      <c r="D350" s="2" t="s">
        <v>1146</v>
      </c>
      <c r="E350" s="2" t="s">
        <v>1147</v>
      </c>
      <c r="F350" s="2">
        <v>9.0434782608695592</v>
      </c>
      <c r="G350" s="2">
        <v>23</v>
      </c>
      <c r="H350" s="2">
        <v>5500</v>
      </c>
      <c r="I350" s="2" t="s">
        <v>2068</v>
      </c>
      <c r="J350" s="2" t="s">
        <v>860</v>
      </c>
      <c r="K350" s="2" t="s">
        <v>38</v>
      </c>
    </row>
    <row r="351" spans="1:13" x14ac:dyDescent="0.25">
      <c r="A351" s="2" t="s">
        <v>2542</v>
      </c>
      <c r="B351" s="2" t="s">
        <v>18</v>
      </c>
      <c r="C351" s="2" t="s">
        <v>383</v>
      </c>
      <c r="D351" s="2" t="s">
        <v>618</v>
      </c>
      <c r="E351" s="2" t="s">
        <v>619</v>
      </c>
      <c r="F351" s="2">
        <v>4.2321428571428497</v>
      </c>
      <c r="G351" s="2">
        <v>56</v>
      </c>
      <c r="H351" s="2">
        <v>5500</v>
      </c>
      <c r="I351" s="2" t="s">
        <v>2097</v>
      </c>
      <c r="J351" s="2" t="s">
        <v>159</v>
      </c>
      <c r="K351" s="2" t="s">
        <v>853</v>
      </c>
    </row>
    <row r="352" spans="1:13" x14ac:dyDescent="0.25">
      <c r="A352" s="2" t="s">
        <v>2543</v>
      </c>
      <c r="B352" s="2" t="s">
        <v>18</v>
      </c>
      <c r="C352" s="2" t="s">
        <v>1149</v>
      </c>
      <c r="D352" s="2" t="s">
        <v>1150</v>
      </c>
      <c r="E352" s="2" t="s">
        <v>1151</v>
      </c>
      <c r="F352" s="2">
        <v>7.1111111111111098</v>
      </c>
      <c r="G352" s="2">
        <v>54</v>
      </c>
      <c r="H352" s="2">
        <v>5500</v>
      </c>
      <c r="I352" s="2" t="s">
        <v>2072</v>
      </c>
      <c r="J352" s="2" t="s">
        <v>842</v>
      </c>
      <c r="K352" s="2" t="s">
        <v>74</v>
      </c>
    </row>
    <row r="353" spans="1:13" x14ac:dyDescent="0.25">
      <c r="A353" s="2" t="s">
        <v>2544</v>
      </c>
      <c r="B353" s="2" t="s">
        <v>18</v>
      </c>
      <c r="C353" s="2" t="s">
        <v>394</v>
      </c>
      <c r="D353" s="2" t="s">
        <v>1152</v>
      </c>
      <c r="E353" s="2" t="s">
        <v>1153</v>
      </c>
      <c r="F353" s="2">
        <v>6.7045454545454497</v>
      </c>
      <c r="G353" s="2">
        <v>44</v>
      </c>
      <c r="H353" s="2">
        <v>5500</v>
      </c>
      <c r="I353" s="2" t="s">
        <v>2072</v>
      </c>
      <c r="J353" s="2" t="s">
        <v>842</v>
      </c>
      <c r="K353" s="2" t="s">
        <v>74</v>
      </c>
    </row>
    <row r="354" spans="1:13" x14ac:dyDescent="0.25">
      <c r="A354" s="2" t="s">
        <v>2545</v>
      </c>
      <c r="B354" s="2" t="s">
        <v>18</v>
      </c>
      <c r="C354" s="2" t="s">
        <v>420</v>
      </c>
      <c r="D354" s="2" t="s">
        <v>1155</v>
      </c>
      <c r="E354" s="2" t="s">
        <v>1156</v>
      </c>
      <c r="F354" s="2">
        <v>4.5423728813559299</v>
      </c>
      <c r="G354" s="2">
        <v>59</v>
      </c>
      <c r="H354" s="2">
        <v>5500</v>
      </c>
      <c r="I354" s="2" t="s">
        <v>2065</v>
      </c>
      <c r="J354" s="2" t="s">
        <v>2066</v>
      </c>
      <c r="K354" s="2" t="s">
        <v>69</v>
      </c>
    </row>
    <row r="355" spans="1:13" x14ac:dyDescent="0.25">
      <c r="A355" s="2" t="s">
        <v>2546</v>
      </c>
      <c r="B355" s="2" t="s">
        <v>18</v>
      </c>
      <c r="C355" s="2" t="s">
        <v>1903</v>
      </c>
      <c r="D355" s="2" t="s">
        <v>1904</v>
      </c>
      <c r="E355" s="2" t="s">
        <v>1905</v>
      </c>
      <c r="F355" s="2">
        <v>1.4285714285714199</v>
      </c>
      <c r="G355" s="2">
        <v>7</v>
      </c>
      <c r="H355" s="2">
        <v>5500</v>
      </c>
      <c r="I355" s="2" t="s">
        <v>2075</v>
      </c>
      <c r="J355" s="2" t="s">
        <v>37</v>
      </c>
      <c r="K355" s="2" t="s">
        <v>2076</v>
      </c>
      <c r="L355" s="2" t="s">
        <v>200</v>
      </c>
      <c r="M355" s="2" t="s">
        <v>386</v>
      </c>
    </row>
    <row r="356" spans="1:13" x14ac:dyDescent="0.25">
      <c r="A356" s="2" t="s">
        <v>2547</v>
      </c>
      <c r="B356" s="2" t="s">
        <v>18</v>
      </c>
      <c r="C356" s="2" t="s">
        <v>620</v>
      </c>
      <c r="D356" s="2" t="s">
        <v>621</v>
      </c>
      <c r="E356" s="2" t="s">
        <v>622</v>
      </c>
      <c r="F356" s="2">
        <v>5.6666666666666599</v>
      </c>
      <c r="G356" s="2">
        <v>3</v>
      </c>
      <c r="H356" s="2">
        <v>5500</v>
      </c>
      <c r="I356" s="2" t="s">
        <v>2072</v>
      </c>
      <c r="J356" s="2" t="s">
        <v>74</v>
      </c>
      <c r="K356" s="2" t="s">
        <v>842</v>
      </c>
    </row>
    <row r="357" spans="1:13" x14ac:dyDescent="0.25">
      <c r="A357" s="2" t="s">
        <v>2548</v>
      </c>
      <c r="B357" s="2" t="s">
        <v>18</v>
      </c>
      <c r="C357" s="2" t="s">
        <v>1157</v>
      </c>
      <c r="D357" s="2" t="s">
        <v>1158</v>
      </c>
      <c r="E357" s="2" t="s">
        <v>1159</v>
      </c>
      <c r="F357" s="2">
        <v>6</v>
      </c>
      <c r="G357" s="2">
        <v>2</v>
      </c>
      <c r="H357" s="2">
        <v>5500</v>
      </c>
      <c r="I357" s="2" t="s">
        <v>2072</v>
      </c>
      <c r="J357" s="2" t="s">
        <v>842</v>
      </c>
      <c r="K357" s="2" t="s">
        <v>74</v>
      </c>
    </row>
    <row r="358" spans="1:13" x14ac:dyDescent="0.25">
      <c r="A358" s="2" t="s">
        <v>2549</v>
      </c>
      <c r="B358" s="2" t="s">
        <v>18</v>
      </c>
      <c r="C358" s="2" t="s">
        <v>489</v>
      </c>
      <c r="D358" s="2" t="s">
        <v>1906</v>
      </c>
      <c r="E358" s="2" t="s">
        <v>1907</v>
      </c>
      <c r="F358" s="2">
        <v>8.9090909090908994</v>
      </c>
      <c r="G358" s="2">
        <v>11</v>
      </c>
      <c r="H358" s="2">
        <v>5500</v>
      </c>
      <c r="I358" s="2" t="s">
        <v>2081</v>
      </c>
      <c r="J358" s="2" t="s">
        <v>73</v>
      </c>
      <c r="K358" s="2" t="s">
        <v>76</v>
      </c>
    </row>
    <row r="359" spans="1:13" x14ac:dyDescent="0.25">
      <c r="A359" s="2" t="s">
        <v>2550</v>
      </c>
      <c r="B359" s="2" t="s">
        <v>18</v>
      </c>
      <c r="C359" s="2" t="s">
        <v>446</v>
      </c>
      <c r="D359" s="2" t="s">
        <v>2551</v>
      </c>
      <c r="E359" s="2" t="s">
        <v>847</v>
      </c>
      <c r="F359" s="2">
        <v>-14</v>
      </c>
      <c r="G359" s="2">
        <v>1</v>
      </c>
      <c r="H359" s="2">
        <v>5500</v>
      </c>
      <c r="I359" s="2" t="s">
        <v>2075</v>
      </c>
      <c r="J359" s="2" t="s">
        <v>2076</v>
      </c>
      <c r="K359" s="2" t="s">
        <v>37</v>
      </c>
    </row>
    <row r="360" spans="1:13" x14ac:dyDescent="0.25">
      <c r="A360" s="2" t="s">
        <v>2552</v>
      </c>
      <c r="B360" s="2" t="s">
        <v>18</v>
      </c>
      <c r="C360" s="2" t="s">
        <v>316</v>
      </c>
      <c r="D360" s="2" t="s">
        <v>2553</v>
      </c>
      <c r="E360" s="2" t="s">
        <v>282</v>
      </c>
      <c r="F360" s="2">
        <v>12.4</v>
      </c>
      <c r="G360" s="2">
        <v>5</v>
      </c>
      <c r="H360" s="2">
        <v>5500</v>
      </c>
      <c r="I360" s="2" t="s">
        <v>2124</v>
      </c>
      <c r="J360" s="2" t="s">
        <v>2125</v>
      </c>
      <c r="K360" s="2" t="s">
        <v>852</v>
      </c>
    </row>
    <row r="361" spans="1:13" x14ac:dyDescent="0.25">
      <c r="A361" s="2" t="s">
        <v>2554</v>
      </c>
      <c r="B361" s="2" t="s">
        <v>18</v>
      </c>
      <c r="C361" s="2" t="s">
        <v>623</v>
      </c>
      <c r="D361" s="2" t="s">
        <v>624</v>
      </c>
      <c r="E361" s="2" t="s">
        <v>625</v>
      </c>
      <c r="F361" s="2">
        <v>8</v>
      </c>
      <c r="G361" s="2">
        <v>3</v>
      </c>
      <c r="H361" s="2">
        <v>5500</v>
      </c>
      <c r="I361" s="2" t="s">
        <v>2081</v>
      </c>
      <c r="J361" s="2" t="s">
        <v>76</v>
      </c>
      <c r="K361" s="2" t="s">
        <v>73</v>
      </c>
    </row>
    <row r="362" spans="1:13" x14ac:dyDescent="0.25">
      <c r="A362" s="2" t="s">
        <v>2555</v>
      </c>
      <c r="B362" s="2" t="s">
        <v>18</v>
      </c>
      <c r="C362" s="2" t="s">
        <v>1160</v>
      </c>
      <c r="D362" s="2" t="s">
        <v>1161</v>
      </c>
      <c r="E362" s="2" t="s">
        <v>296</v>
      </c>
      <c r="F362" s="2">
        <v>3.70175438596491</v>
      </c>
      <c r="G362" s="2">
        <v>57</v>
      </c>
      <c r="H362" s="2">
        <v>5500</v>
      </c>
      <c r="I362" s="2" t="s">
        <v>1783</v>
      </c>
      <c r="J362" s="2" t="s">
        <v>840</v>
      </c>
      <c r="K362" s="2" t="s">
        <v>861</v>
      </c>
    </row>
    <row r="363" spans="1:13" x14ac:dyDescent="0.25">
      <c r="A363" s="2" t="s">
        <v>2556</v>
      </c>
      <c r="B363" s="2" t="s">
        <v>18</v>
      </c>
      <c r="C363" s="2" t="s">
        <v>517</v>
      </c>
      <c r="D363" s="2" t="s">
        <v>1162</v>
      </c>
      <c r="E363" s="2" t="s">
        <v>1163</v>
      </c>
      <c r="F363" s="2">
        <v>9</v>
      </c>
      <c r="G363" s="2">
        <v>7</v>
      </c>
      <c r="H363" s="2">
        <v>5500</v>
      </c>
      <c r="I363" s="2" t="s">
        <v>2108</v>
      </c>
      <c r="J363" s="2" t="s">
        <v>841</v>
      </c>
      <c r="K363" s="2" t="s">
        <v>856</v>
      </c>
    </row>
    <row r="364" spans="1:13" x14ac:dyDescent="0.25">
      <c r="A364" s="2" t="s">
        <v>2557</v>
      </c>
      <c r="B364" s="2" t="s">
        <v>18</v>
      </c>
      <c r="C364" s="2" t="s">
        <v>300</v>
      </c>
      <c r="D364" s="2" t="s">
        <v>626</v>
      </c>
      <c r="E364" s="2" t="s">
        <v>627</v>
      </c>
      <c r="F364" s="2">
        <v>4.4000000000000004</v>
      </c>
      <c r="G364" s="2">
        <v>45</v>
      </c>
      <c r="H364" s="2">
        <v>5500</v>
      </c>
      <c r="I364" s="2" t="s">
        <v>2106</v>
      </c>
      <c r="J364" s="2" t="s">
        <v>34</v>
      </c>
      <c r="K364" s="2" t="s">
        <v>35</v>
      </c>
    </row>
    <row r="365" spans="1:13" x14ac:dyDescent="0.25">
      <c r="A365" s="2" t="s">
        <v>2558</v>
      </c>
      <c r="B365" s="2" t="s">
        <v>18</v>
      </c>
      <c r="C365" s="2" t="s">
        <v>384</v>
      </c>
      <c r="D365" s="2" t="s">
        <v>1166</v>
      </c>
      <c r="E365" s="2" t="s">
        <v>1167</v>
      </c>
      <c r="F365" s="2">
        <v>2.93333333333333</v>
      </c>
      <c r="G365" s="2">
        <v>15</v>
      </c>
      <c r="H365" s="2">
        <v>5500</v>
      </c>
      <c r="I365" s="2" t="s">
        <v>2079</v>
      </c>
      <c r="J365" s="2" t="s">
        <v>855</v>
      </c>
      <c r="K365" s="2" t="s">
        <v>843</v>
      </c>
    </row>
    <row r="366" spans="1:13" x14ac:dyDescent="0.25">
      <c r="A366" s="2" t="s">
        <v>2559</v>
      </c>
      <c r="B366" s="2" t="s">
        <v>18</v>
      </c>
      <c r="C366" s="2" t="s">
        <v>337</v>
      </c>
      <c r="D366" s="2" t="s">
        <v>1908</v>
      </c>
      <c r="E366" s="2" t="s">
        <v>1909</v>
      </c>
      <c r="F366" s="2">
        <v>4</v>
      </c>
      <c r="G366" s="2">
        <v>7</v>
      </c>
      <c r="H366" s="2">
        <v>5500</v>
      </c>
      <c r="I366" s="2" t="s">
        <v>2081</v>
      </c>
      <c r="J366" s="2" t="s">
        <v>76</v>
      </c>
      <c r="K366" s="2" t="s">
        <v>73</v>
      </c>
    </row>
    <row r="367" spans="1:13" x14ac:dyDescent="0.25">
      <c r="A367" s="2" t="s">
        <v>2560</v>
      </c>
      <c r="B367" s="2" t="s">
        <v>18</v>
      </c>
      <c r="C367" s="2" t="s">
        <v>1168</v>
      </c>
      <c r="D367" s="2" t="s">
        <v>1169</v>
      </c>
      <c r="E367" s="2" t="s">
        <v>645</v>
      </c>
      <c r="F367" s="2">
        <v>12</v>
      </c>
      <c r="G367" s="2">
        <v>5</v>
      </c>
      <c r="H367" s="2">
        <v>5500</v>
      </c>
      <c r="I367" s="2" t="s">
        <v>2108</v>
      </c>
      <c r="J367" s="2" t="s">
        <v>841</v>
      </c>
      <c r="K367" s="2" t="s">
        <v>856</v>
      </c>
    </row>
    <row r="368" spans="1:13" x14ac:dyDescent="0.25">
      <c r="A368" s="2" t="s">
        <v>2561</v>
      </c>
      <c r="B368" s="2" t="s">
        <v>18</v>
      </c>
      <c r="C368" s="2" t="s">
        <v>330</v>
      </c>
      <c r="D368" s="2" t="s">
        <v>1170</v>
      </c>
      <c r="E368" s="2" t="s">
        <v>1171</v>
      </c>
      <c r="F368" s="2">
        <v>6.0727272727272696</v>
      </c>
      <c r="G368" s="2">
        <v>55</v>
      </c>
      <c r="H368" s="2">
        <v>5500</v>
      </c>
      <c r="I368" s="2" t="s">
        <v>1783</v>
      </c>
      <c r="J368" s="2" t="s">
        <v>840</v>
      </c>
      <c r="K368" s="2" t="s">
        <v>861</v>
      </c>
    </row>
    <row r="369" spans="1:13" x14ac:dyDescent="0.25">
      <c r="A369" s="2" t="s">
        <v>2562</v>
      </c>
      <c r="B369" s="2" t="s">
        <v>18</v>
      </c>
      <c r="C369" s="2" t="s">
        <v>480</v>
      </c>
      <c r="D369" s="2" t="s">
        <v>1910</v>
      </c>
      <c r="E369" s="2" t="s">
        <v>1911</v>
      </c>
      <c r="F369" s="2">
        <v>5.0999999999999996</v>
      </c>
      <c r="G369" s="2">
        <v>10</v>
      </c>
      <c r="H369" s="2">
        <v>5500</v>
      </c>
      <c r="I369" s="2" t="s">
        <v>2065</v>
      </c>
      <c r="J369" s="2" t="s">
        <v>69</v>
      </c>
      <c r="K369" s="2" t="s">
        <v>2066</v>
      </c>
    </row>
    <row r="370" spans="1:13" x14ac:dyDescent="0.25">
      <c r="A370" s="2" t="s">
        <v>2563</v>
      </c>
      <c r="B370" s="2" t="s">
        <v>18</v>
      </c>
      <c r="C370" s="2" t="s">
        <v>384</v>
      </c>
      <c r="D370" s="2" t="s">
        <v>1172</v>
      </c>
      <c r="E370" s="2" t="s">
        <v>819</v>
      </c>
      <c r="F370" s="2">
        <v>-1.5</v>
      </c>
      <c r="G370" s="2">
        <v>2</v>
      </c>
      <c r="H370" s="2">
        <v>5500</v>
      </c>
      <c r="I370" s="2" t="s">
        <v>2097</v>
      </c>
      <c r="J370" s="2" t="s">
        <v>853</v>
      </c>
      <c r="K370" s="2" t="s">
        <v>159</v>
      </c>
      <c r="L370" s="2" t="s">
        <v>200</v>
      </c>
      <c r="M370" s="2" t="s">
        <v>247</v>
      </c>
    </row>
    <row r="371" spans="1:13" x14ac:dyDescent="0.25">
      <c r="A371" s="2" t="s">
        <v>2564</v>
      </c>
      <c r="B371" s="2" t="s">
        <v>18</v>
      </c>
      <c r="C371" s="2" t="s">
        <v>365</v>
      </c>
      <c r="D371" s="2" t="s">
        <v>628</v>
      </c>
      <c r="E371" s="2" t="s">
        <v>385</v>
      </c>
      <c r="F371" s="2">
        <v>6.125</v>
      </c>
      <c r="G371" s="2">
        <v>56</v>
      </c>
      <c r="H371" s="2">
        <v>5500</v>
      </c>
      <c r="I371" s="2" t="s">
        <v>2081</v>
      </c>
      <c r="J371" s="2" t="s">
        <v>76</v>
      </c>
      <c r="K371" s="2" t="s">
        <v>73</v>
      </c>
      <c r="L371" s="2" t="s">
        <v>364</v>
      </c>
      <c r="M371" s="2" t="s">
        <v>317</v>
      </c>
    </row>
    <row r="372" spans="1:13" x14ac:dyDescent="0.25">
      <c r="A372" s="2" t="s">
        <v>2565</v>
      </c>
      <c r="B372" s="2" t="s">
        <v>18</v>
      </c>
      <c r="C372" s="2" t="s">
        <v>1912</v>
      </c>
      <c r="D372" s="2" t="s">
        <v>1913</v>
      </c>
      <c r="E372" s="2" t="s">
        <v>1914</v>
      </c>
      <c r="F372" s="2">
        <v>12</v>
      </c>
      <c r="G372" s="2">
        <v>4</v>
      </c>
      <c r="H372" s="2">
        <v>5500</v>
      </c>
      <c r="I372" s="2" t="s">
        <v>2075</v>
      </c>
      <c r="J372" s="2" t="s">
        <v>37</v>
      </c>
      <c r="K372" s="2" t="s">
        <v>2076</v>
      </c>
    </row>
    <row r="373" spans="1:13" x14ac:dyDescent="0.25">
      <c r="A373" s="2" t="s">
        <v>2566</v>
      </c>
      <c r="B373" s="2" t="s">
        <v>18</v>
      </c>
      <c r="C373" s="2" t="s">
        <v>1173</v>
      </c>
      <c r="D373" s="2" t="s">
        <v>1174</v>
      </c>
      <c r="E373" s="2" t="s">
        <v>686</v>
      </c>
      <c r="F373" s="2">
        <v>11.368421052631501</v>
      </c>
      <c r="G373" s="2">
        <v>19</v>
      </c>
      <c r="H373" s="2">
        <v>5500</v>
      </c>
      <c r="I373" s="2" t="s">
        <v>2068</v>
      </c>
      <c r="J373" s="2" t="s">
        <v>860</v>
      </c>
      <c r="K373" s="2" t="s">
        <v>38</v>
      </c>
    </row>
    <row r="374" spans="1:13" x14ac:dyDescent="0.25">
      <c r="A374" s="2" t="s">
        <v>2567</v>
      </c>
      <c r="B374" s="2" t="s">
        <v>18</v>
      </c>
      <c r="C374" s="2" t="s">
        <v>2008</v>
      </c>
      <c r="D374" s="2" t="s">
        <v>2568</v>
      </c>
      <c r="E374" s="2" t="s">
        <v>2569</v>
      </c>
      <c r="F374" s="2">
        <v>14.3333333333333</v>
      </c>
      <c r="G374" s="2">
        <v>3</v>
      </c>
      <c r="H374" s="2">
        <v>5500</v>
      </c>
      <c r="I374" s="2" t="s">
        <v>2068</v>
      </c>
      <c r="J374" s="2" t="s">
        <v>38</v>
      </c>
      <c r="K374" s="2" t="s">
        <v>860</v>
      </c>
    </row>
    <row r="375" spans="1:13" x14ac:dyDescent="0.25">
      <c r="A375" s="2" t="s">
        <v>2570</v>
      </c>
      <c r="B375" s="2" t="s">
        <v>18</v>
      </c>
      <c r="C375" s="2" t="s">
        <v>497</v>
      </c>
      <c r="D375" s="2" t="s">
        <v>1176</v>
      </c>
      <c r="E375" s="2" t="s">
        <v>762</v>
      </c>
      <c r="F375" s="2">
        <v>2.9130434782608599</v>
      </c>
      <c r="G375" s="2">
        <v>23</v>
      </c>
      <c r="H375" s="2">
        <v>5500</v>
      </c>
      <c r="I375" s="2" t="s">
        <v>2070</v>
      </c>
      <c r="J375" s="2" t="s">
        <v>848</v>
      </c>
      <c r="K375" s="2" t="s">
        <v>36</v>
      </c>
    </row>
    <row r="376" spans="1:13" x14ac:dyDescent="0.25">
      <c r="A376" s="2" t="s">
        <v>2571</v>
      </c>
      <c r="B376" s="2" t="s">
        <v>18</v>
      </c>
      <c r="C376" s="2" t="s">
        <v>285</v>
      </c>
      <c r="D376" s="2" t="s">
        <v>1915</v>
      </c>
      <c r="E376" s="2" t="s">
        <v>419</v>
      </c>
      <c r="F376" s="2">
        <v>5.1923076923076898</v>
      </c>
      <c r="G376" s="2">
        <v>26</v>
      </c>
      <c r="H376" s="2">
        <v>5500</v>
      </c>
      <c r="I376" s="2" t="s">
        <v>2081</v>
      </c>
      <c r="J376" s="2" t="s">
        <v>73</v>
      </c>
      <c r="K376" s="2" t="s">
        <v>76</v>
      </c>
    </row>
    <row r="377" spans="1:13" x14ac:dyDescent="0.25">
      <c r="A377" s="2" t="s">
        <v>2572</v>
      </c>
      <c r="B377" s="2" t="s">
        <v>18</v>
      </c>
      <c r="C377" s="2" t="s">
        <v>309</v>
      </c>
      <c r="D377" s="2" t="s">
        <v>1824</v>
      </c>
      <c r="E377" s="2" t="s">
        <v>1825</v>
      </c>
      <c r="F377" s="2">
        <v>21.7</v>
      </c>
      <c r="G377" s="2">
        <v>10</v>
      </c>
      <c r="H377" s="2">
        <v>5500</v>
      </c>
      <c r="I377" s="2" t="s">
        <v>2081</v>
      </c>
      <c r="J377" s="2" t="s">
        <v>73</v>
      </c>
      <c r="K377" s="2" t="s">
        <v>76</v>
      </c>
      <c r="L377" s="2" t="s">
        <v>200</v>
      </c>
      <c r="M377" s="2" t="s">
        <v>642</v>
      </c>
    </row>
    <row r="378" spans="1:13" x14ac:dyDescent="0.25">
      <c r="A378" s="2" t="s">
        <v>2573</v>
      </c>
      <c r="B378" s="2" t="s">
        <v>18</v>
      </c>
      <c r="C378" s="2" t="s">
        <v>193</v>
      </c>
      <c r="D378" s="2" t="s">
        <v>2574</v>
      </c>
      <c r="E378" s="2" t="s">
        <v>1825</v>
      </c>
      <c r="F378" s="2">
        <v>0</v>
      </c>
      <c r="G378" s="2">
        <v>0</v>
      </c>
      <c r="H378" s="2">
        <v>5500</v>
      </c>
      <c r="I378" s="2" t="s">
        <v>2124</v>
      </c>
      <c r="J378" s="2" t="s">
        <v>852</v>
      </c>
      <c r="K378" s="2" t="s">
        <v>2125</v>
      </c>
    </row>
    <row r="379" spans="1:13" x14ac:dyDescent="0.25">
      <c r="A379" s="2" t="s">
        <v>2575</v>
      </c>
      <c r="B379" s="2" t="s">
        <v>18</v>
      </c>
      <c r="C379" s="2" t="s">
        <v>270</v>
      </c>
      <c r="D379" s="2" t="s">
        <v>1003</v>
      </c>
      <c r="E379" s="2" t="s">
        <v>1004</v>
      </c>
      <c r="F379" s="2">
        <v>8.5</v>
      </c>
      <c r="G379" s="2">
        <v>6</v>
      </c>
      <c r="H379" s="2">
        <v>5500</v>
      </c>
      <c r="I379" s="2" t="s">
        <v>2081</v>
      </c>
      <c r="J379" s="2" t="s">
        <v>76</v>
      </c>
      <c r="K379" s="2" t="s">
        <v>73</v>
      </c>
    </row>
    <row r="380" spans="1:13" x14ac:dyDescent="0.25">
      <c r="A380" s="2" t="s">
        <v>2576</v>
      </c>
      <c r="B380" s="2" t="s">
        <v>18</v>
      </c>
      <c r="C380" s="2" t="s">
        <v>2577</v>
      </c>
      <c r="D380" s="2" t="s">
        <v>2578</v>
      </c>
      <c r="E380" s="2" t="s">
        <v>2579</v>
      </c>
      <c r="F380" s="2">
        <v>5.25</v>
      </c>
      <c r="G380" s="2">
        <v>4</v>
      </c>
      <c r="H380" s="2">
        <v>5500</v>
      </c>
      <c r="I380" s="2" t="s">
        <v>2124</v>
      </c>
      <c r="J380" s="2" t="s">
        <v>2125</v>
      </c>
      <c r="K380" s="2" t="s">
        <v>852</v>
      </c>
      <c r="L380" s="2" t="s">
        <v>200</v>
      </c>
      <c r="M380" s="2" t="s">
        <v>568</v>
      </c>
    </row>
    <row r="381" spans="1:13" x14ac:dyDescent="0.25">
      <c r="A381" s="2" t="s">
        <v>2580</v>
      </c>
      <c r="B381" s="2" t="s">
        <v>18</v>
      </c>
      <c r="C381" s="2" t="s">
        <v>330</v>
      </c>
      <c r="D381" s="2" t="s">
        <v>1916</v>
      </c>
      <c r="E381" s="2" t="s">
        <v>1917</v>
      </c>
      <c r="F381" s="2">
        <v>5.4285714285714199</v>
      </c>
      <c r="G381" s="2">
        <v>21</v>
      </c>
      <c r="H381" s="2">
        <v>5500</v>
      </c>
      <c r="I381" s="2" t="s">
        <v>2079</v>
      </c>
      <c r="J381" s="2" t="s">
        <v>843</v>
      </c>
      <c r="K381" s="2" t="s">
        <v>855</v>
      </c>
    </row>
    <row r="382" spans="1:13" x14ac:dyDescent="0.25">
      <c r="A382" s="2" t="s">
        <v>2581</v>
      </c>
      <c r="B382" s="2" t="s">
        <v>18</v>
      </c>
      <c r="C382" s="2" t="s">
        <v>307</v>
      </c>
      <c r="D382" s="2" t="s">
        <v>1177</v>
      </c>
      <c r="E382" s="2" t="s">
        <v>231</v>
      </c>
      <c r="F382" s="2">
        <v>3.25</v>
      </c>
      <c r="G382" s="2">
        <v>28</v>
      </c>
      <c r="H382" s="2">
        <v>5500</v>
      </c>
      <c r="I382" s="2" t="s">
        <v>2068</v>
      </c>
      <c r="J382" s="2" t="s">
        <v>38</v>
      </c>
      <c r="K382" s="2" t="s">
        <v>860</v>
      </c>
    </row>
    <row r="383" spans="1:13" x14ac:dyDescent="0.25">
      <c r="A383" s="2" t="s">
        <v>2582</v>
      </c>
      <c r="B383" s="2" t="s">
        <v>18</v>
      </c>
      <c r="C383" s="2" t="s">
        <v>451</v>
      </c>
      <c r="D383" s="2" t="s">
        <v>1178</v>
      </c>
      <c r="E383" s="2" t="s">
        <v>422</v>
      </c>
      <c r="F383" s="2">
        <v>5.1639344262294999</v>
      </c>
      <c r="G383" s="2">
        <v>61</v>
      </c>
      <c r="H383" s="2">
        <v>5500</v>
      </c>
      <c r="I383" s="2" t="s">
        <v>2068</v>
      </c>
      <c r="J383" s="2" t="s">
        <v>860</v>
      </c>
      <c r="K383" s="2" t="s">
        <v>38</v>
      </c>
    </row>
    <row r="384" spans="1:13" x14ac:dyDescent="0.25">
      <c r="A384" s="2" t="s">
        <v>2583</v>
      </c>
      <c r="B384" s="2" t="s">
        <v>18</v>
      </c>
      <c r="C384" s="2" t="s">
        <v>1179</v>
      </c>
      <c r="D384" s="2" t="s">
        <v>1180</v>
      </c>
      <c r="E384" s="2" t="s">
        <v>1159</v>
      </c>
      <c r="F384" s="2">
        <v>4.7924528301886697</v>
      </c>
      <c r="G384" s="2">
        <v>53</v>
      </c>
      <c r="H384" s="2">
        <v>5500</v>
      </c>
      <c r="I384" s="2" t="s">
        <v>2097</v>
      </c>
      <c r="J384" s="2" t="s">
        <v>853</v>
      </c>
      <c r="K384" s="2" t="s">
        <v>159</v>
      </c>
    </row>
    <row r="385" spans="1:14" x14ac:dyDescent="0.25">
      <c r="A385" s="2" t="s">
        <v>2584</v>
      </c>
      <c r="B385" s="2" t="s">
        <v>18</v>
      </c>
      <c r="C385" s="2" t="s">
        <v>252</v>
      </c>
      <c r="D385" s="2" t="s">
        <v>2585</v>
      </c>
      <c r="E385" s="2" t="s">
        <v>2586</v>
      </c>
      <c r="F385" s="2">
        <v>13.2222222222222</v>
      </c>
      <c r="G385" s="2">
        <v>27</v>
      </c>
      <c r="H385" s="2">
        <v>5500</v>
      </c>
      <c r="I385" s="2" t="s">
        <v>2075</v>
      </c>
      <c r="J385" s="2" t="s">
        <v>2076</v>
      </c>
      <c r="K385" s="2" t="s">
        <v>37</v>
      </c>
    </row>
    <row r="386" spans="1:14" x14ac:dyDescent="0.25">
      <c r="A386" s="2" t="s">
        <v>2587</v>
      </c>
      <c r="B386" s="2" t="s">
        <v>18</v>
      </c>
      <c r="C386" s="2" t="s">
        <v>287</v>
      </c>
      <c r="D386" s="2" t="s">
        <v>635</v>
      </c>
      <c r="E386" s="2" t="s">
        <v>636</v>
      </c>
      <c r="F386" s="2">
        <v>4.23529411764705</v>
      </c>
      <c r="G386" s="2">
        <v>34</v>
      </c>
      <c r="H386" s="2">
        <v>5500</v>
      </c>
      <c r="I386" s="2" t="s">
        <v>2068</v>
      </c>
      <c r="J386" s="2" t="s">
        <v>38</v>
      </c>
      <c r="K386" s="2" t="s">
        <v>860</v>
      </c>
    </row>
    <row r="387" spans="1:14" x14ac:dyDescent="0.25">
      <c r="A387" s="2" t="s">
        <v>2588</v>
      </c>
      <c r="B387" s="2" t="s">
        <v>18</v>
      </c>
      <c r="C387" s="2" t="s">
        <v>2589</v>
      </c>
      <c r="D387" s="2" t="s">
        <v>2590</v>
      </c>
      <c r="E387" s="2" t="s">
        <v>2591</v>
      </c>
      <c r="F387" s="2">
        <v>5.0222222222222204</v>
      </c>
      <c r="G387" s="2">
        <v>45</v>
      </c>
      <c r="H387" s="2">
        <v>5500</v>
      </c>
      <c r="I387" s="2" t="s">
        <v>2075</v>
      </c>
      <c r="J387" s="2" t="s">
        <v>37</v>
      </c>
      <c r="K387" s="2" t="s">
        <v>2076</v>
      </c>
    </row>
    <row r="388" spans="1:14" x14ac:dyDescent="0.25">
      <c r="A388" s="2" t="s">
        <v>2592</v>
      </c>
      <c r="B388" s="2" t="s">
        <v>18</v>
      </c>
      <c r="C388" s="2" t="s">
        <v>858</v>
      </c>
      <c r="D388" s="2" t="s">
        <v>2593</v>
      </c>
      <c r="E388" s="2" t="s">
        <v>216</v>
      </c>
      <c r="F388" s="2">
        <v>5.4814814814814801</v>
      </c>
      <c r="G388" s="2">
        <v>27</v>
      </c>
      <c r="H388" s="2">
        <v>5500</v>
      </c>
      <c r="I388" s="2" t="s">
        <v>1783</v>
      </c>
      <c r="J388" s="2" t="s">
        <v>840</v>
      </c>
      <c r="K388" s="2" t="s">
        <v>861</v>
      </c>
    </row>
    <row r="389" spans="1:14" x14ac:dyDescent="0.25">
      <c r="A389" s="2" t="s">
        <v>2594</v>
      </c>
      <c r="B389" s="2" t="s">
        <v>18</v>
      </c>
      <c r="C389" s="2" t="s">
        <v>287</v>
      </c>
      <c r="D389" s="2" t="s">
        <v>1181</v>
      </c>
      <c r="E389" s="2" t="s">
        <v>1182</v>
      </c>
      <c r="F389" s="2">
        <v>3.2575757575757498</v>
      </c>
      <c r="G389" s="2">
        <v>66</v>
      </c>
      <c r="H389" s="2">
        <v>5500</v>
      </c>
      <c r="I389" s="2" t="s">
        <v>2079</v>
      </c>
      <c r="J389" s="2" t="s">
        <v>855</v>
      </c>
      <c r="K389" s="2" t="s">
        <v>843</v>
      </c>
    </row>
    <row r="390" spans="1:14" x14ac:dyDescent="0.25">
      <c r="A390" s="2" t="s">
        <v>2595</v>
      </c>
      <c r="B390" s="2" t="s">
        <v>18</v>
      </c>
      <c r="C390" s="2" t="s">
        <v>316</v>
      </c>
      <c r="D390" s="2" t="s">
        <v>1183</v>
      </c>
      <c r="E390" s="2" t="s">
        <v>1184</v>
      </c>
      <c r="F390" s="2">
        <v>3.2820512820512802</v>
      </c>
      <c r="G390" s="2">
        <v>39</v>
      </c>
      <c r="H390" s="2">
        <v>5500</v>
      </c>
      <c r="I390" s="2" t="s">
        <v>2070</v>
      </c>
      <c r="J390" s="2" t="s">
        <v>848</v>
      </c>
      <c r="K390" s="2" t="s">
        <v>36</v>
      </c>
    </row>
    <row r="391" spans="1:14" x14ac:dyDescent="0.25">
      <c r="A391" s="2" t="s">
        <v>2596</v>
      </c>
      <c r="B391" s="2" t="s">
        <v>18</v>
      </c>
      <c r="C391" s="2" t="s">
        <v>441</v>
      </c>
      <c r="D391" s="2" t="s">
        <v>1185</v>
      </c>
      <c r="E391" s="2" t="s">
        <v>1186</v>
      </c>
      <c r="F391" s="2">
        <v>13</v>
      </c>
      <c r="G391" s="2">
        <v>1</v>
      </c>
      <c r="H391" s="2">
        <v>5500</v>
      </c>
      <c r="I391" s="2" t="s">
        <v>2079</v>
      </c>
      <c r="J391" s="2" t="s">
        <v>855</v>
      </c>
      <c r="K391" s="2" t="s">
        <v>843</v>
      </c>
    </row>
    <row r="392" spans="1:14" x14ac:dyDescent="0.25">
      <c r="A392" s="2" t="s">
        <v>2597</v>
      </c>
      <c r="B392" s="2" t="s">
        <v>18</v>
      </c>
      <c r="C392" s="2" t="s">
        <v>225</v>
      </c>
      <c r="D392" s="2" t="s">
        <v>305</v>
      </c>
      <c r="E392" s="2" t="s">
        <v>306</v>
      </c>
      <c r="F392" s="2">
        <v>9.7105263157894708</v>
      </c>
      <c r="G392" s="2">
        <v>38</v>
      </c>
      <c r="H392" s="2">
        <v>5500</v>
      </c>
      <c r="I392" s="2" t="s">
        <v>2106</v>
      </c>
      <c r="J392" s="2" t="s">
        <v>35</v>
      </c>
      <c r="K392" s="2" t="s">
        <v>34</v>
      </c>
      <c r="N392" s="2" t="s">
        <v>199</v>
      </c>
    </row>
    <row r="393" spans="1:14" x14ac:dyDescent="0.25">
      <c r="A393" s="2" t="s">
        <v>2598</v>
      </c>
      <c r="B393" s="2" t="s">
        <v>18</v>
      </c>
      <c r="C393" s="2" t="s">
        <v>718</v>
      </c>
      <c r="D393" s="2" t="s">
        <v>2599</v>
      </c>
      <c r="E393" s="2" t="s">
        <v>2600</v>
      </c>
      <c r="F393" s="2">
        <v>7</v>
      </c>
      <c r="G393" s="2">
        <v>1</v>
      </c>
      <c r="H393" s="2">
        <v>5500</v>
      </c>
      <c r="I393" s="2" t="s">
        <v>2065</v>
      </c>
      <c r="J393" s="2" t="s">
        <v>69</v>
      </c>
      <c r="K393" s="2" t="s">
        <v>2066</v>
      </c>
    </row>
    <row r="394" spans="1:14" x14ac:dyDescent="0.25">
      <c r="A394" s="2" t="s">
        <v>2601</v>
      </c>
      <c r="B394" s="2" t="s">
        <v>18</v>
      </c>
      <c r="C394" s="2" t="s">
        <v>233</v>
      </c>
      <c r="D394" s="2" t="s">
        <v>1920</v>
      </c>
      <c r="E394" s="2" t="s">
        <v>1921</v>
      </c>
      <c r="F394" s="2">
        <v>5.4523809523809499</v>
      </c>
      <c r="G394" s="2">
        <v>42</v>
      </c>
      <c r="H394" s="2">
        <v>5500</v>
      </c>
      <c r="I394" s="2" t="s">
        <v>2068</v>
      </c>
      <c r="J394" s="2" t="s">
        <v>38</v>
      </c>
      <c r="K394" s="2" t="s">
        <v>860</v>
      </c>
    </row>
    <row r="395" spans="1:14" x14ac:dyDescent="0.25">
      <c r="A395" s="2" t="s">
        <v>2602</v>
      </c>
      <c r="B395" s="2" t="s">
        <v>18</v>
      </c>
      <c r="C395" s="2" t="s">
        <v>337</v>
      </c>
      <c r="D395" s="2" t="s">
        <v>1922</v>
      </c>
      <c r="E395" s="2" t="s">
        <v>1923</v>
      </c>
      <c r="F395" s="2">
        <v>5.1052631578947301</v>
      </c>
      <c r="G395" s="2">
        <v>57</v>
      </c>
      <c r="H395" s="2">
        <v>5500</v>
      </c>
      <c r="I395" s="2" t="s">
        <v>2097</v>
      </c>
      <c r="J395" s="2" t="s">
        <v>853</v>
      </c>
      <c r="K395" s="2" t="s">
        <v>159</v>
      </c>
    </row>
    <row r="396" spans="1:14" x14ac:dyDescent="0.25">
      <c r="A396" s="2" t="s">
        <v>2603</v>
      </c>
      <c r="B396" s="2" t="s">
        <v>18</v>
      </c>
      <c r="C396" s="2" t="s">
        <v>287</v>
      </c>
      <c r="D396" s="2" t="s">
        <v>1187</v>
      </c>
      <c r="E396" s="2" t="s">
        <v>1188</v>
      </c>
      <c r="F396" s="2">
        <v>5.5306122448979496</v>
      </c>
      <c r="G396" s="2">
        <v>49</v>
      </c>
      <c r="H396" s="2">
        <v>5500</v>
      </c>
      <c r="I396" s="2" t="s">
        <v>2124</v>
      </c>
      <c r="J396" s="2" t="s">
        <v>852</v>
      </c>
      <c r="K396" s="2" t="s">
        <v>2125</v>
      </c>
      <c r="L396" s="2" t="s">
        <v>200</v>
      </c>
      <c r="M396" s="2" t="s">
        <v>232</v>
      </c>
    </row>
    <row r="397" spans="1:14" x14ac:dyDescent="0.25">
      <c r="A397" s="2" t="s">
        <v>2604</v>
      </c>
      <c r="B397" s="2" t="s">
        <v>18</v>
      </c>
      <c r="C397" s="2" t="s">
        <v>268</v>
      </c>
      <c r="D397" s="2" t="s">
        <v>1189</v>
      </c>
      <c r="E397" s="2" t="s">
        <v>1190</v>
      </c>
      <c r="F397" s="2">
        <v>3.6</v>
      </c>
      <c r="G397" s="2">
        <v>5</v>
      </c>
      <c r="H397" s="2">
        <v>5500</v>
      </c>
      <c r="I397" s="2" t="s">
        <v>2124</v>
      </c>
      <c r="J397" s="2" t="s">
        <v>852</v>
      </c>
      <c r="K397" s="2" t="s">
        <v>2125</v>
      </c>
    </row>
    <row r="398" spans="1:14" x14ac:dyDescent="0.25">
      <c r="A398" s="2" t="s">
        <v>2605</v>
      </c>
      <c r="B398" s="2" t="s">
        <v>18</v>
      </c>
      <c r="C398" s="2" t="s">
        <v>1191</v>
      </c>
      <c r="D398" s="2" t="s">
        <v>1192</v>
      </c>
      <c r="E398" s="2" t="s">
        <v>1193</v>
      </c>
      <c r="F398" s="2">
        <v>4.8499999999999996</v>
      </c>
      <c r="G398" s="2">
        <v>20</v>
      </c>
      <c r="H398" s="2">
        <v>5500</v>
      </c>
      <c r="I398" s="2" t="s">
        <v>2124</v>
      </c>
      <c r="J398" s="2" t="s">
        <v>852</v>
      </c>
      <c r="K398" s="2" t="s">
        <v>2125</v>
      </c>
    </row>
    <row r="399" spans="1:14" x14ac:dyDescent="0.25">
      <c r="A399" s="2" t="s">
        <v>2606</v>
      </c>
      <c r="B399" s="2" t="s">
        <v>18</v>
      </c>
      <c r="C399" s="2" t="s">
        <v>405</v>
      </c>
      <c r="D399" s="2" t="s">
        <v>406</v>
      </c>
      <c r="E399" s="2" t="s">
        <v>407</v>
      </c>
      <c r="F399" s="2">
        <v>8.8363636363636306</v>
      </c>
      <c r="G399" s="2">
        <v>55</v>
      </c>
      <c r="H399" s="2">
        <v>5500</v>
      </c>
      <c r="I399" s="2" t="s">
        <v>2072</v>
      </c>
      <c r="J399" s="2" t="s">
        <v>74</v>
      </c>
      <c r="K399" s="2" t="s">
        <v>842</v>
      </c>
    </row>
    <row r="400" spans="1:14" x14ac:dyDescent="0.25">
      <c r="A400" s="2" t="s">
        <v>2607</v>
      </c>
      <c r="B400" s="2" t="s">
        <v>18</v>
      </c>
      <c r="C400" s="2" t="s">
        <v>1194</v>
      </c>
      <c r="D400" s="2" t="s">
        <v>1195</v>
      </c>
      <c r="E400" s="2" t="s">
        <v>349</v>
      </c>
      <c r="F400" s="2">
        <v>5.2068965517241299</v>
      </c>
      <c r="G400" s="2">
        <v>29</v>
      </c>
      <c r="H400" s="2">
        <v>5500</v>
      </c>
      <c r="I400" s="2" t="s">
        <v>2068</v>
      </c>
      <c r="J400" s="2" t="s">
        <v>38</v>
      </c>
      <c r="K400" s="2" t="s">
        <v>860</v>
      </c>
    </row>
    <row r="401" spans="1:13" x14ac:dyDescent="0.25">
      <c r="A401" s="2" t="s">
        <v>2608</v>
      </c>
      <c r="B401" s="2" t="s">
        <v>18</v>
      </c>
      <c r="C401" s="2" t="s">
        <v>412</v>
      </c>
      <c r="D401" s="2" t="s">
        <v>2609</v>
      </c>
      <c r="E401" s="2" t="s">
        <v>2610</v>
      </c>
      <c r="F401" s="2">
        <v>5.08</v>
      </c>
      <c r="G401" s="2">
        <v>50</v>
      </c>
      <c r="H401" s="2">
        <v>5500</v>
      </c>
      <c r="I401" s="2" t="s">
        <v>2090</v>
      </c>
      <c r="J401" s="2" t="s">
        <v>2091</v>
      </c>
      <c r="K401" s="2" t="s">
        <v>844</v>
      </c>
    </row>
    <row r="402" spans="1:13" x14ac:dyDescent="0.25">
      <c r="A402" s="2" t="s">
        <v>2611</v>
      </c>
      <c r="B402" s="2" t="s">
        <v>18</v>
      </c>
      <c r="C402" s="2" t="s">
        <v>342</v>
      </c>
      <c r="D402" s="2" t="s">
        <v>1924</v>
      </c>
      <c r="E402" s="2" t="s">
        <v>1925</v>
      </c>
      <c r="F402" s="2">
        <v>6.6744186046511604</v>
      </c>
      <c r="G402" s="2">
        <v>43</v>
      </c>
      <c r="H402" s="2">
        <v>5500</v>
      </c>
      <c r="I402" s="2" t="s">
        <v>2070</v>
      </c>
      <c r="J402" s="2" t="s">
        <v>36</v>
      </c>
      <c r="K402" s="2" t="s">
        <v>848</v>
      </c>
    </row>
    <row r="403" spans="1:13" x14ac:dyDescent="0.25">
      <c r="A403" s="2" t="s">
        <v>2612</v>
      </c>
      <c r="B403" s="2" t="s">
        <v>18</v>
      </c>
      <c r="C403" s="2" t="s">
        <v>638</v>
      </c>
      <c r="D403" s="2" t="s">
        <v>1926</v>
      </c>
      <c r="E403" s="2" t="s">
        <v>1927</v>
      </c>
      <c r="F403" s="2">
        <v>5.2181818181818098</v>
      </c>
      <c r="G403" s="2">
        <v>55</v>
      </c>
      <c r="H403" s="2">
        <v>5500</v>
      </c>
      <c r="I403" s="2" t="s">
        <v>2108</v>
      </c>
      <c r="J403" s="2" t="s">
        <v>856</v>
      </c>
      <c r="K403" s="2" t="s">
        <v>841</v>
      </c>
      <c r="L403" s="2" t="s">
        <v>200</v>
      </c>
      <c r="M403" s="2" t="s">
        <v>568</v>
      </c>
    </row>
    <row r="404" spans="1:13" x14ac:dyDescent="0.25">
      <c r="A404" s="2" t="s">
        <v>2613</v>
      </c>
      <c r="B404" s="2" t="s">
        <v>18</v>
      </c>
      <c r="C404" s="2" t="s">
        <v>655</v>
      </c>
      <c r="D404" s="2" t="s">
        <v>2614</v>
      </c>
      <c r="E404" s="2" t="s">
        <v>2615</v>
      </c>
      <c r="F404" s="2">
        <v>6.9464285714285703</v>
      </c>
      <c r="G404" s="2">
        <v>56</v>
      </c>
      <c r="H404" s="2">
        <v>5500</v>
      </c>
      <c r="I404" s="2" t="s">
        <v>2068</v>
      </c>
      <c r="J404" s="2" t="s">
        <v>860</v>
      </c>
      <c r="K404" s="2" t="s">
        <v>38</v>
      </c>
    </row>
    <row r="405" spans="1:13" x14ac:dyDescent="0.25">
      <c r="A405" s="2" t="s">
        <v>2616</v>
      </c>
      <c r="B405" s="2" t="s">
        <v>18</v>
      </c>
      <c r="C405" s="2" t="s">
        <v>620</v>
      </c>
      <c r="D405" s="2" t="s">
        <v>1196</v>
      </c>
      <c r="E405" s="2" t="s">
        <v>1197</v>
      </c>
      <c r="F405" s="2">
        <v>5.5454545454545396</v>
      </c>
      <c r="G405" s="2">
        <v>22</v>
      </c>
      <c r="H405" s="2">
        <v>5500</v>
      </c>
      <c r="I405" s="2" t="s">
        <v>2108</v>
      </c>
      <c r="J405" s="2" t="s">
        <v>841</v>
      </c>
      <c r="K405" s="2" t="s">
        <v>856</v>
      </c>
      <c r="L405" s="2" t="s">
        <v>200</v>
      </c>
      <c r="M405" s="2" t="s">
        <v>254</v>
      </c>
    </row>
    <row r="406" spans="1:13" x14ac:dyDescent="0.25">
      <c r="A406" s="2" t="s">
        <v>2617</v>
      </c>
      <c r="B406" s="2" t="s">
        <v>18</v>
      </c>
      <c r="C406" s="2" t="s">
        <v>204</v>
      </c>
      <c r="D406" s="2" t="s">
        <v>1198</v>
      </c>
      <c r="E406" s="2" t="s">
        <v>427</v>
      </c>
      <c r="F406" s="2">
        <v>3.7068965517241299</v>
      </c>
      <c r="G406" s="2">
        <v>58</v>
      </c>
      <c r="H406" s="2">
        <v>5500</v>
      </c>
      <c r="I406" s="2" t="s">
        <v>2070</v>
      </c>
      <c r="J406" s="2" t="s">
        <v>848</v>
      </c>
      <c r="K406" s="2" t="s">
        <v>36</v>
      </c>
    </row>
    <row r="407" spans="1:13" x14ac:dyDescent="0.25">
      <c r="A407" s="2" t="s">
        <v>2618</v>
      </c>
      <c r="B407" s="2" t="s">
        <v>18</v>
      </c>
      <c r="C407" s="2" t="s">
        <v>225</v>
      </c>
      <c r="D407" s="2" t="s">
        <v>418</v>
      </c>
      <c r="E407" s="2" t="s">
        <v>419</v>
      </c>
      <c r="F407" s="2">
        <v>6.1914893617021196</v>
      </c>
      <c r="G407" s="2">
        <v>47</v>
      </c>
      <c r="H407" s="2">
        <v>5500</v>
      </c>
      <c r="I407" s="2" t="s">
        <v>2070</v>
      </c>
      <c r="J407" s="2" t="s">
        <v>36</v>
      </c>
      <c r="K407" s="2" t="s">
        <v>848</v>
      </c>
    </row>
    <row r="408" spans="1:13" x14ac:dyDescent="0.25">
      <c r="A408" s="2" t="s">
        <v>2619</v>
      </c>
      <c r="B408" s="2" t="s">
        <v>18</v>
      </c>
      <c r="C408" s="2" t="s">
        <v>287</v>
      </c>
      <c r="D408" s="2" t="s">
        <v>421</v>
      </c>
      <c r="E408" s="2" t="s">
        <v>422</v>
      </c>
      <c r="F408" s="2">
        <v>5.7966101694915197</v>
      </c>
      <c r="G408" s="2">
        <v>59</v>
      </c>
      <c r="H408" s="2">
        <v>5500</v>
      </c>
      <c r="I408" s="2" t="s">
        <v>2072</v>
      </c>
      <c r="J408" s="2" t="s">
        <v>74</v>
      </c>
      <c r="K408" s="2" t="s">
        <v>842</v>
      </c>
    </row>
    <row r="409" spans="1:13" x14ac:dyDescent="0.25">
      <c r="A409" s="2" t="s">
        <v>2620</v>
      </c>
      <c r="B409" s="2" t="s">
        <v>18</v>
      </c>
      <c r="C409" s="2" t="s">
        <v>212</v>
      </c>
      <c r="D409" s="2" t="s">
        <v>2621</v>
      </c>
      <c r="E409" s="2" t="s">
        <v>1193</v>
      </c>
      <c r="F409" s="2">
        <v>3.76</v>
      </c>
      <c r="G409" s="2">
        <v>50</v>
      </c>
      <c r="H409" s="2">
        <v>5500</v>
      </c>
      <c r="I409" s="2" t="s">
        <v>2124</v>
      </c>
      <c r="J409" s="2" t="s">
        <v>2125</v>
      </c>
      <c r="K409" s="2" t="s">
        <v>852</v>
      </c>
    </row>
    <row r="410" spans="1:13" x14ac:dyDescent="0.25">
      <c r="A410" s="2" t="s">
        <v>2622</v>
      </c>
      <c r="B410" s="2" t="s">
        <v>18</v>
      </c>
      <c r="C410" s="2" t="s">
        <v>387</v>
      </c>
      <c r="D410" s="2" t="s">
        <v>2623</v>
      </c>
      <c r="E410" s="2" t="s">
        <v>2624</v>
      </c>
      <c r="F410" s="2">
        <v>4</v>
      </c>
      <c r="G410" s="2">
        <v>1</v>
      </c>
      <c r="H410" s="2">
        <v>5500</v>
      </c>
      <c r="I410" s="2" t="s">
        <v>2065</v>
      </c>
      <c r="J410" s="2" t="s">
        <v>2066</v>
      </c>
      <c r="K410" s="2" t="s">
        <v>69</v>
      </c>
    </row>
    <row r="411" spans="1:13" x14ac:dyDescent="0.25">
      <c r="A411" s="2" t="s">
        <v>2625</v>
      </c>
      <c r="B411" s="2" t="s">
        <v>18</v>
      </c>
      <c r="C411" s="2" t="s">
        <v>1928</v>
      </c>
      <c r="D411" s="2" t="s">
        <v>1929</v>
      </c>
      <c r="E411" s="2" t="s">
        <v>424</v>
      </c>
      <c r="F411" s="2">
        <v>3.1578947368421</v>
      </c>
      <c r="G411" s="2">
        <v>38</v>
      </c>
      <c r="H411" s="2">
        <v>5500</v>
      </c>
      <c r="I411" s="2" t="s">
        <v>2070</v>
      </c>
      <c r="J411" s="2" t="s">
        <v>36</v>
      </c>
      <c r="K411" s="2" t="s">
        <v>848</v>
      </c>
      <c r="L411" s="2" t="s">
        <v>200</v>
      </c>
      <c r="M411" s="2" t="s">
        <v>247</v>
      </c>
    </row>
    <row r="412" spans="1:13" x14ac:dyDescent="0.25">
      <c r="A412" s="2" t="s">
        <v>2626</v>
      </c>
      <c r="B412" s="2" t="s">
        <v>18</v>
      </c>
      <c r="C412" s="2" t="s">
        <v>223</v>
      </c>
      <c r="D412" s="2" t="s">
        <v>428</v>
      </c>
      <c r="E412" s="2" t="s">
        <v>429</v>
      </c>
      <c r="F412" s="2">
        <v>-1.5</v>
      </c>
      <c r="G412" s="2">
        <v>4</v>
      </c>
      <c r="H412" s="2">
        <v>5500</v>
      </c>
      <c r="I412" s="2" t="s">
        <v>2068</v>
      </c>
      <c r="J412" s="2" t="s">
        <v>38</v>
      </c>
      <c r="K412" s="2" t="s">
        <v>860</v>
      </c>
    </row>
    <row r="413" spans="1:13" x14ac:dyDescent="0.25">
      <c r="A413" s="2" t="s">
        <v>2627</v>
      </c>
      <c r="B413" s="2" t="s">
        <v>18</v>
      </c>
      <c r="C413" s="2" t="s">
        <v>886</v>
      </c>
      <c r="D413" s="2" t="s">
        <v>2628</v>
      </c>
      <c r="E413" s="2" t="s">
        <v>685</v>
      </c>
      <c r="F413" s="2">
        <v>7</v>
      </c>
      <c r="G413" s="2">
        <v>11</v>
      </c>
      <c r="H413" s="2">
        <v>5500</v>
      </c>
      <c r="I413" s="2" t="s">
        <v>2075</v>
      </c>
      <c r="J413" s="2" t="s">
        <v>2076</v>
      </c>
      <c r="K413" s="2" t="s">
        <v>37</v>
      </c>
      <c r="L413" s="2" t="s">
        <v>200</v>
      </c>
      <c r="M413" s="2" t="s">
        <v>267</v>
      </c>
    </row>
    <row r="414" spans="1:13" x14ac:dyDescent="0.25">
      <c r="A414" s="2" t="s">
        <v>2629</v>
      </c>
      <c r="B414" s="2" t="s">
        <v>18</v>
      </c>
      <c r="C414" s="2" t="s">
        <v>434</v>
      </c>
      <c r="D414" s="2" t="s">
        <v>2630</v>
      </c>
      <c r="E414" s="2" t="s">
        <v>2631</v>
      </c>
      <c r="F414" s="2">
        <v>4.6764705882352899</v>
      </c>
      <c r="G414" s="2">
        <v>34</v>
      </c>
      <c r="H414" s="2">
        <v>5500</v>
      </c>
      <c r="I414" s="2" t="s">
        <v>2090</v>
      </c>
      <c r="J414" s="2" t="s">
        <v>2091</v>
      </c>
      <c r="K414" s="2" t="s">
        <v>844</v>
      </c>
    </row>
    <row r="415" spans="1:13" x14ac:dyDescent="0.25">
      <c r="A415" s="2" t="s">
        <v>2632</v>
      </c>
      <c r="B415" s="2" t="s">
        <v>18</v>
      </c>
      <c r="C415" s="2" t="s">
        <v>370</v>
      </c>
      <c r="D415" s="2" t="s">
        <v>1201</v>
      </c>
      <c r="E415" s="2" t="s">
        <v>1202</v>
      </c>
      <c r="F415" s="2">
        <v>5.5409836065573703</v>
      </c>
      <c r="G415" s="2">
        <v>61</v>
      </c>
      <c r="H415" s="2">
        <v>5500</v>
      </c>
      <c r="I415" s="2" t="s">
        <v>1783</v>
      </c>
      <c r="J415" s="2" t="s">
        <v>861</v>
      </c>
      <c r="K415" s="2" t="s">
        <v>840</v>
      </c>
    </row>
    <row r="416" spans="1:13" x14ac:dyDescent="0.25">
      <c r="A416" s="2" t="s">
        <v>2633</v>
      </c>
      <c r="B416" s="2" t="s">
        <v>18</v>
      </c>
      <c r="C416" s="2" t="s">
        <v>207</v>
      </c>
      <c r="D416" s="2" t="s">
        <v>2634</v>
      </c>
      <c r="E416" s="2" t="s">
        <v>236</v>
      </c>
      <c r="F416" s="2">
        <v>4.8269230769230704</v>
      </c>
      <c r="G416" s="2">
        <v>52</v>
      </c>
      <c r="H416" s="2">
        <v>5500</v>
      </c>
      <c r="I416" s="2" t="s">
        <v>2090</v>
      </c>
      <c r="J416" s="2" t="s">
        <v>2091</v>
      </c>
      <c r="K416" s="2" t="s">
        <v>844</v>
      </c>
    </row>
    <row r="417" spans="1:13" x14ac:dyDescent="0.25">
      <c r="A417" s="2" t="s">
        <v>2635</v>
      </c>
      <c r="B417" s="2" t="s">
        <v>18</v>
      </c>
      <c r="C417" s="2" t="s">
        <v>337</v>
      </c>
      <c r="D417" s="2" t="s">
        <v>436</v>
      </c>
      <c r="E417" s="2" t="s">
        <v>437</v>
      </c>
      <c r="F417" s="2">
        <v>5.0444444444444398</v>
      </c>
      <c r="G417" s="2">
        <v>45</v>
      </c>
      <c r="H417" s="2">
        <v>5500</v>
      </c>
      <c r="I417" s="2" t="s">
        <v>2097</v>
      </c>
      <c r="J417" s="2" t="s">
        <v>159</v>
      </c>
      <c r="K417" s="2" t="s">
        <v>853</v>
      </c>
    </row>
    <row r="418" spans="1:13" x14ac:dyDescent="0.25">
      <c r="A418" s="2" t="s">
        <v>2636</v>
      </c>
      <c r="B418" s="2" t="s">
        <v>18</v>
      </c>
      <c r="C418" s="2" t="s">
        <v>743</v>
      </c>
      <c r="D418" s="2" t="s">
        <v>2637</v>
      </c>
      <c r="E418" s="2" t="s">
        <v>419</v>
      </c>
      <c r="F418" s="2">
        <v>9.71428571428571</v>
      </c>
      <c r="G418" s="2">
        <v>7</v>
      </c>
      <c r="H418" s="2">
        <v>5500</v>
      </c>
      <c r="I418" s="2" t="s">
        <v>2072</v>
      </c>
      <c r="J418" s="2" t="s">
        <v>842</v>
      </c>
      <c r="K418" s="2" t="s">
        <v>74</v>
      </c>
    </row>
    <row r="419" spans="1:13" x14ac:dyDescent="0.25">
      <c r="A419" s="2" t="s">
        <v>2638</v>
      </c>
      <c r="B419" s="2" t="s">
        <v>18</v>
      </c>
      <c r="C419" s="2" t="s">
        <v>438</v>
      </c>
      <c r="D419" s="2" t="s">
        <v>439</v>
      </c>
      <c r="E419" s="2" t="s">
        <v>440</v>
      </c>
      <c r="F419" s="2">
        <v>5.8222222222222202</v>
      </c>
      <c r="G419" s="2">
        <v>45</v>
      </c>
      <c r="H419" s="2">
        <v>5500</v>
      </c>
      <c r="I419" s="2" t="s">
        <v>2068</v>
      </c>
      <c r="J419" s="2" t="s">
        <v>38</v>
      </c>
      <c r="K419" s="2" t="s">
        <v>860</v>
      </c>
      <c r="L419" s="2" t="s">
        <v>200</v>
      </c>
      <c r="M419" s="2" t="s">
        <v>386</v>
      </c>
    </row>
    <row r="420" spans="1:13" x14ac:dyDescent="0.25">
      <c r="A420" s="2" t="s">
        <v>2639</v>
      </c>
      <c r="B420" s="2" t="s">
        <v>18</v>
      </c>
      <c r="C420" s="2" t="s">
        <v>394</v>
      </c>
      <c r="D420" s="2" t="s">
        <v>2640</v>
      </c>
      <c r="E420" s="2" t="s">
        <v>2641</v>
      </c>
      <c r="F420" s="2">
        <v>5.5</v>
      </c>
      <c r="G420" s="2">
        <v>4</v>
      </c>
      <c r="H420" s="2">
        <v>5500</v>
      </c>
      <c r="I420" s="2" t="s">
        <v>2065</v>
      </c>
      <c r="J420" s="2" t="s">
        <v>2066</v>
      </c>
      <c r="K420" s="2" t="s">
        <v>69</v>
      </c>
      <c r="L420" s="2" t="s">
        <v>200</v>
      </c>
      <c r="M420" s="2" t="s">
        <v>386</v>
      </c>
    </row>
    <row r="421" spans="1:13" x14ac:dyDescent="0.25">
      <c r="A421" s="2" t="s">
        <v>2642</v>
      </c>
      <c r="B421" s="2" t="s">
        <v>18</v>
      </c>
      <c r="C421" s="2" t="s">
        <v>304</v>
      </c>
      <c r="D421" s="2" t="s">
        <v>2643</v>
      </c>
      <c r="E421" s="2" t="s">
        <v>2644</v>
      </c>
      <c r="F421" s="2">
        <v>4.8</v>
      </c>
      <c r="G421" s="2">
        <v>5</v>
      </c>
      <c r="H421" s="2">
        <v>5500</v>
      </c>
      <c r="I421" s="2" t="s">
        <v>2075</v>
      </c>
      <c r="J421" s="2" t="s">
        <v>37</v>
      </c>
      <c r="K421" s="2" t="s">
        <v>2076</v>
      </c>
    </row>
    <row r="422" spans="1:13" x14ac:dyDescent="0.25">
      <c r="A422" s="2" t="s">
        <v>2645</v>
      </c>
      <c r="B422" s="2" t="s">
        <v>18</v>
      </c>
      <c r="C422" s="2" t="s">
        <v>1203</v>
      </c>
      <c r="D422" s="2" t="s">
        <v>1204</v>
      </c>
      <c r="E422" s="2" t="s">
        <v>393</v>
      </c>
      <c r="F422" s="2">
        <v>6.63492063492063</v>
      </c>
      <c r="G422" s="2">
        <v>63</v>
      </c>
      <c r="H422" s="2">
        <v>5500</v>
      </c>
      <c r="I422" s="2" t="s">
        <v>2108</v>
      </c>
      <c r="J422" s="2" t="s">
        <v>856</v>
      </c>
      <c r="K422" s="2" t="s">
        <v>841</v>
      </c>
    </row>
    <row r="423" spans="1:13" x14ac:dyDescent="0.25">
      <c r="A423" s="2" t="s">
        <v>2646</v>
      </c>
      <c r="B423" s="2" t="s">
        <v>18</v>
      </c>
      <c r="C423" s="2" t="s">
        <v>225</v>
      </c>
      <c r="D423" s="2" t="s">
        <v>444</v>
      </c>
      <c r="E423" s="2" t="s">
        <v>445</v>
      </c>
      <c r="F423" s="2">
        <v>5.2093023255813904</v>
      </c>
      <c r="G423" s="2">
        <v>43</v>
      </c>
      <c r="H423" s="2">
        <v>5500</v>
      </c>
      <c r="I423" s="2" t="s">
        <v>2072</v>
      </c>
      <c r="J423" s="2" t="s">
        <v>74</v>
      </c>
      <c r="K423" s="2" t="s">
        <v>842</v>
      </c>
    </row>
    <row r="424" spans="1:13" x14ac:dyDescent="0.25">
      <c r="A424" s="2" t="s">
        <v>2647</v>
      </c>
      <c r="B424" s="2" t="s">
        <v>18</v>
      </c>
      <c r="C424" s="2" t="s">
        <v>867</v>
      </c>
      <c r="D424" s="2" t="s">
        <v>1205</v>
      </c>
      <c r="E424" s="2" t="s">
        <v>1206</v>
      </c>
      <c r="F424" s="2">
        <v>5.2777777777777697</v>
      </c>
      <c r="G424" s="2">
        <v>18</v>
      </c>
      <c r="H424" s="2">
        <v>5500</v>
      </c>
      <c r="I424" s="2" t="s">
        <v>2108</v>
      </c>
      <c r="J424" s="2" t="s">
        <v>856</v>
      </c>
      <c r="K424" s="2" t="s">
        <v>841</v>
      </c>
    </row>
    <row r="425" spans="1:13" x14ac:dyDescent="0.25">
      <c r="A425" s="2" t="s">
        <v>2648</v>
      </c>
      <c r="B425" s="2" t="s">
        <v>18</v>
      </c>
      <c r="C425" s="2" t="s">
        <v>277</v>
      </c>
      <c r="D425" s="2" t="s">
        <v>1930</v>
      </c>
      <c r="E425" s="2" t="s">
        <v>1931</v>
      </c>
      <c r="F425" s="2">
        <v>3.95</v>
      </c>
      <c r="G425" s="2">
        <v>20</v>
      </c>
      <c r="H425" s="2">
        <v>5500</v>
      </c>
      <c r="I425" s="2" t="s">
        <v>2065</v>
      </c>
      <c r="J425" s="2" t="s">
        <v>69</v>
      </c>
      <c r="K425" s="2" t="s">
        <v>2066</v>
      </c>
    </row>
    <row r="426" spans="1:13" x14ac:dyDescent="0.25">
      <c r="A426" s="2" t="s">
        <v>2649</v>
      </c>
      <c r="B426" s="2" t="s">
        <v>18</v>
      </c>
      <c r="C426" s="2" t="s">
        <v>446</v>
      </c>
      <c r="D426" s="2" t="s">
        <v>447</v>
      </c>
      <c r="E426" s="2" t="s">
        <v>419</v>
      </c>
      <c r="F426" s="2">
        <v>4.6666666666666599</v>
      </c>
      <c r="G426" s="2">
        <v>3</v>
      </c>
      <c r="H426" s="2">
        <v>5500</v>
      </c>
      <c r="I426" s="2" t="s">
        <v>2072</v>
      </c>
      <c r="J426" s="2" t="s">
        <v>74</v>
      </c>
      <c r="K426" s="2" t="s">
        <v>842</v>
      </c>
      <c r="L426" s="2" t="s">
        <v>200</v>
      </c>
      <c r="M426" s="2" t="s">
        <v>267</v>
      </c>
    </row>
    <row r="427" spans="1:13" x14ac:dyDescent="0.25">
      <c r="A427" s="2" t="s">
        <v>2650</v>
      </c>
      <c r="B427" s="2" t="s">
        <v>18</v>
      </c>
      <c r="C427" s="2" t="s">
        <v>260</v>
      </c>
      <c r="D427" s="2" t="s">
        <v>448</v>
      </c>
      <c r="E427" s="2" t="s">
        <v>449</v>
      </c>
      <c r="F427" s="2">
        <v>4.4000000000000004</v>
      </c>
      <c r="G427" s="2">
        <v>60</v>
      </c>
      <c r="H427" s="2">
        <v>5500</v>
      </c>
      <c r="I427" s="2" t="s">
        <v>2106</v>
      </c>
      <c r="J427" s="2" t="s">
        <v>35</v>
      </c>
      <c r="K427" s="2" t="s">
        <v>34</v>
      </c>
    </row>
    <row r="428" spans="1:13" x14ac:dyDescent="0.25">
      <c r="A428" s="2" t="s">
        <v>2651</v>
      </c>
      <c r="B428" s="2" t="s">
        <v>18</v>
      </c>
      <c r="C428" s="2" t="s">
        <v>1024</v>
      </c>
      <c r="D428" s="2" t="s">
        <v>1210</v>
      </c>
      <c r="E428" s="2" t="s">
        <v>1211</v>
      </c>
      <c r="F428" s="2">
        <v>3.5925925925925899</v>
      </c>
      <c r="G428" s="2">
        <v>27</v>
      </c>
      <c r="H428" s="2">
        <v>5500</v>
      </c>
      <c r="I428" s="2" t="s">
        <v>2068</v>
      </c>
      <c r="J428" s="2" t="s">
        <v>860</v>
      </c>
      <c r="K428" s="2" t="s">
        <v>38</v>
      </c>
    </row>
    <row r="429" spans="1:13" x14ac:dyDescent="0.25">
      <c r="A429" s="2" t="s">
        <v>2652</v>
      </c>
      <c r="B429" s="2" t="s">
        <v>18</v>
      </c>
      <c r="C429" s="2" t="s">
        <v>330</v>
      </c>
      <c r="D429" s="2" t="s">
        <v>2653</v>
      </c>
      <c r="E429" s="2" t="s">
        <v>712</v>
      </c>
      <c r="F429" s="2">
        <v>3.5</v>
      </c>
      <c r="G429" s="2">
        <v>2</v>
      </c>
      <c r="H429" s="2">
        <v>5500</v>
      </c>
      <c r="I429" s="2" t="s">
        <v>2072</v>
      </c>
      <c r="J429" s="2" t="s">
        <v>74</v>
      </c>
      <c r="K429" s="2" t="s">
        <v>842</v>
      </c>
    </row>
    <row r="430" spans="1:13" x14ac:dyDescent="0.25">
      <c r="A430" s="2" t="s">
        <v>2654</v>
      </c>
      <c r="B430" s="2" t="s">
        <v>18</v>
      </c>
      <c r="C430" s="2" t="s">
        <v>425</v>
      </c>
      <c r="D430" s="2" t="s">
        <v>1212</v>
      </c>
      <c r="E430" s="2" t="s">
        <v>1213</v>
      </c>
      <c r="F430" s="2">
        <v>6.7894736842105203</v>
      </c>
      <c r="G430" s="2">
        <v>38</v>
      </c>
      <c r="H430" s="2">
        <v>5500</v>
      </c>
      <c r="I430" s="2" t="s">
        <v>2079</v>
      </c>
      <c r="J430" s="2" t="s">
        <v>855</v>
      </c>
      <c r="K430" s="2" t="s">
        <v>843</v>
      </c>
    </row>
    <row r="431" spans="1:13" x14ac:dyDescent="0.25">
      <c r="A431" s="2" t="s">
        <v>2655</v>
      </c>
      <c r="B431" s="2" t="s">
        <v>18</v>
      </c>
      <c r="C431" s="2" t="s">
        <v>489</v>
      </c>
      <c r="D431" s="2" t="s">
        <v>1214</v>
      </c>
      <c r="E431" s="2" t="s">
        <v>1215</v>
      </c>
      <c r="F431" s="2">
        <v>4.5999999999999996</v>
      </c>
      <c r="G431" s="2">
        <v>5</v>
      </c>
      <c r="H431" s="2">
        <v>5500</v>
      </c>
      <c r="I431" s="2" t="s">
        <v>2068</v>
      </c>
      <c r="J431" s="2" t="s">
        <v>860</v>
      </c>
      <c r="K431" s="2" t="s">
        <v>38</v>
      </c>
    </row>
    <row r="432" spans="1:13" x14ac:dyDescent="0.25">
      <c r="A432" s="2" t="s">
        <v>2656</v>
      </c>
      <c r="B432" s="2" t="s">
        <v>18</v>
      </c>
      <c r="C432" s="2" t="s">
        <v>372</v>
      </c>
      <c r="D432" s="2" t="s">
        <v>1932</v>
      </c>
      <c r="E432" s="2" t="s">
        <v>1933</v>
      </c>
      <c r="F432" s="2">
        <v>4.6346153846153797</v>
      </c>
      <c r="G432" s="2">
        <v>52</v>
      </c>
      <c r="H432" s="2">
        <v>5500</v>
      </c>
      <c r="I432" s="2" t="s">
        <v>2081</v>
      </c>
      <c r="J432" s="2" t="s">
        <v>73</v>
      </c>
      <c r="K432" s="2" t="s">
        <v>76</v>
      </c>
    </row>
    <row r="433" spans="1:11" x14ac:dyDescent="0.25">
      <c r="A433" s="2" t="s">
        <v>2657</v>
      </c>
      <c r="B433" s="2" t="s">
        <v>18</v>
      </c>
      <c r="C433" s="2" t="s">
        <v>354</v>
      </c>
      <c r="D433" s="2" t="s">
        <v>1216</v>
      </c>
      <c r="E433" s="2" t="s">
        <v>1217</v>
      </c>
      <c r="F433" s="2">
        <v>3</v>
      </c>
      <c r="G433" s="2">
        <v>1</v>
      </c>
      <c r="H433" s="2">
        <v>5500</v>
      </c>
      <c r="I433" s="2" t="s">
        <v>2068</v>
      </c>
      <c r="J433" s="2" t="s">
        <v>860</v>
      </c>
      <c r="K433" s="2" t="s">
        <v>38</v>
      </c>
    </row>
    <row r="434" spans="1:11" x14ac:dyDescent="0.25">
      <c r="A434" s="2" t="s">
        <v>2658</v>
      </c>
      <c r="B434" s="2" t="s">
        <v>18</v>
      </c>
      <c r="C434" s="2" t="s">
        <v>2659</v>
      </c>
      <c r="D434" s="2" t="s">
        <v>2660</v>
      </c>
      <c r="E434" s="2" t="s">
        <v>2661</v>
      </c>
      <c r="F434" s="2">
        <v>10.199999999999999</v>
      </c>
      <c r="G434" s="2">
        <v>5</v>
      </c>
      <c r="H434" s="2">
        <v>5500</v>
      </c>
      <c r="I434" s="2" t="s">
        <v>2090</v>
      </c>
      <c r="J434" s="2" t="s">
        <v>2091</v>
      </c>
      <c r="K434" s="2" t="s">
        <v>844</v>
      </c>
    </row>
    <row r="435" spans="1:11" x14ac:dyDescent="0.25">
      <c r="A435" s="2" t="s">
        <v>2662</v>
      </c>
      <c r="B435" s="2" t="s">
        <v>18</v>
      </c>
      <c r="C435" s="2" t="s">
        <v>1934</v>
      </c>
      <c r="D435" s="2" t="s">
        <v>1935</v>
      </c>
      <c r="E435" s="2" t="s">
        <v>1936</v>
      </c>
      <c r="F435" s="2">
        <v>6.0980392156862697</v>
      </c>
      <c r="G435" s="2">
        <v>51</v>
      </c>
      <c r="H435" s="2">
        <v>5500</v>
      </c>
      <c r="I435" s="2" t="s">
        <v>2065</v>
      </c>
      <c r="J435" s="2" t="s">
        <v>69</v>
      </c>
      <c r="K435" s="2" t="s">
        <v>2066</v>
      </c>
    </row>
    <row r="436" spans="1:11" x14ac:dyDescent="0.25">
      <c r="A436" s="2" t="s">
        <v>2663</v>
      </c>
      <c r="B436" s="2" t="s">
        <v>18</v>
      </c>
      <c r="C436" s="2" t="s">
        <v>2664</v>
      </c>
      <c r="D436" s="2" t="s">
        <v>2665</v>
      </c>
      <c r="E436" s="2" t="s">
        <v>967</v>
      </c>
      <c r="F436" s="2">
        <v>6.5</v>
      </c>
      <c r="G436" s="2">
        <v>4</v>
      </c>
      <c r="H436" s="2">
        <v>5500</v>
      </c>
      <c r="I436" s="2" t="s">
        <v>1783</v>
      </c>
      <c r="J436" s="2" t="s">
        <v>840</v>
      </c>
      <c r="K436" s="2" t="s">
        <v>861</v>
      </c>
    </row>
    <row r="437" spans="1:11" x14ac:dyDescent="0.25">
      <c r="A437" s="2" t="s">
        <v>2666</v>
      </c>
      <c r="B437" s="2" t="s">
        <v>18</v>
      </c>
      <c r="C437" s="2" t="s">
        <v>2667</v>
      </c>
      <c r="D437" s="2" t="s">
        <v>2668</v>
      </c>
      <c r="E437" s="2" t="s">
        <v>2669</v>
      </c>
      <c r="F437" s="2">
        <v>3</v>
      </c>
      <c r="G437" s="2">
        <v>2</v>
      </c>
      <c r="H437" s="2">
        <v>5500</v>
      </c>
      <c r="I437" s="2" t="s">
        <v>2106</v>
      </c>
      <c r="J437" s="2" t="s">
        <v>35</v>
      </c>
      <c r="K437" s="2" t="s">
        <v>34</v>
      </c>
    </row>
    <row r="438" spans="1:11" x14ac:dyDescent="0.25">
      <c r="A438" s="2" t="s">
        <v>2670</v>
      </c>
      <c r="B438" s="2" t="s">
        <v>18</v>
      </c>
      <c r="C438" s="2" t="s">
        <v>285</v>
      </c>
      <c r="D438" s="2" t="s">
        <v>2671</v>
      </c>
      <c r="E438" s="2" t="s">
        <v>2672</v>
      </c>
      <c r="F438" s="2">
        <v>6.6666666666666599</v>
      </c>
      <c r="G438" s="2">
        <v>9</v>
      </c>
      <c r="H438" s="2">
        <v>5500</v>
      </c>
      <c r="I438" s="2" t="s">
        <v>2065</v>
      </c>
      <c r="J438" s="2" t="s">
        <v>2066</v>
      </c>
      <c r="K438" s="2" t="s">
        <v>69</v>
      </c>
    </row>
    <row r="439" spans="1:11" x14ac:dyDescent="0.25">
      <c r="A439" s="2" t="s">
        <v>2673</v>
      </c>
      <c r="B439" s="2" t="s">
        <v>18</v>
      </c>
      <c r="C439" s="2" t="s">
        <v>248</v>
      </c>
      <c r="D439" s="2" t="s">
        <v>2674</v>
      </c>
      <c r="E439" s="2" t="s">
        <v>2675</v>
      </c>
      <c r="F439" s="2">
        <v>3.75</v>
      </c>
      <c r="G439" s="2">
        <v>24</v>
      </c>
      <c r="H439" s="2">
        <v>5500</v>
      </c>
      <c r="I439" s="2" t="s">
        <v>2075</v>
      </c>
      <c r="J439" s="2" t="s">
        <v>2076</v>
      </c>
      <c r="K439" s="2" t="s">
        <v>37</v>
      </c>
    </row>
    <row r="440" spans="1:11" x14ac:dyDescent="0.25">
      <c r="A440" s="2" t="s">
        <v>2676</v>
      </c>
      <c r="B440" s="2" t="s">
        <v>18</v>
      </c>
      <c r="C440" s="2" t="s">
        <v>450</v>
      </c>
      <c r="D440" s="2" t="s">
        <v>452</v>
      </c>
      <c r="E440" s="2" t="s">
        <v>453</v>
      </c>
      <c r="F440" s="2">
        <v>14.25</v>
      </c>
      <c r="G440" s="2">
        <v>4</v>
      </c>
      <c r="H440" s="2">
        <v>5500</v>
      </c>
      <c r="I440" s="2" t="s">
        <v>2106</v>
      </c>
      <c r="J440" s="2" t="s">
        <v>35</v>
      </c>
      <c r="K440" s="2" t="s">
        <v>34</v>
      </c>
    </row>
    <row r="441" spans="1:11" x14ac:dyDescent="0.25">
      <c r="A441" s="2" t="s">
        <v>2677</v>
      </c>
      <c r="B441" s="2" t="s">
        <v>18</v>
      </c>
      <c r="C441" s="2" t="s">
        <v>1218</v>
      </c>
      <c r="D441" s="2" t="s">
        <v>1219</v>
      </c>
      <c r="E441" s="2" t="s">
        <v>783</v>
      </c>
      <c r="F441" s="2">
        <v>4.9782608695652097</v>
      </c>
      <c r="G441" s="2">
        <v>46</v>
      </c>
      <c r="H441" s="2">
        <v>5500</v>
      </c>
      <c r="I441" s="2" t="s">
        <v>1783</v>
      </c>
      <c r="J441" s="2" t="s">
        <v>861</v>
      </c>
      <c r="K441" s="2" t="s">
        <v>840</v>
      </c>
    </row>
    <row r="442" spans="1:11" x14ac:dyDescent="0.25">
      <c r="A442" s="2" t="s">
        <v>2678</v>
      </c>
      <c r="B442" s="2" t="s">
        <v>18</v>
      </c>
      <c r="C442" s="2" t="s">
        <v>454</v>
      </c>
      <c r="D442" s="2" t="s">
        <v>455</v>
      </c>
      <c r="E442" s="2" t="s">
        <v>456</v>
      </c>
      <c r="F442" s="2">
        <v>5.3518518518518503</v>
      </c>
      <c r="G442" s="2">
        <v>54</v>
      </c>
      <c r="H442" s="2">
        <v>5500</v>
      </c>
      <c r="I442" s="2" t="s">
        <v>2106</v>
      </c>
      <c r="J442" s="2" t="s">
        <v>34</v>
      </c>
      <c r="K442" s="2" t="s">
        <v>35</v>
      </c>
    </row>
    <row r="443" spans="1:11" x14ac:dyDescent="0.25">
      <c r="A443" s="2" t="s">
        <v>2679</v>
      </c>
      <c r="B443" s="2" t="s">
        <v>18</v>
      </c>
      <c r="C443" s="2" t="s">
        <v>457</v>
      </c>
      <c r="D443" s="2" t="s">
        <v>458</v>
      </c>
      <c r="E443" s="2" t="s">
        <v>459</v>
      </c>
      <c r="F443" s="2">
        <v>4.2962962962962896</v>
      </c>
      <c r="G443" s="2">
        <v>27</v>
      </c>
      <c r="H443" s="2">
        <v>5500</v>
      </c>
      <c r="I443" s="2" t="s">
        <v>2097</v>
      </c>
      <c r="J443" s="2" t="s">
        <v>159</v>
      </c>
      <c r="K443" s="2" t="s">
        <v>853</v>
      </c>
    </row>
    <row r="444" spans="1:11" x14ac:dyDescent="0.25">
      <c r="A444" s="2" t="s">
        <v>2680</v>
      </c>
      <c r="B444" s="2" t="s">
        <v>18</v>
      </c>
      <c r="C444" s="2" t="s">
        <v>460</v>
      </c>
      <c r="D444" s="2" t="s">
        <v>461</v>
      </c>
      <c r="E444" s="2" t="s">
        <v>462</v>
      </c>
      <c r="F444" s="2">
        <v>1</v>
      </c>
      <c r="G444" s="2">
        <v>3</v>
      </c>
      <c r="H444" s="2">
        <v>5500</v>
      </c>
      <c r="I444" s="2" t="s">
        <v>2075</v>
      </c>
      <c r="J444" s="2" t="s">
        <v>37</v>
      </c>
      <c r="K444" s="2" t="s">
        <v>2076</v>
      </c>
    </row>
    <row r="445" spans="1:11" x14ac:dyDescent="0.25">
      <c r="A445" s="2" t="s">
        <v>2681</v>
      </c>
      <c r="B445" s="2" t="s">
        <v>18</v>
      </c>
      <c r="C445" s="2" t="s">
        <v>463</v>
      </c>
      <c r="D445" s="2" t="s">
        <v>464</v>
      </c>
      <c r="E445" s="2" t="s">
        <v>465</v>
      </c>
      <c r="F445" s="2">
        <v>2.6666666666666599</v>
      </c>
      <c r="G445" s="2">
        <v>12</v>
      </c>
      <c r="H445" s="2">
        <v>5500</v>
      </c>
      <c r="I445" s="2" t="s">
        <v>2106</v>
      </c>
      <c r="J445" s="2" t="s">
        <v>34</v>
      </c>
      <c r="K445" s="2" t="s">
        <v>35</v>
      </c>
    </row>
    <row r="446" spans="1:11" x14ac:dyDescent="0.25">
      <c r="A446" s="2" t="s">
        <v>2682</v>
      </c>
      <c r="B446" s="2" t="s">
        <v>18</v>
      </c>
      <c r="C446" s="2" t="s">
        <v>594</v>
      </c>
      <c r="D446" s="2" t="s">
        <v>1220</v>
      </c>
      <c r="E446" s="2" t="s">
        <v>1221</v>
      </c>
      <c r="F446" s="2">
        <v>5.0625</v>
      </c>
      <c r="G446" s="2">
        <v>16</v>
      </c>
      <c r="H446" s="2">
        <v>5500</v>
      </c>
      <c r="I446" s="2" t="s">
        <v>2072</v>
      </c>
      <c r="J446" s="2" t="s">
        <v>842</v>
      </c>
      <c r="K446" s="2" t="s">
        <v>74</v>
      </c>
    </row>
    <row r="447" spans="1:11" x14ac:dyDescent="0.25">
      <c r="A447" s="2" t="s">
        <v>2683</v>
      </c>
      <c r="B447" s="2" t="s">
        <v>18</v>
      </c>
      <c r="C447" s="2" t="s">
        <v>789</v>
      </c>
      <c r="D447" s="2" t="s">
        <v>1222</v>
      </c>
      <c r="E447" s="2" t="s">
        <v>1223</v>
      </c>
      <c r="F447" s="2">
        <v>5.5409836065573703</v>
      </c>
      <c r="G447" s="2">
        <v>61</v>
      </c>
      <c r="H447" s="2">
        <v>5500</v>
      </c>
      <c r="I447" s="2" t="s">
        <v>2070</v>
      </c>
      <c r="J447" s="2" t="s">
        <v>848</v>
      </c>
      <c r="K447" s="2" t="s">
        <v>36</v>
      </c>
    </row>
    <row r="448" spans="1:11" x14ac:dyDescent="0.25">
      <c r="A448" s="2" t="s">
        <v>2684</v>
      </c>
      <c r="B448" s="2" t="s">
        <v>18</v>
      </c>
      <c r="C448" s="2" t="s">
        <v>467</v>
      </c>
      <c r="D448" s="2" t="s">
        <v>468</v>
      </c>
      <c r="E448" s="2" t="s">
        <v>469</v>
      </c>
      <c r="F448" s="2">
        <v>3.6071428571428501</v>
      </c>
      <c r="G448" s="2">
        <v>28</v>
      </c>
      <c r="H448" s="2">
        <v>5500</v>
      </c>
      <c r="I448" s="2" t="s">
        <v>2068</v>
      </c>
      <c r="J448" s="2" t="s">
        <v>38</v>
      </c>
      <c r="K448" s="2" t="s">
        <v>860</v>
      </c>
    </row>
    <row r="449" spans="1:13" x14ac:dyDescent="0.25">
      <c r="A449" s="2" t="s">
        <v>2685</v>
      </c>
      <c r="B449" s="2" t="s">
        <v>18</v>
      </c>
      <c r="C449" s="2" t="s">
        <v>381</v>
      </c>
      <c r="D449" s="2" t="s">
        <v>1224</v>
      </c>
      <c r="E449" s="2" t="s">
        <v>1225</v>
      </c>
      <c r="F449" s="2">
        <v>11</v>
      </c>
      <c r="G449" s="2">
        <v>2</v>
      </c>
      <c r="H449" s="2">
        <v>5500</v>
      </c>
      <c r="I449" s="2" t="s">
        <v>2072</v>
      </c>
      <c r="J449" s="2" t="s">
        <v>842</v>
      </c>
      <c r="K449" s="2" t="s">
        <v>74</v>
      </c>
    </row>
    <row r="450" spans="1:13" x14ac:dyDescent="0.25">
      <c r="A450" s="2" t="s">
        <v>2686</v>
      </c>
      <c r="B450" s="2" t="s">
        <v>18</v>
      </c>
      <c r="C450" s="2" t="s">
        <v>704</v>
      </c>
      <c r="D450" s="2" t="s">
        <v>1226</v>
      </c>
      <c r="E450" s="2" t="s">
        <v>1227</v>
      </c>
      <c r="F450" s="2">
        <v>4.375</v>
      </c>
      <c r="G450" s="2">
        <v>8</v>
      </c>
      <c r="H450" s="2">
        <v>5500</v>
      </c>
      <c r="I450" s="2" t="s">
        <v>2097</v>
      </c>
      <c r="J450" s="2" t="s">
        <v>853</v>
      </c>
      <c r="K450" s="2" t="s">
        <v>159</v>
      </c>
    </row>
    <row r="451" spans="1:13" x14ac:dyDescent="0.25">
      <c r="A451" s="2" t="s">
        <v>2687</v>
      </c>
      <c r="B451" s="2" t="s">
        <v>18</v>
      </c>
      <c r="C451" s="2" t="s">
        <v>252</v>
      </c>
      <c r="D451" s="2" t="s">
        <v>470</v>
      </c>
      <c r="E451" s="2" t="s">
        <v>471</v>
      </c>
      <c r="F451" s="2">
        <v>14</v>
      </c>
      <c r="G451" s="2">
        <v>11</v>
      </c>
      <c r="H451" s="2">
        <v>5500</v>
      </c>
      <c r="I451" s="2" t="s">
        <v>2106</v>
      </c>
      <c r="J451" s="2" t="s">
        <v>35</v>
      </c>
      <c r="K451" s="2" t="s">
        <v>34</v>
      </c>
    </row>
    <row r="452" spans="1:13" x14ac:dyDescent="0.25">
      <c r="A452" s="2" t="s">
        <v>2688</v>
      </c>
      <c r="B452" s="2" t="s">
        <v>18</v>
      </c>
      <c r="C452" s="2" t="s">
        <v>368</v>
      </c>
      <c r="D452" s="2" t="s">
        <v>2689</v>
      </c>
      <c r="E452" s="2" t="s">
        <v>369</v>
      </c>
      <c r="F452" s="2">
        <v>9.6</v>
      </c>
      <c r="G452" s="2">
        <v>10</v>
      </c>
      <c r="H452" s="2">
        <v>5500</v>
      </c>
      <c r="I452" s="2" t="s">
        <v>2065</v>
      </c>
      <c r="J452" s="2" t="s">
        <v>2066</v>
      </c>
      <c r="K452" s="2" t="s">
        <v>69</v>
      </c>
    </row>
    <row r="453" spans="1:13" x14ac:dyDescent="0.25">
      <c r="A453" s="2" t="s">
        <v>2690</v>
      </c>
      <c r="B453" s="2" t="s">
        <v>18</v>
      </c>
      <c r="C453" s="2" t="s">
        <v>225</v>
      </c>
      <c r="D453" s="2" t="s">
        <v>1304</v>
      </c>
      <c r="E453" s="2" t="s">
        <v>299</v>
      </c>
      <c r="F453" s="2">
        <v>1.5</v>
      </c>
      <c r="G453" s="2">
        <v>14</v>
      </c>
      <c r="H453" s="2">
        <v>5500</v>
      </c>
      <c r="I453" s="2" t="s">
        <v>2070</v>
      </c>
      <c r="J453" s="2" t="s">
        <v>848</v>
      </c>
      <c r="K453" s="2" t="s">
        <v>36</v>
      </c>
    </row>
    <row r="454" spans="1:13" x14ac:dyDescent="0.25">
      <c r="A454" s="2" t="s">
        <v>2691</v>
      </c>
      <c r="B454" s="2" t="s">
        <v>18</v>
      </c>
      <c r="C454" s="2" t="s">
        <v>197</v>
      </c>
      <c r="D454" s="2" t="s">
        <v>475</v>
      </c>
      <c r="E454" s="2" t="s">
        <v>476</v>
      </c>
      <c r="F454" s="2">
        <v>-2</v>
      </c>
      <c r="G454" s="2">
        <v>3</v>
      </c>
      <c r="H454" s="2">
        <v>5500</v>
      </c>
      <c r="I454" s="2" t="s">
        <v>2097</v>
      </c>
      <c r="J454" s="2" t="s">
        <v>159</v>
      </c>
      <c r="K454" s="2" t="s">
        <v>853</v>
      </c>
    </row>
    <row r="455" spans="1:13" x14ac:dyDescent="0.25">
      <c r="A455" s="2" t="s">
        <v>2692</v>
      </c>
      <c r="B455" s="2" t="s">
        <v>18</v>
      </c>
      <c r="C455" s="2" t="s">
        <v>477</v>
      </c>
      <c r="D455" s="2" t="s">
        <v>478</v>
      </c>
      <c r="E455" s="2" t="s">
        <v>479</v>
      </c>
      <c r="F455" s="2">
        <v>3.0625</v>
      </c>
      <c r="G455" s="2">
        <v>16</v>
      </c>
      <c r="H455" s="2">
        <v>5500</v>
      </c>
      <c r="I455" s="2" t="s">
        <v>2106</v>
      </c>
      <c r="J455" s="2" t="s">
        <v>35</v>
      </c>
      <c r="K455" s="2" t="s">
        <v>34</v>
      </c>
      <c r="L455" s="2" t="s">
        <v>200</v>
      </c>
      <c r="M455" s="2" t="s">
        <v>267</v>
      </c>
    </row>
    <row r="456" spans="1:13" x14ac:dyDescent="0.25">
      <c r="A456" s="2" t="s">
        <v>2693</v>
      </c>
      <c r="B456" s="2" t="s">
        <v>18</v>
      </c>
      <c r="C456" s="2" t="s">
        <v>283</v>
      </c>
      <c r="D456" s="2" t="s">
        <v>1937</v>
      </c>
      <c r="E456" s="2" t="s">
        <v>1938</v>
      </c>
      <c r="F456" s="2">
        <v>4</v>
      </c>
      <c r="G456" s="2">
        <v>58</v>
      </c>
      <c r="H456" s="2">
        <v>5500</v>
      </c>
      <c r="I456" s="2" t="s">
        <v>2097</v>
      </c>
      <c r="J456" s="2" t="s">
        <v>853</v>
      </c>
      <c r="K456" s="2" t="s">
        <v>159</v>
      </c>
    </row>
    <row r="457" spans="1:13" x14ac:dyDescent="0.25">
      <c r="A457" s="2" t="s">
        <v>2694</v>
      </c>
      <c r="B457" s="2" t="s">
        <v>18</v>
      </c>
      <c r="C457" s="2" t="s">
        <v>483</v>
      </c>
      <c r="D457" s="2" t="s">
        <v>1939</v>
      </c>
      <c r="E457" s="2" t="s">
        <v>1940</v>
      </c>
      <c r="F457" s="2">
        <v>0.55555555555555503</v>
      </c>
      <c r="G457" s="2">
        <v>9</v>
      </c>
      <c r="H457" s="2">
        <v>5500</v>
      </c>
      <c r="I457" s="2" t="s">
        <v>2065</v>
      </c>
      <c r="J457" s="2" t="s">
        <v>69</v>
      </c>
      <c r="K457" s="2" t="s">
        <v>2066</v>
      </c>
    </row>
    <row r="458" spans="1:13" x14ac:dyDescent="0.25">
      <c r="A458" s="2" t="s">
        <v>2695</v>
      </c>
      <c r="B458" s="2" t="s">
        <v>18</v>
      </c>
      <c r="C458" s="2" t="s">
        <v>337</v>
      </c>
      <c r="D458" s="2" t="s">
        <v>1941</v>
      </c>
      <c r="E458" s="2" t="s">
        <v>1942</v>
      </c>
      <c r="F458" s="2">
        <v>6.0816326530612201</v>
      </c>
      <c r="G458" s="2">
        <v>49</v>
      </c>
      <c r="H458" s="2">
        <v>5500</v>
      </c>
      <c r="I458" s="2" t="s">
        <v>2068</v>
      </c>
      <c r="J458" s="2" t="s">
        <v>38</v>
      </c>
      <c r="K458" s="2" t="s">
        <v>860</v>
      </c>
      <c r="L458" s="2" t="s">
        <v>200</v>
      </c>
      <c r="M458" s="2" t="s">
        <v>263</v>
      </c>
    </row>
    <row r="459" spans="1:13" x14ac:dyDescent="0.25">
      <c r="A459" s="2" t="s">
        <v>2696</v>
      </c>
      <c r="B459" s="2" t="s">
        <v>18</v>
      </c>
      <c r="C459" s="2" t="s">
        <v>405</v>
      </c>
      <c r="D459" s="2" t="s">
        <v>487</v>
      </c>
      <c r="E459" s="2" t="s">
        <v>488</v>
      </c>
      <c r="F459" s="2">
        <v>3.46875</v>
      </c>
      <c r="G459" s="2">
        <v>32</v>
      </c>
      <c r="H459" s="2">
        <v>5500</v>
      </c>
      <c r="I459" s="2" t="s">
        <v>2070</v>
      </c>
      <c r="J459" s="2" t="s">
        <v>36</v>
      </c>
      <c r="K459" s="2" t="s">
        <v>848</v>
      </c>
    </row>
    <row r="460" spans="1:13" x14ac:dyDescent="0.25">
      <c r="A460" s="2" t="s">
        <v>2697</v>
      </c>
      <c r="B460" s="2" t="s">
        <v>18</v>
      </c>
      <c r="C460" s="2" t="s">
        <v>285</v>
      </c>
      <c r="D460" s="2" t="s">
        <v>2698</v>
      </c>
      <c r="E460" s="2" t="s">
        <v>2699</v>
      </c>
      <c r="F460" s="2">
        <v>5.8723404255319096</v>
      </c>
      <c r="G460" s="2">
        <v>47</v>
      </c>
      <c r="H460" s="2">
        <v>5500</v>
      </c>
      <c r="I460" s="2" t="s">
        <v>2065</v>
      </c>
      <c r="J460" s="2" t="s">
        <v>2066</v>
      </c>
      <c r="K460" s="2" t="s">
        <v>69</v>
      </c>
      <c r="L460" s="2" t="s">
        <v>200</v>
      </c>
      <c r="M460" s="2" t="s">
        <v>317</v>
      </c>
    </row>
    <row r="461" spans="1:13" x14ac:dyDescent="0.25">
      <c r="A461" s="2" t="s">
        <v>2700</v>
      </c>
      <c r="B461" s="2" t="s">
        <v>18</v>
      </c>
      <c r="C461" s="2" t="s">
        <v>489</v>
      </c>
      <c r="D461" s="2" t="s">
        <v>490</v>
      </c>
      <c r="E461" s="2" t="s">
        <v>491</v>
      </c>
      <c r="F461" s="2">
        <v>5.3333333333333304</v>
      </c>
      <c r="G461" s="2">
        <v>9</v>
      </c>
      <c r="H461" s="2">
        <v>5500</v>
      </c>
      <c r="I461" s="2" t="s">
        <v>2097</v>
      </c>
      <c r="J461" s="2" t="s">
        <v>159</v>
      </c>
      <c r="K461" s="2" t="s">
        <v>853</v>
      </c>
    </row>
    <row r="462" spans="1:13" x14ac:dyDescent="0.25">
      <c r="A462" s="2" t="s">
        <v>2701</v>
      </c>
      <c r="B462" s="2" t="s">
        <v>18</v>
      </c>
      <c r="C462" s="2" t="s">
        <v>207</v>
      </c>
      <c r="D462" s="2" t="s">
        <v>2702</v>
      </c>
      <c r="E462" s="2" t="s">
        <v>2703</v>
      </c>
      <c r="F462" s="2">
        <v>5.6969696969696901</v>
      </c>
      <c r="G462" s="2">
        <v>33</v>
      </c>
      <c r="H462" s="2">
        <v>5500</v>
      </c>
      <c r="I462" s="2" t="s">
        <v>2075</v>
      </c>
      <c r="J462" s="2" t="s">
        <v>2076</v>
      </c>
      <c r="K462" s="2" t="s">
        <v>37</v>
      </c>
    </row>
    <row r="463" spans="1:13" x14ac:dyDescent="0.25">
      <c r="A463" s="2" t="s">
        <v>2704</v>
      </c>
      <c r="B463" s="2" t="s">
        <v>18</v>
      </c>
      <c r="C463" s="2" t="s">
        <v>259</v>
      </c>
      <c r="D463" s="2" t="s">
        <v>1943</v>
      </c>
      <c r="E463" s="2" t="s">
        <v>493</v>
      </c>
      <c r="F463" s="2">
        <v>7.1803278688524497</v>
      </c>
      <c r="G463" s="2">
        <v>61</v>
      </c>
      <c r="H463" s="2">
        <v>5500</v>
      </c>
      <c r="I463" s="2" t="s">
        <v>2065</v>
      </c>
      <c r="J463" s="2" t="s">
        <v>69</v>
      </c>
      <c r="K463" s="2" t="s">
        <v>2066</v>
      </c>
    </row>
    <row r="464" spans="1:13" x14ac:dyDescent="0.25">
      <c r="A464" s="2" t="s">
        <v>2705</v>
      </c>
      <c r="B464" s="2" t="s">
        <v>18</v>
      </c>
      <c r="C464" s="2" t="s">
        <v>415</v>
      </c>
      <c r="D464" s="2" t="s">
        <v>2706</v>
      </c>
      <c r="E464" s="2" t="s">
        <v>2707</v>
      </c>
      <c r="F464" s="2">
        <v>3.6875</v>
      </c>
      <c r="G464" s="2">
        <v>64</v>
      </c>
      <c r="H464" s="2">
        <v>5500</v>
      </c>
      <c r="I464" s="2" t="s">
        <v>2075</v>
      </c>
      <c r="J464" s="2" t="s">
        <v>37</v>
      </c>
      <c r="K464" s="2" t="s">
        <v>2076</v>
      </c>
    </row>
    <row r="465" spans="1:11" x14ac:dyDescent="0.25">
      <c r="A465" s="2" t="s">
        <v>2708</v>
      </c>
      <c r="B465" s="2" t="s">
        <v>18</v>
      </c>
      <c r="C465" s="2" t="s">
        <v>304</v>
      </c>
      <c r="D465" s="2" t="s">
        <v>2709</v>
      </c>
      <c r="E465" s="2" t="s">
        <v>515</v>
      </c>
      <c r="F465" s="2">
        <v>23</v>
      </c>
      <c r="G465" s="2">
        <v>3</v>
      </c>
      <c r="H465" s="2">
        <v>5500</v>
      </c>
      <c r="I465" s="2" t="s">
        <v>2081</v>
      </c>
      <c r="J465" s="2" t="s">
        <v>76</v>
      </c>
      <c r="K465" s="2" t="s">
        <v>73</v>
      </c>
    </row>
    <row r="466" spans="1:11" x14ac:dyDescent="0.25">
      <c r="A466" s="2" t="s">
        <v>2710</v>
      </c>
      <c r="B466" s="2" t="s">
        <v>18</v>
      </c>
      <c r="C466" s="2" t="s">
        <v>394</v>
      </c>
      <c r="D466" s="2" t="s">
        <v>1228</v>
      </c>
      <c r="E466" s="2" t="s">
        <v>1229</v>
      </c>
      <c r="F466" s="2">
        <v>8.5925925925925899</v>
      </c>
      <c r="G466" s="2">
        <v>27</v>
      </c>
      <c r="H466" s="2">
        <v>5500</v>
      </c>
      <c r="I466" s="2" t="s">
        <v>1783</v>
      </c>
      <c r="J466" s="2" t="s">
        <v>861</v>
      </c>
      <c r="K466" s="2" t="s">
        <v>840</v>
      </c>
    </row>
    <row r="467" spans="1:11" x14ac:dyDescent="0.25">
      <c r="A467" s="2" t="s">
        <v>2711</v>
      </c>
      <c r="B467" s="2" t="s">
        <v>18</v>
      </c>
      <c r="C467" s="2" t="s">
        <v>990</v>
      </c>
      <c r="D467" s="2" t="s">
        <v>2712</v>
      </c>
      <c r="E467" s="2" t="s">
        <v>2713</v>
      </c>
      <c r="F467" s="2">
        <v>6.3508771929824501</v>
      </c>
      <c r="G467" s="2">
        <v>57</v>
      </c>
      <c r="H467" s="2">
        <v>5500</v>
      </c>
      <c r="I467" s="2" t="s">
        <v>2072</v>
      </c>
      <c r="J467" s="2" t="s">
        <v>842</v>
      </c>
      <c r="K467" s="2" t="s">
        <v>74</v>
      </c>
    </row>
    <row r="468" spans="1:11" x14ac:dyDescent="0.25">
      <c r="A468" s="2" t="s">
        <v>2714</v>
      </c>
      <c r="B468" s="2" t="s">
        <v>18</v>
      </c>
      <c r="C468" s="2" t="s">
        <v>1944</v>
      </c>
      <c r="D468" s="2" t="s">
        <v>1945</v>
      </c>
      <c r="E468" s="2" t="s">
        <v>1946</v>
      </c>
      <c r="F468" s="2">
        <v>4.9649122807017498</v>
      </c>
      <c r="G468" s="2">
        <v>57</v>
      </c>
      <c r="H468" s="2">
        <v>5500</v>
      </c>
      <c r="I468" s="2" t="s">
        <v>2079</v>
      </c>
      <c r="J468" s="2" t="s">
        <v>843</v>
      </c>
      <c r="K468" s="2" t="s">
        <v>855</v>
      </c>
    </row>
    <row r="469" spans="1:11" x14ac:dyDescent="0.25">
      <c r="A469" s="2" t="s">
        <v>2715</v>
      </c>
      <c r="B469" s="2" t="s">
        <v>18</v>
      </c>
      <c r="C469" s="2" t="s">
        <v>497</v>
      </c>
      <c r="D469" s="2" t="s">
        <v>498</v>
      </c>
      <c r="E469" s="2" t="s">
        <v>499</v>
      </c>
      <c r="F469" s="2">
        <v>4.72</v>
      </c>
      <c r="G469" s="2">
        <v>25</v>
      </c>
      <c r="H469" s="2">
        <v>5500</v>
      </c>
      <c r="I469" s="2" t="s">
        <v>2072</v>
      </c>
      <c r="J469" s="2" t="s">
        <v>74</v>
      </c>
      <c r="K469" s="2" t="s">
        <v>842</v>
      </c>
    </row>
    <row r="470" spans="1:11" x14ac:dyDescent="0.25">
      <c r="A470" s="2" t="s">
        <v>2716</v>
      </c>
      <c r="B470" s="2" t="s">
        <v>18</v>
      </c>
      <c r="C470" s="2" t="s">
        <v>1230</v>
      </c>
      <c r="D470" s="2" t="s">
        <v>1231</v>
      </c>
      <c r="E470" s="2" t="s">
        <v>1232</v>
      </c>
      <c r="F470" s="2">
        <v>4.4117647058823497</v>
      </c>
      <c r="G470" s="2">
        <v>17</v>
      </c>
      <c r="H470" s="2">
        <v>5500</v>
      </c>
      <c r="I470" s="2" t="s">
        <v>1783</v>
      </c>
      <c r="J470" s="2" t="s">
        <v>861</v>
      </c>
      <c r="K470" s="2" t="s">
        <v>840</v>
      </c>
    </row>
    <row r="471" spans="1:11" x14ac:dyDescent="0.25">
      <c r="A471" s="2" t="s">
        <v>2717</v>
      </c>
      <c r="B471" s="2" t="s">
        <v>18</v>
      </c>
      <c r="C471" s="2" t="s">
        <v>420</v>
      </c>
      <c r="D471" s="2" t="s">
        <v>1233</v>
      </c>
      <c r="E471" s="2" t="s">
        <v>1234</v>
      </c>
      <c r="F471" s="2">
        <v>4.4285714285714199</v>
      </c>
      <c r="G471" s="2">
        <v>35</v>
      </c>
      <c r="H471" s="2">
        <v>5500</v>
      </c>
      <c r="I471" s="2" t="s">
        <v>2065</v>
      </c>
      <c r="J471" s="2" t="s">
        <v>2066</v>
      </c>
      <c r="K471" s="2" t="s">
        <v>69</v>
      </c>
    </row>
    <row r="472" spans="1:11" x14ac:dyDescent="0.25">
      <c r="A472" s="2" t="s">
        <v>2718</v>
      </c>
      <c r="B472" s="2" t="s">
        <v>18</v>
      </c>
      <c r="C472" s="2" t="s">
        <v>425</v>
      </c>
      <c r="D472" s="2" t="s">
        <v>1235</v>
      </c>
      <c r="E472" s="2" t="s">
        <v>1236</v>
      </c>
      <c r="F472" s="2">
        <v>6.2</v>
      </c>
      <c r="G472" s="2">
        <v>20</v>
      </c>
      <c r="H472" s="2">
        <v>5500</v>
      </c>
      <c r="I472" s="2" t="s">
        <v>2068</v>
      </c>
      <c r="J472" s="2" t="s">
        <v>860</v>
      </c>
      <c r="K472" s="2" t="s">
        <v>38</v>
      </c>
    </row>
    <row r="473" spans="1:11" x14ac:dyDescent="0.25">
      <c r="A473" s="2" t="s">
        <v>2719</v>
      </c>
      <c r="B473" s="2" t="s">
        <v>18</v>
      </c>
      <c r="C473" s="2" t="s">
        <v>586</v>
      </c>
      <c r="D473" s="2" t="s">
        <v>1238</v>
      </c>
      <c r="E473" s="2" t="s">
        <v>1239</v>
      </c>
      <c r="F473" s="2">
        <v>3.75</v>
      </c>
      <c r="G473" s="2">
        <v>4</v>
      </c>
      <c r="H473" s="2">
        <v>5500</v>
      </c>
      <c r="I473" s="2" t="s">
        <v>2090</v>
      </c>
      <c r="J473" s="2" t="s">
        <v>844</v>
      </c>
      <c r="K473" s="2" t="s">
        <v>2091</v>
      </c>
    </row>
    <row r="474" spans="1:11" x14ac:dyDescent="0.25">
      <c r="A474" s="2" t="s">
        <v>2720</v>
      </c>
      <c r="B474" s="2" t="s">
        <v>18</v>
      </c>
      <c r="C474" s="2" t="s">
        <v>285</v>
      </c>
      <c r="D474" s="2" t="s">
        <v>1947</v>
      </c>
      <c r="E474" s="2" t="s">
        <v>1948</v>
      </c>
      <c r="F474" s="2">
        <v>3.62222222222222</v>
      </c>
      <c r="G474" s="2">
        <v>45</v>
      </c>
      <c r="H474" s="2">
        <v>5500</v>
      </c>
      <c r="I474" s="2" t="s">
        <v>2079</v>
      </c>
      <c r="J474" s="2" t="s">
        <v>843</v>
      </c>
      <c r="K474" s="2" t="s">
        <v>855</v>
      </c>
    </row>
    <row r="475" spans="1:11" x14ac:dyDescent="0.25">
      <c r="A475" s="2" t="s">
        <v>2721</v>
      </c>
      <c r="B475" s="2" t="s">
        <v>18</v>
      </c>
      <c r="C475" s="2" t="s">
        <v>8</v>
      </c>
      <c r="D475" s="2" t="s">
        <v>503</v>
      </c>
      <c r="E475" s="2" t="s">
        <v>504</v>
      </c>
      <c r="F475" s="2">
        <v>2.6666666666666599</v>
      </c>
      <c r="G475" s="2">
        <v>3</v>
      </c>
      <c r="H475" s="2">
        <v>5500</v>
      </c>
      <c r="I475" s="2" t="s">
        <v>2081</v>
      </c>
      <c r="J475" s="2" t="s">
        <v>76</v>
      </c>
      <c r="K475" s="2" t="s">
        <v>73</v>
      </c>
    </row>
    <row r="476" spans="1:11" x14ac:dyDescent="0.25">
      <c r="A476" s="2" t="s">
        <v>2722</v>
      </c>
      <c r="B476" s="2" t="s">
        <v>18</v>
      </c>
      <c r="C476" s="2" t="s">
        <v>779</v>
      </c>
      <c r="D476" s="2" t="s">
        <v>1240</v>
      </c>
      <c r="E476" s="2" t="s">
        <v>1241</v>
      </c>
      <c r="F476" s="2">
        <v>4.8461538461538396</v>
      </c>
      <c r="G476" s="2">
        <v>65</v>
      </c>
      <c r="H476" s="2">
        <v>5500</v>
      </c>
      <c r="I476" s="2" t="s">
        <v>1783</v>
      </c>
      <c r="J476" s="2" t="s">
        <v>861</v>
      </c>
      <c r="K476" s="2" t="s">
        <v>840</v>
      </c>
    </row>
    <row r="477" spans="1:11" x14ac:dyDescent="0.25">
      <c r="A477" s="2" t="s">
        <v>2723</v>
      </c>
      <c r="B477" s="2" t="s">
        <v>18</v>
      </c>
      <c r="C477" s="2" t="s">
        <v>302</v>
      </c>
      <c r="D477" s="2" t="s">
        <v>1949</v>
      </c>
      <c r="E477" s="2" t="s">
        <v>1950</v>
      </c>
      <c r="F477" s="2">
        <v>4.5384615384615303</v>
      </c>
      <c r="G477" s="2">
        <v>13</v>
      </c>
      <c r="H477" s="2">
        <v>5500</v>
      </c>
      <c r="I477" s="2" t="s">
        <v>2075</v>
      </c>
      <c r="J477" s="2" t="s">
        <v>37</v>
      </c>
      <c r="K477" s="2" t="s">
        <v>2076</v>
      </c>
    </row>
    <row r="478" spans="1:11" x14ac:dyDescent="0.25">
      <c r="A478" s="2" t="s">
        <v>2724</v>
      </c>
      <c r="B478" s="2" t="s">
        <v>18</v>
      </c>
      <c r="C478" s="2" t="s">
        <v>304</v>
      </c>
      <c r="D478" s="2" t="s">
        <v>2725</v>
      </c>
      <c r="E478" s="2" t="s">
        <v>2726</v>
      </c>
      <c r="F478" s="2">
        <v>4.2</v>
      </c>
      <c r="G478" s="2">
        <v>60</v>
      </c>
      <c r="H478" s="2">
        <v>5500</v>
      </c>
      <c r="I478" s="2" t="s">
        <v>2090</v>
      </c>
      <c r="J478" s="2" t="s">
        <v>2091</v>
      </c>
      <c r="K478" s="2" t="s">
        <v>844</v>
      </c>
    </row>
    <row r="479" spans="1:11" x14ac:dyDescent="0.25">
      <c r="A479" s="2" t="s">
        <v>2727</v>
      </c>
      <c r="B479" s="2" t="s">
        <v>18</v>
      </c>
      <c r="C479" s="2" t="s">
        <v>2728</v>
      </c>
      <c r="D479" s="2" t="s">
        <v>2729</v>
      </c>
      <c r="E479" s="2" t="s">
        <v>505</v>
      </c>
      <c r="F479" s="2">
        <v>7.3921568627450904</v>
      </c>
      <c r="G479" s="2">
        <v>51</v>
      </c>
      <c r="H479" s="2">
        <v>5500</v>
      </c>
      <c r="I479" s="2" t="s">
        <v>2090</v>
      </c>
      <c r="J479" s="2" t="s">
        <v>2091</v>
      </c>
      <c r="K479" s="2" t="s">
        <v>844</v>
      </c>
    </row>
    <row r="480" spans="1:11" x14ac:dyDescent="0.25">
      <c r="A480" s="2" t="s">
        <v>2730</v>
      </c>
      <c r="B480" s="2" t="s">
        <v>18</v>
      </c>
      <c r="C480" s="2" t="s">
        <v>457</v>
      </c>
      <c r="D480" s="2" t="s">
        <v>1951</v>
      </c>
      <c r="E480" s="2" t="s">
        <v>1952</v>
      </c>
      <c r="F480" s="2">
        <v>4.5</v>
      </c>
      <c r="G480" s="2">
        <v>14</v>
      </c>
      <c r="H480" s="2">
        <v>5500</v>
      </c>
      <c r="I480" s="2" t="s">
        <v>2065</v>
      </c>
      <c r="J480" s="2" t="s">
        <v>69</v>
      </c>
      <c r="K480" s="2" t="s">
        <v>2066</v>
      </c>
    </row>
    <row r="481" spans="1:13" x14ac:dyDescent="0.25">
      <c r="A481" s="2" t="s">
        <v>2731</v>
      </c>
      <c r="B481" s="2" t="s">
        <v>18</v>
      </c>
      <c r="C481" s="2" t="s">
        <v>956</v>
      </c>
      <c r="D481" s="2" t="s">
        <v>1242</v>
      </c>
      <c r="E481" s="2" t="s">
        <v>1243</v>
      </c>
      <c r="F481" s="2">
        <v>4.1111111111111098</v>
      </c>
      <c r="G481" s="2">
        <v>63</v>
      </c>
      <c r="H481" s="2">
        <v>5500</v>
      </c>
      <c r="I481" s="2" t="s">
        <v>2079</v>
      </c>
      <c r="J481" s="2" t="s">
        <v>855</v>
      </c>
      <c r="K481" s="2" t="s">
        <v>843</v>
      </c>
    </row>
    <row r="482" spans="1:13" x14ac:dyDescent="0.25">
      <c r="A482" s="2" t="s">
        <v>2732</v>
      </c>
      <c r="B482" s="2" t="s">
        <v>18</v>
      </c>
      <c r="C482" s="2" t="s">
        <v>308</v>
      </c>
      <c r="D482" s="2" t="s">
        <v>1244</v>
      </c>
      <c r="E482" s="2" t="s">
        <v>296</v>
      </c>
      <c r="F482" s="2">
        <v>5.0370370370370301</v>
      </c>
      <c r="G482" s="2">
        <v>54</v>
      </c>
      <c r="H482" s="2">
        <v>5500</v>
      </c>
      <c r="I482" s="2" t="s">
        <v>1783</v>
      </c>
      <c r="J482" s="2" t="s">
        <v>861</v>
      </c>
      <c r="K482" s="2" t="s">
        <v>840</v>
      </c>
    </row>
    <row r="483" spans="1:13" x14ac:dyDescent="0.25">
      <c r="A483" s="2" t="s">
        <v>2733</v>
      </c>
      <c r="B483" s="2" t="s">
        <v>18</v>
      </c>
      <c r="C483" s="2" t="s">
        <v>510</v>
      </c>
      <c r="D483" s="2" t="s">
        <v>511</v>
      </c>
      <c r="E483" s="2" t="s">
        <v>512</v>
      </c>
      <c r="F483" s="2">
        <v>3.71428571428571</v>
      </c>
      <c r="G483" s="2">
        <v>7</v>
      </c>
      <c r="H483" s="2">
        <v>5500</v>
      </c>
      <c r="I483" s="2" t="s">
        <v>2081</v>
      </c>
      <c r="J483" s="2" t="s">
        <v>76</v>
      </c>
      <c r="K483" s="2" t="s">
        <v>73</v>
      </c>
      <c r="L483" s="2" t="s">
        <v>200</v>
      </c>
      <c r="M483" s="2" t="s">
        <v>386</v>
      </c>
    </row>
    <row r="484" spans="1:13" x14ac:dyDescent="0.25">
      <c r="A484" s="2" t="s">
        <v>2734</v>
      </c>
      <c r="B484" s="2" t="s">
        <v>18</v>
      </c>
      <c r="C484" s="2" t="s">
        <v>2735</v>
      </c>
      <c r="D484" s="2" t="s">
        <v>2736</v>
      </c>
      <c r="E484" s="2" t="s">
        <v>2737</v>
      </c>
      <c r="F484" s="2">
        <v>4</v>
      </c>
      <c r="G484" s="2">
        <v>1</v>
      </c>
      <c r="H484" s="2">
        <v>5500</v>
      </c>
      <c r="I484" s="2" t="s">
        <v>2124</v>
      </c>
      <c r="J484" s="2" t="s">
        <v>2125</v>
      </c>
      <c r="K484" s="2" t="s">
        <v>852</v>
      </c>
    </row>
    <row r="485" spans="1:13" x14ac:dyDescent="0.25">
      <c r="A485" s="2" t="s">
        <v>2738</v>
      </c>
      <c r="B485" s="2" t="s">
        <v>18</v>
      </c>
      <c r="C485" s="2" t="s">
        <v>714</v>
      </c>
      <c r="D485" s="2" t="s">
        <v>1245</v>
      </c>
      <c r="E485" s="2" t="s">
        <v>1246</v>
      </c>
      <c r="F485" s="2">
        <v>3.1052631578947301</v>
      </c>
      <c r="G485" s="2">
        <v>19</v>
      </c>
      <c r="H485" s="2">
        <v>5500</v>
      </c>
      <c r="I485" s="2" t="s">
        <v>2090</v>
      </c>
      <c r="J485" s="2" t="s">
        <v>844</v>
      </c>
      <c r="K485" s="2" t="s">
        <v>2091</v>
      </c>
    </row>
    <row r="486" spans="1:13" x14ac:dyDescent="0.25">
      <c r="A486" s="2" t="s">
        <v>2739</v>
      </c>
      <c r="B486" s="2" t="s">
        <v>18</v>
      </c>
      <c r="C486" s="2" t="s">
        <v>287</v>
      </c>
      <c r="D486" s="2" t="s">
        <v>514</v>
      </c>
      <c r="E486" s="2" t="s">
        <v>515</v>
      </c>
      <c r="F486" s="2">
        <v>6.4423076923076898</v>
      </c>
      <c r="G486" s="2">
        <v>52</v>
      </c>
      <c r="H486" s="2">
        <v>5500</v>
      </c>
      <c r="I486" s="2" t="s">
        <v>2068</v>
      </c>
      <c r="J486" s="2" t="s">
        <v>38</v>
      </c>
      <c r="K486" s="2" t="s">
        <v>860</v>
      </c>
    </row>
    <row r="487" spans="1:13" x14ac:dyDescent="0.25">
      <c r="A487" s="2" t="s">
        <v>2740</v>
      </c>
      <c r="B487" s="2" t="s">
        <v>18</v>
      </c>
      <c r="C487" s="2" t="s">
        <v>304</v>
      </c>
      <c r="D487" s="2" t="s">
        <v>2741</v>
      </c>
      <c r="E487" s="2" t="s">
        <v>1247</v>
      </c>
      <c r="F487" s="2">
        <v>7.5</v>
      </c>
      <c r="G487" s="2">
        <v>4</v>
      </c>
      <c r="H487" s="2">
        <v>5500</v>
      </c>
      <c r="I487" s="2" t="s">
        <v>2124</v>
      </c>
      <c r="J487" s="2" t="s">
        <v>2125</v>
      </c>
      <c r="K487" s="2" t="s">
        <v>852</v>
      </c>
      <c r="L487" s="2" t="s">
        <v>200</v>
      </c>
      <c r="M487" s="2" t="s">
        <v>247</v>
      </c>
    </row>
    <row r="488" spans="1:13" x14ac:dyDescent="0.25">
      <c r="A488" s="2" t="s">
        <v>2742</v>
      </c>
      <c r="B488" s="2" t="s">
        <v>18</v>
      </c>
      <c r="C488" s="2" t="s">
        <v>517</v>
      </c>
      <c r="D488" s="2" t="s">
        <v>2743</v>
      </c>
      <c r="E488" s="2" t="s">
        <v>712</v>
      </c>
      <c r="F488" s="2">
        <v>-3</v>
      </c>
      <c r="G488" s="2">
        <v>1</v>
      </c>
      <c r="H488" s="2">
        <v>5500</v>
      </c>
      <c r="I488" s="2" t="s">
        <v>2081</v>
      </c>
      <c r="J488" s="2" t="s">
        <v>76</v>
      </c>
      <c r="K488" s="2" t="s">
        <v>73</v>
      </c>
    </row>
    <row r="489" spans="1:13" x14ac:dyDescent="0.25">
      <c r="A489" s="2" t="s">
        <v>2744</v>
      </c>
      <c r="B489" s="2" t="s">
        <v>18</v>
      </c>
      <c r="C489" s="2" t="s">
        <v>248</v>
      </c>
      <c r="D489" s="2" t="s">
        <v>2745</v>
      </c>
      <c r="E489" s="2" t="s">
        <v>516</v>
      </c>
      <c r="F489" s="2">
        <v>4.8</v>
      </c>
      <c r="G489" s="2">
        <v>20</v>
      </c>
      <c r="H489" s="2">
        <v>5500</v>
      </c>
      <c r="I489" s="2" t="s">
        <v>2090</v>
      </c>
      <c r="J489" s="2" t="s">
        <v>2091</v>
      </c>
      <c r="K489" s="2" t="s">
        <v>844</v>
      </c>
    </row>
    <row r="490" spans="1:13" x14ac:dyDescent="0.25">
      <c r="A490" s="2" t="s">
        <v>2746</v>
      </c>
      <c r="B490" s="2" t="s">
        <v>18</v>
      </c>
      <c r="C490" s="2" t="s">
        <v>489</v>
      </c>
      <c r="D490" s="2" t="s">
        <v>1248</v>
      </c>
      <c r="E490" s="2" t="s">
        <v>1249</v>
      </c>
      <c r="F490" s="2">
        <v>6.0655737704917998</v>
      </c>
      <c r="G490" s="2">
        <v>61</v>
      </c>
      <c r="H490" s="2">
        <v>5500</v>
      </c>
      <c r="I490" s="2" t="s">
        <v>2108</v>
      </c>
      <c r="J490" s="2" t="s">
        <v>841</v>
      </c>
      <c r="K490" s="2" t="s">
        <v>856</v>
      </c>
    </row>
    <row r="491" spans="1:13" x14ac:dyDescent="0.25">
      <c r="A491" s="2" t="s">
        <v>2747</v>
      </c>
      <c r="B491" s="2" t="s">
        <v>18</v>
      </c>
      <c r="C491" s="2" t="s">
        <v>256</v>
      </c>
      <c r="D491" s="2" t="s">
        <v>1250</v>
      </c>
      <c r="E491" s="2" t="s">
        <v>1251</v>
      </c>
      <c r="F491" s="2">
        <v>6.4090909090909003</v>
      </c>
      <c r="G491" s="2">
        <v>44</v>
      </c>
      <c r="H491" s="2">
        <v>5500</v>
      </c>
      <c r="I491" s="2" t="s">
        <v>2097</v>
      </c>
      <c r="J491" s="2" t="s">
        <v>853</v>
      </c>
      <c r="K491" s="2" t="s">
        <v>159</v>
      </c>
    </row>
    <row r="492" spans="1:13" x14ac:dyDescent="0.25">
      <c r="A492" s="2" t="s">
        <v>2748</v>
      </c>
      <c r="B492" s="2" t="s">
        <v>18</v>
      </c>
      <c r="C492" s="2" t="s">
        <v>1953</v>
      </c>
      <c r="D492" s="2" t="s">
        <v>1954</v>
      </c>
      <c r="E492" s="2" t="s">
        <v>1955</v>
      </c>
      <c r="F492" s="2">
        <v>5.2</v>
      </c>
      <c r="G492" s="2">
        <v>5</v>
      </c>
      <c r="H492" s="2">
        <v>5500</v>
      </c>
      <c r="I492" s="2" t="s">
        <v>2070</v>
      </c>
      <c r="J492" s="2" t="s">
        <v>36</v>
      </c>
      <c r="K492" s="2" t="s">
        <v>848</v>
      </c>
    </row>
    <row r="493" spans="1:13" x14ac:dyDescent="0.25">
      <c r="A493" s="2" t="s">
        <v>2749</v>
      </c>
      <c r="B493" s="2" t="s">
        <v>18</v>
      </c>
      <c r="C493" s="2" t="s">
        <v>2750</v>
      </c>
      <c r="D493" s="2" t="s">
        <v>2751</v>
      </c>
      <c r="E493" s="2" t="s">
        <v>2752</v>
      </c>
      <c r="F493" s="2">
        <v>3.3636363636363602</v>
      </c>
      <c r="G493" s="2">
        <v>11</v>
      </c>
      <c r="H493" s="2">
        <v>5500</v>
      </c>
      <c r="I493" s="2" t="s">
        <v>2124</v>
      </c>
      <c r="J493" s="2" t="s">
        <v>2125</v>
      </c>
      <c r="K493" s="2" t="s">
        <v>852</v>
      </c>
    </row>
    <row r="494" spans="1:13" x14ac:dyDescent="0.25">
      <c r="A494" s="2" t="s">
        <v>2753</v>
      </c>
      <c r="B494" s="2" t="s">
        <v>18</v>
      </c>
      <c r="C494" s="2" t="s">
        <v>280</v>
      </c>
      <c r="D494" s="2" t="s">
        <v>2754</v>
      </c>
      <c r="E494" s="2" t="s">
        <v>2755</v>
      </c>
      <c r="F494" s="2">
        <v>6.8333333333333304</v>
      </c>
      <c r="G494" s="2">
        <v>6</v>
      </c>
      <c r="H494" s="2">
        <v>5500</v>
      </c>
      <c r="I494" s="2" t="s">
        <v>2108</v>
      </c>
      <c r="J494" s="2" t="s">
        <v>856</v>
      </c>
      <c r="K494" s="2" t="s">
        <v>841</v>
      </c>
    </row>
    <row r="495" spans="1:13" x14ac:dyDescent="0.25">
      <c r="A495" s="2" t="s">
        <v>2756</v>
      </c>
      <c r="B495" s="2" t="s">
        <v>18</v>
      </c>
      <c r="C495" s="2" t="s">
        <v>212</v>
      </c>
      <c r="D495" s="2" t="s">
        <v>1252</v>
      </c>
      <c r="E495" s="2" t="s">
        <v>1253</v>
      </c>
      <c r="F495" s="2">
        <v>5.8333333333333304</v>
      </c>
      <c r="G495" s="2">
        <v>42</v>
      </c>
      <c r="H495" s="2">
        <v>5500</v>
      </c>
      <c r="I495" s="2" t="s">
        <v>2124</v>
      </c>
      <c r="J495" s="2" t="s">
        <v>852</v>
      </c>
      <c r="K495" s="2" t="s">
        <v>2125</v>
      </c>
    </row>
    <row r="496" spans="1:13" x14ac:dyDescent="0.25">
      <c r="A496" s="2" t="s">
        <v>2757</v>
      </c>
      <c r="B496" s="2" t="s">
        <v>18</v>
      </c>
      <c r="C496" s="2" t="s">
        <v>1254</v>
      </c>
      <c r="D496" s="2" t="s">
        <v>1255</v>
      </c>
      <c r="E496" s="2" t="s">
        <v>1256</v>
      </c>
      <c r="F496" s="2">
        <v>5.3773584905660297</v>
      </c>
      <c r="G496" s="2">
        <v>53</v>
      </c>
      <c r="H496" s="2">
        <v>5500</v>
      </c>
      <c r="I496" s="2" t="s">
        <v>2097</v>
      </c>
      <c r="J496" s="2" t="s">
        <v>853</v>
      </c>
      <c r="K496" s="2" t="s">
        <v>159</v>
      </c>
      <c r="L496" s="2" t="s">
        <v>200</v>
      </c>
      <c r="M496" s="2" t="s">
        <v>681</v>
      </c>
    </row>
    <row r="497" spans="1:13" x14ac:dyDescent="0.25">
      <c r="A497" s="2" t="s">
        <v>2758</v>
      </c>
      <c r="B497" s="2" t="s">
        <v>18</v>
      </c>
      <c r="C497" s="2" t="s">
        <v>316</v>
      </c>
      <c r="D497" s="2" t="s">
        <v>1956</v>
      </c>
      <c r="E497" s="2" t="s">
        <v>1957</v>
      </c>
      <c r="F497" s="2">
        <v>3.2711864406779601</v>
      </c>
      <c r="G497" s="2">
        <v>59</v>
      </c>
      <c r="H497" s="2">
        <v>5500</v>
      </c>
      <c r="I497" s="2" t="s">
        <v>2081</v>
      </c>
      <c r="J497" s="2" t="s">
        <v>73</v>
      </c>
      <c r="K497" s="2" t="s">
        <v>76</v>
      </c>
    </row>
    <row r="498" spans="1:13" x14ac:dyDescent="0.25">
      <c r="A498" s="2" t="s">
        <v>2759</v>
      </c>
      <c r="B498" s="2" t="s">
        <v>18</v>
      </c>
      <c r="C498" s="2" t="s">
        <v>342</v>
      </c>
      <c r="D498" s="2" t="s">
        <v>1257</v>
      </c>
      <c r="E498" s="2" t="s">
        <v>1258</v>
      </c>
      <c r="F498" s="2">
        <v>1.4375</v>
      </c>
      <c r="G498" s="2">
        <v>16</v>
      </c>
      <c r="H498" s="2">
        <v>5500</v>
      </c>
      <c r="I498" s="2" t="s">
        <v>2079</v>
      </c>
      <c r="J498" s="2" t="s">
        <v>855</v>
      </c>
      <c r="K498" s="2" t="s">
        <v>843</v>
      </c>
    </row>
    <row r="499" spans="1:13" x14ac:dyDescent="0.25">
      <c r="A499" s="2" t="s">
        <v>2760</v>
      </c>
      <c r="B499" s="2" t="s">
        <v>18</v>
      </c>
      <c r="C499" s="2" t="s">
        <v>1259</v>
      </c>
      <c r="D499" s="2" t="s">
        <v>1260</v>
      </c>
      <c r="E499" s="2" t="s">
        <v>496</v>
      </c>
      <c r="F499" s="2">
        <v>3.6122448979591799</v>
      </c>
      <c r="G499" s="2">
        <v>49</v>
      </c>
      <c r="H499" s="2">
        <v>5500</v>
      </c>
      <c r="I499" s="2" t="s">
        <v>2097</v>
      </c>
      <c r="J499" s="2" t="s">
        <v>853</v>
      </c>
      <c r="K499" s="2" t="s">
        <v>159</v>
      </c>
      <c r="L499" s="2" t="s">
        <v>200</v>
      </c>
      <c r="M499" s="2" t="s">
        <v>263</v>
      </c>
    </row>
    <row r="500" spans="1:13" x14ac:dyDescent="0.25">
      <c r="A500" s="2" t="s">
        <v>2761</v>
      </c>
      <c r="B500" s="2" t="s">
        <v>18</v>
      </c>
      <c r="C500" s="2" t="s">
        <v>529</v>
      </c>
      <c r="D500" s="2" t="s">
        <v>530</v>
      </c>
      <c r="E500" s="2" t="s">
        <v>531</v>
      </c>
      <c r="F500" s="2">
        <v>4.0243902439024302</v>
      </c>
      <c r="G500" s="2">
        <v>41</v>
      </c>
      <c r="H500" s="2">
        <v>5500</v>
      </c>
      <c r="I500" s="2" t="s">
        <v>2068</v>
      </c>
      <c r="J500" s="2" t="s">
        <v>38</v>
      </c>
      <c r="K500" s="2" t="s">
        <v>860</v>
      </c>
    </row>
    <row r="501" spans="1:13" x14ac:dyDescent="0.25">
      <c r="A501" s="2" t="s">
        <v>2762</v>
      </c>
      <c r="B501" s="2" t="s">
        <v>18</v>
      </c>
      <c r="C501" s="2" t="s">
        <v>275</v>
      </c>
      <c r="D501" s="2" t="s">
        <v>1261</v>
      </c>
      <c r="E501" s="2" t="s">
        <v>1262</v>
      </c>
      <c r="F501" s="2">
        <v>8.6666666666666607</v>
      </c>
      <c r="G501" s="2">
        <v>3</v>
      </c>
      <c r="H501" s="2">
        <v>5500</v>
      </c>
      <c r="I501" s="2" t="s">
        <v>2065</v>
      </c>
      <c r="J501" s="2" t="s">
        <v>2066</v>
      </c>
      <c r="K501" s="2" t="s">
        <v>69</v>
      </c>
    </row>
    <row r="502" spans="1:13" x14ac:dyDescent="0.25">
      <c r="A502" s="2" t="s">
        <v>2763</v>
      </c>
      <c r="B502" s="2" t="s">
        <v>18</v>
      </c>
      <c r="C502" s="2" t="s">
        <v>197</v>
      </c>
      <c r="D502" s="2" t="s">
        <v>310</v>
      </c>
      <c r="E502" s="2" t="s">
        <v>311</v>
      </c>
      <c r="F502" s="2">
        <v>11.3157894736842</v>
      </c>
      <c r="G502" s="2">
        <v>19</v>
      </c>
      <c r="H502" s="2">
        <v>5500</v>
      </c>
      <c r="I502" s="2" t="s">
        <v>2106</v>
      </c>
      <c r="J502" s="2" t="s">
        <v>34</v>
      </c>
      <c r="K502" s="2" t="s">
        <v>35</v>
      </c>
    </row>
    <row r="503" spans="1:13" x14ac:dyDescent="0.25">
      <c r="A503" s="2" t="s">
        <v>2764</v>
      </c>
      <c r="B503" s="2" t="s">
        <v>18</v>
      </c>
      <c r="C503" s="2" t="s">
        <v>1958</v>
      </c>
      <c r="D503" s="2" t="s">
        <v>1959</v>
      </c>
      <c r="E503" s="2" t="s">
        <v>532</v>
      </c>
      <c r="F503" s="2">
        <v>11.8888888888888</v>
      </c>
      <c r="G503" s="2">
        <v>9</v>
      </c>
      <c r="H503" s="2">
        <v>5500</v>
      </c>
      <c r="I503" s="2" t="s">
        <v>2065</v>
      </c>
      <c r="J503" s="2" t="s">
        <v>69</v>
      </c>
      <c r="K503" s="2" t="s">
        <v>2066</v>
      </c>
    </row>
    <row r="504" spans="1:13" x14ac:dyDescent="0.25">
      <c r="A504" s="2" t="s">
        <v>2765</v>
      </c>
      <c r="B504" s="2" t="s">
        <v>18</v>
      </c>
      <c r="C504" s="2" t="s">
        <v>535</v>
      </c>
      <c r="D504" s="2" t="s">
        <v>536</v>
      </c>
      <c r="E504" s="2" t="s">
        <v>537</v>
      </c>
      <c r="F504" s="2">
        <v>1.875</v>
      </c>
      <c r="G504" s="2">
        <v>16</v>
      </c>
      <c r="H504" s="2">
        <v>5500</v>
      </c>
      <c r="I504" s="2" t="s">
        <v>2106</v>
      </c>
      <c r="J504" s="2" t="s">
        <v>35</v>
      </c>
      <c r="K504" s="2" t="s">
        <v>34</v>
      </c>
    </row>
    <row r="505" spans="1:13" x14ac:dyDescent="0.25">
      <c r="A505" s="2" t="s">
        <v>2766</v>
      </c>
      <c r="B505" s="2" t="s">
        <v>18</v>
      </c>
      <c r="C505" s="2" t="s">
        <v>2767</v>
      </c>
      <c r="D505" s="2" t="s">
        <v>2768</v>
      </c>
      <c r="E505" s="2" t="s">
        <v>2769</v>
      </c>
      <c r="F505" s="2">
        <v>8</v>
      </c>
      <c r="G505" s="2">
        <v>5</v>
      </c>
      <c r="H505" s="2">
        <v>5500</v>
      </c>
      <c r="I505" s="2" t="s">
        <v>2065</v>
      </c>
      <c r="J505" s="2" t="s">
        <v>2066</v>
      </c>
      <c r="K505" s="2" t="s">
        <v>69</v>
      </c>
    </row>
    <row r="506" spans="1:13" x14ac:dyDescent="0.25">
      <c r="A506" s="2" t="s">
        <v>2770</v>
      </c>
      <c r="B506" s="2" t="s">
        <v>18</v>
      </c>
      <c r="C506" s="2" t="s">
        <v>212</v>
      </c>
      <c r="D506" s="2" t="s">
        <v>2771</v>
      </c>
      <c r="E506" s="2" t="s">
        <v>751</v>
      </c>
      <c r="F506" s="2">
        <v>6</v>
      </c>
      <c r="G506" s="2">
        <v>1</v>
      </c>
      <c r="H506" s="2">
        <v>5500</v>
      </c>
      <c r="I506" s="2" t="s">
        <v>2065</v>
      </c>
      <c r="J506" s="2" t="s">
        <v>69</v>
      </c>
      <c r="K506" s="2" t="s">
        <v>2066</v>
      </c>
    </row>
    <row r="507" spans="1:13" x14ac:dyDescent="0.25">
      <c r="A507" s="2" t="s">
        <v>2772</v>
      </c>
      <c r="B507" s="2" t="s">
        <v>18</v>
      </c>
      <c r="C507" s="2" t="s">
        <v>540</v>
      </c>
      <c r="D507" s="2" t="s">
        <v>541</v>
      </c>
      <c r="E507" s="2" t="s">
        <v>542</v>
      </c>
      <c r="F507" s="2">
        <v>2.64150943396226</v>
      </c>
      <c r="G507" s="2">
        <v>53</v>
      </c>
      <c r="H507" s="2">
        <v>5500</v>
      </c>
      <c r="I507" s="2" t="s">
        <v>2081</v>
      </c>
      <c r="J507" s="2" t="s">
        <v>76</v>
      </c>
      <c r="K507" s="2" t="s">
        <v>73</v>
      </c>
    </row>
    <row r="508" spans="1:13" x14ac:dyDescent="0.25">
      <c r="A508" s="2" t="s">
        <v>2773</v>
      </c>
      <c r="B508" s="2" t="s">
        <v>18</v>
      </c>
      <c r="C508" s="2" t="s">
        <v>330</v>
      </c>
      <c r="D508" s="2" t="s">
        <v>2774</v>
      </c>
      <c r="E508" s="2" t="s">
        <v>2775</v>
      </c>
      <c r="F508" s="2">
        <v>6</v>
      </c>
      <c r="G508" s="2">
        <v>1</v>
      </c>
      <c r="H508" s="2">
        <v>5500</v>
      </c>
      <c r="I508" s="2" t="s">
        <v>2065</v>
      </c>
      <c r="J508" s="2" t="s">
        <v>69</v>
      </c>
      <c r="K508" s="2" t="s">
        <v>2066</v>
      </c>
    </row>
    <row r="509" spans="1:13" x14ac:dyDescent="0.25">
      <c r="A509" s="2" t="s">
        <v>2776</v>
      </c>
      <c r="B509" s="2" t="s">
        <v>18</v>
      </c>
      <c r="C509" s="2" t="s">
        <v>259</v>
      </c>
      <c r="D509" s="2" t="s">
        <v>1263</v>
      </c>
      <c r="E509" s="2" t="s">
        <v>1264</v>
      </c>
      <c r="F509" s="2">
        <v>2.9361702127659499</v>
      </c>
      <c r="G509" s="2">
        <v>47</v>
      </c>
      <c r="H509" s="2">
        <v>5500</v>
      </c>
      <c r="I509" s="2" t="s">
        <v>1783</v>
      </c>
      <c r="J509" s="2" t="s">
        <v>840</v>
      </c>
      <c r="K509" s="2" t="s">
        <v>861</v>
      </c>
    </row>
    <row r="510" spans="1:13" x14ac:dyDescent="0.25">
      <c r="A510" s="2" t="s">
        <v>2777</v>
      </c>
      <c r="B510" s="2" t="s">
        <v>18</v>
      </c>
      <c r="C510" s="2" t="s">
        <v>260</v>
      </c>
      <c r="D510" s="2" t="s">
        <v>2778</v>
      </c>
      <c r="E510" s="2" t="s">
        <v>2779</v>
      </c>
      <c r="F510" s="2">
        <v>2.5625</v>
      </c>
      <c r="G510" s="2">
        <v>16</v>
      </c>
      <c r="H510" s="2">
        <v>5500</v>
      </c>
      <c r="I510" s="2" t="s">
        <v>2075</v>
      </c>
      <c r="J510" s="2" t="s">
        <v>2076</v>
      </c>
      <c r="K510" s="2" t="s">
        <v>37</v>
      </c>
    </row>
    <row r="511" spans="1:13" x14ac:dyDescent="0.25">
      <c r="A511" s="2" t="s">
        <v>2780</v>
      </c>
      <c r="B511" s="2" t="s">
        <v>18</v>
      </c>
      <c r="C511" s="2" t="s">
        <v>207</v>
      </c>
      <c r="D511" s="2" t="s">
        <v>2781</v>
      </c>
      <c r="E511" s="2" t="s">
        <v>788</v>
      </c>
      <c r="F511" s="2">
        <v>7.8958333333333304</v>
      </c>
      <c r="G511" s="2">
        <v>48</v>
      </c>
      <c r="H511" s="2">
        <v>5500</v>
      </c>
      <c r="I511" s="2" t="s">
        <v>2072</v>
      </c>
      <c r="J511" s="2" t="s">
        <v>842</v>
      </c>
      <c r="K511" s="2" t="s">
        <v>74</v>
      </c>
    </row>
    <row r="512" spans="1:13" x14ac:dyDescent="0.25">
      <c r="A512" s="2" t="s">
        <v>2782</v>
      </c>
      <c r="B512" s="2" t="s">
        <v>18</v>
      </c>
      <c r="C512" s="2" t="s">
        <v>330</v>
      </c>
      <c r="D512" s="2" t="s">
        <v>2783</v>
      </c>
      <c r="E512" s="2" t="s">
        <v>2784</v>
      </c>
      <c r="F512" s="2">
        <v>5.2</v>
      </c>
      <c r="G512" s="2">
        <v>5</v>
      </c>
      <c r="H512" s="2">
        <v>5500</v>
      </c>
      <c r="I512" s="2" t="s">
        <v>2065</v>
      </c>
      <c r="J512" s="2" t="s">
        <v>69</v>
      </c>
      <c r="K512" s="2" t="s">
        <v>2066</v>
      </c>
    </row>
    <row r="513" spans="1:13" x14ac:dyDescent="0.25">
      <c r="A513" s="2" t="s">
        <v>2785</v>
      </c>
      <c r="B513" s="2" t="s">
        <v>18</v>
      </c>
      <c r="C513" s="2" t="s">
        <v>2786</v>
      </c>
      <c r="D513" s="2" t="s">
        <v>2787</v>
      </c>
      <c r="E513" s="2" t="s">
        <v>2788</v>
      </c>
      <c r="F513" s="2">
        <v>1.71428571428571</v>
      </c>
      <c r="G513" s="2">
        <v>14</v>
      </c>
      <c r="H513" s="2">
        <v>5500</v>
      </c>
      <c r="I513" s="2" t="s">
        <v>1783</v>
      </c>
      <c r="J513" s="2" t="s">
        <v>861</v>
      </c>
      <c r="K513" s="2" t="s">
        <v>840</v>
      </c>
    </row>
    <row r="514" spans="1:13" x14ac:dyDescent="0.25">
      <c r="A514" s="2" t="s">
        <v>2789</v>
      </c>
      <c r="B514" s="2" t="s">
        <v>18</v>
      </c>
      <c r="C514" s="2" t="s">
        <v>2790</v>
      </c>
      <c r="D514" s="2" t="s">
        <v>2791</v>
      </c>
      <c r="E514" s="2" t="s">
        <v>963</v>
      </c>
      <c r="F514" s="2">
        <v>5.1666666666666599</v>
      </c>
      <c r="G514" s="2">
        <v>54</v>
      </c>
      <c r="H514" s="2">
        <v>5500</v>
      </c>
      <c r="I514" s="2" t="s">
        <v>2124</v>
      </c>
      <c r="J514" s="2" t="s">
        <v>2125</v>
      </c>
      <c r="K514" s="2" t="s">
        <v>852</v>
      </c>
      <c r="L514" s="2" t="s">
        <v>200</v>
      </c>
      <c r="M514" s="2" t="s">
        <v>232</v>
      </c>
    </row>
    <row r="515" spans="1:13" x14ac:dyDescent="0.25">
      <c r="A515" s="2" t="s">
        <v>2792</v>
      </c>
      <c r="B515" s="2" t="s">
        <v>18</v>
      </c>
      <c r="C515" s="2" t="s">
        <v>2793</v>
      </c>
      <c r="D515" s="2" t="s">
        <v>2794</v>
      </c>
      <c r="E515" s="2" t="s">
        <v>2795</v>
      </c>
      <c r="F515" s="2">
        <v>9</v>
      </c>
      <c r="G515" s="2">
        <v>48</v>
      </c>
      <c r="H515" s="2">
        <v>5500</v>
      </c>
      <c r="I515" s="2" t="s">
        <v>2124</v>
      </c>
      <c r="J515" s="2" t="s">
        <v>2125</v>
      </c>
      <c r="K515" s="2" t="s">
        <v>852</v>
      </c>
    </row>
    <row r="516" spans="1:13" x14ac:dyDescent="0.25">
      <c r="A516" s="2" t="s">
        <v>2796</v>
      </c>
      <c r="B516" s="2" t="s">
        <v>18</v>
      </c>
      <c r="C516" s="2" t="s">
        <v>1265</v>
      </c>
      <c r="D516" s="2" t="s">
        <v>1266</v>
      </c>
      <c r="E516" s="2" t="s">
        <v>1267</v>
      </c>
      <c r="F516" s="2">
        <v>3.5454545454545401</v>
      </c>
      <c r="G516" s="2">
        <v>44</v>
      </c>
      <c r="H516" s="2">
        <v>5500</v>
      </c>
      <c r="I516" s="2" t="s">
        <v>1783</v>
      </c>
      <c r="J516" s="2" t="s">
        <v>840</v>
      </c>
      <c r="K516" s="2" t="s">
        <v>861</v>
      </c>
    </row>
    <row r="517" spans="1:13" x14ac:dyDescent="0.25">
      <c r="A517" s="2" t="s">
        <v>2797</v>
      </c>
      <c r="B517" s="2" t="s">
        <v>18</v>
      </c>
      <c r="C517" s="2" t="s">
        <v>330</v>
      </c>
      <c r="D517" s="2" t="s">
        <v>1268</v>
      </c>
      <c r="E517" s="2" t="s">
        <v>337</v>
      </c>
      <c r="F517" s="2">
        <v>0.625</v>
      </c>
      <c r="G517" s="2">
        <v>8</v>
      </c>
      <c r="H517" s="2">
        <v>5500</v>
      </c>
      <c r="I517" s="2" t="s">
        <v>2070</v>
      </c>
      <c r="J517" s="2" t="s">
        <v>848</v>
      </c>
      <c r="K517" s="2" t="s">
        <v>36</v>
      </c>
    </row>
    <row r="518" spans="1:13" x14ac:dyDescent="0.25">
      <c r="A518" s="2" t="s">
        <v>2798</v>
      </c>
      <c r="B518" s="2" t="s">
        <v>18</v>
      </c>
      <c r="C518" s="2" t="s">
        <v>237</v>
      </c>
      <c r="D518" s="2" t="s">
        <v>2799</v>
      </c>
      <c r="E518" s="2" t="s">
        <v>518</v>
      </c>
      <c r="F518" s="2">
        <v>-2.5</v>
      </c>
      <c r="G518" s="2">
        <v>2</v>
      </c>
      <c r="H518" s="2">
        <v>5500</v>
      </c>
      <c r="I518" s="2" t="s">
        <v>1783</v>
      </c>
      <c r="J518" s="2" t="s">
        <v>861</v>
      </c>
      <c r="K518" s="2" t="s">
        <v>840</v>
      </c>
    </row>
    <row r="519" spans="1:13" x14ac:dyDescent="0.25">
      <c r="A519" s="2" t="s">
        <v>2800</v>
      </c>
      <c r="B519" s="2" t="s">
        <v>18</v>
      </c>
      <c r="C519" s="2" t="s">
        <v>196</v>
      </c>
      <c r="D519" s="2" t="s">
        <v>1269</v>
      </c>
      <c r="E519" s="2" t="s">
        <v>1270</v>
      </c>
      <c r="F519" s="2">
        <v>7.625</v>
      </c>
      <c r="G519" s="2">
        <v>64</v>
      </c>
      <c r="H519" s="2">
        <v>5500</v>
      </c>
      <c r="I519" s="2" t="s">
        <v>2068</v>
      </c>
      <c r="J519" s="2" t="s">
        <v>860</v>
      </c>
      <c r="K519" s="2" t="s">
        <v>38</v>
      </c>
    </row>
    <row r="520" spans="1:13" x14ac:dyDescent="0.25">
      <c r="A520" s="2" t="s">
        <v>2801</v>
      </c>
      <c r="B520" s="2" t="s">
        <v>18</v>
      </c>
      <c r="C520" s="2" t="s">
        <v>318</v>
      </c>
      <c r="D520" s="2" t="s">
        <v>1271</v>
      </c>
      <c r="E520" s="2" t="s">
        <v>1272</v>
      </c>
      <c r="F520" s="2">
        <v>4</v>
      </c>
      <c r="G520" s="2">
        <v>1</v>
      </c>
      <c r="H520" s="2">
        <v>5500</v>
      </c>
      <c r="I520" s="2" t="s">
        <v>2097</v>
      </c>
      <c r="J520" s="2" t="s">
        <v>853</v>
      </c>
      <c r="K520" s="2" t="s">
        <v>159</v>
      </c>
      <c r="L520" s="2" t="s">
        <v>200</v>
      </c>
      <c r="M520" s="2" t="s">
        <v>568</v>
      </c>
    </row>
    <row r="521" spans="1:13" x14ac:dyDescent="0.25">
      <c r="A521" s="2" t="s">
        <v>2802</v>
      </c>
      <c r="B521" s="2" t="s">
        <v>18</v>
      </c>
      <c r="C521" s="2" t="s">
        <v>750</v>
      </c>
      <c r="D521" s="2" t="s">
        <v>2803</v>
      </c>
      <c r="E521" s="2" t="s">
        <v>1027</v>
      </c>
      <c r="F521" s="2">
        <v>18.785714285714199</v>
      </c>
      <c r="G521" s="2">
        <v>28</v>
      </c>
      <c r="H521" s="2">
        <v>5500</v>
      </c>
      <c r="I521" s="2" t="s">
        <v>2075</v>
      </c>
      <c r="J521" s="2" t="s">
        <v>2076</v>
      </c>
      <c r="K521" s="2" t="s">
        <v>37</v>
      </c>
    </row>
    <row r="522" spans="1:13" x14ac:dyDescent="0.25">
      <c r="A522" s="2" t="s">
        <v>2804</v>
      </c>
      <c r="B522" s="2" t="s">
        <v>18</v>
      </c>
      <c r="C522" s="2" t="s">
        <v>750</v>
      </c>
      <c r="D522" s="2" t="s">
        <v>1961</v>
      </c>
      <c r="E522" s="2" t="s">
        <v>1962</v>
      </c>
      <c r="F522" s="2">
        <v>4.3548387096774102</v>
      </c>
      <c r="G522" s="2">
        <v>31</v>
      </c>
      <c r="H522" s="2">
        <v>5500</v>
      </c>
      <c r="I522" s="2" t="s">
        <v>2079</v>
      </c>
      <c r="J522" s="2" t="s">
        <v>843</v>
      </c>
      <c r="K522" s="2" t="s">
        <v>855</v>
      </c>
    </row>
    <row r="523" spans="1:13" x14ac:dyDescent="0.25">
      <c r="A523" s="2" t="s">
        <v>2805</v>
      </c>
      <c r="B523" s="2" t="s">
        <v>18</v>
      </c>
      <c r="C523" s="2" t="s">
        <v>565</v>
      </c>
      <c r="D523" s="2" t="s">
        <v>566</v>
      </c>
      <c r="E523" s="2" t="s">
        <v>567</v>
      </c>
      <c r="F523" s="2">
        <v>5.9</v>
      </c>
      <c r="G523" s="2">
        <v>10</v>
      </c>
      <c r="H523" s="2">
        <v>5500</v>
      </c>
      <c r="I523" s="2" t="s">
        <v>2106</v>
      </c>
      <c r="J523" s="2" t="s">
        <v>35</v>
      </c>
      <c r="K523" s="2" t="s">
        <v>34</v>
      </c>
    </row>
    <row r="524" spans="1:13" x14ac:dyDescent="0.25">
      <c r="A524" s="2" t="s">
        <v>2806</v>
      </c>
      <c r="B524" s="2" t="s">
        <v>18</v>
      </c>
      <c r="C524" s="2" t="s">
        <v>569</v>
      </c>
      <c r="D524" s="2" t="s">
        <v>570</v>
      </c>
      <c r="E524" s="2" t="s">
        <v>571</v>
      </c>
      <c r="F524" s="2">
        <v>6.6181818181818102</v>
      </c>
      <c r="G524" s="2">
        <v>55</v>
      </c>
      <c r="H524" s="2">
        <v>5500</v>
      </c>
      <c r="I524" s="2" t="s">
        <v>2106</v>
      </c>
      <c r="J524" s="2" t="s">
        <v>35</v>
      </c>
      <c r="K524" s="2" t="s">
        <v>34</v>
      </c>
    </row>
    <row r="525" spans="1:13" x14ac:dyDescent="0.25">
      <c r="A525" s="2" t="s">
        <v>2807</v>
      </c>
      <c r="B525" s="2" t="s">
        <v>18</v>
      </c>
      <c r="C525" s="2" t="s">
        <v>337</v>
      </c>
      <c r="D525" s="2" t="s">
        <v>1963</v>
      </c>
      <c r="E525" s="2" t="s">
        <v>1964</v>
      </c>
      <c r="F525" s="2">
        <v>4.1428571428571397</v>
      </c>
      <c r="G525" s="2">
        <v>35</v>
      </c>
      <c r="H525" s="2">
        <v>5500</v>
      </c>
      <c r="I525" s="2" t="s">
        <v>2081</v>
      </c>
      <c r="J525" s="2" t="s">
        <v>73</v>
      </c>
      <c r="K525" s="2" t="s">
        <v>76</v>
      </c>
    </row>
    <row r="526" spans="1:13" x14ac:dyDescent="0.25">
      <c r="A526" s="2" t="s">
        <v>2808</v>
      </c>
      <c r="B526" s="2" t="s">
        <v>18</v>
      </c>
      <c r="C526" s="2" t="s">
        <v>287</v>
      </c>
      <c r="D526" s="2" t="s">
        <v>1836</v>
      </c>
      <c r="E526" s="2" t="s">
        <v>983</v>
      </c>
      <c r="F526" s="2">
        <v>14.9230769230769</v>
      </c>
      <c r="G526" s="2">
        <v>26</v>
      </c>
      <c r="H526" s="2">
        <v>5500</v>
      </c>
      <c r="I526" s="2" t="s">
        <v>2079</v>
      </c>
      <c r="J526" s="2" t="s">
        <v>843</v>
      </c>
      <c r="K526" s="2" t="s">
        <v>855</v>
      </c>
    </row>
    <row r="527" spans="1:13" x14ac:dyDescent="0.25">
      <c r="A527" s="2" t="s">
        <v>2809</v>
      </c>
      <c r="B527" s="2" t="s">
        <v>18</v>
      </c>
      <c r="C527" s="2" t="s">
        <v>383</v>
      </c>
      <c r="D527" s="2" t="s">
        <v>2810</v>
      </c>
      <c r="E527" s="2" t="s">
        <v>336</v>
      </c>
      <c r="F527" s="2">
        <v>-6</v>
      </c>
      <c r="G527" s="2">
        <v>1</v>
      </c>
      <c r="H527" s="2">
        <v>5500</v>
      </c>
      <c r="I527" s="2" t="s">
        <v>2106</v>
      </c>
      <c r="J527" s="2" t="s">
        <v>35</v>
      </c>
      <c r="K527" s="2" t="s">
        <v>34</v>
      </c>
      <c r="L527" s="2" t="s">
        <v>364</v>
      </c>
      <c r="M527" s="2" t="s">
        <v>697</v>
      </c>
    </row>
    <row r="528" spans="1:13" x14ac:dyDescent="0.25">
      <c r="A528" s="2" t="s">
        <v>2811</v>
      </c>
      <c r="B528" s="2" t="s">
        <v>18</v>
      </c>
      <c r="C528" s="2" t="s">
        <v>1009</v>
      </c>
      <c r="D528" s="2" t="s">
        <v>1010</v>
      </c>
      <c r="E528" s="2" t="s">
        <v>1011</v>
      </c>
      <c r="F528" s="2">
        <v>19.8</v>
      </c>
      <c r="G528" s="2">
        <v>20</v>
      </c>
      <c r="H528" s="2">
        <v>5500</v>
      </c>
      <c r="I528" s="2" t="s">
        <v>2070</v>
      </c>
      <c r="J528" s="2" t="s">
        <v>848</v>
      </c>
      <c r="K528" s="2" t="s">
        <v>36</v>
      </c>
    </row>
    <row r="529" spans="1:13" x14ac:dyDescent="0.25">
      <c r="A529" s="2" t="s">
        <v>2812</v>
      </c>
      <c r="B529" s="2" t="s">
        <v>18</v>
      </c>
      <c r="C529" s="2" t="s">
        <v>308</v>
      </c>
      <c r="D529" s="2" t="s">
        <v>2813</v>
      </c>
      <c r="E529" s="2" t="s">
        <v>2814</v>
      </c>
      <c r="F529" s="2">
        <v>4.3584905660377302</v>
      </c>
      <c r="G529" s="2">
        <v>53</v>
      </c>
      <c r="H529" s="2">
        <v>5500</v>
      </c>
      <c r="I529" s="2" t="s">
        <v>2065</v>
      </c>
      <c r="J529" s="2" t="s">
        <v>2066</v>
      </c>
      <c r="K529" s="2" t="s">
        <v>69</v>
      </c>
    </row>
    <row r="530" spans="1:13" x14ac:dyDescent="0.25">
      <c r="A530" s="2" t="s">
        <v>2815</v>
      </c>
      <c r="B530" s="2" t="s">
        <v>18</v>
      </c>
      <c r="C530" s="2" t="s">
        <v>2252</v>
      </c>
      <c r="D530" s="2" t="s">
        <v>2816</v>
      </c>
      <c r="E530" s="2" t="s">
        <v>231</v>
      </c>
      <c r="F530" s="2">
        <v>4.5714285714285703</v>
      </c>
      <c r="G530" s="2">
        <v>7</v>
      </c>
      <c r="H530" s="2">
        <v>5500</v>
      </c>
      <c r="I530" s="2" t="s">
        <v>2124</v>
      </c>
      <c r="J530" s="2" t="s">
        <v>852</v>
      </c>
      <c r="K530" s="2" t="s">
        <v>2125</v>
      </c>
    </row>
    <row r="531" spans="1:13" x14ac:dyDescent="0.25">
      <c r="A531" s="2" t="s">
        <v>2817</v>
      </c>
      <c r="B531" s="2" t="s">
        <v>18</v>
      </c>
      <c r="C531" s="2" t="s">
        <v>197</v>
      </c>
      <c r="D531" s="2" t="s">
        <v>2818</v>
      </c>
      <c r="E531" s="2" t="s">
        <v>2819</v>
      </c>
      <c r="F531" s="2">
        <v>15.6666666666666</v>
      </c>
      <c r="G531" s="2">
        <v>3</v>
      </c>
      <c r="H531" s="2">
        <v>5500</v>
      </c>
      <c r="I531" s="2" t="s">
        <v>2106</v>
      </c>
      <c r="J531" s="2" t="s">
        <v>35</v>
      </c>
      <c r="K531" s="2" t="s">
        <v>34</v>
      </c>
    </row>
    <row r="532" spans="1:13" x14ac:dyDescent="0.25">
      <c r="A532" s="2" t="s">
        <v>2820</v>
      </c>
      <c r="B532" s="2" t="s">
        <v>18</v>
      </c>
      <c r="C532" s="2" t="s">
        <v>1488</v>
      </c>
      <c r="D532" s="2" t="s">
        <v>2821</v>
      </c>
      <c r="E532" s="2" t="s">
        <v>2822</v>
      </c>
      <c r="F532" s="2">
        <v>4.5</v>
      </c>
      <c r="G532" s="2">
        <v>2</v>
      </c>
      <c r="H532" s="2">
        <v>5500</v>
      </c>
      <c r="I532" s="2" t="s">
        <v>2097</v>
      </c>
      <c r="J532" s="2" t="s">
        <v>159</v>
      </c>
      <c r="K532" s="2" t="s">
        <v>853</v>
      </c>
      <c r="L532" s="2" t="s">
        <v>200</v>
      </c>
      <c r="M532" s="2" t="s">
        <v>247</v>
      </c>
    </row>
    <row r="533" spans="1:13" x14ac:dyDescent="0.25">
      <c r="A533" s="2" t="s">
        <v>2823</v>
      </c>
      <c r="B533" s="2" t="s">
        <v>18</v>
      </c>
      <c r="C533" s="2" t="s">
        <v>287</v>
      </c>
      <c r="D533" s="2" t="s">
        <v>584</v>
      </c>
      <c r="E533" s="2" t="s">
        <v>585</v>
      </c>
      <c r="F533" s="2">
        <v>4.28301886792452</v>
      </c>
      <c r="G533" s="2">
        <v>53</v>
      </c>
      <c r="H533" s="2">
        <v>5500</v>
      </c>
      <c r="I533" s="2" t="s">
        <v>2097</v>
      </c>
      <c r="J533" s="2" t="s">
        <v>159</v>
      </c>
      <c r="K533" s="2" t="s">
        <v>853</v>
      </c>
    </row>
    <row r="534" spans="1:13" x14ac:dyDescent="0.25">
      <c r="A534" s="2" t="s">
        <v>2824</v>
      </c>
      <c r="B534" s="2" t="s">
        <v>18</v>
      </c>
      <c r="C534" s="2" t="s">
        <v>1275</v>
      </c>
      <c r="D534" s="2" t="s">
        <v>1276</v>
      </c>
      <c r="E534" s="2" t="s">
        <v>1277</v>
      </c>
      <c r="F534" s="2">
        <v>4.1372549019607803</v>
      </c>
      <c r="G534" s="2">
        <v>51</v>
      </c>
      <c r="H534" s="2">
        <v>5500</v>
      </c>
      <c r="I534" s="2" t="s">
        <v>2108</v>
      </c>
      <c r="J534" s="2" t="s">
        <v>856</v>
      </c>
      <c r="K534" s="2" t="s">
        <v>841</v>
      </c>
      <c r="L534" s="2" t="s">
        <v>200</v>
      </c>
      <c r="M534" s="2" t="s">
        <v>232</v>
      </c>
    </row>
    <row r="535" spans="1:13" x14ac:dyDescent="0.25">
      <c r="A535" s="2" t="s">
        <v>2825</v>
      </c>
      <c r="B535" s="2" t="s">
        <v>18</v>
      </c>
      <c r="C535" s="2" t="s">
        <v>1278</v>
      </c>
      <c r="D535" s="2" t="s">
        <v>1279</v>
      </c>
      <c r="E535" s="2" t="s">
        <v>1280</v>
      </c>
      <c r="F535" s="2">
        <v>8.1666666666666607</v>
      </c>
      <c r="G535" s="2">
        <v>12</v>
      </c>
      <c r="H535" s="2">
        <v>5500</v>
      </c>
      <c r="I535" s="2" t="s">
        <v>1783</v>
      </c>
      <c r="J535" s="2" t="s">
        <v>840</v>
      </c>
      <c r="K535" s="2" t="s">
        <v>861</v>
      </c>
    </row>
    <row r="536" spans="1:13" x14ac:dyDescent="0.25">
      <c r="A536" s="2" t="s">
        <v>2826</v>
      </c>
      <c r="B536" s="2" t="s">
        <v>18</v>
      </c>
      <c r="C536" s="2" t="s">
        <v>718</v>
      </c>
      <c r="D536" s="2" t="s">
        <v>2827</v>
      </c>
      <c r="E536" s="2" t="s">
        <v>2828</v>
      </c>
      <c r="F536" s="2">
        <v>4.25</v>
      </c>
      <c r="G536" s="2">
        <v>8</v>
      </c>
      <c r="H536" s="2">
        <v>5500</v>
      </c>
      <c r="I536" s="2" t="s">
        <v>2106</v>
      </c>
      <c r="J536" s="2" t="s">
        <v>35</v>
      </c>
      <c r="K536" s="2" t="s">
        <v>34</v>
      </c>
    </row>
    <row r="537" spans="1:13" x14ac:dyDescent="0.25">
      <c r="A537" s="2" t="s">
        <v>2829</v>
      </c>
      <c r="B537" s="2" t="s">
        <v>18</v>
      </c>
      <c r="C537" s="2" t="s">
        <v>260</v>
      </c>
      <c r="D537" s="2" t="s">
        <v>2830</v>
      </c>
      <c r="E537" s="2" t="s">
        <v>2831</v>
      </c>
      <c r="F537" s="2">
        <v>26</v>
      </c>
      <c r="G537" s="2">
        <v>1</v>
      </c>
      <c r="H537" s="2">
        <v>5500</v>
      </c>
      <c r="I537" s="2" t="s">
        <v>2097</v>
      </c>
      <c r="J537" s="2" t="s">
        <v>159</v>
      </c>
      <c r="K537" s="2" t="s">
        <v>853</v>
      </c>
    </row>
    <row r="538" spans="1:13" x14ac:dyDescent="0.25">
      <c r="A538" s="2" t="s">
        <v>2832</v>
      </c>
      <c r="B538" s="2" t="s">
        <v>18</v>
      </c>
      <c r="C538" s="2" t="s">
        <v>1281</v>
      </c>
      <c r="D538" s="2" t="s">
        <v>1282</v>
      </c>
      <c r="E538" s="2" t="s">
        <v>1163</v>
      </c>
      <c r="F538" s="2">
        <v>5.3278688524590097</v>
      </c>
      <c r="G538" s="2">
        <v>61</v>
      </c>
      <c r="H538" s="2">
        <v>5500</v>
      </c>
      <c r="I538" s="2" t="s">
        <v>2072</v>
      </c>
      <c r="J538" s="2" t="s">
        <v>74</v>
      </c>
      <c r="K538" s="2" t="s">
        <v>842</v>
      </c>
    </row>
    <row r="539" spans="1:13" x14ac:dyDescent="0.25">
      <c r="A539" s="2" t="s">
        <v>2833</v>
      </c>
      <c r="B539" s="2" t="s">
        <v>18</v>
      </c>
      <c r="C539" s="2" t="s">
        <v>285</v>
      </c>
      <c r="D539" s="2" t="s">
        <v>2834</v>
      </c>
      <c r="E539" s="2" t="s">
        <v>324</v>
      </c>
      <c r="F539" s="2">
        <v>9</v>
      </c>
      <c r="G539" s="2">
        <v>2</v>
      </c>
      <c r="H539" s="2">
        <v>5500</v>
      </c>
      <c r="I539" s="2" t="s">
        <v>2079</v>
      </c>
      <c r="J539" s="2" t="s">
        <v>855</v>
      </c>
      <c r="K539" s="2" t="s">
        <v>843</v>
      </c>
    </row>
    <row r="540" spans="1:13" x14ac:dyDescent="0.25">
      <c r="A540" s="2" t="s">
        <v>2835</v>
      </c>
      <c r="B540" s="2" t="s">
        <v>18</v>
      </c>
      <c r="C540" s="2" t="s">
        <v>259</v>
      </c>
      <c r="D540" s="2" t="s">
        <v>1965</v>
      </c>
      <c r="E540" s="2" t="s">
        <v>1966</v>
      </c>
      <c r="F540" s="2">
        <v>5.5714285714285703</v>
      </c>
      <c r="G540" s="2">
        <v>21</v>
      </c>
      <c r="H540" s="2">
        <v>5500</v>
      </c>
      <c r="I540" s="2" t="s">
        <v>2075</v>
      </c>
      <c r="J540" s="2" t="s">
        <v>37</v>
      </c>
      <c r="K540" s="2" t="s">
        <v>2076</v>
      </c>
    </row>
    <row r="541" spans="1:13" x14ac:dyDescent="0.25">
      <c r="A541" s="2" t="s">
        <v>2836</v>
      </c>
      <c r="B541" s="2" t="s">
        <v>18</v>
      </c>
      <c r="C541" s="2" t="s">
        <v>594</v>
      </c>
      <c r="D541" s="2" t="s">
        <v>1967</v>
      </c>
      <c r="E541" s="2" t="s">
        <v>595</v>
      </c>
      <c r="F541" s="2">
        <v>4.8253968253968198</v>
      </c>
      <c r="G541" s="2">
        <v>63</v>
      </c>
      <c r="H541" s="2">
        <v>5500</v>
      </c>
      <c r="I541" s="2" t="s">
        <v>2070</v>
      </c>
      <c r="J541" s="2" t="s">
        <v>36</v>
      </c>
      <c r="K541" s="2" t="s">
        <v>848</v>
      </c>
    </row>
    <row r="542" spans="1:13" x14ac:dyDescent="0.25">
      <c r="A542" s="2" t="s">
        <v>2837</v>
      </c>
      <c r="B542" s="2" t="s">
        <v>18</v>
      </c>
      <c r="C542" s="2" t="s">
        <v>450</v>
      </c>
      <c r="D542" s="2" t="s">
        <v>2838</v>
      </c>
      <c r="E542" s="2" t="s">
        <v>2839</v>
      </c>
      <c r="F542" s="2">
        <v>2</v>
      </c>
      <c r="G542" s="2">
        <v>1</v>
      </c>
      <c r="H542" s="2">
        <v>5500</v>
      </c>
      <c r="I542" s="2" t="s">
        <v>2124</v>
      </c>
      <c r="J542" s="2" t="s">
        <v>852</v>
      </c>
      <c r="K542" s="2" t="s">
        <v>2125</v>
      </c>
    </row>
    <row r="543" spans="1:13" x14ac:dyDescent="0.25">
      <c r="A543" s="2" t="s">
        <v>2840</v>
      </c>
      <c r="B543" s="2" t="s">
        <v>18</v>
      </c>
      <c r="C543" s="2" t="s">
        <v>441</v>
      </c>
      <c r="D543" s="2" t="s">
        <v>2841</v>
      </c>
      <c r="E543" s="2" t="s">
        <v>2842</v>
      </c>
      <c r="F543" s="2">
        <v>0.5</v>
      </c>
      <c r="G543" s="2">
        <v>2</v>
      </c>
      <c r="H543" s="2">
        <v>5500</v>
      </c>
      <c r="I543" s="2" t="s">
        <v>2097</v>
      </c>
      <c r="J543" s="2" t="s">
        <v>159</v>
      </c>
      <c r="K543" s="2" t="s">
        <v>853</v>
      </c>
    </row>
    <row r="544" spans="1:13" x14ac:dyDescent="0.25">
      <c r="A544" s="2" t="s">
        <v>2843</v>
      </c>
      <c r="B544" s="2" t="s">
        <v>18</v>
      </c>
      <c r="C544" s="2" t="s">
        <v>2844</v>
      </c>
      <c r="D544" s="2" t="s">
        <v>2845</v>
      </c>
      <c r="E544" s="2" t="s">
        <v>2846</v>
      </c>
      <c r="F544" s="2">
        <v>5</v>
      </c>
      <c r="G544" s="2">
        <v>4</v>
      </c>
      <c r="H544" s="2">
        <v>5500</v>
      </c>
      <c r="I544" s="2" t="s">
        <v>1783</v>
      </c>
      <c r="J544" s="2" t="s">
        <v>861</v>
      </c>
      <c r="K544" s="2" t="s">
        <v>840</v>
      </c>
    </row>
    <row r="545" spans="1:13" x14ac:dyDescent="0.25">
      <c r="A545" s="2" t="s">
        <v>2847</v>
      </c>
      <c r="B545" s="2" t="s">
        <v>18</v>
      </c>
      <c r="C545" s="2" t="s">
        <v>2848</v>
      </c>
      <c r="D545" s="2" t="s">
        <v>2849</v>
      </c>
      <c r="E545" s="2" t="s">
        <v>262</v>
      </c>
      <c r="F545" s="2">
        <v>1</v>
      </c>
      <c r="G545" s="2">
        <v>3</v>
      </c>
      <c r="H545" s="2">
        <v>5500</v>
      </c>
      <c r="I545" s="2" t="s">
        <v>2108</v>
      </c>
      <c r="J545" s="2" t="s">
        <v>856</v>
      </c>
      <c r="K545" s="2" t="s">
        <v>841</v>
      </c>
    </row>
    <row r="546" spans="1:13" x14ac:dyDescent="0.25">
      <c r="A546" s="2" t="s">
        <v>2850</v>
      </c>
      <c r="B546" s="2" t="s">
        <v>18</v>
      </c>
      <c r="C546" s="2" t="s">
        <v>337</v>
      </c>
      <c r="D546" s="2" t="s">
        <v>2851</v>
      </c>
      <c r="E546" s="2" t="s">
        <v>2852</v>
      </c>
      <c r="F546" s="2">
        <v>9.3333333333333304</v>
      </c>
      <c r="G546" s="2">
        <v>3</v>
      </c>
      <c r="H546" s="2">
        <v>5500</v>
      </c>
      <c r="I546" s="2" t="s">
        <v>2079</v>
      </c>
      <c r="J546" s="2" t="s">
        <v>855</v>
      </c>
      <c r="K546" s="2" t="s">
        <v>843</v>
      </c>
    </row>
    <row r="547" spans="1:13" x14ac:dyDescent="0.25">
      <c r="A547" s="2" t="s">
        <v>2853</v>
      </c>
      <c r="B547" s="2" t="s">
        <v>18</v>
      </c>
      <c r="C547" s="2" t="s">
        <v>237</v>
      </c>
      <c r="D547" s="2" t="s">
        <v>2854</v>
      </c>
      <c r="E547" s="2" t="s">
        <v>2855</v>
      </c>
      <c r="F547" s="2">
        <v>5.9</v>
      </c>
      <c r="G547" s="2">
        <v>10</v>
      </c>
      <c r="H547" s="2">
        <v>5500</v>
      </c>
      <c r="I547" s="2" t="s">
        <v>2070</v>
      </c>
      <c r="J547" s="2" t="s">
        <v>848</v>
      </c>
      <c r="K547" s="2" t="s">
        <v>36</v>
      </c>
    </row>
    <row r="548" spans="1:13" x14ac:dyDescent="0.25">
      <c r="A548" s="2" t="s">
        <v>2856</v>
      </c>
      <c r="B548" s="2" t="s">
        <v>18</v>
      </c>
      <c r="C548" s="2" t="s">
        <v>599</v>
      </c>
      <c r="D548" s="2" t="s">
        <v>600</v>
      </c>
      <c r="E548" s="2" t="s">
        <v>601</v>
      </c>
      <c r="F548" s="2">
        <v>3.95</v>
      </c>
      <c r="G548" s="2">
        <v>40</v>
      </c>
      <c r="H548" s="2">
        <v>5500</v>
      </c>
      <c r="I548" s="2" t="s">
        <v>2106</v>
      </c>
      <c r="J548" s="2" t="s">
        <v>34</v>
      </c>
      <c r="K548" s="2" t="s">
        <v>35</v>
      </c>
    </row>
    <row r="549" spans="1:13" x14ac:dyDescent="0.25">
      <c r="A549" s="2" t="s">
        <v>2857</v>
      </c>
      <c r="B549" s="2" t="s">
        <v>18</v>
      </c>
      <c r="C549" s="2" t="s">
        <v>2858</v>
      </c>
      <c r="D549" s="2" t="s">
        <v>2859</v>
      </c>
      <c r="E549" s="2" t="s">
        <v>1805</v>
      </c>
      <c r="F549" s="2">
        <v>5</v>
      </c>
      <c r="G549" s="2">
        <v>2</v>
      </c>
      <c r="H549" s="2">
        <v>5500</v>
      </c>
      <c r="I549" s="2" t="s">
        <v>2108</v>
      </c>
      <c r="J549" s="2" t="s">
        <v>841</v>
      </c>
      <c r="K549" s="2" t="s">
        <v>856</v>
      </c>
    </row>
    <row r="550" spans="1:13" x14ac:dyDescent="0.25">
      <c r="A550" s="2" t="s">
        <v>2860</v>
      </c>
      <c r="B550" s="2" t="s">
        <v>18</v>
      </c>
      <c r="C550" s="2" t="s">
        <v>586</v>
      </c>
      <c r="D550" s="2" t="s">
        <v>2861</v>
      </c>
      <c r="E550" s="2" t="s">
        <v>2862</v>
      </c>
      <c r="F550" s="2">
        <v>0</v>
      </c>
      <c r="G550" s="2">
        <v>1</v>
      </c>
      <c r="H550" s="2">
        <v>5500</v>
      </c>
      <c r="I550" s="2" t="s">
        <v>2070</v>
      </c>
      <c r="J550" s="2" t="s">
        <v>848</v>
      </c>
      <c r="K550" s="2" t="s">
        <v>36</v>
      </c>
    </row>
    <row r="551" spans="1:13" x14ac:dyDescent="0.25">
      <c r="A551" s="2" t="s">
        <v>2863</v>
      </c>
      <c r="B551" s="2" t="s">
        <v>18</v>
      </c>
      <c r="C551" s="2" t="s">
        <v>260</v>
      </c>
      <c r="D551" s="2" t="s">
        <v>2864</v>
      </c>
      <c r="E551" s="2" t="s">
        <v>2750</v>
      </c>
      <c r="F551" s="2">
        <v>0</v>
      </c>
      <c r="G551" s="2">
        <v>0</v>
      </c>
      <c r="H551" s="2">
        <v>5500</v>
      </c>
      <c r="I551" s="2" t="s">
        <v>2068</v>
      </c>
      <c r="J551" s="2" t="s">
        <v>860</v>
      </c>
      <c r="K551" s="2" t="s">
        <v>38</v>
      </c>
    </row>
    <row r="552" spans="1:13" x14ac:dyDescent="0.25">
      <c r="A552" s="2" t="s">
        <v>2865</v>
      </c>
      <c r="B552" s="2" t="s">
        <v>18</v>
      </c>
      <c r="C552" s="2" t="s">
        <v>450</v>
      </c>
      <c r="D552" s="2" t="s">
        <v>606</v>
      </c>
      <c r="E552" s="2" t="s">
        <v>607</v>
      </c>
      <c r="F552" s="2">
        <v>4.8620689655172402</v>
      </c>
      <c r="G552" s="2">
        <v>58</v>
      </c>
      <c r="H552" s="2">
        <v>5500</v>
      </c>
      <c r="I552" s="2" t="s">
        <v>2081</v>
      </c>
      <c r="J552" s="2" t="s">
        <v>76</v>
      </c>
      <c r="K552" s="2" t="s">
        <v>73</v>
      </c>
    </row>
    <row r="553" spans="1:13" x14ac:dyDescent="0.25">
      <c r="A553" s="2" t="s">
        <v>2866</v>
      </c>
      <c r="B553" s="2" t="s">
        <v>18</v>
      </c>
      <c r="C553" s="2" t="s">
        <v>608</v>
      </c>
      <c r="D553" s="2" t="s">
        <v>609</v>
      </c>
      <c r="E553" s="2" t="s">
        <v>610</v>
      </c>
      <c r="F553" s="2">
        <v>2.6666666666666599</v>
      </c>
      <c r="G553" s="2">
        <v>21</v>
      </c>
      <c r="H553" s="2">
        <v>5500</v>
      </c>
      <c r="I553" s="2" t="s">
        <v>2068</v>
      </c>
      <c r="J553" s="2" t="s">
        <v>38</v>
      </c>
      <c r="K553" s="2" t="s">
        <v>860</v>
      </c>
    </row>
    <row r="554" spans="1:13" x14ac:dyDescent="0.25">
      <c r="A554" s="2" t="s">
        <v>2867</v>
      </c>
      <c r="B554" s="2" t="s">
        <v>18</v>
      </c>
      <c r="C554" s="2" t="s">
        <v>450</v>
      </c>
      <c r="D554" s="2" t="s">
        <v>1283</v>
      </c>
      <c r="E554" s="2" t="s">
        <v>1284</v>
      </c>
      <c r="F554" s="2">
        <v>5.4736842105263097</v>
      </c>
      <c r="G554" s="2">
        <v>38</v>
      </c>
      <c r="H554" s="2">
        <v>5500</v>
      </c>
      <c r="I554" s="2" t="s">
        <v>1783</v>
      </c>
      <c r="J554" s="2" t="s">
        <v>840</v>
      </c>
      <c r="K554" s="2" t="s">
        <v>861</v>
      </c>
      <c r="L554" s="2" t="s">
        <v>200</v>
      </c>
      <c r="M554" s="2" t="s">
        <v>267</v>
      </c>
    </row>
    <row r="555" spans="1:13" x14ac:dyDescent="0.25">
      <c r="A555" s="2" t="s">
        <v>2868</v>
      </c>
      <c r="B555" s="2" t="s">
        <v>18</v>
      </c>
      <c r="C555" s="2" t="s">
        <v>424</v>
      </c>
      <c r="D555" s="2" t="s">
        <v>611</v>
      </c>
      <c r="E555" s="2" t="s">
        <v>612</v>
      </c>
      <c r="F555" s="2">
        <v>14</v>
      </c>
      <c r="G555" s="2">
        <v>4</v>
      </c>
      <c r="H555" s="2">
        <v>5500</v>
      </c>
      <c r="I555" s="2" t="s">
        <v>2106</v>
      </c>
      <c r="J555" s="2" t="s">
        <v>34</v>
      </c>
      <c r="K555" s="2" t="s">
        <v>35</v>
      </c>
    </row>
    <row r="556" spans="1:13" x14ac:dyDescent="0.25">
      <c r="A556" s="2" t="s">
        <v>2869</v>
      </c>
      <c r="B556" s="2" t="s">
        <v>18</v>
      </c>
      <c r="C556" s="2" t="s">
        <v>256</v>
      </c>
      <c r="D556" s="2" t="s">
        <v>1285</v>
      </c>
      <c r="E556" s="2" t="s">
        <v>1286</v>
      </c>
      <c r="F556" s="2">
        <v>3.34615384615384</v>
      </c>
      <c r="G556" s="2">
        <v>52</v>
      </c>
      <c r="H556" s="2">
        <v>5500</v>
      </c>
      <c r="I556" s="2" t="s">
        <v>2090</v>
      </c>
      <c r="J556" s="2" t="s">
        <v>844</v>
      </c>
      <c r="K556" s="2" t="s">
        <v>2091</v>
      </c>
    </row>
    <row r="557" spans="1:13" x14ac:dyDescent="0.25">
      <c r="A557" s="2" t="s">
        <v>2870</v>
      </c>
      <c r="B557" s="2" t="s">
        <v>18</v>
      </c>
      <c r="C557" s="2" t="s">
        <v>2871</v>
      </c>
      <c r="D557" s="2" t="s">
        <v>2872</v>
      </c>
      <c r="E557" s="2" t="s">
        <v>2873</v>
      </c>
      <c r="F557" s="2">
        <v>5.9444444444444402</v>
      </c>
      <c r="G557" s="2">
        <v>36</v>
      </c>
      <c r="H557" s="2">
        <v>5500</v>
      </c>
      <c r="I557" s="2" t="s">
        <v>2124</v>
      </c>
      <c r="J557" s="2" t="s">
        <v>2125</v>
      </c>
      <c r="K557" s="2" t="s">
        <v>852</v>
      </c>
    </row>
    <row r="558" spans="1:13" x14ac:dyDescent="0.25">
      <c r="A558" s="2" t="s">
        <v>2874</v>
      </c>
      <c r="B558" s="2" t="s">
        <v>18</v>
      </c>
      <c r="C558" s="2" t="s">
        <v>745</v>
      </c>
      <c r="D558" s="2" t="s">
        <v>2875</v>
      </c>
      <c r="E558" s="2" t="s">
        <v>2876</v>
      </c>
      <c r="F558" s="2">
        <v>3.2</v>
      </c>
      <c r="G558" s="2">
        <v>5</v>
      </c>
      <c r="H558" s="2">
        <v>5500</v>
      </c>
      <c r="I558" s="2" t="s">
        <v>2070</v>
      </c>
      <c r="J558" s="2" t="s">
        <v>848</v>
      </c>
      <c r="K558" s="2" t="s">
        <v>36</v>
      </c>
    </row>
    <row r="559" spans="1:13" x14ac:dyDescent="0.25">
      <c r="A559" s="2" t="s">
        <v>2877</v>
      </c>
      <c r="B559" s="2" t="s">
        <v>18</v>
      </c>
      <c r="C559" s="2" t="s">
        <v>1287</v>
      </c>
      <c r="D559" s="2" t="s">
        <v>1288</v>
      </c>
      <c r="E559" s="2" t="s">
        <v>473</v>
      </c>
      <c r="F559" s="2">
        <v>4.2407407407407396</v>
      </c>
      <c r="G559" s="2">
        <v>54</v>
      </c>
      <c r="H559" s="2">
        <v>5500</v>
      </c>
      <c r="I559" s="2" t="s">
        <v>2068</v>
      </c>
      <c r="J559" s="2" t="s">
        <v>860</v>
      </c>
      <c r="K559" s="2" t="s">
        <v>38</v>
      </c>
    </row>
    <row r="560" spans="1:13" x14ac:dyDescent="0.25">
      <c r="A560" s="2" t="s">
        <v>2878</v>
      </c>
      <c r="B560" s="2" t="s">
        <v>18</v>
      </c>
      <c r="C560" s="2" t="s">
        <v>404</v>
      </c>
      <c r="D560" s="2" t="s">
        <v>1289</v>
      </c>
      <c r="E560" s="2" t="s">
        <v>1290</v>
      </c>
      <c r="F560" s="2">
        <v>4.3333333333333304</v>
      </c>
      <c r="G560" s="2">
        <v>42</v>
      </c>
      <c r="H560" s="2">
        <v>5500</v>
      </c>
      <c r="I560" s="2" t="s">
        <v>2124</v>
      </c>
      <c r="J560" s="2" t="s">
        <v>852</v>
      </c>
      <c r="K560" s="2" t="s">
        <v>2125</v>
      </c>
    </row>
    <row r="561" spans="1:13" x14ac:dyDescent="0.25">
      <c r="A561" s="2" t="s">
        <v>2879</v>
      </c>
      <c r="B561" s="2" t="s">
        <v>18</v>
      </c>
      <c r="C561" s="2" t="s">
        <v>330</v>
      </c>
      <c r="D561" s="2" t="s">
        <v>616</v>
      </c>
      <c r="E561" s="2" t="s">
        <v>617</v>
      </c>
      <c r="F561" s="2">
        <v>-1</v>
      </c>
      <c r="G561" s="2">
        <v>2</v>
      </c>
      <c r="H561" s="2">
        <v>5500</v>
      </c>
      <c r="I561" s="2" t="s">
        <v>2072</v>
      </c>
      <c r="J561" s="2" t="s">
        <v>74</v>
      </c>
      <c r="K561" s="2" t="s">
        <v>842</v>
      </c>
    </row>
    <row r="562" spans="1:13" x14ac:dyDescent="0.25">
      <c r="A562" s="2" t="s">
        <v>2880</v>
      </c>
      <c r="B562" s="2" t="s">
        <v>18</v>
      </c>
      <c r="C562" s="2" t="s">
        <v>2881</v>
      </c>
      <c r="D562" s="2" t="s">
        <v>2882</v>
      </c>
      <c r="E562" s="2" t="s">
        <v>567</v>
      </c>
      <c r="F562" s="2">
        <v>23</v>
      </c>
      <c r="G562" s="2">
        <v>1</v>
      </c>
      <c r="H562" s="2">
        <v>5500</v>
      </c>
      <c r="I562" s="2" t="s">
        <v>2124</v>
      </c>
      <c r="J562" s="2" t="s">
        <v>2125</v>
      </c>
      <c r="K562" s="2" t="s">
        <v>852</v>
      </c>
      <c r="L562" s="2" t="s">
        <v>200</v>
      </c>
      <c r="M562" s="2" t="s">
        <v>267</v>
      </c>
    </row>
    <row r="563" spans="1:13" x14ac:dyDescent="0.25">
      <c r="A563" s="2" t="s">
        <v>2883</v>
      </c>
      <c r="B563" s="2" t="s">
        <v>18</v>
      </c>
      <c r="C563" s="2" t="s">
        <v>313</v>
      </c>
      <c r="D563" s="2" t="s">
        <v>1291</v>
      </c>
      <c r="E563" s="2" t="s">
        <v>1292</v>
      </c>
      <c r="F563" s="2">
        <v>5.55555555555555</v>
      </c>
      <c r="G563" s="2">
        <v>45</v>
      </c>
      <c r="H563" s="2">
        <v>5500</v>
      </c>
      <c r="I563" s="2" t="s">
        <v>2108</v>
      </c>
      <c r="J563" s="2" t="s">
        <v>856</v>
      </c>
      <c r="K563" s="2" t="s">
        <v>841</v>
      </c>
      <c r="L563" s="2" t="s">
        <v>200</v>
      </c>
      <c r="M563" s="2" t="s">
        <v>2053</v>
      </c>
    </row>
    <row r="564" spans="1:13" x14ac:dyDescent="0.25">
      <c r="A564" s="2" t="s">
        <v>2884</v>
      </c>
      <c r="B564" s="2" t="s">
        <v>18</v>
      </c>
      <c r="C564" s="2" t="s">
        <v>333</v>
      </c>
      <c r="D564" s="2" t="s">
        <v>1293</v>
      </c>
      <c r="E564" s="2" t="s">
        <v>205</v>
      </c>
      <c r="F564" s="2">
        <v>4.9310344827586201</v>
      </c>
      <c r="G564" s="2">
        <v>58</v>
      </c>
      <c r="H564" s="2">
        <v>5500</v>
      </c>
      <c r="I564" s="2" t="s">
        <v>2124</v>
      </c>
      <c r="J564" s="2" t="s">
        <v>2125</v>
      </c>
      <c r="K564" s="2" t="s">
        <v>852</v>
      </c>
    </row>
    <row r="565" spans="1:13" x14ac:dyDescent="0.25">
      <c r="A565" s="2" t="s">
        <v>2885</v>
      </c>
      <c r="B565" s="2" t="s">
        <v>18</v>
      </c>
      <c r="C565" s="2" t="s">
        <v>2886</v>
      </c>
      <c r="D565" s="2" t="s">
        <v>2887</v>
      </c>
      <c r="E565" s="2" t="s">
        <v>296</v>
      </c>
      <c r="F565" s="2">
        <v>8</v>
      </c>
      <c r="G565" s="2">
        <v>1</v>
      </c>
      <c r="H565" s="2">
        <v>5500</v>
      </c>
      <c r="I565" s="2" t="s">
        <v>2097</v>
      </c>
      <c r="J565" s="2" t="s">
        <v>853</v>
      </c>
      <c r="K565" s="2" t="s">
        <v>159</v>
      </c>
    </row>
    <row r="566" spans="1:13" x14ac:dyDescent="0.25">
      <c r="A566" s="2" t="s">
        <v>2888</v>
      </c>
      <c r="B566" s="2" t="s">
        <v>18</v>
      </c>
      <c r="C566" s="2" t="s">
        <v>665</v>
      </c>
      <c r="D566" s="2" t="s">
        <v>1294</v>
      </c>
      <c r="E566" s="2" t="s">
        <v>1295</v>
      </c>
      <c r="F566" s="2">
        <v>6.0566037735849001</v>
      </c>
      <c r="G566" s="2">
        <v>53</v>
      </c>
      <c r="H566" s="2">
        <v>5500</v>
      </c>
      <c r="I566" s="2" t="s">
        <v>1783</v>
      </c>
      <c r="J566" s="2" t="s">
        <v>840</v>
      </c>
      <c r="K566" s="2" t="s">
        <v>861</v>
      </c>
    </row>
    <row r="567" spans="1:13" x14ac:dyDescent="0.25">
      <c r="A567" s="2" t="s">
        <v>2889</v>
      </c>
      <c r="B567" s="2" t="s">
        <v>18</v>
      </c>
      <c r="C567" s="2" t="s">
        <v>670</v>
      </c>
      <c r="D567" s="2" t="s">
        <v>1968</v>
      </c>
      <c r="E567" s="2" t="s">
        <v>1969</v>
      </c>
      <c r="F567" s="2">
        <v>4.4827586206896504</v>
      </c>
      <c r="G567" s="2">
        <v>29</v>
      </c>
      <c r="H567" s="2">
        <v>5500</v>
      </c>
      <c r="I567" s="2" t="s">
        <v>2079</v>
      </c>
      <c r="J567" s="2" t="s">
        <v>843</v>
      </c>
      <c r="K567" s="2" t="s">
        <v>855</v>
      </c>
    </row>
    <row r="568" spans="1:13" x14ac:dyDescent="0.25">
      <c r="A568" s="2" t="s">
        <v>2890</v>
      </c>
      <c r="B568" s="2" t="s">
        <v>18</v>
      </c>
      <c r="C568" s="2" t="s">
        <v>237</v>
      </c>
      <c r="D568" s="2" t="s">
        <v>1296</v>
      </c>
      <c r="E568" s="2" t="s">
        <v>1297</v>
      </c>
      <c r="F568" s="2">
        <v>4.3508771929824501</v>
      </c>
      <c r="G568" s="2">
        <v>57</v>
      </c>
      <c r="H568" s="2">
        <v>5500</v>
      </c>
      <c r="I568" s="2" t="s">
        <v>2108</v>
      </c>
      <c r="J568" s="2" t="s">
        <v>841</v>
      </c>
      <c r="K568" s="2" t="s">
        <v>856</v>
      </c>
    </row>
    <row r="569" spans="1:13" x14ac:dyDescent="0.25">
      <c r="A569" s="2" t="s">
        <v>2891</v>
      </c>
      <c r="B569" s="2" t="s">
        <v>18</v>
      </c>
      <c r="C569" s="2" t="s">
        <v>304</v>
      </c>
      <c r="D569" s="2" t="s">
        <v>1970</v>
      </c>
      <c r="E569" s="2" t="s">
        <v>290</v>
      </c>
      <c r="F569" s="2">
        <v>8.2291666666666607</v>
      </c>
      <c r="G569" s="2">
        <v>48</v>
      </c>
      <c r="H569" s="2">
        <v>5500</v>
      </c>
      <c r="I569" s="2" t="s">
        <v>2070</v>
      </c>
      <c r="J569" s="2" t="s">
        <v>36</v>
      </c>
      <c r="K569" s="2" t="s">
        <v>848</v>
      </c>
      <c r="L569" s="2" t="s">
        <v>200</v>
      </c>
      <c r="M569" s="2" t="s">
        <v>232</v>
      </c>
    </row>
    <row r="570" spans="1:13" x14ac:dyDescent="0.25">
      <c r="A570" s="2" t="s">
        <v>2892</v>
      </c>
      <c r="B570" s="2" t="s">
        <v>18</v>
      </c>
      <c r="C570" s="2" t="s">
        <v>283</v>
      </c>
      <c r="D570" s="2" t="s">
        <v>2893</v>
      </c>
      <c r="E570" s="2" t="s">
        <v>2894</v>
      </c>
      <c r="F570" s="2">
        <v>6.3529411764705799</v>
      </c>
      <c r="G570" s="2">
        <v>34</v>
      </c>
      <c r="H570" s="2">
        <v>5500</v>
      </c>
      <c r="I570" s="2" t="s">
        <v>2065</v>
      </c>
      <c r="J570" s="2" t="s">
        <v>2066</v>
      </c>
      <c r="K570" s="2" t="s">
        <v>69</v>
      </c>
    </row>
    <row r="571" spans="1:13" x14ac:dyDescent="0.25">
      <c r="A571" s="2" t="s">
        <v>2895</v>
      </c>
      <c r="B571" s="2" t="s">
        <v>18</v>
      </c>
      <c r="C571" s="2" t="s">
        <v>560</v>
      </c>
      <c r="D571" s="2" t="s">
        <v>1298</v>
      </c>
      <c r="E571" s="2" t="s">
        <v>1299</v>
      </c>
      <c r="F571" s="2">
        <v>5.6101694915254203</v>
      </c>
      <c r="G571" s="2">
        <v>59</v>
      </c>
      <c r="H571" s="2">
        <v>5500</v>
      </c>
      <c r="I571" s="2" t="s">
        <v>2090</v>
      </c>
      <c r="J571" s="2" t="s">
        <v>844</v>
      </c>
      <c r="K571" s="2" t="s">
        <v>2091</v>
      </c>
    </row>
    <row r="572" spans="1:13" x14ac:dyDescent="0.25">
      <c r="A572" s="2" t="s">
        <v>2896</v>
      </c>
      <c r="B572" s="2" t="s">
        <v>18</v>
      </c>
      <c r="C572" s="2" t="s">
        <v>629</v>
      </c>
      <c r="D572" s="2" t="s">
        <v>630</v>
      </c>
      <c r="E572" s="2" t="s">
        <v>631</v>
      </c>
      <c r="F572" s="2">
        <v>3.3043478260869499</v>
      </c>
      <c r="G572" s="2">
        <v>23</v>
      </c>
      <c r="H572" s="2">
        <v>5500</v>
      </c>
      <c r="I572" s="2" t="s">
        <v>2068</v>
      </c>
      <c r="J572" s="2" t="s">
        <v>38</v>
      </c>
      <c r="K572" s="2" t="s">
        <v>860</v>
      </c>
      <c r="L572" s="2" t="s">
        <v>200</v>
      </c>
      <c r="M572" s="2" t="s">
        <v>317</v>
      </c>
    </row>
    <row r="573" spans="1:13" x14ac:dyDescent="0.25">
      <c r="A573" s="2" t="s">
        <v>2897</v>
      </c>
      <c r="B573" s="2" t="s">
        <v>18</v>
      </c>
      <c r="C573" s="2" t="s">
        <v>632</v>
      </c>
      <c r="D573" s="2" t="s">
        <v>633</v>
      </c>
      <c r="E573" s="2" t="s">
        <v>634</v>
      </c>
      <c r="F573" s="2">
        <v>0.75</v>
      </c>
      <c r="G573" s="2">
        <v>4</v>
      </c>
      <c r="H573" s="2">
        <v>5500</v>
      </c>
      <c r="I573" s="2" t="s">
        <v>2097</v>
      </c>
      <c r="J573" s="2" t="s">
        <v>159</v>
      </c>
      <c r="K573" s="2" t="s">
        <v>853</v>
      </c>
    </row>
    <row r="574" spans="1:13" x14ac:dyDescent="0.25">
      <c r="A574" s="2" t="s">
        <v>2898</v>
      </c>
      <c r="B574" s="2" t="s">
        <v>18</v>
      </c>
      <c r="C574" s="2" t="s">
        <v>412</v>
      </c>
      <c r="D574" s="2" t="s">
        <v>1300</v>
      </c>
      <c r="E574" s="2" t="s">
        <v>1301</v>
      </c>
      <c r="F574" s="2">
        <v>4</v>
      </c>
      <c r="G574" s="2">
        <v>48</v>
      </c>
      <c r="H574" s="2">
        <v>5500</v>
      </c>
      <c r="I574" s="2" t="s">
        <v>2124</v>
      </c>
      <c r="J574" s="2" t="s">
        <v>2125</v>
      </c>
      <c r="K574" s="2" t="s">
        <v>852</v>
      </c>
    </row>
    <row r="575" spans="1:13" x14ac:dyDescent="0.25">
      <c r="A575" s="2" t="s">
        <v>2899</v>
      </c>
      <c r="B575" s="2" t="s">
        <v>18</v>
      </c>
      <c r="C575" s="2" t="s">
        <v>394</v>
      </c>
      <c r="D575" s="2" t="s">
        <v>1302</v>
      </c>
      <c r="E575" s="2" t="s">
        <v>1303</v>
      </c>
      <c r="F575" s="2">
        <v>4.2222222222222197</v>
      </c>
      <c r="G575" s="2">
        <v>54</v>
      </c>
      <c r="H575" s="2">
        <v>5500</v>
      </c>
      <c r="I575" s="2" t="s">
        <v>2090</v>
      </c>
      <c r="J575" s="2" t="s">
        <v>844</v>
      </c>
      <c r="K575" s="2" t="s">
        <v>2091</v>
      </c>
    </row>
    <row r="576" spans="1:13" x14ac:dyDescent="0.25">
      <c r="A576" s="2" t="s">
        <v>2900</v>
      </c>
      <c r="B576" s="2" t="s">
        <v>22</v>
      </c>
      <c r="C576" s="2" t="s">
        <v>309</v>
      </c>
      <c r="D576" s="2" t="s">
        <v>2901</v>
      </c>
      <c r="E576" s="2" t="s">
        <v>2902</v>
      </c>
      <c r="F576" s="2">
        <v>14.657894736842101</v>
      </c>
      <c r="G576" s="2">
        <v>133</v>
      </c>
      <c r="H576" s="2">
        <v>5400</v>
      </c>
      <c r="I576" s="2" t="s">
        <v>2090</v>
      </c>
      <c r="J576" s="2" t="s">
        <v>2091</v>
      </c>
      <c r="K576" s="2" t="s">
        <v>844</v>
      </c>
    </row>
    <row r="577" spans="1:13" x14ac:dyDescent="0.25">
      <c r="A577" s="2" t="s">
        <v>2903</v>
      </c>
      <c r="B577" s="2" t="s">
        <v>17</v>
      </c>
      <c r="C577" s="2" t="s">
        <v>253</v>
      </c>
      <c r="D577" s="2" t="s">
        <v>1321</v>
      </c>
      <c r="E577" s="2" t="s">
        <v>1322</v>
      </c>
      <c r="F577" s="2">
        <v>14.636363636363599</v>
      </c>
      <c r="G577" s="2">
        <v>132</v>
      </c>
      <c r="H577" s="2">
        <v>5000</v>
      </c>
      <c r="I577" s="2" t="s">
        <v>2090</v>
      </c>
      <c r="J577" s="2" t="s">
        <v>844</v>
      </c>
      <c r="K577" s="2" t="s">
        <v>2091</v>
      </c>
    </row>
    <row r="578" spans="1:13" x14ac:dyDescent="0.25">
      <c r="A578" s="2" t="s">
        <v>2904</v>
      </c>
      <c r="B578" s="2" t="s">
        <v>17</v>
      </c>
      <c r="C578" s="2" t="s">
        <v>1334</v>
      </c>
      <c r="D578" s="2" t="s">
        <v>1335</v>
      </c>
      <c r="E578" s="2" t="s">
        <v>780</v>
      </c>
      <c r="F578" s="2">
        <v>12.6468090300864</v>
      </c>
      <c r="G578" s="2">
        <v>94</v>
      </c>
      <c r="H578" s="2">
        <v>5000</v>
      </c>
      <c r="I578" s="2" t="s">
        <v>2090</v>
      </c>
      <c r="J578" s="2" t="s">
        <v>2091</v>
      </c>
      <c r="K578" s="2" t="s">
        <v>844</v>
      </c>
    </row>
    <row r="579" spans="1:13" x14ac:dyDescent="0.25">
      <c r="A579" s="2" t="s">
        <v>2905</v>
      </c>
      <c r="B579" s="2" t="s">
        <v>17</v>
      </c>
      <c r="C579" s="2" t="s">
        <v>1315</v>
      </c>
      <c r="D579" s="2" t="s">
        <v>1316</v>
      </c>
      <c r="E579" s="2" t="s">
        <v>1317</v>
      </c>
      <c r="F579" s="2">
        <v>14.638167752564399</v>
      </c>
      <c r="G579" s="2">
        <v>131</v>
      </c>
      <c r="H579" s="2">
        <v>4900</v>
      </c>
      <c r="I579" s="2" t="s">
        <v>1783</v>
      </c>
      <c r="J579" s="2" t="s">
        <v>840</v>
      </c>
      <c r="K579" s="2" t="s">
        <v>861</v>
      </c>
    </row>
    <row r="580" spans="1:13" x14ac:dyDescent="0.25">
      <c r="A580" s="2" t="s">
        <v>2906</v>
      </c>
      <c r="B580" s="2" t="s">
        <v>17</v>
      </c>
      <c r="C580" s="2" t="s">
        <v>252</v>
      </c>
      <c r="D580" s="2" t="s">
        <v>2907</v>
      </c>
      <c r="E580" s="2" t="s">
        <v>2908</v>
      </c>
      <c r="F580" s="2">
        <v>15.893102887033001</v>
      </c>
      <c r="G580" s="2">
        <v>87</v>
      </c>
      <c r="H580" s="2">
        <v>4800</v>
      </c>
      <c r="I580" s="2" t="s">
        <v>2124</v>
      </c>
      <c r="J580" s="2" t="s">
        <v>2125</v>
      </c>
      <c r="K580" s="2" t="s">
        <v>852</v>
      </c>
    </row>
    <row r="581" spans="1:13" x14ac:dyDescent="0.25">
      <c r="A581" s="2" t="s">
        <v>2909</v>
      </c>
      <c r="B581" s="2" t="s">
        <v>17</v>
      </c>
      <c r="C581" s="2" t="s">
        <v>334</v>
      </c>
      <c r="D581" s="2" t="s">
        <v>2910</v>
      </c>
      <c r="E581" s="2" t="s">
        <v>2911</v>
      </c>
      <c r="F581" s="2">
        <v>10.6057472667474</v>
      </c>
      <c r="G581" s="2">
        <v>87</v>
      </c>
      <c r="H581" s="2">
        <v>4600</v>
      </c>
      <c r="I581" s="2" t="s">
        <v>2090</v>
      </c>
      <c r="J581" s="2" t="s">
        <v>2091</v>
      </c>
      <c r="K581" s="2" t="s">
        <v>844</v>
      </c>
    </row>
    <row r="582" spans="1:13" x14ac:dyDescent="0.25">
      <c r="A582" s="2" t="s">
        <v>2912</v>
      </c>
      <c r="B582" s="2" t="s">
        <v>19</v>
      </c>
      <c r="C582" s="2" t="s">
        <v>283</v>
      </c>
      <c r="D582" s="2" t="s">
        <v>2913</v>
      </c>
      <c r="E582" s="2" t="s">
        <v>2914</v>
      </c>
      <c r="F582" s="2">
        <v>7.8508771929824501</v>
      </c>
      <c r="G582" s="2">
        <v>114</v>
      </c>
      <c r="H582" s="2">
        <v>4500</v>
      </c>
      <c r="I582" s="2" t="s">
        <v>2090</v>
      </c>
      <c r="J582" s="2" t="s">
        <v>2091</v>
      </c>
      <c r="K582" s="2" t="s">
        <v>844</v>
      </c>
    </row>
    <row r="583" spans="1:13" x14ac:dyDescent="0.25">
      <c r="A583" s="2" t="s">
        <v>2915</v>
      </c>
      <c r="B583" s="2" t="s">
        <v>17</v>
      </c>
      <c r="C583" s="2" t="s">
        <v>2916</v>
      </c>
      <c r="D583" s="2" t="s">
        <v>2917</v>
      </c>
      <c r="E583" s="2" t="s">
        <v>2918</v>
      </c>
      <c r="F583" s="2">
        <v>16.559090354225798</v>
      </c>
      <c r="G583" s="2">
        <v>22</v>
      </c>
      <c r="H583" s="2">
        <v>4500</v>
      </c>
      <c r="I583" s="2" t="s">
        <v>1783</v>
      </c>
      <c r="J583" s="2" t="s">
        <v>861</v>
      </c>
      <c r="K583" s="2" t="s">
        <v>840</v>
      </c>
    </row>
    <row r="584" spans="1:13" x14ac:dyDescent="0.25">
      <c r="A584" s="2" t="s">
        <v>2919</v>
      </c>
      <c r="B584" s="2" t="s">
        <v>20</v>
      </c>
      <c r="C584" s="2" t="s">
        <v>1312</v>
      </c>
      <c r="D584" s="2" t="s">
        <v>1313</v>
      </c>
      <c r="E584" s="2" t="s">
        <v>1314</v>
      </c>
      <c r="F584" s="2">
        <v>13.0297711787333</v>
      </c>
      <c r="G584" s="2">
        <v>131</v>
      </c>
      <c r="H584" s="2">
        <v>4500</v>
      </c>
      <c r="I584" s="2" t="s">
        <v>2090</v>
      </c>
      <c r="J584" s="2" t="s">
        <v>844</v>
      </c>
      <c r="K584" s="2" t="s">
        <v>2091</v>
      </c>
    </row>
    <row r="585" spans="1:13" x14ac:dyDescent="0.25">
      <c r="A585" s="2" t="s">
        <v>2920</v>
      </c>
      <c r="B585" s="2" t="s">
        <v>20</v>
      </c>
      <c r="C585" s="2" t="s">
        <v>739</v>
      </c>
      <c r="D585" s="2" t="s">
        <v>1330</v>
      </c>
      <c r="E585" s="2" t="s">
        <v>1331</v>
      </c>
      <c r="F585" s="2">
        <v>12.372499847412101</v>
      </c>
      <c r="G585" s="2">
        <v>80</v>
      </c>
      <c r="H585" s="2">
        <v>4500</v>
      </c>
      <c r="I585" s="2" t="s">
        <v>2124</v>
      </c>
      <c r="J585" s="2" t="s">
        <v>852</v>
      </c>
      <c r="K585" s="2" t="s">
        <v>2125</v>
      </c>
      <c r="L585" s="2" t="s">
        <v>364</v>
      </c>
      <c r="M585" s="2" t="s">
        <v>551</v>
      </c>
    </row>
    <row r="586" spans="1:13" x14ac:dyDescent="0.25">
      <c r="A586" s="2" t="s">
        <v>2921</v>
      </c>
      <c r="B586" s="2" t="s">
        <v>21</v>
      </c>
      <c r="C586" s="2" t="s">
        <v>307</v>
      </c>
      <c r="D586" s="2" t="s">
        <v>2015</v>
      </c>
      <c r="E586" s="2" t="s">
        <v>2016</v>
      </c>
      <c r="F586" s="2">
        <v>11.146153846153799</v>
      </c>
      <c r="G586" s="2">
        <v>130</v>
      </c>
      <c r="H586" s="2">
        <v>4300</v>
      </c>
      <c r="I586" s="2" t="s">
        <v>2070</v>
      </c>
      <c r="J586" s="2" t="s">
        <v>36</v>
      </c>
      <c r="K586" s="2" t="s">
        <v>848</v>
      </c>
    </row>
    <row r="587" spans="1:13" x14ac:dyDescent="0.25">
      <c r="A587" s="2" t="s">
        <v>2922</v>
      </c>
      <c r="B587" s="2" t="s">
        <v>19</v>
      </c>
      <c r="C587" s="2" t="s">
        <v>318</v>
      </c>
      <c r="D587" s="2" t="s">
        <v>163</v>
      </c>
      <c r="E587" s="2" t="s">
        <v>667</v>
      </c>
      <c r="F587" s="2">
        <v>12.2272001953125</v>
      </c>
      <c r="G587" s="2">
        <v>125</v>
      </c>
      <c r="H587" s="2">
        <v>4300</v>
      </c>
      <c r="I587" s="2" t="s">
        <v>2097</v>
      </c>
      <c r="J587" s="2" t="s">
        <v>159</v>
      </c>
      <c r="K587" s="2" t="s">
        <v>853</v>
      </c>
    </row>
    <row r="588" spans="1:13" x14ac:dyDescent="0.25">
      <c r="A588" s="2" t="s">
        <v>2923</v>
      </c>
      <c r="B588" s="2" t="s">
        <v>20</v>
      </c>
      <c r="C588" s="2" t="s">
        <v>248</v>
      </c>
      <c r="D588" s="2" t="s">
        <v>2924</v>
      </c>
      <c r="E588" s="2" t="s">
        <v>2925</v>
      </c>
      <c r="F588" s="2">
        <v>12.312903619581601</v>
      </c>
      <c r="G588" s="2">
        <v>124</v>
      </c>
      <c r="H588" s="2">
        <v>4300</v>
      </c>
      <c r="I588" s="2" t="s">
        <v>2090</v>
      </c>
      <c r="J588" s="2" t="s">
        <v>2091</v>
      </c>
      <c r="K588" s="2" t="s">
        <v>844</v>
      </c>
    </row>
    <row r="589" spans="1:13" x14ac:dyDescent="0.25">
      <c r="A589" s="2" t="s">
        <v>2926</v>
      </c>
      <c r="B589" s="2" t="s">
        <v>22</v>
      </c>
      <c r="C589" s="2" t="s">
        <v>730</v>
      </c>
      <c r="D589" s="2" t="s">
        <v>1308</v>
      </c>
      <c r="E589" s="2" t="s">
        <v>1309</v>
      </c>
      <c r="F589" s="2">
        <v>13.549999635611</v>
      </c>
      <c r="G589" s="2">
        <v>134</v>
      </c>
      <c r="H589" s="2">
        <v>4300</v>
      </c>
      <c r="I589" s="2" t="s">
        <v>2108</v>
      </c>
      <c r="J589" s="2" t="s">
        <v>841</v>
      </c>
      <c r="K589" s="2" t="s">
        <v>856</v>
      </c>
    </row>
    <row r="590" spans="1:13" x14ac:dyDescent="0.25">
      <c r="A590" s="2" t="s">
        <v>2927</v>
      </c>
      <c r="B590" s="2" t="s">
        <v>20</v>
      </c>
      <c r="C590" s="2" t="s">
        <v>679</v>
      </c>
      <c r="D590" s="2" t="s">
        <v>47</v>
      </c>
      <c r="E590" s="2" t="s">
        <v>680</v>
      </c>
      <c r="F590" s="2">
        <v>11.6852715070857</v>
      </c>
      <c r="G590" s="2">
        <v>129</v>
      </c>
      <c r="H590" s="2">
        <v>4200</v>
      </c>
      <c r="I590" s="2" t="s">
        <v>2106</v>
      </c>
      <c r="J590" s="2" t="s">
        <v>34</v>
      </c>
      <c r="K590" s="2" t="s">
        <v>35</v>
      </c>
    </row>
    <row r="591" spans="1:13" x14ac:dyDescent="0.25">
      <c r="A591" s="2" t="s">
        <v>2928</v>
      </c>
      <c r="B591" s="2" t="s">
        <v>17</v>
      </c>
      <c r="C591" s="2" t="s">
        <v>207</v>
      </c>
      <c r="D591" s="2" t="s">
        <v>2929</v>
      </c>
      <c r="E591" s="2" t="s">
        <v>686</v>
      </c>
      <c r="F591" s="2">
        <v>9.8293099238954706</v>
      </c>
      <c r="G591" s="2">
        <v>116</v>
      </c>
      <c r="H591" s="2">
        <v>4100</v>
      </c>
      <c r="I591" s="2" t="s">
        <v>2090</v>
      </c>
      <c r="J591" s="2" t="s">
        <v>2091</v>
      </c>
      <c r="K591" s="2" t="s">
        <v>844</v>
      </c>
    </row>
    <row r="592" spans="1:13" x14ac:dyDescent="0.25">
      <c r="A592" s="2" t="s">
        <v>2930</v>
      </c>
      <c r="B592" s="2" t="s">
        <v>21</v>
      </c>
      <c r="C592" s="2" t="s">
        <v>641</v>
      </c>
      <c r="D592" s="2" t="s">
        <v>48</v>
      </c>
      <c r="E592" s="2" t="s">
        <v>556</v>
      </c>
      <c r="F592" s="2">
        <v>13.8295778086487</v>
      </c>
      <c r="G592" s="2">
        <v>71</v>
      </c>
      <c r="H592" s="2">
        <v>4100</v>
      </c>
      <c r="I592" s="2" t="s">
        <v>2068</v>
      </c>
      <c r="J592" s="2" t="s">
        <v>38</v>
      </c>
      <c r="K592" s="2" t="s">
        <v>860</v>
      </c>
    </row>
    <row r="593" spans="1:13" x14ac:dyDescent="0.25">
      <c r="A593" s="2" t="s">
        <v>2931</v>
      </c>
      <c r="B593" s="2" t="s">
        <v>19</v>
      </c>
      <c r="C593" s="2" t="s">
        <v>652</v>
      </c>
      <c r="D593" s="2" t="s">
        <v>52</v>
      </c>
      <c r="E593" s="2" t="s">
        <v>653</v>
      </c>
      <c r="F593" s="2">
        <v>11.8893941243489</v>
      </c>
      <c r="G593" s="2">
        <v>132</v>
      </c>
      <c r="H593" s="2">
        <v>4100</v>
      </c>
      <c r="I593" s="2" t="s">
        <v>2106</v>
      </c>
      <c r="J593" s="2" t="s">
        <v>34</v>
      </c>
      <c r="K593" s="2" t="s">
        <v>35</v>
      </c>
    </row>
    <row r="594" spans="1:13" x14ac:dyDescent="0.25">
      <c r="A594" s="2" t="s">
        <v>2932</v>
      </c>
      <c r="B594" s="2" t="s">
        <v>22</v>
      </c>
      <c r="C594" s="2" t="s">
        <v>730</v>
      </c>
      <c r="D594" s="2" t="s">
        <v>1532</v>
      </c>
      <c r="E594" s="2" t="s">
        <v>1533</v>
      </c>
      <c r="F594" s="2">
        <v>11.2801724137931</v>
      </c>
      <c r="G594" s="2">
        <v>116</v>
      </c>
      <c r="H594" s="2">
        <v>4100</v>
      </c>
      <c r="I594" s="2" t="s">
        <v>2124</v>
      </c>
      <c r="J594" s="2" t="s">
        <v>852</v>
      </c>
      <c r="K594" s="2" t="s">
        <v>2125</v>
      </c>
    </row>
    <row r="595" spans="1:13" x14ac:dyDescent="0.25">
      <c r="A595" s="2" t="s">
        <v>2933</v>
      </c>
      <c r="B595" s="2" t="s">
        <v>22</v>
      </c>
      <c r="C595" s="2" t="s">
        <v>365</v>
      </c>
      <c r="D595" s="2" t="s">
        <v>1978</v>
      </c>
      <c r="E595" s="2" t="s">
        <v>1979</v>
      </c>
      <c r="F595" s="2">
        <v>11.4697672526041</v>
      </c>
      <c r="G595" s="2">
        <v>129</v>
      </c>
      <c r="H595" s="2">
        <v>4100</v>
      </c>
      <c r="I595" s="2" t="s">
        <v>2070</v>
      </c>
      <c r="J595" s="2" t="s">
        <v>36</v>
      </c>
      <c r="K595" s="2" t="s">
        <v>848</v>
      </c>
    </row>
    <row r="596" spans="1:13" x14ac:dyDescent="0.25">
      <c r="A596" s="2" t="s">
        <v>2934</v>
      </c>
      <c r="B596" s="2" t="s">
        <v>17</v>
      </c>
      <c r="C596" s="2" t="s">
        <v>643</v>
      </c>
      <c r="D596" s="2" t="s">
        <v>77</v>
      </c>
      <c r="E596" s="2" t="s">
        <v>644</v>
      </c>
      <c r="F596" s="2">
        <v>12.0685035525344</v>
      </c>
      <c r="G596" s="2">
        <v>127</v>
      </c>
      <c r="H596" s="2">
        <v>4100</v>
      </c>
      <c r="I596" s="2" t="s">
        <v>2081</v>
      </c>
      <c r="J596" s="2" t="s">
        <v>76</v>
      </c>
      <c r="K596" s="2" t="s">
        <v>73</v>
      </c>
    </row>
    <row r="597" spans="1:13" x14ac:dyDescent="0.25">
      <c r="A597" s="2" t="s">
        <v>2935</v>
      </c>
      <c r="B597" s="2" t="s">
        <v>17</v>
      </c>
      <c r="C597" s="2" t="s">
        <v>639</v>
      </c>
      <c r="D597" s="2" t="s">
        <v>80</v>
      </c>
      <c r="E597" s="2" t="s">
        <v>640</v>
      </c>
      <c r="F597" s="2">
        <v>12.1054261673328</v>
      </c>
      <c r="G597" s="2">
        <v>129</v>
      </c>
      <c r="H597" s="2">
        <v>4000</v>
      </c>
      <c r="I597" s="2" t="s">
        <v>2072</v>
      </c>
      <c r="J597" s="2" t="s">
        <v>74</v>
      </c>
      <c r="K597" s="2" t="s">
        <v>842</v>
      </c>
    </row>
    <row r="598" spans="1:13" x14ac:dyDescent="0.25">
      <c r="A598" s="2" t="s">
        <v>2936</v>
      </c>
      <c r="B598" s="2" t="s">
        <v>20</v>
      </c>
      <c r="C598" s="2" t="s">
        <v>384</v>
      </c>
      <c r="D598" s="2" t="s">
        <v>161</v>
      </c>
      <c r="E598" s="2" t="s">
        <v>654</v>
      </c>
      <c r="F598" s="2">
        <v>11.9414414414414</v>
      </c>
      <c r="G598" s="2">
        <v>111</v>
      </c>
      <c r="H598" s="2">
        <v>4000</v>
      </c>
      <c r="I598" s="2" t="s">
        <v>2097</v>
      </c>
      <c r="J598" s="2" t="s">
        <v>159</v>
      </c>
      <c r="K598" s="2" t="s">
        <v>853</v>
      </c>
      <c r="L598" s="2" t="s">
        <v>200</v>
      </c>
      <c r="M598" s="2" t="s">
        <v>1690</v>
      </c>
    </row>
    <row r="599" spans="1:13" x14ac:dyDescent="0.25">
      <c r="A599" s="2" t="s">
        <v>2937</v>
      </c>
      <c r="B599" s="2" t="s">
        <v>17</v>
      </c>
      <c r="C599" s="2" t="s">
        <v>637</v>
      </c>
      <c r="D599" s="2" t="s">
        <v>40</v>
      </c>
      <c r="E599" s="2" t="s">
        <v>303</v>
      </c>
      <c r="F599" s="2">
        <v>14.6500002303213</v>
      </c>
      <c r="G599" s="2">
        <v>106</v>
      </c>
      <c r="H599" s="2">
        <v>4000</v>
      </c>
      <c r="I599" s="2" t="s">
        <v>2068</v>
      </c>
      <c r="J599" s="2" t="s">
        <v>38</v>
      </c>
      <c r="K599" s="2" t="s">
        <v>860</v>
      </c>
      <c r="L599" s="2" t="s">
        <v>200</v>
      </c>
      <c r="M599" s="2" t="s">
        <v>232</v>
      </c>
    </row>
    <row r="600" spans="1:13" x14ac:dyDescent="0.25">
      <c r="A600" s="2" t="s">
        <v>2938</v>
      </c>
      <c r="B600" s="2" t="s">
        <v>20</v>
      </c>
      <c r="C600" s="2" t="s">
        <v>1448</v>
      </c>
      <c r="D600" s="2" t="s">
        <v>1449</v>
      </c>
      <c r="E600" s="2" t="s">
        <v>1450</v>
      </c>
      <c r="F600" s="2">
        <v>10.982575387665699</v>
      </c>
      <c r="G600" s="2">
        <v>132</v>
      </c>
      <c r="H600" s="2">
        <v>4000</v>
      </c>
      <c r="I600" s="2" t="s">
        <v>2108</v>
      </c>
      <c r="J600" s="2" t="s">
        <v>841</v>
      </c>
      <c r="K600" s="2" t="s">
        <v>856</v>
      </c>
    </row>
    <row r="601" spans="1:13" x14ac:dyDescent="0.25">
      <c r="A601" s="2" t="s">
        <v>2939</v>
      </c>
      <c r="B601" s="2" t="s">
        <v>22</v>
      </c>
      <c r="C601" s="2" t="s">
        <v>517</v>
      </c>
      <c r="D601" s="2" t="s">
        <v>2940</v>
      </c>
      <c r="E601" s="2" t="s">
        <v>2941</v>
      </c>
      <c r="F601" s="2">
        <v>13.453397584192899</v>
      </c>
      <c r="G601" s="2">
        <v>103</v>
      </c>
      <c r="H601" s="2">
        <v>4000</v>
      </c>
      <c r="I601" s="2" t="s">
        <v>2065</v>
      </c>
      <c r="J601" s="2" t="s">
        <v>2066</v>
      </c>
      <c r="K601" s="2" t="s">
        <v>69</v>
      </c>
    </row>
    <row r="602" spans="1:13" x14ac:dyDescent="0.25">
      <c r="A602" s="2" t="s">
        <v>2942</v>
      </c>
      <c r="B602" s="2" t="s">
        <v>17</v>
      </c>
      <c r="C602" s="2" t="s">
        <v>1318</v>
      </c>
      <c r="D602" s="2" t="s">
        <v>1319</v>
      </c>
      <c r="E602" s="2" t="s">
        <v>1320</v>
      </c>
      <c r="F602" s="2">
        <v>12.1628787878787</v>
      </c>
      <c r="G602" s="2">
        <v>132</v>
      </c>
      <c r="H602" s="2">
        <v>3900</v>
      </c>
      <c r="I602" s="2" t="s">
        <v>1783</v>
      </c>
      <c r="J602" s="2" t="s">
        <v>840</v>
      </c>
      <c r="K602" s="2" t="s">
        <v>861</v>
      </c>
    </row>
    <row r="603" spans="1:13" x14ac:dyDescent="0.25">
      <c r="A603" s="2" t="s">
        <v>2943</v>
      </c>
      <c r="B603" s="2" t="s">
        <v>22</v>
      </c>
      <c r="C603" s="2" t="s">
        <v>287</v>
      </c>
      <c r="D603" s="2" t="s">
        <v>1324</v>
      </c>
      <c r="E603" s="2" t="s">
        <v>1325</v>
      </c>
      <c r="F603" s="2">
        <v>10.826612903225801</v>
      </c>
      <c r="G603" s="2">
        <v>124</v>
      </c>
      <c r="H603" s="2">
        <v>3900</v>
      </c>
      <c r="I603" s="2" t="s">
        <v>2079</v>
      </c>
      <c r="J603" s="2" t="s">
        <v>855</v>
      </c>
      <c r="K603" s="2" t="s">
        <v>843</v>
      </c>
    </row>
    <row r="604" spans="1:13" x14ac:dyDescent="0.25">
      <c r="A604" s="2" t="s">
        <v>2944</v>
      </c>
      <c r="B604" s="2" t="s">
        <v>17</v>
      </c>
      <c r="C604" s="2" t="s">
        <v>304</v>
      </c>
      <c r="D604" s="2" t="s">
        <v>84</v>
      </c>
      <c r="E604" s="2" t="s">
        <v>668</v>
      </c>
      <c r="F604" s="2">
        <v>11.1032001953125</v>
      </c>
      <c r="G604" s="2">
        <v>125</v>
      </c>
      <c r="H604" s="2">
        <v>3900</v>
      </c>
      <c r="I604" s="2" t="s">
        <v>2072</v>
      </c>
      <c r="J604" s="2" t="s">
        <v>74</v>
      </c>
      <c r="K604" s="2" t="s">
        <v>842</v>
      </c>
    </row>
    <row r="605" spans="1:13" x14ac:dyDescent="0.25">
      <c r="A605" s="2" t="s">
        <v>2945</v>
      </c>
      <c r="B605" s="2" t="s">
        <v>17</v>
      </c>
      <c r="C605" s="2" t="s">
        <v>260</v>
      </c>
      <c r="D605" s="2" t="s">
        <v>1305</v>
      </c>
      <c r="E605" s="2" t="s">
        <v>1306</v>
      </c>
      <c r="F605" s="2">
        <v>13.5765628814697</v>
      </c>
      <c r="G605" s="2">
        <v>128</v>
      </c>
      <c r="H605" s="2">
        <v>3900</v>
      </c>
      <c r="I605" s="2" t="s">
        <v>2072</v>
      </c>
      <c r="J605" s="2" t="s">
        <v>842</v>
      </c>
      <c r="K605" s="2" t="s">
        <v>74</v>
      </c>
    </row>
    <row r="606" spans="1:13" x14ac:dyDescent="0.25">
      <c r="A606" s="2" t="s">
        <v>2946</v>
      </c>
      <c r="B606" s="2" t="s">
        <v>21</v>
      </c>
      <c r="C606" s="2" t="s">
        <v>1391</v>
      </c>
      <c r="D606" s="2" t="s">
        <v>1392</v>
      </c>
      <c r="E606" s="2" t="s">
        <v>1393</v>
      </c>
      <c r="F606" s="2">
        <v>11.7728678385416</v>
      </c>
      <c r="G606" s="2">
        <v>129</v>
      </c>
      <c r="H606" s="2">
        <v>3900</v>
      </c>
      <c r="I606" s="2" t="s">
        <v>2124</v>
      </c>
      <c r="J606" s="2" t="s">
        <v>852</v>
      </c>
      <c r="K606" s="2" t="s">
        <v>2125</v>
      </c>
    </row>
    <row r="607" spans="1:13" x14ac:dyDescent="0.25">
      <c r="A607" s="2" t="s">
        <v>2947</v>
      </c>
      <c r="B607" s="2" t="s">
        <v>19</v>
      </c>
      <c r="C607" s="2" t="s">
        <v>1451</v>
      </c>
      <c r="D607" s="2" t="s">
        <v>1452</v>
      </c>
      <c r="E607" s="2" t="s">
        <v>1453</v>
      </c>
      <c r="F607" s="2">
        <v>9.9370078740157393</v>
      </c>
      <c r="G607" s="2">
        <v>127</v>
      </c>
      <c r="H607" s="2">
        <v>3900</v>
      </c>
      <c r="I607" s="2" t="s">
        <v>2090</v>
      </c>
      <c r="J607" s="2" t="s">
        <v>844</v>
      </c>
      <c r="K607" s="2" t="s">
        <v>2091</v>
      </c>
    </row>
    <row r="608" spans="1:13" x14ac:dyDescent="0.25">
      <c r="A608" s="2" t="s">
        <v>2948</v>
      </c>
      <c r="B608" s="2" t="s">
        <v>21</v>
      </c>
      <c r="C608" s="2" t="s">
        <v>354</v>
      </c>
      <c r="D608" s="2" t="s">
        <v>169</v>
      </c>
      <c r="E608" s="2" t="s">
        <v>698</v>
      </c>
      <c r="F608" s="2">
        <v>9.1533331008184504</v>
      </c>
      <c r="G608" s="2">
        <v>105</v>
      </c>
      <c r="H608" s="2">
        <v>3900</v>
      </c>
      <c r="I608" s="2" t="s">
        <v>2097</v>
      </c>
      <c r="J608" s="2" t="s">
        <v>159</v>
      </c>
      <c r="K608" s="2" t="s">
        <v>853</v>
      </c>
    </row>
    <row r="609" spans="1:13" x14ac:dyDescent="0.25">
      <c r="A609" s="2" t="s">
        <v>2949</v>
      </c>
      <c r="B609" s="2" t="s">
        <v>17</v>
      </c>
      <c r="C609" s="2" t="s">
        <v>287</v>
      </c>
      <c r="D609" s="2" t="s">
        <v>2031</v>
      </c>
      <c r="E609" s="2" t="s">
        <v>2032</v>
      </c>
      <c r="F609" s="2">
        <v>9.8162393162393098</v>
      </c>
      <c r="G609" s="2">
        <v>117</v>
      </c>
      <c r="H609" s="2">
        <v>3900</v>
      </c>
      <c r="I609" s="2" t="s">
        <v>2081</v>
      </c>
      <c r="J609" s="2" t="s">
        <v>73</v>
      </c>
      <c r="K609" s="2" t="s">
        <v>76</v>
      </c>
    </row>
    <row r="610" spans="1:13" x14ac:dyDescent="0.25">
      <c r="A610" s="2" t="s">
        <v>2950</v>
      </c>
      <c r="B610" s="2" t="s">
        <v>22</v>
      </c>
      <c r="C610" s="2" t="s">
        <v>211</v>
      </c>
      <c r="D610" s="2" t="s">
        <v>2021</v>
      </c>
      <c r="E610" s="2" t="s">
        <v>222</v>
      </c>
      <c r="F610" s="2">
        <v>11.230400390625</v>
      </c>
      <c r="G610" s="2">
        <v>125</v>
      </c>
      <c r="H610" s="2">
        <v>3800</v>
      </c>
      <c r="I610" s="2" t="s">
        <v>2070</v>
      </c>
      <c r="J610" s="2" t="s">
        <v>36</v>
      </c>
      <c r="K610" s="2" t="s">
        <v>848</v>
      </c>
    </row>
    <row r="611" spans="1:13" x14ac:dyDescent="0.25">
      <c r="A611" s="2" t="s">
        <v>2951</v>
      </c>
      <c r="B611" s="2" t="s">
        <v>17</v>
      </c>
      <c r="C611" s="2" t="s">
        <v>2952</v>
      </c>
      <c r="D611" s="2" t="s">
        <v>2953</v>
      </c>
      <c r="E611" s="2" t="s">
        <v>296</v>
      </c>
      <c r="F611" s="2">
        <v>10.6037380895882</v>
      </c>
      <c r="G611" s="2">
        <v>107</v>
      </c>
      <c r="H611" s="2">
        <v>3800</v>
      </c>
      <c r="I611" s="2" t="s">
        <v>2075</v>
      </c>
      <c r="J611" s="2" t="s">
        <v>2076</v>
      </c>
      <c r="K611" s="2" t="s">
        <v>37</v>
      </c>
    </row>
    <row r="612" spans="1:13" x14ac:dyDescent="0.25">
      <c r="A612" s="2" t="s">
        <v>2954</v>
      </c>
      <c r="B612" s="2" t="s">
        <v>21</v>
      </c>
      <c r="C612" s="2" t="s">
        <v>223</v>
      </c>
      <c r="D612" s="2" t="s">
        <v>1443</v>
      </c>
      <c r="E612" s="2" t="s">
        <v>1444</v>
      </c>
      <c r="F612" s="2">
        <v>9.0410260583600408</v>
      </c>
      <c r="G612" s="2">
        <v>117</v>
      </c>
      <c r="H612" s="2">
        <v>3800</v>
      </c>
      <c r="I612" s="2" t="s">
        <v>2090</v>
      </c>
      <c r="J612" s="2" t="s">
        <v>844</v>
      </c>
      <c r="K612" s="2" t="s">
        <v>2091</v>
      </c>
    </row>
    <row r="613" spans="1:13" x14ac:dyDescent="0.25">
      <c r="A613" s="2" t="s">
        <v>2955</v>
      </c>
      <c r="B613" s="2" t="s">
        <v>17</v>
      </c>
      <c r="C613" s="2" t="s">
        <v>1406</v>
      </c>
      <c r="D613" s="2" t="s">
        <v>1407</v>
      </c>
      <c r="E613" s="2" t="s">
        <v>1408</v>
      </c>
      <c r="F613" s="2">
        <v>10.990983806672601</v>
      </c>
      <c r="G613" s="2">
        <v>122</v>
      </c>
      <c r="H613" s="2">
        <v>3800</v>
      </c>
      <c r="I613" s="2" t="s">
        <v>2124</v>
      </c>
      <c r="J613" s="2" t="s">
        <v>852</v>
      </c>
      <c r="K613" s="2" t="s">
        <v>2125</v>
      </c>
    </row>
    <row r="614" spans="1:13" x14ac:dyDescent="0.25">
      <c r="A614" s="2" t="s">
        <v>2956</v>
      </c>
      <c r="B614" s="2" t="s">
        <v>17</v>
      </c>
      <c r="C614" s="2" t="s">
        <v>690</v>
      </c>
      <c r="D614" s="2" t="s">
        <v>167</v>
      </c>
      <c r="E614" s="2" t="s">
        <v>691</v>
      </c>
      <c r="F614" s="2">
        <v>9.5588713615171308</v>
      </c>
      <c r="G614" s="2">
        <v>124</v>
      </c>
      <c r="H614" s="2">
        <v>3800</v>
      </c>
      <c r="I614" s="2" t="s">
        <v>2097</v>
      </c>
      <c r="J614" s="2" t="s">
        <v>159</v>
      </c>
      <c r="K614" s="2" t="s">
        <v>853</v>
      </c>
    </row>
    <row r="615" spans="1:13" x14ac:dyDescent="0.25">
      <c r="A615" s="2" t="s">
        <v>2957</v>
      </c>
      <c r="B615" s="2" t="s">
        <v>17</v>
      </c>
      <c r="C615" s="2" t="s">
        <v>1976</v>
      </c>
      <c r="D615" s="2" t="s">
        <v>1977</v>
      </c>
      <c r="E615" s="2" t="s">
        <v>645</v>
      </c>
      <c r="F615" s="2">
        <v>11.7976746078609</v>
      </c>
      <c r="G615" s="2">
        <v>129</v>
      </c>
      <c r="H615" s="2">
        <v>3800</v>
      </c>
      <c r="I615" s="2" t="s">
        <v>2081</v>
      </c>
      <c r="J615" s="2" t="s">
        <v>73</v>
      </c>
      <c r="K615" s="2" t="s">
        <v>76</v>
      </c>
    </row>
    <row r="616" spans="1:13" x14ac:dyDescent="0.25">
      <c r="A616" s="2" t="s">
        <v>2958</v>
      </c>
      <c r="B616" s="2" t="s">
        <v>17</v>
      </c>
      <c r="C616" s="2" t="s">
        <v>720</v>
      </c>
      <c r="D616" s="2" t="s">
        <v>172</v>
      </c>
      <c r="E616" s="2" t="s">
        <v>721</v>
      </c>
      <c r="F616" s="2">
        <v>8.6495577381775401</v>
      </c>
      <c r="G616" s="2">
        <v>113</v>
      </c>
      <c r="H616" s="2">
        <v>3700</v>
      </c>
      <c r="I616" s="2" t="s">
        <v>2097</v>
      </c>
      <c r="J616" s="2" t="s">
        <v>159</v>
      </c>
      <c r="K616" s="2" t="s">
        <v>853</v>
      </c>
      <c r="L616" s="2" t="s">
        <v>364</v>
      </c>
      <c r="M616" s="2" t="s">
        <v>493</v>
      </c>
    </row>
    <row r="617" spans="1:13" x14ac:dyDescent="0.25">
      <c r="A617" s="2" t="s">
        <v>2959</v>
      </c>
      <c r="B617" s="2" t="s">
        <v>20</v>
      </c>
      <c r="C617" s="2" t="s">
        <v>655</v>
      </c>
      <c r="D617" s="2" t="s">
        <v>81</v>
      </c>
      <c r="E617" s="2" t="s">
        <v>656</v>
      </c>
      <c r="F617" s="2">
        <v>11.9487998046875</v>
      </c>
      <c r="G617" s="2">
        <v>125</v>
      </c>
      <c r="H617" s="2">
        <v>3700</v>
      </c>
      <c r="I617" s="2" t="s">
        <v>2068</v>
      </c>
      <c r="J617" s="2" t="s">
        <v>38</v>
      </c>
      <c r="K617" s="2" t="s">
        <v>860</v>
      </c>
    </row>
    <row r="618" spans="1:13" x14ac:dyDescent="0.25">
      <c r="A618" s="2" t="s">
        <v>2960</v>
      </c>
      <c r="B618" s="2" t="s">
        <v>22</v>
      </c>
      <c r="C618" s="2" t="s">
        <v>495</v>
      </c>
      <c r="D618" s="2" t="s">
        <v>1332</v>
      </c>
      <c r="E618" s="2" t="s">
        <v>1333</v>
      </c>
      <c r="F618" s="2">
        <v>11.136363636363599</v>
      </c>
      <c r="G618" s="2">
        <v>132</v>
      </c>
      <c r="H618" s="2">
        <v>3700</v>
      </c>
      <c r="I618" s="2" t="s">
        <v>2097</v>
      </c>
      <c r="J618" s="2" t="s">
        <v>853</v>
      </c>
      <c r="K618" s="2" t="s">
        <v>159</v>
      </c>
    </row>
    <row r="619" spans="1:13" x14ac:dyDescent="0.25">
      <c r="A619" s="2" t="s">
        <v>2961</v>
      </c>
      <c r="B619" s="2" t="s">
        <v>19</v>
      </c>
      <c r="C619" s="2" t="s">
        <v>1400</v>
      </c>
      <c r="D619" s="2" t="s">
        <v>1401</v>
      </c>
      <c r="E619" s="2" t="s">
        <v>1402</v>
      </c>
      <c r="F619" s="2">
        <v>11.307826299252699</v>
      </c>
      <c r="G619" s="2">
        <v>115</v>
      </c>
      <c r="H619" s="2">
        <v>3700</v>
      </c>
      <c r="I619" s="2" t="s">
        <v>2097</v>
      </c>
      <c r="J619" s="2" t="s">
        <v>853</v>
      </c>
      <c r="K619" s="2" t="s">
        <v>159</v>
      </c>
    </row>
    <row r="620" spans="1:13" x14ac:dyDescent="0.25">
      <c r="A620" s="2" t="s">
        <v>2962</v>
      </c>
      <c r="B620" s="2" t="s">
        <v>17</v>
      </c>
      <c r="C620" s="2" t="s">
        <v>1445</v>
      </c>
      <c r="D620" s="2" t="s">
        <v>1446</v>
      </c>
      <c r="E620" s="2" t="s">
        <v>1447</v>
      </c>
      <c r="F620" s="2">
        <v>10.6148512434251</v>
      </c>
      <c r="G620" s="2">
        <v>101</v>
      </c>
      <c r="H620" s="2">
        <v>3700</v>
      </c>
      <c r="I620" s="2" t="s">
        <v>2079</v>
      </c>
      <c r="J620" s="2" t="s">
        <v>855</v>
      </c>
      <c r="K620" s="2" t="s">
        <v>843</v>
      </c>
    </row>
    <row r="621" spans="1:13" x14ac:dyDescent="0.25">
      <c r="A621" s="2" t="s">
        <v>2963</v>
      </c>
      <c r="B621" s="2" t="s">
        <v>21</v>
      </c>
      <c r="C621" s="2" t="s">
        <v>718</v>
      </c>
      <c r="D621" s="2" t="s">
        <v>2037</v>
      </c>
      <c r="E621" s="2" t="s">
        <v>2038</v>
      </c>
      <c r="F621" s="2">
        <v>9.8284480653960102</v>
      </c>
      <c r="G621" s="2">
        <v>116</v>
      </c>
      <c r="H621" s="2">
        <v>3700</v>
      </c>
      <c r="I621" s="2" t="s">
        <v>2106</v>
      </c>
      <c r="J621" s="2" t="s">
        <v>34</v>
      </c>
      <c r="K621" s="2" t="s">
        <v>35</v>
      </c>
    </row>
    <row r="622" spans="1:13" x14ac:dyDescent="0.25">
      <c r="A622" s="2" t="s">
        <v>2964</v>
      </c>
      <c r="B622" s="2" t="s">
        <v>17</v>
      </c>
      <c r="C622" s="2" t="s">
        <v>291</v>
      </c>
      <c r="D622" s="2" t="s">
        <v>1358</v>
      </c>
      <c r="E622" s="2" t="s">
        <v>1359</v>
      </c>
      <c r="F622" s="2">
        <v>11.2589149179384</v>
      </c>
      <c r="G622" s="2">
        <v>129</v>
      </c>
      <c r="H622" s="2">
        <v>3700</v>
      </c>
      <c r="I622" s="2" t="s">
        <v>1783</v>
      </c>
      <c r="J622" s="2" t="s">
        <v>840</v>
      </c>
      <c r="K622" s="2" t="s">
        <v>861</v>
      </c>
    </row>
    <row r="623" spans="1:13" x14ac:dyDescent="0.25">
      <c r="A623" s="2" t="s">
        <v>2965</v>
      </c>
      <c r="B623" s="2" t="s">
        <v>17</v>
      </c>
      <c r="C623" s="2" t="s">
        <v>990</v>
      </c>
      <c r="D623" s="2" t="s">
        <v>1372</v>
      </c>
      <c r="E623" s="2" t="s">
        <v>1373</v>
      </c>
      <c r="F623" s="2">
        <v>12.6105769230769</v>
      </c>
      <c r="G623" s="2">
        <v>104</v>
      </c>
      <c r="H623" s="2">
        <v>3700</v>
      </c>
      <c r="I623" s="2" t="s">
        <v>2079</v>
      </c>
      <c r="J623" s="2" t="s">
        <v>855</v>
      </c>
      <c r="K623" s="2" t="s">
        <v>843</v>
      </c>
    </row>
    <row r="624" spans="1:13" x14ac:dyDescent="0.25">
      <c r="A624" s="2" t="s">
        <v>2966</v>
      </c>
      <c r="B624" s="2" t="s">
        <v>17</v>
      </c>
      <c r="C624" s="2" t="s">
        <v>280</v>
      </c>
      <c r="D624" s="2" t="s">
        <v>1994</v>
      </c>
      <c r="E624" s="2" t="s">
        <v>1995</v>
      </c>
      <c r="F624" s="2">
        <v>11.6102362204724</v>
      </c>
      <c r="G624" s="2">
        <v>127</v>
      </c>
      <c r="H624" s="2">
        <v>3700</v>
      </c>
      <c r="I624" s="2" t="s">
        <v>2075</v>
      </c>
      <c r="J624" s="2" t="s">
        <v>37</v>
      </c>
      <c r="K624" s="2" t="s">
        <v>2076</v>
      </c>
    </row>
    <row r="625" spans="1:13" x14ac:dyDescent="0.25">
      <c r="A625" s="2" t="s">
        <v>2967</v>
      </c>
      <c r="B625" s="2" t="s">
        <v>17</v>
      </c>
      <c r="C625" s="2" t="s">
        <v>197</v>
      </c>
      <c r="D625" s="2" t="s">
        <v>2968</v>
      </c>
      <c r="E625" s="2" t="s">
        <v>383</v>
      </c>
      <c r="F625" s="2">
        <v>11.910619685080199</v>
      </c>
      <c r="G625" s="2">
        <v>113</v>
      </c>
      <c r="H625" s="2">
        <v>3700</v>
      </c>
      <c r="I625" s="2" t="s">
        <v>2065</v>
      </c>
      <c r="J625" s="2" t="s">
        <v>2066</v>
      </c>
      <c r="K625" s="2" t="s">
        <v>69</v>
      </c>
    </row>
    <row r="626" spans="1:13" x14ac:dyDescent="0.25">
      <c r="A626" s="2" t="s">
        <v>2969</v>
      </c>
      <c r="B626" s="2" t="s">
        <v>22</v>
      </c>
      <c r="C626" s="2" t="s">
        <v>197</v>
      </c>
      <c r="D626" s="2" t="s">
        <v>41</v>
      </c>
      <c r="E626" s="2" t="s">
        <v>645</v>
      </c>
      <c r="F626" s="2">
        <v>9.9598041609221806</v>
      </c>
      <c r="G626" s="2">
        <v>102</v>
      </c>
      <c r="H626" s="2">
        <v>3700</v>
      </c>
      <c r="I626" s="2" t="s">
        <v>2106</v>
      </c>
      <c r="J626" s="2" t="s">
        <v>34</v>
      </c>
      <c r="K626" s="2" t="s">
        <v>35</v>
      </c>
    </row>
    <row r="627" spans="1:13" x14ac:dyDescent="0.25">
      <c r="A627" s="2" t="s">
        <v>2970</v>
      </c>
      <c r="B627" s="2" t="s">
        <v>17</v>
      </c>
      <c r="C627" s="2" t="s">
        <v>692</v>
      </c>
      <c r="D627" s="2" t="s">
        <v>56</v>
      </c>
      <c r="E627" s="2" t="s">
        <v>693</v>
      </c>
      <c r="F627" s="2">
        <v>10.0210084033613</v>
      </c>
      <c r="G627" s="2">
        <v>119</v>
      </c>
      <c r="H627" s="2">
        <v>3600</v>
      </c>
      <c r="I627" s="2" t="s">
        <v>2106</v>
      </c>
      <c r="J627" s="2" t="s">
        <v>34</v>
      </c>
      <c r="K627" s="2" t="s">
        <v>35</v>
      </c>
    </row>
    <row r="628" spans="1:13" x14ac:dyDescent="0.25">
      <c r="A628" s="2" t="s">
        <v>2971</v>
      </c>
      <c r="B628" s="2" t="s">
        <v>20</v>
      </c>
      <c r="C628" s="2" t="s">
        <v>387</v>
      </c>
      <c r="D628" s="2" t="s">
        <v>2972</v>
      </c>
      <c r="E628" s="2" t="s">
        <v>556</v>
      </c>
      <c r="F628" s="2">
        <v>11.649523344494</v>
      </c>
      <c r="G628" s="2">
        <v>105</v>
      </c>
      <c r="H628" s="2">
        <v>3600</v>
      </c>
      <c r="I628" s="2" t="s">
        <v>2065</v>
      </c>
      <c r="J628" s="2" t="s">
        <v>2066</v>
      </c>
      <c r="K628" s="2" t="s">
        <v>69</v>
      </c>
    </row>
    <row r="629" spans="1:13" x14ac:dyDescent="0.25">
      <c r="A629" s="2" t="s">
        <v>2973</v>
      </c>
      <c r="B629" s="2" t="s">
        <v>1</v>
      </c>
      <c r="C629" s="2" t="s">
        <v>723</v>
      </c>
      <c r="D629" s="2" t="s">
        <v>51</v>
      </c>
      <c r="E629" s="2" t="s">
        <v>724</v>
      </c>
      <c r="F629" s="2">
        <v>10.020778903713399</v>
      </c>
      <c r="G629" s="2">
        <v>77</v>
      </c>
      <c r="H629" s="2">
        <v>3600</v>
      </c>
      <c r="I629" s="2" t="s">
        <v>2106</v>
      </c>
      <c r="J629" s="2" t="s">
        <v>34</v>
      </c>
      <c r="K629" s="2" t="s">
        <v>35</v>
      </c>
    </row>
    <row r="630" spans="1:13" x14ac:dyDescent="0.25">
      <c r="A630" s="2" t="s">
        <v>2974</v>
      </c>
      <c r="B630" s="2" t="s">
        <v>22</v>
      </c>
      <c r="C630" s="2" t="s">
        <v>212</v>
      </c>
      <c r="D630" s="2" t="s">
        <v>2975</v>
      </c>
      <c r="E630" s="2" t="s">
        <v>2976</v>
      </c>
      <c r="F630" s="2">
        <v>11.526154033954301</v>
      </c>
      <c r="G630" s="2">
        <v>130</v>
      </c>
      <c r="H630" s="2">
        <v>3600</v>
      </c>
      <c r="I630" s="2" t="s">
        <v>2075</v>
      </c>
      <c r="J630" s="2" t="s">
        <v>2076</v>
      </c>
      <c r="K630" s="2" t="s">
        <v>37</v>
      </c>
      <c r="L630" s="2" t="s">
        <v>364</v>
      </c>
      <c r="M630" s="2" t="s">
        <v>267</v>
      </c>
    </row>
    <row r="631" spans="1:13" x14ac:dyDescent="0.25">
      <c r="A631" s="2" t="s">
        <v>2977</v>
      </c>
      <c r="B631" s="2" t="s">
        <v>1</v>
      </c>
      <c r="C631" s="2" t="s">
        <v>1376</v>
      </c>
      <c r="D631" s="2" t="s">
        <v>1377</v>
      </c>
      <c r="E631" s="2" t="s">
        <v>262</v>
      </c>
      <c r="F631" s="2">
        <v>12.306999511718701</v>
      </c>
      <c r="G631" s="2">
        <v>100</v>
      </c>
      <c r="H631" s="2">
        <v>3600</v>
      </c>
      <c r="I631" s="2" t="s">
        <v>2072</v>
      </c>
      <c r="J631" s="2" t="s">
        <v>842</v>
      </c>
      <c r="K631" s="2" t="s">
        <v>74</v>
      </c>
    </row>
    <row r="632" spans="1:13" x14ac:dyDescent="0.25">
      <c r="A632" s="2" t="s">
        <v>2978</v>
      </c>
      <c r="B632" s="2" t="s">
        <v>22</v>
      </c>
      <c r="C632" s="2" t="s">
        <v>351</v>
      </c>
      <c r="D632" s="2" t="s">
        <v>1441</v>
      </c>
      <c r="E632" s="2" t="s">
        <v>1442</v>
      </c>
      <c r="F632" s="2">
        <v>9.1154467574949098</v>
      </c>
      <c r="G632" s="2">
        <v>123</v>
      </c>
      <c r="H632" s="2">
        <v>3600</v>
      </c>
      <c r="I632" s="2" t="s">
        <v>2072</v>
      </c>
      <c r="J632" s="2" t="s">
        <v>842</v>
      </c>
      <c r="K632" s="2" t="s">
        <v>74</v>
      </c>
    </row>
    <row r="633" spans="1:13" x14ac:dyDescent="0.25">
      <c r="A633" s="2" t="s">
        <v>2979</v>
      </c>
      <c r="B633" s="2" t="s">
        <v>17</v>
      </c>
      <c r="C633" s="2" t="s">
        <v>207</v>
      </c>
      <c r="D633" s="2" t="s">
        <v>2980</v>
      </c>
      <c r="E633" s="2" t="s">
        <v>2981</v>
      </c>
      <c r="F633" s="2">
        <v>9.9428575303819393</v>
      </c>
      <c r="G633" s="2">
        <v>63</v>
      </c>
      <c r="H633" s="2">
        <v>3600</v>
      </c>
      <c r="I633" s="2" t="s">
        <v>2090</v>
      </c>
      <c r="J633" s="2" t="s">
        <v>844</v>
      </c>
      <c r="K633" s="2" t="s">
        <v>2091</v>
      </c>
      <c r="L633" s="2" t="s">
        <v>200</v>
      </c>
      <c r="M633" s="2" t="s">
        <v>317</v>
      </c>
    </row>
    <row r="634" spans="1:13" x14ac:dyDescent="0.25">
      <c r="A634" s="2" t="s">
        <v>2982</v>
      </c>
      <c r="B634" s="2" t="s">
        <v>17</v>
      </c>
      <c r="C634" s="2" t="s">
        <v>588</v>
      </c>
      <c r="D634" s="2" t="s">
        <v>1386</v>
      </c>
      <c r="E634" s="2" t="s">
        <v>1387</v>
      </c>
      <c r="F634" s="2">
        <v>9.6459020395747892</v>
      </c>
      <c r="G634" s="2">
        <v>122</v>
      </c>
      <c r="H634" s="2">
        <v>3600</v>
      </c>
      <c r="I634" s="2" t="s">
        <v>2065</v>
      </c>
      <c r="J634" s="2" t="s">
        <v>2066</v>
      </c>
      <c r="K634" s="2" t="s">
        <v>69</v>
      </c>
    </row>
    <row r="635" spans="1:13" x14ac:dyDescent="0.25">
      <c r="A635" s="2" t="s">
        <v>2983</v>
      </c>
      <c r="B635" s="2" t="s">
        <v>19</v>
      </c>
      <c r="C635" s="2" t="s">
        <v>401</v>
      </c>
      <c r="D635" s="2" t="s">
        <v>1461</v>
      </c>
      <c r="E635" s="2" t="s">
        <v>236</v>
      </c>
      <c r="F635" s="2">
        <v>10.3564356435643</v>
      </c>
      <c r="G635" s="2">
        <v>101</v>
      </c>
      <c r="H635" s="2">
        <v>3600</v>
      </c>
      <c r="I635" s="2" t="s">
        <v>1783</v>
      </c>
      <c r="J635" s="2" t="s">
        <v>861</v>
      </c>
      <c r="K635" s="2" t="s">
        <v>840</v>
      </c>
    </row>
    <row r="636" spans="1:13" x14ac:dyDescent="0.25">
      <c r="A636" s="2" t="s">
        <v>2984</v>
      </c>
      <c r="B636" s="2" t="s">
        <v>22</v>
      </c>
      <c r="C636" s="2" t="s">
        <v>225</v>
      </c>
      <c r="D636" s="2" t="s">
        <v>162</v>
      </c>
      <c r="E636" s="2" t="s">
        <v>662</v>
      </c>
      <c r="F636" s="2">
        <v>9.3263153611567908</v>
      </c>
      <c r="G636" s="2">
        <v>114</v>
      </c>
      <c r="H636" s="2">
        <v>3600</v>
      </c>
      <c r="I636" s="2" t="s">
        <v>2097</v>
      </c>
      <c r="J636" s="2" t="s">
        <v>159</v>
      </c>
      <c r="K636" s="2" t="s">
        <v>853</v>
      </c>
    </row>
    <row r="637" spans="1:13" x14ac:dyDescent="0.25">
      <c r="A637" s="2" t="s">
        <v>2985</v>
      </c>
      <c r="B637" s="2" t="s">
        <v>21</v>
      </c>
      <c r="C637" s="2" t="s">
        <v>197</v>
      </c>
      <c r="D637" s="2" t="s">
        <v>2986</v>
      </c>
      <c r="E637" s="2" t="s">
        <v>2987</v>
      </c>
      <c r="F637" s="2">
        <v>9.4402063114126893</v>
      </c>
      <c r="G637" s="2">
        <v>97</v>
      </c>
      <c r="H637" s="2">
        <v>3600</v>
      </c>
      <c r="I637" s="2" t="s">
        <v>2090</v>
      </c>
      <c r="J637" s="2" t="s">
        <v>2091</v>
      </c>
      <c r="K637" s="2" t="s">
        <v>844</v>
      </c>
      <c r="L637" s="2" t="s">
        <v>200</v>
      </c>
      <c r="M637" s="2" t="s">
        <v>263</v>
      </c>
    </row>
    <row r="638" spans="1:13" x14ac:dyDescent="0.25">
      <c r="A638" s="2" t="s">
        <v>2988</v>
      </c>
      <c r="B638" s="2" t="s">
        <v>17</v>
      </c>
      <c r="C638" s="2" t="s">
        <v>1454</v>
      </c>
      <c r="D638" s="2" t="s">
        <v>1455</v>
      </c>
      <c r="E638" s="2" t="s">
        <v>1456</v>
      </c>
      <c r="F638" s="2">
        <v>9.6688173355594706</v>
      </c>
      <c r="G638" s="2">
        <v>93</v>
      </c>
      <c r="H638" s="2">
        <v>3600</v>
      </c>
      <c r="I638" s="2" t="s">
        <v>2090</v>
      </c>
      <c r="J638" s="2" t="s">
        <v>844</v>
      </c>
      <c r="K638" s="2" t="s">
        <v>2091</v>
      </c>
    </row>
    <row r="639" spans="1:13" x14ac:dyDescent="0.25">
      <c r="A639" s="2" t="s">
        <v>2989</v>
      </c>
      <c r="B639" s="2" t="s">
        <v>22</v>
      </c>
      <c r="C639" s="2" t="s">
        <v>670</v>
      </c>
      <c r="D639" s="2" t="s">
        <v>1394</v>
      </c>
      <c r="E639" s="2" t="s">
        <v>1395</v>
      </c>
      <c r="F639" s="2">
        <v>11.2246035621279</v>
      </c>
      <c r="G639" s="2">
        <v>126</v>
      </c>
      <c r="H639" s="2">
        <v>3600</v>
      </c>
      <c r="I639" s="2" t="s">
        <v>2090</v>
      </c>
      <c r="J639" s="2" t="s">
        <v>844</v>
      </c>
      <c r="K639" s="2" t="s">
        <v>2091</v>
      </c>
    </row>
    <row r="640" spans="1:13" x14ac:dyDescent="0.25">
      <c r="A640" s="2" t="s">
        <v>2990</v>
      </c>
      <c r="B640" s="2" t="s">
        <v>17</v>
      </c>
      <c r="C640" s="2" t="s">
        <v>1609</v>
      </c>
      <c r="D640" s="2" t="s">
        <v>1610</v>
      </c>
      <c r="E640" s="2" t="s">
        <v>1159</v>
      </c>
      <c r="F640" s="2">
        <v>9.4265482404590699</v>
      </c>
      <c r="G640" s="2">
        <v>113</v>
      </c>
      <c r="H640" s="2">
        <v>3600</v>
      </c>
      <c r="I640" s="2" t="s">
        <v>1783</v>
      </c>
      <c r="J640" s="2" t="s">
        <v>861</v>
      </c>
      <c r="K640" s="2" t="s">
        <v>840</v>
      </c>
      <c r="L640" s="2" t="s">
        <v>200</v>
      </c>
      <c r="M640" s="2" t="s">
        <v>551</v>
      </c>
    </row>
    <row r="641" spans="1:13" x14ac:dyDescent="0.25">
      <c r="A641" s="2" t="s">
        <v>2991</v>
      </c>
      <c r="B641" s="2" t="s">
        <v>17</v>
      </c>
      <c r="C641" s="2" t="s">
        <v>2992</v>
      </c>
      <c r="D641" s="2" t="s">
        <v>2993</v>
      </c>
      <c r="E641" s="2" t="s">
        <v>2994</v>
      </c>
      <c r="F641" s="2">
        <v>9.2132816314697195</v>
      </c>
      <c r="G641" s="2">
        <v>128</v>
      </c>
      <c r="H641" s="2">
        <v>3600</v>
      </c>
      <c r="I641" s="2" t="s">
        <v>2124</v>
      </c>
      <c r="J641" s="2" t="s">
        <v>2125</v>
      </c>
      <c r="K641" s="2" t="s">
        <v>852</v>
      </c>
    </row>
    <row r="642" spans="1:13" x14ac:dyDescent="0.25">
      <c r="A642" s="2" t="s">
        <v>2995</v>
      </c>
      <c r="B642" s="2" t="s">
        <v>17</v>
      </c>
      <c r="C642" s="2" t="s">
        <v>1085</v>
      </c>
      <c r="D642" s="2" t="s">
        <v>1323</v>
      </c>
      <c r="E642" s="2" t="s">
        <v>222</v>
      </c>
      <c r="F642" s="2">
        <v>10.6944878045029</v>
      </c>
      <c r="G642" s="2">
        <v>127</v>
      </c>
      <c r="H642" s="2">
        <v>3600</v>
      </c>
      <c r="I642" s="2" t="s">
        <v>2068</v>
      </c>
      <c r="J642" s="2" t="s">
        <v>860</v>
      </c>
      <c r="K642" s="2" t="s">
        <v>38</v>
      </c>
    </row>
    <row r="643" spans="1:13" x14ac:dyDescent="0.25">
      <c r="A643" s="2" t="s">
        <v>2996</v>
      </c>
      <c r="B643" s="2" t="s">
        <v>17</v>
      </c>
      <c r="C643" s="2" t="s">
        <v>956</v>
      </c>
      <c r="D643" s="2" t="s">
        <v>1363</v>
      </c>
      <c r="E643" s="2" t="s">
        <v>1364</v>
      </c>
      <c r="F643" s="2">
        <v>11.1500001937624</v>
      </c>
      <c r="G643" s="2">
        <v>126</v>
      </c>
      <c r="H643" s="2">
        <v>3600</v>
      </c>
      <c r="I643" s="2" t="s">
        <v>2072</v>
      </c>
      <c r="J643" s="2" t="s">
        <v>842</v>
      </c>
      <c r="K643" s="2" t="s">
        <v>74</v>
      </c>
    </row>
    <row r="644" spans="1:13" x14ac:dyDescent="0.25">
      <c r="A644" s="2" t="s">
        <v>2997</v>
      </c>
      <c r="B644" s="2" t="s">
        <v>22</v>
      </c>
      <c r="C644" s="2" t="s">
        <v>424</v>
      </c>
      <c r="D644" s="2" t="s">
        <v>1980</v>
      </c>
      <c r="E644" s="2" t="s">
        <v>1981</v>
      </c>
      <c r="F644" s="2">
        <v>11.023809523809501</v>
      </c>
      <c r="G644" s="2">
        <v>126</v>
      </c>
      <c r="H644" s="2">
        <v>3500</v>
      </c>
      <c r="I644" s="2" t="s">
        <v>2075</v>
      </c>
      <c r="J644" s="2" t="s">
        <v>37</v>
      </c>
      <c r="K644" s="2" t="s">
        <v>2076</v>
      </c>
    </row>
    <row r="645" spans="1:13" x14ac:dyDescent="0.25">
      <c r="A645" s="2" t="s">
        <v>2998</v>
      </c>
      <c r="B645" s="2" t="s">
        <v>17</v>
      </c>
      <c r="C645" s="2" t="s">
        <v>423</v>
      </c>
      <c r="D645" s="2" t="s">
        <v>1416</v>
      </c>
      <c r="E645" s="2" t="s">
        <v>1417</v>
      </c>
      <c r="F645" s="2">
        <v>9.2911762910730697</v>
      </c>
      <c r="G645" s="2">
        <v>68</v>
      </c>
      <c r="H645" s="2">
        <v>3500</v>
      </c>
      <c r="I645" s="2" t="s">
        <v>2090</v>
      </c>
      <c r="J645" s="2" t="s">
        <v>844</v>
      </c>
      <c r="K645" s="2" t="s">
        <v>2091</v>
      </c>
    </row>
    <row r="646" spans="1:13" x14ac:dyDescent="0.25">
      <c r="A646" s="2" t="s">
        <v>2999</v>
      </c>
      <c r="B646" s="2" t="s">
        <v>19</v>
      </c>
      <c r="C646" s="2" t="s">
        <v>1494</v>
      </c>
      <c r="D646" s="2" t="s">
        <v>1495</v>
      </c>
      <c r="E646" s="2" t="s">
        <v>1496</v>
      </c>
      <c r="F646" s="2">
        <v>9.4516480833619507</v>
      </c>
      <c r="G646" s="2">
        <v>91</v>
      </c>
      <c r="H646" s="2">
        <v>3500</v>
      </c>
      <c r="I646" s="2" t="s">
        <v>2079</v>
      </c>
      <c r="J646" s="2" t="s">
        <v>855</v>
      </c>
      <c r="K646" s="2" t="s">
        <v>843</v>
      </c>
    </row>
    <row r="647" spans="1:13" x14ac:dyDescent="0.25">
      <c r="A647" s="2" t="s">
        <v>3000</v>
      </c>
      <c r="B647" s="2" t="s">
        <v>21</v>
      </c>
      <c r="C647" s="2" t="s">
        <v>309</v>
      </c>
      <c r="D647" s="2" t="s">
        <v>1420</v>
      </c>
      <c r="E647" s="2" t="s">
        <v>1421</v>
      </c>
      <c r="F647" s="2">
        <v>10.809999847412101</v>
      </c>
      <c r="G647" s="2">
        <v>80</v>
      </c>
      <c r="H647" s="2">
        <v>3500</v>
      </c>
      <c r="I647" s="2" t="s">
        <v>2079</v>
      </c>
      <c r="J647" s="2" t="s">
        <v>855</v>
      </c>
      <c r="K647" s="2" t="s">
        <v>843</v>
      </c>
    </row>
    <row r="648" spans="1:13" x14ac:dyDescent="0.25">
      <c r="A648" s="2" t="s">
        <v>3001</v>
      </c>
      <c r="B648" s="2" t="s">
        <v>19</v>
      </c>
      <c r="C648" s="2" t="s">
        <v>1369</v>
      </c>
      <c r="D648" s="2" t="s">
        <v>1370</v>
      </c>
      <c r="E648" s="2" t="s">
        <v>1371</v>
      </c>
      <c r="F648" s="2">
        <v>10.323845966045599</v>
      </c>
      <c r="G648" s="2">
        <v>130</v>
      </c>
      <c r="H648" s="2">
        <v>3500</v>
      </c>
      <c r="I648" s="2" t="s">
        <v>1783</v>
      </c>
      <c r="J648" s="2" t="s">
        <v>840</v>
      </c>
      <c r="K648" s="2" t="s">
        <v>861</v>
      </c>
    </row>
    <row r="649" spans="1:13" x14ac:dyDescent="0.25">
      <c r="A649" s="2" t="s">
        <v>3002</v>
      </c>
      <c r="B649" s="2" t="s">
        <v>22</v>
      </c>
      <c r="C649" s="2" t="s">
        <v>285</v>
      </c>
      <c r="D649" s="2" t="s">
        <v>1351</v>
      </c>
      <c r="E649" s="2" t="s">
        <v>1041</v>
      </c>
      <c r="F649" s="2">
        <v>10.1446967847419</v>
      </c>
      <c r="G649" s="2">
        <v>132</v>
      </c>
      <c r="H649" s="2">
        <v>3500</v>
      </c>
      <c r="I649" s="2" t="s">
        <v>2108</v>
      </c>
      <c r="J649" s="2" t="s">
        <v>856</v>
      </c>
      <c r="K649" s="2" t="s">
        <v>841</v>
      </c>
    </row>
    <row r="650" spans="1:13" x14ac:dyDescent="0.25">
      <c r="A650" s="2" t="s">
        <v>3003</v>
      </c>
      <c r="B650" s="2" t="s">
        <v>22</v>
      </c>
      <c r="C650" s="2" t="s">
        <v>337</v>
      </c>
      <c r="D650" s="2" t="s">
        <v>45</v>
      </c>
      <c r="E650" s="2" t="s">
        <v>669</v>
      </c>
      <c r="F650" s="2">
        <v>11.7471076397856</v>
      </c>
      <c r="G650" s="2">
        <v>121</v>
      </c>
      <c r="H650" s="2">
        <v>3500</v>
      </c>
      <c r="I650" s="2" t="s">
        <v>2068</v>
      </c>
      <c r="J650" s="2" t="s">
        <v>38</v>
      </c>
      <c r="K650" s="2" t="s">
        <v>860</v>
      </c>
    </row>
    <row r="651" spans="1:13" x14ac:dyDescent="0.25">
      <c r="A651" s="2" t="s">
        <v>3004</v>
      </c>
      <c r="B651" s="2" t="s">
        <v>1</v>
      </c>
      <c r="C651" s="2" t="s">
        <v>197</v>
      </c>
      <c r="D651" s="2" t="s">
        <v>3005</v>
      </c>
      <c r="E651" s="2" t="s">
        <v>3006</v>
      </c>
      <c r="F651" s="2">
        <v>8.7600001743861604</v>
      </c>
      <c r="G651" s="2">
        <v>70</v>
      </c>
      <c r="H651" s="2">
        <v>3500</v>
      </c>
      <c r="I651" s="2" t="s">
        <v>2090</v>
      </c>
      <c r="J651" s="2" t="s">
        <v>2091</v>
      </c>
      <c r="K651" s="2" t="s">
        <v>844</v>
      </c>
    </row>
    <row r="652" spans="1:13" x14ac:dyDescent="0.25">
      <c r="A652" s="2" t="s">
        <v>3007</v>
      </c>
      <c r="B652" s="2" t="s">
        <v>19</v>
      </c>
      <c r="C652" s="2" t="s">
        <v>316</v>
      </c>
      <c r="D652" s="2" t="s">
        <v>42</v>
      </c>
      <c r="E652" s="2" t="s">
        <v>647</v>
      </c>
      <c r="F652" s="2">
        <v>11.8131143538678</v>
      </c>
      <c r="G652" s="2">
        <v>122</v>
      </c>
      <c r="H652" s="2">
        <v>3500</v>
      </c>
      <c r="I652" s="2" t="s">
        <v>2068</v>
      </c>
      <c r="J652" s="2" t="s">
        <v>38</v>
      </c>
      <c r="K652" s="2" t="s">
        <v>860</v>
      </c>
    </row>
    <row r="653" spans="1:13" x14ac:dyDescent="0.25">
      <c r="A653" s="2" t="s">
        <v>3008</v>
      </c>
      <c r="B653" s="2" t="s">
        <v>21</v>
      </c>
      <c r="C653" s="2" t="s">
        <v>663</v>
      </c>
      <c r="D653" s="2" t="s">
        <v>85</v>
      </c>
      <c r="E653" s="2" t="s">
        <v>664</v>
      </c>
      <c r="F653" s="2">
        <v>9.7430896293826201</v>
      </c>
      <c r="G653" s="2">
        <v>123</v>
      </c>
      <c r="H653" s="2">
        <v>3500</v>
      </c>
      <c r="I653" s="2" t="s">
        <v>2072</v>
      </c>
      <c r="J653" s="2" t="s">
        <v>74</v>
      </c>
      <c r="K653" s="2" t="s">
        <v>842</v>
      </c>
    </row>
    <row r="654" spans="1:13" x14ac:dyDescent="0.25">
      <c r="A654" s="2" t="s">
        <v>3009</v>
      </c>
      <c r="B654" s="2" t="s">
        <v>17</v>
      </c>
      <c r="C654" s="2" t="s">
        <v>3010</v>
      </c>
      <c r="D654" s="2" t="s">
        <v>3011</v>
      </c>
      <c r="E654" s="2" t="s">
        <v>3012</v>
      </c>
      <c r="F654" s="2">
        <v>9.9873017810639801</v>
      </c>
      <c r="G654" s="2">
        <v>126</v>
      </c>
      <c r="H654" s="2">
        <v>3500</v>
      </c>
      <c r="I654" s="2" t="s">
        <v>2065</v>
      </c>
      <c r="J654" s="2" t="s">
        <v>2066</v>
      </c>
      <c r="K654" s="2" t="s">
        <v>69</v>
      </c>
    </row>
    <row r="655" spans="1:13" x14ac:dyDescent="0.25">
      <c r="A655" s="2" t="s">
        <v>3013</v>
      </c>
      <c r="B655" s="2" t="s">
        <v>17</v>
      </c>
      <c r="C655" s="2" t="s">
        <v>260</v>
      </c>
      <c r="D655" s="2" t="s">
        <v>1413</v>
      </c>
      <c r="E655" s="2" t="s">
        <v>1414</v>
      </c>
      <c r="F655" s="2">
        <v>10.803448556483399</v>
      </c>
      <c r="G655" s="2">
        <v>87</v>
      </c>
      <c r="H655" s="2">
        <v>3500</v>
      </c>
      <c r="I655" s="2" t="s">
        <v>1783</v>
      </c>
      <c r="J655" s="2" t="s">
        <v>861</v>
      </c>
      <c r="K655" s="2" t="s">
        <v>840</v>
      </c>
      <c r="L655" s="2" t="s">
        <v>200</v>
      </c>
      <c r="M655" s="2" t="s">
        <v>551</v>
      </c>
    </row>
    <row r="656" spans="1:13" x14ac:dyDescent="0.25">
      <c r="A656" s="2" t="s">
        <v>3014</v>
      </c>
      <c r="B656" s="2" t="s">
        <v>17</v>
      </c>
      <c r="C656" s="2" t="s">
        <v>1374</v>
      </c>
      <c r="D656" s="2" t="s">
        <v>1375</v>
      </c>
      <c r="E656" s="2" t="s">
        <v>746</v>
      </c>
      <c r="F656" s="2">
        <v>11.819672131147501</v>
      </c>
      <c r="G656" s="2">
        <v>122</v>
      </c>
      <c r="H656" s="2">
        <v>3500</v>
      </c>
      <c r="I656" s="2" t="s">
        <v>2070</v>
      </c>
      <c r="J656" s="2" t="s">
        <v>36</v>
      </c>
      <c r="K656" s="2" t="s">
        <v>848</v>
      </c>
    </row>
    <row r="657" spans="1:13" x14ac:dyDescent="0.25">
      <c r="A657" s="2" t="s">
        <v>3015</v>
      </c>
      <c r="B657" s="2" t="s">
        <v>22</v>
      </c>
      <c r="C657" s="2" t="s">
        <v>3016</v>
      </c>
      <c r="D657" s="2" t="s">
        <v>3017</v>
      </c>
      <c r="E657" s="2" t="s">
        <v>3018</v>
      </c>
      <c r="F657" s="2">
        <v>8.7236107720269001</v>
      </c>
      <c r="G657" s="2">
        <v>72</v>
      </c>
      <c r="H657" s="2">
        <v>3400</v>
      </c>
      <c r="I657" s="2" t="s">
        <v>2124</v>
      </c>
      <c r="J657" s="2" t="s">
        <v>2125</v>
      </c>
      <c r="K657" s="2" t="s">
        <v>852</v>
      </c>
    </row>
    <row r="658" spans="1:13" x14ac:dyDescent="0.25">
      <c r="A658" s="2" t="s">
        <v>3019</v>
      </c>
      <c r="B658" s="2" t="s">
        <v>19</v>
      </c>
      <c r="C658" s="2" t="s">
        <v>212</v>
      </c>
      <c r="D658" s="2" t="s">
        <v>78</v>
      </c>
      <c r="E658" s="2" t="s">
        <v>349</v>
      </c>
      <c r="F658" s="2">
        <v>11.6279069767441</v>
      </c>
      <c r="G658" s="2">
        <v>129</v>
      </c>
      <c r="H658" s="2">
        <v>3400</v>
      </c>
      <c r="I658" s="2" t="s">
        <v>2070</v>
      </c>
      <c r="J658" s="2" t="s">
        <v>36</v>
      </c>
      <c r="K658" s="2" t="s">
        <v>848</v>
      </c>
    </row>
    <row r="659" spans="1:13" x14ac:dyDescent="0.25">
      <c r="A659" s="2" t="s">
        <v>3020</v>
      </c>
      <c r="B659" s="2" t="s">
        <v>17</v>
      </c>
      <c r="C659" s="2" t="s">
        <v>489</v>
      </c>
      <c r="D659" s="2" t="s">
        <v>1996</v>
      </c>
      <c r="E659" s="2" t="s">
        <v>1997</v>
      </c>
      <c r="F659" s="2">
        <v>10.7318184592507</v>
      </c>
      <c r="G659" s="2">
        <v>88</v>
      </c>
      <c r="H659" s="2">
        <v>3400</v>
      </c>
      <c r="I659" s="2" t="s">
        <v>2070</v>
      </c>
      <c r="J659" s="2" t="s">
        <v>36</v>
      </c>
      <c r="K659" s="2" t="s">
        <v>848</v>
      </c>
      <c r="L659" s="2" t="s">
        <v>200</v>
      </c>
      <c r="M659" s="2" t="s">
        <v>484</v>
      </c>
    </row>
    <row r="660" spans="1:13" x14ac:dyDescent="0.25">
      <c r="A660" s="2" t="s">
        <v>3021</v>
      </c>
      <c r="B660" s="2" t="s">
        <v>22</v>
      </c>
      <c r="C660" s="2" t="s">
        <v>676</v>
      </c>
      <c r="D660" s="2" t="s">
        <v>89</v>
      </c>
      <c r="E660" s="2" t="s">
        <v>677</v>
      </c>
      <c r="F660" s="2">
        <v>9.2314512191280205</v>
      </c>
      <c r="G660" s="2">
        <v>124</v>
      </c>
      <c r="H660" s="2">
        <v>3400</v>
      </c>
      <c r="I660" s="2" t="s">
        <v>2072</v>
      </c>
      <c r="J660" s="2" t="s">
        <v>74</v>
      </c>
      <c r="K660" s="2" t="s">
        <v>842</v>
      </c>
    </row>
    <row r="661" spans="1:13" x14ac:dyDescent="0.25">
      <c r="A661" s="2" t="s">
        <v>3022</v>
      </c>
      <c r="B661" s="2" t="s">
        <v>20</v>
      </c>
      <c r="C661" s="2" t="s">
        <v>989</v>
      </c>
      <c r="D661" s="2" t="s">
        <v>3023</v>
      </c>
      <c r="E661" s="2" t="s">
        <v>3024</v>
      </c>
      <c r="F661" s="2">
        <v>11.8343753814697</v>
      </c>
      <c r="G661" s="2">
        <v>32</v>
      </c>
      <c r="H661" s="2">
        <v>3400</v>
      </c>
      <c r="I661" s="2" t="s">
        <v>2072</v>
      </c>
      <c r="J661" s="2" t="s">
        <v>74</v>
      </c>
      <c r="K661" s="2" t="s">
        <v>842</v>
      </c>
    </row>
    <row r="662" spans="1:13" x14ac:dyDescent="0.25">
      <c r="A662" s="2" t="s">
        <v>3025</v>
      </c>
      <c r="B662" s="2" t="s">
        <v>1</v>
      </c>
      <c r="C662" s="2" t="s">
        <v>197</v>
      </c>
      <c r="D662" s="2" t="s">
        <v>3026</v>
      </c>
      <c r="E662" s="2" t="s">
        <v>3027</v>
      </c>
      <c r="F662" s="2">
        <v>5.0365590741557398</v>
      </c>
      <c r="G662" s="2">
        <v>93</v>
      </c>
      <c r="H662" s="2">
        <v>3400</v>
      </c>
      <c r="I662" s="2" t="s">
        <v>2090</v>
      </c>
      <c r="J662" s="2" t="s">
        <v>2091</v>
      </c>
      <c r="K662" s="2" t="s">
        <v>844</v>
      </c>
    </row>
    <row r="663" spans="1:13" x14ac:dyDescent="0.25">
      <c r="A663" s="2" t="s">
        <v>3028</v>
      </c>
      <c r="B663" s="2" t="s">
        <v>21</v>
      </c>
      <c r="C663" s="2" t="s">
        <v>206</v>
      </c>
      <c r="D663" s="2" t="s">
        <v>1356</v>
      </c>
      <c r="E663" s="2" t="s">
        <v>1357</v>
      </c>
      <c r="F663" s="2">
        <v>11.698969575547601</v>
      </c>
      <c r="G663" s="2">
        <v>97</v>
      </c>
      <c r="H663" s="2">
        <v>3400</v>
      </c>
      <c r="I663" s="2" t="s">
        <v>2108</v>
      </c>
      <c r="J663" s="2" t="s">
        <v>841</v>
      </c>
      <c r="K663" s="2" t="s">
        <v>856</v>
      </c>
    </row>
    <row r="664" spans="1:13" x14ac:dyDescent="0.25">
      <c r="A664" s="2" t="s">
        <v>3029</v>
      </c>
      <c r="B664" s="2" t="s">
        <v>17</v>
      </c>
      <c r="C664" s="2" t="s">
        <v>650</v>
      </c>
      <c r="D664" s="2" t="s">
        <v>87</v>
      </c>
      <c r="E664" s="2" t="s">
        <v>651</v>
      </c>
      <c r="F664" s="2">
        <v>9.6822429906541991</v>
      </c>
      <c r="G664" s="2">
        <v>107</v>
      </c>
      <c r="H664" s="2">
        <v>3400</v>
      </c>
      <c r="I664" s="2" t="s">
        <v>2072</v>
      </c>
      <c r="J664" s="2" t="s">
        <v>74</v>
      </c>
      <c r="K664" s="2" t="s">
        <v>842</v>
      </c>
      <c r="L664" s="2" t="s">
        <v>200</v>
      </c>
      <c r="M664" s="2" t="s">
        <v>1307</v>
      </c>
    </row>
    <row r="665" spans="1:13" x14ac:dyDescent="0.25">
      <c r="A665" s="2" t="s">
        <v>3030</v>
      </c>
      <c r="B665" s="2" t="s">
        <v>17</v>
      </c>
      <c r="C665" s="2" t="s">
        <v>394</v>
      </c>
      <c r="D665" s="2" t="s">
        <v>50</v>
      </c>
      <c r="E665" s="2" t="s">
        <v>685</v>
      </c>
      <c r="F665" s="2">
        <v>10.485713898189401</v>
      </c>
      <c r="G665" s="2">
        <v>126</v>
      </c>
      <c r="H665" s="2">
        <v>3400</v>
      </c>
      <c r="I665" s="2" t="s">
        <v>2106</v>
      </c>
      <c r="J665" s="2" t="s">
        <v>34</v>
      </c>
      <c r="K665" s="2" t="s">
        <v>35</v>
      </c>
    </row>
    <row r="666" spans="1:13" x14ac:dyDescent="0.25">
      <c r="A666" s="2" t="s">
        <v>3031</v>
      </c>
      <c r="B666" s="2" t="s">
        <v>21</v>
      </c>
      <c r="C666" s="2" t="s">
        <v>240</v>
      </c>
      <c r="D666" s="2" t="s">
        <v>2060</v>
      </c>
      <c r="E666" s="2" t="s">
        <v>2061</v>
      </c>
      <c r="F666" s="2">
        <v>10.4189653067753</v>
      </c>
      <c r="G666" s="2">
        <v>58</v>
      </c>
      <c r="H666" s="2">
        <v>3400</v>
      </c>
      <c r="I666" s="2" t="s">
        <v>2081</v>
      </c>
      <c r="J666" s="2" t="s">
        <v>73</v>
      </c>
      <c r="K666" s="2" t="s">
        <v>76</v>
      </c>
    </row>
    <row r="667" spans="1:13" x14ac:dyDescent="0.25">
      <c r="A667" s="2" t="s">
        <v>3032</v>
      </c>
      <c r="B667" s="2" t="s">
        <v>17</v>
      </c>
      <c r="C667" s="2" t="s">
        <v>394</v>
      </c>
      <c r="D667" s="2" t="s">
        <v>1348</v>
      </c>
      <c r="E667" s="2" t="s">
        <v>1349</v>
      </c>
      <c r="F667" s="2">
        <v>11.25</v>
      </c>
      <c r="G667" s="2">
        <v>130</v>
      </c>
      <c r="H667" s="2">
        <v>3400</v>
      </c>
      <c r="I667" s="2" t="s">
        <v>2108</v>
      </c>
      <c r="J667" s="2" t="s">
        <v>841</v>
      </c>
      <c r="K667" s="2" t="s">
        <v>856</v>
      </c>
    </row>
    <row r="668" spans="1:13" x14ac:dyDescent="0.25">
      <c r="A668" s="2" t="s">
        <v>3033</v>
      </c>
      <c r="B668" s="2" t="s">
        <v>21</v>
      </c>
      <c r="C668" s="2" t="s">
        <v>754</v>
      </c>
      <c r="D668" s="2" t="s">
        <v>65</v>
      </c>
      <c r="E668" s="2" t="s">
        <v>755</v>
      </c>
      <c r="F668" s="2">
        <v>6.6226806640625</v>
      </c>
      <c r="G668" s="2">
        <v>97</v>
      </c>
      <c r="H668" s="2">
        <v>3400</v>
      </c>
      <c r="I668" s="2" t="s">
        <v>2068</v>
      </c>
      <c r="J668" s="2" t="s">
        <v>38</v>
      </c>
      <c r="K668" s="2" t="s">
        <v>860</v>
      </c>
    </row>
    <row r="669" spans="1:13" x14ac:dyDescent="0.25">
      <c r="A669" s="2" t="s">
        <v>3034</v>
      </c>
      <c r="B669" s="2" t="s">
        <v>17</v>
      </c>
      <c r="C669" s="2" t="s">
        <v>8</v>
      </c>
      <c r="D669" s="2" t="s">
        <v>170</v>
      </c>
      <c r="E669" s="2" t="s">
        <v>708</v>
      </c>
      <c r="F669" s="2">
        <v>9.2951223481961307</v>
      </c>
      <c r="G669" s="2">
        <v>123</v>
      </c>
      <c r="H669" s="2">
        <v>3400</v>
      </c>
      <c r="I669" s="2" t="s">
        <v>2097</v>
      </c>
      <c r="J669" s="2" t="s">
        <v>159</v>
      </c>
      <c r="K669" s="2" t="s">
        <v>853</v>
      </c>
    </row>
    <row r="670" spans="1:13" x14ac:dyDescent="0.25">
      <c r="A670" s="2" t="s">
        <v>3035</v>
      </c>
      <c r="B670" s="2" t="s">
        <v>17</v>
      </c>
      <c r="C670" s="2" t="s">
        <v>1409</v>
      </c>
      <c r="D670" s="2" t="s">
        <v>1410</v>
      </c>
      <c r="E670" s="2" t="s">
        <v>1411</v>
      </c>
      <c r="F670" s="2">
        <v>10.077868852459</v>
      </c>
      <c r="G670" s="2">
        <v>122</v>
      </c>
      <c r="H670" s="2">
        <v>3400</v>
      </c>
      <c r="I670" s="2" t="s">
        <v>2124</v>
      </c>
      <c r="J670" s="2" t="s">
        <v>852</v>
      </c>
      <c r="K670" s="2" t="s">
        <v>2125</v>
      </c>
    </row>
    <row r="671" spans="1:13" x14ac:dyDescent="0.25">
      <c r="A671" s="2" t="s">
        <v>3036</v>
      </c>
      <c r="B671" s="2" t="s">
        <v>17</v>
      </c>
      <c r="C671" s="2" t="s">
        <v>277</v>
      </c>
      <c r="D671" s="2" t="s">
        <v>2050</v>
      </c>
      <c r="E671" s="2" t="s">
        <v>2051</v>
      </c>
      <c r="F671" s="2">
        <v>10.277027027027</v>
      </c>
      <c r="G671" s="2">
        <v>74</v>
      </c>
      <c r="H671" s="2">
        <v>3400</v>
      </c>
      <c r="I671" s="2" t="s">
        <v>2075</v>
      </c>
      <c r="J671" s="2" t="s">
        <v>37</v>
      </c>
      <c r="K671" s="2" t="s">
        <v>2076</v>
      </c>
    </row>
    <row r="672" spans="1:13" x14ac:dyDescent="0.25">
      <c r="A672" s="2" t="s">
        <v>3037</v>
      </c>
      <c r="B672" s="2" t="s">
        <v>20</v>
      </c>
      <c r="C672" s="2" t="s">
        <v>285</v>
      </c>
      <c r="D672" s="2" t="s">
        <v>79</v>
      </c>
      <c r="E672" s="2" t="s">
        <v>682</v>
      </c>
      <c r="F672" s="2">
        <v>11.897778320312501</v>
      </c>
      <c r="G672" s="2">
        <v>90</v>
      </c>
      <c r="H672" s="2">
        <v>3400</v>
      </c>
      <c r="I672" s="2" t="s">
        <v>2106</v>
      </c>
      <c r="J672" s="2" t="s">
        <v>35</v>
      </c>
      <c r="K672" s="2" t="s">
        <v>34</v>
      </c>
    </row>
    <row r="673" spans="1:13" x14ac:dyDescent="0.25">
      <c r="A673" s="2" t="s">
        <v>3038</v>
      </c>
      <c r="B673" s="2" t="s">
        <v>19</v>
      </c>
      <c r="C673" s="2" t="s">
        <v>2055</v>
      </c>
      <c r="D673" s="2" t="s">
        <v>2056</v>
      </c>
      <c r="E673" s="2" t="s">
        <v>2057</v>
      </c>
      <c r="F673" s="2">
        <v>9.3236218550073797</v>
      </c>
      <c r="G673" s="2">
        <v>127</v>
      </c>
      <c r="H673" s="2">
        <v>3400</v>
      </c>
      <c r="I673" s="2" t="s">
        <v>2081</v>
      </c>
      <c r="J673" s="2" t="s">
        <v>73</v>
      </c>
      <c r="K673" s="2" t="s">
        <v>76</v>
      </c>
    </row>
    <row r="674" spans="1:13" x14ac:dyDescent="0.25">
      <c r="A674" s="2" t="s">
        <v>3039</v>
      </c>
      <c r="B674" s="2" t="s">
        <v>17</v>
      </c>
      <c r="C674" s="2" t="s">
        <v>387</v>
      </c>
      <c r="D674" s="2" t="s">
        <v>1365</v>
      </c>
      <c r="E674" s="2" t="s">
        <v>1366</v>
      </c>
      <c r="F674" s="2">
        <v>12.601599609375</v>
      </c>
      <c r="G674" s="2">
        <v>125</v>
      </c>
      <c r="H674" s="2">
        <v>3300</v>
      </c>
      <c r="I674" s="2" t="s">
        <v>2124</v>
      </c>
      <c r="J674" s="2" t="s">
        <v>2125</v>
      </c>
      <c r="K674" s="2" t="s">
        <v>852</v>
      </c>
    </row>
    <row r="675" spans="1:13" x14ac:dyDescent="0.25">
      <c r="A675" s="2" t="s">
        <v>3040</v>
      </c>
      <c r="B675" s="2" t="s">
        <v>17</v>
      </c>
      <c r="C675" s="2" t="s">
        <v>1367</v>
      </c>
      <c r="D675" s="2" t="s">
        <v>1368</v>
      </c>
      <c r="E675" s="2" t="s">
        <v>983</v>
      </c>
      <c r="F675" s="2">
        <v>10.2132816314697</v>
      </c>
      <c r="G675" s="2">
        <v>128</v>
      </c>
      <c r="H675" s="2">
        <v>3300</v>
      </c>
      <c r="I675" s="2" t="s">
        <v>2097</v>
      </c>
      <c r="J675" s="2" t="s">
        <v>853</v>
      </c>
      <c r="K675" s="2" t="s">
        <v>159</v>
      </c>
    </row>
    <row r="676" spans="1:13" x14ac:dyDescent="0.25">
      <c r="A676" s="2" t="s">
        <v>3041</v>
      </c>
      <c r="B676" s="2" t="s">
        <v>19</v>
      </c>
      <c r="C676" s="2" t="s">
        <v>229</v>
      </c>
      <c r="D676" s="2" t="s">
        <v>2017</v>
      </c>
      <c r="E676" s="2" t="s">
        <v>2018</v>
      </c>
      <c r="F676" s="2">
        <v>10.7669815927181</v>
      </c>
      <c r="G676" s="2">
        <v>106</v>
      </c>
      <c r="H676" s="2">
        <v>3300</v>
      </c>
      <c r="I676" s="2" t="s">
        <v>2072</v>
      </c>
      <c r="J676" s="2" t="s">
        <v>74</v>
      </c>
      <c r="K676" s="2" t="s">
        <v>842</v>
      </c>
    </row>
    <row r="677" spans="1:13" x14ac:dyDescent="0.25">
      <c r="A677" s="2" t="s">
        <v>3042</v>
      </c>
      <c r="B677" s="2" t="s">
        <v>22</v>
      </c>
      <c r="C677" s="2" t="s">
        <v>324</v>
      </c>
      <c r="D677" s="2" t="s">
        <v>1398</v>
      </c>
      <c r="E677" s="2" t="s">
        <v>1399</v>
      </c>
      <c r="F677" s="2">
        <v>9.9096151498647806</v>
      </c>
      <c r="G677" s="2">
        <v>104</v>
      </c>
      <c r="H677" s="2">
        <v>3300</v>
      </c>
      <c r="I677" s="2" t="s">
        <v>2075</v>
      </c>
      <c r="J677" s="2" t="s">
        <v>37</v>
      </c>
      <c r="K677" s="2" t="s">
        <v>2076</v>
      </c>
    </row>
    <row r="678" spans="1:13" x14ac:dyDescent="0.25">
      <c r="A678" s="2" t="s">
        <v>3043</v>
      </c>
      <c r="B678" s="2" t="s">
        <v>17</v>
      </c>
      <c r="C678" s="2" t="s">
        <v>381</v>
      </c>
      <c r="D678" s="2" t="s">
        <v>3044</v>
      </c>
      <c r="E678" s="2" t="s">
        <v>3045</v>
      </c>
      <c r="F678" s="2">
        <v>6.6681317339886599</v>
      </c>
      <c r="G678" s="2">
        <v>91</v>
      </c>
      <c r="H678" s="2">
        <v>3300</v>
      </c>
      <c r="I678" s="2" t="s">
        <v>2124</v>
      </c>
      <c r="J678" s="2" t="s">
        <v>2125</v>
      </c>
      <c r="K678" s="2" t="s">
        <v>852</v>
      </c>
    </row>
    <row r="679" spans="1:13" x14ac:dyDescent="0.25">
      <c r="A679" s="2" t="s">
        <v>3046</v>
      </c>
      <c r="B679" s="2" t="s">
        <v>21</v>
      </c>
      <c r="C679" s="2" t="s">
        <v>3047</v>
      </c>
      <c r="D679" s="2" t="s">
        <v>3048</v>
      </c>
      <c r="E679" s="2" t="s">
        <v>512</v>
      </c>
      <c r="F679" s="2">
        <v>10.138167752564399</v>
      </c>
      <c r="G679" s="2">
        <v>131</v>
      </c>
      <c r="H679" s="2">
        <v>3300</v>
      </c>
      <c r="I679" s="2" t="s">
        <v>2124</v>
      </c>
      <c r="J679" s="2" t="s">
        <v>2125</v>
      </c>
      <c r="K679" s="2" t="s">
        <v>852</v>
      </c>
    </row>
    <row r="680" spans="1:13" x14ac:dyDescent="0.25">
      <c r="A680" s="2" t="s">
        <v>3049</v>
      </c>
      <c r="B680" s="2" t="s">
        <v>19</v>
      </c>
      <c r="C680" s="2" t="s">
        <v>3050</v>
      </c>
      <c r="D680" s="2" t="s">
        <v>3051</v>
      </c>
      <c r="E680" s="2" t="s">
        <v>262</v>
      </c>
      <c r="F680" s="2">
        <v>7.7254387035704397</v>
      </c>
      <c r="G680" s="2">
        <v>114</v>
      </c>
      <c r="H680" s="2">
        <v>3300</v>
      </c>
      <c r="I680" s="2" t="s">
        <v>2075</v>
      </c>
      <c r="J680" s="2" t="s">
        <v>2076</v>
      </c>
      <c r="K680" s="2" t="s">
        <v>37</v>
      </c>
    </row>
    <row r="681" spans="1:13" x14ac:dyDescent="0.25">
      <c r="A681" s="2" t="s">
        <v>3052</v>
      </c>
      <c r="B681" s="2" t="s">
        <v>17</v>
      </c>
      <c r="C681" s="2" t="s">
        <v>620</v>
      </c>
      <c r="D681" s="2" t="s">
        <v>2052</v>
      </c>
      <c r="E681" s="2" t="s">
        <v>367</v>
      </c>
      <c r="F681" s="2">
        <v>8.9369234525240309</v>
      </c>
      <c r="G681" s="2">
        <v>65</v>
      </c>
      <c r="H681" s="2">
        <v>3300</v>
      </c>
      <c r="I681" s="2" t="s">
        <v>2070</v>
      </c>
      <c r="J681" s="2" t="s">
        <v>36</v>
      </c>
      <c r="K681" s="2" t="s">
        <v>848</v>
      </c>
    </row>
    <row r="682" spans="1:13" x14ac:dyDescent="0.25">
      <c r="A682" s="2" t="s">
        <v>3053</v>
      </c>
      <c r="B682" s="2" t="s">
        <v>17</v>
      </c>
      <c r="C682" s="2" t="s">
        <v>450</v>
      </c>
      <c r="D682" s="2" t="s">
        <v>1625</v>
      </c>
      <c r="E682" s="2" t="s">
        <v>939</v>
      </c>
      <c r="F682" s="2">
        <v>10.1111111111111</v>
      </c>
      <c r="G682" s="2">
        <v>54</v>
      </c>
      <c r="H682" s="2">
        <v>3300</v>
      </c>
      <c r="I682" s="2" t="s">
        <v>1783</v>
      </c>
      <c r="J682" s="2" t="s">
        <v>861</v>
      </c>
      <c r="K682" s="2" t="s">
        <v>840</v>
      </c>
    </row>
    <row r="683" spans="1:13" x14ac:dyDescent="0.25">
      <c r="A683" s="2" t="s">
        <v>3054</v>
      </c>
      <c r="B683" s="2" t="s">
        <v>19</v>
      </c>
      <c r="C683" s="2" t="s">
        <v>1340</v>
      </c>
      <c r="D683" s="2" t="s">
        <v>1341</v>
      </c>
      <c r="E683" s="2" t="s">
        <v>1342</v>
      </c>
      <c r="F683" s="2">
        <v>10.318103658741901</v>
      </c>
      <c r="G683" s="2">
        <v>116</v>
      </c>
      <c r="H683" s="2">
        <v>3300</v>
      </c>
      <c r="I683" s="2" t="s">
        <v>2108</v>
      </c>
      <c r="J683" s="2" t="s">
        <v>841</v>
      </c>
      <c r="K683" s="2" t="s">
        <v>856</v>
      </c>
    </row>
    <row r="684" spans="1:13" x14ac:dyDescent="0.25">
      <c r="A684" s="2" t="s">
        <v>3055</v>
      </c>
      <c r="B684" s="2" t="s">
        <v>22</v>
      </c>
      <c r="C684" s="2" t="s">
        <v>649</v>
      </c>
      <c r="D684" s="2" t="s">
        <v>91</v>
      </c>
      <c r="E684" s="2" t="s">
        <v>349</v>
      </c>
      <c r="F684" s="2">
        <v>9.5307017543859605</v>
      </c>
      <c r="G684" s="2">
        <v>114</v>
      </c>
      <c r="H684" s="2">
        <v>3300</v>
      </c>
      <c r="I684" s="2" t="s">
        <v>2072</v>
      </c>
      <c r="J684" s="2" t="s">
        <v>74</v>
      </c>
      <c r="K684" s="2" t="s">
        <v>842</v>
      </c>
    </row>
    <row r="685" spans="1:13" x14ac:dyDescent="0.25">
      <c r="A685" s="2" t="s">
        <v>3056</v>
      </c>
      <c r="B685" s="2" t="s">
        <v>21</v>
      </c>
      <c r="C685" s="2" t="s">
        <v>450</v>
      </c>
      <c r="D685" s="2" t="s">
        <v>3057</v>
      </c>
      <c r="E685" s="2" t="s">
        <v>3058</v>
      </c>
      <c r="F685" s="2">
        <v>7.7603771281692202</v>
      </c>
      <c r="G685" s="2">
        <v>53</v>
      </c>
      <c r="H685" s="2">
        <v>3300</v>
      </c>
      <c r="I685" s="2" t="s">
        <v>2090</v>
      </c>
      <c r="J685" s="2" t="s">
        <v>2091</v>
      </c>
      <c r="K685" s="2" t="s">
        <v>844</v>
      </c>
      <c r="L685" s="2" t="s">
        <v>200</v>
      </c>
      <c r="M685" s="2" t="s">
        <v>642</v>
      </c>
    </row>
    <row r="686" spans="1:13" x14ac:dyDescent="0.25">
      <c r="A686" s="2" t="s">
        <v>3059</v>
      </c>
      <c r="B686" s="2" t="s">
        <v>22</v>
      </c>
      <c r="C686" s="2" t="s">
        <v>387</v>
      </c>
      <c r="D686" s="2" t="s">
        <v>46</v>
      </c>
      <c r="E686" s="2" t="s">
        <v>658</v>
      </c>
      <c r="F686" s="2">
        <v>11.497709550930299</v>
      </c>
      <c r="G686" s="2">
        <v>131</v>
      </c>
      <c r="H686" s="2">
        <v>3300</v>
      </c>
      <c r="I686" s="2" t="s">
        <v>2106</v>
      </c>
      <c r="J686" s="2" t="s">
        <v>35</v>
      </c>
      <c r="K686" s="2" t="s">
        <v>34</v>
      </c>
      <c r="L686" s="2" t="s">
        <v>364</v>
      </c>
      <c r="M686" s="2" t="s">
        <v>1175</v>
      </c>
    </row>
    <row r="687" spans="1:13" x14ac:dyDescent="0.25">
      <c r="A687" s="2" t="s">
        <v>3060</v>
      </c>
      <c r="B687" s="2" t="s">
        <v>21</v>
      </c>
      <c r="C687" s="2" t="s">
        <v>3061</v>
      </c>
      <c r="D687" s="2" t="s">
        <v>3062</v>
      </c>
      <c r="E687" s="2" t="s">
        <v>772</v>
      </c>
      <c r="F687" s="2">
        <v>7.1148934871592404</v>
      </c>
      <c r="G687" s="2">
        <v>47</v>
      </c>
      <c r="H687" s="2">
        <v>3300</v>
      </c>
      <c r="I687" s="2" t="s">
        <v>2090</v>
      </c>
      <c r="J687" s="2" t="s">
        <v>2091</v>
      </c>
      <c r="K687" s="2" t="s">
        <v>844</v>
      </c>
    </row>
    <row r="688" spans="1:13" x14ac:dyDescent="0.25">
      <c r="A688" s="2" t="s">
        <v>3063</v>
      </c>
      <c r="B688" s="2" t="s">
        <v>21</v>
      </c>
      <c r="C688" s="2" t="s">
        <v>394</v>
      </c>
      <c r="D688" s="2" t="s">
        <v>122</v>
      </c>
      <c r="E688" s="2" t="s">
        <v>756</v>
      </c>
      <c r="F688" s="2">
        <v>5.7494254276670196</v>
      </c>
      <c r="G688" s="2">
        <v>87</v>
      </c>
      <c r="H688" s="2">
        <v>3300</v>
      </c>
      <c r="I688" s="2" t="s">
        <v>2090</v>
      </c>
      <c r="J688" s="2" t="s">
        <v>2091</v>
      </c>
      <c r="K688" s="2" t="s">
        <v>844</v>
      </c>
    </row>
    <row r="689" spans="1:13" x14ac:dyDescent="0.25">
      <c r="A689" s="2" t="s">
        <v>3064</v>
      </c>
      <c r="B689" s="2" t="s">
        <v>17</v>
      </c>
      <c r="C689" s="2" t="s">
        <v>260</v>
      </c>
      <c r="D689" s="2" t="s">
        <v>1435</v>
      </c>
      <c r="E689" s="2" t="s">
        <v>1436</v>
      </c>
      <c r="F689" s="2">
        <v>11.525</v>
      </c>
      <c r="G689" s="2">
        <v>80</v>
      </c>
      <c r="H689" s="2">
        <v>3300</v>
      </c>
      <c r="I689" s="2" t="s">
        <v>2072</v>
      </c>
      <c r="J689" s="2" t="s">
        <v>842</v>
      </c>
      <c r="K689" s="2" t="s">
        <v>74</v>
      </c>
    </row>
    <row r="690" spans="1:13" x14ac:dyDescent="0.25">
      <c r="A690" s="2" t="s">
        <v>3065</v>
      </c>
      <c r="B690" s="2" t="s">
        <v>20</v>
      </c>
      <c r="C690" s="2" t="s">
        <v>1360</v>
      </c>
      <c r="D690" s="2" t="s">
        <v>1361</v>
      </c>
      <c r="E690" s="2" t="s">
        <v>1362</v>
      </c>
      <c r="F690" s="2">
        <v>9.7070173297012001</v>
      </c>
      <c r="G690" s="2">
        <v>114</v>
      </c>
      <c r="H690" s="2">
        <v>3300</v>
      </c>
      <c r="I690" s="2" t="s">
        <v>2079</v>
      </c>
      <c r="J690" s="2" t="s">
        <v>855</v>
      </c>
      <c r="K690" s="2" t="s">
        <v>843</v>
      </c>
      <c r="L690" s="2" t="s">
        <v>200</v>
      </c>
      <c r="M690" s="2" t="s">
        <v>551</v>
      </c>
    </row>
    <row r="691" spans="1:13" x14ac:dyDescent="0.25">
      <c r="A691" s="2" t="s">
        <v>3066</v>
      </c>
      <c r="B691" s="2" t="s">
        <v>17</v>
      </c>
      <c r="C691" s="2" t="s">
        <v>3067</v>
      </c>
      <c r="D691" s="2" t="s">
        <v>3068</v>
      </c>
      <c r="E691" s="2" t="s">
        <v>728</v>
      </c>
      <c r="F691" s="2">
        <v>6.7948053533380603</v>
      </c>
      <c r="G691" s="2">
        <v>77</v>
      </c>
      <c r="H691" s="2">
        <v>3300</v>
      </c>
      <c r="I691" s="2" t="s">
        <v>2090</v>
      </c>
      <c r="J691" s="2" t="s">
        <v>2091</v>
      </c>
      <c r="K691" s="2" t="s">
        <v>844</v>
      </c>
    </row>
    <row r="692" spans="1:13" x14ac:dyDescent="0.25">
      <c r="A692" s="2" t="s">
        <v>3069</v>
      </c>
      <c r="B692" s="2" t="s">
        <v>1</v>
      </c>
      <c r="C692" s="2" t="s">
        <v>652</v>
      </c>
      <c r="D692" s="2" t="s">
        <v>1534</v>
      </c>
      <c r="E692" s="2" t="s">
        <v>1535</v>
      </c>
      <c r="F692" s="2">
        <v>7.1676765210700699</v>
      </c>
      <c r="G692" s="2">
        <v>99</v>
      </c>
      <c r="H692" s="2">
        <v>3300</v>
      </c>
      <c r="I692" s="2" t="s">
        <v>2090</v>
      </c>
      <c r="J692" s="2" t="s">
        <v>844</v>
      </c>
      <c r="K692" s="2" t="s">
        <v>2091</v>
      </c>
    </row>
    <row r="693" spans="1:13" x14ac:dyDescent="0.25">
      <c r="A693" s="2" t="s">
        <v>3070</v>
      </c>
      <c r="B693" s="2" t="s">
        <v>20</v>
      </c>
      <c r="C693" s="2" t="s">
        <v>3071</v>
      </c>
      <c r="D693" s="2" t="s">
        <v>3072</v>
      </c>
      <c r="E693" s="2" t="s">
        <v>1350</v>
      </c>
      <c r="F693" s="2">
        <v>9.6231406976368792</v>
      </c>
      <c r="G693" s="2">
        <v>121</v>
      </c>
      <c r="H693" s="2">
        <v>3200</v>
      </c>
      <c r="I693" s="2" t="s">
        <v>2072</v>
      </c>
      <c r="J693" s="2" t="s">
        <v>842</v>
      </c>
      <c r="K693" s="2" t="s">
        <v>74</v>
      </c>
    </row>
    <row r="694" spans="1:13" x14ac:dyDescent="0.25">
      <c r="A694" s="2" t="s">
        <v>3073</v>
      </c>
      <c r="B694" s="2" t="s">
        <v>21</v>
      </c>
      <c r="C694" s="2" t="s">
        <v>1517</v>
      </c>
      <c r="D694" s="2" t="s">
        <v>1518</v>
      </c>
      <c r="E694" s="2" t="s">
        <v>1519</v>
      </c>
      <c r="F694" s="2">
        <v>8.8225565745418209</v>
      </c>
      <c r="G694" s="2">
        <v>133</v>
      </c>
      <c r="H694" s="2">
        <v>3200</v>
      </c>
      <c r="I694" s="2" t="s">
        <v>1783</v>
      </c>
      <c r="J694" s="2" t="s">
        <v>861</v>
      </c>
      <c r="K694" s="2" t="s">
        <v>840</v>
      </c>
    </row>
    <row r="695" spans="1:13" x14ac:dyDescent="0.25">
      <c r="A695" s="2" t="s">
        <v>3074</v>
      </c>
      <c r="B695" s="2" t="s">
        <v>22</v>
      </c>
      <c r="C695" s="2" t="s">
        <v>287</v>
      </c>
      <c r="D695" s="2" t="s">
        <v>173</v>
      </c>
      <c r="E695" s="2" t="s">
        <v>729</v>
      </c>
      <c r="F695" s="2">
        <v>9.7216219515413798</v>
      </c>
      <c r="G695" s="2">
        <v>37</v>
      </c>
      <c r="H695" s="2">
        <v>3200</v>
      </c>
      <c r="I695" s="2" t="s">
        <v>2081</v>
      </c>
      <c r="J695" s="2" t="s">
        <v>73</v>
      </c>
      <c r="K695" s="2" t="s">
        <v>76</v>
      </c>
    </row>
    <row r="696" spans="1:13" x14ac:dyDescent="0.25">
      <c r="A696" s="2" t="s">
        <v>3075</v>
      </c>
      <c r="B696" s="2" t="s">
        <v>17</v>
      </c>
      <c r="C696" s="2" t="s">
        <v>318</v>
      </c>
      <c r="D696" s="2" t="s">
        <v>103</v>
      </c>
      <c r="E696" s="2" t="s">
        <v>710</v>
      </c>
      <c r="F696" s="2">
        <v>9.7189190838788004</v>
      </c>
      <c r="G696" s="2">
        <v>74</v>
      </c>
      <c r="H696" s="2">
        <v>3200</v>
      </c>
      <c r="I696" s="2" t="s">
        <v>2068</v>
      </c>
      <c r="J696" s="2" t="s">
        <v>38</v>
      </c>
      <c r="K696" s="2" t="s">
        <v>860</v>
      </c>
      <c r="L696" s="2" t="s">
        <v>200</v>
      </c>
      <c r="M696" s="2" t="s">
        <v>568</v>
      </c>
    </row>
    <row r="697" spans="1:13" x14ac:dyDescent="0.25">
      <c r="A697" s="2" t="s">
        <v>3076</v>
      </c>
      <c r="B697" s="2" t="s">
        <v>1</v>
      </c>
      <c r="C697" s="2" t="s">
        <v>1501</v>
      </c>
      <c r="D697" s="2" t="s">
        <v>1502</v>
      </c>
      <c r="E697" s="2" t="s">
        <v>1503</v>
      </c>
      <c r="F697" s="2">
        <v>9.2765221637228201</v>
      </c>
      <c r="G697" s="2">
        <v>115</v>
      </c>
      <c r="H697" s="2">
        <v>3200</v>
      </c>
      <c r="I697" s="2" t="s">
        <v>2079</v>
      </c>
      <c r="J697" s="2" t="s">
        <v>855</v>
      </c>
      <c r="K697" s="2" t="s">
        <v>843</v>
      </c>
    </row>
    <row r="698" spans="1:13" x14ac:dyDescent="0.25">
      <c r="A698" s="2" t="s">
        <v>3077</v>
      </c>
      <c r="B698" s="2" t="s">
        <v>17</v>
      </c>
      <c r="C698" s="2" t="s">
        <v>1403</v>
      </c>
      <c r="D698" s="2" t="s">
        <v>1404</v>
      </c>
      <c r="E698" s="2" t="s">
        <v>1405</v>
      </c>
      <c r="F698" s="2">
        <v>8.8388233857996301</v>
      </c>
      <c r="G698" s="2">
        <v>85</v>
      </c>
      <c r="H698" s="2">
        <v>3200</v>
      </c>
      <c r="I698" s="2" t="s">
        <v>2072</v>
      </c>
      <c r="J698" s="2" t="s">
        <v>842</v>
      </c>
      <c r="K698" s="2" t="s">
        <v>74</v>
      </c>
    </row>
    <row r="699" spans="1:13" x14ac:dyDescent="0.25">
      <c r="A699" s="2" t="s">
        <v>3078</v>
      </c>
      <c r="B699" s="2" t="s">
        <v>17</v>
      </c>
      <c r="C699" s="2" t="s">
        <v>196</v>
      </c>
      <c r="D699" s="2" t="s">
        <v>2011</v>
      </c>
      <c r="E699" s="2" t="s">
        <v>1985</v>
      </c>
      <c r="F699" s="2">
        <v>10.609375</v>
      </c>
      <c r="G699" s="2">
        <v>128</v>
      </c>
      <c r="H699" s="2">
        <v>3200</v>
      </c>
      <c r="I699" s="2" t="s">
        <v>2075</v>
      </c>
      <c r="J699" s="2" t="s">
        <v>37</v>
      </c>
      <c r="K699" s="2" t="s">
        <v>2076</v>
      </c>
    </row>
    <row r="700" spans="1:13" x14ac:dyDescent="0.25">
      <c r="A700" s="2" t="s">
        <v>3079</v>
      </c>
      <c r="B700" s="2" t="s">
        <v>19</v>
      </c>
      <c r="C700" s="2" t="s">
        <v>285</v>
      </c>
      <c r="D700" s="2" t="s">
        <v>1510</v>
      </c>
      <c r="E700" s="2" t="s">
        <v>1511</v>
      </c>
      <c r="F700" s="2">
        <v>9.6706349206349191</v>
      </c>
      <c r="G700" s="2">
        <v>126</v>
      </c>
      <c r="H700" s="2">
        <v>3200</v>
      </c>
      <c r="I700" s="2" t="s">
        <v>2108</v>
      </c>
      <c r="J700" s="2" t="s">
        <v>856</v>
      </c>
      <c r="K700" s="2" t="s">
        <v>841</v>
      </c>
    </row>
    <row r="701" spans="1:13" x14ac:dyDescent="0.25">
      <c r="A701" s="2" t="s">
        <v>3080</v>
      </c>
      <c r="B701" s="2" t="s">
        <v>17</v>
      </c>
      <c r="C701" s="2" t="s">
        <v>1471</v>
      </c>
      <c r="D701" s="2" t="s">
        <v>1472</v>
      </c>
      <c r="E701" s="2" t="s">
        <v>1473</v>
      </c>
      <c r="F701" s="2">
        <v>8.2645158665154508</v>
      </c>
      <c r="G701" s="2">
        <v>93</v>
      </c>
      <c r="H701" s="2">
        <v>3200</v>
      </c>
      <c r="I701" s="2" t="s">
        <v>2124</v>
      </c>
      <c r="J701" s="2" t="s">
        <v>852</v>
      </c>
      <c r="K701" s="2" t="s">
        <v>2125</v>
      </c>
    </row>
    <row r="702" spans="1:13" x14ac:dyDescent="0.25">
      <c r="A702" s="2" t="s">
        <v>3081</v>
      </c>
      <c r="B702" s="2" t="s">
        <v>21</v>
      </c>
      <c r="C702" s="2" t="s">
        <v>196</v>
      </c>
      <c r="D702" s="2" t="s">
        <v>3082</v>
      </c>
      <c r="E702" s="2" t="s">
        <v>648</v>
      </c>
      <c r="F702" s="2">
        <v>11.2272727272727</v>
      </c>
      <c r="G702" s="2">
        <v>121</v>
      </c>
      <c r="H702" s="2">
        <v>3200</v>
      </c>
      <c r="I702" s="2" t="s">
        <v>2065</v>
      </c>
      <c r="J702" s="2" t="s">
        <v>2066</v>
      </c>
      <c r="K702" s="2" t="s">
        <v>69</v>
      </c>
      <c r="L702" s="2" t="s">
        <v>364</v>
      </c>
      <c r="M702" s="2" t="s">
        <v>267</v>
      </c>
    </row>
    <row r="703" spans="1:13" x14ac:dyDescent="0.25">
      <c r="A703" s="2" t="s">
        <v>3083</v>
      </c>
      <c r="B703" s="2" t="s">
        <v>19</v>
      </c>
      <c r="C703" s="2" t="s">
        <v>3084</v>
      </c>
      <c r="D703" s="2" t="s">
        <v>3085</v>
      </c>
      <c r="E703" s="2" t="s">
        <v>3086</v>
      </c>
      <c r="F703" s="2">
        <v>8.5700002034505207</v>
      </c>
      <c r="G703" s="2">
        <v>30</v>
      </c>
      <c r="H703" s="2">
        <v>3100</v>
      </c>
      <c r="I703" s="2" t="s">
        <v>2075</v>
      </c>
      <c r="J703" s="2" t="s">
        <v>2076</v>
      </c>
      <c r="K703" s="2" t="s">
        <v>37</v>
      </c>
      <c r="L703" s="2" t="s">
        <v>200</v>
      </c>
      <c r="M703" s="2" t="s">
        <v>1690</v>
      </c>
    </row>
    <row r="704" spans="1:13" x14ac:dyDescent="0.25">
      <c r="A704" s="2" t="s">
        <v>3087</v>
      </c>
      <c r="B704" s="2" t="s">
        <v>22</v>
      </c>
      <c r="C704" s="2" t="s">
        <v>694</v>
      </c>
      <c r="D704" s="2" t="s">
        <v>168</v>
      </c>
      <c r="E704" s="2" t="s">
        <v>695</v>
      </c>
      <c r="F704" s="2">
        <v>8.5868850457863708</v>
      </c>
      <c r="G704" s="2">
        <v>61</v>
      </c>
      <c r="H704" s="2">
        <v>3100</v>
      </c>
      <c r="I704" s="2" t="s">
        <v>2097</v>
      </c>
      <c r="J704" s="2" t="s">
        <v>159</v>
      </c>
      <c r="K704" s="2" t="s">
        <v>853</v>
      </c>
    </row>
    <row r="705" spans="1:13" x14ac:dyDescent="0.25">
      <c r="A705" s="2" t="s">
        <v>3088</v>
      </c>
      <c r="B705" s="2" t="s">
        <v>17</v>
      </c>
      <c r="C705" s="2" t="s">
        <v>256</v>
      </c>
      <c r="D705" s="2" t="s">
        <v>1418</v>
      </c>
      <c r="E705" s="2" t="s">
        <v>1419</v>
      </c>
      <c r="F705" s="2">
        <v>9.7415933524612797</v>
      </c>
      <c r="G705" s="2">
        <v>113</v>
      </c>
      <c r="H705" s="2">
        <v>3100</v>
      </c>
      <c r="I705" s="2" t="s">
        <v>2108</v>
      </c>
      <c r="J705" s="2" t="s">
        <v>841</v>
      </c>
      <c r="K705" s="2" t="s">
        <v>856</v>
      </c>
    </row>
    <row r="706" spans="1:13" x14ac:dyDescent="0.25">
      <c r="A706" s="2" t="s">
        <v>3089</v>
      </c>
      <c r="B706" s="2" t="s">
        <v>22</v>
      </c>
      <c r="C706" s="2" t="s">
        <v>2005</v>
      </c>
      <c r="D706" s="2" t="s">
        <v>2006</v>
      </c>
      <c r="E706" s="2" t="s">
        <v>2007</v>
      </c>
      <c r="F706" s="2">
        <v>9.8216664632161397</v>
      </c>
      <c r="G706" s="2">
        <v>120</v>
      </c>
      <c r="H706" s="2">
        <v>3100</v>
      </c>
      <c r="I706" s="2" t="s">
        <v>2081</v>
      </c>
      <c r="J706" s="2" t="s">
        <v>76</v>
      </c>
      <c r="K706" s="2" t="s">
        <v>73</v>
      </c>
    </row>
    <row r="707" spans="1:13" x14ac:dyDescent="0.25">
      <c r="A707" s="2" t="s">
        <v>3090</v>
      </c>
      <c r="B707" s="2" t="s">
        <v>19</v>
      </c>
      <c r="C707" s="2" t="s">
        <v>316</v>
      </c>
      <c r="D707" s="2" t="s">
        <v>3091</v>
      </c>
      <c r="E707" s="2" t="s">
        <v>3092</v>
      </c>
      <c r="F707" s="2">
        <v>6.8403667484948398</v>
      </c>
      <c r="G707" s="2">
        <v>109</v>
      </c>
      <c r="H707" s="2">
        <v>3100</v>
      </c>
      <c r="I707" s="2" t="s">
        <v>2090</v>
      </c>
      <c r="J707" s="2" t="s">
        <v>2091</v>
      </c>
      <c r="K707" s="2" t="s">
        <v>844</v>
      </c>
    </row>
    <row r="708" spans="1:13" x14ac:dyDescent="0.25">
      <c r="A708" s="2" t="s">
        <v>3093</v>
      </c>
      <c r="B708" s="2" t="s">
        <v>19</v>
      </c>
      <c r="C708" s="2" t="s">
        <v>404</v>
      </c>
      <c r="D708" s="2" t="s">
        <v>2046</v>
      </c>
      <c r="E708" s="2" t="s">
        <v>2047</v>
      </c>
      <c r="F708" s="2">
        <v>8.9443034884295791</v>
      </c>
      <c r="G708" s="2">
        <v>79</v>
      </c>
      <c r="H708" s="2">
        <v>3100</v>
      </c>
      <c r="I708" s="2" t="s">
        <v>2070</v>
      </c>
      <c r="J708" s="2" t="s">
        <v>36</v>
      </c>
      <c r="K708" s="2" t="s">
        <v>848</v>
      </c>
      <c r="L708" s="2" t="s">
        <v>200</v>
      </c>
      <c r="M708" s="2" t="s">
        <v>551</v>
      </c>
    </row>
    <row r="709" spans="1:13" x14ac:dyDescent="0.25">
      <c r="A709" s="2" t="s">
        <v>3094</v>
      </c>
      <c r="B709" s="2" t="s">
        <v>19</v>
      </c>
      <c r="C709" s="2" t="s">
        <v>225</v>
      </c>
      <c r="D709" s="2" t="s">
        <v>2022</v>
      </c>
      <c r="E709" s="2" t="s">
        <v>2023</v>
      </c>
      <c r="F709" s="2">
        <v>8.4203539823008793</v>
      </c>
      <c r="G709" s="2">
        <v>113</v>
      </c>
      <c r="H709" s="2">
        <v>3100</v>
      </c>
      <c r="I709" s="2" t="s">
        <v>2079</v>
      </c>
      <c r="J709" s="2" t="s">
        <v>843</v>
      </c>
      <c r="K709" s="2" t="s">
        <v>855</v>
      </c>
    </row>
    <row r="710" spans="1:13" x14ac:dyDescent="0.25">
      <c r="A710" s="2" t="s">
        <v>3095</v>
      </c>
      <c r="B710" s="2" t="s">
        <v>21</v>
      </c>
      <c r="C710" s="2" t="s">
        <v>283</v>
      </c>
      <c r="D710" s="2" t="s">
        <v>2019</v>
      </c>
      <c r="E710" s="2" t="s">
        <v>2020</v>
      </c>
      <c r="F710" s="2">
        <v>8.6228813559322006</v>
      </c>
      <c r="G710" s="2">
        <v>118</v>
      </c>
      <c r="H710" s="2">
        <v>3100</v>
      </c>
      <c r="I710" s="2" t="s">
        <v>2079</v>
      </c>
      <c r="J710" s="2" t="s">
        <v>843</v>
      </c>
      <c r="K710" s="2" t="s">
        <v>855</v>
      </c>
    </row>
    <row r="711" spans="1:13" x14ac:dyDescent="0.25">
      <c r="A711" s="2" t="s">
        <v>3096</v>
      </c>
      <c r="B711" s="2" t="s">
        <v>1</v>
      </c>
      <c r="C711" s="2" t="s">
        <v>1024</v>
      </c>
      <c r="D711" s="2" t="s">
        <v>1592</v>
      </c>
      <c r="E711" s="2" t="s">
        <v>647</v>
      </c>
      <c r="F711" s="2">
        <v>2.3375000953674299</v>
      </c>
      <c r="G711" s="2">
        <v>8</v>
      </c>
      <c r="H711" s="2">
        <v>3100</v>
      </c>
      <c r="I711" s="2" t="s">
        <v>2090</v>
      </c>
      <c r="J711" s="2" t="s">
        <v>844</v>
      </c>
      <c r="K711" s="2" t="s">
        <v>2091</v>
      </c>
    </row>
    <row r="712" spans="1:13" x14ac:dyDescent="0.25">
      <c r="A712" s="2" t="s">
        <v>3097</v>
      </c>
      <c r="B712" s="2" t="s">
        <v>1</v>
      </c>
      <c r="C712" s="2" t="s">
        <v>3098</v>
      </c>
      <c r="D712" s="2" t="s">
        <v>3099</v>
      </c>
      <c r="E712" s="2" t="s">
        <v>3100</v>
      </c>
      <c r="F712" s="2">
        <v>8.8295235770089207</v>
      </c>
      <c r="G712" s="2">
        <v>105</v>
      </c>
      <c r="H712" s="2">
        <v>3100</v>
      </c>
      <c r="I712" s="2" t="s">
        <v>2065</v>
      </c>
      <c r="J712" s="2" t="s">
        <v>2066</v>
      </c>
      <c r="K712" s="2" t="s">
        <v>69</v>
      </c>
    </row>
    <row r="713" spans="1:13" x14ac:dyDescent="0.25">
      <c r="A713" s="2" t="s">
        <v>3101</v>
      </c>
      <c r="B713" s="2" t="s">
        <v>22</v>
      </c>
      <c r="C713" s="2" t="s">
        <v>1462</v>
      </c>
      <c r="D713" s="2" t="s">
        <v>3102</v>
      </c>
      <c r="E713" s="2" t="s">
        <v>3103</v>
      </c>
      <c r="F713" s="2">
        <v>9.12213134765625</v>
      </c>
      <c r="G713" s="2">
        <v>122</v>
      </c>
      <c r="H713" s="2">
        <v>3100</v>
      </c>
      <c r="I713" s="2" t="s">
        <v>2124</v>
      </c>
      <c r="J713" s="2" t="s">
        <v>2125</v>
      </c>
      <c r="K713" s="2" t="s">
        <v>852</v>
      </c>
    </row>
    <row r="714" spans="1:13" x14ac:dyDescent="0.25">
      <c r="A714" s="2" t="s">
        <v>3104</v>
      </c>
      <c r="B714" s="2" t="s">
        <v>20</v>
      </c>
      <c r="C714" s="2" t="s">
        <v>252</v>
      </c>
      <c r="D714" s="2" t="s">
        <v>1343</v>
      </c>
      <c r="E714" s="2" t="s">
        <v>1344</v>
      </c>
      <c r="F714" s="2">
        <v>11.0727276762654</v>
      </c>
      <c r="G714" s="2">
        <v>121</v>
      </c>
      <c r="H714" s="2">
        <v>3100</v>
      </c>
      <c r="I714" s="2" t="s">
        <v>2097</v>
      </c>
      <c r="J714" s="2" t="s">
        <v>853</v>
      </c>
      <c r="K714" s="2" t="s">
        <v>159</v>
      </c>
    </row>
    <row r="715" spans="1:13" x14ac:dyDescent="0.25">
      <c r="A715" s="2" t="s">
        <v>3105</v>
      </c>
      <c r="B715" s="2" t="s">
        <v>17</v>
      </c>
      <c r="C715" s="2" t="s">
        <v>211</v>
      </c>
      <c r="D715" s="2" t="s">
        <v>1425</v>
      </c>
      <c r="E715" s="2" t="s">
        <v>1051</v>
      </c>
      <c r="F715" s="2">
        <v>10.2307692307692</v>
      </c>
      <c r="G715" s="2">
        <v>91</v>
      </c>
      <c r="H715" s="2">
        <v>3100</v>
      </c>
      <c r="I715" s="2" t="s">
        <v>2124</v>
      </c>
      <c r="J715" s="2" t="s">
        <v>852</v>
      </c>
      <c r="K715" s="2" t="s">
        <v>2125</v>
      </c>
    </row>
    <row r="716" spans="1:13" x14ac:dyDescent="0.25">
      <c r="A716" s="2" t="s">
        <v>3106</v>
      </c>
      <c r="B716" s="2" t="s">
        <v>20</v>
      </c>
      <c r="C716" s="2" t="s">
        <v>308</v>
      </c>
      <c r="D716" s="2" t="s">
        <v>3107</v>
      </c>
      <c r="E716" s="2" t="s">
        <v>3108</v>
      </c>
      <c r="F716" s="2">
        <v>7.99120892535199</v>
      </c>
      <c r="G716" s="2">
        <v>91</v>
      </c>
      <c r="H716" s="2">
        <v>3100</v>
      </c>
      <c r="I716" s="2" t="s">
        <v>2124</v>
      </c>
      <c r="J716" s="2" t="s">
        <v>2125</v>
      </c>
      <c r="K716" s="2" t="s">
        <v>852</v>
      </c>
    </row>
    <row r="717" spans="1:13" x14ac:dyDescent="0.25">
      <c r="A717" s="2" t="s">
        <v>3109</v>
      </c>
      <c r="B717" s="2" t="s">
        <v>17</v>
      </c>
      <c r="C717" s="2" t="s">
        <v>1426</v>
      </c>
      <c r="D717" s="2" t="s">
        <v>1427</v>
      </c>
      <c r="E717" s="2" t="s">
        <v>772</v>
      </c>
      <c r="F717" s="2">
        <v>10.096225954451601</v>
      </c>
      <c r="G717" s="2">
        <v>53</v>
      </c>
      <c r="H717" s="2">
        <v>3100</v>
      </c>
      <c r="I717" s="2" t="s">
        <v>2108</v>
      </c>
      <c r="J717" s="2" t="s">
        <v>856</v>
      </c>
      <c r="K717" s="2" t="s">
        <v>841</v>
      </c>
    </row>
    <row r="718" spans="1:13" x14ac:dyDescent="0.25">
      <c r="A718" s="2" t="s">
        <v>3110</v>
      </c>
      <c r="B718" s="2" t="s">
        <v>17</v>
      </c>
      <c r="C718" s="2" t="s">
        <v>394</v>
      </c>
      <c r="D718" s="2" t="s">
        <v>1484</v>
      </c>
      <c r="E718" s="2" t="s">
        <v>1350</v>
      </c>
      <c r="F718" s="2">
        <v>8.4105770404522193</v>
      </c>
      <c r="G718" s="2">
        <v>104</v>
      </c>
      <c r="H718" s="2">
        <v>3100</v>
      </c>
      <c r="I718" s="2" t="s">
        <v>2108</v>
      </c>
      <c r="J718" s="2" t="s">
        <v>856</v>
      </c>
      <c r="K718" s="2" t="s">
        <v>841</v>
      </c>
      <c r="L718" s="2" t="s">
        <v>200</v>
      </c>
      <c r="M718" s="2" t="s">
        <v>551</v>
      </c>
    </row>
    <row r="719" spans="1:13" x14ac:dyDescent="0.25">
      <c r="A719" s="2" t="s">
        <v>3111</v>
      </c>
      <c r="B719" s="2" t="s">
        <v>21</v>
      </c>
      <c r="C719" s="2" t="s">
        <v>718</v>
      </c>
      <c r="D719" s="2" t="s">
        <v>3112</v>
      </c>
      <c r="E719" s="2" t="s">
        <v>518</v>
      </c>
      <c r="F719" s="2">
        <v>7.9655464236475799</v>
      </c>
      <c r="G719" s="2">
        <v>119</v>
      </c>
      <c r="H719" s="2">
        <v>3100</v>
      </c>
      <c r="I719" s="2" t="s">
        <v>2075</v>
      </c>
      <c r="J719" s="2" t="s">
        <v>2076</v>
      </c>
      <c r="K719" s="2" t="s">
        <v>37</v>
      </c>
      <c r="L719" s="2" t="s">
        <v>364</v>
      </c>
      <c r="M719" s="2" t="s">
        <v>551</v>
      </c>
    </row>
    <row r="720" spans="1:13" x14ac:dyDescent="0.25">
      <c r="A720" s="2" t="s">
        <v>3113</v>
      </c>
      <c r="B720" s="2" t="s">
        <v>19</v>
      </c>
      <c r="C720" s="2" t="s">
        <v>659</v>
      </c>
      <c r="D720" s="2" t="s">
        <v>88</v>
      </c>
      <c r="E720" s="2" t="s">
        <v>660</v>
      </c>
      <c r="F720" s="2">
        <v>10.3852459016393</v>
      </c>
      <c r="G720" s="2">
        <v>122</v>
      </c>
      <c r="H720" s="2">
        <v>3100</v>
      </c>
      <c r="I720" s="2" t="s">
        <v>2081</v>
      </c>
      <c r="J720" s="2" t="s">
        <v>76</v>
      </c>
      <c r="K720" s="2" t="s">
        <v>73</v>
      </c>
    </row>
    <row r="721" spans="1:13" x14ac:dyDescent="0.25">
      <c r="A721" s="2" t="s">
        <v>3114</v>
      </c>
      <c r="B721" s="2" t="s">
        <v>20</v>
      </c>
      <c r="C721" s="2" t="s">
        <v>750</v>
      </c>
      <c r="D721" s="2" t="s">
        <v>1487</v>
      </c>
      <c r="E721" s="2" t="s">
        <v>1488</v>
      </c>
      <c r="F721" s="2">
        <v>7.1749998947669704</v>
      </c>
      <c r="G721" s="2">
        <v>116</v>
      </c>
      <c r="H721" s="2">
        <v>3100</v>
      </c>
      <c r="I721" s="2" t="s">
        <v>1783</v>
      </c>
      <c r="J721" s="2" t="s">
        <v>840</v>
      </c>
      <c r="K721" s="2" t="s">
        <v>861</v>
      </c>
    </row>
    <row r="722" spans="1:13" x14ac:dyDescent="0.25">
      <c r="A722" s="2" t="s">
        <v>3115</v>
      </c>
      <c r="B722" s="2" t="s">
        <v>22</v>
      </c>
      <c r="C722" s="2" t="s">
        <v>252</v>
      </c>
      <c r="D722" s="2" t="s">
        <v>1459</v>
      </c>
      <c r="E722" s="2" t="s">
        <v>1460</v>
      </c>
      <c r="F722" s="2">
        <v>9.4008767646655702</v>
      </c>
      <c r="G722" s="2">
        <v>114</v>
      </c>
      <c r="H722" s="2">
        <v>3100</v>
      </c>
      <c r="I722" s="2" t="s">
        <v>2124</v>
      </c>
      <c r="J722" s="2" t="s">
        <v>852</v>
      </c>
      <c r="K722" s="2" t="s">
        <v>2125</v>
      </c>
    </row>
    <row r="723" spans="1:13" x14ac:dyDescent="0.25">
      <c r="A723" s="2" t="s">
        <v>3116</v>
      </c>
      <c r="B723" s="2" t="s">
        <v>21</v>
      </c>
      <c r="C723" s="2" t="s">
        <v>1432</v>
      </c>
      <c r="D723" s="2" t="s">
        <v>1433</v>
      </c>
      <c r="E723" s="2" t="s">
        <v>1434</v>
      </c>
      <c r="F723" s="2">
        <v>10.075228909833699</v>
      </c>
      <c r="G723" s="2">
        <v>109</v>
      </c>
      <c r="H723" s="2">
        <v>3100</v>
      </c>
      <c r="I723" s="2" t="s">
        <v>2072</v>
      </c>
      <c r="J723" s="2" t="s">
        <v>842</v>
      </c>
      <c r="K723" s="2" t="s">
        <v>74</v>
      </c>
    </row>
    <row r="724" spans="1:13" x14ac:dyDescent="0.25">
      <c r="A724" s="2" t="s">
        <v>3117</v>
      </c>
      <c r="B724" s="2" t="s">
        <v>20</v>
      </c>
      <c r="C724" s="2" t="s">
        <v>330</v>
      </c>
      <c r="D724" s="2" t="s">
        <v>92</v>
      </c>
      <c r="E724" s="2" t="s">
        <v>648</v>
      </c>
      <c r="F724" s="2">
        <v>9.5685035525344393</v>
      </c>
      <c r="G724" s="2">
        <v>127</v>
      </c>
      <c r="H724" s="2">
        <v>3100</v>
      </c>
      <c r="I724" s="2" t="s">
        <v>2081</v>
      </c>
      <c r="J724" s="2" t="s">
        <v>76</v>
      </c>
      <c r="K724" s="2" t="s">
        <v>73</v>
      </c>
    </row>
    <row r="725" spans="1:13" x14ac:dyDescent="0.25">
      <c r="A725" s="2" t="s">
        <v>3118</v>
      </c>
      <c r="B725" s="2" t="s">
        <v>20</v>
      </c>
      <c r="C725" s="2" t="s">
        <v>717</v>
      </c>
      <c r="D725" s="2" t="s">
        <v>1329</v>
      </c>
      <c r="E725" s="2" t="s">
        <v>595</v>
      </c>
      <c r="F725" s="2">
        <v>12.137606628939601</v>
      </c>
      <c r="G725" s="2">
        <v>117</v>
      </c>
      <c r="H725" s="2">
        <v>3100</v>
      </c>
      <c r="I725" s="2" t="s">
        <v>2068</v>
      </c>
      <c r="J725" s="2" t="s">
        <v>860</v>
      </c>
      <c r="K725" s="2" t="s">
        <v>38</v>
      </c>
      <c r="L725" s="2" t="s">
        <v>364</v>
      </c>
      <c r="M725" s="2" t="s">
        <v>301</v>
      </c>
    </row>
    <row r="726" spans="1:13" x14ac:dyDescent="0.25">
      <c r="A726" s="2" t="s">
        <v>3119</v>
      </c>
      <c r="B726" s="2" t="s">
        <v>21</v>
      </c>
      <c r="C726" s="2" t="s">
        <v>560</v>
      </c>
      <c r="D726" s="2" t="s">
        <v>1478</v>
      </c>
      <c r="E726" s="2" t="s">
        <v>1479</v>
      </c>
      <c r="F726" s="2">
        <v>5.0978260869565197</v>
      </c>
      <c r="G726" s="2">
        <v>92</v>
      </c>
      <c r="H726" s="2">
        <v>3000</v>
      </c>
      <c r="I726" s="2" t="s">
        <v>2090</v>
      </c>
      <c r="J726" s="2" t="s">
        <v>844</v>
      </c>
      <c r="K726" s="2" t="s">
        <v>2091</v>
      </c>
    </row>
    <row r="727" spans="1:13" x14ac:dyDescent="0.25">
      <c r="A727" s="2" t="s">
        <v>3120</v>
      </c>
      <c r="B727" s="2" t="s">
        <v>17</v>
      </c>
      <c r="C727" s="2" t="s">
        <v>670</v>
      </c>
      <c r="D727" s="2" t="s">
        <v>53</v>
      </c>
      <c r="E727" s="2" t="s">
        <v>671</v>
      </c>
      <c r="F727" s="2">
        <v>9.3774197486139101</v>
      </c>
      <c r="G727" s="2">
        <v>124</v>
      </c>
      <c r="H727" s="2">
        <v>3000</v>
      </c>
      <c r="I727" s="2" t="s">
        <v>2106</v>
      </c>
      <c r="J727" s="2" t="s">
        <v>34</v>
      </c>
      <c r="K727" s="2" t="s">
        <v>35</v>
      </c>
    </row>
    <row r="728" spans="1:13" x14ac:dyDescent="0.25">
      <c r="A728" s="2" t="s">
        <v>3121</v>
      </c>
      <c r="B728" s="2" t="s">
        <v>22</v>
      </c>
      <c r="C728" s="2" t="s">
        <v>283</v>
      </c>
      <c r="D728" s="2" t="s">
        <v>1986</v>
      </c>
      <c r="E728" s="2" t="s">
        <v>1987</v>
      </c>
      <c r="F728" s="2">
        <v>10.952884380634</v>
      </c>
      <c r="G728" s="2">
        <v>104</v>
      </c>
      <c r="H728" s="2">
        <v>3000</v>
      </c>
      <c r="I728" s="2" t="s">
        <v>2079</v>
      </c>
      <c r="J728" s="2" t="s">
        <v>843</v>
      </c>
      <c r="K728" s="2" t="s">
        <v>855</v>
      </c>
      <c r="L728" s="2" t="s">
        <v>200</v>
      </c>
      <c r="M728" s="2" t="s">
        <v>767</v>
      </c>
    </row>
    <row r="729" spans="1:13" x14ac:dyDescent="0.25">
      <c r="A729" s="2" t="s">
        <v>3122</v>
      </c>
      <c r="B729" s="2" t="s">
        <v>17</v>
      </c>
      <c r="C729" s="2" t="s">
        <v>2000</v>
      </c>
      <c r="D729" s="2" t="s">
        <v>2001</v>
      </c>
      <c r="E729" s="2" t="s">
        <v>2002</v>
      </c>
      <c r="F729" s="2">
        <v>10.567187309265099</v>
      </c>
      <c r="G729" s="2">
        <v>64</v>
      </c>
      <c r="H729" s="2">
        <v>3000</v>
      </c>
      <c r="I729" s="2" t="s">
        <v>2070</v>
      </c>
      <c r="J729" s="2" t="s">
        <v>36</v>
      </c>
      <c r="K729" s="2" t="s">
        <v>848</v>
      </c>
    </row>
    <row r="730" spans="1:13" x14ac:dyDescent="0.25">
      <c r="A730" s="2" t="s">
        <v>3123</v>
      </c>
      <c r="B730" s="2" t="s">
        <v>22</v>
      </c>
      <c r="C730" s="2" t="s">
        <v>495</v>
      </c>
      <c r="D730" s="2" t="s">
        <v>1336</v>
      </c>
      <c r="E730" s="2" t="s">
        <v>1337</v>
      </c>
      <c r="F730" s="2">
        <v>11.0629314554148</v>
      </c>
      <c r="G730" s="2">
        <v>116</v>
      </c>
      <c r="H730" s="2">
        <v>3000</v>
      </c>
      <c r="I730" s="2" t="s">
        <v>2068</v>
      </c>
      <c r="J730" s="2" t="s">
        <v>860</v>
      </c>
      <c r="K730" s="2" t="s">
        <v>38</v>
      </c>
    </row>
    <row r="731" spans="1:13" x14ac:dyDescent="0.25">
      <c r="A731" s="2" t="s">
        <v>3124</v>
      </c>
      <c r="B731" s="2" t="s">
        <v>1</v>
      </c>
      <c r="C731" s="2" t="s">
        <v>659</v>
      </c>
      <c r="D731" s="2" t="s">
        <v>1497</v>
      </c>
      <c r="E731" s="2" t="s">
        <v>1498</v>
      </c>
      <c r="F731" s="2">
        <v>9.6602944766773895</v>
      </c>
      <c r="G731" s="2">
        <v>68</v>
      </c>
      <c r="H731" s="2">
        <v>3000</v>
      </c>
      <c r="I731" s="2" t="s">
        <v>2124</v>
      </c>
      <c r="J731" s="2" t="s">
        <v>852</v>
      </c>
      <c r="K731" s="2" t="s">
        <v>2125</v>
      </c>
    </row>
    <row r="732" spans="1:13" x14ac:dyDescent="0.25">
      <c r="A732" s="2" t="s">
        <v>3125</v>
      </c>
      <c r="B732" s="2" t="s">
        <v>19</v>
      </c>
      <c r="C732" s="2" t="s">
        <v>1544</v>
      </c>
      <c r="D732" s="2" t="s">
        <v>1545</v>
      </c>
      <c r="E732" s="2" t="s">
        <v>1546</v>
      </c>
      <c r="F732" s="2">
        <v>3.74268285239615</v>
      </c>
      <c r="G732" s="2">
        <v>82</v>
      </c>
      <c r="H732" s="2">
        <v>3000</v>
      </c>
      <c r="I732" s="2" t="s">
        <v>2090</v>
      </c>
      <c r="J732" s="2" t="s">
        <v>844</v>
      </c>
      <c r="K732" s="2" t="s">
        <v>2091</v>
      </c>
    </row>
    <row r="733" spans="1:13" x14ac:dyDescent="0.25">
      <c r="A733" s="2" t="s">
        <v>3126</v>
      </c>
      <c r="B733" s="2" t="s">
        <v>21</v>
      </c>
      <c r="C733" s="2" t="s">
        <v>781</v>
      </c>
      <c r="D733" s="2" t="s">
        <v>146</v>
      </c>
      <c r="E733" s="2" t="s">
        <v>782</v>
      </c>
      <c r="F733" s="2">
        <v>6.2904111261237103</v>
      </c>
      <c r="G733" s="2">
        <v>73</v>
      </c>
      <c r="H733" s="2">
        <v>3000</v>
      </c>
      <c r="I733" s="2" t="s">
        <v>2075</v>
      </c>
      <c r="J733" s="2" t="s">
        <v>37</v>
      </c>
      <c r="K733" s="2" t="s">
        <v>2076</v>
      </c>
    </row>
    <row r="734" spans="1:13" x14ac:dyDescent="0.25">
      <c r="A734" s="2" t="s">
        <v>3127</v>
      </c>
      <c r="B734" s="2" t="s">
        <v>19</v>
      </c>
      <c r="C734" s="2" t="s">
        <v>424</v>
      </c>
      <c r="D734" s="2" t="s">
        <v>3128</v>
      </c>
      <c r="E734" s="2" t="s">
        <v>3129</v>
      </c>
      <c r="F734" s="2">
        <v>8.0499997346297505</v>
      </c>
      <c r="G734" s="2">
        <v>92</v>
      </c>
      <c r="H734" s="2">
        <v>3000</v>
      </c>
      <c r="I734" s="2" t="s">
        <v>2065</v>
      </c>
      <c r="J734" s="2" t="s">
        <v>2066</v>
      </c>
      <c r="K734" s="2" t="s">
        <v>69</v>
      </c>
    </row>
    <row r="735" spans="1:13" x14ac:dyDescent="0.25">
      <c r="A735" s="2" t="s">
        <v>3130</v>
      </c>
      <c r="B735" s="2" t="s">
        <v>20</v>
      </c>
      <c r="C735" s="2" t="s">
        <v>337</v>
      </c>
      <c r="D735" s="2" t="s">
        <v>3131</v>
      </c>
      <c r="E735" s="2" t="s">
        <v>3132</v>
      </c>
      <c r="F735" s="2">
        <v>5.4250001907348597</v>
      </c>
      <c r="G735" s="2">
        <v>4</v>
      </c>
      <c r="H735" s="2">
        <v>3000</v>
      </c>
      <c r="I735" s="2" t="s">
        <v>2090</v>
      </c>
      <c r="J735" s="2" t="s">
        <v>844</v>
      </c>
      <c r="K735" s="2" t="s">
        <v>2091</v>
      </c>
    </row>
    <row r="736" spans="1:13" x14ac:dyDescent="0.25">
      <c r="A736" s="2" t="s">
        <v>3133</v>
      </c>
      <c r="B736" s="2" t="s">
        <v>17</v>
      </c>
      <c r="C736" s="2" t="s">
        <v>252</v>
      </c>
      <c r="D736" s="2" t="s">
        <v>1568</v>
      </c>
      <c r="E736" s="2" t="s">
        <v>1569</v>
      </c>
      <c r="F736" s="2">
        <v>2.15</v>
      </c>
      <c r="G736" s="2">
        <v>10</v>
      </c>
      <c r="H736" s="2">
        <v>3000</v>
      </c>
      <c r="I736" s="2" t="s">
        <v>2090</v>
      </c>
      <c r="J736" s="2" t="s">
        <v>844</v>
      </c>
      <c r="K736" s="2" t="s">
        <v>2091</v>
      </c>
    </row>
    <row r="737" spans="1:13" x14ac:dyDescent="0.25">
      <c r="A737" s="2" t="s">
        <v>3134</v>
      </c>
      <c r="B737" s="2" t="s">
        <v>17</v>
      </c>
      <c r="C737" s="2" t="s">
        <v>211</v>
      </c>
      <c r="D737" s="2" t="s">
        <v>1422</v>
      </c>
      <c r="E737" s="2" t="s">
        <v>216</v>
      </c>
      <c r="F737" s="2">
        <v>7.6769911504424702</v>
      </c>
      <c r="G737" s="2">
        <v>113</v>
      </c>
      <c r="H737" s="2">
        <v>3000</v>
      </c>
      <c r="I737" s="2" t="s">
        <v>2090</v>
      </c>
      <c r="J737" s="2" t="s">
        <v>844</v>
      </c>
      <c r="K737" s="2" t="s">
        <v>2091</v>
      </c>
    </row>
    <row r="738" spans="1:13" x14ac:dyDescent="0.25">
      <c r="A738" s="2" t="s">
        <v>3135</v>
      </c>
      <c r="B738" s="2" t="s">
        <v>20</v>
      </c>
      <c r="C738" s="2" t="s">
        <v>1388</v>
      </c>
      <c r="D738" s="2" t="s">
        <v>1389</v>
      </c>
      <c r="E738" s="2" t="s">
        <v>1390</v>
      </c>
      <c r="F738" s="2">
        <v>10.1779525636688</v>
      </c>
      <c r="G738" s="2">
        <v>127</v>
      </c>
      <c r="H738" s="2">
        <v>3000</v>
      </c>
      <c r="I738" s="2" t="s">
        <v>2070</v>
      </c>
      <c r="J738" s="2" t="s">
        <v>848</v>
      </c>
      <c r="K738" s="2" t="s">
        <v>36</v>
      </c>
    </row>
    <row r="739" spans="1:13" x14ac:dyDescent="0.25">
      <c r="A739" s="2" t="s">
        <v>3136</v>
      </c>
      <c r="B739" s="2" t="s">
        <v>21</v>
      </c>
      <c r="C739" s="2" t="s">
        <v>1547</v>
      </c>
      <c r="D739" s="2" t="s">
        <v>1548</v>
      </c>
      <c r="E739" s="2" t="s">
        <v>1549</v>
      </c>
      <c r="F739" s="2">
        <v>0.51666665077209395</v>
      </c>
      <c r="G739" s="2">
        <v>12</v>
      </c>
      <c r="H739" s="2">
        <v>3000</v>
      </c>
      <c r="I739" s="2" t="s">
        <v>2090</v>
      </c>
      <c r="J739" s="2" t="s">
        <v>844</v>
      </c>
      <c r="K739" s="2" t="s">
        <v>2091</v>
      </c>
    </row>
    <row r="740" spans="1:13" x14ac:dyDescent="0.25">
      <c r="A740" s="2" t="s">
        <v>3137</v>
      </c>
      <c r="B740" s="2" t="s">
        <v>19</v>
      </c>
      <c r="C740" s="2" t="s">
        <v>1345</v>
      </c>
      <c r="D740" s="2" t="s">
        <v>1346</v>
      </c>
      <c r="E740" s="2" t="s">
        <v>1347</v>
      </c>
      <c r="F740" s="2">
        <v>9.3360898584351499</v>
      </c>
      <c r="G740" s="2">
        <v>133</v>
      </c>
      <c r="H740" s="2">
        <v>3000</v>
      </c>
      <c r="I740" s="2" t="s">
        <v>2124</v>
      </c>
      <c r="J740" s="2" t="s">
        <v>852</v>
      </c>
      <c r="K740" s="2" t="s">
        <v>2125</v>
      </c>
    </row>
    <row r="741" spans="1:13" x14ac:dyDescent="0.25">
      <c r="A741" s="2" t="s">
        <v>3138</v>
      </c>
      <c r="B741" s="2" t="s">
        <v>21</v>
      </c>
      <c r="C741" s="2" t="s">
        <v>652</v>
      </c>
      <c r="D741" s="2" t="s">
        <v>1428</v>
      </c>
      <c r="E741" s="2" t="s">
        <v>1429</v>
      </c>
      <c r="F741" s="2">
        <v>8.7660378510097292</v>
      </c>
      <c r="G741" s="2">
        <v>106</v>
      </c>
      <c r="H741" s="2">
        <v>3000</v>
      </c>
      <c r="I741" s="2" t="s">
        <v>2068</v>
      </c>
      <c r="J741" s="2" t="s">
        <v>860</v>
      </c>
      <c r="K741" s="2" t="s">
        <v>38</v>
      </c>
    </row>
    <row r="742" spans="1:13" x14ac:dyDescent="0.25">
      <c r="A742" s="2" t="s">
        <v>3139</v>
      </c>
      <c r="B742" s="2" t="s">
        <v>20</v>
      </c>
      <c r="C742" s="2" t="s">
        <v>3140</v>
      </c>
      <c r="D742" s="2" t="s">
        <v>3141</v>
      </c>
      <c r="E742" s="2" t="s">
        <v>688</v>
      </c>
      <c r="F742" s="2">
        <v>8.5629210739992896</v>
      </c>
      <c r="G742" s="2">
        <v>89</v>
      </c>
      <c r="H742" s="2">
        <v>3000</v>
      </c>
      <c r="I742" s="2" t="s">
        <v>2124</v>
      </c>
      <c r="J742" s="2" t="s">
        <v>2125</v>
      </c>
      <c r="K742" s="2" t="s">
        <v>852</v>
      </c>
      <c r="L742" s="2" t="s">
        <v>200</v>
      </c>
      <c r="M742" s="2" t="s">
        <v>681</v>
      </c>
    </row>
    <row r="743" spans="1:13" x14ac:dyDescent="0.25">
      <c r="A743" s="2" t="s">
        <v>3142</v>
      </c>
      <c r="B743" s="2" t="s">
        <v>1</v>
      </c>
      <c r="C743" s="2" t="s">
        <v>745</v>
      </c>
      <c r="D743" s="2" t="s">
        <v>3143</v>
      </c>
      <c r="E743" s="2" t="s">
        <v>3144</v>
      </c>
      <c r="F743" s="2">
        <v>5.3637932086813001</v>
      </c>
      <c r="G743" s="2">
        <v>58</v>
      </c>
      <c r="H743" s="2">
        <v>3000</v>
      </c>
      <c r="I743" s="2" t="s">
        <v>2090</v>
      </c>
      <c r="J743" s="2" t="s">
        <v>2091</v>
      </c>
      <c r="K743" s="2" t="s">
        <v>844</v>
      </c>
      <c r="L743" s="2" t="s">
        <v>200</v>
      </c>
      <c r="M743" s="2" t="s">
        <v>493</v>
      </c>
    </row>
    <row r="744" spans="1:13" x14ac:dyDescent="0.25">
      <c r="A744" s="2" t="s">
        <v>3145</v>
      </c>
      <c r="B744" s="2" t="s">
        <v>17</v>
      </c>
      <c r="C744" s="2" t="s">
        <v>1574</v>
      </c>
      <c r="D744" s="2" t="s">
        <v>1575</v>
      </c>
      <c r="E744" s="2" t="s">
        <v>1576</v>
      </c>
      <c r="F744" s="2">
        <v>6.2999998848393197</v>
      </c>
      <c r="G744" s="2">
        <v>53</v>
      </c>
      <c r="H744" s="2">
        <v>3000</v>
      </c>
      <c r="I744" s="2" t="s">
        <v>2090</v>
      </c>
      <c r="J744" s="2" t="s">
        <v>844</v>
      </c>
      <c r="K744" s="2" t="s">
        <v>2091</v>
      </c>
    </row>
    <row r="745" spans="1:13" x14ac:dyDescent="0.25">
      <c r="A745" s="2" t="s">
        <v>3146</v>
      </c>
      <c r="B745" s="2" t="s">
        <v>1</v>
      </c>
      <c r="C745" s="2" t="s">
        <v>420</v>
      </c>
      <c r="D745" s="2" t="s">
        <v>1599</v>
      </c>
      <c r="E745" s="2" t="s">
        <v>1600</v>
      </c>
      <c r="F745" s="2">
        <v>6.0142857142857098</v>
      </c>
      <c r="G745" s="2">
        <v>70</v>
      </c>
      <c r="H745" s="2">
        <v>3000</v>
      </c>
      <c r="I745" s="2" t="s">
        <v>2090</v>
      </c>
      <c r="J745" s="2" t="s">
        <v>844</v>
      </c>
      <c r="K745" s="2" t="s">
        <v>2091</v>
      </c>
    </row>
    <row r="746" spans="1:13" x14ac:dyDescent="0.25">
      <c r="A746" s="2" t="s">
        <v>3147</v>
      </c>
      <c r="B746" s="2" t="s">
        <v>19</v>
      </c>
      <c r="C746" s="2" t="s">
        <v>665</v>
      </c>
      <c r="D746" s="2" t="s">
        <v>93</v>
      </c>
      <c r="E746" s="2" t="s">
        <v>666</v>
      </c>
      <c r="F746" s="2">
        <v>10.167442144349501</v>
      </c>
      <c r="G746" s="2">
        <v>86</v>
      </c>
      <c r="H746" s="2">
        <v>3000</v>
      </c>
      <c r="I746" s="2" t="s">
        <v>2072</v>
      </c>
      <c r="J746" s="2" t="s">
        <v>74</v>
      </c>
      <c r="K746" s="2" t="s">
        <v>842</v>
      </c>
    </row>
    <row r="747" spans="1:13" x14ac:dyDescent="0.25">
      <c r="A747" s="2" t="s">
        <v>3148</v>
      </c>
      <c r="B747" s="2" t="s">
        <v>17</v>
      </c>
      <c r="C747" s="2" t="s">
        <v>519</v>
      </c>
      <c r="D747" s="2" t="s">
        <v>49</v>
      </c>
      <c r="E747" s="2" t="s">
        <v>696</v>
      </c>
      <c r="F747" s="2">
        <v>10.54</v>
      </c>
      <c r="G747" s="2">
        <v>50</v>
      </c>
      <c r="H747" s="2">
        <v>3000</v>
      </c>
      <c r="I747" s="2" t="s">
        <v>2068</v>
      </c>
      <c r="J747" s="2" t="s">
        <v>38</v>
      </c>
      <c r="K747" s="2" t="s">
        <v>860</v>
      </c>
    </row>
    <row r="748" spans="1:13" x14ac:dyDescent="0.25">
      <c r="A748" s="2" t="s">
        <v>3149</v>
      </c>
      <c r="B748" s="2" t="s">
        <v>17</v>
      </c>
      <c r="C748" s="2" t="s">
        <v>3150</v>
      </c>
      <c r="D748" s="2" t="s">
        <v>3151</v>
      </c>
      <c r="E748" s="2" t="s">
        <v>3152</v>
      </c>
      <c r="F748" s="2">
        <v>4.8499999999999996</v>
      </c>
      <c r="G748" s="2">
        <v>40</v>
      </c>
      <c r="H748" s="2">
        <v>3000</v>
      </c>
      <c r="I748" s="2" t="s">
        <v>2090</v>
      </c>
      <c r="J748" s="2" t="s">
        <v>2091</v>
      </c>
      <c r="K748" s="2" t="s">
        <v>844</v>
      </c>
    </row>
    <row r="749" spans="1:13" x14ac:dyDescent="0.25">
      <c r="A749" s="2" t="s">
        <v>3153</v>
      </c>
      <c r="B749" s="2" t="s">
        <v>17</v>
      </c>
      <c r="C749" s="2" t="s">
        <v>337</v>
      </c>
      <c r="D749" s="2" t="s">
        <v>1310</v>
      </c>
      <c r="E749" s="2" t="s">
        <v>1311</v>
      </c>
      <c r="F749" s="2">
        <v>10.7192304562299</v>
      </c>
      <c r="G749" s="2">
        <v>78</v>
      </c>
      <c r="H749" s="2">
        <v>3000</v>
      </c>
      <c r="I749" s="2" t="s">
        <v>2068</v>
      </c>
      <c r="J749" s="2" t="s">
        <v>860</v>
      </c>
      <c r="K749" s="2" t="s">
        <v>38</v>
      </c>
    </row>
    <row r="750" spans="1:13" x14ac:dyDescent="0.25">
      <c r="A750" s="2" t="s">
        <v>3154</v>
      </c>
      <c r="B750" s="2" t="s">
        <v>1</v>
      </c>
      <c r="C750" s="2" t="s">
        <v>337</v>
      </c>
      <c r="D750" s="2" t="s">
        <v>1607</v>
      </c>
      <c r="E750" s="2" t="s">
        <v>1608</v>
      </c>
      <c r="F750" s="2">
        <v>6.3533335367838504</v>
      </c>
      <c r="G750" s="2">
        <v>30</v>
      </c>
      <c r="H750" s="2">
        <v>3000</v>
      </c>
      <c r="I750" s="2" t="s">
        <v>2090</v>
      </c>
      <c r="J750" s="2" t="s">
        <v>844</v>
      </c>
      <c r="K750" s="2" t="s">
        <v>2091</v>
      </c>
      <c r="L750" s="2" t="s">
        <v>200</v>
      </c>
      <c r="M750" s="2" t="s">
        <v>568</v>
      </c>
    </row>
    <row r="751" spans="1:13" x14ac:dyDescent="0.25">
      <c r="A751" s="2" t="s">
        <v>3155</v>
      </c>
      <c r="B751" s="2" t="s">
        <v>17</v>
      </c>
      <c r="C751" s="2" t="s">
        <v>3156</v>
      </c>
      <c r="D751" s="2" t="s">
        <v>3157</v>
      </c>
      <c r="E751" s="2" t="s">
        <v>3158</v>
      </c>
      <c r="F751" s="2">
        <v>4.59999993506898</v>
      </c>
      <c r="G751" s="2">
        <v>47</v>
      </c>
      <c r="H751" s="2">
        <v>3000</v>
      </c>
      <c r="I751" s="2" t="s">
        <v>2090</v>
      </c>
      <c r="J751" s="2" t="s">
        <v>2091</v>
      </c>
      <c r="K751" s="2" t="s">
        <v>844</v>
      </c>
    </row>
    <row r="752" spans="1:13" x14ac:dyDescent="0.25">
      <c r="A752" s="2" t="s">
        <v>3159</v>
      </c>
      <c r="B752" s="2" t="s">
        <v>17</v>
      </c>
      <c r="C752" s="2" t="s">
        <v>1469</v>
      </c>
      <c r="D752" s="2" t="s">
        <v>1470</v>
      </c>
      <c r="E752" s="2" t="s">
        <v>617</v>
      </c>
      <c r="F752" s="2">
        <v>10.3279409969554</v>
      </c>
      <c r="G752" s="2">
        <v>68</v>
      </c>
      <c r="H752" s="2">
        <v>3000</v>
      </c>
      <c r="I752" s="2" t="s">
        <v>2068</v>
      </c>
      <c r="J752" s="2" t="s">
        <v>38</v>
      </c>
      <c r="K752" s="2" t="s">
        <v>860</v>
      </c>
    </row>
    <row r="753" spans="1:13" x14ac:dyDescent="0.25">
      <c r="A753" s="2" t="s">
        <v>3160</v>
      </c>
      <c r="B753" s="2" t="s">
        <v>17</v>
      </c>
      <c r="C753" s="2" t="s">
        <v>774</v>
      </c>
      <c r="D753" s="2" t="s">
        <v>3161</v>
      </c>
      <c r="E753" s="2" t="s">
        <v>3162</v>
      </c>
      <c r="F753" s="2">
        <v>4.2363637288411402</v>
      </c>
      <c r="G753" s="2">
        <v>33</v>
      </c>
      <c r="H753" s="2">
        <v>3000</v>
      </c>
      <c r="I753" s="2" t="s">
        <v>2090</v>
      </c>
      <c r="J753" s="2" t="s">
        <v>2091</v>
      </c>
      <c r="K753" s="2" t="s">
        <v>844</v>
      </c>
    </row>
    <row r="754" spans="1:13" x14ac:dyDescent="0.25">
      <c r="A754" s="2" t="s">
        <v>3163</v>
      </c>
      <c r="B754" s="2" t="s">
        <v>17</v>
      </c>
      <c r="C754" s="2" t="s">
        <v>394</v>
      </c>
      <c r="D754" s="2" t="s">
        <v>94</v>
      </c>
      <c r="E754" s="2" t="s">
        <v>699</v>
      </c>
      <c r="F754" s="2">
        <v>7.0705264442845399</v>
      </c>
      <c r="G754" s="2">
        <v>95</v>
      </c>
      <c r="H754" s="2">
        <v>3000</v>
      </c>
      <c r="I754" s="2" t="s">
        <v>2068</v>
      </c>
      <c r="J754" s="2" t="s">
        <v>38</v>
      </c>
      <c r="K754" s="2" t="s">
        <v>860</v>
      </c>
    </row>
    <row r="755" spans="1:13" x14ac:dyDescent="0.25">
      <c r="A755" s="2" t="s">
        <v>3164</v>
      </c>
      <c r="B755" s="2" t="s">
        <v>17</v>
      </c>
      <c r="C755" s="2" t="s">
        <v>3165</v>
      </c>
      <c r="D755" s="2" t="s">
        <v>3166</v>
      </c>
      <c r="E755" s="2" t="s">
        <v>3167</v>
      </c>
      <c r="F755" s="2">
        <v>12.9727269952947</v>
      </c>
      <c r="G755" s="2">
        <v>22</v>
      </c>
      <c r="H755" s="2">
        <v>3000</v>
      </c>
      <c r="I755" s="2" t="s">
        <v>2075</v>
      </c>
      <c r="J755" s="2" t="s">
        <v>2076</v>
      </c>
      <c r="K755" s="2" t="s">
        <v>37</v>
      </c>
      <c r="L755" s="2" t="s">
        <v>200</v>
      </c>
      <c r="M755" s="2" t="s">
        <v>642</v>
      </c>
    </row>
    <row r="756" spans="1:13" x14ac:dyDescent="0.25">
      <c r="A756" s="2" t="s">
        <v>3168</v>
      </c>
      <c r="B756" s="2" t="s">
        <v>1</v>
      </c>
      <c r="C756" s="2" t="s">
        <v>665</v>
      </c>
      <c r="D756" s="2" t="s">
        <v>1611</v>
      </c>
      <c r="E756" s="2" t="s">
        <v>1612</v>
      </c>
      <c r="F756" s="2">
        <v>5.1457144601004403</v>
      </c>
      <c r="G756" s="2">
        <v>35</v>
      </c>
      <c r="H756" s="2">
        <v>3000</v>
      </c>
      <c r="I756" s="2" t="s">
        <v>2081</v>
      </c>
      <c r="J756" s="2" t="s">
        <v>73</v>
      </c>
      <c r="K756" s="2" t="s">
        <v>76</v>
      </c>
    </row>
    <row r="757" spans="1:13" x14ac:dyDescent="0.25">
      <c r="A757" s="2" t="s">
        <v>3169</v>
      </c>
      <c r="B757" s="2" t="s">
        <v>22</v>
      </c>
      <c r="C757" s="2" t="s">
        <v>387</v>
      </c>
      <c r="D757" s="2" t="s">
        <v>1396</v>
      </c>
      <c r="E757" s="2" t="s">
        <v>1397</v>
      </c>
      <c r="F757" s="2">
        <v>11.003448135551301</v>
      </c>
      <c r="G757" s="2">
        <v>87</v>
      </c>
      <c r="H757" s="2">
        <v>3000</v>
      </c>
      <c r="I757" s="2" t="s">
        <v>1783</v>
      </c>
      <c r="J757" s="2" t="s">
        <v>840</v>
      </c>
      <c r="K757" s="2" t="s">
        <v>861</v>
      </c>
      <c r="L757" s="2" t="s">
        <v>200</v>
      </c>
      <c r="M757" s="2" t="s">
        <v>681</v>
      </c>
    </row>
    <row r="758" spans="1:13" x14ac:dyDescent="0.25">
      <c r="A758" s="2" t="s">
        <v>3170</v>
      </c>
      <c r="B758" s="2" t="s">
        <v>22</v>
      </c>
      <c r="C758" s="2" t="s">
        <v>2041</v>
      </c>
      <c r="D758" s="2" t="s">
        <v>2042</v>
      </c>
      <c r="E758" s="2" t="s">
        <v>2043</v>
      </c>
      <c r="F758" s="2">
        <v>9.2775996093750006</v>
      </c>
      <c r="G758" s="2">
        <v>125</v>
      </c>
      <c r="H758" s="2">
        <v>3000</v>
      </c>
      <c r="I758" s="2" t="s">
        <v>2081</v>
      </c>
      <c r="J758" s="2" t="s">
        <v>73</v>
      </c>
      <c r="K758" s="2" t="s">
        <v>76</v>
      </c>
    </row>
    <row r="759" spans="1:13" x14ac:dyDescent="0.25">
      <c r="A759" s="2" t="s">
        <v>3171</v>
      </c>
      <c r="B759" s="2" t="s">
        <v>21</v>
      </c>
      <c r="C759" s="2" t="s">
        <v>1036</v>
      </c>
      <c r="D759" s="2" t="s">
        <v>3172</v>
      </c>
      <c r="E759" s="2" t="s">
        <v>3173</v>
      </c>
      <c r="F759" s="2">
        <v>0</v>
      </c>
      <c r="G759" s="2">
        <v>2</v>
      </c>
      <c r="H759" s="2">
        <v>3000</v>
      </c>
      <c r="I759" s="2" t="s">
        <v>2090</v>
      </c>
      <c r="J759" s="2" t="s">
        <v>2091</v>
      </c>
      <c r="K759" s="2" t="s">
        <v>844</v>
      </c>
    </row>
    <row r="760" spans="1:13" x14ac:dyDescent="0.25">
      <c r="A760" s="2" t="s">
        <v>3174</v>
      </c>
      <c r="B760" s="2" t="s">
        <v>19</v>
      </c>
      <c r="C760" s="2" t="s">
        <v>1194</v>
      </c>
      <c r="D760" s="2" t="s">
        <v>1415</v>
      </c>
      <c r="E760" s="2" t="s">
        <v>258</v>
      </c>
      <c r="F760" s="2">
        <v>9.2022725885564594</v>
      </c>
      <c r="G760" s="2">
        <v>88</v>
      </c>
      <c r="H760" s="2">
        <v>2900</v>
      </c>
      <c r="I760" s="2" t="s">
        <v>2068</v>
      </c>
      <c r="J760" s="2" t="s">
        <v>860</v>
      </c>
      <c r="K760" s="2" t="s">
        <v>38</v>
      </c>
    </row>
    <row r="761" spans="1:13" x14ac:dyDescent="0.25">
      <c r="A761" s="2" t="s">
        <v>3175</v>
      </c>
      <c r="B761" s="2" t="s">
        <v>20</v>
      </c>
      <c r="C761" s="2" t="s">
        <v>229</v>
      </c>
      <c r="D761" s="2" t="s">
        <v>166</v>
      </c>
      <c r="E761" s="2" t="s">
        <v>688</v>
      </c>
      <c r="F761" s="2">
        <v>8.2495050713567402</v>
      </c>
      <c r="G761" s="2">
        <v>101</v>
      </c>
      <c r="H761" s="2">
        <v>2900</v>
      </c>
      <c r="I761" s="2" t="s">
        <v>2097</v>
      </c>
      <c r="J761" s="2" t="s">
        <v>159</v>
      </c>
      <c r="K761" s="2" t="s">
        <v>853</v>
      </c>
    </row>
    <row r="762" spans="1:13" x14ac:dyDescent="0.25">
      <c r="A762" s="2" t="s">
        <v>3176</v>
      </c>
      <c r="B762" s="2" t="s">
        <v>1</v>
      </c>
      <c r="C762" s="2" t="s">
        <v>1626</v>
      </c>
      <c r="D762" s="2" t="s">
        <v>1627</v>
      </c>
      <c r="E762" s="2" t="s">
        <v>1628</v>
      </c>
      <c r="F762" s="2">
        <v>6.7565659031723397</v>
      </c>
      <c r="G762" s="2">
        <v>99</v>
      </c>
      <c r="H762" s="2">
        <v>2900</v>
      </c>
      <c r="I762" s="2" t="s">
        <v>2108</v>
      </c>
      <c r="J762" s="2" t="s">
        <v>841</v>
      </c>
      <c r="K762" s="2" t="s">
        <v>856</v>
      </c>
      <c r="M762" s="2" t="s">
        <v>3177</v>
      </c>
    </row>
    <row r="763" spans="1:13" x14ac:dyDescent="0.25">
      <c r="A763" s="2" t="s">
        <v>3178</v>
      </c>
      <c r="B763" s="2" t="s">
        <v>22</v>
      </c>
      <c r="C763" s="2" t="s">
        <v>384</v>
      </c>
      <c r="D763" s="2" t="s">
        <v>1326</v>
      </c>
      <c r="E763" s="2" t="s">
        <v>474</v>
      </c>
      <c r="F763" s="2">
        <v>8.8552631578947292</v>
      </c>
      <c r="G763" s="2">
        <v>114</v>
      </c>
      <c r="H763" s="2">
        <v>2900</v>
      </c>
      <c r="I763" s="2" t="s">
        <v>2070</v>
      </c>
      <c r="J763" s="2" t="s">
        <v>848</v>
      </c>
      <c r="K763" s="2" t="s">
        <v>36</v>
      </c>
    </row>
    <row r="764" spans="1:13" x14ac:dyDescent="0.25">
      <c r="A764" s="2" t="s">
        <v>3179</v>
      </c>
      <c r="B764" s="2" t="s">
        <v>17</v>
      </c>
      <c r="C764" s="2" t="s">
        <v>1353</v>
      </c>
      <c r="D764" s="2" t="s">
        <v>1354</v>
      </c>
      <c r="E764" s="2" t="s">
        <v>1355</v>
      </c>
      <c r="F764" s="2">
        <v>10.6944444444444</v>
      </c>
      <c r="G764" s="2">
        <v>126</v>
      </c>
      <c r="H764" s="2">
        <v>2900</v>
      </c>
      <c r="I764" s="2" t="s">
        <v>2108</v>
      </c>
      <c r="J764" s="2" t="s">
        <v>841</v>
      </c>
      <c r="K764" s="2" t="s">
        <v>856</v>
      </c>
    </row>
    <row r="765" spans="1:13" x14ac:dyDescent="0.25">
      <c r="A765" s="2" t="s">
        <v>3180</v>
      </c>
      <c r="B765" s="2" t="s">
        <v>17</v>
      </c>
      <c r="C765" s="2" t="s">
        <v>2025</v>
      </c>
      <c r="D765" s="2" t="s">
        <v>2026</v>
      </c>
      <c r="E765" s="2" t="s">
        <v>2027</v>
      </c>
      <c r="F765" s="2">
        <v>9.1216983435288892</v>
      </c>
      <c r="G765" s="2">
        <v>106</v>
      </c>
      <c r="H765" s="2">
        <v>2900</v>
      </c>
      <c r="I765" s="2" t="s">
        <v>2079</v>
      </c>
      <c r="J765" s="2" t="s">
        <v>843</v>
      </c>
      <c r="K765" s="2" t="s">
        <v>855</v>
      </c>
    </row>
    <row r="766" spans="1:13" x14ac:dyDescent="0.25">
      <c r="A766" s="2" t="s">
        <v>3181</v>
      </c>
      <c r="B766" s="2" t="s">
        <v>1</v>
      </c>
      <c r="C766" s="2" t="s">
        <v>252</v>
      </c>
      <c r="D766" s="2" t="s">
        <v>86</v>
      </c>
      <c r="E766" s="2" t="s">
        <v>742</v>
      </c>
      <c r="F766" s="2">
        <v>8.5574256217125608</v>
      </c>
      <c r="G766" s="2">
        <v>101</v>
      </c>
      <c r="H766" s="2">
        <v>2900</v>
      </c>
      <c r="I766" s="2" t="s">
        <v>2081</v>
      </c>
      <c r="J766" s="2" t="s">
        <v>76</v>
      </c>
      <c r="K766" s="2" t="s">
        <v>73</v>
      </c>
    </row>
    <row r="767" spans="1:13" x14ac:dyDescent="0.25">
      <c r="A767" s="2" t="s">
        <v>3182</v>
      </c>
      <c r="B767" s="2" t="s">
        <v>1</v>
      </c>
      <c r="C767" s="2" t="s">
        <v>287</v>
      </c>
      <c r="D767" s="2" t="s">
        <v>105</v>
      </c>
      <c r="E767" s="2" t="s">
        <v>719</v>
      </c>
      <c r="F767" s="2">
        <v>7.4632073168484601</v>
      </c>
      <c r="G767" s="2">
        <v>106</v>
      </c>
      <c r="H767" s="2">
        <v>2900</v>
      </c>
      <c r="I767" s="2" t="s">
        <v>2068</v>
      </c>
      <c r="J767" s="2" t="s">
        <v>38</v>
      </c>
      <c r="K767" s="2" t="s">
        <v>860</v>
      </c>
    </row>
    <row r="768" spans="1:13" x14ac:dyDescent="0.25">
      <c r="A768" s="2" t="s">
        <v>3183</v>
      </c>
      <c r="B768" s="2" t="s">
        <v>19</v>
      </c>
      <c r="C768" s="2" t="s">
        <v>423</v>
      </c>
      <c r="D768" s="2" t="s">
        <v>1430</v>
      </c>
      <c r="E768" s="2" t="s">
        <v>1431</v>
      </c>
      <c r="F768" s="2">
        <v>10.191964285714199</v>
      </c>
      <c r="G768" s="2">
        <v>112</v>
      </c>
      <c r="H768" s="2">
        <v>2900</v>
      </c>
      <c r="I768" s="2" t="s">
        <v>2070</v>
      </c>
      <c r="J768" s="2" t="s">
        <v>848</v>
      </c>
      <c r="K768" s="2" t="s">
        <v>36</v>
      </c>
    </row>
    <row r="769" spans="1:11" x14ac:dyDescent="0.25">
      <c r="A769" s="2" t="s">
        <v>3184</v>
      </c>
      <c r="B769" s="2" t="s">
        <v>17</v>
      </c>
      <c r="C769" s="2" t="s">
        <v>212</v>
      </c>
      <c r="D769" s="2" t="s">
        <v>44</v>
      </c>
      <c r="E769" s="2" t="s">
        <v>646</v>
      </c>
      <c r="F769" s="2">
        <v>9.6740461742604893</v>
      </c>
      <c r="G769" s="2">
        <v>131</v>
      </c>
      <c r="H769" s="2">
        <v>2900</v>
      </c>
      <c r="I769" s="2" t="s">
        <v>2106</v>
      </c>
      <c r="J769" s="2" t="s">
        <v>35</v>
      </c>
      <c r="K769" s="2" t="s">
        <v>34</v>
      </c>
    </row>
    <row r="770" spans="1:11" x14ac:dyDescent="0.25">
      <c r="A770" s="2" t="s">
        <v>3185</v>
      </c>
      <c r="B770" s="2" t="s">
        <v>20</v>
      </c>
      <c r="C770" s="2" t="s">
        <v>548</v>
      </c>
      <c r="D770" s="2" t="s">
        <v>2003</v>
      </c>
      <c r="E770" s="2" t="s">
        <v>2004</v>
      </c>
      <c r="F770" s="2">
        <v>9.8290074472208904</v>
      </c>
      <c r="G770" s="2">
        <v>131</v>
      </c>
      <c r="H770" s="2">
        <v>2900</v>
      </c>
      <c r="I770" s="2" t="s">
        <v>2075</v>
      </c>
      <c r="J770" s="2" t="s">
        <v>37</v>
      </c>
      <c r="K770" s="2" t="s">
        <v>2076</v>
      </c>
    </row>
    <row r="771" spans="1:11" x14ac:dyDescent="0.25">
      <c r="A771" s="2" t="s">
        <v>3186</v>
      </c>
      <c r="B771" s="2" t="s">
        <v>17</v>
      </c>
      <c r="C771" s="2" t="s">
        <v>1437</v>
      </c>
      <c r="D771" s="2" t="s">
        <v>1438</v>
      </c>
      <c r="E771" s="2" t="s">
        <v>1439</v>
      </c>
      <c r="F771" s="2">
        <v>9.4755099549585395</v>
      </c>
      <c r="G771" s="2">
        <v>98</v>
      </c>
      <c r="H771" s="2">
        <v>2900</v>
      </c>
      <c r="I771" s="2" t="s">
        <v>2079</v>
      </c>
      <c r="J771" s="2" t="s">
        <v>855</v>
      </c>
      <c r="K771" s="2" t="s">
        <v>843</v>
      </c>
    </row>
    <row r="772" spans="1:11" x14ac:dyDescent="0.25">
      <c r="A772" s="2" t="s">
        <v>3187</v>
      </c>
      <c r="B772" s="2" t="s">
        <v>1</v>
      </c>
      <c r="C772" s="2" t="s">
        <v>1378</v>
      </c>
      <c r="D772" s="2" t="s">
        <v>1379</v>
      </c>
      <c r="E772" s="2" t="s">
        <v>1380</v>
      </c>
      <c r="F772" s="2">
        <v>9.6170935997596096</v>
      </c>
      <c r="G772" s="2">
        <v>117</v>
      </c>
      <c r="H772" s="2">
        <v>2800</v>
      </c>
      <c r="I772" s="2" t="s">
        <v>1783</v>
      </c>
      <c r="J772" s="2" t="s">
        <v>840</v>
      </c>
      <c r="K772" s="2" t="s">
        <v>861</v>
      </c>
    </row>
    <row r="773" spans="1:11" x14ac:dyDescent="0.25">
      <c r="A773" s="2" t="s">
        <v>3188</v>
      </c>
      <c r="B773" s="2" t="s">
        <v>20</v>
      </c>
      <c r="C773" s="2" t="s">
        <v>287</v>
      </c>
      <c r="D773" s="2" t="s">
        <v>152</v>
      </c>
      <c r="E773" s="2" t="s">
        <v>435</v>
      </c>
      <c r="F773" s="2">
        <v>9.3945456764914699</v>
      </c>
      <c r="G773" s="2">
        <v>55</v>
      </c>
      <c r="H773" s="2">
        <v>2800</v>
      </c>
      <c r="I773" s="2" t="s">
        <v>2081</v>
      </c>
      <c r="J773" s="2" t="s">
        <v>73</v>
      </c>
      <c r="K773" s="2" t="s">
        <v>76</v>
      </c>
    </row>
    <row r="774" spans="1:11" x14ac:dyDescent="0.25">
      <c r="A774" s="2" t="s">
        <v>3189</v>
      </c>
      <c r="B774" s="2" t="s">
        <v>17</v>
      </c>
      <c r="C774" s="2" t="s">
        <v>1944</v>
      </c>
      <c r="D774" s="2" t="s">
        <v>1990</v>
      </c>
      <c r="E774" s="2" t="s">
        <v>1991</v>
      </c>
      <c r="F774" s="2">
        <v>8.0946426391601491</v>
      </c>
      <c r="G774" s="2">
        <v>112</v>
      </c>
      <c r="H774" s="2">
        <v>2800</v>
      </c>
      <c r="I774" s="2" t="s">
        <v>2079</v>
      </c>
      <c r="J774" s="2" t="s">
        <v>843</v>
      </c>
      <c r="K774" s="2" t="s">
        <v>855</v>
      </c>
    </row>
    <row r="775" spans="1:11" x14ac:dyDescent="0.25">
      <c r="A775" s="2" t="s">
        <v>3190</v>
      </c>
      <c r="B775" s="2" t="s">
        <v>19</v>
      </c>
      <c r="C775" s="2" t="s">
        <v>1157</v>
      </c>
      <c r="D775" s="2" t="s">
        <v>1550</v>
      </c>
      <c r="E775" s="2" t="s">
        <v>1551</v>
      </c>
      <c r="F775" s="2">
        <v>6.3200002569901299</v>
      </c>
      <c r="G775" s="2">
        <v>95</v>
      </c>
      <c r="H775" s="2">
        <v>2800</v>
      </c>
      <c r="I775" s="2" t="s">
        <v>2072</v>
      </c>
      <c r="J775" s="2" t="s">
        <v>842</v>
      </c>
      <c r="K775" s="2" t="s">
        <v>74</v>
      </c>
    </row>
    <row r="776" spans="1:11" x14ac:dyDescent="0.25">
      <c r="A776" s="2" t="s">
        <v>3191</v>
      </c>
      <c r="B776" s="2" t="s">
        <v>1</v>
      </c>
      <c r="C776" s="2" t="s">
        <v>3192</v>
      </c>
      <c r="D776" s="2" t="s">
        <v>3193</v>
      </c>
      <c r="E776" s="2" t="s">
        <v>1217</v>
      </c>
      <c r="F776" s="2">
        <v>7.2461536114032397</v>
      </c>
      <c r="G776" s="2">
        <v>13</v>
      </c>
      <c r="H776" s="2">
        <v>2800</v>
      </c>
      <c r="I776" s="2" t="s">
        <v>2106</v>
      </c>
      <c r="J776" s="2" t="s">
        <v>35</v>
      </c>
      <c r="K776" s="2" t="s">
        <v>34</v>
      </c>
    </row>
    <row r="777" spans="1:11" x14ac:dyDescent="0.25">
      <c r="A777" s="2" t="s">
        <v>3194</v>
      </c>
      <c r="B777" s="2" t="s">
        <v>17</v>
      </c>
      <c r="C777" s="2" t="s">
        <v>3195</v>
      </c>
      <c r="D777" s="2" t="s">
        <v>3196</v>
      </c>
      <c r="E777" s="2" t="s">
        <v>474</v>
      </c>
      <c r="F777" s="2">
        <v>9.6637799120324797</v>
      </c>
      <c r="G777" s="2">
        <v>127</v>
      </c>
      <c r="H777" s="2">
        <v>2800</v>
      </c>
      <c r="I777" s="2" t="s">
        <v>2097</v>
      </c>
      <c r="J777" s="2" t="s">
        <v>853</v>
      </c>
      <c r="K777" s="2" t="s">
        <v>159</v>
      </c>
    </row>
    <row r="778" spans="1:11" x14ac:dyDescent="0.25">
      <c r="A778" s="2" t="s">
        <v>3197</v>
      </c>
      <c r="B778" s="2" t="s">
        <v>17</v>
      </c>
      <c r="C778" s="2" t="s">
        <v>277</v>
      </c>
      <c r="D778" s="2" t="s">
        <v>43</v>
      </c>
      <c r="E778" s="2" t="s">
        <v>733</v>
      </c>
      <c r="F778" s="2">
        <v>8.4461538461538392</v>
      </c>
      <c r="G778" s="2">
        <v>130</v>
      </c>
      <c r="H778" s="2">
        <v>2800</v>
      </c>
      <c r="I778" s="2" t="s">
        <v>2106</v>
      </c>
      <c r="J778" s="2" t="s">
        <v>35</v>
      </c>
      <c r="K778" s="2" t="s">
        <v>34</v>
      </c>
    </row>
    <row r="779" spans="1:11" x14ac:dyDescent="0.25">
      <c r="A779" s="2" t="s">
        <v>3198</v>
      </c>
      <c r="B779" s="2" t="s">
        <v>17</v>
      </c>
      <c r="C779" s="2" t="s">
        <v>676</v>
      </c>
      <c r="D779" s="2" t="s">
        <v>83</v>
      </c>
      <c r="E779" s="2" t="s">
        <v>687</v>
      </c>
      <c r="F779" s="2">
        <v>10.2455884148092</v>
      </c>
      <c r="G779" s="2">
        <v>68</v>
      </c>
      <c r="H779" s="2">
        <v>2800</v>
      </c>
      <c r="I779" s="2" t="s">
        <v>2081</v>
      </c>
      <c r="J779" s="2" t="s">
        <v>76</v>
      </c>
      <c r="K779" s="2" t="s">
        <v>73</v>
      </c>
    </row>
    <row r="780" spans="1:11" x14ac:dyDescent="0.25">
      <c r="A780" s="2" t="s">
        <v>3199</v>
      </c>
      <c r="B780" s="2" t="s">
        <v>17</v>
      </c>
      <c r="C780" s="2" t="s">
        <v>3200</v>
      </c>
      <c r="D780" s="2" t="s">
        <v>3201</v>
      </c>
      <c r="E780" s="2" t="s">
        <v>3202</v>
      </c>
      <c r="F780" s="2">
        <v>8.1505744320222693</v>
      </c>
      <c r="G780" s="2">
        <v>87</v>
      </c>
      <c r="H780" s="2">
        <v>2800</v>
      </c>
      <c r="I780" s="2" t="s">
        <v>2065</v>
      </c>
      <c r="J780" s="2" t="s">
        <v>2066</v>
      </c>
      <c r="K780" s="2" t="s">
        <v>69</v>
      </c>
    </row>
    <row r="781" spans="1:11" x14ac:dyDescent="0.25">
      <c r="A781" s="2" t="s">
        <v>3203</v>
      </c>
      <c r="B781" s="2" t="s">
        <v>19</v>
      </c>
      <c r="C781" s="2" t="s">
        <v>1476</v>
      </c>
      <c r="D781" s="2" t="s">
        <v>1477</v>
      </c>
      <c r="E781" s="2" t="s">
        <v>564</v>
      </c>
      <c r="F781" s="2">
        <v>10.383720930232499</v>
      </c>
      <c r="G781" s="2">
        <v>86</v>
      </c>
      <c r="H781" s="2">
        <v>2800</v>
      </c>
      <c r="I781" s="2" t="s">
        <v>2072</v>
      </c>
      <c r="J781" s="2" t="s">
        <v>842</v>
      </c>
      <c r="K781" s="2" t="s">
        <v>74</v>
      </c>
    </row>
    <row r="782" spans="1:11" x14ac:dyDescent="0.25">
      <c r="A782" s="2" t="s">
        <v>3204</v>
      </c>
      <c r="B782" s="2" t="s">
        <v>1</v>
      </c>
      <c r="C782" s="2" t="s">
        <v>2012</v>
      </c>
      <c r="D782" s="2" t="s">
        <v>2013</v>
      </c>
      <c r="E782" s="2" t="s">
        <v>2014</v>
      </c>
      <c r="F782" s="2">
        <v>9.8341878255208304</v>
      </c>
      <c r="G782" s="2">
        <v>117</v>
      </c>
      <c r="H782" s="2">
        <v>2700</v>
      </c>
      <c r="I782" s="2" t="s">
        <v>2079</v>
      </c>
      <c r="J782" s="2" t="s">
        <v>843</v>
      </c>
      <c r="K782" s="2" t="s">
        <v>855</v>
      </c>
    </row>
    <row r="783" spans="1:11" x14ac:dyDescent="0.25">
      <c r="A783" s="2" t="s">
        <v>3205</v>
      </c>
      <c r="B783" s="2" t="s">
        <v>19</v>
      </c>
      <c r="C783" s="2" t="s">
        <v>1558</v>
      </c>
      <c r="D783" s="2" t="s">
        <v>1559</v>
      </c>
      <c r="E783" s="2" t="s">
        <v>1560</v>
      </c>
      <c r="F783" s="2">
        <v>4.4726191929408401</v>
      </c>
      <c r="G783" s="2">
        <v>84</v>
      </c>
      <c r="H783" s="2">
        <v>2700</v>
      </c>
      <c r="I783" s="2" t="s">
        <v>2079</v>
      </c>
      <c r="J783" s="2" t="s">
        <v>843</v>
      </c>
      <c r="K783" s="2" t="s">
        <v>855</v>
      </c>
    </row>
    <row r="784" spans="1:11" x14ac:dyDescent="0.25">
      <c r="A784" s="2" t="s">
        <v>3206</v>
      </c>
      <c r="B784" s="2" t="s">
        <v>17</v>
      </c>
      <c r="C784" s="2" t="s">
        <v>775</v>
      </c>
      <c r="D784" s="2" t="s">
        <v>59</v>
      </c>
      <c r="E784" s="2" t="s">
        <v>776</v>
      </c>
      <c r="F784" s="2">
        <v>6.7819280049886999</v>
      </c>
      <c r="G784" s="2">
        <v>83</v>
      </c>
      <c r="H784" s="2">
        <v>2700</v>
      </c>
      <c r="I784" s="2" t="s">
        <v>2106</v>
      </c>
      <c r="J784" s="2" t="s">
        <v>35</v>
      </c>
      <c r="K784" s="2" t="s">
        <v>34</v>
      </c>
    </row>
    <row r="785" spans="1:13" x14ac:dyDescent="0.25">
      <c r="A785" s="2" t="s">
        <v>3207</v>
      </c>
      <c r="B785" s="2" t="s">
        <v>1</v>
      </c>
      <c r="C785" s="2" t="s">
        <v>736</v>
      </c>
      <c r="D785" s="2" t="s">
        <v>112</v>
      </c>
      <c r="E785" s="2" t="s">
        <v>737</v>
      </c>
      <c r="F785" s="2">
        <v>7.7977776421440899</v>
      </c>
      <c r="G785" s="2">
        <v>90</v>
      </c>
      <c r="H785" s="2">
        <v>2700</v>
      </c>
      <c r="I785" s="2" t="s">
        <v>2070</v>
      </c>
      <c r="J785" s="2" t="s">
        <v>36</v>
      </c>
      <c r="K785" s="2" t="s">
        <v>848</v>
      </c>
    </row>
    <row r="786" spans="1:13" x14ac:dyDescent="0.25">
      <c r="A786" s="2" t="s">
        <v>3208</v>
      </c>
      <c r="B786" s="2" t="s">
        <v>1</v>
      </c>
      <c r="C786" s="2" t="s">
        <v>596</v>
      </c>
      <c r="D786" s="2" t="s">
        <v>100</v>
      </c>
      <c r="E786" s="2" t="s">
        <v>531</v>
      </c>
      <c r="F786" s="2">
        <v>6.6333335593894596</v>
      </c>
      <c r="G786" s="2">
        <v>54</v>
      </c>
      <c r="H786" s="2">
        <v>2700</v>
      </c>
      <c r="I786" s="2" t="s">
        <v>2070</v>
      </c>
      <c r="J786" s="2" t="s">
        <v>36</v>
      </c>
      <c r="K786" s="2" t="s">
        <v>848</v>
      </c>
    </row>
    <row r="787" spans="1:13" x14ac:dyDescent="0.25">
      <c r="A787" s="2" t="s">
        <v>3209</v>
      </c>
      <c r="B787" s="2" t="s">
        <v>1</v>
      </c>
      <c r="C787" s="2" t="s">
        <v>956</v>
      </c>
      <c r="D787" s="2" t="s">
        <v>3210</v>
      </c>
      <c r="E787" s="2" t="s">
        <v>1388</v>
      </c>
      <c r="F787" s="2">
        <v>8.4800003051757802</v>
      </c>
      <c r="G787" s="2">
        <v>10</v>
      </c>
      <c r="H787" s="2">
        <v>2700</v>
      </c>
      <c r="I787" s="2" t="s">
        <v>2124</v>
      </c>
      <c r="J787" s="2" t="s">
        <v>852</v>
      </c>
      <c r="K787" s="2" t="s">
        <v>2125</v>
      </c>
    </row>
    <row r="788" spans="1:13" x14ac:dyDescent="0.25">
      <c r="A788" s="2" t="s">
        <v>3211</v>
      </c>
      <c r="B788" s="2" t="s">
        <v>19</v>
      </c>
      <c r="C788" s="2" t="s">
        <v>259</v>
      </c>
      <c r="D788" s="2" t="s">
        <v>2024</v>
      </c>
      <c r="E788" s="2" t="s">
        <v>290</v>
      </c>
      <c r="F788" s="2">
        <v>7.7147730047052496</v>
      </c>
      <c r="G788" s="2">
        <v>88</v>
      </c>
      <c r="H788" s="2">
        <v>2700</v>
      </c>
      <c r="I788" s="2" t="s">
        <v>2075</v>
      </c>
      <c r="J788" s="2" t="s">
        <v>37</v>
      </c>
      <c r="K788" s="2" t="s">
        <v>2076</v>
      </c>
    </row>
    <row r="789" spans="1:13" x14ac:dyDescent="0.25">
      <c r="A789" s="2" t="s">
        <v>3212</v>
      </c>
      <c r="B789" s="2" t="s">
        <v>21</v>
      </c>
      <c r="C789" s="2" t="s">
        <v>545</v>
      </c>
      <c r="D789" s="2" t="s">
        <v>82</v>
      </c>
      <c r="E789" s="2" t="s">
        <v>661</v>
      </c>
      <c r="F789" s="2">
        <v>10.3097089748938</v>
      </c>
      <c r="G789" s="2">
        <v>103</v>
      </c>
      <c r="H789" s="2">
        <v>2700</v>
      </c>
      <c r="I789" s="2" t="s">
        <v>2081</v>
      </c>
      <c r="J789" s="2" t="s">
        <v>76</v>
      </c>
      <c r="K789" s="2" t="s">
        <v>73</v>
      </c>
    </row>
    <row r="790" spans="1:13" x14ac:dyDescent="0.25">
      <c r="A790" s="2" t="s">
        <v>3213</v>
      </c>
      <c r="B790" s="2" t="s">
        <v>17</v>
      </c>
      <c r="C790" s="2" t="s">
        <v>1522</v>
      </c>
      <c r="D790" s="2" t="s">
        <v>1523</v>
      </c>
      <c r="E790" s="2" t="s">
        <v>1350</v>
      </c>
      <c r="F790" s="2">
        <v>9.9249997820172897</v>
      </c>
      <c r="G790" s="2">
        <v>28</v>
      </c>
      <c r="H790" s="2">
        <v>2700</v>
      </c>
      <c r="I790" s="2" t="s">
        <v>2072</v>
      </c>
      <c r="J790" s="2" t="s">
        <v>842</v>
      </c>
      <c r="K790" s="2" t="s">
        <v>74</v>
      </c>
      <c r="L790" s="2" t="s">
        <v>200</v>
      </c>
      <c r="M790" s="2" t="s">
        <v>681</v>
      </c>
    </row>
    <row r="791" spans="1:13" x14ac:dyDescent="0.25">
      <c r="A791" s="2" t="s">
        <v>3214</v>
      </c>
      <c r="B791" s="2" t="s">
        <v>17</v>
      </c>
      <c r="C791" s="2" t="s">
        <v>304</v>
      </c>
      <c r="D791" s="2" t="s">
        <v>1327</v>
      </c>
      <c r="E791" s="2" t="s">
        <v>1328</v>
      </c>
      <c r="F791" s="2">
        <v>11.206154221754799</v>
      </c>
      <c r="G791" s="2">
        <v>130</v>
      </c>
      <c r="H791" s="2">
        <v>2700</v>
      </c>
      <c r="I791" s="2" t="s">
        <v>2108</v>
      </c>
      <c r="J791" s="2" t="s">
        <v>856</v>
      </c>
      <c r="K791" s="2" t="s">
        <v>841</v>
      </c>
    </row>
    <row r="792" spans="1:13" x14ac:dyDescent="0.25">
      <c r="A792" s="2" t="s">
        <v>3215</v>
      </c>
      <c r="B792" s="2" t="s">
        <v>17</v>
      </c>
      <c r="C792" s="2" t="s">
        <v>500</v>
      </c>
      <c r="D792" s="2" t="s">
        <v>98</v>
      </c>
      <c r="E792" s="2" t="s">
        <v>709</v>
      </c>
      <c r="F792" s="2">
        <v>8.5313954907794294</v>
      </c>
      <c r="G792" s="2">
        <v>86</v>
      </c>
      <c r="H792" s="2">
        <v>2700</v>
      </c>
      <c r="I792" s="2" t="s">
        <v>2106</v>
      </c>
      <c r="J792" s="2" t="s">
        <v>35</v>
      </c>
      <c r="K792" s="2" t="s">
        <v>34</v>
      </c>
    </row>
    <row r="793" spans="1:13" x14ac:dyDescent="0.25">
      <c r="A793" s="2" t="s">
        <v>3216</v>
      </c>
      <c r="B793" s="2" t="s">
        <v>17</v>
      </c>
      <c r="C793" s="2" t="s">
        <v>1695</v>
      </c>
      <c r="D793" s="2" t="s">
        <v>1696</v>
      </c>
      <c r="E793" s="2" t="s">
        <v>951</v>
      </c>
      <c r="F793" s="2">
        <v>7.8970588235294104</v>
      </c>
      <c r="G793" s="2">
        <v>34</v>
      </c>
      <c r="H793" s="2">
        <v>2700</v>
      </c>
      <c r="I793" s="2" t="s">
        <v>2079</v>
      </c>
      <c r="J793" s="2" t="s">
        <v>843</v>
      </c>
      <c r="K793" s="2" t="s">
        <v>855</v>
      </c>
    </row>
    <row r="794" spans="1:13" x14ac:dyDescent="0.25">
      <c r="A794" s="2" t="s">
        <v>3217</v>
      </c>
      <c r="B794" s="2" t="s">
        <v>22</v>
      </c>
      <c r="C794" s="2" t="s">
        <v>246</v>
      </c>
      <c r="D794" s="2" t="s">
        <v>95</v>
      </c>
      <c r="E794" s="2" t="s">
        <v>672</v>
      </c>
      <c r="F794" s="2">
        <v>8.7169489456435301</v>
      </c>
      <c r="G794" s="2">
        <v>118</v>
      </c>
      <c r="H794" s="2">
        <v>2600</v>
      </c>
      <c r="I794" s="2" t="s">
        <v>2081</v>
      </c>
      <c r="J794" s="2" t="s">
        <v>76</v>
      </c>
      <c r="K794" s="2" t="s">
        <v>73</v>
      </c>
    </row>
    <row r="795" spans="1:13" x14ac:dyDescent="0.25">
      <c r="A795" s="2" t="s">
        <v>3218</v>
      </c>
      <c r="B795" s="2" t="s">
        <v>1</v>
      </c>
      <c r="C795" s="2" t="s">
        <v>746</v>
      </c>
      <c r="D795" s="2" t="s">
        <v>2044</v>
      </c>
      <c r="E795" s="2" t="s">
        <v>2045</v>
      </c>
      <c r="F795" s="2">
        <v>5.6254236253641396</v>
      </c>
      <c r="G795" s="2">
        <v>59</v>
      </c>
      <c r="H795" s="2">
        <v>2600</v>
      </c>
      <c r="I795" s="2" t="s">
        <v>2081</v>
      </c>
      <c r="J795" s="2" t="s">
        <v>73</v>
      </c>
      <c r="K795" s="2" t="s">
        <v>76</v>
      </c>
    </row>
    <row r="796" spans="1:13" x14ac:dyDescent="0.25">
      <c r="A796" s="2" t="s">
        <v>3219</v>
      </c>
      <c r="B796" s="2" t="s">
        <v>17</v>
      </c>
      <c r="C796" s="2" t="s">
        <v>657</v>
      </c>
      <c r="D796" s="2" t="s">
        <v>54</v>
      </c>
      <c r="E796" s="2" t="s">
        <v>383</v>
      </c>
      <c r="F796" s="2">
        <v>9.2087912087911992</v>
      </c>
      <c r="G796" s="2">
        <v>91</v>
      </c>
      <c r="H796" s="2">
        <v>2600</v>
      </c>
      <c r="I796" s="2" t="s">
        <v>2068</v>
      </c>
      <c r="J796" s="2" t="s">
        <v>38</v>
      </c>
      <c r="K796" s="2" t="s">
        <v>860</v>
      </c>
    </row>
    <row r="797" spans="1:13" x14ac:dyDescent="0.25">
      <c r="A797" s="2" t="s">
        <v>3220</v>
      </c>
      <c r="B797" s="2" t="s">
        <v>1</v>
      </c>
      <c r="C797" s="2" t="s">
        <v>726</v>
      </c>
      <c r="D797" s="2" t="s">
        <v>128</v>
      </c>
      <c r="E797" s="2" t="s">
        <v>727</v>
      </c>
      <c r="F797" s="2">
        <v>7.4583333333333304</v>
      </c>
      <c r="G797" s="2">
        <v>72</v>
      </c>
      <c r="H797" s="2">
        <v>2600</v>
      </c>
      <c r="I797" s="2" t="s">
        <v>2072</v>
      </c>
      <c r="J797" s="2" t="s">
        <v>74</v>
      </c>
      <c r="K797" s="2" t="s">
        <v>842</v>
      </c>
    </row>
    <row r="798" spans="1:13" x14ac:dyDescent="0.25">
      <c r="A798" s="2" t="s">
        <v>3221</v>
      </c>
      <c r="B798" s="2" t="s">
        <v>1</v>
      </c>
      <c r="C798" s="2" t="s">
        <v>679</v>
      </c>
      <c r="D798" s="2" t="s">
        <v>1499</v>
      </c>
      <c r="E798" s="2" t="s">
        <v>1500</v>
      </c>
      <c r="F798" s="2">
        <v>7.9677775065104104</v>
      </c>
      <c r="G798" s="2">
        <v>90</v>
      </c>
      <c r="H798" s="2">
        <v>2600</v>
      </c>
      <c r="I798" s="2" t="s">
        <v>2068</v>
      </c>
      <c r="J798" s="2" t="s">
        <v>860</v>
      </c>
      <c r="K798" s="2" t="s">
        <v>38</v>
      </c>
      <c r="L798" s="2" t="s">
        <v>364</v>
      </c>
      <c r="M798" s="2" t="s">
        <v>257</v>
      </c>
    </row>
    <row r="799" spans="1:13" x14ac:dyDescent="0.25">
      <c r="A799" s="2" t="s">
        <v>3222</v>
      </c>
      <c r="B799" s="2" t="s">
        <v>20</v>
      </c>
      <c r="C799" s="2" t="s">
        <v>1381</v>
      </c>
      <c r="D799" s="2" t="s">
        <v>1382</v>
      </c>
      <c r="E799" s="2" t="s">
        <v>1383</v>
      </c>
      <c r="F799" s="2">
        <v>8.3457362448522208</v>
      </c>
      <c r="G799" s="2">
        <v>129</v>
      </c>
      <c r="H799" s="2">
        <v>2600</v>
      </c>
      <c r="I799" s="2" t="s">
        <v>1783</v>
      </c>
      <c r="J799" s="2" t="s">
        <v>861</v>
      </c>
      <c r="K799" s="2" t="s">
        <v>840</v>
      </c>
    </row>
    <row r="800" spans="1:13" x14ac:dyDescent="0.25">
      <c r="A800" s="2" t="s">
        <v>3223</v>
      </c>
      <c r="B800" s="2" t="s">
        <v>19</v>
      </c>
      <c r="C800" s="2" t="s">
        <v>739</v>
      </c>
      <c r="D800" s="2" t="s">
        <v>3224</v>
      </c>
      <c r="E800" s="2" t="s">
        <v>262</v>
      </c>
      <c r="F800" s="2">
        <v>4.1875</v>
      </c>
      <c r="G800" s="2">
        <v>24</v>
      </c>
      <c r="H800" s="2">
        <v>2600</v>
      </c>
      <c r="I800" s="2" t="s">
        <v>2068</v>
      </c>
      <c r="J800" s="2" t="s">
        <v>38</v>
      </c>
      <c r="K800" s="2" t="s">
        <v>860</v>
      </c>
    </row>
    <row r="801" spans="1:13" x14ac:dyDescent="0.25">
      <c r="A801" s="2" t="s">
        <v>3225</v>
      </c>
      <c r="B801" s="2" t="s">
        <v>22</v>
      </c>
      <c r="C801" s="2" t="s">
        <v>441</v>
      </c>
      <c r="D801" s="2" t="s">
        <v>1570</v>
      </c>
      <c r="E801" s="2" t="s">
        <v>1571</v>
      </c>
      <c r="F801" s="2">
        <v>5.6271025755695003</v>
      </c>
      <c r="G801" s="2">
        <v>107</v>
      </c>
      <c r="H801" s="2">
        <v>2600</v>
      </c>
      <c r="I801" s="2" t="s">
        <v>2108</v>
      </c>
      <c r="J801" s="2" t="s">
        <v>856</v>
      </c>
      <c r="K801" s="2" t="s">
        <v>841</v>
      </c>
    </row>
    <row r="802" spans="1:13" x14ac:dyDescent="0.25">
      <c r="A802" s="2" t="s">
        <v>3226</v>
      </c>
      <c r="B802" s="2" t="s">
        <v>17</v>
      </c>
      <c r="C802" s="2" t="s">
        <v>287</v>
      </c>
      <c r="D802" s="2" t="s">
        <v>1423</v>
      </c>
      <c r="E802" s="2" t="s">
        <v>1424</v>
      </c>
      <c r="F802" s="2">
        <v>9.6556819568980803</v>
      </c>
      <c r="G802" s="2">
        <v>88</v>
      </c>
      <c r="H802" s="2">
        <v>2600</v>
      </c>
      <c r="I802" s="2" t="s">
        <v>2072</v>
      </c>
      <c r="J802" s="2" t="s">
        <v>842</v>
      </c>
      <c r="K802" s="2" t="s">
        <v>74</v>
      </c>
      <c r="L802" s="2" t="s">
        <v>200</v>
      </c>
      <c r="M802" s="2" t="s">
        <v>317</v>
      </c>
    </row>
    <row r="803" spans="1:13" x14ac:dyDescent="0.25">
      <c r="A803" s="2" t="s">
        <v>3227</v>
      </c>
      <c r="B803" s="2" t="s">
        <v>17</v>
      </c>
      <c r="C803" s="2" t="s">
        <v>3228</v>
      </c>
      <c r="D803" s="2" t="s">
        <v>3229</v>
      </c>
      <c r="E803" s="2" t="s">
        <v>296</v>
      </c>
      <c r="F803" s="2">
        <v>8.5546513047329196</v>
      </c>
      <c r="G803" s="2">
        <v>86</v>
      </c>
      <c r="H803" s="2">
        <v>2600</v>
      </c>
      <c r="I803" s="2" t="s">
        <v>2075</v>
      </c>
      <c r="J803" s="2" t="s">
        <v>2076</v>
      </c>
      <c r="K803" s="2" t="s">
        <v>37</v>
      </c>
    </row>
    <row r="804" spans="1:13" x14ac:dyDescent="0.25">
      <c r="A804" s="2" t="s">
        <v>3230</v>
      </c>
      <c r="B804" s="2" t="s">
        <v>1</v>
      </c>
      <c r="C804" s="2" t="s">
        <v>1463</v>
      </c>
      <c r="D804" s="2" t="s">
        <v>1464</v>
      </c>
      <c r="E804" s="2" t="s">
        <v>780</v>
      </c>
      <c r="F804" s="2">
        <v>7.9168222017377303</v>
      </c>
      <c r="G804" s="2">
        <v>107</v>
      </c>
      <c r="H804" s="2">
        <v>2600</v>
      </c>
      <c r="I804" s="2" t="s">
        <v>2070</v>
      </c>
      <c r="J804" s="2" t="s">
        <v>848</v>
      </c>
      <c r="K804" s="2" t="s">
        <v>36</v>
      </c>
      <c r="L804" s="2" t="s">
        <v>200</v>
      </c>
      <c r="M804" s="2" t="s">
        <v>1586</v>
      </c>
    </row>
    <row r="805" spans="1:13" x14ac:dyDescent="0.25">
      <c r="A805" s="2" t="s">
        <v>3231</v>
      </c>
      <c r="B805" s="2" t="s">
        <v>1</v>
      </c>
      <c r="C805" s="2" t="s">
        <v>711</v>
      </c>
      <c r="D805" s="2" t="s">
        <v>57</v>
      </c>
      <c r="E805" s="2" t="s">
        <v>712</v>
      </c>
      <c r="F805" s="2">
        <v>8.9469137309509996</v>
      </c>
      <c r="G805" s="2">
        <v>81</v>
      </c>
      <c r="H805" s="2">
        <v>2600</v>
      </c>
      <c r="I805" s="2" t="s">
        <v>2106</v>
      </c>
      <c r="J805" s="2" t="s">
        <v>35</v>
      </c>
      <c r="K805" s="2" t="s">
        <v>34</v>
      </c>
      <c r="L805" s="2" t="s">
        <v>200</v>
      </c>
      <c r="M805" s="2" t="s">
        <v>681</v>
      </c>
    </row>
    <row r="806" spans="1:13" x14ac:dyDescent="0.25">
      <c r="A806" s="2" t="s">
        <v>3232</v>
      </c>
      <c r="B806" s="2" t="s">
        <v>17</v>
      </c>
      <c r="C806" s="2" t="s">
        <v>2039</v>
      </c>
      <c r="D806" s="2" t="s">
        <v>2040</v>
      </c>
      <c r="E806" s="2" t="s">
        <v>645</v>
      </c>
      <c r="F806" s="2">
        <v>7.6245284170474603</v>
      </c>
      <c r="G806" s="2">
        <v>106</v>
      </c>
      <c r="H806" s="2">
        <v>2600</v>
      </c>
      <c r="I806" s="2" t="s">
        <v>2072</v>
      </c>
      <c r="J806" s="2" t="s">
        <v>74</v>
      </c>
      <c r="K806" s="2" t="s">
        <v>842</v>
      </c>
    </row>
    <row r="807" spans="1:13" x14ac:dyDescent="0.25">
      <c r="A807" s="2" t="s">
        <v>3233</v>
      </c>
      <c r="B807" s="2" t="s">
        <v>21</v>
      </c>
      <c r="C807" s="2" t="s">
        <v>212</v>
      </c>
      <c r="D807" s="2" t="s">
        <v>1631</v>
      </c>
      <c r="E807" s="2" t="s">
        <v>1632</v>
      </c>
      <c r="F807" s="2">
        <v>7.0729510197873902</v>
      </c>
      <c r="G807" s="2">
        <v>122</v>
      </c>
      <c r="H807" s="2">
        <v>2600</v>
      </c>
      <c r="I807" s="2" t="s">
        <v>2108</v>
      </c>
      <c r="J807" s="2" t="s">
        <v>841</v>
      </c>
      <c r="K807" s="2" t="s">
        <v>856</v>
      </c>
    </row>
    <row r="808" spans="1:13" x14ac:dyDescent="0.25">
      <c r="A808" s="2" t="s">
        <v>3234</v>
      </c>
      <c r="B808" s="2" t="s">
        <v>17</v>
      </c>
      <c r="C808" s="2" t="s">
        <v>1474</v>
      </c>
      <c r="D808" s="2" t="s">
        <v>1475</v>
      </c>
      <c r="E808" s="2" t="s">
        <v>531</v>
      </c>
      <c r="F808" s="2">
        <v>7.7713044539741798</v>
      </c>
      <c r="G808" s="2">
        <v>115</v>
      </c>
      <c r="H808" s="2">
        <v>2600</v>
      </c>
      <c r="I808" s="2" t="s">
        <v>2068</v>
      </c>
      <c r="J808" s="2" t="s">
        <v>860</v>
      </c>
      <c r="K808" s="2" t="s">
        <v>38</v>
      </c>
    </row>
    <row r="809" spans="1:13" x14ac:dyDescent="0.25">
      <c r="A809" s="2" t="s">
        <v>3235</v>
      </c>
      <c r="B809" s="2" t="s">
        <v>1</v>
      </c>
      <c r="C809" s="2" t="s">
        <v>1440</v>
      </c>
      <c r="D809" s="2" t="s">
        <v>1636</v>
      </c>
      <c r="E809" s="2" t="s">
        <v>1637</v>
      </c>
      <c r="F809" s="2">
        <v>8.5487177922175395</v>
      </c>
      <c r="G809" s="2">
        <v>78</v>
      </c>
      <c r="H809" s="2">
        <v>2600</v>
      </c>
      <c r="I809" s="2" t="s">
        <v>1783</v>
      </c>
      <c r="J809" s="2" t="s">
        <v>861</v>
      </c>
      <c r="K809" s="2" t="s">
        <v>840</v>
      </c>
    </row>
    <row r="810" spans="1:13" x14ac:dyDescent="0.25">
      <c r="A810" s="2" t="s">
        <v>3236</v>
      </c>
      <c r="B810" s="2" t="s">
        <v>17</v>
      </c>
      <c r="C810" s="2" t="s">
        <v>1580</v>
      </c>
      <c r="D810" s="2" t="s">
        <v>1581</v>
      </c>
      <c r="E810" s="2" t="s">
        <v>1582</v>
      </c>
      <c r="F810" s="2">
        <v>7.90215080015121</v>
      </c>
      <c r="G810" s="2">
        <v>93</v>
      </c>
      <c r="H810" s="2">
        <v>2600</v>
      </c>
      <c r="I810" s="2" t="s">
        <v>2070</v>
      </c>
      <c r="J810" s="2" t="s">
        <v>848</v>
      </c>
      <c r="K810" s="2" t="s">
        <v>36</v>
      </c>
    </row>
    <row r="811" spans="1:13" x14ac:dyDescent="0.25">
      <c r="A811" s="2" t="s">
        <v>3237</v>
      </c>
      <c r="B811" s="2" t="s">
        <v>19</v>
      </c>
      <c r="C811" s="2" t="s">
        <v>495</v>
      </c>
      <c r="D811" s="2" t="s">
        <v>1480</v>
      </c>
      <c r="E811" s="2" t="s">
        <v>1481</v>
      </c>
      <c r="F811" s="2">
        <v>7.6271432059151696</v>
      </c>
      <c r="G811" s="2">
        <v>70</v>
      </c>
      <c r="H811" s="2">
        <v>2500</v>
      </c>
      <c r="I811" s="2" t="s">
        <v>2068</v>
      </c>
      <c r="J811" s="2" t="s">
        <v>860</v>
      </c>
      <c r="K811" s="2" t="s">
        <v>38</v>
      </c>
    </row>
    <row r="812" spans="1:13" x14ac:dyDescent="0.25">
      <c r="A812" s="2" t="s">
        <v>3238</v>
      </c>
      <c r="B812" s="2" t="s">
        <v>1</v>
      </c>
      <c r="C812" s="2" t="s">
        <v>3239</v>
      </c>
      <c r="D812" s="2" t="s">
        <v>3240</v>
      </c>
      <c r="E812" s="2" t="s">
        <v>419</v>
      </c>
      <c r="F812" s="2">
        <v>6.0128570556640604</v>
      </c>
      <c r="G812" s="2">
        <v>70</v>
      </c>
      <c r="H812" s="2">
        <v>2500</v>
      </c>
      <c r="I812" s="2" t="s">
        <v>2075</v>
      </c>
      <c r="J812" s="2" t="s">
        <v>2076</v>
      </c>
      <c r="K812" s="2" t="s">
        <v>37</v>
      </c>
    </row>
    <row r="813" spans="1:13" x14ac:dyDescent="0.25">
      <c r="A813" s="2" t="s">
        <v>3241</v>
      </c>
      <c r="B813" s="2" t="s">
        <v>20</v>
      </c>
      <c r="C813" s="2" t="s">
        <v>287</v>
      </c>
      <c r="D813" s="2" t="s">
        <v>3242</v>
      </c>
      <c r="E813" s="2" t="s">
        <v>3243</v>
      </c>
      <c r="F813" s="2">
        <v>9.1860213741179404</v>
      </c>
      <c r="G813" s="2">
        <v>93</v>
      </c>
      <c r="H813" s="2">
        <v>2500</v>
      </c>
      <c r="I813" s="2" t="s">
        <v>2075</v>
      </c>
      <c r="J813" s="2" t="s">
        <v>2076</v>
      </c>
      <c r="K813" s="2" t="s">
        <v>37</v>
      </c>
    </row>
    <row r="814" spans="1:13" x14ac:dyDescent="0.25">
      <c r="A814" s="2" t="s">
        <v>3244</v>
      </c>
      <c r="B814" s="2" t="s">
        <v>21</v>
      </c>
      <c r="C814" s="2" t="s">
        <v>702</v>
      </c>
      <c r="D814" s="2" t="s">
        <v>102</v>
      </c>
      <c r="E814" s="2" t="s">
        <v>703</v>
      </c>
      <c r="F814" s="2">
        <v>7.1090910940459198</v>
      </c>
      <c r="G814" s="2">
        <v>66</v>
      </c>
      <c r="H814" s="2">
        <v>2500</v>
      </c>
      <c r="I814" s="2" t="s">
        <v>2106</v>
      </c>
      <c r="J814" s="2" t="s">
        <v>35</v>
      </c>
      <c r="K814" s="2" t="s">
        <v>34</v>
      </c>
      <c r="L814" s="2" t="s">
        <v>200</v>
      </c>
      <c r="M814" s="2" t="s">
        <v>484</v>
      </c>
    </row>
    <row r="815" spans="1:13" x14ac:dyDescent="0.25">
      <c r="A815" s="2" t="s">
        <v>3245</v>
      </c>
      <c r="B815" s="2" t="s">
        <v>17</v>
      </c>
      <c r="C815" s="2" t="s">
        <v>1384</v>
      </c>
      <c r="D815" s="2" t="s">
        <v>1385</v>
      </c>
      <c r="E815" s="2" t="s">
        <v>698</v>
      </c>
      <c r="F815" s="2">
        <v>8.23296716711023</v>
      </c>
      <c r="G815" s="2">
        <v>91</v>
      </c>
      <c r="H815" s="2">
        <v>2500</v>
      </c>
      <c r="I815" s="2" t="s">
        <v>2108</v>
      </c>
      <c r="J815" s="2" t="s">
        <v>856</v>
      </c>
      <c r="K815" s="2" t="s">
        <v>841</v>
      </c>
      <c r="L815" s="2" t="s">
        <v>200</v>
      </c>
      <c r="M815" s="2" t="s">
        <v>551</v>
      </c>
    </row>
    <row r="816" spans="1:13" x14ac:dyDescent="0.25">
      <c r="A816" s="2" t="s">
        <v>3246</v>
      </c>
      <c r="B816" s="2" t="s">
        <v>22</v>
      </c>
      <c r="C816" s="2" t="s">
        <v>794</v>
      </c>
      <c r="D816" s="2" t="s">
        <v>1572</v>
      </c>
      <c r="E816" s="2" t="s">
        <v>1573</v>
      </c>
      <c r="F816" s="2">
        <v>6.4839286804199201</v>
      </c>
      <c r="G816" s="2">
        <v>112</v>
      </c>
      <c r="H816" s="2">
        <v>2500</v>
      </c>
      <c r="I816" s="2" t="s">
        <v>2068</v>
      </c>
      <c r="J816" s="2" t="s">
        <v>860</v>
      </c>
      <c r="K816" s="2" t="s">
        <v>38</v>
      </c>
    </row>
    <row r="817" spans="1:13" x14ac:dyDescent="0.25">
      <c r="A817" s="2" t="s">
        <v>3247</v>
      </c>
      <c r="B817" s="2" t="s">
        <v>22</v>
      </c>
      <c r="C817" s="2" t="s">
        <v>673</v>
      </c>
      <c r="D817" s="2" t="s">
        <v>55</v>
      </c>
      <c r="E817" s="2" t="s">
        <v>674</v>
      </c>
      <c r="F817" s="2">
        <v>9.5920000000000005</v>
      </c>
      <c r="G817" s="2">
        <v>125</v>
      </c>
      <c r="H817" s="2">
        <v>2500</v>
      </c>
      <c r="I817" s="2" t="s">
        <v>2106</v>
      </c>
      <c r="J817" s="2" t="s">
        <v>35</v>
      </c>
      <c r="K817" s="2" t="s">
        <v>34</v>
      </c>
    </row>
    <row r="818" spans="1:13" x14ac:dyDescent="0.25">
      <c r="A818" s="2" t="s">
        <v>3248</v>
      </c>
      <c r="B818" s="2" t="s">
        <v>22</v>
      </c>
      <c r="C818" s="2" t="s">
        <v>425</v>
      </c>
      <c r="D818" s="2" t="s">
        <v>1598</v>
      </c>
      <c r="E818" s="2" t="s">
        <v>620</v>
      </c>
      <c r="F818" s="2">
        <v>8.8300003051757798</v>
      </c>
      <c r="G818" s="2">
        <v>10</v>
      </c>
      <c r="H818" s="2">
        <v>2500</v>
      </c>
      <c r="I818" s="2" t="s">
        <v>2072</v>
      </c>
      <c r="J818" s="2" t="s">
        <v>842</v>
      </c>
      <c r="K818" s="2" t="s">
        <v>74</v>
      </c>
    </row>
    <row r="819" spans="1:13" x14ac:dyDescent="0.25">
      <c r="A819" s="2" t="s">
        <v>3249</v>
      </c>
      <c r="B819" s="2" t="s">
        <v>19</v>
      </c>
      <c r="C819" s="2" t="s">
        <v>3250</v>
      </c>
      <c r="D819" s="2" t="s">
        <v>3251</v>
      </c>
      <c r="E819" s="2" t="s">
        <v>3252</v>
      </c>
      <c r="F819" s="2">
        <v>5.0712330439319304</v>
      </c>
      <c r="G819" s="2">
        <v>73</v>
      </c>
      <c r="H819" s="2">
        <v>2500</v>
      </c>
      <c r="I819" s="2" t="s">
        <v>2124</v>
      </c>
      <c r="J819" s="2" t="s">
        <v>2125</v>
      </c>
      <c r="K819" s="2" t="s">
        <v>852</v>
      </c>
    </row>
    <row r="820" spans="1:13" x14ac:dyDescent="0.25">
      <c r="A820" s="2" t="s">
        <v>3253</v>
      </c>
      <c r="B820" s="2" t="s">
        <v>20</v>
      </c>
      <c r="C820" s="2" t="s">
        <v>712</v>
      </c>
      <c r="D820" s="2" t="s">
        <v>1465</v>
      </c>
      <c r="E820" s="2" t="s">
        <v>1466</v>
      </c>
      <c r="F820" s="2">
        <v>6.8000001649598802</v>
      </c>
      <c r="G820" s="2">
        <v>37</v>
      </c>
      <c r="H820" s="2">
        <v>2500</v>
      </c>
      <c r="I820" s="2" t="s">
        <v>1783</v>
      </c>
      <c r="J820" s="2" t="s">
        <v>840</v>
      </c>
      <c r="K820" s="2" t="s">
        <v>861</v>
      </c>
      <c r="L820" s="2" t="s">
        <v>200</v>
      </c>
      <c r="M820" s="2" t="s">
        <v>232</v>
      </c>
    </row>
    <row r="821" spans="1:13" x14ac:dyDescent="0.25">
      <c r="A821" s="2" t="s">
        <v>3254</v>
      </c>
      <c r="B821" s="2" t="s">
        <v>17</v>
      </c>
      <c r="C821" s="2" t="s">
        <v>1467</v>
      </c>
      <c r="D821" s="2" t="s">
        <v>1468</v>
      </c>
      <c r="E821" s="2" t="s">
        <v>1209</v>
      </c>
      <c r="F821" s="2">
        <v>9.1806722689075606</v>
      </c>
      <c r="G821" s="2">
        <v>119</v>
      </c>
      <c r="H821" s="2">
        <v>2500</v>
      </c>
      <c r="I821" s="2" t="s">
        <v>2068</v>
      </c>
      <c r="J821" s="2" t="s">
        <v>860</v>
      </c>
      <c r="K821" s="2" t="s">
        <v>38</v>
      </c>
    </row>
    <row r="822" spans="1:13" x14ac:dyDescent="0.25">
      <c r="A822" s="2" t="s">
        <v>3255</v>
      </c>
      <c r="B822" s="2" t="s">
        <v>21</v>
      </c>
      <c r="C822" s="2" t="s">
        <v>1507</v>
      </c>
      <c r="D822" s="2" t="s">
        <v>1508</v>
      </c>
      <c r="E822" s="2" t="s">
        <v>1509</v>
      </c>
      <c r="F822" s="2">
        <v>7.9880952380952301</v>
      </c>
      <c r="G822" s="2">
        <v>126</v>
      </c>
      <c r="H822" s="2">
        <v>2500</v>
      </c>
      <c r="I822" s="2" t="s">
        <v>2108</v>
      </c>
      <c r="J822" s="2" t="s">
        <v>856</v>
      </c>
      <c r="K822" s="2" t="s">
        <v>841</v>
      </c>
    </row>
    <row r="823" spans="1:13" x14ac:dyDescent="0.25">
      <c r="A823" s="2" t="s">
        <v>3256</v>
      </c>
      <c r="B823" s="2" t="s">
        <v>21</v>
      </c>
      <c r="C823" s="2" t="s">
        <v>1489</v>
      </c>
      <c r="D823" s="2" t="s">
        <v>1490</v>
      </c>
      <c r="E823" s="2" t="s">
        <v>1491</v>
      </c>
      <c r="F823" s="2">
        <v>7.82519675427534</v>
      </c>
      <c r="G823" s="2">
        <v>127</v>
      </c>
      <c r="H823" s="2">
        <v>2500</v>
      </c>
      <c r="I823" s="2" t="s">
        <v>2068</v>
      </c>
      <c r="J823" s="2" t="s">
        <v>860</v>
      </c>
      <c r="K823" s="2" t="s">
        <v>38</v>
      </c>
    </row>
    <row r="824" spans="1:13" x14ac:dyDescent="0.25">
      <c r="A824" s="2" t="s">
        <v>3257</v>
      </c>
      <c r="B824" s="2" t="s">
        <v>1</v>
      </c>
      <c r="C824" s="2" t="s">
        <v>354</v>
      </c>
      <c r="D824" s="2" t="s">
        <v>3258</v>
      </c>
      <c r="E824" s="2" t="s">
        <v>3259</v>
      </c>
      <c r="F824" s="2">
        <v>8.2750002543131504</v>
      </c>
      <c r="G824" s="2">
        <v>12</v>
      </c>
      <c r="H824" s="2">
        <v>2500</v>
      </c>
      <c r="I824" s="2" t="s">
        <v>1783</v>
      </c>
      <c r="J824" s="2" t="s">
        <v>861</v>
      </c>
      <c r="K824" s="2" t="s">
        <v>840</v>
      </c>
    </row>
    <row r="825" spans="1:13" x14ac:dyDescent="0.25">
      <c r="A825" s="2" t="s">
        <v>3260</v>
      </c>
      <c r="B825" s="2" t="s">
        <v>17</v>
      </c>
      <c r="C825" s="2" t="s">
        <v>354</v>
      </c>
      <c r="D825" s="2" t="s">
        <v>1412</v>
      </c>
      <c r="E825" s="2" t="s">
        <v>801</v>
      </c>
      <c r="F825" s="2">
        <v>8.8875001271565708</v>
      </c>
      <c r="G825" s="2">
        <v>96</v>
      </c>
      <c r="H825" s="2">
        <v>2500</v>
      </c>
      <c r="I825" s="2" t="s">
        <v>2097</v>
      </c>
      <c r="J825" s="2" t="s">
        <v>853</v>
      </c>
      <c r="K825" s="2" t="s">
        <v>159</v>
      </c>
    </row>
    <row r="826" spans="1:13" x14ac:dyDescent="0.25">
      <c r="A826" s="2" t="s">
        <v>3261</v>
      </c>
      <c r="B826" s="2" t="s">
        <v>17</v>
      </c>
      <c r="C826" s="2" t="s">
        <v>214</v>
      </c>
      <c r="D826" s="2" t="s">
        <v>165</v>
      </c>
      <c r="E826" s="2" t="s">
        <v>683</v>
      </c>
      <c r="F826" s="2">
        <v>8.4234693877550999</v>
      </c>
      <c r="G826" s="2">
        <v>98</v>
      </c>
      <c r="H826" s="2">
        <v>2500</v>
      </c>
      <c r="I826" s="2" t="s">
        <v>2097</v>
      </c>
      <c r="J826" s="2" t="s">
        <v>159</v>
      </c>
      <c r="K826" s="2" t="s">
        <v>853</v>
      </c>
      <c r="L826" s="2" t="s">
        <v>200</v>
      </c>
      <c r="M826" s="2" t="s">
        <v>1307</v>
      </c>
    </row>
    <row r="827" spans="1:13" x14ac:dyDescent="0.25">
      <c r="A827" s="2" t="s">
        <v>3262</v>
      </c>
      <c r="B827" s="2" t="s">
        <v>1</v>
      </c>
      <c r="C827" s="2" t="s">
        <v>676</v>
      </c>
      <c r="D827" s="2" t="s">
        <v>3263</v>
      </c>
      <c r="E827" s="2" t="s">
        <v>3264</v>
      </c>
      <c r="F827" s="2">
        <v>8.71428571428571</v>
      </c>
      <c r="G827" s="2">
        <v>7</v>
      </c>
      <c r="H827" s="2">
        <v>2500</v>
      </c>
      <c r="I827" s="2" t="s">
        <v>2097</v>
      </c>
      <c r="J827" s="2" t="s">
        <v>159</v>
      </c>
      <c r="K827" s="2" t="s">
        <v>853</v>
      </c>
    </row>
    <row r="828" spans="1:13" x14ac:dyDescent="0.25">
      <c r="A828" s="2" t="s">
        <v>3265</v>
      </c>
      <c r="B828" s="2" t="s">
        <v>20</v>
      </c>
      <c r="C828" s="2" t="s">
        <v>207</v>
      </c>
      <c r="D828" s="2" t="s">
        <v>1512</v>
      </c>
      <c r="E828" s="2" t="s">
        <v>1513</v>
      </c>
      <c r="F828" s="2">
        <v>7.8403667484948398</v>
      </c>
      <c r="G828" s="2">
        <v>109</v>
      </c>
      <c r="H828" s="2">
        <v>2500</v>
      </c>
      <c r="I828" s="2" t="s">
        <v>2108</v>
      </c>
      <c r="J828" s="2" t="s">
        <v>856</v>
      </c>
      <c r="K828" s="2" t="s">
        <v>841</v>
      </c>
    </row>
    <row r="829" spans="1:13" x14ac:dyDescent="0.25">
      <c r="A829" s="2" t="s">
        <v>3266</v>
      </c>
      <c r="B829" s="2" t="s">
        <v>1</v>
      </c>
      <c r="C829" s="2" t="s">
        <v>427</v>
      </c>
      <c r="D829" s="2" t="s">
        <v>2054</v>
      </c>
      <c r="E829" s="2" t="s">
        <v>783</v>
      </c>
      <c r="F829" s="2">
        <v>6.73555569118923</v>
      </c>
      <c r="G829" s="2">
        <v>45</v>
      </c>
      <c r="H829" s="2">
        <v>2500</v>
      </c>
      <c r="I829" s="2" t="s">
        <v>2075</v>
      </c>
      <c r="J829" s="2" t="s">
        <v>37</v>
      </c>
      <c r="K829" s="2" t="s">
        <v>2076</v>
      </c>
    </row>
    <row r="830" spans="1:13" x14ac:dyDescent="0.25">
      <c r="A830" s="2" t="s">
        <v>3267</v>
      </c>
      <c r="B830" s="2" t="s">
        <v>19</v>
      </c>
      <c r="C830" s="2" t="s">
        <v>716</v>
      </c>
      <c r="D830" s="2" t="s">
        <v>58</v>
      </c>
      <c r="E830" s="2" t="s">
        <v>717</v>
      </c>
      <c r="F830" s="2">
        <v>8.9679998779296799</v>
      </c>
      <c r="G830" s="2">
        <v>50</v>
      </c>
      <c r="H830" s="2">
        <v>2500</v>
      </c>
      <c r="I830" s="2" t="s">
        <v>2106</v>
      </c>
      <c r="J830" s="2" t="s">
        <v>35</v>
      </c>
      <c r="K830" s="2" t="s">
        <v>34</v>
      </c>
      <c r="L830" s="2" t="s">
        <v>200</v>
      </c>
      <c r="M830" s="2" t="s">
        <v>232</v>
      </c>
    </row>
    <row r="831" spans="1:13" x14ac:dyDescent="0.25">
      <c r="A831" s="2" t="s">
        <v>3268</v>
      </c>
      <c r="B831" s="2" t="s">
        <v>17</v>
      </c>
      <c r="C831" s="2" t="s">
        <v>405</v>
      </c>
      <c r="D831" s="2" t="s">
        <v>125</v>
      </c>
      <c r="E831" s="2" t="s">
        <v>808</v>
      </c>
      <c r="F831" s="2">
        <v>3.7794519711847099</v>
      </c>
      <c r="G831" s="2">
        <v>73</v>
      </c>
      <c r="H831" s="2">
        <v>2400</v>
      </c>
      <c r="I831" s="2" t="s">
        <v>2106</v>
      </c>
      <c r="J831" s="2" t="s">
        <v>34</v>
      </c>
      <c r="K831" s="2" t="s">
        <v>35</v>
      </c>
    </row>
    <row r="832" spans="1:13" x14ac:dyDescent="0.25">
      <c r="A832" s="2" t="s">
        <v>3269</v>
      </c>
      <c r="B832" s="2" t="s">
        <v>17</v>
      </c>
      <c r="C832" s="2" t="s">
        <v>752</v>
      </c>
      <c r="D832" s="2" t="s">
        <v>99</v>
      </c>
      <c r="E832" s="2" t="s">
        <v>753</v>
      </c>
      <c r="F832" s="2">
        <v>8.5247707541929394</v>
      </c>
      <c r="G832" s="2">
        <v>109</v>
      </c>
      <c r="H832" s="2">
        <v>2400</v>
      </c>
      <c r="I832" s="2" t="s">
        <v>2081</v>
      </c>
      <c r="J832" s="2" t="s">
        <v>76</v>
      </c>
      <c r="K832" s="2" t="s">
        <v>73</v>
      </c>
      <c r="L832" s="2" t="s">
        <v>200</v>
      </c>
      <c r="M832" s="2" t="s">
        <v>568</v>
      </c>
    </row>
    <row r="833" spans="1:13" x14ac:dyDescent="0.25">
      <c r="A833" s="2" t="s">
        <v>3270</v>
      </c>
      <c r="B833" s="2" t="s">
        <v>22</v>
      </c>
      <c r="C833" s="2" t="s">
        <v>1971</v>
      </c>
      <c r="D833" s="2" t="s">
        <v>1972</v>
      </c>
      <c r="E833" s="2" t="s">
        <v>1973</v>
      </c>
      <c r="F833" s="2">
        <v>10.392187118530201</v>
      </c>
      <c r="G833" s="2">
        <v>128</v>
      </c>
      <c r="H833" s="2">
        <v>2400</v>
      </c>
      <c r="I833" s="2" t="s">
        <v>2065</v>
      </c>
      <c r="J833" s="2" t="s">
        <v>69</v>
      </c>
      <c r="K833" s="2" t="s">
        <v>2066</v>
      </c>
    </row>
    <row r="834" spans="1:13" x14ac:dyDescent="0.25">
      <c r="A834" s="2" t="s">
        <v>3271</v>
      </c>
      <c r="B834" s="2" t="s">
        <v>1</v>
      </c>
      <c r="C834" s="2" t="s">
        <v>217</v>
      </c>
      <c r="D834" s="2" t="s">
        <v>1567</v>
      </c>
      <c r="E834" s="2" t="s">
        <v>689</v>
      </c>
      <c r="F834" s="2">
        <v>8.4975902143731101</v>
      </c>
      <c r="G834" s="2">
        <v>83</v>
      </c>
      <c r="H834" s="2">
        <v>2400</v>
      </c>
      <c r="I834" s="2" t="s">
        <v>2070</v>
      </c>
      <c r="J834" s="2" t="s">
        <v>848</v>
      </c>
      <c r="K834" s="2" t="s">
        <v>36</v>
      </c>
    </row>
    <row r="835" spans="1:13" x14ac:dyDescent="0.25">
      <c r="A835" s="2" t="s">
        <v>3272</v>
      </c>
      <c r="B835" s="2" t="s">
        <v>22</v>
      </c>
      <c r="C835" s="2" t="s">
        <v>739</v>
      </c>
      <c r="D835" s="2" t="s">
        <v>3273</v>
      </c>
      <c r="E835" s="2" t="s">
        <v>216</v>
      </c>
      <c r="F835" s="2">
        <v>6.4612904210244402</v>
      </c>
      <c r="G835" s="2">
        <v>62</v>
      </c>
      <c r="H835" s="2">
        <v>2400</v>
      </c>
      <c r="I835" s="2" t="s">
        <v>2065</v>
      </c>
      <c r="J835" s="2" t="s">
        <v>2066</v>
      </c>
      <c r="K835" s="2" t="s">
        <v>69</v>
      </c>
    </row>
    <row r="836" spans="1:13" x14ac:dyDescent="0.25">
      <c r="A836" s="2" t="s">
        <v>3274</v>
      </c>
      <c r="B836" s="2" t="s">
        <v>1</v>
      </c>
      <c r="C836" s="2" t="s">
        <v>712</v>
      </c>
      <c r="D836" s="2" t="s">
        <v>3275</v>
      </c>
      <c r="E836" s="2" t="s">
        <v>3276</v>
      </c>
      <c r="F836" s="2">
        <v>6.4730436905570601</v>
      </c>
      <c r="G836" s="2">
        <v>115</v>
      </c>
      <c r="H836" s="2">
        <v>2400</v>
      </c>
      <c r="I836" s="2" t="s">
        <v>2124</v>
      </c>
      <c r="J836" s="2" t="s">
        <v>2125</v>
      </c>
      <c r="K836" s="2" t="s">
        <v>852</v>
      </c>
    </row>
    <row r="837" spans="1:13" x14ac:dyDescent="0.25">
      <c r="A837" s="2" t="s">
        <v>3277</v>
      </c>
      <c r="B837" s="2" t="s">
        <v>22</v>
      </c>
      <c r="C837" s="2" t="s">
        <v>990</v>
      </c>
      <c r="D837" s="2" t="s">
        <v>1352</v>
      </c>
      <c r="E837" s="2" t="s">
        <v>744</v>
      </c>
      <c r="F837" s="2">
        <v>8.5504061070884099</v>
      </c>
      <c r="G837" s="2">
        <v>123</v>
      </c>
      <c r="H837" s="2">
        <v>2400</v>
      </c>
      <c r="I837" s="2" t="s">
        <v>1783</v>
      </c>
      <c r="J837" s="2" t="s">
        <v>861</v>
      </c>
      <c r="K837" s="2" t="s">
        <v>840</v>
      </c>
    </row>
    <row r="838" spans="1:13" x14ac:dyDescent="0.25">
      <c r="A838" s="2" t="s">
        <v>3278</v>
      </c>
      <c r="B838" s="2" t="s">
        <v>1</v>
      </c>
      <c r="C838" s="2" t="s">
        <v>1338</v>
      </c>
      <c r="D838" s="2" t="s">
        <v>1339</v>
      </c>
      <c r="E838" s="2" t="s">
        <v>531</v>
      </c>
      <c r="F838" s="2">
        <v>9.5377358490566007</v>
      </c>
      <c r="G838" s="2">
        <v>106</v>
      </c>
      <c r="H838" s="2">
        <v>2400</v>
      </c>
      <c r="I838" s="2" t="s">
        <v>2097</v>
      </c>
      <c r="J838" s="2" t="s">
        <v>853</v>
      </c>
      <c r="K838" s="2" t="s">
        <v>159</v>
      </c>
    </row>
    <row r="839" spans="1:13" x14ac:dyDescent="0.25">
      <c r="A839" s="2" t="s">
        <v>3279</v>
      </c>
      <c r="B839" s="2" t="s">
        <v>17</v>
      </c>
      <c r="C839" s="2" t="s">
        <v>704</v>
      </c>
      <c r="D839" s="2" t="s">
        <v>110</v>
      </c>
      <c r="E839" s="2" t="s">
        <v>419</v>
      </c>
      <c r="F839" s="2">
        <v>8.3187497456868496</v>
      </c>
      <c r="G839" s="2">
        <v>96</v>
      </c>
      <c r="H839" s="2">
        <v>2400</v>
      </c>
      <c r="I839" s="2" t="s">
        <v>2106</v>
      </c>
      <c r="J839" s="2" t="s">
        <v>34</v>
      </c>
      <c r="K839" s="2" t="s">
        <v>35</v>
      </c>
    </row>
    <row r="840" spans="1:13" x14ac:dyDescent="0.25">
      <c r="A840" s="2" t="s">
        <v>3280</v>
      </c>
      <c r="B840" s="2" t="s">
        <v>21</v>
      </c>
      <c r="C840" s="2" t="s">
        <v>337</v>
      </c>
      <c r="D840" s="2" t="s">
        <v>131</v>
      </c>
      <c r="E840" s="2" t="s">
        <v>802</v>
      </c>
      <c r="F840" s="2">
        <v>5.9800001061480899</v>
      </c>
      <c r="G840" s="2">
        <v>115</v>
      </c>
      <c r="H840" s="2">
        <v>2400</v>
      </c>
      <c r="I840" s="2" t="s">
        <v>2106</v>
      </c>
      <c r="J840" s="2" t="s">
        <v>35</v>
      </c>
      <c r="K840" s="2" t="s">
        <v>34</v>
      </c>
    </row>
    <row r="841" spans="1:13" x14ac:dyDescent="0.25">
      <c r="A841" s="2" t="s">
        <v>3281</v>
      </c>
      <c r="B841" s="2" t="s">
        <v>21</v>
      </c>
      <c r="C841" s="2" t="s">
        <v>201</v>
      </c>
      <c r="D841" s="2" t="s">
        <v>132</v>
      </c>
      <c r="E841" s="2" t="s">
        <v>237</v>
      </c>
      <c r="F841" s="2">
        <v>4.6586957185164701</v>
      </c>
      <c r="G841" s="2">
        <v>46</v>
      </c>
      <c r="H841" s="2">
        <v>2400</v>
      </c>
      <c r="I841" s="2" t="s">
        <v>2068</v>
      </c>
      <c r="J841" s="2" t="s">
        <v>38</v>
      </c>
      <c r="K841" s="2" t="s">
        <v>860</v>
      </c>
      <c r="L841" s="2" t="s">
        <v>200</v>
      </c>
      <c r="M841" s="2" t="s">
        <v>1119</v>
      </c>
    </row>
    <row r="842" spans="1:13" x14ac:dyDescent="0.25">
      <c r="A842" s="2" t="s">
        <v>3282</v>
      </c>
      <c r="B842" s="2" t="s">
        <v>17</v>
      </c>
      <c r="C842" s="2" t="s">
        <v>201</v>
      </c>
      <c r="D842" s="2" t="s">
        <v>1457</v>
      </c>
      <c r="E842" s="2" t="s">
        <v>1458</v>
      </c>
      <c r="F842" s="2">
        <v>7.98095267159598</v>
      </c>
      <c r="G842" s="2">
        <v>84</v>
      </c>
      <c r="H842" s="2">
        <v>2400</v>
      </c>
      <c r="I842" s="2" t="s">
        <v>2079</v>
      </c>
      <c r="J842" s="2" t="s">
        <v>855</v>
      </c>
      <c r="K842" s="2" t="s">
        <v>843</v>
      </c>
    </row>
    <row r="843" spans="1:13" x14ac:dyDescent="0.25">
      <c r="A843" s="2" t="s">
        <v>3283</v>
      </c>
      <c r="B843" s="2" t="s">
        <v>1</v>
      </c>
      <c r="C843" s="2" t="s">
        <v>291</v>
      </c>
      <c r="D843" s="2" t="s">
        <v>119</v>
      </c>
      <c r="E843" s="2" t="s">
        <v>713</v>
      </c>
      <c r="F843" s="2">
        <v>7.5721520532535598</v>
      </c>
      <c r="G843" s="2">
        <v>79</v>
      </c>
      <c r="H843" s="2">
        <v>2400</v>
      </c>
      <c r="I843" s="2" t="s">
        <v>2072</v>
      </c>
      <c r="J843" s="2" t="s">
        <v>74</v>
      </c>
      <c r="K843" s="2" t="s">
        <v>842</v>
      </c>
    </row>
    <row r="844" spans="1:13" x14ac:dyDescent="0.25">
      <c r="A844" s="2" t="s">
        <v>3284</v>
      </c>
      <c r="B844" s="2" t="s">
        <v>17</v>
      </c>
      <c r="C844" s="2" t="s">
        <v>350</v>
      </c>
      <c r="D844" s="2" t="s">
        <v>1706</v>
      </c>
      <c r="E844" s="2" t="s">
        <v>1707</v>
      </c>
      <c r="F844" s="2">
        <v>7.6466664632161399</v>
      </c>
      <c r="G844" s="2">
        <v>30</v>
      </c>
      <c r="H844" s="2">
        <v>2400</v>
      </c>
      <c r="I844" s="2" t="s">
        <v>2108</v>
      </c>
      <c r="J844" s="2" t="s">
        <v>841</v>
      </c>
      <c r="K844" s="2" t="s">
        <v>856</v>
      </c>
      <c r="L844" s="2" t="s">
        <v>200</v>
      </c>
      <c r="M844" s="2" t="s">
        <v>257</v>
      </c>
    </row>
    <row r="845" spans="1:13" x14ac:dyDescent="0.25">
      <c r="A845" s="2" t="s">
        <v>3285</v>
      </c>
      <c r="B845" s="2" t="s">
        <v>17</v>
      </c>
      <c r="C845" s="2" t="s">
        <v>730</v>
      </c>
      <c r="D845" s="2" t="s">
        <v>121</v>
      </c>
      <c r="E845" s="2" t="s">
        <v>731</v>
      </c>
      <c r="F845" s="2">
        <v>5.1659575117395198</v>
      </c>
      <c r="G845" s="2">
        <v>94</v>
      </c>
      <c r="H845" s="2">
        <v>2300</v>
      </c>
      <c r="I845" s="2" t="s">
        <v>2106</v>
      </c>
      <c r="J845" s="2" t="s">
        <v>34</v>
      </c>
      <c r="K845" s="2" t="s">
        <v>35</v>
      </c>
    </row>
    <row r="846" spans="1:13" x14ac:dyDescent="0.25">
      <c r="A846" s="2" t="s">
        <v>3286</v>
      </c>
      <c r="B846" s="2" t="s">
        <v>17</v>
      </c>
      <c r="C846" s="2" t="s">
        <v>283</v>
      </c>
      <c r="D846" s="2" t="s">
        <v>113</v>
      </c>
      <c r="E846" s="2" t="s">
        <v>738</v>
      </c>
      <c r="F846" s="2">
        <v>5.6290322580645098</v>
      </c>
      <c r="G846" s="2">
        <v>62</v>
      </c>
      <c r="H846" s="2">
        <v>2300</v>
      </c>
      <c r="I846" s="2" t="s">
        <v>2070</v>
      </c>
      <c r="J846" s="2" t="s">
        <v>36</v>
      </c>
      <c r="K846" s="2" t="s">
        <v>848</v>
      </c>
    </row>
    <row r="847" spans="1:13" x14ac:dyDescent="0.25">
      <c r="A847" s="2" t="s">
        <v>3287</v>
      </c>
      <c r="B847" s="2" t="s">
        <v>17</v>
      </c>
      <c r="C847" s="2" t="s">
        <v>197</v>
      </c>
      <c r="D847" s="2" t="s">
        <v>148</v>
      </c>
      <c r="E847" s="2" t="s">
        <v>825</v>
      </c>
      <c r="F847" s="2">
        <v>3.1078946966873899</v>
      </c>
      <c r="G847" s="2">
        <v>38</v>
      </c>
      <c r="H847" s="2">
        <v>2300</v>
      </c>
      <c r="I847" s="2" t="s">
        <v>2068</v>
      </c>
      <c r="J847" s="2" t="s">
        <v>38</v>
      </c>
      <c r="K847" s="2" t="s">
        <v>860</v>
      </c>
    </row>
    <row r="848" spans="1:13" x14ac:dyDescent="0.25">
      <c r="A848" s="2" t="s">
        <v>3288</v>
      </c>
      <c r="B848" s="2" t="s">
        <v>17</v>
      </c>
      <c r="C848" s="2" t="s">
        <v>826</v>
      </c>
      <c r="D848" s="2" t="s">
        <v>150</v>
      </c>
      <c r="E848" s="2" t="s">
        <v>827</v>
      </c>
      <c r="F848" s="2">
        <v>4.5</v>
      </c>
      <c r="G848" s="2">
        <v>39</v>
      </c>
      <c r="H848" s="2">
        <v>2300</v>
      </c>
      <c r="I848" s="2" t="s">
        <v>2081</v>
      </c>
      <c r="J848" s="2" t="s">
        <v>73</v>
      </c>
      <c r="K848" s="2" t="s">
        <v>76</v>
      </c>
    </row>
    <row r="849" spans="1:13" x14ac:dyDescent="0.25">
      <c r="A849" s="2" t="s">
        <v>3289</v>
      </c>
      <c r="B849" s="2" t="s">
        <v>17</v>
      </c>
      <c r="C849" s="2" t="s">
        <v>592</v>
      </c>
      <c r="D849" s="2" t="s">
        <v>3290</v>
      </c>
      <c r="E849" s="2" t="s">
        <v>3291</v>
      </c>
      <c r="F849" s="2">
        <v>7.9230769230769198</v>
      </c>
      <c r="G849" s="2">
        <v>13</v>
      </c>
      <c r="H849" s="2">
        <v>2300</v>
      </c>
      <c r="I849" s="2" t="s">
        <v>1783</v>
      </c>
      <c r="J849" s="2" t="s">
        <v>861</v>
      </c>
      <c r="K849" s="2" t="s">
        <v>840</v>
      </c>
    </row>
    <row r="850" spans="1:13" x14ac:dyDescent="0.25">
      <c r="A850" s="2" t="s">
        <v>3292</v>
      </c>
      <c r="B850" s="2" t="s">
        <v>1</v>
      </c>
      <c r="C850" s="2" t="s">
        <v>237</v>
      </c>
      <c r="D850" s="2" t="s">
        <v>1629</v>
      </c>
      <c r="E850" s="2" t="s">
        <v>1630</v>
      </c>
      <c r="F850" s="2">
        <v>4.7189657277074302</v>
      </c>
      <c r="G850" s="2">
        <v>58</v>
      </c>
      <c r="H850" s="2">
        <v>2300</v>
      </c>
      <c r="I850" s="2" t="s">
        <v>2097</v>
      </c>
      <c r="J850" s="2" t="s">
        <v>853</v>
      </c>
      <c r="K850" s="2" t="s">
        <v>159</v>
      </c>
    </row>
    <row r="851" spans="1:13" x14ac:dyDescent="0.25">
      <c r="A851" s="2" t="s">
        <v>3293</v>
      </c>
      <c r="B851" s="2" t="s">
        <v>1</v>
      </c>
      <c r="C851" s="2" t="s">
        <v>404</v>
      </c>
      <c r="D851" s="2" t="s">
        <v>171</v>
      </c>
      <c r="E851" s="2" t="s">
        <v>564</v>
      </c>
      <c r="F851" s="2">
        <v>7.8681318681318597</v>
      </c>
      <c r="G851" s="2">
        <v>91</v>
      </c>
      <c r="H851" s="2">
        <v>2300</v>
      </c>
      <c r="I851" s="2" t="s">
        <v>2097</v>
      </c>
      <c r="J851" s="2" t="s">
        <v>159</v>
      </c>
      <c r="K851" s="2" t="s">
        <v>853</v>
      </c>
      <c r="L851" s="2" t="s">
        <v>200</v>
      </c>
      <c r="M851" s="2" t="s">
        <v>767</v>
      </c>
    </row>
    <row r="852" spans="1:13" x14ac:dyDescent="0.25">
      <c r="A852" s="2" t="s">
        <v>3294</v>
      </c>
      <c r="B852" s="2" t="s">
        <v>1</v>
      </c>
      <c r="C852" s="2" t="s">
        <v>743</v>
      </c>
      <c r="D852" s="2" t="s">
        <v>61</v>
      </c>
      <c r="E852" s="2" t="s">
        <v>744</v>
      </c>
      <c r="F852" s="2">
        <v>6.8533333333333299</v>
      </c>
      <c r="G852" s="2">
        <v>75</v>
      </c>
      <c r="H852" s="2">
        <v>2300</v>
      </c>
      <c r="I852" s="2" t="s">
        <v>2106</v>
      </c>
      <c r="J852" s="2" t="s">
        <v>34</v>
      </c>
      <c r="K852" s="2" t="s">
        <v>35</v>
      </c>
    </row>
    <row r="853" spans="1:13" x14ac:dyDescent="0.25">
      <c r="A853" s="2" t="s">
        <v>3295</v>
      </c>
      <c r="B853" s="2" t="s">
        <v>17</v>
      </c>
      <c r="C853" s="2" t="s">
        <v>505</v>
      </c>
      <c r="D853" s="2" t="s">
        <v>2048</v>
      </c>
      <c r="E853" s="2" t="s">
        <v>2049</v>
      </c>
      <c r="F853" s="2">
        <v>8.2591395224294306</v>
      </c>
      <c r="G853" s="2">
        <v>93</v>
      </c>
      <c r="H853" s="2">
        <v>2300</v>
      </c>
      <c r="I853" s="2" t="s">
        <v>2070</v>
      </c>
      <c r="J853" s="2" t="s">
        <v>36</v>
      </c>
      <c r="K853" s="2" t="s">
        <v>848</v>
      </c>
    </row>
    <row r="854" spans="1:13" x14ac:dyDescent="0.25">
      <c r="A854" s="2" t="s">
        <v>3296</v>
      </c>
      <c r="B854" s="2" t="s">
        <v>21</v>
      </c>
      <c r="C854" s="2" t="s">
        <v>747</v>
      </c>
      <c r="D854" s="2" t="s">
        <v>174</v>
      </c>
      <c r="E854" s="2" t="s">
        <v>748</v>
      </c>
      <c r="F854" s="2">
        <v>6.9137256098728503</v>
      </c>
      <c r="G854" s="2">
        <v>51</v>
      </c>
      <c r="H854" s="2">
        <v>2300</v>
      </c>
      <c r="I854" s="2" t="s">
        <v>2097</v>
      </c>
      <c r="J854" s="2" t="s">
        <v>159</v>
      </c>
      <c r="K854" s="2" t="s">
        <v>853</v>
      </c>
    </row>
    <row r="855" spans="1:13" x14ac:dyDescent="0.25">
      <c r="A855" s="2" t="s">
        <v>3297</v>
      </c>
      <c r="B855" s="2" t="s">
        <v>22</v>
      </c>
      <c r="C855" s="2" t="s">
        <v>1065</v>
      </c>
      <c r="D855" s="2" t="s">
        <v>1686</v>
      </c>
      <c r="E855" s="2" t="s">
        <v>1687</v>
      </c>
      <c r="F855" s="2">
        <v>7.3920001220703098</v>
      </c>
      <c r="G855" s="2">
        <v>25</v>
      </c>
      <c r="H855" s="2">
        <v>2300</v>
      </c>
      <c r="I855" s="2" t="s">
        <v>2072</v>
      </c>
      <c r="J855" s="2" t="s">
        <v>842</v>
      </c>
      <c r="K855" s="2" t="s">
        <v>74</v>
      </c>
    </row>
    <row r="856" spans="1:13" x14ac:dyDescent="0.25">
      <c r="A856" s="2" t="s">
        <v>3298</v>
      </c>
      <c r="B856" s="2" t="s">
        <v>19</v>
      </c>
      <c r="C856" s="2" t="s">
        <v>351</v>
      </c>
      <c r="D856" s="2" t="s">
        <v>3299</v>
      </c>
      <c r="E856" s="2" t="s">
        <v>3300</v>
      </c>
      <c r="F856" s="2">
        <v>6.4066667829241002</v>
      </c>
      <c r="G856" s="2">
        <v>105</v>
      </c>
      <c r="H856" s="2">
        <v>2300</v>
      </c>
      <c r="I856" s="2" t="s">
        <v>2065</v>
      </c>
      <c r="J856" s="2" t="s">
        <v>2066</v>
      </c>
      <c r="K856" s="2" t="s">
        <v>69</v>
      </c>
    </row>
    <row r="857" spans="1:13" x14ac:dyDescent="0.25">
      <c r="A857" s="2" t="s">
        <v>3301</v>
      </c>
      <c r="B857" s="2" t="s">
        <v>21</v>
      </c>
      <c r="C857" s="2" t="s">
        <v>1485</v>
      </c>
      <c r="D857" s="2" t="s">
        <v>1486</v>
      </c>
      <c r="E857" s="2" t="s">
        <v>688</v>
      </c>
      <c r="F857" s="2">
        <v>6.5810606985381099</v>
      </c>
      <c r="G857" s="2">
        <v>132</v>
      </c>
      <c r="H857" s="2">
        <v>2300</v>
      </c>
      <c r="I857" s="2" t="s">
        <v>2097</v>
      </c>
      <c r="J857" s="2" t="s">
        <v>853</v>
      </c>
      <c r="K857" s="2" t="s">
        <v>159</v>
      </c>
    </row>
    <row r="858" spans="1:13" x14ac:dyDescent="0.25">
      <c r="A858" s="2" t="s">
        <v>3302</v>
      </c>
      <c r="B858" s="2" t="s">
        <v>1</v>
      </c>
      <c r="C858" s="2" t="s">
        <v>384</v>
      </c>
      <c r="D858" s="2" t="s">
        <v>142</v>
      </c>
      <c r="E858" s="2" t="s">
        <v>812</v>
      </c>
      <c r="F858" s="2">
        <v>5.6014704984777097</v>
      </c>
      <c r="G858" s="2">
        <v>68</v>
      </c>
      <c r="H858" s="2">
        <v>2300</v>
      </c>
      <c r="I858" s="2" t="s">
        <v>2106</v>
      </c>
      <c r="J858" s="2" t="s">
        <v>35</v>
      </c>
      <c r="K858" s="2" t="s">
        <v>34</v>
      </c>
    </row>
    <row r="859" spans="1:13" x14ac:dyDescent="0.25">
      <c r="A859" s="2" t="s">
        <v>3303</v>
      </c>
      <c r="B859" s="2" t="s">
        <v>1</v>
      </c>
      <c r="C859" s="2" t="s">
        <v>3304</v>
      </c>
      <c r="D859" s="2" t="s">
        <v>3305</v>
      </c>
      <c r="E859" s="2" t="s">
        <v>3306</v>
      </c>
      <c r="F859" s="2">
        <v>5.4573331705729098</v>
      </c>
      <c r="G859" s="2">
        <v>75</v>
      </c>
      <c r="H859" s="2">
        <v>2300</v>
      </c>
      <c r="I859" s="2" t="s">
        <v>2075</v>
      </c>
      <c r="J859" s="2" t="s">
        <v>2076</v>
      </c>
      <c r="K859" s="2" t="s">
        <v>37</v>
      </c>
    </row>
    <row r="860" spans="1:13" x14ac:dyDescent="0.25">
      <c r="A860" s="2" t="s">
        <v>3307</v>
      </c>
      <c r="B860" s="2" t="s">
        <v>1</v>
      </c>
      <c r="C860" s="2" t="s">
        <v>2871</v>
      </c>
      <c r="D860" s="2" t="s">
        <v>3308</v>
      </c>
      <c r="E860" s="2" t="s">
        <v>3309</v>
      </c>
      <c r="F860" s="2">
        <v>11.9800003051757</v>
      </c>
      <c r="G860" s="2">
        <v>5</v>
      </c>
      <c r="H860" s="2">
        <v>2300</v>
      </c>
      <c r="I860" s="2" t="s">
        <v>2097</v>
      </c>
      <c r="J860" s="2" t="s">
        <v>853</v>
      </c>
      <c r="K860" s="2" t="s">
        <v>159</v>
      </c>
    </row>
    <row r="861" spans="1:13" x14ac:dyDescent="0.25">
      <c r="A861" s="2" t="s">
        <v>3310</v>
      </c>
      <c r="B861" s="2" t="s">
        <v>17</v>
      </c>
      <c r="C861" s="2" t="s">
        <v>2858</v>
      </c>
      <c r="D861" s="2" t="s">
        <v>3311</v>
      </c>
      <c r="E861" s="2" t="s">
        <v>3312</v>
      </c>
      <c r="F861" s="2">
        <v>5.2916666666666599</v>
      </c>
      <c r="G861" s="2">
        <v>12</v>
      </c>
      <c r="H861" s="2">
        <v>2300</v>
      </c>
      <c r="I861" s="2" t="s">
        <v>2068</v>
      </c>
      <c r="J861" s="2" t="s">
        <v>38</v>
      </c>
      <c r="K861" s="2" t="s">
        <v>860</v>
      </c>
    </row>
    <row r="862" spans="1:13" x14ac:dyDescent="0.25">
      <c r="A862" s="2" t="s">
        <v>3313</v>
      </c>
      <c r="B862" s="2" t="s">
        <v>21</v>
      </c>
      <c r="C862" s="2" t="s">
        <v>552</v>
      </c>
      <c r="D862" s="2" t="s">
        <v>120</v>
      </c>
      <c r="E862" s="2" t="s">
        <v>762</v>
      </c>
      <c r="F862" s="2">
        <v>5.8953123092651296</v>
      </c>
      <c r="G862" s="2">
        <v>64</v>
      </c>
      <c r="H862" s="2">
        <v>2300</v>
      </c>
      <c r="I862" s="2" t="s">
        <v>2106</v>
      </c>
      <c r="J862" s="2" t="s">
        <v>34</v>
      </c>
      <c r="K862" s="2" t="s">
        <v>35</v>
      </c>
      <c r="L862" s="2" t="s">
        <v>200</v>
      </c>
      <c r="M862" s="2" t="s">
        <v>642</v>
      </c>
    </row>
    <row r="863" spans="1:13" x14ac:dyDescent="0.25">
      <c r="A863" s="2" t="s">
        <v>3314</v>
      </c>
      <c r="B863" s="2" t="s">
        <v>17</v>
      </c>
      <c r="C863" s="2" t="s">
        <v>2033</v>
      </c>
      <c r="D863" s="2" t="s">
        <v>2034</v>
      </c>
      <c r="E863" s="2" t="s">
        <v>419</v>
      </c>
      <c r="F863" s="2">
        <v>8.1477615584188392</v>
      </c>
      <c r="G863" s="2">
        <v>67</v>
      </c>
      <c r="H863" s="2">
        <v>2300</v>
      </c>
      <c r="I863" s="2" t="s">
        <v>2075</v>
      </c>
      <c r="J863" s="2" t="s">
        <v>37</v>
      </c>
      <c r="K863" s="2" t="s">
        <v>2076</v>
      </c>
    </row>
    <row r="864" spans="1:13" x14ac:dyDescent="0.25">
      <c r="A864" s="2" t="s">
        <v>3315</v>
      </c>
      <c r="B864" s="2" t="s">
        <v>1</v>
      </c>
      <c r="C864" s="2" t="s">
        <v>446</v>
      </c>
      <c r="D864" s="2" t="s">
        <v>3316</v>
      </c>
      <c r="E864" s="2" t="s">
        <v>445</v>
      </c>
      <c r="F864" s="2">
        <v>3.7562499046325599</v>
      </c>
      <c r="G864" s="2">
        <v>16</v>
      </c>
      <c r="H864" s="2">
        <v>2200</v>
      </c>
      <c r="I864" s="2" t="s">
        <v>2079</v>
      </c>
      <c r="J864" s="2" t="s">
        <v>855</v>
      </c>
      <c r="K864" s="2" t="s">
        <v>843</v>
      </c>
    </row>
    <row r="865" spans="1:11" x14ac:dyDescent="0.25">
      <c r="A865" s="2" t="s">
        <v>3317</v>
      </c>
      <c r="B865" s="2" t="s">
        <v>17</v>
      </c>
      <c r="C865" s="2" t="s">
        <v>212</v>
      </c>
      <c r="D865" s="2" t="s">
        <v>1514</v>
      </c>
      <c r="E865" s="2" t="s">
        <v>780</v>
      </c>
      <c r="F865" s="2">
        <v>6.9629629629629601</v>
      </c>
      <c r="G865" s="2">
        <v>81</v>
      </c>
      <c r="H865" s="2">
        <v>2200</v>
      </c>
      <c r="I865" s="2" t="s">
        <v>2079</v>
      </c>
      <c r="J865" s="2" t="s">
        <v>855</v>
      </c>
      <c r="K865" s="2" t="s">
        <v>843</v>
      </c>
    </row>
    <row r="866" spans="1:11" x14ac:dyDescent="0.25">
      <c r="A866" s="2" t="s">
        <v>3318</v>
      </c>
      <c r="B866" s="2" t="s">
        <v>17</v>
      </c>
      <c r="C866" s="2" t="s">
        <v>810</v>
      </c>
      <c r="D866" s="2" t="s">
        <v>63</v>
      </c>
      <c r="E866" s="2" t="s">
        <v>811</v>
      </c>
      <c r="F866" s="2">
        <v>4.3864196023823299</v>
      </c>
      <c r="G866" s="2">
        <v>81</v>
      </c>
      <c r="H866" s="2">
        <v>2200</v>
      </c>
      <c r="I866" s="2" t="s">
        <v>2075</v>
      </c>
      <c r="J866" s="2" t="s">
        <v>37</v>
      </c>
      <c r="K866" s="2" t="s">
        <v>2076</v>
      </c>
    </row>
    <row r="867" spans="1:11" x14ac:dyDescent="0.25">
      <c r="A867" s="2" t="s">
        <v>3319</v>
      </c>
      <c r="B867" s="2" t="s">
        <v>17</v>
      </c>
      <c r="C867" s="2" t="s">
        <v>204</v>
      </c>
      <c r="D867" s="2" t="s">
        <v>1556</v>
      </c>
      <c r="E867" s="2" t="s">
        <v>1557</v>
      </c>
      <c r="F867" s="2">
        <v>6.7106381680103002</v>
      </c>
      <c r="G867" s="2">
        <v>47</v>
      </c>
      <c r="H867" s="2">
        <v>2200</v>
      </c>
      <c r="I867" s="2" t="s">
        <v>2070</v>
      </c>
      <c r="J867" s="2" t="s">
        <v>848</v>
      </c>
      <c r="K867" s="2" t="s">
        <v>36</v>
      </c>
    </row>
    <row r="868" spans="1:11" x14ac:dyDescent="0.25">
      <c r="A868" s="2" t="s">
        <v>3320</v>
      </c>
      <c r="B868" s="2" t="s">
        <v>21</v>
      </c>
      <c r="C868" s="2" t="s">
        <v>212</v>
      </c>
      <c r="D868" s="2" t="s">
        <v>1585</v>
      </c>
      <c r="E868" s="2" t="s">
        <v>1079</v>
      </c>
      <c r="F868" s="2">
        <v>7.8636363636363598</v>
      </c>
      <c r="G868" s="2">
        <v>110</v>
      </c>
      <c r="H868" s="2">
        <v>2200</v>
      </c>
      <c r="I868" s="2" t="s">
        <v>2070</v>
      </c>
      <c r="J868" s="2" t="s">
        <v>848</v>
      </c>
      <c r="K868" s="2" t="s">
        <v>36</v>
      </c>
    </row>
    <row r="869" spans="1:11" x14ac:dyDescent="0.25">
      <c r="A869" s="2" t="s">
        <v>3321</v>
      </c>
      <c r="B869" s="2" t="s">
        <v>19</v>
      </c>
      <c r="C869" s="2" t="s">
        <v>3322</v>
      </c>
      <c r="D869" s="2" t="s">
        <v>3323</v>
      </c>
      <c r="E869" s="2" t="s">
        <v>3324</v>
      </c>
      <c r="F869" s="2">
        <v>7.1812500953674299</v>
      </c>
      <c r="G869" s="2">
        <v>32</v>
      </c>
      <c r="H869" s="2">
        <v>2200</v>
      </c>
      <c r="I869" s="2" t="s">
        <v>2124</v>
      </c>
      <c r="J869" s="2" t="s">
        <v>2125</v>
      </c>
      <c r="K869" s="2" t="s">
        <v>852</v>
      </c>
    </row>
    <row r="870" spans="1:11" x14ac:dyDescent="0.25">
      <c r="A870" s="2" t="s">
        <v>3325</v>
      </c>
      <c r="B870" s="2" t="s">
        <v>17</v>
      </c>
      <c r="C870" s="2" t="s">
        <v>760</v>
      </c>
      <c r="D870" s="2" t="s">
        <v>127</v>
      </c>
      <c r="E870" s="2" t="s">
        <v>761</v>
      </c>
      <c r="F870" s="2">
        <v>5.9874998728434203</v>
      </c>
      <c r="G870" s="2">
        <v>48</v>
      </c>
      <c r="H870" s="2">
        <v>2200</v>
      </c>
      <c r="I870" s="2" t="s">
        <v>2081</v>
      </c>
      <c r="J870" s="2" t="s">
        <v>73</v>
      </c>
      <c r="K870" s="2" t="s">
        <v>76</v>
      </c>
    </row>
    <row r="871" spans="1:11" x14ac:dyDescent="0.25">
      <c r="A871" s="2" t="s">
        <v>3326</v>
      </c>
      <c r="B871" s="2" t="s">
        <v>17</v>
      </c>
      <c r="C871" s="2" t="s">
        <v>2035</v>
      </c>
      <c r="D871" s="2" t="s">
        <v>2036</v>
      </c>
      <c r="E871" s="2" t="s">
        <v>236</v>
      </c>
      <c r="F871" s="2">
        <v>5.4357798165137599</v>
      </c>
      <c r="G871" s="2">
        <v>109</v>
      </c>
      <c r="H871" s="2">
        <v>2200</v>
      </c>
      <c r="I871" s="2" t="s">
        <v>2079</v>
      </c>
      <c r="J871" s="2" t="s">
        <v>843</v>
      </c>
      <c r="K871" s="2" t="s">
        <v>855</v>
      </c>
    </row>
    <row r="872" spans="1:11" x14ac:dyDescent="0.25">
      <c r="A872" s="2" t="s">
        <v>3327</v>
      </c>
      <c r="B872" s="2" t="s">
        <v>20</v>
      </c>
      <c r="C872" s="2" t="s">
        <v>3328</v>
      </c>
      <c r="D872" s="2" t="s">
        <v>3329</v>
      </c>
      <c r="E872" s="2" t="s">
        <v>772</v>
      </c>
      <c r="F872" s="2">
        <v>5.6666666666666599</v>
      </c>
      <c r="G872" s="2">
        <v>45</v>
      </c>
      <c r="H872" s="2">
        <v>2200</v>
      </c>
      <c r="I872" s="2" t="s">
        <v>2124</v>
      </c>
      <c r="J872" s="2" t="s">
        <v>2125</v>
      </c>
      <c r="K872" s="2" t="s">
        <v>852</v>
      </c>
    </row>
    <row r="873" spans="1:11" x14ac:dyDescent="0.25">
      <c r="A873" s="2" t="s">
        <v>3330</v>
      </c>
      <c r="B873" s="2" t="s">
        <v>17</v>
      </c>
      <c r="C873" s="2" t="s">
        <v>381</v>
      </c>
      <c r="D873" s="2" t="s">
        <v>90</v>
      </c>
      <c r="E873" s="2" t="s">
        <v>684</v>
      </c>
      <c r="F873" s="2">
        <v>9.0370370370370292</v>
      </c>
      <c r="G873" s="2">
        <v>108</v>
      </c>
      <c r="H873" s="2">
        <v>2200</v>
      </c>
      <c r="I873" s="2" t="s">
        <v>2081</v>
      </c>
      <c r="J873" s="2" t="s">
        <v>76</v>
      </c>
      <c r="K873" s="2" t="s">
        <v>73</v>
      </c>
    </row>
    <row r="874" spans="1:11" x14ac:dyDescent="0.25">
      <c r="A874" s="2" t="s">
        <v>3331</v>
      </c>
      <c r="B874" s="2" t="s">
        <v>1</v>
      </c>
      <c r="C874" s="2" t="s">
        <v>794</v>
      </c>
      <c r="D874" s="2" t="s">
        <v>116</v>
      </c>
      <c r="E874" s="2" t="s">
        <v>795</v>
      </c>
      <c r="F874" s="2">
        <v>6.4528301886792399</v>
      </c>
      <c r="G874" s="2">
        <v>53</v>
      </c>
      <c r="H874" s="2">
        <v>2200</v>
      </c>
      <c r="I874" s="2" t="s">
        <v>2075</v>
      </c>
      <c r="J874" s="2" t="s">
        <v>37</v>
      </c>
      <c r="K874" s="2" t="s">
        <v>2076</v>
      </c>
    </row>
    <row r="875" spans="1:11" x14ac:dyDescent="0.25">
      <c r="A875" s="2" t="s">
        <v>3332</v>
      </c>
      <c r="B875" s="2" t="s">
        <v>17</v>
      </c>
      <c r="C875" s="2" t="s">
        <v>1440</v>
      </c>
      <c r="D875" s="2" t="s">
        <v>1666</v>
      </c>
      <c r="E875" s="2" t="s">
        <v>634</v>
      </c>
      <c r="F875" s="2">
        <v>3.3805554707845</v>
      </c>
      <c r="G875" s="2">
        <v>36</v>
      </c>
      <c r="H875" s="2">
        <v>2200</v>
      </c>
      <c r="I875" s="2" t="s">
        <v>1783</v>
      </c>
      <c r="J875" s="2" t="s">
        <v>861</v>
      </c>
      <c r="K875" s="2" t="s">
        <v>840</v>
      </c>
    </row>
    <row r="876" spans="1:11" x14ac:dyDescent="0.25">
      <c r="A876" s="2" t="s">
        <v>3333</v>
      </c>
      <c r="B876" s="2" t="s">
        <v>1</v>
      </c>
      <c r="C876" s="2" t="s">
        <v>450</v>
      </c>
      <c r="D876" s="2" t="s">
        <v>1520</v>
      </c>
      <c r="E876" s="2" t="s">
        <v>1521</v>
      </c>
      <c r="F876" s="2">
        <v>5.7873419266712798</v>
      </c>
      <c r="G876" s="2">
        <v>79</v>
      </c>
      <c r="H876" s="2">
        <v>2200</v>
      </c>
      <c r="I876" s="2" t="s">
        <v>2079</v>
      </c>
      <c r="J876" s="2" t="s">
        <v>843</v>
      </c>
      <c r="K876" s="2" t="s">
        <v>855</v>
      </c>
    </row>
    <row r="877" spans="1:11" x14ac:dyDescent="0.25">
      <c r="A877" s="2" t="s">
        <v>3334</v>
      </c>
      <c r="B877" s="2" t="s">
        <v>22</v>
      </c>
      <c r="C877" s="2" t="s">
        <v>1671</v>
      </c>
      <c r="D877" s="2" t="s">
        <v>1672</v>
      </c>
      <c r="E877" s="2" t="s">
        <v>685</v>
      </c>
      <c r="F877" s="2">
        <v>5.84838719521799</v>
      </c>
      <c r="G877" s="2">
        <v>31</v>
      </c>
      <c r="H877" s="2">
        <v>2200</v>
      </c>
      <c r="I877" s="2" t="s">
        <v>2079</v>
      </c>
      <c r="J877" s="2" t="s">
        <v>843</v>
      </c>
      <c r="K877" s="2" t="s">
        <v>855</v>
      </c>
    </row>
    <row r="878" spans="1:11" x14ac:dyDescent="0.25">
      <c r="A878" s="2" t="s">
        <v>3335</v>
      </c>
      <c r="B878" s="2" t="s">
        <v>17</v>
      </c>
      <c r="C878" s="2" t="s">
        <v>513</v>
      </c>
      <c r="D878" s="2" t="s">
        <v>1676</v>
      </c>
      <c r="E878" s="2" t="s">
        <v>1677</v>
      </c>
      <c r="F878" s="2">
        <v>7.4068966569571604</v>
      </c>
      <c r="G878" s="2">
        <v>29</v>
      </c>
      <c r="H878" s="2">
        <v>2200</v>
      </c>
      <c r="I878" s="2" t="s">
        <v>2070</v>
      </c>
      <c r="J878" s="2" t="s">
        <v>848</v>
      </c>
      <c r="K878" s="2" t="s">
        <v>36</v>
      </c>
    </row>
    <row r="879" spans="1:11" x14ac:dyDescent="0.25">
      <c r="A879" s="2" t="s">
        <v>3336</v>
      </c>
      <c r="B879" s="2" t="s">
        <v>1</v>
      </c>
      <c r="C879" s="2" t="s">
        <v>337</v>
      </c>
      <c r="D879" s="2" t="s">
        <v>180</v>
      </c>
      <c r="E879" s="2" t="s">
        <v>803</v>
      </c>
      <c r="F879" s="2">
        <v>4.1666666666666599</v>
      </c>
      <c r="G879" s="2">
        <v>6</v>
      </c>
      <c r="H879" s="2">
        <v>2200</v>
      </c>
      <c r="I879" s="2" t="s">
        <v>2081</v>
      </c>
      <c r="J879" s="2" t="s">
        <v>73</v>
      </c>
      <c r="K879" s="2" t="s">
        <v>76</v>
      </c>
    </row>
    <row r="880" spans="1:11" x14ac:dyDescent="0.25">
      <c r="A880" s="2" t="s">
        <v>3337</v>
      </c>
      <c r="B880" s="2" t="s">
        <v>20</v>
      </c>
      <c r="C880" s="2" t="s">
        <v>425</v>
      </c>
      <c r="D880" s="2" t="s">
        <v>3338</v>
      </c>
      <c r="E880" s="2" t="s">
        <v>3339</v>
      </c>
      <c r="F880" s="2">
        <v>5.8016131001133999</v>
      </c>
      <c r="G880" s="2">
        <v>62</v>
      </c>
      <c r="H880" s="2">
        <v>2200</v>
      </c>
      <c r="I880" s="2" t="s">
        <v>2075</v>
      </c>
      <c r="J880" s="2" t="s">
        <v>2076</v>
      </c>
      <c r="K880" s="2" t="s">
        <v>37</v>
      </c>
    </row>
    <row r="881" spans="1:13" x14ac:dyDescent="0.25">
      <c r="A881" s="2" t="s">
        <v>3340</v>
      </c>
      <c r="B881" s="2" t="s">
        <v>1</v>
      </c>
      <c r="C881" s="2" t="s">
        <v>197</v>
      </c>
      <c r="D881" s="2" t="s">
        <v>178</v>
      </c>
      <c r="E881" s="2" t="s">
        <v>785</v>
      </c>
      <c r="F881" s="2">
        <v>6.27999979654947</v>
      </c>
      <c r="G881" s="2">
        <v>60</v>
      </c>
      <c r="H881" s="2">
        <v>2200</v>
      </c>
      <c r="I881" s="2" t="s">
        <v>2097</v>
      </c>
      <c r="J881" s="2" t="s">
        <v>159</v>
      </c>
      <c r="K881" s="2" t="s">
        <v>853</v>
      </c>
    </row>
    <row r="882" spans="1:13" x14ac:dyDescent="0.25">
      <c r="A882" s="2" t="s">
        <v>3341</v>
      </c>
      <c r="B882" s="2" t="s">
        <v>17</v>
      </c>
      <c r="C882" s="2" t="s">
        <v>1982</v>
      </c>
      <c r="D882" s="2" t="s">
        <v>1983</v>
      </c>
      <c r="E882" s="2" t="s">
        <v>1984</v>
      </c>
      <c r="F882" s="2">
        <v>9.32323232323232</v>
      </c>
      <c r="G882" s="2">
        <v>99</v>
      </c>
      <c r="H882" s="2">
        <v>2200</v>
      </c>
      <c r="I882" s="2" t="s">
        <v>2065</v>
      </c>
      <c r="J882" s="2" t="s">
        <v>69</v>
      </c>
      <c r="K882" s="2" t="s">
        <v>2066</v>
      </c>
    </row>
    <row r="883" spans="1:13" x14ac:dyDescent="0.25">
      <c r="A883" s="2" t="s">
        <v>3342</v>
      </c>
      <c r="B883" s="2" t="s">
        <v>17</v>
      </c>
      <c r="C883" s="2" t="s">
        <v>670</v>
      </c>
      <c r="D883" s="2" t="s">
        <v>154</v>
      </c>
      <c r="E883" s="2" t="s">
        <v>809</v>
      </c>
      <c r="F883" s="2">
        <v>6.0157896343030401</v>
      </c>
      <c r="G883" s="2">
        <v>38</v>
      </c>
      <c r="H883" s="2">
        <v>2200</v>
      </c>
      <c r="I883" s="2" t="s">
        <v>2081</v>
      </c>
      <c r="J883" s="2" t="s">
        <v>73</v>
      </c>
      <c r="K883" s="2" t="s">
        <v>76</v>
      </c>
    </row>
    <row r="884" spans="1:13" x14ac:dyDescent="0.25">
      <c r="A884" s="2" t="s">
        <v>3343</v>
      </c>
      <c r="B884" s="2" t="s">
        <v>1</v>
      </c>
      <c r="C884" s="2" t="s">
        <v>201</v>
      </c>
      <c r="D884" s="2" t="s">
        <v>1528</v>
      </c>
      <c r="E884" s="2" t="s">
        <v>1529</v>
      </c>
      <c r="F884" s="2">
        <v>6.66</v>
      </c>
      <c r="G884" s="2">
        <v>75</v>
      </c>
      <c r="H884" s="2">
        <v>2200</v>
      </c>
      <c r="I884" s="2" t="s">
        <v>2068</v>
      </c>
      <c r="J884" s="2" t="s">
        <v>860</v>
      </c>
      <c r="K884" s="2" t="s">
        <v>38</v>
      </c>
    </row>
    <row r="885" spans="1:13" x14ac:dyDescent="0.25">
      <c r="A885" s="2" t="s">
        <v>3344</v>
      </c>
      <c r="B885" s="2" t="s">
        <v>20</v>
      </c>
      <c r="C885" s="2" t="s">
        <v>1087</v>
      </c>
      <c r="D885" s="2" t="s">
        <v>3345</v>
      </c>
      <c r="E885" s="2" t="s">
        <v>3346</v>
      </c>
      <c r="F885" s="2">
        <v>3.68717956542968</v>
      </c>
      <c r="G885" s="2">
        <v>39</v>
      </c>
      <c r="H885" s="2">
        <v>2200</v>
      </c>
      <c r="I885" s="2" t="s">
        <v>2070</v>
      </c>
      <c r="J885" s="2" t="s">
        <v>36</v>
      </c>
      <c r="K885" s="2" t="s">
        <v>848</v>
      </c>
    </row>
    <row r="886" spans="1:13" x14ac:dyDescent="0.25">
      <c r="A886" s="2" t="s">
        <v>3347</v>
      </c>
      <c r="B886" s="2" t="s">
        <v>17</v>
      </c>
      <c r="C886" s="2" t="s">
        <v>489</v>
      </c>
      <c r="D886" s="2" t="s">
        <v>175</v>
      </c>
      <c r="E886" s="2" t="s">
        <v>749</v>
      </c>
      <c r="F886" s="2">
        <v>6.6885245901639303</v>
      </c>
      <c r="G886" s="2">
        <v>61</v>
      </c>
      <c r="H886" s="2">
        <v>2200</v>
      </c>
      <c r="I886" s="2" t="s">
        <v>2106</v>
      </c>
      <c r="J886" s="2" t="s">
        <v>35</v>
      </c>
      <c r="K886" s="2" t="s">
        <v>34</v>
      </c>
    </row>
    <row r="887" spans="1:13" x14ac:dyDescent="0.25">
      <c r="A887" s="2" t="s">
        <v>3348</v>
      </c>
      <c r="B887" s="2" t="s">
        <v>17</v>
      </c>
      <c r="C887" s="2" t="s">
        <v>212</v>
      </c>
      <c r="D887" s="2" t="s">
        <v>1992</v>
      </c>
      <c r="E887" s="2" t="s">
        <v>1993</v>
      </c>
      <c r="F887" s="2">
        <v>10.6799996512276</v>
      </c>
      <c r="G887" s="2">
        <v>70</v>
      </c>
      <c r="H887" s="2">
        <v>2200</v>
      </c>
      <c r="I887" s="2" t="s">
        <v>2065</v>
      </c>
      <c r="J887" s="2" t="s">
        <v>69</v>
      </c>
      <c r="K887" s="2" t="s">
        <v>2066</v>
      </c>
    </row>
    <row r="888" spans="1:13" x14ac:dyDescent="0.25">
      <c r="A888" s="2" t="s">
        <v>3349</v>
      </c>
      <c r="B888" s="2" t="s">
        <v>20</v>
      </c>
      <c r="C888" s="2" t="s">
        <v>3350</v>
      </c>
      <c r="D888" s="2" t="s">
        <v>3351</v>
      </c>
      <c r="E888" s="2" t="s">
        <v>385</v>
      </c>
      <c r="F888" s="2">
        <v>7.96</v>
      </c>
      <c r="G888" s="2">
        <v>25</v>
      </c>
      <c r="H888" s="2">
        <v>2200</v>
      </c>
      <c r="I888" s="2" t="s">
        <v>2070</v>
      </c>
      <c r="J888" s="2" t="s">
        <v>36</v>
      </c>
      <c r="K888" s="2" t="s">
        <v>848</v>
      </c>
    </row>
    <row r="889" spans="1:13" x14ac:dyDescent="0.25">
      <c r="A889" s="2" t="s">
        <v>3352</v>
      </c>
      <c r="B889" s="2" t="s">
        <v>1</v>
      </c>
      <c r="C889" s="2" t="s">
        <v>211</v>
      </c>
      <c r="D889" s="2" t="s">
        <v>117</v>
      </c>
      <c r="E889" s="2" t="s">
        <v>751</v>
      </c>
      <c r="F889" s="2">
        <v>4.9869563890539998</v>
      </c>
      <c r="G889" s="2">
        <v>46</v>
      </c>
      <c r="H889" s="2">
        <v>2200</v>
      </c>
      <c r="I889" s="2" t="s">
        <v>2081</v>
      </c>
      <c r="J889" s="2" t="s">
        <v>76</v>
      </c>
      <c r="K889" s="2" t="s">
        <v>73</v>
      </c>
    </row>
    <row r="890" spans="1:13" x14ac:dyDescent="0.25">
      <c r="A890" s="2" t="s">
        <v>3353</v>
      </c>
      <c r="B890" s="2" t="s">
        <v>17</v>
      </c>
      <c r="C890" s="2" t="s">
        <v>283</v>
      </c>
      <c r="D890" s="2" t="s">
        <v>1603</v>
      </c>
      <c r="E890" s="2" t="s">
        <v>1604</v>
      </c>
      <c r="F890" s="2">
        <v>7.5440857589885697</v>
      </c>
      <c r="G890" s="2">
        <v>93</v>
      </c>
      <c r="H890" s="2">
        <v>2200</v>
      </c>
      <c r="I890" s="2" t="s">
        <v>2097</v>
      </c>
      <c r="J890" s="2" t="s">
        <v>853</v>
      </c>
      <c r="K890" s="2" t="s">
        <v>159</v>
      </c>
    </row>
    <row r="891" spans="1:13" x14ac:dyDescent="0.25">
      <c r="A891" s="2" t="s">
        <v>3354</v>
      </c>
      <c r="B891" s="2" t="s">
        <v>17</v>
      </c>
      <c r="C891" s="2" t="s">
        <v>425</v>
      </c>
      <c r="D891" s="2" t="s">
        <v>106</v>
      </c>
      <c r="E891" s="2" t="s">
        <v>725</v>
      </c>
      <c r="F891" s="2">
        <v>3.4000000423855199</v>
      </c>
      <c r="G891" s="2">
        <v>9</v>
      </c>
      <c r="H891" s="2">
        <v>2200</v>
      </c>
      <c r="I891" s="2" t="s">
        <v>2070</v>
      </c>
      <c r="J891" s="2" t="s">
        <v>36</v>
      </c>
      <c r="K891" s="2" t="s">
        <v>848</v>
      </c>
    </row>
    <row r="892" spans="1:13" x14ac:dyDescent="0.25">
      <c r="A892" s="2" t="s">
        <v>3355</v>
      </c>
      <c r="B892" s="2" t="s">
        <v>20</v>
      </c>
      <c r="C892" s="2" t="s">
        <v>337</v>
      </c>
      <c r="D892" s="2" t="s">
        <v>133</v>
      </c>
      <c r="E892" s="2" t="s">
        <v>773</v>
      </c>
      <c r="F892" s="2">
        <v>4.3125</v>
      </c>
      <c r="G892" s="2">
        <v>16</v>
      </c>
      <c r="H892" s="2">
        <v>2200</v>
      </c>
      <c r="I892" s="2" t="s">
        <v>2106</v>
      </c>
      <c r="J892" s="2" t="s">
        <v>34</v>
      </c>
      <c r="K892" s="2" t="s">
        <v>35</v>
      </c>
    </row>
    <row r="893" spans="1:13" x14ac:dyDescent="0.25">
      <c r="A893" s="2" t="s">
        <v>3356</v>
      </c>
      <c r="B893" s="2" t="s">
        <v>20</v>
      </c>
      <c r="C893" s="2" t="s">
        <v>1613</v>
      </c>
      <c r="D893" s="2" t="s">
        <v>1614</v>
      </c>
      <c r="E893" s="2" t="s">
        <v>1615</v>
      </c>
      <c r="F893" s="2">
        <v>5.0955556233723902</v>
      </c>
      <c r="G893" s="2">
        <v>45</v>
      </c>
      <c r="H893" s="2">
        <v>2200</v>
      </c>
      <c r="I893" s="2" t="s">
        <v>2097</v>
      </c>
      <c r="J893" s="2" t="s">
        <v>853</v>
      </c>
      <c r="K893" s="2" t="s">
        <v>159</v>
      </c>
    </row>
    <row r="894" spans="1:13" x14ac:dyDescent="0.25">
      <c r="A894" s="2" t="s">
        <v>3357</v>
      </c>
      <c r="B894" s="2" t="s">
        <v>17</v>
      </c>
      <c r="C894" s="2" t="s">
        <v>1697</v>
      </c>
      <c r="D894" s="2" t="s">
        <v>1698</v>
      </c>
      <c r="E894" s="2" t="s">
        <v>1699</v>
      </c>
      <c r="F894" s="2">
        <v>4.0904762631370897</v>
      </c>
      <c r="G894" s="2">
        <v>21</v>
      </c>
      <c r="H894" s="2">
        <v>2200</v>
      </c>
      <c r="I894" s="2" t="s">
        <v>2068</v>
      </c>
      <c r="J894" s="2" t="s">
        <v>860</v>
      </c>
      <c r="K894" s="2" t="s">
        <v>38</v>
      </c>
      <c r="L894" s="2" t="s">
        <v>200</v>
      </c>
      <c r="M894" s="2" t="s">
        <v>551</v>
      </c>
    </row>
    <row r="895" spans="1:13" x14ac:dyDescent="0.25">
      <c r="A895" s="2" t="s">
        <v>3358</v>
      </c>
      <c r="B895" s="2" t="s">
        <v>1</v>
      </c>
      <c r="C895" s="2" t="s">
        <v>307</v>
      </c>
      <c r="D895" s="2" t="s">
        <v>1492</v>
      </c>
      <c r="E895" s="2" t="s">
        <v>1493</v>
      </c>
      <c r="F895" s="2">
        <v>7.60123471860532</v>
      </c>
      <c r="G895" s="2">
        <v>81</v>
      </c>
      <c r="H895" s="2">
        <v>2200</v>
      </c>
      <c r="I895" s="2" t="s">
        <v>2108</v>
      </c>
      <c r="J895" s="2" t="s">
        <v>856</v>
      </c>
      <c r="K895" s="2" t="s">
        <v>841</v>
      </c>
      <c r="L895" s="2" t="s">
        <v>200</v>
      </c>
      <c r="M895" s="2" t="s">
        <v>2053</v>
      </c>
    </row>
    <row r="896" spans="1:13" x14ac:dyDescent="0.25">
      <c r="A896" s="2" t="s">
        <v>3359</v>
      </c>
      <c r="B896" s="2" t="s">
        <v>1</v>
      </c>
      <c r="C896" s="2" t="s">
        <v>334</v>
      </c>
      <c r="D896" s="2" t="s">
        <v>1702</v>
      </c>
      <c r="E896" s="2" t="s">
        <v>1703</v>
      </c>
      <c r="F896" s="2">
        <v>6.1051283616285996</v>
      </c>
      <c r="G896" s="2">
        <v>39</v>
      </c>
      <c r="H896" s="2">
        <v>2200</v>
      </c>
      <c r="I896" s="2" t="s">
        <v>1783</v>
      </c>
      <c r="J896" s="2" t="s">
        <v>840</v>
      </c>
      <c r="K896" s="2" t="s">
        <v>861</v>
      </c>
    </row>
    <row r="897" spans="1:11" x14ac:dyDescent="0.25">
      <c r="A897" s="2" t="s">
        <v>3360</v>
      </c>
      <c r="B897" s="2" t="s">
        <v>17</v>
      </c>
      <c r="C897" s="2" t="s">
        <v>789</v>
      </c>
      <c r="D897" s="2" t="s">
        <v>3361</v>
      </c>
      <c r="E897" s="2" t="s">
        <v>659</v>
      </c>
      <c r="F897" s="2">
        <v>4.1928571973528097</v>
      </c>
      <c r="G897" s="2">
        <v>14</v>
      </c>
      <c r="H897" s="2">
        <v>2200</v>
      </c>
      <c r="I897" s="2" t="s">
        <v>2124</v>
      </c>
      <c r="J897" s="2" t="s">
        <v>2125</v>
      </c>
      <c r="K897" s="2" t="s">
        <v>852</v>
      </c>
    </row>
    <row r="898" spans="1:11" x14ac:dyDescent="0.25">
      <c r="A898" s="2" t="s">
        <v>3362</v>
      </c>
      <c r="B898" s="2" t="s">
        <v>17</v>
      </c>
      <c r="C898" s="2" t="s">
        <v>233</v>
      </c>
      <c r="D898" s="2" t="s">
        <v>3363</v>
      </c>
      <c r="E898" s="2" t="s">
        <v>231</v>
      </c>
      <c r="F898" s="2">
        <v>6.0942858014787902</v>
      </c>
      <c r="G898" s="2">
        <v>35</v>
      </c>
      <c r="H898" s="2">
        <v>2200</v>
      </c>
      <c r="I898" s="2" t="s">
        <v>2108</v>
      </c>
      <c r="J898" s="2" t="s">
        <v>856</v>
      </c>
      <c r="K898" s="2" t="s">
        <v>841</v>
      </c>
    </row>
    <row r="899" spans="1:11" x14ac:dyDescent="0.25">
      <c r="A899" s="2" t="s">
        <v>3364</v>
      </c>
      <c r="B899" s="2" t="s">
        <v>17</v>
      </c>
      <c r="C899" s="2" t="s">
        <v>316</v>
      </c>
      <c r="D899" s="2" t="s">
        <v>1536</v>
      </c>
      <c r="E899" s="2" t="s">
        <v>1537</v>
      </c>
      <c r="F899" s="2">
        <v>5.8358975923978296</v>
      </c>
      <c r="G899" s="2">
        <v>78</v>
      </c>
      <c r="H899" s="2">
        <v>2100</v>
      </c>
      <c r="I899" s="2" t="s">
        <v>1783</v>
      </c>
      <c r="J899" s="2" t="s">
        <v>861</v>
      </c>
      <c r="K899" s="2" t="s">
        <v>840</v>
      </c>
    </row>
    <row r="900" spans="1:11" x14ac:dyDescent="0.25">
      <c r="A900" s="2" t="s">
        <v>3365</v>
      </c>
      <c r="B900" s="2" t="s">
        <v>17</v>
      </c>
      <c r="C900" s="2" t="s">
        <v>197</v>
      </c>
      <c r="D900" s="2" t="s">
        <v>124</v>
      </c>
      <c r="E900" s="2" t="s">
        <v>732</v>
      </c>
      <c r="F900" s="2">
        <v>6.59250030517578</v>
      </c>
      <c r="G900" s="2">
        <v>80</v>
      </c>
      <c r="H900" s="2">
        <v>2100</v>
      </c>
      <c r="I900" s="2" t="s">
        <v>2072</v>
      </c>
      <c r="J900" s="2" t="s">
        <v>74</v>
      </c>
      <c r="K900" s="2" t="s">
        <v>842</v>
      </c>
    </row>
    <row r="901" spans="1:11" x14ac:dyDescent="0.25">
      <c r="A901" s="2" t="s">
        <v>3366</v>
      </c>
      <c r="B901" s="2" t="s">
        <v>19</v>
      </c>
      <c r="C901" s="2" t="s">
        <v>383</v>
      </c>
      <c r="D901" s="2" t="s">
        <v>176</v>
      </c>
      <c r="E901" s="2" t="s">
        <v>757</v>
      </c>
      <c r="F901" s="2">
        <v>6.2470586440142402</v>
      </c>
      <c r="G901" s="2">
        <v>17</v>
      </c>
      <c r="H901" s="2">
        <v>2100</v>
      </c>
      <c r="I901" s="2" t="s">
        <v>2075</v>
      </c>
      <c r="J901" s="2" t="s">
        <v>37</v>
      </c>
      <c r="K901" s="2" t="s">
        <v>2076</v>
      </c>
    </row>
    <row r="902" spans="1:11" x14ac:dyDescent="0.25">
      <c r="A902" s="2" t="s">
        <v>3367</v>
      </c>
      <c r="B902" s="2" t="s">
        <v>20</v>
      </c>
      <c r="C902" s="2" t="s">
        <v>1891</v>
      </c>
      <c r="D902" s="2" t="s">
        <v>1998</v>
      </c>
      <c r="E902" s="2" t="s">
        <v>1999</v>
      </c>
      <c r="F902" s="2">
        <v>8.7688679245282994</v>
      </c>
      <c r="G902" s="2">
        <v>106</v>
      </c>
      <c r="H902" s="2">
        <v>2100</v>
      </c>
      <c r="I902" s="2" t="s">
        <v>2065</v>
      </c>
      <c r="J902" s="2" t="s">
        <v>69</v>
      </c>
      <c r="K902" s="2" t="s">
        <v>2066</v>
      </c>
    </row>
    <row r="903" spans="1:11" x14ac:dyDescent="0.25">
      <c r="A903" s="2" t="s">
        <v>3368</v>
      </c>
      <c r="B903" s="2" t="s">
        <v>17</v>
      </c>
      <c r="C903" s="2" t="s">
        <v>734</v>
      </c>
      <c r="D903" s="2" t="s">
        <v>107</v>
      </c>
      <c r="E903" s="2" t="s">
        <v>735</v>
      </c>
      <c r="F903" s="2">
        <v>6.6118810672571096</v>
      </c>
      <c r="G903" s="2">
        <v>101</v>
      </c>
      <c r="H903" s="2">
        <v>2100</v>
      </c>
      <c r="I903" s="2" t="s">
        <v>2081</v>
      </c>
      <c r="J903" s="2" t="s">
        <v>76</v>
      </c>
      <c r="K903" s="2" t="s">
        <v>73</v>
      </c>
    </row>
    <row r="904" spans="1:11" x14ac:dyDescent="0.25">
      <c r="A904" s="2" t="s">
        <v>3369</v>
      </c>
      <c r="B904" s="2" t="s">
        <v>1</v>
      </c>
      <c r="C904" s="2" t="s">
        <v>441</v>
      </c>
      <c r="D904" s="2" t="s">
        <v>1618</v>
      </c>
      <c r="E904" s="2" t="s">
        <v>1436</v>
      </c>
      <c r="F904" s="2">
        <v>8.1906979583030495</v>
      </c>
      <c r="G904" s="2">
        <v>43</v>
      </c>
      <c r="H904" s="2">
        <v>2100</v>
      </c>
      <c r="I904" s="2" t="s">
        <v>2070</v>
      </c>
      <c r="J904" s="2" t="s">
        <v>848</v>
      </c>
      <c r="K904" s="2" t="s">
        <v>36</v>
      </c>
    </row>
    <row r="905" spans="1:11" x14ac:dyDescent="0.25">
      <c r="A905" s="2" t="s">
        <v>3370</v>
      </c>
      <c r="B905" s="2" t="s">
        <v>20</v>
      </c>
      <c r="C905" s="2" t="s">
        <v>1065</v>
      </c>
      <c r="D905" s="2" t="s">
        <v>1589</v>
      </c>
      <c r="E905" s="2" t="s">
        <v>296</v>
      </c>
      <c r="F905" s="2">
        <v>4.0726416245946302</v>
      </c>
      <c r="G905" s="2">
        <v>106</v>
      </c>
      <c r="H905" s="2">
        <v>2100</v>
      </c>
      <c r="I905" s="2" t="s">
        <v>2079</v>
      </c>
      <c r="J905" s="2" t="s">
        <v>855</v>
      </c>
      <c r="K905" s="2" t="s">
        <v>843</v>
      </c>
    </row>
    <row r="906" spans="1:11" x14ac:dyDescent="0.25">
      <c r="A906" s="2" t="s">
        <v>3371</v>
      </c>
      <c r="B906" s="2" t="s">
        <v>17</v>
      </c>
      <c r="C906" s="2" t="s">
        <v>1662</v>
      </c>
      <c r="D906" s="2" t="s">
        <v>1663</v>
      </c>
      <c r="E906" s="2" t="s">
        <v>685</v>
      </c>
      <c r="F906" s="2">
        <v>4.2967740951045803</v>
      </c>
      <c r="G906" s="2">
        <v>31</v>
      </c>
      <c r="H906" s="2">
        <v>2100</v>
      </c>
      <c r="I906" s="2" t="s">
        <v>2070</v>
      </c>
      <c r="J906" s="2" t="s">
        <v>848</v>
      </c>
      <c r="K906" s="2" t="s">
        <v>36</v>
      </c>
    </row>
    <row r="907" spans="1:11" x14ac:dyDescent="0.25">
      <c r="A907" s="2" t="s">
        <v>3372</v>
      </c>
      <c r="B907" s="2" t="s">
        <v>19</v>
      </c>
      <c r="C907" s="2" t="s">
        <v>383</v>
      </c>
      <c r="D907" s="2" t="s">
        <v>101</v>
      </c>
      <c r="E907" s="2" t="s">
        <v>700</v>
      </c>
      <c r="F907" s="2">
        <v>6.8341775242286298</v>
      </c>
      <c r="G907" s="2">
        <v>79</v>
      </c>
      <c r="H907" s="2">
        <v>2100</v>
      </c>
      <c r="I907" s="2" t="s">
        <v>2081</v>
      </c>
      <c r="J907" s="2" t="s">
        <v>76</v>
      </c>
      <c r="K907" s="2" t="s">
        <v>73</v>
      </c>
    </row>
    <row r="908" spans="1:11" x14ac:dyDescent="0.25">
      <c r="A908" s="2" t="s">
        <v>3373</v>
      </c>
      <c r="B908" s="2" t="s">
        <v>17</v>
      </c>
      <c r="C908" s="2" t="s">
        <v>714</v>
      </c>
      <c r="D908" s="2" t="s">
        <v>108</v>
      </c>
      <c r="E908" s="2" t="s">
        <v>715</v>
      </c>
      <c r="F908" s="2">
        <v>8.0157139369419603</v>
      </c>
      <c r="G908" s="2">
        <v>70</v>
      </c>
      <c r="H908" s="2">
        <v>2100</v>
      </c>
      <c r="I908" s="2" t="s">
        <v>2081</v>
      </c>
      <c r="J908" s="2" t="s">
        <v>73</v>
      </c>
      <c r="K908" s="2" t="s">
        <v>76</v>
      </c>
    </row>
    <row r="909" spans="1:11" x14ac:dyDescent="0.25">
      <c r="A909" s="2" t="s">
        <v>3374</v>
      </c>
      <c r="B909" s="2" t="s">
        <v>22</v>
      </c>
      <c r="C909" s="2" t="s">
        <v>492</v>
      </c>
      <c r="D909" s="2" t="s">
        <v>1482</v>
      </c>
      <c r="E909" s="2" t="s">
        <v>1483</v>
      </c>
      <c r="F909" s="2">
        <v>5.6787232743932803</v>
      </c>
      <c r="G909" s="2">
        <v>47</v>
      </c>
      <c r="H909" s="2">
        <v>2100</v>
      </c>
      <c r="I909" s="2" t="s">
        <v>2079</v>
      </c>
      <c r="J909" s="2" t="s">
        <v>855</v>
      </c>
      <c r="K909" s="2" t="s">
        <v>843</v>
      </c>
    </row>
    <row r="910" spans="1:11" x14ac:dyDescent="0.25">
      <c r="A910" s="2" t="s">
        <v>3375</v>
      </c>
      <c r="B910" s="2" t="s">
        <v>19</v>
      </c>
      <c r="C910" s="2" t="s">
        <v>1525</v>
      </c>
      <c r="D910" s="2" t="s">
        <v>1526</v>
      </c>
      <c r="E910" s="2" t="s">
        <v>680</v>
      </c>
      <c r="F910" s="2">
        <v>4.2696429661342004</v>
      </c>
      <c r="G910" s="2">
        <v>56</v>
      </c>
      <c r="H910" s="2">
        <v>2100</v>
      </c>
      <c r="I910" s="2" t="s">
        <v>2070</v>
      </c>
      <c r="J910" s="2" t="s">
        <v>848</v>
      </c>
      <c r="K910" s="2" t="s">
        <v>36</v>
      </c>
    </row>
    <row r="911" spans="1:11" x14ac:dyDescent="0.25">
      <c r="A911" s="2" t="s">
        <v>3376</v>
      </c>
      <c r="B911" s="2" t="s">
        <v>17</v>
      </c>
      <c r="C911" s="2" t="s">
        <v>337</v>
      </c>
      <c r="D911" s="2" t="s">
        <v>1678</v>
      </c>
      <c r="E911" s="2" t="s">
        <v>1679</v>
      </c>
      <c r="F911" s="2">
        <v>4.8224490418726003</v>
      </c>
      <c r="G911" s="2">
        <v>49</v>
      </c>
      <c r="H911" s="2">
        <v>2100</v>
      </c>
      <c r="I911" s="2" t="s">
        <v>2124</v>
      </c>
      <c r="J911" s="2" t="s">
        <v>852</v>
      </c>
      <c r="K911" s="2" t="s">
        <v>2125</v>
      </c>
    </row>
    <row r="912" spans="1:11" x14ac:dyDescent="0.25">
      <c r="A912" s="2" t="s">
        <v>3377</v>
      </c>
      <c r="B912" s="2" t="s">
        <v>17</v>
      </c>
      <c r="C912" s="2" t="s">
        <v>425</v>
      </c>
      <c r="D912" s="2" t="s">
        <v>1596</v>
      </c>
      <c r="E912" s="2" t="s">
        <v>1597</v>
      </c>
      <c r="F912" s="2">
        <v>6.9099998474120996</v>
      </c>
      <c r="G912" s="2">
        <v>40</v>
      </c>
      <c r="H912" s="2">
        <v>2100</v>
      </c>
      <c r="I912" s="2" t="s">
        <v>2070</v>
      </c>
      <c r="J912" s="2" t="s">
        <v>848</v>
      </c>
      <c r="K912" s="2" t="s">
        <v>36</v>
      </c>
    </row>
    <row r="913" spans="1:13" x14ac:dyDescent="0.25">
      <c r="A913" s="2" t="s">
        <v>3378</v>
      </c>
      <c r="B913" s="2" t="s">
        <v>21</v>
      </c>
      <c r="C913" s="2" t="s">
        <v>384</v>
      </c>
      <c r="D913" s="2" t="s">
        <v>1504</v>
      </c>
      <c r="E913" s="2" t="s">
        <v>1505</v>
      </c>
      <c r="F913" s="2">
        <v>5.8761906699528703</v>
      </c>
      <c r="G913" s="2">
        <v>63</v>
      </c>
      <c r="H913" s="2">
        <v>2100</v>
      </c>
      <c r="I913" s="2" t="s">
        <v>1783</v>
      </c>
      <c r="J913" s="2" t="s">
        <v>840</v>
      </c>
      <c r="K913" s="2" t="s">
        <v>861</v>
      </c>
    </row>
    <row r="914" spans="1:13" x14ac:dyDescent="0.25">
      <c r="A914" s="2" t="s">
        <v>3379</v>
      </c>
      <c r="B914" s="2" t="s">
        <v>21</v>
      </c>
      <c r="C914" s="2" t="s">
        <v>740</v>
      </c>
      <c r="D914" s="2" t="s">
        <v>140</v>
      </c>
      <c r="E914" s="2" t="s">
        <v>741</v>
      </c>
      <c r="F914" s="2">
        <v>4.8268291194264403</v>
      </c>
      <c r="G914" s="2">
        <v>41</v>
      </c>
      <c r="H914" s="2">
        <v>2100</v>
      </c>
      <c r="I914" s="2" t="s">
        <v>2106</v>
      </c>
      <c r="J914" s="2" t="s">
        <v>34</v>
      </c>
      <c r="K914" s="2" t="s">
        <v>35</v>
      </c>
    </row>
    <row r="915" spans="1:13" x14ac:dyDescent="0.25">
      <c r="A915" s="2" t="s">
        <v>3380</v>
      </c>
      <c r="B915" s="2" t="s">
        <v>17</v>
      </c>
      <c r="C915" s="2" t="s">
        <v>3381</v>
      </c>
      <c r="D915" s="2" t="s">
        <v>3382</v>
      </c>
      <c r="E915" s="2" t="s">
        <v>296</v>
      </c>
      <c r="F915" s="2">
        <v>5.7525001525878903</v>
      </c>
      <c r="G915" s="2">
        <v>40</v>
      </c>
      <c r="H915" s="2">
        <v>2100</v>
      </c>
      <c r="I915" s="2" t="s">
        <v>2075</v>
      </c>
      <c r="J915" s="2" t="s">
        <v>2076</v>
      </c>
      <c r="K915" s="2" t="s">
        <v>37</v>
      </c>
      <c r="L915" s="2" t="s">
        <v>200</v>
      </c>
      <c r="M915" s="2" t="s">
        <v>3383</v>
      </c>
    </row>
    <row r="916" spans="1:13" x14ac:dyDescent="0.25">
      <c r="A916" s="2" t="s">
        <v>3384</v>
      </c>
      <c r="B916" s="2" t="s">
        <v>17</v>
      </c>
      <c r="C916" s="2" t="s">
        <v>206</v>
      </c>
      <c r="D916" s="2" t="s">
        <v>1681</v>
      </c>
      <c r="E916" s="2" t="s">
        <v>1682</v>
      </c>
      <c r="F916" s="2">
        <v>6.2347823433254002</v>
      </c>
      <c r="G916" s="2">
        <v>23</v>
      </c>
      <c r="H916" s="2">
        <v>2100</v>
      </c>
      <c r="I916" s="2" t="s">
        <v>2097</v>
      </c>
      <c r="J916" s="2" t="s">
        <v>159</v>
      </c>
      <c r="K916" s="2" t="s">
        <v>853</v>
      </c>
    </row>
    <row r="917" spans="1:13" x14ac:dyDescent="0.25">
      <c r="A917" s="2" t="s">
        <v>3385</v>
      </c>
      <c r="B917" s="2" t="s">
        <v>1</v>
      </c>
      <c r="C917" s="2" t="s">
        <v>304</v>
      </c>
      <c r="D917" s="2" t="s">
        <v>1530</v>
      </c>
      <c r="E917" s="2" t="s">
        <v>1531</v>
      </c>
      <c r="F917" s="2">
        <v>7.6274509803921502</v>
      </c>
      <c r="G917" s="2">
        <v>51</v>
      </c>
      <c r="H917" s="2">
        <v>2100</v>
      </c>
      <c r="I917" s="2" t="s">
        <v>1783</v>
      </c>
      <c r="J917" s="2" t="s">
        <v>861</v>
      </c>
      <c r="K917" s="2" t="s">
        <v>840</v>
      </c>
      <c r="L917" s="2" t="s">
        <v>200</v>
      </c>
      <c r="M917" s="2" t="s">
        <v>493</v>
      </c>
    </row>
    <row r="918" spans="1:13" x14ac:dyDescent="0.25">
      <c r="A918" s="2" t="s">
        <v>3386</v>
      </c>
      <c r="B918" s="2" t="s">
        <v>17</v>
      </c>
      <c r="C918" s="2" t="s">
        <v>1542</v>
      </c>
      <c r="D918" s="2" t="s">
        <v>3387</v>
      </c>
      <c r="E918" s="2" t="s">
        <v>1506</v>
      </c>
      <c r="F918" s="2">
        <v>2.1666666666666599</v>
      </c>
      <c r="G918" s="2">
        <v>3</v>
      </c>
      <c r="H918" s="2">
        <v>2100</v>
      </c>
      <c r="I918" s="2" t="s">
        <v>2124</v>
      </c>
      <c r="J918" s="2" t="s">
        <v>2125</v>
      </c>
      <c r="K918" s="2" t="s">
        <v>852</v>
      </c>
    </row>
    <row r="919" spans="1:13" x14ac:dyDescent="0.25">
      <c r="A919" s="2" t="s">
        <v>3388</v>
      </c>
      <c r="B919" s="2" t="s">
        <v>17</v>
      </c>
      <c r="C919" s="2" t="s">
        <v>304</v>
      </c>
      <c r="D919" s="2" t="s">
        <v>3389</v>
      </c>
      <c r="E919" s="2" t="s">
        <v>3390</v>
      </c>
      <c r="F919" s="2">
        <v>2.3206897604054402</v>
      </c>
      <c r="G919" s="2">
        <v>29</v>
      </c>
      <c r="H919" s="2">
        <v>2100</v>
      </c>
      <c r="I919" s="2" t="s">
        <v>2068</v>
      </c>
      <c r="J919" s="2" t="s">
        <v>38</v>
      </c>
      <c r="K919" s="2" t="s">
        <v>860</v>
      </c>
    </row>
    <row r="920" spans="1:13" x14ac:dyDescent="0.25">
      <c r="A920" s="2" t="s">
        <v>3391</v>
      </c>
      <c r="B920" s="2" t="s">
        <v>19</v>
      </c>
      <c r="C920" s="2" t="s">
        <v>3392</v>
      </c>
      <c r="D920" s="2" t="s">
        <v>3393</v>
      </c>
      <c r="E920" s="2" t="s">
        <v>3394</v>
      </c>
      <c r="F920" s="2">
        <v>4.1206522402556001</v>
      </c>
      <c r="G920" s="2">
        <v>92</v>
      </c>
      <c r="H920" s="2">
        <v>2100</v>
      </c>
      <c r="I920" s="2" t="s">
        <v>2075</v>
      </c>
      <c r="J920" s="2" t="s">
        <v>2076</v>
      </c>
      <c r="K920" s="2" t="s">
        <v>37</v>
      </c>
    </row>
    <row r="921" spans="1:13" x14ac:dyDescent="0.25">
      <c r="A921" s="2" t="s">
        <v>3395</v>
      </c>
      <c r="B921" s="2" t="s">
        <v>17</v>
      </c>
      <c r="C921" s="2" t="s">
        <v>316</v>
      </c>
      <c r="D921" s="2" t="s">
        <v>66</v>
      </c>
      <c r="E921" s="2" t="s">
        <v>788</v>
      </c>
      <c r="F921" s="2">
        <v>4.8531250953674299</v>
      </c>
      <c r="G921" s="2">
        <v>32</v>
      </c>
      <c r="H921" s="2">
        <v>2100</v>
      </c>
      <c r="I921" s="2" t="s">
        <v>2070</v>
      </c>
      <c r="J921" s="2" t="s">
        <v>36</v>
      </c>
      <c r="K921" s="2" t="s">
        <v>848</v>
      </c>
    </row>
    <row r="922" spans="1:13" x14ac:dyDescent="0.25">
      <c r="A922" s="2" t="s">
        <v>3396</v>
      </c>
      <c r="B922" s="2" t="s">
        <v>21</v>
      </c>
      <c r="C922" s="2" t="s">
        <v>252</v>
      </c>
      <c r="D922" s="2" t="s">
        <v>3397</v>
      </c>
      <c r="E922" s="2" t="s">
        <v>3398</v>
      </c>
      <c r="F922" s="2">
        <v>5.0260868901791698</v>
      </c>
      <c r="G922" s="2">
        <v>23</v>
      </c>
      <c r="H922" s="2">
        <v>2100</v>
      </c>
      <c r="I922" s="2" t="s">
        <v>1783</v>
      </c>
      <c r="J922" s="2" t="s">
        <v>840</v>
      </c>
      <c r="K922" s="2" t="s">
        <v>861</v>
      </c>
    </row>
    <row r="923" spans="1:13" x14ac:dyDescent="0.25">
      <c r="A923" s="2" t="s">
        <v>3399</v>
      </c>
      <c r="B923" s="2" t="s">
        <v>17</v>
      </c>
      <c r="C923" s="2" t="s">
        <v>818</v>
      </c>
      <c r="D923" s="2" t="s">
        <v>111</v>
      </c>
      <c r="E923" s="2" t="s">
        <v>819</v>
      </c>
      <c r="F923" s="2">
        <v>6.0037738152270004</v>
      </c>
      <c r="G923" s="2">
        <v>53</v>
      </c>
      <c r="H923" s="2">
        <v>2100</v>
      </c>
      <c r="I923" s="2" t="s">
        <v>2070</v>
      </c>
      <c r="J923" s="2" t="s">
        <v>36</v>
      </c>
      <c r="K923" s="2" t="s">
        <v>848</v>
      </c>
    </row>
    <row r="924" spans="1:13" x14ac:dyDescent="0.25">
      <c r="A924" s="2" t="s">
        <v>3400</v>
      </c>
      <c r="B924" s="2" t="s">
        <v>1</v>
      </c>
      <c r="C924" s="2" t="s">
        <v>779</v>
      </c>
      <c r="D924" s="2" t="s">
        <v>3401</v>
      </c>
      <c r="E924" s="2" t="s">
        <v>3402</v>
      </c>
      <c r="F924" s="2">
        <v>3.3484848484848402</v>
      </c>
      <c r="G924" s="2">
        <v>33</v>
      </c>
      <c r="H924" s="2">
        <v>2100</v>
      </c>
      <c r="I924" s="2" t="s">
        <v>2124</v>
      </c>
      <c r="J924" s="2" t="s">
        <v>2125</v>
      </c>
      <c r="K924" s="2" t="s">
        <v>852</v>
      </c>
    </row>
    <row r="925" spans="1:13" x14ac:dyDescent="0.25">
      <c r="A925" s="2" t="s">
        <v>3403</v>
      </c>
      <c r="B925" s="2" t="s">
        <v>1</v>
      </c>
      <c r="C925" s="2" t="s">
        <v>212</v>
      </c>
      <c r="D925" s="2" t="s">
        <v>67</v>
      </c>
      <c r="E925" s="2" t="s">
        <v>793</v>
      </c>
      <c r="F925" s="2">
        <v>5.0424999237060497</v>
      </c>
      <c r="G925" s="2">
        <v>40</v>
      </c>
      <c r="H925" s="2">
        <v>2100</v>
      </c>
      <c r="I925" s="2" t="s">
        <v>2068</v>
      </c>
      <c r="J925" s="2" t="s">
        <v>38</v>
      </c>
      <c r="K925" s="2" t="s">
        <v>860</v>
      </c>
    </row>
    <row r="926" spans="1:13" x14ac:dyDescent="0.25">
      <c r="A926" s="2" t="s">
        <v>3404</v>
      </c>
      <c r="B926" s="2" t="s">
        <v>19</v>
      </c>
      <c r="C926" s="2" t="s">
        <v>237</v>
      </c>
      <c r="D926" s="2" t="s">
        <v>1771</v>
      </c>
      <c r="E926" s="2" t="s">
        <v>659</v>
      </c>
      <c r="F926" s="2">
        <v>6.0964284624372196</v>
      </c>
      <c r="G926" s="2">
        <v>28</v>
      </c>
      <c r="H926" s="2">
        <v>2100</v>
      </c>
      <c r="I926" s="2" t="s">
        <v>2124</v>
      </c>
      <c r="J926" s="2" t="s">
        <v>852</v>
      </c>
      <c r="K926" s="2" t="s">
        <v>2125</v>
      </c>
    </row>
    <row r="927" spans="1:13" x14ac:dyDescent="0.25">
      <c r="A927" s="2" t="s">
        <v>3405</v>
      </c>
      <c r="B927" s="2" t="s">
        <v>22</v>
      </c>
      <c r="C927" s="2" t="s">
        <v>368</v>
      </c>
      <c r="D927" s="2" t="s">
        <v>1642</v>
      </c>
      <c r="E927" s="2" t="s">
        <v>1643</v>
      </c>
      <c r="F927" s="2">
        <v>2.91568621467141</v>
      </c>
      <c r="G927" s="2">
        <v>51</v>
      </c>
      <c r="H927" s="2">
        <v>2000</v>
      </c>
      <c r="I927" s="2" t="s">
        <v>1783</v>
      </c>
      <c r="J927" s="2" t="s">
        <v>861</v>
      </c>
      <c r="K927" s="2" t="s">
        <v>840</v>
      </c>
    </row>
    <row r="928" spans="1:13" x14ac:dyDescent="0.25">
      <c r="A928" s="2" t="s">
        <v>3406</v>
      </c>
      <c r="B928" s="2" t="s">
        <v>17</v>
      </c>
      <c r="C928" s="2" t="s">
        <v>655</v>
      </c>
      <c r="D928" s="2" t="s">
        <v>3407</v>
      </c>
      <c r="E928" s="2" t="s">
        <v>3408</v>
      </c>
      <c r="F928" s="2">
        <v>3.06666660308837</v>
      </c>
      <c r="G928" s="2">
        <v>3</v>
      </c>
      <c r="H928" s="2">
        <v>2000</v>
      </c>
      <c r="I928" s="2" t="s">
        <v>2106</v>
      </c>
      <c r="J928" s="2" t="s">
        <v>34</v>
      </c>
      <c r="K928" s="2" t="s">
        <v>35</v>
      </c>
    </row>
    <row r="929" spans="1:11" x14ac:dyDescent="0.25">
      <c r="A929" s="2" t="s">
        <v>3409</v>
      </c>
      <c r="B929" s="2" t="s">
        <v>17</v>
      </c>
      <c r="C929" s="2" t="s">
        <v>1644</v>
      </c>
      <c r="D929" s="2" t="s">
        <v>1645</v>
      </c>
      <c r="E929" s="2" t="s">
        <v>1646</v>
      </c>
      <c r="F929" s="2">
        <v>5.4833335876464799</v>
      </c>
      <c r="G929" s="2">
        <v>12</v>
      </c>
      <c r="H929" s="2">
        <v>2000</v>
      </c>
      <c r="I929" s="2" t="s">
        <v>2079</v>
      </c>
      <c r="J929" s="2" t="s">
        <v>843</v>
      </c>
      <c r="K929" s="2" t="s">
        <v>855</v>
      </c>
    </row>
    <row r="930" spans="1:11" x14ac:dyDescent="0.25">
      <c r="A930" s="2" t="s">
        <v>3410</v>
      </c>
      <c r="B930" s="2" t="s">
        <v>17</v>
      </c>
      <c r="C930" s="2" t="s">
        <v>804</v>
      </c>
      <c r="D930" s="2" t="s">
        <v>60</v>
      </c>
      <c r="E930" s="2" t="s">
        <v>805</v>
      </c>
      <c r="F930" s="2">
        <v>5.93513530009501</v>
      </c>
      <c r="G930" s="2">
        <v>37</v>
      </c>
      <c r="H930" s="2">
        <v>2000</v>
      </c>
      <c r="I930" s="2" t="s">
        <v>2075</v>
      </c>
      <c r="J930" s="2" t="s">
        <v>37</v>
      </c>
      <c r="K930" s="2" t="s">
        <v>2076</v>
      </c>
    </row>
    <row r="931" spans="1:11" x14ac:dyDescent="0.25">
      <c r="A931" s="2" t="s">
        <v>3411</v>
      </c>
      <c r="B931" s="2" t="s">
        <v>17</v>
      </c>
      <c r="C931" s="2" t="s">
        <v>989</v>
      </c>
      <c r="D931" s="2" t="s">
        <v>3412</v>
      </c>
      <c r="E931" s="2" t="s">
        <v>646</v>
      </c>
      <c r="F931" s="2">
        <v>2.5333333015441801</v>
      </c>
      <c r="G931" s="2">
        <v>6</v>
      </c>
      <c r="H931" s="2">
        <v>2000</v>
      </c>
      <c r="I931" s="2" t="s">
        <v>2068</v>
      </c>
      <c r="J931" s="2" t="s">
        <v>38</v>
      </c>
      <c r="K931" s="2" t="s">
        <v>860</v>
      </c>
    </row>
    <row r="932" spans="1:11" x14ac:dyDescent="0.25">
      <c r="A932" s="2" t="s">
        <v>3413</v>
      </c>
      <c r="B932" s="2" t="s">
        <v>17</v>
      </c>
      <c r="C932" s="2" t="s">
        <v>495</v>
      </c>
      <c r="D932" s="2" t="s">
        <v>3414</v>
      </c>
      <c r="E932" s="2" t="s">
        <v>3415</v>
      </c>
      <c r="F932" s="2">
        <v>8.5617648853975101</v>
      </c>
      <c r="G932" s="2">
        <v>34</v>
      </c>
      <c r="H932" s="2">
        <v>2000</v>
      </c>
      <c r="I932" s="2" t="s">
        <v>2124</v>
      </c>
      <c r="J932" s="2" t="s">
        <v>2125</v>
      </c>
      <c r="K932" s="2" t="s">
        <v>852</v>
      </c>
    </row>
    <row r="933" spans="1:11" x14ac:dyDescent="0.25">
      <c r="A933" s="2" t="s">
        <v>3416</v>
      </c>
      <c r="B933" s="2" t="s">
        <v>19</v>
      </c>
      <c r="C933" s="2" t="s">
        <v>768</v>
      </c>
      <c r="D933" s="2" t="s">
        <v>126</v>
      </c>
      <c r="E933" s="2" t="s">
        <v>216</v>
      </c>
      <c r="F933" s="2">
        <v>4.1285712832496202</v>
      </c>
      <c r="G933" s="2">
        <v>42</v>
      </c>
      <c r="H933" s="2">
        <v>2000</v>
      </c>
      <c r="I933" s="2" t="s">
        <v>2070</v>
      </c>
      <c r="J933" s="2" t="s">
        <v>36</v>
      </c>
      <c r="K933" s="2" t="s">
        <v>848</v>
      </c>
    </row>
    <row r="934" spans="1:11" x14ac:dyDescent="0.25">
      <c r="A934" s="2" t="s">
        <v>3417</v>
      </c>
      <c r="B934" s="2" t="s">
        <v>19</v>
      </c>
      <c r="C934" s="2" t="s">
        <v>769</v>
      </c>
      <c r="D934" s="2" t="s">
        <v>64</v>
      </c>
      <c r="E934" s="2" t="s">
        <v>770</v>
      </c>
      <c r="F934" s="2">
        <v>4.2076189313616004</v>
      </c>
      <c r="G934" s="2">
        <v>105</v>
      </c>
      <c r="H934" s="2">
        <v>2000</v>
      </c>
      <c r="I934" s="2" t="s">
        <v>2106</v>
      </c>
      <c r="J934" s="2" t="s">
        <v>35</v>
      </c>
      <c r="K934" s="2" t="s">
        <v>34</v>
      </c>
    </row>
    <row r="935" spans="1:11" x14ac:dyDescent="0.25">
      <c r="A935" s="2" t="s">
        <v>3418</v>
      </c>
      <c r="B935" s="2" t="s">
        <v>22</v>
      </c>
      <c r="C935" s="2" t="s">
        <v>675</v>
      </c>
      <c r="D935" s="2" t="s">
        <v>1583</v>
      </c>
      <c r="E935" s="2" t="s">
        <v>1584</v>
      </c>
      <c r="F935" s="2">
        <v>4.0124998092651296</v>
      </c>
      <c r="G935" s="2">
        <v>32</v>
      </c>
      <c r="H935" s="2">
        <v>2000</v>
      </c>
      <c r="I935" s="2" t="s">
        <v>1783</v>
      </c>
      <c r="J935" s="2" t="s">
        <v>840</v>
      </c>
      <c r="K935" s="2" t="s">
        <v>861</v>
      </c>
    </row>
    <row r="936" spans="1:11" x14ac:dyDescent="0.25">
      <c r="A936" s="2" t="s">
        <v>3419</v>
      </c>
      <c r="B936" s="2" t="s">
        <v>19</v>
      </c>
      <c r="C936" s="2" t="s">
        <v>246</v>
      </c>
      <c r="D936" s="2" t="s">
        <v>3420</v>
      </c>
      <c r="E936" s="2" t="s">
        <v>3421</v>
      </c>
      <c r="F936" s="2">
        <v>5.7647725885564602</v>
      </c>
      <c r="G936" s="2">
        <v>88</v>
      </c>
      <c r="H936" s="2">
        <v>2000</v>
      </c>
      <c r="I936" s="2" t="s">
        <v>2075</v>
      </c>
      <c r="J936" s="2" t="s">
        <v>37</v>
      </c>
      <c r="K936" s="2" t="s">
        <v>2076</v>
      </c>
    </row>
    <row r="937" spans="1:11" x14ac:dyDescent="0.25">
      <c r="A937" s="2" t="s">
        <v>3422</v>
      </c>
      <c r="B937" s="2" t="s">
        <v>1</v>
      </c>
      <c r="C937" s="2" t="s">
        <v>197</v>
      </c>
      <c r="D937" s="2" t="s">
        <v>1647</v>
      </c>
      <c r="E937" s="2" t="s">
        <v>369</v>
      </c>
      <c r="F937" s="2">
        <v>2.93260856296705</v>
      </c>
      <c r="G937" s="2">
        <v>46</v>
      </c>
      <c r="H937" s="2">
        <v>2000</v>
      </c>
      <c r="I937" s="2" t="s">
        <v>2108</v>
      </c>
      <c r="J937" s="2" t="s">
        <v>856</v>
      </c>
      <c r="K937" s="2" t="s">
        <v>841</v>
      </c>
    </row>
    <row r="938" spans="1:11" x14ac:dyDescent="0.25">
      <c r="A938" s="2" t="s">
        <v>3423</v>
      </c>
      <c r="B938" s="2" t="s">
        <v>17</v>
      </c>
      <c r="C938" s="2" t="s">
        <v>286</v>
      </c>
      <c r="D938" s="2" t="s">
        <v>1648</v>
      </c>
      <c r="E938" s="2" t="s">
        <v>1649</v>
      </c>
      <c r="F938" s="2">
        <v>3.91914887123919</v>
      </c>
      <c r="G938" s="2">
        <v>94</v>
      </c>
      <c r="H938" s="2">
        <v>2000</v>
      </c>
      <c r="I938" s="2" t="s">
        <v>2108</v>
      </c>
      <c r="J938" s="2" t="s">
        <v>841</v>
      </c>
      <c r="K938" s="2" t="s">
        <v>856</v>
      </c>
    </row>
    <row r="939" spans="1:11" x14ac:dyDescent="0.25">
      <c r="A939" s="2" t="s">
        <v>3424</v>
      </c>
      <c r="B939" s="2" t="s">
        <v>1</v>
      </c>
      <c r="C939" s="2" t="s">
        <v>252</v>
      </c>
      <c r="D939" s="2" t="s">
        <v>145</v>
      </c>
      <c r="E939" s="2" t="s">
        <v>815</v>
      </c>
      <c r="F939" s="2">
        <v>2.2428571156092998</v>
      </c>
      <c r="G939" s="2">
        <v>7</v>
      </c>
      <c r="H939" s="2">
        <v>2000</v>
      </c>
      <c r="I939" s="2" t="s">
        <v>2106</v>
      </c>
      <c r="J939" s="2" t="s">
        <v>35</v>
      </c>
      <c r="K939" s="2" t="s">
        <v>34</v>
      </c>
    </row>
    <row r="940" spans="1:11" x14ac:dyDescent="0.25">
      <c r="A940" s="2" t="s">
        <v>3425</v>
      </c>
      <c r="B940" s="2" t="s">
        <v>17</v>
      </c>
      <c r="C940" s="2" t="s">
        <v>304</v>
      </c>
      <c r="D940" s="2" t="s">
        <v>1650</v>
      </c>
      <c r="E940" s="2" t="s">
        <v>1588</v>
      </c>
      <c r="F940" s="2">
        <v>5.7118814298422</v>
      </c>
      <c r="G940" s="2">
        <v>101</v>
      </c>
      <c r="H940" s="2">
        <v>2000</v>
      </c>
      <c r="I940" s="2" t="s">
        <v>2070</v>
      </c>
      <c r="J940" s="2" t="s">
        <v>848</v>
      </c>
      <c r="K940" s="2" t="s">
        <v>36</v>
      </c>
    </row>
    <row r="941" spans="1:11" x14ac:dyDescent="0.25">
      <c r="A941" s="2" t="s">
        <v>3426</v>
      </c>
      <c r="B941" s="2" t="s">
        <v>19</v>
      </c>
      <c r="C941" s="2" t="s">
        <v>355</v>
      </c>
      <c r="D941" s="2" t="s">
        <v>1651</v>
      </c>
      <c r="E941" s="2" t="s">
        <v>1652</v>
      </c>
      <c r="F941" s="2">
        <v>2.875</v>
      </c>
      <c r="G941" s="2">
        <v>40</v>
      </c>
      <c r="H941" s="2">
        <v>2000</v>
      </c>
      <c r="I941" s="2" t="s">
        <v>2106</v>
      </c>
      <c r="J941" s="2" t="s">
        <v>35</v>
      </c>
      <c r="K941" s="2" t="s">
        <v>34</v>
      </c>
    </row>
    <row r="942" spans="1:11" x14ac:dyDescent="0.25">
      <c r="A942" s="2" t="s">
        <v>3427</v>
      </c>
      <c r="B942" s="2" t="s">
        <v>17</v>
      </c>
      <c r="C942" s="2" t="s">
        <v>758</v>
      </c>
      <c r="D942" s="2" t="s">
        <v>96</v>
      </c>
      <c r="E942" s="2" t="s">
        <v>759</v>
      </c>
      <c r="F942" s="2">
        <v>5.9055554425274801</v>
      </c>
      <c r="G942" s="2">
        <v>108</v>
      </c>
      <c r="H942" s="2">
        <v>2000</v>
      </c>
      <c r="I942" s="2" t="s">
        <v>2106</v>
      </c>
      <c r="J942" s="2" t="s">
        <v>35</v>
      </c>
      <c r="K942" s="2" t="s">
        <v>34</v>
      </c>
    </row>
    <row r="943" spans="1:11" x14ac:dyDescent="0.25">
      <c r="A943" s="2" t="s">
        <v>3428</v>
      </c>
      <c r="B943" s="2" t="s">
        <v>20</v>
      </c>
      <c r="C943" s="2" t="s">
        <v>1561</v>
      </c>
      <c r="D943" s="2" t="s">
        <v>1562</v>
      </c>
      <c r="E943" s="2" t="s">
        <v>1563</v>
      </c>
      <c r="F943" s="2">
        <v>3.1954546841707998</v>
      </c>
      <c r="G943" s="2">
        <v>44</v>
      </c>
      <c r="H943" s="2">
        <v>2000</v>
      </c>
      <c r="I943" s="2" t="s">
        <v>2079</v>
      </c>
      <c r="J943" s="2" t="s">
        <v>843</v>
      </c>
      <c r="K943" s="2" t="s">
        <v>855</v>
      </c>
    </row>
    <row r="944" spans="1:11" x14ac:dyDescent="0.25">
      <c r="A944" s="2" t="s">
        <v>3429</v>
      </c>
      <c r="B944" s="2" t="s">
        <v>17</v>
      </c>
      <c r="C944" s="2" t="s">
        <v>450</v>
      </c>
      <c r="D944" s="2" t="s">
        <v>3430</v>
      </c>
      <c r="E944" s="2" t="s">
        <v>701</v>
      </c>
      <c r="F944" s="2">
        <v>3.20909095532966</v>
      </c>
      <c r="G944" s="2">
        <v>66</v>
      </c>
      <c r="H944" s="2">
        <v>2000</v>
      </c>
      <c r="I944" s="2" t="s">
        <v>2124</v>
      </c>
      <c r="J944" s="2" t="s">
        <v>2125</v>
      </c>
      <c r="K944" s="2" t="s">
        <v>852</v>
      </c>
    </row>
    <row r="945" spans="1:13" x14ac:dyDescent="0.25">
      <c r="A945" s="2" t="s">
        <v>3431</v>
      </c>
      <c r="B945" s="2" t="s">
        <v>17</v>
      </c>
      <c r="C945" s="2" t="s">
        <v>354</v>
      </c>
      <c r="D945" s="2" t="s">
        <v>1538</v>
      </c>
      <c r="E945" s="2" t="s">
        <v>1539</v>
      </c>
      <c r="F945" s="2">
        <v>5.2206894447063501</v>
      </c>
      <c r="G945" s="2">
        <v>29</v>
      </c>
      <c r="H945" s="2">
        <v>2000</v>
      </c>
      <c r="I945" s="2" t="s">
        <v>2097</v>
      </c>
      <c r="J945" s="2" t="s">
        <v>853</v>
      </c>
      <c r="K945" s="2" t="s">
        <v>159</v>
      </c>
    </row>
    <row r="946" spans="1:13" x14ac:dyDescent="0.25">
      <c r="A946" s="2" t="s">
        <v>3432</v>
      </c>
      <c r="B946" s="2" t="s">
        <v>17</v>
      </c>
      <c r="C946" s="2" t="s">
        <v>394</v>
      </c>
      <c r="D946" s="2" t="s">
        <v>3433</v>
      </c>
      <c r="E946" s="2" t="s">
        <v>3434</v>
      </c>
      <c r="F946" s="2">
        <v>6.1298509284631502</v>
      </c>
      <c r="G946" s="2">
        <v>67</v>
      </c>
      <c r="H946" s="2">
        <v>2000</v>
      </c>
      <c r="I946" s="2" t="s">
        <v>2075</v>
      </c>
      <c r="J946" s="2" t="s">
        <v>2076</v>
      </c>
      <c r="K946" s="2" t="s">
        <v>37</v>
      </c>
    </row>
    <row r="947" spans="1:13" x14ac:dyDescent="0.25">
      <c r="A947" s="2" t="s">
        <v>3435</v>
      </c>
      <c r="B947" s="2" t="s">
        <v>17</v>
      </c>
      <c r="C947" s="2" t="s">
        <v>8</v>
      </c>
      <c r="D947" s="2" t="s">
        <v>1653</v>
      </c>
      <c r="E947" s="2" t="s">
        <v>1654</v>
      </c>
      <c r="F947" s="2">
        <v>3.73243259739231</v>
      </c>
      <c r="G947" s="2">
        <v>37</v>
      </c>
      <c r="H947" s="2">
        <v>2000</v>
      </c>
      <c r="I947" s="2" t="s">
        <v>2108</v>
      </c>
      <c r="J947" s="2" t="s">
        <v>856</v>
      </c>
      <c r="K947" s="2" t="s">
        <v>841</v>
      </c>
    </row>
    <row r="948" spans="1:13" x14ac:dyDescent="0.25">
      <c r="A948" s="2" t="s">
        <v>3436</v>
      </c>
      <c r="B948" s="2" t="s">
        <v>17</v>
      </c>
      <c r="C948" s="2" t="s">
        <v>816</v>
      </c>
      <c r="D948" s="2" t="s">
        <v>136</v>
      </c>
      <c r="E948" s="2" t="s">
        <v>817</v>
      </c>
      <c r="F948" s="2">
        <v>7.7439024390243896</v>
      </c>
      <c r="G948" s="2">
        <v>41</v>
      </c>
      <c r="H948" s="2">
        <v>2000</v>
      </c>
      <c r="I948" s="2" t="s">
        <v>2065</v>
      </c>
      <c r="J948" s="2" t="s">
        <v>69</v>
      </c>
      <c r="K948" s="2" t="s">
        <v>2066</v>
      </c>
    </row>
    <row r="949" spans="1:13" x14ac:dyDescent="0.25">
      <c r="A949" s="2" t="s">
        <v>3437</v>
      </c>
      <c r="B949" s="2" t="s">
        <v>17</v>
      </c>
      <c r="C949" s="2" t="s">
        <v>620</v>
      </c>
      <c r="D949" s="2" t="s">
        <v>1540</v>
      </c>
      <c r="E949" s="2" t="s">
        <v>1541</v>
      </c>
      <c r="F949" s="2">
        <v>8.2793105552936392</v>
      </c>
      <c r="G949" s="2">
        <v>29</v>
      </c>
      <c r="H949" s="2">
        <v>2000</v>
      </c>
      <c r="I949" s="2" t="s">
        <v>2079</v>
      </c>
      <c r="J949" s="2" t="s">
        <v>843</v>
      </c>
      <c r="K949" s="2" t="s">
        <v>855</v>
      </c>
      <c r="L949" s="2" t="s">
        <v>200</v>
      </c>
      <c r="M949" s="2" t="s">
        <v>257</v>
      </c>
    </row>
    <row r="950" spans="1:13" x14ac:dyDescent="0.25">
      <c r="A950" s="2" t="s">
        <v>3438</v>
      </c>
      <c r="B950" s="2" t="s">
        <v>1</v>
      </c>
      <c r="C950" s="2" t="s">
        <v>1564</v>
      </c>
      <c r="D950" s="2" t="s">
        <v>1565</v>
      </c>
      <c r="E950" s="2" t="s">
        <v>1566</v>
      </c>
      <c r="F950" s="2">
        <v>6.1321427481514998</v>
      </c>
      <c r="G950" s="2">
        <v>56</v>
      </c>
      <c r="H950" s="2">
        <v>2000</v>
      </c>
      <c r="I950" s="2" t="s">
        <v>2108</v>
      </c>
      <c r="J950" s="2" t="s">
        <v>841</v>
      </c>
      <c r="K950" s="2" t="s">
        <v>856</v>
      </c>
      <c r="L950" s="2" t="s">
        <v>200</v>
      </c>
      <c r="M950" s="2" t="s">
        <v>301</v>
      </c>
    </row>
    <row r="951" spans="1:13" x14ac:dyDescent="0.25">
      <c r="A951" s="2" t="s">
        <v>3439</v>
      </c>
      <c r="B951" s="2" t="s">
        <v>1</v>
      </c>
      <c r="C951" s="2" t="s">
        <v>304</v>
      </c>
      <c r="D951" s="2" t="s">
        <v>1655</v>
      </c>
      <c r="E951" s="2" t="s">
        <v>1656</v>
      </c>
      <c r="F951" s="2">
        <v>0</v>
      </c>
      <c r="G951" s="2">
        <v>2</v>
      </c>
      <c r="H951" s="2">
        <v>2000</v>
      </c>
      <c r="I951" s="2" t="s">
        <v>2068</v>
      </c>
      <c r="J951" s="2" t="s">
        <v>860</v>
      </c>
      <c r="K951" s="2" t="s">
        <v>38</v>
      </c>
      <c r="L951" s="2" t="s">
        <v>200</v>
      </c>
      <c r="M951" s="2" t="s">
        <v>317</v>
      </c>
    </row>
    <row r="952" spans="1:13" x14ac:dyDescent="0.25">
      <c r="A952" s="2" t="s">
        <v>3440</v>
      </c>
      <c r="B952" s="2" t="s">
        <v>17</v>
      </c>
      <c r="C952" s="2" t="s">
        <v>256</v>
      </c>
      <c r="D952" s="2" t="s">
        <v>3441</v>
      </c>
      <c r="E952" s="2" t="s">
        <v>3442</v>
      </c>
      <c r="F952" s="2">
        <v>3.1965516189049001</v>
      </c>
      <c r="G952" s="2">
        <v>29</v>
      </c>
      <c r="H952" s="2">
        <v>2000</v>
      </c>
      <c r="I952" s="2" t="s">
        <v>2108</v>
      </c>
      <c r="J952" s="2" t="s">
        <v>841</v>
      </c>
      <c r="K952" s="2" t="s">
        <v>856</v>
      </c>
    </row>
    <row r="953" spans="1:13" x14ac:dyDescent="0.25">
      <c r="A953" s="2" t="s">
        <v>3443</v>
      </c>
      <c r="B953" s="2" t="s">
        <v>1</v>
      </c>
      <c r="C953" s="2" t="s">
        <v>1657</v>
      </c>
      <c r="D953" s="2" t="s">
        <v>1658</v>
      </c>
      <c r="E953" s="2" t="s">
        <v>1659</v>
      </c>
      <c r="F953" s="2">
        <v>6.8359997558593699</v>
      </c>
      <c r="G953" s="2">
        <v>50</v>
      </c>
      <c r="H953" s="2">
        <v>2000</v>
      </c>
      <c r="I953" s="2" t="s">
        <v>2068</v>
      </c>
      <c r="J953" s="2" t="s">
        <v>860</v>
      </c>
      <c r="K953" s="2" t="s">
        <v>38</v>
      </c>
      <c r="L953" s="2" t="s">
        <v>200</v>
      </c>
      <c r="M953" s="2" t="s">
        <v>341</v>
      </c>
    </row>
    <row r="954" spans="1:13" x14ac:dyDescent="0.25">
      <c r="A954" s="2" t="s">
        <v>3444</v>
      </c>
      <c r="B954" s="2" t="s">
        <v>21</v>
      </c>
      <c r="C954" s="2" t="s">
        <v>1542</v>
      </c>
      <c r="D954" s="2" t="s">
        <v>1543</v>
      </c>
      <c r="E954" s="2" t="s">
        <v>466</v>
      </c>
      <c r="F954" s="2">
        <v>4.8304347162661303</v>
      </c>
      <c r="G954" s="2">
        <v>23</v>
      </c>
      <c r="H954" s="2">
        <v>2000</v>
      </c>
      <c r="I954" s="2" t="s">
        <v>2097</v>
      </c>
      <c r="J954" s="2" t="s">
        <v>853</v>
      </c>
      <c r="K954" s="2" t="s">
        <v>159</v>
      </c>
    </row>
    <row r="955" spans="1:13" x14ac:dyDescent="0.25">
      <c r="A955" s="2" t="s">
        <v>3445</v>
      </c>
      <c r="B955" s="2" t="s">
        <v>1</v>
      </c>
      <c r="C955" s="2" t="s">
        <v>211</v>
      </c>
      <c r="D955" s="2" t="s">
        <v>3446</v>
      </c>
      <c r="E955" s="2" t="s">
        <v>531</v>
      </c>
      <c r="F955" s="2">
        <v>1.3</v>
      </c>
      <c r="G955" s="2">
        <v>5</v>
      </c>
      <c r="H955" s="2">
        <v>2000</v>
      </c>
      <c r="I955" s="2" t="s">
        <v>2124</v>
      </c>
      <c r="J955" s="2" t="s">
        <v>2125</v>
      </c>
      <c r="K955" s="2" t="s">
        <v>852</v>
      </c>
    </row>
    <row r="956" spans="1:13" x14ac:dyDescent="0.25">
      <c r="A956" s="2" t="s">
        <v>3447</v>
      </c>
      <c r="B956" s="2" t="s">
        <v>1</v>
      </c>
      <c r="C956" s="2" t="s">
        <v>620</v>
      </c>
      <c r="D956" s="2" t="s">
        <v>1587</v>
      </c>
      <c r="E956" s="2" t="s">
        <v>1588</v>
      </c>
      <c r="F956" s="2">
        <v>5.0820895522388003</v>
      </c>
      <c r="G956" s="2">
        <v>67</v>
      </c>
      <c r="H956" s="2">
        <v>2000</v>
      </c>
      <c r="I956" s="2" t="s">
        <v>2072</v>
      </c>
      <c r="J956" s="2" t="s">
        <v>842</v>
      </c>
      <c r="K956" s="2" t="s">
        <v>74</v>
      </c>
    </row>
    <row r="957" spans="1:13" x14ac:dyDescent="0.25">
      <c r="A957" s="2" t="s">
        <v>3448</v>
      </c>
      <c r="B957" s="2" t="s">
        <v>21</v>
      </c>
      <c r="C957" s="2" t="s">
        <v>489</v>
      </c>
      <c r="D957" s="2" t="s">
        <v>129</v>
      </c>
      <c r="E957" s="2" t="s">
        <v>780</v>
      </c>
      <c r="F957" s="2">
        <v>1.51428576878138</v>
      </c>
      <c r="G957" s="2">
        <v>28</v>
      </c>
      <c r="H957" s="2">
        <v>2000</v>
      </c>
      <c r="I957" s="2" t="s">
        <v>2070</v>
      </c>
      <c r="J957" s="2" t="s">
        <v>36</v>
      </c>
      <c r="K957" s="2" t="s">
        <v>848</v>
      </c>
    </row>
    <row r="958" spans="1:13" x14ac:dyDescent="0.25">
      <c r="A958" s="2" t="s">
        <v>3449</v>
      </c>
      <c r="B958" s="2" t="s">
        <v>17</v>
      </c>
      <c r="C958" s="2" t="s">
        <v>1660</v>
      </c>
      <c r="D958" s="2" t="s">
        <v>1661</v>
      </c>
      <c r="E958" s="2" t="s">
        <v>939</v>
      </c>
      <c r="F958" s="2">
        <v>8.0199996948242092</v>
      </c>
      <c r="G958" s="2">
        <v>5</v>
      </c>
      <c r="H958" s="2">
        <v>2000</v>
      </c>
      <c r="I958" s="2" t="s">
        <v>2072</v>
      </c>
      <c r="J958" s="2" t="s">
        <v>842</v>
      </c>
      <c r="K958" s="2" t="s">
        <v>74</v>
      </c>
    </row>
    <row r="959" spans="1:13" x14ac:dyDescent="0.25">
      <c r="A959" s="2" t="s">
        <v>3450</v>
      </c>
      <c r="B959" s="2" t="s">
        <v>1</v>
      </c>
      <c r="C959" s="2" t="s">
        <v>355</v>
      </c>
      <c r="D959" s="2" t="s">
        <v>3451</v>
      </c>
      <c r="E959" s="2" t="s">
        <v>3452</v>
      </c>
      <c r="F959" s="2">
        <v>4.8499999046325604</v>
      </c>
      <c r="G959" s="2">
        <v>2</v>
      </c>
      <c r="H959" s="2">
        <v>2000</v>
      </c>
      <c r="I959" s="2" t="s">
        <v>2075</v>
      </c>
      <c r="J959" s="2" t="s">
        <v>2076</v>
      </c>
      <c r="K959" s="2" t="s">
        <v>37</v>
      </c>
    </row>
    <row r="960" spans="1:13" x14ac:dyDescent="0.25">
      <c r="A960" s="2" t="s">
        <v>3453</v>
      </c>
      <c r="B960" s="2" t="s">
        <v>17</v>
      </c>
      <c r="C960" s="2" t="s">
        <v>467</v>
      </c>
      <c r="D960" s="2" t="s">
        <v>147</v>
      </c>
      <c r="E960" s="2" t="s">
        <v>822</v>
      </c>
      <c r="F960" s="2">
        <v>4.9022470538535803</v>
      </c>
      <c r="G960" s="2">
        <v>89</v>
      </c>
      <c r="H960" s="2">
        <v>2000</v>
      </c>
      <c r="I960" s="2" t="s">
        <v>2081</v>
      </c>
      <c r="J960" s="2" t="s">
        <v>76</v>
      </c>
      <c r="K960" s="2" t="s">
        <v>73</v>
      </c>
      <c r="L960" s="2" t="s">
        <v>364</v>
      </c>
      <c r="M960" s="2" t="s">
        <v>767</v>
      </c>
    </row>
    <row r="961" spans="1:13" x14ac:dyDescent="0.25">
      <c r="A961" s="2" t="s">
        <v>3454</v>
      </c>
      <c r="B961" s="2" t="s">
        <v>21</v>
      </c>
      <c r="C961" s="2" t="s">
        <v>1515</v>
      </c>
      <c r="D961" s="2" t="s">
        <v>1516</v>
      </c>
      <c r="E961" s="2" t="s">
        <v>385</v>
      </c>
      <c r="F961" s="2">
        <v>7.7887323943661899</v>
      </c>
      <c r="G961" s="2">
        <v>71</v>
      </c>
      <c r="H961" s="2">
        <v>2000</v>
      </c>
      <c r="I961" s="2" t="s">
        <v>2079</v>
      </c>
      <c r="J961" s="2" t="s">
        <v>855</v>
      </c>
      <c r="K961" s="2" t="s">
        <v>843</v>
      </c>
    </row>
    <row r="962" spans="1:13" x14ac:dyDescent="0.25">
      <c r="A962" s="2" t="s">
        <v>3455</v>
      </c>
      <c r="B962" s="2" t="s">
        <v>17</v>
      </c>
      <c r="C962" s="2" t="s">
        <v>823</v>
      </c>
      <c r="D962" s="2" t="s">
        <v>130</v>
      </c>
      <c r="E962" s="2" t="s">
        <v>824</v>
      </c>
      <c r="F962" s="2">
        <v>3.7370371877411199</v>
      </c>
      <c r="G962" s="2">
        <v>81</v>
      </c>
      <c r="H962" s="2">
        <v>2000</v>
      </c>
      <c r="I962" s="2" t="s">
        <v>1783</v>
      </c>
      <c r="J962" s="2" t="s">
        <v>861</v>
      </c>
      <c r="K962" s="2" t="s">
        <v>840</v>
      </c>
    </row>
    <row r="963" spans="1:13" x14ac:dyDescent="0.25">
      <c r="A963" s="2" t="s">
        <v>3456</v>
      </c>
      <c r="B963" s="2" t="s">
        <v>1</v>
      </c>
      <c r="C963" s="2" t="s">
        <v>495</v>
      </c>
      <c r="D963" s="2" t="s">
        <v>1590</v>
      </c>
      <c r="E963" s="2" t="s">
        <v>1591</v>
      </c>
      <c r="F963" s="2">
        <v>3.2617647507611398</v>
      </c>
      <c r="G963" s="2">
        <v>34</v>
      </c>
      <c r="H963" s="2">
        <v>2000</v>
      </c>
      <c r="I963" s="2" t="s">
        <v>2079</v>
      </c>
      <c r="J963" s="2" t="s">
        <v>855</v>
      </c>
      <c r="K963" s="2" t="s">
        <v>843</v>
      </c>
    </row>
    <row r="964" spans="1:13" x14ac:dyDescent="0.25">
      <c r="A964" s="2" t="s">
        <v>3457</v>
      </c>
      <c r="B964" s="2" t="s">
        <v>22</v>
      </c>
      <c r="C964" s="2" t="s">
        <v>197</v>
      </c>
      <c r="D964" s="2" t="s">
        <v>3458</v>
      </c>
      <c r="E964" s="2" t="s">
        <v>483</v>
      </c>
      <c r="F964" s="2">
        <v>6.8548387096774102</v>
      </c>
      <c r="G964" s="2">
        <v>62</v>
      </c>
      <c r="H964" s="2">
        <v>2000</v>
      </c>
      <c r="I964" s="2" t="s">
        <v>2081</v>
      </c>
      <c r="J964" s="2" t="s">
        <v>73</v>
      </c>
      <c r="K964" s="2" t="s">
        <v>76</v>
      </c>
    </row>
    <row r="965" spans="1:13" x14ac:dyDescent="0.25">
      <c r="A965" s="2" t="s">
        <v>3459</v>
      </c>
      <c r="B965" s="2" t="s">
        <v>17</v>
      </c>
      <c r="C965" s="2" t="s">
        <v>791</v>
      </c>
      <c r="D965" s="2" t="s">
        <v>137</v>
      </c>
      <c r="E965" s="2" t="s">
        <v>792</v>
      </c>
      <c r="F965" s="2">
        <v>4.8250001271565699</v>
      </c>
      <c r="G965" s="2">
        <v>12</v>
      </c>
      <c r="H965" s="2">
        <v>2000</v>
      </c>
      <c r="I965" s="2" t="s">
        <v>2106</v>
      </c>
      <c r="J965" s="2" t="s">
        <v>35</v>
      </c>
      <c r="K965" s="2" t="s">
        <v>34</v>
      </c>
    </row>
    <row r="966" spans="1:13" x14ac:dyDescent="0.25">
      <c r="A966" s="2" t="s">
        <v>3460</v>
      </c>
      <c r="B966" s="2" t="s">
        <v>22</v>
      </c>
      <c r="C966" s="2" t="s">
        <v>207</v>
      </c>
      <c r="D966" s="2" t="s">
        <v>151</v>
      </c>
      <c r="E966" s="2" t="s">
        <v>828</v>
      </c>
      <c r="F966" s="2">
        <v>0</v>
      </c>
      <c r="G966" s="2">
        <v>3</v>
      </c>
      <c r="H966" s="2">
        <v>2000</v>
      </c>
      <c r="I966" s="2" t="s">
        <v>2106</v>
      </c>
      <c r="J966" s="2" t="s">
        <v>34</v>
      </c>
      <c r="K966" s="2" t="s">
        <v>35</v>
      </c>
      <c r="L966" s="2" t="s">
        <v>200</v>
      </c>
      <c r="M966" s="2" t="s">
        <v>484</v>
      </c>
    </row>
    <row r="967" spans="1:13" x14ac:dyDescent="0.25">
      <c r="A967" s="2" t="s">
        <v>3461</v>
      </c>
      <c r="B967" s="2" t="s">
        <v>22</v>
      </c>
      <c r="C967" s="2" t="s">
        <v>288</v>
      </c>
      <c r="D967" s="2" t="s">
        <v>109</v>
      </c>
      <c r="E967" s="2" t="s">
        <v>717</v>
      </c>
      <c r="F967" s="2">
        <v>6.30555555555555</v>
      </c>
      <c r="G967" s="2">
        <v>18</v>
      </c>
      <c r="H967" s="2">
        <v>2000</v>
      </c>
      <c r="I967" s="2" t="s">
        <v>2072</v>
      </c>
      <c r="J967" s="2" t="s">
        <v>74</v>
      </c>
      <c r="K967" s="2" t="s">
        <v>842</v>
      </c>
    </row>
    <row r="968" spans="1:13" x14ac:dyDescent="0.25">
      <c r="A968" s="2" t="s">
        <v>3462</v>
      </c>
      <c r="B968" s="2" t="s">
        <v>19</v>
      </c>
      <c r="C968" s="2" t="s">
        <v>867</v>
      </c>
      <c r="D968" s="2" t="s">
        <v>1664</v>
      </c>
      <c r="E968" s="2" t="s">
        <v>1665</v>
      </c>
      <c r="F968" s="2">
        <v>1.28571428571428</v>
      </c>
      <c r="G968" s="2">
        <v>7</v>
      </c>
      <c r="H968" s="2">
        <v>2000</v>
      </c>
      <c r="I968" s="2" t="s">
        <v>2106</v>
      </c>
      <c r="J968" s="2" t="s">
        <v>34</v>
      </c>
      <c r="K968" s="2" t="s">
        <v>35</v>
      </c>
      <c r="L968" s="2" t="s">
        <v>200</v>
      </c>
      <c r="M968" s="2" t="s">
        <v>2341</v>
      </c>
    </row>
    <row r="969" spans="1:13" x14ac:dyDescent="0.25">
      <c r="A969" s="2" t="s">
        <v>3463</v>
      </c>
      <c r="B969" s="2" t="s">
        <v>19</v>
      </c>
      <c r="C969" s="2" t="s">
        <v>905</v>
      </c>
      <c r="D969" s="2" t="s">
        <v>1667</v>
      </c>
      <c r="E969" s="2" t="s">
        <v>445</v>
      </c>
      <c r="F969" s="2">
        <v>3.0931033430428299</v>
      </c>
      <c r="G969" s="2">
        <v>58</v>
      </c>
      <c r="H969" s="2">
        <v>2000</v>
      </c>
      <c r="I969" s="2" t="s">
        <v>1783</v>
      </c>
      <c r="J969" s="2" t="s">
        <v>861</v>
      </c>
      <c r="K969" s="2" t="s">
        <v>840</v>
      </c>
    </row>
    <row r="970" spans="1:13" x14ac:dyDescent="0.25">
      <c r="A970" s="2" t="s">
        <v>3464</v>
      </c>
      <c r="B970" s="2" t="s">
        <v>17</v>
      </c>
      <c r="C970" s="2" t="s">
        <v>1287</v>
      </c>
      <c r="D970" s="2" t="s">
        <v>1668</v>
      </c>
      <c r="E970" s="2" t="s">
        <v>1669</v>
      </c>
      <c r="F970" s="2">
        <v>5.4583333333333304</v>
      </c>
      <c r="G970" s="2">
        <v>24</v>
      </c>
      <c r="H970" s="2">
        <v>2000</v>
      </c>
      <c r="I970" s="2" t="s">
        <v>2124</v>
      </c>
      <c r="J970" s="2" t="s">
        <v>852</v>
      </c>
      <c r="K970" s="2" t="s">
        <v>2125</v>
      </c>
    </row>
    <row r="971" spans="1:13" x14ac:dyDescent="0.25">
      <c r="A971" s="2" t="s">
        <v>3465</v>
      </c>
      <c r="B971" s="2" t="s">
        <v>17</v>
      </c>
      <c r="C971" s="2" t="s">
        <v>956</v>
      </c>
      <c r="D971" s="2" t="s">
        <v>1670</v>
      </c>
      <c r="E971" s="2" t="s">
        <v>707</v>
      </c>
      <c r="F971" s="2">
        <v>5.7866668701171804</v>
      </c>
      <c r="G971" s="2">
        <v>15</v>
      </c>
      <c r="H971" s="2">
        <v>2000</v>
      </c>
      <c r="I971" s="2" t="s">
        <v>2068</v>
      </c>
      <c r="J971" s="2" t="s">
        <v>860</v>
      </c>
      <c r="K971" s="2" t="s">
        <v>38</v>
      </c>
    </row>
    <row r="972" spans="1:13" x14ac:dyDescent="0.25">
      <c r="A972" s="2" t="s">
        <v>3466</v>
      </c>
      <c r="B972" s="2" t="s">
        <v>1</v>
      </c>
      <c r="C972" s="2" t="s">
        <v>285</v>
      </c>
      <c r="D972" s="2" t="s">
        <v>138</v>
      </c>
      <c r="E972" s="2" t="s">
        <v>796</v>
      </c>
      <c r="F972" s="2">
        <v>4.5936168914145599</v>
      </c>
      <c r="G972" s="2">
        <v>47</v>
      </c>
      <c r="H972" s="2">
        <v>2000</v>
      </c>
      <c r="I972" s="2" t="s">
        <v>2081</v>
      </c>
      <c r="J972" s="2" t="s">
        <v>73</v>
      </c>
      <c r="K972" s="2" t="s">
        <v>76</v>
      </c>
      <c r="L972" s="2" t="s">
        <v>200</v>
      </c>
      <c r="M972" s="2" t="s">
        <v>681</v>
      </c>
    </row>
    <row r="973" spans="1:13" x14ac:dyDescent="0.25">
      <c r="A973" s="2" t="s">
        <v>3467</v>
      </c>
      <c r="B973" s="2" t="s">
        <v>17</v>
      </c>
      <c r="C973" s="2" t="s">
        <v>3468</v>
      </c>
      <c r="D973" s="2" t="s">
        <v>3469</v>
      </c>
      <c r="E973" s="2" t="s">
        <v>220</v>
      </c>
      <c r="F973" s="2">
        <v>7.8800003051757797</v>
      </c>
      <c r="G973" s="2">
        <v>10</v>
      </c>
      <c r="H973" s="2">
        <v>2000</v>
      </c>
      <c r="I973" s="2" t="s">
        <v>2108</v>
      </c>
      <c r="J973" s="2" t="s">
        <v>841</v>
      </c>
      <c r="K973" s="2" t="s">
        <v>856</v>
      </c>
    </row>
    <row r="974" spans="1:13" x14ac:dyDescent="0.25">
      <c r="A974" s="2" t="s">
        <v>3470</v>
      </c>
      <c r="B974" s="2" t="s">
        <v>19</v>
      </c>
      <c r="C974" s="2" t="s">
        <v>425</v>
      </c>
      <c r="D974" s="2" t="s">
        <v>1619</v>
      </c>
      <c r="E974" s="2" t="s">
        <v>313</v>
      </c>
      <c r="F974" s="2">
        <v>3.6523808070591501</v>
      </c>
      <c r="G974" s="2">
        <v>21</v>
      </c>
      <c r="H974" s="2">
        <v>2000</v>
      </c>
      <c r="I974" s="2" t="s">
        <v>2072</v>
      </c>
      <c r="J974" s="2" t="s">
        <v>842</v>
      </c>
      <c r="K974" s="2" t="s">
        <v>74</v>
      </c>
    </row>
    <row r="975" spans="1:13" x14ac:dyDescent="0.25">
      <c r="A975" s="2" t="s">
        <v>3471</v>
      </c>
      <c r="B975" s="2" t="s">
        <v>21</v>
      </c>
      <c r="C975" s="2" t="s">
        <v>701</v>
      </c>
      <c r="D975" s="2" t="s">
        <v>2058</v>
      </c>
      <c r="E975" s="2" t="s">
        <v>2059</v>
      </c>
      <c r="F975" s="2">
        <v>9.5636360862038305</v>
      </c>
      <c r="G975" s="2">
        <v>11</v>
      </c>
      <c r="H975" s="2">
        <v>2000</v>
      </c>
      <c r="I975" s="2" t="s">
        <v>2081</v>
      </c>
      <c r="J975" s="2" t="s">
        <v>73</v>
      </c>
      <c r="K975" s="2" t="s">
        <v>76</v>
      </c>
    </row>
    <row r="976" spans="1:13" x14ac:dyDescent="0.25">
      <c r="A976" s="2" t="s">
        <v>3472</v>
      </c>
      <c r="B976" s="2" t="s">
        <v>19</v>
      </c>
      <c r="C976" s="2" t="s">
        <v>373</v>
      </c>
      <c r="D976" s="2" t="s">
        <v>1620</v>
      </c>
      <c r="E976" s="2" t="s">
        <v>1621</v>
      </c>
      <c r="F976" s="2">
        <v>5.3200002034505198</v>
      </c>
      <c r="G976" s="2">
        <v>15</v>
      </c>
      <c r="H976" s="2">
        <v>2000</v>
      </c>
      <c r="I976" s="2" t="s">
        <v>2097</v>
      </c>
      <c r="J976" s="2" t="s">
        <v>853</v>
      </c>
      <c r="K976" s="2" t="s">
        <v>159</v>
      </c>
    </row>
    <row r="977" spans="1:13" x14ac:dyDescent="0.25">
      <c r="A977" s="2" t="s">
        <v>3473</v>
      </c>
      <c r="B977" s="2" t="s">
        <v>21</v>
      </c>
      <c r="C977" s="2" t="s">
        <v>763</v>
      </c>
      <c r="D977" s="2" t="s">
        <v>177</v>
      </c>
      <c r="E977" s="2" t="s">
        <v>764</v>
      </c>
      <c r="F977" s="2">
        <v>5.96842113294099</v>
      </c>
      <c r="G977" s="2">
        <v>19</v>
      </c>
      <c r="H977" s="2">
        <v>2000</v>
      </c>
      <c r="I977" s="2" t="s">
        <v>2072</v>
      </c>
      <c r="J977" s="2" t="s">
        <v>74</v>
      </c>
      <c r="K977" s="2" t="s">
        <v>842</v>
      </c>
    </row>
    <row r="978" spans="1:13" x14ac:dyDescent="0.25">
      <c r="A978" s="2" t="s">
        <v>3474</v>
      </c>
      <c r="B978" s="2" t="s">
        <v>17</v>
      </c>
      <c r="C978" s="2" t="s">
        <v>1593</v>
      </c>
      <c r="D978" s="2" t="s">
        <v>1594</v>
      </c>
      <c r="E978" s="2" t="s">
        <v>1595</v>
      </c>
      <c r="F978" s="2">
        <v>5.2318181124600498</v>
      </c>
      <c r="G978" s="2">
        <v>22</v>
      </c>
      <c r="H978" s="2">
        <v>2000</v>
      </c>
      <c r="I978" s="2" t="s">
        <v>2124</v>
      </c>
      <c r="J978" s="2" t="s">
        <v>852</v>
      </c>
      <c r="K978" s="2" t="s">
        <v>2125</v>
      </c>
    </row>
    <row r="979" spans="1:13" x14ac:dyDescent="0.25">
      <c r="A979" s="2" t="s">
        <v>3475</v>
      </c>
      <c r="B979" s="2" t="s">
        <v>19</v>
      </c>
      <c r="C979" s="2" t="s">
        <v>204</v>
      </c>
      <c r="D979" s="2" t="s">
        <v>1673</v>
      </c>
      <c r="E979" s="2" t="s">
        <v>329</v>
      </c>
      <c r="F979" s="2">
        <v>3.1399999618530199</v>
      </c>
      <c r="G979" s="2">
        <v>10</v>
      </c>
      <c r="H979" s="2">
        <v>2000</v>
      </c>
      <c r="I979" s="2" t="s">
        <v>2079</v>
      </c>
      <c r="J979" s="2" t="s">
        <v>855</v>
      </c>
      <c r="K979" s="2" t="s">
        <v>843</v>
      </c>
    </row>
    <row r="980" spans="1:13" x14ac:dyDescent="0.25">
      <c r="A980" s="2" t="s">
        <v>3476</v>
      </c>
      <c r="B980" s="2" t="s">
        <v>22</v>
      </c>
      <c r="C980" s="2" t="s">
        <v>1622</v>
      </c>
      <c r="D980" s="2" t="s">
        <v>1623</v>
      </c>
      <c r="E980" s="2" t="s">
        <v>1624</v>
      </c>
      <c r="F980" s="2">
        <v>10.483333587646401</v>
      </c>
      <c r="G980" s="2">
        <v>6</v>
      </c>
      <c r="H980" s="2">
        <v>2000</v>
      </c>
      <c r="I980" s="2" t="s">
        <v>2072</v>
      </c>
      <c r="J980" s="2" t="s">
        <v>842</v>
      </c>
      <c r="K980" s="2" t="s">
        <v>74</v>
      </c>
    </row>
    <row r="981" spans="1:13" x14ac:dyDescent="0.25">
      <c r="A981" s="2" t="s">
        <v>3477</v>
      </c>
      <c r="B981" s="2" t="s">
        <v>17</v>
      </c>
      <c r="C981" s="2" t="s">
        <v>1489</v>
      </c>
      <c r="D981" s="2" t="s">
        <v>1674</v>
      </c>
      <c r="E981" s="2" t="s">
        <v>1675</v>
      </c>
      <c r="F981" s="2">
        <v>3.5933334350585899</v>
      </c>
      <c r="G981" s="2">
        <v>15</v>
      </c>
      <c r="H981" s="2">
        <v>2000</v>
      </c>
      <c r="I981" s="2" t="s">
        <v>2079</v>
      </c>
      <c r="J981" s="2" t="s">
        <v>843</v>
      </c>
      <c r="K981" s="2" t="s">
        <v>855</v>
      </c>
    </row>
    <row r="982" spans="1:13" x14ac:dyDescent="0.25">
      <c r="A982" s="2" t="s">
        <v>3478</v>
      </c>
      <c r="B982" s="2" t="s">
        <v>20</v>
      </c>
      <c r="C982" s="2" t="s">
        <v>3479</v>
      </c>
      <c r="D982" s="2" t="s">
        <v>3480</v>
      </c>
      <c r="E982" s="2" t="s">
        <v>3481</v>
      </c>
      <c r="F982" s="2">
        <v>6.1607142857142803</v>
      </c>
      <c r="G982" s="2">
        <v>56</v>
      </c>
      <c r="H982" s="2">
        <v>2000</v>
      </c>
      <c r="I982" s="2" t="s">
        <v>2079</v>
      </c>
      <c r="J982" s="2" t="s">
        <v>843</v>
      </c>
      <c r="K982" s="2" t="s">
        <v>855</v>
      </c>
    </row>
    <row r="983" spans="1:13" x14ac:dyDescent="0.25">
      <c r="A983" s="2" t="s">
        <v>3482</v>
      </c>
      <c r="B983" s="2" t="s">
        <v>17</v>
      </c>
      <c r="C983" s="2" t="s">
        <v>337</v>
      </c>
      <c r="D983" s="2" t="s">
        <v>114</v>
      </c>
      <c r="E983" s="2" t="s">
        <v>798</v>
      </c>
      <c r="F983" s="2">
        <v>5.5759997558593701</v>
      </c>
      <c r="G983" s="2">
        <v>25</v>
      </c>
      <c r="H983" s="2">
        <v>2000</v>
      </c>
      <c r="I983" s="2" t="s">
        <v>2068</v>
      </c>
      <c r="J983" s="2" t="s">
        <v>38</v>
      </c>
      <c r="K983" s="2" t="s">
        <v>860</v>
      </c>
      <c r="L983" s="2" t="s">
        <v>200</v>
      </c>
      <c r="M983" s="2" t="s">
        <v>317</v>
      </c>
    </row>
    <row r="984" spans="1:13" x14ac:dyDescent="0.25">
      <c r="A984" s="2" t="s">
        <v>3483</v>
      </c>
      <c r="B984" s="2" t="s">
        <v>17</v>
      </c>
      <c r="C984" s="2" t="s">
        <v>204</v>
      </c>
      <c r="D984" s="2" t="s">
        <v>1524</v>
      </c>
      <c r="E984" s="2" t="s">
        <v>1371</v>
      </c>
      <c r="F984" s="2">
        <v>6.4193279362526203</v>
      </c>
      <c r="G984" s="2">
        <v>119</v>
      </c>
      <c r="H984" s="2">
        <v>2000</v>
      </c>
      <c r="I984" s="2" t="s">
        <v>2097</v>
      </c>
      <c r="J984" s="2" t="s">
        <v>853</v>
      </c>
      <c r="K984" s="2" t="s">
        <v>159</v>
      </c>
    </row>
    <row r="985" spans="1:13" x14ac:dyDescent="0.25">
      <c r="A985" s="2" t="s">
        <v>3484</v>
      </c>
      <c r="B985" s="2" t="s">
        <v>19</v>
      </c>
      <c r="C985" s="2" t="s">
        <v>197</v>
      </c>
      <c r="D985" s="2" t="s">
        <v>139</v>
      </c>
      <c r="E985" s="2" t="s">
        <v>800</v>
      </c>
      <c r="F985" s="2">
        <v>3.6916664971245599</v>
      </c>
      <c r="G985" s="2">
        <v>36</v>
      </c>
      <c r="H985" s="2">
        <v>2000</v>
      </c>
      <c r="I985" s="2" t="s">
        <v>2106</v>
      </c>
      <c r="J985" s="2" t="s">
        <v>35</v>
      </c>
      <c r="K985" s="2" t="s">
        <v>34</v>
      </c>
    </row>
    <row r="986" spans="1:13" x14ac:dyDescent="0.25">
      <c r="A986" s="2" t="s">
        <v>3485</v>
      </c>
      <c r="B986" s="2" t="s">
        <v>1</v>
      </c>
      <c r="C986" s="2" t="s">
        <v>340</v>
      </c>
      <c r="D986" s="2" t="s">
        <v>1527</v>
      </c>
      <c r="E986" s="2" t="s">
        <v>385</v>
      </c>
      <c r="F986" s="2">
        <v>5.65</v>
      </c>
      <c r="G986" s="2">
        <v>40</v>
      </c>
      <c r="H986" s="2">
        <v>2000</v>
      </c>
      <c r="I986" s="2" t="s">
        <v>2108</v>
      </c>
      <c r="J986" s="2" t="s">
        <v>856</v>
      </c>
      <c r="K986" s="2" t="s">
        <v>841</v>
      </c>
    </row>
    <row r="987" spans="1:13" x14ac:dyDescent="0.25">
      <c r="A987" s="2" t="s">
        <v>3486</v>
      </c>
      <c r="B987" s="2" t="s">
        <v>20</v>
      </c>
      <c r="C987" s="2" t="s">
        <v>285</v>
      </c>
      <c r="D987" s="2" t="s">
        <v>115</v>
      </c>
      <c r="E987" s="2" t="s">
        <v>766</v>
      </c>
      <c r="F987" s="2">
        <v>5.0405405405405403</v>
      </c>
      <c r="G987" s="2">
        <v>37</v>
      </c>
      <c r="H987" s="2">
        <v>2000</v>
      </c>
      <c r="I987" s="2" t="s">
        <v>2072</v>
      </c>
      <c r="J987" s="2" t="s">
        <v>74</v>
      </c>
      <c r="K987" s="2" t="s">
        <v>842</v>
      </c>
      <c r="L987" s="2" t="s">
        <v>200</v>
      </c>
      <c r="M987" s="2" t="s">
        <v>257</v>
      </c>
    </row>
    <row r="988" spans="1:13" x14ac:dyDescent="0.25">
      <c r="A988" s="2" t="s">
        <v>3487</v>
      </c>
      <c r="B988" s="2" t="s">
        <v>1</v>
      </c>
      <c r="C988" s="2" t="s">
        <v>806</v>
      </c>
      <c r="D988" s="2" t="s">
        <v>153</v>
      </c>
      <c r="E988" s="2" t="s">
        <v>807</v>
      </c>
      <c r="F988" s="2">
        <v>1.10909089175137</v>
      </c>
      <c r="G988" s="2">
        <v>11</v>
      </c>
      <c r="H988" s="2">
        <v>2000</v>
      </c>
      <c r="I988" s="2" t="s">
        <v>2081</v>
      </c>
      <c r="J988" s="2" t="s">
        <v>76</v>
      </c>
      <c r="K988" s="2" t="s">
        <v>73</v>
      </c>
    </row>
    <row r="989" spans="1:13" x14ac:dyDescent="0.25">
      <c r="A989" s="2" t="s">
        <v>3488</v>
      </c>
      <c r="B989" s="2" t="s">
        <v>19</v>
      </c>
      <c r="C989" s="2" t="s">
        <v>384</v>
      </c>
      <c r="D989" s="2" t="s">
        <v>1680</v>
      </c>
      <c r="E989" s="2" t="s">
        <v>1051</v>
      </c>
      <c r="F989" s="2">
        <v>2.1181817488236798</v>
      </c>
      <c r="G989" s="2">
        <v>22</v>
      </c>
      <c r="H989" s="2">
        <v>2000</v>
      </c>
      <c r="I989" s="2" t="s">
        <v>2079</v>
      </c>
      <c r="J989" s="2" t="s">
        <v>843</v>
      </c>
      <c r="K989" s="2" t="s">
        <v>855</v>
      </c>
      <c r="L989" s="2" t="s">
        <v>200</v>
      </c>
      <c r="M989" s="2" t="s">
        <v>232</v>
      </c>
    </row>
    <row r="990" spans="1:13" x14ac:dyDescent="0.25">
      <c r="A990" s="2" t="s">
        <v>3489</v>
      </c>
      <c r="B990" s="2" t="s">
        <v>22</v>
      </c>
      <c r="C990" s="2" t="s">
        <v>877</v>
      </c>
      <c r="D990" s="2" t="s">
        <v>1769</v>
      </c>
      <c r="E990" s="2" t="s">
        <v>1770</v>
      </c>
      <c r="F990" s="2">
        <v>7.4307691133939304</v>
      </c>
      <c r="G990" s="2">
        <v>13</v>
      </c>
      <c r="H990" s="2">
        <v>2000</v>
      </c>
      <c r="I990" s="2" t="s">
        <v>2072</v>
      </c>
      <c r="J990" s="2" t="s">
        <v>842</v>
      </c>
      <c r="K990" s="2" t="s">
        <v>74</v>
      </c>
      <c r="L990" s="2" t="s">
        <v>200</v>
      </c>
      <c r="M990" s="2" t="s">
        <v>551</v>
      </c>
    </row>
    <row r="991" spans="1:13" x14ac:dyDescent="0.25">
      <c r="A991" s="2" t="s">
        <v>3490</v>
      </c>
      <c r="B991" s="2" t="s">
        <v>17</v>
      </c>
      <c r="C991" s="2" t="s">
        <v>3491</v>
      </c>
      <c r="D991" s="2" t="s">
        <v>3492</v>
      </c>
      <c r="E991" s="2" t="s">
        <v>3493</v>
      </c>
      <c r="F991" s="2">
        <v>2.9000000953674299</v>
      </c>
      <c r="G991" s="2">
        <v>16</v>
      </c>
      <c r="H991" s="2">
        <v>2000</v>
      </c>
      <c r="I991" s="2" t="s">
        <v>2065</v>
      </c>
      <c r="J991" s="2" t="s">
        <v>2066</v>
      </c>
      <c r="K991" s="2" t="s">
        <v>69</v>
      </c>
      <c r="L991" s="2" t="s">
        <v>200</v>
      </c>
      <c r="M991" s="2" t="s">
        <v>317</v>
      </c>
    </row>
    <row r="992" spans="1:13" x14ac:dyDescent="0.25">
      <c r="A992" s="2" t="s">
        <v>3494</v>
      </c>
      <c r="B992" s="2" t="s">
        <v>20</v>
      </c>
      <c r="C992" s="2" t="s">
        <v>705</v>
      </c>
      <c r="D992" s="2" t="s">
        <v>155</v>
      </c>
      <c r="E992" s="2" t="s">
        <v>706</v>
      </c>
      <c r="F992" s="2">
        <v>6.5603448275862002</v>
      </c>
      <c r="G992" s="2">
        <v>58</v>
      </c>
      <c r="H992" s="2">
        <v>2000</v>
      </c>
      <c r="I992" s="2" t="s">
        <v>2072</v>
      </c>
      <c r="J992" s="2" t="s">
        <v>74</v>
      </c>
      <c r="K992" s="2" t="s">
        <v>842</v>
      </c>
    </row>
    <row r="993" spans="1:13" x14ac:dyDescent="0.25">
      <c r="A993" s="2" t="s">
        <v>3495</v>
      </c>
      <c r="B993" s="2" t="s">
        <v>19</v>
      </c>
      <c r="C993" s="2" t="s">
        <v>472</v>
      </c>
      <c r="D993" s="2" t="s">
        <v>1683</v>
      </c>
      <c r="E993" s="2" t="s">
        <v>1684</v>
      </c>
      <c r="F993" s="2">
        <v>1.40645156368132</v>
      </c>
      <c r="G993" s="2">
        <v>31</v>
      </c>
      <c r="H993" s="2">
        <v>2000</v>
      </c>
      <c r="I993" s="2" t="s">
        <v>2124</v>
      </c>
      <c r="J993" s="2" t="s">
        <v>852</v>
      </c>
      <c r="K993" s="2" t="s">
        <v>2125</v>
      </c>
    </row>
    <row r="994" spans="1:13" x14ac:dyDescent="0.25">
      <c r="A994" s="2" t="s">
        <v>3496</v>
      </c>
      <c r="B994" s="2" t="s">
        <v>20</v>
      </c>
      <c r="C994" s="2" t="s">
        <v>291</v>
      </c>
      <c r="D994" s="2" t="s">
        <v>1685</v>
      </c>
      <c r="E994" s="2" t="s">
        <v>1237</v>
      </c>
      <c r="F994" s="2">
        <v>6.6117647956399299</v>
      </c>
      <c r="G994" s="2">
        <v>34</v>
      </c>
      <c r="H994" s="2">
        <v>2000</v>
      </c>
      <c r="I994" s="2" t="s">
        <v>2079</v>
      </c>
      <c r="J994" s="2" t="s">
        <v>843</v>
      </c>
      <c r="K994" s="2" t="s">
        <v>855</v>
      </c>
      <c r="L994" s="2" t="s">
        <v>200</v>
      </c>
      <c r="M994" s="2" t="s">
        <v>493</v>
      </c>
    </row>
    <row r="995" spans="1:13" x14ac:dyDescent="0.25">
      <c r="A995" s="2" t="s">
        <v>3497</v>
      </c>
      <c r="B995" s="2" t="s">
        <v>17</v>
      </c>
      <c r="C995" s="2" t="s">
        <v>1601</v>
      </c>
      <c r="D995" s="2" t="s">
        <v>1602</v>
      </c>
      <c r="E995" s="2" t="s">
        <v>722</v>
      </c>
      <c r="F995" s="2">
        <v>2.7403670844681698</v>
      </c>
      <c r="G995" s="2">
        <v>109</v>
      </c>
      <c r="H995" s="2">
        <v>2000</v>
      </c>
      <c r="I995" s="2" t="s">
        <v>1783</v>
      </c>
      <c r="J995" s="2" t="s">
        <v>840</v>
      </c>
      <c r="K995" s="2" t="s">
        <v>861</v>
      </c>
    </row>
    <row r="996" spans="1:13" x14ac:dyDescent="0.25">
      <c r="A996" s="2" t="s">
        <v>3498</v>
      </c>
      <c r="B996" s="2" t="s">
        <v>17</v>
      </c>
      <c r="C996" s="2" t="s">
        <v>701</v>
      </c>
      <c r="D996" s="2" t="s">
        <v>3499</v>
      </c>
      <c r="E996" s="2" t="s">
        <v>3500</v>
      </c>
      <c r="F996" s="2">
        <v>3.76000017438616</v>
      </c>
      <c r="G996" s="2">
        <v>35</v>
      </c>
      <c r="H996" s="2">
        <v>2000</v>
      </c>
      <c r="I996" s="2" t="s">
        <v>2065</v>
      </c>
      <c r="J996" s="2" t="s">
        <v>2066</v>
      </c>
      <c r="K996" s="2" t="s">
        <v>69</v>
      </c>
      <c r="L996" s="2" t="s">
        <v>200</v>
      </c>
      <c r="M996" s="2" t="s">
        <v>317</v>
      </c>
    </row>
    <row r="997" spans="1:13" x14ac:dyDescent="0.25">
      <c r="A997" s="2" t="s">
        <v>3501</v>
      </c>
      <c r="B997" s="2" t="s">
        <v>17</v>
      </c>
      <c r="C997" s="2" t="s">
        <v>1688</v>
      </c>
      <c r="D997" s="2" t="s">
        <v>1689</v>
      </c>
      <c r="E997" s="2" t="s">
        <v>1489</v>
      </c>
      <c r="F997" s="2">
        <v>3.7714285169328901</v>
      </c>
      <c r="G997" s="2">
        <v>14</v>
      </c>
      <c r="H997" s="2">
        <v>2000</v>
      </c>
      <c r="I997" s="2" t="s">
        <v>2097</v>
      </c>
      <c r="J997" s="2" t="s">
        <v>853</v>
      </c>
      <c r="K997" s="2" t="s">
        <v>159</v>
      </c>
    </row>
    <row r="998" spans="1:13" x14ac:dyDescent="0.25">
      <c r="A998" s="2" t="s">
        <v>3502</v>
      </c>
      <c r="B998" s="2" t="s">
        <v>17</v>
      </c>
      <c r="C998" s="2" t="s">
        <v>3503</v>
      </c>
      <c r="D998" s="2" t="s">
        <v>3504</v>
      </c>
      <c r="E998" s="2" t="s">
        <v>771</v>
      </c>
      <c r="F998" s="2">
        <v>3.8947368421052602</v>
      </c>
      <c r="G998" s="2">
        <v>19</v>
      </c>
      <c r="H998" s="2">
        <v>2000</v>
      </c>
      <c r="I998" s="2" t="s">
        <v>2065</v>
      </c>
      <c r="J998" s="2" t="s">
        <v>2066</v>
      </c>
      <c r="K998" s="2" t="s">
        <v>69</v>
      </c>
    </row>
    <row r="999" spans="1:13" x14ac:dyDescent="0.25">
      <c r="A999" s="2" t="s">
        <v>3505</v>
      </c>
      <c r="B999" s="2" t="s">
        <v>17</v>
      </c>
      <c r="C999" s="2" t="s">
        <v>401</v>
      </c>
      <c r="D999" s="2" t="s">
        <v>3506</v>
      </c>
      <c r="E999" s="2" t="s">
        <v>3507</v>
      </c>
      <c r="F999" s="2">
        <v>4.7000001271565699</v>
      </c>
      <c r="G999" s="2">
        <v>6</v>
      </c>
      <c r="H999" s="2">
        <v>2000</v>
      </c>
      <c r="I999" s="2" t="s">
        <v>2075</v>
      </c>
      <c r="J999" s="2" t="s">
        <v>37</v>
      </c>
      <c r="K999" s="2" t="s">
        <v>2076</v>
      </c>
    </row>
    <row r="1000" spans="1:13" x14ac:dyDescent="0.25">
      <c r="A1000" s="2" t="s">
        <v>3508</v>
      </c>
      <c r="B1000" s="2" t="s">
        <v>1</v>
      </c>
      <c r="C1000" s="2" t="s">
        <v>307</v>
      </c>
      <c r="D1000" s="2" t="s">
        <v>141</v>
      </c>
      <c r="E1000" s="2" t="s">
        <v>787</v>
      </c>
      <c r="F1000" s="2">
        <v>9.9199996948242095</v>
      </c>
      <c r="G1000" s="2">
        <v>5</v>
      </c>
      <c r="H1000" s="2">
        <v>2000</v>
      </c>
      <c r="I1000" s="2" t="s">
        <v>2106</v>
      </c>
      <c r="J1000" s="2" t="s">
        <v>34</v>
      </c>
      <c r="K1000" s="2" t="s">
        <v>35</v>
      </c>
    </row>
    <row r="1001" spans="1:13" x14ac:dyDescent="0.25">
      <c r="A1001" s="2" t="s">
        <v>3509</v>
      </c>
      <c r="B1001" s="2" t="s">
        <v>21</v>
      </c>
      <c r="C1001" s="2" t="s">
        <v>1552</v>
      </c>
      <c r="D1001" s="2" t="s">
        <v>1553</v>
      </c>
      <c r="E1001" s="2" t="s">
        <v>1554</v>
      </c>
      <c r="F1001" s="2">
        <v>6.45</v>
      </c>
      <c r="G1001" s="2">
        <v>70</v>
      </c>
      <c r="H1001" s="2">
        <v>2000</v>
      </c>
      <c r="I1001" s="2" t="s">
        <v>1783</v>
      </c>
      <c r="J1001" s="2" t="s">
        <v>840</v>
      </c>
      <c r="K1001" s="2" t="s">
        <v>861</v>
      </c>
      <c r="L1001" s="2" t="s">
        <v>200</v>
      </c>
      <c r="M1001" s="2" t="s">
        <v>247</v>
      </c>
    </row>
    <row r="1002" spans="1:13" x14ac:dyDescent="0.25">
      <c r="A1002" s="2" t="s">
        <v>3510</v>
      </c>
      <c r="B1002" s="2" t="s">
        <v>20</v>
      </c>
      <c r="C1002" s="2" t="s">
        <v>384</v>
      </c>
      <c r="D1002" s="2" t="s">
        <v>1605</v>
      </c>
      <c r="E1002" s="2" t="s">
        <v>1606</v>
      </c>
      <c r="F1002" s="2">
        <v>35</v>
      </c>
      <c r="G1002" s="2">
        <v>1</v>
      </c>
      <c r="H1002" s="2">
        <v>2000</v>
      </c>
      <c r="I1002" s="2" t="s">
        <v>2072</v>
      </c>
      <c r="J1002" s="2" t="s">
        <v>842</v>
      </c>
      <c r="K1002" s="2" t="s">
        <v>74</v>
      </c>
    </row>
    <row r="1003" spans="1:13" x14ac:dyDescent="0.25">
      <c r="A1003" s="2" t="s">
        <v>3511</v>
      </c>
      <c r="B1003" s="2" t="s">
        <v>20</v>
      </c>
      <c r="C1003" s="2" t="s">
        <v>368</v>
      </c>
      <c r="D1003" s="2" t="s">
        <v>3512</v>
      </c>
      <c r="E1003" s="2" t="s">
        <v>3513</v>
      </c>
      <c r="F1003" s="2">
        <v>4.1650001525878899</v>
      </c>
      <c r="G1003" s="2">
        <v>40</v>
      </c>
      <c r="H1003" s="2">
        <v>2000</v>
      </c>
      <c r="I1003" s="2" t="s">
        <v>2072</v>
      </c>
      <c r="J1003" s="2" t="s">
        <v>74</v>
      </c>
      <c r="K1003" s="2" t="s">
        <v>842</v>
      </c>
    </row>
    <row r="1004" spans="1:13" x14ac:dyDescent="0.25">
      <c r="A1004" s="2" t="s">
        <v>3514</v>
      </c>
      <c r="B1004" s="2" t="s">
        <v>21</v>
      </c>
      <c r="C1004" s="2" t="s">
        <v>309</v>
      </c>
      <c r="D1004" s="2" t="s">
        <v>143</v>
      </c>
      <c r="E1004" s="2" t="s">
        <v>813</v>
      </c>
      <c r="F1004" s="2">
        <v>1.3928571428571399</v>
      </c>
      <c r="G1004" s="2">
        <v>14</v>
      </c>
      <c r="H1004" s="2">
        <v>2000</v>
      </c>
      <c r="I1004" s="2" t="s">
        <v>2106</v>
      </c>
      <c r="J1004" s="2" t="s">
        <v>34</v>
      </c>
      <c r="K1004" s="2" t="s">
        <v>35</v>
      </c>
    </row>
    <row r="1005" spans="1:13" x14ac:dyDescent="0.25">
      <c r="A1005" s="2" t="s">
        <v>3515</v>
      </c>
      <c r="B1005" s="2" t="s">
        <v>17</v>
      </c>
      <c r="C1005" s="2" t="s">
        <v>1511</v>
      </c>
      <c r="D1005" s="2" t="s">
        <v>3516</v>
      </c>
      <c r="E1005" s="2" t="s">
        <v>3517</v>
      </c>
      <c r="F1005" s="2">
        <v>5.5333334604899003</v>
      </c>
      <c r="G1005" s="2">
        <v>6</v>
      </c>
      <c r="H1005" s="2">
        <v>2000</v>
      </c>
      <c r="I1005" s="2" t="s">
        <v>2079</v>
      </c>
      <c r="J1005" s="2" t="s">
        <v>855</v>
      </c>
      <c r="K1005" s="2" t="s">
        <v>843</v>
      </c>
    </row>
    <row r="1006" spans="1:13" x14ac:dyDescent="0.25">
      <c r="A1006" s="2" t="s">
        <v>3518</v>
      </c>
      <c r="B1006" s="2" t="s">
        <v>17</v>
      </c>
      <c r="C1006" s="2" t="s">
        <v>1691</v>
      </c>
      <c r="D1006" s="2" t="s">
        <v>1692</v>
      </c>
      <c r="E1006" s="2" t="s">
        <v>1693</v>
      </c>
      <c r="F1006" s="2">
        <v>9.8076923076922995</v>
      </c>
      <c r="G1006" s="2">
        <v>13</v>
      </c>
      <c r="H1006" s="2">
        <v>2000</v>
      </c>
      <c r="I1006" s="2" t="s">
        <v>2079</v>
      </c>
      <c r="J1006" s="2" t="s">
        <v>855</v>
      </c>
      <c r="K1006" s="2" t="s">
        <v>843</v>
      </c>
    </row>
    <row r="1007" spans="1:13" x14ac:dyDescent="0.25">
      <c r="A1007" s="2" t="s">
        <v>3519</v>
      </c>
      <c r="B1007" s="2" t="s">
        <v>1</v>
      </c>
      <c r="C1007" s="2" t="s">
        <v>620</v>
      </c>
      <c r="D1007" s="2" t="s">
        <v>3520</v>
      </c>
      <c r="E1007" s="2" t="s">
        <v>422</v>
      </c>
      <c r="F1007" s="2">
        <v>7.3155842570515404</v>
      </c>
      <c r="G1007" s="2">
        <v>77</v>
      </c>
      <c r="H1007" s="2">
        <v>2000</v>
      </c>
      <c r="I1007" s="2" t="s">
        <v>2065</v>
      </c>
      <c r="J1007" s="2" t="s">
        <v>2066</v>
      </c>
      <c r="K1007" s="2" t="s">
        <v>69</v>
      </c>
    </row>
    <row r="1008" spans="1:13" x14ac:dyDescent="0.25">
      <c r="A1008" s="2" t="s">
        <v>3521</v>
      </c>
      <c r="B1008" s="2" t="s">
        <v>17</v>
      </c>
      <c r="C1008" s="2" t="s">
        <v>1353</v>
      </c>
      <c r="D1008" s="2" t="s">
        <v>3522</v>
      </c>
      <c r="E1008" s="2" t="s">
        <v>3523</v>
      </c>
      <c r="F1008" s="2">
        <v>0.88571425846644802</v>
      </c>
      <c r="G1008" s="2">
        <v>7</v>
      </c>
      <c r="H1008" s="2">
        <v>2000</v>
      </c>
      <c r="I1008" s="2" t="s">
        <v>2097</v>
      </c>
      <c r="J1008" s="2" t="s">
        <v>853</v>
      </c>
      <c r="K1008" s="2" t="s">
        <v>159</v>
      </c>
    </row>
    <row r="1009" spans="1:13" x14ac:dyDescent="0.25">
      <c r="A1009" s="2" t="s">
        <v>3524</v>
      </c>
      <c r="B1009" s="2" t="s">
        <v>22</v>
      </c>
      <c r="C1009" s="2" t="s">
        <v>425</v>
      </c>
      <c r="D1009" s="2" t="s">
        <v>1694</v>
      </c>
      <c r="E1009" s="2" t="s">
        <v>379</v>
      </c>
      <c r="F1009" s="2">
        <v>4.0321837677352699</v>
      </c>
      <c r="G1009" s="2">
        <v>87</v>
      </c>
      <c r="H1009" s="2">
        <v>2000</v>
      </c>
      <c r="I1009" s="2" t="s">
        <v>1783</v>
      </c>
      <c r="J1009" s="2" t="s">
        <v>840</v>
      </c>
      <c r="K1009" s="2" t="s">
        <v>861</v>
      </c>
    </row>
    <row r="1010" spans="1:13" x14ac:dyDescent="0.25">
      <c r="A1010" s="2" t="s">
        <v>3525</v>
      </c>
      <c r="B1010" s="2" t="s">
        <v>21</v>
      </c>
      <c r="C1010" s="2" t="s">
        <v>3526</v>
      </c>
      <c r="D1010" s="2" t="s">
        <v>3527</v>
      </c>
      <c r="E1010" s="2" t="s">
        <v>236</v>
      </c>
      <c r="F1010" s="2">
        <v>6.0862068965517198</v>
      </c>
      <c r="G1010" s="2">
        <v>116</v>
      </c>
      <c r="H1010" s="2">
        <v>2000</v>
      </c>
      <c r="I1010" s="2" t="s">
        <v>2065</v>
      </c>
      <c r="J1010" s="2" t="s">
        <v>2066</v>
      </c>
      <c r="K1010" s="2" t="s">
        <v>69</v>
      </c>
    </row>
    <row r="1011" spans="1:13" x14ac:dyDescent="0.25">
      <c r="A1011" s="2" t="s">
        <v>3528</v>
      </c>
      <c r="B1011" s="2" t="s">
        <v>20</v>
      </c>
      <c r="C1011" s="2" t="s">
        <v>1633</v>
      </c>
      <c r="D1011" s="2" t="s">
        <v>1634</v>
      </c>
      <c r="E1011" s="2" t="s">
        <v>1635</v>
      </c>
      <c r="F1011" s="2">
        <v>5.1749998728434203</v>
      </c>
      <c r="G1011" s="2">
        <v>12</v>
      </c>
      <c r="H1011" s="2">
        <v>2000</v>
      </c>
      <c r="I1011" s="2" t="s">
        <v>2070</v>
      </c>
      <c r="J1011" s="2" t="s">
        <v>848</v>
      </c>
      <c r="K1011" s="2" t="s">
        <v>36</v>
      </c>
    </row>
    <row r="1012" spans="1:13" x14ac:dyDescent="0.25">
      <c r="A1012" s="2" t="s">
        <v>3529</v>
      </c>
      <c r="B1012" s="2" t="s">
        <v>17</v>
      </c>
      <c r="C1012" s="2" t="s">
        <v>789</v>
      </c>
      <c r="D1012" s="2" t="s">
        <v>134</v>
      </c>
      <c r="E1012" s="2" t="s">
        <v>790</v>
      </c>
      <c r="F1012" s="2">
        <v>6.44333343505859</v>
      </c>
      <c r="G1012" s="2">
        <v>30</v>
      </c>
      <c r="H1012" s="2">
        <v>2000</v>
      </c>
      <c r="I1012" s="2" t="s">
        <v>2075</v>
      </c>
      <c r="J1012" s="2" t="s">
        <v>37</v>
      </c>
      <c r="K1012" s="2" t="s">
        <v>2076</v>
      </c>
    </row>
    <row r="1013" spans="1:13" x14ac:dyDescent="0.25">
      <c r="A1013" s="2" t="s">
        <v>3530</v>
      </c>
      <c r="B1013" s="2" t="s">
        <v>17</v>
      </c>
      <c r="C1013" s="2" t="s">
        <v>211</v>
      </c>
      <c r="D1013" s="2" t="s">
        <v>3531</v>
      </c>
      <c r="E1013" s="2" t="s">
        <v>3532</v>
      </c>
      <c r="F1013" s="2">
        <v>2.7625001271565699</v>
      </c>
      <c r="G1013" s="2">
        <v>24</v>
      </c>
      <c r="H1013" s="2">
        <v>2000</v>
      </c>
      <c r="I1013" s="2" t="s">
        <v>2079</v>
      </c>
      <c r="J1013" s="2" t="s">
        <v>843</v>
      </c>
      <c r="K1013" s="2" t="s">
        <v>855</v>
      </c>
    </row>
    <row r="1014" spans="1:13" x14ac:dyDescent="0.25">
      <c r="A1014" s="2" t="s">
        <v>3533</v>
      </c>
      <c r="B1014" s="2" t="s">
        <v>17</v>
      </c>
      <c r="C1014" s="2" t="s">
        <v>526</v>
      </c>
      <c r="D1014" s="2" t="s">
        <v>3534</v>
      </c>
      <c r="E1014" s="2" t="s">
        <v>3535</v>
      </c>
      <c r="F1014" s="2">
        <v>0.5</v>
      </c>
      <c r="G1014" s="2">
        <v>6</v>
      </c>
      <c r="H1014" s="2">
        <v>2000</v>
      </c>
      <c r="I1014" s="2" t="s">
        <v>2108</v>
      </c>
      <c r="J1014" s="2" t="s">
        <v>856</v>
      </c>
      <c r="K1014" s="2" t="s">
        <v>841</v>
      </c>
    </row>
    <row r="1015" spans="1:13" x14ac:dyDescent="0.25">
      <c r="A1015" s="2" t="s">
        <v>3536</v>
      </c>
      <c r="B1015" s="2" t="s">
        <v>1</v>
      </c>
      <c r="C1015" s="2" t="s">
        <v>330</v>
      </c>
      <c r="D1015" s="2" t="s">
        <v>3537</v>
      </c>
      <c r="E1015" s="2" t="s">
        <v>998</v>
      </c>
      <c r="F1015" s="2">
        <v>2.1000000635782801</v>
      </c>
      <c r="G1015" s="2">
        <v>12</v>
      </c>
      <c r="H1015" s="2">
        <v>2000</v>
      </c>
      <c r="I1015" s="2" t="s">
        <v>2065</v>
      </c>
      <c r="J1015" s="2" t="s">
        <v>2066</v>
      </c>
      <c r="K1015" s="2" t="s">
        <v>69</v>
      </c>
    </row>
    <row r="1016" spans="1:13" x14ac:dyDescent="0.25">
      <c r="A1016" s="2" t="s">
        <v>3538</v>
      </c>
      <c r="B1016" s="2" t="s">
        <v>17</v>
      </c>
      <c r="C1016" s="2" t="s">
        <v>1700</v>
      </c>
      <c r="D1016" s="2" t="s">
        <v>1701</v>
      </c>
      <c r="E1016" s="2" t="s">
        <v>374</v>
      </c>
      <c r="F1016" s="2">
        <v>2.3157143729073599</v>
      </c>
      <c r="G1016" s="2">
        <v>70</v>
      </c>
      <c r="H1016" s="2">
        <v>2000</v>
      </c>
      <c r="I1016" s="2" t="s">
        <v>2108</v>
      </c>
      <c r="J1016" s="2" t="s">
        <v>841</v>
      </c>
      <c r="K1016" s="2" t="s">
        <v>856</v>
      </c>
    </row>
    <row r="1017" spans="1:13" x14ac:dyDescent="0.25">
      <c r="A1017" s="2" t="s">
        <v>3539</v>
      </c>
      <c r="B1017" s="2" t="s">
        <v>19</v>
      </c>
      <c r="C1017" s="2" t="s">
        <v>1638</v>
      </c>
      <c r="D1017" s="2" t="s">
        <v>1639</v>
      </c>
      <c r="E1017" s="2" t="s">
        <v>728</v>
      </c>
      <c r="F1017" s="2">
        <v>2.8095891247056901</v>
      </c>
      <c r="G1017" s="2">
        <v>73</v>
      </c>
      <c r="H1017" s="2">
        <v>2000</v>
      </c>
      <c r="I1017" s="2" t="s">
        <v>1783</v>
      </c>
      <c r="J1017" s="2" t="s">
        <v>861</v>
      </c>
      <c r="K1017" s="2" t="s">
        <v>840</v>
      </c>
    </row>
    <row r="1018" spans="1:13" x14ac:dyDescent="0.25">
      <c r="A1018" s="2" t="s">
        <v>3540</v>
      </c>
      <c r="B1018" s="2" t="s">
        <v>1</v>
      </c>
      <c r="C1018" s="2" t="s">
        <v>492</v>
      </c>
      <c r="D1018" s="2" t="s">
        <v>62</v>
      </c>
      <c r="E1018" s="2" t="s">
        <v>820</v>
      </c>
      <c r="F1018" s="2">
        <v>3.4757574832800602</v>
      </c>
      <c r="G1018" s="2">
        <v>33</v>
      </c>
      <c r="H1018" s="2">
        <v>2000</v>
      </c>
      <c r="I1018" s="2" t="s">
        <v>2106</v>
      </c>
      <c r="J1018" s="2" t="s">
        <v>35</v>
      </c>
      <c r="K1018" s="2" t="s">
        <v>34</v>
      </c>
    </row>
    <row r="1019" spans="1:13" x14ac:dyDescent="0.25">
      <c r="A1019" s="2" t="s">
        <v>3541</v>
      </c>
      <c r="B1019" s="2" t="s">
        <v>17</v>
      </c>
      <c r="C1019" s="2" t="s">
        <v>248</v>
      </c>
      <c r="D1019" s="2" t="s">
        <v>157</v>
      </c>
      <c r="E1019" s="2" t="s">
        <v>821</v>
      </c>
      <c r="F1019" s="2">
        <v>5.73838359177714</v>
      </c>
      <c r="G1019" s="2">
        <v>99</v>
      </c>
      <c r="H1019" s="2">
        <v>2000</v>
      </c>
      <c r="I1019" s="2" t="s">
        <v>2081</v>
      </c>
      <c r="J1019" s="2" t="s">
        <v>73</v>
      </c>
      <c r="K1019" s="2" t="s">
        <v>76</v>
      </c>
      <c r="L1019" s="2" t="s">
        <v>200</v>
      </c>
      <c r="M1019" s="2" t="s">
        <v>247</v>
      </c>
    </row>
    <row r="1020" spans="1:13" x14ac:dyDescent="0.25">
      <c r="A1020" s="2" t="s">
        <v>3542</v>
      </c>
      <c r="B1020" s="2" t="s">
        <v>19</v>
      </c>
      <c r="C1020" s="2" t="s">
        <v>316</v>
      </c>
      <c r="D1020" s="2" t="s">
        <v>66</v>
      </c>
      <c r="E1020" s="2" t="s">
        <v>788</v>
      </c>
      <c r="F1020" s="2">
        <v>6.1969696969696901</v>
      </c>
      <c r="G1020" s="2">
        <v>66</v>
      </c>
      <c r="H1020" s="2">
        <v>2000</v>
      </c>
      <c r="I1020" s="2" t="s">
        <v>2075</v>
      </c>
      <c r="J1020" s="2" t="s">
        <v>37</v>
      </c>
      <c r="K1020" s="2" t="s">
        <v>2076</v>
      </c>
    </row>
    <row r="1021" spans="1:13" x14ac:dyDescent="0.25">
      <c r="A1021" s="2" t="s">
        <v>3543</v>
      </c>
      <c r="B1021" s="2" t="s">
        <v>17</v>
      </c>
      <c r="C1021" s="2" t="s">
        <v>387</v>
      </c>
      <c r="D1021" s="2" t="s">
        <v>1616</v>
      </c>
      <c r="E1021" s="2" t="s">
        <v>1617</v>
      </c>
      <c r="F1021" s="2">
        <v>4.8631579750462501</v>
      </c>
      <c r="G1021" s="2">
        <v>19</v>
      </c>
      <c r="H1021" s="2">
        <v>2000</v>
      </c>
      <c r="I1021" s="2" t="s">
        <v>2079</v>
      </c>
      <c r="J1021" s="2" t="s">
        <v>843</v>
      </c>
      <c r="K1021" s="2" t="s">
        <v>855</v>
      </c>
    </row>
    <row r="1022" spans="1:13" x14ac:dyDescent="0.25">
      <c r="A1022" s="2" t="s">
        <v>3544</v>
      </c>
      <c r="B1022" s="2" t="s">
        <v>22</v>
      </c>
      <c r="C1022" s="2" t="s">
        <v>1577</v>
      </c>
      <c r="D1022" s="2" t="s">
        <v>1578</v>
      </c>
      <c r="E1022" s="2" t="s">
        <v>1579</v>
      </c>
      <c r="F1022" s="2">
        <v>4.1611111958821603</v>
      </c>
      <c r="G1022" s="2">
        <v>18</v>
      </c>
      <c r="H1022" s="2">
        <v>2000</v>
      </c>
      <c r="I1022" s="2" t="s">
        <v>2079</v>
      </c>
      <c r="J1022" s="2" t="s">
        <v>843</v>
      </c>
      <c r="K1022" s="2" t="s">
        <v>855</v>
      </c>
    </row>
    <row r="1023" spans="1:13" x14ac:dyDescent="0.25">
      <c r="A1023" s="2" t="s">
        <v>3545</v>
      </c>
      <c r="B1023" s="2" t="s">
        <v>22</v>
      </c>
      <c r="C1023" s="2" t="s">
        <v>489</v>
      </c>
      <c r="D1023" s="2" t="s">
        <v>1704</v>
      </c>
      <c r="E1023" s="2" t="s">
        <v>1705</v>
      </c>
      <c r="F1023" s="2">
        <v>2.32083336512247</v>
      </c>
      <c r="G1023" s="2">
        <v>24</v>
      </c>
      <c r="H1023" s="2">
        <v>2000</v>
      </c>
      <c r="I1023" s="2" t="s">
        <v>2079</v>
      </c>
      <c r="J1023" s="2" t="s">
        <v>843</v>
      </c>
      <c r="K1023" s="2" t="s">
        <v>855</v>
      </c>
      <c r="L1023" s="2" t="s">
        <v>200</v>
      </c>
      <c r="M1023" s="2" t="s">
        <v>767</v>
      </c>
    </row>
    <row r="1024" spans="1:13" x14ac:dyDescent="0.25">
      <c r="A1024" s="2" t="s">
        <v>3546</v>
      </c>
      <c r="B1024" s="2" t="s">
        <v>22</v>
      </c>
      <c r="C1024" s="2" t="s">
        <v>223</v>
      </c>
      <c r="D1024" s="2" t="s">
        <v>144</v>
      </c>
      <c r="E1024" s="2" t="s">
        <v>829</v>
      </c>
      <c r="F1024" s="2">
        <v>5.3078650999604902</v>
      </c>
      <c r="G1024" s="2">
        <v>89</v>
      </c>
      <c r="H1024" s="2">
        <v>2000</v>
      </c>
      <c r="I1024" s="2" t="s">
        <v>2075</v>
      </c>
      <c r="J1024" s="2" t="s">
        <v>37</v>
      </c>
      <c r="K1024" s="2" t="s">
        <v>2076</v>
      </c>
    </row>
    <row r="1025" spans="1:13" x14ac:dyDescent="0.25">
      <c r="A1025" s="2" t="s">
        <v>3547</v>
      </c>
      <c r="B1025" s="2" t="s">
        <v>1</v>
      </c>
      <c r="C1025" s="2" t="s">
        <v>714</v>
      </c>
      <c r="D1025" s="2" t="s">
        <v>3548</v>
      </c>
      <c r="E1025" s="2" t="s">
        <v>3549</v>
      </c>
      <c r="F1025" s="2">
        <v>0</v>
      </c>
      <c r="G1025" s="2">
        <v>1</v>
      </c>
      <c r="H1025" s="2">
        <v>2000</v>
      </c>
      <c r="I1025" s="2" t="s">
        <v>2108</v>
      </c>
      <c r="J1025" s="2" t="s">
        <v>841</v>
      </c>
      <c r="K1025" s="2" t="s">
        <v>856</v>
      </c>
    </row>
    <row r="1026" spans="1:13" x14ac:dyDescent="0.25">
      <c r="A1026" s="2" t="s">
        <v>3550</v>
      </c>
      <c r="B1026" s="2" t="s">
        <v>17</v>
      </c>
      <c r="C1026" s="2" t="s">
        <v>212</v>
      </c>
      <c r="D1026" s="2" t="s">
        <v>1555</v>
      </c>
      <c r="E1026" s="2" t="s">
        <v>598</v>
      </c>
      <c r="F1026" s="2">
        <v>5.4750001326851203</v>
      </c>
      <c r="G1026" s="2">
        <v>92</v>
      </c>
      <c r="H1026" s="2">
        <v>2000</v>
      </c>
      <c r="I1026" s="2" t="s">
        <v>2108</v>
      </c>
      <c r="J1026" s="2" t="s">
        <v>856</v>
      </c>
      <c r="K1026" s="2" t="s">
        <v>841</v>
      </c>
    </row>
    <row r="1027" spans="1:13" x14ac:dyDescent="0.25">
      <c r="A1027" s="2" t="s">
        <v>3551</v>
      </c>
      <c r="B1027" s="2" t="s">
        <v>1</v>
      </c>
      <c r="C1027" s="2" t="s">
        <v>1640</v>
      </c>
      <c r="D1027" s="2" t="s">
        <v>1641</v>
      </c>
      <c r="E1027" s="2" t="s">
        <v>556</v>
      </c>
      <c r="F1027" s="2">
        <v>3.6655173466123299</v>
      </c>
      <c r="G1027" s="2">
        <v>29</v>
      </c>
      <c r="H1027" s="2">
        <v>2000</v>
      </c>
      <c r="I1027" s="2" t="s">
        <v>2108</v>
      </c>
      <c r="J1027" s="2" t="s">
        <v>841</v>
      </c>
      <c r="K1027" s="2" t="s">
        <v>856</v>
      </c>
    </row>
    <row r="1028" spans="1:13" x14ac:dyDescent="0.25">
      <c r="A1028" s="2" t="s">
        <v>3552</v>
      </c>
      <c r="B1028" s="2" t="s">
        <v>19</v>
      </c>
      <c r="C1028" s="2" t="s">
        <v>211</v>
      </c>
      <c r="D1028" s="2" t="s">
        <v>179</v>
      </c>
      <c r="E1028" s="2" t="s">
        <v>797</v>
      </c>
      <c r="F1028" s="2">
        <v>7.2649998982747297</v>
      </c>
      <c r="G1028" s="2">
        <v>60</v>
      </c>
      <c r="H1028" s="2">
        <v>1900</v>
      </c>
      <c r="I1028" s="2" t="s">
        <v>2065</v>
      </c>
      <c r="J1028" s="2" t="s">
        <v>69</v>
      </c>
      <c r="K1028" s="2" t="s">
        <v>2066</v>
      </c>
    </row>
    <row r="1029" spans="1:13" x14ac:dyDescent="0.25">
      <c r="A1029" s="2" t="s">
        <v>3553</v>
      </c>
      <c r="B1029" s="2" t="s">
        <v>17</v>
      </c>
      <c r="C1029" s="2" t="s">
        <v>1944</v>
      </c>
      <c r="D1029" s="2" t="s">
        <v>1974</v>
      </c>
      <c r="E1029" s="2" t="s">
        <v>1975</v>
      </c>
      <c r="F1029" s="2">
        <v>8.6171171171171093</v>
      </c>
      <c r="G1029" s="2">
        <v>111</v>
      </c>
      <c r="H1029" s="2">
        <v>1800</v>
      </c>
      <c r="I1029" s="2" t="s">
        <v>2065</v>
      </c>
      <c r="J1029" s="2" t="s">
        <v>69</v>
      </c>
      <c r="K1029" s="2" t="s">
        <v>2066</v>
      </c>
    </row>
    <row r="1030" spans="1:13" x14ac:dyDescent="0.25">
      <c r="A1030" s="2" t="s">
        <v>3554</v>
      </c>
      <c r="B1030" s="2" t="s">
        <v>1</v>
      </c>
      <c r="C1030" s="2" t="s">
        <v>620</v>
      </c>
      <c r="D1030" s="2" t="s">
        <v>104</v>
      </c>
      <c r="E1030" s="2" t="s">
        <v>786</v>
      </c>
      <c r="F1030" s="2">
        <v>7.4183673469387701</v>
      </c>
      <c r="G1030" s="2">
        <v>98</v>
      </c>
      <c r="H1030" s="2">
        <v>1800</v>
      </c>
      <c r="I1030" s="2" t="s">
        <v>2065</v>
      </c>
      <c r="J1030" s="2" t="s">
        <v>69</v>
      </c>
      <c r="K1030" s="2" t="s">
        <v>2066</v>
      </c>
    </row>
    <row r="1031" spans="1:13" x14ac:dyDescent="0.25">
      <c r="A1031" s="2" t="s">
        <v>3555</v>
      </c>
      <c r="B1031" s="2" t="s">
        <v>21</v>
      </c>
      <c r="C1031" s="2" t="s">
        <v>572</v>
      </c>
      <c r="D1031" s="2" t="s">
        <v>123</v>
      </c>
      <c r="E1031" s="2" t="s">
        <v>799</v>
      </c>
      <c r="F1031" s="2">
        <v>3.9988763359155501</v>
      </c>
      <c r="G1031" s="2">
        <v>89</v>
      </c>
      <c r="H1031" s="2">
        <v>1700</v>
      </c>
      <c r="I1031" s="2" t="s">
        <v>2065</v>
      </c>
      <c r="J1031" s="2" t="s">
        <v>69</v>
      </c>
      <c r="K1031" s="2" t="s">
        <v>2066</v>
      </c>
    </row>
    <row r="1032" spans="1:13" x14ac:dyDescent="0.25">
      <c r="A1032" s="2" t="s">
        <v>3556</v>
      </c>
      <c r="B1032" s="2" t="s">
        <v>1</v>
      </c>
      <c r="C1032" s="2" t="s">
        <v>308</v>
      </c>
      <c r="D1032" s="2" t="s">
        <v>135</v>
      </c>
      <c r="E1032" s="2" t="s">
        <v>765</v>
      </c>
      <c r="F1032" s="2">
        <v>2.9673468142139598</v>
      </c>
      <c r="G1032" s="2">
        <v>49</v>
      </c>
      <c r="H1032" s="2">
        <v>1700</v>
      </c>
      <c r="I1032" s="2" t="s">
        <v>2065</v>
      </c>
      <c r="J1032" s="2" t="s">
        <v>69</v>
      </c>
      <c r="K1032" s="2" t="s">
        <v>2066</v>
      </c>
    </row>
    <row r="1033" spans="1:13" x14ac:dyDescent="0.25">
      <c r="A1033" s="2" t="s">
        <v>3557</v>
      </c>
      <c r="B1033" s="2" t="s">
        <v>17</v>
      </c>
      <c r="C1033" s="2" t="s">
        <v>777</v>
      </c>
      <c r="D1033" s="2" t="s">
        <v>97</v>
      </c>
      <c r="E1033" s="2" t="s">
        <v>778</v>
      </c>
      <c r="F1033" s="2">
        <v>7.35</v>
      </c>
      <c r="G1033" s="2">
        <v>30</v>
      </c>
      <c r="H1033" s="2">
        <v>1700</v>
      </c>
      <c r="I1033" s="2" t="s">
        <v>2065</v>
      </c>
      <c r="J1033" s="2" t="s">
        <v>69</v>
      </c>
      <c r="K1033" s="2" t="s">
        <v>2066</v>
      </c>
    </row>
    <row r="1034" spans="1:13" x14ac:dyDescent="0.25">
      <c r="A1034" s="2" t="s">
        <v>3558</v>
      </c>
      <c r="B1034" s="2" t="s">
        <v>1</v>
      </c>
      <c r="C1034" s="2" t="s">
        <v>370</v>
      </c>
      <c r="D1034" s="2" t="s">
        <v>149</v>
      </c>
      <c r="E1034" s="2" t="s">
        <v>262</v>
      </c>
      <c r="F1034" s="2">
        <v>4.7864405745166803</v>
      </c>
      <c r="G1034" s="2">
        <v>59</v>
      </c>
      <c r="H1034" s="2">
        <v>1700</v>
      </c>
      <c r="I1034" s="2" t="s">
        <v>2065</v>
      </c>
      <c r="J1034" s="2" t="s">
        <v>69</v>
      </c>
      <c r="K1034" s="2" t="s">
        <v>2066</v>
      </c>
    </row>
    <row r="1035" spans="1:13" x14ac:dyDescent="0.25">
      <c r="A1035" s="2" t="s">
        <v>3559</v>
      </c>
      <c r="B1035" s="2" t="s">
        <v>19</v>
      </c>
      <c r="C1035" s="2" t="s">
        <v>337</v>
      </c>
      <c r="D1035" s="2" t="s">
        <v>1988</v>
      </c>
      <c r="E1035" s="2" t="s">
        <v>1989</v>
      </c>
      <c r="F1035" s="2">
        <v>8.7603771281692193</v>
      </c>
      <c r="G1035" s="2">
        <v>53</v>
      </c>
      <c r="H1035" s="2">
        <v>1700</v>
      </c>
      <c r="I1035" s="2" t="s">
        <v>2065</v>
      </c>
      <c r="J1035" s="2" t="s">
        <v>69</v>
      </c>
      <c r="K1035" s="2" t="s">
        <v>2066</v>
      </c>
    </row>
    <row r="1036" spans="1:13" x14ac:dyDescent="0.25">
      <c r="A1036" s="2" t="s">
        <v>3560</v>
      </c>
      <c r="B1036" s="2" t="s">
        <v>21</v>
      </c>
      <c r="C1036" s="2" t="s">
        <v>2008</v>
      </c>
      <c r="D1036" s="2" t="s">
        <v>2009</v>
      </c>
      <c r="E1036" s="2" t="s">
        <v>2010</v>
      </c>
      <c r="F1036" s="2">
        <v>6.4523809523809499</v>
      </c>
      <c r="G1036" s="2">
        <v>84</v>
      </c>
      <c r="H1036" s="2">
        <v>1700</v>
      </c>
      <c r="I1036" s="2" t="s">
        <v>2065</v>
      </c>
      <c r="J1036" s="2" t="s">
        <v>69</v>
      </c>
      <c r="K1036" s="2" t="s">
        <v>2066</v>
      </c>
      <c r="L1036" s="2" t="s">
        <v>200</v>
      </c>
      <c r="M1036" s="2" t="s">
        <v>301</v>
      </c>
    </row>
    <row r="1037" spans="1:13" x14ac:dyDescent="0.25">
      <c r="A1037" s="2" t="s">
        <v>3561</v>
      </c>
      <c r="B1037" s="2" t="s">
        <v>17</v>
      </c>
      <c r="C1037" s="2" t="s">
        <v>717</v>
      </c>
      <c r="D1037" s="2" t="s">
        <v>118</v>
      </c>
      <c r="E1037" s="2" t="s">
        <v>528</v>
      </c>
      <c r="F1037" s="2">
        <v>4.8470589132869897</v>
      </c>
      <c r="G1037" s="2">
        <v>17</v>
      </c>
      <c r="H1037" s="2">
        <v>1700</v>
      </c>
      <c r="I1037" s="2" t="s">
        <v>2065</v>
      </c>
      <c r="J1037" s="2" t="s">
        <v>69</v>
      </c>
      <c r="K1037" s="2" t="s">
        <v>2066</v>
      </c>
    </row>
    <row r="1038" spans="1:13" x14ac:dyDescent="0.25">
      <c r="A1038" s="2" t="s">
        <v>3562</v>
      </c>
      <c r="B1038" s="2" t="s">
        <v>21</v>
      </c>
      <c r="C1038" s="2" t="s">
        <v>3563</v>
      </c>
      <c r="D1038" s="2" t="s">
        <v>3564</v>
      </c>
      <c r="E1038" s="2" t="s">
        <v>3565</v>
      </c>
      <c r="F1038" s="2">
        <v>5.8777776647497104</v>
      </c>
      <c r="G1038" s="2">
        <v>27</v>
      </c>
      <c r="H1038" s="2">
        <v>1700</v>
      </c>
      <c r="I1038" s="2" t="s">
        <v>2065</v>
      </c>
      <c r="J1038" s="2" t="s">
        <v>69</v>
      </c>
      <c r="K1038" s="2" t="s">
        <v>2066</v>
      </c>
    </row>
    <row r="1039" spans="1:13" x14ac:dyDescent="0.25">
      <c r="A1039" s="2" t="s">
        <v>3566</v>
      </c>
      <c r="B1039" s="2" t="s">
        <v>19</v>
      </c>
      <c r="C1039" s="2" t="s">
        <v>2028</v>
      </c>
      <c r="D1039" s="2" t="s">
        <v>2029</v>
      </c>
      <c r="E1039" s="2" t="s">
        <v>2030</v>
      </c>
      <c r="F1039" s="2">
        <v>8.8290002441406195</v>
      </c>
      <c r="G1039" s="2">
        <v>100</v>
      </c>
      <c r="H1039" s="2">
        <v>1700</v>
      </c>
      <c r="I1039" s="2" t="s">
        <v>2065</v>
      </c>
      <c r="J1039" s="2" t="s">
        <v>69</v>
      </c>
      <c r="K1039" s="2" t="s">
        <v>2066</v>
      </c>
    </row>
    <row r="1040" spans="1:13" x14ac:dyDescent="0.25">
      <c r="A1040" s="2" t="s">
        <v>3567</v>
      </c>
      <c r="B1040" s="2" t="s">
        <v>17</v>
      </c>
      <c r="C1040" s="2" t="s">
        <v>287</v>
      </c>
      <c r="D1040" s="2" t="s">
        <v>156</v>
      </c>
      <c r="E1040" s="2" t="s">
        <v>814</v>
      </c>
      <c r="F1040" s="2">
        <v>3.9938143700668398</v>
      </c>
      <c r="G1040" s="2">
        <v>97</v>
      </c>
      <c r="H1040" s="2">
        <v>1700</v>
      </c>
      <c r="I1040" s="2" t="s">
        <v>2065</v>
      </c>
      <c r="J1040" s="2" t="s">
        <v>69</v>
      </c>
      <c r="K1040" s="2" t="s">
        <v>2066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503"/>
  <sheetViews>
    <sheetView workbookViewId="0">
      <selection activeCell="I10" sqref="I10"/>
    </sheetView>
  </sheetViews>
  <sheetFormatPr defaultRowHeight="15" x14ac:dyDescent="0.25"/>
  <cols>
    <col min="1" max="1" width="15.85546875" bestFit="1" customWidth="1"/>
  </cols>
  <sheetData>
    <row r="1" spans="1:4" s="2" customFormat="1" x14ac:dyDescent="0.25">
      <c r="A1" s="2" t="s">
        <v>3</v>
      </c>
      <c r="B1" s="2" t="s">
        <v>4</v>
      </c>
      <c r="C1" s="2" t="s">
        <v>5</v>
      </c>
      <c r="D1" s="2" t="s">
        <v>835</v>
      </c>
    </row>
    <row r="2" spans="1:4" x14ac:dyDescent="0.25">
      <c r="A2" s="2" t="str">
        <f>IF(D2=1,Fandual!D2,0)</f>
        <v>Clayton Kershaw</v>
      </c>
      <c r="B2" s="2">
        <f>IF(D2=1,Fandual!F2,0)</f>
        <v>47.142857142857103</v>
      </c>
      <c r="C2" s="2">
        <f>IF(D2=1,Fandual!H2,0)</f>
        <v>12100</v>
      </c>
      <c r="D2">
        <f>IF(Fandual!N2="yes",1,0)</f>
        <v>1</v>
      </c>
    </row>
    <row r="3" spans="1:4" x14ac:dyDescent="0.25">
      <c r="A3" s="2">
        <f>IF(D3=1,Fandual!D3,0)</f>
        <v>0</v>
      </c>
      <c r="B3" s="2">
        <f>IF(D3=1,Fandual!F3,0)</f>
        <v>0</v>
      </c>
      <c r="C3" s="2">
        <f>IF(D3=1,Fandual!H3,0)</f>
        <v>0</v>
      </c>
      <c r="D3" s="2">
        <f>IF(Fandual!N3="yes",1,0)</f>
        <v>0</v>
      </c>
    </row>
    <row r="4" spans="1:4" x14ac:dyDescent="0.25">
      <c r="A4" s="2">
        <f>IF(D4=1,Fandual!D4,0)</f>
        <v>0</v>
      </c>
      <c r="B4" s="2">
        <f>IF(D4=1,Fandual!F4,0)</f>
        <v>0</v>
      </c>
      <c r="C4" s="2">
        <f>IF(D4=1,Fandual!H4,0)</f>
        <v>0</v>
      </c>
      <c r="D4" s="2">
        <f>IF(Fandual!N4="yes",1,0)</f>
        <v>0</v>
      </c>
    </row>
    <row r="5" spans="1:4" x14ac:dyDescent="0.25">
      <c r="A5" s="2">
        <f>IF(D5=1,Fandual!D5,0)</f>
        <v>0</v>
      </c>
      <c r="B5" s="2">
        <f>IF(D5=1,Fandual!F5,0)</f>
        <v>0</v>
      </c>
      <c r="C5" s="2">
        <f>IF(D5=1,Fandual!H5,0)</f>
        <v>0</v>
      </c>
      <c r="D5" s="2">
        <f>IF(Fandual!N5="yes",1,0)</f>
        <v>0</v>
      </c>
    </row>
    <row r="6" spans="1:4" x14ac:dyDescent="0.25">
      <c r="A6" s="2">
        <f>IF(D6=1,Fandual!D6,0)</f>
        <v>0</v>
      </c>
      <c r="B6" s="2">
        <f>IF(D6=1,Fandual!F6,0)</f>
        <v>0</v>
      </c>
      <c r="C6" s="2">
        <f>IF(D6=1,Fandual!H6,0)</f>
        <v>0</v>
      </c>
      <c r="D6" s="2">
        <f>IF(Fandual!N6="yes",1,0)</f>
        <v>0</v>
      </c>
    </row>
    <row r="7" spans="1:4" x14ac:dyDescent="0.25">
      <c r="A7" s="2">
        <f>IF(D7=1,Fandual!D7,0)</f>
        <v>0</v>
      </c>
      <c r="B7" s="2">
        <f>IF(D7=1,Fandual!F7,0)</f>
        <v>0</v>
      </c>
      <c r="C7" s="2">
        <f>IF(D7=1,Fandual!H7,0)</f>
        <v>0</v>
      </c>
      <c r="D7" s="2">
        <f>IF(Fandual!N7="yes",1,0)</f>
        <v>0</v>
      </c>
    </row>
    <row r="8" spans="1:4" x14ac:dyDescent="0.25">
      <c r="A8" s="2">
        <f>IF(D8=1,Fandual!D8,0)</f>
        <v>0</v>
      </c>
      <c r="B8" s="2">
        <f>IF(D8=1,Fandual!F8,0)</f>
        <v>0</v>
      </c>
      <c r="C8" s="2">
        <f>IF(D8=1,Fandual!H8,0)</f>
        <v>0</v>
      </c>
      <c r="D8" s="2">
        <f>IF(Fandual!N8="yes",1,0)</f>
        <v>0</v>
      </c>
    </row>
    <row r="9" spans="1:4" x14ac:dyDescent="0.25">
      <c r="A9" s="2">
        <f>IF(D9=1,Fandual!D9,0)</f>
        <v>0</v>
      </c>
      <c r="B9" s="2">
        <f>IF(D9=1,Fandual!F9,0)</f>
        <v>0</v>
      </c>
      <c r="C9" s="2">
        <f>IF(D9=1,Fandual!H9,0)</f>
        <v>0</v>
      </c>
      <c r="D9" s="2">
        <f>IF(Fandual!N9="yes",1,0)</f>
        <v>0</v>
      </c>
    </row>
    <row r="10" spans="1:4" x14ac:dyDescent="0.25">
      <c r="A10" s="2">
        <f>IF(D10=1,Fandual!D10,0)</f>
        <v>0</v>
      </c>
      <c r="B10" s="2">
        <f>IF(D10=1,Fandual!F10,0)</f>
        <v>0</v>
      </c>
      <c r="C10" s="2">
        <f>IF(D10=1,Fandual!H10,0)</f>
        <v>0</v>
      </c>
      <c r="D10" s="2">
        <f>IF(Fandual!N10="yes",1,0)</f>
        <v>0</v>
      </c>
    </row>
    <row r="11" spans="1:4" x14ac:dyDescent="0.25">
      <c r="A11" s="2">
        <f>IF(D11=1,Fandual!D11,0)</f>
        <v>0</v>
      </c>
      <c r="B11" s="2">
        <f>IF(D11=1,Fandual!F11,0)</f>
        <v>0</v>
      </c>
      <c r="C11" s="2">
        <f>IF(D11=1,Fandual!H11,0)</f>
        <v>0</v>
      </c>
      <c r="D11" s="2">
        <f>IF(Fandual!N11="yes",1,0)</f>
        <v>0</v>
      </c>
    </row>
    <row r="12" spans="1:4" x14ac:dyDescent="0.25">
      <c r="A12" s="2">
        <f>IF(D12=1,Fandual!D12,0)</f>
        <v>0</v>
      </c>
      <c r="B12" s="2">
        <f>IF(D12=1,Fandual!F12,0)</f>
        <v>0</v>
      </c>
      <c r="C12" s="2">
        <f>IF(D12=1,Fandual!H12,0)</f>
        <v>0</v>
      </c>
      <c r="D12" s="2">
        <f>IF(Fandual!N12="yes",1,0)</f>
        <v>0</v>
      </c>
    </row>
    <row r="13" spans="1:4" x14ac:dyDescent="0.25">
      <c r="A13" s="2">
        <f>IF(D13=1,Fandual!D13,0)</f>
        <v>0</v>
      </c>
      <c r="B13" s="2">
        <f>IF(D13=1,Fandual!F13,0)</f>
        <v>0</v>
      </c>
      <c r="C13" s="2">
        <f>IF(D13=1,Fandual!H13,0)</f>
        <v>0</v>
      </c>
      <c r="D13" s="2">
        <f>IF(Fandual!N13="yes",1,0)</f>
        <v>0</v>
      </c>
    </row>
    <row r="14" spans="1:4" x14ac:dyDescent="0.25">
      <c r="A14" s="2">
        <f>IF(D14=1,Fandual!D14,0)</f>
        <v>0</v>
      </c>
      <c r="B14" s="2">
        <f>IF(D14=1,Fandual!F14,0)</f>
        <v>0</v>
      </c>
      <c r="C14" s="2">
        <f>IF(D14=1,Fandual!H14,0)</f>
        <v>0</v>
      </c>
      <c r="D14" s="2">
        <f>IF(Fandual!N14="yes",1,0)</f>
        <v>0</v>
      </c>
    </row>
    <row r="15" spans="1:4" x14ac:dyDescent="0.25">
      <c r="A15" s="2">
        <f>IF(D15=1,Fandual!D15,0)</f>
        <v>0</v>
      </c>
      <c r="B15" s="2">
        <f>IF(D15=1,Fandual!F15,0)</f>
        <v>0</v>
      </c>
      <c r="C15" s="2">
        <f>IF(D15=1,Fandual!H15,0)</f>
        <v>0</v>
      </c>
      <c r="D15" s="2">
        <f>IF(Fandual!N15="yes",1,0)</f>
        <v>0</v>
      </c>
    </row>
    <row r="16" spans="1:4" x14ac:dyDescent="0.25">
      <c r="A16" s="2">
        <f>IF(D16=1,Fandual!D16,0)</f>
        <v>0</v>
      </c>
      <c r="B16" s="2">
        <f>IF(D16=1,Fandual!F16,0)</f>
        <v>0</v>
      </c>
      <c r="C16" s="2">
        <f>IF(D16=1,Fandual!H16,0)</f>
        <v>0</v>
      </c>
      <c r="D16" s="2">
        <f>IF(Fandual!N16="yes",1,0)</f>
        <v>0</v>
      </c>
    </row>
    <row r="17" spans="1:4" x14ac:dyDescent="0.25">
      <c r="A17" s="2">
        <f>IF(D17=1,Fandual!D17,0)</f>
        <v>0</v>
      </c>
      <c r="B17" s="2">
        <f>IF(D17=1,Fandual!F17,0)</f>
        <v>0</v>
      </c>
      <c r="C17" s="2">
        <f>IF(D17=1,Fandual!H17,0)</f>
        <v>0</v>
      </c>
      <c r="D17" s="2">
        <f>IF(Fandual!N17="yes",1,0)</f>
        <v>0</v>
      </c>
    </row>
    <row r="18" spans="1:4" x14ac:dyDescent="0.25">
      <c r="A18" s="2">
        <f>IF(D18=1,Fandual!D18,0)</f>
        <v>0</v>
      </c>
      <c r="B18" s="2">
        <f>IF(D18=1,Fandual!F18,0)</f>
        <v>0</v>
      </c>
      <c r="C18" s="2">
        <f>IF(D18=1,Fandual!H18,0)</f>
        <v>0</v>
      </c>
      <c r="D18" s="2">
        <f>IF(Fandual!N18="yes",1,0)</f>
        <v>0</v>
      </c>
    </row>
    <row r="19" spans="1:4" x14ac:dyDescent="0.25">
      <c r="A19" s="2">
        <f>IF(D19=1,Fandual!D19,0)</f>
        <v>0</v>
      </c>
      <c r="B19" s="2">
        <f>IF(D19=1,Fandual!F19,0)</f>
        <v>0</v>
      </c>
      <c r="C19" s="2">
        <f>IF(D19=1,Fandual!H19,0)</f>
        <v>0</v>
      </c>
      <c r="D19" s="2">
        <f>IF(Fandual!N19="yes",1,0)</f>
        <v>0</v>
      </c>
    </row>
    <row r="20" spans="1:4" x14ac:dyDescent="0.25">
      <c r="A20" s="2">
        <f>IF(D20=1,Fandual!D20,0)</f>
        <v>0</v>
      </c>
      <c r="B20" s="2">
        <f>IF(D20=1,Fandual!F20,0)</f>
        <v>0</v>
      </c>
      <c r="C20" s="2">
        <f>IF(D20=1,Fandual!H20,0)</f>
        <v>0</v>
      </c>
      <c r="D20" s="2">
        <f>IF(Fandual!N20="yes",1,0)</f>
        <v>0</v>
      </c>
    </row>
    <row r="21" spans="1:4" x14ac:dyDescent="0.25">
      <c r="A21" s="2">
        <f>IF(D21=1,Fandual!D21,0)</f>
        <v>0</v>
      </c>
      <c r="B21" s="2">
        <f>IF(D21=1,Fandual!F21,0)</f>
        <v>0</v>
      </c>
      <c r="C21" s="2">
        <f>IF(D21=1,Fandual!H21,0)</f>
        <v>0</v>
      </c>
      <c r="D21" s="2">
        <f>IF(Fandual!N21="yes",1,0)</f>
        <v>0</v>
      </c>
    </row>
    <row r="22" spans="1:4" x14ac:dyDescent="0.25">
      <c r="A22" s="2">
        <f>IF(D22=1,Fandual!D22,0)</f>
        <v>0</v>
      </c>
      <c r="B22" s="2">
        <f>IF(D22=1,Fandual!F22,0)</f>
        <v>0</v>
      </c>
      <c r="C22" s="2">
        <f>IF(D22=1,Fandual!H22,0)</f>
        <v>0</v>
      </c>
      <c r="D22" s="2">
        <f>IF(Fandual!N22="yes",1,0)</f>
        <v>0</v>
      </c>
    </row>
    <row r="23" spans="1:4" x14ac:dyDescent="0.25">
      <c r="A23" s="2">
        <f>IF(D23=1,Fandual!D23,0)</f>
        <v>0</v>
      </c>
      <c r="B23" s="2">
        <f>IF(D23=1,Fandual!F23,0)</f>
        <v>0</v>
      </c>
      <c r="C23" s="2">
        <f>IF(D23=1,Fandual!H23,0)</f>
        <v>0</v>
      </c>
      <c r="D23" s="2">
        <f>IF(Fandual!N23="yes",1,0)</f>
        <v>0</v>
      </c>
    </row>
    <row r="24" spans="1:4" x14ac:dyDescent="0.25">
      <c r="A24" s="2" t="str">
        <f>IF(D24=1,Fandual!D24,0)</f>
        <v>Gerrit Cole</v>
      </c>
      <c r="B24" s="2">
        <f>IF(D24=1,Fandual!F24,0)</f>
        <v>31.535714285714199</v>
      </c>
      <c r="C24" s="2">
        <f>IF(D24=1,Fandual!H24,0)</f>
        <v>9100</v>
      </c>
      <c r="D24" s="2">
        <f>IF(Fandual!N24="yes",1,0)</f>
        <v>1</v>
      </c>
    </row>
    <row r="25" spans="1:4" x14ac:dyDescent="0.25">
      <c r="A25" s="2">
        <f>IF(D25=1,Fandual!D25,0)</f>
        <v>0</v>
      </c>
      <c r="B25" s="2">
        <f>IF(D25=1,Fandual!F25,0)</f>
        <v>0</v>
      </c>
      <c r="C25" s="2">
        <f>IF(D25=1,Fandual!H25,0)</f>
        <v>0</v>
      </c>
      <c r="D25" s="2">
        <f>IF(Fandual!N25="yes",1,0)</f>
        <v>0</v>
      </c>
    </row>
    <row r="26" spans="1:4" x14ac:dyDescent="0.25">
      <c r="A26" s="2">
        <f>IF(D26=1,Fandual!D26,0)</f>
        <v>0</v>
      </c>
      <c r="B26" s="2">
        <f>IF(D26=1,Fandual!F26,0)</f>
        <v>0</v>
      </c>
      <c r="C26" s="2">
        <f>IF(D26=1,Fandual!H26,0)</f>
        <v>0</v>
      </c>
      <c r="D26" s="2">
        <f>IF(Fandual!N26="yes",1,0)</f>
        <v>0</v>
      </c>
    </row>
    <row r="27" spans="1:4" x14ac:dyDescent="0.25">
      <c r="A27" s="2">
        <f>IF(D27=1,Fandual!D27,0)</f>
        <v>0</v>
      </c>
      <c r="B27" s="2">
        <f>IF(D27=1,Fandual!F27,0)</f>
        <v>0</v>
      </c>
      <c r="C27" s="2">
        <f>IF(D27=1,Fandual!H27,0)</f>
        <v>0</v>
      </c>
      <c r="D27" s="2">
        <f>IF(Fandual!N27="yes",1,0)</f>
        <v>0</v>
      </c>
    </row>
    <row r="28" spans="1:4" x14ac:dyDescent="0.25">
      <c r="A28" s="2" t="str">
        <f>IF(D28=1,Fandual!D28,0)</f>
        <v>Sonny Gray</v>
      </c>
      <c r="B28" s="2">
        <f>IF(D28=1,Fandual!F28,0)</f>
        <v>33.857142857142797</v>
      </c>
      <c r="C28" s="2">
        <f>IF(D28=1,Fandual!H28,0)</f>
        <v>8800</v>
      </c>
      <c r="D28" s="2">
        <f>IF(Fandual!N28="yes",1,0)</f>
        <v>1</v>
      </c>
    </row>
    <row r="29" spans="1:4" x14ac:dyDescent="0.25">
      <c r="A29" s="2" t="str">
        <f>IF(D29=1,Fandual!D29,0)</f>
        <v>Kevin Gausman</v>
      </c>
      <c r="B29" s="2">
        <f>IF(D29=1,Fandual!F29,0)</f>
        <v>25.964285714285701</v>
      </c>
      <c r="C29" s="2">
        <f>IF(D29=1,Fandual!H29,0)</f>
        <v>8700</v>
      </c>
      <c r="D29" s="2">
        <f>IF(Fandual!N29="yes",1,0)</f>
        <v>1</v>
      </c>
    </row>
    <row r="30" spans="1:4" x14ac:dyDescent="0.25">
      <c r="A30" s="2">
        <f>IF(D30=1,Fandual!D30,0)</f>
        <v>0</v>
      </c>
      <c r="B30" s="2">
        <f>IF(D30=1,Fandual!F30,0)</f>
        <v>0</v>
      </c>
      <c r="C30" s="2">
        <f>IF(D30=1,Fandual!H30,0)</f>
        <v>0</v>
      </c>
      <c r="D30" s="2">
        <f>IF(Fandual!N30="yes",1,0)</f>
        <v>0</v>
      </c>
    </row>
    <row r="31" spans="1:4" x14ac:dyDescent="0.25">
      <c r="A31" s="2">
        <f>IF(D31=1,Fandual!D31,0)</f>
        <v>0</v>
      </c>
      <c r="B31" s="2">
        <f>IF(D31=1,Fandual!F31,0)</f>
        <v>0</v>
      </c>
      <c r="C31" s="2">
        <f>IF(D31=1,Fandual!H31,0)</f>
        <v>0</v>
      </c>
      <c r="D31" s="2">
        <f>IF(Fandual!N31="yes",1,0)</f>
        <v>0</v>
      </c>
    </row>
    <row r="32" spans="1:4" x14ac:dyDescent="0.25">
      <c r="A32" s="2">
        <f>IF(D32=1,Fandual!D32,0)</f>
        <v>0</v>
      </c>
      <c r="B32" s="2">
        <f>IF(D32=1,Fandual!F32,0)</f>
        <v>0</v>
      </c>
      <c r="C32" s="2">
        <f>IF(D32=1,Fandual!H32,0)</f>
        <v>0</v>
      </c>
      <c r="D32" s="2">
        <f>IF(Fandual!N32="yes",1,0)</f>
        <v>0</v>
      </c>
    </row>
    <row r="33" spans="1:4" x14ac:dyDescent="0.25">
      <c r="A33" s="2">
        <f>IF(D33=1,Fandual!D33,0)</f>
        <v>0</v>
      </c>
      <c r="B33" s="2">
        <f>IF(D33=1,Fandual!F33,0)</f>
        <v>0</v>
      </c>
      <c r="C33" s="2">
        <f>IF(D33=1,Fandual!H33,0)</f>
        <v>0</v>
      </c>
      <c r="D33" s="2">
        <f>IF(Fandual!N33="yes",1,0)</f>
        <v>0</v>
      </c>
    </row>
    <row r="34" spans="1:4" x14ac:dyDescent="0.25">
      <c r="A34" s="2" t="str">
        <f>IF(D34=1,Fandual!D34,0)</f>
        <v>Cole Hamels</v>
      </c>
      <c r="B34" s="2">
        <f>IF(D34=1,Fandual!F34,0)</f>
        <v>28.823529411764699</v>
      </c>
      <c r="C34" s="2">
        <f>IF(D34=1,Fandual!H34,0)</f>
        <v>8600</v>
      </c>
      <c r="D34" s="2">
        <f>IF(Fandual!N34="yes",1,0)</f>
        <v>1</v>
      </c>
    </row>
    <row r="35" spans="1:4" x14ac:dyDescent="0.25">
      <c r="A35" s="2">
        <f>IF(D35=1,Fandual!D35,0)</f>
        <v>0</v>
      </c>
      <c r="B35" s="2">
        <f>IF(D35=1,Fandual!F35,0)</f>
        <v>0</v>
      </c>
      <c r="C35" s="2">
        <f>IF(D35=1,Fandual!H35,0)</f>
        <v>0</v>
      </c>
      <c r="D35" s="2">
        <f>IF(Fandual!N35="yes",1,0)</f>
        <v>0</v>
      </c>
    </row>
    <row r="36" spans="1:4" x14ac:dyDescent="0.25">
      <c r="A36" s="2">
        <f>IF(D36=1,Fandual!D36,0)</f>
        <v>0</v>
      </c>
      <c r="B36" s="2">
        <f>IF(D36=1,Fandual!F36,0)</f>
        <v>0</v>
      </c>
      <c r="C36" s="2">
        <f>IF(D36=1,Fandual!H36,0)</f>
        <v>0</v>
      </c>
      <c r="D36" s="2">
        <f>IF(Fandual!N36="yes",1,0)</f>
        <v>0</v>
      </c>
    </row>
    <row r="37" spans="1:4" x14ac:dyDescent="0.25">
      <c r="A37" s="2">
        <f>IF(D37=1,Fandual!D37,0)</f>
        <v>0</v>
      </c>
      <c r="B37" s="2">
        <f>IF(D37=1,Fandual!F37,0)</f>
        <v>0</v>
      </c>
      <c r="C37" s="2">
        <f>IF(D37=1,Fandual!H37,0)</f>
        <v>0</v>
      </c>
      <c r="D37" s="2">
        <f>IF(Fandual!N37="yes",1,0)</f>
        <v>0</v>
      </c>
    </row>
    <row r="38" spans="1:4" x14ac:dyDescent="0.25">
      <c r="A38" s="2" t="str">
        <f>IF(D38=1,Fandual!D38,0)</f>
        <v>Mike Clevinger</v>
      </c>
      <c r="B38" s="2">
        <f>IF(D38=1,Fandual!F38,0)</f>
        <v>28.2</v>
      </c>
      <c r="C38" s="2">
        <f>IF(D38=1,Fandual!H38,0)</f>
        <v>8500</v>
      </c>
      <c r="D38" s="2">
        <f>IF(Fandual!N38="yes",1,0)</f>
        <v>1</v>
      </c>
    </row>
    <row r="39" spans="1:4" x14ac:dyDescent="0.25">
      <c r="A39" s="2" t="str">
        <f>IF(D39=1,Fandual!D39,0)</f>
        <v>Jimmy Nelson</v>
      </c>
      <c r="B39" s="2">
        <f>IF(D39=1,Fandual!F39,0)</f>
        <v>35.296296296296298</v>
      </c>
      <c r="C39" s="2">
        <f>IF(D39=1,Fandual!H39,0)</f>
        <v>8500</v>
      </c>
      <c r="D39" s="2">
        <f>IF(Fandual!N39="yes",1,0)</f>
        <v>1</v>
      </c>
    </row>
    <row r="40" spans="1:4" x14ac:dyDescent="0.25">
      <c r="A40" s="2">
        <f>IF(D40=1,Fandual!D40,0)</f>
        <v>0</v>
      </c>
      <c r="B40" s="2">
        <f>IF(D40=1,Fandual!F40,0)</f>
        <v>0</v>
      </c>
      <c r="C40" s="2">
        <f>IF(D40=1,Fandual!H40,0)</f>
        <v>0</v>
      </c>
      <c r="D40" s="2">
        <f>IF(Fandual!N40="yes",1,0)</f>
        <v>0</v>
      </c>
    </row>
    <row r="41" spans="1:4" x14ac:dyDescent="0.25">
      <c r="A41" s="2">
        <f>IF(D41=1,Fandual!D41,0)</f>
        <v>0</v>
      </c>
      <c r="B41" s="2">
        <f>IF(D41=1,Fandual!F41,0)</f>
        <v>0</v>
      </c>
      <c r="C41" s="2">
        <f>IF(D41=1,Fandual!H41,0)</f>
        <v>0</v>
      </c>
      <c r="D41" s="2">
        <f>IF(Fandual!N41="yes",1,0)</f>
        <v>0</v>
      </c>
    </row>
    <row r="42" spans="1:4" x14ac:dyDescent="0.25">
      <c r="A42" s="2">
        <f>IF(D42=1,Fandual!D42,0)</f>
        <v>0</v>
      </c>
      <c r="B42" s="2">
        <f>IF(D42=1,Fandual!F42,0)</f>
        <v>0</v>
      </c>
      <c r="C42" s="2">
        <f>IF(D42=1,Fandual!H42,0)</f>
        <v>0</v>
      </c>
      <c r="D42" s="2">
        <f>IF(Fandual!N42="yes",1,0)</f>
        <v>0</v>
      </c>
    </row>
    <row r="43" spans="1:4" x14ac:dyDescent="0.25">
      <c r="A43" s="2">
        <f>IF(D43=1,Fandual!D43,0)</f>
        <v>0</v>
      </c>
      <c r="B43" s="2">
        <f>IF(D43=1,Fandual!F43,0)</f>
        <v>0</v>
      </c>
      <c r="C43" s="2">
        <f>IF(D43=1,Fandual!H43,0)</f>
        <v>0</v>
      </c>
      <c r="D43" s="2">
        <f>IF(Fandual!N43="yes",1,0)</f>
        <v>0</v>
      </c>
    </row>
    <row r="44" spans="1:4" x14ac:dyDescent="0.25">
      <c r="A44" s="2">
        <f>IF(D44=1,Fandual!D44,0)</f>
        <v>0</v>
      </c>
      <c r="B44" s="2">
        <f>IF(D44=1,Fandual!F44,0)</f>
        <v>0</v>
      </c>
      <c r="C44" s="2">
        <f>IF(D44=1,Fandual!H44,0)</f>
        <v>0</v>
      </c>
      <c r="D44" s="2">
        <f>IF(Fandual!N44="yes",1,0)</f>
        <v>0</v>
      </c>
    </row>
    <row r="45" spans="1:4" x14ac:dyDescent="0.25">
      <c r="A45" s="2">
        <f>IF(D45=1,Fandual!D45,0)</f>
        <v>0</v>
      </c>
      <c r="B45" s="2">
        <f>IF(D45=1,Fandual!F45,0)</f>
        <v>0</v>
      </c>
      <c r="C45" s="2">
        <f>IF(D45=1,Fandual!H45,0)</f>
        <v>0</v>
      </c>
      <c r="D45" s="2">
        <f>IF(Fandual!N45="yes",1,0)</f>
        <v>0</v>
      </c>
    </row>
    <row r="46" spans="1:4" x14ac:dyDescent="0.25">
      <c r="A46" s="2">
        <f>IF(D46=1,Fandual!D46,0)</f>
        <v>0</v>
      </c>
      <c r="B46" s="2">
        <f>IF(D46=1,Fandual!F46,0)</f>
        <v>0</v>
      </c>
      <c r="C46" s="2">
        <f>IF(D46=1,Fandual!H46,0)</f>
        <v>0</v>
      </c>
      <c r="D46" s="2">
        <f>IF(Fandual!N46="yes",1,0)</f>
        <v>0</v>
      </c>
    </row>
    <row r="47" spans="1:4" x14ac:dyDescent="0.25">
      <c r="A47" s="2">
        <f>IF(D47=1,Fandual!D47,0)</f>
        <v>0</v>
      </c>
      <c r="B47" s="2">
        <f>IF(D47=1,Fandual!F47,0)</f>
        <v>0</v>
      </c>
      <c r="C47" s="2">
        <f>IF(D47=1,Fandual!H47,0)</f>
        <v>0</v>
      </c>
      <c r="D47" s="2">
        <f>IF(Fandual!N47="yes",1,0)</f>
        <v>0</v>
      </c>
    </row>
    <row r="48" spans="1:4" x14ac:dyDescent="0.25">
      <c r="A48" s="2">
        <f>IF(D48=1,Fandual!D48,0)</f>
        <v>0</v>
      </c>
      <c r="B48" s="2">
        <f>IF(D48=1,Fandual!F48,0)</f>
        <v>0</v>
      </c>
      <c r="C48" s="2">
        <f>IF(D48=1,Fandual!H48,0)</f>
        <v>0</v>
      </c>
      <c r="D48" s="2">
        <f>IF(Fandual!N48="yes",1,0)</f>
        <v>0</v>
      </c>
    </row>
    <row r="49" spans="1:4" x14ac:dyDescent="0.25">
      <c r="A49" s="2">
        <f>IF(D49=1,Fandual!D49,0)</f>
        <v>0</v>
      </c>
      <c r="B49" s="2">
        <f>IF(D49=1,Fandual!F49,0)</f>
        <v>0</v>
      </c>
      <c r="C49" s="2">
        <f>IF(D49=1,Fandual!H49,0)</f>
        <v>0</v>
      </c>
      <c r="D49" s="2">
        <f>IF(Fandual!N49="yes",1,0)</f>
        <v>0</v>
      </c>
    </row>
    <row r="50" spans="1:4" x14ac:dyDescent="0.25">
      <c r="A50" s="2" t="str">
        <f>IF(D50=1,Fandual!D50,0)</f>
        <v>Tanner Roark</v>
      </c>
      <c r="B50" s="2">
        <f>IF(D50=1,Fandual!F50,0)</f>
        <v>28.038461538461501</v>
      </c>
      <c r="C50" s="2">
        <f>IF(D50=1,Fandual!H50,0)</f>
        <v>8100</v>
      </c>
      <c r="D50" s="2">
        <f>IF(Fandual!N50="yes",1,0)</f>
        <v>1</v>
      </c>
    </row>
    <row r="51" spans="1:4" x14ac:dyDescent="0.25">
      <c r="A51" s="2">
        <f>IF(D51=1,Fandual!D51,0)</f>
        <v>0</v>
      </c>
      <c r="B51" s="2">
        <f>IF(D51=1,Fandual!F51,0)</f>
        <v>0</v>
      </c>
      <c r="C51" s="2">
        <f>IF(D51=1,Fandual!H51,0)</f>
        <v>0</v>
      </c>
      <c r="D51" s="2">
        <f>IF(Fandual!N51="yes",1,0)</f>
        <v>0</v>
      </c>
    </row>
    <row r="52" spans="1:4" x14ac:dyDescent="0.25">
      <c r="A52" s="2" t="str">
        <f>IF(D52=1,Fandual!D52,0)</f>
        <v>Luis Castillo</v>
      </c>
      <c r="B52" s="2">
        <f>IF(D52=1,Fandual!F52,0)</f>
        <v>33.615384615384599</v>
      </c>
      <c r="C52" s="2">
        <f>IF(D52=1,Fandual!H52,0)</f>
        <v>8100</v>
      </c>
      <c r="D52" s="2">
        <f>IF(Fandual!N52="yes",1,0)</f>
        <v>1</v>
      </c>
    </row>
    <row r="53" spans="1:4" x14ac:dyDescent="0.25">
      <c r="A53" s="2">
        <f>IF(D53=1,Fandual!D53,0)</f>
        <v>0</v>
      </c>
      <c r="B53" s="2">
        <f>IF(D53=1,Fandual!F53,0)</f>
        <v>0</v>
      </c>
      <c r="C53" s="2">
        <f>IF(D53=1,Fandual!H53,0)</f>
        <v>0</v>
      </c>
      <c r="D53" s="2">
        <f>IF(Fandual!N53="yes",1,0)</f>
        <v>0</v>
      </c>
    </row>
    <row r="54" spans="1:4" x14ac:dyDescent="0.25">
      <c r="A54" s="2">
        <f>IF(D54=1,Fandual!D54,0)</f>
        <v>0</v>
      </c>
      <c r="B54" s="2">
        <f>IF(D54=1,Fandual!F54,0)</f>
        <v>0</v>
      </c>
      <c r="C54" s="2">
        <f>IF(D54=1,Fandual!H54,0)</f>
        <v>0</v>
      </c>
      <c r="D54" s="2">
        <f>IF(Fandual!N54="yes",1,0)</f>
        <v>0</v>
      </c>
    </row>
    <row r="55" spans="1:4" x14ac:dyDescent="0.25">
      <c r="A55" s="2">
        <f>IF(D55=1,Fandual!D55,0)</f>
        <v>0</v>
      </c>
      <c r="B55" s="2">
        <f>IF(D55=1,Fandual!F55,0)</f>
        <v>0</v>
      </c>
      <c r="C55" s="2">
        <f>IF(D55=1,Fandual!H55,0)</f>
        <v>0</v>
      </c>
      <c r="D55" s="2">
        <f>IF(Fandual!N55="yes",1,0)</f>
        <v>0</v>
      </c>
    </row>
    <row r="56" spans="1:4" x14ac:dyDescent="0.25">
      <c r="A56" s="2" t="str">
        <f>IF(D56=1,Fandual!D56,0)</f>
        <v>Johnny Cueto</v>
      </c>
      <c r="B56" s="2">
        <f>IF(D56=1,Fandual!F56,0)</f>
        <v>29.210526315789402</v>
      </c>
      <c r="C56" s="2">
        <f>IF(D56=1,Fandual!H56,0)</f>
        <v>8000</v>
      </c>
      <c r="D56" s="2">
        <f>IF(Fandual!N56="yes",1,0)</f>
        <v>1</v>
      </c>
    </row>
    <row r="57" spans="1:4" x14ac:dyDescent="0.25">
      <c r="A57" s="2">
        <f>IF(D57=1,Fandual!D57,0)</f>
        <v>0</v>
      </c>
      <c r="B57" s="2">
        <f>IF(D57=1,Fandual!F57,0)</f>
        <v>0</v>
      </c>
      <c r="C57" s="2">
        <f>IF(D57=1,Fandual!H57,0)</f>
        <v>0</v>
      </c>
      <c r="D57" s="2">
        <f>IF(Fandual!N57="yes",1,0)</f>
        <v>0</v>
      </c>
    </row>
    <row r="58" spans="1:4" x14ac:dyDescent="0.25">
      <c r="A58" s="2">
        <f>IF(D58=1,Fandual!D58,0)</f>
        <v>0</v>
      </c>
      <c r="B58" s="2">
        <f>IF(D58=1,Fandual!F58,0)</f>
        <v>0</v>
      </c>
      <c r="C58" s="2">
        <f>IF(D58=1,Fandual!H58,0)</f>
        <v>0</v>
      </c>
      <c r="D58" s="2">
        <f>IF(Fandual!N58="yes",1,0)</f>
        <v>0</v>
      </c>
    </row>
    <row r="59" spans="1:4" x14ac:dyDescent="0.25">
      <c r="A59" s="2">
        <f>IF(D59=1,Fandual!D59,0)</f>
        <v>0</v>
      </c>
      <c r="B59" s="2">
        <f>IF(D59=1,Fandual!F59,0)</f>
        <v>0</v>
      </c>
      <c r="C59" s="2">
        <f>IF(D59=1,Fandual!H59,0)</f>
        <v>0</v>
      </c>
      <c r="D59" s="2">
        <f>IF(Fandual!N59="yes",1,0)</f>
        <v>0</v>
      </c>
    </row>
    <row r="60" spans="1:4" x14ac:dyDescent="0.25">
      <c r="A60" s="2">
        <f>IF(D60=1,Fandual!D60,0)</f>
        <v>0</v>
      </c>
      <c r="B60" s="2">
        <f>IF(D60=1,Fandual!F60,0)</f>
        <v>0</v>
      </c>
      <c r="C60" s="2">
        <f>IF(D60=1,Fandual!H60,0)</f>
        <v>0</v>
      </c>
      <c r="D60" s="2">
        <f>IF(Fandual!N60="yes",1,0)</f>
        <v>0</v>
      </c>
    </row>
    <row r="61" spans="1:4" x14ac:dyDescent="0.25">
      <c r="A61" s="2">
        <f>IF(D61=1,Fandual!D61,0)</f>
        <v>0</v>
      </c>
      <c r="B61" s="2">
        <f>IF(D61=1,Fandual!F61,0)</f>
        <v>0</v>
      </c>
      <c r="C61" s="2">
        <f>IF(D61=1,Fandual!H61,0)</f>
        <v>0</v>
      </c>
      <c r="D61" s="2">
        <f>IF(Fandual!N61="yes",1,0)</f>
        <v>0</v>
      </c>
    </row>
    <row r="62" spans="1:4" x14ac:dyDescent="0.25">
      <c r="A62" s="2">
        <f>IF(D62=1,Fandual!D62,0)</f>
        <v>0</v>
      </c>
      <c r="B62" s="2">
        <f>IF(D62=1,Fandual!F62,0)</f>
        <v>0</v>
      </c>
      <c r="C62" s="2">
        <f>IF(D62=1,Fandual!H62,0)</f>
        <v>0</v>
      </c>
      <c r="D62" s="2">
        <f>IF(Fandual!N62="yes",1,0)</f>
        <v>0</v>
      </c>
    </row>
    <row r="63" spans="1:4" x14ac:dyDescent="0.25">
      <c r="A63" s="2">
        <f>IF(D63=1,Fandual!D63,0)</f>
        <v>0</v>
      </c>
      <c r="B63" s="2">
        <f>IF(D63=1,Fandual!F63,0)</f>
        <v>0</v>
      </c>
      <c r="C63" s="2">
        <f>IF(D63=1,Fandual!H63,0)</f>
        <v>0</v>
      </c>
      <c r="D63" s="2">
        <f>IF(Fandual!N63="yes",1,0)</f>
        <v>0</v>
      </c>
    </row>
    <row r="64" spans="1:4" x14ac:dyDescent="0.25">
      <c r="A64" s="2" t="str">
        <f>IF(D64=1,Fandual!D64,0)</f>
        <v>Dinelson Lamet</v>
      </c>
      <c r="B64" s="2">
        <f>IF(D64=1,Fandual!F64,0)</f>
        <v>31.9375</v>
      </c>
      <c r="C64" s="2">
        <f>IF(D64=1,Fandual!H64,0)</f>
        <v>7600</v>
      </c>
      <c r="D64" s="2">
        <f>IF(Fandual!N64="yes",1,0)</f>
        <v>1</v>
      </c>
    </row>
    <row r="65" spans="1:4" x14ac:dyDescent="0.25">
      <c r="A65" s="2">
        <f>IF(D65=1,Fandual!D65,0)</f>
        <v>0</v>
      </c>
      <c r="B65" s="2">
        <f>IF(D65=1,Fandual!F65,0)</f>
        <v>0</v>
      </c>
      <c r="C65" s="2">
        <f>IF(D65=1,Fandual!H65,0)</f>
        <v>0</v>
      </c>
      <c r="D65" s="2">
        <f>IF(Fandual!N65="yes",1,0)</f>
        <v>0</v>
      </c>
    </row>
    <row r="66" spans="1:4" x14ac:dyDescent="0.25">
      <c r="A66" s="2">
        <f>IF(D66=1,Fandual!D66,0)</f>
        <v>0</v>
      </c>
      <c r="B66" s="2">
        <f>IF(D66=1,Fandual!F66,0)</f>
        <v>0</v>
      </c>
      <c r="C66" s="2">
        <f>IF(D66=1,Fandual!H66,0)</f>
        <v>0</v>
      </c>
      <c r="D66" s="2">
        <f>IF(Fandual!N66="yes",1,0)</f>
        <v>0</v>
      </c>
    </row>
    <row r="67" spans="1:4" x14ac:dyDescent="0.25">
      <c r="A67" s="2">
        <f>IF(D67=1,Fandual!D67,0)</f>
        <v>0</v>
      </c>
      <c r="B67" s="2">
        <f>IF(D67=1,Fandual!F67,0)</f>
        <v>0</v>
      </c>
      <c r="C67" s="2">
        <f>IF(D67=1,Fandual!H67,0)</f>
        <v>0</v>
      </c>
      <c r="D67" s="2">
        <f>IF(Fandual!N67="yes",1,0)</f>
        <v>0</v>
      </c>
    </row>
    <row r="68" spans="1:4" x14ac:dyDescent="0.25">
      <c r="A68" s="2">
        <f>IF(D68=1,Fandual!D68,0)</f>
        <v>0</v>
      </c>
      <c r="B68" s="2">
        <f>IF(D68=1,Fandual!F68,0)</f>
        <v>0</v>
      </c>
      <c r="C68" s="2">
        <f>IF(D68=1,Fandual!H68,0)</f>
        <v>0</v>
      </c>
      <c r="D68" s="2">
        <f>IF(Fandual!N68="yes",1,0)</f>
        <v>0</v>
      </c>
    </row>
    <row r="69" spans="1:4" x14ac:dyDescent="0.25">
      <c r="A69" s="2">
        <f>IF(D69=1,Fandual!D69,0)</f>
        <v>0</v>
      </c>
      <c r="B69" s="2">
        <f>IF(D69=1,Fandual!F69,0)</f>
        <v>0</v>
      </c>
      <c r="C69" s="2">
        <f>IF(D69=1,Fandual!H69,0)</f>
        <v>0</v>
      </c>
      <c r="D69" s="2">
        <f>IF(Fandual!N69="yes",1,0)</f>
        <v>0</v>
      </c>
    </row>
    <row r="70" spans="1:4" x14ac:dyDescent="0.25">
      <c r="A70" s="2">
        <f>IF(D70=1,Fandual!D70,0)</f>
        <v>0</v>
      </c>
      <c r="B70" s="2">
        <f>IF(D70=1,Fandual!F70,0)</f>
        <v>0</v>
      </c>
      <c r="C70" s="2">
        <f>IF(D70=1,Fandual!H70,0)</f>
        <v>0</v>
      </c>
      <c r="D70" s="2">
        <f>IF(Fandual!N70="yes",1,0)</f>
        <v>0</v>
      </c>
    </row>
    <row r="71" spans="1:4" x14ac:dyDescent="0.25">
      <c r="A71" s="2">
        <f>IF(D71=1,Fandual!D71,0)</f>
        <v>0</v>
      </c>
      <c r="B71" s="2">
        <f>IF(D71=1,Fandual!F71,0)</f>
        <v>0</v>
      </c>
      <c r="C71" s="2">
        <f>IF(D71=1,Fandual!H71,0)</f>
        <v>0</v>
      </c>
      <c r="D71" s="2">
        <f>IF(Fandual!N71="yes",1,0)</f>
        <v>0</v>
      </c>
    </row>
    <row r="72" spans="1:4" x14ac:dyDescent="0.25">
      <c r="A72" s="2" t="str">
        <f>IF(D72=1,Fandual!D72,0)</f>
        <v>Doug Fister</v>
      </c>
      <c r="B72" s="2">
        <f>IF(D72=1,Fandual!F72,0)</f>
        <v>23.3333333333333</v>
      </c>
      <c r="C72" s="2">
        <f>IF(D72=1,Fandual!H72,0)</f>
        <v>7500</v>
      </c>
      <c r="D72" s="2">
        <f>IF(Fandual!N72="yes",1,0)</f>
        <v>1</v>
      </c>
    </row>
    <row r="73" spans="1:4" x14ac:dyDescent="0.25">
      <c r="A73" s="2">
        <f>IF(D73=1,Fandual!D73,0)</f>
        <v>0</v>
      </c>
      <c r="B73" s="2">
        <f>IF(D73=1,Fandual!F73,0)</f>
        <v>0</v>
      </c>
      <c r="C73" s="2">
        <f>IF(D73=1,Fandual!H73,0)</f>
        <v>0</v>
      </c>
      <c r="D73" s="2">
        <f>IF(Fandual!N73="yes",1,0)</f>
        <v>0</v>
      </c>
    </row>
    <row r="74" spans="1:4" x14ac:dyDescent="0.25">
      <c r="A74" s="2">
        <f>IF(D74=1,Fandual!D74,0)</f>
        <v>0</v>
      </c>
      <c r="B74" s="2">
        <f>IF(D74=1,Fandual!F74,0)</f>
        <v>0</v>
      </c>
      <c r="C74" s="2">
        <f>IF(D74=1,Fandual!H74,0)</f>
        <v>0</v>
      </c>
      <c r="D74" s="2">
        <f>IF(Fandual!N74="yes",1,0)</f>
        <v>0</v>
      </c>
    </row>
    <row r="75" spans="1:4" x14ac:dyDescent="0.25">
      <c r="A75" s="2">
        <f>IF(D75=1,Fandual!D75,0)</f>
        <v>0</v>
      </c>
      <c r="B75" s="2">
        <f>IF(D75=1,Fandual!F75,0)</f>
        <v>0</v>
      </c>
      <c r="C75" s="2">
        <f>IF(D75=1,Fandual!H75,0)</f>
        <v>0</v>
      </c>
      <c r="D75" s="2">
        <f>IF(Fandual!N75="yes",1,0)</f>
        <v>0</v>
      </c>
    </row>
    <row r="76" spans="1:4" x14ac:dyDescent="0.25">
      <c r="A76" s="2" t="str">
        <f>IF(D76=1,Fandual!D76,0)</f>
        <v>Blake Snell</v>
      </c>
      <c r="B76" s="2">
        <f>IF(D76=1,Fandual!F76,0)</f>
        <v>24.6666666666666</v>
      </c>
      <c r="C76" s="2">
        <f>IF(D76=1,Fandual!H76,0)</f>
        <v>7300</v>
      </c>
      <c r="D76" s="2">
        <f>IF(Fandual!N76="yes",1,0)</f>
        <v>1</v>
      </c>
    </row>
    <row r="77" spans="1:4" x14ac:dyDescent="0.25">
      <c r="A77" s="2">
        <f>IF(D77=1,Fandual!D77,0)</f>
        <v>0</v>
      </c>
      <c r="B77" s="2">
        <f>IF(D77=1,Fandual!F77,0)</f>
        <v>0</v>
      </c>
      <c r="C77" s="2">
        <f>IF(D77=1,Fandual!H77,0)</f>
        <v>0</v>
      </c>
      <c r="D77" s="2">
        <f>IF(Fandual!N77="yes",1,0)</f>
        <v>0</v>
      </c>
    </row>
    <row r="78" spans="1:4" x14ac:dyDescent="0.25">
      <c r="A78" s="2">
        <f>IF(D78=1,Fandual!D78,0)</f>
        <v>0</v>
      </c>
      <c r="B78" s="2">
        <f>IF(D78=1,Fandual!F78,0)</f>
        <v>0</v>
      </c>
      <c r="C78" s="2">
        <f>IF(D78=1,Fandual!H78,0)</f>
        <v>0</v>
      </c>
      <c r="D78" s="2">
        <f>IF(Fandual!N78="yes",1,0)</f>
        <v>0</v>
      </c>
    </row>
    <row r="79" spans="1:4" x14ac:dyDescent="0.25">
      <c r="A79" s="2">
        <f>IF(D79=1,Fandual!D79,0)</f>
        <v>0</v>
      </c>
      <c r="B79" s="2">
        <f>IF(D79=1,Fandual!F79,0)</f>
        <v>0</v>
      </c>
      <c r="C79" s="2">
        <f>IF(D79=1,Fandual!H79,0)</f>
        <v>0</v>
      </c>
      <c r="D79" s="2">
        <f>IF(Fandual!N79="yes",1,0)</f>
        <v>0</v>
      </c>
    </row>
    <row r="80" spans="1:4" x14ac:dyDescent="0.25">
      <c r="A80" s="2">
        <f>IF(D80=1,Fandual!D80,0)</f>
        <v>0</v>
      </c>
      <c r="B80" s="2">
        <f>IF(D80=1,Fandual!F80,0)</f>
        <v>0</v>
      </c>
      <c r="C80" s="2">
        <f>IF(D80=1,Fandual!H80,0)</f>
        <v>0</v>
      </c>
      <c r="D80" s="2">
        <f>IF(Fandual!N80="yes",1,0)</f>
        <v>0</v>
      </c>
    </row>
    <row r="81" spans="1:4" x14ac:dyDescent="0.25">
      <c r="A81" s="2">
        <f>IF(D81=1,Fandual!D81,0)</f>
        <v>0</v>
      </c>
      <c r="B81" s="2">
        <f>IF(D81=1,Fandual!F81,0)</f>
        <v>0</v>
      </c>
      <c r="C81" s="2">
        <f>IF(D81=1,Fandual!H81,0)</f>
        <v>0</v>
      </c>
      <c r="D81" s="2">
        <f>IF(Fandual!N81="yes",1,0)</f>
        <v>0</v>
      </c>
    </row>
    <row r="82" spans="1:4" x14ac:dyDescent="0.25">
      <c r="A82" s="2">
        <f>IF(D82=1,Fandual!D82,0)</f>
        <v>0</v>
      </c>
      <c r="B82" s="2">
        <f>IF(D82=1,Fandual!F82,0)</f>
        <v>0</v>
      </c>
      <c r="C82" s="2">
        <f>IF(D82=1,Fandual!H82,0)</f>
        <v>0</v>
      </c>
      <c r="D82" s="2">
        <f>IF(Fandual!N82="yes",1,0)</f>
        <v>0</v>
      </c>
    </row>
    <row r="83" spans="1:4" x14ac:dyDescent="0.25">
      <c r="A83" s="2">
        <f>IF(D83=1,Fandual!D83,0)</f>
        <v>0</v>
      </c>
      <c r="B83" s="2">
        <f>IF(D83=1,Fandual!F83,0)</f>
        <v>0</v>
      </c>
      <c r="C83" s="2">
        <f>IF(D83=1,Fandual!H83,0)</f>
        <v>0</v>
      </c>
      <c r="D83" s="2">
        <f>IF(Fandual!N83="yes",1,0)</f>
        <v>0</v>
      </c>
    </row>
    <row r="84" spans="1:4" x14ac:dyDescent="0.25">
      <c r="A84" s="2">
        <f>IF(D84=1,Fandual!D84,0)</f>
        <v>0</v>
      </c>
      <c r="B84" s="2">
        <f>IF(D84=1,Fandual!F84,0)</f>
        <v>0</v>
      </c>
      <c r="C84" s="2">
        <f>IF(D84=1,Fandual!H84,0)</f>
        <v>0</v>
      </c>
      <c r="D84" s="2">
        <f>IF(Fandual!N84="yes",1,0)</f>
        <v>0</v>
      </c>
    </row>
    <row r="85" spans="1:4" x14ac:dyDescent="0.25">
      <c r="A85" s="2">
        <f>IF(D85=1,Fandual!D85,0)</f>
        <v>0</v>
      </c>
      <c r="B85" s="2">
        <f>IF(D85=1,Fandual!F85,0)</f>
        <v>0</v>
      </c>
      <c r="C85" s="2">
        <f>IF(D85=1,Fandual!H85,0)</f>
        <v>0</v>
      </c>
      <c r="D85" s="2">
        <f>IF(Fandual!N85="yes",1,0)</f>
        <v>0</v>
      </c>
    </row>
    <row r="86" spans="1:4" x14ac:dyDescent="0.25">
      <c r="A86" s="2">
        <f>IF(D86=1,Fandual!D86,0)</f>
        <v>0</v>
      </c>
      <c r="B86" s="2">
        <f>IF(D86=1,Fandual!F86,0)</f>
        <v>0</v>
      </c>
      <c r="C86" s="2">
        <f>IF(D86=1,Fandual!H86,0)</f>
        <v>0</v>
      </c>
      <c r="D86" s="2">
        <f>IF(Fandual!N86="yes",1,0)</f>
        <v>0</v>
      </c>
    </row>
    <row r="87" spans="1:4" x14ac:dyDescent="0.25">
      <c r="A87" s="2">
        <f>IF(D87=1,Fandual!D87,0)</f>
        <v>0</v>
      </c>
      <c r="B87" s="2">
        <f>IF(D87=1,Fandual!F87,0)</f>
        <v>0</v>
      </c>
      <c r="C87" s="2">
        <f>IF(D87=1,Fandual!H87,0)</f>
        <v>0</v>
      </c>
      <c r="D87" s="2">
        <f>IF(Fandual!N87="yes",1,0)</f>
        <v>0</v>
      </c>
    </row>
    <row r="88" spans="1:4" x14ac:dyDescent="0.25">
      <c r="A88" s="2">
        <f>IF(D88=1,Fandual!D88,0)</f>
        <v>0</v>
      </c>
      <c r="B88" s="2">
        <f>IF(D88=1,Fandual!F88,0)</f>
        <v>0</v>
      </c>
      <c r="C88" s="2">
        <f>IF(D88=1,Fandual!H88,0)</f>
        <v>0</v>
      </c>
      <c r="D88" s="2">
        <f>IF(Fandual!N88="yes",1,0)</f>
        <v>0</v>
      </c>
    </row>
    <row r="89" spans="1:4" x14ac:dyDescent="0.25">
      <c r="A89" s="2">
        <f>IF(D89=1,Fandual!D89,0)</f>
        <v>0</v>
      </c>
      <c r="B89" s="2">
        <f>IF(D89=1,Fandual!F89,0)</f>
        <v>0</v>
      </c>
      <c r="C89" s="2">
        <f>IF(D89=1,Fandual!H89,0)</f>
        <v>0</v>
      </c>
      <c r="D89" s="2">
        <f>IF(Fandual!N89="yes",1,0)</f>
        <v>0</v>
      </c>
    </row>
    <row r="90" spans="1:4" x14ac:dyDescent="0.25">
      <c r="A90" s="2">
        <f>IF(D90=1,Fandual!D90,0)</f>
        <v>0</v>
      </c>
      <c r="B90" s="2">
        <f>IF(D90=1,Fandual!F90,0)</f>
        <v>0</v>
      </c>
      <c r="C90" s="2">
        <f>IF(D90=1,Fandual!H90,0)</f>
        <v>0</v>
      </c>
      <c r="D90" s="2">
        <f>IF(Fandual!N90="yes",1,0)</f>
        <v>0</v>
      </c>
    </row>
    <row r="91" spans="1:4" x14ac:dyDescent="0.25">
      <c r="A91" s="2">
        <f>IF(D91=1,Fandual!D91,0)</f>
        <v>0</v>
      </c>
      <c r="B91" s="2">
        <f>IF(D91=1,Fandual!F91,0)</f>
        <v>0</v>
      </c>
      <c r="C91" s="2">
        <f>IF(D91=1,Fandual!H91,0)</f>
        <v>0</v>
      </c>
      <c r="D91" s="2">
        <f>IF(Fandual!N91="yes",1,0)</f>
        <v>0</v>
      </c>
    </row>
    <row r="92" spans="1:4" x14ac:dyDescent="0.25">
      <c r="A92" s="2">
        <f>IF(D92=1,Fandual!D92,0)</f>
        <v>0</v>
      </c>
      <c r="B92" s="2">
        <f>IF(D92=1,Fandual!F92,0)</f>
        <v>0</v>
      </c>
      <c r="C92" s="2">
        <f>IF(D92=1,Fandual!H92,0)</f>
        <v>0</v>
      </c>
      <c r="D92" s="2">
        <f>IF(Fandual!N92="yes",1,0)</f>
        <v>0</v>
      </c>
    </row>
    <row r="93" spans="1:4" x14ac:dyDescent="0.25">
      <c r="A93" s="2">
        <f>IF(D93=1,Fandual!D93,0)</f>
        <v>0</v>
      </c>
      <c r="B93" s="2">
        <f>IF(D93=1,Fandual!F93,0)</f>
        <v>0</v>
      </c>
      <c r="C93" s="2">
        <f>IF(D93=1,Fandual!H93,0)</f>
        <v>0</v>
      </c>
      <c r="D93" s="2">
        <f>IF(Fandual!N93="yes",1,0)</f>
        <v>0</v>
      </c>
    </row>
    <row r="94" spans="1:4" x14ac:dyDescent="0.25">
      <c r="A94" s="2" t="str">
        <f>IF(D94=1,Fandual!D94,0)</f>
        <v>Reynaldo Lopez</v>
      </c>
      <c r="B94" s="2">
        <f>IF(D94=1,Fandual!F94,0)</f>
        <v>23.5</v>
      </c>
      <c r="C94" s="2">
        <f>IF(D94=1,Fandual!H94,0)</f>
        <v>6800</v>
      </c>
      <c r="D94" s="2">
        <f>IF(Fandual!N94="yes",1,0)</f>
        <v>1</v>
      </c>
    </row>
    <row r="95" spans="1:4" x14ac:dyDescent="0.25">
      <c r="A95" s="2">
        <f>IF(D95=1,Fandual!D95,0)</f>
        <v>0</v>
      </c>
      <c r="B95" s="2">
        <f>IF(D95=1,Fandual!F95,0)</f>
        <v>0</v>
      </c>
      <c r="C95" s="2">
        <f>IF(D95=1,Fandual!H95,0)</f>
        <v>0</v>
      </c>
      <c r="D95" s="2">
        <f>IF(Fandual!N95="yes",1,0)</f>
        <v>0</v>
      </c>
    </row>
    <row r="96" spans="1:4" x14ac:dyDescent="0.25">
      <c r="A96" s="2">
        <f>IF(D96=1,Fandual!D96,0)</f>
        <v>0</v>
      </c>
      <c r="B96" s="2">
        <f>IF(D96=1,Fandual!F96,0)</f>
        <v>0</v>
      </c>
      <c r="C96" s="2">
        <f>IF(D96=1,Fandual!H96,0)</f>
        <v>0</v>
      </c>
      <c r="D96" s="2">
        <f>IF(Fandual!N96="yes",1,0)</f>
        <v>0</v>
      </c>
    </row>
    <row r="97" spans="1:4" x14ac:dyDescent="0.25">
      <c r="A97" s="2">
        <f>IF(D97=1,Fandual!D97,0)</f>
        <v>0</v>
      </c>
      <c r="B97" s="2">
        <f>IF(D97=1,Fandual!F97,0)</f>
        <v>0</v>
      </c>
      <c r="C97" s="2">
        <f>IF(D97=1,Fandual!H97,0)</f>
        <v>0</v>
      </c>
      <c r="D97" s="2">
        <f>IF(Fandual!N97="yes",1,0)</f>
        <v>0</v>
      </c>
    </row>
    <row r="98" spans="1:4" x14ac:dyDescent="0.25">
      <c r="A98" s="2">
        <f>IF(D98=1,Fandual!D98,0)</f>
        <v>0</v>
      </c>
      <c r="B98" s="2">
        <f>IF(D98=1,Fandual!F98,0)</f>
        <v>0</v>
      </c>
      <c r="C98" s="2">
        <f>IF(D98=1,Fandual!H98,0)</f>
        <v>0</v>
      </c>
      <c r="D98" s="2">
        <f>IF(Fandual!N98="yes",1,0)</f>
        <v>0</v>
      </c>
    </row>
    <row r="99" spans="1:4" x14ac:dyDescent="0.25">
      <c r="A99" s="2">
        <f>IF(D99=1,Fandual!D99,0)</f>
        <v>0</v>
      </c>
      <c r="B99" s="2">
        <f>IF(D99=1,Fandual!F99,0)</f>
        <v>0</v>
      </c>
      <c r="C99" s="2">
        <f>IF(D99=1,Fandual!H99,0)</f>
        <v>0</v>
      </c>
      <c r="D99" s="2">
        <f>IF(Fandual!N99="yes",1,0)</f>
        <v>0</v>
      </c>
    </row>
    <row r="100" spans="1:4" x14ac:dyDescent="0.25">
      <c r="A100" s="2">
        <f>IF(D100=1,Fandual!D100,0)</f>
        <v>0</v>
      </c>
      <c r="B100" s="2">
        <f>IF(D100=1,Fandual!F100,0)</f>
        <v>0</v>
      </c>
      <c r="C100" s="2">
        <f>IF(D100=1,Fandual!H100,0)</f>
        <v>0</v>
      </c>
      <c r="D100" s="2">
        <f>IF(Fandual!N100="yes",1,0)</f>
        <v>0</v>
      </c>
    </row>
    <row r="101" spans="1:4" x14ac:dyDescent="0.25">
      <c r="A101" s="2">
        <f>IF(D101=1,Fandual!D101,0)</f>
        <v>0</v>
      </c>
      <c r="B101" s="2">
        <f>IF(D101=1,Fandual!F101,0)</f>
        <v>0</v>
      </c>
      <c r="C101" s="2">
        <f>IF(D101=1,Fandual!H101,0)</f>
        <v>0</v>
      </c>
      <c r="D101" s="2">
        <f>IF(Fandual!N101="yes",1,0)</f>
        <v>0</v>
      </c>
    </row>
    <row r="102" spans="1:4" x14ac:dyDescent="0.25">
      <c r="A102" s="2">
        <f>IF(D102=1,Fandual!D102,0)</f>
        <v>0</v>
      </c>
      <c r="B102" s="2">
        <f>IF(D102=1,Fandual!F102,0)</f>
        <v>0</v>
      </c>
      <c r="C102" s="2">
        <f>IF(D102=1,Fandual!H102,0)</f>
        <v>0</v>
      </c>
      <c r="D102" s="2">
        <f>IF(Fandual!N102="yes",1,0)</f>
        <v>0</v>
      </c>
    </row>
    <row r="103" spans="1:4" x14ac:dyDescent="0.25">
      <c r="A103" s="2">
        <f>IF(D103=1,Fandual!D103,0)</f>
        <v>0</v>
      </c>
      <c r="B103" s="2">
        <f>IF(D103=1,Fandual!F103,0)</f>
        <v>0</v>
      </c>
      <c r="C103" s="2">
        <f>IF(D103=1,Fandual!H103,0)</f>
        <v>0</v>
      </c>
      <c r="D103" s="2">
        <f>IF(Fandual!N103="yes",1,0)</f>
        <v>0</v>
      </c>
    </row>
    <row r="104" spans="1:4" x14ac:dyDescent="0.25">
      <c r="A104" s="2">
        <f>IF(D104=1,Fandual!D104,0)</f>
        <v>0</v>
      </c>
      <c r="B104" s="2">
        <f>IF(D104=1,Fandual!F104,0)</f>
        <v>0</v>
      </c>
      <c r="C104" s="2">
        <f>IF(D104=1,Fandual!H104,0)</f>
        <v>0</v>
      </c>
      <c r="D104" s="2">
        <f>IF(Fandual!N104="yes",1,0)</f>
        <v>0</v>
      </c>
    </row>
    <row r="105" spans="1:4" x14ac:dyDescent="0.25">
      <c r="A105" s="2" t="str">
        <f>IF(D105=1,Fandual!D105,0)</f>
        <v>Nick Pivetta</v>
      </c>
      <c r="B105" s="2">
        <f>IF(D105=1,Fandual!F105,0)</f>
        <v>22.45</v>
      </c>
      <c r="C105" s="2">
        <f>IF(D105=1,Fandual!H105,0)</f>
        <v>6600</v>
      </c>
      <c r="D105" s="2">
        <f>IF(Fandual!N105="yes",1,0)</f>
        <v>1</v>
      </c>
    </row>
    <row r="106" spans="1:4" x14ac:dyDescent="0.25">
      <c r="A106" s="2">
        <f>IF(D106=1,Fandual!D106,0)</f>
        <v>0</v>
      </c>
      <c r="B106" s="2">
        <f>IF(D106=1,Fandual!F106,0)</f>
        <v>0</v>
      </c>
      <c r="C106" s="2">
        <f>IF(D106=1,Fandual!H106,0)</f>
        <v>0</v>
      </c>
      <c r="D106" s="2">
        <f>IF(Fandual!N106="yes",1,0)</f>
        <v>0</v>
      </c>
    </row>
    <row r="107" spans="1:4" x14ac:dyDescent="0.25">
      <c r="A107" s="2">
        <f>IF(D107=1,Fandual!D107,0)</f>
        <v>0</v>
      </c>
      <c r="B107" s="2">
        <f>IF(D107=1,Fandual!F107,0)</f>
        <v>0</v>
      </c>
      <c r="C107" s="2">
        <f>IF(D107=1,Fandual!H107,0)</f>
        <v>0</v>
      </c>
      <c r="D107" s="2">
        <f>IF(Fandual!N107="yes",1,0)</f>
        <v>0</v>
      </c>
    </row>
    <row r="108" spans="1:4" x14ac:dyDescent="0.25">
      <c r="A108" s="2">
        <f>IF(D108=1,Fandual!D108,0)</f>
        <v>0</v>
      </c>
      <c r="B108" s="2">
        <f>IF(D108=1,Fandual!F108,0)</f>
        <v>0</v>
      </c>
      <c r="C108" s="2">
        <f>IF(D108=1,Fandual!H108,0)</f>
        <v>0</v>
      </c>
      <c r="D108" s="2">
        <f>IF(Fandual!N108="yes",1,0)</f>
        <v>0</v>
      </c>
    </row>
    <row r="109" spans="1:4" x14ac:dyDescent="0.25">
      <c r="A109" s="2">
        <f>IF(D109=1,Fandual!D109,0)</f>
        <v>0</v>
      </c>
      <c r="B109" s="2">
        <f>IF(D109=1,Fandual!F109,0)</f>
        <v>0</v>
      </c>
      <c r="C109" s="2">
        <f>IF(D109=1,Fandual!H109,0)</f>
        <v>0</v>
      </c>
      <c r="D109" s="2">
        <f>IF(Fandual!N109="yes",1,0)</f>
        <v>0</v>
      </c>
    </row>
    <row r="110" spans="1:4" x14ac:dyDescent="0.25">
      <c r="A110" s="2">
        <f>IF(D110=1,Fandual!D110,0)</f>
        <v>0</v>
      </c>
      <c r="B110" s="2">
        <f>IF(D110=1,Fandual!F110,0)</f>
        <v>0</v>
      </c>
      <c r="C110" s="2">
        <f>IF(D110=1,Fandual!H110,0)</f>
        <v>0</v>
      </c>
      <c r="D110" s="2">
        <f>IF(Fandual!N110="yes",1,0)</f>
        <v>0</v>
      </c>
    </row>
    <row r="111" spans="1:4" x14ac:dyDescent="0.25">
      <c r="A111" s="2">
        <f>IF(D111=1,Fandual!D111,0)</f>
        <v>0</v>
      </c>
      <c r="B111" s="2">
        <f>IF(D111=1,Fandual!F111,0)</f>
        <v>0</v>
      </c>
      <c r="C111" s="2">
        <f>IF(D111=1,Fandual!H111,0)</f>
        <v>0</v>
      </c>
      <c r="D111" s="2">
        <f>IF(Fandual!N111="yes",1,0)</f>
        <v>0</v>
      </c>
    </row>
    <row r="112" spans="1:4" x14ac:dyDescent="0.25">
      <c r="A112" s="2">
        <f>IF(D112=1,Fandual!D112,0)</f>
        <v>0</v>
      </c>
      <c r="B112" s="2">
        <f>IF(D112=1,Fandual!F112,0)</f>
        <v>0</v>
      </c>
      <c r="C112" s="2">
        <f>IF(D112=1,Fandual!H112,0)</f>
        <v>0</v>
      </c>
      <c r="D112" s="2">
        <f>IF(Fandual!N112="yes",1,0)</f>
        <v>0</v>
      </c>
    </row>
    <row r="113" spans="1:4" x14ac:dyDescent="0.25">
      <c r="A113" s="2">
        <f>IF(D113=1,Fandual!D113,0)</f>
        <v>0</v>
      </c>
      <c r="B113" s="2">
        <f>IF(D113=1,Fandual!F113,0)</f>
        <v>0</v>
      </c>
      <c r="C113" s="2">
        <f>IF(D113=1,Fandual!H113,0)</f>
        <v>0</v>
      </c>
      <c r="D113" s="2">
        <f>IF(Fandual!N113="yes",1,0)</f>
        <v>0</v>
      </c>
    </row>
    <row r="114" spans="1:4" x14ac:dyDescent="0.25">
      <c r="A114" s="2">
        <f>IF(D114=1,Fandual!D114,0)</f>
        <v>0</v>
      </c>
      <c r="B114" s="2">
        <f>IF(D114=1,Fandual!F114,0)</f>
        <v>0</v>
      </c>
      <c r="C114" s="2">
        <f>IF(D114=1,Fandual!H114,0)</f>
        <v>0</v>
      </c>
      <c r="D114" s="2">
        <f>IF(Fandual!N114="yes",1,0)</f>
        <v>0</v>
      </c>
    </row>
    <row r="115" spans="1:4" x14ac:dyDescent="0.25">
      <c r="A115" s="2">
        <f>IF(D115=1,Fandual!D115,0)</f>
        <v>0</v>
      </c>
      <c r="B115" s="2">
        <f>IF(D115=1,Fandual!F115,0)</f>
        <v>0</v>
      </c>
      <c r="C115" s="2">
        <f>IF(D115=1,Fandual!H115,0)</f>
        <v>0</v>
      </c>
      <c r="D115" s="2">
        <f>IF(Fandual!N115="yes",1,0)</f>
        <v>0</v>
      </c>
    </row>
    <row r="116" spans="1:4" x14ac:dyDescent="0.25">
      <c r="A116" s="2">
        <f>IF(D116=1,Fandual!D116,0)</f>
        <v>0</v>
      </c>
      <c r="B116" s="2">
        <f>IF(D116=1,Fandual!F116,0)</f>
        <v>0</v>
      </c>
      <c r="C116" s="2">
        <f>IF(D116=1,Fandual!H116,0)</f>
        <v>0</v>
      </c>
      <c r="D116" s="2">
        <f>IF(Fandual!N116="yes",1,0)</f>
        <v>0</v>
      </c>
    </row>
    <row r="117" spans="1:4" x14ac:dyDescent="0.25">
      <c r="A117" s="2">
        <f>IF(D117=1,Fandual!D117,0)</f>
        <v>0</v>
      </c>
      <c r="B117" s="2">
        <f>IF(D117=1,Fandual!F117,0)</f>
        <v>0</v>
      </c>
      <c r="C117" s="2">
        <f>IF(D117=1,Fandual!H117,0)</f>
        <v>0</v>
      </c>
      <c r="D117" s="2">
        <f>IF(Fandual!N117="yes",1,0)</f>
        <v>0</v>
      </c>
    </row>
    <row r="118" spans="1:4" x14ac:dyDescent="0.25">
      <c r="A118" s="2">
        <f>IF(D118=1,Fandual!D118,0)</f>
        <v>0</v>
      </c>
      <c r="B118" s="2">
        <f>IF(D118=1,Fandual!F118,0)</f>
        <v>0</v>
      </c>
      <c r="C118" s="2">
        <f>IF(D118=1,Fandual!H118,0)</f>
        <v>0</v>
      </c>
      <c r="D118" s="2">
        <f>IF(Fandual!N118="yes",1,0)</f>
        <v>0</v>
      </c>
    </row>
    <row r="119" spans="1:4" x14ac:dyDescent="0.25">
      <c r="A119" s="2">
        <f>IF(D119=1,Fandual!D119,0)</f>
        <v>0</v>
      </c>
      <c r="B119" s="2">
        <f>IF(D119=1,Fandual!F119,0)</f>
        <v>0</v>
      </c>
      <c r="C119" s="2">
        <f>IF(D119=1,Fandual!H119,0)</f>
        <v>0</v>
      </c>
      <c r="D119" s="2">
        <f>IF(Fandual!N119="yes",1,0)</f>
        <v>0</v>
      </c>
    </row>
    <row r="120" spans="1:4" x14ac:dyDescent="0.25">
      <c r="A120" s="2">
        <f>IF(D120=1,Fandual!D120,0)</f>
        <v>0</v>
      </c>
      <c r="B120" s="2">
        <f>IF(D120=1,Fandual!F120,0)</f>
        <v>0</v>
      </c>
      <c r="C120" s="2">
        <f>IF(D120=1,Fandual!H120,0)</f>
        <v>0</v>
      </c>
      <c r="D120" s="2">
        <f>IF(Fandual!N120="yes",1,0)</f>
        <v>0</v>
      </c>
    </row>
    <row r="121" spans="1:4" x14ac:dyDescent="0.25">
      <c r="A121" s="2">
        <f>IF(D121=1,Fandual!D121,0)</f>
        <v>0</v>
      </c>
      <c r="B121" s="2">
        <f>IF(D121=1,Fandual!F121,0)</f>
        <v>0</v>
      </c>
      <c r="C121" s="2">
        <f>IF(D121=1,Fandual!H121,0)</f>
        <v>0</v>
      </c>
      <c r="D121" s="2">
        <f>IF(Fandual!N121="yes",1,0)</f>
        <v>0</v>
      </c>
    </row>
    <row r="122" spans="1:4" x14ac:dyDescent="0.25">
      <c r="A122" s="2" t="str">
        <f>IF(D122=1,Fandual!D122,0)</f>
        <v>Mike Leake</v>
      </c>
      <c r="B122" s="2">
        <f>IF(D122=1,Fandual!F122,0)</f>
        <v>24.185185185185102</v>
      </c>
      <c r="C122" s="2">
        <f>IF(D122=1,Fandual!H122,0)</f>
        <v>6500</v>
      </c>
      <c r="D122" s="2">
        <f>IF(Fandual!N122="yes",1,0)</f>
        <v>1</v>
      </c>
    </row>
    <row r="123" spans="1:4" x14ac:dyDescent="0.25">
      <c r="A123" s="2" t="str">
        <f>IF(D123=1,Fandual!D123,0)</f>
        <v>Jason Hammel</v>
      </c>
      <c r="B123" s="2">
        <f>IF(D123=1,Fandual!F123,0)</f>
        <v>24.730769230769202</v>
      </c>
      <c r="C123" s="2">
        <f>IF(D123=1,Fandual!H123,0)</f>
        <v>6500</v>
      </c>
      <c r="D123" s="2">
        <f>IF(Fandual!N123="yes",1,0)</f>
        <v>1</v>
      </c>
    </row>
    <row r="124" spans="1:4" x14ac:dyDescent="0.25">
      <c r="A124" s="2">
        <f>IF(D124=1,Fandual!D124,0)</f>
        <v>0</v>
      </c>
      <c r="B124" s="2">
        <f>IF(D124=1,Fandual!F124,0)</f>
        <v>0</v>
      </c>
      <c r="C124" s="2">
        <f>IF(D124=1,Fandual!H124,0)</f>
        <v>0</v>
      </c>
      <c r="D124" s="2">
        <f>IF(Fandual!N124="yes",1,0)</f>
        <v>0</v>
      </c>
    </row>
    <row r="125" spans="1:4" x14ac:dyDescent="0.25">
      <c r="A125" s="2">
        <f>IF(D125=1,Fandual!D125,0)</f>
        <v>0</v>
      </c>
      <c r="B125" s="2">
        <f>IF(D125=1,Fandual!F125,0)</f>
        <v>0</v>
      </c>
      <c r="C125" s="2">
        <f>IF(D125=1,Fandual!H125,0)</f>
        <v>0</v>
      </c>
      <c r="D125" s="2">
        <f>IF(Fandual!N125="yes",1,0)</f>
        <v>0</v>
      </c>
    </row>
    <row r="126" spans="1:4" x14ac:dyDescent="0.25">
      <c r="A126" s="2">
        <f>IF(D126=1,Fandual!D126,0)</f>
        <v>0</v>
      </c>
      <c r="B126" s="2">
        <f>IF(D126=1,Fandual!F126,0)</f>
        <v>0</v>
      </c>
      <c r="C126" s="2">
        <f>IF(D126=1,Fandual!H126,0)</f>
        <v>0</v>
      </c>
      <c r="D126" s="2">
        <f>IF(Fandual!N126="yes",1,0)</f>
        <v>0</v>
      </c>
    </row>
    <row r="127" spans="1:4" x14ac:dyDescent="0.25">
      <c r="A127" s="2">
        <f>IF(D127=1,Fandual!D127,0)</f>
        <v>0</v>
      </c>
      <c r="B127" s="2">
        <f>IF(D127=1,Fandual!F127,0)</f>
        <v>0</v>
      </c>
      <c r="C127" s="2">
        <f>IF(D127=1,Fandual!H127,0)</f>
        <v>0</v>
      </c>
      <c r="D127" s="2">
        <f>IF(Fandual!N127="yes",1,0)</f>
        <v>0</v>
      </c>
    </row>
    <row r="128" spans="1:4" x14ac:dyDescent="0.25">
      <c r="A128" s="2">
        <f>IF(D128=1,Fandual!D128,0)</f>
        <v>0</v>
      </c>
      <c r="B128" s="2">
        <f>IF(D128=1,Fandual!F128,0)</f>
        <v>0</v>
      </c>
      <c r="C128" s="2">
        <f>IF(D128=1,Fandual!H128,0)</f>
        <v>0</v>
      </c>
      <c r="D128" s="2">
        <f>IF(Fandual!N128="yes",1,0)</f>
        <v>0</v>
      </c>
    </row>
    <row r="129" spans="1:4" x14ac:dyDescent="0.25">
      <c r="A129" s="2">
        <f>IF(D129=1,Fandual!D129,0)</f>
        <v>0</v>
      </c>
      <c r="B129" s="2">
        <f>IF(D129=1,Fandual!F129,0)</f>
        <v>0</v>
      </c>
      <c r="C129" s="2">
        <f>IF(D129=1,Fandual!H129,0)</f>
        <v>0</v>
      </c>
      <c r="D129" s="2">
        <f>IF(Fandual!N129="yes",1,0)</f>
        <v>0</v>
      </c>
    </row>
    <row r="130" spans="1:4" x14ac:dyDescent="0.25">
      <c r="A130" s="2">
        <f>IF(D130=1,Fandual!D130,0)</f>
        <v>0</v>
      </c>
      <c r="B130" s="2">
        <f>IF(D130=1,Fandual!F130,0)</f>
        <v>0</v>
      </c>
      <c r="C130" s="2">
        <f>IF(D130=1,Fandual!H130,0)</f>
        <v>0</v>
      </c>
      <c r="D130" s="2">
        <f>IF(Fandual!N130="yes",1,0)</f>
        <v>0</v>
      </c>
    </row>
    <row r="131" spans="1:4" x14ac:dyDescent="0.25">
      <c r="A131" s="2">
        <f>IF(D131=1,Fandual!D131,0)</f>
        <v>0</v>
      </c>
      <c r="B131" s="2">
        <f>IF(D131=1,Fandual!F131,0)</f>
        <v>0</v>
      </c>
      <c r="C131" s="2">
        <f>IF(D131=1,Fandual!H131,0)</f>
        <v>0</v>
      </c>
      <c r="D131" s="2">
        <f>IF(Fandual!N131="yes",1,0)</f>
        <v>0</v>
      </c>
    </row>
    <row r="132" spans="1:4" x14ac:dyDescent="0.25">
      <c r="A132" s="2">
        <f>IF(D132=1,Fandual!D132,0)</f>
        <v>0</v>
      </c>
      <c r="B132" s="2">
        <f>IF(D132=1,Fandual!F132,0)</f>
        <v>0</v>
      </c>
      <c r="C132" s="2">
        <f>IF(D132=1,Fandual!H132,0)</f>
        <v>0</v>
      </c>
      <c r="D132" s="2">
        <f>IF(Fandual!N132="yes",1,0)</f>
        <v>0</v>
      </c>
    </row>
    <row r="133" spans="1:4" x14ac:dyDescent="0.25">
      <c r="A133" s="2">
        <f>IF(D133=1,Fandual!D133,0)</f>
        <v>0</v>
      </c>
      <c r="B133" s="2">
        <f>IF(D133=1,Fandual!F133,0)</f>
        <v>0</v>
      </c>
      <c r="C133" s="2">
        <f>IF(D133=1,Fandual!H133,0)</f>
        <v>0</v>
      </c>
      <c r="D133" s="2">
        <f>IF(Fandual!N133="yes",1,0)</f>
        <v>0</v>
      </c>
    </row>
    <row r="134" spans="1:4" x14ac:dyDescent="0.25">
      <c r="A134" s="2" t="str">
        <f>IF(D134=1,Fandual!D134,0)</f>
        <v>Taijuan Walker</v>
      </c>
      <c r="B134" s="2">
        <f>IF(D134=1,Fandual!F134,0)</f>
        <v>29.181818181818102</v>
      </c>
      <c r="C134" s="2">
        <f>IF(D134=1,Fandual!H134,0)</f>
        <v>6300</v>
      </c>
      <c r="D134" s="2">
        <f>IF(Fandual!N134="yes",1,0)</f>
        <v>1</v>
      </c>
    </row>
    <row r="135" spans="1:4" x14ac:dyDescent="0.25">
      <c r="A135" s="2">
        <f>IF(D135=1,Fandual!D135,0)</f>
        <v>0</v>
      </c>
      <c r="B135" s="2">
        <f>IF(D135=1,Fandual!F135,0)</f>
        <v>0</v>
      </c>
      <c r="C135" s="2">
        <f>IF(D135=1,Fandual!H135,0)</f>
        <v>0</v>
      </c>
      <c r="D135" s="2">
        <f>IF(Fandual!N135="yes",1,0)</f>
        <v>0</v>
      </c>
    </row>
    <row r="136" spans="1:4" x14ac:dyDescent="0.25">
      <c r="A136" s="2">
        <f>IF(D136=1,Fandual!D136,0)</f>
        <v>0</v>
      </c>
      <c r="B136" s="2">
        <f>IF(D136=1,Fandual!F136,0)</f>
        <v>0</v>
      </c>
      <c r="C136" s="2">
        <f>IF(D136=1,Fandual!H136,0)</f>
        <v>0</v>
      </c>
      <c r="D136" s="2">
        <f>IF(Fandual!N136="yes",1,0)</f>
        <v>0</v>
      </c>
    </row>
    <row r="137" spans="1:4" x14ac:dyDescent="0.25">
      <c r="A137" s="2">
        <f>IF(D137=1,Fandual!D137,0)</f>
        <v>0</v>
      </c>
      <c r="B137" s="2">
        <f>IF(D137=1,Fandual!F137,0)</f>
        <v>0</v>
      </c>
      <c r="C137" s="2">
        <f>IF(D137=1,Fandual!H137,0)</f>
        <v>0</v>
      </c>
      <c r="D137" s="2">
        <f>IF(Fandual!N137="yes",1,0)</f>
        <v>0</v>
      </c>
    </row>
    <row r="138" spans="1:4" x14ac:dyDescent="0.25">
      <c r="A138" s="2">
        <f>IF(D138=1,Fandual!D138,0)</f>
        <v>0</v>
      </c>
      <c r="B138" s="2">
        <f>IF(D138=1,Fandual!F138,0)</f>
        <v>0</v>
      </c>
      <c r="C138" s="2">
        <f>IF(D138=1,Fandual!H138,0)</f>
        <v>0</v>
      </c>
      <c r="D138" s="2">
        <f>IF(Fandual!N138="yes",1,0)</f>
        <v>0</v>
      </c>
    </row>
    <row r="139" spans="1:4" x14ac:dyDescent="0.25">
      <c r="A139" s="2">
        <f>IF(D139=1,Fandual!D139,0)</f>
        <v>0</v>
      </c>
      <c r="B139" s="2">
        <f>IF(D139=1,Fandual!F139,0)</f>
        <v>0</v>
      </c>
      <c r="C139" s="2">
        <f>IF(D139=1,Fandual!H139,0)</f>
        <v>0</v>
      </c>
      <c r="D139" s="2">
        <f>IF(Fandual!N139="yes",1,0)</f>
        <v>0</v>
      </c>
    </row>
    <row r="140" spans="1:4" x14ac:dyDescent="0.25">
      <c r="A140" s="2">
        <f>IF(D140=1,Fandual!D140,0)</f>
        <v>0</v>
      </c>
      <c r="B140" s="2">
        <f>IF(D140=1,Fandual!F140,0)</f>
        <v>0</v>
      </c>
      <c r="C140" s="2">
        <f>IF(D140=1,Fandual!H140,0)</f>
        <v>0</v>
      </c>
      <c r="D140" s="2">
        <f>IF(Fandual!N140="yes",1,0)</f>
        <v>0</v>
      </c>
    </row>
    <row r="141" spans="1:4" x14ac:dyDescent="0.25">
      <c r="A141" s="2">
        <f>IF(D141=1,Fandual!D141,0)</f>
        <v>0</v>
      </c>
      <c r="B141" s="2">
        <f>IF(D141=1,Fandual!F141,0)</f>
        <v>0</v>
      </c>
      <c r="C141" s="2">
        <f>IF(D141=1,Fandual!H141,0)</f>
        <v>0</v>
      </c>
      <c r="D141" s="2">
        <f>IF(Fandual!N141="yes",1,0)</f>
        <v>0</v>
      </c>
    </row>
    <row r="142" spans="1:4" x14ac:dyDescent="0.25">
      <c r="A142" s="2">
        <f>IF(D142=1,Fandual!D142,0)</f>
        <v>0</v>
      </c>
      <c r="B142" s="2">
        <f>IF(D142=1,Fandual!F142,0)</f>
        <v>0</v>
      </c>
      <c r="C142" s="2">
        <f>IF(D142=1,Fandual!H142,0)</f>
        <v>0</v>
      </c>
      <c r="D142" s="2">
        <f>IF(Fandual!N142="yes",1,0)</f>
        <v>0</v>
      </c>
    </row>
    <row r="143" spans="1:4" x14ac:dyDescent="0.25">
      <c r="A143" s="2">
        <f>IF(D143=1,Fandual!D143,0)</f>
        <v>0</v>
      </c>
      <c r="B143" s="2">
        <f>IF(D143=1,Fandual!F143,0)</f>
        <v>0</v>
      </c>
      <c r="C143" s="2">
        <f>IF(D143=1,Fandual!H143,0)</f>
        <v>0</v>
      </c>
      <c r="D143" s="2">
        <f>IF(Fandual!N143="yes",1,0)</f>
        <v>0</v>
      </c>
    </row>
    <row r="144" spans="1:4" x14ac:dyDescent="0.25">
      <c r="A144" s="2">
        <f>IF(D144=1,Fandual!D144,0)</f>
        <v>0</v>
      </c>
      <c r="B144" s="2">
        <f>IF(D144=1,Fandual!F144,0)</f>
        <v>0</v>
      </c>
      <c r="C144" s="2">
        <f>IF(D144=1,Fandual!H144,0)</f>
        <v>0</v>
      </c>
      <c r="D144" s="2">
        <f>IF(Fandual!N144="yes",1,0)</f>
        <v>0</v>
      </c>
    </row>
    <row r="145" spans="1:4" x14ac:dyDescent="0.25">
      <c r="A145" s="2" t="str">
        <f>IF(D145=1,Fandual!D145,0)</f>
        <v>Buck Farmer</v>
      </c>
      <c r="B145" s="2">
        <f>IF(D145=1,Fandual!F145,0)</f>
        <v>24.6</v>
      </c>
      <c r="C145" s="2">
        <f>IF(D145=1,Fandual!H145,0)</f>
        <v>6100</v>
      </c>
      <c r="D145" s="2">
        <f>IF(Fandual!N145="yes",1,0)</f>
        <v>1</v>
      </c>
    </row>
    <row r="146" spans="1:4" x14ac:dyDescent="0.25">
      <c r="A146" s="2">
        <f>IF(D146=1,Fandual!D146,0)</f>
        <v>0</v>
      </c>
      <c r="B146" s="2">
        <f>IF(D146=1,Fandual!F146,0)</f>
        <v>0</v>
      </c>
      <c r="C146" s="2">
        <f>IF(D146=1,Fandual!H146,0)</f>
        <v>0</v>
      </c>
      <c r="D146" s="2">
        <f>IF(Fandual!N146="yes",1,0)</f>
        <v>0</v>
      </c>
    </row>
    <row r="147" spans="1:4" x14ac:dyDescent="0.25">
      <c r="A147" s="2" t="str">
        <f>IF(D147=1,Fandual!D147,0)</f>
        <v>Sean Manaea</v>
      </c>
      <c r="B147" s="2">
        <f>IF(D147=1,Fandual!F147,0)</f>
        <v>26.7916666666666</v>
      </c>
      <c r="C147" s="2">
        <f>IF(D147=1,Fandual!H147,0)</f>
        <v>6100</v>
      </c>
      <c r="D147" s="2">
        <f>IF(Fandual!N147="yes",1,0)</f>
        <v>1</v>
      </c>
    </row>
    <row r="148" spans="1:4" x14ac:dyDescent="0.25">
      <c r="A148" s="2">
        <f>IF(D148=1,Fandual!D148,0)</f>
        <v>0</v>
      </c>
      <c r="B148" s="2">
        <f>IF(D148=1,Fandual!F148,0)</f>
        <v>0</v>
      </c>
      <c r="C148" s="2">
        <f>IF(D148=1,Fandual!H148,0)</f>
        <v>0</v>
      </c>
      <c r="D148" s="2">
        <f>IF(Fandual!N148="yes",1,0)</f>
        <v>0</v>
      </c>
    </row>
    <row r="149" spans="1:4" x14ac:dyDescent="0.25">
      <c r="A149" s="2">
        <f>IF(D149=1,Fandual!D149,0)</f>
        <v>0</v>
      </c>
      <c r="B149" s="2">
        <f>IF(D149=1,Fandual!F149,0)</f>
        <v>0</v>
      </c>
      <c r="C149" s="2">
        <f>IF(D149=1,Fandual!H149,0)</f>
        <v>0</v>
      </c>
      <c r="D149" s="2">
        <f>IF(Fandual!N149="yes",1,0)</f>
        <v>0</v>
      </c>
    </row>
    <row r="150" spans="1:4" x14ac:dyDescent="0.25">
      <c r="A150" s="2">
        <f>IF(D150=1,Fandual!D150,0)</f>
        <v>0</v>
      </c>
      <c r="B150" s="2">
        <f>IF(D150=1,Fandual!F150,0)</f>
        <v>0</v>
      </c>
      <c r="C150" s="2">
        <f>IF(D150=1,Fandual!H150,0)</f>
        <v>0</v>
      </c>
      <c r="D150" s="2">
        <f>IF(Fandual!N150="yes",1,0)</f>
        <v>0</v>
      </c>
    </row>
    <row r="151" spans="1:4" x14ac:dyDescent="0.25">
      <c r="A151" s="2">
        <f>IF(D151=1,Fandual!D151,0)</f>
        <v>0</v>
      </c>
      <c r="B151" s="2">
        <f>IF(D151=1,Fandual!F151,0)</f>
        <v>0</v>
      </c>
      <c r="C151" s="2">
        <f>IF(D151=1,Fandual!H151,0)</f>
        <v>0</v>
      </c>
      <c r="D151" s="2">
        <f>IF(Fandual!N151="yes",1,0)</f>
        <v>0</v>
      </c>
    </row>
    <row r="152" spans="1:4" x14ac:dyDescent="0.25">
      <c r="A152" s="2">
        <f>IF(D152=1,Fandual!D152,0)</f>
        <v>0</v>
      </c>
      <c r="B152" s="2">
        <f>IF(D152=1,Fandual!F152,0)</f>
        <v>0</v>
      </c>
      <c r="C152" s="2">
        <f>IF(D152=1,Fandual!H152,0)</f>
        <v>0</v>
      </c>
      <c r="D152" s="2">
        <f>IF(Fandual!N152="yes",1,0)</f>
        <v>0</v>
      </c>
    </row>
    <row r="153" spans="1:4" x14ac:dyDescent="0.25">
      <c r="A153" s="2">
        <f>IF(D153=1,Fandual!D153,0)</f>
        <v>0</v>
      </c>
      <c r="B153" s="2">
        <f>IF(D153=1,Fandual!F153,0)</f>
        <v>0</v>
      </c>
      <c r="C153" s="2">
        <f>IF(D153=1,Fandual!H153,0)</f>
        <v>0</v>
      </c>
      <c r="D153" s="2">
        <f>IF(Fandual!N153="yes",1,0)</f>
        <v>0</v>
      </c>
    </row>
    <row r="154" spans="1:4" x14ac:dyDescent="0.25">
      <c r="A154" s="2">
        <f>IF(D154=1,Fandual!D154,0)</f>
        <v>0</v>
      </c>
      <c r="B154" s="2">
        <f>IF(D154=1,Fandual!F154,0)</f>
        <v>0</v>
      </c>
      <c r="C154" s="2">
        <f>IF(D154=1,Fandual!H154,0)</f>
        <v>0</v>
      </c>
      <c r="D154" s="2">
        <f>IF(Fandual!N154="yes",1,0)</f>
        <v>0</v>
      </c>
    </row>
    <row r="155" spans="1:4" x14ac:dyDescent="0.25">
      <c r="A155" s="2">
        <f>IF(D155=1,Fandual!D155,0)</f>
        <v>0</v>
      </c>
      <c r="B155" s="2">
        <f>IF(D155=1,Fandual!F155,0)</f>
        <v>0</v>
      </c>
      <c r="C155" s="2">
        <f>IF(D155=1,Fandual!H155,0)</f>
        <v>0</v>
      </c>
      <c r="D155" s="2">
        <f>IF(Fandual!N155="yes",1,0)</f>
        <v>0</v>
      </c>
    </row>
    <row r="156" spans="1:4" x14ac:dyDescent="0.25">
      <c r="A156" s="2">
        <f>IF(D156=1,Fandual!D156,0)</f>
        <v>0</v>
      </c>
      <c r="B156" s="2">
        <f>IF(D156=1,Fandual!F156,0)</f>
        <v>0</v>
      </c>
      <c r="C156" s="2">
        <f>IF(D156=1,Fandual!H156,0)</f>
        <v>0</v>
      </c>
      <c r="D156" s="2">
        <f>IF(Fandual!N156="yes",1,0)</f>
        <v>0</v>
      </c>
    </row>
    <row r="157" spans="1:4" x14ac:dyDescent="0.25">
      <c r="A157" s="2">
        <f>IF(D157=1,Fandual!D157,0)</f>
        <v>0</v>
      </c>
      <c r="B157" s="2">
        <f>IF(D157=1,Fandual!F157,0)</f>
        <v>0</v>
      </c>
      <c r="C157" s="2">
        <f>IF(D157=1,Fandual!H157,0)</f>
        <v>0</v>
      </c>
      <c r="D157" s="2">
        <f>IF(Fandual!N157="yes",1,0)</f>
        <v>0</v>
      </c>
    </row>
    <row r="158" spans="1:4" x14ac:dyDescent="0.25">
      <c r="A158" s="2">
        <f>IF(D158=1,Fandual!D158,0)</f>
        <v>0</v>
      </c>
      <c r="B158" s="2">
        <f>IF(D158=1,Fandual!F158,0)</f>
        <v>0</v>
      </c>
      <c r="C158" s="2">
        <f>IF(D158=1,Fandual!H158,0)</f>
        <v>0</v>
      </c>
      <c r="D158" s="2">
        <f>IF(Fandual!N158="yes",1,0)</f>
        <v>0</v>
      </c>
    </row>
    <row r="159" spans="1:4" x14ac:dyDescent="0.25">
      <c r="A159" s="2">
        <f>IF(D159=1,Fandual!D159,0)</f>
        <v>0</v>
      </c>
      <c r="B159" s="2">
        <f>IF(D159=1,Fandual!F159,0)</f>
        <v>0</v>
      </c>
      <c r="C159" s="2">
        <f>IF(D159=1,Fandual!H159,0)</f>
        <v>0</v>
      </c>
      <c r="D159" s="2">
        <f>IF(Fandual!N159="yes",1,0)</f>
        <v>0</v>
      </c>
    </row>
    <row r="160" spans="1:4" x14ac:dyDescent="0.25">
      <c r="A160" s="2">
        <f>IF(D160=1,Fandual!D160,0)</f>
        <v>0</v>
      </c>
      <c r="B160" s="2">
        <f>IF(D160=1,Fandual!F160,0)</f>
        <v>0</v>
      </c>
      <c r="C160" s="2">
        <f>IF(D160=1,Fandual!H160,0)</f>
        <v>0</v>
      </c>
      <c r="D160" s="2">
        <f>IF(Fandual!N160="yes",1,0)</f>
        <v>0</v>
      </c>
    </row>
    <row r="161" spans="1:4" x14ac:dyDescent="0.25">
      <c r="A161" s="2">
        <f>IF(D161=1,Fandual!D161,0)</f>
        <v>0</v>
      </c>
      <c r="B161" s="2">
        <f>IF(D161=1,Fandual!F161,0)</f>
        <v>0</v>
      </c>
      <c r="C161" s="2">
        <f>IF(D161=1,Fandual!H161,0)</f>
        <v>0</v>
      </c>
      <c r="D161" s="2">
        <f>IF(Fandual!N161="yes",1,0)</f>
        <v>0</v>
      </c>
    </row>
    <row r="162" spans="1:4" x14ac:dyDescent="0.25">
      <c r="A162" s="2">
        <f>IF(D162=1,Fandual!D162,0)</f>
        <v>0</v>
      </c>
      <c r="B162" s="2">
        <f>IF(D162=1,Fandual!F162,0)</f>
        <v>0</v>
      </c>
      <c r="C162" s="2">
        <f>IF(D162=1,Fandual!H162,0)</f>
        <v>0</v>
      </c>
      <c r="D162" s="2">
        <f>IF(Fandual!N162="yes",1,0)</f>
        <v>0</v>
      </c>
    </row>
    <row r="163" spans="1:4" x14ac:dyDescent="0.25">
      <c r="A163" s="2">
        <f>IF(D163=1,Fandual!D163,0)</f>
        <v>0</v>
      </c>
      <c r="B163" s="2">
        <f>IF(D163=1,Fandual!F163,0)</f>
        <v>0</v>
      </c>
      <c r="C163" s="2">
        <f>IF(D163=1,Fandual!H163,0)</f>
        <v>0</v>
      </c>
      <c r="D163" s="2">
        <f>IF(Fandual!N163="yes",1,0)</f>
        <v>0</v>
      </c>
    </row>
    <row r="164" spans="1:4" x14ac:dyDescent="0.25">
      <c r="A164" s="2" t="str">
        <f>IF(D164=1,Fandual!D164,0)</f>
        <v>Tyler Skaggs</v>
      </c>
      <c r="B164" s="2">
        <f>IF(D164=1,Fandual!F164,0)</f>
        <v>25.5</v>
      </c>
      <c r="C164" s="2">
        <f>IF(D164=1,Fandual!H164,0)</f>
        <v>6000</v>
      </c>
      <c r="D164" s="2">
        <f>IF(Fandual!N164="yes",1,0)</f>
        <v>1</v>
      </c>
    </row>
    <row r="165" spans="1:4" x14ac:dyDescent="0.25">
      <c r="A165" s="2">
        <f>IF(D165=1,Fandual!D165,0)</f>
        <v>0</v>
      </c>
      <c r="B165" s="2">
        <f>IF(D165=1,Fandual!F165,0)</f>
        <v>0</v>
      </c>
      <c r="C165" s="2">
        <f>IF(D165=1,Fandual!H165,0)</f>
        <v>0</v>
      </c>
      <c r="D165" s="2">
        <f>IF(Fandual!N165="yes",1,0)</f>
        <v>0</v>
      </c>
    </row>
    <row r="166" spans="1:4" x14ac:dyDescent="0.25">
      <c r="A166" s="2">
        <f>IF(D166=1,Fandual!D166,0)</f>
        <v>0</v>
      </c>
      <c r="B166" s="2">
        <f>IF(D166=1,Fandual!F166,0)</f>
        <v>0</v>
      </c>
      <c r="C166" s="2">
        <f>IF(D166=1,Fandual!H166,0)</f>
        <v>0</v>
      </c>
      <c r="D166" s="2">
        <f>IF(Fandual!N166="yes",1,0)</f>
        <v>0</v>
      </c>
    </row>
    <row r="167" spans="1:4" x14ac:dyDescent="0.25">
      <c r="A167" s="2" t="str">
        <f>IF(D167=1,Fandual!D167,0)</f>
        <v>Dillon Gee</v>
      </c>
      <c r="B167" s="2">
        <f>IF(D167=1,Fandual!F167,0)</f>
        <v>16.8</v>
      </c>
      <c r="C167" s="2">
        <f>IF(D167=1,Fandual!H167,0)</f>
        <v>5900</v>
      </c>
      <c r="D167" s="2">
        <f>IF(Fandual!N167="yes",1,0)</f>
        <v>1</v>
      </c>
    </row>
    <row r="168" spans="1:4" x14ac:dyDescent="0.25">
      <c r="A168" s="2">
        <f>IF(D168=1,Fandual!D168,0)</f>
        <v>0</v>
      </c>
      <c r="B168" s="2">
        <f>IF(D168=1,Fandual!F168,0)</f>
        <v>0</v>
      </c>
      <c r="C168" s="2">
        <f>IF(D168=1,Fandual!H168,0)</f>
        <v>0</v>
      </c>
      <c r="D168" s="2">
        <f>IF(Fandual!N168="yes",1,0)</f>
        <v>0</v>
      </c>
    </row>
    <row r="169" spans="1:4" x14ac:dyDescent="0.25">
      <c r="A169" s="2">
        <f>IF(D169=1,Fandual!D169,0)</f>
        <v>0</v>
      </c>
      <c r="B169" s="2">
        <f>IF(D169=1,Fandual!F169,0)</f>
        <v>0</v>
      </c>
      <c r="C169" s="2">
        <f>IF(D169=1,Fandual!H169,0)</f>
        <v>0</v>
      </c>
      <c r="D169" s="2">
        <f>IF(Fandual!N169="yes",1,0)</f>
        <v>0</v>
      </c>
    </row>
    <row r="170" spans="1:4" x14ac:dyDescent="0.25">
      <c r="A170" s="2">
        <f>IF(D170=1,Fandual!D170,0)</f>
        <v>0</v>
      </c>
      <c r="B170" s="2">
        <f>IF(D170=1,Fandual!F170,0)</f>
        <v>0</v>
      </c>
      <c r="C170" s="2">
        <f>IF(D170=1,Fandual!H170,0)</f>
        <v>0</v>
      </c>
      <c r="D170" s="2">
        <f>IF(Fandual!N170="yes",1,0)</f>
        <v>0</v>
      </c>
    </row>
    <row r="171" spans="1:4" x14ac:dyDescent="0.25">
      <c r="A171" s="2">
        <f>IF(D171=1,Fandual!D171,0)</f>
        <v>0</v>
      </c>
      <c r="B171" s="2">
        <f>IF(D171=1,Fandual!F171,0)</f>
        <v>0</v>
      </c>
      <c r="C171" s="2">
        <f>IF(D171=1,Fandual!H171,0)</f>
        <v>0</v>
      </c>
      <c r="D171" s="2">
        <f>IF(Fandual!N171="yes",1,0)</f>
        <v>0</v>
      </c>
    </row>
    <row r="172" spans="1:4" x14ac:dyDescent="0.25">
      <c r="A172" s="2">
        <f>IF(D172=1,Fandual!D172,0)</f>
        <v>0</v>
      </c>
      <c r="B172" s="2">
        <f>IF(D172=1,Fandual!F172,0)</f>
        <v>0</v>
      </c>
      <c r="C172" s="2">
        <f>IF(D172=1,Fandual!H172,0)</f>
        <v>0</v>
      </c>
      <c r="D172" s="2">
        <f>IF(Fandual!N172="yes",1,0)</f>
        <v>0</v>
      </c>
    </row>
    <row r="173" spans="1:4" x14ac:dyDescent="0.25">
      <c r="A173" s="2">
        <f>IF(D173=1,Fandual!D173,0)</f>
        <v>0</v>
      </c>
      <c r="B173" s="2">
        <f>IF(D173=1,Fandual!F173,0)</f>
        <v>0</v>
      </c>
      <c r="C173" s="2">
        <f>IF(D173=1,Fandual!H173,0)</f>
        <v>0</v>
      </c>
      <c r="D173" s="2">
        <f>IF(Fandual!N173="yes",1,0)</f>
        <v>0</v>
      </c>
    </row>
    <row r="174" spans="1:4" x14ac:dyDescent="0.25">
      <c r="A174" s="2">
        <f>IF(D174=1,Fandual!D174,0)</f>
        <v>0</v>
      </c>
      <c r="B174" s="2">
        <f>IF(D174=1,Fandual!F174,0)</f>
        <v>0</v>
      </c>
      <c r="C174" s="2">
        <f>IF(D174=1,Fandual!H174,0)</f>
        <v>0</v>
      </c>
      <c r="D174" s="2">
        <f>IF(Fandual!N174="yes",1,0)</f>
        <v>0</v>
      </c>
    </row>
    <row r="175" spans="1:4" x14ac:dyDescent="0.25">
      <c r="A175" s="2">
        <f>IF(D175=1,Fandual!D175,0)</f>
        <v>0</v>
      </c>
      <c r="B175" s="2">
        <f>IF(D175=1,Fandual!F175,0)</f>
        <v>0</v>
      </c>
      <c r="C175" s="2">
        <f>IF(D175=1,Fandual!H175,0)</f>
        <v>0</v>
      </c>
      <c r="D175" s="2">
        <f>IF(Fandual!N175="yes",1,0)</f>
        <v>0</v>
      </c>
    </row>
    <row r="176" spans="1:4" x14ac:dyDescent="0.25">
      <c r="A176" s="2">
        <f>IF(D176=1,Fandual!D176,0)</f>
        <v>0</v>
      </c>
      <c r="B176" s="2">
        <f>IF(D176=1,Fandual!F176,0)</f>
        <v>0</v>
      </c>
      <c r="C176" s="2">
        <f>IF(D176=1,Fandual!H176,0)</f>
        <v>0</v>
      </c>
      <c r="D176" s="2">
        <f>IF(Fandual!N176="yes",1,0)</f>
        <v>0</v>
      </c>
    </row>
    <row r="177" spans="1:4" x14ac:dyDescent="0.25">
      <c r="A177" s="2">
        <f>IF(D177=1,Fandual!D177,0)</f>
        <v>0</v>
      </c>
      <c r="B177" s="2">
        <f>IF(D177=1,Fandual!F177,0)</f>
        <v>0</v>
      </c>
      <c r="C177" s="2">
        <f>IF(D177=1,Fandual!H177,0)</f>
        <v>0</v>
      </c>
      <c r="D177" s="2">
        <f>IF(Fandual!N177="yes",1,0)</f>
        <v>0</v>
      </c>
    </row>
    <row r="178" spans="1:4" x14ac:dyDescent="0.25">
      <c r="A178" s="2">
        <f>IF(D178=1,Fandual!D178,0)</f>
        <v>0</v>
      </c>
      <c r="B178" s="2">
        <f>IF(D178=1,Fandual!F178,0)</f>
        <v>0</v>
      </c>
      <c r="C178" s="2">
        <f>IF(D178=1,Fandual!H178,0)</f>
        <v>0</v>
      </c>
      <c r="D178" s="2">
        <f>IF(Fandual!N178="yes",1,0)</f>
        <v>0</v>
      </c>
    </row>
    <row r="179" spans="1:4" x14ac:dyDescent="0.25">
      <c r="A179" s="2" t="str">
        <f>IF(D179=1,Fandual!D179,0)</f>
        <v>Jack Flaherty</v>
      </c>
      <c r="B179" s="2">
        <f>IF(D179=1,Fandual!F179,0)</f>
        <v>0</v>
      </c>
      <c r="C179" s="2">
        <f>IF(D179=1,Fandual!H179,0)</f>
        <v>5800</v>
      </c>
      <c r="D179" s="2">
        <f>IF(Fandual!N179="yes",1,0)</f>
        <v>1</v>
      </c>
    </row>
    <row r="180" spans="1:4" x14ac:dyDescent="0.25">
      <c r="A180" s="2">
        <f>IF(D180=1,Fandual!D180,0)</f>
        <v>0</v>
      </c>
      <c r="B180" s="2">
        <f>IF(D180=1,Fandual!F180,0)</f>
        <v>0</v>
      </c>
      <c r="C180" s="2">
        <f>IF(D180=1,Fandual!H180,0)</f>
        <v>0</v>
      </c>
      <c r="D180" s="2">
        <f>IF(Fandual!N180="yes",1,0)</f>
        <v>0</v>
      </c>
    </row>
    <row r="181" spans="1:4" x14ac:dyDescent="0.25">
      <c r="A181" s="2">
        <f>IF(D181=1,Fandual!D181,0)</f>
        <v>0</v>
      </c>
      <c r="B181" s="2">
        <f>IF(D181=1,Fandual!F181,0)</f>
        <v>0</v>
      </c>
      <c r="C181" s="2">
        <f>IF(D181=1,Fandual!H181,0)</f>
        <v>0</v>
      </c>
      <c r="D181" s="2">
        <f>IF(Fandual!N181="yes",1,0)</f>
        <v>0</v>
      </c>
    </row>
    <row r="182" spans="1:4" x14ac:dyDescent="0.25">
      <c r="A182" s="2">
        <f>IF(D182=1,Fandual!D182,0)</f>
        <v>0</v>
      </c>
      <c r="B182" s="2">
        <f>IF(D182=1,Fandual!F182,0)</f>
        <v>0</v>
      </c>
      <c r="C182" s="2">
        <f>IF(D182=1,Fandual!H182,0)</f>
        <v>0</v>
      </c>
      <c r="D182" s="2">
        <f>IF(Fandual!N182="yes",1,0)</f>
        <v>0</v>
      </c>
    </row>
    <row r="183" spans="1:4" x14ac:dyDescent="0.25">
      <c r="A183" s="2">
        <f>IF(D183=1,Fandual!D183,0)</f>
        <v>0</v>
      </c>
      <c r="B183" s="2">
        <f>IF(D183=1,Fandual!F183,0)</f>
        <v>0</v>
      </c>
      <c r="C183" s="2">
        <f>IF(D183=1,Fandual!H183,0)</f>
        <v>0</v>
      </c>
      <c r="D183" s="2">
        <f>IF(Fandual!N183="yes",1,0)</f>
        <v>0</v>
      </c>
    </row>
    <row r="184" spans="1:4" x14ac:dyDescent="0.25">
      <c r="A184" s="2">
        <f>IF(D184=1,Fandual!D184,0)</f>
        <v>0</v>
      </c>
      <c r="B184" s="2">
        <f>IF(D184=1,Fandual!F184,0)</f>
        <v>0</v>
      </c>
      <c r="C184" s="2">
        <f>IF(D184=1,Fandual!H184,0)</f>
        <v>0</v>
      </c>
      <c r="D184" s="2">
        <f>IF(Fandual!N184="yes",1,0)</f>
        <v>0</v>
      </c>
    </row>
    <row r="185" spans="1:4" x14ac:dyDescent="0.25">
      <c r="A185" s="2">
        <f>IF(D185=1,Fandual!D185,0)</f>
        <v>0</v>
      </c>
      <c r="B185" s="2">
        <f>IF(D185=1,Fandual!F185,0)</f>
        <v>0</v>
      </c>
      <c r="C185" s="2">
        <f>IF(D185=1,Fandual!H185,0)</f>
        <v>0</v>
      </c>
      <c r="D185" s="2">
        <f>IF(Fandual!N185="yes",1,0)</f>
        <v>0</v>
      </c>
    </row>
    <row r="186" spans="1:4" x14ac:dyDescent="0.25">
      <c r="A186" s="2">
        <f>IF(D186=1,Fandual!D186,0)</f>
        <v>0</v>
      </c>
      <c r="B186" s="2">
        <f>IF(D186=1,Fandual!F186,0)</f>
        <v>0</v>
      </c>
      <c r="C186" s="2">
        <f>IF(D186=1,Fandual!H186,0)</f>
        <v>0</v>
      </c>
      <c r="D186" s="2">
        <f>IF(Fandual!N186="yes",1,0)</f>
        <v>0</v>
      </c>
    </row>
    <row r="187" spans="1:4" x14ac:dyDescent="0.25">
      <c r="A187" s="2">
        <f>IF(D187=1,Fandual!D187,0)</f>
        <v>0</v>
      </c>
      <c r="B187" s="2">
        <f>IF(D187=1,Fandual!F187,0)</f>
        <v>0</v>
      </c>
      <c r="C187" s="2">
        <f>IF(D187=1,Fandual!H187,0)</f>
        <v>0</v>
      </c>
      <c r="D187" s="2">
        <f>IF(Fandual!N187="yes",1,0)</f>
        <v>0</v>
      </c>
    </row>
    <row r="188" spans="1:4" x14ac:dyDescent="0.25">
      <c r="A188" s="2">
        <f>IF(D188=1,Fandual!D188,0)</f>
        <v>0</v>
      </c>
      <c r="B188" s="2">
        <f>IF(D188=1,Fandual!F188,0)</f>
        <v>0</v>
      </c>
      <c r="C188" s="2">
        <f>IF(D188=1,Fandual!H188,0)</f>
        <v>0</v>
      </c>
      <c r="D188" s="2">
        <f>IF(Fandual!N188="yes",1,0)</f>
        <v>0</v>
      </c>
    </row>
    <row r="189" spans="1:4" x14ac:dyDescent="0.25">
      <c r="A189" s="2" t="str">
        <f>IF(D189=1,Fandual!D189,0)</f>
        <v>Kyle Freeland</v>
      </c>
      <c r="B189" s="2">
        <f>IF(D189=1,Fandual!F189,0)</f>
        <v>23.740740740740701</v>
      </c>
      <c r="C189" s="2">
        <f>IF(D189=1,Fandual!H189,0)</f>
        <v>5700</v>
      </c>
      <c r="D189" s="2">
        <f>IF(Fandual!N189="yes",1,0)</f>
        <v>1</v>
      </c>
    </row>
    <row r="190" spans="1:4" x14ac:dyDescent="0.25">
      <c r="A190" s="2">
        <f>IF(D190=1,Fandual!D190,0)</f>
        <v>0</v>
      </c>
      <c r="B190" s="2">
        <f>IF(D190=1,Fandual!F190,0)</f>
        <v>0</v>
      </c>
      <c r="C190" s="2">
        <f>IF(D190=1,Fandual!H190,0)</f>
        <v>0</v>
      </c>
      <c r="D190" s="2">
        <f>IF(Fandual!N190="yes",1,0)</f>
        <v>0</v>
      </c>
    </row>
    <row r="191" spans="1:4" x14ac:dyDescent="0.25">
      <c r="A191" s="2">
        <f>IF(D191=1,Fandual!D191,0)</f>
        <v>0</v>
      </c>
      <c r="B191" s="2">
        <f>IF(D191=1,Fandual!F191,0)</f>
        <v>0</v>
      </c>
      <c r="C191" s="2">
        <f>IF(D191=1,Fandual!H191,0)</f>
        <v>0</v>
      </c>
      <c r="D191" s="2">
        <f>IF(Fandual!N191="yes",1,0)</f>
        <v>0</v>
      </c>
    </row>
    <row r="192" spans="1:4" x14ac:dyDescent="0.25">
      <c r="A192" s="2">
        <f>IF(D192=1,Fandual!D192,0)</f>
        <v>0</v>
      </c>
      <c r="B192" s="2">
        <f>IF(D192=1,Fandual!F192,0)</f>
        <v>0</v>
      </c>
      <c r="C192" s="2">
        <f>IF(D192=1,Fandual!H192,0)</f>
        <v>0</v>
      </c>
      <c r="D192" s="2">
        <f>IF(Fandual!N192="yes",1,0)</f>
        <v>0</v>
      </c>
    </row>
    <row r="193" spans="1:4" x14ac:dyDescent="0.25">
      <c r="A193" s="2">
        <f>IF(D193=1,Fandual!D193,0)</f>
        <v>0</v>
      </c>
      <c r="B193" s="2">
        <f>IF(D193=1,Fandual!F193,0)</f>
        <v>0</v>
      </c>
      <c r="C193" s="2">
        <f>IF(D193=1,Fandual!H193,0)</f>
        <v>0</v>
      </c>
      <c r="D193" s="2">
        <f>IF(Fandual!N193="yes",1,0)</f>
        <v>0</v>
      </c>
    </row>
    <row r="194" spans="1:4" x14ac:dyDescent="0.25">
      <c r="A194" s="2">
        <f>IF(D194=1,Fandual!D194,0)</f>
        <v>0</v>
      </c>
      <c r="B194" s="2">
        <f>IF(D194=1,Fandual!F194,0)</f>
        <v>0</v>
      </c>
      <c r="C194" s="2">
        <f>IF(D194=1,Fandual!H194,0)</f>
        <v>0</v>
      </c>
      <c r="D194" s="2">
        <f>IF(Fandual!N194="yes",1,0)</f>
        <v>0</v>
      </c>
    </row>
    <row r="195" spans="1:4" x14ac:dyDescent="0.25">
      <c r="A195" s="2">
        <f>IF(D195=1,Fandual!D195,0)</f>
        <v>0</v>
      </c>
      <c r="B195" s="2">
        <f>IF(D195=1,Fandual!F195,0)</f>
        <v>0</v>
      </c>
      <c r="C195" s="2">
        <f>IF(D195=1,Fandual!H195,0)</f>
        <v>0</v>
      </c>
      <c r="D195" s="2">
        <f>IF(Fandual!N195="yes",1,0)</f>
        <v>0</v>
      </c>
    </row>
    <row r="196" spans="1:4" x14ac:dyDescent="0.25">
      <c r="A196" s="2">
        <f>IF(D196=1,Fandual!D196,0)</f>
        <v>0</v>
      </c>
      <c r="B196" s="2">
        <f>IF(D196=1,Fandual!F196,0)</f>
        <v>0</v>
      </c>
      <c r="C196" s="2">
        <f>IF(D196=1,Fandual!H196,0)</f>
        <v>0</v>
      </c>
      <c r="D196" s="2">
        <f>IF(Fandual!N196="yes",1,0)</f>
        <v>0</v>
      </c>
    </row>
    <row r="197" spans="1:4" x14ac:dyDescent="0.25">
      <c r="A197" s="2">
        <f>IF(D197=1,Fandual!D197,0)</f>
        <v>0</v>
      </c>
      <c r="B197" s="2">
        <f>IF(D197=1,Fandual!F197,0)</f>
        <v>0</v>
      </c>
      <c r="C197" s="2">
        <f>IF(D197=1,Fandual!H197,0)</f>
        <v>0</v>
      </c>
      <c r="D197" s="2">
        <f>IF(Fandual!N197="yes",1,0)</f>
        <v>0</v>
      </c>
    </row>
    <row r="198" spans="1:4" x14ac:dyDescent="0.25">
      <c r="A198" s="2">
        <f>IF(D198=1,Fandual!D198,0)</f>
        <v>0</v>
      </c>
      <c r="B198" s="2">
        <f>IF(D198=1,Fandual!F198,0)</f>
        <v>0</v>
      </c>
      <c r="C198" s="2">
        <f>IF(D198=1,Fandual!H198,0)</f>
        <v>0</v>
      </c>
      <c r="D198" s="2">
        <f>IF(Fandual!N198="yes",1,0)</f>
        <v>0</v>
      </c>
    </row>
    <row r="199" spans="1:4" x14ac:dyDescent="0.25">
      <c r="A199" s="2">
        <f>IF(D199=1,Fandual!D199,0)</f>
        <v>0</v>
      </c>
      <c r="B199" s="2">
        <f>IF(D199=1,Fandual!F199,0)</f>
        <v>0</v>
      </c>
      <c r="C199" s="2">
        <f>IF(D199=1,Fandual!H199,0)</f>
        <v>0</v>
      </c>
      <c r="D199" s="2">
        <f>IF(Fandual!N199="yes",1,0)</f>
        <v>0</v>
      </c>
    </row>
    <row r="200" spans="1:4" x14ac:dyDescent="0.25">
      <c r="A200" s="2">
        <f>IF(D200=1,Fandual!D200,0)</f>
        <v>0</v>
      </c>
      <c r="B200" s="2">
        <f>IF(D200=1,Fandual!F200,0)</f>
        <v>0</v>
      </c>
      <c r="C200" s="2">
        <f>IF(D200=1,Fandual!H200,0)</f>
        <v>0</v>
      </c>
      <c r="D200" s="2">
        <f>IF(Fandual!N200="yes",1,0)</f>
        <v>0</v>
      </c>
    </row>
    <row r="201" spans="1:4" x14ac:dyDescent="0.25">
      <c r="A201" s="2">
        <f>IF(D201=1,Fandual!D201,0)</f>
        <v>0</v>
      </c>
      <c r="B201" s="2">
        <f>IF(D201=1,Fandual!F201,0)</f>
        <v>0</v>
      </c>
      <c r="C201" s="2">
        <f>IF(D201=1,Fandual!H201,0)</f>
        <v>0</v>
      </c>
      <c r="D201" s="2">
        <f>IF(Fandual!N201="yes",1,0)</f>
        <v>0</v>
      </c>
    </row>
    <row r="202" spans="1:4" x14ac:dyDescent="0.25">
      <c r="A202" s="2">
        <f>IF(D202=1,Fandual!D202,0)</f>
        <v>0</v>
      </c>
      <c r="B202" s="2">
        <f>IF(D202=1,Fandual!F202,0)</f>
        <v>0</v>
      </c>
      <c r="C202" s="2">
        <f>IF(D202=1,Fandual!H202,0)</f>
        <v>0</v>
      </c>
      <c r="D202" s="2">
        <f>IF(Fandual!N202="yes",1,0)</f>
        <v>0</v>
      </c>
    </row>
    <row r="203" spans="1:4" x14ac:dyDescent="0.25">
      <c r="A203" s="2">
        <f>IF(D203=1,Fandual!D203,0)</f>
        <v>0</v>
      </c>
      <c r="B203" s="2">
        <f>IF(D203=1,Fandual!F203,0)</f>
        <v>0</v>
      </c>
      <c r="C203" s="2">
        <f>IF(D203=1,Fandual!H203,0)</f>
        <v>0</v>
      </c>
      <c r="D203" s="2">
        <f>IF(Fandual!N203="yes",1,0)</f>
        <v>0</v>
      </c>
    </row>
    <row r="204" spans="1:4" x14ac:dyDescent="0.25">
      <c r="A204" s="2">
        <f>IF(D204=1,Fandual!D204,0)</f>
        <v>0</v>
      </c>
      <c r="B204" s="2">
        <f>IF(D204=1,Fandual!F204,0)</f>
        <v>0</v>
      </c>
      <c r="C204" s="2">
        <f>IF(D204=1,Fandual!H204,0)</f>
        <v>0</v>
      </c>
      <c r="D204" s="2">
        <f>IF(Fandual!N204="yes",1,0)</f>
        <v>0</v>
      </c>
    </row>
    <row r="205" spans="1:4" x14ac:dyDescent="0.25">
      <c r="A205" s="2">
        <f>IF(D205=1,Fandual!D205,0)</f>
        <v>0</v>
      </c>
      <c r="B205" s="2">
        <f>IF(D205=1,Fandual!F205,0)</f>
        <v>0</v>
      </c>
      <c r="C205" s="2">
        <f>IF(D205=1,Fandual!H205,0)</f>
        <v>0</v>
      </c>
      <c r="D205" s="2">
        <f>IF(Fandual!N205="yes",1,0)</f>
        <v>0</v>
      </c>
    </row>
    <row r="206" spans="1:4" x14ac:dyDescent="0.25">
      <c r="A206" s="2">
        <f>IF(D206=1,Fandual!D206,0)</f>
        <v>0</v>
      </c>
      <c r="B206" s="2">
        <f>IF(D206=1,Fandual!F206,0)</f>
        <v>0</v>
      </c>
      <c r="C206" s="2">
        <f>IF(D206=1,Fandual!H206,0)</f>
        <v>0</v>
      </c>
      <c r="D206" s="2">
        <f>IF(Fandual!N206="yes",1,0)</f>
        <v>0</v>
      </c>
    </row>
    <row r="207" spans="1:4" x14ac:dyDescent="0.25">
      <c r="A207" s="2">
        <f>IF(D207=1,Fandual!D207,0)</f>
        <v>0</v>
      </c>
      <c r="B207" s="2">
        <f>IF(D207=1,Fandual!F207,0)</f>
        <v>0</v>
      </c>
      <c r="C207" s="2">
        <f>IF(D207=1,Fandual!H207,0)</f>
        <v>0</v>
      </c>
      <c r="D207" s="2">
        <f>IF(Fandual!N207="yes",1,0)</f>
        <v>0</v>
      </c>
    </row>
    <row r="208" spans="1:4" x14ac:dyDescent="0.25">
      <c r="A208" s="2">
        <f>IF(D208=1,Fandual!D208,0)</f>
        <v>0</v>
      </c>
      <c r="B208" s="2">
        <f>IF(D208=1,Fandual!F208,0)</f>
        <v>0</v>
      </c>
      <c r="C208" s="2">
        <f>IF(D208=1,Fandual!H208,0)</f>
        <v>0</v>
      </c>
      <c r="D208" s="2">
        <f>IF(Fandual!N208="yes",1,0)</f>
        <v>0</v>
      </c>
    </row>
    <row r="209" spans="1:4" x14ac:dyDescent="0.25">
      <c r="A209" s="2">
        <f>IF(D209=1,Fandual!D209,0)</f>
        <v>0</v>
      </c>
      <c r="B209" s="2">
        <f>IF(D209=1,Fandual!F209,0)</f>
        <v>0</v>
      </c>
      <c r="C209" s="2">
        <f>IF(D209=1,Fandual!H209,0)</f>
        <v>0</v>
      </c>
      <c r="D209" s="2">
        <f>IF(Fandual!N209="yes",1,0)</f>
        <v>0</v>
      </c>
    </row>
    <row r="210" spans="1:4" x14ac:dyDescent="0.25">
      <c r="A210" s="2">
        <f>IF(D210=1,Fandual!D210,0)</f>
        <v>0</v>
      </c>
      <c r="B210" s="2">
        <f>IF(D210=1,Fandual!F210,0)</f>
        <v>0</v>
      </c>
      <c r="C210" s="2">
        <f>IF(D210=1,Fandual!H210,0)</f>
        <v>0</v>
      </c>
      <c r="D210" s="2">
        <f>IF(Fandual!N210="yes",1,0)</f>
        <v>0</v>
      </c>
    </row>
    <row r="211" spans="1:4" x14ac:dyDescent="0.25">
      <c r="A211" s="2">
        <f>IF(D211=1,Fandual!D211,0)</f>
        <v>0</v>
      </c>
      <c r="B211" s="2">
        <f>IF(D211=1,Fandual!F211,0)</f>
        <v>0</v>
      </c>
      <c r="C211" s="2">
        <f>IF(D211=1,Fandual!H211,0)</f>
        <v>0</v>
      </c>
      <c r="D211" s="2">
        <f>IF(Fandual!N211="yes",1,0)</f>
        <v>0</v>
      </c>
    </row>
    <row r="212" spans="1:4" x14ac:dyDescent="0.25">
      <c r="A212" s="2">
        <f>IF(D212=1,Fandual!D212,0)</f>
        <v>0</v>
      </c>
      <c r="B212" s="2">
        <f>IF(D212=1,Fandual!F212,0)</f>
        <v>0</v>
      </c>
      <c r="C212" s="2">
        <f>IF(D212=1,Fandual!H212,0)</f>
        <v>0</v>
      </c>
      <c r="D212" s="2">
        <f>IF(Fandual!N212="yes",1,0)</f>
        <v>0</v>
      </c>
    </row>
    <row r="213" spans="1:4" x14ac:dyDescent="0.25">
      <c r="A213" s="2">
        <f>IF(D213=1,Fandual!D213,0)</f>
        <v>0</v>
      </c>
      <c r="B213" s="2">
        <f>IF(D213=1,Fandual!F213,0)</f>
        <v>0</v>
      </c>
      <c r="C213" s="2">
        <f>IF(D213=1,Fandual!H213,0)</f>
        <v>0</v>
      </c>
      <c r="D213" s="2">
        <f>IF(Fandual!N213="yes",1,0)</f>
        <v>0</v>
      </c>
    </row>
    <row r="214" spans="1:4" x14ac:dyDescent="0.25">
      <c r="A214" s="2">
        <f>IF(D214=1,Fandual!D214,0)</f>
        <v>0</v>
      </c>
      <c r="B214" s="2">
        <f>IF(D214=1,Fandual!F214,0)</f>
        <v>0</v>
      </c>
      <c r="C214" s="2">
        <f>IF(D214=1,Fandual!H214,0)</f>
        <v>0</v>
      </c>
      <c r="D214" s="2">
        <f>IF(Fandual!N214="yes",1,0)</f>
        <v>0</v>
      </c>
    </row>
    <row r="215" spans="1:4" x14ac:dyDescent="0.25">
      <c r="A215" s="2">
        <f>IF(D215=1,Fandual!D215,0)</f>
        <v>0</v>
      </c>
      <c r="B215" s="2">
        <f>IF(D215=1,Fandual!F215,0)</f>
        <v>0</v>
      </c>
      <c r="C215" s="2">
        <f>IF(D215=1,Fandual!H215,0)</f>
        <v>0</v>
      </c>
      <c r="D215" s="2">
        <f>IF(Fandual!N215="yes",1,0)</f>
        <v>0</v>
      </c>
    </row>
    <row r="216" spans="1:4" x14ac:dyDescent="0.25">
      <c r="A216" s="2">
        <f>IF(D216=1,Fandual!D216,0)</f>
        <v>0</v>
      </c>
      <c r="B216" s="2">
        <f>IF(D216=1,Fandual!F216,0)</f>
        <v>0</v>
      </c>
      <c r="C216" s="2">
        <f>IF(D216=1,Fandual!H216,0)</f>
        <v>0</v>
      </c>
      <c r="D216" s="2">
        <f>IF(Fandual!N216="yes",1,0)</f>
        <v>0</v>
      </c>
    </row>
    <row r="217" spans="1:4" x14ac:dyDescent="0.25">
      <c r="A217" s="2">
        <f>IF(D217=1,Fandual!D217,0)</f>
        <v>0</v>
      </c>
      <c r="B217" s="2">
        <f>IF(D217=1,Fandual!F217,0)</f>
        <v>0</v>
      </c>
      <c r="C217" s="2">
        <f>IF(D217=1,Fandual!H217,0)</f>
        <v>0</v>
      </c>
      <c r="D217" s="2">
        <f>IF(Fandual!N217="yes",1,0)</f>
        <v>0</v>
      </c>
    </row>
    <row r="218" spans="1:4" x14ac:dyDescent="0.25">
      <c r="A218" s="2">
        <f>IF(D218=1,Fandual!D218,0)</f>
        <v>0</v>
      </c>
      <c r="B218" s="2">
        <f>IF(D218=1,Fandual!F218,0)</f>
        <v>0</v>
      </c>
      <c r="C218" s="2">
        <f>IF(D218=1,Fandual!H218,0)</f>
        <v>0</v>
      </c>
      <c r="D218" s="2">
        <f>IF(Fandual!N218="yes",1,0)</f>
        <v>0</v>
      </c>
    </row>
    <row r="219" spans="1:4" x14ac:dyDescent="0.25">
      <c r="A219" s="2">
        <f>IF(D219=1,Fandual!D219,0)</f>
        <v>0</v>
      </c>
      <c r="B219" s="2">
        <f>IF(D219=1,Fandual!F219,0)</f>
        <v>0</v>
      </c>
      <c r="C219" s="2">
        <f>IF(D219=1,Fandual!H219,0)</f>
        <v>0</v>
      </c>
      <c r="D219" s="2">
        <f>IF(Fandual!N219="yes",1,0)</f>
        <v>0</v>
      </c>
    </row>
    <row r="220" spans="1:4" x14ac:dyDescent="0.25">
      <c r="A220" s="2">
        <f>IF(D220=1,Fandual!D220,0)</f>
        <v>0</v>
      </c>
      <c r="B220" s="2">
        <f>IF(D220=1,Fandual!F220,0)</f>
        <v>0</v>
      </c>
      <c r="C220" s="2">
        <f>IF(D220=1,Fandual!H220,0)</f>
        <v>0</v>
      </c>
      <c r="D220" s="2">
        <f>IF(Fandual!N220="yes",1,0)</f>
        <v>0</v>
      </c>
    </row>
    <row r="221" spans="1:4" x14ac:dyDescent="0.25">
      <c r="A221" s="2">
        <f>IF(D221=1,Fandual!D221,0)</f>
        <v>0</v>
      </c>
      <c r="B221" s="2">
        <f>IF(D221=1,Fandual!F221,0)</f>
        <v>0</v>
      </c>
      <c r="C221" s="2">
        <f>IF(D221=1,Fandual!H221,0)</f>
        <v>0</v>
      </c>
      <c r="D221" s="2">
        <f>IF(Fandual!N221="yes",1,0)</f>
        <v>0</v>
      </c>
    </row>
    <row r="222" spans="1:4" x14ac:dyDescent="0.25">
      <c r="A222" s="2">
        <f>IF(D222=1,Fandual!D222,0)</f>
        <v>0</v>
      </c>
      <c r="B222" s="2">
        <f>IF(D222=1,Fandual!F222,0)</f>
        <v>0</v>
      </c>
      <c r="C222" s="2">
        <f>IF(D222=1,Fandual!H222,0)</f>
        <v>0</v>
      </c>
      <c r="D222" s="2">
        <f>IF(Fandual!N222="yes",1,0)</f>
        <v>0</v>
      </c>
    </row>
    <row r="223" spans="1:4" x14ac:dyDescent="0.25">
      <c r="A223" s="2">
        <f>IF(D223=1,Fandual!D223,0)</f>
        <v>0</v>
      </c>
      <c r="B223" s="2">
        <f>IF(D223=1,Fandual!F223,0)</f>
        <v>0</v>
      </c>
      <c r="C223" s="2">
        <f>IF(D223=1,Fandual!H223,0)</f>
        <v>0</v>
      </c>
      <c r="D223" s="2">
        <f>IF(Fandual!N223="yes",1,0)</f>
        <v>0</v>
      </c>
    </row>
    <row r="224" spans="1:4" x14ac:dyDescent="0.25">
      <c r="A224" s="2">
        <f>IF(D224=1,Fandual!D224,0)</f>
        <v>0</v>
      </c>
      <c r="B224" s="2">
        <f>IF(D224=1,Fandual!F224,0)</f>
        <v>0</v>
      </c>
      <c r="C224" s="2">
        <f>IF(D224=1,Fandual!H224,0)</f>
        <v>0</v>
      </c>
      <c r="D224" s="2">
        <f>IF(Fandual!N224="yes",1,0)</f>
        <v>0</v>
      </c>
    </row>
    <row r="225" spans="1:4" x14ac:dyDescent="0.25">
      <c r="A225" s="2">
        <f>IF(D225=1,Fandual!D225,0)</f>
        <v>0</v>
      </c>
      <c r="B225" s="2">
        <f>IF(D225=1,Fandual!F225,0)</f>
        <v>0</v>
      </c>
      <c r="C225" s="2">
        <f>IF(D225=1,Fandual!H225,0)</f>
        <v>0</v>
      </c>
      <c r="D225" s="2">
        <f>IF(Fandual!N225="yes",1,0)</f>
        <v>0</v>
      </c>
    </row>
    <row r="226" spans="1:4" x14ac:dyDescent="0.25">
      <c r="A226" s="2">
        <f>IF(D226=1,Fandual!D226,0)</f>
        <v>0</v>
      </c>
      <c r="B226" s="2">
        <f>IF(D226=1,Fandual!F226,0)</f>
        <v>0</v>
      </c>
      <c r="C226" s="2">
        <f>IF(D226=1,Fandual!H226,0)</f>
        <v>0</v>
      </c>
      <c r="D226" s="2">
        <f>IF(Fandual!N226="yes",1,0)</f>
        <v>0</v>
      </c>
    </row>
    <row r="227" spans="1:4" x14ac:dyDescent="0.25">
      <c r="A227" s="2">
        <f>IF(D227=1,Fandual!D227,0)</f>
        <v>0</v>
      </c>
      <c r="B227" s="2">
        <f>IF(D227=1,Fandual!F227,0)</f>
        <v>0</v>
      </c>
      <c r="C227" s="2">
        <f>IF(D227=1,Fandual!H227,0)</f>
        <v>0</v>
      </c>
      <c r="D227" s="2">
        <f>IF(Fandual!N227="yes",1,0)</f>
        <v>0</v>
      </c>
    </row>
    <row r="228" spans="1:4" x14ac:dyDescent="0.25">
      <c r="A228" s="2">
        <f>IF(D228=1,Fandual!D228,0)</f>
        <v>0</v>
      </c>
      <c r="B228" s="2">
        <f>IF(D228=1,Fandual!F228,0)</f>
        <v>0</v>
      </c>
      <c r="C228" s="2">
        <f>IF(D228=1,Fandual!H228,0)</f>
        <v>0</v>
      </c>
      <c r="D228" s="2">
        <f>IF(Fandual!N228="yes",1,0)</f>
        <v>0</v>
      </c>
    </row>
    <row r="229" spans="1:4" x14ac:dyDescent="0.25">
      <c r="A229" s="2">
        <f>IF(D229=1,Fandual!D229,0)</f>
        <v>0</v>
      </c>
      <c r="B229" s="2">
        <f>IF(D229=1,Fandual!F229,0)</f>
        <v>0</v>
      </c>
      <c r="C229" s="2">
        <f>IF(D229=1,Fandual!H229,0)</f>
        <v>0</v>
      </c>
      <c r="D229" s="2">
        <f>IF(Fandual!N229="yes",1,0)</f>
        <v>0</v>
      </c>
    </row>
    <row r="230" spans="1:4" x14ac:dyDescent="0.25">
      <c r="A230" s="2">
        <f>IF(D230=1,Fandual!D230,0)</f>
        <v>0</v>
      </c>
      <c r="B230" s="2">
        <f>IF(D230=1,Fandual!F230,0)</f>
        <v>0</v>
      </c>
      <c r="C230" s="2">
        <f>IF(D230=1,Fandual!H230,0)</f>
        <v>0</v>
      </c>
      <c r="D230" s="2">
        <f>IF(Fandual!N230="yes",1,0)</f>
        <v>0</v>
      </c>
    </row>
    <row r="231" spans="1:4" x14ac:dyDescent="0.25">
      <c r="A231" s="2">
        <f>IF(D231=1,Fandual!D231,0)</f>
        <v>0</v>
      </c>
      <c r="B231" s="2">
        <f>IF(D231=1,Fandual!F231,0)</f>
        <v>0</v>
      </c>
      <c r="C231" s="2">
        <f>IF(D231=1,Fandual!H231,0)</f>
        <v>0</v>
      </c>
      <c r="D231" s="2">
        <f>IF(Fandual!N231="yes",1,0)</f>
        <v>0</v>
      </c>
    </row>
    <row r="232" spans="1:4" x14ac:dyDescent="0.25">
      <c r="A232" s="2">
        <f>IF(D232=1,Fandual!D232,0)</f>
        <v>0</v>
      </c>
      <c r="B232" s="2">
        <f>IF(D232=1,Fandual!F232,0)</f>
        <v>0</v>
      </c>
      <c r="C232" s="2">
        <f>IF(D232=1,Fandual!H232,0)</f>
        <v>0</v>
      </c>
      <c r="D232" s="2">
        <f>IF(Fandual!N232="yes",1,0)</f>
        <v>0</v>
      </c>
    </row>
    <row r="233" spans="1:4" x14ac:dyDescent="0.25">
      <c r="A233" s="2">
        <f>IF(D233=1,Fandual!D233,0)</f>
        <v>0</v>
      </c>
      <c r="B233" s="2">
        <f>IF(D233=1,Fandual!F233,0)</f>
        <v>0</v>
      </c>
      <c r="C233" s="2">
        <f>IF(D233=1,Fandual!H233,0)</f>
        <v>0</v>
      </c>
      <c r="D233" s="2">
        <f>IF(Fandual!N233="yes",1,0)</f>
        <v>0</v>
      </c>
    </row>
    <row r="234" spans="1:4" x14ac:dyDescent="0.25">
      <c r="A234" s="2">
        <f>IF(D234=1,Fandual!D234,0)</f>
        <v>0</v>
      </c>
      <c r="B234" s="2">
        <f>IF(D234=1,Fandual!F234,0)</f>
        <v>0</v>
      </c>
      <c r="C234" s="2">
        <f>IF(D234=1,Fandual!H234,0)</f>
        <v>0</v>
      </c>
      <c r="D234" s="2">
        <f>IF(Fandual!N234="yes",1,0)</f>
        <v>0</v>
      </c>
    </row>
    <row r="235" spans="1:4" x14ac:dyDescent="0.25">
      <c r="A235" s="2">
        <f>IF(D235=1,Fandual!D235,0)</f>
        <v>0</v>
      </c>
      <c r="B235" s="2">
        <f>IF(D235=1,Fandual!F235,0)</f>
        <v>0</v>
      </c>
      <c r="C235" s="2">
        <f>IF(D235=1,Fandual!H235,0)</f>
        <v>0</v>
      </c>
      <c r="D235" s="2">
        <f>IF(Fandual!N235="yes",1,0)</f>
        <v>0</v>
      </c>
    </row>
    <row r="236" spans="1:4" x14ac:dyDescent="0.25">
      <c r="A236" s="2">
        <f>IF(D236=1,Fandual!D236,0)</f>
        <v>0</v>
      </c>
      <c r="B236" s="2">
        <f>IF(D236=1,Fandual!F236,0)</f>
        <v>0</v>
      </c>
      <c r="C236" s="2">
        <f>IF(D236=1,Fandual!H236,0)</f>
        <v>0</v>
      </c>
      <c r="D236" s="2">
        <f>IF(Fandual!N236="yes",1,0)</f>
        <v>0</v>
      </c>
    </row>
    <row r="237" spans="1:4" x14ac:dyDescent="0.25">
      <c r="A237" s="2">
        <f>IF(D237=1,Fandual!D237,0)</f>
        <v>0</v>
      </c>
      <c r="B237" s="2">
        <f>IF(D237=1,Fandual!F237,0)</f>
        <v>0</v>
      </c>
      <c r="C237" s="2">
        <f>IF(D237=1,Fandual!H237,0)</f>
        <v>0</v>
      </c>
      <c r="D237" s="2">
        <f>IF(Fandual!N237="yes",1,0)</f>
        <v>0</v>
      </c>
    </row>
    <row r="238" spans="1:4" x14ac:dyDescent="0.25">
      <c r="A238" s="2">
        <f>IF(D238=1,Fandual!D238,0)</f>
        <v>0</v>
      </c>
      <c r="B238" s="2">
        <f>IF(D238=1,Fandual!F238,0)</f>
        <v>0</v>
      </c>
      <c r="C238" s="2">
        <f>IF(D238=1,Fandual!H238,0)</f>
        <v>0</v>
      </c>
      <c r="D238" s="2">
        <f>IF(Fandual!N238="yes",1,0)</f>
        <v>0</v>
      </c>
    </row>
    <row r="239" spans="1:4" x14ac:dyDescent="0.25">
      <c r="A239" s="2">
        <f>IF(D239=1,Fandual!D239,0)</f>
        <v>0</v>
      </c>
      <c r="B239" s="2">
        <f>IF(D239=1,Fandual!F239,0)</f>
        <v>0</v>
      </c>
      <c r="C239" s="2">
        <f>IF(D239=1,Fandual!H239,0)</f>
        <v>0</v>
      </c>
      <c r="D239" s="2">
        <f>IF(Fandual!N239="yes",1,0)</f>
        <v>0</v>
      </c>
    </row>
    <row r="240" spans="1:4" x14ac:dyDescent="0.25">
      <c r="A240" s="2">
        <f>IF(D240=1,Fandual!D240,0)</f>
        <v>0</v>
      </c>
      <c r="B240" s="2">
        <f>IF(D240=1,Fandual!F240,0)</f>
        <v>0</v>
      </c>
      <c r="C240" s="2">
        <f>IF(D240=1,Fandual!H240,0)</f>
        <v>0</v>
      </c>
      <c r="D240" s="2">
        <f>IF(Fandual!N240="yes",1,0)</f>
        <v>0</v>
      </c>
    </row>
    <row r="241" spans="1:4" x14ac:dyDescent="0.25">
      <c r="A241" s="2">
        <f>IF(D241=1,Fandual!D241,0)</f>
        <v>0</v>
      </c>
      <c r="B241" s="2">
        <f>IF(D241=1,Fandual!F241,0)</f>
        <v>0</v>
      </c>
      <c r="C241" s="2">
        <f>IF(D241=1,Fandual!H241,0)</f>
        <v>0</v>
      </c>
      <c r="D241" s="2">
        <f>IF(Fandual!N241="yes",1,0)</f>
        <v>0</v>
      </c>
    </row>
    <row r="242" spans="1:4" x14ac:dyDescent="0.25">
      <c r="A242" s="2">
        <f>IF(D242=1,Fandual!D242,0)</f>
        <v>0</v>
      </c>
      <c r="B242" s="2">
        <f>IF(D242=1,Fandual!F242,0)</f>
        <v>0</v>
      </c>
      <c r="C242" s="2">
        <f>IF(D242=1,Fandual!H242,0)</f>
        <v>0</v>
      </c>
      <c r="D242" s="2">
        <f>IF(Fandual!N242="yes",1,0)</f>
        <v>0</v>
      </c>
    </row>
    <row r="243" spans="1:4" x14ac:dyDescent="0.25">
      <c r="A243" s="2">
        <f>IF(D243=1,Fandual!D243,0)</f>
        <v>0</v>
      </c>
      <c r="B243" s="2">
        <f>IF(D243=1,Fandual!F243,0)</f>
        <v>0</v>
      </c>
      <c r="C243" s="2">
        <f>IF(D243=1,Fandual!H243,0)</f>
        <v>0</v>
      </c>
      <c r="D243" s="2">
        <f>IF(Fandual!N243="yes",1,0)</f>
        <v>0</v>
      </c>
    </row>
    <row r="244" spans="1:4" x14ac:dyDescent="0.25">
      <c r="A244" s="2">
        <f>IF(D244=1,Fandual!D244,0)</f>
        <v>0</v>
      </c>
      <c r="B244" s="2">
        <f>IF(D244=1,Fandual!F244,0)</f>
        <v>0</v>
      </c>
      <c r="C244" s="2">
        <f>IF(D244=1,Fandual!H244,0)</f>
        <v>0</v>
      </c>
      <c r="D244" s="2">
        <f>IF(Fandual!N244="yes",1,0)</f>
        <v>0</v>
      </c>
    </row>
    <row r="245" spans="1:4" x14ac:dyDescent="0.25">
      <c r="A245" s="2">
        <f>IF(D245=1,Fandual!D245,0)</f>
        <v>0</v>
      </c>
      <c r="B245" s="2">
        <f>IF(D245=1,Fandual!F245,0)</f>
        <v>0</v>
      </c>
      <c r="C245" s="2">
        <f>IF(D245=1,Fandual!H245,0)</f>
        <v>0</v>
      </c>
      <c r="D245" s="2">
        <f>IF(Fandual!N245="yes",1,0)</f>
        <v>0</v>
      </c>
    </row>
    <row r="246" spans="1:4" x14ac:dyDescent="0.25">
      <c r="A246" s="2">
        <f>IF(D246=1,Fandual!D246,0)</f>
        <v>0</v>
      </c>
      <c r="B246" s="2">
        <f>IF(D246=1,Fandual!F246,0)</f>
        <v>0</v>
      </c>
      <c r="C246" s="2">
        <f>IF(D246=1,Fandual!H246,0)</f>
        <v>0</v>
      </c>
      <c r="D246" s="2">
        <f>IF(Fandual!N246="yes",1,0)</f>
        <v>0</v>
      </c>
    </row>
    <row r="247" spans="1:4" x14ac:dyDescent="0.25">
      <c r="A247" s="2">
        <f>IF(D247=1,Fandual!D247,0)</f>
        <v>0</v>
      </c>
      <c r="B247" s="2">
        <f>IF(D247=1,Fandual!F247,0)</f>
        <v>0</v>
      </c>
      <c r="C247" s="2">
        <f>IF(D247=1,Fandual!H247,0)</f>
        <v>0</v>
      </c>
      <c r="D247" s="2">
        <f>IF(Fandual!N247="yes",1,0)</f>
        <v>0</v>
      </c>
    </row>
    <row r="248" spans="1:4" x14ac:dyDescent="0.25">
      <c r="A248" s="2">
        <f>IF(D248=1,Fandual!D248,0)</f>
        <v>0</v>
      </c>
      <c r="B248" s="2">
        <f>IF(D248=1,Fandual!F248,0)</f>
        <v>0</v>
      </c>
      <c r="C248" s="2">
        <f>IF(D248=1,Fandual!H248,0)</f>
        <v>0</v>
      </c>
      <c r="D248" s="2">
        <f>IF(Fandual!N248="yes",1,0)</f>
        <v>0</v>
      </c>
    </row>
    <row r="249" spans="1:4" x14ac:dyDescent="0.25">
      <c r="A249" s="2">
        <f>IF(D249=1,Fandual!D249,0)</f>
        <v>0</v>
      </c>
      <c r="B249" s="2">
        <f>IF(D249=1,Fandual!F249,0)</f>
        <v>0</v>
      </c>
      <c r="C249" s="2">
        <f>IF(D249=1,Fandual!H249,0)</f>
        <v>0</v>
      </c>
      <c r="D249" s="2">
        <f>IF(Fandual!N249="yes",1,0)</f>
        <v>0</v>
      </c>
    </row>
    <row r="250" spans="1:4" x14ac:dyDescent="0.25">
      <c r="A250" s="2">
        <f>IF(D250=1,Fandual!D250,0)</f>
        <v>0</v>
      </c>
      <c r="B250" s="2">
        <f>IF(D250=1,Fandual!F250,0)</f>
        <v>0</v>
      </c>
      <c r="C250" s="2">
        <f>IF(D250=1,Fandual!H250,0)</f>
        <v>0</v>
      </c>
      <c r="D250" s="2">
        <f>IF(Fandual!N250="yes",1,0)</f>
        <v>0</v>
      </c>
    </row>
    <row r="251" spans="1:4" x14ac:dyDescent="0.25">
      <c r="A251" s="2">
        <f>IF(D251=1,Fandual!D251,0)</f>
        <v>0</v>
      </c>
      <c r="B251" s="2">
        <f>IF(D251=1,Fandual!F251,0)</f>
        <v>0</v>
      </c>
      <c r="C251" s="2">
        <f>IF(D251=1,Fandual!H251,0)</f>
        <v>0</v>
      </c>
      <c r="D251" s="2">
        <f>IF(Fandual!N251="yes",1,0)</f>
        <v>0</v>
      </c>
    </row>
    <row r="252" spans="1:4" x14ac:dyDescent="0.25">
      <c r="A252" s="2">
        <f>IF(D252=1,Fandual!D252,0)</f>
        <v>0</v>
      </c>
      <c r="B252" s="2">
        <f>IF(D252=1,Fandual!F252,0)</f>
        <v>0</v>
      </c>
      <c r="C252" s="2">
        <f>IF(D252=1,Fandual!H252,0)</f>
        <v>0</v>
      </c>
      <c r="D252" s="2">
        <f>IF(Fandual!N252="yes",1,0)</f>
        <v>0</v>
      </c>
    </row>
    <row r="253" spans="1:4" x14ac:dyDescent="0.25">
      <c r="A253" s="2">
        <f>IF(D253=1,Fandual!D253,0)</f>
        <v>0</v>
      </c>
      <c r="B253" s="2">
        <f>IF(D253=1,Fandual!F253,0)</f>
        <v>0</v>
      </c>
      <c r="C253" s="2">
        <f>IF(D253=1,Fandual!H253,0)</f>
        <v>0</v>
      </c>
      <c r="D253" s="2">
        <f>IF(Fandual!N253="yes",1,0)</f>
        <v>0</v>
      </c>
    </row>
    <row r="254" spans="1:4" x14ac:dyDescent="0.25">
      <c r="A254" s="2">
        <f>IF(D254=1,Fandual!D254,0)</f>
        <v>0</v>
      </c>
      <c r="B254" s="2">
        <f>IF(D254=1,Fandual!F254,0)</f>
        <v>0</v>
      </c>
      <c r="C254" s="2">
        <f>IF(D254=1,Fandual!H254,0)</f>
        <v>0</v>
      </c>
      <c r="D254" s="2">
        <f>IF(Fandual!N254="yes",1,0)</f>
        <v>0</v>
      </c>
    </row>
    <row r="255" spans="1:4" x14ac:dyDescent="0.25">
      <c r="A255" s="2">
        <f>IF(D255=1,Fandual!D255,0)</f>
        <v>0</v>
      </c>
      <c r="B255" s="2">
        <f>IF(D255=1,Fandual!F255,0)</f>
        <v>0</v>
      </c>
      <c r="C255" s="2">
        <f>IF(D255=1,Fandual!H255,0)</f>
        <v>0</v>
      </c>
      <c r="D255" s="2">
        <f>IF(Fandual!N255="yes",1,0)</f>
        <v>0</v>
      </c>
    </row>
    <row r="256" spans="1:4" x14ac:dyDescent="0.25">
      <c r="A256" s="2">
        <f>IF(D256=1,Fandual!D256,0)</f>
        <v>0</v>
      </c>
      <c r="B256" s="2">
        <f>IF(D256=1,Fandual!F256,0)</f>
        <v>0</v>
      </c>
      <c r="C256" s="2">
        <f>IF(D256=1,Fandual!H256,0)</f>
        <v>0</v>
      </c>
      <c r="D256" s="2">
        <f>IF(Fandual!N256="yes",1,0)</f>
        <v>0</v>
      </c>
    </row>
    <row r="257" spans="1:4" x14ac:dyDescent="0.25">
      <c r="A257" s="2">
        <f>IF(D257=1,Fandual!D257,0)</f>
        <v>0</v>
      </c>
      <c r="B257" s="2">
        <f>IF(D257=1,Fandual!F257,0)</f>
        <v>0</v>
      </c>
      <c r="C257" s="2">
        <f>IF(D257=1,Fandual!H257,0)</f>
        <v>0</v>
      </c>
      <c r="D257" s="2">
        <f>IF(Fandual!N257="yes",1,0)</f>
        <v>0</v>
      </c>
    </row>
    <row r="258" spans="1:4" x14ac:dyDescent="0.25">
      <c r="A258" s="2">
        <f>IF(D258=1,Fandual!D258,0)</f>
        <v>0</v>
      </c>
      <c r="B258" s="2">
        <f>IF(D258=1,Fandual!F258,0)</f>
        <v>0</v>
      </c>
      <c r="C258" s="2">
        <f>IF(D258=1,Fandual!H258,0)</f>
        <v>0</v>
      </c>
      <c r="D258" s="2">
        <f>IF(Fandual!N258="yes",1,0)</f>
        <v>0</v>
      </c>
    </row>
    <row r="259" spans="1:4" x14ac:dyDescent="0.25">
      <c r="A259" s="2">
        <f>IF(D259=1,Fandual!D259,0)</f>
        <v>0</v>
      </c>
      <c r="B259" s="2">
        <f>IF(D259=1,Fandual!F259,0)</f>
        <v>0</v>
      </c>
      <c r="C259" s="2">
        <f>IF(D259=1,Fandual!H259,0)</f>
        <v>0</v>
      </c>
      <c r="D259" s="2">
        <f>IF(Fandual!N259="yes",1,0)</f>
        <v>0</v>
      </c>
    </row>
    <row r="260" spans="1:4" x14ac:dyDescent="0.25">
      <c r="A260" s="2">
        <f>IF(D260=1,Fandual!D260,0)</f>
        <v>0</v>
      </c>
      <c r="B260" s="2">
        <f>IF(D260=1,Fandual!F260,0)</f>
        <v>0</v>
      </c>
      <c r="C260" s="2">
        <f>IF(D260=1,Fandual!H260,0)</f>
        <v>0</v>
      </c>
      <c r="D260" s="2">
        <f>IF(Fandual!N260="yes",1,0)</f>
        <v>0</v>
      </c>
    </row>
    <row r="261" spans="1:4" x14ac:dyDescent="0.25">
      <c r="A261" s="2">
        <f>IF(D261=1,Fandual!D261,0)</f>
        <v>0</v>
      </c>
      <c r="B261" s="2">
        <f>IF(D261=1,Fandual!F261,0)</f>
        <v>0</v>
      </c>
      <c r="C261" s="2">
        <f>IF(D261=1,Fandual!H261,0)</f>
        <v>0</v>
      </c>
      <c r="D261" s="2">
        <f>IF(Fandual!N261="yes",1,0)</f>
        <v>0</v>
      </c>
    </row>
    <row r="262" spans="1:4" x14ac:dyDescent="0.25">
      <c r="A262" s="2">
        <f>IF(D262=1,Fandual!D262,0)</f>
        <v>0</v>
      </c>
      <c r="B262" s="2">
        <f>IF(D262=1,Fandual!F262,0)</f>
        <v>0</v>
      </c>
      <c r="C262" s="2">
        <f>IF(D262=1,Fandual!H262,0)</f>
        <v>0</v>
      </c>
      <c r="D262" s="2">
        <f>IF(Fandual!N262="yes",1,0)</f>
        <v>0</v>
      </c>
    </row>
    <row r="263" spans="1:4" x14ac:dyDescent="0.25">
      <c r="A263" s="2">
        <f>IF(D263=1,Fandual!D263,0)</f>
        <v>0</v>
      </c>
      <c r="B263" s="2">
        <f>IF(D263=1,Fandual!F263,0)</f>
        <v>0</v>
      </c>
      <c r="C263" s="2">
        <f>IF(D263=1,Fandual!H263,0)</f>
        <v>0</v>
      </c>
      <c r="D263" s="2">
        <f>IF(Fandual!N263="yes",1,0)</f>
        <v>0</v>
      </c>
    </row>
    <row r="264" spans="1:4" x14ac:dyDescent="0.25">
      <c r="A264" s="2">
        <f>IF(D264=1,Fandual!D264,0)</f>
        <v>0</v>
      </c>
      <c r="B264" s="2">
        <f>IF(D264=1,Fandual!F264,0)</f>
        <v>0</v>
      </c>
      <c r="C264" s="2">
        <f>IF(D264=1,Fandual!H264,0)</f>
        <v>0</v>
      </c>
      <c r="D264" s="2">
        <f>IF(Fandual!N264="yes",1,0)</f>
        <v>0</v>
      </c>
    </row>
    <row r="265" spans="1:4" x14ac:dyDescent="0.25">
      <c r="A265" s="2">
        <f>IF(D265=1,Fandual!D265,0)</f>
        <v>0</v>
      </c>
      <c r="B265" s="2">
        <f>IF(D265=1,Fandual!F265,0)</f>
        <v>0</v>
      </c>
      <c r="C265" s="2">
        <f>IF(D265=1,Fandual!H265,0)</f>
        <v>0</v>
      </c>
      <c r="D265" s="2">
        <f>IF(Fandual!N265="yes",1,0)</f>
        <v>0</v>
      </c>
    </row>
    <row r="266" spans="1:4" x14ac:dyDescent="0.25">
      <c r="A266" s="2">
        <f>IF(D266=1,Fandual!D266,0)</f>
        <v>0</v>
      </c>
      <c r="B266" s="2">
        <f>IF(D266=1,Fandual!F266,0)</f>
        <v>0</v>
      </c>
      <c r="C266" s="2">
        <f>IF(D266=1,Fandual!H266,0)</f>
        <v>0</v>
      </c>
      <c r="D266" s="2">
        <f>IF(Fandual!N266="yes",1,0)</f>
        <v>0</v>
      </c>
    </row>
    <row r="267" spans="1:4" x14ac:dyDescent="0.25">
      <c r="A267" s="2">
        <f>IF(D267=1,Fandual!D267,0)</f>
        <v>0</v>
      </c>
      <c r="B267" s="2">
        <f>IF(D267=1,Fandual!F267,0)</f>
        <v>0</v>
      </c>
      <c r="C267" s="2">
        <f>IF(D267=1,Fandual!H267,0)</f>
        <v>0</v>
      </c>
      <c r="D267" s="2">
        <f>IF(Fandual!N267="yes",1,0)</f>
        <v>0</v>
      </c>
    </row>
    <row r="268" spans="1:4" x14ac:dyDescent="0.25">
      <c r="A268" s="2">
        <f>IF(D268=1,Fandual!D268,0)</f>
        <v>0</v>
      </c>
      <c r="B268" s="2">
        <f>IF(D268=1,Fandual!F268,0)</f>
        <v>0</v>
      </c>
      <c r="C268" s="2">
        <f>IF(D268=1,Fandual!H268,0)</f>
        <v>0</v>
      </c>
      <c r="D268" s="2">
        <f>IF(Fandual!N268="yes",1,0)</f>
        <v>0</v>
      </c>
    </row>
    <row r="269" spans="1:4" x14ac:dyDescent="0.25">
      <c r="A269" s="2">
        <f>IF(D269=1,Fandual!D269,0)</f>
        <v>0</v>
      </c>
      <c r="B269" s="2">
        <f>IF(D269=1,Fandual!F269,0)</f>
        <v>0</v>
      </c>
      <c r="C269" s="2">
        <f>IF(D269=1,Fandual!H269,0)</f>
        <v>0</v>
      </c>
      <c r="D269" s="2">
        <f>IF(Fandual!N269="yes",1,0)</f>
        <v>0</v>
      </c>
    </row>
    <row r="270" spans="1:4" x14ac:dyDescent="0.25">
      <c r="A270" s="2">
        <f>IF(D270=1,Fandual!D270,0)</f>
        <v>0</v>
      </c>
      <c r="B270" s="2">
        <f>IF(D270=1,Fandual!F270,0)</f>
        <v>0</v>
      </c>
      <c r="C270" s="2">
        <f>IF(D270=1,Fandual!H270,0)</f>
        <v>0</v>
      </c>
      <c r="D270" s="2">
        <f>IF(Fandual!N270="yes",1,0)</f>
        <v>0</v>
      </c>
    </row>
    <row r="271" spans="1:4" x14ac:dyDescent="0.25">
      <c r="A271" s="2">
        <f>IF(D271=1,Fandual!D271,0)</f>
        <v>0</v>
      </c>
      <c r="B271" s="2">
        <f>IF(D271=1,Fandual!F271,0)</f>
        <v>0</v>
      </c>
      <c r="C271" s="2">
        <f>IF(D271=1,Fandual!H271,0)</f>
        <v>0</v>
      </c>
      <c r="D271" s="2">
        <f>IF(Fandual!N271="yes",1,0)</f>
        <v>0</v>
      </c>
    </row>
    <row r="272" spans="1:4" x14ac:dyDescent="0.25">
      <c r="A272" s="2">
        <f>IF(D272=1,Fandual!D272,0)</f>
        <v>0</v>
      </c>
      <c r="B272" s="2">
        <f>IF(D272=1,Fandual!F272,0)</f>
        <v>0</v>
      </c>
      <c r="C272" s="2">
        <f>IF(D272=1,Fandual!H272,0)</f>
        <v>0</v>
      </c>
      <c r="D272" s="2">
        <f>IF(Fandual!N272="yes",1,0)</f>
        <v>0</v>
      </c>
    </row>
    <row r="273" spans="1:4" x14ac:dyDescent="0.25">
      <c r="A273" s="2">
        <f>IF(D273=1,Fandual!D273,0)</f>
        <v>0</v>
      </c>
      <c r="B273" s="2">
        <f>IF(D273=1,Fandual!F273,0)</f>
        <v>0</v>
      </c>
      <c r="C273" s="2">
        <f>IF(D273=1,Fandual!H273,0)</f>
        <v>0</v>
      </c>
      <c r="D273" s="2">
        <f>IF(Fandual!N273="yes",1,0)</f>
        <v>0</v>
      </c>
    </row>
    <row r="274" spans="1:4" x14ac:dyDescent="0.25">
      <c r="A274" s="2">
        <f>IF(D274=1,Fandual!D274,0)</f>
        <v>0</v>
      </c>
      <c r="B274" s="2">
        <f>IF(D274=1,Fandual!F274,0)</f>
        <v>0</v>
      </c>
      <c r="C274" s="2">
        <f>IF(D274=1,Fandual!H274,0)</f>
        <v>0</v>
      </c>
      <c r="D274" s="2">
        <f>IF(Fandual!N274="yes",1,0)</f>
        <v>0</v>
      </c>
    </row>
    <row r="275" spans="1:4" x14ac:dyDescent="0.25">
      <c r="A275" s="2">
        <f>IF(D275=1,Fandual!D275,0)</f>
        <v>0</v>
      </c>
      <c r="B275" s="2">
        <f>IF(D275=1,Fandual!F275,0)</f>
        <v>0</v>
      </c>
      <c r="C275" s="2">
        <f>IF(D275=1,Fandual!H275,0)</f>
        <v>0</v>
      </c>
      <c r="D275" s="2">
        <f>IF(Fandual!N275="yes",1,0)</f>
        <v>0</v>
      </c>
    </row>
    <row r="276" spans="1:4" x14ac:dyDescent="0.25">
      <c r="A276" s="2">
        <f>IF(D276=1,Fandual!D276,0)</f>
        <v>0</v>
      </c>
      <c r="B276" s="2">
        <f>IF(D276=1,Fandual!F276,0)</f>
        <v>0</v>
      </c>
      <c r="C276" s="2">
        <f>IF(D276=1,Fandual!H276,0)</f>
        <v>0</v>
      </c>
      <c r="D276" s="2">
        <f>IF(Fandual!N276="yes",1,0)</f>
        <v>0</v>
      </c>
    </row>
    <row r="277" spans="1:4" x14ac:dyDescent="0.25">
      <c r="A277" s="2">
        <f>IF(D277=1,Fandual!D277,0)</f>
        <v>0</v>
      </c>
      <c r="B277" s="2">
        <f>IF(D277=1,Fandual!F277,0)</f>
        <v>0</v>
      </c>
      <c r="C277" s="2">
        <f>IF(D277=1,Fandual!H277,0)</f>
        <v>0</v>
      </c>
      <c r="D277" s="2">
        <f>IF(Fandual!N277="yes",1,0)</f>
        <v>0</v>
      </c>
    </row>
    <row r="278" spans="1:4" x14ac:dyDescent="0.25">
      <c r="A278" s="2">
        <f>IF(D278=1,Fandual!D278,0)</f>
        <v>0</v>
      </c>
      <c r="B278" s="2">
        <f>IF(D278=1,Fandual!F278,0)</f>
        <v>0</v>
      </c>
      <c r="C278" s="2">
        <f>IF(D278=1,Fandual!H278,0)</f>
        <v>0</v>
      </c>
      <c r="D278" s="2">
        <f>IF(Fandual!N278="yes",1,0)</f>
        <v>0</v>
      </c>
    </row>
    <row r="279" spans="1:4" x14ac:dyDescent="0.25">
      <c r="A279" s="2">
        <f>IF(D279=1,Fandual!D279,0)</f>
        <v>0</v>
      </c>
      <c r="B279" s="2">
        <f>IF(D279=1,Fandual!F279,0)</f>
        <v>0</v>
      </c>
      <c r="C279" s="2">
        <f>IF(D279=1,Fandual!H279,0)</f>
        <v>0</v>
      </c>
      <c r="D279" s="2">
        <f>IF(Fandual!N279="yes",1,0)</f>
        <v>0</v>
      </c>
    </row>
    <row r="280" spans="1:4" x14ac:dyDescent="0.25">
      <c r="A280" s="2">
        <f>IF(D280=1,Fandual!D280,0)</f>
        <v>0</v>
      </c>
      <c r="B280" s="2">
        <f>IF(D280=1,Fandual!F280,0)</f>
        <v>0</v>
      </c>
      <c r="C280" s="2">
        <f>IF(D280=1,Fandual!H280,0)</f>
        <v>0</v>
      </c>
      <c r="D280" s="2">
        <f>IF(Fandual!N280="yes",1,0)</f>
        <v>0</v>
      </c>
    </row>
    <row r="281" spans="1:4" x14ac:dyDescent="0.25">
      <c r="A281" s="2">
        <f>IF(D281=1,Fandual!D281,0)</f>
        <v>0</v>
      </c>
      <c r="B281" s="2">
        <f>IF(D281=1,Fandual!F281,0)</f>
        <v>0</v>
      </c>
      <c r="C281" s="2">
        <f>IF(D281=1,Fandual!H281,0)</f>
        <v>0</v>
      </c>
      <c r="D281" s="2">
        <f>IF(Fandual!N281="yes",1,0)</f>
        <v>0</v>
      </c>
    </row>
    <row r="282" spans="1:4" x14ac:dyDescent="0.25">
      <c r="A282" s="2">
        <f>IF(D282=1,Fandual!D282,0)</f>
        <v>0</v>
      </c>
      <c r="B282" s="2">
        <f>IF(D282=1,Fandual!F282,0)</f>
        <v>0</v>
      </c>
      <c r="C282" s="2">
        <f>IF(D282=1,Fandual!H282,0)</f>
        <v>0</v>
      </c>
      <c r="D282" s="2">
        <f>IF(Fandual!N282="yes",1,0)</f>
        <v>0</v>
      </c>
    </row>
    <row r="283" spans="1:4" x14ac:dyDescent="0.25">
      <c r="A283" s="2">
        <f>IF(D283=1,Fandual!D283,0)</f>
        <v>0</v>
      </c>
      <c r="B283" s="2">
        <f>IF(D283=1,Fandual!F283,0)</f>
        <v>0</v>
      </c>
      <c r="C283" s="2">
        <f>IF(D283=1,Fandual!H283,0)</f>
        <v>0</v>
      </c>
      <c r="D283" s="2">
        <f>IF(Fandual!N283="yes",1,0)</f>
        <v>0</v>
      </c>
    </row>
    <row r="284" spans="1:4" x14ac:dyDescent="0.25">
      <c r="A284" s="2">
        <f>IF(D284=1,Fandual!D284,0)</f>
        <v>0</v>
      </c>
      <c r="B284" s="2">
        <f>IF(D284=1,Fandual!F284,0)</f>
        <v>0</v>
      </c>
      <c r="C284" s="2">
        <f>IF(D284=1,Fandual!H284,0)</f>
        <v>0</v>
      </c>
      <c r="D284" s="2">
        <f>IF(Fandual!N284="yes",1,0)</f>
        <v>0</v>
      </c>
    </row>
    <row r="285" spans="1:4" x14ac:dyDescent="0.25">
      <c r="A285" s="2">
        <f>IF(D285=1,Fandual!D285,0)</f>
        <v>0</v>
      </c>
      <c r="B285" s="2">
        <f>IF(D285=1,Fandual!F285,0)</f>
        <v>0</v>
      </c>
      <c r="C285" s="2">
        <f>IF(D285=1,Fandual!H285,0)</f>
        <v>0</v>
      </c>
      <c r="D285" s="2">
        <f>IF(Fandual!N285="yes",1,0)</f>
        <v>0</v>
      </c>
    </row>
    <row r="286" spans="1:4" x14ac:dyDescent="0.25">
      <c r="A286" s="2">
        <f>IF(D286=1,Fandual!D286,0)</f>
        <v>0</v>
      </c>
      <c r="B286" s="2">
        <f>IF(D286=1,Fandual!F286,0)</f>
        <v>0</v>
      </c>
      <c r="C286" s="2">
        <f>IF(D286=1,Fandual!H286,0)</f>
        <v>0</v>
      </c>
      <c r="D286" s="2">
        <f>IF(Fandual!N286="yes",1,0)</f>
        <v>0</v>
      </c>
    </row>
    <row r="287" spans="1:4" x14ac:dyDescent="0.25">
      <c r="A287" s="2">
        <f>IF(D287=1,Fandual!D287,0)</f>
        <v>0</v>
      </c>
      <c r="B287" s="2">
        <f>IF(D287=1,Fandual!F287,0)</f>
        <v>0</v>
      </c>
      <c r="C287" s="2">
        <f>IF(D287=1,Fandual!H287,0)</f>
        <v>0</v>
      </c>
      <c r="D287" s="2">
        <f>IF(Fandual!N287="yes",1,0)</f>
        <v>0</v>
      </c>
    </row>
    <row r="288" spans="1:4" x14ac:dyDescent="0.25">
      <c r="A288" s="2">
        <f>IF(D288=1,Fandual!D288,0)</f>
        <v>0</v>
      </c>
      <c r="B288" s="2">
        <f>IF(D288=1,Fandual!F288,0)</f>
        <v>0</v>
      </c>
      <c r="C288" s="2">
        <f>IF(D288=1,Fandual!H288,0)</f>
        <v>0</v>
      </c>
      <c r="D288" s="2">
        <f>IF(Fandual!N288="yes",1,0)</f>
        <v>0</v>
      </c>
    </row>
    <row r="289" spans="1:4" x14ac:dyDescent="0.25">
      <c r="A289" s="2">
        <f>IF(D289=1,Fandual!D289,0)</f>
        <v>0</v>
      </c>
      <c r="B289" s="2">
        <f>IF(D289=1,Fandual!F289,0)</f>
        <v>0</v>
      </c>
      <c r="C289" s="2">
        <f>IF(D289=1,Fandual!H289,0)</f>
        <v>0</v>
      </c>
      <c r="D289" s="2">
        <f>IF(Fandual!N289="yes",1,0)</f>
        <v>0</v>
      </c>
    </row>
    <row r="290" spans="1:4" x14ac:dyDescent="0.25">
      <c r="A290" s="2">
        <f>IF(D290=1,Fandual!D290,0)</f>
        <v>0</v>
      </c>
      <c r="B290" s="2">
        <f>IF(D290=1,Fandual!F290,0)</f>
        <v>0</v>
      </c>
      <c r="C290" s="2">
        <f>IF(D290=1,Fandual!H290,0)</f>
        <v>0</v>
      </c>
      <c r="D290" s="2">
        <f>IF(Fandual!N290="yes",1,0)</f>
        <v>0</v>
      </c>
    </row>
    <row r="291" spans="1:4" x14ac:dyDescent="0.25">
      <c r="A291" s="2">
        <f>IF(D291=1,Fandual!D291,0)</f>
        <v>0</v>
      </c>
      <c r="B291" s="2">
        <f>IF(D291=1,Fandual!F291,0)</f>
        <v>0</v>
      </c>
      <c r="C291" s="2">
        <f>IF(D291=1,Fandual!H291,0)</f>
        <v>0</v>
      </c>
      <c r="D291" s="2">
        <f>IF(Fandual!N291="yes",1,0)</f>
        <v>0</v>
      </c>
    </row>
    <row r="292" spans="1:4" x14ac:dyDescent="0.25">
      <c r="A292" s="2">
        <f>IF(D292=1,Fandual!D292,0)</f>
        <v>0</v>
      </c>
      <c r="B292" s="2">
        <f>IF(D292=1,Fandual!F292,0)</f>
        <v>0</v>
      </c>
      <c r="C292" s="2">
        <f>IF(D292=1,Fandual!H292,0)</f>
        <v>0</v>
      </c>
      <c r="D292" s="2">
        <f>IF(Fandual!N292="yes",1,0)</f>
        <v>0</v>
      </c>
    </row>
    <row r="293" spans="1:4" x14ac:dyDescent="0.25">
      <c r="A293" s="2">
        <f>IF(D293=1,Fandual!D293,0)</f>
        <v>0</v>
      </c>
      <c r="B293" s="2">
        <f>IF(D293=1,Fandual!F293,0)</f>
        <v>0</v>
      </c>
      <c r="C293" s="2">
        <f>IF(D293=1,Fandual!H293,0)</f>
        <v>0</v>
      </c>
      <c r="D293" s="2">
        <f>IF(Fandual!N293="yes",1,0)</f>
        <v>0</v>
      </c>
    </row>
    <row r="294" spans="1:4" x14ac:dyDescent="0.25">
      <c r="A294" s="2">
        <f>IF(D294=1,Fandual!D294,0)</f>
        <v>0</v>
      </c>
      <c r="B294" s="2">
        <f>IF(D294=1,Fandual!F294,0)</f>
        <v>0</v>
      </c>
      <c r="C294" s="2">
        <f>IF(D294=1,Fandual!H294,0)</f>
        <v>0</v>
      </c>
      <c r="D294" s="2">
        <f>IF(Fandual!N294="yes",1,0)</f>
        <v>0</v>
      </c>
    </row>
    <row r="295" spans="1:4" x14ac:dyDescent="0.25">
      <c r="A295" s="2">
        <f>IF(D295=1,Fandual!D295,0)</f>
        <v>0</v>
      </c>
      <c r="B295" s="2">
        <f>IF(D295=1,Fandual!F295,0)</f>
        <v>0</v>
      </c>
      <c r="C295" s="2">
        <f>IF(D295=1,Fandual!H295,0)</f>
        <v>0</v>
      </c>
      <c r="D295" s="2">
        <f>IF(Fandual!N295="yes",1,0)</f>
        <v>0</v>
      </c>
    </row>
    <row r="296" spans="1:4" x14ac:dyDescent="0.25">
      <c r="A296" s="2">
        <f>IF(D296=1,Fandual!D296,0)</f>
        <v>0</v>
      </c>
      <c r="B296" s="2">
        <f>IF(D296=1,Fandual!F296,0)</f>
        <v>0</v>
      </c>
      <c r="C296" s="2">
        <f>IF(D296=1,Fandual!H296,0)</f>
        <v>0</v>
      </c>
      <c r="D296" s="2">
        <f>IF(Fandual!N296="yes",1,0)</f>
        <v>0</v>
      </c>
    </row>
    <row r="297" spans="1:4" x14ac:dyDescent="0.25">
      <c r="A297" s="2">
        <f>IF(D297=1,Fandual!D297,0)</f>
        <v>0</v>
      </c>
      <c r="B297" s="2">
        <f>IF(D297=1,Fandual!F297,0)</f>
        <v>0</v>
      </c>
      <c r="C297" s="2">
        <f>IF(D297=1,Fandual!H297,0)</f>
        <v>0</v>
      </c>
      <c r="D297" s="2">
        <f>IF(Fandual!N297="yes",1,0)</f>
        <v>0</v>
      </c>
    </row>
    <row r="298" spans="1:4" x14ac:dyDescent="0.25">
      <c r="A298" s="2">
        <f>IF(D298=1,Fandual!D298,0)</f>
        <v>0</v>
      </c>
      <c r="B298" s="2">
        <f>IF(D298=1,Fandual!F298,0)</f>
        <v>0</v>
      </c>
      <c r="C298" s="2">
        <f>IF(D298=1,Fandual!H298,0)</f>
        <v>0</v>
      </c>
      <c r="D298" s="2">
        <f>IF(Fandual!N298="yes",1,0)</f>
        <v>0</v>
      </c>
    </row>
    <row r="299" spans="1:4" x14ac:dyDescent="0.25">
      <c r="A299" s="2">
        <f>IF(D299=1,Fandual!D299,0)</f>
        <v>0</v>
      </c>
      <c r="B299" s="2">
        <f>IF(D299=1,Fandual!F299,0)</f>
        <v>0</v>
      </c>
      <c r="C299" s="2">
        <f>IF(D299=1,Fandual!H299,0)</f>
        <v>0</v>
      </c>
      <c r="D299" s="2">
        <f>IF(Fandual!N299="yes",1,0)</f>
        <v>0</v>
      </c>
    </row>
    <row r="300" spans="1:4" x14ac:dyDescent="0.25">
      <c r="A300" s="2">
        <f>IF(D300=1,Fandual!D300,0)</f>
        <v>0</v>
      </c>
      <c r="B300" s="2">
        <f>IF(D300=1,Fandual!F300,0)</f>
        <v>0</v>
      </c>
      <c r="C300" s="2">
        <f>IF(D300=1,Fandual!H300,0)</f>
        <v>0</v>
      </c>
      <c r="D300" s="2">
        <f>IF(Fandual!N300="yes",1,0)</f>
        <v>0</v>
      </c>
    </row>
    <row r="301" spans="1:4" x14ac:dyDescent="0.25">
      <c r="A301" s="2">
        <f>IF(D301=1,Fandual!D301,0)</f>
        <v>0</v>
      </c>
      <c r="B301" s="2">
        <f>IF(D301=1,Fandual!F301,0)</f>
        <v>0</v>
      </c>
      <c r="C301" s="2">
        <f>IF(D301=1,Fandual!H301,0)</f>
        <v>0</v>
      </c>
      <c r="D301" s="2">
        <f>IF(Fandual!N301="yes",1,0)</f>
        <v>0</v>
      </c>
    </row>
    <row r="302" spans="1:4" x14ac:dyDescent="0.25">
      <c r="A302" s="2">
        <f>IF(D302=1,Fandual!D302,0)</f>
        <v>0</v>
      </c>
      <c r="B302" s="2">
        <f>IF(D302=1,Fandual!F302,0)</f>
        <v>0</v>
      </c>
      <c r="C302" s="2">
        <f>IF(D302=1,Fandual!H302,0)</f>
        <v>0</v>
      </c>
      <c r="D302" s="2">
        <f>IF(Fandual!N302="yes",1,0)</f>
        <v>0</v>
      </c>
    </row>
    <row r="303" spans="1:4" x14ac:dyDescent="0.25">
      <c r="A303" s="2">
        <f>IF(D303=1,Fandual!D303,0)</f>
        <v>0</v>
      </c>
      <c r="B303" s="2">
        <f>IF(D303=1,Fandual!F303,0)</f>
        <v>0</v>
      </c>
      <c r="C303" s="2">
        <f>IF(D303=1,Fandual!H303,0)</f>
        <v>0</v>
      </c>
      <c r="D303" s="2">
        <f>IF(Fandual!N303="yes",1,0)</f>
        <v>0</v>
      </c>
    </row>
    <row r="304" spans="1:4" x14ac:dyDescent="0.25">
      <c r="A304" s="2">
        <f>IF(D304=1,Fandual!D304,0)</f>
        <v>0</v>
      </c>
      <c r="B304" s="2">
        <f>IF(D304=1,Fandual!F304,0)</f>
        <v>0</v>
      </c>
      <c r="C304" s="2">
        <f>IF(D304=1,Fandual!H304,0)</f>
        <v>0</v>
      </c>
      <c r="D304" s="2">
        <f>IF(Fandual!N304="yes",1,0)</f>
        <v>0</v>
      </c>
    </row>
    <row r="305" spans="1:4" x14ac:dyDescent="0.25">
      <c r="A305" s="2">
        <f>IF(D305=1,Fandual!D305,0)</f>
        <v>0</v>
      </c>
      <c r="B305" s="2">
        <f>IF(D305=1,Fandual!F305,0)</f>
        <v>0</v>
      </c>
      <c r="C305" s="2">
        <f>IF(D305=1,Fandual!H305,0)</f>
        <v>0</v>
      </c>
      <c r="D305" s="2">
        <f>IF(Fandual!N305="yes",1,0)</f>
        <v>0</v>
      </c>
    </row>
    <row r="306" spans="1:4" x14ac:dyDescent="0.25">
      <c r="A306" s="2">
        <f>IF(D306=1,Fandual!D306,0)</f>
        <v>0</v>
      </c>
      <c r="B306" s="2">
        <f>IF(D306=1,Fandual!F306,0)</f>
        <v>0</v>
      </c>
      <c r="C306" s="2">
        <f>IF(D306=1,Fandual!H306,0)</f>
        <v>0</v>
      </c>
      <c r="D306" s="2">
        <f>IF(Fandual!N306="yes",1,0)</f>
        <v>0</v>
      </c>
    </row>
    <row r="307" spans="1:4" x14ac:dyDescent="0.25">
      <c r="A307" s="2">
        <f>IF(D307=1,Fandual!D307,0)</f>
        <v>0</v>
      </c>
      <c r="B307" s="2">
        <f>IF(D307=1,Fandual!F307,0)</f>
        <v>0</v>
      </c>
      <c r="C307" s="2">
        <f>IF(D307=1,Fandual!H307,0)</f>
        <v>0</v>
      </c>
      <c r="D307" s="2">
        <f>IF(Fandual!N307="yes",1,0)</f>
        <v>0</v>
      </c>
    </row>
    <row r="308" spans="1:4" x14ac:dyDescent="0.25">
      <c r="A308" s="2">
        <f>IF(D308=1,Fandual!D308,0)</f>
        <v>0</v>
      </c>
      <c r="B308" s="2">
        <f>IF(D308=1,Fandual!F308,0)</f>
        <v>0</v>
      </c>
      <c r="C308" s="2">
        <f>IF(D308=1,Fandual!H308,0)</f>
        <v>0</v>
      </c>
      <c r="D308" s="2">
        <f>IF(Fandual!N308="yes",1,0)</f>
        <v>0</v>
      </c>
    </row>
    <row r="309" spans="1:4" x14ac:dyDescent="0.25">
      <c r="A309" s="2">
        <f>IF(D309=1,Fandual!D309,0)</f>
        <v>0</v>
      </c>
      <c r="B309" s="2">
        <f>IF(D309=1,Fandual!F309,0)</f>
        <v>0</v>
      </c>
      <c r="C309" s="2">
        <f>IF(D309=1,Fandual!H309,0)</f>
        <v>0</v>
      </c>
      <c r="D309" s="2">
        <f>IF(Fandual!N309="yes",1,0)</f>
        <v>0</v>
      </c>
    </row>
    <row r="310" spans="1:4" x14ac:dyDescent="0.25">
      <c r="A310" s="2">
        <f>IF(D310=1,Fandual!D310,0)</f>
        <v>0</v>
      </c>
      <c r="B310" s="2">
        <f>IF(D310=1,Fandual!F310,0)</f>
        <v>0</v>
      </c>
      <c r="C310" s="2">
        <f>IF(D310=1,Fandual!H310,0)</f>
        <v>0</v>
      </c>
      <c r="D310" s="2">
        <f>IF(Fandual!N310="yes",1,0)</f>
        <v>0</v>
      </c>
    </row>
    <row r="311" spans="1:4" x14ac:dyDescent="0.25">
      <c r="A311" s="2">
        <f>IF(D311=1,Fandual!D311,0)</f>
        <v>0</v>
      </c>
      <c r="B311" s="2">
        <f>IF(D311=1,Fandual!F311,0)</f>
        <v>0</v>
      </c>
      <c r="C311" s="2">
        <f>IF(D311=1,Fandual!H311,0)</f>
        <v>0</v>
      </c>
      <c r="D311" s="2">
        <f>IF(Fandual!N311="yes",1,0)</f>
        <v>0</v>
      </c>
    </row>
    <row r="312" spans="1:4" x14ac:dyDescent="0.25">
      <c r="A312" s="2">
        <f>IF(D312=1,Fandual!D312,0)</f>
        <v>0</v>
      </c>
      <c r="B312" s="2">
        <f>IF(D312=1,Fandual!F312,0)</f>
        <v>0</v>
      </c>
      <c r="C312" s="2">
        <f>IF(D312=1,Fandual!H312,0)</f>
        <v>0</v>
      </c>
      <c r="D312" s="2">
        <f>IF(Fandual!N312="yes",1,0)</f>
        <v>0</v>
      </c>
    </row>
    <row r="313" spans="1:4" x14ac:dyDescent="0.25">
      <c r="A313" s="2">
        <f>IF(D313=1,Fandual!D313,0)</f>
        <v>0</v>
      </c>
      <c r="B313" s="2">
        <f>IF(D313=1,Fandual!F313,0)</f>
        <v>0</v>
      </c>
      <c r="C313" s="2">
        <f>IF(D313=1,Fandual!H313,0)</f>
        <v>0</v>
      </c>
      <c r="D313" s="2">
        <f>IF(Fandual!N313="yes",1,0)</f>
        <v>0</v>
      </c>
    </row>
    <row r="314" spans="1:4" x14ac:dyDescent="0.25">
      <c r="A314" s="2">
        <f>IF(D314=1,Fandual!D314,0)</f>
        <v>0</v>
      </c>
      <c r="B314" s="2">
        <f>IF(D314=1,Fandual!F314,0)</f>
        <v>0</v>
      </c>
      <c r="C314" s="2">
        <f>IF(D314=1,Fandual!H314,0)</f>
        <v>0</v>
      </c>
      <c r="D314" s="2">
        <f>IF(Fandual!N314="yes",1,0)</f>
        <v>0</v>
      </c>
    </row>
    <row r="315" spans="1:4" x14ac:dyDescent="0.25">
      <c r="A315" s="2">
        <f>IF(D315=1,Fandual!D315,0)</f>
        <v>0</v>
      </c>
      <c r="B315" s="2">
        <f>IF(D315=1,Fandual!F315,0)</f>
        <v>0</v>
      </c>
      <c r="C315" s="2">
        <f>IF(D315=1,Fandual!H315,0)</f>
        <v>0</v>
      </c>
      <c r="D315" s="2">
        <f>IF(Fandual!N315="yes",1,0)</f>
        <v>0</v>
      </c>
    </row>
    <row r="316" spans="1:4" x14ac:dyDescent="0.25">
      <c r="A316" s="2">
        <f>IF(D316=1,Fandual!D316,0)</f>
        <v>0</v>
      </c>
      <c r="B316" s="2">
        <f>IF(D316=1,Fandual!F316,0)</f>
        <v>0</v>
      </c>
      <c r="C316" s="2">
        <f>IF(D316=1,Fandual!H316,0)</f>
        <v>0</v>
      </c>
      <c r="D316" s="2">
        <f>IF(Fandual!N316="yes",1,0)</f>
        <v>0</v>
      </c>
    </row>
    <row r="317" spans="1:4" x14ac:dyDescent="0.25">
      <c r="A317" s="2">
        <f>IF(D317=1,Fandual!D317,0)</f>
        <v>0</v>
      </c>
      <c r="B317" s="2">
        <f>IF(D317=1,Fandual!F317,0)</f>
        <v>0</v>
      </c>
      <c r="C317" s="2">
        <f>IF(D317=1,Fandual!H317,0)</f>
        <v>0</v>
      </c>
      <c r="D317" s="2">
        <f>IF(Fandual!N317="yes",1,0)</f>
        <v>0</v>
      </c>
    </row>
    <row r="318" spans="1:4" x14ac:dyDescent="0.25">
      <c r="A318" s="2">
        <f>IF(D318=1,Fandual!D318,0)</f>
        <v>0</v>
      </c>
      <c r="B318" s="2">
        <f>IF(D318=1,Fandual!F318,0)</f>
        <v>0</v>
      </c>
      <c r="C318" s="2">
        <f>IF(D318=1,Fandual!H318,0)</f>
        <v>0</v>
      </c>
      <c r="D318" s="2">
        <f>IF(Fandual!N318="yes",1,0)</f>
        <v>0</v>
      </c>
    </row>
    <row r="319" spans="1:4" x14ac:dyDescent="0.25">
      <c r="A319" s="2">
        <f>IF(D319=1,Fandual!D319,0)</f>
        <v>0</v>
      </c>
      <c r="B319" s="2">
        <f>IF(D319=1,Fandual!F319,0)</f>
        <v>0</v>
      </c>
      <c r="C319" s="2">
        <f>IF(D319=1,Fandual!H319,0)</f>
        <v>0</v>
      </c>
      <c r="D319" s="2">
        <f>IF(Fandual!N319="yes",1,0)</f>
        <v>0</v>
      </c>
    </row>
    <row r="320" spans="1:4" x14ac:dyDescent="0.25">
      <c r="A320" s="2">
        <f>IF(D320=1,Fandual!D320,0)</f>
        <v>0</v>
      </c>
      <c r="B320" s="2">
        <f>IF(D320=1,Fandual!F320,0)</f>
        <v>0</v>
      </c>
      <c r="C320" s="2">
        <f>IF(D320=1,Fandual!H320,0)</f>
        <v>0</v>
      </c>
      <c r="D320" s="2">
        <f>IF(Fandual!N320="yes",1,0)</f>
        <v>0</v>
      </c>
    </row>
    <row r="321" spans="1:4" x14ac:dyDescent="0.25">
      <c r="A321" s="2">
        <f>IF(D321=1,Fandual!D321,0)</f>
        <v>0</v>
      </c>
      <c r="B321" s="2">
        <f>IF(D321=1,Fandual!F321,0)</f>
        <v>0</v>
      </c>
      <c r="C321" s="2">
        <f>IF(D321=1,Fandual!H321,0)</f>
        <v>0</v>
      </c>
      <c r="D321" s="2">
        <f>IF(Fandual!N321="yes",1,0)</f>
        <v>0</v>
      </c>
    </row>
    <row r="322" spans="1:4" x14ac:dyDescent="0.25">
      <c r="A322" s="2">
        <f>IF(D322=1,Fandual!D322,0)</f>
        <v>0</v>
      </c>
      <c r="B322" s="2">
        <f>IF(D322=1,Fandual!F322,0)</f>
        <v>0</v>
      </c>
      <c r="C322" s="2">
        <f>IF(D322=1,Fandual!H322,0)</f>
        <v>0</v>
      </c>
      <c r="D322" s="2">
        <f>IF(Fandual!N322="yes",1,0)</f>
        <v>0</v>
      </c>
    </row>
    <row r="323" spans="1:4" x14ac:dyDescent="0.25">
      <c r="A323" s="2">
        <f>IF(D323=1,Fandual!D323,0)</f>
        <v>0</v>
      </c>
      <c r="B323" s="2">
        <f>IF(D323=1,Fandual!F323,0)</f>
        <v>0</v>
      </c>
      <c r="C323" s="2">
        <f>IF(D323=1,Fandual!H323,0)</f>
        <v>0</v>
      </c>
      <c r="D323" s="2">
        <f>IF(Fandual!N323="yes",1,0)</f>
        <v>0</v>
      </c>
    </row>
    <row r="324" spans="1:4" x14ac:dyDescent="0.25">
      <c r="A324" s="2">
        <f>IF(D324=1,Fandual!D324,0)</f>
        <v>0</v>
      </c>
      <c r="B324" s="2">
        <f>IF(D324=1,Fandual!F324,0)</f>
        <v>0</v>
      </c>
      <c r="C324" s="2">
        <f>IF(D324=1,Fandual!H324,0)</f>
        <v>0</v>
      </c>
      <c r="D324" s="2">
        <f>IF(Fandual!N324="yes",1,0)</f>
        <v>0</v>
      </c>
    </row>
    <row r="325" spans="1:4" x14ac:dyDescent="0.25">
      <c r="A325" s="2">
        <f>IF(D325=1,Fandual!D325,0)</f>
        <v>0</v>
      </c>
      <c r="B325" s="2">
        <f>IF(D325=1,Fandual!F325,0)</f>
        <v>0</v>
      </c>
      <c r="C325" s="2">
        <f>IF(D325=1,Fandual!H325,0)</f>
        <v>0</v>
      </c>
      <c r="D325" s="2">
        <f>IF(Fandual!N325="yes",1,0)</f>
        <v>0</v>
      </c>
    </row>
    <row r="326" spans="1:4" x14ac:dyDescent="0.25">
      <c r="A326" s="2">
        <f>IF(D326=1,Fandual!D326,0)</f>
        <v>0</v>
      </c>
      <c r="B326" s="2">
        <f>IF(D326=1,Fandual!F326,0)</f>
        <v>0</v>
      </c>
      <c r="C326" s="2">
        <f>IF(D326=1,Fandual!H326,0)</f>
        <v>0</v>
      </c>
      <c r="D326" s="2">
        <f>IF(Fandual!N326="yes",1,0)</f>
        <v>0</v>
      </c>
    </row>
    <row r="327" spans="1:4" x14ac:dyDescent="0.25">
      <c r="A327" s="2">
        <f>IF(D327=1,Fandual!D327,0)</f>
        <v>0</v>
      </c>
      <c r="B327" s="2">
        <f>IF(D327=1,Fandual!F327,0)</f>
        <v>0</v>
      </c>
      <c r="C327" s="2">
        <f>IF(D327=1,Fandual!H327,0)</f>
        <v>0</v>
      </c>
      <c r="D327" s="2">
        <f>IF(Fandual!N327="yes",1,0)</f>
        <v>0</v>
      </c>
    </row>
    <row r="328" spans="1:4" x14ac:dyDescent="0.25">
      <c r="A328" s="2">
        <f>IF(D328=1,Fandual!D328,0)</f>
        <v>0</v>
      </c>
      <c r="B328" s="2">
        <f>IF(D328=1,Fandual!F328,0)</f>
        <v>0</v>
      </c>
      <c r="C328" s="2">
        <f>IF(D328=1,Fandual!H328,0)</f>
        <v>0</v>
      </c>
      <c r="D328" s="2">
        <f>IF(Fandual!N328="yes",1,0)</f>
        <v>0</v>
      </c>
    </row>
    <row r="329" spans="1:4" x14ac:dyDescent="0.25">
      <c r="A329" s="2">
        <f>IF(D329=1,Fandual!D329,0)</f>
        <v>0</v>
      </c>
      <c r="B329" s="2">
        <f>IF(D329=1,Fandual!F329,0)</f>
        <v>0</v>
      </c>
      <c r="C329" s="2">
        <f>IF(D329=1,Fandual!H329,0)</f>
        <v>0</v>
      </c>
      <c r="D329" s="2">
        <f>IF(Fandual!N329="yes",1,0)</f>
        <v>0</v>
      </c>
    </row>
    <row r="330" spans="1:4" x14ac:dyDescent="0.25">
      <c r="A330" s="2">
        <f>IF(D330=1,Fandual!D330,0)</f>
        <v>0</v>
      </c>
      <c r="B330" s="2">
        <f>IF(D330=1,Fandual!F330,0)</f>
        <v>0</v>
      </c>
      <c r="C330" s="2">
        <f>IF(D330=1,Fandual!H330,0)</f>
        <v>0</v>
      </c>
      <c r="D330" s="2">
        <f>IF(Fandual!N330="yes",1,0)</f>
        <v>0</v>
      </c>
    </row>
    <row r="331" spans="1:4" x14ac:dyDescent="0.25">
      <c r="A331" s="2">
        <f>IF(D331=1,Fandual!D331,0)</f>
        <v>0</v>
      </c>
      <c r="B331" s="2">
        <f>IF(D331=1,Fandual!F331,0)</f>
        <v>0</v>
      </c>
      <c r="C331" s="2">
        <f>IF(D331=1,Fandual!H331,0)</f>
        <v>0</v>
      </c>
      <c r="D331" s="2">
        <f>IF(Fandual!N331="yes",1,0)</f>
        <v>0</v>
      </c>
    </row>
    <row r="332" spans="1:4" x14ac:dyDescent="0.25">
      <c r="A332" s="2">
        <f>IF(D332=1,Fandual!D332,0)</f>
        <v>0</v>
      </c>
      <c r="B332" s="2">
        <f>IF(D332=1,Fandual!F332,0)</f>
        <v>0</v>
      </c>
      <c r="C332" s="2">
        <f>IF(D332=1,Fandual!H332,0)</f>
        <v>0</v>
      </c>
      <c r="D332" s="2">
        <f>IF(Fandual!N332="yes",1,0)</f>
        <v>0</v>
      </c>
    </row>
    <row r="333" spans="1:4" x14ac:dyDescent="0.25">
      <c r="A333" s="2">
        <f>IF(D333=1,Fandual!D333,0)</f>
        <v>0</v>
      </c>
      <c r="B333" s="2">
        <f>IF(D333=1,Fandual!F333,0)</f>
        <v>0</v>
      </c>
      <c r="C333" s="2">
        <f>IF(D333=1,Fandual!H333,0)</f>
        <v>0</v>
      </c>
      <c r="D333" s="2">
        <f>IF(Fandual!N333="yes",1,0)</f>
        <v>0</v>
      </c>
    </row>
    <row r="334" spans="1:4" x14ac:dyDescent="0.25">
      <c r="A334" s="2">
        <f>IF(D334=1,Fandual!D334,0)</f>
        <v>0</v>
      </c>
      <c r="B334" s="2">
        <f>IF(D334=1,Fandual!F334,0)</f>
        <v>0</v>
      </c>
      <c r="C334" s="2">
        <f>IF(D334=1,Fandual!H334,0)</f>
        <v>0</v>
      </c>
      <c r="D334" s="2">
        <f>IF(Fandual!N334="yes",1,0)</f>
        <v>0</v>
      </c>
    </row>
    <row r="335" spans="1:4" x14ac:dyDescent="0.25">
      <c r="A335" s="2">
        <f>IF(D335=1,Fandual!D335,0)</f>
        <v>0</v>
      </c>
      <c r="B335" s="2">
        <f>IF(D335=1,Fandual!F335,0)</f>
        <v>0</v>
      </c>
      <c r="C335" s="2">
        <f>IF(D335=1,Fandual!H335,0)</f>
        <v>0</v>
      </c>
      <c r="D335" s="2">
        <f>IF(Fandual!N335="yes",1,0)</f>
        <v>0</v>
      </c>
    </row>
    <row r="336" spans="1:4" x14ac:dyDescent="0.25">
      <c r="A336" s="2">
        <f>IF(D336=1,Fandual!D336,0)</f>
        <v>0</v>
      </c>
      <c r="B336" s="2">
        <f>IF(D336=1,Fandual!F336,0)</f>
        <v>0</v>
      </c>
      <c r="C336" s="2">
        <f>IF(D336=1,Fandual!H336,0)</f>
        <v>0</v>
      </c>
      <c r="D336" s="2">
        <f>IF(Fandual!N336="yes",1,0)</f>
        <v>0</v>
      </c>
    </row>
    <row r="337" spans="1:4" x14ac:dyDescent="0.25">
      <c r="A337" s="2">
        <f>IF(D337=1,Fandual!D337,0)</f>
        <v>0</v>
      </c>
      <c r="B337" s="2">
        <f>IF(D337=1,Fandual!F337,0)</f>
        <v>0</v>
      </c>
      <c r="C337" s="2">
        <f>IF(D337=1,Fandual!H337,0)</f>
        <v>0</v>
      </c>
      <c r="D337" s="2">
        <f>IF(Fandual!N337="yes",1,0)</f>
        <v>0</v>
      </c>
    </row>
    <row r="338" spans="1:4" x14ac:dyDescent="0.25">
      <c r="A338" s="2">
        <f>IF(D338=1,Fandual!D338,0)</f>
        <v>0</v>
      </c>
      <c r="B338" s="2">
        <f>IF(D338=1,Fandual!F338,0)</f>
        <v>0</v>
      </c>
      <c r="C338" s="2">
        <f>IF(D338=1,Fandual!H338,0)</f>
        <v>0</v>
      </c>
      <c r="D338" s="2">
        <f>IF(Fandual!N338="yes",1,0)</f>
        <v>0</v>
      </c>
    </row>
    <row r="339" spans="1:4" x14ac:dyDescent="0.25">
      <c r="A339" s="2">
        <f>IF(D339=1,Fandual!D339,0)</f>
        <v>0</v>
      </c>
      <c r="B339" s="2">
        <f>IF(D339=1,Fandual!F339,0)</f>
        <v>0</v>
      </c>
      <c r="C339" s="2">
        <f>IF(D339=1,Fandual!H339,0)</f>
        <v>0</v>
      </c>
      <c r="D339" s="2">
        <f>IF(Fandual!N339="yes",1,0)</f>
        <v>0</v>
      </c>
    </row>
    <row r="340" spans="1:4" x14ac:dyDescent="0.25">
      <c r="A340" s="2">
        <f>IF(D340=1,Fandual!D340,0)</f>
        <v>0</v>
      </c>
      <c r="B340" s="2">
        <f>IF(D340=1,Fandual!F340,0)</f>
        <v>0</v>
      </c>
      <c r="C340" s="2">
        <f>IF(D340=1,Fandual!H340,0)</f>
        <v>0</v>
      </c>
      <c r="D340" s="2">
        <f>IF(Fandual!N340="yes",1,0)</f>
        <v>0</v>
      </c>
    </row>
    <row r="341" spans="1:4" x14ac:dyDescent="0.25">
      <c r="A341" s="2">
        <f>IF(D341=1,Fandual!D341,0)</f>
        <v>0</v>
      </c>
      <c r="B341" s="2">
        <f>IF(D341=1,Fandual!F341,0)</f>
        <v>0</v>
      </c>
      <c r="C341" s="2">
        <f>IF(D341=1,Fandual!H341,0)</f>
        <v>0</v>
      </c>
      <c r="D341" s="2">
        <f>IF(Fandual!N341="yes",1,0)</f>
        <v>0</v>
      </c>
    </row>
    <row r="342" spans="1:4" x14ac:dyDescent="0.25">
      <c r="A342" s="2">
        <f>IF(D342=1,Fandual!D342,0)</f>
        <v>0</v>
      </c>
      <c r="B342" s="2">
        <f>IF(D342=1,Fandual!F342,0)</f>
        <v>0</v>
      </c>
      <c r="C342" s="2">
        <f>IF(D342=1,Fandual!H342,0)</f>
        <v>0</v>
      </c>
      <c r="D342" s="2">
        <f>IF(Fandual!N342="yes",1,0)</f>
        <v>0</v>
      </c>
    </row>
    <row r="343" spans="1:4" x14ac:dyDescent="0.25">
      <c r="A343" s="2">
        <f>IF(D343=1,Fandual!D343,0)</f>
        <v>0</v>
      </c>
      <c r="B343" s="2">
        <f>IF(D343=1,Fandual!F343,0)</f>
        <v>0</v>
      </c>
      <c r="C343" s="2">
        <f>IF(D343=1,Fandual!H343,0)</f>
        <v>0</v>
      </c>
      <c r="D343" s="2">
        <f>IF(Fandual!N343="yes",1,0)</f>
        <v>0</v>
      </c>
    </row>
    <row r="344" spans="1:4" x14ac:dyDescent="0.25">
      <c r="A344" s="2">
        <f>IF(D344=1,Fandual!D344,0)</f>
        <v>0</v>
      </c>
      <c r="B344" s="2">
        <f>IF(D344=1,Fandual!F344,0)</f>
        <v>0</v>
      </c>
      <c r="C344" s="2">
        <f>IF(D344=1,Fandual!H344,0)</f>
        <v>0</v>
      </c>
      <c r="D344" s="2">
        <f>IF(Fandual!N344="yes",1,0)</f>
        <v>0</v>
      </c>
    </row>
    <row r="345" spans="1:4" x14ac:dyDescent="0.25">
      <c r="A345" s="2">
        <f>IF(D345=1,Fandual!D345,0)</f>
        <v>0</v>
      </c>
      <c r="B345" s="2">
        <f>IF(D345=1,Fandual!F345,0)</f>
        <v>0</v>
      </c>
      <c r="C345" s="2">
        <f>IF(D345=1,Fandual!H345,0)</f>
        <v>0</v>
      </c>
      <c r="D345" s="2">
        <f>IF(Fandual!N345="yes",1,0)</f>
        <v>0</v>
      </c>
    </row>
    <row r="346" spans="1:4" x14ac:dyDescent="0.25">
      <c r="A346" s="2">
        <f>IF(D346=1,Fandual!D346,0)</f>
        <v>0</v>
      </c>
      <c r="B346" s="2">
        <f>IF(D346=1,Fandual!F346,0)</f>
        <v>0</v>
      </c>
      <c r="C346" s="2">
        <f>IF(D346=1,Fandual!H346,0)</f>
        <v>0</v>
      </c>
      <c r="D346" s="2">
        <f>IF(Fandual!N346="yes",1,0)</f>
        <v>0</v>
      </c>
    </row>
    <row r="347" spans="1:4" x14ac:dyDescent="0.25">
      <c r="A347" s="2">
        <f>IF(D347=1,Fandual!D347,0)</f>
        <v>0</v>
      </c>
      <c r="B347" s="2">
        <f>IF(D347=1,Fandual!F347,0)</f>
        <v>0</v>
      </c>
      <c r="C347" s="2">
        <f>IF(D347=1,Fandual!H347,0)</f>
        <v>0</v>
      </c>
      <c r="D347" s="2">
        <f>IF(Fandual!N347="yes",1,0)</f>
        <v>0</v>
      </c>
    </row>
    <row r="348" spans="1:4" x14ac:dyDescent="0.25">
      <c r="A348" s="2">
        <f>IF(D348=1,Fandual!D348,0)</f>
        <v>0</v>
      </c>
      <c r="B348" s="2">
        <f>IF(D348=1,Fandual!F348,0)</f>
        <v>0</v>
      </c>
      <c r="C348" s="2">
        <f>IF(D348=1,Fandual!H348,0)</f>
        <v>0</v>
      </c>
      <c r="D348" s="2">
        <f>IF(Fandual!N348="yes",1,0)</f>
        <v>0</v>
      </c>
    </row>
    <row r="349" spans="1:4" x14ac:dyDescent="0.25">
      <c r="A349" s="2">
        <f>IF(D349=1,Fandual!D349,0)</f>
        <v>0</v>
      </c>
      <c r="B349" s="2">
        <f>IF(D349=1,Fandual!F349,0)</f>
        <v>0</v>
      </c>
      <c r="C349" s="2">
        <f>IF(D349=1,Fandual!H349,0)</f>
        <v>0</v>
      </c>
      <c r="D349" s="2">
        <f>IF(Fandual!N349="yes",1,0)</f>
        <v>0</v>
      </c>
    </row>
    <row r="350" spans="1:4" x14ac:dyDescent="0.25">
      <c r="A350" s="2">
        <f>IF(D350=1,Fandual!D350,0)</f>
        <v>0</v>
      </c>
      <c r="B350" s="2">
        <f>IF(D350=1,Fandual!F350,0)</f>
        <v>0</v>
      </c>
      <c r="C350" s="2">
        <f>IF(D350=1,Fandual!H350,0)</f>
        <v>0</v>
      </c>
      <c r="D350" s="2">
        <f>IF(Fandual!N350="yes",1,0)</f>
        <v>0</v>
      </c>
    </row>
    <row r="351" spans="1:4" x14ac:dyDescent="0.25">
      <c r="A351" s="2">
        <f>IF(D351=1,Fandual!D351,0)</f>
        <v>0</v>
      </c>
      <c r="B351" s="2">
        <f>IF(D351=1,Fandual!F351,0)</f>
        <v>0</v>
      </c>
      <c r="C351" s="2">
        <f>IF(D351=1,Fandual!H351,0)</f>
        <v>0</v>
      </c>
      <c r="D351" s="2">
        <f>IF(Fandual!N351="yes",1,0)</f>
        <v>0</v>
      </c>
    </row>
    <row r="352" spans="1:4" x14ac:dyDescent="0.25">
      <c r="A352" s="2">
        <f>IF(D352=1,Fandual!D352,0)</f>
        <v>0</v>
      </c>
      <c r="B352" s="2">
        <f>IF(D352=1,Fandual!F352,0)</f>
        <v>0</v>
      </c>
      <c r="C352" s="2">
        <f>IF(D352=1,Fandual!H352,0)</f>
        <v>0</v>
      </c>
      <c r="D352" s="2">
        <f>IF(Fandual!N352="yes",1,0)</f>
        <v>0</v>
      </c>
    </row>
    <row r="353" spans="1:4" x14ac:dyDescent="0.25">
      <c r="A353" s="2">
        <f>IF(D353=1,Fandual!D353,0)</f>
        <v>0</v>
      </c>
      <c r="B353" s="2">
        <f>IF(D353=1,Fandual!F353,0)</f>
        <v>0</v>
      </c>
      <c r="C353" s="2">
        <f>IF(D353=1,Fandual!H353,0)</f>
        <v>0</v>
      </c>
      <c r="D353" s="2">
        <f>IF(Fandual!N353="yes",1,0)</f>
        <v>0</v>
      </c>
    </row>
    <row r="354" spans="1:4" x14ac:dyDescent="0.25">
      <c r="A354" s="2">
        <f>IF(D354=1,Fandual!D354,0)</f>
        <v>0</v>
      </c>
      <c r="B354" s="2">
        <f>IF(D354=1,Fandual!F354,0)</f>
        <v>0</v>
      </c>
      <c r="C354" s="2">
        <f>IF(D354=1,Fandual!H354,0)</f>
        <v>0</v>
      </c>
      <c r="D354" s="2">
        <f>IF(Fandual!N354="yes",1,0)</f>
        <v>0</v>
      </c>
    </row>
    <row r="355" spans="1:4" x14ac:dyDescent="0.25">
      <c r="A355" s="2">
        <f>IF(D355=1,Fandual!D355,0)</f>
        <v>0</v>
      </c>
      <c r="B355" s="2">
        <f>IF(D355=1,Fandual!F355,0)</f>
        <v>0</v>
      </c>
      <c r="C355" s="2">
        <f>IF(D355=1,Fandual!H355,0)</f>
        <v>0</v>
      </c>
      <c r="D355" s="2">
        <f>IF(Fandual!N355="yes",1,0)</f>
        <v>0</v>
      </c>
    </row>
    <row r="356" spans="1:4" x14ac:dyDescent="0.25">
      <c r="A356" s="2">
        <f>IF(D356=1,Fandual!D356,0)</f>
        <v>0</v>
      </c>
      <c r="B356" s="2">
        <f>IF(D356=1,Fandual!F356,0)</f>
        <v>0</v>
      </c>
      <c r="C356" s="2">
        <f>IF(D356=1,Fandual!H356,0)</f>
        <v>0</v>
      </c>
      <c r="D356" s="2">
        <f>IF(Fandual!N356="yes",1,0)</f>
        <v>0</v>
      </c>
    </row>
    <row r="357" spans="1:4" x14ac:dyDescent="0.25">
      <c r="A357" s="2">
        <f>IF(D357=1,Fandual!D357,0)</f>
        <v>0</v>
      </c>
      <c r="B357" s="2">
        <f>IF(D357=1,Fandual!F357,0)</f>
        <v>0</v>
      </c>
      <c r="C357" s="2">
        <f>IF(D357=1,Fandual!H357,0)</f>
        <v>0</v>
      </c>
      <c r="D357" s="2">
        <f>IF(Fandual!N357="yes",1,0)</f>
        <v>0</v>
      </c>
    </row>
    <row r="358" spans="1:4" x14ac:dyDescent="0.25">
      <c r="A358" s="2">
        <f>IF(D358=1,Fandual!D358,0)</f>
        <v>0</v>
      </c>
      <c r="B358" s="2">
        <f>IF(D358=1,Fandual!F358,0)</f>
        <v>0</v>
      </c>
      <c r="C358" s="2">
        <f>IF(D358=1,Fandual!H358,0)</f>
        <v>0</v>
      </c>
      <c r="D358" s="2">
        <f>IF(Fandual!N358="yes",1,0)</f>
        <v>0</v>
      </c>
    </row>
    <row r="359" spans="1:4" x14ac:dyDescent="0.25">
      <c r="A359" s="2">
        <f>IF(D359=1,Fandual!D359,0)</f>
        <v>0</v>
      </c>
      <c r="B359" s="2">
        <f>IF(D359=1,Fandual!F359,0)</f>
        <v>0</v>
      </c>
      <c r="C359" s="2">
        <f>IF(D359=1,Fandual!H359,0)</f>
        <v>0</v>
      </c>
      <c r="D359" s="2">
        <f>IF(Fandual!N359="yes",1,0)</f>
        <v>0</v>
      </c>
    </row>
    <row r="360" spans="1:4" x14ac:dyDescent="0.25">
      <c r="A360" s="2">
        <f>IF(D360=1,Fandual!D360,0)</f>
        <v>0</v>
      </c>
      <c r="B360" s="2">
        <f>IF(D360=1,Fandual!F360,0)</f>
        <v>0</v>
      </c>
      <c r="C360" s="2">
        <f>IF(D360=1,Fandual!H360,0)</f>
        <v>0</v>
      </c>
      <c r="D360" s="2">
        <f>IF(Fandual!N360="yes",1,0)</f>
        <v>0</v>
      </c>
    </row>
    <row r="361" spans="1:4" x14ac:dyDescent="0.25">
      <c r="A361" s="2">
        <f>IF(D361=1,Fandual!D361,0)</f>
        <v>0</v>
      </c>
      <c r="B361" s="2">
        <f>IF(D361=1,Fandual!F361,0)</f>
        <v>0</v>
      </c>
      <c r="C361" s="2">
        <f>IF(D361=1,Fandual!H361,0)</f>
        <v>0</v>
      </c>
      <c r="D361" s="2">
        <f>IF(Fandual!N361="yes",1,0)</f>
        <v>0</v>
      </c>
    </row>
    <row r="362" spans="1:4" x14ac:dyDescent="0.25">
      <c r="A362" s="2">
        <f>IF(D362=1,Fandual!D362,0)</f>
        <v>0</v>
      </c>
      <c r="B362" s="2">
        <f>IF(D362=1,Fandual!F362,0)</f>
        <v>0</v>
      </c>
      <c r="C362" s="2">
        <f>IF(D362=1,Fandual!H362,0)</f>
        <v>0</v>
      </c>
      <c r="D362" s="2">
        <f>IF(Fandual!N362="yes",1,0)</f>
        <v>0</v>
      </c>
    </row>
    <row r="363" spans="1:4" x14ac:dyDescent="0.25">
      <c r="A363" s="2">
        <f>IF(D363=1,Fandual!D363,0)</f>
        <v>0</v>
      </c>
      <c r="B363" s="2">
        <f>IF(D363=1,Fandual!F363,0)</f>
        <v>0</v>
      </c>
      <c r="C363" s="2">
        <f>IF(D363=1,Fandual!H363,0)</f>
        <v>0</v>
      </c>
      <c r="D363" s="2">
        <f>IF(Fandual!N363="yes",1,0)</f>
        <v>0</v>
      </c>
    </row>
    <row r="364" spans="1:4" x14ac:dyDescent="0.25">
      <c r="A364" s="2">
        <f>IF(D364=1,Fandual!D364,0)</f>
        <v>0</v>
      </c>
      <c r="B364" s="2">
        <f>IF(D364=1,Fandual!F364,0)</f>
        <v>0</v>
      </c>
      <c r="C364" s="2">
        <f>IF(D364=1,Fandual!H364,0)</f>
        <v>0</v>
      </c>
      <c r="D364" s="2">
        <f>IF(Fandual!N364="yes",1,0)</f>
        <v>0</v>
      </c>
    </row>
    <row r="365" spans="1:4" x14ac:dyDescent="0.25">
      <c r="A365" s="2">
        <f>IF(D365=1,Fandual!D365,0)</f>
        <v>0</v>
      </c>
      <c r="B365" s="2">
        <f>IF(D365=1,Fandual!F365,0)</f>
        <v>0</v>
      </c>
      <c r="C365" s="2">
        <f>IF(D365=1,Fandual!H365,0)</f>
        <v>0</v>
      </c>
      <c r="D365" s="2">
        <f>IF(Fandual!N365="yes",1,0)</f>
        <v>0</v>
      </c>
    </row>
    <row r="366" spans="1:4" x14ac:dyDescent="0.25">
      <c r="A366" s="2">
        <f>IF(D366=1,Fandual!D366,0)</f>
        <v>0</v>
      </c>
      <c r="B366" s="2">
        <f>IF(D366=1,Fandual!F366,0)</f>
        <v>0</v>
      </c>
      <c r="C366" s="2">
        <f>IF(D366=1,Fandual!H366,0)</f>
        <v>0</v>
      </c>
      <c r="D366" s="2">
        <f>IF(Fandual!N366="yes",1,0)</f>
        <v>0</v>
      </c>
    </row>
    <row r="367" spans="1:4" x14ac:dyDescent="0.25">
      <c r="A367" s="2">
        <f>IF(D367=1,Fandual!D367,0)</f>
        <v>0</v>
      </c>
      <c r="B367" s="2">
        <f>IF(D367=1,Fandual!F367,0)</f>
        <v>0</v>
      </c>
      <c r="C367" s="2">
        <f>IF(D367=1,Fandual!H367,0)</f>
        <v>0</v>
      </c>
      <c r="D367" s="2">
        <f>IF(Fandual!N367="yes",1,0)</f>
        <v>0</v>
      </c>
    </row>
    <row r="368" spans="1:4" x14ac:dyDescent="0.25">
      <c r="A368" s="2">
        <f>IF(D368=1,Fandual!D368,0)</f>
        <v>0</v>
      </c>
      <c r="B368" s="2">
        <f>IF(D368=1,Fandual!F368,0)</f>
        <v>0</v>
      </c>
      <c r="C368" s="2">
        <f>IF(D368=1,Fandual!H368,0)</f>
        <v>0</v>
      </c>
      <c r="D368" s="2">
        <f>IF(Fandual!N368="yes",1,0)</f>
        <v>0</v>
      </c>
    </row>
    <row r="369" spans="1:4" x14ac:dyDescent="0.25">
      <c r="A369" s="2">
        <f>IF(D369=1,Fandual!D369,0)</f>
        <v>0</v>
      </c>
      <c r="B369" s="2">
        <f>IF(D369=1,Fandual!F369,0)</f>
        <v>0</v>
      </c>
      <c r="C369" s="2">
        <f>IF(D369=1,Fandual!H369,0)</f>
        <v>0</v>
      </c>
      <c r="D369" s="2">
        <f>IF(Fandual!N369="yes",1,0)</f>
        <v>0</v>
      </c>
    </row>
    <row r="370" spans="1:4" x14ac:dyDescent="0.25">
      <c r="A370" s="2">
        <f>IF(D370=1,Fandual!D370,0)</f>
        <v>0</v>
      </c>
      <c r="B370" s="2">
        <f>IF(D370=1,Fandual!F370,0)</f>
        <v>0</v>
      </c>
      <c r="C370" s="2">
        <f>IF(D370=1,Fandual!H370,0)</f>
        <v>0</v>
      </c>
      <c r="D370" s="2">
        <f>IF(Fandual!N370="yes",1,0)</f>
        <v>0</v>
      </c>
    </row>
    <row r="371" spans="1:4" x14ac:dyDescent="0.25">
      <c r="A371" s="2">
        <f>IF(D371=1,Fandual!D371,0)</f>
        <v>0</v>
      </c>
      <c r="B371" s="2">
        <f>IF(D371=1,Fandual!F371,0)</f>
        <v>0</v>
      </c>
      <c r="C371" s="2">
        <f>IF(D371=1,Fandual!H371,0)</f>
        <v>0</v>
      </c>
      <c r="D371" s="2">
        <f>IF(Fandual!N371="yes",1,0)</f>
        <v>0</v>
      </c>
    </row>
    <row r="372" spans="1:4" x14ac:dyDescent="0.25">
      <c r="A372" s="2">
        <f>IF(D372=1,Fandual!D372,0)</f>
        <v>0</v>
      </c>
      <c r="B372" s="2">
        <f>IF(D372=1,Fandual!F372,0)</f>
        <v>0</v>
      </c>
      <c r="C372" s="2">
        <f>IF(D372=1,Fandual!H372,0)</f>
        <v>0</v>
      </c>
      <c r="D372" s="2">
        <f>IF(Fandual!N372="yes",1,0)</f>
        <v>0</v>
      </c>
    </row>
    <row r="373" spans="1:4" x14ac:dyDescent="0.25">
      <c r="A373" s="2">
        <f>IF(D373=1,Fandual!D373,0)</f>
        <v>0</v>
      </c>
      <c r="B373" s="2">
        <f>IF(D373=1,Fandual!F373,0)</f>
        <v>0</v>
      </c>
      <c r="C373" s="2">
        <f>IF(D373=1,Fandual!H373,0)</f>
        <v>0</v>
      </c>
      <c r="D373" s="2">
        <f>IF(Fandual!N373="yes",1,0)</f>
        <v>0</v>
      </c>
    </row>
    <row r="374" spans="1:4" x14ac:dyDescent="0.25">
      <c r="A374" s="2">
        <f>IF(D374=1,Fandual!D374,0)</f>
        <v>0</v>
      </c>
      <c r="B374" s="2">
        <f>IF(D374=1,Fandual!F374,0)</f>
        <v>0</v>
      </c>
      <c r="C374" s="2">
        <f>IF(D374=1,Fandual!H374,0)</f>
        <v>0</v>
      </c>
      <c r="D374" s="2">
        <f>IF(Fandual!N374="yes",1,0)</f>
        <v>0</v>
      </c>
    </row>
    <row r="375" spans="1:4" x14ac:dyDescent="0.25">
      <c r="A375" s="2">
        <f>IF(D375=1,Fandual!D375,0)</f>
        <v>0</v>
      </c>
      <c r="B375" s="2">
        <f>IF(D375=1,Fandual!F375,0)</f>
        <v>0</v>
      </c>
      <c r="C375" s="2">
        <f>IF(D375=1,Fandual!H375,0)</f>
        <v>0</v>
      </c>
      <c r="D375" s="2">
        <f>IF(Fandual!N375="yes",1,0)</f>
        <v>0</v>
      </c>
    </row>
    <row r="376" spans="1:4" x14ac:dyDescent="0.25">
      <c r="A376" s="2">
        <f>IF(D376=1,Fandual!D376,0)</f>
        <v>0</v>
      </c>
      <c r="B376" s="2">
        <f>IF(D376=1,Fandual!F376,0)</f>
        <v>0</v>
      </c>
      <c r="C376" s="2">
        <f>IF(D376=1,Fandual!H376,0)</f>
        <v>0</v>
      </c>
      <c r="D376" s="2">
        <f>IF(Fandual!N376="yes",1,0)</f>
        <v>0</v>
      </c>
    </row>
    <row r="377" spans="1:4" x14ac:dyDescent="0.25">
      <c r="A377" s="2">
        <f>IF(D377=1,Fandual!D377,0)</f>
        <v>0</v>
      </c>
      <c r="B377" s="2">
        <f>IF(D377=1,Fandual!F377,0)</f>
        <v>0</v>
      </c>
      <c r="C377" s="2">
        <f>IF(D377=1,Fandual!H377,0)</f>
        <v>0</v>
      </c>
      <c r="D377" s="2">
        <f>IF(Fandual!N377="yes",1,0)</f>
        <v>0</v>
      </c>
    </row>
    <row r="378" spans="1:4" x14ac:dyDescent="0.25">
      <c r="A378" s="2">
        <f>IF(D378=1,Fandual!D378,0)</f>
        <v>0</v>
      </c>
      <c r="B378" s="2">
        <f>IF(D378=1,Fandual!F378,0)</f>
        <v>0</v>
      </c>
      <c r="C378" s="2">
        <f>IF(D378=1,Fandual!H378,0)</f>
        <v>0</v>
      </c>
      <c r="D378" s="2">
        <f>IF(Fandual!N378="yes",1,0)</f>
        <v>0</v>
      </c>
    </row>
    <row r="379" spans="1:4" x14ac:dyDescent="0.25">
      <c r="A379" s="2">
        <f>IF(D379=1,Fandual!D379,0)</f>
        <v>0</v>
      </c>
      <c r="B379" s="2">
        <f>IF(D379=1,Fandual!F379,0)</f>
        <v>0</v>
      </c>
      <c r="C379" s="2">
        <f>IF(D379=1,Fandual!H379,0)</f>
        <v>0</v>
      </c>
      <c r="D379" s="2">
        <f>IF(Fandual!N379="yes",1,0)</f>
        <v>0</v>
      </c>
    </row>
    <row r="380" spans="1:4" x14ac:dyDescent="0.25">
      <c r="A380" s="2">
        <f>IF(D380=1,Fandual!D380,0)</f>
        <v>0</v>
      </c>
      <c r="B380" s="2">
        <f>IF(D380=1,Fandual!F380,0)</f>
        <v>0</v>
      </c>
      <c r="C380" s="2">
        <f>IF(D380=1,Fandual!H380,0)</f>
        <v>0</v>
      </c>
      <c r="D380" s="2">
        <f>IF(Fandual!N380="yes",1,0)</f>
        <v>0</v>
      </c>
    </row>
    <row r="381" spans="1:4" x14ac:dyDescent="0.25">
      <c r="A381" s="2">
        <f>IF(D381=1,Fandual!D381,0)</f>
        <v>0</v>
      </c>
      <c r="B381" s="2">
        <f>IF(D381=1,Fandual!F381,0)</f>
        <v>0</v>
      </c>
      <c r="C381" s="2">
        <f>IF(D381=1,Fandual!H381,0)</f>
        <v>0</v>
      </c>
      <c r="D381" s="2">
        <f>IF(Fandual!N381="yes",1,0)</f>
        <v>0</v>
      </c>
    </row>
    <row r="382" spans="1:4" x14ac:dyDescent="0.25">
      <c r="A382" s="2">
        <f>IF(D382=1,Fandual!D382,0)</f>
        <v>0</v>
      </c>
      <c r="B382" s="2">
        <f>IF(D382=1,Fandual!F382,0)</f>
        <v>0</v>
      </c>
      <c r="C382" s="2">
        <f>IF(D382=1,Fandual!H382,0)</f>
        <v>0</v>
      </c>
      <c r="D382" s="2">
        <f>IF(Fandual!N382="yes",1,0)</f>
        <v>0</v>
      </c>
    </row>
    <row r="383" spans="1:4" x14ac:dyDescent="0.25">
      <c r="A383" s="2">
        <f>IF(D383=1,Fandual!D383,0)</f>
        <v>0</v>
      </c>
      <c r="B383" s="2">
        <f>IF(D383=1,Fandual!F383,0)</f>
        <v>0</v>
      </c>
      <c r="C383" s="2">
        <f>IF(D383=1,Fandual!H383,0)</f>
        <v>0</v>
      </c>
      <c r="D383" s="2">
        <f>IF(Fandual!N383="yes",1,0)</f>
        <v>0</v>
      </c>
    </row>
    <row r="384" spans="1:4" x14ac:dyDescent="0.25">
      <c r="A384" s="2">
        <f>IF(D384=1,Fandual!D384,0)</f>
        <v>0</v>
      </c>
      <c r="B384" s="2">
        <f>IF(D384=1,Fandual!F384,0)</f>
        <v>0</v>
      </c>
      <c r="C384" s="2">
        <f>IF(D384=1,Fandual!H384,0)</f>
        <v>0</v>
      </c>
      <c r="D384" s="2">
        <f>IF(Fandual!N384="yes",1,0)</f>
        <v>0</v>
      </c>
    </row>
    <row r="385" spans="1:4" x14ac:dyDescent="0.25">
      <c r="A385" s="2">
        <f>IF(D385=1,Fandual!D385,0)</f>
        <v>0</v>
      </c>
      <c r="B385" s="2">
        <f>IF(D385=1,Fandual!F385,0)</f>
        <v>0</v>
      </c>
      <c r="C385" s="2">
        <f>IF(D385=1,Fandual!H385,0)</f>
        <v>0</v>
      </c>
      <c r="D385" s="2">
        <f>IF(Fandual!N385="yes",1,0)</f>
        <v>0</v>
      </c>
    </row>
    <row r="386" spans="1:4" x14ac:dyDescent="0.25">
      <c r="A386" s="2">
        <f>IF(D386=1,Fandual!D386,0)</f>
        <v>0</v>
      </c>
      <c r="B386" s="2">
        <f>IF(D386=1,Fandual!F386,0)</f>
        <v>0</v>
      </c>
      <c r="C386" s="2">
        <f>IF(D386=1,Fandual!H386,0)</f>
        <v>0</v>
      </c>
      <c r="D386" s="2">
        <f>IF(Fandual!N386="yes",1,0)</f>
        <v>0</v>
      </c>
    </row>
    <row r="387" spans="1:4" x14ac:dyDescent="0.25">
      <c r="A387" s="2">
        <f>IF(D387=1,Fandual!D387,0)</f>
        <v>0</v>
      </c>
      <c r="B387" s="2">
        <f>IF(D387=1,Fandual!F387,0)</f>
        <v>0</v>
      </c>
      <c r="C387" s="2">
        <f>IF(D387=1,Fandual!H387,0)</f>
        <v>0</v>
      </c>
      <c r="D387" s="2">
        <f>IF(Fandual!N387="yes",1,0)</f>
        <v>0</v>
      </c>
    </row>
    <row r="388" spans="1:4" x14ac:dyDescent="0.25">
      <c r="A388" s="2">
        <f>IF(D388=1,Fandual!D388,0)</f>
        <v>0</v>
      </c>
      <c r="B388" s="2">
        <f>IF(D388=1,Fandual!F388,0)</f>
        <v>0</v>
      </c>
      <c r="C388" s="2">
        <f>IF(D388=1,Fandual!H388,0)</f>
        <v>0</v>
      </c>
      <c r="D388" s="2">
        <f>IF(Fandual!N388="yes",1,0)</f>
        <v>0</v>
      </c>
    </row>
    <row r="389" spans="1:4" x14ac:dyDescent="0.25">
      <c r="A389" s="2">
        <f>IF(D389=1,Fandual!D389,0)</f>
        <v>0</v>
      </c>
      <c r="B389" s="2">
        <f>IF(D389=1,Fandual!F389,0)</f>
        <v>0</v>
      </c>
      <c r="C389" s="2">
        <f>IF(D389=1,Fandual!H389,0)</f>
        <v>0</v>
      </c>
      <c r="D389" s="2">
        <f>IF(Fandual!N389="yes",1,0)</f>
        <v>0</v>
      </c>
    </row>
    <row r="390" spans="1:4" x14ac:dyDescent="0.25">
      <c r="A390" s="2">
        <f>IF(D390=1,Fandual!D390,0)</f>
        <v>0</v>
      </c>
      <c r="B390" s="2">
        <f>IF(D390=1,Fandual!F390,0)</f>
        <v>0</v>
      </c>
      <c r="C390" s="2">
        <f>IF(D390=1,Fandual!H390,0)</f>
        <v>0</v>
      </c>
      <c r="D390" s="2">
        <f>IF(Fandual!N390="yes",1,0)</f>
        <v>0</v>
      </c>
    </row>
    <row r="391" spans="1:4" x14ac:dyDescent="0.25">
      <c r="A391" s="2">
        <f>IF(D391=1,Fandual!D391,0)</f>
        <v>0</v>
      </c>
      <c r="B391" s="2">
        <f>IF(D391=1,Fandual!F391,0)</f>
        <v>0</v>
      </c>
      <c r="C391" s="2">
        <f>IF(D391=1,Fandual!H391,0)</f>
        <v>0</v>
      </c>
      <c r="D391" s="2">
        <f>IF(Fandual!N391="yes",1,0)</f>
        <v>0</v>
      </c>
    </row>
    <row r="392" spans="1:4" x14ac:dyDescent="0.25">
      <c r="A392" s="2" t="str">
        <f>IF(D392=1,Fandual!D392,0)</f>
        <v>Joe Biagini</v>
      </c>
      <c r="B392" s="2">
        <f>IF(D392=1,Fandual!F392,0)</f>
        <v>9.7105263157894708</v>
      </c>
      <c r="C392" s="2">
        <f>IF(D392=1,Fandual!H392,0)</f>
        <v>5500</v>
      </c>
      <c r="D392" s="2">
        <f>IF(Fandual!N392="yes",1,0)</f>
        <v>1</v>
      </c>
    </row>
    <row r="393" spans="1:4" x14ac:dyDescent="0.25">
      <c r="A393" s="2">
        <f>IF(D393=1,Fandual!D393,0)</f>
        <v>0</v>
      </c>
      <c r="B393" s="2">
        <f>IF(D393=1,Fandual!F393,0)</f>
        <v>0</v>
      </c>
      <c r="C393" s="2">
        <f>IF(D393=1,Fandual!H393,0)</f>
        <v>0</v>
      </c>
      <c r="D393" s="2">
        <f>IF(Fandual!N393="yes",1,0)</f>
        <v>0</v>
      </c>
    </row>
    <row r="394" spans="1:4" x14ac:dyDescent="0.25">
      <c r="A394" s="2">
        <f>IF(D394=1,Fandual!D394,0)</f>
        <v>0</v>
      </c>
      <c r="B394" s="2">
        <f>IF(D394=1,Fandual!F394,0)</f>
        <v>0</v>
      </c>
      <c r="C394" s="2">
        <f>IF(D394=1,Fandual!H394,0)</f>
        <v>0</v>
      </c>
      <c r="D394" s="2">
        <f>IF(Fandual!N394="yes",1,0)</f>
        <v>0</v>
      </c>
    </row>
    <row r="395" spans="1:4" x14ac:dyDescent="0.25">
      <c r="A395" s="2">
        <f>IF(D395=1,Fandual!D395,0)</f>
        <v>0</v>
      </c>
      <c r="B395" s="2">
        <f>IF(D395=1,Fandual!F395,0)</f>
        <v>0</v>
      </c>
      <c r="C395" s="2">
        <f>IF(D395=1,Fandual!H395,0)</f>
        <v>0</v>
      </c>
      <c r="D395" s="2">
        <f>IF(Fandual!N395="yes",1,0)</f>
        <v>0</v>
      </c>
    </row>
    <row r="396" spans="1:4" x14ac:dyDescent="0.25">
      <c r="A396" s="2">
        <f>IF(D396=1,Fandual!D396,0)</f>
        <v>0</v>
      </c>
      <c r="B396" s="2">
        <f>IF(D396=1,Fandual!F396,0)</f>
        <v>0</v>
      </c>
      <c r="C396" s="2">
        <f>IF(D396=1,Fandual!H396,0)</f>
        <v>0</v>
      </c>
      <c r="D396" s="2">
        <f>IF(Fandual!N396="yes",1,0)</f>
        <v>0</v>
      </c>
    </row>
    <row r="397" spans="1:4" x14ac:dyDescent="0.25">
      <c r="A397" s="2">
        <f>IF(D397=1,Fandual!D397,0)</f>
        <v>0</v>
      </c>
      <c r="B397" s="2">
        <f>IF(D397=1,Fandual!F397,0)</f>
        <v>0</v>
      </c>
      <c r="C397" s="2">
        <f>IF(D397=1,Fandual!H397,0)</f>
        <v>0</v>
      </c>
      <c r="D397" s="2">
        <f>IF(Fandual!N397="yes",1,0)</f>
        <v>0</v>
      </c>
    </row>
    <row r="398" spans="1:4" x14ac:dyDescent="0.25">
      <c r="A398" s="2">
        <f>IF(D398=1,Fandual!D398,0)</f>
        <v>0</v>
      </c>
      <c r="B398" s="2">
        <f>IF(D398=1,Fandual!F398,0)</f>
        <v>0</v>
      </c>
      <c r="C398" s="2">
        <f>IF(D398=1,Fandual!H398,0)</f>
        <v>0</v>
      </c>
      <c r="D398" s="2">
        <f>IF(Fandual!N398="yes",1,0)</f>
        <v>0</v>
      </c>
    </row>
    <row r="399" spans="1:4" x14ac:dyDescent="0.25">
      <c r="A399" s="2">
        <f>IF(D399=1,Fandual!D399,0)</f>
        <v>0</v>
      </c>
      <c r="B399" s="2">
        <f>IF(D399=1,Fandual!F399,0)</f>
        <v>0</v>
      </c>
      <c r="C399" s="2">
        <f>IF(D399=1,Fandual!H399,0)</f>
        <v>0</v>
      </c>
      <c r="D399" s="2">
        <f>IF(Fandual!N399="yes",1,0)</f>
        <v>0</v>
      </c>
    </row>
    <row r="400" spans="1:4" x14ac:dyDescent="0.25">
      <c r="A400" s="2">
        <f>IF(D400=1,Fandual!D400,0)</f>
        <v>0</v>
      </c>
      <c r="B400" s="2">
        <f>IF(D400=1,Fandual!F400,0)</f>
        <v>0</v>
      </c>
      <c r="C400" s="2">
        <f>IF(D400=1,Fandual!H400,0)</f>
        <v>0</v>
      </c>
      <c r="D400" s="2">
        <f>IF(Fandual!N400="yes",1,0)</f>
        <v>0</v>
      </c>
    </row>
    <row r="401" spans="1:4" x14ac:dyDescent="0.25">
      <c r="A401" s="2">
        <f>IF(D401=1,Fandual!D401,0)</f>
        <v>0</v>
      </c>
      <c r="B401" s="2">
        <f>IF(D401=1,Fandual!F401,0)</f>
        <v>0</v>
      </c>
      <c r="C401" s="2">
        <f>IF(D401=1,Fandual!H401,0)</f>
        <v>0</v>
      </c>
      <c r="D401" s="2">
        <f>IF(Fandual!N401="yes",1,0)</f>
        <v>0</v>
      </c>
    </row>
    <row r="402" spans="1:4" x14ac:dyDescent="0.25">
      <c r="A402" s="2">
        <f>IF(D402=1,Fandual!D402,0)</f>
        <v>0</v>
      </c>
      <c r="B402" s="2">
        <f>IF(D402=1,Fandual!F402,0)</f>
        <v>0</v>
      </c>
      <c r="C402" s="2">
        <f>IF(D402=1,Fandual!H402,0)</f>
        <v>0</v>
      </c>
      <c r="D402" s="2">
        <f>IF(Fandual!N402="yes",1,0)</f>
        <v>0</v>
      </c>
    </row>
    <row r="403" spans="1:4" x14ac:dyDescent="0.25">
      <c r="A403" s="2">
        <f>IF(D403=1,Fandual!D403,0)</f>
        <v>0</v>
      </c>
      <c r="B403" s="2">
        <f>IF(D403=1,Fandual!F403,0)</f>
        <v>0</v>
      </c>
      <c r="C403" s="2">
        <f>IF(D403=1,Fandual!H403,0)</f>
        <v>0</v>
      </c>
      <c r="D403" s="2">
        <f>IF(Fandual!N403="yes",1,0)</f>
        <v>0</v>
      </c>
    </row>
    <row r="404" spans="1:4" x14ac:dyDescent="0.25">
      <c r="A404" s="2">
        <f>IF(D404=1,Fandual!D404,0)</f>
        <v>0</v>
      </c>
      <c r="B404" s="2">
        <f>IF(D404=1,Fandual!F404,0)</f>
        <v>0</v>
      </c>
      <c r="C404" s="2">
        <f>IF(D404=1,Fandual!H404,0)</f>
        <v>0</v>
      </c>
      <c r="D404" s="2">
        <f>IF(Fandual!N404="yes",1,0)</f>
        <v>0</v>
      </c>
    </row>
    <row r="405" spans="1:4" x14ac:dyDescent="0.25">
      <c r="A405" s="2">
        <f>IF(D405=1,Fandual!D405,0)</f>
        <v>0</v>
      </c>
      <c r="B405" s="2">
        <f>IF(D405=1,Fandual!F405,0)</f>
        <v>0</v>
      </c>
      <c r="C405" s="2">
        <f>IF(D405=1,Fandual!H405,0)</f>
        <v>0</v>
      </c>
      <c r="D405" s="2">
        <f>IF(Fandual!N405="yes",1,0)</f>
        <v>0</v>
      </c>
    </row>
    <row r="406" spans="1:4" x14ac:dyDescent="0.25">
      <c r="A406" s="2">
        <f>IF(D406=1,Fandual!D406,0)</f>
        <v>0</v>
      </c>
      <c r="B406" s="2">
        <f>IF(D406=1,Fandual!F406,0)</f>
        <v>0</v>
      </c>
      <c r="C406" s="2">
        <f>IF(D406=1,Fandual!H406,0)</f>
        <v>0</v>
      </c>
      <c r="D406" s="2">
        <f>IF(Fandual!N406="yes",1,0)</f>
        <v>0</v>
      </c>
    </row>
    <row r="407" spans="1:4" x14ac:dyDescent="0.25">
      <c r="A407" s="2">
        <f>IF(D407=1,Fandual!D407,0)</f>
        <v>0</v>
      </c>
      <c r="B407" s="2">
        <f>IF(D407=1,Fandual!F407,0)</f>
        <v>0</v>
      </c>
      <c r="C407" s="2">
        <f>IF(D407=1,Fandual!H407,0)</f>
        <v>0</v>
      </c>
      <c r="D407" s="2">
        <f>IF(Fandual!N407="yes",1,0)</f>
        <v>0</v>
      </c>
    </row>
    <row r="408" spans="1:4" x14ac:dyDescent="0.25">
      <c r="A408" s="2">
        <f>IF(D408=1,Fandual!D408,0)</f>
        <v>0</v>
      </c>
      <c r="B408" s="2">
        <f>IF(D408=1,Fandual!F408,0)</f>
        <v>0</v>
      </c>
      <c r="C408" s="2">
        <f>IF(D408=1,Fandual!H408,0)</f>
        <v>0</v>
      </c>
      <c r="D408" s="2">
        <f>IF(Fandual!N408="yes",1,0)</f>
        <v>0</v>
      </c>
    </row>
    <row r="409" spans="1:4" x14ac:dyDescent="0.25">
      <c r="A409" s="2">
        <f>IF(D409=1,Fandual!D409,0)</f>
        <v>0</v>
      </c>
      <c r="B409" s="2">
        <f>IF(D409=1,Fandual!F409,0)</f>
        <v>0</v>
      </c>
      <c r="C409" s="2">
        <f>IF(D409=1,Fandual!H409,0)</f>
        <v>0</v>
      </c>
      <c r="D409" s="2">
        <f>IF(Fandual!N409="yes",1,0)</f>
        <v>0</v>
      </c>
    </row>
    <row r="410" spans="1:4" x14ac:dyDescent="0.25">
      <c r="A410" s="2">
        <f>IF(D410=1,Fandual!D410,0)</f>
        <v>0</v>
      </c>
      <c r="B410" s="2">
        <f>IF(D410=1,Fandual!F410,0)</f>
        <v>0</v>
      </c>
      <c r="C410" s="2">
        <f>IF(D410=1,Fandual!H410,0)</f>
        <v>0</v>
      </c>
      <c r="D410" s="2">
        <f>IF(Fandual!N410="yes",1,0)</f>
        <v>0</v>
      </c>
    </row>
    <row r="411" spans="1:4" x14ac:dyDescent="0.25">
      <c r="A411" s="2">
        <f>IF(D411=1,Fandual!D411,0)</f>
        <v>0</v>
      </c>
      <c r="B411" s="2">
        <f>IF(D411=1,Fandual!F411,0)</f>
        <v>0</v>
      </c>
      <c r="C411" s="2">
        <f>IF(D411=1,Fandual!H411,0)</f>
        <v>0</v>
      </c>
      <c r="D411" s="2">
        <f>IF(Fandual!N411="yes",1,0)</f>
        <v>0</v>
      </c>
    </row>
    <row r="412" spans="1:4" x14ac:dyDescent="0.25">
      <c r="A412" s="2">
        <f>IF(D412=1,Fandual!D412,0)</f>
        <v>0</v>
      </c>
      <c r="B412" s="2">
        <f>IF(D412=1,Fandual!F412,0)</f>
        <v>0</v>
      </c>
      <c r="C412" s="2">
        <f>IF(D412=1,Fandual!H412,0)</f>
        <v>0</v>
      </c>
      <c r="D412" s="2">
        <f>IF(Fandual!N412="yes",1,0)</f>
        <v>0</v>
      </c>
    </row>
    <row r="413" spans="1:4" x14ac:dyDescent="0.25">
      <c r="A413" s="2">
        <f>IF(D413=1,Fandual!D413,0)</f>
        <v>0</v>
      </c>
      <c r="B413" s="2">
        <f>IF(D413=1,Fandual!F413,0)</f>
        <v>0</v>
      </c>
      <c r="C413" s="2">
        <f>IF(D413=1,Fandual!H413,0)</f>
        <v>0</v>
      </c>
      <c r="D413" s="2">
        <f>IF(Fandual!N413="yes",1,0)</f>
        <v>0</v>
      </c>
    </row>
    <row r="414" spans="1:4" x14ac:dyDescent="0.25">
      <c r="A414" s="2">
        <f>IF(D414=1,Fandual!D414,0)</f>
        <v>0</v>
      </c>
      <c r="B414" s="2">
        <f>IF(D414=1,Fandual!F414,0)</f>
        <v>0</v>
      </c>
      <c r="C414" s="2">
        <f>IF(D414=1,Fandual!H414,0)</f>
        <v>0</v>
      </c>
      <c r="D414" s="2">
        <f>IF(Fandual!N414="yes",1,0)</f>
        <v>0</v>
      </c>
    </row>
    <row r="415" spans="1:4" x14ac:dyDescent="0.25">
      <c r="A415" s="2">
        <f>IF(D415=1,Fandual!D415,0)</f>
        <v>0</v>
      </c>
      <c r="B415" s="2">
        <f>IF(D415=1,Fandual!F415,0)</f>
        <v>0</v>
      </c>
      <c r="C415" s="2">
        <f>IF(D415=1,Fandual!H415,0)</f>
        <v>0</v>
      </c>
      <c r="D415" s="2">
        <f>IF(Fandual!N415="yes",1,0)</f>
        <v>0</v>
      </c>
    </row>
    <row r="416" spans="1:4" x14ac:dyDescent="0.25">
      <c r="A416" s="2">
        <f>IF(D416=1,Fandual!D416,0)</f>
        <v>0</v>
      </c>
      <c r="B416" s="2">
        <f>IF(D416=1,Fandual!F416,0)</f>
        <v>0</v>
      </c>
      <c r="C416" s="2">
        <f>IF(D416=1,Fandual!H416,0)</f>
        <v>0</v>
      </c>
      <c r="D416" s="2">
        <f>IF(Fandual!N416="yes",1,0)</f>
        <v>0</v>
      </c>
    </row>
    <row r="417" spans="1:4" x14ac:dyDescent="0.25">
      <c r="A417" s="2">
        <f>IF(D417=1,Fandual!D417,0)</f>
        <v>0</v>
      </c>
      <c r="B417" s="2">
        <f>IF(D417=1,Fandual!F417,0)</f>
        <v>0</v>
      </c>
      <c r="C417" s="2">
        <f>IF(D417=1,Fandual!H417,0)</f>
        <v>0</v>
      </c>
      <c r="D417" s="2">
        <f>IF(Fandual!N417="yes",1,0)</f>
        <v>0</v>
      </c>
    </row>
    <row r="418" spans="1:4" x14ac:dyDescent="0.25">
      <c r="A418" s="2">
        <f>IF(D418=1,Fandual!D418,0)</f>
        <v>0</v>
      </c>
      <c r="B418" s="2">
        <f>IF(D418=1,Fandual!F418,0)</f>
        <v>0</v>
      </c>
      <c r="C418" s="2">
        <f>IF(D418=1,Fandual!H418,0)</f>
        <v>0</v>
      </c>
      <c r="D418" s="2">
        <f>IF(Fandual!N418="yes",1,0)</f>
        <v>0</v>
      </c>
    </row>
    <row r="419" spans="1:4" x14ac:dyDescent="0.25">
      <c r="A419" s="2">
        <f>IF(D419=1,Fandual!D419,0)</f>
        <v>0</v>
      </c>
      <c r="B419" s="2">
        <f>IF(D419=1,Fandual!F419,0)</f>
        <v>0</v>
      </c>
      <c r="C419" s="2">
        <f>IF(D419=1,Fandual!H419,0)</f>
        <v>0</v>
      </c>
      <c r="D419" s="2">
        <f>IF(Fandual!N419="yes",1,0)</f>
        <v>0</v>
      </c>
    </row>
    <row r="420" spans="1:4" x14ac:dyDescent="0.25">
      <c r="A420" s="2">
        <f>IF(D420=1,Fandual!D420,0)</f>
        <v>0</v>
      </c>
      <c r="B420" s="2">
        <f>IF(D420=1,Fandual!F420,0)</f>
        <v>0</v>
      </c>
      <c r="C420" s="2">
        <f>IF(D420=1,Fandual!H420,0)</f>
        <v>0</v>
      </c>
      <c r="D420" s="2">
        <f>IF(Fandual!N420="yes",1,0)</f>
        <v>0</v>
      </c>
    </row>
    <row r="421" spans="1:4" x14ac:dyDescent="0.25">
      <c r="A421" s="2">
        <f>IF(D421=1,Fandual!D421,0)</f>
        <v>0</v>
      </c>
      <c r="B421" s="2">
        <f>IF(D421=1,Fandual!F421,0)</f>
        <v>0</v>
      </c>
      <c r="C421" s="2">
        <f>IF(D421=1,Fandual!H421,0)</f>
        <v>0</v>
      </c>
      <c r="D421" s="2">
        <f>IF(Fandual!N421="yes",1,0)</f>
        <v>0</v>
      </c>
    </row>
    <row r="422" spans="1:4" x14ac:dyDescent="0.25">
      <c r="A422" s="2">
        <f>IF(D422=1,Fandual!D422,0)</f>
        <v>0</v>
      </c>
      <c r="B422" s="2">
        <f>IF(D422=1,Fandual!F422,0)</f>
        <v>0</v>
      </c>
      <c r="C422" s="2">
        <f>IF(D422=1,Fandual!H422,0)</f>
        <v>0</v>
      </c>
      <c r="D422" s="2">
        <f>IF(Fandual!N422="yes",1,0)</f>
        <v>0</v>
      </c>
    </row>
    <row r="423" spans="1:4" x14ac:dyDescent="0.25">
      <c r="A423" s="2">
        <f>IF(D423=1,Fandual!D423,0)</f>
        <v>0</v>
      </c>
      <c r="B423" s="2">
        <f>IF(D423=1,Fandual!F423,0)</f>
        <v>0</v>
      </c>
      <c r="C423" s="2">
        <f>IF(D423=1,Fandual!H423,0)</f>
        <v>0</v>
      </c>
      <c r="D423" s="2">
        <f>IF(Fandual!N423="yes",1,0)</f>
        <v>0</v>
      </c>
    </row>
    <row r="424" spans="1:4" x14ac:dyDescent="0.25">
      <c r="A424" s="2">
        <f>IF(D424=1,Fandual!D424,0)</f>
        <v>0</v>
      </c>
      <c r="B424" s="2">
        <f>IF(D424=1,Fandual!F424,0)</f>
        <v>0</v>
      </c>
      <c r="C424" s="2">
        <f>IF(D424=1,Fandual!H424,0)</f>
        <v>0</v>
      </c>
      <c r="D424" s="2">
        <f>IF(Fandual!N424="yes",1,0)</f>
        <v>0</v>
      </c>
    </row>
    <row r="425" spans="1:4" x14ac:dyDescent="0.25">
      <c r="A425" s="2">
        <f>IF(D425=1,Fandual!D425,0)</f>
        <v>0</v>
      </c>
      <c r="B425" s="2">
        <f>IF(D425=1,Fandual!F425,0)</f>
        <v>0</v>
      </c>
      <c r="C425" s="2">
        <f>IF(D425=1,Fandual!H425,0)</f>
        <v>0</v>
      </c>
      <c r="D425" s="2">
        <f>IF(Fandual!N425="yes",1,0)</f>
        <v>0</v>
      </c>
    </row>
    <row r="426" spans="1:4" x14ac:dyDescent="0.25">
      <c r="A426" s="2">
        <f>IF(D426=1,Fandual!D426,0)</f>
        <v>0</v>
      </c>
      <c r="B426" s="2">
        <f>IF(D426=1,Fandual!F426,0)</f>
        <v>0</v>
      </c>
      <c r="C426" s="2">
        <f>IF(D426=1,Fandual!H426,0)</f>
        <v>0</v>
      </c>
      <c r="D426" s="2">
        <f>IF(Fandual!N426="yes",1,0)</f>
        <v>0</v>
      </c>
    </row>
    <row r="427" spans="1:4" x14ac:dyDescent="0.25">
      <c r="A427" s="2">
        <f>IF(D427=1,Fandual!D427,0)</f>
        <v>0</v>
      </c>
      <c r="B427" s="2">
        <f>IF(D427=1,Fandual!F427,0)</f>
        <v>0</v>
      </c>
      <c r="C427" s="2">
        <f>IF(D427=1,Fandual!H427,0)</f>
        <v>0</v>
      </c>
      <c r="D427" s="2">
        <f>IF(Fandual!N427="yes",1,0)</f>
        <v>0</v>
      </c>
    </row>
    <row r="428" spans="1:4" x14ac:dyDescent="0.25">
      <c r="A428" s="2">
        <f>IF(D428=1,Fandual!D428,0)</f>
        <v>0</v>
      </c>
      <c r="B428" s="2">
        <f>IF(D428=1,Fandual!F428,0)</f>
        <v>0</v>
      </c>
      <c r="C428" s="2">
        <f>IF(D428=1,Fandual!H428,0)</f>
        <v>0</v>
      </c>
      <c r="D428" s="2">
        <f>IF(Fandual!N428="yes",1,0)</f>
        <v>0</v>
      </c>
    </row>
    <row r="429" spans="1:4" x14ac:dyDescent="0.25">
      <c r="A429" s="2">
        <f>IF(D429=1,Fandual!D429,0)</f>
        <v>0</v>
      </c>
      <c r="B429" s="2">
        <f>IF(D429=1,Fandual!F429,0)</f>
        <v>0</v>
      </c>
      <c r="C429" s="2">
        <f>IF(D429=1,Fandual!H429,0)</f>
        <v>0</v>
      </c>
      <c r="D429" s="2">
        <f>IF(Fandual!N429="yes",1,0)</f>
        <v>0</v>
      </c>
    </row>
    <row r="430" spans="1:4" x14ac:dyDescent="0.25">
      <c r="A430" s="2">
        <f>IF(D430=1,Fandual!D430,0)</f>
        <v>0</v>
      </c>
      <c r="B430" s="2">
        <f>IF(D430=1,Fandual!F430,0)</f>
        <v>0</v>
      </c>
      <c r="C430" s="2">
        <f>IF(D430=1,Fandual!H430,0)</f>
        <v>0</v>
      </c>
      <c r="D430" s="2">
        <f>IF(Fandual!N430="yes",1,0)</f>
        <v>0</v>
      </c>
    </row>
    <row r="431" spans="1:4" x14ac:dyDescent="0.25">
      <c r="A431" s="2">
        <f>IF(D431=1,Fandual!D431,0)</f>
        <v>0</v>
      </c>
      <c r="B431" s="2">
        <f>IF(D431=1,Fandual!F431,0)</f>
        <v>0</v>
      </c>
      <c r="C431" s="2">
        <f>IF(D431=1,Fandual!H431,0)</f>
        <v>0</v>
      </c>
      <c r="D431" s="2">
        <f>IF(Fandual!N431="yes",1,0)</f>
        <v>0</v>
      </c>
    </row>
    <row r="432" spans="1:4" x14ac:dyDescent="0.25">
      <c r="A432" s="2">
        <f>IF(D432=1,Fandual!D432,0)</f>
        <v>0</v>
      </c>
      <c r="B432" s="2">
        <f>IF(D432=1,Fandual!F432,0)</f>
        <v>0</v>
      </c>
      <c r="C432" s="2">
        <f>IF(D432=1,Fandual!H432,0)</f>
        <v>0</v>
      </c>
      <c r="D432" s="2">
        <f>IF(Fandual!N432="yes",1,0)</f>
        <v>0</v>
      </c>
    </row>
    <row r="433" spans="1:4" x14ac:dyDescent="0.25">
      <c r="A433" s="2">
        <f>IF(D433=1,Fandual!D433,0)</f>
        <v>0</v>
      </c>
      <c r="B433" s="2">
        <f>IF(D433=1,Fandual!F433,0)</f>
        <v>0</v>
      </c>
      <c r="C433" s="2">
        <f>IF(D433=1,Fandual!H433,0)</f>
        <v>0</v>
      </c>
      <c r="D433" s="2">
        <f>IF(Fandual!N433="yes",1,0)</f>
        <v>0</v>
      </c>
    </row>
    <row r="434" spans="1:4" x14ac:dyDescent="0.25">
      <c r="A434" s="2">
        <f>IF(D434=1,Fandual!D434,0)</f>
        <v>0</v>
      </c>
      <c r="B434" s="2">
        <f>IF(D434=1,Fandual!F434,0)</f>
        <v>0</v>
      </c>
      <c r="C434" s="2">
        <f>IF(D434=1,Fandual!H434,0)</f>
        <v>0</v>
      </c>
      <c r="D434" s="2">
        <f>IF(Fandual!N434="yes",1,0)</f>
        <v>0</v>
      </c>
    </row>
    <row r="435" spans="1:4" x14ac:dyDescent="0.25">
      <c r="A435" s="2">
        <f>IF(D435=1,Fandual!D435,0)</f>
        <v>0</v>
      </c>
      <c r="B435" s="2">
        <f>IF(D435=1,Fandual!F435,0)</f>
        <v>0</v>
      </c>
      <c r="C435" s="2">
        <f>IF(D435=1,Fandual!H435,0)</f>
        <v>0</v>
      </c>
      <c r="D435" s="2">
        <f>IF(Fandual!N435="yes",1,0)</f>
        <v>0</v>
      </c>
    </row>
    <row r="436" spans="1:4" x14ac:dyDescent="0.25">
      <c r="A436" s="2">
        <f>IF(D436=1,Fandual!D436,0)</f>
        <v>0</v>
      </c>
      <c r="B436" s="2">
        <f>IF(D436=1,Fandual!F436,0)</f>
        <v>0</v>
      </c>
      <c r="C436" s="2">
        <f>IF(D436=1,Fandual!H436,0)</f>
        <v>0</v>
      </c>
      <c r="D436" s="2">
        <f>IF(Fandual!N436="yes",1,0)</f>
        <v>0</v>
      </c>
    </row>
    <row r="437" spans="1:4" x14ac:dyDescent="0.25">
      <c r="A437" s="2">
        <f>IF(D437=1,Fandual!D437,0)</f>
        <v>0</v>
      </c>
      <c r="B437" s="2">
        <f>IF(D437=1,Fandual!F437,0)</f>
        <v>0</v>
      </c>
      <c r="C437" s="2">
        <f>IF(D437=1,Fandual!H437,0)</f>
        <v>0</v>
      </c>
      <c r="D437" s="2">
        <f>IF(Fandual!N437="yes",1,0)</f>
        <v>0</v>
      </c>
    </row>
    <row r="438" spans="1:4" x14ac:dyDescent="0.25">
      <c r="A438" s="2">
        <f>IF(D438=1,Fandual!D438,0)</f>
        <v>0</v>
      </c>
      <c r="B438" s="2">
        <f>IF(D438=1,Fandual!F438,0)</f>
        <v>0</v>
      </c>
      <c r="C438" s="2">
        <f>IF(D438=1,Fandual!H438,0)</f>
        <v>0</v>
      </c>
      <c r="D438" s="2">
        <f>IF(Fandual!N438="yes",1,0)</f>
        <v>0</v>
      </c>
    </row>
    <row r="439" spans="1:4" x14ac:dyDescent="0.25">
      <c r="A439" s="2">
        <f>IF(D439=1,Fandual!D439,0)</f>
        <v>0</v>
      </c>
      <c r="B439" s="2">
        <f>IF(D439=1,Fandual!F439,0)</f>
        <v>0</v>
      </c>
      <c r="C439" s="2">
        <f>IF(D439=1,Fandual!H439,0)</f>
        <v>0</v>
      </c>
      <c r="D439" s="2">
        <f>IF(Fandual!N439="yes",1,0)</f>
        <v>0</v>
      </c>
    </row>
    <row r="440" spans="1:4" x14ac:dyDescent="0.25">
      <c r="A440" s="2">
        <f>IF(D440=1,Fandual!D440,0)</f>
        <v>0</v>
      </c>
      <c r="B440" s="2">
        <f>IF(D440=1,Fandual!F440,0)</f>
        <v>0</v>
      </c>
      <c r="C440" s="2">
        <f>IF(D440=1,Fandual!H440,0)</f>
        <v>0</v>
      </c>
      <c r="D440" s="2">
        <f>IF(Fandual!N440="yes",1,0)</f>
        <v>0</v>
      </c>
    </row>
    <row r="441" spans="1:4" x14ac:dyDescent="0.25">
      <c r="A441" s="2">
        <f>IF(D441=1,Fandual!D441,0)</f>
        <v>0</v>
      </c>
      <c r="B441" s="2">
        <f>IF(D441=1,Fandual!F441,0)</f>
        <v>0</v>
      </c>
      <c r="C441" s="2">
        <f>IF(D441=1,Fandual!H441,0)</f>
        <v>0</v>
      </c>
      <c r="D441" s="2">
        <f>IF(Fandual!N441="yes",1,0)</f>
        <v>0</v>
      </c>
    </row>
    <row r="442" spans="1:4" x14ac:dyDescent="0.25">
      <c r="A442" s="2">
        <f>IF(D442=1,Fandual!D442,0)</f>
        <v>0</v>
      </c>
      <c r="B442" s="2">
        <f>IF(D442=1,Fandual!F442,0)</f>
        <v>0</v>
      </c>
      <c r="C442" s="2">
        <f>IF(D442=1,Fandual!H442,0)</f>
        <v>0</v>
      </c>
      <c r="D442" s="2">
        <f>IF(Fandual!N442="yes",1,0)</f>
        <v>0</v>
      </c>
    </row>
    <row r="443" spans="1:4" x14ac:dyDescent="0.25">
      <c r="A443" s="2">
        <f>IF(D443=1,Fandual!D443,0)</f>
        <v>0</v>
      </c>
      <c r="B443" s="2">
        <f>IF(D443=1,Fandual!F443,0)</f>
        <v>0</v>
      </c>
      <c r="C443" s="2">
        <f>IF(D443=1,Fandual!H443,0)</f>
        <v>0</v>
      </c>
      <c r="D443" s="2">
        <f>IF(Fandual!N443="yes",1,0)</f>
        <v>0</v>
      </c>
    </row>
    <row r="444" spans="1:4" x14ac:dyDescent="0.25">
      <c r="A444" s="2">
        <f>IF(D444=1,Fandual!D444,0)</f>
        <v>0</v>
      </c>
      <c r="B444" s="2">
        <f>IF(D444=1,Fandual!F444,0)</f>
        <v>0</v>
      </c>
      <c r="C444" s="2">
        <f>IF(D444=1,Fandual!H444,0)</f>
        <v>0</v>
      </c>
      <c r="D444" s="2">
        <f>IF(Fandual!N444="yes",1,0)</f>
        <v>0</v>
      </c>
    </row>
    <row r="445" spans="1:4" x14ac:dyDescent="0.25">
      <c r="A445" s="2">
        <f>IF(D445=1,Fandual!D445,0)</f>
        <v>0</v>
      </c>
      <c r="B445" s="2">
        <f>IF(D445=1,Fandual!F445,0)</f>
        <v>0</v>
      </c>
      <c r="C445" s="2">
        <f>IF(D445=1,Fandual!H445,0)</f>
        <v>0</v>
      </c>
      <c r="D445" s="2">
        <f>IF(Fandual!N445="yes",1,0)</f>
        <v>0</v>
      </c>
    </row>
    <row r="446" spans="1:4" x14ac:dyDescent="0.25">
      <c r="A446" s="2">
        <f>IF(D446=1,Fandual!D446,0)</f>
        <v>0</v>
      </c>
      <c r="B446" s="2">
        <f>IF(D446=1,Fandual!F446,0)</f>
        <v>0</v>
      </c>
      <c r="C446" s="2">
        <f>IF(D446=1,Fandual!H446,0)</f>
        <v>0</v>
      </c>
      <c r="D446" s="2">
        <f>IF(Fandual!N446="yes",1,0)</f>
        <v>0</v>
      </c>
    </row>
    <row r="447" spans="1:4" x14ac:dyDescent="0.25">
      <c r="A447" s="2">
        <f>IF(D447=1,Fandual!D447,0)</f>
        <v>0</v>
      </c>
      <c r="B447" s="2">
        <f>IF(D447=1,Fandual!F447,0)</f>
        <v>0</v>
      </c>
      <c r="C447" s="2">
        <f>IF(D447=1,Fandual!H447,0)</f>
        <v>0</v>
      </c>
      <c r="D447" s="2">
        <f>IF(Fandual!N447="yes",1,0)</f>
        <v>0</v>
      </c>
    </row>
    <row r="448" spans="1:4" x14ac:dyDescent="0.25">
      <c r="A448" s="2">
        <f>IF(D448=1,Fandual!D448,0)</f>
        <v>0</v>
      </c>
      <c r="B448" s="2">
        <f>IF(D448=1,Fandual!F448,0)</f>
        <v>0</v>
      </c>
      <c r="C448" s="2">
        <f>IF(D448=1,Fandual!H448,0)</f>
        <v>0</v>
      </c>
      <c r="D448" s="2">
        <f>IF(Fandual!N448="yes",1,0)</f>
        <v>0</v>
      </c>
    </row>
    <row r="449" spans="1:4" x14ac:dyDescent="0.25">
      <c r="A449" s="2">
        <f>IF(D449=1,Fandual!D449,0)</f>
        <v>0</v>
      </c>
      <c r="B449" s="2">
        <f>IF(D449=1,Fandual!F449,0)</f>
        <v>0</v>
      </c>
      <c r="C449" s="2">
        <f>IF(D449=1,Fandual!H449,0)</f>
        <v>0</v>
      </c>
      <c r="D449" s="2">
        <f>IF(Fandual!N449="yes",1,0)</f>
        <v>0</v>
      </c>
    </row>
    <row r="450" spans="1:4" x14ac:dyDescent="0.25">
      <c r="A450" s="2">
        <f>IF(D450=1,Fandual!D450,0)</f>
        <v>0</v>
      </c>
      <c r="B450" s="2">
        <f>IF(D450=1,Fandual!F450,0)</f>
        <v>0</v>
      </c>
      <c r="C450" s="2">
        <f>IF(D450=1,Fandual!H450,0)</f>
        <v>0</v>
      </c>
      <c r="D450" s="2">
        <f>IF(Fandual!N450="yes",1,0)</f>
        <v>0</v>
      </c>
    </row>
    <row r="451" spans="1:4" x14ac:dyDescent="0.25">
      <c r="A451" s="2">
        <f>IF(D451=1,Fandual!D451,0)</f>
        <v>0</v>
      </c>
      <c r="B451" s="2">
        <f>IF(D451=1,Fandual!F451,0)</f>
        <v>0</v>
      </c>
      <c r="C451" s="2">
        <f>IF(D451=1,Fandual!H451,0)</f>
        <v>0</v>
      </c>
      <c r="D451" s="2">
        <f>IF(Fandual!N451="yes",1,0)</f>
        <v>0</v>
      </c>
    </row>
    <row r="452" spans="1:4" x14ac:dyDescent="0.25">
      <c r="A452" s="2">
        <f>IF(D452=1,Fandual!D452,0)</f>
        <v>0</v>
      </c>
      <c r="B452" s="2">
        <f>IF(D452=1,Fandual!F452,0)</f>
        <v>0</v>
      </c>
      <c r="C452" s="2">
        <f>IF(D452=1,Fandual!H452,0)</f>
        <v>0</v>
      </c>
      <c r="D452" s="2">
        <f>IF(Fandual!N452="yes",1,0)</f>
        <v>0</v>
      </c>
    </row>
    <row r="453" spans="1:4" x14ac:dyDescent="0.25">
      <c r="A453" s="2">
        <f>IF(D453=1,Fandual!D453,0)</f>
        <v>0</v>
      </c>
      <c r="B453" s="2">
        <f>IF(D453=1,Fandual!F453,0)</f>
        <v>0</v>
      </c>
      <c r="C453" s="2">
        <f>IF(D453=1,Fandual!H453,0)</f>
        <v>0</v>
      </c>
      <c r="D453" s="2">
        <f>IF(Fandual!N453="yes",1,0)</f>
        <v>0</v>
      </c>
    </row>
    <row r="454" spans="1:4" x14ac:dyDescent="0.25">
      <c r="A454" s="2">
        <f>IF(D454=1,Fandual!D454,0)</f>
        <v>0</v>
      </c>
      <c r="B454" s="2">
        <f>IF(D454=1,Fandual!F454,0)</f>
        <v>0</v>
      </c>
      <c r="C454" s="2">
        <f>IF(D454=1,Fandual!H454,0)</f>
        <v>0</v>
      </c>
      <c r="D454" s="2">
        <f>IF(Fandual!N454="yes",1,0)</f>
        <v>0</v>
      </c>
    </row>
    <row r="455" spans="1:4" x14ac:dyDescent="0.25">
      <c r="A455" s="2">
        <f>IF(D455=1,Fandual!D455,0)</f>
        <v>0</v>
      </c>
      <c r="B455" s="2">
        <f>IF(D455=1,Fandual!F455,0)</f>
        <v>0</v>
      </c>
      <c r="C455" s="2">
        <f>IF(D455=1,Fandual!H455,0)</f>
        <v>0</v>
      </c>
      <c r="D455" s="2">
        <f>IF(Fandual!N455="yes",1,0)</f>
        <v>0</v>
      </c>
    </row>
    <row r="456" spans="1:4" x14ac:dyDescent="0.25">
      <c r="A456" s="2">
        <f>IF(D456=1,Fandual!D456,0)</f>
        <v>0</v>
      </c>
      <c r="B456" s="2">
        <f>IF(D456=1,Fandual!F456,0)</f>
        <v>0</v>
      </c>
      <c r="C456" s="2">
        <f>IF(D456=1,Fandual!H456,0)</f>
        <v>0</v>
      </c>
      <c r="D456" s="2">
        <f>IF(Fandual!N456="yes",1,0)</f>
        <v>0</v>
      </c>
    </row>
    <row r="457" spans="1:4" x14ac:dyDescent="0.25">
      <c r="A457" s="2">
        <f>IF(D457=1,Fandual!D457,0)</f>
        <v>0</v>
      </c>
      <c r="B457" s="2">
        <f>IF(D457=1,Fandual!F457,0)</f>
        <v>0</v>
      </c>
      <c r="C457" s="2">
        <f>IF(D457=1,Fandual!H457,0)</f>
        <v>0</v>
      </c>
      <c r="D457" s="2">
        <f>IF(Fandual!N457="yes",1,0)</f>
        <v>0</v>
      </c>
    </row>
    <row r="458" spans="1:4" x14ac:dyDescent="0.25">
      <c r="A458" s="2">
        <f>IF(D458=1,Fandual!D458,0)</f>
        <v>0</v>
      </c>
      <c r="B458" s="2">
        <f>IF(D458=1,Fandual!F458,0)</f>
        <v>0</v>
      </c>
      <c r="C458" s="2">
        <f>IF(D458=1,Fandual!H458,0)</f>
        <v>0</v>
      </c>
      <c r="D458" s="2">
        <f>IF(Fandual!N458="yes",1,0)</f>
        <v>0</v>
      </c>
    </row>
    <row r="459" spans="1:4" x14ac:dyDescent="0.25">
      <c r="A459" s="2">
        <f>IF(D459=1,Fandual!D459,0)</f>
        <v>0</v>
      </c>
      <c r="B459" s="2">
        <f>IF(D459=1,Fandual!F459,0)</f>
        <v>0</v>
      </c>
      <c r="C459" s="2">
        <f>IF(D459=1,Fandual!H459,0)</f>
        <v>0</v>
      </c>
      <c r="D459" s="2">
        <f>IF(Fandual!N459="yes",1,0)</f>
        <v>0</v>
      </c>
    </row>
    <row r="460" spans="1:4" x14ac:dyDescent="0.25">
      <c r="A460" s="2">
        <f>IF(D460=1,Fandual!D460,0)</f>
        <v>0</v>
      </c>
      <c r="B460" s="2">
        <f>IF(D460=1,Fandual!F460,0)</f>
        <v>0</v>
      </c>
      <c r="C460" s="2">
        <f>IF(D460=1,Fandual!H460,0)</f>
        <v>0</v>
      </c>
      <c r="D460" s="2">
        <f>IF(Fandual!N460="yes",1,0)</f>
        <v>0</v>
      </c>
    </row>
    <row r="461" spans="1:4" x14ac:dyDescent="0.25">
      <c r="A461" s="2">
        <f>IF(D461=1,Fandual!D461,0)</f>
        <v>0</v>
      </c>
      <c r="B461" s="2">
        <f>IF(D461=1,Fandual!F461,0)</f>
        <v>0</v>
      </c>
      <c r="C461" s="2">
        <f>IF(D461=1,Fandual!H461,0)</f>
        <v>0</v>
      </c>
      <c r="D461" s="2">
        <f>IF(Fandual!N461="yes",1,0)</f>
        <v>0</v>
      </c>
    </row>
    <row r="462" spans="1:4" x14ac:dyDescent="0.25">
      <c r="A462" s="2">
        <f>IF(D462=1,Fandual!D462,0)</f>
        <v>0</v>
      </c>
      <c r="B462" s="2">
        <f>IF(D462=1,Fandual!F462,0)</f>
        <v>0</v>
      </c>
      <c r="C462" s="2">
        <f>IF(D462=1,Fandual!H462,0)</f>
        <v>0</v>
      </c>
      <c r="D462" s="2">
        <f>IF(Fandual!N462="yes",1,0)</f>
        <v>0</v>
      </c>
    </row>
    <row r="463" spans="1:4" x14ac:dyDescent="0.25">
      <c r="A463" s="2">
        <f>IF(D463=1,Fandual!D463,0)</f>
        <v>0</v>
      </c>
      <c r="B463" s="2">
        <f>IF(D463=1,Fandual!F463,0)</f>
        <v>0</v>
      </c>
      <c r="C463" s="2">
        <f>IF(D463=1,Fandual!H463,0)</f>
        <v>0</v>
      </c>
      <c r="D463" s="2">
        <f>IF(Fandual!N463="yes",1,0)</f>
        <v>0</v>
      </c>
    </row>
    <row r="464" spans="1:4" x14ac:dyDescent="0.25">
      <c r="A464" s="2">
        <f>IF(D464=1,Fandual!D464,0)</f>
        <v>0</v>
      </c>
      <c r="B464" s="2">
        <f>IF(D464=1,Fandual!F464,0)</f>
        <v>0</v>
      </c>
      <c r="C464" s="2">
        <f>IF(D464=1,Fandual!H464,0)</f>
        <v>0</v>
      </c>
      <c r="D464" s="2">
        <f>IF(Fandual!N464="yes",1,0)</f>
        <v>0</v>
      </c>
    </row>
    <row r="465" spans="1:4" x14ac:dyDescent="0.25">
      <c r="A465" s="2">
        <f>IF(D465=1,Fandual!D465,0)</f>
        <v>0</v>
      </c>
      <c r="B465" s="2">
        <f>IF(D465=1,Fandual!F465,0)</f>
        <v>0</v>
      </c>
      <c r="C465" s="2">
        <f>IF(D465=1,Fandual!H465,0)</f>
        <v>0</v>
      </c>
      <c r="D465" s="2">
        <f>IF(Fandual!N465="yes",1,0)</f>
        <v>0</v>
      </c>
    </row>
    <row r="466" spans="1:4" x14ac:dyDescent="0.25">
      <c r="A466" s="2">
        <f>IF(D466=1,Fandual!D466,0)</f>
        <v>0</v>
      </c>
      <c r="B466" s="2">
        <f>IF(D466=1,Fandual!F466,0)</f>
        <v>0</v>
      </c>
      <c r="C466" s="2">
        <f>IF(D466=1,Fandual!H466,0)</f>
        <v>0</v>
      </c>
      <c r="D466" s="2">
        <f>IF(Fandual!N466="yes",1,0)</f>
        <v>0</v>
      </c>
    </row>
    <row r="467" spans="1:4" x14ac:dyDescent="0.25">
      <c r="A467" s="2">
        <f>IF(D467=1,Fandual!D467,0)</f>
        <v>0</v>
      </c>
      <c r="B467" s="2">
        <f>IF(D467=1,Fandual!F467,0)</f>
        <v>0</v>
      </c>
      <c r="C467" s="2">
        <f>IF(D467=1,Fandual!H467,0)</f>
        <v>0</v>
      </c>
      <c r="D467" s="2">
        <f>IF(Fandual!N467="yes",1,0)</f>
        <v>0</v>
      </c>
    </row>
    <row r="468" spans="1:4" x14ac:dyDescent="0.25">
      <c r="A468" s="2">
        <f>IF(D468=1,Fandual!D468,0)</f>
        <v>0</v>
      </c>
      <c r="B468" s="2">
        <f>IF(D468=1,Fandual!F468,0)</f>
        <v>0</v>
      </c>
      <c r="C468" s="2">
        <f>IF(D468=1,Fandual!H468,0)</f>
        <v>0</v>
      </c>
      <c r="D468" s="2">
        <f>IF(Fandual!N468="yes",1,0)</f>
        <v>0</v>
      </c>
    </row>
    <row r="469" spans="1:4" x14ac:dyDescent="0.25">
      <c r="A469" s="2">
        <f>IF(D469=1,Fandual!D469,0)</f>
        <v>0</v>
      </c>
      <c r="B469" s="2">
        <f>IF(D469=1,Fandual!F469,0)</f>
        <v>0</v>
      </c>
      <c r="C469" s="2">
        <f>IF(D469=1,Fandual!H469,0)</f>
        <v>0</v>
      </c>
      <c r="D469" s="2">
        <f>IF(Fandual!N469="yes",1,0)</f>
        <v>0</v>
      </c>
    </row>
    <row r="470" spans="1:4" x14ac:dyDescent="0.25">
      <c r="A470" s="2">
        <f>IF(D470=1,Fandual!D470,0)</f>
        <v>0</v>
      </c>
      <c r="B470" s="2">
        <f>IF(D470=1,Fandual!F470,0)</f>
        <v>0</v>
      </c>
      <c r="C470" s="2">
        <f>IF(D470=1,Fandual!H470,0)</f>
        <v>0</v>
      </c>
      <c r="D470" s="2">
        <f>IF(Fandual!N470="yes",1,0)</f>
        <v>0</v>
      </c>
    </row>
    <row r="471" spans="1:4" x14ac:dyDescent="0.25">
      <c r="A471" s="2">
        <f>IF(D471=1,Fandual!D471,0)</f>
        <v>0</v>
      </c>
      <c r="B471" s="2">
        <f>IF(D471=1,Fandual!F471,0)</f>
        <v>0</v>
      </c>
      <c r="C471" s="2">
        <f>IF(D471=1,Fandual!H471,0)</f>
        <v>0</v>
      </c>
      <c r="D471" s="2">
        <f>IF(Fandual!N471="yes",1,0)</f>
        <v>0</v>
      </c>
    </row>
    <row r="472" spans="1:4" x14ac:dyDescent="0.25">
      <c r="A472" s="2">
        <f>IF(D472=1,Fandual!D472,0)</f>
        <v>0</v>
      </c>
      <c r="B472" s="2">
        <f>IF(D472=1,Fandual!F472,0)</f>
        <v>0</v>
      </c>
      <c r="C472" s="2">
        <f>IF(D472=1,Fandual!H472,0)</f>
        <v>0</v>
      </c>
      <c r="D472" s="2">
        <f>IF(Fandual!N472="yes",1,0)</f>
        <v>0</v>
      </c>
    </row>
    <row r="473" spans="1:4" x14ac:dyDescent="0.25">
      <c r="A473" s="2">
        <f>IF(D473=1,Fandual!D473,0)</f>
        <v>0</v>
      </c>
      <c r="B473" s="2">
        <f>IF(D473=1,Fandual!F473,0)</f>
        <v>0</v>
      </c>
      <c r="C473" s="2">
        <f>IF(D473=1,Fandual!H473,0)</f>
        <v>0</v>
      </c>
      <c r="D473" s="2">
        <f>IF(Fandual!N473="yes",1,0)</f>
        <v>0</v>
      </c>
    </row>
    <row r="474" spans="1:4" x14ac:dyDescent="0.25">
      <c r="A474" s="2">
        <f>IF(D474=1,Fandual!D474,0)</f>
        <v>0</v>
      </c>
      <c r="B474" s="2">
        <f>IF(D474=1,Fandual!F474,0)</f>
        <v>0</v>
      </c>
      <c r="C474" s="2">
        <f>IF(D474=1,Fandual!H474,0)</f>
        <v>0</v>
      </c>
      <c r="D474" s="2">
        <f>IF(Fandual!N474="yes",1,0)</f>
        <v>0</v>
      </c>
    </row>
    <row r="475" spans="1:4" x14ac:dyDescent="0.25">
      <c r="A475" s="2">
        <f>IF(D475=1,Fandual!D475,0)</f>
        <v>0</v>
      </c>
      <c r="B475" s="2">
        <f>IF(D475=1,Fandual!F475,0)</f>
        <v>0</v>
      </c>
      <c r="C475" s="2">
        <f>IF(D475=1,Fandual!H475,0)</f>
        <v>0</v>
      </c>
      <c r="D475" s="2">
        <f>IF(Fandual!N475="yes",1,0)</f>
        <v>0</v>
      </c>
    </row>
    <row r="476" spans="1:4" x14ac:dyDescent="0.25">
      <c r="A476" s="2">
        <f>IF(D476=1,Fandual!D476,0)</f>
        <v>0</v>
      </c>
      <c r="B476" s="2">
        <f>IF(D476=1,Fandual!F476,0)</f>
        <v>0</v>
      </c>
      <c r="C476" s="2">
        <f>IF(D476=1,Fandual!H476,0)</f>
        <v>0</v>
      </c>
      <c r="D476" s="2">
        <f>IF(Fandual!N476="yes",1,0)</f>
        <v>0</v>
      </c>
    </row>
    <row r="477" spans="1:4" x14ac:dyDescent="0.25">
      <c r="A477" s="2">
        <f>IF(D477=1,Fandual!D477,0)</f>
        <v>0</v>
      </c>
      <c r="B477" s="2">
        <f>IF(D477=1,Fandual!F477,0)</f>
        <v>0</v>
      </c>
      <c r="C477" s="2">
        <f>IF(D477=1,Fandual!H477,0)</f>
        <v>0</v>
      </c>
      <c r="D477" s="2">
        <f>IF(Fandual!N477="yes",1,0)</f>
        <v>0</v>
      </c>
    </row>
    <row r="478" spans="1:4" x14ac:dyDescent="0.25">
      <c r="A478" s="2">
        <f>IF(D478=1,Fandual!D478,0)</f>
        <v>0</v>
      </c>
      <c r="B478" s="2">
        <f>IF(D478=1,Fandual!F478,0)</f>
        <v>0</v>
      </c>
      <c r="C478" s="2">
        <f>IF(D478=1,Fandual!H478,0)</f>
        <v>0</v>
      </c>
      <c r="D478" s="2">
        <f>IF(Fandual!N478="yes",1,0)</f>
        <v>0</v>
      </c>
    </row>
    <row r="479" spans="1:4" x14ac:dyDescent="0.25">
      <c r="A479" s="2">
        <f>IF(D479=1,Fandual!D479,0)</f>
        <v>0</v>
      </c>
      <c r="B479" s="2">
        <f>IF(D479=1,Fandual!F479,0)</f>
        <v>0</v>
      </c>
      <c r="C479" s="2">
        <f>IF(D479=1,Fandual!H479,0)</f>
        <v>0</v>
      </c>
      <c r="D479" s="2">
        <f>IF(Fandual!N479="yes",1,0)</f>
        <v>0</v>
      </c>
    </row>
    <row r="480" spans="1:4" x14ac:dyDescent="0.25">
      <c r="A480" s="2">
        <f>IF(D480=1,Fandual!D480,0)</f>
        <v>0</v>
      </c>
      <c r="B480" s="2">
        <f>IF(D480=1,Fandual!F480,0)</f>
        <v>0</v>
      </c>
      <c r="C480" s="2">
        <f>IF(D480=1,Fandual!H480,0)</f>
        <v>0</v>
      </c>
      <c r="D480" s="2">
        <f>IF(Fandual!N480="yes",1,0)</f>
        <v>0</v>
      </c>
    </row>
    <row r="481" spans="1:4" x14ac:dyDescent="0.25">
      <c r="A481" s="2">
        <f>IF(D481=1,Fandual!D481,0)</f>
        <v>0</v>
      </c>
      <c r="B481" s="2">
        <f>IF(D481=1,Fandual!F481,0)</f>
        <v>0</v>
      </c>
      <c r="C481" s="2">
        <f>IF(D481=1,Fandual!H481,0)</f>
        <v>0</v>
      </c>
      <c r="D481" s="2">
        <f>IF(Fandual!N481="yes",1,0)</f>
        <v>0</v>
      </c>
    </row>
    <row r="482" spans="1:4" x14ac:dyDescent="0.25">
      <c r="A482" s="2">
        <f>IF(D482=1,Fandual!D482,0)</f>
        <v>0</v>
      </c>
      <c r="B482" s="2">
        <f>IF(D482=1,Fandual!F482,0)</f>
        <v>0</v>
      </c>
      <c r="C482" s="2">
        <f>IF(D482=1,Fandual!H482,0)</f>
        <v>0</v>
      </c>
      <c r="D482" s="2">
        <f>IF(Fandual!N482="yes",1,0)</f>
        <v>0</v>
      </c>
    </row>
    <row r="483" spans="1:4" x14ac:dyDescent="0.25">
      <c r="A483" s="2">
        <f>IF(D483=1,Fandual!D483,0)</f>
        <v>0</v>
      </c>
      <c r="B483" s="2">
        <f>IF(D483=1,Fandual!F483,0)</f>
        <v>0</v>
      </c>
      <c r="C483" s="2">
        <f>IF(D483=1,Fandual!H483,0)</f>
        <v>0</v>
      </c>
      <c r="D483" s="2">
        <f>IF(Fandual!N483="yes",1,0)</f>
        <v>0</v>
      </c>
    </row>
    <row r="484" spans="1:4" x14ac:dyDescent="0.25">
      <c r="A484" s="2">
        <f>IF(D484=1,Fandual!D484,0)</f>
        <v>0</v>
      </c>
      <c r="B484" s="2">
        <f>IF(D484=1,Fandual!F484,0)</f>
        <v>0</v>
      </c>
      <c r="C484" s="2">
        <f>IF(D484=1,Fandual!H484,0)</f>
        <v>0</v>
      </c>
      <c r="D484" s="2">
        <f>IF(Fandual!N484="yes",1,0)</f>
        <v>0</v>
      </c>
    </row>
    <row r="485" spans="1:4" x14ac:dyDescent="0.25">
      <c r="A485" s="2">
        <f>IF(D485=1,Fandual!D485,0)</f>
        <v>0</v>
      </c>
      <c r="B485" s="2">
        <f>IF(D485=1,Fandual!F485,0)</f>
        <v>0</v>
      </c>
      <c r="C485" s="2">
        <f>IF(D485=1,Fandual!H485,0)</f>
        <v>0</v>
      </c>
      <c r="D485" s="2">
        <f>IF(Fandual!N485="yes",1,0)</f>
        <v>0</v>
      </c>
    </row>
    <row r="486" spans="1:4" x14ac:dyDescent="0.25">
      <c r="A486" s="2">
        <f>IF(D486=1,Fandual!D486,0)</f>
        <v>0</v>
      </c>
      <c r="B486" s="2">
        <f>IF(D486=1,Fandual!F486,0)</f>
        <v>0</v>
      </c>
      <c r="C486" s="2">
        <f>IF(D486=1,Fandual!H486,0)</f>
        <v>0</v>
      </c>
      <c r="D486" s="2">
        <f>IF(Fandual!N486="yes",1,0)</f>
        <v>0</v>
      </c>
    </row>
    <row r="487" spans="1:4" x14ac:dyDescent="0.25">
      <c r="A487" s="2">
        <f>IF(D487=1,Fandual!D487,0)</f>
        <v>0</v>
      </c>
      <c r="B487" s="2">
        <f>IF(D487=1,Fandual!F487,0)</f>
        <v>0</v>
      </c>
      <c r="C487" s="2">
        <f>IF(D487=1,Fandual!H487,0)</f>
        <v>0</v>
      </c>
      <c r="D487" s="2">
        <f>IF(Fandual!N487="yes",1,0)</f>
        <v>0</v>
      </c>
    </row>
    <row r="488" spans="1:4" x14ac:dyDescent="0.25">
      <c r="A488" s="2">
        <f>IF(D488=1,Fandual!D488,0)</f>
        <v>0</v>
      </c>
      <c r="B488" s="2">
        <f>IF(D488=1,Fandual!F488,0)</f>
        <v>0</v>
      </c>
      <c r="C488" s="2">
        <f>IF(D488=1,Fandual!H488,0)</f>
        <v>0</v>
      </c>
      <c r="D488" s="2">
        <f>IF(Fandual!N488="yes",1,0)</f>
        <v>0</v>
      </c>
    </row>
    <row r="489" spans="1:4" x14ac:dyDescent="0.25">
      <c r="A489" s="2">
        <f>IF(D489=1,Fandual!D489,0)</f>
        <v>0</v>
      </c>
      <c r="B489" s="2">
        <f>IF(D489=1,Fandual!F489,0)</f>
        <v>0</v>
      </c>
      <c r="C489" s="2">
        <f>IF(D489=1,Fandual!H489,0)</f>
        <v>0</v>
      </c>
      <c r="D489" s="2">
        <f>IF(Fandual!N489="yes",1,0)</f>
        <v>0</v>
      </c>
    </row>
    <row r="490" spans="1:4" x14ac:dyDescent="0.25">
      <c r="A490" s="2">
        <f>IF(D490=1,Fandual!D490,0)</f>
        <v>0</v>
      </c>
      <c r="B490" s="2">
        <f>IF(D490=1,Fandual!F490,0)</f>
        <v>0</v>
      </c>
      <c r="C490" s="2">
        <f>IF(D490=1,Fandual!H490,0)</f>
        <v>0</v>
      </c>
      <c r="D490" s="2">
        <f>IF(Fandual!N490="yes",1,0)</f>
        <v>0</v>
      </c>
    </row>
    <row r="491" spans="1:4" x14ac:dyDescent="0.25">
      <c r="A491" s="2">
        <f>IF(D491=1,Fandual!D491,0)</f>
        <v>0</v>
      </c>
      <c r="B491" s="2">
        <f>IF(D491=1,Fandual!F491,0)</f>
        <v>0</v>
      </c>
      <c r="C491" s="2">
        <f>IF(D491=1,Fandual!H491,0)</f>
        <v>0</v>
      </c>
      <c r="D491" s="2">
        <f>IF(Fandual!N491="yes",1,0)</f>
        <v>0</v>
      </c>
    </row>
    <row r="492" spans="1:4" x14ac:dyDescent="0.25">
      <c r="A492" s="2">
        <f>IF(D492=1,Fandual!D492,0)</f>
        <v>0</v>
      </c>
      <c r="B492" s="2">
        <f>IF(D492=1,Fandual!F492,0)</f>
        <v>0</v>
      </c>
      <c r="C492" s="2">
        <f>IF(D492=1,Fandual!H492,0)</f>
        <v>0</v>
      </c>
      <c r="D492" s="2">
        <f>IF(Fandual!N492="yes",1,0)</f>
        <v>0</v>
      </c>
    </row>
    <row r="493" spans="1:4" x14ac:dyDescent="0.25">
      <c r="A493" s="2">
        <f>IF(D493=1,Fandual!D493,0)</f>
        <v>0</v>
      </c>
      <c r="B493" s="2">
        <f>IF(D493=1,Fandual!F493,0)</f>
        <v>0</v>
      </c>
      <c r="C493" s="2">
        <f>IF(D493=1,Fandual!H493,0)</f>
        <v>0</v>
      </c>
      <c r="D493" s="2">
        <f>IF(Fandual!N493="yes",1,0)</f>
        <v>0</v>
      </c>
    </row>
    <row r="494" spans="1:4" x14ac:dyDescent="0.25">
      <c r="A494" s="2">
        <f>IF(D494=1,Fandual!D494,0)</f>
        <v>0</v>
      </c>
      <c r="B494" s="2">
        <f>IF(D494=1,Fandual!F494,0)</f>
        <v>0</v>
      </c>
      <c r="C494" s="2">
        <f>IF(D494=1,Fandual!H494,0)</f>
        <v>0</v>
      </c>
      <c r="D494" s="2">
        <f>IF(Fandual!N494="yes",1,0)</f>
        <v>0</v>
      </c>
    </row>
    <row r="495" spans="1:4" x14ac:dyDescent="0.25">
      <c r="A495" s="2">
        <f>IF(D495=1,Fandual!D495,0)</f>
        <v>0</v>
      </c>
      <c r="B495" s="2">
        <f>IF(D495=1,Fandual!F495,0)</f>
        <v>0</v>
      </c>
      <c r="C495" s="2">
        <f>IF(D495=1,Fandual!H495,0)</f>
        <v>0</v>
      </c>
      <c r="D495" s="2">
        <f>IF(Fandual!N495="yes",1,0)</f>
        <v>0</v>
      </c>
    </row>
    <row r="496" spans="1:4" x14ac:dyDescent="0.25">
      <c r="A496" s="2">
        <f>IF(D496=1,Fandual!D496,0)</f>
        <v>0</v>
      </c>
      <c r="B496" s="2">
        <f>IF(D496=1,Fandual!F496,0)</f>
        <v>0</v>
      </c>
      <c r="C496" s="2">
        <f>IF(D496=1,Fandual!H496,0)</f>
        <v>0</v>
      </c>
      <c r="D496" s="2">
        <f>IF(Fandual!N496="yes",1,0)</f>
        <v>0</v>
      </c>
    </row>
    <row r="497" spans="1:4" x14ac:dyDescent="0.25">
      <c r="A497" s="2">
        <f>IF(D497=1,Fandual!D497,0)</f>
        <v>0</v>
      </c>
      <c r="B497" s="2">
        <f>IF(D497=1,Fandual!F497,0)</f>
        <v>0</v>
      </c>
      <c r="C497" s="2">
        <f>IF(D497=1,Fandual!H497,0)</f>
        <v>0</v>
      </c>
      <c r="D497" s="2">
        <f>IF(Fandual!N497="yes",1,0)</f>
        <v>0</v>
      </c>
    </row>
    <row r="498" spans="1:4" x14ac:dyDescent="0.25">
      <c r="A498" s="2">
        <f>IF(D498=1,Fandual!D498,0)</f>
        <v>0</v>
      </c>
      <c r="B498" s="2">
        <f>IF(D498=1,Fandual!F498,0)</f>
        <v>0</v>
      </c>
      <c r="C498" s="2">
        <f>IF(D498=1,Fandual!H498,0)</f>
        <v>0</v>
      </c>
      <c r="D498" s="2">
        <f>IF(Fandual!N498="yes",1,0)</f>
        <v>0</v>
      </c>
    </row>
    <row r="499" spans="1:4" x14ac:dyDescent="0.25">
      <c r="A499" s="2">
        <f>IF(D499=1,Fandual!D499,0)</f>
        <v>0</v>
      </c>
      <c r="B499" s="2">
        <f>IF(D499=1,Fandual!F499,0)</f>
        <v>0</v>
      </c>
      <c r="C499" s="2">
        <f>IF(D499=1,Fandual!H499,0)</f>
        <v>0</v>
      </c>
      <c r="D499" s="2">
        <f>IF(Fandual!N499="yes",1,0)</f>
        <v>0</v>
      </c>
    </row>
    <row r="500" spans="1:4" x14ac:dyDescent="0.25">
      <c r="A500" s="2">
        <f>IF(D500=1,Fandual!D500,0)</f>
        <v>0</v>
      </c>
      <c r="B500" s="2">
        <f>IF(D500=1,Fandual!F500,0)</f>
        <v>0</v>
      </c>
      <c r="C500" s="2">
        <f>IF(D500=1,Fandual!H500,0)</f>
        <v>0</v>
      </c>
      <c r="D500" s="2">
        <f>IF(Fandual!N500="yes",1,0)</f>
        <v>0</v>
      </c>
    </row>
    <row r="501" spans="1:4" x14ac:dyDescent="0.25">
      <c r="A501" s="2">
        <f>IF(D501=1,Fandual!D501,0)</f>
        <v>0</v>
      </c>
      <c r="B501" s="2">
        <f>IF(D501=1,Fandual!F501,0)</f>
        <v>0</v>
      </c>
      <c r="C501" s="2">
        <f>IF(D501=1,Fandual!H501,0)</f>
        <v>0</v>
      </c>
      <c r="D501" s="2">
        <f>IF(Fandual!N501="yes",1,0)</f>
        <v>0</v>
      </c>
    </row>
    <row r="502" spans="1:4" x14ac:dyDescent="0.25">
      <c r="A502" s="2">
        <f>IF(D502=1,Fandual!D502,0)</f>
        <v>0</v>
      </c>
      <c r="B502" s="2">
        <f>IF(D502=1,Fandual!F502,0)</f>
        <v>0</v>
      </c>
      <c r="C502" s="2">
        <f>IF(D502=1,Fandual!H502,0)</f>
        <v>0</v>
      </c>
      <c r="D502" s="2">
        <f>IF(Fandual!N502="yes",1,0)</f>
        <v>0</v>
      </c>
    </row>
    <row r="503" spans="1:4" x14ac:dyDescent="0.25">
      <c r="A503" s="2">
        <f>IF(D503=1,Fandual!D503,0)</f>
        <v>0</v>
      </c>
      <c r="B503" s="2">
        <f>IF(D503=1,Fandual!F503,0)</f>
        <v>0</v>
      </c>
      <c r="C503" s="2">
        <f>IF(D503=1,Fandual!H503,0)</f>
        <v>0</v>
      </c>
      <c r="D503" s="2">
        <f>IF(Fandual!N503="yes",1,0)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503"/>
  <sheetViews>
    <sheetView workbookViewId="0">
      <selection activeCell="E2" sqref="E2:E6"/>
    </sheetView>
  </sheetViews>
  <sheetFormatPr defaultRowHeight="15" x14ac:dyDescent="0.25"/>
  <cols>
    <col min="1" max="1" width="17.85546875" bestFit="1" customWidth="1"/>
    <col min="5" max="5" width="10" style="2" bestFit="1" customWidth="1"/>
    <col min="6" max="6" width="4.7109375" style="2" bestFit="1" customWidth="1"/>
  </cols>
  <sheetData>
    <row r="1" spans="1:7" x14ac:dyDescent="0.25">
      <c r="A1" t="s">
        <v>3</v>
      </c>
      <c r="B1" t="s">
        <v>4</v>
      </c>
      <c r="C1" t="s">
        <v>5</v>
      </c>
      <c r="D1" t="s">
        <v>835</v>
      </c>
      <c r="E1" s="2" t="s">
        <v>32</v>
      </c>
      <c r="F1" s="2" t="s">
        <v>1708</v>
      </c>
    </row>
    <row r="2" spans="1:7" x14ac:dyDescent="0.25">
      <c r="A2" t="s">
        <v>2063</v>
      </c>
      <c r="B2">
        <v>47.142857142857103</v>
      </c>
      <c r="C2">
        <v>12100</v>
      </c>
      <c r="D2">
        <v>1</v>
      </c>
      <c r="E2" s="2" t="str">
        <f>VLOOKUP(A2,Fandual!$D$2:$K$1354,8,FALSE)</f>
        <v>SDP</v>
      </c>
      <c r="F2" s="2">
        <f>VLOOKUP(E2,Offense!$A$1:$B$30,2,FALSE)</f>
        <v>30</v>
      </c>
      <c r="G2" t="str">
        <f>E2</f>
        <v>SDP</v>
      </c>
    </row>
    <row r="3" spans="1:7" x14ac:dyDescent="0.25">
      <c r="A3" t="s">
        <v>859</v>
      </c>
      <c r="B3">
        <v>35.296296296296298</v>
      </c>
      <c r="C3">
        <v>8500</v>
      </c>
      <c r="D3">
        <v>1</v>
      </c>
      <c r="E3" s="2" t="str">
        <f>VLOOKUP(A3,Fandual!$D$2:$K$1354,8,FALSE)</f>
        <v>WAS</v>
      </c>
      <c r="F3" s="2">
        <f>VLOOKUP(E3,Offense!$A$1:$B$30,2,FALSE)</f>
        <v>2</v>
      </c>
      <c r="G3" s="2" t="str">
        <f t="shared" ref="G3:G66" si="0">E3</f>
        <v>WAS</v>
      </c>
    </row>
    <row r="4" spans="1:7" x14ac:dyDescent="0.25">
      <c r="A4" t="s">
        <v>1785</v>
      </c>
      <c r="B4">
        <v>33.857142857142797</v>
      </c>
      <c r="C4">
        <v>8800</v>
      </c>
      <c r="D4">
        <v>1</v>
      </c>
      <c r="E4" s="2" t="str">
        <f>VLOOKUP(A4,Fandual!$D$2:$K$1354,8,FALSE)</f>
        <v>BOS</v>
      </c>
      <c r="F4" s="2">
        <f>VLOOKUP(E4,Offense!$A$1:$B$30,2,FALSE)</f>
        <v>9</v>
      </c>
      <c r="G4" s="2" t="str">
        <f t="shared" si="0"/>
        <v>BOS</v>
      </c>
    </row>
    <row r="5" spans="1:7" x14ac:dyDescent="0.25">
      <c r="A5" t="s">
        <v>927</v>
      </c>
      <c r="B5">
        <v>33.615384615384599</v>
      </c>
      <c r="C5">
        <v>8100</v>
      </c>
      <c r="D5">
        <v>1</v>
      </c>
      <c r="E5" s="2" t="str">
        <f>VLOOKUP(A5,Fandual!$D$2:$K$1354,8,FALSE)</f>
        <v>PIT</v>
      </c>
      <c r="F5" s="2">
        <f>VLOOKUP(E5,Offense!$A$1:$B$30,2,FALSE)</f>
        <v>24</v>
      </c>
      <c r="G5" s="2" t="str">
        <f t="shared" si="0"/>
        <v>PIT</v>
      </c>
    </row>
    <row r="6" spans="1:7" x14ac:dyDescent="0.25">
      <c r="A6" t="s">
        <v>1799</v>
      </c>
      <c r="B6">
        <v>31.9375</v>
      </c>
      <c r="C6">
        <v>7600</v>
      </c>
      <c r="D6">
        <v>1</v>
      </c>
      <c r="E6" s="2" t="str">
        <f>VLOOKUP(A6,Fandual!$D$2:$K$1354,8,FALSE)</f>
        <v>LOS</v>
      </c>
      <c r="F6" s="2">
        <f>VLOOKUP(E6,Offense!$A$1:$B$30,2,FALSE)</f>
        <v>4</v>
      </c>
      <c r="G6" s="2" t="str">
        <f t="shared" si="0"/>
        <v>LOS</v>
      </c>
    </row>
    <row r="7" spans="1:7" x14ac:dyDescent="0.25">
      <c r="A7" t="s">
        <v>874</v>
      </c>
      <c r="B7">
        <v>31.535714285714199</v>
      </c>
      <c r="C7">
        <v>9100</v>
      </c>
      <c r="D7">
        <v>1</v>
      </c>
      <c r="E7" s="2" t="str">
        <f>VLOOKUP(A7,Fandual!$D$2:$K$1354,8,FALSE)</f>
        <v>CIN</v>
      </c>
      <c r="F7" s="2">
        <f>VLOOKUP(E7,Offense!$A$1:$B$30,2,FALSE)</f>
        <v>12</v>
      </c>
      <c r="G7" s="2" t="str">
        <f t="shared" si="0"/>
        <v>CIN</v>
      </c>
    </row>
    <row r="8" spans="1:7" x14ac:dyDescent="0.25">
      <c r="A8" t="s">
        <v>1794</v>
      </c>
      <c r="B8">
        <v>29.210526315789402</v>
      </c>
      <c r="C8">
        <v>8000</v>
      </c>
      <c r="D8">
        <v>1</v>
      </c>
      <c r="E8" s="2" t="str">
        <f>VLOOKUP(A8,Fandual!$D$2:$K$1354,8,FALSE)</f>
        <v>STL</v>
      </c>
      <c r="F8" s="2">
        <f>VLOOKUP(E8,Offense!$A$1:$B$30,2,FALSE)</f>
        <v>19</v>
      </c>
      <c r="G8" s="2" t="str">
        <f t="shared" si="0"/>
        <v>STL</v>
      </c>
    </row>
    <row r="9" spans="1:7" x14ac:dyDescent="0.25">
      <c r="A9" t="s">
        <v>2260</v>
      </c>
      <c r="B9">
        <v>29.181818181818102</v>
      </c>
      <c r="C9">
        <v>6300</v>
      </c>
      <c r="D9">
        <v>1</v>
      </c>
      <c r="E9" s="2" t="str">
        <f>VLOOKUP(A9,Fandual!$D$2:$K$1354,8,FALSE)</f>
        <v>COL</v>
      </c>
      <c r="F9" s="2">
        <f>VLOOKUP(E9,Offense!$A$1:$B$30,2,FALSE)</f>
        <v>5</v>
      </c>
      <c r="G9" s="2" t="str">
        <f t="shared" si="0"/>
        <v>COL</v>
      </c>
    </row>
    <row r="10" spans="1:7" x14ac:dyDescent="0.25">
      <c r="A10" t="s">
        <v>868</v>
      </c>
      <c r="B10">
        <v>28.823529411764699</v>
      </c>
      <c r="C10">
        <v>8600</v>
      </c>
      <c r="D10">
        <v>1</v>
      </c>
      <c r="E10" s="2" t="str">
        <f>VLOOKUP(A10,Fandual!$D$2:$K$1354,8,FALSE)</f>
        <v>LAA</v>
      </c>
      <c r="F10" s="2">
        <f>VLOOKUP(E10,Offense!$A$1:$B$30,2,FALSE)</f>
        <v>25</v>
      </c>
      <c r="G10" s="2" t="str">
        <f t="shared" si="0"/>
        <v>LAA</v>
      </c>
    </row>
    <row r="11" spans="1:7" x14ac:dyDescent="0.25">
      <c r="A11" t="s">
        <v>1806</v>
      </c>
      <c r="B11">
        <v>28.2</v>
      </c>
      <c r="C11">
        <v>8500</v>
      </c>
      <c r="D11">
        <v>1</v>
      </c>
      <c r="E11" s="2" t="str">
        <f>VLOOKUP(A11,Fandual!$D$2:$K$1354,8,FALSE)</f>
        <v>DET</v>
      </c>
      <c r="F11" s="2">
        <f>VLOOKUP(E11,Offense!$A$1:$B$30,2,FALSE)</f>
        <v>15</v>
      </c>
      <c r="G11" s="2" t="str">
        <f t="shared" si="0"/>
        <v>DET</v>
      </c>
    </row>
    <row r="12" spans="1:7" x14ac:dyDescent="0.25">
      <c r="A12" t="s">
        <v>70</v>
      </c>
      <c r="B12">
        <v>28.038461538461501</v>
      </c>
      <c r="C12">
        <v>8100</v>
      </c>
      <c r="D12">
        <v>1</v>
      </c>
      <c r="E12" s="2" t="str">
        <f>VLOOKUP(A12,Fandual!$D$2:$K$1354,8,FALSE)</f>
        <v>MIL</v>
      </c>
      <c r="F12" s="2">
        <f>VLOOKUP(E12,Offense!$A$1:$B$30,2,FALSE)</f>
        <v>6</v>
      </c>
      <c r="G12" s="2" t="str">
        <f t="shared" si="0"/>
        <v>MIL</v>
      </c>
    </row>
    <row r="13" spans="1:7" x14ac:dyDescent="0.25">
      <c r="A13" t="s">
        <v>1792</v>
      </c>
      <c r="B13">
        <v>26.7916666666666</v>
      </c>
      <c r="C13">
        <v>6100</v>
      </c>
      <c r="D13">
        <v>1</v>
      </c>
      <c r="E13" s="2" t="str">
        <f>VLOOKUP(A13,Fandual!$D$2:$K$1354,8,FALSE)</f>
        <v>SEA</v>
      </c>
      <c r="F13" s="2">
        <f>VLOOKUP(E13,Offense!$A$1:$B$30,2,FALSE)</f>
        <v>10</v>
      </c>
      <c r="G13" s="2" t="str">
        <f t="shared" si="0"/>
        <v>SEA</v>
      </c>
    </row>
    <row r="14" spans="1:7" x14ac:dyDescent="0.25">
      <c r="A14" t="s">
        <v>278</v>
      </c>
      <c r="B14">
        <v>25.964285714285701</v>
      </c>
      <c r="C14">
        <v>8700</v>
      </c>
      <c r="D14">
        <v>1</v>
      </c>
      <c r="E14" s="2" t="str">
        <f>VLOOKUP(A14,Fandual!$D$2:$K$1354,8,FALSE)</f>
        <v>TOR</v>
      </c>
      <c r="F14" s="2">
        <f>VLOOKUP(E14,Offense!$A$1:$B$30,2,FALSE)</f>
        <v>26</v>
      </c>
      <c r="G14" s="2" t="str">
        <f t="shared" si="0"/>
        <v>TOR</v>
      </c>
    </row>
    <row r="15" spans="1:7" x14ac:dyDescent="0.25">
      <c r="A15" t="s">
        <v>2299</v>
      </c>
      <c r="B15">
        <v>25.5</v>
      </c>
      <c r="C15">
        <v>6000</v>
      </c>
      <c r="D15">
        <v>1</v>
      </c>
      <c r="E15" s="2" t="str">
        <f>VLOOKUP(A15,Fandual!$D$2:$K$1354,8,FALSE)</f>
        <v>TEX</v>
      </c>
      <c r="F15" s="2">
        <f>VLOOKUP(E15,Offense!$A$1:$B$30,2,FALSE)</f>
        <v>8</v>
      </c>
      <c r="G15" s="2" t="str">
        <f t="shared" si="0"/>
        <v>TEX</v>
      </c>
    </row>
    <row r="16" spans="1:7" x14ac:dyDescent="0.25">
      <c r="A16" t="s">
        <v>901</v>
      </c>
      <c r="B16">
        <v>24.730769230769202</v>
      </c>
      <c r="C16">
        <v>6500</v>
      </c>
      <c r="D16">
        <v>1</v>
      </c>
      <c r="E16" s="2" t="str">
        <f>VLOOKUP(A16,Fandual!$D$2:$K$1354,8,FALSE)</f>
        <v>MIN</v>
      </c>
      <c r="F16" s="2">
        <f>VLOOKUP(E16,Offense!$A$1:$B$30,2,FALSE)</f>
        <v>18</v>
      </c>
      <c r="G16" s="2" t="str">
        <f t="shared" si="0"/>
        <v>MIN</v>
      </c>
    </row>
    <row r="17" spans="1:7" x14ac:dyDescent="0.25">
      <c r="A17" t="s">
        <v>1830</v>
      </c>
      <c r="B17">
        <v>24.6666666666666</v>
      </c>
      <c r="C17">
        <v>7300</v>
      </c>
      <c r="D17">
        <v>1</v>
      </c>
      <c r="E17" s="2" t="str">
        <f>VLOOKUP(A17,Fandual!$D$2:$K$1354,8,FALSE)</f>
        <v>CWS</v>
      </c>
      <c r="F17" s="2">
        <f>VLOOKUP(E17,Offense!$A$1:$B$30,2,FALSE)</f>
        <v>21</v>
      </c>
      <c r="G17" s="2" t="str">
        <f t="shared" si="0"/>
        <v>CWS</v>
      </c>
    </row>
    <row r="18" spans="1:7" x14ac:dyDescent="0.25">
      <c r="A18" t="s">
        <v>997</v>
      </c>
      <c r="B18">
        <v>24.6</v>
      </c>
      <c r="C18">
        <v>6100</v>
      </c>
      <c r="D18">
        <v>1</v>
      </c>
      <c r="E18" s="2" t="str">
        <f>VLOOKUP(A18,Fandual!$D$2:$K$1354,8,FALSE)</f>
        <v>CLE</v>
      </c>
      <c r="F18" s="2">
        <f>VLOOKUP(E18,Offense!$A$1:$B$30,2,FALSE)</f>
        <v>13</v>
      </c>
      <c r="G18" s="2" t="str">
        <f t="shared" si="0"/>
        <v>CLE</v>
      </c>
    </row>
    <row r="19" spans="1:7" x14ac:dyDescent="0.25">
      <c r="A19" t="s">
        <v>896</v>
      </c>
      <c r="B19">
        <v>24.185185185185102</v>
      </c>
      <c r="C19">
        <v>6500</v>
      </c>
      <c r="D19">
        <v>1</v>
      </c>
      <c r="E19" s="2" t="str">
        <f>VLOOKUP(A19,Fandual!$D$2:$K$1354,8,FALSE)</f>
        <v>OAK</v>
      </c>
      <c r="F19" s="2">
        <f>VLOOKUP(E19,Offense!$A$1:$B$30,2,FALSE)</f>
        <v>23</v>
      </c>
      <c r="G19" s="2" t="str">
        <f t="shared" si="0"/>
        <v>OAK</v>
      </c>
    </row>
    <row r="20" spans="1:7" x14ac:dyDescent="0.25">
      <c r="A20" t="s">
        <v>1005</v>
      </c>
      <c r="B20">
        <v>23.740740740740701</v>
      </c>
      <c r="C20">
        <v>5700</v>
      </c>
      <c r="D20">
        <v>1</v>
      </c>
      <c r="E20" s="2" t="str">
        <f>VLOOKUP(A20,Fandual!$D$2:$K$1354,8,FALSE)</f>
        <v>ARI</v>
      </c>
      <c r="F20" s="2">
        <f>VLOOKUP(E20,Offense!$A$1:$B$30,2,FALSE)</f>
        <v>7</v>
      </c>
      <c r="G20" s="2" t="str">
        <f t="shared" si="0"/>
        <v>ARI</v>
      </c>
    </row>
    <row r="21" spans="1:7" x14ac:dyDescent="0.25">
      <c r="A21" t="s">
        <v>2209</v>
      </c>
      <c r="B21">
        <v>23.5</v>
      </c>
      <c r="C21">
        <v>6800</v>
      </c>
      <c r="D21">
        <v>1</v>
      </c>
      <c r="E21" s="2" t="str">
        <f>VLOOKUP(A21,Fandual!$D$2:$K$1354,8,FALSE)</f>
        <v>TAM</v>
      </c>
      <c r="F21" s="2">
        <f>VLOOKUP(E21,Offense!$A$1:$B$30,2,FALSE)</f>
        <v>11</v>
      </c>
      <c r="G21" s="2" t="str">
        <f t="shared" si="0"/>
        <v>TAM</v>
      </c>
    </row>
    <row r="22" spans="1:7" x14ac:dyDescent="0.25">
      <c r="A22" t="s">
        <v>322</v>
      </c>
      <c r="B22">
        <v>23.3333333333333</v>
      </c>
      <c r="C22">
        <v>7500</v>
      </c>
      <c r="D22">
        <v>1</v>
      </c>
      <c r="E22" s="2" t="str">
        <f>VLOOKUP(A22,Fandual!$D$2:$K$1354,8,FALSE)</f>
        <v>NYY</v>
      </c>
      <c r="F22" s="2">
        <f>VLOOKUP(E22,Offense!$A$1:$B$30,2,FALSE)</f>
        <v>3</v>
      </c>
      <c r="G22" s="2" t="str">
        <f t="shared" si="0"/>
        <v>NYY</v>
      </c>
    </row>
    <row r="23" spans="1:7" x14ac:dyDescent="0.25">
      <c r="A23" t="s">
        <v>909</v>
      </c>
      <c r="B23">
        <v>22.45</v>
      </c>
      <c r="C23">
        <v>6600</v>
      </c>
      <c r="D23">
        <v>1</v>
      </c>
      <c r="E23" s="2" t="str">
        <f>VLOOKUP(A23,Fandual!$D$2:$K$1354,8,FALSE)</f>
        <v>MIA</v>
      </c>
      <c r="F23" s="2">
        <f>VLOOKUP(E23,Offense!$A$1:$B$30,2,FALSE)</f>
        <v>14</v>
      </c>
      <c r="G23" s="2" t="str">
        <f t="shared" si="0"/>
        <v>MIA</v>
      </c>
    </row>
    <row r="24" spans="1:7" x14ac:dyDescent="0.25">
      <c r="A24" t="s">
        <v>481</v>
      </c>
      <c r="B24">
        <v>16.8</v>
      </c>
      <c r="C24">
        <v>5900</v>
      </c>
      <c r="D24">
        <v>1</v>
      </c>
      <c r="E24" s="2" t="str">
        <f>VLOOKUP(A24,Fandual!$D$2:$K$1354,8,FALSE)</f>
        <v>KAN</v>
      </c>
      <c r="F24" s="2">
        <f>VLOOKUP(E24,Offense!$A$1:$B$30,2,FALSE)</f>
        <v>27</v>
      </c>
      <c r="G24" s="2" t="str">
        <f t="shared" si="0"/>
        <v>KAN</v>
      </c>
    </row>
    <row r="25" spans="1:7" x14ac:dyDescent="0.25">
      <c r="A25" t="s">
        <v>305</v>
      </c>
      <c r="B25">
        <v>9.7105263157894708</v>
      </c>
      <c r="C25">
        <v>5500</v>
      </c>
      <c r="D25">
        <v>1</v>
      </c>
      <c r="E25" s="2" t="str">
        <f>VLOOKUP(A25,Fandual!$D$2:$K$1354,8,FALSE)</f>
        <v>BAL</v>
      </c>
      <c r="F25" s="2">
        <f>VLOOKUP(E25,Offense!$A$1:$B$30,2,FALSE)</f>
        <v>22</v>
      </c>
      <c r="G25" s="2" t="str">
        <f t="shared" si="0"/>
        <v>BAL</v>
      </c>
    </row>
    <row r="26" spans="1:7" x14ac:dyDescent="0.25">
      <c r="A26">
        <v>0</v>
      </c>
      <c r="B26">
        <v>0</v>
      </c>
      <c r="C26">
        <v>0</v>
      </c>
      <c r="D26">
        <v>0</v>
      </c>
      <c r="E26" s="2" t="e">
        <f>VLOOKUP(A26,Fandual!$D$2:$K$1354,8,FALSE)</f>
        <v>#N/A</v>
      </c>
      <c r="F26" s="2" t="e">
        <f>VLOOKUP(E26,Offense!$A$1:$B$30,2,FALSE)</f>
        <v>#N/A</v>
      </c>
      <c r="G26" s="2" t="e">
        <f t="shared" si="0"/>
        <v>#N/A</v>
      </c>
    </row>
    <row r="27" spans="1:7" x14ac:dyDescent="0.25">
      <c r="A27">
        <v>0</v>
      </c>
      <c r="B27">
        <v>0</v>
      </c>
      <c r="C27">
        <v>0</v>
      </c>
      <c r="D27">
        <v>0</v>
      </c>
      <c r="E27" s="2" t="e">
        <f>VLOOKUP(A27,Fandual!$D$2:$K$1354,8,FALSE)</f>
        <v>#N/A</v>
      </c>
      <c r="F27" s="2" t="e">
        <f>VLOOKUP(E27,Offense!$A$1:$B$30,2,FALSE)</f>
        <v>#N/A</v>
      </c>
      <c r="G27" s="2" t="e">
        <f t="shared" si="0"/>
        <v>#N/A</v>
      </c>
    </row>
    <row r="28" spans="1:7" x14ac:dyDescent="0.25">
      <c r="A28">
        <v>0</v>
      </c>
      <c r="B28">
        <v>0</v>
      </c>
      <c r="C28">
        <v>0</v>
      </c>
      <c r="D28">
        <v>0</v>
      </c>
      <c r="E28" s="2" t="e">
        <f>VLOOKUP(A28,Fandual!$D$2:$K$1354,8,FALSE)</f>
        <v>#N/A</v>
      </c>
      <c r="F28" s="2" t="e">
        <f>VLOOKUP(E28,Offense!$A$1:$B$30,2,FALSE)</f>
        <v>#N/A</v>
      </c>
      <c r="G28" s="2" t="e">
        <f t="shared" si="0"/>
        <v>#N/A</v>
      </c>
    </row>
    <row r="29" spans="1:7" x14ac:dyDescent="0.25">
      <c r="A29">
        <v>0</v>
      </c>
      <c r="B29">
        <v>0</v>
      </c>
      <c r="C29">
        <v>0</v>
      </c>
      <c r="D29">
        <v>0</v>
      </c>
      <c r="E29" s="2" t="e">
        <f>VLOOKUP(A29,Fandual!$D$2:$K$1354,8,FALSE)</f>
        <v>#N/A</v>
      </c>
      <c r="F29" s="2" t="e">
        <f>VLOOKUP(E29,Offense!$A$1:$B$30,2,FALSE)</f>
        <v>#N/A</v>
      </c>
      <c r="G29" s="2" t="e">
        <f t="shared" si="0"/>
        <v>#N/A</v>
      </c>
    </row>
    <row r="30" spans="1:7" x14ac:dyDescent="0.25">
      <c r="A30">
        <v>0</v>
      </c>
      <c r="B30">
        <v>0</v>
      </c>
      <c r="C30">
        <v>0</v>
      </c>
      <c r="D30">
        <v>0</v>
      </c>
      <c r="E30" s="2" t="e">
        <f>VLOOKUP(A30,Fandual!$D$2:$K$1354,8,FALSE)</f>
        <v>#N/A</v>
      </c>
      <c r="F30" s="2" t="e">
        <f>VLOOKUP(E30,Offense!$A$1:$B$30,2,FALSE)</f>
        <v>#N/A</v>
      </c>
      <c r="G30" s="2" t="e">
        <f t="shared" si="0"/>
        <v>#N/A</v>
      </c>
    </row>
    <row r="31" spans="1:7" x14ac:dyDescent="0.25">
      <c r="A31">
        <v>0</v>
      </c>
      <c r="B31">
        <v>0</v>
      </c>
      <c r="C31">
        <v>0</v>
      </c>
      <c r="D31">
        <v>0</v>
      </c>
      <c r="E31" s="2" t="e">
        <f>VLOOKUP(A31,Fandual!$D$2:$K$1354,8,FALSE)</f>
        <v>#N/A</v>
      </c>
      <c r="F31" s="2" t="e">
        <f>VLOOKUP(E31,Offense!$A$1:$B$30,2,FALSE)</f>
        <v>#N/A</v>
      </c>
      <c r="G31" s="2" t="e">
        <f t="shared" si="0"/>
        <v>#N/A</v>
      </c>
    </row>
    <row r="32" spans="1:7" x14ac:dyDescent="0.25">
      <c r="A32">
        <v>0</v>
      </c>
      <c r="B32">
        <v>0</v>
      </c>
      <c r="C32">
        <v>0</v>
      </c>
      <c r="D32">
        <v>0</v>
      </c>
      <c r="E32" s="2" t="e">
        <f>VLOOKUP(A32,Fandual!$D$2:$K$1354,8,FALSE)</f>
        <v>#N/A</v>
      </c>
      <c r="F32" s="2" t="e">
        <f>VLOOKUP(E32,Offense!$A$1:$B$30,2,FALSE)</f>
        <v>#N/A</v>
      </c>
      <c r="G32" s="2" t="e">
        <f t="shared" si="0"/>
        <v>#N/A</v>
      </c>
    </row>
    <row r="33" spans="1:7" x14ac:dyDescent="0.25">
      <c r="A33">
        <v>0</v>
      </c>
      <c r="B33">
        <v>0</v>
      </c>
      <c r="C33">
        <v>0</v>
      </c>
      <c r="D33">
        <v>0</v>
      </c>
      <c r="E33" s="2" t="e">
        <f>VLOOKUP(A33,Fandual!$D$2:$K$1354,8,FALSE)</f>
        <v>#N/A</v>
      </c>
      <c r="F33" s="2" t="e">
        <f>VLOOKUP(E33,Offense!$A$1:$B$30,2,FALSE)</f>
        <v>#N/A</v>
      </c>
      <c r="G33" s="2" t="e">
        <f t="shared" si="0"/>
        <v>#N/A</v>
      </c>
    </row>
    <row r="34" spans="1:7" x14ac:dyDescent="0.25">
      <c r="A34">
        <v>0</v>
      </c>
      <c r="B34">
        <v>0</v>
      </c>
      <c r="C34">
        <v>0</v>
      </c>
      <c r="D34">
        <v>0</v>
      </c>
      <c r="E34" s="2" t="e">
        <f>VLOOKUP(A34,Fandual!$D$2:$K$1354,8,FALSE)</f>
        <v>#N/A</v>
      </c>
      <c r="F34" s="2" t="e">
        <f>VLOOKUP(E34,Offense!$A$1:$B$30,2,FALSE)</f>
        <v>#N/A</v>
      </c>
      <c r="G34" s="2" t="e">
        <f t="shared" si="0"/>
        <v>#N/A</v>
      </c>
    </row>
    <row r="35" spans="1:7" x14ac:dyDescent="0.25">
      <c r="A35">
        <v>0</v>
      </c>
      <c r="B35">
        <v>0</v>
      </c>
      <c r="C35">
        <v>0</v>
      </c>
      <c r="D35">
        <v>0</v>
      </c>
      <c r="E35" s="2" t="e">
        <f>VLOOKUP(A35,Fandual!$D$2:$K$1354,8,FALSE)</f>
        <v>#N/A</v>
      </c>
      <c r="F35" s="2" t="e">
        <f>VLOOKUP(E35,Offense!$A$1:$B$30,2,FALSE)</f>
        <v>#N/A</v>
      </c>
      <c r="G35" s="2" t="e">
        <f t="shared" si="0"/>
        <v>#N/A</v>
      </c>
    </row>
    <row r="36" spans="1:7" x14ac:dyDescent="0.25">
      <c r="A36">
        <v>0</v>
      </c>
      <c r="B36">
        <v>0</v>
      </c>
      <c r="C36">
        <v>0</v>
      </c>
      <c r="D36">
        <v>0</v>
      </c>
      <c r="E36" s="2" t="e">
        <f>VLOOKUP(A36,Fandual!$D$2:$K$1354,8,FALSE)</f>
        <v>#N/A</v>
      </c>
      <c r="F36" s="2" t="e">
        <f>VLOOKUP(E36,Offense!$A$1:$B$30,2,FALSE)</f>
        <v>#N/A</v>
      </c>
      <c r="G36" s="2" t="e">
        <f t="shared" si="0"/>
        <v>#N/A</v>
      </c>
    </row>
    <row r="37" spans="1:7" x14ac:dyDescent="0.25">
      <c r="A37">
        <v>0</v>
      </c>
      <c r="B37">
        <v>0</v>
      </c>
      <c r="C37">
        <v>0</v>
      </c>
      <c r="D37">
        <v>0</v>
      </c>
      <c r="E37" s="2" t="e">
        <f>VLOOKUP(A37,Fandual!$D$2:$K$1354,8,FALSE)</f>
        <v>#N/A</v>
      </c>
      <c r="F37" s="2" t="e">
        <f>VLOOKUP(E37,Offense!$A$1:$B$30,2,FALSE)</f>
        <v>#N/A</v>
      </c>
      <c r="G37" s="2" t="e">
        <f t="shared" si="0"/>
        <v>#N/A</v>
      </c>
    </row>
    <row r="38" spans="1:7" x14ac:dyDescent="0.25">
      <c r="A38">
        <v>0</v>
      </c>
      <c r="B38">
        <v>0</v>
      </c>
      <c r="C38">
        <v>0</v>
      </c>
      <c r="D38">
        <v>0</v>
      </c>
      <c r="E38" s="2" t="e">
        <f>VLOOKUP(A38,Fandual!$D$2:$K$1354,8,FALSE)</f>
        <v>#N/A</v>
      </c>
      <c r="F38" s="2" t="e">
        <f>VLOOKUP(E38,Offense!$A$1:$B$30,2,FALSE)</f>
        <v>#N/A</v>
      </c>
      <c r="G38" s="2" t="e">
        <f t="shared" si="0"/>
        <v>#N/A</v>
      </c>
    </row>
    <row r="39" spans="1:7" x14ac:dyDescent="0.25">
      <c r="A39">
        <v>0</v>
      </c>
      <c r="B39">
        <v>0</v>
      </c>
      <c r="C39">
        <v>0</v>
      </c>
      <c r="D39">
        <v>0</v>
      </c>
      <c r="E39" s="2" t="e">
        <f>VLOOKUP(A39,Fandual!$D$2:$K$1354,8,FALSE)</f>
        <v>#N/A</v>
      </c>
      <c r="F39" s="2" t="e">
        <f>VLOOKUP(E39,Offense!$A$1:$B$30,2,FALSE)</f>
        <v>#N/A</v>
      </c>
      <c r="G39" s="2" t="e">
        <f t="shared" si="0"/>
        <v>#N/A</v>
      </c>
    </row>
    <row r="40" spans="1:7" x14ac:dyDescent="0.25">
      <c r="A40">
        <v>0</v>
      </c>
      <c r="B40">
        <v>0</v>
      </c>
      <c r="C40">
        <v>0</v>
      </c>
      <c r="D40">
        <v>0</v>
      </c>
      <c r="E40" s="2" t="e">
        <f>VLOOKUP(A40,Fandual!$D$2:$K$1354,8,FALSE)</f>
        <v>#N/A</v>
      </c>
      <c r="F40" s="2" t="e">
        <f>VLOOKUP(E40,Offense!$A$1:$B$30,2,FALSE)</f>
        <v>#N/A</v>
      </c>
      <c r="G40" s="2" t="e">
        <f t="shared" si="0"/>
        <v>#N/A</v>
      </c>
    </row>
    <row r="41" spans="1:7" x14ac:dyDescent="0.25">
      <c r="A41">
        <v>0</v>
      </c>
      <c r="B41">
        <v>0</v>
      </c>
      <c r="C41">
        <v>0</v>
      </c>
      <c r="D41">
        <v>0</v>
      </c>
      <c r="E41" s="2" t="e">
        <f>VLOOKUP(A41,Fandual!$D$2:$K$1354,8,FALSE)</f>
        <v>#N/A</v>
      </c>
      <c r="F41" s="2" t="e">
        <f>VLOOKUP(E41,Offense!$A$1:$B$30,2,FALSE)</f>
        <v>#N/A</v>
      </c>
      <c r="G41" s="2" t="e">
        <f t="shared" si="0"/>
        <v>#N/A</v>
      </c>
    </row>
    <row r="42" spans="1:7" x14ac:dyDescent="0.25">
      <c r="A42">
        <v>0</v>
      </c>
      <c r="B42">
        <v>0</v>
      </c>
      <c r="C42">
        <v>0</v>
      </c>
      <c r="D42">
        <v>0</v>
      </c>
      <c r="E42" s="2" t="e">
        <f>VLOOKUP(A42,Fandual!$D$2:$K$1354,8,FALSE)</f>
        <v>#N/A</v>
      </c>
      <c r="F42" s="2" t="e">
        <f>VLOOKUP(E42,Offense!$A$1:$B$30,2,FALSE)</f>
        <v>#N/A</v>
      </c>
      <c r="G42" s="2" t="e">
        <f t="shared" si="0"/>
        <v>#N/A</v>
      </c>
    </row>
    <row r="43" spans="1:7" x14ac:dyDescent="0.25">
      <c r="A43">
        <v>0</v>
      </c>
      <c r="B43">
        <v>0</v>
      </c>
      <c r="C43">
        <v>0</v>
      </c>
      <c r="D43">
        <v>0</v>
      </c>
      <c r="E43" s="2" t="e">
        <f>VLOOKUP(A43,Fandual!$D$2:$K$1354,8,FALSE)</f>
        <v>#N/A</v>
      </c>
      <c r="F43" s="2" t="e">
        <f>VLOOKUP(E43,Offense!$A$1:$B$30,2,FALSE)</f>
        <v>#N/A</v>
      </c>
      <c r="G43" s="2" t="e">
        <f t="shared" si="0"/>
        <v>#N/A</v>
      </c>
    </row>
    <row r="44" spans="1:7" x14ac:dyDescent="0.25">
      <c r="A44">
        <v>0</v>
      </c>
      <c r="B44">
        <v>0</v>
      </c>
      <c r="C44">
        <v>0</v>
      </c>
      <c r="D44">
        <v>0</v>
      </c>
      <c r="E44" s="2" t="e">
        <f>VLOOKUP(A44,Fandual!$D$2:$K$1354,8,FALSE)</f>
        <v>#N/A</v>
      </c>
      <c r="F44" s="2" t="e">
        <f>VLOOKUP(E44,Offense!$A$1:$B$30,2,FALSE)</f>
        <v>#N/A</v>
      </c>
      <c r="G44" s="2" t="e">
        <f t="shared" si="0"/>
        <v>#N/A</v>
      </c>
    </row>
    <row r="45" spans="1:7" x14ac:dyDescent="0.25">
      <c r="A45">
        <v>0</v>
      </c>
      <c r="B45">
        <v>0</v>
      </c>
      <c r="C45">
        <v>0</v>
      </c>
      <c r="D45">
        <v>0</v>
      </c>
      <c r="E45" s="2" t="e">
        <f>VLOOKUP(A45,Fandual!$D$2:$K$1354,8,FALSE)</f>
        <v>#N/A</v>
      </c>
      <c r="F45" s="2" t="e">
        <f>VLOOKUP(E45,Offense!$A$1:$B$30,2,FALSE)</f>
        <v>#N/A</v>
      </c>
      <c r="G45" s="2" t="e">
        <f t="shared" si="0"/>
        <v>#N/A</v>
      </c>
    </row>
    <row r="46" spans="1:7" x14ac:dyDescent="0.25">
      <c r="A46">
        <v>0</v>
      </c>
      <c r="B46">
        <v>0</v>
      </c>
      <c r="C46">
        <v>0</v>
      </c>
      <c r="D46">
        <v>0</v>
      </c>
      <c r="E46" s="2" t="e">
        <f>VLOOKUP(A46,Fandual!$D$2:$K$1354,8,FALSE)</f>
        <v>#N/A</v>
      </c>
      <c r="F46" s="2" t="e">
        <f>VLOOKUP(E46,Offense!$A$1:$B$30,2,FALSE)</f>
        <v>#N/A</v>
      </c>
      <c r="G46" s="2" t="e">
        <f t="shared" si="0"/>
        <v>#N/A</v>
      </c>
    </row>
    <row r="47" spans="1:7" x14ac:dyDescent="0.25">
      <c r="A47">
        <v>0</v>
      </c>
      <c r="B47">
        <v>0</v>
      </c>
      <c r="C47">
        <v>0</v>
      </c>
      <c r="D47">
        <v>0</v>
      </c>
      <c r="E47" s="2" t="e">
        <f>VLOOKUP(A47,Fandual!$D$2:$K$1354,8,FALSE)</f>
        <v>#N/A</v>
      </c>
      <c r="F47" s="2" t="e">
        <f>VLOOKUP(E47,Offense!$A$1:$B$30,2,FALSE)</f>
        <v>#N/A</v>
      </c>
      <c r="G47" s="2" t="e">
        <f t="shared" si="0"/>
        <v>#N/A</v>
      </c>
    </row>
    <row r="48" spans="1:7" x14ac:dyDescent="0.25">
      <c r="A48">
        <v>0</v>
      </c>
      <c r="B48">
        <v>0</v>
      </c>
      <c r="C48">
        <v>0</v>
      </c>
      <c r="D48">
        <v>0</v>
      </c>
      <c r="E48" s="2" t="e">
        <f>VLOOKUP(A48,Fandual!$D$2:$K$1354,8,FALSE)</f>
        <v>#N/A</v>
      </c>
      <c r="F48" s="2" t="e">
        <f>VLOOKUP(E48,Offense!$A$1:$B$30,2,FALSE)</f>
        <v>#N/A</v>
      </c>
      <c r="G48" s="2" t="e">
        <f t="shared" si="0"/>
        <v>#N/A</v>
      </c>
    </row>
    <row r="49" spans="1:7" x14ac:dyDescent="0.25">
      <c r="A49">
        <v>0</v>
      </c>
      <c r="B49">
        <v>0</v>
      </c>
      <c r="C49">
        <v>0</v>
      </c>
      <c r="D49">
        <v>0</v>
      </c>
      <c r="E49" s="2" t="e">
        <f>VLOOKUP(A49,Fandual!$D$2:$K$1354,8,FALSE)</f>
        <v>#N/A</v>
      </c>
      <c r="F49" s="2" t="e">
        <f>VLOOKUP(E49,Offense!$A$1:$B$30,2,FALSE)</f>
        <v>#N/A</v>
      </c>
      <c r="G49" s="2" t="e">
        <f t="shared" si="0"/>
        <v>#N/A</v>
      </c>
    </row>
    <row r="50" spans="1:7" x14ac:dyDescent="0.25">
      <c r="A50">
        <v>0</v>
      </c>
      <c r="B50">
        <v>0</v>
      </c>
      <c r="C50">
        <v>0</v>
      </c>
      <c r="D50">
        <v>0</v>
      </c>
      <c r="E50" s="2" t="e">
        <f>VLOOKUP(A50,Fandual!$D$2:$K$1354,8,FALSE)</f>
        <v>#N/A</v>
      </c>
      <c r="F50" s="2" t="e">
        <f>VLOOKUP(E50,Offense!$A$1:$B$30,2,FALSE)</f>
        <v>#N/A</v>
      </c>
      <c r="G50" s="2" t="e">
        <f t="shared" si="0"/>
        <v>#N/A</v>
      </c>
    </row>
    <row r="51" spans="1:7" x14ac:dyDescent="0.25">
      <c r="A51">
        <v>0</v>
      </c>
      <c r="B51">
        <v>0</v>
      </c>
      <c r="C51">
        <v>0</v>
      </c>
      <c r="D51">
        <v>0</v>
      </c>
      <c r="E51" s="2" t="e">
        <f>VLOOKUP(A51,Fandual!$D$2:$K$1354,8,FALSE)</f>
        <v>#N/A</v>
      </c>
      <c r="F51" s="2" t="e">
        <f>VLOOKUP(E51,Offense!$A$1:$B$30,2,FALSE)</f>
        <v>#N/A</v>
      </c>
      <c r="G51" s="2" t="e">
        <f t="shared" si="0"/>
        <v>#N/A</v>
      </c>
    </row>
    <row r="52" spans="1:7" x14ac:dyDescent="0.25">
      <c r="A52">
        <v>0</v>
      </c>
      <c r="B52">
        <v>0</v>
      </c>
      <c r="C52">
        <v>0</v>
      </c>
      <c r="D52">
        <v>0</v>
      </c>
      <c r="E52" s="2" t="e">
        <f>VLOOKUP(A52,Fandual!$D$2:$K$1354,8,FALSE)</f>
        <v>#N/A</v>
      </c>
      <c r="F52" s="2" t="e">
        <f>VLOOKUP(E52,Offense!$A$1:$B$30,2,FALSE)</f>
        <v>#N/A</v>
      </c>
      <c r="G52" s="2" t="e">
        <f t="shared" si="0"/>
        <v>#N/A</v>
      </c>
    </row>
    <row r="53" spans="1:7" x14ac:dyDescent="0.25">
      <c r="A53">
        <v>0</v>
      </c>
      <c r="B53">
        <v>0</v>
      </c>
      <c r="C53">
        <v>0</v>
      </c>
      <c r="D53">
        <v>0</v>
      </c>
      <c r="E53" s="2" t="e">
        <f>VLOOKUP(A53,Fandual!$D$2:$K$1354,8,FALSE)</f>
        <v>#N/A</v>
      </c>
      <c r="F53" s="2" t="e">
        <f>VLOOKUP(E53,Offense!$A$1:$B$30,2,FALSE)</f>
        <v>#N/A</v>
      </c>
      <c r="G53" s="2" t="e">
        <f t="shared" si="0"/>
        <v>#N/A</v>
      </c>
    </row>
    <row r="54" spans="1:7" x14ac:dyDescent="0.25">
      <c r="A54">
        <v>0</v>
      </c>
      <c r="B54">
        <v>0</v>
      </c>
      <c r="C54">
        <v>0</v>
      </c>
      <c r="D54">
        <v>0</v>
      </c>
      <c r="E54" s="2" t="e">
        <f>VLOOKUP(A54,Fandual!$D$2:$K$1354,8,FALSE)</f>
        <v>#N/A</v>
      </c>
      <c r="F54" s="2" t="e">
        <f>VLOOKUP(E54,Offense!$A$1:$B$30,2,FALSE)</f>
        <v>#N/A</v>
      </c>
      <c r="G54" s="2" t="e">
        <f t="shared" si="0"/>
        <v>#N/A</v>
      </c>
    </row>
    <row r="55" spans="1:7" x14ac:dyDescent="0.25">
      <c r="A55">
        <v>0</v>
      </c>
      <c r="B55">
        <v>0</v>
      </c>
      <c r="C55">
        <v>0</v>
      </c>
      <c r="D55">
        <v>0</v>
      </c>
      <c r="E55" s="2" t="e">
        <f>VLOOKUP(A55,Fandual!$D$2:$K$1354,8,FALSE)</f>
        <v>#N/A</v>
      </c>
      <c r="F55" s="2" t="e">
        <f>VLOOKUP(E55,Offense!$A$1:$B$30,2,FALSE)</f>
        <v>#N/A</v>
      </c>
      <c r="G55" s="2" t="e">
        <f t="shared" si="0"/>
        <v>#N/A</v>
      </c>
    </row>
    <row r="56" spans="1:7" x14ac:dyDescent="0.25">
      <c r="A56">
        <v>0</v>
      </c>
      <c r="B56">
        <v>0</v>
      </c>
      <c r="C56">
        <v>0</v>
      </c>
      <c r="D56">
        <v>0</v>
      </c>
      <c r="E56" s="2" t="e">
        <f>VLOOKUP(A56,Fandual!$D$2:$K$1354,8,FALSE)</f>
        <v>#N/A</v>
      </c>
      <c r="F56" s="2" t="e">
        <f>VLOOKUP(E56,Offense!$A$1:$B$30,2,FALSE)</f>
        <v>#N/A</v>
      </c>
      <c r="G56" s="2" t="e">
        <f t="shared" si="0"/>
        <v>#N/A</v>
      </c>
    </row>
    <row r="57" spans="1:7" x14ac:dyDescent="0.25">
      <c r="A57">
        <v>0</v>
      </c>
      <c r="B57">
        <v>0</v>
      </c>
      <c r="C57">
        <v>0</v>
      </c>
      <c r="D57">
        <v>0</v>
      </c>
      <c r="E57" s="2" t="e">
        <f>VLOOKUP(A57,Fandual!$D$2:$K$1354,8,FALSE)</f>
        <v>#N/A</v>
      </c>
      <c r="F57" s="2" t="e">
        <f>VLOOKUP(E57,Offense!$A$1:$B$30,2,FALSE)</f>
        <v>#N/A</v>
      </c>
      <c r="G57" s="2" t="e">
        <f t="shared" si="0"/>
        <v>#N/A</v>
      </c>
    </row>
    <row r="58" spans="1:7" x14ac:dyDescent="0.25">
      <c r="A58">
        <v>0</v>
      </c>
      <c r="B58">
        <v>0</v>
      </c>
      <c r="C58">
        <v>0</v>
      </c>
      <c r="D58">
        <v>0</v>
      </c>
      <c r="E58" s="2" t="e">
        <f>VLOOKUP(A58,Fandual!$D$2:$K$1354,8,FALSE)</f>
        <v>#N/A</v>
      </c>
      <c r="F58" s="2" t="e">
        <f>VLOOKUP(E58,Offense!$A$1:$B$30,2,FALSE)</f>
        <v>#N/A</v>
      </c>
      <c r="G58" s="2" t="e">
        <f t="shared" si="0"/>
        <v>#N/A</v>
      </c>
    </row>
    <row r="59" spans="1:7" x14ac:dyDescent="0.25">
      <c r="A59">
        <v>0</v>
      </c>
      <c r="B59">
        <v>0</v>
      </c>
      <c r="C59">
        <v>0</v>
      </c>
      <c r="D59">
        <v>0</v>
      </c>
      <c r="E59" s="2" t="e">
        <f>VLOOKUP(A59,Fandual!$D$2:$K$1354,8,FALSE)</f>
        <v>#N/A</v>
      </c>
      <c r="F59" s="2" t="e">
        <f>VLOOKUP(E59,Offense!$A$1:$B$30,2,FALSE)</f>
        <v>#N/A</v>
      </c>
      <c r="G59" s="2" t="e">
        <f t="shared" si="0"/>
        <v>#N/A</v>
      </c>
    </row>
    <row r="60" spans="1:7" x14ac:dyDescent="0.25">
      <c r="A60">
        <v>0</v>
      </c>
      <c r="B60">
        <v>0</v>
      </c>
      <c r="C60">
        <v>0</v>
      </c>
      <c r="D60">
        <v>0</v>
      </c>
      <c r="E60" s="2" t="e">
        <f>VLOOKUP(A60,Fandual!$D$2:$K$1354,8,FALSE)</f>
        <v>#N/A</v>
      </c>
      <c r="F60" s="2" t="e">
        <f>VLOOKUP(E60,Offense!$A$1:$B$30,2,FALSE)</f>
        <v>#N/A</v>
      </c>
      <c r="G60" s="2" t="e">
        <f t="shared" si="0"/>
        <v>#N/A</v>
      </c>
    </row>
    <row r="61" spans="1:7" x14ac:dyDescent="0.25">
      <c r="A61">
        <v>0</v>
      </c>
      <c r="B61">
        <v>0</v>
      </c>
      <c r="C61">
        <v>0</v>
      </c>
      <c r="D61">
        <v>0</v>
      </c>
      <c r="E61" s="2" t="e">
        <f>VLOOKUP(A61,Fandual!$D$2:$K$1354,8,FALSE)</f>
        <v>#N/A</v>
      </c>
      <c r="F61" s="2" t="e">
        <f>VLOOKUP(E61,Offense!$A$1:$B$30,2,FALSE)</f>
        <v>#N/A</v>
      </c>
      <c r="G61" s="2" t="e">
        <f t="shared" si="0"/>
        <v>#N/A</v>
      </c>
    </row>
    <row r="62" spans="1:7" x14ac:dyDescent="0.25">
      <c r="A62">
        <v>0</v>
      </c>
      <c r="B62">
        <v>0</v>
      </c>
      <c r="C62">
        <v>0</v>
      </c>
      <c r="D62">
        <v>0</v>
      </c>
      <c r="E62" s="2" t="e">
        <f>VLOOKUP(A62,Fandual!$D$2:$K$1354,8,FALSE)</f>
        <v>#N/A</v>
      </c>
      <c r="F62" s="2" t="e">
        <f>VLOOKUP(E62,Offense!$A$1:$B$30,2,FALSE)</f>
        <v>#N/A</v>
      </c>
      <c r="G62" s="2" t="e">
        <f t="shared" si="0"/>
        <v>#N/A</v>
      </c>
    </row>
    <row r="63" spans="1:7" x14ac:dyDescent="0.25">
      <c r="A63">
        <v>0</v>
      </c>
      <c r="B63">
        <v>0</v>
      </c>
      <c r="C63">
        <v>0</v>
      </c>
      <c r="D63">
        <v>0</v>
      </c>
      <c r="E63" s="2" t="e">
        <f>VLOOKUP(A63,Fandual!$D$2:$K$1354,8,FALSE)</f>
        <v>#N/A</v>
      </c>
      <c r="F63" s="2" t="e">
        <f>VLOOKUP(E63,Offense!$A$1:$B$30,2,FALSE)</f>
        <v>#N/A</v>
      </c>
      <c r="G63" s="2" t="e">
        <f t="shared" si="0"/>
        <v>#N/A</v>
      </c>
    </row>
    <row r="64" spans="1:7" x14ac:dyDescent="0.25">
      <c r="A64">
        <v>0</v>
      </c>
      <c r="B64">
        <v>0</v>
      </c>
      <c r="C64">
        <v>0</v>
      </c>
      <c r="D64">
        <v>0</v>
      </c>
      <c r="E64" s="2" t="e">
        <f>VLOOKUP(A64,Fandual!$D$2:$K$1354,8,FALSE)</f>
        <v>#N/A</v>
      </c>
      <c r="F64" s="2" t="e">
        <f>VLOOKUP(E64,Offense!$A$1:$B$30,2,FALSE)</f>
        <v>#N/A</v>
      </c>
      <c r="G64" s="2" t="e">
        <f t="shared" si="0"/>
        <v>#N/A</v>
      </c>
    </row>
    <row r="65" spans="1:7" x14ac:dyDescent="0.25">
      <c r="A65">
        <v>0</v>
      </c>
      <c r="B65">
        <v>0</v>
      </c>
      <c r="C65">
        <v>0</v>
      </c>
      <c r="D65">
        <v>0</v>
      </c>
      <c r="E65" s="2" t="e">
        <f>VLOOKUP(A65,Fandual!$D$2:$K$1354,8,FALSE)</f>
        <v>#N/A</v>
      </c>
      <c r="F65" s="2" t="e">
        <f>VLOOKUP(E65,Offense!$A$1:$B$30,2,FALSE)</f>
        <v>#N/A</v>
      </c>
      <c r="G65" s="2" t="e">
        <f t="shared" si="0"/>
        <v>#N/A</v>
      </c>
    </row>
    <row r="66" spans="1:7" x14ac:dyDescent="0.25">
      <c r="A66">
        <v>0</v>
      </c>
      <c r="B66">
        <v>0</v>
      </c>
      <c r="C66">
        <v>0</v>
      </c>
      <c r="D66">
        <v>0</v>
      </c>
      <c r="E66" s="2" t="e">
        <f>VLOOKUP(A66,Fandual!$D$2:$K$1354,8,FALSE)</f>
        <v>#N/A</v>
      </c>
      <c r="F66" s="2" t="e">
        <f>VLOOKUP(E66,Offense!$A$1:$B$30,2,FALSE)</f>
        <v>#N/A</v>
      </c>
      <c r="G66" s="2" t="e">
        <f t="shared" si="0"/>
        <v>#N/A</v>
      </c>
    </row>
    <row r="67" spans="1:7" x14ac:dyDescent="0.25">
      <c r="A67">
        <v>0</v>
      </c>
      <c r="B67">
        <v>0</v>
      </c>
      <c r="C67">
        <v>0</v>
      </c>
      <c r="D67">
        <v>0</v>
      </c>
      <c r="E67" s="2" t="e">
        <f>VLOOKUP(A67,Fandual!$D$2:$K$1354,8,FALSE)</f>
        <v>#N/A</v>
      </c>
      <c r="F67" s="2" t="e">
        <f>VLOOKUP(E67,Offense!$A$1:$B$30,2,FALSE)</f>
        <v>#N/A</v>
      </c>
      <c r="G67" s="2" t="e">
        <f t="shared" ref="G67:G130" si="1">E67</f>
        <v>#N/A</v>
      </c>
    </row>
    <row r="68" spans="1:7" x14ac:dyDescent="0.25">
      <c r="A68">
        <v>0</v>
      </c>
      <c r="B68">
        <v>0</v>
      </c>
      <c r="C68">
        <v>0</v>
      </c>
      <c r="D68">
        <v>0</v>
      </c>
      <c r="E68" s="2" t="e">
        <f>VLOOKUP(A68,Fandual!$D$2:$K$1354,8,FALSE)</f>
        <v>#N/A</v>
      </c>
      <c r="F68" s="2" t="e">
        <f>VLOOKUP(E68,Offense!$A$1:$B$30,2,FALSE)</f>
        <v>#N/A</v>
      </c>
      <c r="G68" s="2" t="e">
        <f t="shared" si="1"/>
        <v>#N/A</v>
      </c>
    </row>
    <row r="69" spans="1:7" x14ac:dyDescent="0.25">
      <c r="A69">
        <v>0</v>
      </c>
      <c r="B69">
        <v>0</v>
      </c>
      <c r="C69">
        <v>0</v>
      </c>
      <c r="D69">
        <v>0</v>
      </c>
      <c r="E69" s="2" t="e">
        <f>VLOOKUP(A69,Fandual!$D$2:$K$1354,8,FALSE)</f>
        <v>#N/A</v>
      </c>
      <c r="F69" s="2" t="e">
        <f>VLOOKUP(E69,Offense!$A$1:$B$30,2,FALSE)</f>
        <v>#N/A</v>
      </c>
      <c r="G69" s="2" t="e">
        <f t="shared" si="1"/>
        <v>#N/A</v>
      </c>
    </row>
    <row r="70" spans="1:7" x14ac:dyDescent="0.25">
      <c r="A70">
        <v>0</v>
      </c>
      <c r="B70">
        <v>0</v>
      </c>
      <c r="C70">
        <v>0</v>
      </c>
      <c r="D70">
        <v>0</v>
      </c>
      <c r="E70" s="2" t="e">
        <f>VLOOKUP(A70,Fandual!$D$2:$K$1354,8,FALSE)</f>
        <v>#N/A</v>
      </c>
      <c r="F70" s="2" t="e">
        <f>VLOOKUP(E70,Offense!$A$1:$B$30,2,FALSE)</f>
        <v>#N/A</v>
      </c>
      <c r="G70" s="2" t="e">
        <f t="shared" si="1"/>
        <v>#N/A</v>
      </c>
    </row>
    <row r="71" spans="1:7" x14ac:dyDescent="0.25">
      <c r="A71">
        <v>0</v>
      </c>
      <c r="B71">
        <v>0</v>
      </c>
      <c r="C71">
        <v>0</v>
      </c>
      <c r="D71">
        <v>0</v>
      </c>
      <c r="E71" s="2" t="e">
        <f>VLOOKUP(A71,Fandual!$D$2:$K$1354,8,FALSE)</f>
        <v>#N/A</v>
      </c>
      <c r="F71" s="2" t="e">
        <f>VLOOKUP(E71,Offense!$A$1:$B$30,2,FALSE)</f>
        <v>#N/A</v>
      </c>
      <c r="G71" s="2" t="e">
        <f t="shared" si="1"/>
        <v>#N/A</v>
      </c>
    </row>
    <row r="72" spans="1:7" x14ac:dyDescent="0.25">
      <c r="A72">
        <v>0</v>
      </c>
      <c r="B72">
        <v>0</v>
      </c>
      <c r="C72">
        <v>0</v>
      </c>
      <c r="D72">
        <v>0</v>
      </c>
      <c r="E72" s="2" t="e">
        <f>VLOOKUP(A72,Fandual!$D$2:$K$1354,8,FALSE)</f>
        <v>#N/A</v>
      </c>
      <c r="F72" s="2" t="e">
        <f>VLOOKUP(E72,Offense!$A$1:$B$30,2,FALSE)</f>
        <v>#N/A</v>
      </c>
      <c r="G72" s="2" t="e">
        <f t="shared" si="1"/>
        <v>#N/A</v>
      </c>
    </row>
    <row r="73" spans="1:7" x14ac:dyDescent="0.25">
      <c r="A73">
        <v>0</v>
      </c>
      <c r="B73">
        <v>0</v>
      </c>
      <c r="C73">
        <v>0</v>
      </c>
      <c r="D73">
        <v>0</v>
      </c>
      <c r="E73" s="2" t="e">
        <f>VLOOKUP(A73,Fandual!$D$2:$K$1354,8,FALSE)</f>
        <v>#N/A</v>
      </c>
      <c r="F73" s="2" t="e">
        <f>VLOOKUP(E73,Offense!$A$1:$B$30,2,FALSE)</f>
        <v>#N/A</v>
      </c>
      <c r="G73" s="2" t="e">
        <f t="shared" si="1"/>
        <v>#N/A</v>
      </c>
    </row>
    <row r="74" spans="1:7" x14ac:dyDescent="0.25">
      <c r="A74">
        <v>0</v>
      </c>
      <c r="B74">
        <v>0</v>
      </c>
      <c r="C74">
        <v>0</v>
      </c>
      <c r="D74">
        <v>0</v>
      </c>
      <c r="E74" s="2" t="e">
        <f>VLOOKUP(A74,Fandual!$D$2:$K$1354,8,FALSE)</f>
        <v>#N/A</v>
      </c>
      <c r="F74" s="2" t="e">
        <f>VLOOKUP(E74,Offense!$A$1:$B$30,2,FALSE)</f>
        <v>#N/A</v>
      </c>
      <c r="G74" s="2" t="e">
        <f t="shared" si="1"/>
        <v>#N/A</v>
      </c>
    </row>
    <row r="75" spans="1:7" x14ac:dyDescent="0.25">
      <c r="A75">
        <v>0</v>
      </c>
      <c r="B75">
        <v>0</v>
      </c>
      <c r="C75">
        <v>0</v>
      </c>
      <c r="D75">
        <v>0</v>
      </c>
      <c r="E75" s="2" t="e">
        <f>VLOOKUP(A75,Fandual!$D$2:$K$1354,8,FALSE)</f>
        <v>#N/A</v>
      </c>
      <c r="F75" s="2" t="e">
        <f>VLOOKUP(E75,Offense!$A$1:$B$30,2,FALSE)</f>
        <v>#N/A</v>
      </c>
      <c r="G75" s="2" t="e">
        <f t="shared" si="1"/>
        <v>#N/A</v>
      </c>
    </row>
    <row r="76" spans="1:7" x14ac:dyDescent="0.25">
      <c r="A76">
        <v>0</v>
      </c>
      <c r="B76">
        <v>0</v>
      </c>
      <c r="C76">
        <v>0</v>
      </c>
      <c r="D76">
        <v>0</v>
      </c>
      <c r="E76" s="2" t="e">
        <f>VLOOKUP(A76,Fandual!$D$2:$K$1354,8,FALSE)</f>
        <v>#N/A</v>
      </c>
      <c r="F76" s="2" t="e">
        <f>VLOOKUP(E76,Offense!$A$1:$B$30,2,FALSE)</f>
        <v>#N/A</v>
      </c>
      <c r="G76" s="2" t="e">
        <f t="shared" si="1"/>
        <v>#N/A</v>
      </c>
    </row>
    <row r="77" spans="1:7" x14ac:dyDescent="0.25">
      <c r="A77">
        <v>0</v>
      </c>
      <c r="B77">
        <v>0</v>
      </c>
      <c r="C77">
        <v>0</v>
      </c>
      <c r="D77">
        <v>0</v>
      </c>
      <c r="E77" s="2" t="e">
        <f>VLOOKUP(A77,Fandual!$D$2:$K$1354,8,FALSE)</f>
        <v>#N/A</v>
      </c>
      <c r="F77" s="2" t="e">
        <f>VLOOKUP(E77,Offense!$A$1:$B$30,2,FALSE)</f>
        <v>#N/A</v>
      </c>
      <c r="G77" s="2" t="e">
        <f t="shared" si="1"/>
        <v>#N/A</v>
      </c>
    </row>
    <row r="78" spans="1:7" x14ac:dyDescent="0.25">
      <c r="A78">
        <v>0</v>
      </c>
      <c r="B78">
        <v>0</v>
      </c>
      <c r="C78">
        <v>0</v>
      </c>
      <c r="D78">
        <v>0</v>
      </c>
      <c r="E78" s="2" t="e">
        <f>VLOOKUP(A78,Fandual!$D$2:$K$1354,8,FALSE)</f>
        <v>#N/A</v>
      </c>
      <c r="F78" s="2" t="e">
        <f>VLOOKUP(E78,Offense!$A$1:$B$30,2,FALSE)</f>
        <v>#N/A</v>
      </c>
      <c r="G78" s="2" t="e">
        <f t="shared" si="1"/>
        <v>#N/A</v>
      </c>
    </row>
    <row r="79" spans="1:7" x14ac:dyDescent="0.25">
      <c r="A79">
        <v>0</v>
      </c>
      <c r="B79">
        <v>0</v>
      </c>
      <c r="C79">
        <v>0</v>
      </c>
      <c r="D79">
        <v>0</v>
      </c>
      <c r="E79" s="2" t="e">
        <f>VLOOKUP(A79,Fandual!$D$2:$K$1354,8,FALSE)</f>
        <v>#N/A</v>
      </c>
      <c r="F79" s="2" t="e">
        <f>VLOOKUP(E79,Offense!$A$1:$B$30,2,FALSE)</f>
        <v>#N/A</v>
      </c>
      <c r="G79" s="2" t="e">
        <f t="shared" si="1"/>
        <v>#N/A</v>
      </c>
    </row>
    <row r="80" spans="1:7" x14ac:dyDescent="0.25">
      <c r="A80">
        <v>0</v>
      </c>
      <c r="B80">
        <v>0</v>
      </c>
      <c r="C80">
        <v>0</v>
      </c>
      <c r="D80">
        <v>0</v>
      </c>
      <c r="E80" s="2" t="e">
        <f>VLOOKUP(A80,Fandual!$D$2:$K$1354,8,FALSE)</f>
        <v>#N/A</v>
      </c>
      <c r="F80" s="2" t="e">
        <f>VLOOKUP(E80,Offense!$A$1:$B$30,2,FALSE)</f>
        <v>#N/A</v>
      </c>
      <c r="G80" s="2" t="e">
        <f t="shared" si="1"/>
        <v>#N/A</v>
      </c>
    </row>
    <row r="81" spans="1:7" x14ac:dyDescent="0.25">
      <c r="A81">
        <v>0</v>
      </c>
      <c r="B81">
        <v>0</v>
      </c>
      <c r="C81">
        <v>0</v>
      </c>
      <c r="D81">
        <v>0</v>
      </c>
      <c r="E81" s="2" t="e">
        <f>VLOOKUP(A81,Fandual!$D$2:$K$1354,8,FALSE)</f>
        <v>#N/A</v>
      </c>
      <c r="F81" s="2" t="e">
        <f>VLOOKUP(E81,Offense!$A$1:$B$30,2,FALSE)</f>
        <v>#N/A</v>
      </c>
      <c r="G81" s="2" t="e">
        <f t="shared" si="1"/>
        <v>#N/A</v>
      </c>
    </row>
    <row r="82" spans="1:7" x14ac:dyDescent="0.25">
      <c r="A82">
        <v>0</v>
      </c>
      <c r="B82">
        <v>0</v>
      </c>
      <c r="C82">
        <v>0</v>
      </c>
      <c r="D82">
        <v>0</v>
      </c>
      <c r="E82" s="2" t="e">
        <f>VLOOKUP(A82,Fandual!$D$2:$K$1354,8,FALSE)</f>
        <v>#N/A</v>
      </c>
      <c r="F82" s="2" t="e">
        <f>VLOOKUP(E82,Offense!$A$1:$B$30,2,FALSE)</f>
        <v>#N/A</v>
      </c>
      <c r="G82" s="2" t="e">
        <f t="shared" si="1"/>
        <v>#N/A</v>
      </c>
    </row>
    <row r="83" spans="1:7" x14ac:dyDescent="0.25">
      <c r="A83">
        <v>0</v>
      </c>
      <c r="B83">
        <v>0</v>
      </c>
      <c r="C83">
        <v>0</v>
      </c>
      <c r="D83">
        <v>0</v>
      </c>
      <c r="E83" s="2" t="e">
        <f>VLOOKUP(A83,Fandual!$D$2:$K$1354,8,FALSE)</f>
        <v>#N/A</v>
      </c>
      <c r="F83" s="2" t="e">
        <f>VLOOKUP(E83,Offense!$A$1:$B$30,2,FALSE)</f>
        <v>#N/A</v>
      </c>
      <c r="G83" s="2" t="e">
        <f t="shared" si="1"/>
        <v>#N/A</v>
      </c>
    </row>
    <row r="84" spans="1:7" x14ac:dyDescent="0.25">
      <c r="A84">
        <v>0</v>
      </c>
      <c r="B84">
        <v>0</v>
      </c>
      <c r="C84">
        <v>0</v>
      </c>
      <c r="D84">
        <v>0</v>
      </c>
      <c r="E84" s="2" t="e">
        <f>VLOOKUP(A84,Fandual!$D$2:$K$1354,8,FALSE)</f>
        <v>#N/A</v>
      </c>
      <c r="F84" s="2" t="e">
        <f>VLOOKUP(E84,Offense!$A$1:$B$30,2,FALSE)</f>
        <v>#N/A</v>
      </c>
      <c r="G84" s="2" t="e">
        <f t="shared" si="1"/>
        <v>#N/A</v>
      </c>
    </row>
    <row r="85" spans="1:7" x14ac:dyDescent="0.25">
      <c r="A85">
        <v>0</v>
      </c>
      <c r="B85">
        <v>0</v>
      </c>
      <c r="C85">
        <v>0</v>
      </c>
      <c r="D85">
        <v>0</v>
      </c>
      <c r="E85" s="2" t="e">
        <f>VLOOKUP(A85,Fandual!$D$2:$K$1354,8,FALSE)</f>
        <v>#N/A</v>
      </c>
      <c r="F85" s="2" t="e">
        <f>VLOOKUP(E85,Offense!$A$1:$B$30,2,FALSE)</f>
        <v>#N/A</v>
      </c>
      <c r="G85" s="2" t="e">
        <f t="shared" si="1"/>
        <v>#N/A</v>
      </c>
    </row>
    <row r="86" spans="1:7" x14ac:dyDescent="0.25">
      <c r="A86">
        <v>0</v>
      </c>
      <c r="B86">
        <v>0</v>
      </c>
      <c r="C86">
        <v>0</v>
      </c>
      <c r="D86">
        <v>0</v>
      </c>
      <c r="E86" s="2" t="e">
        <f>VLOOKUP(A86,Fandual!$D$2:$K$1354,8,FALSE)</f>
        <v>#N/A</v>
      </c>
      <c r="F86" s="2" t="e">
        <f>VLOOKUP(E86,Offense!$A$1:$B$30,2,FALSE)</f>
        <v>#N/A</v>
      </c>
      <c r="G86" s="2" t="e">
        <f t="shared" si="1"/>
        <v>#N/A</v>
      </c>
    </row>
    <row r="87" spans="1:7" x14ac:dyDescent="0.25">
      <c r="A87">
        <v>0</v>
      </c>
      <c r="B87">
        <v>0</v>
      </c>
      <c r="C87">
        <v>0</v>
      </c>
      <c r="D87">
        <v>0</v>
      </c>
      <c r="E87" s="2" t="e">
        <f>VLOOKUP(A87,Fandual!$D$2:$K$1354,8,FALSE)</f>
        <v>#N/A</v>
      </c>
      <c r="F87" s="2" t="e">
        <f>VLOOKUP(E87,Offense!$A$1:$B$30,2,FALSE)</f>
        <v>#N/A</v>
      </c>
      <c r="G87" s="2" t="e">
        <f t="shared" si="1"/>
        <v>#N/A</v>
      </c>
    </row>
    <row r="88" spans="1:7" x14ac:dyDescent="0.25">
      <c r="A88">
        <v>0</v>
      </c>
      <c r="B88">
        <v>0</v>
      </c>
      <c r="C88">
        <v>0</v>
      </c>
      <c r="D88">
        <v>0</v>
      </c>
      <c r="E88" s="2" t="e">
        <f>VLOOKUP(A88,Fandual!$D$2:$K$1354,8,FALSE)</f>
        <v>#N/A</v>
      </c>
      <c r="F88" s="2" t="e">
        <f>VLOOKUP(E88,Offense!$A$1:$B$30,2,FALSE)</f>
        <v>#N/A</v>
      </c>
      <c r="G88" s="2" t="e">
        <f t="shared" si="1"/>
        <v>#N/A</v>
      </c>
    </row>
    <row r="89" spans="1:7" x14ac:dyDescent="0.25">
      <c r="A89">
        <v>0</v>
      </c>
      <c r="B89">
        <v>0</v>
      </c>
      <c r="C89">
        <v>0</v>
      </c>
      <c r="D89">
        <v>0</v>
      </c>
      <c r="E89" s="2" t="e">
        <f>VLOOKUP(A89,Fandual!$D$2:$K$1354,8,FALSE)</f>
        <v>#N/A</v>
      </c>
      <c r="F89" s="2" t="e">
        <f>VLOOKUP(E89,Offense!$A$1:$B$30,2,FALSE)</f>
        <v>#N/A</v>
      </c>
      <c r="G89" s="2" t="e">
        <f t="shared" si="1"/>
        <v>#N/A</v>
      </c>
    </row>
    <row r="90" spans="1:7" x14ac:dyDescent="0.25">
      <c r="A90">
        <v>0</v>
      </c>
      <c r="B90">
        <v>0</v>
      </c>
      <c r="C90">
        <v>0</v>
      </c>
      <c r="D90">
        <v>0</v>
      </c>
      <c r="E90" s="2" t="e">
        <f>VLOOKUP(A90,Fandual!$D$2:$K$1354,8,FALSE)</f>
        <v>#N/A</v>
      </c>
      <c r="F90" s="2" t="e">
        <f>VLOOKUP(E90,Offense!$A$1:$B$30,2,FALSE)</f>
        <v>#N/A</v>
      </c>
      <c r="G90" s="2" t="e">
        <f t="shared" si="1"/>
        <v>#N/A</v>
      </c>
    </row>
    <row r="91" spans="1:7" x14ac:dyDescent="0.25">
      <c r="A91">
        <v>0</v>
      </c>
      <c r="B91">
        <v>0</v>
      </c>
      <c r="C91">
        <v>0</v>
      </c>
      <c r="D91">
        <v>0</v>
      </c>
      <c r="E91" s="2" t="e">
        <f>VLOOKUP(A91,Fandual!$D$2:$K$1354,8,FALSE)</f>
        <v>#N/A</v>
      </c>
      <c r="F91" s="2" t="e">
        <f>VLOOKUP(E91,Offense!$A$1:$B$30,2,FALSE)</f>
        <v>#N/A</v>
      </c>
      <c r="G91" s="2" t="e">
        <f t="shared" si="1"/>
        <v>#N/A</v>
      </c>
    </row>
    <row r="92" spans="1:7" x14ac:dyDescent="0.25">
      <c r="A92">
        <v>0</v>
      </c>
      <c r="B92">
        <v>0</v>
      </c>
      <c r="C92">
        <v>0</v>
      </c>
      <c r="D92">
        <v>0</v>
      </c>
      <c r="E92" s="2" t="e">
        <f>VLOOKUP(A92,Fandual!$D$2:$K$1354,8,FALSE)</f>
        <v>#N/A</v>
      </c>
      <c r="F92" s="2" t="e">
        <f>VLOOKUP(E92,Offense!$A$1:$B$30,2,FALSE)</f>
        <v>#N/A</v>
      </c>
      <c r="G92" s="2" t="e">
        <f t="shared" si="1"/>
        <v>#N/A</v>
      </c>
    </row>
    <row r="93" spans="1:7" x14ac:dyDescent="0.25">
      <c r="A93">
        <v>0</v>
      </c>
      <c r="B93">
        <v>0</v>
      </c>
      <c r="C93">
        <v>0</v>
      </c>
      <c r="D93">
        <v>0</v>
      </c>
      <c r="E93" s="2" t="e">
        <f>VLOOKUP(A93,Fandual!$D$2:$K$1354,8,FALSE)</f>
        <v>#N/A</v>
      </c>
      <c r="F93" s="2" t="e">
        <f>VLOOKUP(E93,Offense!$A$1:$B$30,2,FALSE)</f>
        <v>#N/A</v>
      </c>
      <c r="G93" s="2" t="e">
        <f t="shared" si="1"/>
        <v>#N/A</v>
      </c>
    </row>
    <row r="94" spans="1:7" x14ac:dyDescent="0.25">
      <c r="A94">
        <v>0</v>
      </c>
      <c r="B94">
        <v>0</v>
      </c>
      <c r="C94">
        <v>0</v>
      </c>
      <c r="D94">
        <v>0</v>
      </c>
      <c r="E94" s="2" t="e">
        <f>VLOOKUP(A94,Fandual!$D$2:$K$1354,8,FALSE)</f>
        <v>#N/A</v>
      </c>
      <c r="F94" s="2" t="e">
        <f>VLOOKUP(E94,Offense!$A$1:$B$30,2,FALSE)</f>
        <v>#N/A</v>
      </c>
      <c r="G94" s="2" t="e">
        <f t="shared" si="1"/>
        <v>#N/A</v>
      </c>
    </row>
    <row r="95" spans="1:7" x14ac:dyDescent="0.25">
      <c r="A95">
        <v>0</v>
      </c>
      <c r="B95">
        <v>0</v>
      </c>
      <c r="C95">
        <v>0</v>
      </c>
      <c r="D95">
        <v>0</v>
      </c>
      <c r="E95" s="2" t="e">
        <f>VLOOKUP(A95,Fandual!$D$2:$K$1354,8,FALSE)</f>
        <v>#N/A</v>
      </c>
      <c r="F95" s="2" t="e">
        <f>VLOOKUP(E95,Offense!$A$1:$B$30,2,FALSE)</f>
        <v>#N/A</v>
      </c>
      <c r="G95" s="2" t="e">
        <f t="shared" si="1"/>
        <v>#N/A</v>
      </c>
    </row>
    <row r="96" spans="1:7" x14ac:dyDescent="0.25">
      <c r="A96">
        <v>0</v>
      </c>
      <c r="B96">
        <v>0</v>
      </c>
      <c r="C96">
        <v>0</v>
      </c>
      <c r="D96">
        <v>0</v>
      </c>
      <c r="E96" s="2" t="e">
        <f>VLOOKUP(A96,Fandual!$D$2:$K$1354,8,FALSE)</f>
        <v>#N/A</v>
      </c>
      <c r="F96" s="2" t="e">
        <f>VLOOKUP(E96,Offense!$A$1:$B$30,2,FALSE)</f>
        <v>#N/A</v>
      </c>
      <c r="G96" s="2" t="e">
        <f t="shared" si="1"/>
        <v>#N/A</v>
      </c>
    </row>
    <row r="97" spans="1:7" x14ac:dyDescent="0.25">
      <c r="A97">
        <v>0</v>
      </c>
      <c r="B97">
        <v>0</v>
      </c>
      <c r="C97">
        <v>0</v>
      </c>
      <c r="D97">
        <v>0</v>
      </c>
      <c r="E97" s="2" t="e">
        <f>VLOOKUP(A97,Fandual!$D$2:$K$1354,8,FALSE)</f>
        <v>#N/A</v>
      </c>
      <c r="F97" s="2" t="e">
        <f>VLOOKUP(E97,Offense!$A$1:$B$30,2,FALSE)</f>
        <v>#N/A</v>
      </c>
      <c r="G97" s="2" t="e">
        <f t="shared" si="1"/>
        <v>#N/A</v>
      </c>
    </row>
    <row r="98" spans="1:7" x14ac:dyDescent="0.25">
      <c r="A98">
        <v>0</v>
      </c>
      <c r="B98">
        <v>0</v>
      </c>
      <c r="C98">
        <v>0</v>
      </c>
      <c r="D98">
        <v>0</v>
      </c>
      <c r="E98" s="2" t="e">
        <f>VLOOKUP(A98,Fandual!$D$2:$K$1354,8,FALSE)</f>
        <v>#N/A</v>
      </c>
      <c r="F98" s="2" t="e">
        <f>VLOOKUP(E98,Offense!$A$1:$B$30,2,FALSE)</f>
        <v>#N/A</v>
      </c>
      <c r="G98" s="2" t="e">
        <f t="shared" si="1"/>
        <v>#N/A</v>
      </c>
    </row>
    <row r="99" spans="1:7" x14ac:dyDescent="0.25">
      <c r="A99">
        <v>0</v>
      </c>
      <c r="B99">
        <v>0</v>
      </c>
      <c r="C99">
        <v>0</v>
      </c>
      <c r="D99">
        <v>0</v>
      </c>
      <c r="E99" s="2" t="e">
        <f>VLOOKUP(A99,Fandual!$D$2:$K$1354,8,FALSE)</f>
        <v>#N/A</v>
      </c>
      <c r="F99" s="2" t="e">
        <f>VLOOKUP(E99,Offense!$A$1:$B$30,2,FALSE)</f>
        <v>#N/A</v>
      </c>
      <c r="G99" s="2" t="e">
        <f t="shared" si="1"/>
        <v>#N/A</v>
      </c>
    </row>
    <row r="100" spans="1:7" x14ac:dyDescent="0.25">
      <c r="A100">
        <v>0</v>
      </c>
      <c r="B100">
        <v>0</v>
      </c>
      <c r="C100">
        <v>0</v>
      </c>
      <c r="D100">
        <v>0</v>
      </c>
      <c r="E100" s="2" t="e">
        <f>VLOOKUP(A100,Fandual!$D$2:$K$1354,8,FALSE)</f>
        <v>#N/A</v>
      </c>
      <c r="F100" s="2" t="e">
        <f>VLOOKUP(E100,Offense!$A$1:$B$30,2,FALSE)</f>
        <v>#N/A</v>
      </c>
      <c r="G100" s="2" t="e">
        <f t="shared" si="1"/>
        <v>#N/A</v>
      </c>
    </row>
    <row r="101" spans="1:7" x14ac:dyDescent="0.25">
      <c r="A101">
        <v>0</v>
      </c>
      <c r="B101">
        <v>0</v>
      </c>
      <c r="C101">
        <v>0</v>
      </c>
      <c r="D101">
        <v>0</v>
      </c>
      <c r="E101" s="2" t="e">
        <f>VLOOKUP(A101,Fandual!$D$2:$K$1354,8,FALSE)</f>
        <v>#N/A</v>
      </c>
      <c r="F101" s="2" t="e">
        <f>VLOOKUP(E101,Offense!$A$1:$B$30,2,FALSE)</f>
        <v>#N/A</v>
      </c>
      <c r="G101" s="2" t="e">
        <f t="shared" si="1"/>
        <v>#N/A</v>
      </c>
    </row>
    <row r="102" spans="1:7" x14ac:dyDescent="0.25">
      <c r="A102">
        <v>0</v>
      </c>
      <c r="B102">
        <v>0</v>
      </c>
      <c r="C102">
        <v>0</v>
      </c>
      <c r="D102">
        <v>0</v>
      </c>
      <c r="E102" s="2" t="e">
        <f>VLOOKUP(A102,Fandual!$D$2:$K$1354,8,FALSE)</f>
        <v>#N/A</v>
      </c>
      <c r="F102" s="2" t="e">
        <f>VLOOKUP(E102,Offense!$A$1:$B$30,2,FALSE)</f>
        <v>#N/A</v>
      </c>
      <c r="G102" s="2" t="e">
        <f t="shared" si="1"/>
        <v>#N/A</v>
      </c>
    </row>
    <row r="103" spans="1:7" x14ac:dyDescent="0.25">
      <c r="A103">
        <v>0</v>
      </c>
      <c r="B103">
        <v>0</v>
      </c>
      <c r="C103">
        <v>0</v>
      </c>
      <c r="D103">
        <v>0</v>
      </c>
      <c r="E103" s="2" t="e">
        <f>VLOOKUP(A103,Fandual!$D$2:$K$1354,8,FALSE)</f>
        <v>#N/A</v>
      </c>
      <c r="F103" s="2" t="e">
        <f>VLOOKUP(E103,Offense!$A$1:$B$30,2,FALSE)</f>
        <v>#N/A</v>
      </c>
      <c r="G103" s="2" t="e">
        <f t="shared" si="1"/>
        <v>#N/A</v>
      </c>
    </row>
    <row r="104" spans="1:7" x14ac:dyDescent="0.25">
      <c r="A104">
        <v>0</v>
      </c>
      <c r="B104">
        <v>0</v>
      </c>
      <c r="C104">
        <v>0</v>
      </c>
      <c r="D104">
        <v>0</v>
      </c>
      <c r="E104" s="2" t="e">
        <f>VLOOKUP(A104,Fandual!$D$2:$K$1354,8,FALSE)</f>
        <v>#N/A</v>
      </c>
      <c r="F104" s="2" t="e">
        <f>VLOOKUP(E104,Offense!$A$1:$B$30,2,FALSE)</f>
        <v>#N/A</v>
      </c>
      <c r="G104" s="2" t="e">
        <f t="shared" si="1"/>
        <v>#N/A</v>
      </c>
    </row>
    <row r="105" spans="1:7" x14ac:dyDescent="0.25">
      <c r="A105">
        <v>0</v>
      </c>
      <c r="B105">
        <v>0</v>
      </c>
      <c r="C105">
        <v>0</v>
      </c>
      <c r="D105">
        <v>0</v>
      </c>
      <c r="E105" s="2" t="e">
        <f>VLOOKUP(A105,Fandual!$D$2:$K$1354,8,FALSE)</f>
        <v>#N/A</v>
      </c>
      <c r="F105" s="2" t="e">
        <f>VLOOKUP(E105,Offense!$A$1:$B$30,2,FALSE)</f>
        <v>#N/A</v>
      </c>
      <c r="G105" s="2" t="e">
        <f t="shared" si="1"/>
        <v>#N/A</v>
      </c>
    </row>
    <row r="106" spans="1:7" x14ac:dyDescent="0.25">
      <c r="A106">
        <v>0</v>
      </c>
      <c r="B106">
        <v>0</v>
      </c>
      <c r="C106">
        <v>0</v>
      </c>
      <c r="D106">
        <v>0</v>
      </c>
      <c r="E106" s="2" t="e">
        <f>VLOOKUP(A106,Fandual!$D$2:$K$1354,8,FALSE)</f>
        <v>#N/A</v>
      </c>
      <c r="F106" s="2" t="e">
        <f>VLOOKUP(E106,Offense!$A$1:$B$30,2,FALSE)</f>
        <v>#N/A</v>
      </c>
      <c r="G106" s="2" t="e">
        <f t="shared" si="1"/>
        <v>#N/A</v>
      </c>
    </row>
    <row r="107" spans="1:7" x14ac:dyDescent="0.25">
      <c r="A107">
        <v>0</v>
      </c>
      <c r="B107">
        <v>0</v>
      </c>
      <c r="C107">
        <v>0</v>
      </c>
      <c r="D107">
        <v>0</v>
      </c>
      <c r="E107" s="2" t="e">
        <f>VLOOKUP(A107,Fandual!$D$2:$K$1354,8,FALSE)</f>
        <v>#N/A</v>
      </c>
      <c r="F107" s="2" t="e">
        <f>VLOOKUP(E107,Offense!$A$1:$B$30,2,FALSE)</f>
        <v>#N/A</v>
      </c>
      <c r="G107" s="2" t="e">
        <f t="shared" si="1"/>
        <v>#N/A</v>
      </c>
    </row>
    <row r="108" spans="1:7" x14ac:dyDescent="0.25">
      <c r="A108">
        <v>0</v>
      </c>
      <c r="B108">
        <v>0</v>
      </c>
      <c r="C108">
        <v>0</v>
      </c>
      <c r="D108">
        <v>0</v>
      </c>
      <c r="E108" s="2" t="e">
        <f>VLOOKUP(A108,Fandual!$D$2:$K$1354,8,FALSE)</f>
        <v>#N/A</v>
      </c>
      <c r="F108" s="2" t="e">
        <f>VLOOKUP(E108,Offense!$A$1:$B$30,2,FALSE)</f>
        <v>#N/A</v>
      </c>
      <c r="G108" s="2" t="e">
        <f t="shared" si="1"/>
        <v>#N/A</v>
      </c>
    </row>
    <row r="109" spans="1:7" x14ac:dyDescent="0.25">
      <c r="A109">
        <v>0</v>
      </c>
      <c r="B109">
        <v>0</v>
      </c>
      <c r="C109">
        <v>0</v>
      </c>
      <c r="D109">
        <v>0</v>
      </c>
      <c r="E109" s="2" t="e">
        <f>VLOOKUP(A109,Fandual!$D$2:$K$1354,8,FALSE)</f>
        <v>#N/A</v>
      </c>
      <c r="F109" s="2" t="e">
        <f>VLOOKUP(E109,Offense!$A$1:$B$30,2,FALSE)</f>
        <v>#N/A</v>
      </c>
      <c r="G109" s="2" t="e">
        <f t="shared" si="1"/>
        <v>#N/A</v>
      </c>
    </row>
    <row r="110" spans="1:7" x14ac:dyDescent="0.25">
      <c r="A110">
        <v>0</v>
      </c>
      <c r="B110">
        <v>0</v>
      </c>
      <c r="C110">
        <v>0</v>
      </c>
      <c r="D110">
        <v>0</v>
      </c>
      <c r="E110" s="2" t="e">
        <f>VLOOKUP(A110,Fandual!$D$2:$K$1354,8,FALSE)</f>
        <v>#N/A</v>
      </c>
      <c r="F110" s="2" t="e">
        <f>VLOOKUP(E110,Offense!$A$1:$B$30,2,FALSE)</f>
        <v>#N/A</v>
      </c>
      <c r="G110" s="2" t="e">
        <f t="shared" si="1"/>
        <v>#N/A</v>
      </c>
    </row>
    <row r="111" spans="1:7" x14ac:dyDescent="0.25">
      <c r="A111">
        <v>0</v>
      </c>
      <c r="B111">
        <v>0</v>
      </c>
      <c r="C111">
        <v>0</v>
      </c>
      <c r="D111">
        <v>0</v>
      </c>
      <c r="E111" s="2" t="e">
        <f>VLOOKUP(A111,Fandual!$D$2:$K$1354,8,FALSE)</f>
        <v>#N/A</v>
      </c>
      <c r="F111" s="2" t="e">
        <f>VLOOKUP(E111,Offense!$A$1:$B$30,2,FALSE)</f>
        <v>#N/A</v>
      </c>
      <c r="G111" s="2" t="e">
        <f t="shared" si="1"/>
        <v>#N/A</v>
      </c>
    </row>
    <row r="112" spans="1:7" x14ac:dyDescent="0.25">
      <c r="A112">
        <v>0</v>
      </c>
      <c r="B112">
        <v>0</v>
      </c>
      <c r="C112">
        <v>0</v>
      </c>
      <c r="D112">
        <v>0</v>
      </c>
      <c r="E112" s="2" t="e">
        <f>VLOOKUP(A112,Fandual!$D$2:$K$1354,8,FALSE)</f>
        <v>#N/A</v>
      </c>
      <c r="F112" s="2" t="e">
        <f>VLOOKUP(E112,Offense!$A$1:$B$30,2,FALSE)</f>
        <v>#N/A</v>
      </c>
      <c r="G112" s="2" t="e">
        <f t="shared" si="1"/>
        <v>#N/A</v>
      </c>
    </row>
    <row r="113" spans="1:7" x14ac:dyDescent="0.25">
      <c r="A113">
        <v>0</v>
      </c>
      <c r="B113">
        <v>0</v>
      </c>
      <c r="C113">
        <v>0</v>
      </c>
      <c r="D113">
        <v>0</v>
      </c>
      <c r="E113" s="2" t="e">
        <f>VLOOKUP(A113,Fandual!$D$2:$K$1354,8,FALSE)</f>
        <v>#N/A</v>
      </c>
      <c r="F113" s="2" t="e">
        <f>VLOOKUP(E113,Offense!$A$1:$B$30,2,FALSE)</f>
        <v>#N/A</v>
      </c>
      <c r="G113" s="2" t="e">
        <f t="shared" si="1"/>
        <v>#N/A</v>
      </c>
    </row>
    <row r="114" spans="1:7" x14ac:dyDescent="0.25">
      <c r="A114">
        <v>0</v>
      </c>
      <c r="B114">
        <v>0</v>
      </c>
      <c r="C114">
        <v>0</v>
      </c>
      <c r="D114">
        <v>0</v>
      </c>
      <c r="E114" s="2" t="e">
        <f>VLOOKUP(A114,Fandual!$D$2:$K$1354,8,FALSE)</f>
        <v>#N/A</v>
      </c>
      <c r="F114" s="2" t="e">
        <f>VLOOKUP(E114,Offense!$A$1:$B$30,2,FALSE)</f>
        <v>#N/A</v>
      </c>
      <c r="G114" s="2" t="e">
        <f t="shared" si="1"/>
        <v>#N/A</v>
      </c>
    </row>
    <row r="115" spans="1:7" x14ac:dyDescent="0.25">
      <c r="A115">
        <v>0</v>
      </c>
      <c r="B115">
        <v>0</v>
      </c>
      <c r="C115">
        <v>0</v>
      </c>
      <c r="D115">
        <v>0</v>
      </c>
      <c r="E115" s="2" t="e">
        <f>VLOOKUP(A115,Fandual!$D$2:$K$1354,8,FALSE)</f>
        <v>#N/A</v>
      </c>
      <c r="F115" s="2" t="e">
        <f>VLOOKUP(E115,Offense!$A$1:$B$30,2,FALSE)</f>
        <v>#N/A</v>
      </c>
      <c r="G115" s="2" t="e">
        <f t="shared" si="1"/>
        <v>#N/A</v>
      </c>
    </row>
    <row r="116" spans="1:7" x14ac:dyDescent="0.25">
      <c r="A116">
        <v>0</v>
      </c>
      <c r="B116">
        <v>0</v>
      </c>
      <c r="C116">
        <v>0</v>
      </c>
      <c r="D116">
        <v>0</v>
      </c>
      <c r="E116" s="2" t="e">
        <f>VLOOKUP(A116,Fandual!$D$2:$K$1354,8,FALSE)</f>
        <v>#N/A</v>
      </c>
      <c r="F116" s="2" t="e">
        <f>VLOOKUP(E116,Offense!$A$1:$B$30,2,FALSE)</f>
        <v>#N/A</v>
      </c>
      <c r="G116" s="2" t="e">
        <f t="shared" si="1"/>
        <v>#N/A</v>
      </c>
    </row>
    <row r="117" spans="1:7" x14ac:dyDescent="0.25">
      <c r="A117">
        <v>0</v>
      </c>
      <c r="B117">
        <v>0</v>
      </c>
      <c r="C117">
        <v>0</v>
      </c>
      <c r="D117">
        <v>0</v>
      </c>
      <c r="E117" s="2" t="e">
        <f>VLOOKUP(A117,Fandual!$D$2:$K$1354,8,FALSE)</f>
        <v>#N/A</v>
      </c>
      <c r="F117" s="2" t="e">
        <f>VLOOKUP(E117,Offense!$A$1:$B$30,2,FALSE)</f>
        <v>#N/A</v>
      </c>
      <c r="G117" s="2" t="e">
        <f t="shared" si="1"/>
        <v>#N/A</v>
      </c>
    </row>
    <row r="118" spans="1:7" x14ac:dyDescent="0.25">
      <c r="A118">
        <v>0</v>
      </c>
      <c r="B118">
        <v>0</v>
      </c>
      <c r="C118">
        <v>0</v>
      </c>
      <c r="D118">
        <v>0</v>
      </c>
      <c r="E118" s="2" t="e">
        <f>VLOOKUP(A118,Fandual!$D$2:$K$1354,8,FALSE)</f>
        <v>#N/A</v>
      </c>
      <c r="F118" s="2" t="e">
        <f>VLOOKUP(E118,Offense!$A$1:$B$30,2,FALSE)</f>
        <v>#N/A</v>
      </c>
      <c r="G118" s="2" t="e">
        <f t="shared" si="1"/>
        <v>#N/A</v>
      </c>
    </row>
    <row r="119" spans="1:7" x14ac:dyDescent="0.25">
      <c r="A119">
        <v>0</v>
      </c>
      <c r="B119">
        <v>0</v>
      </c>
      <c r="C119">
        <v>0</v>
      </c>
      <c r="D119">
        <v>0</v>
      </c>
      <c r="E119" s="2" t="e">
        <f>VLOOKUP(A119,Fandual!$D$2:$K$1354,8,FALSE)</f>
        <v>#N/A</v>
      </c>
      <c r="F119" s="2" t="e">
        <f>VLOOKUP(E119,Offense!$A$1:$B$30,2,FALSE)</f>
        <v>#N/A</v>
      </c>
      <c r="G119" s="2" t="e">
        <f t="shared" si="1"/>
        <v>#N/A</v>
      </c>
    </row>
    <row r="120" spans="1:7" x14ac:dyDescent="0.25">
      <c r="A120">
        <v>0</v>
      </c>
      <c r="B120">
        <v>0</v>
      </c>
      <c r="C120">
        <v>0</v>
      </c>
      <c r="D120">
        <v>0</v>
      </c>
      <c r="E120" s="2" t="e">
        <f>VLOOKUP(A120,Fandual!$D$2:$K$1354,8,FALSE)</f>
        <v>#N/A</v>
      </c>
      <c r="F120" s="2" t="e">
        <f>VLOOKUP(E120,Offense!$A$1:$B$30,2,FALSE)</f>
        <v>#N/A</v>
      </c>
      <c r="G120" s="2" t="e">
        <f t="shared" si="1"/>
        <v>#N/A</v>
      </c>
    </row>
    <row r="121" spans="1:7" x14ac:dyDescent="0.25">
      <c r="A121">
        <v>0</v>
      </c>
      <c r="B121">
        <v>0</v>
      </c>
      <c r="C121">
        <v>0</v>
      </c>
      <c r="D121">
        <v>0</v>
      </c>
      <c r="E121" s="2" t="e">
        <f>VLOOKUP(A121,Fandual!$D$2:$K$1354,8,FALSE)</f>
        <v>#N/A</v>
      </c>
      <c r="F121" s="2" t="e">
        <f>VLOOKUP(E121,Offense!$A$1:$B$30,2,FALSE)</f>
        <v>#N/A</v>
      </c>
      <c r="G121" s="2" t="e">
        <f t="shared" si="1"/>
        <v>#N/A</v>
      </c>
    </row>
    <row r="122" spans="1:7" x14ac:dyDescent="0.25">
      <c r="A122">
        <v>0</v>
      </c>
      <c r="B122">
        <v>0</v>
      </c>
      <c r="C122">
        <v>0</v>
      </c>
      <c r="D122">
        <v>0</v>
      </c>
      <c r="E122" s="2" t="e">
        <f>VLOOKUP(A122,Fandual!$D$2:$K$1354,8,FALSE)</f>
        <v>#N/A</v>
      </c>
      <c r="F122" s="2" t="e">
        <f>VLOOKUP(E122,Offense!$A$1:$B$30,2,FALSE)</f>
        <v>#N/A</v>
      </c>
      <c r="G122" s="2" t="e">
        <f t="shared" si="1"/>
        <v>#N/A</v>
      </c>
    </row>
    <row r="123" spans="1:7" x14ac:dyDescent="0.25">
      <c r="A123">
        <v>0</v>
      </c>
      <c r="B123">
        <v>0</v>
      </c>
      <c r="C123">
        <v>0</v>
      </c>
      <c r="D123">
        <v>0</v>
      </c>
      <c r="E123" s="2" t="e">
        <f>VLOOKUP(A123,Fandual!$D$2:$K$1354,8,FALSE)</f>
        <v>#N/A</v>
      </c>
      <c r="F123" s="2" t="e">
        <f>VLOOKUP(E123,Offense!$A$1:$B$30,2,FALSE)</f>
        <v>#N/A</v>
      </c>
      <c r="G123" s="2" t="e">
        <f t="shared" si="1"/>
        <v>#N/A</v>
      </c>
    </row>
    <row r="124" spans="1:7" x14ac:dyDescent="0.25">
      <c r="A124">
        <v>0</v>
      </c>
      <c r="B124">
        <v>0</v>
      </c>
      <c r="C124">
        <v>0</v>
      </c>
      <c r="D124">
        <v>0</v>
      </c>
      <c r="E124" s="2" t="e">
        <f>VLOOKUP(A124,Fandual!$D$2:$K$1354,8,FALSE)</f>
        <v>#N/A</v>
      </c>
      <c r="F124" s="2" t="e">
        <f>VLOOKUP(E124,Offense!$A$1:$B$30,2,FALSE)</f>
        <v>#N/A</v>
      </c>
      <c r="G124" s="2" t="e">
        <f t="shared" si="1"/>
        <v>#N/A</v>
      </c>
    </row>
    <row r="125" spans="1:7" x14ac:dyDescent="0.25">
      <c r="A125">
        <v>0</v>
      </c>
      <c r="B125">
        <v>0</v>
      </c>
      <c r="C125">
        <v>0</v>
      </c>
      <c r="D125">
        <v>0</v>
      </c>
      <c r="E125" s="2" t="e">
        <f>VLOOKUP(A125,Fandual!$D$2:$K$1354,8,FALSE)</f>
        <v>#N/A</v>
      </c>
      <c r="F125" s="2" t="e">
        <f>VLOOKUP(E125,Offense!$A$1:$B$30,2,FALSE)</f>
        <v>#N/A</v>
      </c>
      <c r="G125" s="2" t="e">
        <f t="shared" si="1"/>
        <v>#N/A</v>
      </c>
    </row>
    <row r="126" spans="1:7" x14ac:dyDescent="0.25">
      <c r="A126">
        <v>0</v>
      </c>
      <c r="B126">
        <v>0</v>
      </c>
      <c r="C126">
        <v>0</v>
      </c>
      <c r="D126">
        <v>0</v>
      </c>
      <c r="E126" s="2" t="e">
        <f>VLOOKUP(A126,Fandual!$D$2:$K$1354,8,FALSE)</f>
        <v>#N/A</v>
      </c>
      <c r="F126" s="2" t="e">
        <f>VLOOKUP(E126,Offense!$A$1:$B$30,2,FALSE)</f>
        <v>#N/A</v>
      </c>
      <c r="G126" s="2" t="e">
        <f t="shared" si="1"/>
        <v>#N/A</v>
      </c>
    </row>
    <row r="127" spans="1:7" x14ac:dyDescent="0.25">
      <c r="A127">
        <v>0</v>
      </c>
      <c r="B127">
        <v>0</v>
      </c>
      <c r="C127">
        <v>0</v>
      </c>
      <c r="D127">
        <v>0</v>
      </c>
      <c r="E127" s="2" t="e">
        <f>VLOOKUP(A127,Fandual!$D$2:$K$1354,8,FALSE)</f>
        <v>#N/A</v>
      </c>
      <c r="F127" s="2" t="e">
        <f>VLOOKUP(E127,Offense!$A$1:$B$30,2,FALSE)</f>
        <v>#N/A</v>
      </c>
      <c r="G127" s="2" t="e">
        <f t="shared" si="1"/>
        <v>#N/A</v>
      </c>
    </row>
    <row r="128" spans="1:7" x14ac:dyDescent="0.25">
      <c r="A128">
        <v>0</v>
      </c>
      <c r="B128">
        <v>0</v>
      </c>
      <c r="C128">
        <v>0</v>
      </c>
      <c r="D128">
        <v>0</v>
      </c>
      <c r="E128" s="2" t="e">
        <f>VLOOKUP(A128,Fandual!$D$2:$K$1354,8,FALSE)</f>
        <v>#N/A</v>
      </c>
      <c r="F128" s="2" t="e">
        <f>VLOOKUP(E128,Offense!$A$1:$B$30,2,FALSE)</f>
        <v>#N/A</v>
      </c>
      <c r="G128" s="2" t="e">
        <f t="shared" si="1"/>
        <v>#N/A</v>
      </c>
    </row>
    <row r="129" spans="1:7" x14ac:dyDescent="0.25">
      <c r="A129">
        <v>0</v>
      </c>
      <c r="B129">
        <v>0</v>
      </c>
      <c r="C129">
        <v>0</v>
      </c>
      <c r="D129">
        <v>0</v>
      </c>
      <c r="E129" s="2" t="e">
        <f>VLOOKUP(A129,Fandual!$D$2:$K$1354,8,FALSE)</f>
        <v>#N/A</v>
      </c>
      <c r="F129" s="2" t="e">
        <f>VLOOKUP(E129,Offense!$A$1:$B$30,2,FALSE)</f>
        <v>#N/A</v>
      </c>
      <c r="G129" s="2" t="e">
        <f t="shared" si="1"/>
        <v>#N/A</v>
      </c>
    </row>
    <row r="130" spans="1:7" x14ac:dyDescent="0.25">
      <c r="A130">
        <v>0</v>
      </c>
      <c r="B130">
        <v>0</v>
      </c>
      <c r="C130">
        <v>0</v>
      </c>
      <c r="D130">
        <v>0</v>
      </c>
      <c r="E130" s="2" t="e">
        <f>VLOOKUP(A130,Fandual!$D$2:$K$1354,8,FALSE)</f>
        <v>#N/A</v>
      </c>
      <c r="F130" s="2" t="e">
        <f>VLOOKUP(E130,Offense!$A$1:$B$30,2,FALSE)</f>
        <v>#N/A</v>
      </c>
      <c r="G130" s="2" t="e">
        <f t="shared" si="1"/>
        <v>#N/A</v>
      </c>
    </row>
    <row r="131" spans="1:7" x14ac:dyDescent="0.25">
      <c r="A131">
        <v>0</v>
      </c>
      <c r="B131">
        <v>0</v>
      </c>
      <c r="C131">
        <v>0</v>
      </c>
      <c r="D131">
        <v>0</v>
      </c>
      <c r="E131" s="2" t="e">
        <f>VLOOKUP(A131,Fandual!$D$2:$K$1354,8,FALSE)</f>
        <v>#N/A</v>
      </c>
      <c r="F131" s="2" t="e">
        <f>VLOOKUP(E131,Offense!$A$1:$B$30,2,FALSE)</f>
        <v>#N/A</v>
      </c>
      <c r="G131" s="2" t="e">
        <f t="shared" ref="G131:G194" si="2">E131</f>
        <v>#N/A</v>
      </c>
    </row>
    <row r="132" spans="1:7" x14ac:dyDescent="0.25">
      <c r="A132">
        <v>0</v>
      </c>
      <c r="B132">
        <v>0</v>
      </c>
      <c r="C132">
        <v>0</v>
      </c>
      <c r="D132">
        <v>0</v>
      </c>
      <c r="E132" s="2" t="e">
        <f>VLOOKUP(A132,Fandual!$D$2:$K$1354,8,FALSE)</f>
        <v>#N/A</v>
      </c>
      <c r="F132" s="2" t="e">
        <f>VLOOKUP(E132,Offense!$A$1:$B$30,2,FALSE)</f>
        <v>#N/A</v>
      </c>
      <c r="G132" s="2" t="e">
        <f t="shared" si="2"/>
        <v>#N/A</v>
      </c>
    </row>
    <row r="133" spans="1:7" x14ac:dyDescent="0.25">
      <c r="A133">
        <v>0</v>
      </c>
      <c r="B133">
        <v>0</v>
      </c>
      <c r="C133">
        <v>0</v>
      </c>
      <c r="D133">
        <v>0</v>
      </c>
      <c r="E133" s="2" t="e">
        <f>VLOOKUP(A133,Fandual!$D$2:$K$1354,8,FALSE)</f>
        <v>#N/A</v>
      </c>
      <c r="F133" s="2" t="e">
        <f>VLOOKUP(E133,Offense!$A$1:$B$30,2,FALSE)</f>
        <v>#N/A</v>
      </c>
      <c r="G133" s="2" t="e">
        <f t="shared" si="2"/>
        <v>#N/A</v>
      </c>
    </row>
    <row r="134" spans="1:7" x14ac:dyDescent="0.25">
      <c r="A134">
        <v>0</v>
      </c>
      <c r="B134">
        <v>0</v>
      </c>
      <c r="C134">
        <v>0</v>
      </c>
      <c r="D134">
        <v>0</v>
      </c>
      <c r="E134" s="2" t="e">
        <f>VLOOKUP(A134,Fandual!$D$2:$K$1354,8,FALSE)</f>
        <v>#N/A</v>
      </c>
      <c r="F134" s="2" t="e">
        <f>VLOOKUP(E134,Offense!$A$1:$B$30,2,FALSE)</f>
        <v>#N/A</v>
      </c>
      <c r="G134" s="2" t="e">
        <f t="shared" si="2"/>
        <v>#N/A</v>
      </c>
    </row>
    <row r="135" spans="1:7" x14ac:dyDescent="0.25">
      <c r="A135">
        <v>0</v>
      </c>
      <c r="B135">
        <v>0</v>
      </c>
      <c r="C135">
        <v>0</v>
      </c>
      <c r="D135">
        <v>0</v>
      </c>
      <c r="E135" s="2" t="e">
        <f>VLOOKUP(A135,Fandual!$D$2:$K$1354,8,FALSE)</f>
        <v>#N/A</v>
      </c>
      <c r="F135" s="2" t="e">
        <f>VLOOKUP(E135,Offense!$A$1:$B$30,2,FALSE)</f>
        <v>#N/A</v>
      </c>
      <c r="G135" s="2" t="e">
        <f t="shared" si="2"/>
        <v>#N/A</v>
      </c>
    </row>
    <row r="136" spans="1:7" x14ac:dyDescent="0.25">
      <c r="A136">
        <v>0</v>
      </c>
      <c r="B136">
        <v>0</v>
      </c>
      <c r="C136">
        <v>0</v>
      </c>
      <c r="D136">
        <v>0</v>
      </c>
      <c r="E136" s="2" t="e">
        <f>VLOOKUP(A136,Fandual!$D$2:$K$1354,8,FALSE)</f>
        <v>#N/A</v>
      </c>
      <c r="F136" s="2" t="e">
        <f>VLOOKUP(E136,Offense!$A$1:$B$30,2,FALSE)</f>
        <v>#N/A</v>
      </c>
      <c r="G136" s="2" t="e">
        <f t="shared" si="2"/>
        <v>#N/A</v>
      </c>
    </row>
    <row r="137" spans="1:7" x14ac:dyDescent="0.25">
      <c r="A137">
        <v>0</v>
      </c>
      <c r="B137">
        <v>0</v>
      </c>
      <c r="C137">
        <v>0</v>
      </c>
      <c r="D137">
        <v>0</v>
      </c>
      <c r="E137" s="2" t="e">
        <f>VLOOKUP(A137,Fandual!$D$2:$K$1354,8,FALSE)</f>
        <v>#N/A</v>
      </c>
      <c r="F137" s="2" t="e">
        <f>VLOOKUP(E137,Offense!$A$1:$B$30,2,FALSE)</f>
        <v>#N/A</v>
      </c>
      <c r="G137" s="2" t="e">
        <f t="shared" si="2"/>
        <v>#N/A</v>
      </c>
    </row>
    <row r="138" spans="1:7" x14ac:dyDescent="0.25">
      <c r="A138">
        <v>0</v>
      </c>
      <c r="B138">
        <v>0</v>
      </c>
      <c r="C138">
        <v>0</v>
      </c>
      <c r="D138">
        <v>0</v>
      </c>
      <c r="E138" s="2" t="e">
        <f>VLOOKUP(A138,Fandual!$D$2:$K$1354,8,FALSE)</f>
        <v>#N/A</v>
      </c>
      <c r="F138" s="2" t="e">
        <f>VLOOKUP(E138,Offense!$A$1:$B$30,2,FALSE)</f>
        <v>#N/A</v>
      </c>
      <c r="G138" s="2" t="e">
        <f t="shared" si="2"/>
        <v>#N/A</v>
      </c>
    </row>
    <row r="139" spans="1:7" x14ac:dyDescent="0.25">
      <c r="A139">
        <v>0</v>
      </c>
      <c r="B139">
        <v>0</v>
      </c>
      <c r="C139">
        <v>0</v>
      </c>
      <c r="D139">
        <v>0</v>
      </c>
      <c r="E139" s="2" t="e">
        <f>VLOOKUP(A139,Fandual!$D$2:$K$1354,8,FALSE)</f>
        <v>#N/A</v>
      </c>
      <c r="F139" s="2" t="e">
        <f>VLOOKUP(E139,Offense!$A$1:$B$30,2,FALSE)</f>
        <v>#N/A</v>
      </c>
      <c r="G139" s="2" t="e">
        <f t="shared" si="2"/>
        <v>#N/A</v>
      </c>
    </row>
    <row r="140" spans="1:7" x14ac:dyDescent="0.25">
      <c r="A140">
        <v>0</v>
      </c>
      <c r="B140">
        <v>0</v>
      </c>
      <c r="C140">
        <v>0</v>
      </c>
      <c r="D140">
        <v>0</v>
      </c>
      <c r="E140" s="2" t="e">
        <f>VLOOKUP(A140,Fandual!$D$2:$K$1354,8,FALSE)</f>
        <v>#N/A</v>
      </c>
      <c r="F140" s="2" t="e">
        <f>VLOOKUP(E140,Offense!$A$1:$B$30,2,FALSE)</f>
        <v>#N/A</v>
      </c>
      <c r="G140" s="2" t="e">
        <f t="shared" si="2"/>
        <v>#N/A</v>
      </c>
    </row>
    <row r="141" spans="1:7" x14ac:dyDescent="0.25">
      <c r="A141">
        <v>0</v>
      </c>
      <c r="B141">
        <v>0</v>
      </c>
      <c r="C141">
        <v>0</v>
      </c>
      <c r="D141">
        <v>0</v>
      </c>
      <c r="E141" s="2" t="e">
        <f>VLOOKUP(A141,Fandual!$D$2:$K$1354,8,FALSE)</f>
        <v>#N/A</v>
      </c>
      <c r="F141" s="2" t="e">
        <f>VLOOKUP(E141,Offense!$A$1:$B$30,2,FALSE)</f>
        <v>#N/A</v>
      </c>
      <c r="G141" s="2" t="e">
        <f t="shared" si="2"/>
        <v>#N/A</v>
      </c>
    </row>
    <row r="142" spans="1:7" x14ac:dyDescent="0.25">
      <c r="A142">
        <v>0</v>
      </c>
      <c r="B142">
        <v>0</v>
      </c>
      <c r="C142">
        <v>0</v>
      </c>
      <c r="D142">
        <v>0</v>
      </c>
      <c r="E142" s="2" t="e">
        <f>VLOOKUP(A142,Fandual!$D$2:$K$1354,8,FALSE)</f>
        <v>#N/A</v>
      </c>
      <c r="F142" s="2" t="e">
        <f>VLOOKUP(E142,Offense!$A$1:$B$30,2,FALSE)</f>
        <v>#N/A</v>
      </c>
      <c r="G142" s="2" t="e">
        <f t="shared" si="2"/>
        <v>#N/A</v>
      </c>
    </row>
    <row r="143" spans="1:7" x14ac:dyDescent="0.25">
      <c r="A143">
        <v>0</v>
      </c>
      <c r="B143">
        <v>0</v>
      </c>
      <c r="C143">
        <v>0</v>
      </c>
      <c r="D143">
        <v>0</v>
      </c>
      <c r="E143" s="2" t="e">
        <f>VLOOKUP(A143,Fandual!$D$2:$K$1354,8,FALSE)</f>
        <v>#N/A</v>
      </c>
      <c r="F143" s="2" t="e">
        <f>VLOOKUP(E143,Offense!$A$1:$B$30,2,FALSE)</f>
        <v>#N/A</v>
      </c>
      <c r="G143" s="2" t="e">
        <f t="shared" si="2"/>
        <v>#N/A</v>
      </c>
    </row>
    <row r="144" spans="1:7" x14ac:dyDescent="0.25">
      <c r="A144">
        <v>0</v>
      </c>
      <c r="B144">
        <v>0</v>
      </c>
      <c r="C144">
        <v>0</v>
      </c>
      <c r="D144">
        <v>0</v>
      </c>
      <c r="E144" s="2" t="e">
        <f>VLOOKUP(A144,Fandual!$D$2:$K$1354,8,FALSE)</f>
        <v>#N/A</v>
      </c>
      <c r="F144" s="2" t="e">
        <f>VLOOKUP(E144,Offense!$A$1:$B$30,2,FALSE)</f>
        <v>#N/A</v>
      </c>
      <c r="G144" s="2" t="e">
        <f t="shared" si="2"/>
        <v>#N/A</v>
      </c>
    </row>
    <row r="145" spans="1:7" x14ac:dyDescent="0.25">
      <c r="A145">
        <v>0</v>
      </c>
      <c r="B145">
        <v>0</v>
      </c>
      <c r="C145">
        <v>0</v>
      </c>
      <c r="D145">
        <v>0</v>
      </c>
      <c r="E145" s="2" t="e">
        <f>VLOOKUP(A145,Fandual!$D$2:$K$1354,8,FALSE)</f>
        <v>#N/A</v>
      </c>
      <c r="F145" s="2" t="e">
        <f>VLOOKUP(E145,Offense!$A$1:$B$30,2,FALSE)</f>
        <v>#N/A</v>
      </c>
      <c r="G145" s="2" t="e">
        <f t="shared" si="2"/>
        <v>#N/A</v>
      </c>
    </row>
    <row r="146" spans="1:7" x14ac:dyDescent="0.25">
      <c r="A146">
        <v>0</v>
      </c>
      <c r="B146">
        <v>0</v>
      </c>
      <c r="C146">
        <v>0</v>
      </c>
      <c r="D146">
        <v>0</v>
      </c>
      <c r="E146" s="2" t="e">
        <f>VLOOKUP(A146,Fandual!$D$2:$K$1354,8,FALSE)</f>
        <v>#N/A</v>
      </c>
      <c r="F146" s="2" t="e">
        <f>VLOOKUP(E146,Offense!$A$1:$B$30,2,FALSE)</f>
        <v>#N/A</v>
      </c>
      <c r="G146" s="2" t="e">
        <f t="shared" si="2"/>
        <v>#N/A</v>
      </c>
    </row>
    <row r="147" spans="1:7" x14ac:dyDescent="0.25">
      <c r="A147">
        <v>0</v>
      </c>
      <c r="B147">
        <v>0</v>
      </c>
      <c r="C147">
        <v>0</v>
      </c>
      <c r="D147">
        <v>0</v>
      </c>
      <c r="E147" s="2" t="e">
        <f>VLOOKUP(A147,Fandual!$D$2:$K$1354,8,FALSE)</f>
        <v>#N/A</v>
      </c>
      <c r="F147" s="2" t="e">
        <f>VLOOKUP(E147,Offense!$A$1:$B$30,2,FALSE)</f>
        <v>#N/A</v>
      </c>
      <c r="G147" s="2" t="e">
        <f t="shared" si="2"/>
        <v>#N/A</v>
      </c>
    </row>
    <row r="148" spans="1:7" x14ac:dyDescent="0.25">
      <c r="A148">
        <v>0</v>
      </c>
      <c r="B148">
        <v>0</v>
      </c>
      <c r="C148">
        <v>0</v>
      </c>
      <c r="D148">
        <v>0</v>
      </c>
      <c r="E148" s="2" t="e">
        <f>VLOOKUP(A148,Fandual!$D$2:$K$1354,8,FALSE)</f>
        <v>#N/A</v>
      </c>
      <c r="F148" s="2" t="e">
        <f>VLOOKUP(E148,Offense!$A$1:$B$30,2,FALSE)</f>
        <v>#N/A</v>
      </c>
      <c r="G148" s="2" t="e">
        <f t="shared" si="2"/>
        <v>#N/A</v>
      </c>
    </row>
    <row r="149" spans="1:7" x14ac:dyDescent="0.25">
      <c r="A149">
        <v>0</v>
      </c>
      <c r="B149">
        <v>0</v>
      </c>
      <c r="C149">
        <v>0</v>
      </c>
      <c r="D149">
        <v>0</v>
      </c>
      <c r="E149" s="2" t="e">
        <f>VLOOKUP(A149,Fandual!$D$2:$K$1354,8,FALSE)</f>
        <v>#N/A</v>
      </c>
      <c r="F149" s="2" t="e">
        <f>VLOOKUP(E149,Offense!$A$1:$B$30,2,FALSE)</f>
        <v>#N/A</v>
      </c>
      <c r="G149" s="2" t="e">
        <f t="shared" si="2"/>
        <v>#N/A</v>
      </c>
    </row>
    <row r="150" spans="1:7" x14ac:dyDescent="0.25">
      <c r="A150">
        <v>0</v>
      </c>
      <c r="B150">
        <v>0</v>
      </c>
      <c r="C150">
        <v>0</v>
      </c>
      <c r="D150">
        <v>0</v>
      </c>
      <c r="E150" s="2" t="e">
        <f>VLOOKUP(A150,Fandual!$D$2:$K$1354,8,FALSE)</f>
        <v>#N/A</v>
      </c>
      <c r="F150" s="2" t="e">
        <f>VLOOKUP(E150,Offense!$A$1:$B$30,2,FALSE)</f>
        <v>#N/A</v>
      </c>
      <c r="G150" s="2" t="e">
        <f t="shared" si="2"/>
        <v>#N/A</v>
      </c>
    </row>
    <row r="151" spans="1:7" x14ac:dyDescent="0.25">
      <c r="A151">
        <v>0</v>
      </c>
      <c r="B151">
        <v>0</v>
      </c>
      <c r="C151">
        <v>0</v>
      </c>
      <c r="D151">
        <v>0</v>
      </c>
      <c r="E151" s="2" t="e">
        <f>VLOOKUP(A151,Fandual!$D$2:$K$1354,8,FALSE)</f>
        <v>#N/A</v>
      </c>
      <c r="F151" s="2" t="e">
        <f>VLOOKUP(E151,Offense!$A$1:$B$30,2,FALSE)</f>
        <v>#N/A</v>
      </c>
      <c r="G151" s="2" t="e">
        <f t="shared" si="2"/>
        <v>#N/A</v>
      </c>
    </row>
    <row r="152" spans="1:7" x14ac:dyDescent="0.25">
      <c r="A152">
        <v>0</v>
      </c>
      <c r="B152">
        <v>0</v>
      </c>
      <c r="C152">
        <v>0</v>
      </c>
      <c r="D152">
        <v>0</v>
      </c>
      <c r="E152" s="2" t="e">
        <f>VLOOKUP(A152,Fandual!$D$2:$K$1354,8,FALSE)</f>
        <v>#N/A</v>
      </c>
      <c r="F152" s="2" t="e">
        <f>VLOOKUP(E152,Offense!$A$1:$B$30,2,FALSE)</f>
        <v>#N/A</v>
      </c>
      <c r="G152" s="2" t="e">
        <f t="shared" si="2"/>
        <v>#N/A</v>
      </c>
    </row>
    <row r="153" spans="1:7" x14ac:dyDescent="0.25">
      <c r="A153">
        <v>0</v>
      </c>
      <c r="B153">
        <v>0</v>
      </c>
      <c r="C153">
        <v>0</v>
      </c>
      <c r="D153">
        <v>0</v>
      </c>
      <c r="E153" s="2" t="e">
        <f>VLOOKUP(A153,Fandual!$D$2:$K$1354,8,FALSE)</f>
        <v>#N/A</v>
      </c>
      <c r="F153" s="2" t="e">
        <f>VLOOKUP(E153,Offense!$A$1:$B$30,2,FALSE)</f>
        <v>#N/A</v>
      </c>
      <c r="G153" s="2" t="e">
        <f t="shared" si="2"/>
        <v>#N/A</v>
      </c>
    </row>
    <row r="154" spans="1:7" x14ac:dyDescent="0.25">
      <c r="A154">
        <v>0</v>
      </c>
      <c r="B154">
        <v>0</v>
      </c>
      <c r="C154">
        <v>0</v>
      </c>
      <c r="D154">
        <v>0</v>
      </c>
      <c r="E154" s="2" t="e">
        <f>VLOOKUP(A154,Fandual!$D$2:$K$1354,8,FALSE)</f>
        <v>#N/A</v>
      </c>
      <c r="F154" s="2" t="e">
        <f>VLOOKUP(E154,Offense!$A$1:$B$30,2,FALSE)</f>
        <v>#N/A</v>
      </c>
      <c r="G154" s="2" t="e">
        <f t="shared" si="2"/>
        <v>#N/A</v>
      </c>
    </row>
    <row r="155" spans="1:7" x14ac:dyDescent="0.25">
      <c r="A155">
        <v>0</v>
      </c>
      <c r="B155">
        <v>0</v>
      </c>
      <c r="C155">
        <v>0</v>
      </c>
      <c r="D155">
        <v>0</v>
      </c>
      <c r="E155" s="2" t="e">
        <f>VLOOKUP(A155,Fandual!$D$2:$K$1354,8,FALSE)</f>
        <v>#N/A</v>
      </c>
      <c r="F155" s="2" t="e">
        <f>VLOOKUP(E155,Offense!$A$1:$B$30,2,FALSE)</f>
        <v>#N/A</v>
      </c>
      <c r="G155" s="2" t="e">
        <f t="shared" si="2"/>
        <v>#N/A</v>
      </c>
    </row>
    <row r="156" spans="1:7" x14ac:dyDescent="0.25">
      <c r="A156">
        <v>0</v>
      </c>
      <c r="B156">
        <v>0</v>
      </c>
      <c r="C156">
        <v>0</v>
      </c>
      <c r="D156">
        <v>0</v>
      </c>
      <c r="E156" s="2" t="e">
        <f>VLOOKUP(A156,Fandual!$D$2:$K$1354,8,FALSE)</f>
        <v>#N/A</v>
      </c>
      <c r="F156" s="2" t="e">
        <f>VLOOKUP(E156,Offense!$A$1:$B$30,2,FALSE)</f>
        <v>#N/A</v>
      </c>
      <c r="G156" s="2" t="e">
        <f t="shared" si="2"/>
        <v>#N/A</v>
      </c>
    </row>
    <row r="157" spans="1:7" x14ac:dyDescent="0.25">
      <c r="A157">
        <v>0</v>
      </c>
      <c r="B157">
        <v>0</v>
      </c>
      <c r="C157">
        <v>0</v>
      </c>
      <c r="D157">
        <v>0</v>
      </c>
      <c r="E157" s="2" t="e">
        <f>VLOOKUP(A157,Fandual!$D$2:$K$1354,8,FALSE)</f>
        <v>#N/A</v>
      </c>
      <c r="F157" s="2" t="e">
        <f>VLOOKUP(E157,Offense!$A$1:$B$30,2,FALSE)</f>
        <v>#N/A</v>
      </c>
      <c r="G157" s="2" t="e">
        <f t="shared" si="2"/>
        <v>#N/A</v>
      </c>
    </row>
    <row r="158" spans="1:7" x14ac:dyDescent="0.25">
      <c r="A158">
        <v>0</v>
      </c>
      <c r="B158">
        <v>0</v>
      </c>
      <c r="C158">
        <v>0</v>
      </c>
      <c r="D158">
        <v>0</v>
      </c>
      <c r="E158" s="2" t="e">
        <f>VLOOKUP(A158,Fandual!$D$2:$K$1354,8,FALSE)</f>
        <v>#N/A</v>
      </c>
      <c r="F158" s="2" t="e">
        <f>VLOOKUP(E158,Offense!$A$1:$B$30,2,FALSE)</f>
        <v>#N/A</v>
      </c>
      <c r="G158" s="2" t="e">
        <f t="shared" si="2"/>
        <v>#N/A</v>
      </c>
    </row>
    <row r="159" spans="1:7" x14ac:dyDescent="0.25">
      <c r="A159">
        <v>0</v>
      </c>
      <c r="B159">
        <v>0</v>
      </c>
      <c r="C159">
        <v>0</v>
      </c>
      <c r="D159">
        <v>0</v>
      </c>
      <c r="E159" s="2" t="e">
        <f>VLOOKUP(A159,Fandual!$D$2:$K$1354,8,FALSE)</f>
        <v>#N/A</v>
      </c>
      <c r="F159" s="2" t="e">
        <f>VLOOKUP(E159,Offense!$A$1:$B$30,2,FALSE)</f>
        <v>#N/A</v>
      </c>
      <c r="G159" s="2" t="e">
        <f t="shared" si="2"/>
        <v>#N/A</v>
      </c>
    </row>
    <row r="160" spans="1:7" x14ac:dyDescent="0.25">
      <c r="A160">
        <v>0</v>
      </c>
      <c r="B160">
        <v>0</v>
      </c>
      <c r="C160">
        <v>0</v>
      </c>
      <c r="D160">
        <v>0</v>
      </c>
      <c r="E160" s="2" t="e">
        <f>VLOOKUP(A160,Fandual!$D$2:$K$1354,8,FALSE)</f>
        <v>#N/A</v>
      </c>
      <c r="F160" s="2" t="e">
        <f>VLOOKUP(E160,Offense!$A$1:$B$30,2,FALSE)</f>
        <v>#N/A</v>
      </c>
      <c r="G160" s="2" t="e">
        <f t="shared" si="2"/>
        <v>#N/A</v>
      </c>
    </row>
    <row r="161" spans="1:7" x14ac:dyDescent="0.25">
      <c r="A161">
        <v>0</v>
      </c>
      <c r="B161">
        <v>0</v>
      </c>
      <c r="C161">
        <v>0</v>
      </c>
      <c r="D161">
        <v>0</v>
      </c>
      <c r="E161" s="2" t="e">
        <f>VLOOKUP(A161,Fandual!$D$2:$K$1354,8,FALSE)</f>
        <v>#N/A</v>
      </c>
      <c r="F161" s="2" t="e">
        <f>VLOOKUP(E161,Offense!$A$1:$B$30,2,FALSE)</f>
        <v>#N/A</v>
      </c>
      <c r="G161" s="2" t="e">
        <f t="shared" si="2"/>
        <v>#N/A</v>
      </c>
    </row>
    <row r="162" spans="1:7" x14ac:dyDescent="0.25">
      <c r="A162">
        <v>0</v>
      </c>
      <c r="B162">
        <v>0</v>
      </c>
      <c r="C162">
        <v>0</v>
      </c>
      <c r="D162">
        <v>0</v>
      </c>
      <c r="E162" s="2" t="e">
        <f>VLOOKUP(A162,Fandual!$D$2:$K$1354,8,FALSE)</f>
        <v>#N/A</v>
      </c>
      <c r="F162" s="2" t="e">
        <f>VLOOKUP(E162,Offense!$A$1:$B$30,2,FALSE)</f>
        <v>#N/A</v>
      </c>
      <c r="G162" s="2" t="e">
        <f t="shared" si="2"/>
        <v>#N/A</v>
      </c>
    </row>
    <row r="163" spans="1:7" x14ac:dyDescent="0.25">
      <c r="A163">
        <v>0</v>
      </c>
      <c r="B163">
        <v>0</v>
      </c>
      <c r="C163">
        <v>0</v>
      </c>
      <c r="D163">
        <v>0</v>
      </c>
      <c r="E163" s="2" t="e">
        <f>VLOOKUP(A163,Fandual!$D$2:$K$1354,8,FALSE)</f>
        <v>#N/A</v>
      </c>
      <c r="F163" s="2" t="e">
        <f>VLOOKUP(E163,Offense!$A$1:$B$30,2,FALSE)</f>
        <v>#N/A</v>
      </c>
      <c r="G163" s="2" t="e">
        <f t="shared" si="2"/>
        <v>#N/A</v>
      </c>
    </row>
    <row r="164" spans="1:7" x14ac:dyDescent="0.25">
      <c r="A164">
        <v>0</v>
      </c>
      <c r="B164">
        <v>0</v>
      </c>
      <c r="C164">
        <v>0</v>
      </c>
      <c r="D164">
        <v>0</v>
      </c>
      <c r="E164" s="2" t="e">
        <f>VLOOKUP(A164,Fandual!$D$2:$K$1354,8,FALSE)</f>
        <v>#N/A</v>
      </c>
      <c r="F164" s="2" t="e">
        <f>VLOOKUP(E164,Offense!$A$1:$B$30,2,FALSE)</f>
        <v>#N/A</v>
      </c>
      <c r="G164" s="2" t="e">
        <f t="shared" si="2"/>
        <v>#N/A</v>
      </c>
    </row>
    <row r="165" spans="1:7" x14ac:dyDescent="0.25">
      <c r="A165">
        <v>0</v>
      </c>
      <c r="B165">
        <v>0</v>
      </c>
      <c r="C165">
        <v>0</v>
      </c>
      <c r="D165">
        <v>0</v>
      </c>
      <c r="E165" s="2" t="e">
        <f>VLOOKUP(A165,Fandual!$D$2:$K$1354,8,FALSE)</f>
        <v>#N/A</v>
      </c>
      <c r="F165" s="2" t="e">
        <f>VLOOKUP(E165,Offense!$A$1:$B$30,2,FALSE)</f>
        <v>#N/A</v>
      </c>
      <c r="G165" s="2" t="e">
        <f t="shared" si="2"/>
        <v>#N/A</v>
      </c>
    </row>
    <row r="166" spans="1:7" x14ac:dyDescent="0.25">
      <c r="A166">
        <v>0</v>
      </c>
      <c r="B166">
        <v>0</v>
      </c>
      <c r="C166">
        <v>0</v>
      </c>
      <c r="D166">
        <v>0</v>
      </c>
      <c r="E166" s="2" t="e">
        <f>VLOOKUP(A166,Fandual!$D$2:$K$1354,8,FALSE)</f>
        <v>#N/A</v>
      </c>
      <c r="F166" s="2" t="e">
        <f>VLOOKUP(E166,Offense!$A$1:$B$30,2,FALSE)</f>
        <v>#N/A</v>
      </c>
      <c r="G166" s="2" t="e">
        <f t="shared" si="2"/>
        <v>#N/A</v>
      </c>
    </row>
    <row r="167" spans="1:7" x14ac:dyDescent="0.25">
      <c r="A167">
        <v>0</v>
      </c>
      <c r="B167">
        <v>0</v>
      </c>
      <c r="C167">
        <v>0</v>
      </c>
      <c r="D167">
        <v>0</v>
      </c>
      <c r="E167" s="2" t="e">
        <f>VLOOKUP(A167,Fandual!$D$2:$K$1354,8,FALSE)</f>
        <v>#N/A</v>
      </c>
      <c r="F167" s="2" t="e">
        <f>VLOOKUP(E167,Offense!$A$1:$B$30,2,FALSE)</f>
        <v>#N/A</v>
      </c>
      <c r="G167" s="2" t="e">
        <f t="shared" si="2"/>
        <v>#N/A</v>
      </c>
    </row>
    <row r="168" spans="1:7" x14ac:dyDescent="0.25">
      <c r="A168">
        <v>0</v>
      </c>
      <c r="B168">
        <v>0</v>
      </c>
      <c r="C168">
        <v>0</v>
      </c>
      <c r="D168">
        <v>0</v>
      </c>
      <c r="E168" s="2" t="e">
        <f>VLOOKUP(A168,Fandual!$D$2:$K$1354,8,FALSE)</f>
        <v>#N/A</v>
      </c>
      <c r="F168" s="2" t="e">
        <f>VLOOKUP(E168,Offense!$A$1:$B$30,2,FALSE)</f>
        <v>#N/A</v>
      </c>
      <c r="G168" s="2" t="e">
        <f t="shared" si="2"/>
        <v>#N/A</v>
      </c>
    </row>
    <row r="169" spans="1:7" x14ac:dyDescent="0.25">
      <c r="A169">
        <v>0</v>
      </c>
      <c r="B169">
        <v>0</v>
      </c>
      <c r="C169">
        <v>0</v>
      </c>
      <c r="D169">
        <v>0</v>
      </c>
      <c r="E169" s="2" t="e">
        <f>VLOOKUP(A169,Fandual!$D$2:$K$1354,8,FALSE)</f>
        <v>#N/A</v>
      </c>
      <c r="F169" s="2" t="e">
        <f>VLOOKUP(E169,Offense!$A$1:$B$30,2,FALSE)</f>
        <v>#N/A</v>
      </c>
      <c r="G169" s="2" t="e">
        <f t="shared" si="2"/>
        <v>#N/A</v>
      </c>
    </row>
    <row r="170" spans="1:7" x14ac:dyDescent="0.25">
      <c r="A170">
        <v>0</v>
      </c>
      <c r="B170">
        <v>0</v>
      </c>
      <c r="C170">
        <v>0</v>
      </c>
      <c r="D170">
        <v>0</v>
      </c>
      <c r="E170" s="2" t="e">
        <f>VLOOKUP(A170,Fandual!$D$2:$K$1354,8,FALSE)</f>
        <v>#N/A</v>
      </c>
      <c r="F170" s="2" t="e">
        <f>VLOOKUP(E170,Offense!$A$1:$B$30,2,FALSE)</f>
        <v>#N/A</v>
      </c>
      <c r="G170" s="2" t="e">
        <f t="shared" si="2"/>
        <v>#N/A</v>
      </c>
    </row>
    <row r="171" spans="1:7" x14ac:dyDescent="0.25">
      <c r="A171">
        <v>0</v>
      </c>
      <c r="B171">
        <v>0</v>
      </c>
      <c r="C171">
        <v>0</v>
      </c>
      <c r="D171">
        <v>0</v>
      </c>
      <c r="E171" s="2" t="e">
        <f>VLOOKUP(A171,Fandual!$D$2:$K$1354,8,FALSE)</f>
        <v>#N/A</v>
      </c>
      <c r="F171" s="2" t="e">
        <f>VLOOKUP(E171,Offense!$A$1:$B$30,2,FALSE)</f>
        <v>#N/A</v>
      </c>
      <c r="G171" s="2" t="e">
        <f t="shared" si="2"/>
        <v>#N/A</v>
      </c>
    </row>
    <row r="172" spans="1:7" x14ac:dyDescent="0.25">
      <c r="A172">
        <v>0</v>
      </c>
      <c r="B172">
        <v>0</v>
      </c>
      <c r="C172">
        <v>0</v>
      </c>
      <c r="D172">
        <v>0</v>
      </c>
      <c r="E172" s="2" t="e">
        <f>VLOOKUP(A172,Fandual!$D$2:$K$1354,8,FALSE)</f>
        <v>#N/A</v>
      </c>
      <c r="F172" s="2" t="e">
        <f>VLOOKUP(E172,Offense!$A$1:$B$30,2,FALSE)</f>
        <v>#N/A</v>
      </c>
      <c r="G172" s="2" t="e">
        <f t="shared" si="2"/>
        <v>#N/A</v>
      </c>
    </row>
    <row r="173" spans="1:7" x14ac:dyDescent="0.25">
      <c r="A173">
        <v>0</v>
      </c>
      <c r="B173">
        <v>0</v>
      </c>
      <c r="C173">
        <v>0</v>
      </c>
      <c r="D173">
        <v>0</v>
      </c>
      <c r="E173" s="2" t="e">
        <f>VLOOKUP(A173,Fandual!$D$2:$K$1354,8,FALSE)</f>
        <v>#N/A</v>
      </c>
      <c r="F173" s="2" t="e">
        <f>VLOOKUP(E173,Offense!$A$1:$B$30,2,FALSE)</f>
        <v>#N/A</v>
      </c>
      <c r="G173" s="2" t="e">
        <f t="shared" si="2"/>
        <v>#N/A</v>
      </c>
    </row>
    <row r="174" spans="1:7" x14ac:dyDescent="0.25">
      <c r="A174">
        <v>0</v>
      </c>
      <c r="B174">
        <v>0</v>
      </c>
      <c r="C174">
        <v>0</v>
      </c>
      <c r="D174">
        <v>0</v>
      </c>
      <c r="E174" s="2" t="e">
        <f>VLOOKUP(A174,Fandual!$D$2:$K$1354,8,FALSE)</f>
        <v>#N/A</v>
      </c>
      <c r="F174" s="2" t="e">
        <f>VLOOKUP(E174,Offense!$A$1:$B$30,2,FALSE)</f>
        <v>#N/A</v>
      </c>
      <c r="G174" s="2" t="e">
        <f t="shared" si="2"/>
        <v>#N/A</v>
      </c>
    </row>
    <row r="175" spans="1:7" x14ac:dyDescent="0.25">
      <c r="A175">
        <v>0</v>
      </c>
      <c r="B175">
        <v>0</v>
      </c>
      <c r="C175">
        <v>0</v>
      </c>
      <c r="D175">
        <v>0</v>
      </c>
      <c r="E175" s="2" t="e">
        <f>VLOOKUP(A175,Fandual!$D$2:$K$1354,8,FALSE)</f>
        <v>#N/A</v>
      </c>
      <c r="F175" s="2" t="e">
        <f>VLOOKUP(E175,Offense!$A$1:$B$30,2,FALSE)</f>
        <v>#N/A</v>
      </c>
      <c r="G175" s="2" t="e">
        <f t="shared" si="2"/>
        <v>#N/A</v>
      </c>
    </row>
    <row r="176" spans="1:7" x14ac:dyDescent="0.25">
      <c r="A176">
        <v>0</v>
      </c>
      <c r="B176">
        <v>0</v>
      </c>
      <c r="C176">
        <v>0</v>
      </c>
      <c r="D176">
        <v>0</v>
      </c>
      <c r="E176" s="2" t="e">
        <f>VLOOKUP(A176,Fandual!$D$2:$K$1354,8,FALSE)</f>
        <v>#N/A</v>
      </c>
      <c r="F176" s="2" t="e">
        <f>VLOOKUP(E176,Offense!$A$1:$B$30,2,FALSE)</f>
        <v>#N/A</v>
      </c>
      <c r="G176" s="2" t="e">
        <f t="shared" si="2"/>
        <v>#N/A</v>
      </c>
    </row>
    <row r="177" spans="1:7" x14ac:dyDescent="0.25">
      <c r="A177">
        <v>0</v>
      </c>
      <c r="B177">
        <v>0</v>
      </c>
      <c r="C177">
        <v>0</v>
      </c>
      <c r="D177">
        <v>0</v>
      </c>
      <c r="E177" s="2" t="e">
        <f>VLOOKUP(A177,Fandual!$D$2:$K$1354,8,FALSE)</f>
        <v>#N/A</v>
      </c>
      <c r="F177" s="2" t="e">
        <f>VLOOKUP(E177,Offense!$A$1:$B$30,2,FALSE)</f>
        <v>#N/A</v>
      </c>
      <c r="G177" s="2" t="e">
        <f t="shared" si="2"/>
        <v>#N/A</v>
      </c>
    </row>
    <row r="178" spans="1:7" x14ac:dyDescent="0.25">
      <c r="A178">
        <v>0</v>
      </c>
      <c r="B178">
        <v>0</v>
      </c>
      <c r="C178">
        <v>0</v>
      </c>
      <c r="D178">
        <v>0</v>
      </c>
      <c r="E178" s="2" t="e">
        <f>VLOOKUP(A178,Fandual!$D$2:$K$1354,8,FALSE)</f>
        <v>#N/A</v>
      </c>
      <c r="F178" s="2" t="e">
        <f>VLOOKUP(E178,Offense!$A$1:$B$30,2,FALSE)</f>
        <v>#N/A</v>
      </c>
      <c r="G178" s="2" t="e">
        <f t="shared" si="2"/>
        <v>#N/A</v>
      </c>
    </row>
    <row r="179" spans="1:7" x14ac:dyDescent="0.25">
      <c r="A179">
        <v>0</v>
      </c>
      <c r="B179">
        <v>0</v>
      </c>
      <c r="C179">
        <v>0</v>
      </c>
      <c r="D179">
        <v>0</v>
      </c>
      <c r="E179" s="2" t="e">
        <f>VLOOKUP(A179,Fandual!$D$2:$K$1354,8,FALSE)</f>
        <v>#N/A</v>
      </c>
      <c r="F179" s="2" t="e">
        <f>VLOOKUP(E179,Offense!$A$1:$B$30,2,FALSE)</f>
        <v>#N/A</v>
      </c>
      <c r="G179" s="2" t="e">
        <f t="shared" si="2"/>
        <v>#N/A</v>
      </c>
    </row>
    <row r="180" spans="1:7" x14ac:dyDescent="0.25">
      <c r="A180">
        <v>0</v>
      </c>
      <c r="B180">
        <v>0</v>
      </c>
      <c r="C180">
        <v>0</v>
      </c>
      <c r="D180">
        <v>0</v>
      </c>
      <c r="E180" s="2" t="e">
        <f>VLOOKUP(A180,Fandual!$D$2:$K$1354,8,FALSE)</f>
        <v>#N/A</v>
      </c>
      <c r="F180" s="2" t="e">
        <f>VLOOKUP(E180,Offense!$A$1:$B$30,2,FALSE)</f>
        <v>#N/A</v>
      </c>
      <c r="G180" s="2" t="e">
        <f t="shared" si="2"/>
        <v>#N/A</v>
      </c>
    </row>
    <row r="181" spans="1:7" x14ac:dyDescent="0.25">
      <c r="A181" t="s">
        <v>2316</v>
      </c>
      <c r="B181">
        <v>0</v>
      </c>
      <c r="C181">
        <v>5800</v>
      </c>
      <c r="D181">
        <v>1</v>
      </c>
      <c r="E181" s="2" t="str">
        <f>VLOOKUP(A181,Fandual!$D$2:$K$1354,8,FALSE)</f>
        <v>SFG</v>
      </c>
      <c r="F181" s="2">
        <f>VLOOKUP(E181,Offense!$A$1:$B$30,2,FALSE)</f>
        <v>28</v>
      </c>
      <c r="G181" s="2" t="str">
        <f t="shared" si="2"/>
        <v>SFG</v>
      </c>
    </row>
    <row r="182" spans="1:7" x14ac:dyDescent="0.25">
      <c r="A182">
        <v>0</v>
      </c>
      <c r="B182">
        <v>0</v>
      </c>
      <c r="C182">
        <v>0</v>
      </c>
      <c r="D182">
        <v>0</v>
      </c>
      <c r="E182" s="2" t="e">
        <f>VLOOKUP(A182,Fandual!$D$2:$K$1354,8,FALSE)</f>
        <v>#N/A</v>
      </c>
      <c r="F182" s="2" t="e">
        <f>VLOOKUP(E182,Offense!$A$1:$B$30,2,FALSE)</f>
        <v>#N/A</v>
      </c>
      <c r="G182" s="2" t="e">
        <f t="shared" si="2"/>
        <v>#N/A</v>
      </c>
    </row>
    <row r="183" spans="1:7" x14ac:dyDescent="0.25">
      <c r="A183">
        <v>0</v>
      </c>
      <c r="B183">
        <v>0</v>
      </c>
      <c r="C183">
        <v>0</v>
      </c>
      <c r="D183">
        <v>0</v>
      </c>
      <c r="E183" s="2" t="e">
        <f>VLOOKUP(A183,Fandual!$D$2:$K$1354,8,FALSE)</f>
        <v>#N/A</v>
      </c>
      <c r="F183" s="2" t="e">
        <f>VLOOKUP(E183,Offense!$A$1:$B$30,2,FALSE)</f>
        <v>#N/A</v>
      </c>
      <c r="G183" s="2" t="e">
        <f t="shared" si="2"/>
        <v>#N/A</v>
      </c>
    </row>
    <row r="184" spans="1:7" x14ac:dyDescent="0.25">
      <c r="A184">
        <v>0</v>
      </c>
      <c r="B184">
        <v>0</v>
      </c>
      <c r="C184">
        <v>0</v>
      </c>
      <c r="D184">
        <v>0</v>
      </c>
      <c r="E184" s="2" t="e">
        <f>VLOOKUP(A184,Fandual!$D$2:$K$1354,8,FALSE)</f>
        <v>#N/A</v>
      </c>
      <c r="F184" s="2" t="e">
        <f>VLOOKUP(E184,Offense!$A$1:$B$30,2,FALSE)</f>
        <v>#N/A</v>
      </c>
      <c r="G184" s="2" t="e">
        <f t="shared" si="2"/>
        <v>#N/A</v>
      </c>
    </row>
    <row r="185" spans="1:7" x14ac:dyDescent="0.25">
      <c r="A185">
        <v>0</v>
      </c>
      <c r="B185">
        <v>0</v>
      </c>
      <c r="C185">
        <v>0</v>
      </c>
      <c r="D185">
        <v>0</v>
      </c>
      <c r="E185" s="2" t="e">
        <f>VLOOKUP(A185,Fandual!$D$2:$K$1354,8,FALSE)</f>
        <v>#N/A</v>
      </c>
      <c r="F185" s="2" t="e">
        <f>VLOOKUP(E185,Offense!$A$1:$B$30,2,FALSE)</f>
        <v>#N/A</v>
      </c>
      <c r="G185" s="2" t="e">
        <f t="shared" si="2"/>
        <v>#N/A</v>
      </c>
    </row>
    <row r="186" spans="1:7" x14ac:dyDescent="0.25">
      <c r="A186">
        <v>0</v>
      </c>
      <c r="B186">
        <v>0</v>
      </c>
      <c r="C186">
        <v>0</v>
      </c>
      <c r="D186">
        <v>0</v>
      </c>
      <c r="E186" s="2" t="e">
        <f>VLOOKUP(A186,Fandual!$D$2:$K$1354,8,FALSE)</f>
        <v>#N/A</v>
      </c>
      <c r="F186" s="2" t="e">
        <f>VLOOKUP(E186,Offense!$A$1:$B$30,2,FALSE)</f>
        <v>#N/A</v>
      </c>
      <c r="G186" s="2" t="e">
        <f t="shared" si="2"/>
        <v>#N/A</v>
      </c>
    </row>
    <row r="187" spans="1:7" x14ac:dyDescent="0.25">
      <c r="A187">
        <v>0</v>
      </c>
      <c r="B187">
        <v>0</v>
      </c>
      <c r="C187">
        <v>0</v>
      </c>
      <c r="D187">
        <v>0</v>
      </c>
      <c r="E187" s="2" t="e">
        <f>VLOOKUP(A187,Fandual!$D$2:$K$1354,8,FALSE)</f>
        <v>#N/A</v>
      </c>
      <c r="F187" s="2" t="e">
        <f>VLOOKUP(E187,Offense!$A$1:$B$30,2,FALSE)</f>
        <v>#N/A</v>
      </c>
      <c r="G187" s="2" t="e">
        <f t="shared" si="2"/>
        <v>#N/A</v>
      </c>
    </row>
    <row r="188" spans="1:7" x14ac:dyDescent="0.25">
      <c r="A188">
        <v>0</v>
      </c>
      <c r="B188">
        <v>0</v>
      </c>
      <c r="C188">
        <v>0</v>
      </c>
      <c r="D188">
        <v>0</v>
      </c>
      <c r="E188" s="2" t="e">
        <f>VLOOKUP(A188,Fandual!$D$2:$K$1354,8,FALSE)</f>
        <v>#N/A</v>
      </c>
      <c r="F188" s="2" t="e">
        <f>VLOOKUP(E188,Offense!$A$1:$B$30,2,FALSE)</f>
        <v>#N/A</v>
      </c>
      <c r="G188" s="2" t="e">
        <f t="shared" si="2"/>
        <v>#N/A</v>
      </c>
    </row>
    <row r="189" spans="1:7" x14ac:dyDescent="0.25">
      <c r="A189">
        <v>0</v>
      </c>
      <c r="B189">
        <v>0</v>
      </c>
      <c r="C189">
        <v>0</v>
      </c>
      <c r="D189">
        <v>0</v>
      </c>
      <c r="E189" s="2" t="e">
        <f>VLOOKUP(A189,Fandual!$D$2:$K$1354,8,FALSE)</f>
        <v>#N/A</v>
      </c>
      <c r="F189" s="2" t="e">
        <f>VLOOKUP(E189,Offense!$A$1:$B$30,2,FALSE)</f>
        <v>#N/A</v>
      </c>
      <c r="G189" s="2" t="e">
        <f t="shared" si="2"/>
        <v>#N/A</v>
      </c>
    </row>
    <row r="190" spans="1:7" x14ac:dyDescent="0.25">
      <c r="A190">
        <v>0</v>
      </c>
      <c r="B190">
        <v>0</v>
      </c>
      <c r="C190">
        <v>0</v>
      </c>
      <c r="D190">
        <v>0</v>
      </c>
      <c r="E190" s="2" t="e">
        <f>VLOOKUP(A190,Fandual!$D$2:$K$1354,8,FALSE)</f>
        <v>#N/A</v>
      </c>
      <c r="F190" s="2" t="e">
        <f>VLOOKUP(E190,Offense!$A$1:$B$30,2,FALSE)</f>
        <v>#N/A</v>
      </c>
      <c r="G190" s="2" t="e">
        <f t="shared" si="2"/>
        <v>#N/A</v>
      </c>
    </row>
    <row r="191" spans="1:7" x14ac:dyDescent="0.25">
      <c r="A191">
        <v>0</v>
      </c>
      <c r="B191">
        <v>0</v>
      </c>
      <c r="C191">
        <v>0</v>
      </c>
      <c r="D191">
        <v>0</v>
      </c>
      <c r="E191" s="2" t="e">
        <f>VLOOKUP(A191,Fandual!$D$2:$K$1354,8,FALSE)</f>
        <v>#N/A</v>
      </c>
      <c r="F191" s="2" t="e">
        <f>VLOOKUP(E191,Offense!$A$1:$B$30,2,FALSE)</f>
        <v>#N/A</v>
      </c>
      <c r="G191" s="2" t="e">
        <f t="shared" si="2"/>
        <v>#N/A</v>
      </c>
    </row>
    <row r="192" spans="1:7" x14ac:dyDescent="0.25">
      <c r="A192">
        <v>0</v>
      </c>
      <c r="B192">
        <v>0</v>
      </c>
      <c r="C192">
        <v>0</v>
      </c>
      <c r="D192">
        <v>0</v>
      </c>
      <c r="E192" s="2" t="e">
        <f>VLOOKUP(A192,Fandual!$D$2:$K$1354,8,FALSE)</f>
        <v>#N/A</v>
      </c>
      <c r="F192" s="2" t="e">
        <f>VLOOKUP(E192,Offense!$A$1:$B$30,2,FALSE)</f>
        <v>#N/A</v>
      </c>
      <c r="G192" s="2" t="e">
        <f t="shared" si="2"/>
        <v>#N/A</v>
      </c>
    </row>
    <row r="193" spans="1:7" x14ac:dyDescent="0.25">
      <c r="A193">
        <v>0</v>
      </c>
      <c r="B193">
        <v>0</v>
      </c>
      <c r="C193">
        <v>0</v>
      </c>
      <c r="D193">
        <v>0</v>
      </c>
      <c r="E193" s="2" t="e">
        <f>VLOOKUP(A193,Fandual!$D$2:$K$1354,8,FALSE)</f>
        <v>#N/A</v>
      </c>
      <c r="F193" s="2" t="e">
        <f>VLOOKUP(E193,Offense!$A$1:$B$30,2,FALSE)</f>
        <v>#N/A</v>
      </c>
      <c r="G193" s="2" t="e">
        <f t="shared" si="2"/>
        <v>#N/A</v>
      </c>
    </row>
    <row r="194" spans="1:7" x14ac:dyDescent="0.25">
      <c r="A194">
        <v>0</v>
      </c>
      <c r="B194">
        <v>0</v>
      </c>
      <c r="C194">
        <v>0</v>
      </c>
      <c r="D194">
        <v>0</v>
      </c>
      <c r="E194" s="2" t="e">
        <f>VLOOKUP(A194,Fandual!$D$2:$K$1354,8,FALSE)</f>
        <v>#N/A</v>
      </c>
      <c r="F194" s="2" t="e">
        <f>VLOOKUP(E194,Offense!$A$1:$B$30,2,FALSE)</f>
        <v>#N/A</v>
      </c>
      <c r="G194" s="2" t="e">
        <f t="shared" si="2"/>
        <v>#N/A</v>
      </c>
    </row>
    <row r="195" spans="1:7" x14ac:dyDescent="0.25">
      <c r="A195">
        <v>0</v>
      </c>
      <c r="B195">
        <v>0</v>
      </c>
      <c r="C195">
        <v>0</v>
      </c>
      <c r="D195">
        <v>0</v>
      </c>
      <c r="E195" s="2" t="e">
        <f>VLOOKUP(A195,Fandual!$D$2:$K$1354,8,FALSE)</f>
        <v>#N/A</v>
      </c>
      <c r="F195" s="2" t="e">
        <f>VLOOKUP(E195,Offense!$A$1:$B$30,2,FALSE)</f>
        <v>#N/A</v>
      </c>
      <c r="G195" s="2" t="e">
        <f t="shared" ref="G195:G258" si="3">E195</f>
        <v>#N/A</v>
      </c>
    </row>
    <row r="196" spans="1:7" x14ac:dyDescent="0.25">
      <c r="A196">
        <v>0</v>
      </c>
      <c r="B196">
        <v>0</v>
      </c>
      <c r="C196">
        <v>0</v>
      </c>
      <c r="D196">
        <v>0</v>
      </c>
      <c r="E196" s="2" t="e">
        <f>VLOOKUP(A196,Fandual!$D$2:$K$1354,8,FALSE)</f>
        <v>#N/A</v>
      </c>
      <c r="F196" s="2" t="e">
        <f>VLOOKUP(E196,Offense!$A$1:$B$30,2,FALSE)</f>
        <v>#N/A</v>
      </c>
      <c r="G196" s="2" t="e">
        <f t="shared" si="3"/>
        <v>#N/A</v>
      </c>
    </row>
    <row r="197" spans="1:7" x14ac:dyDescent="0.25">
      <c r="A197">
        <v>0</v>
      </c>
      <c r="B197">
        <v>0</v>
      </c>
      <c r="C197">
        <v>0</v>
      </c>
      <c r="D197">
        <v>0</v>
      </c>
      <c r="E197" s="2" t="e">
        <f>VLOOKUP(A197,Fandual!$D$2:$K$1354,8,FALSE)</f>
        <v>#N/A</v>
      </c>
      <c r="F197" s="2" t="e">
        <f>VLOOKUP(E197,Offense!$A$1:$B$30,2,FALSE)</f>
        <v>#N/A</v>
      </c>
      <c r="G197" s="2" t="e">
        <f t="shared" si="3"/>
        <v>#N/A</v>
      </c>
    </row>
    <row r="198" spans="1:7" x14ac:dyDescent="0.25">
      <c r="A198">
        <v>0</v>
      </c>
      <c r="B198">
        <v>0</v>
      </c>
      <c r="C198">
        <v>0</v>
      </c>
      <c r="D198">
        <v>0</v>
      </c>
      <c r="E198" s="2" t="e">
        <f>VLOOKUP(A198,Fandual!$D$2:$K$1354,8,FALSE)</f>
        <v>#N/A</v>
      </c>
      <c r="F198" s="2" t="e">
        <f>VLOOKUP(E198,Offense!$A$1:$B$30,2,FALSE)</f>
        <v>#N/A</v>
      </c>
      <c r="G198" s="2" t="e">
        <f t="shared" si="3"/>
        <v>#N/A</v>
      </c>
    </row>
    <row r="199" spans="1:7" x14ac:dyDescent="0.25">
      <c r="A199">
        <v>0</v>
      </c>
      <c r="B199">
        <v>0</v>
      </c>
      <c r="C199">
        <v>0</v>
      </c>
      <c r="D199">
        <v>0</v>
      </c>
      <c r="E199" s="2" t="e">
        <f>VLOOKUP(A199,Fandual!$D$2:$K$1354,8,FALSE)</f>
        <v>#N/A</v>
      </c>
      <c r="F199" s="2" t="e">
        <f>VLOOKUP(E199,Offense!$A$1:$B$30,2,FALSE)</f>
        <v>#N/A</v>
      </c>
      <c r="G199" s="2" t="e">
        <f t="shared" si="3"/>
        <v>#N/A</v>
      </c>
    </row>
    <row r="200" spans="1:7" x14ac:dyDescent="0.25">
      <c r="A200">
        <v>0</v>
      </c>
      <c r="B200">
        <v>0</v>
      </c>
      <c r="C200">
        <v>0</v>
      </c>
      <c r="D200">
        <v>0</v>
      </c>
      <c r="E200" s="2" t="e">
        <f>VLOOKUP(A200,Fandual!$D$2:$K$1354,8,FALSE)</f>
        <v>#N/A</v>
      </c>
      <c r="F200" s="2" t="e">
        <f>VLOOKUP(E200,Offense!$A$1:$B$30,2,FALSE)</f>
        <v>#N/A</v>
      </c>
      <c r="G200" s="2" t="e">
        <f t="shared" si="3"/>
        <v>#N/A</v>
      </c>
    </row>
    <row r="201" spans="1:7" x14ac:dyDescent="0.25">
      <c r="A201">
        <v>0</v>
      </c>
      <c r="B201">
        <v>0</v>
      </c>
      <c r="C201">
        <v>0</v>
      </c>
      <c r="D201">
        <v>0</v>
      </c>
      <c r="E201" s="2" t="e">
        <f>VLOOKUP(A201,Fandual!$D$2:$K$1354,8,FALSE)</f>
        <v>#N/A</v>
      </c>
      <c r="F201" s="2" t="e">
        <f>VLOOKUP(E201,Offense!$A$1:$B$30,2,FALSE)</f>
        <v>#N/A</v>
      </c>
      <c r="G201" s="2" t="e">
        <f t="shared" si="3"/>
        <v>#N/A</v>
      </c>
    </row>
    <row r="202" spans="1:7" x14ac:dyDescent="0.25">
      <c r="A202">
        <v>0</v>
      </c>
      <c r="B202">
        <v>0</v>
      </c>
      <c r="C202">
        <v>0</v>
      </c>
      <c r="D202">
        <v>0</v>
      </c>
      <c r="E202" s="2" t="e">
        <f>VLOOKUP(A202,Fandual!$D$2:$K$1354,8,FALSE)</f>
        <v>#N/A</v>
      </c>
      <c r="F202" s="2" t="e">
        <f>VLOOKUP(E202,Offense!$A$1:$B$30,2,FALSE)</f>
        <v>#N/A</v>
      </c>
      <c r="G202" s="2" t="e">
        <f t="shared" si="3"/>
        <v>#N/A</v>
      </c>
    </row>
    <row r="203" spans="1:7" x14ac:dyDescent="0.25">
      <c r="A203">
        <v>0</v>
      </c>
      <c r="B203">
        <v>0</v>
      </c>
      <c r="C203">
        <v>0</v>
      </c>
      <c r="D203">
        <v>0</v>
      </c>
      <c r="E203" s="2" t="e">
        <f>VLOOKUP(A203,Fandual!$D$2:$K$1354,8,FALSE)</f>
        <v>#N/A</v>
      </c>
      <c r="F203" s="2" t="e">
        <f>VLOOKUP(E203,Offense!$A$1:$B$30,2,FALSE)</f>
        <v>#N/A</v>
      </c>
      <c r="G203" s="2" t="e">
        <f t="shared" si="3"/>
        <v>#N/A</v>
      </c>
    </row>
    <row r="204" spans="1:7" x14ac:dyDescent="0.25">
      <c r="A204">
        <v>0</v>
      </c>
      <c r="B204">
        <v>0</v>
      </c>
      <c r="C204">
        <v>0</v>
      </c>
      <c r="D204">
        <v>0</v>
      </c>
      <c r="E204" s="2" t="e">
        <f>VLOOKUP(A204,Fandual!$D$2:$K$1354,8,FALSE)</f>
        <v>#N/A</v>
      </c>
      <c r="F204" s="2" t="e">
        <f>VLOOKUP(E204,Offense!$A$1:$B$30,2,FALSE)</f>
        <v>#N/A</v>
      </c>
      <c r="G204" s="2" t="e">
        <f t="shared" si="3"/>
        <v>#N/A</v>
      </c>
    </row>
    <row r="205" spans="1:7" x14ac:dyDescent="0.25">
      <c r="A205">
        <v>0</v>
      </c>
      <c r="B205">
        <v>0</v>
      </c>
      <c r="C205">
        <v>0</v>
      </c>
      <c r="D205">
        <v>0</v>
      </c>
      <c r="E205" s="2" t="e">
        <f>VLOOKUP(A205,Fandual!$D$2:$K$1354,8,FALSE)</f>
        <v>#N/A</v>
      </c>
      <c r="F205" s="2" t="e">
        <f>VLOOKUP(E205,Offense!$A$1:$B$30,2,FALSE)</f>
        <v>#N/A</v>
      </c>
      <c r="G205" s="2" t="e">
        <f t="shared" si="3"/>
        <v>#N/A</v>
      </c>
    </row>
    <row r="206" spans="1:7" x14ac:dyDescent="0.25">
      <c r="A206">
        <v>0</v>
      </c>
      <c r="B206">
        <v>0</v>
      </c>
      <c r="C206">
        <v>0</v>
      </c>
      <c r="D206">
        <v>0</v>
      </c>
      <c r="E206" s="2" t="e">
        <f>VLOOKUP(A206,Fandual!$D$2:$K$1354,8,FALSE)</f>
        <v>#N/A</v>
      </c>
      <c r="F206" s="2" t="e">
        <f>VLOOKUP(E206,Offense!$A$1:$B$30,2,FALSE)</f>
        <v>#N/A</v>
      </c>
      <c r="G206" s="2" t="e">
        <f t="shared" si="3"/>
        <v>#N/A</v>
      </c>
    </row>
    <row r="207" spans="1:7" x14ac:dyDescent="0.25">
      <c r="A207">
        <v>0</v>
      </c>
      <c r="B207">
        <v>0</v>
      </c>
      <c r="C207">
        <v>0</v>
      </c>
      <c r="D207">
        <v>0</v>
      </c>
      <c r="E207" s="2" t="e">
        <f>VLOOKUP(A207,Fandual!$D$2:$K$1354,8,FALSE)</f>
        <v>#N/A</v>
      </c>
      <c r="F207" s="2" t="e">
        <f>VLOOKUP(E207,Offense!$A$1:$B$30,2,FALSE)</f>
        <v>#N/A</v>
      </c>
      <c r="G207" s="2" t="e">
        <f t="shared" si="3"/>
        <v>#N/A</v>
      </c>
    </row>
    <row r="208" spans="1:7" x14ac:dyDescent="0.25">
      <c r="A208">
        <v>0</v>
      </c>
      <c r="B208">
        <v>0</v>
      </c>
      <c r="C208">
        <v>0</v>
      </c>
      <c r="D208">
        <v>0</v>
      </c>
      <c r="E208" s="2" t="e">
        <f>VLOOKUP(A208,Fandual!$D$2:$K$1354,8,FALSE)</f>
        <v>#N/A</v>
      </c>
      <c r="F208" s="2" t="e">
        <f>VLOOKUP(E208,Offense!$A$1:$B$30,2,FALSE)</f>
        <v>#N/A</v>
      </c>
      <c r="G208" s="2" t="e">
        <f t="shared" si="3"/>
        <v>#N/A</v>
      </c>
    </row>
    <row r="209" spans="1:7" x14ac:dyDescent="0.25">
      <c r="A209">
        <v>0</v>
      </c>
      <c r="B209">
        <v>0</v>
      </c>
      <c r="C209">
        <v>0</v>
      </c>
      <c r="D209">
        <v>0</v>
      </c>
      <c r="E209" s="2" t="e">
        <f>VLOOKUP(A209,Fandual!$D$2:$K$1354,8,FALSE)</f>
        <v>#N/A</v>
      </c>
      <c r="F209" s="2" t="e">
        <f>VLOOKUP(E209,Offense!$A$1:$B$30,2,FALSE)</f>
        <v>#N/A</v>
      </c>
      <c r="G209" s="2" t="e">
        <f t="shared" si="3"/>
        <v>#N/A</v>
      </c>
    </row>
    <row r="210" spans="1:7" x14ac:dyDescent="0.25">
      <c r="A210">
        <v>0</v>
      </c>
      <c r="B210">
        <v>0</v>
      </c>
      <c r="C210">
        <v>0</v>
      </c>
      <c r="D210">
        <v>0</v>
      </c>
      <c r="E210" s="2" t="e">
        <f>VLOOKUP(A210,Fandual!$D$2:$K$1354,8,FALSE)</f>
        <v>#N/A</v>
      </c>
      <c r="F210" s="2" t="e">
        <f>VLOOKUP(E210,Offense!$A$1:$B$30,2,FALSE)</f>
        <v>#N/A</v>
      </c>
      <c r="G210" s="2" t="e">
        <f t="shared" si="3"/>
        <v>#N/A</v>
      </c>
    </row>
    <row r="211" spans="1:7" x14ac:dyDescent="0.25">
      <c r="A211">
        <v>0</v>
      </c>
      <c r="B211">
        <v>0</v>
      </c>
      <c r="C211">
        <v>0</v>
      </c>
      <c r="D211">
        <v>0</v>
      </c>
      <c r="E211" s="2" t="e">
        <f>VLOOKUP(A211,Fandual!$D$2:$K$1354,8,FALSE)</f>
        <v>#N/A</v>
      </c>
      <c r="F211" s="2" t="e">
        <f>VLOOKUP(E211,Offense!$A$1:$B$30,2,FALSE)</f>
        <v>#N/A</v>
      </c>
      <c r="G211" s="2" t="e">
        <f t="shared" si="3"/>
        <v>#N/A</v>
      </c>
    </row>
    <row r="212" spans="1:7" x14ac:dyDescent="0.25">
      <c r="A212">
        <v>0</v>
      </c>
      <c r="B212">
        <v>0</v>
      </c>
      <c r="C212">
        <v>0</v>
      </c>
      <c r="D212">
        <v>0</v>
      </c>
      <c r="E212" s="2" t="e">
        <f>VLOOKUP(A212,Fandual!$D$2:$K$1354,8,FALSE)</f>
        <v>#N/A</v>
      </c>
      <c r="F212" s="2" t="e">
        <f>VLOOKUP(E212,Offense!$A$1:$B$30,2,FALSE)</f>
        <v>#N/A</v>
      </c>
      <c r="G212" s="2" t="e">
        <f t="shared" si="3"/>
        <v>#N/A</v>
      </c>
    </row>
    <row r="213" spans="1:7" x14ac:dyDescent="0.25">
      <c r="A213">
        <v>0</v>
      </c>
      <c r="B213">
        <v>0</v>
      </c>
      <c r="C213">
        <v>0</v>
      </c>
      <c r="D213">
        <v>0</v>
      </c>
      <c r="E213" s="2" t="e">
        <f>VLOOKUP(A213,Fandual!$D$2:$K$1354,8,FALSE)</f>
        <v>#N/A</v>
      </c>
      <c r="F213" s="2" t="e">
        <f>VLOOKUP(E213,Offense!$A$1:$B$30,2,FALSE)</f>
        <v>#N/A</v>
      </c>
      <c r="G213" s="2" t="e">
        <f t="shared" si="3"/>
        <v>#N/A</v>
      </c>
    </row>
    <row r="214" spans="1:7" x14ac:dyDescent="0.25">
      <c r="A214">
        <v>0</v>
      </c>
      <c r="B214">
        <v>0</v>
      </c>
      <c r="C214">
        <v>0</v>
      </c>
      <c r="D214">
        <v>0</v>
      </c>
      <c r="E214" s="2" t="e">
        <f>VLOOKUP(A214,Fandual!$D$2:$K$1354,8,FALSE)</f>
        <v>#N/A</v>
      </c>
      <c r="F214" s="2" t="e">
        <f>VLOOKUP(E214,Offense!$A$1:$B$30,2,FALSE)</f>
        <v>#N/A</v>
      </c>
      <c r="G214" s="2" t="e">
        <f t="shared" si="3"/>
        <v>#N/A</v>
      </c>
    </row>
    <row r="215" spans="1:7" x14ac:dyDescent="0.25">
      <c r="A215">
        <v>0</v>
      </c>
      <c r="B215">
        <v>0</v>
      </c>
      <c r="C215">
        <v>0</v>
      </c>
      <c r="D215">
        <v>0</v>
      </c>
      <c r="E215" s="2" t="e">
        <f>VLOOKUP(A215,Fandual!$D$2:$K$1354,8,FALSE)</f>
        <v>#N/A</v>
      </c>
      <c r="F215" s="2" t="e">
        <f>VLOOKUP(E215,Offense!$A$1:$B$30,2,FALSE)</f>
        <v>#N/A</v>
      </c>
      <c r="G215" s="2" t="e">
        <f t="shared" si="3"/>
        <v>#N/A</v>
      </c>
    </row>
    <row r="216" spans="1:7" x14ac:dyDescent="0.25">
      <c r="A216">
        <v>0</v>
      </c>
      <c r="B216">
        <v>0</v>
      </c>
      <c r="C216">
        <v>0</v>
      </c>
      <c r="D216">
        <v>0</v>
      </c>
      <c r="E216" s="2" t="e">
        <f>VLOOKUP(A216,Fandual!$D$2:$K$1354,8,FALSE)</f>
        <v>#N/A</v>
      </c>
      <c r="F216" s="2" t="e">
        <f>VLOOKUP(E216,Offense!$A$1:$B$30,2,FALSE)</f>
        <v>#N/A</v>
      </c>
      <c r="G216" s="2" t="e">
        <f t="shared" si="3"/>
        <v>#N/A</v>
      </c>
    </row>
    <row r="217" spans="1:7" x14ac:dyDescent="0.25">
      <c r="A217">
        <v>0</v>
      </c>
      <c r="B217">
        <v>0</v>
      </c>
      <c r="C217">
        <v>0</v>
      </c>
      <c r="D217">
        <v>0</v>
      </c>
      <c r="E217" s="2" t="e">
        <f>VLOOKUP(A217,Fandual!$D$2:$K$1354,8,FALSE)</f>
        <v>#N/A</v>
      </c>
      <c r="F217" s="2" t="e">
        <f>VLOOKUP(E217,Offense!$A$1:$B$30,2,FALSE)</f>
        <v>#N/A</v>
      </c>
      <c r="G217" s="2" t="e">
        <f t="shared" si="3"/>
        <v>#N/A</v>
      </c>
    </row>
    <row r="218" spans="1:7" x14ac:dyDescent="0.25">
      <c r="A218">
        <v>0</v>
      </c>
      <c r="B218">
        <v>0</v>
      </c>
      <c r="C218">
        <v>0</v>
      </c>
      <c r="D218">
        <v>0</v>
      </c>
      <c r="E218" s="2" t="e">
        <f>VLOOKUP(A218,Fandual!$D$2:$K$1354,8,FALSE)</f>
        <v>#N/A</v>
      </c>
      <c r="F218" s="2" t="e">
        <f>VLOOKUP(E218,Offense!$A$1:$B$30,2,FALSE)</f>
        <v>#N/A</v>
      </c>
      <c r="G218" s="2" t="e">
        <f t="shared" si="3"/>
        <v>#N/A</v>
      </c>
    </row>
    <row r="219" spans="1:7" x14ac:dyDescent="0.25">
      <c r="A219">
        <v>0</v>
      </c>
      <c r="B219">
        <v>0</v>
      </c>
      <c r="C219">
        <v>0</v>
      </c>
      <c r="D219">
        <v>0</v>
      </c>
      <c r="E219" s="2" t="e">
        <f>VLOOKUP(A219,Fandual!$D$2:$K$1354,8,FALSE)</f>
        <v>#N/A</v>
      </c>
      <c r="F219" s="2" t="e">
        <f>VLOOKUP(E219,Offense!$A$1:$B$30,2,FALSE)</f>
        <v>#N/A</v>
      </c>
      <c r="G219" s="2" t="e">
        <f t="shared" si="3"/>
        <v>#N/A</v>
      </c>
    </row>
    <row r="220" spans="1:7" x14ac:dyDescent="0.25">
      <c r="A220">
        <v>0</v>
      </c>
      <c r="B220">
        <v>0</v>
      </c>
      <c r="C220">
        <v>0</v>
      </c>
      <c r="D220">
        <v>0</v>
      </c>
      <c r="E220" s="2" t="e">
        <f>VLOOKUP(A220,Fandual!$D$2:$K$1354,8,FALSE)</f>
        <v>#N/A</v>
      </c>
      <c r="F220" s="2" t="e">
        <f>VLOOKUP(E220,Offense!$A$1:$B$30,2,FALSE)</f>
        <v>#N/A</v>
      </c>
      <c r="G220" s="2" t="e">
        <f t="shared" si="3"/>
        <v>#N/A</v>
      </c>
    </row>
    <row r="221" spans="1:7" x14ac:dyDescent="0.25">
      <c r="A221">
        <v>0</v>
      </c>
      <c r="B221">
        <v>0</v>
      </c>
      <c r="C221">
        <v>0</v>
      </c>
      <c r="D221">
        <v>0</v>
      </c>
      <c r="E221" s="2" t="e">
        <f>VLOOKUP(A221,Fandual!$D$2:$K$1354,8,FALSE)</f>
        <v>#N/A</v>
      </c>
      <c r="F221" s="2" t="e">
        <f>VLOOKUP(E221,Offense!$A$1:$B$30,2,FALSE)</f>
        <v>#N/A</v>
      </c>
      <c r="G221" s="2" t="e">
        <f t="shared" si="3"/>
        <v>#N/A</v>
      </c>
    </row>
    <row r="222" spans="1:7" x14ac:dyDescent="0.25">
      <c r="A222">
        <v>0</v>
      </c>
      <c r="B222">
        <v>0</v>
      </c>
      <c r="C222">
        <v>0</v>
      </c>
      <c r="D222">
        <v>0</v>
      </c>
      <c r="E222" s="2" t="e">
        <f>VLOOKUP(A222,Fandual!$D$2:$K$1354,8,FALSE)</f>
        <v>#N/A</v>
      </c>
      <c r="F222" s="2" t="e">
        <f>VLOOKUP(E222,Offense!$A$1:$B$30,2,FALSE)</f>
        <v>#N/A</v>
      </c>
      <c r="G222" s="2" t="e">
        <f t="shared" si="3"/>
        <v>#N/A</v>
      </c>
    </row>
    <row r="223" spans="1:7" x14ac:dyDescent="0.25">
      <c r="A223">
        <v>0</v>
      </c>
      <c r="B223">
        <v>0</v>
      </c>
      <c r="C223">
        <v>0</v>
      </c>
      <c r="D223">
        <v>0</v>
      </c>
      <c r="E223" s="2" t="e">
        <f>VLOOKUP(A223,Fandual!$D$2:$K$1354,8,FALSE)</f>
        <v>#N/A</v>
      </c>
      <c r="F223" s="2" t="e">
        <f>VLOOKUP(E223,Offense!$A$1:$B$30,2,FALSE)</f>
        <v>#N/A</v>
      </c>
      <c r="G223" s="2" t="e">
        <f t="shared" si="3"/>
        <v>#N/A</v>
      </c>
    </row>
    <row r="224" spans="1:7" x14ac:dyDescent="0.25">
      <c r="A224">
        <v>0</v>
      </c>
      <c r="B224">
        <v>0</v>
      </c>
      <c r="C224">
        <v>0</v>
      </c>
      <c r="D224">
        <v>0</v>
      </c>
      <c r="E224" s="2" t="e">
        <f>VLOOKUP(A224,Fandual!$D$2:$K$1354,8,FALSE)</f>
        <v>#N/A</v>
      </c>
      <c r="F224" s="2" t="e">
        <f>VLOOKUP(E224,Offense!$A$1:$B$30,2,FALSE)</f>
        <v>#N/A</v>
      </c>
      <c r="G224" s="2" t="e">
        <f t="shared" si="3"/>
        <v>#N/A</v>
      </c>
    </row>
    <row r="225" spans="1:7" x14ac:dyDescent="0.25">
      <c r="A225">
        <v>0</v>
      </c>
      <c r="B225">
        <v>0</v>
      </c>
      <c r="C225">
        <v>0</v>
      </c>
      <c r="D225">
        <v>0</v>
      </c>
      <c r="E225" s="2" t="e">
        <f>VLOOKUP(A225,Fandual!$D$2:$K$1354,8,FALSE)</f>
        <v>#N/A</v>
      </c>
      <c r="F225" s="2" t="e">
        <f>VLOOKUP(E225,Offense!$A$1:$B$30,2,FALSE)</f>
        <v>#N/A</v>
      </c>
      <c r="G225" s="2" t="e">
        <f t="shared" si="3"/>
        <v>#N/A</v>
      </c>
    </row>
    <row r="226" spans="1:7" x14ac:dyDescent="0.25">
      <c r="A226">
        <v>0</v>
      </c>
      <c r="B226">
        <v>0</v>
      </c>
      <c r="C226">
        <v>0</v>
      </c>
      <c r="D226">
        <v>0</v>
      </c>
      <c r="E226" s="2" t="e">
        <f>VLOOKUP(A226,Fandual!$D$2:$K$1354,8,FALSE)</f>
        <v>#N/A</v>
      </c>
      <c r="F226" s="2" t="e">
        <f>VLOOKUP(E226,Offense!$A$1:$B$30,2,FALSE)</f>
        <v>#N/A</v>
      </c>
      <c r="G226" s="2" t="e">
        <f t="shared" si="3"/>
        <v>#N/A</v>
      </c>
    </row>
    <row r="227" spans="1:7" x14ac:dyDescent="0.25">
      <c r="A227">
        <v>0</v>
      </c>
      <c r="B227">
        <v>0</v>
      </c>
      <c r="C227">
        <v>0</v>
      </c>
      <c r="D227">
        <v>0</v>
      </c>
      <c r="E227" s="2" t="e">
        <f>VLOOKUP(A227,Fandual!$D$2:$K$1354,8,FALSE)</f>
        <v>#N/A</v>
      </c>
      <c r="F227" s="2" t="e">
        <f>VLOOKUP(E227,Offense!$A$1:$B$30,2,FALSE)</f>
        <v>#N/A</v>
      </c>
      <c r="G227" s="2" t="e">
        <f t="shared" si="3"/>
        <v>#N/A</v>
      </c>
    </row>
    <row r="228" spans="1:7" x14ac:dyDescent="0.25">
      <c r="A228">
        <v>0</v>
      </c>
      <c r="B228">
        <v>0</v>
      </c>
      <c r="C228">
        <v>0</v>
      </c>
      <c r="D228">
        <v>0</v>
      </c>
      <c r="E228" s="2" t="e">
        <f>VLOOKUP(A228,Fandual!$D$2:$K$1354,8,FALSE)</f>
        <v>#N/A</v>
      </c>
      <c r="F228" s="2" t="e">
        <f>VLOOKUP(E228,Offense!$A$1:$B$30,2,FALSE)</f>
        <v>#N/A</v>
      </c>
      <c r="G228" s="2" t="e">
        <f t="shared" si="3"/>
        <v>#N/A</v>
      </c>
    </row>
    <row r="229" spans="1:7" x14ac:dyDescent="0.25">
      <c r="A229">
        <v>0</v>
      </c>
      <c r="B229">
        <v>0</v>
      </c>
      <c r="C229">
        <v>0</v>
      </c>
      <c r="D229">
        <v>0</v>
      </c>
      <c r="E229" s="2" t="e">
        <f>VLOOKUP(A229,Fandual!$D$2:$K$1354,8,FALSE)</f>
        <v>#N/A</v>
      </c>
      <c r="F229" s="2" t="e">
        <f>VLOOKUP(E229,Offense!$A$1:$B$30,2,FALSE)</f>
        <v>#N/A</v>
      </c>
      <c r="G229" s="2" t="e">
        <f t="shared" si="3"/>
        <v>#N/A</v>
      </c>
    </row>
    <row r="230" spans="1:7" x14ac:dyDescent="0.25">
      <c r="A230">
        <v>0</v>
      </c>
      <c r="B230">
        <v>0</v>
      </c>
      <c r="C230">
        <v>0</v>
      </c>
      <c r="D230">
        <v>0</v>
      </c>
      <c r="E230" s="2" t="e">
        <f>VLOOKUP(A230,Fandual!$D$2:$K$1354,8,FALSE)</f>
        <v>#N/A</v>
      </c>
      <c r="F230" s="2" t="e">
        <f>VLOOKUP(E230,Offense!$A$1:$B$30,2,FALSE)</f>
        <v>#N/A</v>
      </c>
      <c r="G230" s="2" t="e">
        <f t="shared" si="3"/>
        <v>#N/A</v>
      </c>
    </row>
    <row r="231" spans="1:7" x14ac:dyDescent="0.25">
      <c r="A231">
        <v>0</v>
      </c>
      <c r="B231">
        <v>0</v>
      </c>
      <c r="C231">
        <v>0</v>
      </c>
      <c r="D231">
        <v>0</v>
      </c>
      <c r="E231" s="2" t="e">
        <f>VLOOKUP(A231,Fandual!$D$2:$K$1354,8,FALSE)</f>
        <v>#N/A</v>
      </c>
      <c r="F231" s="2" t="e">
        <f>VLOOKUP(E231,Offense!$A$1:$B$30,2,FALSE)</f>
        <v>#N/A</v>
      </c>
      <c r="G231" s="2" t="e">
        <f t="shared" si="3"/>
        <v>#N/A</v>
      </c>
    </row>
    <row r="232" spans="1:7" x14ac:dyDescent="0.25">
      <c r="A232">
        <v>0</v>
      </c>
      <c r="B232">
        <v>0</v>
      </c>
      <c r="C232">
        <v>0</v>
      </c>
      <c r="D232">
        <v>0</v>
      </c>
      <c r="E232" s="2" t="e">
        <f>VLOOKUP(A232,Fandual!$D$2:$K$1354,8,FALSE)</f>
        <v>#N/A</v>
      </c>
      <c r="F232" s="2" t="e">
        <f>VLOOKUP(E232,Offense!$A$1:$B$30,2,FALSE)</f>
        <v>#N/A</v>
      </c>
      <c r="G232" s="2" t="e">
        <f t="shared" si="3"/>
        <v>#N/A</v>
      </c>
    </row>
    <row r="233" spans="1:7" x14ac:dyDescent="0.25">
      <c r="A233">
        <v>0</v>
      </c>
      <c r="B233">
        <v>0</v>
      </c>
      <c r="C233">
        <v>0</v>
      </c>
      <c r="D233">
        <v>0</v>
      </c>
      <c r="E233" s="2" t="e">
        <f>VLOOKUP(A233,Fandual!$D$2:$K$1354,8,FALSE)</f>
        <v>#N/A</v>
      </c>
      <c r="F233" s="2" t="e">
        <f>VLOOKUP(E233,Offense!$A$1:$B$30,2,FALSE)</f>
        <v>#N/A</v>
      </c>
      <c r="G233" s="2" t="e">
        <f t="shared" si="3"/>
        <v>#N/A</v>
      </c>
    </row>
    <row r="234" spans="1:7" x14ac:dyDescent="0.25">
      <c r="A234">
        <v>0</v>
      </c>
      <c r="B234">
        <v>0</v>
      </c>
      <c r="C234">
        <v>0</v>
      </c>
      <c r="D234">
        <v>0</v>
      </c>
      <c r="E234" s="2" t="e">
        <f>VLOOKUP(A234,Fandual!$D$2:$K$1354,8,FALSE)</f>
        <v>#N/A</v>
      </c>
      <c r="F234" s="2" t="e">
        <f>VLOOKUP(E234,Offense!$A$1:$B$30,2,FALSE)</f>
        <v>#N/A</v>
      </c>
      <c r="G234" s="2" t="e">
        <f t="shared" si="3"/>
        <v>#N/A</v>
      </c>
    </row>
    <row r="235" spans="1:7" x14ac:dyDescent="0.25">
      <c r="A235">
        <v>0</v>
      </c>
      <c r="B235">
        <v>0</v>
      </c>
      <c r="C235">
        <v>0</v>
      </c>
      <c r="D235">
        <v>0</v>
      </c>
      <c r="E235" s="2" t="e">
        <f>VLOOKUP(A235,Fandual!$D$2:$K$1354,8,FALSE)</f>
        <v>#N/A</v>
      </c>
      <c r="F235" s="2" t="e">
        <f>VLOOKUP(E235,Offense!$A$1:$B$30,2,FALSE)</f>
        <v>#N/A</v>
      </c>
      <c r="G235" s="2" t="e">
        <f t="shared" si="3"/>
        <v>#N/A</v>
      </c>
    </row>
    <row r="236" spans="1:7" x14ac:dyDescent="0.25">
      <c r="A236">
        <v>0</v>
      </c>
      <c r="B236">
        <v>0</v>
      </c>
      <c r="C236">
        <v>0</v>
      </c>
      <c r="D236">
        <v>0</v>
      </c>
      <c r="E236" s="2" t="e">
        <f>VLOOKUP(A236,Fandual!$D$2:$K$1354,8,FALSE)</f>
        <v>#N/A</v>
      </c>
      <c r="F236" s="2" t="e">
        <f>VLOOKUP(E236,Offense!$A$1:$B$30,2,FALSE)</f>
        <v>#N/A</v>
      </c>
      <c r="G236" s="2" t="e">
        <f t="shared" si="3"/>
        <v>#N/A</v>
      </c>
    </row>
    <row r="237" spans="1:7" x14ac:dyDescent="0.25">
      <c r="A237">
        <v>0</v>
      </c>
      <c r="B237">
        <v>0</v>
      </c>
      <c r="C237">
        <v>0</v>
      </c>
      <c r="D237">
        <v>0</v>
      </c>
      <c r="E237" s="2" t="e">
        <f>VLOOKUP(A237,Fandual!$D$2:$K$1354,8,FALSE)</f>
        <v>#N/A</v>
      </c>
      <c r="F237" s="2" t="e">
        <f>VLOOKUP(E237,Offense!$A$1:$B$30,2,FALSE)</f>
        <v>#N/A</v>
      </c>
      <c r="G237" s="2" t="e">
        <f t="shared" si="3"/>
        <v>#N/A</v>
      </c>
    </row>
    <row r="238" spans="1:7" x14ac:dyDescent="0.25">
      <c r="A238">
        <v>0</v>
      </c>
      <c r="B238">
        <v>0</v>
      </c>
      <c r="C238">
        <v>0</v>
      </c>
      <c r="D238">
        <v>0</v>
      </c>
      <c r="E238" s="2" t="e">
        <f>VLOOKUP(A238,Fandual!$D$2:$K$1354,8,FALSE)</f>
        <v>#N/A</v>
      </c>
      <c r="F238" s="2" t="e">
        <f>VLOOKUP(E238,Offense!$A$1:$B$30,2,FALSE)</f>
        <v>#N/A</v>
      </c>
      <c r="G238" s="2" t="e">
        <f t="shared" si="3"/>
        <v>#N/A</v>
      </c>
    </row>
    <row r="239" spans="1:7" x14ac:dyDescent="0.25">
      <c r="A239">
        <v>0</v>
      </c>
      <c r="B239">
        <v>0</v>
      </c>
      <c r="C239">
        <v>0</v>
      </c>
      <c r="D239">
        <v>0</v>
      </c>
      <c r="E239" s="2" t="e">
        <f>VLOOKUP(A239,Fandual!$D$2:$K$1354,8,FALSE)</f>
        <v>#N/A</v>
      </c>
      <c r="F239" s="2" t="e">
        <f>VLOOKUP(E239,Offense!$A$1:$B$30,2,FALSE)</f>
        <v>#N/A</v>
      </c>
      <c r="G239" s="2" t="e">
        <f t="shared" si="3"/>
        <v>#N/A</v>
      </c>
    </row>
    <row r="240" spans="1:7" x14ac:dyDescent="0.25">
      <c r="A240">
        <v>0</v>
      </c>
      <c r="B240">
        <v>0</v>
      </c>
      <c r="C240">
        <v>0</v>
      </c>
      <c r="D240">
        <v>0</v>
      </c>
      <c r="E240" s="2" t="e">
        <f>VLOOKUP(A240,Fandual!$D$2:$K$1354,8,FALSE)</f>
        <v>#N/A</v>
      </c>
      <c r="F240" s="2" t="e">
        <f>VLOOKUP(E240,Offense!$A$1:$B$30,2,FALSE)</f>
        <v>#N/A</v>
      </c>
      <c r="G240" s="2" t="e">
        <f t="shared" si="3"/>
        <v>#N/A</v>
      </c>
    </row>
    <row r="241" spans="1:7" x14ac:dyDescent="0.25">
      <c r="A241">
        <v>0</v>
      </c>
      <c r="B241">
        <v>0</v>
      </c>
      <c r="C241">
        <v>0</v>
      </c>
      <c r="D241">
        <v>0</v>
      </c>
      <c r="E241" s="2" t="e">
        <f>VLOOKUP(A241,Fandual!$D$2:$K$1354,8,FALSE)</f>
        <v>#N/A</v>
      </c>
      <c r="F241" s="2" t="e">
        <f>VLOOKUP(E241,Offense!$A$1:$B$30,2,FALSE)</f>
        <v>#N/A</v>
      </c>
      <c r="G241" s="2" t="e">
        <f t="shared" si="3"/>
        <v>#N/A</v>
      </c>
    </row>
    <row r="242" spans="1:7" x14ac:dyDescent="0.25">
      <c r="A242">
        <v>0</v>
      </c>
      <c r="B242">
        <v>0</v>
      </c>
      <c r="C242">
        <v>0</v>
      </c>
      <c r="D242">
        <v>0</v>
      </c>
      <c r="E242" s="2" t="e">
        <f>VLOOKUP(A242,Fandual!$D$2:$K$1354,8,FALSE)</f>
        <v>#N/A</v>
      </c>
      <c r="F242" s="2" t="e">
        <f>VLOOKUP(E242,Offense!$A$1:$B$30,2,FALSE)</f>
        <v>#N/A</v>
      </c>
      <c r="G242" s="2" t="e">
        <f t="shared" si="3"/>
        <v>#N/A</v>
      </c>
    </row>
    <row r="243" spans="1:7" x14ac:dyDescent="0.25">
      <c r="A243">
        <v>0</v>
      </c>
      <c r="B243">
        <v>0</v>
      </c>
      <c r="C243">
        <v>0</v>
      </c>
      <c r="D243">
        <v>0</v>
      </c>
      <c r="E243" s="2" t="e">
        <f>VLOOKUP(A243,Fandual!$D$2:$K$1354,8,FALSE)</f>
        <v>#N/A</v>
      </c>
      <c r="F243" s="2" t="e">
        <f>VLOOKUP(E243,Offense!$A$1:$B$30,2,FALSE)</f>
        <v>#N/A</v>
      </c>
      <c r="G243" s="2" t="e">
        <f t="shared" si="3"/>
        <v>#N/A</v>
      </c>
    </row>
    <row r="244" spans="1:7" x14ac:dyDescent="0.25">
      <c r="A244">
        <v>0</v>
      </c>
      <c r="B244">
        <v>0</v>
      </c>
      <c r="C244">
        <v>0</v>
      </c>
      <c r="D244">
        <v>0</v>
      </c>
      <c r="E244" s="2" t="e">
        <f>VLOOKUP(A244,Fandual!$D$2:$K$1354,8,FALSE)</f>
        <v>#N/A</v>
      </c>
      <c r="F244" s="2" t="e">
        <f>VLOOKUP(E244,Offense!$A$1:$B$30,2,FALSE)</f>
        <v>#N/A</v>
      </c>
      <c r="G244" s="2" t="e">
        <f t="shared" si="3"/>
        <v>#N/A</v>
      </c>
    </row>
    <row r="245" spans="1:7" x14ac:dyDescent="0.25">
      <c r="A245">
        <v>0</v>
      </c>
      <c r="B245">
        <v>0</v>
      </c>
      <c r="C245">
        <v>0</v>
      </c>
      <c r="D245">
        <v>0</v>
      </c>
      <c r="E245" s="2" t="e">
        <f>VLOOKUP(A245,Fandual!$D$2:$K$1354,8,FALSE)</f>
        <v>#N/A</v>
      </c>
      <c r="F245" s="2" t="e">
        <f>VLOOKUP(E245,Offense!$A$1:$B$30,2,FALSE)</f>
        <v>#N/A</v>
      </c>
      <c r="G245" s="2" t="e">
        <f t="shared" si="3"/>
        <v>#N/A</v>
      </c>
    </row>
    <row r="246" spans="1:7" x14ac:dyDescent="0.25">
      <c r="A246">
        <v>0</v>
      </c>
      <c r="B246">
        <v>0</v>
      </c>
      <c r="C246">
        <v>0</v>
      </c>
      <c r="D246">
        <v>0</v>
      </c>
      <c r="E246" s="2" t="e">
        <f>VLOOKUP(A246,Fandual!$D$2:$K$1354,8,FALSE)</f>
        <v>#N/A</v>
      </c>
      <c r="F246" s="2" t="e">
        <f>VLOOKUP(E246,Offense!$A$1:$B$30,2,FALSE)</f>
        <v>#N/A</v>
      </c>
      <c r="G246" s="2" t="e">
        <f t="shared" si="3"/>
        <v>#N/A</v>
      </c>
    </row>
    <row r="247" spans="1:7" x14ac:dyDescent="0.25">
      <c r="A247">
        <v>0</v>
      </c>
      <c r="B247">
        <v>0</v>
      </c>
      <c r="C247">
        <v>0</v>
      </c>
      <c r="D247">
        <v>0</v>
      </c>
      <c r="E247" s="2" t="e">
        <f>VLOOKUP(A247,Fandual!$D$2:$K$1354,8,FALSE)</f>
        <v>#N/A</v>
      </c>
      <c r="F247" s="2" t="e">
        <f>VLOOKUP(E247,Offense!$A$1:$B$30,2,FALSE)</f>
        <v>#N/A</v>
      </c>
      <c r="G247" s="2" t="e">
        <f t="shared" si="3"/>
        <v>#N/A</v>
      </c>
    </row>
    <row r="248" spans="1:7" x14ac:dyDescent="0.25">
      <c r="A248">
        <v>0</v>
      </c>
      <c r="B248">
        <v>0</v>
      </c>
      <c r="C248">
        <v>0</v>
      </c>
      <c r="D248">
        <v>0</v>
      </c>
      <c r="E248" s="2" t="e">
        <f>VLOOKUP(A248,Fandual!$D$2:$K$1354,8,FALSE)</f>
        <v>#N/A</v>
      </c>
      <c r="F248" s="2" t="e">
        <f>VLOOKUP(E248,Offense!$A$1:$B$30,2,FALSE)</f>
        <v>#N/A</v>
      </c>
      <c r="G248" s="2" t="e">
        <f t="shared" si="3"/>
        <v>#N/A</v>
      </c>
    </row>
    <row r="249" spans="1:7" x14ac:dyDescent="0.25">
      <c r="A249">
        <v>0</v>
      </c>
      <c r="B249">
        <v>0</v>
      </c>
      <c r="C249">
        <v>0</v>
      </c>
      <c r="D249">
        <v>0</v>
      </c>
      <c r="E249" s="2" t="e">
        <f>VLOOKUP(A249,Fandual!$D$2:$K$1354,8,FALSE)</f>
        <v>#N/A</v>
      </c>
      <c r="F249" s="2" t="e">
        <f>VLOOKUP(E249,Offense!$A$1:$B$30,2,FALSE)</f>
        <v>#N/A</v>
      </c>
      <c r="G249" s="2" t="e">
        <f t="shared" si="3"/>
        <v>#N/A</v>
      </c>
    </row>
    <row r="250" spans="1:7" x14ac:dyDescent="0.25">
      <c r="A250">
        <v>0</v>
      </c>
      <c r="B250">
        <v>0</v>
      </c>
      <c r="C250">
        <v>0</v>
      </c>
      <c r="D250">
        <v>0</v>
      </c>
      <c r="E250" s="2" t="e">
        <f>VLOOKUP(A250,Fandual!$D$2:$K$1354,8,FALSE)</f>
        <v>#N/A</v>
      </c>
      <c r="F250" s="2" t="e">
        <f>VLOOKUP(E250,Offense!$A$1:$B$30,2,FALSE)</f>
        <v>#N/A</v>
      </c>
      <c r="G250" s="2" t="e">
        <f t="shared" si="3"/>
        <v>#N/A</v>
      </c>
    </row>
    <row r="251" spans="1:7" x14ac:dyDescent="0.25">
      <c r="A251">
        <v>0</v>
      </c>
      <c r="B251">
        <v>0</v>
      </c>
      <c r="C251">
        <v>0</v>
      </c>
      <c r="D251">
        <v>0</v>
      </c>
      <c r="E251" s="2" t="e">
        <f>VLOOKUP(A251,Fandual!$D$2:$K$1354,8,FALSE)</f>
        <v>#N/A</v>
      </c>
      <c r="F251" s="2" t="e">
        <f>VLOOKUP(E251,Offense!$A$1:$B$30,2,FALSE)</f>
        <v>#N/A</v>
      </c>
      <c r="G251" s="2" t="e">
        <f t="shared" si="3"/>
        <v>#N/A</v>
      </c>
    </row>
    <row r="252" spans="1:7" x14ac:dyDescent="0.25">
      <c r="A252">
        <v>0</v>
      </c>
      <c r="B252">
        <v>0</v>
      </c>
      <c r="C252">
        <v>0</v>
      </c>
      <c r="D252">
        <v>0</v>
      </c>
      <c r="E252" s="2" t="e">
        <f>VLOOKUP(A252,Fandual!$D$2:$K$1354,8,FALSE)</f>
        <v>#N/A</v>
      </c>
      <c r="F252" s="2" t="e">
        <f>VLOOKUP(E252,Offense!$A$1:$B$30,2,FALSE)</f>
        <v>#N/A</v>
      </c>
      <c r="G252" s="2" t="e">
        <f t="shared" si="3"/>
        <v>#N/A</v>
      </c>
    </row>
    <row r="253" spans="1:7" x14ac:dyDescent="0.25">
      <c r="A253">
        <v>0</v>
      </c>
      <c r="B253">
        <v>0</v>
      </c>
      <c r="C253">
        <v>0</v>
      </c>
      <c r="D253">
        <v>0</v>
      </c>
      <c r="E253" s="2" t="e">
        <f>VLOOKUP(A253,Fandual!$D$2:$K$1354,8,FALSE)</f>
        <v>#N/A</v>
      </c>
      <c r="F253" s="2" t="e">
        <f>VLOOKUP(E253,Offense!$A$1:$B$30,2,FALSE)</f>
        <v>#N/A</v>
      </c>
      <c r="G253" s="2" t="e">
        <f t="shared" si="3"/>
        <v>#N/A</v>
      </c>
    </row>
    <row r="254" spans="1:7" x14ac:dyDescent="0.25">
      <c r="A254">
        <v>0</v>
      </c>
      <c r="B254">
        <v>0</v>
      </c>
      <c r="C254">
        <v>0</v>
      </c>
      <c r="D254">
        <v>0</v>
      </c>
      <c r="E254" s="2" t="e">
        <f>VLOOKUP(A254,Fandual!$D$2:$K$1354,8,FALSE)</f>
        <v>#N/A</v>
      </c>
      <c r="F254" s="2" t="e">
        <f>VLOOKUP(E254,Offense!$A$1:$B$30,2,FALSE)</f>
        <v>#N/A</v>
      </c>
      <c r="G254" s="2" t="e">
        <f t="shared" si="3"/>
        <v>#N/A</v>
      </c>
    </row>
    <row r="255" spans="1:7" x14ac:dyDescent="0.25">
      <c r="A255">
        <v>0</v>
      </c>
      <c r="B255">
        <v>0</v>
      </c>
      <c r="C255">
        <v>0</v>
      </c>
      <c r="D255">
        <v>0</v>
      </c>
      <c r="E255" s="2" t="e">
        <f>VLOOKUP(A255,Fandual!$D$2:$K$1354,8,FALSE)</f>
        <v>#N/A</v>
      </c>
      <c r="F255" s="2" t="e">
        <f>VLOOKUP(E255,Offense!$A$1:$B$30,2,FALSE)</f>
        <v>#N/A</v>
      </c>
      <c r="G255" s="2" t="e">
        <f t="shared" si="3"/>
        <v>#N/A</v>
      </c>
    </row>
    <row r="256" spans="1:7" x14ac:dyDescent="0.25">
      <c r="A256">
        <v>0</v>
      </c>
      <c r="B256">
        <v>0</v>
      </c>
      <c r="C256">
        <v>0</v>
      </c>
      <c r="D256">
        <v>0</v>
      </c>
      <c r="E256" s="2" t="e">
        <f>VLOOKUP(A256,Fandual!$D$2:$K$1354,8,FALSE)</f>
        <v>#N/A</v>
      </c>
      <c r="F256" s="2" t="e">
        <f>VLOOKUP(E256,Offense!$A$1:$B$30,2,FALSE)</f>
        <v>#N/A</v>
      </c>
      <c r="G256" s="2" t="e">
        <f t="shared" si="3"/>
        <v>#N/A</v>
      </c>
    </row>
    <row r="257" spans="1:7" x14ac:dyDescent="0.25">
      <c r="A257">
        <v>0</v>
      </c>
      <c r="B257">
        <v>0</v>
      </c>
      <c r="C257">
        <v>0</v>
      </c>
      <c r="D257">
        <v>0</v>
      </c>
      <c r="E257" s="2" t="e">
        <f>VLOOKUP(A257,Fandual!$D$2:$K$1354,8,FALSE)</f>
        <v>#N/A</v>
      </c>
      <c r="F257" s="2" t="e">
        <f>VLOOKUP(E257,Offense!$A$1:$B$30,2,FALSE)</f>
        <v>#N/A</v>
      </c>
      <c r="G257" s="2" t="e">
        <f t="shared" si="3"/>
        <v>#N/A</v>
      </c>
    </row>
    <row r="258" spans="1:7" x14ac:dyDescent="0.25">
      <c r="A258">
        <v>0</v>
      </c>
      <c r="B258">
        <v>0</v>
      </c>
      <c r="C258">
        <v>0</v>
      </c>
      <c r="D258">
        <v>0</v>
      </c>
      <c r="E258" s="2" t="e">
        <f>VLOOKUP(A258,Fandual!$D$2:$K$1354,8,FALSE)</f>
        <v>#N/A</v>
      </c>
      <c r="F258" s="2" t="e">
        <f>VLOOKUP(E258,Offense!$A$1:$B$30,2,FALSE)</f>
        <v>#N/A</v>
      </c>
      <c r="G258" s="2" t="e">
        <f t="shared" si="3"/>
        <v>#N/A</v>
      </c>
    </row>
    <row r="259" spans="1:7" x14ac:dyDescent="0.25">
      <c r="A259">
        <v>0</v>
      </c>
      <c r="B259">
        <v>0</v>
      </c>
      <c r="C259">
        <v>0</v>
      </c>
      <c r="D259">
        <v>0</v>
      </c>
      <c r="E259" s="2" t="e">
        <f>VLOOKUP(A259,Fandual!$D$2:$K$1354,8,FALSE)</f>
        <v>#N/A</v>
      </c>
      <c r="F259" s="2" t="e">
        <f>VLOOKUP(E259,Offense!$A$1:$B$30,2,FALSE)</f>
        <v>#N/A</v>
      </c>
      <c r="G259" s="2" t="e">
        <f t="shared" ref="G259:G322" si="4">E259</f>
        <v>#N/A</v>
      </c>
    </row>
    <row r="260" spans="1:7" x14ac:dyDescent="0.25">
      <c r="A260">
        <v>0</v>
      </c>
      <c r="B260">
        <v>0</v>
      </c>
      <c r="C260">
        <v>0</v>
      </c>
      <c r="D260">
        <v>0</v>
      </c>
      <c r="E260" s="2" t="e">
        <f>VLOOKUP(A260,Fandual!$D$2:$K$1354,8,FALSE)</f>
        <v>#N/A</v>
      </c>
      <c r="F260" s="2" t="e">
        <f>VLOOKUP(E260,Offense!$A$1:$B$30,2,FALSE)</f>
        <v>#N/A</v>
      </c>
      <c r="G260" s="2" t="e">
        <f t="shared" si="4"/>
        <v>#N/A</v>
      </c>
    </row>
    <row r="261" spans="1:7" x14ac:dyDescent="0.25">
      <c r="A261">
        <v>0</v>
      </c>
      <c r="B261">
        <v>0</v>
      </c>
      <c r="C261">
        <v>0</v>
      </c>
      <c r="D261">
        <v>0</v>
      </c>
      <c r="E261" s="2" t="e">
        <f>VLOOKUP(A261,Fandual!$D$2:$K$1354,8,FALSE)</f>
        <v>#N/A</v>
      </c>
      <c r="F261" s="2" t="e">
        <f>VLOOKUP(E261,Offense!$A$1:$B$30,2,FALSE)</f>
        <v>#N/A</v>
      </c>
      <c r="G261" s="2" t="e">
        <f t="shared" si="4"/>
        <v>#N/A</v>
      </c>
    </row>
    <row r="262" spans="1:7" x14ac:dyDescent="0.25">
      <c r="A262">
        <v>0</v>
      </c>
      <c r="B262">
        <v>0</v>
      </c>
      <c r="C262">
        <v>0</v>
      </c>
      <c r="D262">
        <v>0</v>
      </c>
      <c r="E262" s="2" t="e">
        <f>VLOOKUP(A262,Fandual!$D$2:$K$1354,8,FALSE)</f>
        <v>#N/A</v>
      </c>
      <c r="F262" s="2" t="e">
        <f>VLOOKUP(E262,Offense!$A$1:$B$30,2,FALSE)</f>
        <v>#N/A</v>
      </c>
      <c r="G262" s="2" t="e">
        <f t="shared" si="4"/>
        <v>#N/A</v>
      </c>
    </row>
    <row r="263" spans="1:7" x14ac:dyDescent="0.25">
      <c r="A263">
        <v>0</v>
      </c>
      <c r="B263">
        <v>0</v>
      </c>
      <c r="C263">
        <v>0</v>
      </c>
      <c r="D263">
        <v>0</v>
      </c>
      <c r="E263" s="2" t="e">
        <f>VLOOKUP(A263,Fandual!$D$2:$K$1354,8,FALSE)</f>
        <v>#N/A</v>
      </c>
      <c r="F263" s="2" t="e">
        <f>VLOOKUP(E263,Offense!$A$1:$B$30,2,FALSE)</f>
        <v>#N/A</v>
      </c>
      <c r="G263" s="2" t="e">
        <f t="shared" si="4"/>
        <v>#N/A</v>
      </c>
    </row>
    <row r="264" spans="1:7" x14ac:dyDescent="0.25">
      <c r="A264">
        <v>0</v>
      </c>
      <c r="B264">
        <v>0</v>
      </c>
      <c r="C264">
        <v>0</v>
      </c>
      <c r="D264">
        <v>0</v>
      </c>
      <c r="E264" s="2" t="e">
        <f>VLOOKUP(A264,Fandual!$D$2:$K$1354,8,FALSE)</f>
        <v>#N/A</v>
      </c>
      <c r="F264" s="2" t="e">
        <f>VLOOKUP(E264,Offense!$A$1:$B$30,2,FALSE)</f>
        <v>#N/A</v>
      </c>
      <c r="G264" s="2" t="e">
        <f t="shared" si="4"/>
        <v>#N/A</v>
      </c>
    </row>
    <row r="265" spans="1:7" x14ac:dyDescent="0.25">
      <c r="A265">
        <v>0</v>
      </c>
      <c r="B265">
        <v>0</v>
      </c>
      <c r="C265">
        <v>0</v>
      </c>
      <c r="D265">
        <v>0</v>
      </c>
      <c r="E265" s="2" t="e">
        <f>VLOOKUP(A265,Fandual!$D$2:$K$1354,8,FALSE)</f>
        <v>#N/A</v>
      </c>
      <c r="F265" s="2" t="e">
        <f>VLOOKUP(E265,Offense!$A$1:$B$30,2,FALSE)</f>
        <v>#N/A</v>
      </c>
      <c r="G265" s="2" t="e">
        <f t="shared" si="4"/>
        <v>#N/A</v>
      </c>
    </row>
    <row r="266" spans="1:7" x14ac:dyDescent="0.25">
      <c r="A266">
        <v>0</v>
      </c>
      <c r="B266">
        <v>0</v>
      </c>
      <c r="C266">
        <v>0</v>
      </c>
      <c r="D266">
        <v>0</v>
      </c>
      <c r="E266" s="2" t="e">
        <f>VLOOKUP(A266,Fandual!$D$2:$K$1354,8,FALSE)</f>
        <v>#N/A</v>
      </c>
      <c r="F266" s="2" t="e">
        <f>VLOOKUP(E266,Offense!$A$1:$B$30,2,FALSE)</f>
        <v>#N/A</v>
      </c>
      <c r="G266" s="2" t="e">
        <f t="shared" si="4"/>
        <v>#N/A</v>
      </c>
    </row>
    <row r="267" spans="1:7" x14ac:dyDescent="0.25">
      <c r="A267">
        <v>0</v>
      </c>
      <c r="B267">
        <v>0</v>
      </c>
      <c r="C267">
        <v>0</v>
      </c>
      <c r="D267">
        <v>0</v>
      </c>
      <c r="E267" s="2" t="e">
        <f>VLOOKUP(A267,Fandual!$D$2:$K$1354,8,FALSE)</f>
        <v>#N/A</v>
      </c>
      <c r="F267" s="2" t="e">
        <f>VLOOKUP(E267,Offense!$A$1:$B$30,2,FALSE)</f>
        <v>#N/A</v>
      </c>
      <c r="G267" s="2" t="e">
        <f t="shared" si="4"/>
        <v>#N/A</v>
      </c>
    </row>
    <row r="268" spans="1:7" x14ac:dyDescent="0.25">
      <c r="A268">
        <v>0</v>
      </c>
      <c r="B268">
        <v>0</v>
      </c>
      <c r="C268">
        <v>0</v>
      </c>
      <c r="D268">
        <v>0</v>
      </c>
      <c r="E268" s="2" t="e">
        <f>VLOOKUP(A268,Fandual!$D$2:$K$1354,8,FALSE)</f>
        <v>#N/A</v>
      </c>
      <c r="F268" s="2" t="e">
        <f>VLOOKUP(E268,Offense!$A$1:$B$30,2,FALSE)</f>
        <v>#N/A</v>
      </c>
      <c r="G268" s="2" t="e">
        <f t="shared" si="4"/>
        <v>#N/A</v>
      </c>
    </row>
    <row r="269" spans="1:7" x14ac:dyDescent="0.25">
      <c r="A269">
        <v>0</v>
      </c>
      <c r="B269">
        <v>0</v>
      </c>
      <c r="C269">
        <v>0</v>
      </c>
      <c r="D269">
        <v>0</v>
      </c>
      <c r="E269" s="2" t="e">
        <f>VLOOKUP(A269,Fandual!$D$2:$K$1354,8,FALSE)</f>
        <v>#N/A</v>
      </c>
      <c r="F269" s="2" t="e">
        <f>VLOOKUP(E269,Offense!$A$1:$B$30,2,FALSE)</f>
        <v>#N/A</v>
      </c>
      <c r="G269" s="2" t="e">
        <f t="shared" si="4"/>
        <v>#N/A</v>
      </c>
    </row>
    <row r="270" spans="1:7" x14ac:dyDescent="0.25">
      <c r="A270">
        <v>0</v>
      </c>
      <c r="B270">
        <v>0</v>
      </c>
      <c r="C270">
        <v>0</v>
      </c>
      <c r="D270">
        <v>0</v>
      </c>
      <c r="E270" s="2" t="e">
        <f>VLOOKUP(A270,Fandual!$D$2:$K$1354,8,FALSE)</f>
        <v>#N/A</v>
      </c>
      <c r="F270" s="2" t="e">
        <f>VLOOKUP(E270,Offense!$A$1:$B$30,2,FALSE)</f>
        <v>#N/A</v>
      </c>
      <c r="G270" s="2" t="e">
        <f t="shared" si="4"/>
        <v>#N/A</v>
      </c>
    </row>
    <row r="271" spans="1:7" x14ac:dyDescent="0.25">
      <c r="A271">
        <v>0</v>
      </c>
      <c r="B271">
        <v>0</v>
      </c>
      <c r="C271">
        <v>0</v>
      </c>
      <c r="D271">
        <v>0</v>
      </c>
      <c r="E271" s="2" t="e">
        <f>VLOOKUP(A271,Fandual!$D$2:$K$1354,8,FALSE)</f>
        <v>#N/A</v>
      </c>
      <c r="F271" s="2" t="e">
        <f>VLOOKUP(E271,Offense!$A$1:$B$30,2,FALSE)</f>
        <v>#N/A</v>
      </c>
      <c r="G271" s="2" t="e">
        <f t="shared" si="4"/>
        <v>#N/A</v>
      </c>
    </row>
    <row r="272" spans="1:7" x14ac:dyDescent="0.25">
      <c r="A272">
        <v>0</v>
      </c>
      <c r="B272">
        <v>0</v>
      </c>
      <c r="C272">
        <v>0</v>
      </c>
      <c r="D272">
        <v>0</v>
      </c>
      <c r="E272" s="2" t="e">
        <f>VLOOKUP(A272,Fandual!$D$2:$K$1354,8,FALSE)</f>
        <v>#N/A</v>
      </c>
      <c r="F272" s="2" t="e">
        <f>VLOOKUP(E272,Offense!$A$1:$B$30,2,FALSE)</f>
        <v>#N/A</v>
      </c>
      <c r="G272" s="2" t="e">
        <f t="shared" si="4"/>
        <v>#N/A</v>
      </c>
    </row>
    <row r="273" spans="1:7" x14ac:dyDescent="0.25">
      <c r="A273">
        <v>0</v>
      </c>
      <c r="B273">
        <v>0</v>
      </c>
      <c r="C273">
        <v>0</v>
      </c>
      <c r="D273">
        <v>0</v>
      </c>
      <c r="E273" s="2" t="e">
        <f>VLOOKUP(A273,Fandual!$D$2:$K$1354,8,FALSE)</f>
        <v>#N/A</v>
      </c>
      <c r="F273" s="2" t="e">
        <f>VLOOKUP(E273,Offense!$A$1:$B$30,2,FALSE)</f>
        <v>#N/A</v>
      </c>
      <c r="G273" s="2" t="e">
        <f t="shared" si="4"/>
        <v>#N/A</v>
      </c>
    </row>
    <row r="274" spans="1:7" x14ac:dyDescent="0.25">
      <c r="A274">
        <v>0</v>
      </c>
      <c r="B274">
        <v>0</v>
      </c>
      <c r="C274">
        <v>0</v>
      </c>
      <c r="D274">
        <v>0</v>
      </c>
      <c r="E274" s="2" t="e">
        <f>VLOOKUP(A274,Fandual!$D$2:$K$1354,8,FALSE)</f>
        <v>#N/A</v>
      </c>
      <c r="F274" s="2" t="e">
        <f>VLOOKUP(E274,Offense!$A$1:$B$30,2,FALSE)</f>
        <v>#N/A</v>
      </c>
      <c r="G274" s="2" t="e">
        <f t="shared" si="4"/>
        <v>#N/A</v>
      </c>
    </row>
    <row r="275" spans="1:7" x14ac:dyDescent="0.25">
      <c r="A275">
        <v>0</v>
      </c>
      <c r="B275">
        <v>0</v>
      </c>
      <c r="C275">
        <v>0</v>
      </c>
      <c r="D275">
        <v>0</v>
      </c>
      <c r="E275" s="2" t="e">
        <f>VLOOKUP(A275,Fandual!$D$2:$K$1354,8,FALSE)</f>
        <v>#N/A</v>
      </c>
      <c r="F275" s="2" t="e">
        <f>VLOOKUP(E275,Offense!$A$1:$B$30,2,FALSE)</f>
        <v>#N/A</v>
      </c>
      <c r="G275" s="2" t="e">
        <f t="shared" si="4"/>
        <v>#N/A</v>
      </c>
    </row>
    <row r="276" spans="1:7" x14ac:dyDescent="0.25">
      <c r="A276">
        <v>0</v>
      </c>
      <c r="B276">
        <v>0</v>
      </c>
      <c r="C276">
        <v>0</v>
      </c>
      <c r="D276">
        <v>0</v>
      </c>
      <c r="E276" s="2" t="e">
        <f>VLOOKUP(A276,Fandual!$D$2:$K$1354,8,FALSE)</f>
        <v>#N/A</v>
      </c>
      <c r="F276" s="2" t="e">
        <f>VLOOKUP(E276,Offense!$A$1:$B$30,2,FALSE)</f>
        <v>#N/A</v>
      </c>
      <c r="G276" s="2" t="e">
        <f t="shared" si="4"/>
        <v>#N/A</v>
      </c>
    </row>
    <row r="277" spans="1:7" x14ac:dyDescent="0.25">
      <c r="A277">
        <v>0</v>
      </c>
      <c r="B277">
        <v>0</v>
      </c>
      <c r="C277">
        <v>0</v>
      </c>
      <c r="D277">
        <v>0</v>
      </c>
      <c r="E277" s="2" t="e">
        <f>VLOOKUP(A277,Fandual!$D$2:$K$1354,8,FALSE)</f>
        <v>#N/A</v>
      </c>
      <c r="F277" s="2" t="e">
        <f>VLOOKUP(E277,Offense!$A$1:$B$30,2,FALSE)</f>
        <v>#N/A</v>
      </c>
      <c r="G277" s="2" t="e">
        <f t="shared" si="4"/>
        <v>#N/A</v>
      </c>
    </row>
    <row r="278" spans="1:7" x14ac:dyDescent="0.25">
      <c r="A278">
        <v>0</v>
      </c>
      <c r="B278">
        <v>0</v>
      </c>
      <c r="C278">
        <v>0</v>
      </c>
      <c r="D278">
        <v>0</v>
      </c>
      <c r="E278" s="2" t="e">
        <f>VLOOKUP(A278,Fandual!$D$2:$K$1354,8,FALSE)</f>
        <v>#N/A</v>
      </c>
      <c r="F278" s="2" t="e">
        <f>VLOOKUP(E278,Offense!$A$1:$B$30,2,FALSE)</f>
        <v>#N/A</v>
      </c>
      <c r="G278" s="2" t="e">
        <f t="shared" si="4"/>
        <v>#N/A</v>
      </c>
    </row>
    <row r="279" spans="1:7" x14ac:dyDescent="0.25">
      <c r="A279">
        <v>0</v>
      </c>
      <c r="B279">
        <v>0</v>
      </c>
      <c r="C279">
        <v>0</v>
      </c>
      <c r="D279">
        <v>0</v>
      </c>
      <c r="E279" s="2" t="e">
        <f>VLOOKUP(A279,Fandual!$D$2:$K$1354,8,FALSE)</f>
        <v>#N/A</v>
      </c>
      <c r="F279" s="2" t="e">
        <f>VLOOKUP(E279,Offense!$A$1:$B$30,2,FALSE)</f>
        <v>#N/A</v>
      </c>
      <c r="G279" s="2" t="e">
        <f t="shared" si="4"/>
        <v>#N/A</v>
      </c>
    </row>
    <row r="280" spans="1:7" x14ac:dyDescent="0.25">
      <c r="A280">
        <v>0</v>
      </c>
      <c r="B280">
        <v>0</v>
      </c>
      <c r="C280">
        <v>0</v>
      </c>
      <c r="D280">
        <v>0</v>
      </c>
      <c r="E280" s="2" t="e">
        <f>VLOOKUP(A280,Fandual!$D$2:$K$1354,8,FALSE)</f>
        <v>#N/A</v>
      </c>
      <c r="F280" s="2" t="e">
        <f>VLOOKUP(E280,Offense!$A$1:$B$30,2,FALSE)</f>
        <v>#N/A</v>
      </c>
      <c r="G280" s="2" t="e">
        <f t="shared" si="4"/>
        <v>#N/A</v>
      </c>
    </row>
    <row r="281" spans="1:7" x14ac:dyDescent="0.25">
      <c r="A281">
        <v>0</v>
      </c>
      <c r="B281">
        <v>0</v>
      </c>
      <c r="C281">
        <v>0</v>
      </c>
      <c r="D281">
        <v>0</v>
      </c>
      <c r="E281" s="2" t="e">
        <f>VLOOKUP(A281,Fandual!$D$2:$K$1354,8,FALSE)</f>
        <v>#N/A</v>
      </c>
      <c r="F281" s="2" t="e">
        <f>VLOOKUP(E281,Offense!$A$1:$B$30,2,FALSE)</f>
        <v>#N/A</v>
      </c>
      <c r="G281" s="2" t="e">
        <f t="shared" si="4"/>
        <v>#N/A</v>
      </c>
    </row>
    <row r="282" spans="1:7" x14ac:dyDescent="0.25">
      <c r="A282">
        <v>0</v>
      </c>
      <c r="B282">
        <v>0</v>
      </c>
      <c r="C282">
        <v>0</v>
      </c>
      <c r="D282">
        <v>0</v>
      </c>
      <c r="E282" s="2" t="e">
        <f>VLOOKUP(A282,Fandual!$D$2:$K$1354,8,FALSE)</f>
        <v>#N/A</v>
      </c>
      <c r="F282" s="2" t="e">
        <f>VLOOKUP(E282,Offense!$A$1:$B$30,2,FALSE)</f>
        <v>#N/A</v>
      </c>
      <c r="G282" s="2" t="e">
        <f t="shared" si="4"/>
        <v>#N/A</v>
      </c>
    </row>
    <row r="283" spans="1:7" x14ac:dyDescent="0.25">
      <c r="A283">
        <v>0</v>
      </c>
      <c r="B283">
        <v>0</v>
      </c>
      <c r="C283">
        <v>0</v>
      </c>
      <c r="D283">
        <v>0</v>
      </c>
      <c r="E283" s="2" t="e">
        <f>VLOOKUP(A283,Fandual!$D$2:$K$1354,8,FALSE)</f>
        <v>#N/A</v>
      </c>
      <c r="F283" s="2" t="e">
        <f>VLOOKUP(E283,Offense!$A$1:$B$30,2,FALSE)</f>
        <v>#N/A</v>
      </c>
      <c r="G283" s="2" t="e">
        <f t="shared" si="4"/>
        <v>#N/A</v>
      </c>
    </row>
    <row r="284" spans="1:7" x14ac:dyDescent="0.25">
      <c r="A284">
        <v>0</v>
      </c>
      <c r="B284">
        <v>0</v>
      </c>
      <c r="C284">
        <v>0</v>
      </c>
      <c r="D284">
        <v>0</v>
      </c>
      <c r="E284" s="2" t="e">
        <f>VLOOKUP(A284,Fandual!$D$2:$K$1354,8,FALSE)</f>
        <v>#N/A</v>
      </c>
      <c r="F284" s="2" t="e">
        <f>VLOOKUP(E284,Offense!$A$1:$B$30,2,FALSE)</f>
        <v>#N/A</v>
      </c>
      <c r="G284" s="2" t="e">
        <f t="shared" si="4"/>
        <v>#N/A</v>
      </c>
    </row>
    <row r="285" spans="1:7" x14ac:dyDescent="0.25">
      <c r="A285">
        <v>0</v>
      </c>
      <c r="B285">
        <v>0</v>
      </c>
      <c r="C285">
        <v>0</v>
      </c>
      <c r="D285">
        <v>0</v>
      </c>
      <c r="E285" s="2" t="e">
        <f>VLOOKUP(A285,Fandual!$D$2:$K$1354,8,FALSE)</f>
        <v>#N/A</v>
      </c>
      <c r="F285" s="2" t="e">
        <f>VLOOKUP(E285,Offense!$A$1:$B$30,2,FALSE)</f>
        <v>#N/A</v>
      </c>
      <c r="G285" s="2" t="e">
        <f t="shared" si="4"/>
        <v>#N/A</v>
      </c>
    </row>
    <row r="286" spans="1:7" x14ac:dyDescent="0.25">
      <c r="A286">
        <v>0</v>
      </c>
      <c r="B286">
        <v>0</v>
      </c>
      <c r="C286">
        <v>0</v>
      </c>
      <c r="D286">
        <v>0</v>
      </c>
      <c r="E286" s="2" t="e">
        <f>VLOOKUP(A286,Fandual!$D$2:$K$1354,8,FALSE)</f>
        <v>#N/A</v>
      </c>
      <c r="F286" s="2" t="e">
        <f>VLOOKUP(E286,Offense!$A$1:$B$30,2,FALSE)</f>
        <v>#N/A</v>
      </c>
      <c r="G286" s="2" t="e">
        <f t="shared" si="4"/>
        <v>#N/A</v>
      </c>
    </row>
    <row r="287" spans="1:7" x14ac:dyDescent="0.25">
      <c r="A287">
        <v>0</v>
      </c>
      <c r="B287">
        <v>0</v>
      </c>
      <c r="C287">
        <v>0</v>
      </c>
      <c r="D287">
        <v>0</v>
      </c>
      <c r="E287" s="2" t="e">
        <f>VLOOKUP(A287,Fandual!$D$2:$K$1354,8,FALSE)</f>
        <v>#N/A</v>
      </c>
      <c r="F287" s="2" t="e">
        <f>VLOOKUP(E287,Offense!$A$1:$B$30,2,FALSE)</f>
        <v>#N/A</v>
      </c>
      <c r="G287" s="2" t="e">
        <f t="shared" si="4"/>
        <v>#N/A</v>
      </c>
    </row>
    <row r="288" spans="1:7" x14ac:dyDescent="0.25">
      <c r="A288">
        <v>0</v>
      </c>
      <c r="B288">
        <v>0</v>
      </c>
      <c r="C288">
        <v>0</v>
      </c>
      <c r="D288">
        <v>0</v>
      </c>
      <c r="E288" s="2" t="e">
        <f>VLOOKUP(A288,Fandual!$D$2:$K$1354,8,FALSE)</f>
        <v>#N/A</v>
      </c>
      <c r="F288" s="2" t="e">
        <f>VLOOKUP(E288,Offense!$A$1:$B$30,2,FALSE)</f>
        <v>#N/A</v>
      </c>
      <c r="G288" s="2" t="e">
        <f t="shared" si="4"/>
        <v>#N/A</v>
      </c>
    </row>
    <row r="289" spans="1:7" x14ac:dyDescent="0.25">
      <c r="A289">
        <v>0</v>
      </c>
      <c r="B289">
        <v>0</v>
      </c>
      <c r="C289">
        <v>0</v>
      </c>
      <c r="D289">
        <v>0</v>
      </c>
      <c r="E289" s="2" t="e">
        <f>VLOOKUP(A289,Fandual!$D$2:$K$1354,8,FALSE)</f>
        <v>#N/A</v>
      </c>
      <c r="F289" s="2" t="e">
        <f>VLOOKUP(E289,Offense!$A$1:$B$30,2,FALSE)</f>
        <v>#N/A</v>
      </c>
      <c r="G289" s="2" t="e">
        <f t="shared" si="4"/>
        <v>#N/A</v>
      </c>
    </row>
    <row r="290" spans="1:7" x14ac:dyDescent="0.25">
      <c r="A290">
        <v>0</v>
      </c>
      <c r="B290">
        <v>0</v>
      </c>
      <c r="C290">
        <v>0</v>
      </c>
      <c r="D290">
        <v>0</v>
      </c>
      <c r="E290" s="2" t="e">
        <f>VLOOKUP(A290,Fandual!$D$2:$K$1354,8,FALSE)</f>
        <v>#N/A</v>
      </c>
      <c r="F290" s="2" t="e">
        <f>VLOOKUP(E290,Offense!$A$1:$B$30,2,FALSE)</f>
        <v>#N/A</v>
      </c>
      <c r="G290" s="2" t="e">
        <f t="shared" si="4"/>
        <v>#N/A</v>
      </c>
    </row>
    <row r="291" spans="1:7" x14ac:dyDescent="0.25">
      <c r="A291">
        <v>0</v>
      </c>
      <c r="B291">
        <v>0</v>
      </c>
      <c r="C291">
        <v>0</v>
      </c>
      <c r="D291">
        <v>0</v>
      </c>
      <c r="E291" s="2" t="e">
        <f>VLOOKUP(A291,Fandual!$D$2:$K$1354,8,FALSE)</f>
        <v>#N/A</v>
      </c>
      <c r="F291" s="2" t="e">
        <f>VLOOKUP(E291,Offense!$A$1:$B$30,2,FALSE)</f>
        <v>#N/A</v>
      </c>
      <c r="G291" s="2" t="e">
        <f t="shared" si="4"/>
        <v>#N/A</v>
      </c>
    </row>
    <row r="292" spans="1:7" x14ac:dyDescent="0.25">
      <c r="A292">
        <v>0</v>
      </c>
      <c r="B292">
        <v>0</v>
      </c>
      <c r="C292">
        <v>0</v>
      </c>
      <c r="D292">
        <v>0</v>
      </c>
      <c r="E292" s="2" t="e">
        <f>VLOOKUP(A292,Fandual!$D$2:$K$1354,8,FALSE)</f>
        <v>#N/A</v>
      </c>
      <c r="F292" s="2" t="e">
        <f>VLOOKUP(E292,Offense!$A$1:$B$30,2,FALSE)</f>
        <v>#N/A</v>
      </c>
      <c r="G292" s="2" t="e">
        <f t="shared" si="4"/>
        <v>#N/A</v>
      </c>
    </row>
    <row r="293" spans="1:7" x14ac:dyDescent="0.25">
      <c r="A293">
        <v>0</v>
      </c>
      <c r="B293">
        <v>0</v>
      </c>
      <c r="C293">
        <v>0</v>
      </c>
      <c r="D293">
        <v>0</v>
      </c>
      <c r="E293" s="2" t="e">
        <f>VLOOKUP(A293,Fandual!$D$2:$K$1354,8,FALSE)</f>
        <v>#N/A</v>
      </c>
      <c r="F293" s="2" t="e">
        <f>VLOOKUP(E293,Offense!$A$1:$B$30,2,FALSE)</f>
        <v>#N/A</v>
      </c>
      <c r="G293" s="2" t="e">
        <f t="shared" si="4"/>
        <v>#N/A</v>
      </c>
    </row>
    <row r="294" spans="1:7" x14ac:dyDescent="0.25">
      <c r="A294">
        <v>0</v>
      </c>
      <c r="B294">
        <v>0</v>
      </c>
      <c r="C294">
        <v>0</v>
      </c>
      <c r="D294">
        <v>0</v>
      </c>
      <c r="E294" s="2" t="e">
        <f>VLOOKUP(A294,Fandual!$D$2:$K$1354,8,FALSE)</f>
        <v>#N/A</v>
      </c>
      <c r="F294" s="2" t="e">
        <f>VLOOKUP(E294,Offense!$A$1:$B$30,2,FALSE)</f>
        <v>#N/A</v>
      </c>
      <c r="G294" s="2" t="e">
        <f t="shared" si="4"/>
        <v>#N/A</v>
      </c>
    </row>
    <row r="295" spans="1:7" x14ac:dyDescent="0.25">
      <c r="A295">
        <v>0</v>
      </c>
      <c r="B295">
        <v>0</v>
      </c>
      <c r="C295">
        <v>0</v>
      </c>
      <c r="D295">
        <v>0</v>
      </c>
      <c r="E295" s="2" t="e">
        <f>VLOOKUP(A295,Fandual!$D$2:$K$1354,8,FALSE)</f>
        <v>#N/A</v>
      </c>
      <c r="F295" s="2" t="e">
        <f>VLOOKUP(E295,Offense!$A$1:$B$30,2,FALSE)</f>
        <v>#N/A</v>
      </c>
      <c r="G295" s="2" t="e">
        <f t="shared" si="4"/>
        <v>#N/A</v>
      </c>
    </row>
    <row r="296" spans="1:7" x14ac:dyDescent="0.25">
      <c r="A296">
        <v>0</v>
      </c>
      <c r="B296">
        <v>0</v>
      </c>
      <c r="C296">
        <v>0</v>
      </c>
      <c r="D296">
        <v>0</v>
      </c>
      <c r="E296" s="2" t="e">
        <f>VLOOKUP(A296,Fandual!$D$2:$K$1354,8,FALSE)</f>
        <v>#N/A</v>
      </c>
      <c r="F296" s="2" t="e">
        <f>VLOOKUP(E296,Offense!$A$1:$B$30,2,FALSE)</f>
        <v>#N/A</v>
      </c>
      <c r="G296" s="2" t="e">
        <f t="shared" si="4"/>
        <v>#N/A</v>
      </c>
    </row>
    <row r="297" spans="1:7" x14ac:dyDescent="0.25">
      <c r="A297">
        <v>0</v>
      </c>
      <c r="B297">
        <v>0</v>
      </c>
      <c r="C297">
        <v>0</v>
      </c>
      <c r="D297">
        <v>0</v>
      </c>
      <c r="E297" s="2" t="e">
        <f>VLOOKUP(A297,Fandual!$D$2:$K$1354,8,FALSE)</f>
        <v>#N/A</v>
      </c>
      <c r="F297" s="2" t="e">
        <f>VLOOKUP(E297,Offense!$A$1:$B$30,2,FALSE)</f>
        <v>#N/A</v>
      </c>
      <c r="G297" s="2" t="e">
        <f t="shared" si="4"/>
        <v>#N/A</v>
      </c>
    </row>
    <row r="298" spans="1:7" x14ac:dyDescent="0.25">
      <c r="A298">
        <v>0</v>
      </c>
      <c r="B298">
        <v>0</v>
      </c>
      <c r="C298">
        <v>0</v>
      </c>
      <c r="D298">
        <v>0</v>
      </c>
      <c r="E298" s="2" t="e">
        <f>VLOOKUP(A298,Fandual!$D$2:$K$1354,8,FALSE)</f>
        <v>#N/A</v>
      </c>
      <c r="F298" s="2" t="e">
        <f>VLOOKUP(E298,Offense!$A$1:$B$30,2,FALSE)</f>
        <v>#N/A</v>
      </c>
      <c r="G298" s="2" t="e">
        <f t="shared" si="4"/>
        <v>#N/A</v>
      </c>
    </row>
    <row r="299" spans="1:7" x14ac:dyDescent="0.25">
      <c r="A299">
        <v>0</v>
      </c>
      <c r="B299">
        <v>0</v>
      </c>
      <c r="C299">
        <v>0</v>
      </c>
      <c r="D299">
        <v>0</v>
      </c>
      <c r="E299" s="2" t="e">
        <f>VLOOKUP(A299,Fandual!$D$2:$K$1354,8,FALSE)</f>
        <v>#N/A</v>
      </c>
      <c r="F299" s="2" t="e">
        <f>VLOOKUP(E299,Offense!$A$1:$B$30,2,FALSE)</f>
        <v>#N/A</v>
      </c>
      <c r="G299" s="2" t="e">
        <f t="shared" si="4"/>
        <v>#N/A</v>
      </c>
    </row>
    <row r="300" spans="1:7" x14ac:dyDescent="0.25">
      <c r="A300">
        <v>0</v>
      </c>
      <c r="B300">
        <v>0</v>
      </c>
      <c r="C300">
        <v>0</v>
      </c>
      <c r="D300">
        <v>0</v>
      </c>
      <c r="E300" s="2" t="e">
        <f>VLOOKUP(A300,Fandual!$D$2:$K$1354,8,FALSE)</f>
        <v>#N/A</v>
      </c>
      <c r="F300" s="2" t="e">
        <f>VLOOKUP(E300,Offense!$A$1:$B$30,2,FALSE)</f>
        <v>#N/A</v>
      </c>
      <c r="G300" s="2" t="e">
        <f t="shared" si="4"/>
        <v>#N/A</v>
      </c>
    </row>
    <row r="301" spans="1:7" x14ac:dyDescent="0.25">
      <c r="A301">
        <v>0</v>
      </c>
      <c r="B301">
        <v>0</v>
      </c>
      <c r="C301">
        <v>0</v>
      </c>
      <c r="D301">
        <v>0</v>
      </c>
      <c r="E301" s="2" t="e">
        <f>VLOOKUP(A301,Fandual!$D$2:$K$1354,8,FALSE)</f>
        <v>#N/A</v>
      </c>
      <c r="F301" s="2" t="e">
        <f>VLOOKUP(E301,Offense!$A$1:$B$30,2,FALSE)</f>
        <v>#N/A</v>
      </c>
      <c r="G301" s="2" t="e">
        <f t="shared" si="4"/>
        <v>#N/A</v>
      </c>
    </row>
    <row r="302" spans="1:7" x14ac:dyDescent="0.25">
      <c r="A302">
        <v>0</v>
      </c>
      <c r="B302">
        <v>0</v>
      </c>
      <c r="C302">
        <v>0</v>
      </c>
      <c r="D302">
        <v>0</v>
      </c>
      <c r="E302" s="2" t="e">
        <f>VLOOKUP(A302,Fandual!$D$2:$K$1354,8,FALSE)</f>
        <v>#N/A</v>
      </c>
      <c r="F302" s="2" t="e">
        <f>VLOOKUP(E302,Offense!$A$1:$B$30,2,FALSE)</f>
        <v>#N/A</v>
      </c>
      <c r="G302" s="2" t="e">
        <f t="shared" si="4"/>
        <v>#N/A</v>
      </c>
    </row>
    <row r="303" spans="1:7" x14ac:dyDescent="0.25">
      <c r="A303">
        <v>0</v>
      </c>
      <c r="B303">
        <v>0</v>
      </c>
      <c r="C303">
        <v>0</v>
      </c>
      <c r="D303">
        <v>0</v>
      </c>
      <c r="E303" s="2" t="e">
        <f>VLOOKUP(A303,Fandual!$D$2:$K$1354,8,FALSE)</f>
        <v>#N/A</v>
      </c>
      <c r="F303" s="2" t="e">
        <f>VLOOKUP(E303,Offense!$A$1:$B$30,2,FALSE)</f>
        <v>#N/A</v>
      </c>
      <c r="G303" s="2" t="e">
        <f t="shared" si="4"/>
        <v>#N/A</v>
      </c>
    </row>
    <row r="304" spans="1:7" x14ac:dyDescent="0.25">
      <c r="A304">
        <v>0</v>
      </c>
      <c r="B304">
        <v>0</v>
      </c>
      <c r="C304">
        <v>0</v>
      </c>
      <c r="D304">
        <v>0</v>
      </c>
      <c r="E304" s="2" t="e">
        <f>VLOOKUP(A304,Fandual!$D$2:$K$1354,8,FALSE)</f>
        <v>#N/A</v>
      </c>
      <c r="F304" s="2" t="e">
        <f>VLOOKUP(E304,Offense!$A$1:$B$30,2,FALSE)</f>
        <v>#N/A</v>
      </c>
      <c r="G304" s="2" t="e">
        <f t="shared" si="4"/>
        <v>#N/A</v>
      </c>
    </row>
    <row r="305" spans="1:7" x14ac:dyDescent="0.25">
      <c r="A305">
        <v>0</v>
      </c>
      <c r="B305">
        <v>0</v>
      </c>
      <c r="C305">
        <v>0</v>
      </c>
      <c r="D305">
        <v>0</v>
      </c>
      <c r="E305" s="2" t="e">
        <f>VLOOKUP(A305,Fandual!$D$2:$K$1354,8,FALSE)</f>
        <v>#N/A</v>
      </c>
      <c r="F305" s="2" t="e">
        <f>VLOOKUP(E305,Offense!$A$1:$B$30,2,FALSE)</f>
        <v>#N/A</v>
      </c>
      <c r="G305" s="2" t="e">
        <f t="shared" si="4"/>
        <v>#N/A</v>
      </c>
    </row>
    <row r="306" spans="1:7" x14ac:dyDescent="0.25">
      <c r="A306">
        <v>0</v>
      </c>
      <c r="B306">
        <v>0</v>
      </c>
      <c r="C306">
        <v>0</v>
      </c>
      <c r="D306">
        <v>0</v>
      </c>
      <c r="E306" s="2" t="e">
        <f>VLOOKUP(A306,Fandual!$D$2:$K$1354,8,FALSE)</f>
        <v>#N/A</v>
      </c>
      <c r="F306" s="2" t="e">
        <f>VLOOKUP(E306,Offense!$A$1:$B$30,2,FALSE)</f>
        <v>#N/A</v>
      </c>
      <c r="G306" s="2" t="e">
        <f t="shared" si="4"/>
        <v>#N/A</v>
      </c>
    </row>
    <row r="307" spans="1:7" x14ac:dyDescent="0.25">
      <c r="A307">
        <v>0</v>
      </c>
      <c r="B307">
        <v>0</v>
      </c>
      <c r="C307">
        <v>0</v>
      </c>
      <c r="D307">
        <v>0</v>
      </c>
      <c r="E307" s="2" t="e">
        <f>VLOOKUP(A307,Fandual!$D$2:$K$1354,8,FALSE)</f>
        <v>#N/A</v>
      </c>
      <c r="F307" s="2" t="e">
        <f>VLOOKUP(E307,Offense!$A$1:$B$30,2,FALSE)</f>
        <v>#N/A</v>
      </c>
      <c r="G307" s="2" t="e">
        <f t="shared" si="4"/>
        <v>#N/A</v>
      </c>
    </row>
    <row r="308" spans="1:7" x14ac:dyDescent="0.25">
      <c r="A308">
        <v>0</v>
      </c>
      <c r="B308">
        <v>0</v>
      </c>
      <c r="C308">
        <v>0</v>
      </c>
      <c r="D308">
        <v>0</v>
      </c>
      <c r="E308" s="2" t="e">
        <f>VLOOKUP(A308,Fandual!$D$2:$K$1354,8,FALSE)</f>
        <v>#N/A</v>
      </c>
      <c r="F308" s="2" t="e">
        <f>VLOOKUP(E308,Offense!$A$1:$B$30,2,FALSE)</f>
        <v>#N/A</v>
      </c>
      <c r="G308" s="2" t="e">
        <f t="shared" si="4"/>
        <v>#N/A</v>
      </c>
    </row>
    <row r="309" spans="1:7" x14ac:dyDescent="0.25">
      <c r="A309">
        <v>0</v>
      </c>
      <c r="B309">
        <v>0</v>
      </c>
      <c r="C309">
        <v>0</v>
      </c>
      <c r="D309">
        <v>0</v>
      </c>
      <c r="E309" s="2" t="e">
        <f>VLOOKUP(A309,Fandual!$D$2:$K$1354,8,FALSE)</f>
        <v>#N/A</v>
      </c>
      <c r="F309" s="2" t="e">
        <f>VLOOKUP(E309,Offense!$A$1:$B$30,2,FALSE)</f>
        <v>#N/A</v>
      </c>
      <c r="G309" s="2" t="e">
        <f t="shared" si="4"/>
        <v>#N/A</v>
      </c>
    </row>
    <row r="310" spans="1:7" x14ac:dyDescent="0.25">
      <c r="A310">
        <v>0</v>
      </c>
      <c r="B310">
        <v>0</v>
      </c>
      <c r="C310">
        <v>0</v>
      </c>
      <c r="D310">
        <v>0</v>
      </c>
      <c r="E310" s="2" t="e">
        <f>VLOOKUP(A310,Fandual!$D$2:$K$1354,8,FALSE)</f>
        <v>#N/A</v>
      </c>
      <c r="F310" s="2" t="e">
        <f>VLOOKUP(E310,Offense!$A$1:$B$30,2,FALSE)</f>
        <v>#N/A</v>
      </c>
      <c r="G310" s="2" t="e">
        <f t="shared" si="4"/>
        <v>#N/A</v>
      </c>
    </row>
    <row r="311" spans="1:7" x14ac:dyDescent="0.25">
      <c r="A311">
        <v>0</v>
      </c>
      <c r="B311">
        <v>0</v>
      </c>
      <c r="C311">
        <v>0</v>
      </c>
      <c r="D311">
        <v>0</v>
      </c>
      <c r="E311" s="2" t="e">
        <f>VLOOKUP(A311,Fandual!$D$2:$K$1354,8,FALSE)</f>
        <v>#N/A</v>
      </c>
      <c r="F311" s="2" t="e">
        <f>VLOOKUP(E311,Offense!$A$1:$B$30,2,FALSE)</f>
        <v>#N/A</v>
      </c>
      <c r="G311" s="2" t="e">
        <f t="shared" si="4"/>
        <v>#N/A</v>
      </c>
    </row>
    <row r="312" spans="1:7" x14ac:dyDescent="0.25">
      <c r="A312">
        <v>0</v>
      </c>
      <c r="B312">
        <v>0</v>
      </c>
      <c r="C312">
        <v>0</v>
      </c>
      <c r="D312">
        <v>0</v>
      </c>
      <c r="E312" s="2" t="e">
        <f>VLOOKUP(A312,Fandual!$D$2:$K$1354,8,FALSE)</f>
        <v>#N/A</v>
      </c>
      <c r="F312" s="2" t="e">
        <f>VLOOKUP(E312,Offense!$A$1:$B$30,2,FALSE)</f>
        <v>#N/A</v>
      </c>
      <c r="G312" s="2" t="e">
        <f t="shared" si="4"/>
        <v>#N/A</v>
      </c>
    </row>
    <row r="313" spans="1:7" x14ac:dyDescent="0.25">
      <c r="A313">
        <v>0</v>
      </c>
      <c r="B313">
        <v>0</v>
      </c>
      <c r="C313">
        <v>0</v>
      </c>
      <c r="D313">
        <v>0</v>
      </c>
      <c r="E313" s="2" t="e">
        <f>VLOOKUP(A313,Fandual!$D$2:$K$1354,8,FALSE)</f>
        <v>#N/A</v>
      </c>
      <c r="F313" s="2" t="e">
        <f>VLOOKUP(E313,Offense!$A$1:$B$30,2,FALSE)</f>
        <v>#N/A</v>
      </c>
      <c r="G313" s="2" t="e">
        <f t="shared" si="4"/>
        <v>#N/A</v>
      </c>
    </row>
    <row r="314" spans="1:7" x14ac:dyDescent="0.25">
      <c r="A314">
        <v>0</v>
      </c>
      <c r="B314">
        <v>0</v>
      </c>
      <c r="C314">
        <v>0</v>
      </c>
      <c r="D314">
        <v>0</v>
      </c>
      <c r="E314" s="2" t="e">
        <f>VLOOKUP(A314,Fandual!$D$2:$K$1354,8,FALSE)</f>
        <v>#N/A</v>
      </c>
      <c r="F314" s="2" t="e">
        <f>VLOOKUP(E314,Offense!$A$1:$B$30,2,FALSE)</f>
        <v>#N/A</v>
      </c>
      <c r="G314" s="2" t="e">
        <f t="shared" si="4"/>
        <v>#N/A</v>
      </c>
    </row>
    <row r="315" spans="1:7" x14ac:dyDescent="0.25">
      <c r="A315">
        <v>0</v>
      </c>
      <c r="B315">
        <v>0</v>
      </c>
      <c r="C315">
        <v>0</v>
      </c>
      <c r="D315">
        <v>0</v>
      </c>
      <c r="E315" s="2" t="e">
        <f>VLOOKUP(A315,Fandual!$D$2:$K$1354,8,FALSE)</f>
        <v>#N/A</v>
      </c>
      <c r="F315" s="2" t="e">
        <f>VLOOKUP(E315,Offense!$A$1:$B$30,2,FALSE)</f>
        <v>#N/A</v>
      </c>
      <c r="G315" s="2" t="e">
        <f t="shared" si="4"/>
        <v>#N/A</v>
      </c>
    </row>
    <row r="316" spans="1:7" x14ac:dyDescent="0.25">
      <c r="A316">
        <v>0</v>
      </c>
      <c r="B316">
        <v>0</v>
      </c>
      <c r="C316">
        <v>0</v>
      </c>
      <c r="D316">
        <v>0</v>
      </c>
      <c r="E316" s="2" t="e">
        <f>VLOOKUP(A316,Fandual!$D$2:$K$1354,8,FALSE)</f>
        <v>#N/A</v>
      </c>
      <c r="F316" s="2" t="e">
        <f>VLOOKUP(E316,Offense!$A$1:$B$30,2,FALSE)</f>
        <v>#N/A</v>
      </c>
      <c r="G316" s="2" t="e">
        <f t="shared" si="4"/>
        <v>#N/A</v>
      </c>
    </row>
    <row r="317" spans="1:7" x14ac:dyDescent="0.25">
      <c r="A317">
        <v>0</v>
      </c>
      <c r="B317">
        <v>0</v>
      </c>
      <c r="C317">
        <v>0</v>
      </c>
      <c r="D317">
        <v>0</v>
      </c>
      <c r="E317" s="2" t="e">
        <f>VLOOKUP(A317,Fandual!$D$2:$K$1354,8,FALSE)</f>
        <v>#N/A</v>
      </c>
      <c r="F317" s="2" t="e">
        <f>VLOOKUP(E317,Offense!$A$1:$B$30,2,FALSE)</f>
        <v>#N/A</v>
      </c>
      <c r="G317" s="2" t="e">
        <f t="shared" si="4"/>
        <v>#N/A</v>
      </c>
    </row>
    <row r="318" spans="1:7" x14ac:dyDescent="0.25">
      <c r="A318">
        <v>0</v>
      </c>
      <c r="B318">
        <v>0</v>
      </c>
      <c r="C318">
        <v>0</v>
      </c>
      <c r="D318">
        <v>0</v>
      </c>
      <c r="E318" s="2" t="e">
        <f>VLOOKUP(A318,Fandual!$D$2:$K$1354,8,FALSE)</f>
        <v>#N/A</v>
      </c>
      <c r="F318" s="2" t="e">
        <f>VLOOKUP(E318,Offense!$A$1:$B$30,2,FALSE)</f>
        <v>#N/A</v>
      </c>
      <c r="G318" s="2" t="e">
        <f t="shared" si="4"/>
        <v>#N/A</v>
      </c>
    </row>
    <row r="319" spans="1:7" x14ac:dyDescent="0.25">
      <c r="A319">
        <v>0</v>
      </c>
      <c r="B319">
        <v>0</v>
      </c>
      <c r="C319">
        <v>0</v>
      </c>
      <c r="D319">
        <v>0</v>
      </c>
      <c r="E319" s="2" t="e">
        <f>VLOOKUP(A319,Fandual!$D$2:$K$1354,8,FALSE)</f>
        <v>#N/A</v>
      </c>
      <c r="F319" s="2" t="e">
        <f>VLOOKUP(E319,Offense!$A$1:$B$30,2,FALSE)</f>
        <v>#N/A</v>
      </c>
      <c r="G319" s="2" t="e">
        <f t="shared" si="4"/>
        <v>#N/A</v>
      </c>
    </row>
    <row r="320" spans="1:7" x14ac:dyDescent="0.25">
      <c r="A320">
        <v>0</v>
      </c>
      <c r="B320">
        <v>0</v>
      </c>
      <c r="C320">
        <v>0</v>
      </c>
      <c r="D320">
        <v>0</v>
      </c>
      <c r="E320" s="2" t="e">
        <f>VLOOKUP(A320,Fandual!$D$2:$K$1354,8,FALSE)</f>
        <v>#N/A</v>
      </c>
      <c r="F320" s="2" t="e">
        <f>VLOOKUP(E320,Offense!$A$1:$B$30,2,FALSE)</f>
        <v>#N/A</v>
      </c>
      <c r="G320" s="2" t="e">
        <f t="shared" si="4"/>
        <v>#N/A</v>
      </c>
    </row>
    <row r="321" spans="1:7" x14ac:dyDescent="0.25">
      <c r="A321">
        <v>0</v>
      </c>
      <c r="B321">
        <v>0</v>
      </c>
      <c r="C321">
        <v>0</v>
      </c>
      <c r="D321">
        <v>0</v>
      </c>
      <c r="E321" s="2" t="e">
        <f>VLOOKUP(A321,Fandual!$D$2:$K$1354,8,FALSE)</f>
        <v>#N/A</v>
      </c>
      <c r="F321" s="2" t="e">
        <f>VLOOKUP(E321,Offense!$A$1:$B$30,2,FALSE)</f>
        <v>#N/A</v>
      </c>
      <c r="G321" s="2" t="e">
        <f t="shared" si="4"/>
        <v>#N/A</v>
      </c>
    </row>
    <row r="322" spans="1:7" x14ac:dyDescent="0.25">
      <c r="A322">
        <v>0</v>
      </c>
      <c r="B322">
        <v>0</v>
      </c>
      <c r="C322">
        <v>0</v>
      </c>
      <c r="D322">
        <v>0</v>
      </c>
      <c r="E322" s="2" t="e">
        <f>VLOOKUP(A322,Fandual!$D$2:$K$1354,8,FALSE)</f>
        <v>#N/A</v>
      </c>
      <c r="F322" s="2" t="e">
        <f>VLOOKUP(E322,Offense!$A$1:$B$30,2,FALSE)</f>
        <v>#N/A</v>
      </c>
      <c r="G322" s="2" t="e">
        <f t="shared" si="4"/>
        <v>#N/A</v>
      </c>
    </row>
    <row r="323" spans="1:7" x14ac:dyDescent="0.25">
      <c r="A323">
        <v>0</v>
      </c>
      <c r="B323">
        <v>0</v>
      </c>
      <c r="C323">
        <v>0</v>
      </c>
      <c r="D323">
        <v>0</v>
      </c>
      <c r="E323" s="2" t="e">
        <f>VLOOKUP(A323,Fandual!$D$2:$K$1354,8,FALSE)</f>
        <v>#N/A</v>
      </c>
      <c r="F323" s="2" t="e">
        <f>VLOOKUP(E323,Offense!$A$1:$B$30,2,FALSE)</f>
        <v>#N/A</v>
      </c>
      <c r="G323" s="2" t="e">
        <f t="shared" ref="G323:G386" si="5">E323</f>
        <v>#N/A</v>
      </c>
    </row>
    <row r="324" spans="1:7" x14ac:dyDescent="0.25">
      <c r="A324">
        <v>0</v>
      </c>
      <c r="B324">
        <v>0</v>
      </c>
      <c r="C324">
        <v>0</v>
      </c>
      <c r="D324">
        <v>0</v>
      </c>
      <c r="E324" s="2" t="e">
        <f>VLOOKUP(A324,Fandual!$D$2:$K$1354,8,FALSE)</f>
        <v>#N/A</v>
      </c>
      <c r="F324" s="2" t="e">
        <f>VLOOKUP(E324,Offense!$A$1:$B$30,2,FALSE)</f>
        <v>#N/A</v>
      </c>
      <c r="G324" s="2" t="e">
        <f t="shared" si="5"/>
        <v>#N/A</v>
      </c>
    </row>
    <row r="325" spans="1:7" x14ac:dyDescent="0.25">
      <c r="A325">
        <v>0</v>
      </c>
      <c r="B325">
        <v>0</v>
      </c>
      <c r="C325">
        <v>0</v>
      </c>
      <c r="D325">
        <v>0</v>
      </c>
      <c r="E325" s="2" t="e">
        <f>VLOOKUP(A325,Fandual!$D$2:$K$1354,8,FALSE)</f>
        <v>#N/A</v>
      </c>
      <c r="F325" s="2" t="e">
        <f>VLOOKUP(E325,Offense!$A$1:$B$30,2,FALSE)</f>
        <v>#N/A</v>
      </c>
      <c r="G325" s="2" t="e">
        <f t="shared" si="5"/>
        <v>#N/A</v>
      </c>
    </row>
    <row r="326" spans="1:7" x14ac:dyDescent="0.25">
      <c r="A326">
        <v>0</v>
      </c>
      <c r="B326">
        <v>0</v>
      </c>
      <c r="C326">
        <v>0</v>
      </c>
      <c r="D326">
        <v>0</v>
      </c>
      <c r="E326" s="2" t="e">
        <f>VLOOKUP(A326,Fandual!$D$2:$K$1354,8,FALSE)</f>
        <v>#N/A</v>
      </c>
      <c r="F326" s="2" t="e">
        <f>VLOOKUP(E326,Offense!$A$1:$B$30,2,FALSE)</f>
        <v>#N/A</v>
      </c>
      <c r="G326" s="2" t="e">
        <f t="shared" si="5"/>
        <v>#N/A</v>
      </c>
    </row>
    <row r="327" spans="1:7" x14ac:dyDescent="0.25">
      <c r="A327">
        <v>0</v>
      </c>
      <c r="B327">
        <v>0</v>
      </c>
      <c r="C327">
        <v>0</v>
      </c>
      <c r="D327">
        <v>0</v>
      </c>
      <c r="E327" s="2" t="e">
        <f>VLOOKUP(A327,Fandual!$D$2:$K$1354,8,FALSE)</f>
        <v>#N/A</v>
      </c>
      <c r="F327" s="2" t="e">
        <f>VLOOKUP(E327,Offense!$A$1:$B$30,2,FALSE)</f>
        <v>#N/A</v>
      </c>
      <c r="G327" s="2" t="e">
        <f t="shared" si="5"/>
        <v>#N/A</v>
      </c>
    </row>
    <row r="328" spans="1:7" x14ac:dyDescent="0.25">
      <c r="A328">
        <v>0</v>
      </c>
      <c r="B328">
        <v>0</v>
      </c>
      <c r="C328">
        <v>0</v>
      </c>
      <c r="D328">
        <v>0</v>
      </c>
      <c r="E328" s="2" t="e">
        <f>VLOOKUP(A328,Fandual!$D$2:$K$1354,8,FALSE)</f>
        <v>#N/A</v>
      </c>
      <c r="F328" s="2" t="e">
        <f>VLOOKUP(E328,Offense!$A$1:$B$30,2,FALSE)</f>
        <v>#N/A</v>
      </c>
      <c r="G328" s="2" t="e">
        <f t="shared" si="5"/>
        <v>#N/A</v>
      </c>
    </row>
    <row r="329" spans="1:7" x14ac:dyDescent="0.25">
      <c r="A329">
        <v>0</v>
      </c>
      <c r="B329">
        <v>0</v>
      </c>
      <c r="C329">
        <v>0</v>
      </c>
      <c r="D329">
        <v>0</v>
      </c>
      <c r="E329" s="2" t="e">
        <f>VLOOKUP(A329,Fandual!$D$2:$K$1354,8,FALSE)</f>
        <v>#N/A</v>
      </c>
      <c r="F329" s="2" t="e">
        <f>VLOOKUP(E329,Offense!$A$1:$B$30,2,FALSE)</f>
        <v>#N/A</v>
      </c>
      <c r="G329" s="2" t="e">
        <f t="shared" si="5"/>
        <v>#N/A</v>
      </c>
    </row>
    <row r="330" spans="1:7" x14ac:dyDescent="0.25">
      <c r="A330">
        <v>0</v>
      </c>
      <c r="B330">
        <v>0</v>
      </c>
      <c r="C330">
        <v>0</v>
      </c>
      <c r="D330">
        <v>0</v>
      </c>
      <c r="E330" s="2" t="e">
        <f>VLOOKUP(A330,Fandual!$D$2:$K$1354,8,FALSE)</f>
        <v>#N/A</v>
      </c>
      <c r="F330" s="2" t="e">
        <f>VLOOKUP(E330,Offense!$A$1:$B$30,2,FALSE)</f>
        <v>#N/A</v>
      </c>
      <c r="G330" s="2" t="e">
        <f t="shared" si="5"/>
        <v>#N/A</v>
      </c>
    </row>
    <row r="331" spans="1:7" x14ac:dyDescent="0.25">
      <c r="A331">
        <v>0</v>
      </c>
      <c r="B331">
        <v>0</v>
      </c>
      <c r="C331">
        <v>0</v>
      </c>
      <c r="D331">
        <v>0</v>
      </c>
      <c r="E331" s="2" t="e">
        <f>VLOOKUP(A331,Fandual!$D$2:$K$1354,8,FALSE)</f>
        <v>#N/A</v>
      </c>
      <c r="F331" s="2" t="e">
        <f>VLOOKUP(E331,Offense!$A$1:$B$30,2,FALSE)</f>
        <v>#N/A</v>
      </c>
      <c r="G331" s="2" t="e">
        <f t="shared" si="5"/>
        <v>#N/A</v>
      </c>
    </row>
    <row r="332" spans="1:7" x14ac:dyDescent="0.25">
      <c r="A332">
        <v>0</v>
      </c>
      <c r="B332">
        <v>0</v>
      </c>
      <c r="C332">
        <v>0</v>
      </c>
      <c r="D332">
        <v>0</v>
      </c>
      <c r="E332" s="2" t="e">
        <f>VLOOKUP(A332,Fandual!$D$2:$K$1354,8,FALSE)</f>
        <v>#N/A</v>
      </c>
      <c r="F332" s="2" t="e">
        <f>VLOOKUP(E332,Offense!$A$1:$B$30,2,FALSE)</f>
        <v>#N/A</v>
      </c>
      <c r="G332" s="2" t="e">
        <f t="shared" si="5"/>
        <v>#N/A</v>
      </c>
    </row>
    <row r="333" spans="1:7" x14ac:dyDescent="0.25">
      <c r="A333">
        <v>0</v>
      </c>
      <c r="B333">
        <v>0</v>
      </c>
      <c r="C333">
        <v>0</v>
      </c>
      <c r="D333">
        <v>0</v>
      </c>
      <c r="E333" s="2" t="e">
        <f>VLOOKUP(A333,Fandual!$D$2:$K$1354,8,FALSE)</f>
        <v>#N/A</v>
      </c>
      <c r="F333" s="2" t="e">
        <f>VLOOKUP(E333,Offense!$A$1:$B$30,2,FALSE)</f>
        <v>#N/A</v>
      </c>
      <c r="G333" s="2" t="e">
        <f t="shared" si="5"/>
        <v>#N/A</v>
      </c>
    </row>
    <row r="334" spans="1:7" x14ac:dyDescent="0.25">
      <c r="A334">
        <v>0</v>
      </c>
      <c r="B334">
        <v>0</v>
      </c>
      <c r="C334">
        <v>0</v>
      </c>
      <c r="D334">
        <v>0</v>
      </c>
      <c r="E334" s="2" t="e">
        <f>VLOOKUP(A334,Fandual!$D$2:$K$1354,8,FALSE)</f>
        <v>#N/A</v>
      </c>
      <c r="F334" s="2" t="e">
        <f>VLOOKUP(E334,Offense!$A$1:$B$30,2,FALSE)</f>
        <v>#N/A</v>
      </c>
      <c r="G334" s="2" t="e">
        <f t="shared" si="5"/>
        <v>#N/A</v>
      </c>
    </row>
    <row r="335" spans="1:7" x14ac:dyDescent="0.25">
      <c r="A335">
        <v>0</v>
      </c>
      <c r="B335">
        <v>0</v>
      </c>
      <c r="C335">
        <v>0</v>
      </c>
      <c r="D335">
        <v>0</v>
      </c>
      <c r="E335" s="2" t="e">
        <f>VLOOKUP(A335,Fandual!$D$2:$K$1354,8,FALSE)</f>
        <v>#N/A</v>
      </c>
      <c r="F335" s="2" t="e">
        <f>VLOOKUP(E335,Offense!$A$1:$B$30,2,FALSE)</f>
        <v>#N/A</v>
      </c>
      <c r="G335" s="2" t="e">
        <f t="shared" si="5"/>
        <v>#N/A</v>
      </c>
    </row>
    <row r="336" spans="1:7" x14ac:dyDescent="0.25">
      <c r="A336">
        <v>0</v>
      </c>
      <c r="B336">
        <v>0</v>
      </c>
      <c r="C336">
        <v>0</v>
      </c>
      <c r="D336">
        <v>0</v>
      </c>
      <c r="E336" s="2" t="e">
        <f>VLOOKUP(A336,Fandual!$D$2:$K$1354,8,FALSE)</f>
        <v>#N/A</v>
      </c>
      <c r="F336" s="2" t="e">
        <f>VLOOKUP(E336,Offense!$A$1:$B$30,2,FALSE)</f>
        <v>#N/A</v>
      </c>
      <c r="G336" s="2" t="e">
        <f t="shared" si="5"/>
        <v>#N/A</v>
      </c>
    </row>
    <row r="337" spans="1:7" x14ac:dyDescent="0.25">
      <c r="A337">
        <v>0</v>
      </c>
      <c r="B337">
        <v>0</v>
      </c>
      <c r="C337">
        <v>0</v>
      </c>
      <c r="D337">
        <v>0</v>
      </c>
      <c r="E337" s="2" t="e">
        <f>VLOOKUP(A337,Fandual!$D$2:$K$1354,8,FALSE)</f>
        <v>#N/A</v>
      </c>
      <c r="F337" s="2" t="e">
        <f>VLOOKUP(E337,Offense!$A$1:$B$30,2,FALSE)</f>
        <v>#N/A</v>
      </c>
      <c r="G337" s="2" t="e">
        <f t="shared" si="5"/>
        <v>#N/A</v>
      </c>
    </row>
    <row r="338" spans="1:7" x14ac:dyDescent="0.25">
      <c r="A338">
        <v>0</v>
      </c>
      <c r="B338">
        <v>0</v>
      </c>
      <c r="C338">
        <v>0</v>
      </c>
      <c r="D338">
        <v>0</v>
      </c>
      <c r="E338" s="2" t="e">
        <f>VLOOKUP(A338,Fandual!$D$2:$K$1354,8,FALSE)</f>
        <v>#N/A</v>
      </c>
      <c r="F338" s="2" t="e">
        <f>VLOOKUP(E338,Offense!$A$1:$B$30,2,FALSE)</f>
        <v>#N/A</v>
      </c>
      <c r="G338" s="2" t="e">
        <f t="shared" si="5"/>
        <v>#N/A</v>
      </c>
    </row>
    <row r="339" spans="1:7" x14ac:dyDescent="0.25">
      <c r="A339">
        <v>0</v>
      </c>
      <c r="B339">
        <v>0</v>
      </c>
      <c r="C339">
        <v>0</v>
      </c>
      <c r="D339">
        <v>0</v>
      </c>
      <c r="E339" s="2" t="e">
        <f>VLOOKUP(A339,Fandual!$D$2:$K$1354,8,FALSE)</f>
        <v>#N/A</v>
      </c>
      <c r="F339" s="2" t="e">
        <f>VLOOKUP(E339,Offense!$A$1:$B$30,2,FALSE)</f>
        <v>#N/A</v>
      </c>
      <c r="G339" s="2" t="e">
        <f t="shared" si="5"/>
        <v>#N/A</v>
      </c>
    </row>
    <row r="340" spans="1:7" x14ac:dyDescent="0.25">
      <c r="A340">
        <v>0</v>
      </c>
      <c r="B340">
        <v>0</v>
      </c>
      <c r="C340">
        <v>0</v>
      </c>
      <c r="D340">
        <v>0</v>
      </c>
      <c r="E340" s="2" t="e">
        <f>VLOOKUP(A340,Fandual!$D$2:$K$1354,8,FALSE)</f>
        <v>#N/A</v>
      </c>
      <c r="F340" s="2" t="e">
        <f>VLOOKUP(E340,Offense!$A$1:$B$30,2,FALSE)</f>
        <v>#N/A</v>
      </c>
      <c r="G340" s="2" t="e">
        <f t="shared" si="5"/>
        <v>#N/A</v>
      </c>
    </row>
    <row r="341" spans="1:7" x14ac:dyDescent="0.25">
      <c r="A341">
        <v>0</v>
      </c>
      <c r="B341">
        <v>0</v>
      </c>
      <c r="C341">
        <v>0</v>
      </c>
      <c r="D341">
        <v>0</v>
      </c>
      <c r="E341" s="2" t="e">
        <f>VLOOKUP(A341,Fandual!$D$2:$K$1354,8,FALSE)</f>
        <v>#N/A</v>
      </c>
      <c r="F341" s="2" t="e">
        <f>VLOOKUP(E341,Offense!$A$1:$B$30,2,FALSE)</f>
        <v>#N/A</v>
      </c>
      <c r="G341" s="2" t="e">
        <f t="shared" si="5"/>
        <v>#N/A</v>
      </c>
    </row>
    <row r="342" spans="1:7" x14ac:dyDescent="0.25">
      <c r="A342">
        <v>0</v>
      </c>
      <c r="B342">
        <v>0</v>
      </c>
      <c r="C342">
        <v>0</v>
      </c>
      <c r="D342">
        <v>0</v>
      </c>
      <c r="E342" s="2" t="e">
        <f>VLOOKUP(A342,Fandual!$D$2:$K$1354,8,FALSE)</f>
        <v>#N/A</v>
      </c>
      <c r="F342" s="2" t="e">
        <f>VLOOKUP(E342,Offense!$A$1:$B$30,2,FALSE)</f>
        <v>#N/A</v>
      </c>
      <c r="G342" s="2" t="e">
        <f t="shared" si="5"/>
        <v>#N/A</v>
      </c>
    </row>
    <row r="343" spans="1:7" x14ac:dyDescent="0.25">
      <c r="A343">
        <v>0</v>
      </c>
      <c r="B343">
        <v>0</v>
      </c>
      <c r="C343">
        <v>0</v>
      </c>
      <c r="D343">
        <v>0</v>
      </c>
      <c r="E343" s="2" t="e">
        <f>VLOOKUP(A343,Fandual!$D$2:$K$1354,8,FALSE)</f>
        <v>#N/A</v>
      </c>
      <c r="F343" s="2" t="e">
        <f>VLOOKUP(E343,Offense!$A$1:$B$30,2,FALSE)</f>
        <v>#N/A</v>
      </c>
      <c r="G343" s="2" t="e">
        <f t="shared" si="5"/>
        <v>#N/A</v>
      </c>
    </row>
    <row r="344" spans="1:7" x14ac:dyDescent="0.25">
      <c r="A344">
        <v>0</v>
      </c>
      <c r="B344">
        <v>0</v>
      </c>
      <c r="C344">
        <v>0</v>
      </c>
      <c r="D344">
        <v>0</v>
      </c>
      <c r="E344" s="2" t="e">
        <f>VLOOKUP(A344,Fandual!$D$2:$K$1354,8,FALSE)</f>
        <v>#N/A</v>
      </c>
      <c r="F344" s="2" t="e">
        <f>VLOOKUP(E344,Offense!$A$1:$B$30,2,FALSE)</f>
        <v>#N/A</v>
      </c>
      <c r="G344" s="2" t="e">
        <f t="shared" si="5"/>
        <v>#N/A</v>
      </c>
    </row>
    <row r="345" spans="1:7" x14ac:dyDescent="0.25">
      <c r="A345">
        <v>0</v>
      </c>
      <c r="B345">
        <v>0</v>
      </c>
      <c r="C345">
        <v>0</v>
      </c>
      <c r="D345">
        <v>0</v>
      </c>
      <c r="E345" s="2" t="e">
        <f>VLOOKUP(A345,Fandual!$D$2:$K$1354,8,FALSE)</f>
        <v>#N/A</v>
      </c>
      <c r="F345" s="2" t="e">
        <f>VLOOKUP(E345,Offense!$A$1:$B$30,2,FALSE)</f>
        <v>#N/A</v>
      </c>
      <c r="G345" s="2" t="e">
        <f t="shared" si="5"/>
        <v>#N/A</v>
      </c>
    </row>
    <row r="346" spans="1:7" x14ac:dyDescent="0.25">
      <c r="A346">
        <v>0</v>
      </c>
      <c r="B346">
        <v>0</v>
      </c>
      <c r="C346">
        <v>0</v>
      </c>
      <c r="D346">
        <v>0</v>
      </c>
      <c r="E346" s="2" t="e">
        <f>VLOOKUP(A346,Fandual!$D$2:$K$1354,8,FALSE)</f>
        <v>#N/A</v>
      </c>
      <c r="F346" s="2" t="e">
        <f>VLOOKUP(E346,Offense!$A$1:$B$30,2,FALSE)</f>
        <v>#N/A</v>
      </c>
      <c r="G346" s="2" t="e">
        <f t="shared" si="5"/>
        <v>#N/A</v>
      </c>
    </row>
    <row r="347" spans="1:7" x14ac:dyDescent="0.25">
      <c r="A347">
        <v>0</v>
      </c>
      <c r="B347">
        <v>0</v>
      </c>
      <c r="C347">
        <v>0</v>
      </c>
      <c r="D347">
        <v>0</v>
      </c>
      <c r="E347" s="2" t="e">
        <f>VLOOKUP(A347,Fandual!$D$2:$K$1354,8,FALSE)</f>
        <v>#N/A</v>
      </c>
      <c r="F347" s="2" t="e">
        <f>VLOOKUP(E347,Offense!$A$1:$B$30,2,FALSE)</f>
        <v>#N/A</v>
      </c>
      <c r="G347" s="2" t="e">
        <f t="shared" si="5"/>
        <v>#N/A</v>
      </c>
    </row>
    <row r="348" spans="1:7" x14ac:dyDescent="0.25">
      <c r="A348">
        <v>0</v>
      </c>
      <c r="B348">
        <v>0</v>
      </c>
      <c r="C348">
        <v>0</v>
      </c>
      <c r="D348">
        <v>0</v>
      </c>
      <c r="E348" s="2" t="e">
        <f>VLOOKUP(A348,Fandual!$D$2:$K$1354,8,FALSE)</f>
        <v>#N/A</v>
      </c>
      <c r="F348" s="2" t="e">
        <f>VLOOKUP(E348,Offense!$A$1:$B$30,2,FALSE)</f>
        <v>#N/A</v>
      </c>
      <c r="G348" s="2" t="e">
        <f t="shared" si="5"/>
        <v>#N/A</v>
      </c>
    </row>
    <row r="349" spans="1:7" x14ac:dyDescent="0.25">
      <c r="A349">
        <v>0</v>
      </c>
      <c r="B349">
        <v>0</v>
      </c>
      <c r="C349">
        <v>0</v>
      </c>
      <c r="D349">
        <v>0</v>
      </c>
      <c r="E349" s="2" t="e">
        <f>VLOOKUP(A349,Fandual!$D$2:$K$1354,8,FALSE)</f>
        <v>#N/A</v>
      </c>
      <c r="F349" s="2" t="e">
        <f>VLOOKUP(E349,Offense!$A$1:$B$30,2,FALSE)</f>
        <v>#N/A</v>
      </c>
      <c r="G349" s="2" t="e">
        <f t="shared" si="5"/>
        <v>#N/A</v>
      </c>
    </row>
    <row r="350" spans="1:7" x14ac:dyDescent="0.25">
      <c r="A350">
        <v>0</v>
      </c>
      <c r="B350">
        <v>0</v>
      </c>
      <c r="C350">
        <v>0</v>
      </c>
      <c r="D350">
        <v>0</v>
      </c>
      <c r="E350" s="2" t="e">
        <f>VLOOKUP(A350,Fandual!$D$2:$K$1354,8,FALSE)</f>
        <v>#N/A</v>
      </c>
      <c r="F350" s="2" t="e">
        <f>VLOOKUP(E350,Offense!$A$1:$B$30,2,FALSE)</f>
        <v>#N/A</v>
      </c>
      <c r="G350" s="2" t="e">
        <f t="shared" si="5"/>
        <v>#N/A</v>
      </c>
    </row>
    <row r="351" spans="1:7" x14ac:dyDescent="0.25">
      <c r="A351">
        <v>0</v>
      </c>
      <c r="B351">
        <v>0</v>
      </c>
      <c r="C351">
        <v>0</v>
      </c>
      <c r="D351">
        <v>0</v>
      </c>
      <c r="E351" s="2" t="e">
        <f>VLOOKUP(A351,Fandual!$D$2:$K$1354,8,FALSE)</f>
        <v>#N/A</v>
      </c>
      <c r="F351" s="2" t="e">
        <f>VLOOKUP(E351,Offense!$A$1:$B$30,2,FALSE)</f>
        <v>#N/A</v>
      </c>
      <c r="G351" s="2" t="e">
        <f t="shared" si="5"/>
        <v>#N/A</v>
      </c>
    </row>
    <row r="352" spans="1:7" x14ac:dyDescent="0.25">
      <c r="A352">
        <v>0</v>
      </c>
      <c r="B352">
        <v>0</v>
      </c>
      <c r="C352">
        <v>0</v>
      </c>
      <c r="D352">
        <v>0</v>
      </c>
      <c r="E352" s="2" t="e">
        <f>VLOOKUP(A352,Fandual!$D$2:$K$1354,8,FALSE)</f>
        <v>#N/A</v>
      </c>
      <c r="F352" s="2" t="e">
        <f>VLOOKUP(E352,Offense!$A$1:$B$30,2,FALSE)</f>
        <v>#N/A</v>
      </c>
      <c r="G352" s="2" t="e">
        <f t="shared" si="5"/>
        <v>#N/A</v>
      </c>
    </row>
    <row r="353" spans="1:7" x14ac:dyDescent="0.25">
      <c r="A353">
        <v>0</v>
      </c>
      <c r="B353">
        <v>0</v>
      </c>
      <c r="C353">
        <v>0</v>
      </c>
      <c r="D353">
        <v>0</v>
      </c>
      <c r="E353" s="2" t="e">
        <f>VLOOKUP(A353,Fandual!$D$2:$K$1354,8,FALSE)</f>
        <v>#N/A</v>
      </c>
      <c r="F353" s="2" t="e">
        <f>VLOOKUP(E353,Offense!$A$1:$B$30,2,FALSE)</f>
        <v>#N/A</v>
      </c>
      <c r="G353" s="2" t="e">
        <f t="shared" si="5"/>
        <v>#N/A</v>
      </c>
    </row>
    <row r="354" spans="1:7" x14ac:dyDescent="0.25">
      <c r="A354">
        <v>0</v>
      </c>
      <c r="B354">
        <v>0</v>
      </c>
      <c r="C354">
        <v>0</v>
      </c>
      <c r="D354">
        <v>0</v>
      </c>
      <c r="E354" s="2" t="e">
        <f>VLOOKUP(A354,Fandual!$D$2:$K$1354,8,FALSE)</f>
        <v>#N/A</v>
      </c>
      <c r="F354" s="2" t="e">
        <f>VLOOKUP(E354,Offense!$A$1:$B$30,2,FALSE)</f>
        <v>#N/A</v>
      </c>
      <c r="G354" s="2" t="e">
        <f t="shared" si="5"/>
        <v>#N/A</v>
      </c>
    </row>
    <row r="355" spans="1:7" x14ac:dyDescent="0.25">
      <c r="A355">
        <v>0</v>
      </c>
      <c r="B355">
        <v>0</v>
      </c>
      <c r="C355">
        <v>0</v>
      </c>
      <c r="D355">
        <v>0</v>
      </c>
      <c r="E355" s="2" t="e">
        <f>VLOOKUP(A355,Fandual!$D$2:$K$1354,8,FALSE)</f>
        <v>#N/A</v>
      </c>
      <c r="F355" s="2" t="e">
        <f>VLOOKUP(E355,Offense!$A$1:$B$30,2,FALSE)</f>
        <v>#N/A</v>
      </c>
      <c r="G355" s="2" t="e">
        <f t="shared" si="5"/>
        <v>#N/A</v>
      </c>
    </row>
    <row r="356" spans="1:7" x14ac:dyDescent="0.25">
      <c r="A356">
        <v>0</v>
      </c>
      <c r="B356">
        <v>0</v>
      </c>
      <c r="C356">
        <v>0</v>
      </c>
      <c r="D356">
        <v>0</v>
      </c>
      <c r="E356" s="2" t="e">
        <f>VLOOKUP(A356,Fandual!$D$2:$K$1354,8,FALSE)</f>
        <v>#N/A</v>
      </c>
      <c r="F356" s="2" t="e">
        <f>VLOOKUP(E356,Offense!$A$1:$B$30,2,FALSE)</f>
        <v>#N/A</v>
      </c>
      <c r="G356" s="2" t="e">
        <f t="shared" si="5"/>
        <v>#N/A</v>
      </c>
    </row>
    <row r="357" spans="1:7" x14ac:dyDescent="0.25">
      <c r="A357">
        <v>0</v>
      </c>
      <c r="B357">
        <v>0</v>
      </c>
      <c r="C357">
        <v>0</v>
      </c>
      <c r="D357">
        <v>0</v>
      </c>
      <c r="E357" s="2" t="e">
        <f>VLOOKUP(A357,Fandual!$D$2:$K$1354,8,FALSE)</f>
        <v>#N/A</v>
      </c>
      <c r="F357" s="2" t="e">
        <f>VLOOKUP(E357,Offense!$A$1:$B$30,2,FALSE)</f>
        <v>#N/A</v>
      </c>
      <c r="G357" s="2" t="e">
        <f t="shared" si="5"/>
        <v>#N/A</v>
      </c>
    </row>
    <row r="358" spans="1:7" x14ac:dyDescent="0.25">
      <c r="A358">
        <v>0</v>
      </c>
      <c r="B358">
        <v>0</v>
      </c>
      <c r="C358">
        <v>0</v>
      </c>
      <c r="D358">
        <v>0</v>
      </c>
      <c r="E358" s="2" t="e">
        <f>VLOOKUP(A358,Fandual!$D$2:$K$1354,8,FALSE)</f>
        <v>#N/A</v>
      </c>
      <c r="F358" s="2" t="e">
        <f>VLOOKUP(E358,Offense!$A$1:$B$30,2,FALSE)</f>
        <v>#N/A</v>
      </c>
      <c r="G358" s="2" t="e">
        <f t="shared" si="5"/>
        <v>#N/A</v>
      </c>
    </row>
    <row r="359" spans="1:7" x14ac:dyDescent="0.25">
      <c r="A359">
        <v>0</v>
      </c>
      <c r="B359">
        <v>0</v>
      </c>
      <c r="C359">
        <v>0</v>
      </c>
      <c r="D359">
        <v>0</v>
      </c>
      <c r="E359" s="2" t="e">
        <f>VLOOKUP(A359,Fandual!$D$2:$K$1354,8,FALSE)</f>
        <v>#N/A</v>
      </c>
      <c r="F359" s="2" t="e">
        <f>VLOOKUP(E359,Offense!$A$1:$B$30,2,FALSE)</f>
        <v>#N/A</v>
      </c>
      <c r="G359" s="2" t="e">
        <f t="shared" si="5"/>
        <v>#N/A</v>
      </c>
    </row>
    <row r="360" spans="1:7" x14ac:dyDescent="0.25">
      <c r="A360">
        <v>0</v>
      </c>
      <c r="B360">
        <v>0</v>
      </c>
      <c r="C360">
        <v>0</v>
      </c>
      <c r="D360">
        <v>0</v>
      </c>
      <c r="E360" s="2" t="e">
        <f>VLOOKUP(A360,Fandual!$D$2:$K$1354,8,FALSE)</f>
        <v>#N/A</v>
      </c>
      <c r="F360" s="2" t="e">
        <f>VLOOKUP(E360,Offense!$A$1:$B$30,2,FALSE)</f>
        <v>#N/A</v>
      </c>
      <c r="G360" s="2" t="e">
        <f t="shared" si="5"/>
        <v>#N/A</v>
      </c>
    </row>
    <row r="361" spans="1:7" x14ac:dyDescent="0.25">
      <c r="A361">
        <v>0</v>
      </c>
      <c r="B361">
        <v>0</v>
      </c>
      <c r="C361">
        <v>0</v>
      </c>
      <c r="D361">
        <v>0</v>
      </c>
      <c r="E361" s="2" t="e">
        <f>VLOOKUP(A361,Fandual!$D$2:$K$1354,8,FALSE)</f>
        <v>#N/A</v>
      </c>
      <c r="F361" s="2" t="e">
        <f>VLOOKUP(E361,Offense!$A$1:$B$30,2,FALSE)</f>
        <v>#N/A</v>
      </c>
      <c r="G361" s="2" t="e">
        <f t="shared" si="5"/>
        <v>#N/A</v>
      </c>
    </row>
    <row r="362" spans="1:7" x14ac:dyDescent="0.25">
      <c r="A362">
        <v>0</v>
      </c>
      <c r="B362">
        <v>0</v>
      </c>
      <c r="C362">
        <v>0</v>
      </c>
      <c r="D362">
        <v>0</v>
      </c>
      <c r="E362" s="2" t="e">
        <f>VLOOKUP(A362,Fandual!$D$2:$K$1354,8,FALSE)</f>
        <v>#N/A</v>
      </c>
      <c r="F362" s="2" t="e">
        <f>VLOOKUP(E362,Offense!$A$1:$B$30,2,FALSE)</f>
        <v>#N/A</v>
      </c>
      <c r="G362" s="2" t="e">
        <f t="shared" si="5"/>
        <v>#N/A</v>
      </c>
    </row>
    <row r="363" spans="1:7" x14ac:dyDescent="0.25">
      <c r="A363">
        <v>0</v>
      </c>
      <c r="B363">
        <v>0</v>
      </c>
      <c r="C363">
        <v>0</v>
      </c>
      <c r="D363">
        <v>0</v>
      </c>
      <c r="E363" s="2" t="e">
        <f>VLOOKUP(A363,Fandual!$D$2:$K$1354,8,FALSE)</f>
        <v>#N/A</v>
      </c>
      <c r="F363" s="2" t="e">
        <f>VLOOKUP(E363,Offense!$A$1:$B$30,2,FALSE)</f>
        <v>#N/A</v>
      </c>
      <c r="G363" s="2" t="e">
        <f t="shared" si="5"/>
        <v>#N/A</v>
      </c>
    </row>
    <row r="364" spans="1:7" x14ac:dyDescent="0.25">
      <c r="A364">
        <v>0</v>
      </c>
      <c r="B364">
        <v>0</v>
      </c>
      <c r="C364">
        <v>0</v>
      </c>
      <c r="D364">
        <v>0</v>
      </c>
      <c r="E364" s="2" t="e">
        <f>VLOOKUP(A364,Fandual!$D$2:$K$1354,8,FALSE)</f>
        <v>#N/A</v>
      </c>
      <c r="F364" s="2" t="e">
        <f>VLOOKUP(E364,Offense!$A$1:$B$30,2,FALSE)</f>
        <v>#N/A</v>
      </c>
      <c r="G364" s="2" t="e">
        <f t="shared" si="5"/>
        <v>#N/A</v>
      </c>
    </row>
    <row r="365" spans="1:7" x14ac:dyDescent="0.25">
      <c r="A365">
        <v>0</v>
      </c>
      <c r="B365">
        <v>0</v>
      </c>
      <c r="C365">
        <v>0</v>
      </c>
      <c r="D365">
        <v>0</v>
      </c>
      <c r="E365" s="2" t="e">
        <f>VLOOKUP(A365,Fandual!$D$2:$K$1354,8,FALSE)</f>
        <v>#N/A</v>
      </c>
      <c r="F365" s="2" t="e">
        <f>VLOOKUP(E365,Offense!$A$1:$B$30,2,FALSE)</f>
        <v>#N/A</v>
      </c>
      <c r="G365" s="2" t="e">
        <f t="shared" si="5"/>
        <v>#N/A</v>
      </c>
    </row>
    <row r="366" spans="1:7" x14ac:dyDescent="0.25">
      <c r="A366">
        <v>0</v>
      </c>
      <c r="B366">
        <v>0</v>
      </c>
      <c r="C366">
        <v>0</v>
      </c>
      <c r="D366">
        <v>0</v>
      </c>
      <c r="E366" s="2" t="e">
        <f>VLOOKUP(A366,Fandual!$D$2:$K$1354,8,FALSE)</f>
        <v>#N/A</v>
      </c>
      <c r="F366" s="2" t="e">
        <f>VLOOKUP(E366,Offense!$A$1:$B$30,2,FALSE)</f>
        <v>#N/A</v>
      </c>
      <c r="G366" s="2" t="e">
        <f t="shared" si="5"/>
        <v>#N/A</v>
      </c>
    </row>
    <row r="367" spans="1:7" x14ac:dyDescent="0.25">
      <c r="A367">
        <v>0</v>
      </c>
      <c r="B367">
        <v>0</v>
      </c>
      <c r="C367">
        <v>0</v>
      </c>
      <c r="D367">
        <v>0</v>
      </c>
      <c r="E367" s="2" t="e">
        <f>VLOOKUP(A367,Fandual!$D$2:$K$1354,8,FALSE)</f>
        <v>#N/A</v>
      </c>
      <c r="F367" s="2" t="e">
        <f>VLOOKUP(E367,Offense!$A$1:$B$30,2,FALSE)</f>
        <v>#N/A</v>
      </c>
      <c r="G367" s="2" t="e">
        <f t="shared" si="5"/>
        <v>#N/A</v>
      </c>
    </row>
    <row r="368" spans="1:7" x14ac:dyDescent="0.25">
      <c r="A368">
        <v>0</v>
      </c>
      <c r="B368">
        <v>0</v>
      </c>
      <c r="C368">
        <v>0</v>
      </c>
      <c r="D368">
        <v>0</v>
      </c>
      <c r="E368" s="2" t="e">
        <f>VLOOKUP(A368,Fandual!$D$2:$K$1354,8,FALSE)</f>
        <v>#N/A</v>
      </c>
      <c r="F368" s="2" t="e">
        <f>VLOOKUP(E368,Offense!$A$1:$B$30,2,FALSE)</f>
        <v>#N/A</v>
      </c>
      <c r="G368" s="2" t="e">
        <f t="shared" si="5"/>
        <v>#N/A</v>
      </c>
    </row>
    <row r="369" spans="1:7" x14ac:dyDescent="0.25">
      <c r="A369">
        <v>0</v>
      </c>
      <c r="B369">
        <v>0</v>
      </c>
      <c r="C369">
        <v>0</v>
      </c>
      <c r="D369">
        <v>0</v>
      </c>
      <c r="E369" s="2" t="e">
        <f>VLOOKUP(A369,Fandual!$D$2:$K$1354,8,FALSE)</f>
        <v>#N/A</v>
      </c>
      <c r="F369" s="2" t="e">
        <f>VLOOKUP(E369,Offense!$A$1:$B$30,2,FALSE)</f>
        <v>#N/A</v>
      </c>
      <c r="G369" s="2" t="e">
        <f t="shared" si="5"/>
        <v>#N/A</v>
      </c>
    </row>
    <row r="370" spans="1:7" x14ac:dyDescent="0.25">
      <c r="A370">
        <v>0</v>
      </c>
      <c r="B370">
        <v>0</v>
      </c>
      <c r="C370">
        <v>0</v>
      </c>
      <c r="D370">
        <v>0</v>
      </c>
      <c r="E370" s="2" t="e">
        <f>VLOOKUP(A370,Fandual!$D$2:$K$1354,8,FALSE)</f>
        <v>#N/A</v>
      </c>
      <c r="F370" s="2" t="e">
        <f>VLOOKUP(E370,Offense!$A$1:$B$30,2,FALSE)</f>
        <v>#N/A</v>
      </c>
      <c r="G370" s="2" t="e">
        <f t="shared" si="5"/>
        <v>#N/A</v>
      </c>
    </row>
    <row r="371" spans="1:7" x14ac:dyDescent="0.25">
      <c r="A371">
        <v>0</v>
      </c>
      <c r="B371">
        <v>0</v>
      </c>
      <c r="C371">
        <v>0</v>
      </c>
      <c r="D371">
        <v>0</v>
      </c>
      <c r="E371" s="2" t="e">
        <f>VLOOKUP(A371,Fandual!$D$2:$K$1354,8,FALSE)</f>
        <v>#N/A</v>
      </c>
      <c r="F371" s="2" t="e">
        <f>VLOOKUP(E371,Offense!$A$1:$B$30,2,FALSE)</f>
        <v>#N/A</v>
      </c>
      <c r="G371" s="2" t="e">
        <f t="shared" si="5"/>
        <v>#N/A</v>
      </c>
    </row>
    <row r="372" spans="1:7" x14ac:dyDescent="0.25">
      <c r="A372">
        <v>0</v>
      </c>
      <c r="B372">
        <v>0</v>
      </c>
      <c r="C372">
        <v>0</v>
      </c>
      <c r="D372">
        <v>0</v>
      </c>
      <c r="E372" s="2" t="e">
        <f>VLOOKUP(A372,Fandual!$D$2:$K$1354,8,FALSE)</f>
        <v>#N/A</v>
      </c>
      <c r="F372" s="2" t="e">
        <f>VLOOKUP(E372,Offense!$A$1:$B$30,2,FALSE)</f>
        <v>#N/A</v>
      </c>
      <c r="G372" s="2" t="e">
        <f t="shared" si="5"/>
        <v>#N/A</v>
      </c>
    </row>
    <row r="373" spans="1:7" x14ac:dyDescent="0.25">
      <c r="A373">
        <v>0</v>
      </c>
      <c r="B373">
        <v>0</v>
      </c>
      <c r="C373">
        <v>0</v>
      </c>
      <c r="D373">
        <v>0</v>
      </c>
      <c r="E373" s="2" t="e">
        <f>VLOOKUP(A373,Fandual!$D$2:$K$1354,8,FALSE)</f>
        <v>#N/A</v>
      </c>
      <c r="F373" s="2" t="e">
        <f>VLOOKUP(E373,Offense!$A$1:$B$30,2,FALSE)</f>
        <v>#N/A</v>
      </c>
      <c r="G373" s="2" t="e">
        <f t="shared" si="5"/>
        <v>#N/A</v>
      </c>
    </row>
    <row r="374" spans="1:7" x14ac:dyDescent="0.25">
      <c r="A374">
        <v>0</v>
      </c>
      <c r="B374">
        <v>0</v>
      </c>
      <c r="C374">
        <v>0</v>
      </c>
      <c r="D374">
        <v>0</v>
      </c>
      <c r="E374" s="2" t="e">
        <f>VLOOKUP(A374,Fandual!$D$2:$K$1354,8,FALSE)</f>
        <v>#N/A</v>
      </c>
      <c r="F374" s="2" t="e">
        <f>VLOOKUP(E374,Offense!$A$1:$B$30,2,FALSE)</f>
        <v>#N/A</v>
      </c>
      <c r="G374" s="2" t="e">
        <f t="shared" si="5"/>
        <v>#N/A</v>
      </c>
    </row>
    <row r="375" spans="1:7" x14ac:dyDescent="0.25">
      <c r="A375">
        <v>0</v>
      </c>
      <c r="B375">
        <v>0</v>
      </c>
      <c r="C375">
        <v>0</v>
      </c>
      <c r="D375">
        <v>0</v>
      </c>
      <c r="E375" s="2" t="e">
        <f>VLOOKUP(A375,Fandual!$D$2:$K$1354,8,FALSE)</f>
        <v>#N/A</v>
      </c>
      <c r="F375" s="2" t="e">
        <f>VLOOKUP(E375,Offense!$A$1:$B$30,2,FALSE)</f>
        <v>#N/A</v>
      </c>
      <c r="G375" s="2" t="e">
        <f t="shared" si="5"/>
        <v>#N/A</v>
      </c>
    </row>
    <row r="376" spans="1:7" x14ac:dyDescent="0.25">
      <c r="A376">
        <v>0</v>
      </c>
      <c r="B376">
        <v>0</v>
      </c>
      <c r="C376">
        <v>0</v>
      </c>
      <c r="D376">
        <v>0</v>
      </c>
      <c r="E376" s="2" t="e">
        <f>VLOOKUP(A376,Fandual!$D$2:$K$1354,8,FALSE)</f>
        <v>#N/A</v>
      </c>
      <c r="F376" s="2" t="e">
        <f>VLOOKUP(E376,Offense!$A$1:$B$30,2,FALSE)</f>
        <v>#N/A</v>
      </c>
      <c r="G376" s="2" t="e">
        <f t="shared" si="5"/>
        <v>#N/A</v>
      </c>
    </row>
    <row r="377" spans="1:7" x14ac:dyDescent="0.25">
      <c r="A377">
        <v>0</v>
      </c>
      <c r="B377">
        <v>0</v>
      </c>
      <c r="C377">
        <v>0</v>
      </c>
      <c r="D377">
        <v>0</v>
      </c>
      <c r="E377" s="2" t="e">
        <f>VLOOKUP(A377,Fandual!$D$2:$K$1354,8,FALSE)</f>
        <v>#N/A</v>
      </c>
      <c r="F377" s="2" t="e">
        <f>VLOOKUP(E377,Offense!$A$1:$B$30,2,FALSE)</f>
        <v>#N/A</v>
      </c>
      <c r="G377" s="2" t="e">
        <f t="shared" si="5"/>
        <v>#N/A</v>
      </c>
    </row>
    <row r="378" spans="1:7" x14ac:dyDescent="0.25">
      <c r="A378">
        <v>0</v>
      </c>
      <c r="B378">
        <v>0</v>
      </c>
      <c r="C378">
        <v>0</v>
      </c>
      <c r="D378">
        <v>0</v>
      </c>
      <c r="E378" s="2" t="e">
        <f>VLOOKUP(A378,Fandual!$D$2:$K$1354,8,FALSE)</f>
        <v>#N/A</v>
      </c>
      <c r="F378" s="2" t="e">
        <f>VLOOKUP(E378,Offense!$A$1:$B$30,2,FALSE)</f>
        <v>#N/A</v>
      </c>
      <c r="G378" s="2" t="e">
        <f t="shared" si="5"/>
        <v>#N/A</v>
      </c>
    </row>
    <row r="379" spans="1:7" x14ac:dyDescent="0.25">
      <c r="A379">
        <v>0</v>
      </c>
      <c r="B379">
        <v>0</v>
      </c>
      <c r="C379">
        <v>0</v>
      </c>
      <c r="D379">
        <v>0</v>
      </c>
      <c r="E379" s="2" t="e">
        <f>VLOOKUP(A379,Fandual!$D$2:$K$1354,8,FALSE)</f>
        <v>#N/A</v>
      </c>
      <c r="F379" s="2" t="e">
        <f>VLOOKUP(E379,Offense!$A$1:$B$30,2,FALSE)</f>
        <v>#N/A</v>
      </c>
      <c r="G379" s="2" t="e">
        <f t="shared" si="5"/>
        <v>#N/A</v>
      </c>
    </row>
    <row r="380" spans="1:7" x14ac:dyDescent="0.25">
      <c r="A380">
        <v>0</v>
      </c>
      <c r="B380">
        <v>0</v>
      </c>
      <c r="C380">
        <v>0</v>
      </c>
      <c r="D380">
        <v>0</v>
      </c>
      <c r="E380" s="2" t="e">
        <f>VLOOKUP(A380,Fandual!$D$2:$K$1354,8,FALSE)</f>
        <v>#N/A</v>
      </c>
      <c r="F380" s="2" t="e">
        <f>VLOOKUP(E380,Offense!$A$1:$B$30,2,FALSE)</f>
        <v>#N/A</v>
      </c>
      <c r="G380" s="2" t="e">
        <f t="shared" si="5"/>
        <v>#N/A</v>
      </c>
    </row>
    <row r="381" spans="1:7" x14ac:dyDescent="0.25">
      <c r="A381">
        <v>0</v>
      </c>
      <c r="B381">
        <v>0</v>
      </c>
      <c r="C381">
        <v>0</v>
      </c>
      <c r="D381">
        <v>0</v>
      </c>
      <c r="E381" s="2" t="e">
        <f>VLOOKUP(A381,Fandual!$D$2:$K$1354,8,FALSE)</f>
        <v>#N/A</v>
      </c>
      <c r="F381" s="2" t="e">
        <f>VLOOKUP(E381,Offense!$A$1:$B$30,2,FALSE)</f>
        <v>#N/A</v>
      </c>
      <c r="G381" s="2" t="e">
        <f t="shared" si="5"/>
        <v>#N/A</v>
      </c>
    </row>
    <row r="382" spans="1:7" x14ac:dyDescent="0.25">
      <c r="A382">
        <v>0</v>
      </c>
      <c r="B382">
        <v>0</v>
      </c>
      <c r="C382">
        <v>0</v>
      </c>
      <c r="D382">
        <v>0</v>
      </c>
      <c r="E382" s="2" t="e">
        <f>VLOOKUP(A382,Fandual!$D$2:$K$1354,8,FALSE)</f>
        <v>#N/A</v>
      </c>
      <c r="F382" s="2" t="e">
        <f>VLOOKUP(E382,Offense!$A$1:$B$30,2,FALSE)</f>
        <v>#N/A</v>
      </c>
      <c r="G382" s="2" t="e">
        <f t="shared" si="5"/>
        <v>#N/A</v>
      </c>
    </row>
    <row r="383" spans="1:7" x14ac:dyDescent="0.25">
      <c r="A383">
        <v>0</v>
      </c>
      <c r="B383">
        <v>0</v>
      </c>
      <c r="C383">
        <v>0</v>
      </c>
      <c r="D383">
        <v>0</v>
      </c>
      <c r="E383" s="2" t="e">
        <f>VLOOKUP(A383,Fandual!$D$2:$K$1354,8,FALSE)</f>
        <v>#N/A</v>
      </c>
      <c r="F383" s="2" t="e">
        <f>VLOOKUP(E383,Offense!$A$1:$B$30,2,FALSE)</f>
        <v>#N/A</v>
      </c>
      <c r="G383" s="2" t="e">
        <f t="shared" si="5"/>
        <v>#N/A</v>
      </c>
    </row>
    <row r="384" spans="1:7" x14ac:dyDescent="0.25">
      <c r="A384">
        <v>0</v>
      </c>
      <c r="B384">
        <v>0</v>
      </c>
      <c r="C384">
        <v>0</v>
      </c>
      <c r="D384">
        <v>0</v>
      </c>
      <c r="E384" s="2" t="e">
        <f>VLOOKUP(A384,Fandual!$D$2:$K$1354,8,FALSE)</f>
        <v>#N/A</v>
      </c>
      <c r="F384" s="2" t="e">
        <f>VLOOKUP(E384,Offense!$A$1:$B$30,2,FALSE)</f>
        <v>#N/A</v>
      </c>
      <c r="G384" s="2" t="e">
        <f t="shared" si="5"/>
        <v>#N/A</v>
      </c>
    </row>
    <row r="385" spans="1:7" x14ac:dyDescent="0.25">
      <c r="A385">
        <v>0</v>
      </c>
      <c r="B385">
        <v>0</v>
      </c>
      <c r="C385">
        <v>0</v>
      </c>
      <c r="D385">
        <v>0</v>
      </c>
      <c r="E385" s="2" t="e">
        <f>VLOOKUP(A385,Fandual!$D$2:$K$1354,8,FALSE)</f>
        <v>#N/A</v>
      </c>
      <c r="F385" s="2" t="e">
        <f>VLOOKUP(E385,Offense!$A$1:$B$30,2,FALSE)</f>
        <v>#N/A</v>
      </c>
      <c r="G385" s="2" t="e">
        <f t="shared" si="5"/>
        <v>#N/A</v>
      </c>
    </row>
    <row r="386" spans="1:7" x14ac:dyDescent="0.25">
      <c r="A386">
        <v>0</v>
      </c>
      <c r="B386">
        <v>0</v>
      </c>
      <c r="C386">
        <v>0</v>
      </c>
      <c r="D386">
        <v>0</v>
      </c>
      <c r="E386" s="2" t="e">
        <f>VLOOKUP(A386,Fandual!$D$2:$K$1354,8,FALSE)</f>
        <v>#N/A</v>
      </c>
      <c r="F386" s="2" t="e">
        <f>VLOOKUP(E386,Offense!$A$1:$B$30,2,FALSE)</f>
        <v>#N/A</v>
      </c>
      <c r="G386" s="2" t="e">
        <f t="shared" si="5"/>
        <v>#N/A</v>
      </c>
    </row>
    <row r="387" spans="1:7" x14ac:dyDescent="0.25">
      <c r="A387">
        <v>0</v>
      </c>
      <c r="B387">
        <v>0</v>
      </c>
      <c r="C387">
        <v>0</v>
      </c>
      <c r="D387">
        <v>0</v>
      </c>
      <c r="E387" s="2" t="e">
        <f>VLOOKUP(A387,Fandual!$D$2:$K$1354,8,FALSE)</f>
        <v>#N/A</v>
      </c>
      <c r="F387" s="2" t="e">
        <f>VLOOKUP(E387,Offense!$A$1:$B$30,2,FALSE)</f>
        <v>#N/A</v>
      </c>
      <c r="G387" s="2" t="e">
        <f t="shared" ref="G387:G450" si="6">E387</f>
        <v>#N/A</v>
      </c>
    </row>
    <row r="388" spans="1:7" x14ac:dyDescent="0.25">
      <c r="A388">
        <v>0</v>
      </c>
      <c r="B388">
        <v>0</v>
      </c>
      <c r="C388">
        <v>0</v>
      </c>
      <c r="D388">
        <v>0</v>
      </c>
      <c r="E388" s="2" t="e">
        <f>VLOOKUP(A388,Fandual!$D$2:$K$1354,8,FALSE)</f>
        <v>#N/A</v>
      </c>
      <c r="F388" s="2" t="e">
        <f>VLOOKUP(E388,Offense!$A$1:$B$30,2,FALSE)</f>
        <v>#N/A</v>
      </c>
      <c r="G388" s="2" t="e">
        <f t="shared" si="6"/>
        <v>#N/A</v>
      </c>
    </row>
    <row r="389" spans="1:7" x14ac:dyDescent="0.25">
      <c r="A389">
        <v>0</v>
      </c>
      <c r="B389">
        <v>0</v>
      </c>
      <c r="C389">
        <v>0</v>
      </c>
      <c r="D389">
        <v>0</v>
      </c>
      <c r="E389" s="2" t="e">
        <f>VLOOKUP(A389,Fandual!$D$2:$K$1354,8,FALSE)</f>
        <v>#N/A</v>
      </c>
      <c r="F389" s="2" t="e">
        <f>VLOOKUP(E389,Offense!$A$1:$B$30,2,FALSE)</f>
        <v>#N/A</v>
      </c>
      <c r="G389" s="2" t="e">
        <f t="shared" si="6"/>
        <v>#N/A</v>
      </c>
    </row>
    <row r="390" spans="1:7" x14ac:dyDescent="0.25">
      <c r="A390">
        <v>0</v>
      </c>
      <c r="B390">
        <v>0</v>
      </c>
      <c r="C390">
        <v>0</v>
      </c>
      <c r="D390">
        <v>0</v>
      </c>
      <c r="E390" s="2" t="e">
        <f>VLOOKUP(A390,Fandual!$D$2:$K$1354,8,FALSE)</f>
        <v>#N/A</v>
      </c>
      <c r="F390" s="2" t="e">
        <f>VLOOKUP(E390,Offense!$A$1:$B$30,2,FALSE)</f>
        <v>#N/A</v>
      </c>
      <c r="G390" s="2" t="e">
        <f t="shared" si="6"/>
        <v>#N/A</v>
      </c>
    </row>
    <row r="391" spans="1:7" x14ac:dyDescent="0.25">
      <c r="A391">
        <v>0</v>
      </c>
      <c r="B391">
        <v>0</v>
      </c>
      <c r="C391">
        <v>0</v>
      </c>
      <c r="D391">
        <v>0</v>
      </c>
      <c r="E391" s="2" t="e">
        <f>VLOOKUP(A391,Fandual!$D$2:$K$1354,8,FALSE)</f>
        <v>#N/A</v>
      </c>
      <c r="F391" s="2" t="e">
        <f>VLOOKUP(E391,Offense!$A$1:$B$30,2,FALSE)</f>
        <v>#N/A</v>
      </c>
      <c r="G391" s="2" t="e">
        <f t="shared" si="6"/>
        <v>#N/A</v>
      </c>
    </row>
    <row r="392" spans="1:7" x14ac:dyDescent="0.25">
      <c r="A392">
        <v>0</v>
      </c>
      <c r="B392">
        <v>0</v>
      </c>
      <c r="C392">
        <v>0</v>
      </c>
      <c r="D392">
        <v>0</v>
      </c>
      <c r="E392" s="2" t="e">
        <f>VLOOKUP(A392,Fandual!$D$2:$K$1354,8,FALSE)</f>
        <v>#N/A</v>
      </c>
      <c r="F392" s="2" t="e">
        <f>VLOOKUP(E392,Offense!$A$1:$B$30,2,FALSE)</f>
        <v>#N/A</v>
      </c>
      <c r="G392" s="2" t="e">
        <f t="shared" si="6"/>
        <v>#N/A</v>
      </c>
    </row>
    <row r="393" spans="1:7" x14ac:dyDescent="0.25">
      <c r="A393">
        <v>0</v>
      </c>
      <c r="B393">
        <v>0</v>
      </c>
      <c r="C393">
        <v>0</v>
      </c>
      <c r="D393">
        <v>0</v>
      </c>
      <c r="E393" s="2" t="e">
        <f>VLOOKUP(A393,Fandual!$D$2:$K$1354,8,FALSE)</f>
        <v>#N/A</v>
      </c>
      <c r="F393" s="2" t="e">
        <f>VLOOKUP(E393,Offense!$A$1:$B$30,2,FALSE)</f>
        <v>#N/A</v>
      </c>
      <c r="G393" s="2" t="e">
        <f t="shared" si="6"/>
        <v>#N/A</v>
      </c>
    </row>
    <row r="394" spans="1:7" x14ac:dyDescent="0.25">
      <c r="A394">
        <v>0</v>
      </c>
      <c r="B394">
        <v>0</v>
      </c>
      <c r="C394">
        <v>0</v>
      </c>
      <c r="D394">
        <v>0</v>
      </c>
      <c r="E394" s="2" t="e">
        <f>VLOOKUP(A394,Fandual!$D$2:$K$1354,8,FALSE)</f>
        <v>#N/A</v>
      </c>
      <c r="F394" s="2" t="e">
        <f>VLOOKUP(E394,Offense!$A$1:$B$30,2,FALSE)</f>
        <v>#N/A</v>
      </c>
      <c r="G394" s="2" t="e">
        <f t="shared" si="6"/>
        <v>#N/A</v>
      </c>
    </row>
    <row r="395" spans="1:7" x14ac:dyDescent="0.25">
      <c r="A395">
        <v>0</v>
      </c>
      <c r="B395">
        <v>0</v>
      </c>
      <c r="C395">
        <v>0</v>
      </c>
      <c r="D395">
        <v>0</v>
      </c>
      <c r="E395" s="2" t="e">
        <f>VLOOKUP(A395,Fandual!$D$2:$K$1354,8,FALSE)</f>
        <v>#N/A</v>
      </c>
      <c r="F395" s="2" t="e">
        <f>VLOOKUP(E395,Offense!$A$1:$B$30,2,FALSE)</f>
        <v>#N/A</v>
      </c>
      <c r="G395" s="2" t="e">
        <f t="shared" si="6"/>
        <v>#N/A</v>
      </c>
    </row>
    <row r="396" spans="1:7" x14ac:dyDescent="0.25">
      <c r="A396">
        <v>0</v>
      </c>
      <c r="B396">
        <v>0</v>
      </c>
      <c r="C396">
        <v>0</v>
      </c>
      <c r="D396">
        <v>0</v>
      </c>
      <c r="E396" s="2" t="e">
        <f>VLOOKUP(A396,Fandual!$D$2:$K$1354,8,FALSE)</f>
        <v>#N/A</v>
      </c>
      <c r="F396" s="2" t="e">
        <f>VLOOKUP(E396,Offense!$A$1:$B$30,2,FALSE)</f>
        <v>#N/A</v>
      </c>
      <c r="G396" s="2" t="e">
        <f t="shared" si="6"/>
        <v>#N/A</v>
      </c>
    </row>
    <row r="397" spans="1:7" x14ac:dyDescent="0.25">
      <c r="A397">
        <v>0</v>
      </c>
      <c r="B397">
        <v>0</v>
      </c>
      <c r="C397">
        <v>0</v>
      </c>
      <c r="D397">
        <v>0</v>
      </c>
      <c r="E397" s="2" t="e">
        <f>VLOOKUP(A397,Fandual!$D$2:$K$1354,8,FALSE)</f>
        <v>#N/A</v>
      </c>
      <c r="F397" s="2" t="e">
        <f>VLOOKUP(E397,Offense!$A$1:$B$30,2,FALSE)</f>
        <v>#N/A</v>
      </c>
      <c r="G397" s="2" t="e">
        <f t="shared" si="6"/>
        <v>#N/A</v>
      </c>
    </row>
    <row r="398" spans="1:7" x14ac:dyDescent="0.25">
      <c r="A398">
        <v>0</v>
      </c>
      <c r="B398">
        <v>0</v>
      </c>
      <c r="C398">
        <v>0</v>
      </c>
      <c r="D398">
        <v>0</v>
      </c>
      <c r="E398" s="2" t="e">
        <f>VLOOKUP(A398,Fandual!$D$2:$K$1354,8,FALSE)</f>
        <v>#N/A</v>
      </c>
      <c r="F398" s="2" t="e">
        <f>VLOOKUP(E398,Offense!$A$1:$B$30,2,FALSE)</f>
        <v>#N/A</v>
      </c>
      <c r="G398" s="2" t="e">
        <f t="shared" si="6"/>
        <v>#N/A</v>
      </c>
    </row>
    <row r="399" spans="1:7" x14ac:dyDescent="0.25">
      <c r="A399">
        <v>0</v>
      </c>
      <c r="B399">
        <v>0</v>
      </c>
      <c r="C399">
        <v>0</v>
      </c>
      <c r="D399">
        <v>0</v>
      </c>
      <c r="E399" s="2" t="e">
        <f>VLOOKUP(A399,Fandual!$D$2:$K$1354,8,FALSE)</f>
        <v>#N/A</v>
      </c>
      <c r="F399" s="2" t="e">
        <f>VLOOKUP(E399,Offense!$A$1:$B$30,2,FALSE)</f>
        <v>#N/A</v>
      </c>
      <c r="G399" s="2" t="e">
        <f t="shared" si="6"/>
        <v>#N/A</v>
      </c>
    </row>
    <row r="400" spans="1:7" x14ac:dyDescent="0.25">
      <c r="A400">
        <v>0</v>
      </c>
      <c r="B400">
        <v>0</v>
      </c>
      <c r="C400">
        <v>0</v>
      </c>
      <c r="D400">
        <v>0</v>
      </c>
      <c r="E400" s="2" t="e">
        <f>VLOOKUP(A400,Fandual!$D$2:$K$1354,8,FALSE)</f>
        <v>#N/A</v>
      </c>
      <c r="F400" s="2" t="e">
        <f>VLOOKUP(E400,Offense!$A$1:$B$30,2,FALSE)</f>
        <v>#N/A</v>
      </c>
      <c r="G400" s="2" t="e">
        <f t="shared" si="6"/>
        <v>#N/A</v>
      </c>
    </row>
    <row r="401" spans="1:7" x14ac:dyDescent="0.25">
      <c r="A401">
        <v>0</v>
      </c>
      <c r="B401">
        <v>0</v>
      </c>
      <c r="C401">
        <v>0</v>
      </c>
      <c r="D401">
        <v>0</v>
      </c>
      <c r="E401" s="2" t="e">
        <f>VLOOKUP(A401,Fandual!$D$2:$K$1354,8,FALSE)</f>
        <v>#N/A</v>
      </c>
      <c r="F401" s="2" t="e">
        <f>VLOOKUP(E401,Offense!$A$1:$B$30,2,FALSE)</f>
        <v>#N/A</v>
      </c>
      <c r="G401" s="2" t="e">
        <f t="shared" si="6"/>
        <v>#N/A</v>
      </c>
    </row>
    <row r="402" spans="1:7" x14ac:dyDescent="0.25">
      <c r="A402">
        <v>0</v>
      </c>
      <c r="B402">
        <v>0</v>
      </c>
      <c r="C402">
        <v>0</v>
      </c>
      <c r="D402">
        <v>0</v>
      </c>
      <c r="E402" s="2" t="e">
        <f>VLOOKUP(A402,Fandual!$D$2:$K$1354,8,FALSE)</f>
        <v>#N/A</v>
      </c>
      <c r="F402" s="2" t="e">
        <f>VLOOKUP(E402,Offense!$A$1:$B$30,2,FALSE)</f>
        <v>#N/A</v>
      </c>
      <c r="G402" s="2" t="e">
        <f t="shared" si="6"/>
        <v>#N/A</v>
      </c>
    </row>
    <row r="403" spans="1:7" x14ac:dyDescent="0.25">
      <c r="A403">
        <v>0</v>
      </c>
      <c r="B403">
        <v>0</v>
      </c>
      <c r="C403">
        <v>0</v>
      </c>
      <c r="D403">
        <v>0</v>
      </c>
      <c r="E403" s="2" t="e">
        <f>VLOOKUP(A403,Fandual!$D$2:$K$1354,8,FALSE)</f>
        <v>#N/A</v>
      </c>
      <c r="F403" s="2" t="e">
        <f>VLOOKUP(E403,Offense!$A$1:$B$30,2,FALSE)</f>
        <v>#N/A</v>
      </c>
      <c r="G403" s="2" t="e">
        <f t="shared" si="6"/>
        <v>#N/A</v>
      </c>
    </row>
    <row r="404" spans="1:7" x14ac:dyDescent="0.25">
      <c r="A404">
        <v>0</v>
      </c>
      <c r="B404">
        <v>0</v>
      </c>
      <c r="C404">
        <v>0</v>
      </c>
      <c r="D404">
        <v>0</v>
      </c>
      <c r="E404" s="2" t="e">
        <f>VLOOKUP(A404,Fandual!$D$2:$K$1354,8,FALSE)</f>
        <v>#N/A</v>
      </c>
      <c r="F404" s="2" t="e">
        <f>VLOOKUP(E404,Offense!$A$1:$B$30,2,FALSE)</f>
        <v>#N/A</v>
      </c>
      <c r="G404" s="2" t="e">
        <f t="shared" si="6"/>
        <v>#N/A</v>
      </c>
    </row>
    <row r="405" spans="1:7" x14ac:dyDescent="0.25">
      <c r="A405">
        <v>0</v>
      </c>
      <c r="B405">
        <v>0</v>
      </c>
      <c r="C405">
        <v>0</v>
      </c>
      <c r="D405">
        <v>0</v>
      </c>
      <c r="E405" s="2" t="e">
        <f>VLOOKUP(A405,Fandual!$D$2:$K$1354,8,FALSE)</f>
        <v>#N/A</v>
      </c>
      <c r="F405" s="2" t="e">
        <f>VLOOKUP(E405,Offense!$A$1:$B$30,2,FALSE)</f>
        <v>#N/A</v>
      </c>
      <c r="G405" s="2" t="e">
        <f t="shared" si="6"/>
        <v>#N/A</v>
      </c>
    </row>
    <row r="406" spans="1:7" x14ac:dyDescent="0.25">
      <c r="A406">
        <v>0</v>
      </c>
      <c r="B406">
        <v>0</v>
      </c>
      <c r="C406">
        <v>0</v>
      </c>
      <c r="D406">
        <v>0</v>
      </c>
      <c r="E406" s="2" t="e">
        <f>VLOOKUP(A406,Fandual!$D$2:$K$1354,8,FALSE)</f>
        <v>#N/A</v>
      </c>
      <c r="F406" s="2" t="e">
        <f>VLOOKUP(E406,Offense!$A$1:$B$30,2,FALSE)</f>
        <v>#N/A</v>
      </c>
      <c r="G406" s="2" t="e">
        <f t="shared" si="6"/>
        <v>#N/A</v>
      </c>
    </row>
    <row r="407" spans="1:7" x14ac:dyDescent="0.25">
      <c r="A407">
        <v>0</v>
      </c>
      <c r="B407">
        <v>0</v>
      </c>
      <c r="C407">
        <v>0</v>
      </c>
      <c r="D407">
        <v>0</v>
      </c>
      <c r="E407" s="2" t="e">
        <f>VLOOKUP(A407,Fandual!$D$2:$K$1354,8,FALSE)</f>
        <v>#N/A</v>
      </c>
      <c r="F407" s="2" t="e">
        <f>VLOOKUP(E407,Offense!$A$1:$B$30,2,FALSE)</f>
        <v>#N/A</v>
      </c>
      <c r="G407" s="2" t="e">
        <f t="shared" si="6"/>
        <v>#N/A</v>
      </c>
    </row>
    <row r="408" spans="1:7" x14ac:dyDescent="0.25">
      <c r="A408">
        <v>0</v>
      </c>
      <c r="B408">
        <v>0</v>
      </c>
      <c r="C408">
        <v>0</v>
      </c>
      <c r="D408">
        <v>0</v>
      </c>
      <c r="E408" s="2" t="e">
        <f>VLOOKUP(A408,Fandual!$D$2:$K$1354,8,FALSE)</f>
        <v>#N/A</v>
      </c>
      <c r="F408" s="2" t="e">
        <f>VLOOKUP(E408,Offense!$A$1:$B$30,2,FALSE)</f>
        <v>#N/A</v>
      </c>
      <c r="G408" s="2" t="e">
        <f t="shared" si="6"/>
        <v>#N/A</v>
      </c>
    </row>
    <row r="409" spans="1:7" x14ac:dyDescent="0.25">
      <c r="A409">
        <v>0</v>
      </c>
      <c r="B409">
        <v>0</v>
      </c>
      <c r="C409">
        <v>0</v>
      </c>
      <c r="D409">
        <v>0</v>
      </c>
      <c r="E409" s="2" t="e">
        <f>VLOOKUP(A409,Fandual!$D$2:$K$1354,8,FALSE)</f>
        <v>#N/A</v>
      </c>
      <c r="F409" s="2" t="e">
        <f>VLOOKUP(E409,Offense!$A$1:$B$30,2,FALSE)</f>
        <v>#N/A</v>
      </c>
      <c r="G409" s="2" t="e">
        <f t="shared" si="6"/>
        <v>#N/A</v>
      </c>
    </row>
    <row r="410" spans="1:7" x14ac:dyDescent="0.25">
      <c r="A410">
        <v>0</v>
      </c>
      <c r="B410">
        <v>0</v>
      </c>
      <c r="C410">
        <v>0</v>
      </c>
      <c r="D410">
        <v>0</v>
      </c>
      <c r="E410" s="2" t="e">
        <f>VLOOKUP(A410,Fandual!$D$2:$K$1354,8,FALSE)</f>
        <v>#N/A</v>
      </c>
      <c r="F410" s="2" t="e">
        <f>VLOOKUP(E410,Offense!$A$1:$B$30,2,FALSE)</f>
        <v>#N/A</v>
      </c>
      <c r="G410" s="2" t="e">
        <f t="shared" si="6"/>
        <v>#N/A</v>
      </c>
    </row>
    <row r="411" spans="1:7" x14ac:dyDescent="0.25">
      <c r="A411">
        <v>0</v>
      </c>
      <c r="B411">
        <v>0</v>
      </c>
      <c r="C411">
        <v>0</v>
      </c>
      <c r="D411">
        <v>0</v>
      </c>
      <c r="E411" s="2" t="e">
        <f>VLOOKUP(A411,Fandual!$D$2:$K$1354,8,FALSE)</f>
        <v>#N/A</v>
      </c>
      <c r="F411" s="2" t="e">
        <f>VLOOKUP(E411,Offense!$A$1:$B$30,2,FALSE)</f>
        <v>#N/A</v>
      </c>
      <c r="G411" s="2" t="e">
        <f t="shared" si="6"/>
        <v>#N/A</v>
      </c>
    </row>
    <row r="412" spans="1:7" x14ac:dyDescent="0.25">
      <c r="A412">
        <v>0</v>
      </c>
      <c r="B412">
        <v>0</v>
      </c>
      <c r="C412">
        <v>0</v>
      </c>
      <c r="D412">
        <v>0</v>
      </c>
      <c r="E412" s="2" t="e">
        <f>VLOOKUP(A412,Fandual!$D$2:$K$1354,8,FALSE)</f>
        <v>#N/A</v>
      </c>
      <c r="F412" s="2" t="e">
        <f>VLOOKUP(E412,Offense!$A$1:$B$30,2,FALSE)</f>
        <v>#N/A</v>
      </c>
      <c r="G412" s="2" t="e">
        <f t="shared" si="6"/>
        <v>#N/A</v>
      </c>
    </row>
    <row r="413" spans="1:7" x14ac:dyDescent="0.25">
      <c r="A413">
        <v>0</v>
      </c>
      <c r="B413">
        <v>0</v>
      </c>
      <c r="C413">
        <v>0</v>
      </c>
      <c r="D413">
        <v>0</v>
      </c>
      <c r="E413" s="2" t="e">
        <f>VLOOKUP(A413,Fandual!$D$2:$K$1354,8,FALSE)</f>
        <v>#N/A</v>
      </c>
      <c r="F413" s="2" t="e">
        <f>VLOOKUP(E413,Offense!$A$1:$B$30,2,FALSE)</f>
        <v>#N/A</v>
      </c>
      <c r="G413" s="2" t="e">
        <f t="shared" si="6"/>
        <v>#N/A</v>
      </c>
    </row>
    <row r="414" spans="1:7" x14ac:dyDescent="0.25">
      <c r="A414">
        <v>0</v>
      </c>
      <c r="B414">
        <v>0</v>
      </c>
      <c r="C414">
        <v>0</v>
      </c>
      <c r="D414">
        <v>0</v>
      </c>
      <c r="E414" s="2" t="e">
        <f>VLOOKUP(A414,Fandual!$D$2:$K$1354,8,FALSE)</f>
        <v>#N/A</v>
      </c>
      <c r="F414" s="2" t="e">
        <f>VLOOKUP(E414,Offense!$A$1:$B$30,2,FALSE)</f>
        <v>#N/A</v>
      </c>
      <c r="G414" s="2" t="e">
        <f t="shared" si="6"/>
        <v>#N/A</v>
      </c>
    </row>
    <row r="415" spans="1:7" x14ac:dyDescent="0.25">
      <c r="A415">
        <v>0</v>
      </c>
      <c r="B415">
        <v>0</v>
      </c>
      <c r="C415">
        <v>0</v>
      </c>
      <c r="D415">
        <v>0</v>
      </c>
      <c r="E415" s="2" t="e">
        <f>VLOOKUP(A415,Fandual!$D$2:$K$1354,8,FALSE)</f>
        <v>#N/A</v>
      </c>
      <c r="F415" s="2" t="e">
        <f>VLOOKUP(E415,Offense!$A$1:$B$30,2,FALSE)</f>
        <v>#N/A</v>
      </c>
      <c r="G415" s="2" t="e">
        <f t="shared" si="6"/>
        <v>#N/A</v>
      </c>
    </row>
    <row r="416" spans="1:7" x14ac:dyDescent="0.25">
      <c r="A416">
        <v>0</v>
      </c>
      <c r="B416">
        <v>0</v>
      </c>
      <c r="C416">
        <v>0</v>
      </c>
      <c r="D416">
        <v>0</v>
      </c>
      <c r="E416" s="2" t="e">
        <f>VLOOKUP(A416,Fandual!$D$2:$K$1354,8,FALSE)</f>
        <v>#N/A</v>
      </c>
      <c r="F416" s="2" t="e">
        <f>VLOOKUP(E416,Offense!$A$1:$B$30,2,FALSE)</f>
        <v>#N/A</v>
      </c>
      <c r="G416" s="2" t="e">
        <f t="shared" si="6"/>
        <v>#N/A</v>
      </c>
    </row>
    <row r="417" spans="1:7" x14ac:dyDescent="0.25">
      <c r="A417">
        <v>0</v>
      </c>
      <c r="B417">
        <v>0</v>
      </c>
      <c r="C417">
        <v>0</v>
      </c>
      <c r="D417">
        <v>0</v>
      </c>
      <c r="E417" s="2" t="e">
        <f>VLOOKUP(A417,Fandual!$D$2:$K$1354,8,FALSE)</f>
        <v>#N/A</v>
      </c>
      <c r="F417" s="2" t="e">
        <f>VLOOKUP(E417,Offense!$A$1:$B$30,2,FALSE)</f>
        <v>#N/A</v>
      </c>
      <c r="G417" s="2" t="e">
        <f t="shared" si="6"/>
        <v>#N/A</v>
      </c>
    </row>
    <row r="418" spans="1:7" x14ac:dyDescent="0.25">
      <c r="A418">
        <v>0</v>
      </c>
      <c r="B418">
        <v>0</v>
      </c>
      <c r="C418">
        <v>0</v>
      </c>
      <c r="D418">
        <v>0</v>
      </c>
      <c r="E418" s="2" t="e">
        <f>VLOOKUP(A418,Fandual!$D$2:$K$1354,8,FALSE)</f>
        <v>#N/A</v>
      </c>
      <c r="F418" s="2" t="e">
        <f>VLOOKUP(E418,Offense!$A$1:$B$30,2,FALSE)</f>
        <v>#N/A</v>
      </c>
      <c r="G418" s="2" t="e">
        <f t="shared" si="6"/>
        <v>#N/A</v>
      </c>
    </row>
    <row r="419" spans="1:7" x14ac:dyDescent="0.25">
      <c r="A419">
        <v>0</v>
      </c>
      <c r="B419">
        <v>0</v>
      </c>
      <c r="C419">
        <v>0</v>
      </c>
      <c r="D419">
        <v>0</v>
      </c>
      <c r="E419" s="2" t="e">
        <f>VLOOKUP(A419,Fandual!$D$2:$K$1354,8,FALSE)</f>
        <v>#N/A</v>
      </c>
      <c r="F419" s="2" t="e">
        <f>VLOOKUP(E419,Offense!$A$1:$B$30,2,FALSE)</f>
        <v>#N/A</v>
      </c>
      <c r="G419" s="2" t="e">
        <f t="shared" si="6"/>
        <v>#N/A</v>
      </c>
    </row>
    <row r="420" spans="1:7" x14ac:dyDescent="0.25">
      <c r="A420">
        <v>0</v>
      </c>
      <c r="B420">
        <v>0</v>
      </c>
      <c r="C420">
        <v>0</v>
      </c>
      <c r="D420">
        <v>0</v>
      </c>
      <c r="E420" s="2" t="e">
        <f>VLOOKUP(A420,Fandual!$D$2:$K$1354,8,FALSE)</f>
        <v>#N/A</v>
      </c>
      <c r="F420" s="2" t="e">
        <f>VLOOKUP(E420,Offense!$A$1:$B$30,2,FALSE)</f>
        <v>#N/A</v>
      </c>
      <c r="G420" s="2" t="e">
        <f t="shared" si="6"/>
        <v>#N/A</v>
      </c>
    </row>
    <row r="421" spans="1:7" x14ac:dyDescent="0.25">
      <c r="A421">
        <v>0</v>
      </c>
      <c r="B421">
        <v>0</v>
      </c>
      <c r="C421">
        <v>0</v>
      </c>
      <c r="D421">
        <v>0</v>
      </c>
      <c r="E421" s="2" t="e">
        <f>VLOOKUP(A421,Fandual!$D$2:$K$1354,8,FALSE)</f>
        <v>#N/A</v>
      </c>
      <c r="F421" s="2" t="e">
        <f>VLOOKUP(E421,Offense!$A$1:$B$30,2,FALSE)</f>
        <v>#N/A</v>
      </c>
      <c r="G421" s="2" t="e">
        <f t="shared" si="6"/>
        <v>#N/A</v>
      </c>
    </row>
    <row r="422" spans="1:7" x14ac:dyDescent="0.25">
      <c r="A422">
        <v>0</v>
      </c>
      <c r="B422">
        <v>0</v>
      </c>
      <c r="C422">
        <v>0</v>
      </c>
      <c r="D422">
        <v>0</v>
      </c>
      <c r="E422" s="2" t="e">
        <f>VLOOKUP(A422,Fandual!$D$2:$K$1354,8,FALSE)</f>
        <v>#N/A</v>
      </c>
      <c r="F422" s="2" t="e">
        <f>VLOOKUP(E422,Offense!$A$1:$B$30,2,FALSE)</f>
        <v>#N/A</v>
      </c>
      <c r="G422" s="2" t="e">
        <f t="shared" si="6"/>
        <v>#N/A</v>
      </c>
    </row>
    <row r="423" spans="1:7" x14ac:dyDescent="0.25">
      <c r="A423">
        <v>0</v>
      </c>
      <c r="B423">
        <v>0</v>
      </c>
      <c r="C423">
        <v>0</v>
      </c>
      <c r="D423">
        <v>0</v>
      </c>
      <c r="E423" s="2" t="e">
        <f>VLOOKUP(A423,Fandual!$D$2:$K$1354,8,FALSE)</f>
        <v>#N/A</v>
      </c>
      <c r="F423" s="2" t="e">
        <f>VLOOKUP(E423,Offense!$A$1:$B$30,2,FALSE)</f>
        <v>#N/A</v>
      </c>
      <c r="G423" s="2" t="e">
        <f t="shared" si="6"/>
        <v>#N/A</v>
      </c>
    </row>
    <row r="424" spans="1:7" x14ac:dyDescent="0.25">
      <c r="A424">
        <v>0</v>
      </c>
      <c r="B424">
        <v>0</v>
      </c>
      <c r="C424">
        <v>0</v>
      </c>
      <c r="D424">
        <v>0</v>
      </c>
      <c r="E424" s="2" t="e">
        <f>VLOOKUP(A424,Fandual!$D$2:$K$1354,8,FALSE)</f>
        <v>#N/A</v>
      </c>
      <c r="F424" s="2" t="e">
        <f>VLOOKUP(E424,Offense!$A$1:$B$30,2,FALSE)</f>
        <v>#N/A</v>
      </c>
      <c r="G424" s="2" t="e">
        <f t="shared" si="6"/>
        <v>#N/A</v>
      </c>
    </row>
    <row r="425" spans="1:7" x14ac:dyDescent="0.25">
      <c r="A425">
        <v>0</v>
      </c>
      <c r="B425">
        <v>0</v>
      </c>
      <c r="C425">
        <v>0</v>
      </c>
      <c r="D425">
        <v>0</v>
      </c>
      <c r="E425" s="2" t="e">
        <f>VLOOKUP(A425,Fandual!$D$2:$K$1354,8,FALSE)</f>
        <v>#N/A</v>
      </c>
      <c r="F425" s="2" t="e">
        <f>VLOOKUP(E425,Offense!$A$1:$B$30,2,FALSE)</f>
        <v>#N/A</v>
      </c>
      <c r="G425" s="2" t="e">
        <f t="shared" si="6"/>
        <v>#N/A</v>
      </c>
    </row>
    <row r="426" spans="1:7" x14ac:dyDescent="0.25">
      <c r="A426">
        <v>0</v>
      </c>
      <c r="B426">
        <v>0</v>
      </c>
      <c r="C426">
        <v>0</v>
      </c>
      <c r="D426">
        <v>0</v>
      </c>
      <c r="E426" s="2" t="e">
        <f>VLOOKUP(A426,Fandual!$D$2:$K$1354,8,FALSE)</f>
        <v>#N/A</v>
      </c>
      <c r="F426" s="2" t="e">
        <f>VLOOKUP(E426,Offense!$A$1:$B$30,2,FALSE)</f>
        <v>#N/A</v>
      </c>
      <c r="G426" s="2" t="e">
        <f t="shared" si="6"/>
        <v>#N/A</v>
      </c>
    </row>
    <row r="427" spans="1:7" x14ac:dyDescent="0.25">
      <c r="A427">
        <v>0</v>
      </c>
      <c r="B427">
        <v>0</v>
      </c>
      <c r="C427">
        <v>0</v>
      </c>
      <c r="D427">
        <v>0</v>
      </c>
      <c r="E427" s="2" t="e">
        <f>VLOOKUP(A427,Fandual!$D$2:$K$1354,8,FALSE)</f>
        <v>#N/A</v>
      </c>
      <c r="F427" s="2" t="e">
        <f>VLOOKUP(E427,Offense!$A$1:$B$30,2,FALSE)</f>
        <v>#N/A</v>
      </c>
      <c r="G427" s="2" t="e">
        <f t="shared" si="6"/>
        <v>#N/A</v>
      </c>
    </row>
    <row r="428" spans="1:7" x14ac:dyDescent="0.25">
      <c r="A428">
        <v>0</v>
      </c>
      <c r="B428">
        <v>0</v>
      </c>
      <c r="C428">
        <v>0</v>
      </c>
      <c r="D428">
        <v>0</v>
      </c>
      <c r="E428" s="2" t="e">
        <f>VLOOKUP(A428,Fandual!$D$2:$K$1354,8,FALSE)</f>
        <v>#N/A</v>
      </c>
      <c r="F428" s="2" t="e">
        <f>VLOOKUP(E428,Offense!$A$1:$B$30,2,FALSE)</f>
        <v>#N/A</v>
      </c>
      <c r="G428" s="2" t="e">
        <f t="shared" si="6"/>
        <v>#N/A</v>
      </c>
    </row>
    <row r="429" spans="1:7" x14ac:dyDescent="0.25">
      <c r="A429">
        <v>0</v>
      </c>
      <c r="B429">
        <v>0</v>
      </c>
      <c r="C429">
        <v>0</v>
      </c>
      <c r="D429">
        <v>0</v>
      </c>
      <c r="E429" s="2" t="e">
        <f>VLOOKUP(A429,Fandual!$D$2:$K$1354,8,FALSE)</f>
        <v>#N/A</v>
      </c>
      <c r="F429" s="2" t="e">
        <f>VLOOKUP(E429,Offense!$A$1:$B$30,2,FALSE)</f>
        <v>#N/A</v>
      </c>
      <c r="G429" s="2" t="e">
        <f t="shared" si="6"/>
        <v>#N/A</v>
      </c>
    </row>
    <row r="430" spans="1:7" x14ac:dyDescent="0.25">
      <c r="A430">
        <v>0</v>
      </c>
      <c r="B430">
        <v>0</v>
      </c>
      <c r="C430">
        <v>0</v>
      </c>
      <c r="D430">
        <v>0</v>
      </c>
      <c r="E430" s="2" t="e">
        <f>VLOOKUP(A430,Fandual!$D$2:$K$1354,8,FALSE)</f>
        <v>#N/A</v>
      </c>
      <c r="F430" s="2" t="e">
        <f>VLOOKUP(E430,Offense!$A$1:$B$30,2,FALSE)</f>
        <v>#N/A</v>
      </c>
      <c r="G430" s="2" t="e">
        <f t="shared" si="6"/>
        <v>#N/A</v>
      </c>
    </row>
    <row r="431" spans="1:7" x14ac:dyDescent="0.25">
      <c r="A431">
        <v>0</v>
      </c>
      <c r="B431">
        <v>0</v>
      </c>
      <c r="C431">
        <v>0</v>
      </c>
      <c r="D431">
        <v>0</v>
      </c>
      <c r="E431" s="2" t="e">
        <f>VLOOKUP(A431,Fandual!$D$2:$K$1354,8,FALSE)</f>
        <v>#N/A</v>
      </c>
      <c r="F431" s="2" t="e">
        <f>VLOOKUP(E431,Offense!$A$1:$B$30,2,FALSE)</f>
        <v>#N/A</v>
      </c>
      <c r="G431" s="2" t="e">
        <f t="shared" si="6"/>
        <v>#N/A</v>
      </c>
    </row>
    <row r="432" spans="1:7" x14ac:dyDescent="0.25">
      <c r="A432">
        <v>0</v>
      </c>
      <c r="B432">
        <v>0</v>
      </c>
      <c r="C432">
        <v>0</v>
      </c>
      <c r="D432">
        <v>0</v>
      </c>
      <c r="E432" s="2" t="e">
        <f>VLOOKUP(A432,Fandual!$D$2:$K$1354,8,FALSE)</f>
        <v>#N/A</v>
      </c>
      <c r="F432" s="2" t="e">
        <f>VLOOKUP(E432,Offense!$A$1:$B$30,2,FALSE)</f>
        <v>#N/A</v>
      </c>
      <c r="G432" s="2" t="e">
        <f t="shared" si="6"/>
        <v>#N/A</v>
      </c>
    </row>
    <row r="433" spans="1:7" x14ac:dyDescent="0.25">
      <c r="A433">
        <v>0</v>
      </c>
      <c r="B433">
        <v>0</v>
      </c>
      <c r="C433">
        <v>0</v>
      </c>
      <c r="D433">
        <v>0</v>
      </c>
      <c r="E433" s="2" t="e">
        <f>VLOOKUP(A433,Fandual!$D$2:$K$1354,8,FALSE)</f>
        <v>#N/A</v>
      </c>
      <c r="F433" s="2" t="e">
        <f>VLOOKUP(E433,Offense!$A$1:$B$30,2,FALSE)</f>
        <v>#N/A</v>
      </c>
      <c r="G433" s="2" t="e">
        <f t="shared" si="6"/>
        <v>#N/A</v>
      </c>
    </row>
    <row r="434" spans="1:7" x14ac:dyDescent="0.25">
      <c r="A434">
        <v>0</v>
      </c>
      <c r="B434">
        <v>0</v>
      </c>
      <c r="C434">
        <v>0</v>
      </c>
      <c r="D434">
        <v>0</v>
      </c>
      <c r="E434" s="2" t="e">
        <f>VLOOKUP(A434,Fandual!$D$2:$K$1354,8,FALSE)</f>
        <v>#N/A</v>
      </c>
      <c r="F434" s="2" t="e">
        <f>VLOOKUP(E434,Offense!$A$1:$B$30,2,FALSE)</f>
        <v>#N/A</v>
      </c>
      <c r="G434" s="2" t="e">
        <f t="shared" si="6"/>
        <v>#N/A</v>
      </c>
    </row>
    <row r="435" spans="1:7" x14ac:dyDescent="0.25">
      <c r="A435">
        <v>0</v>
      </c>
      <c r="B435">
        <v>0</v>
      </c>
      <c r="C435">
        <v>0</v>
      </c>
      <c r="D435">
        <v>0</v>
      </c>
      <c r="E435" s="2" t="e">
        <f>VLOOKUP(A435,Fandual!$D$2:$K$1354,8,FALSE)</f>
        <v>#N/A</v>
      </c>
      <c r="F435" s="2" t="e">
        <f>VLOOKUP(E435,Offense!$A$1:$B$30,2,FALSE)</f>
        <v>#N/A</v>
      </c>
      <c r="G435" s="2" t="e">
        <f t="shared" si="6"/>
        <v>#N/A</v>
      </c>
    </row>
    <row r="436" spans="1:7" x14ac:dyDescent="0.25">
      <c r="A436">
        <v>0</v>
      </c>
      <c r="B436">
        <v>0</v>
      </c>
      <c r="C436">
        <v>0</v>
      </c>
      <c r="D436">
        <v>0</v>
      </c>
      <c r="E436" s="2" t="e">
        <f>VLOOKUP(A436,Fandual!$D$2:$K$1354,8,FALSE)</f>
        <v>#N/A</v>
      </c>
      <c r="F436" s="2" t="e">
        <f>VLOOKUP(E436,Offense!$A$1:$B$30,2,FALSE)</f>
        <v>#N/A</v>
      </c>
      <c r="G436" s="2" t="e">
        <f t="shared" si="6"/>
        <v>#N/A</v>
      </c>
    </row>
    <row r="437" spans="1:7" x14ac:dyDescent="0.25">
      <c r="A437">
        <v>0</v>
      </c>
      <c r="B437">
        <v>0</v>
      </c>
      <c r="C437">
        <v>0</v>
      </c>
      <c r="D437">
        <v>0</v>
      </c>
      <c r="E437" s="2" t="e">
        <f>VLOOKUP(A437,Fandual!$D$2:$K$1354,8,FALSE)</f>
        <v>#N/A</v>
      </c>
      <c r="F437" s="2" t="e">
        <f>VLOOKUP(E437,Offense!$A$1:$B$30,2,FALSE)</f>
        <v>#N/A</v>
      </c>
      <c r="G437" s="2" t="e">
        <f t="shared" si="6"/>
        <v>#N/A</v>
      </c>
    </row>
    <row r="438" spans="1:7" x14ac:dyDescent="0.25">
      <c r="A438">
        <v>0</v>
      </c>
      <c r="B438">
        <v>0</v>
      </c>
      <c r="C438">
        <v>0</v>
      </c>
      <c r="D438">
        <v>0</v>
      </c>
      <c r="E438" s="2" t="e">
        <f>VLOOKUP(A438,Fandual!$D$2:$K$1354,8,FALSE)</f>
        <v>#N/A</v>
      </c>
      <c r="F438" s="2" t="e">
        <f>VLOOKUP(E438,Offense!$A$1:$B$30,2,FALSE)</f>
        <v>#N/A</v>
      </c>
      <c r="G438" s="2" t="e">
        <f t="shared" si="6"/>
        <v>#N/A</v>
      </c>
    </row>
    <row r="439" spans="1:7" x14ac:dyDescent="0.25">
      <c r="A439">
        <v>0</v>
      </c>
      <c r="B439">
        <v>0</v>
      </c>
      <c r="C439">
        <v>0</v>
      </c>
      <c r="D439">
        <v>0</v>
      </c>
      <c r="E439" s="2" t="e">
        <f>VLOOKUP(A439,Fandual!$D$2:$K$1354,8,FALSE)</f>
        <v>#N/A</v>
      </c>
      <c r="F439" s="2" t="e">
        <f>VLOOKUP(E439,Offense!$A$1:$B$30,2,FALSE)</f>
        <v>#N/A</v>
      </c>
      <c r="G439" s="2" t="e">
        <f t="shared" si="6"/>
        <v>#N/A</v>
      </c>
    </row>
    <row r="440" spans="1:7" x14ac:dyDescent="0.25">
      <c r="A440">
        <v>0</v>
      </c>
      <c r="B440">
        <v>0</v>
      </c>
      <c r="C440">
        <v>0</v>
      </c>
      <c r="D440">
        <v>0</v>
      </c>
      <c r="E440" s="2" t="e">
        <f>VLOOKUP(A440,Fandual!$D$2:$K$1354,8,FALSE)</f>
        <v>#N/A</v>
      </c>
      <c r="F440" s="2" t="e">
        <f>VLOOKUP(E440,Offense!$A$1:$B$30,2,FALSE)</f>
        <v>#N/A</v>
      </c>
      <c r="G440" s="2" t="e">
        <f t="shared" si="6"/>
        <v>#N/A</v>
      </c>
    </row>
    <row r="441" spans="1:7" x14ac:dyDescent="0.25">
      <c r="A441">
        <v>0</v>
      </c>
      <c r="B441">
        <v>0</v>
      </c>
      <c r="C441">
        <v>0</v>
      </c>
      <c r="D441">
        <v>0</v>
      </c>
      <c r="E441" s="2" t="e">
        <f>VLOOKUP(A441,Fandual!$D$2:$K$1354,8,FALSE)</f>
        <v>#N/A</v>
      </c>
      <c r="F441" s="2" t="e">
        <f>VLOOKUP(E441,Offense!$A$1:$B$30,2,FALSE)</f>
        <v>#N/A</v>
      </c>
      <c r="G441" s="2" t="e">
        <f t="shared" si="6"/>
        <v>#N/A</v>
      </c>
    </row>
    <row r="442" spans="1:7" x14ac:dyDescent="0.25">
      <c r="A442">
        <v>0</v>
      </c>
      <c r="B442">
        <v>0</v>
      </c>
      <c r="C442">
        <v>0</v>
      </c>
      <c r="D442">
        <v>0</v>
      </c>
      <c r="E442" s="2" t="e">
        <f>VLOOKUP(A442,Fandual!$D$2:$K$1354,8,FALSE)</f>
        <v>#N/A</v>
      </c>
      <c r="F442" s="2" t="e">
        <f>VLOOKUP(E442,Offense!$A$1:$B$30,2,FALSE)</f>
        <v>#N/A</v>
      </c>
      <c r="G442" s="2" t="e">
        <f t="shared" si="6"/>
        <v>#N/A</v>
      </c>
    </row>
    <row r="443" spans="1:7" x14ac:dyDescent="0.25">
      <c r="A443">
        <v>0</v>
      </c>
      <c r="B443">
        <v>0</v>
      </c>
      <c r="C443">
        <v>0</v>
      </c>
      <c r="D443">
        <v>0</v>
      </c>
      <c r="E443" s="2" t="e">
        <f>VLOOKUP(A443,Fandual!$D$2:$K$1354,8,FALSE)</f>
        <v>#N/A</v>
      </c>
      <c r="F443" s="2" t="e">
        <f>VLOOKUP(E443,Offense!$A$1:$B$30,2,FALSE)</f>
        <v>#N/A</v>
      </c>
      <c r="G443" s="2" t="e">
        <f t="shared" si="6"/>
        <v>#N/A</v>
      </c>
    </row>
    <row r="444" spans="1:7" x14ac:dyDescent="0.25">
      <c r="A444">
        <v>0</v>
      </c>
      <c r="B444">
        <v>0</v>
      </c>
      <c r="C444">
        <v>0</v>
      </c>
      <c r="D444">
        <v>0</v>
      </c>
      <c r="E444" s="2" t="e">
        <f>VLOOKUP(A444,Fandual!$D$2:$K$1354,8,FALSE)</f>
        <v>#N/A</v>
      </c>
      <c r="F444" s="2" t="e">
        <f>VLOOKUP(E444,Offense!$A$1:$B$30,2,FALSE)</f>
        <v>#N/A</v>
      </c>
      <c r="G444" s="2" t="e">
        <f t="shared" si="6"/>
        <v>#N/A</v>
      </c>
    </row>
    <row r="445" spans="1:7" x14ac:dyDescent="0.25">
      <c r="A445">
        <v>0</v>
      </c>
      <c r="B445">
        <v>0</v>
      </c>
      <c r="C445">
        <v>0</v>
      </c>
      <c r="D445">
        <v>0</v>
      </c>
      <c r="E445" s="2" t="e">
        <f>VLOOKUP(A445,Fandual!$D$2:$K$1354,8,FALSE)</f>
        <v>#N/A</v>
      </c>
      <c r="F445" s="2" t="e">
        <f>VLOOKUP(E445,Offense!$A$1:$B$30,2,FALSE)</f>
        <v>#N/A</v>
      </c>
      <c r="G445" s="2" t="e">
        <f t="shared" si="6"/>
        <v>#N/A</v>
      </c>
    </row>
    <row r="446" spans="1:7" x14ac:dyDescent="0.25">
      <c r="A446">
        <v>0</v>
      </c>
      <c r="B446">
        <v>0</v>
      </c>
      <c r="C446">
        <v>0</v>
      </c>
      <c r="D446">
        <v>0</v>
      </c>
      <c r="E446" s="2" t="e">
        <f>VLOOKUP(A446,Fandual!$D$2:$K$1354,8,FALSE)</f>
        <v>#N/A</v>
      </c>
      <c r="F446" s="2" t="e">
        <f>VLOOKUP(E446,Offense!$A$1:$B$30,2,FALSE)</f>
        <v>#N/A</v>
      </c>
      <c r="G446" s="2" t="e">
        <f t="shared" si="6"/>
        <v>#N/A</v>
      </c>
    </row>
    <row r="447" spans="1:7" x14ac:dyDescent="0.25">
      <c r="A447">
        <v>0</v>
      </c>
      <c r="B447">
        <v>0</v>
      </c>
      <c r="C447">
        <v>0</v>
      </c>
      <c r="D447">
        <v>0</v>
      </c>
      <c r="E447" s="2" t="e">
        <f>VLOOKUP(A447,Fandual!$D$2:$K$1354,8,FALSE)</f>
        <v>#N/A</v>
      </c>
      <c r="F447" s="2" t="e">
        <f>VLOOKUP(E447,Offense!$A$1:$B$30,2,FALSE)</f>
        <v>#N/A</v>
      </c>
      <c r="G447" s="2" t="e">
        <f t="shared" si="6"/>
        <v>#N/A</v>
      </c>
    </row>
    <row r="448" spans="1:7" x14ac:dyDescent="0.25">
      <c r="A448">
        <v>0</v>
      </c>
      <c r="B448">
        <v>0</v>
      </c>
      <c r="C448">
        <v>0</v>
      </c>
      <c r="D448">
        <v>0</v>
      </c>
      <c r="E448" s="2" t="e">
        <f>VLOOKUP(A448,Fandual!$D$2:$K$1354,8,FALSE)</f>
        <v>#N/A</v>
      </c>
      <c r="F448" s="2" t="e">
        <f>VLOOKUP(E448,Offense!$A$1:$B$30,2,FALSE)</f>
        <v>#N/A</v>
      </c>
      <c r="G448" s="2" t="e">
        <f t="shared" si="6"/>
        <v>#N/A</v>
      </c>
    </row>
    <row r="449" spans="1:7" x14ac:dyDescent="0.25">
      <c r="A449">
        <v>0</v>
      </c>
      <c r="B449">
        <v>0</v>
      </c>
      <c r="C449">
        <v>0</v>
      </c>
      <c r="D449">
        <v>0</v>
      </c>
      <c r="E449" s="2" t="e">
        <f>VLOOKUP(A449,Fandual!$D$2:$K$1354,8,FALSE)</f>
        <v>#N/A</v>
      </c>
      <c r="F449" s="2" t="e">
        <f>VLOOKUP(E449,Offense!$A$1:$B$30,2,FALSE)</f>
        <v>#N/A</v>
      </c>
      <c r="G449" s="2" t="e">
        <f t="shared" si="6"/>
        <v>#N/A</v>
      </c>
    </row>
    <row r="450" spans="1:7" x14ac:dyDescent="0.25">
      <c r="A450">
        <v>0</v>
      </c>
      <c r="B450">
        <v>0</v>
      </c>
      <c r="C450">
        <v>0</v>
      </c>
      <c r="D450">
        <v>0</v>
      </c>
      <c r="E450" s="2" t="e">
        <f>VLOOKUP(A450,Fandual!$D$2:$K$1354,8,FALSE)</f>
        <v>#N/A</v>
      </c>
      <c r="F450" s="2" t="e">
        <f>VLOOKUP(E450,Offense!$A$1:$B$30,2,FALSE)</f>
        <v>#N/A</v>
      </c>
      <c r="G450" s="2" t="e">
        <f t="shared" si="6"/>
        <v>#N/A</v>
      </c>
    </row>
    <row r="451" spans="1:7" x14ac:dyDescent="0.25">
      <c r="A451">
        <v>0</v>
      </c>
      <c r="B451">
        <v>0</v>
      </c>
      <c r="C451">
        <v>0</v>
      </c>
      <c r="D451">
        <v>0</v>
      </c>
      <c r="E451" s="2" t="e">
        <f>VLOOKUP(A451,Fandual!$D$2:$K$1354,8,FALSE)</f>
        <v>#N/A</v>
      </c>
      <c r="F451" s="2" t="e">
        <f>VLOOKUP(E451,Offense!$A$1:$B$30,2,FALSE)</f>
        <v>#N/A</v>
      </c>
      <c r="G451" s="2" t="e">
        <f t="shared" ref="G451:G503" si="7">E451</f>
        <v>#N/A</v>
      </c>
    </row>
    <row r="452" spans="1:7" x14ac:dyDescent="0.25">
      <c r="A452">
        <v>0</v>
      </c>
      <c r="B452">
        <v>0</v>
      </c>
      <c r="C452">
        <v>0</v>
      </c>
      <c r="D452">
        <v>0</v>
      </c>
      <c r="E452" s="2" t="e">
        <f>VLOOKUP(A452,Fandual!$D$2:$K$1354,8,FALSE)</f>
        <v>#N/A</v>
      </c>
      <c r="F452" s="2" t="e">
        <f>VLOOKUP(E452,Offense!$A$1:$B$30,2,FALSE)</f>
        <v>#N/A</v>
      </c>
      <c r="G452" s="2" t="e">
        <f t="shared" si="7"/>
        <v>#N/A</v>
      </c>
    </row>
    <row r="453" spans="1:7" x14ac:dyDescent="0.25">
      <c r="A453">
        <v>0</v>
      </c>
      <c r="B453">
        <v>0</v>
      </c>
      <c r="C453">
        <v>0</v>
      </c>
      <c r="D453">
        <v>0</v>
      </c>
      <c r="E453" s="2" t="e">
        <f>VLOOKUP(A453,Fandual!$D$2:$K$1354,8,FALSE)</f>
        <v>#N/A</v>
      </c>
      <c r="F453" s="2" t="e">
        <f>VLOOKUP(E453,Offense!$A$1:$B$30,2,FALSE)</f>
        <v>#N/A</v>
      </c>
      <c r="G453" s="2" t="e">
        <f t="shared" si="7"/>
        <v>#N/A</v>
      </c>
    </row>
    <row r="454" spans="1:7" x14ac:dyDescent="0.25">
      <c r="A454">
        <v>0</v>
      </c>
      <c r="B454">
        <v>0</v>
      </c>
      <c r="C454">
        <v>0</v>
      </c>
      <c r="D454">
        <v>0</v>
      </c>
      <c r="E454" s="2" t="e">
        <f>VLOOKUP(A454,Fandual!$D$2:$K$1354,8,FALSE)</f>
        <v>#N/A</v>
      </c>
      <c r="F454" s="2" t="e">
        <f>VLOOKUP(E454,Offense!$A$1:$B$30,2,FALSE)</f>
        <v>#N/A</v>
      </c>
      <c r="G454" s="2" t="e">
        <f t="shared" si="7"/>
        <v>#N/A</v>
      </c>
    </row>
    <row r="455" spans="1:7" x14ac:dyDescent="0.25">
      <c r="A455">
        <v>0</v>
      </c>
      <c r="B455">
        <v>0</v>
      </c>
      <c r="C455">
        <v>0</v>
      </c>
      <c r="D455">
        <v>0</v>
      </c>
      <c r="E455" s="2" t="e">
        <f>VLOOKUP(A455,Fandual!$D$2:$K$1354,8,FALSE)</f>
        <v>#N/A</v>
      </c>
      <c r="F455" s="2" t="e">
        <f>VLOOKUP(E455,Offense!$A$1:$B$30,2,FALSE)</f>
        <v>#N/A</v>
      </c>
      <c r="G455" s="2" t="e">
        <f t="shared" si="7"/>
        <v>#N/A</v>
      </c>
    </row>
    <row r="456" spans="1:7" x14ac:dyDescent="0.25">
      <c r="A456">
        <v>0</v>
      </c>
      <c r="B456">
        <v>0</v>
      </c>
      <c r="C456">
        <v>0</v>
      </c>
      <c r="D456">
        <v>0</v>
      </c>
      <c r="E456" s="2" t="e">
        <f>VLOOKUP(A456,Fandual!$D$2:$K$1354,8,FALSE)</f>
        <v>#N/A</v>
      </c>
      <c r="F456" s="2" t="e">
        <f>VLOOKUP(E456,Offense!$A$1:$B$30,2,FALSE)</f>
        <v>#N/A</v>
      </c>
      <c r="G456" s="2" t="e">
        <f t="shared" si="7"/>
        <v>#N/A</v>
      </c>
    </row>
    <row r="457" spans="1:7" x14ac:dyDescent="0.25">
      <c r="A457">
        <v>0</v>
      </c>
      <c r="B457">
        <v>0</v>
      </c>
      <c r="C457">
        <v>0</v>
      </c>
      <c r="D457">
        <v>0</v>
      </c>
      <c r="E457" s="2" t="e">
        <f>VLOOKUP(A457,Fandual!$D$2:$K$1354,8,FALSE)</f>
        <v>#N/A</v>
      </c>
      <c r="F457" s="2" t="e">
        <f>VLOOKUP(E457,Offense!$A$1:$B$30,2,FALSE)</f>
        <v>#N/A</v>
      </c>
      <c r="G457" s="2" t="e">
        <f t="shared" si="7"/>
        <v>#N/A</v>
      </c>
    </row>
    <row r="458" spans="1:7" x14ac:dyDescent="0.25">
      <c r="A458">
        <v>0</v>
      </c>
      <c r="B458">
        <v>0</v>
      </c>
      <c r="C458">
        <v>0</v>
      </c>
      <c r="D458">
        <v>0</v>
      </c>
      <c r="E458" s="2" t="e">
        <f>VLOOKUP(A458,Fandual!$D$2:$K$1354,8,FALSE)</f>
        <v>#N/A</v>
      </c>
      <c r="F458" s="2" t="e">
        <f>VLOOKUP(E458,Offense!$A$1:$B$30,2,FALSE)</f>
        <v>#N/A</v>
      </c>
      <c r="G458" s="2" t="e">
        <f t="shared" si="7"/>
        <v>#N/A</v>
      </c>
    </row>
    <row r="459" spans="1:7" x14ac:dyDescent="0.25">
      <c r="A459">
        <v>0</v>
      </c>
      <c r="B459">
        <v>0</v>
      </c>
      <c r="C459">
        <v>0</v>
      </c>
      <c r="D459">
        <v>0</v>
      </c>
      <c r="E459" s="2" t="e">
        <f>VLOOKUP(A459,Fandual!$D$2:$K$1354,8,FALSE)</f>
        <v>#N/A</v>
      </c>
      <c r="F459" s="2" t="e">
        <f>VLOOKUP(E459,Offense!$A$1:$B$30,2,FALSE)</f>
        <v>#N/A</v>
      </c>
      <c r="G459" s="2" t="e">
        <f t="shared" si="7"/>
        <v>#N/A</v>
      </c>
    </row>
    <row r="460" spans="1:7" x14ac:dyDescent="0.25">
      <c r="A460">
        <v>0</v>
      </c>
      <c r="B460">
        <v>0</v>
      </c>
      <c r="C460">
        <v>0</v>
      </c>
      <c r="D460">
        <v>0</v>
      </c>
      <c r="E460" s="2" t="e">
        <f>VLOOKUP(A460,Fandual!$D$2:$K$1354,8,FALSE)</f>
        <v>#N/A</v>
      </c>
      <c r="F460" s="2" t="e">
        <f>VLOOKUP(E460,Offense!$A$1:$B$30,2,FALSE)</f>
        <v>#N/A</v>
      </c>
      <c r="G460" s="2" t="e">
        <f t="shared" si="7"/>
        <v>#N/A</v>
      </c>
    </row>
    <row r="461" spans="1:7" x14ac:dyDescent="0.25">
      <c r="A461">
        <v>0</v>
      </c>
      <c r="B461">
        <v>0</v>
      </c>
      <c r="C461">
        <v>0</v>
      </c>
      <c r="D461">
        <v>0</v>
      </c>
      <c r="E461" s="2" t="e">
        <f>VLOOKUP(A461,Fandual!$D$2:$K$1354,8,FALSE)</f>
        <v>#N/A</v>
      </c>
      <c r="F461" s="2" t="e">
        <f>VLOOKUP(E461,Offense!$A$1:$B$30,2,FALSE)</f>
        <v>#N/A</v>
      </c>
      <c r="G461" s="2" t="e">
        <f t="shared" si="7"/>
        <v>#N/A</v>
      </c>
    </row>
    <row r="462" spans="1:7" x14ac:dyDescent="0.25">
      <c r="A462">
        <v>0</v>
      </c>
      <c r="B462">
        <v>0</v>
      </c>
      <c r="C462">
        <v>0</v>
      </c>
      <c r="D462">
        <v>0</v>
      </c>
      <c r="E462" s="2" t="e">
        <f>VLOOKUP(A462,Fandual!$D$2:$K$1354,8,FALSE)</f>
        <v>#N/A</v>
      </c>
      <c r="F462" s="2" t="e">
        <f>VLOOKUP(E462,Offense!$A$1:$B$30,2,FALSE)</f>
        <v>#N/A</v>
      </c>
      <c r="G462" s="2" t="e">
        <f t="shared" si="7"/>
        <v>#N/A</v>
      </c>
    </row>
    <row r="463" spans="1:7" x14ac:dyDescent="0.25">
      <c r="A463">
        <v>0</v>
      </c>
      <c r="B463">
        <v>0</v>
      </c>
      <c r="C463">
        <v>0</v>
      </c>
      <c r="D463">
        <v>0</v>
      </c>
      <c r="E463" s="2" t="e">
        <f>VLOOKUP(A463,Fandual!$D$2:$K$1354,8,FALSE)</f>
        <v>#N/A</v>
      </c>
      <c r="F463" s="2" t="e">
        <f>VLOOKUP(E463,Offense!$A$1:$B$30,2,FALSE)</f>
        <v>#N/A</v>
      </c>
      <c r="G463" s="2" t="e">
        <f t="shared" si="7"/>
        <v>#N/A</v>
      </c>
    </row>
    <row r="464" spans="1:7" x14ac:dyDescent="0.25">
      <c r="A464">
        <v>0</v>
      </c>
      <c r="B464">
        <v>0</v>
      </c>
      <c r="C464">
        <v>0</v>
      </c>
      <c r="D464">
        <v>0</v>
      </c>
      <c r="E464" s="2" t="e">
        <f>VLOOKUP(A464,Fandual!$D$2:$K$1354,8,FALSE)</f>
        <v>#N/A</v>
      </c>
      <c r="F464" s="2" t="e">
        <f>VLOOKUP(E464,Offense!$A$1:$B$30,2,FALSE)</f>
        <v>#N/A</v>
      </c>
      <c r="G464" s="2" t="e">
        <f t="shared" si="7"/>
        <v>#N/A</v>
      </c>
    </row>
    <row r="465" spans="1:7" x14ac:dyDescent="0.25">
      <c r="A465">
        <v>0</v>
      </c>
      <c r="B465">
        <v>0</v>
      </c>
      <c r="C465">
        <v>0</v>
      </c>
      <c r="D465">
        <v>0</v>
      </c>
      <c r="E465" s="2" t="e">
        <f>VLOOKUP(A465,Fandual!$D$2:$K$1354,8,FALSE)</f>
        <v>#N/A</v>
      </c>
      <c r="F465" s="2" t="e">
        <f>VLOOKUP(E465,Offense!$A$1:$B$30,2,FALSE)</f>
        <v>#N/A</v>
      </c>
      <c r="G465" s="2" t="e">
        <f t="shared" si="7"/>
        <v>#N/A</v>
      </c>
    </row>
    <row r="466" spans="1:7" x14ac:dyDescent="0.25">
      <c r="A466">
        <v>0</v>
      </c>
      <c r="B466">
        <v>0</v>
      </c>
      <c r="C466">
        <v>0</v>
      </c>
      <c r="D466">
        <v>0</v>
      </c>
      <c r="E466" s="2" t="e">
        <f>VLOOKUP(A466,Fandual!$D$2:$K$1354,8,FALSE)</f>
        <v>#N/A</v>
      </c>
      <c r="F466" s="2" t="e">
        <f>VLOOKUP(E466,Offense!$A$1:$B$30,2,FALSE)</f>
        <v>#N/A</v>
      </c>
      <c r="G466" s="2" t="e">
        <f t="shared" si="7"/>
        <v>#N/A</v>
      </c>
    </row>
    <row r="467" spans="1:7" x14ac:dyDescent="0.25">
      <c r="A467">
        <v>0</v>
      </c>
      <c r="B467">
        <v>0</v>
      </c>
      <c r="C467">
        <v>0</v>
      </c>
      <c r="D467">
        <v>0</v>
      </c>
      <c r="E467" s="2" t="e">
        <f>VLOOKUP(A467,Fandual!$D$2:$K$1354,8,FALSE)</f>
        <v>#N/A</v>
      </c>
      <c r="F467" s="2" t="e">
        <f>VLOOKUP(E467,Offense!$A$1:$B$30,2,FALSE)</f>
        <v>#N/A</v>
      </c>
      <c r="G467" s="2" t="e">
        <f t="shared" si="7"/>
        <v>#N/A</v>
      </c>
    </row>
    <row r="468" spans="1:7" x14ac:dyDescent="0.25">
      <c r="A468">
        <v>0</v>
      </c>
      <c r="B468">
        <v>0</v>
      </c>
      <c r="C468">
        <v>0</v>
      </c>
      <c r="D468">
        <v>0</v>
      </c>
      <c r="E468" s="2" t="e">
        <f>VLOOKUP(A468,Fandual!$D$2:$K$1354,8,FALSE)</f>
        <v>#N/A</v>
      </c>
      <c r="F468" s="2" t="e">
        <f>VLOOKUP(E468,Offense!$A$1:$B$30,2,FALSE)</f>
        <v>#N/A</v>
      </c>
      <c r="G468" s="2" t="e">
        <f t="shared" si="7"/>
        <v>#N/A</v>
      </c>
    </row>
    <row r="469" spans="1:7" x14ac:dyDescent="0.25">
      <c r="A469">
        <v>0</v>
      </c>
      <c r="B469">
        <v>0</v>
      </c>
      <c r="C469">
        <v>0</v>
      </c>
      <c r="D469">
        <v>0</v>
      </c>
      <c r="E469" s="2" t="e">
        <f>VLOOKUP(A469,Fandual!$D$2:$K$1354,8,FALSE)</f>
        <v>#N/A</v>
      </c>
      <c r="F469" s="2" t="e">
        <f>VLOOKUP(E469,Offense!$A$1:$B$30,2,FALSE)</f>
        <v>#N/A</v>
      </c>
      <c r="G469" s="2" t="e">
        <f t="shared" si="7"/>
        <v>#N/A</v>
      </c>
    </row>
    <row r="470" spans="1:7" x14ac:dyDescent="0.25">
      <c r="A470">
        <v>0</v>
      </c>
      <c r="B470">
        <v>0</v>
      </c>
      <c r="C470">
        <v>0</v>
      </c>
      <c r="D470">
        <v>0</v>
      </c>
      <c r="E470" s="2" t="e">
        <f>VLOOKUP(A470,Fandual!$D$2:$K$1354,8,FALSE)</f>
        <v>#N/A</v>
      </c>
      <c r="F470" s="2" t="e">
        <f>VLOOKUP(E470,Offense!$A$1:$B$30,2,FALSE)</f>
        <v>#N/A</v>
      </c>
      <c r="G470" s="2" t="e">
        <f t="shared" si="7"/>
        <v>#N/A</v>
      </c>
    </row>
    <row r="471" spans="1:7" x14ac:dyDescent="0.25">
      <c r="A471">
        <v>0</v>
      </c>
      <c r="B471">
        <v>0</v>
      </c>
      <c r="C471">
        <v>0</v>
      </c>
      <c r="D471">
        <v>0</v>
      </c>
      <c r="E471" s="2" t="e">
        <f>VLOOKUP(A471,Fandual!$D$2:$K$1354,8,FALSE)</f>
        <v>#N/A</v>
      </c>
      <c r="F471" s="2" t="e">
        <f>VLOOKUP(E471,Offense!$A$1:$B$30,2,FALSE)</f>
        <v>#N/A</v>
      </c>
      <c r="G471" s="2" t="e">
        <f t="shared" si="7"/>
        <v>#N/A</v>
      </c>
    </row>
    <row r="472" spans="1:7" x14ac:dyDescent="0.25">
      <c r="A472">
        <v>0</v>
      </c>
      <c r="B472">
        <v>0</v>
      </c>
      <c r="C472">
        <v>0</v>
      </c>
      <c r="D472">
        <v>0</v>
      </c>
      <c r="E472" s="2" t="e">
        <f>VLOOKUP(A472,Fandual!$D$2:$K$1354,8,FALSE)</f>
        <v>#N/A</v>
      </c>
      <c r="F472" s="2" t="e">
        <f>VLOOKUP(E472,Offense!$A$1:$B$30,2,FALSE)</f>
        <v>#N/A</v>
      </c>
      <c r="G472" s="2" t="e">
        <f t="shared" si="7"/>
        <v>#N/A</v>
      </c>
    </row>
    <row r="473" spans="1:7" x14ac:dyDescent="0.25">
      <c r="A473">
        <v>0</v>
      </c>
      <c r="B473">
        <v>0</v>
      </c>
      <c r="C473">
        <v>0</v>
      </c>
      <c r="D473">
        <v>0</v>
      </c>
      <c r="E473" s="2" t="e">
        <f>VLOOKUP(A473,Fandual!$D$2:$K$1354,8,FALSE)</f>
        <v>#N/A</v>
      </c>
      <c r="F473" s="2" t="e">
        <f>VLOOKUP(E473,Offense!$A$1:$B$30,2,FALSE)</f>
        <v>#N/A</v>
      </c>
      <c r="G473" s="2" t="e">
        <f t="shared" si="7"/>
        <v>#N/A</v>
      </c>
    </row>
    <row r="474" spans="1:7" x14ac:dyDescent="0.25">
      <c r="A474">
        <v>0</v>
      </c>
      <c r="B474">
        <v>0</v>
      </c>
      <c r="C474">
        <v>0</v>
      </c>
      <c r="D474">
        <v>0</v>
      </c>
      <c r="E474" s="2" t="e">
        <f>VLOOKUP(A474,Fandual!$D$2:$K$1354,8,FALSE)</f>
        <v>#N/A</v>
      </c>
      <c r="F474" s="2" t="e">
        <f>VLOOKUP(E474,Offense!$A$1:$B$30,2,FALSE)</f>
        <v>#N/A</v>
      </c>
      <c r="G474" s="2" t="e">
        <f t="shared" si="7"/>
        <v>#N/A</v>
      </c>
    </row>
    <row r="475" spans="1:7" x14ac:dyDescent="0.25">
      <c r="A475">
        <v>0</v>
      </c>
      <c r="B475">
        <v>0</v>
      </c>
      <c r="C475">
        <v>0</v>
      </c>
      <c r="D475">
        <v>0</v>
      </c>
      <c r="E475" s="2" t="e">
        <f>VLOOKUP(A475,Fandual!$D$2:$K$1354,8,FALSE)</f>
        <v>#N/A</v>
      </c>
      <c r="F475" s="2" t="e">
        <f>VLOOKUP(E475,Offense!$A$1:$B$30,2,FALSE)</f>
        <v>#N/A</v>
      </c>
      <c r="G475" s="2" t="e">
        <f t="shared" si="7"/>
        <v>#N/A</v>
      </c>
    </row>
    <row r="476" spans="1:7" x14ac:dyDescent="0.25">
      <c r="A476">
        <v>0</v>
      </c>
      <c r="B476">
        <v>0</v>
      </c>
      <c r="C476">
        <v>0</v>
      </c>
      <c r="D476">
        <v>0</v>
      </c>
      <c r="E476" s="2" t="e">
        <f>VLOOKUP(A476,Fandual!$D$2:$K$1354,8,FALSE)</f>
        <v>#N/A</v>
      </c>
      <c r="F476" s="2" t="e">
        <f>VLOOKUP(E476,Offense!$A$1:$B$30,2,FALSE)</f>
        <v>#N/A</v>
      </c>
      <c r="G476" s="2" t="e">
        <f t="shared" si="7"/>
        <v>#N/A</v>
      </c>
    </row>
    <row r="477" spans="1:7" x14ac:dyDescent="0.25">
      <c r="A477">
        <v>0</v>
      </c>
      <c r="B477">
        <v>0</v>
      </c>
      <c r="C477">
        <v>0</v>
      </c>
      <c r="D477">
        <v>0</v>
      </c>
      <c r="E477" s="2" t="e">
        <f>VLOOKUP(A477,Fandual!$D$2:$K$1354,8,FALSE)</f>
        <v>#N/A</v>
      </c>
      <c r="F477" s="2" t="e">
        <f>VLOOKUP(E477,Offense!$A$1:$B$30,2,FALSE)</f>
        <v>#N/A</v>
      </c>
      <c r="G477" s="2" t="e">
        <f t="shared" si="7"/>
        <v>#N/A</v>
      </c>
    </row>
    <row r="478" spans="1:7" x14ac:dyDescent="0.25">
      <c r="A478">
        <v>0</v>
      </c>
      <c r="B478">
        <v>0</v>
      </c>
      <c r="C478">
        <v>0</v>
      </c>
      <c r="D478">
        <v>0</v>
      </c>
      <c r="E478" s="2" t="e">
        <f>VLOOKUP(A478,Fandual!$D$2:$K$1354,8,FALSE)</f>
        <v>#N/A</v>
      </c>
      <c r="F478" s="2" t="e">
        <f>VLOOKUP(E478,Offense!$A$1:$B$30,2,FALSE)</f>
        <v>#N/A</v>
      </c>
      <c r="G478" s="2" t="e">
        <f t="shared" si="7"/>
        <v>#N/A</v>
      </c>
    </row>
    <row r="479" spans="1:7" x14ac:dyDescent="0.25">
      <c r="A479">
        <v>0</v>
      </c>
      <c r="B479">
        <v>0</v>
      </c>
      <c r="C479">
        <v>0</v>
      </c>
      <c r="D479">
        <v>0</v>
      </c>
      <c r="E479" s="2" t="e">
        <f>VLOOKUP(A479,Fandual!$D$2:$K$1354,8,FALSE)</f>
        <v>#N/A</v>
      </c>
      <c r="F479" s="2" t="e">
        <f>VLOOKUP(E479,Offense!$A$1:$B$30,2,FALSE)</f>
        <v>#N/A</v>
      </c>
      <c r="G479" s="2" t="e">
        <f t="shared" si="7"/>
        <v>#N/A</v>
      </c>
    </row>
    <row r="480" spans="1:7" x14ac:dyDescent="0.25">
      <c r="A480">
        <v>0</v>
      </c>
      <c r="B480">
        <v>0</v>
      </c>
      <c r="C480">
        <v>0</v>
      </c>
      <c r="D480">
        <v>0</v>
      </c>
      <c r="E480" s="2" t="e">
        <f>VLOOKUP(A480,Fandual!$D$2:$K$1354,8,FALSE)</f>
        <v>#N/A</v>
      </c>
      <c r="F480" s="2" t="e">
        <f>VLOOKUP(E480,Offense!$A$1:$B$30,2,FALSE)</f>
        <v>#N/A</v>
      </c>
      <c r="G480" s="2" t="e">
        <f t="shared" si="7"/>
        <v>#N/A</v>
      </c>
    </row>
    <row r="481" spans="1:7" x14ac:dyDescent="0.25">
      <c r="A481">
        <v>0</v>
      </c>
      <c r="B481">
        <v>0</v>
      </c>
      <c r="C481">
        <v>0</v>
      </c>
      <c r="D481">
        <v>0</v>
      </c>
      <c r="E481" s="2" t="e">
        <f>VLOOKUP(A481,Fandual!$D$2:$K$1354,8,FALSE)</f>
        <v>#N/A</v>
      </c>
      <c r="F481" s="2" t="e">
        <f>VLOOKUP(E481,Offense!$A$1:$B$30,2,FALSE)</f>
        <v>#N/A</v>
      </c>
      <c r="G481" s="2" t="e">
        <f t="shared" si="7"/>
        <v>#N/A</v>
      </c>
    </row>
    <row r="482" spans="1:7" x14ac:dyDescent="0.25">
      <c r="A482">
        <v>0</v>
      </c>
      <c r="B482">
        <v>0</v>
      </c>
      <c r="C482">
        <v>0</v>
      </c>
      <c r="D482">
        <v>0</v>
      </c>
      <c r="E482" s="2" t="e">
        <f>VLOOKUP(A482,Fandual!$D$2:$K$1354,8,FALSE)</f>
        <v>#N/A</v>
      </c>
      <c r="F482" s="2" t="e">
        <f>VLOOKUP(E482,Offense!$A$1:$B$30,2,FALSE)</f>
        <v>#N/A</v>
      </c>
      <c r="G482" s="2" t="e">
        <f t="shared" si="7"/>
        <v>#N/A</v>
      </c>
    </row>
    <row r="483" spans="1:7" x14ac:dyDescent="0.25">
      <c r="A483">
        <v>0</v>
      </c>
      <c r="B483">
        <v>0</v>
      </c>
      <c r="C483">
        <v>0</v>
      </c>
      <c r="D483">
        <v>0</v>
      </c>
      <c r="E483" s="2" t="e">
        <f>VLOOKUP(A483,Fandual!$D$2:$K$1354,8,FALSE)</f>
        <v>#N/A</v>
      </c>
      <c r="F483" s="2" t="e">
        <f>VLOOKUP(E483,Offense!$A$1:$B$30,2,FALSE)</f>
        <v>#N/A</v>
      </c>
      <c r="G483" s="2" t="e">
        <f t="shared" si="7"/>
        <v>#N/A</v>
      </c>
    </row>
    <row r="484" spans="1:7" x14ac:dyDescent="0.25">
      <c r="A484">
        <v>0</v>
      </c>
      <c r="B484">
        <v>0</v>
      </c>
      <c r="C484">
        <v>0</v>
      </c>
      <c r="D484">
        <v>0</v>
      </c>
      <c r="E484" s="2" t="e">
        <f>VLOOKUP(A484,Fandual!$D$2:$K$1354,8,FALSE)</f>
        <v>#N/A</v>
      </c>
      <c r="F484" s="2" t="e">
        <f>VLOOKUP(E484,Offense!$A$1:$B$30,2,FALSE)</f>
        <v>#N/A</v>
      </c>
      <c r="G484" s="2" t="e">
        <f t="shared" si="7"/>
        <v>#N/A</v>
      </c>
    </row>
    <row r="485" spans="1:7" x14ac:dyDescent="0.25">
      <c r="A485">
        <v>0</v>
      </c>
      <c r="B485">
        <v>0</v>
      </c>
      <c r="C485">
        <v>0</v>
      </c>
      <c r="D485">
        <v>0</v>
      </c>
      <c r="E485" s="2" t="e">
        <f>VLOOKUP(A485,Fandual!$D$2:$K$1354,8,FALSE)</f>
        <v>#N/A</v>
      </c>
      <c r="F485" s="2" t="e">
        <f>VLOOKUP(E485,Offense!$A$1:$B$30,2,FALSE)</f>
        <v>#N/A</v>
      </c>
      <c r="G485" s="2" t="e">
        <f t="shared" si="7"/>
        <v>#N/A</v>
      </c>
    </row>
    <row r="486" spans="1:7" x14ac:dyDescent="0.25">
      <c r="A486">
        <v>0</v>
      </c>
      <c r="B486">
        <v>0</v>
      </c>
      <c r="C486">
        <v>0</v>
      </c>
      <c r="D486">
        <v>0</v>
      </c>
      <c r="E486" s="2" t="e">
        <f>VLOOKUP(A486,Fandual!$D$2:$K$1354,8,FALSE)</f>
        <v>#N/A</v>
      </c>
      <c r="F486" s="2" t="e">
        <f>VLOOKUP(E486,Offense!$A$1:$B$30,2,FALSE)</f>
        <v>#N/A</v>
      </c>
      <c r="G486" s="2" t="e">
        <f t="shared" si="7"/>
        <v>#N/A</v>
      </c>
    </row>
    <row r="487" spans="1:7" x14ac:dyDescent="0.25">
      <c r="A487">
        <v>0</v>
      </c>
      <c r="B487">
        <v>0</v>
      </c>
      <c r="C487">
        <v>0</v>
      </c>
      <c r="D487">
        <v>0</v>
      </c>
      <c r="E487" s="2" t="e">
        <f>VLOOKUP(A487,Fandual!$D$2:$K$1354,8,FALSE)</f>
        <v>#N/A</v>
      </c>
      <c r="F487" s="2" t="e">
        <f>VLOOKUP(E487,Offense!$A$1:$B$30,2,FALSE)</f>
        <v>#N/A</v>
      </c>
      <c r="G487" s="2" t="e">
        <f t="shared" si="7"/>
        <v>#N/A</v>
      </c>
    </row>
    <row r="488" spans="1:7" x14ac:dyDescent="0.25">
      <c r="A488">
        <v>0</v>
      </c>
      <c r="B488">
        <v>0</v>
      </c>
      <c r="C488">
        <v>0</v>
      </c>
      <c r="D488">
        <v>0</v>
      </c>
      <c r="E488" s="2" t="e">
        <f>VLOOKUP(A488,Fandual!$D$2:$K$1354,8,FALSE)</f>
        <v>#N/A</v>
      </c>
      <c r="F488" s="2" t="e">
        <f>VLOOKUP(E488,Offense!$A$1:$B$30,2,FALSE)</f>
        <v>#N/A</v>
      </c>
      <c r="G488" s="2" t="e">
        <f t="shared" si="7"/>
        <v>#N/A</v>
      </c>
    </row>
    <row r="489" spans="1:7" x14ac:dyDescent="0.25">
      <c r="A489">
        <v>0</v>
      </c>
      <c r="B489">
        <v>0</v>
      </c>
      <c r="C489">
        <v>0</v>
      </c>
      <c r="D489">
        <v>0</v>
      </c>
      <c r="E489" s="2" t="e">
        <f>VLOOKUP(A489,Fandual!$D$2:$K$1354,8,FALSE)</f>
        <v>#N/A</v>
      </c>
      <c r="F489" s="2" t="e">
        <f>VLOOKUP(E489,Offense!$A$1:$B$30,2,FALSE)</f>
        <v>#N/A</v>
      </c>
      <c r="G489" s="2" t="e">
        <f t="shared" si="7"/>
        <v>#N/A</v>
      </c>
    </row>
    <row r="490" spans="1:7" x14ac:dyDescent="0.25">
      <c r="A490">
        <v>0</v>
      </c>
      <c r="B490">
        <v>0</v>
      </c>
      <c r="C490">
        <v>0</v>
      </c>
      <c r="D490">
        <v>0</v>
      </c>
      <c r="E490" s="2" t="e">
        <f>VLOOKUP(A490,Fandual!$D$2:$K$1354,8,FALSE)</f>
        <v>#N/A</v>
      </c>
      <c r="F490" s="2" t="e">
        <f>VLOOKUP(E490,Offense!$A$1:$B$30,2,FALSE)</f>
        <v>#N/A</v>
      </c>
      <c r="G490" s="2" t="e">
        <f t="shared" si="7"/>
        <v>#N/A</v>
      </c>
    </row>
    <row r="491" spans="1:7" x14ac:dyDescent="0.25">
      <c r="A491">
        <v>0</v>
      </c>
      <c r="B491">
        <v>0</v>
      </c>
      <c r="C491">
        <v>0</v>
      </c>
      <c r="D491">
        <v>0</v>
      </c>
      <c r="E491" s="2" t="e">
        <f>VLOOKUP(A491,Fandual!$D$2:$K$1354,8,FALSE)</f>
        <v>#N/A</v>
      </c>
      <c r="F491" s="2" t="e">
        <f>VLOOKUP(E491,Offense!$A$1:$B$30,2,FALSE)</f>
        <v>#N/A</v>
      </c>
      <c r="G491" s="2" t="e">
        <f t="shared" si="7"/>
        <v>#N/A</v>
      </c>
    </row>
    <row r="492" spans="1:7" x14ac:dyDescent="0.25">
      <c r="A492">
        <v>0</v>
      </c>
      <c r="B492">
        <v>0</v>
      </c>
      <c r="C492">
        <v>0</v>
      </c>
      <c r="D492">
        <v>0</v>
      </c>
      <c r="E492" s="2" t="e">
        <f>VLOOKUP(A492,Fandual!$D$2:$K$1354,8,FALSE)</f>
        <v>#N/A</v>
      </c>
      <c r="F492" s="2" t="e">
        <f>VLOOKUP(E492,Offense!$A$1:$B$30,2,FALSE)</f>
        <v>#N/A</v>
      </c>
      <c r="G492" s="2" t="e">
        <f t="shared" si="7"/>
        <v>#N/A</v>
      </c>
    </row>
    <row r="493" spans="1:7" x14ac:dyDescent="0.25">
      <c r="A493">
        <v>0</v>
      </c>
      <c r="B493">
        <v>0</v>
      </c>
      <c r="C493">
        <v>0</v>
      </c>
      <c r="D493">
        <v>0</v>
      </c>
      <c r="E493" s="2" t="e">
        <f>VLOOKUP(A493,Fandual!$D$2:$K$1354,8,FALSE)</f>
        <v>#N/A</v>
      </c>
      <c r="F493" s="2" t="e">
        <f>VLOOKUP(E493,Offense!$A$1:$B$30,2,FALSE)</f>
        <v>#N/A</v>
      </c>
      <c r="G493" s="2" t="e">
        <f t="shared" si="7"/>
        <v>#N/A</v>
      </c>
    </row>
    <row r="494" spans="1:7" x14ac:dyDescent="0.25">
      <c r="A494">
        <v>0</v>
      </c>
      <c r="B494">
        <v>0</v>
      </c>
      <c r="C494">
        <v>0</v>
      </c>
      <c r="D494">
        <v>0</v>
      </c>
      <c r="E494" s="2" t="e">
        <f>VLOOKUP(A494,Fandual!$D$2:$K$1354,8,FALSE)</f>
        <v>#N/A</v>
      </c>
      <c r="F494" s="2" t="e">
        <f>VLOOKUP(E494,Offense!$A$1:$B$30,2,FALSE)</f>
        <v>#N/A</v>
      </c>
      <c r="G494" s="2" t="e">
        <f t="shared" si="7"/>
        <v>#N/A</v>
      </c>
    </row>
    <row r="495" spans="1:7" x14ac:dyDescent="0.25">
      <c r="A495">
        <v>0</v>
      </c>
      <c r="B495">
        <v>0</v>
      </c>
      <c r="C495">
        <v>0</v>
      </c>
      <c r="D495">
        <v>0</v>
      </c>
      <c r="E495" s="2" t="e">
        <f>VLOOKUP(A495,Fandual!$D$2:$K$1354,8,FALSE)</f>
        <v>#N/A</v>
      </c>
      <c r="F495" s="2" t="e">
        <f>VLOOKUP(E495,Offense!$A$1:$B$30,2,FALSE)</f>
        <v>#N/A</v>
      </c>
      <c r="G495" s="2" t="e">
        <f t="shared" si="7"/>
        <v>#N/A</v>
      </c>
    </row>
    <row r="496" spans="1:7" x14ac:dyDescent="0.25">
      <c r="A496">
        <v>0</v>
      </c>
      <c r="B496">
        <v>0</v>
      </c>
      <c r="C496">
        <v>0</v>
      </c>
      <c r="D496">
        <v>0</v>
      </c>
      <c r="E496" s="2" t="e">
        <f>VLOOKUP(A496,Fandual!$D$2:$K$1354,8,FALSE)</f>
        <v>#N/A</v>
      </c>
      <c r="F496" s="2" t="e">
        <f>VLOOKUP(E496,Offense!$A$1:$B$30,2,FALSE)</f>
        <v>#N/A</v>
      </c>
      <c r="G496" s="2" t="e">
        <f t="shared" si="7"/>
        <v>#N/A</v>
      </c>
    </row>
    <row r="497" spans="1:7" x14ac:dyDescent="0.25">
      <c r="A497">
        <v>0</v>
      </c>
      <c r="B497">
        <v>0</v>
      </c>
      <c r="C497">
        <v>0</v>
      </c>
      <c r="D497">
        <v>0</v>
      </c>
      <c r="E497" s="2" t="e">
        <f>VLOOKUP(A497,Fandual!$D$2:$K$1354,8,FALSE)</f>
        <v>#N/A</v>
      </c>
      <c r="F497" s="2" t="e">
        <f>VLOOKUP(E497,Offense!$A$1:$B$30,2,FALSE)</f>
        <v>#N/A</v>
      </c>
      <c r="G497" s="2" t="e">
        <f t="shared" si="7"/>
        <v>#N/A</v>
      </c>
    </row>
    <row r="498" spans="1:7" x14ac:dyDescent="0.25">
      <c r="A498">
        <v>0</v>
      </c>
      <c r="B498">
        <v>0</v>
      </c>
      <c r="C498">
        <v>0</v>
      </c>
      <c r="D498">
        <v>0</v>
      </c>
      <c r="E498" s="2" t="e">
        <f>VLOOKUP(A498,Fandual!$D$2:$K$1354,8,FALSE)</f>
        <v>#N/A</v>
      </c>
      <c r="F498" s="2" t="e">
        <f>VLOOKUP(E498,Offense!$A$1:$B$30,2,FALSE)</f>
        <v>#N/A</v>
      </c>
      <c r="G498" s="2" t="e">
        <f t="shared" si="7"/>
        <v>#N/A</v>
      </c>
    </row>
    <row r="499" spans="1:7" x14ac:dyDescent="0.25">
      <c r="A499">
        <v>0</v>
      </c>
      <c r="B499">
        <v>0</v>
      </c>
      <c r="C499">
        <v>0</v>
      </c>
      <c r="D499">
        <v>0</v>
      </c>
      <c r="E499" s="2" t="e">
        <f>VLOOKUP(A499,Fandual!$D$2:$K$1354,8,FALSE)</f>
        <v>#N/A</v>
      </c>
      <c r="F499" s="2" t="e">
        <f>VLOOKUP(E499,Offense!$A$1:$B$30,2,FALSE)</f>
        <v>#N/A</v>
      </c>
      <c r="G499" s="2" t="e">
        <f t="shared" si="7"/>
        <v>#N/A</v>
      </c>
    </row>
    <row r="500" spans="1:7" x14ac:dyDescent="0.25">
      <c r="A500">
        <v>0</v>
      </c>
      <c r="B500">
        <v>0</v>
      </c>
      <c r="C500">
        <v>0</v>
      </c>
      <c r="D500">
        <v>0</v>
      </c>
      <c r="E500" s="2" t="e">
        <f>VLOOKUP(A500,Fandual!$D$2:$K$1354,8,FALSE)</f>
        <v>#N/A</v>
      </c>
      <c r="F500" s="2" t="e">
        <f>VLOOKUP(E500,Offense!$A$1:$B$30,2,FALSE)</f>
        <v>#N/A</v>
      </c>
      <c r="G500" s="2" t="e">
        <f t="shared" si="7"/>
        <v>#N/A</v>
      </c>
    </row>
    <row r="501" spans="1:7" x14ac:dyDescent="0.25">
      <c r="A501">
        <v>0</v>
      </c>
      <c r="B501">
        <v>0</v>
      </c>
      <c r="C501">
        <v>0</v>
      </c>
      <c r="D501">
        <v>0</v>
      </c>
      <c r="E501" s="2" t="e">
        <f>VLOOKUP(A501,Fandual!$D$2:$K$1354,8,FALSE)</f>
        <v>#N/A</v>
      </c>
      <c r="F501" s="2" t="e">
        <f>VLOOKUP(E501,Offense!$A$1:$B$30,2,FALSE)</f>
        <v>#N/A</v>
      </c>
      <c r="G501" s="2" t="e">
        <f t="shared" si="7"/>
        <v>#N/A</v>
      </c>
    </row>
    <row r="502" spans="1:7" x14ac:dyDescent="0.25">
      <c r="A502">
        <v>0</v>
      </c>
      <c r="B502">
        <v>0</v>
      </c>
      <c r="C502">
        <v>0</v>
      </c>
      <c r="D502">
        <v>0</v>
      </c>
      <c r="E502" s="2" t="e">
        <f>VLOOKUP(A502,Fandual!$D$2:$K$1354,8,FALSE)</f>
        <v>#N/A</v>
      </c>
      <c r="F502" s="2" t="e">
        <f>VLOOKUP(E502,Offense!$A$1:$B$30,2,FALSE)</f>
        <v>#N/A</v>
      </c>
      <c r="G502" s="2" t="e">
        <f t="shared" si="7"/>
        <v>#N/A</v>
      </c>
    </row>
    <row r="503" spans="1:7" x14ac:dyDescent="0.25">
      <c r="A503">
        <v>0</v>
      </c>
      <c r="B503">
        <v>0</v>
      </c>
      <c r="C503">
        <v>0</v>
      </c>
      <c r="D503">
        <v>0</v>
      </c>
      <c r="E503" s="2" t="e">
        <f>VLOOKUP(A503,Fandual!$D$2:$K$1354,8,FALSE)</f>
        <v>#N/A</v>
      </c>
      <c r="F503" s="2" t="e">
        <f>VLOOKUP(E503,Offense!$A$1:$B$30,2,FALSE)</f>
        <v>#N/A</v>
      </c>
      <c r="G503" s="2" t="e">
        <f t="shared" si="7"/>
        <v>#N/A</v>
      </c>
    </row>
  </sheetData>
  <sortState ref="A2:D503">
    <sortCondition descending="1" ref="B2:B503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124"/>
  <sheetViews>
    <sheetView workbookViewId="0">
      <selection activeCell="A2" sqref="A2:D303"/>
    </sheetView>
  </sheetViews>
  <sheetFormatPr defaultRowHeight="15" x14ac:dyDescent="0.25"/>
  <cols>
    <col min="3" max="3" width="16.5703125" bestFit="1" customWidth="1"/>
    <col min="5" max="5" width="10" style="2" bestFit="1" customWidth="1"/>
    <col min="6" max="6" width="4.7109375" style="2" bestFit="1" customWidth="1"/>
  </cols>
  <sheetData>
    <row r="1" spans="1:4" x14ac:dyDescent="0.25">
      <c r="A1" t="s">
        <v>0</v>
      </c>
      <c r="B1" t="s">
        <v>3</v>
      </c>
      <c r="C1" t="s">
        <v>4</v>
      </c>
      <c r="D1" t="s">
        <v>5</v>
      </c>
    </row>
    <row r="2" spans="1:4" x14ac:dyDescent="0.25">
      <c r="A2" t="s">
        <v>22</v>
      </c>
      <c r="B2" t="s">
        <v>2901</v>
      </c>
      <c r="C2">
        <v>14.657894736842101</v>
      </c>
      <c r="D2">
        <v>5400</v>
      </c>
    </row>
    <row r="3" spans="1:4" x14ac:dyDescent="0.25">
      <c r="A3" t="s">
        <v>17</v>
      </c>
      <c r="B3" t="s">
        <v>1321</v>
      </c>
      <c r="C3">
        <v>14.636363636363599</v>
      </c>
      <c r="D3">
        <v>5000</v>
      </c>
    </row>
    <row r="4" spans="1:4" x14ac:dyDescent="0.25">
      <c r="A4" t="s">
        <v>20</v>
      </c>
      <c r="B4" t="s">
        <v>1313</v>
      </c>
      <c r="C4">
        <v>13.0297711787333</v>
      </c>
      <c r="D4">
        <v>4500</v>
      </c>
    </row>
    <row r="5" spans="1:4" x14ac:dyDescent="0.25">
      <c r="A5" t="s">
        <v>17</v>
      </c>
      <c r="B5" t="s">
        <v>1335</v>
      </c>
      <c r="C5">
        <v>12.6468090300864</v>
      </c>
      <c r="D5">
        <v>5000</v>
      </c>
    </row>
    <row r="6" spans="1:4" x14ac:dyDescent="0.25">
      <c r="A6" t="s">
        <v>20</v>
      </c>
      <c r="B6" t="s">
        <v>2924</v>
      </c>
      <c r="C6">
        <v>12.312903619581601</v>
      </c>
      <c r="D6">
        <v>4300</v>
      </c>
    </row>
    <row r="7" spans="1:4" x14ac:dyDescent="0.25">
      <c r="A7" t="s">
        <v>22</v>
      </c>
      <c r="B7" t="s">
        <v>1394</v>
      </c>
      <c r="C7">
        <v>11.2246035621279</v>
      </c>
      <c r="D7">
        <v>3600</v>
      </c>
    </row>
    <row r="8" spans="1:4" x14ac:dyDescent="0.25">
      <c r="A8" t="s">
        <v>17</v>
      </c>
      <c r="B8" t="s">
        <v>2910</v>
      </c>
      <c r="C8">
        <v>10.6057472667474</v>
      </c>
      <c r="D8">
        <v>4600</v>
      </c>
    </row>
    <row r="9" spans="1:4" x14ac:dyDescent="0.25">
      <c r="A9" t="s">
        <v>19</v>
      </c>
      <c r="B9" t="s">
        <v>1452</v>
      </c>
      <c r="C9">
        <v>9.9370078740157393</v>
      </c>
      <c r="D9">
        <v>3900</v>
      </c>
    </row>
    <row r="10" spans="1:4" x14ac:dyDescent="0.25">
      <c r="A10" t="s">
        <v>17</v>
      </c>
      <c r="B10" t="s">
        <v>2929</v>
      </c>
      <c r="C10">
        <v>9.8293099238954706</v>
      </c>
      <c r="D10">
        <v>4100</v>
      </c>
    </row>
    <row r="11" spans="1:4" x14ac:dyDescent="0.25">
      <c r="A11" t="s">
        <v>17</v>
      </c>
      <c r="B11" t="s">
        <v>1455</v>
      </c>
      <c r="C11">
        <v>9.6688173355594706</v>
      </c>
      <c r="D11">
        <v>3600</v>
      </c>
    </row>
    <row r="12" spans="1:4" x14ac:dyDescent="0.25">
      <c r="A12" t="s">
        <v>17</v>
      </c>
      <c r="B12" t="s">
        <v>1416</v>
      </c>
      <c r="C12">
        <v>9.2911762910730697</v>
      </c>
      <c r="D12">
        <v>3500</v>
      </c>
    </row>
    <row r="13" spans="1:4" x14ac:dyDescent="0.25">
      <c r="A13" t="s">
        <v>21</v>
      </c>
      <c r="B13" t="s">
        <v>1443</v>
      </c>
      <c r="C13">
        <v>9.0410260583600408</v>
      </c>
      <c r="D13">
        <v>3800</v>
      </c>
    </row>
    <row r="14" spans="1:4" x14ac:dyDescent="0.25">
      <c r="A14" t="s">
        <v>1</v>
      </c>
      <c r="B14" t="s">
        <v>3005</v>
      </c>
      <c r="C14">
        <v>8.7600001743861604</v>
      </c>
      <c r="D14">
        <v>3500</v>
      </c>
    </row>
    <row r="15" spans="1:4" x14ac:dyDescent="0.25">
      <c r="A15" t="s">
        <v>19</v>
      </c>
      <c r="B15" t="s">
        <v>2913</v>
      </c>
      <c r="C15">
        <v>7.8508771929824501</v>
      </c>
      <c r="D15">
        <v>4500</v>
      </c>
    </row>
    <row r="16" spans="1:4" x14ac:dyDescent="0.25">
      <c r="A16" t="s">
        <v>17</v>
      </c>
      <c r="B16" t="s">
        <v>1422</v>
      </c>
      <c r="C16">
        <v>7.6769911504424702</v>
      </c>
      <c r="D16">
        <v>3000</v>
      </c>
    </row>
    <row r="17" spans="1:4" x14ac:dyDescent="0.25">
      <c r="A17" t="s">
        <v>1</v>
      </c>
      <c r="B17" t="s">
        <v>1534</v>
      </c>
      <c r="C17">
        <v>7.1676765210700699</v>
      </c>
      <c r="D17">
        <v>3300</v>
      </c>
    </row>
    <row r="18" spans="1:4" x14ac:dyDescent="0.25">
      <c r="A18" t="s">
        <v>21</v>
      </c>
      <c r="B18" t="s">
        <v>3062</v>
      </c>
      <c r="C18">
        <v>7.1148934871592404</v>
      </c>
      <c r="D18">
        <v>3300</v>
      </c>
    </row>
    <row r="19" spans="1:4" x14ac:dyDescent="0.25">
      <c r="A19" t="s">
        <v>19</v>
      </c>
      <c r="B19" t="s">
        <v>3091</v>
      </c>
      <c r="C19">
        <v>6.8403667484948398</v>
      </c>
      <c r="D19">
        <v>3100</v>
      </c>
    </row>
    <row r="20" spans="1:4" x14ac:dyDescent="0.25">
      <c r="A20" t="s">
        <v>17</v>
      </c>
      <c r="B20" t="s">
        <v>3068</v>
      </c>
      <c r="C20">
        <v>6.7948053533380603</v>
      </c>
      <c r="D20">
        <v>3300</v>
      </c>
    </row>
    <row r="21" spans="1:4" x14ac:dyDescent="0.25">
      <c r="A21" t="s">
        <v>17</v>
      </c>
      <c r="B21" t="s">
        <v>1575</v>
      </c>
      <c r="C21">
        <v>6.2999998848393197</v>
      </c>
      <c r="D21">
        <v>3000</v>
      </c>
    </row>
    <row r="22" spans="1:4" x14ac:dyDescent="0.25">
      <c r="A22" t="s">
        <v>1</v>
      </c>
      <c r="B22" t="s">
        <v>1599</v>
      </c>
      <c r="C22">
        <v>6.0142857142857098</v>
      </c>
      <c r="D22">
        <v>3000</v>
      </c>
    </row>
    <row r="23" spans="1:4" x14ac:dyDescent="0.25">
      <c r="A23" t="s">
        <v>21</v>
      </c>
      <c r="B23" t="s">
        <v>122</v>
      </c>
      <c r="C23">
        <v>5.7494254276670196</v>
      </c>
      <c r="D23">
        <v>3300</v>
      </c>
    </row>
    <row r="24" spans="1:4" x14ac:dyDescent="0.25">
      <c r="A24" t="s">
        <v>20</v>
      </c>
      <c r="B24" t="s">
        <v>3131</v>
      </c>
      <c r="C24">
        <v>5.4250001907348597</v>
      </c>
      <c r="D24">
        <v>3000</v>
      </c>
    </row>
    <row r="25" spans="1:4" x14ac:dyDescent="0.25">
      <c r="A25" t="s">
        <v>21</v>
      </c>
      <c r="B25" t="s">
        <v>1478</v>
      </c>
      <c r="C25">
        <v>5.0978260869565197</v>
      </c>
      <c r="D25">
        <v>3000</v>
      </c>
    </row>
    <row r="26" spans="1:4" x14ac:dyDescent="0.25">
      <c r="A26" t="s">
        <v>1</v>
      </c>
      <c r="B26" t="s">
        <v>3026</v>
      </c>
      <c r="C26">
        <v>5.0365590741557398</v>
      </c>
      <c r="D26">
        <v>3400</v>
      </c>
    </row>
    <row r="27" spans="1:4" x14ac:dyDescent="0.25">
      <c r="A27" t="s">
        <v>17</v>
      </c>
      <c r="B27" t="s">
        <v>3151</v>
      </c>
      <c r="C27">
        <v>4.8499999999999996</v>
      </c>
      <c r="D27">
        <v>3000</v>
      </c>
    </row>
    <row r="28" spans="1:4" x14ac:dyDescent="0.25">
      <c r="A28" t="s">
        <v>17</v>
      </c>
      <c r="B28" t="s">
        <v>3157</v>
      </c>
      <c r="C28">
        <v>4.59999993506898</v>
      </c>
      <c r="D28">
        <v>3000</v>
      </c>
    </row>
    <row r="29" spans="1:4" x14ac:dyDescent="0.25">
      <c r="A29" t="s">
        <v>17</v>
      </c>
      <c r="B29" t="s">
        <v>3161</v>
      </c>
      <c r="C29">
        <v>4.2363637288411402</v>
      </c>
      <c r="D29">
        <v>3000</v>
      </c>
    </row>
    <row r="30" spans="1:4" x14ac:dyDescent="0.25">
      <c r="A30" t="s">
        <v>19</v>
      </c>
      <c r="B30" t="s">
        <v>1545</v>
      </c>
      <c r="C30">
        <v>3.74268285239615</v>
      </c>
      <c r="D30">
        <v>3000</v>
      </c>
    </row>
    <row r="31" spans="1:4" x14ac:dyDescent="0.25">
      <c r="A31" t="s">
        <v>1</v>
      </c>
      <c r="B31" t="s">
        <v>1592</v>
      </c>
      <c r="C31">
        <v>2.3375000953674299</v>
      </c>
      <c r="D31">
        <v>3100</v>
      </c>
    </row>
    <row r="32" spans="1:4" x14ac:dyDescent="0.25">
      <c r="A32" t="s">
        <v>17</v>
      </c>
      <c r="B32" t="s">
        <v>1568</v>
      </c>
      <c r="C32">
        <v>2.15</v>
      </c>
      <c r="D32">
        <v>3000</v>
      </c>
    </row>
    <row r="33" spans="1:4" x14ac:dyDescent="0.25">
      <c r="A33" t="s">
        <v>21</v>
      </c>
      <c r="B33" t="s">
        <v>1548</v>
      </c>
      <c r="C33">
        <v>0.51666665077209395</v>
      </c>
      <c r="D33">
        <v>3000</v>
      </c>
    </row>
    <row r="34" spans="1:4" x14ac:dyDescent="0.25">
      <c r="A34">
        <v>0</v>
      </c>
      <c r="B34">
        <v>0</v>
      </c>
      <c r="C34">
        <v>0</v>
      </c>
      <c r="D34">
        <v>0</v>
      </c>
    </row>
    <row r="35" spans="1:4" x14ac:dyDescent="0.25">
      <c r="A35">
        <v>0</v>
      </c>
      <c r="B35">
        <v>0</v>
      </c>
      <c r="C35">
        <v>0</v>
      </c>
      <c r="D35">
        <v>0</v>
      </c>
    </row>
    <row r="36" spans="1:4" x14ac:dyDescent="0.25">
      <c r="A36">
        <v>0</v>
      </c>
      <c r="B36">
        <v>0</v>
      </c>
      <c r="C36">
        <v>0</v>
      </c>
      <c r="D36">
        <v>0</v>
      </c>
    </row>
    <row r="37" spans="1:4" x14ac:dyDescent="0.25">
      <c r="A37">
        <v>0</v>
      </c>
      <c r="B37">
        <v>0</v>
      </c>
      <c r="C37">
        <v>0</v>
      </c>
      <c r="D37">
        <v>0</v>
      </c>
    </row>
    <row r="38" spans="1:4" x14ac:dyDescent="0.25">
      <c r="A38">
        <v>0</v>
      </c>
      <c r="B38">
        <v>0</v>
      </c>
      <c r="C38">
        <v>0</v>
      </c>
      <c r="D38">
        <v>0</v>
      </c>
    </row>
    <row r="39" spans="1:4" x14ac:dyDescent="0.25">
      <c r="A39">
        <v>0</v>
      </c>
      <c r="B39">
        <v>0</v>
      </c>
      <c r="C39">
        <v>0</v>
      </c>
      <c r="D39">
        <v>0</v>
      </c>
    </row>
    <row r="40" spans="1:4" x14ac:dyDescent="0.25">
      <c r="A40">
        <v>0</v>
      </c>
      <c r="B40">
        <v>0</v>
      </c>
      <c r="C40">
        <v>0</v>
      </c>
      <c r="D40">
        <v>0</v>
      </c>
    </row>
    <row r="41" spans="1:4" x14ac:dyDescent="0.25">
      <c r="A41">
        <v>0</v>
      </c>
      <c r="B41">
        <v>0</v>
      </c>
      <c r="C41">
        <v>0</v>
      </c>
      <c r="D41">
        <v>0</v>
      </c>
    </row>
    <row r="42" spans="1:4" x14ac:dyDescent="0.25">
      <c r="A42">
        <v>0</v>
      </c>
      <c r="B42">
        <v>0</v>
      </c>
      <c r="C42">
        <v>0</v>
      </c>
      <c r="D42">
        <v>0</v>
      </c>
    </row>
    <row r="43" spans="1:4" x14ac:dyDescent="0.25">
      <c r="A43">
        <v>0</v>
      </c>
      <c r="B43">
        <v>0</v>
      </c>
      <c r="C43">
        <v>0</v>
      </c>
      <c r="D43">
        <v>0</v>
      </c>
    </row>
    <row r="44" spans="1:4" x14ac:dyDescent="0.25">
      <c r="A44">
        <v>0</v>
      </c>
      <c r="B44">
        <v>0</v>
      </c>
      <c r="C44">
        <v>0</v>
      </c>
      <c r="D44">
        <v>0</v>
      </c>
    </row>
    <row r="45" spans="1:4" x14ac:dyDescent="0.25">
      <c r="A45">
        <v>0</v>
      </c>
      <c r="B45">
        <v>0</v>
      </c>
      <c r="C45">
        <v>0</v>
      </c>
      <c r="D45">
        <v>0</v>
      </c>
    </row>
    <row r="46" spans="1:4" x14ac:dyDescent="0.25">
      <c r="A46">
        <v>0</v>
      </c>
      <c r="B46">
        <v>0</v>
      </c>
      <c r="C46">
        <v>0</v>
      </c>
      <c r="D46">
        <v>0</v>
      </c>
    </row>
    <row r="47" spans="1:4" x14ac:dyDescent="0.25">
      <c r="A47">
        <v>0</v>
      </c>
      <c r="B47">
        <v>0</v>
      </c>
      <c r="C47">
        <v>0</v>
      </c>
      <c r="D47">
        <v>0</v>
      </c>
    </row>
    <row r="48" spans="1:4" x14ac:dyDescent="0.25">
      <c r="A48">
        <v>0</v>
      </c>
      <c r="B48">
        <v>0</v>
      </c>
      <c r="C48">
        <v>0</v>
      </c>
      <c r="D48">
        <v>0</v>
      </c>
    </row>
    <row r="49" spans="1:4" x14ac:dyDescent="0.25">
      <c r="A49">
        <v>0</v>
      </c>
      <c r="B49">
        <v>0</v>
      </c>
      <c r="C49">
        <v>0</v>
      </c>
      <c r="D49">
        <v>0</v>
      </c>
    </row>
    <row r="50" spans="1:4" x14ac:dyDescent="0.25">
      <c r="A50">
        <v>0</v>
      </c>
      <c r="B50">
        <v>0</v>
      </c>
      <c r="C50">
        <v>0</v>
      </c>
      <c r="D50">
        <v>0</v>
      </c>
    </row>
    <row r="51" spans="1:4" x14ac:dyDescent="0.25">
      <c r="A51">
        <v>0</v>
      </c>
      <c r="B51">
        <v>0</v>
      </c>
      <c r="C51">
        <v>0</v>
      </c>
      <c r="D51">
        <v>0</v>
      </c>
    </row>
    <row r="52" spans="1:4" x14ac:dyDescent="0.25">
      <c r="A52">
        <v>0</v>
      </c>
      <c r="B52">
        <v>0</v>
      </c>
      <c r="C52">
        <v>0</v>
      </c>
      <c r="D52">
        <v>0</v>
      </c>
    </row>
    <row r="53" spans="1:4" x14ac:dyDescent="0.25">
      <c r="A53">
        <v>0</v>
      </c>
      <c r="B53">
        <v>0</v>
      </c>
      <c r="C53">
        <v>0</v>
      </c>
      <c r="D53">
        <v>0</v>
      </c>
    </row>
    <row r="54" spans="1:4" x14ac:dyDescent="0.25">
      <c r="A54">
        <v>0</v>
      </c>
      <c r="B54">
        <v>0</v>
      </c>
      <c r="C54">
        <v>0</v>
      </c>
      <c r="D54">
        <v>0</v>
      </c>
    </row>
    <row r="55" spans="1:4" x14ac:dyDescent="0.25">
      <c r="A55">
        <v>0</v>
      </c>
      <c r="B55">
        <v>0</v>
      </c>
      <c r="C55">
        <v>0</v>
      </c>
      <c r="D55">
        <v>0</v>
      </c>
    </row>
    <row r="56" spans="1:4" x14ac:dyDescent="0.25">
      <c r="A56">
        <v>0</v>
      </c>
      <c r="B56">
        <v>0</v>
      </c>
      <c r="C56">
        <v>0</v>
      </c>
      <c r="D56">
        <v>0</v>
      </c>
    </row>
    <row r="57" spans="1:4" x14ac:dyDescent="0.25">
      <c r="A57">
        <v>0</v>
      </c>
      <c r="B57">
        <v>0</v>
      </c>
      <c r="C57">
        <v>0</v>
      </c>
      <c r="D57">
        <v>0</v>
      </c>
    </row>
    <row r="58" spans="1:4" x14ac:dyDescent="0.25">
      <c r="A58">
        <v>0</v>
      </c>
      <c r="B58">
        <v>0</v>
      </c>
      <c r="C58">
        <v>0</v>
      </c>
      <c r="D58">
        <v>0</v>
      </c>
    </row>
    <row r="59" spans="1:4" x14ac:dyDescent="0.25">
      <c r="A59">
        <v>0</v>
      </c>
      <c r="B59">
        <v>0</v>
      </c>
      <c r="C59">
        <v>0</v>
      </c>
      <c r="D59">
        <v>0</v>
      </c>
    </row>
    <row r="60" spans="1:4" x14ac:dyDescent="0.25">
      <c r="A60">
        <v>0</v>
      </c>
      <c r="B60">
        <v>0</v>
      </c>
      <c r="C60">
        <v>0</v>
      </c>
      <c r="D60">
        <v>0</v>
      </c>
    </row>
    <row r="61" spans="1:4" x14ac:dyDescent="0.25">
      <c r="A61">
        <v>0</v>
      </c>
      <c r="B61">
        <v>0</v>
      </c>
      <c r="C61">
        <v>0</v>
      </c>
      <c r="D61">
        <v>0</v>
      </c>
    </row>
    <row r="62" spans="1:4" x14ac:dyDescent="0.25">
      <c r="A62">
        <v>0</v>
      </c>
      <c r="B62">
        <v>0</v>
      </c>
      <c r="C62">
        <v>0</v>
      </c>
      <c r="D62">
        <v>0</v>
      </c>
    </row>
    <row r="63" spans="1:4" x14ac:dyDescent="0.25">
      <c r="A63">
        <v>0</v>
      </c>
      <c r="B63">
        <v>0</v>
      </c>
      <c r="C63">
        <v>0</v>
      </c>
      <c r="D63">
        <v>0</v>
      </c>
    </row>
    <row r="64" spans="1:4" x14ac:dyDescent="0.25">
      <c r="A64">
        <v>0</v>
      </c>
      <c r="B64">
        <v>0</v>
      </c>
      <c r="C64">
        <v>0</v>
      </c>
      <c r="D64">
        <v>0</v>
      </c>
    </row>
    <row r="65" spans="1:4" x14ac:dyDescent="0.25">
      <c r="A65">
        <v>0</v>
      </c>
      <c r="B65">
        <v>0</v>
      </c>
      <c r="C65">
        <v>0</v>
      </c>
      <c r="D65">
        <v>0</v>
      </c>
    </row>
    <row r="66" spans="1:4" x14ac:dyDescent="0.25">
      <c r="A66">
        <v>0</v>
      </c>
      <c r="B66">
        <v>0</v>
      </c>
      <c r="C66">
        <v>0</v>
      </c>
      <c r="D66">
        <v>0</v>
      </c>
    </row>
    <row r="67" spans="1:4" x14ac:dyDescent="0.25">
      <c r="A67">
        <v>0</v>
      </c>
      <c r="B67">
        <v>0</v>
      </c>
      <c r="C67">
        <v>0</v>
      </c>
      <c r="D67">
        <v>0</v>
      </c>
    </row>
    <row r="68" spans="1:4" x14ac:dyDescent="0.25">
      <c r="A68">
        <v>0</v>
      </c>
      <c r="B68">
        <v>0</v>
      </c>
      <c r="C68">
        <v>0</v>
      </c>
      <c r="D68">
        <v>0</v>
      </c>
    </row>
    <row r="69" spans="1:4" x14ac:dyDescent="0.25">
      <c r="A69">
        <v>0</v>
      </c>
      <c r="B69">
        <v>0</v>
      </c>
      <c r="C69">
        <v>0</v>
      </c>
      <c r="D69">
        <v>0</v>
      </c>
    </row>
    <row r="70" spans="1:4" x14ac:dyDescent="0.25">
      <c r="A70">
        <v>0</v>
      </c>
      <c r="B70">
        <v>0</v>
      </c>
      <c r="C70">
        <v>0</v>
      </c>
      <c r="D70">
        <v>0</v>
      </c>
    </row>
    <row r="71" spans="1:4" x14ac:dyDescent="0.25">
      <c r="A71">
        <v>0</v>
      </c>
      <c r="B71">
        <v>0</v>
      </c>
      <c r="C71">
        <v>0</v>
      </c>
      <c r="D71">
        <v>0</v>
      </c>
    </row>
    <row r="72" spans="1:4" x14ac:dyDescent="0.25">
      <c r="A72">
        <v>0</v>
      </c>
      <c r="B72">
        <v>0</v>
      </c>
      <c r="C72">
        <v>0</v>
      </c>
      <c r="D72">
        <v>0</v>
      </c>
    </row>
    <row r="73" spans="1:4" x14ac:dyDescent="0.25">
      <c r="A73">
        <v>0</v>
      </c>
      <c r="B73">
        <v>0</v>
      </c>
      <c r="C73">
        <v>0</v>
      </c>
      <c r="D73">
        <v>0</v>
      </c>
    </row>
    <row r="74" spans="1:4" x14ac:dyDescent="0.25">
      <c r="A74">
        <v>0</v>
      </c>
      <c r="B74">
        <v>0</v>
      </c>
      <c r="C74">
        <v>0</v>
      </c>
      <c r="D74">
        <v>0</v>
      </c>
    </row>
    <row r="75" spans="1:4" x14ac:dyDescent="0.25">
      <c r="A75">
        <v>0</v>
      </c>
      <c r="B75">
        <v>0</v>
      </c>
      <c r="C75">
        <v>0</v>
      </c>
      <c r="D75">
        <v>0</v>
      </c>
    </row>
    <row r="76" spans="1:4" x14ac:dyDescent="0.25">
      <c r="A76">
        <v>0</v>
      </c>
      <c r="B76">
        <v>0</v>
      </c>
      <c r="C76">
        <v>0</v>
      </c>
      <c r="D76">
        <v>0</v>
      </c>
    </row>
    <row r="77" spans="1:4" x14ac:dyDescent="0.25">
      <c r="A77">
        <v>0</v>
      </c>
      <c r="B77">
        <v>0</v>
      </c>
      <c r="C77">
        <v>0</v>
      </c>
      <c r="D77">
        <v>0</v>
      </c>
    </row>
    <row r="78" spans="1:4" x14ac:dyDescent="0.25">
      <c r="A78">
        <v>0</v>
      </c>
      <c r="B78">
        <v>0</v>
      </c>
      <c r="C78">
        <v>0</v>
      </c>
      <c r="D78">
        <v>0</v>
      </c>
    </row>
    <row r="79" spans="1:4" x14ac:dyDescent="0.25">
      <c r="A79">
        <v>0</v>
      </c>
      <c r="B79">
        <v>0</v>
      </c>
      <c r="C79">
        <v>0</v>
      </c>
      <c r="D79">
        <v>0</v>
      </c>
    </row>
    <row r="80" spans="1:4" x14ac:dyDescent="0.25">
      <c r="A80">
        <v>0</v>
      </c>
      <c r="B80">
        <v>0</v>
      </c>
      <c r="C80">
        <v>0</v>
      </c>
      <c r="D80">
        <v>0</v>
      </c>
    </row>
    <row r="81" spans="1:4" x14ac:dyDescent="0.25">
      <c r="A81">
        <v>0</v>
      </c>
      <c r="B81">
        <v>0</v>
      </c>
      <c r="C81">
        <v>0</v>
      </c>
      <c r="D81">
        <v>0</v>
      </c>
    </row>
    <row r="82" spans="1:4" x14ac:dyDescent="0.25">
      <c r="A82">
        <v>0</v>
      </c>
      <c r="B82">
        <v>0</v>
      </c>
      <c r="C82">
        <v>0</v>
      </c>
      <c r="D82">
        <v>0</v>
      </c>
    </row>
    <row r="83" spans="1:4" x14ac:dyDescent="0.25">
      <c r="A83">
        <v>0</v>
      </c>
      <c r="B83">
        <v>0</v>
      </c>
      <c r="C83">
        <v>0</v>
      </c>
      <c r="D83">
        <v>0</v>
      </c>
    </row>
    <row r="84" spans="1:4" x14ac:dyDescent="0.25">
      <c r="A84">
        <v>0</v>
      </c>
      <c r="B84">
        <v>0</v>
      </c>
      <c r="C84">
        <v>0</v>
      </c>
      <c r="D84">
        <v>0</v>
      </c>
    </row>
    <row r="85" spans="1:4" x14ac:dyDescent="0.25">
      <c r="A85">
        <v>0</v>
      </c>
      <c r="B85">
        <v>0</v>
      </c>
      <c r="C85">
        <v>0</v>
      </c>
      <c r="D85">
        <v>0</v>
      </c>
    </row>
    <row r="86" spans="1:4" x14ac:dyDescent="0.25">
      <c r="A86">
        <v>0</v>
      </c>
      <c r="B86">
        <v>0</v>
      </c>
      <c r="C86">
        <v>0</v>
      </c>
      <c r="D86">
        <v>0</v>
      </c>
    </row>
    <row r="87" spans="1:4" x14ac:dyDescent="0.25">
      <c r="A87">
        <v>0</v>
      </c>
      <c r="B87">
        <v>0</v>
      </c>
      <c r="C87">
        <v>0</v>
      </c>
      <c r="D87">
        <v>0</v>
      </c>
    </row>
    <row r="88" spans="1:4" x14ac:dyDescent="0.25">
      <c r="A88">
        <v>0</v>
      </c>
      <c r="B88">
        <v>0</v>
      </c>
      <c r="C88">
        <v>0</v>
      </c>
      <c r="D88">
        <v>0</v>
      </c>
    </row>
    <row r="89" spans="1:4" x14ac:dyDescent="0.25">
      <c r="A89">
        <v>0</v>
      </c>
      <c r="B89">
        <v>0</v>
      </c>
      <c r="C89">
        <v>0</v>
      </c>
      <c r="D89">
        <v>0</v>
      </c>
    </row>
    <row r="90" spans="1:4" x14ac:dyDescent="0.25">
      <c r="A90">
        <v>0</v>
      </c>
      <c r="B90">
        <v>0</v>
      </c>
      <c r="C90">
        <v>0</v>
      </c>
      <c r="D90">
        <v>0</v>
      </c>
    </row>
    <row r="91" spans="1:4" x14ac:dyDescent="0.25">
      <c r="A91">
        <v>0</v>
      </c>
      <c r="B91">
        <v>0</v>
      </c>
      <c r="C91">
        <v>0</v>
      </c>
      <c r="D91">
        <v>0</v>
      </c>
    </row>
    <row r="92" spans="1:4" x14ac:dyDescent="0.25">
      <c r="A92">
        <v>0</v>
      </c>
      <c r="B92">
        <v>0</v>
      </c>
      <c r="C92">
        <v>0</v>
      </c>
      <c r="D92">
        <v>0</v>
      </c>
    </row>
    <row r="93" spans="1:4" x14ac:dyDescent="0.25">
      <c r="A93">
        <v>0</v>
      </c>
      <c r="B93">
        <v>0</v>
      </c>
      <c r="C93">
        <v>0</v>
      </c>
      <c r="D93">
        <v>0</v>
      </c>
    </row>
    <row r="94" spans="1:4" x14ac:dyDescent="0.25">
      <c r="A94">
        <v>0</v>
      </c>
      <c r="B94">
        <v>0</v>
      </c>
      <c r="C94">
        <v>0</v>
      </c>
      <c r="D94">
        <v>0</v>
      </c>
    </row>
    <row r="95" spans="1:4" x14ac:dyDescent="0.25">
      <c r="A95">
        <v>0</v>
      </c>
      <c r="B95">
        <v>0</v>
      </c>
      <c r="C95">
        <v>0</v>
      </c>
      <c r="D95">
        <v>0</v>
      </c>
    </row>
    <row r="96" spans="1:4" x14ac:dyDescent="0.25">
      <c r="A96">
        <v>0</v>
      </c>
      <c r="B96">
        <v>0</v>
      </c>
      <c r="C96">
        <v>0</v>
      </c>
      <c r="D96">
        <v>0</v>
      </c>
    </row>
    <row r="97" spans="1:4" x14ac:dyDescent="0.25">
      <c r="A97">
        <v>0</v>
      </c>
      <c r="B97">
        <v>0</v>
      </c>
      <c r="C97">
        <v>0</v>
      </c>
      <c r="D97">
        <v>0</v>
      </c>
    </row>
    <row r="98" spans="1:4" x14ac:dyDescent="0.25">
      <c r="A98">
        <v>0</v>
      </c>
      <c r="B98">
        <v>0</v>
      </c>
      <c r="C98">
        <v>0</v>
      </c>
      <c r="D98">
        <v>0</v>
      </c>
    </row>
    <row r="99" spans="1:4" x14ac:dyDescent="0.25">
      <c r="A99">
        <v>0</v>
      </c>
      <c r="B99">
        <v>0</v>
      </c>
      <c r="C99">
        <v>0</v>
      </c>
      <c r="D99">
        <v>0</v>
      </c>
    </row>
    <row r="100" spans="1:4" x14ac:dyDescent="0.25">
      <c r="A100">
        <v>0</v>
      </c>
      <c r="B100">
        <v>0</v>
      </c>
      <c r="C100">
        <v>0</v>
      </c>
      <c r="D100">
        <v>0</v>
      </c>
    </row>
    <row r="101" spans="1:4" x14ac:dyDescent="0.25">
      <c r="A101">
        <v>0</v>
      </c>
      <c r="B101">
        <v>0</v>
      </c>
      <c r="C101">
        <v>0</v>
      </c>
      <c r="D101">
        <v>0</v>
      </c>
    </row>
    <row r="102" spans="1:4" x14ac:dyDescent="0.25">
      <c r="A102">
        <v>0</v>
      </c>
      <c r="B102">
        <v>0</v>
      </c>
      <c r="C102">
        <v>0</v>
      </c>
      <c r="D102">
        <v>0</v>
      </c>
    </row>
    <row r="103" spans="1:4" x14ac:dyDescent="0.25">
      <c r="A103">
        <v>0</v>
      </c>
      <c r="B103">
        <v>0</v>
      </c>
      <c r="C103">
        <v>0</v>
      </c>
      <c r="D103">
        <v>0</v>
      </c>
    </row>
    <row r="104" spans="1:4" x14ac:dyDescent="0.25">
      <c r="A104">
        <v>0</v>
      </c>
      <c r="B104">
        <v>0</v>
      </c>
      <c r="C104">
        <v>0</v>
      </c>
      <c r="D104">
        <v>0</v>
      </c>
    </row>
    <row r="105" spans="1:4" x14ac:dyDescent="0.25">
      <c r="A105">
        <v>0</v>
      </c>
      <c r="B105">
        <v>0</v>
      </c>
      <c r="C105">
        <v>0</v>
      </c>
      <c r="D105">
        <v>0</v>
      </c>
    </row>
    <row r="106" spans="1:4" x14ac:dyDescent="0.25">
      <c r="A106">
        <v>0</v>
      </c>
      <c r="B106">
        <v>0</v>
      </c>
      <c r="C106">
        <v>0</v>
      </c>
      <c r="D106">
        <v>0</v>
      </c>
    </row>
    <row r="107" spans="1:4" x14ac:dyDescent="0.25">
      <c r="A107">
        <v>0</v>
      </c>
      <c r="B107">
        <v>0</v>
      </c>
      <c r="C107">
        <v>0</v>
      </c>
      <c r="D107">
        <v>0</v>
      </c>
    </row>
    <row r="108" spans="1:4" x14ac:dyDescent="0.25">
      <c r="A108">
        <v>0</v>
      </c>
      <c r="B108">
        <v>0</v>
      </c>
      <c r="C108">
        <v>0</v>
      </c>
      <c r="D108">
        <v>0</v>
      </c>
    </row>
    <row r="109" spans="1:4" x14ac:dyDescent="0.25">
      <c r="A109">
        <v>0</v>
      </c>
      <c r="B109">
        <v>0</v>
      </c>
      <c r="C109">
        <v>0</v>
      </c>
      <c r="D109">
        <v>0</v>
      </c>
    </row>
    <row r="110" spans="1:4" x14ac:dyDescent="0.25">
      <c r="A110">
        <v>0</v>
      </c>
      <c r="B110">
        <v>0</v>
      </c>
      <c r="C110">
        <v>0</v>
      </c>
      <c r="D110">
        <v>0</v>
      </c>
    </row>
    <row r="111" spans="1:4" x14ac:dyDescent="0.25">
      <c r="A111">
        <v>0</v>
      </c>
      <c r="B111">
        <v>0</v>
      </c>
      <c r="C111">
        <v>0</v>
      </c>
      <c r="D111">
        <v>0</v>
      </c>
    </row>
    <row r="112" spans="1:4" x14ac:dyDescent="0.25">
      <c r="A112">
        <v>0</v>
      </c>
      <c r="B112">
        <v>0</v>
      </c>
      <c r="C112">
        <v>0</v>
      </c>
      <c r="D112">
        <v>0</v>
      </c>
    </row>
    <row r="113" spans="1:4" x14ac:dyDescent="0.25">
      <c r="A113">
        <v>0</v>
      </c>
      <c r="B113">
        <v>0</v>
      </c>
      <c r="C113">
        <v>0</v>
      </c>
      <c r="D113">
        <v>0</v>
      </c>
    </row>
    <row r="114" spans="1:4" x14ac:dyDescent="0.25">
      <c r="A114">
        <v>0</v>
      </c>
      <c r="B114">
        <v>0</v>
      </c>
      <c r="C114">
        <v>0</v>
      </c>
      <c r="D114">
        <v>0</v>
      </c>
    </row>
    <row r="115" spans="1:4" x14ac:dyDescent="0.25">
      <c r="A115">
        <v>0</v>
      </c>
      <c r="B115">
        <v>0</v>
      </c>
      <c r="C115">
        <v>0</v>
      </c>
      <c r="D115">
        <v>0</v>
      </c>
    </row>
    <row r="116" spans="1:4" x14ac:dyDescent="0.25">
      <c r="A116">
        <v>0</v>
      </c>
      <c r="B116">
        <v>0</v>
      </c>
      <c r="C116">
        <v>0</v>
      </c>
      <c r="D116">
        <v>0</v>
      </c>
    </row>
    <row r="117" spans="1:4" x14ac:dyDescent="0.25">
      <c r="A117">
        <v>0</v>
      </c>
      <c r="B117">
        <v>0</v>
      </c>
      <c r="C117">
        <v>0</v>
      </c>
      <c r="D117">
        <v>0</v>
      </c>
    </row>
    <row r="118" spans="1:4" x14ac:dyDescent="0.25">
      <c r="A118">
        <v>0</v>
      </c>
      <c r="B118">
        <v>0</v>
      </c>
      <c r="C118">
        <v>0</v>
      </c>
      <c r="D118">
        <v>0</v>
      </c>
    </row>
    <row r="119" spans="1:4" x14ac:dyDescent="0.25">
      <c r="A119">
        <v>0</v>
      </c>
      <c r="B119">
        <v>0</v>
      </c>
      <c r="C119">
        <v>0</v>
      </c>
      <c r="D119">
        <v>0</v>
      </c>
    </row>
    <row r="120" spans="1:4" x14ac:dyDescent="0.25">
      <c r="A120">
        <v>0</v>
      </c>
      <c r="B120">
        <v>0</v>
      </c>
      <c r="C120">
        <v>0</v>
      </c>
      <c r="D120">
        <v>0</v>
      </c>
    </row>
    <row r="121" spans="1:4" x14ac:dyDescent="0.25">
      <c r="A121">
        <v>0</v>
      </c>
      <c r="B121">
        <v>0</v>
      </c>
      <c r="C121">
        <v>0</v>
      </c>
      <c r="D121">
        <v>0</v>
      </c>
    </row>
    <row r="122" spans="1:4" x14ac:dyDescent="0.25">
      <c r="A122">
        <v>0</v>
      </c>
      <c r="B122">
        <v>0</v>
      </c>
      <c r="C122">
        <v>0</v>
      </c>
      <c r="D122">
        <v>0</v>
      </c>
    </row>
    <row r="123" spans="1:4" x14ac:dyDescent="0.25">
      <c r="A123">
        <v>0</v>
      </c>
      <c r="B123">
        <v>0</v>
      </c>
      <c r="C123">
        <v>0</v>
      </c>
      <c r="D123">
        <v>0</v>
      </c>
    </row>
    <row r="124" spans="1:4" x14ac:dyDescent="0.25">
      <c r="A124">
        <v>0</v>
      </c>
      <c r="B124">
        <v>0</v>
      </c>
      <c r="C124">
        <v>0</v>
      </c>
      <c r="D124">
        <v>0</v>
      </c>
    </row>
    <row r="125" spans="1:4" x14ac:dyDescent="0.25">
      <c r="A125">
        <v>0</v>
      </c>
      <c r="B125">
        <v>0</v>
      </c>
      <c r="C125">
        <v>0</v>
      </c>
      <c r="D125">
        <v>0</v>
      </c>
    </row>
    <row r="126" spans="1:4" x14ac:dyDescent="0.25">
      <c r="A126">
        <v>0</v>
      </c>
      <c r="B126">
        <v>0</v>
      </c>
      <c r="C126">
        <v>0</v>
      </c>
      <c r="D126">
        <v>0</v>
      </c>
    </row>
    <row r="127" spans="1:4" x14ac:dyDescent="0.25">
      <c r="A127">
        <v>0</v>
      </c>
      <c r="B127">
        <v>0</v>
      </c>
      <c r="C127">
        <v>0</v>
      </c>
      <c r="D127">
        <v>0</v>
      </c>
    </row>
    <row r="128" spans="1:4" x14ac:dyDescent="0.25">
      <c r="A128">
        <v>0</v>
      </c>
      <c r="B128">
        <v>0</v>
      </c>
      <c r="C128">
        <v>0</v>
      </c>
      <c r="D128">
        <v>0</v>
      </c>
    </row>
    <row r="129" spans="1:4" x14ac:dyDescent="0.25">
      <c r="A129">
        <v>0</v>
      </c>
      <c r="B129">
        <v>0</v>
      </c>
      <c r="C129">
        <v>0</v>
      </c>
      <c r="D129">
        <v>0</v>
      </c>
    </row>
    <row r="130" spans="1:4" x14ac:dyDescent="0.25">
      <c r="A130">
        <v>0</v>
      </c>
      <c r="B130">
        <v>0</v>
      </c>
      <c r="C130">
        <v>0</v>
      </c>
      <c r="D130">
        <v>0</v>
      </c>
    </row>
    <row r="131" spans="1:4" x14ac:dyDescent="0.25">
      <c r="A131">
        <v>0</v>
      </c>
      <c r="B131">
        <v>0</v>
      </c>
      <c r="C131">
        <v>0</v>
      </c>
      <c r="D131">
        <v>0</v>
      </c>
    </row>
    <row r="132" spans="1:4" x14ac:dyDescent="0.25">
      <c r="A132">
        <v>0</v>
      </c>
      <c r="B132">
        <v>0</v>
      </c>
      <c r="C132">
        <v>0</v>
      </c>
      <c r="D132">
        <v>0</v>
      </c>
    </row>
    <row r="133" spans="1:4" x14ac:dyDescent="0.25">
      <c r="A133">
        <v>0</v>
      </c>
      <c r="B133">
        <v>0</v>
      </c>
      <c r="C133">
        <v>0</v>
      </c>
      <c r="D133">
        <v>0</v>
      </c>
    </row>
    <row r="134" spans="1:4" x14ac:dyDescent="0.25">
      <c r="A134">
        <v>0</v>
      </c>
      <c r="B134">
        <v>0</v>
      </c>
      <c r="C134">
        <v>0</v>
      </c>
      <c r="D134">
        <v>0</v>
      </c>
    </row>
    <row r="135" spans="1:4" x14ac:dyDescent="0.25">
      <c r="A135">
        <v>0</v>
      </c>
      <c r="B135">
        <v>0</v>
      </c>
      <c r="C135">
        <v>0</v>
      </c>
      <c r="D135">
        <v>0</v>
      </c>
    </row>
    <row r="136" spans="1:4" x14ac:dyDescent="0.25">
      <c r="A136">
        <v>0</v>
      </c>
      <c r="B136">
        <v>0</v>
      </c>
      <c r="C136">
        <v>0</v>
      </c>
      <c r="D136">
        <v>0</v>
      </c>
    </row>
    <row r="137" spans="1:4" x14ac:dyDescent="0.25">
      <c r="A137">
        <v>0</v>
      </c>
      <c r="B137">
        <v>0</v>
      </c>
      <c r="C137">
        <v>0</v>
      </c>
      <c r="D137">
        <v>0</v>
      </c>
    </row>
    <row r="138" spans="1:4" x14ac:dyDescent="0.25">
      <c r="A138">
        <v>0</v>
      </c>
      <c r="B138">
        <v>0</v>
      </c>
      <c r="C138">
        <v>0</v>
      </c>
      <c r="D138">
        <v>0</v>
      </c>
    </row>
    <row r="139" spans="1:4" x14ac:dyDescent="0.25">
      <c r="A139">
        <v>0</v>
      </c>
      <c r="B139">
        <v>0</v>
      </c>
      <c r="C139">
        <v>0</v>
      </c>
      <c r="D139">
        <v>0</v>
      </c>
    </row>
    <row r="140" spans="1:4" x14ac:dyDescent="0.25">
      <c r="A140">
        <v>0</v>
      </c>
      <c r="B140">
        <v>0</v>
      </c>
      <c r="C140">
        <v>0</v>
      </c>
      <c r="D140">
        <v>0</v>
      </c>
    </row>
    <row r="141" spans="1:4" x14ac:dyDescent="0.25">
      <c r="A141">
        <v>0</v>
      </c>
      <c r="B141">
        <v>0</v>
      </c>
      <c r="C141">
        <v>0</v>
      </c>
      <c r="D141">
        <v>0</v>
      </c>
    </row>
    <row r="142" spans="1:4" x14ac:dyDescent="0.25">
      <c r="A142">
        <v>0</v>
      </c>
      <c r="B142">
        <v>0</v>
      </c>
      <c r="C142">
        <v>0</v>
      </c>
      <c r="D142">
        <v>0</v>
      </c>
    </row>
    <row r="143" spans="1:4" x14ac:dyDescent="0.25">
      <c r="A143">
        <v>0</v>
      </c>
      <c r="B143">
        <v>0</v>
      </c>
      <c r="C143">
        <v>0</v>
      </c>
      <c r="D143">
        <v>0</v>
      </c>
    </row>
    <row r="144" spans="1:4" x14ac:dyDescent="0.25">
      <c r="A144">
        <v>0</v>
      </c>
      <c r="B144">
        <v>0</v>
      </c>
      <c r="C144">
        <v>0</v>
      </c>
      <c r="D144">
        <v>0</v>
      </c>
    </row>
    <row r="145" spans="1:4" x14ac:dyDescent="0.25">
      <c r="A145">
        <v>0</v>
      </c>
      <c r="B145">
        <v>0</v>
      </c>
      <c r="C145">
        <v>0</v>
      </c>
      <c r="D145">
        <v>0</v>
      </c>
    </row>
    <row r="146" spans="1:4" x14ac:dyDescent="0.25">
      <c r="A146">
        <v>0</v>
      </c>
      <c r="B146">
        <v>0</v>
      </c>
      <c r="C146">
        <v>0</v>
      </c>
      <c r="D146">
        <v>0</v>
      </c>
    </row>
    <row r="147" spans="1:4" x14ac:dyDescent="0.25">
      <c r="A147">
        <v>0</v>
      </c>
      <c r="B147">
        <v>0</v>
      </c>
      <c r="C147">
        <v>0</v>
      </c>
      <c r="D147">
        <v>0</v>
      </c>
    </row>
    <row r="148" spans="1:4" x14ac:dyDescent="0.25">
      <c r="A148">
        <v>0</v>
      </c>
      <c r="B148">
        <v>0</v>
      </c>
      <c r="C148">
        <v>0</v>
      </c>
      <c r="D148">
        <v>0</v>
      </c>
    </row>
    <row r="149" spans="1:4" x14ac:dyDescent="0.25">
      <c r="A149">
        <v>0</v>
      </c>
      <c r="B149">
        <v>0</v>
      </c>
      <c r="C149">
        <v>0</v>
      </c>
      <c r="D149">
        <v>0</v>
      </c>
    </row>
    <row r="150" spans="1:4" x14ac:dyDescent="0.25">
      <c r="A150">
        <v>0</v>
      </c>
      <c r="B150">
        <v>0</v>
      </c>
      <c r="C150">
        <v>0</v>
      </c>
      <c r="D150">
        <v>0</v>
      </c>
    </row>
    <row r="151" spans="1:4" x14ac:dyDescent="0.25">
      <c r="A151">
        <v>0</v>
      </c>
      <c r="B151">
        <v>0</v>
      </c>
      <c r="C151">
        <v>0</v>
      </c>
      <c r="D151">
        <v>0</v>
      </c>
    </row>
    <row r="152" spans="1:4" x14ac:dyDescent="0.25">
      <c r="A152">
        <v>0</v>
      </c>
      <c r="B152">
        <v>0</v>
      </c>
      <c r="C152">
        <v>0</v>
      </c>
      <c r="D152">
        <v>0</v>
      </c>
    </row>
    <row r="153" spans="1:4" x14ac:dyDescent="0.25">
      <c r="A153">
        <v>0</v>
      </c>
      <c r="B153">
        <v>0</v>
      </c>
      <c r="C153">
        <v>0</v>
      </c>
      <c r="D153">
        <v>0</v>
      </c>
    </row>
    <row r="154" spans="1:4" x14ac:dyDescent="0.25">
      <c r="A154">
        <v>0</v>
      </c>
      <c r="B154">
        <v>0</v>
      </c>
      <c r="C154">
        <v>0</v>
      </c>
      <c r="D154">
        <v>0</v>
      </c>
    </row>
    <row r="155" spans="1:4" x14ac:dyDescent="0.25">
      <c r="A155">
        <v>0</v>
      </c>
      <c r="B155">
        <v>0</v>
      </c>
      <c r="C155">
        <v>0</v>
      </c>
      <c r="D155">
        <v>0</v>
      </c>
    </row>
    <row r="156" spans="1:4" x14ac:dyDescent="0.25">
      <c r="A156">
        <v>0</v>
      </c>
      <c r="B156">
        <v>0</v>
      </c>
      <c r="C156">
        <v>0</v>
      </c>
      <c r="D156">
        <v>0</v>
      </c>
    </row>
    <row r="157" spans="1:4" x14ac:dyDescent="0.25">
      <c r="A157">
        <v>0</v>
      </c>
      <c r="B157">
        <v>0</v>
      </c>
      <c r="C157">
        <v>0</v>
      </c>
      <c r="D157">
        <v>0</v>
      </c>
    </row>
    <row r="158" spans="1:4" x14ac:dyDescent="0.25">
      <c r="A158">
        <v>0</v>
      </c>
      <c r="B158">
        <v>0</v>
      </c>
      <c r="C158">
        <v>0</v>
      </c>
      <c r="D158">
        <v>0</v>
      </c>
    </row>
    <row r="159" spans="1:4" x14ac:dyDescent="0.25">
      <c r="A159">
        <v>0</v>
      </c>
      <c r="B159">
        <v>0</v>
      </c>
      <c r="C159">
        <v>0</v>
      </c>
      <c r="D159">
        <v>0</v>
      </c>
    </row>
    <row r="160" spans="1:4" x14ac:dyDescent="0.25">
      <c r="A160">
        <v>0</v>
      </c>
      <c r="B160">
        <v>0</v>
      </c>
      <c r="C160">
        <v>0</v>
      </c>
      <c r="D160">
        <v>0</v>
      </c>
    </row>
    <row r="161" spans="1:4" x14ac:dyDescent="0.25">
      <c r="A161">
        <v>0</v>
      </c>
      <c r="B161">
        <v>0</v>
      </c>
      <c r="C161">
        <v>0</v>
      </c>
      <c r="D161">
        <v>0</v>
      </c>
    </row>
    <row r="162" spans="1:4" x14ac:dyDescent="0.25">
      <c r="A162">
        <v>0</v>
      </c>
      <c r="B162">
        <v>0</v>
      </c>
      <c r="C162">
        <v>0</v>
      </c>
      <c r="D162">
        <v>0</v>
      </c>
    </row>
    <row r="163" spans="1:4" x14ac:dyDescent="0.25">
      <c r="A163">
        <v>0</v>
      </c>
      <c r="B163">
        <v>0</v>
      </c>
      <c r="C163">
        <v>0</v>
      </c>
      <c r="D163">
        <v>0</v>
      </c>
    </row>
    <row r="164" spans="1:4" x14ac:dyDescent="0.25">
      <c r="A164">
        <v>0</v>
      </c>
      <c r="B164">
        <v>0</v>
      </c>
      <c r="C164">
        <v>0</v>
      </c>
      <c r="D164">
        <v>0</v>
      </c>
    </row>
    <row r="165" spans="1:4" x14ac:dyDescent="0.25">
      <c r="A165">
        <v>0</v>
      </c>
      <c r="B165">
        <v>0</v>
      </c>
      <c r="C165">
        <v>0</v>
      </c>
      <c r="D165">
        <v>0</v>
      </c>
    </row>
    <row r="166" spans="1:4" x14ac:dyDescent="0.25">
      <c r="A166">
        <v>0</v>
      </c>
      <c r="B166">
        <v>0</v>
      </c>
      <c r="C166">
        <v>0</v>
      </c>
      <c r="D166">
        <v>0</v>
      </c>
    </row>
    <row r="167" spans="1:4" x14ac:dyDescent="0.25">
      <c r="A167">
        <v>0</v>
      </c>
      <c r="B167">
        <v>0</v>
      </c>
      <c r="C167">
        <v>0</v>
      </c>
      <c r="D167">
        <v>0</v>
      </c>
    </row>
    <row r="168" spans="1:4" x14ac:dyDescent="0.25">
      <c r="A168">
        <v>0</v>
      </c>
      <c r="B168">
        <v>0</v>
      </c>
      <c r="C168">
        <v>0</v>
      </c>
      <c r="D168">
        <v>0</v>
      </c>
    </row>
    <row r="169" spans="1:4" x14ac:dyDescent="0.25">
      <c r="A169">
        <v>0</v>
      </c>
      <c r="B169">
        <v>0</v>
      </c>
      <c r="C169">
        <v>0</v>
      </c>
      <c r="D169">
        <v>0</v>
      </c>
    </row>
    <row r="170" spans="1:4" x14ac:dyDescent="0.25">
      <c r="A170">
        <v>0</v>
      </c>
      <c r="B170">
        <v>0</v>
      </c>
      <c r="C170">
        <v>0</v>
      </c>
      <c r="D170">
        <v>0</v>
      </c>
    </row>
    <row r="171" spans="1:4" x14ac:dyDescent="0.25">
      <c r="A171">
        <v>0</v>
      </c>
      <c r="B171">
        <v>0</v>
      </c>
      <c r="C171">
        <v>0</v>
      </c>
      <c r="D171">
        <v>0</v>
      </c>
    </row>
    <row r="172" spans="1:4" x14ac:dyDescent="0.25">
      <c r="A172">
        <v>0</v>
      </c>
      <c r="B172">
        <v>0</v>
      </c>
      <c r="C172">
        <v>0</v>
      </c>
      <c r="D172">
        <v>0</v>
      </c>
    </row>
    <row r="173" spans="1:4" x14ac:dyDescent="0.25">
      <c r="A173">
        <v>0</v>
      </c>
      <c r="B173">
        <v>0</v>
      </c>
      <c r="C173">
        <v>0</v>
      </c>
      <c r="D173">
        <v>0</v>
      </c>
    </row>
    <row r="174" spans="1:4" x14ac:dyDescent="0.25">
      <c r="A174">
        <v>0</v>
      </c>
      <c r="B174">
        <v>0</v>
      </c>
      <c r="C174">
        <v>0</v>
      </c>
      <c r="D174">
        <v>0</v>
      </c>
    </row>
    <row r="175" spans="1:4" x14ac:dyDescent="0.25">
      <c r="A175">
        <v>0</v>
      </c>
      <c r="B175">
        <v>0</v>
      </c>
      <c r="C175">
        <v>0</v>
      </c>
      <c r="D175">
        <v>0</v>
      </c>
    </row>
    <row r="176" spans="1:4" x14ac:dyDescent="0.25">
      <c r="A176">
        <v>0</v>
      </c>
      <c r="B176">
        <v>0</v>
      </c>
      <c r="C176">
        <v>0</v>
      </c>
      <c r="D176">
        <v>0</v>
      </c>
    </row>
    <row r="177" spans="1:4" x14ac:dyDescent="0.25">
      <c r="A177">
        <v>0</v>
      </c>
      <c r="B177">
        <v>0</v>
      </c>
      <c r="C177">
        <v>0</v>
      </c>
      <c r="D177">
        <v>0</v>
      </c>
    </row>
    <row r="178" spans="1:4" x14ac:dyDescent="0.25">
      <c r="A178">
        <v>0</v>
      </c>
      <c r="B178">
        <v>0</v>
      </c>
      <c r="C178">
        <v>0</v>
      </c>
      <c r="D178">
        <v>0</v>
      </c>
    </row>
    <row r="179" spans="1:4" x14ac:dyDescent="0.25">
      <c r="A179">
        <v>0</v>
      </c>
      <c r="B179">
        <v>0</v>
      </c>
      <c r="C179">
        <v>0</v>
      </c>
      <c r="D179">
        <v>0</v>
      </c>
    </row>
    <row r="180" spans="1:4" x14ac:dyDescent="0.25">
      <c r="A180">
        <v>0</v>
      </c>
      <c r="B180">
        <v>0</v>
      </c>
      <c r="C180">
        <v>0</v>
      </c>
      <c r="D180">
        <v>0</v>
      </c>
    </row>
    <row r="181" spans="1:4" x14ac:dyDescent="0.25">
      <c r="A181">
        <v>0</v>
      </c>
      <c r="B181">
        <v>0</v>
      </c>
      <c r="C181">
        <v>0</v>
      </c>
      <c r="D181">
        <v>0</v>
      </c>
    </row>
    <row r="182" spans="1:4" x14ac:dyDescent="0.25">
      <c r="A182">
        <v>0</v>
      </c>
      <c r="B182">
        <v>0</v>
      </c>
      <c r="C182">
        <v>0</v>
      </c>
      <c r="D182">
        <v>0</v>
      </c>
    </row>
    <row r="183" spans="1:4" x14ac:dyDescent="0.25">
      <c r="A183">
        <v>0</v>
      </c>
      <c r="B183">
        <v>0</v>
      </c>
      <c r="C183">
        <v>0</v>
      </c>
      <c r="D183">
        <v>0</v>
      </c>
    </row>
    <row r="184" spans="1:4" x14ac:dyDescent="0.25">
      <c r="A184">
        <v>0</v>
      </c>
      <c r="B184">
        <v>0</v>
      </c>
      <c r="C184">
        <v>0</v>
      </c>
      <c r="D184">
        <v>0</v>
      </c>
    </row>
    <row r="185" spans="1:4" x14ac:dyDescent="0.25">
      <c r="A185">
        <v>0</v>
      </c>
      <c r="B185">
        <v>0</v>
      </c>
      <c r="C185">
        <v>0</v>
      </c>
      <c r="D185">
        <v>0</v>
      </c>
    </row>
    <row r="186" spans="1:4" x14ac:dyDescent="0.25">
      <c r="A186">
        <v>0</v>
      </c>
      <c r="B186">
        <v>0</v>
      </c>
      <c r="C186">
        <v>0</v>
      </c>
      <c r="D186">
        <v>0</v>
      </c>
    </row>
    <row r="187" spans="1:4" x14ac:dyDescent="0.25">
      <c r="A187">
        <v>0</v>
      </c>
      <c r="B187">
        <v>0</v>
      </c>
      <c r="C187">
        <v>0</v>
      </c>
      <c r="D187">
        <v>0</v>
      </c>
    </row>
    <row r="188" spans="1:4" x14ac:dyDescent="0.25">
      <c r="A188">
        <v>0</v>
      </c>
      <c r="B188">
        <v>0</v>
      </c>
      <c r="C188">
        <v>0</v>
      </c>
      <c r="D188">
        <v>0</v>
      </c>
    </row>
    <row r="189" spans="1:4" x14ac:dyDescent="0.25">
      <c r="A189">
        <v>0</v>
      </c>
      <c r="B189">
        <v>0</v>
      </c>
      <c r="C189">
        <v>0</v>
      </c>
      <c r="D189">
        <v>0</v>
      </c>
    </row>
    <row r="190" spans="1:4" x14ac:dyDescent="0.25">
      <c r="A190">
        <v>0</v>
      </c>
      <c r="B190">
        <v>0</v>
      </c>
      <c r="C190">
        <v>0</v>
      </c>
      <c r="D190">
        <v>0</v>
      </c>
    </row>
    <row r="191" spans="1:4" x14ac:dyDescent="0.25">
      <c r="A191">
        <v>0</v>
      </c>
      <c r="B191">
        <v>0</v>
      </c>
      <c r="C191">
        <v>0</v>
      </c>
      <c r="D191">
        <v>0</v>
      </c>
    </row>
    <row r="192" spans="1:4" x14ac:dyDescent="0.25">
      <c r="A192">
        <v>0</v>
      </c>
      <c r="B192">
        <v>0</v>
      </c>
      <c r="C192">
        <v>0</v>
      </c>
      <c r="D192">
        <v>0</v>
      </c>
    </row>
    <row r="193" spans="1:4" x14ac:dyDescent="0.25">
      <c r="A193">
        <v>0</v>
      </c>
      <c r="B193">
        <v>0</v>
      </c>
      <c r="C193">
        <v>0</v>
      </c>
      <c r="D193">
        <v>0</v>
      </c>
    </row>
    <row r="194" spans="1:4" x14ac:dyDescent="0.25">
      <c r="A194">
        <v>0</v>
      </c>
      <c r="B194">
        <v>0</v>
      </c>
      <c r="C194">
        <v>0</v>
      </c>
      <c r="D194">
        <v>0</v>
      </c>
    </row>
    <row r="195" spans="1:4" x14ac:dyDescent="0.25">
      <c r="A195">
        <v>0</v>
      </c>
      <c r="B195">
        <v>0</v>
      </c>
      <c r="C195">
        <v>0</v>
      </c>
      <c r="D195">
        <v>0</v>
      </c>
    </row>
    <row r="196" spans="1:4" x14ac:dyDescent="0.25">
      <c r="A196">
        <v>0</v>
      </c>
      <c r="B196">
        <v>0</v>
      </c>
      <c r="C196">
        <v>0</v>
      </c>
      <c r="D196">
        <v>0</v>
      </c>
    </row>
    <row r="197" spans="1:4" x14ac:dyDescent="0.25">
      <c r="A197">
        <v>0</v>
      </c>
      <c r="B197">
        <v>0</v>
      </c>
      <c r="C197">
        <v>0</v>
      </c>
      <c r="D197">
        <v>0</v>
      </c>
    </row>
    <row r="198" spans="1:4" x14ac:dyDescent="0.25">
      <c r="A198">
        <v>0</v>
      </c>
      <c r="B198">
        <v>0</v>
      </c>
      <c r="C198">
        <v>0</v>
      </c>
      <c r="D198">
        <v>0</v>
      </c>
    </row>
    <row r="199" spans="1:4" x14ac:dyDescent="0.25">
      <c r="A199">
        <v>0</v>
      </c>
      <c r="B199">
        <v>0</v>
      </c>
      <c r="C199">
        <v>0</v>
      </c>
      <c r="D199">
        <v>0</v>
      </c>
    </row>
    <row r="200" spans="1:4" x14ac:dyDescent="0.25">
      <c r="A200">
        <v>0</v>
      </c>
      <c r="B200">
        <v>0</v>
      </c>
      <c r="C200">
        <v>0</v>
      </c>
      <c r="D200">
        <v>0</v>
      </c>
    </row>
    <row r="201" spans="1:4" x14ac:dyDescent="0.25">
      <c r="A201">
        <v>0</v>
      </c>
      <c r="B201">
        <v>0</v>
      </c>
      <c r="C201">
        <v>0</v>
      </c>
      <c r="D201">
        <v>0</v>
      </c>
    </row>
    <row r="202" spans="1:4" x14ac:dyDescent="0.25">
      <c r="A202">
        <v>0</v>
      </c>
      <c r="B202">
        <v>0</v>
      </c>
      <c r="C202">
        <v>0</v>
      </c>
      <c r="D202">
        <v>0</v>
      </c>
    </row>
    <row r="203" spans="1:4" x14ac:dyDescent="0.25">
      <c r="A203">
        <v>0</v>
      </c>
      <c r="B203">
        <v>0</v>
      </c>
      <c r="C203">
        <v>0</v>
      </c>
      <c r="D203">
        <v>0</v>
      </c>
    </row>
    <row r="204" spans="1:4" x14ac:dyDescent="0.25">
      <c r="A204">
        <v>0</v>
      </c>
      <c r="B204">
        <v>0</v>
      </c>
      <c r="C204">
        <v>0</v>
      </c>
      <c r="D204">
        <v>0</v>
      </c>
    </row>
    <row r="205" spans="1:4" x14ac:dyDescent="0.25">
      <c r="A205">
        <v>0</v>
      </c>
      <c r="B205">
        <v>0</v>
      </c>
      <c r="C205">
        <v>0</v>
      </c>
      <c r="D205">
        <v>0</v>
      </c>
    </row>
    <row r="206" spans="1:4" x14ac:dyDescent="0.25">
      <c r="A206">
        <v>0</v>
      </c>
      <c r="B206">
        <v>0</v>
      </c>
      <c r="C206">
        <v>0</v>
      </c>
      <c r="D206">
        <v>0</v>
      </c>
    </row>
    <row r="207" spans="1:4" x14ac:dyDescent="0.25">
      <c r="A207">
        <v>0</v>
      </c>
      <c r="B207">
        <v>0</v>
      </c>
      <c r="C207">
        <v>0</v>
      </c>
      <c r="D207">
        <v>0</v>
      </c>
    </row>
    <row r="208" spans="1:4" x14ac:dyDescent="0.25">
      <c r="A208">
        <v>0</v>
      </c>
      <c r="B208">
        <v>0</v>
      </c>
      <c r="C208">
        <v>0</v>
      </c>
      <c r="D208">
        <v>0</v>
      </c>
    </row>
    <row r="209" spans="1:4" x14ac:dyDescent="0.25">
      <c r="A209">
        <v>0</v>
      </c>
      <c r="B209">
        <v>0</v>
      </c>
      <c r="C209">
        <v>0</v>
      </c>
      <c r="D209">
        <v>0</v>
      </c>
    </row>
    <row r="210" spans="1:4" x14ac:dyDescent="0.25">
      <c r="A210">
        <v>0</v>
      </c>
      <c r="B210">
        <v>0</v>
      </c>
      <c r="C210">
        <v>0</v>
      </c>
      <c r="D210">
        <v>0</v>
      </c>
    </row>
    <row r="211" spans="1:4" x14ac:dyDescent="0.25">
      <c r="A211">
        <v>0</v>
      </c>
      <c r="B211">
        <v>0</v>
      </c>
      <c r="C211">
        <v>0</v>
      </c>
      <c r="D211">
        <v>0</v>
      </c>
    </row>
    <row r="212" spans="1:4" x14ac:dyDescent="0.25">
      <c r="A212">
        <v>0</v>
      </c>
      <c r="B212">
        <v>0</v>
      </c>
      <c r="C212">
        <v>0</v>
      </c>
      <c r="D212">
        <v>0</v>
      </c>
    </row>
    <row r="213" spans="1:4" x14ac:dyDescent="0.25">
      <c r="A213">
        <v>0</v>
      </c>
      <c r="B213">
        <v>0</v>
      </c>
      <c r="C213">
        <v>0</v>
      </c>
      <c r="D213">
        <v>0</v>
      </c>
    </row>
    <row r="214" spans="1:4" x14ac:dyDescent="0.25">
      <c r="A214">
        <v>0</v>
      </c>
      <c r="B214">
        <v>0</v>
      </c>
      <c r="C214">
        <v>0</v>
      </c>
      <c r="D214">
        <v>0</v>
      </c>
    </row>
    <row r="215" spans="1:4" x14ac:dyDescent="0.25">
      <c r="A215">
        <v>0</v>
      </c>
      <c r="B215">
        <v>0</v>
      </c>
      <c r="C215">
        <v>0</v>
      </c>
      <c r="D215">
        <v>0</v>
      </c>
    </row>
    <row r="216" spans="1:4" x14ac:dyDescent="0.25">
      <c r="A216">
        <v>0</v>
      </c>
      <c r="B216">
        <v>0</v>
      </c>
      <c r="C216">
        <v>0</v>
      </c>
      <c r="D216">
        <v>0</v>
      </c>
    </row>
    <row r="217" spans="1:4" x14ac:dyDescent="0.25">
      <c r="A217">
        <v>0</v>
      </c>
      <c r="B217">
        <v>0</v>
      </c>
      <c r="C217">
        <v>0</v>
      </c>
      <c r="D217">
        <v>0</v>
      </c>
    </row>
    <row r="218" spans="1:4" x14ac:dyDescent="0.25">
      <c r="A218">
        <v>0</v>
      </c>
      <c r="B218">
        <v>0</v>
      </c>
      <c r="C218">
        <v>0</v>
      </c>
      <c r="D218">
        <v>0</v>
      </c>
    </row>
    <row r="219" spans="1:4" x14ac:dyDescent="0.25">
      <c r="A219">
        <v>0</v>
      </c>
      <c r="B219">
        <v>0</v>
      </c>
      <c r="C219">
        <v>0</v>
      </c>
      <c r="D219">
        <v>0</v>
      </c>
    </row>
    <row r="220" spans="1:4" x14ac:dyDescent="0.25">
      <c r="A220">
        <v>0</v>
      </c>
      <c r="B220">
        <v>0</v>
      </c>
      <c r="C220">
        <v>0</v>
      </c>
      <c r="D220">
        <v>0</v>
      </c>
    </row>
    <row r="221" spans="1:4" x14ac:dyDescent="0.25">
      <c r="A221">
        <v>0</v>
      </c>
      <c r="B221">
        <v>0</v>
      </c>
      <c r="C221">
        <v>0</v>
      </c>
      <c r="D221">
        <v>0</v>
      </c>
    </row>
    <row r="222" spans="1:4" x14ac:dyDescent="0.25">
      <c r="A222">
        <v>0</v>
      </c>
      <c r="B222">
        <v>0</v>
      </c>
      <c r="C222">
        <v>0</v>
      </c>
      <c r="D222">
        <v>0</v>
      </c>
    </row>
    <row r="223" spans="1:4" x14ac:dyDescent="0.25">
      <c r="A223">
        <v>0</v>
      </c>
      <c r="B223">
        <v>0</v>
      </c>
      <c r="C223">
        <v>0</v>
      </c>
      <c r="D223">
        <v>0</v>
      </c>
    </row>
    <row r="224" spans="1:4" x14ac:dyDescent="0.25">
      <c r="A224">
        <v>0</v>
      </c>
      <c r="B224">
        <v>0</v>
      </c>
      <c r="C224">
        <v>0</v>
      </c>
      <c r="D224">
        <v>0</v>
      </c>
    </row>
    <row r="225" spans="1:4" x14ac:dyDescent="0.25">
      <c r="A225">
        <v>0</v>
      </c>
      <c r="B225">
        <v>0</v>
      </c>
      <c r="C225">
        <v>0</v>
      </c>
      <c r="D225">
        <v>0</v>
      </c>
    </row>
    <row r="226" spans="1:4" x14ac:dyDescent="0.25">
      <c r="A226">
        <v>0</v>
      </c>
      <c r="B226">
        <v>0</v>
      </c>
      <c r="C226">
        <v>0</v>
      </c>
      <c r="D226">
        <v>0</v>
      </c>
    </row>
    <row r="227" spans="1:4" x14ac:dyDescent="0.25">
      <c r="A227">
        <v>0</v>
      </c>
      <c r="B227">
        <v>0</v>
      </c>
      <c r="C227">
        <v>0</v>
      </c>
      <c r="D227">
        <v>0</v>
      </c>
    </row>
    <row r="228" spans="1:4" x14ac:dyDescent="0.25">
      <c r="A228">
        <v>0</v>
      </c>
      <c r="B228">
        <v>0</v>
      </c>
      <c r="C228">
        <v>0</v>
      </c>
      <c r="D228">
        <v>0</v>
      </c>
    </row>
    <row r="229" spans="1:4" x14ac:dyDescent="0.25">
      <c r="A229">
        <v>0</v>
      </c>
      <c r="B229">
        <v>0</v>
      </c>
      <c r="C229">
        <v>0</v>
      </c>
      <c r="D229">
        <v>0</v>
      </c>
    </row>
    <row r="230" spans="1:4" x14ac:dyDescent="0.25">
      <c r="A230">
        <v>0</v>
      </c>
      <c r="B230">
        <v>0</v>
      </c>
      <c r="C230">
        <v>0</v>
      </c>
      <c r="D230">
        <v>0</v>
      </c>
    </row>
    <row r="231" spans="1:4" x14ac:dyDescent="0.25">
      <c r="A231">
        <v>0</v>
      </c>
      <c r="B231">
        <v>0</v>
      </c>
      <c r="C231">
        <v>0</v>
      </c>
      <c r="D231">
        <v>0</v>
      </c>
    </row>
    <row r="232" spans="1:4" x14ac:dyDescent="0.25">
      <c r="A232">
        <v>0</v>
      </c>
      <c r="B232">
        <v>0</v>
      </c>
      <c r="C232">
        <v>0</v>
      </c>
      <c r="D232">
        <v>0</v>
      </c>
    </row>
    <row r="233" spans="1:4" x14ac:dyDescent="0.25">
      <c r="A233">
        <v>0</v>
      </c>
      <c r="B233">
        <v>0</v>
      </c>
      <c r="C233">
        <v>0</v>
      </c>
      <c r="D233">
        <v>0</v>
      </c>
    </row>
    <row r="234" spans="1:4" x14ac:dyDescent="0.25">
      <c r="A234">
        <v>0</v>
      </c>
      <c r="B234">
        <v>0</v>
      </c>
      <c r="C234">
        <v>0</v>
      </c>
      <c r="D234">
        <v>0</v>
      </c>
    </row>
    <row r="235" spans="1:4" x14ac:dyDescent="0.25">
      <c r="A235">
        <v>0</v>
      </c>
      <c r="B235">
        <v>0</v>
      </c>
      <c r="C235">
        <v>0</v>
      </c>
      <c r="D235">
        <v>0</v>
      </c>
    </row>
    <row r="236" spans="1:4" x14ac:dyDescent="0.25">
      <c r="A236">
        <v>0</v>
      </c>
      <c r="B236">
        <v>0</v>
      </c>
      <c r="C236">
        <v>0</v>
      </c>
      <c r="D236">
        <v>0</v>
      </c>
    </row>
    <row r="237" spans="1:4" x14ac:dyDescent="0.25">
      <c r="A237">
        <v>0</v>
      </c>
      <c r="B237">
        <v>0</v>
      </c>
      <c r="C237">
        <v>0</v>
      </c>
      <c r="D237">
        <v>0</v>
      </c>
    </row>
    <row r="238" spans="1:4" x14ac:dyDescent="0.25">
      <c r="A238">
        <v>0</v>
      </c>
      <c r="B238">
        <v>0</v>
      </c>
      <c r="C238">
        <v>0</v>
      </c>
      <c r="D238">
        <v>0</v>
      </c>
    </row>
    <row r="239" spans="1:4" x14ac:dyDescent="0.25">
      <c r="A239">
        <v>0</v>
      </c>
      <c r="B239">
        <v>0</v>
      </c>
      <c r="C239">
        <v>0</v>
      </c>
      <c r="D239">
        <v>0</v>
      </c>
    </row>
    <row r="240" spans="1:4" x14ac:dyDescent="0.25">
      <c r="A240">
        <v>0</v>
      </c>
      <c r="B240">
        <v>0</v>
      </c>
      <c r="C240">
        <v>0</v>
      </c>
      <c r="D240">
        <v>0</v>
      </c>
    </row>
    <row r="241" spans="1:4" x14ac:dyDescent="0.25">
      <c r="A241">
        <v>0</v>
      </c>
      <c r="B241">
        <v>0</v>
      </c>
      <c r="C241">
        <v>0</v>
      </c>
      <c r="D241">
        <v>0</v>
      </c>
    </row>
    <row r="242" spans="1:4" x14ac:dyDescent="0.25">
      <c r="A242">
        <v>0</v>
      </c>
      <c r="B242">
        <v>0</v>
      </c>
      <c r="C242">
        <v>0</v>
      </c>
      <c r="D242">
        <v>0</v>
      </c>
    </row>
    <row r="243" spans="1:4" x14ac:dyDescent="0.25">
      <c r="A243">
        <v>0</v>
      </c>
      <c r="B243">
        <v>0</v>
      </c>
      <c r="C243">
        <v>0</v>
      </c>
      <c r="D243">
        <v>0</v>
      </c>
    </row>
    <row r="244" spans="1:4" x14ac:dyDescent="0.25">
      <c r="A244">
        <v>0</v>
      </c>
      <c r="B244">
        <v>0</v>
      </c>
      <c r="C244">
        <v>0</v>
      </c>
      <c r="D244">
        <v>0</v>
      </c>
    </row>
    <row r="245" spans="1:4" x14ac:dyDescent="0.25">
      <c r="A245">
        <v>0</v>
      </c>
      <c r="B245">
        <v>0</v>
      </c>
      <c r="C245">
        <v>0</v>
      </c>
      <c r="D245">
        <v>0</v>
      </c>
    </row>
    <row r="246" spans="1:4" x14ac:dyDescent="0.25">
      <c r="A246">
        <v>0</v>
      </c>
      <c r="B246">
        <v>0</v>
      </c>
      <c r="C246">
        <v>0</v>
      </c>
      <c r="D246">
        <v>0</v>
      </c>
    </row>
    <row r="247" spans="1:4" x14ac:dyDescent="0.25">
      <c r="A247">
        <v>0</v>
      </c>
      <c r="B247">
        <v>0</v>
      </c>
      <c r="C247">
        <v>0</v>
      </c>
      <c r="D247">
        <v>0</v>
      </c>
    </row>
    <row r="248" spans="1:4" x14ac:dyDescent="0.25">
      <c r="A248">
        <v>0</v>
      </c>
      <c r="B248">
        <v>0</v>
      </c>
      <c r="C248">
        <v>0</v>
      </c>
      <c r="D248">
        <v>0</v>
      </c>
    </row>
    <row r="249" spans="1:4" x14ac:dyDescent="0.25">
      <c r="A249">
        <v>0</v>
      </c>
      <c r="B249">
        <v>0</v>
      </c>
      <c r="C249">
        <v>0</v>
      </c>
      <c r="D249">
        <v>0</v>
      </c>
    </row>
    <row r="250" spans="1:4" x14ac:dyDescent="0.25">
      <c r="A250">
        <v>0</v>
      </c>
      <c r="B250">
        <v>0</v>
      </c>
      <c r="C250">
        <v>0</v>
      </c>
      <c r="D250">
        <v>0</v>
      </c>
    </row>
    <row r="251" spans="1:4" x14ac:dyDescent="0.25">
      <c r="A251">
        <v>0</v>
      </c>
      <c r="B251">
        <v>0</v>
      </c>
      <c r="C251">
        <v>0</v>
      </c>
      <c r="D251">
        <v>0</v>
      </c>
    </row>
    <row r="252" spans="1:4" x14ac:dyDescent="0.25">
      <c r="A252">
        <v>0</v>
      </c>
      <c r="B252">
        <v>0</v>
      </c>
      <c r="C252">
        <v>0</v>
      </c>
      <c r="D252">
        <v>0</v>
      </c>
    </row>
    <row r="253" spans="1:4" x14ac:dyDescent="0.25">
      <c r="A253">
        <v>0</v>
      </c>
      <c r="B253">
        <v>0</v>
      </c>
      <c r="C253">
        <v>0</v>
      </c>
      <c r="D253">
        <v>0</v>
      </c>
    </row>
    <row r="254" spans="1:4" x14ac:dyDescent="0.25">
      <c r="A254">
        <v>0</v>
      </c>
      <c r="B254">
        <v>0</v>
      </c>
      <c r="C254">
        <v>0</v>
      </c>
      <c r="D254">
        <v>0</v>
      </c>
    </row>
    <row r="255" spans="1:4" x14ac:dyDescent="0.25">
      <c r="A255">
        <v>0</v>
      </c>
      <c r="B255">
        <v>0</v>
      </c>
      <c r="C255">
        <v>0</v>
      </c>
      <c r="D255">
        <v>0</v>
      </c>
    </row>
    <row r="256" spans="1:4" x14ac:dyDescent="0.25">
      <c r="A256">
        <v>0</v>
      </c>
      <c r="B256">
        <v>0</v>
      </c>
      <c r="C256">
        <v>0</v>
      </c>
      <c r="D256">
        <v>0</v>
      </c>
    </row>
    <row r="257" spans="1:4" x14ac:dyDescent="0.25">
      <c r="A257">
        <v>0</v>
      </c>
      <c r="B257">
        <v>0</v>
      </c>
      <c r="C257">
        <v>0</v>
      </c>
      <c r="D257">
        <v>0</v>
      </c>
    </row>
    <row r="258" spans="1:4" x14ac:dyDescent="0.25">
      <c r="A258">
        <v>0</v>
      </c>
      <c r="B258">
        <v>0</v>
      </c>
      <c r="C258">
        <v>0</v>
      </c>
      <c r="D258">
        <v>0</v>
      </c>
    </row>
    <row r="259" spans="1:4" x14ac:dyDescent="0.25">
      <c r="A259">
        <v>0</v>
      </c>
      <c r="B259">
        <v>0</v>
      </c>
      <c r="C259">
        <v>0</v>
      </c>
      <c r="D259">
        <v>0</v>
      </c>
    </row>
    <row r="260" spans="1:4" x14ac:dyDescent="0.25">
      <c r="A260">
        <v>0</v>
      </c>
      <c r="B260">
        <v>0</v>
      </c>
      <c r="C260">
        <v>0</v>
      </c>
      <c r="D260">
        <v>0</v>
      </c>
    </row>
    <row r="261" spans="1:4" x14ac:dyDescent="0.25">
      <c r="A261">
        <v>0</v>
      </c>
      <c r="B261">
        <v>0</v>
      </c>
      <c r="C261">
        <v>0</v>
      </c>
      <c r="D261">
        <v>0</v>
      </c>
    </row>
    <row r="262" spans="1:4" x14ac:dyDescent="0.25">
      <c r="A262">
        <v>0</v>
      </c>
      <c r="B262">
        <v>0</v>
      </c>
      <c r="C262">
        <v>0</v>
      </c>
      <c r="D262">
        <v>0</v>
      </c>
    </row>
    <row r="263" spans="1:4" x14ac:dyDescent="0.25">
      <c r="A263">
        <v>0</v>
      </c>
      <c r="B263">
        <v>0</v>
      </c>
      <c r="C263">
        <v>0</v>
      </c>
      <c r="D263">
        <v>0</v>
      </c>
    </row>
    <row r="264" spans="1:4" x14ac:dyDescent="0.25">
      <c r="A264">
        <v>0</v>
      </c>
      <c r="B264">
        <v>0</v>
      </c>
      <c r="C264">
        <v>0</v>
      </c>
      <c r="D264">
        <v>0</v>
      </c>
    </row>
    <row r="265" spans="1:4" x14ac:dyDescent="0.25">
      <c r="A265">
        <v>0</v>
      </c>
      <c r="B265">
        <v>0</v>
      </c>
      <c r="C265">
        <v>0</v>
      </c>
      <c r="D265">
        <v>0</v>
      </c>
    </row>
    <row r="266" spans="1:4" x14ac:dyDescent="0.25">
      <c r="A266">
        <v>0</v>
      </c>
      <c r="B266">
        <v>0</v>
      </c>
      <c r="C266">
        <v>0</v>
      </c>
      <c r="D266">
        <v>0</v>
      </c>
    </row>
    <row r="267" spans="1:4" x14ac:dyDescent="0.25">
      <c r="A267">
        <v>0</v>
      </c>
      <c r="B267">
        <v>0</v>
      </c>
      <c r="C267">
        <v>0</v>
      </c>
      <c r="D267">
        <v>0</v>
      </c>
    </row>
    <row r="268" spans="1:4" x14ac:dyDescent="0.25">
      <c r="A268">
        <v>0</v>
      </c>
      <c r="B268">
        <v>0</v>
      </c>
      <c r="C268">
        <v>0</v>
      </c>
      <c r="D268">
        <v>0</v>
      </c>
    </row>
    <row r="269" spans="1:4" x14ac:dyDescent="0.25">
      <c r="A269">
        <v>0</v>
      </c>
      <c r="B269">
        <v>0</v>
      </c>
      <c r="C269">
        <v>0</v>
      </c>
      <c r="D269">
        <v>0</v>
      </c>
    </row>
    <row r="270" spans="1:4" x14ac:dyDescent="0.25">
      <c r="A270">
        <v>0</v>
      </c>
      <c r="B270">
        <v>0</v>
      </c>
      <c r="C270">
        <v>0</v>
      </c>
      <c r="D270">
        <v>0</v>
      </c>
    </row>
    <row r="271" spans="1:4" x14ac:dyDescent="0.25">
      <c r="A271">
        <v>0</v>
      </c>
      <c r="B271">
        <v>0</v>
      </c>
      <c r="C271">
        <v>0</v>
      </c>
      <c r="D271">
        <v>0</v>
      </c>
    </row>
    <row r="272" spans="1:4" x14ac:dyDescent="0.25">
      <c r="A272">
        <v>0</v>
      </c>
      <c r="B272">
        <v>0</v>
      </c>
      <c r="C272">
        <v>0</v>
      </c>
      <c r="D272">
        <v>0</v>
      </c>
    </row>
    <row r="273" spans="1:4" x14ac:dyDescent="0.25">
      <c r="A273">
        <v>0</v>
      </c>
      <c r="B273">
        <v>0</v>
      </c>
      <c r="C273">
        <v>0</v>
      </c>
      <c r="D273">
        <v>0</v>
      </c>
    </row>
    <row r="274" spans="1:4" x14ac:dyDescent="0.25">
      <c r="A274">
        <v>0</v>
      </c>
      <c r="B274">
        <v>0</v>
      </c>
      <c r="C274">
        <v>0</v>
      </c>
      <c r="D274">
        <v>0</v>
      </c>
    </row>
    <row r="275" spans="1:4" x14ac:dyDescent="0.25">
      <c r="A275">
        <v>0</v>
      </c>
      <c r="B275">
        <v>0</v>
      </c>
      <c r="C275">
        <v>0</v>
      </c>
      <c r="D275">
        <v>0</v>
      </c>
    </row>
    <row r="276" spans="1:4" x14ac:dyDescent="0.25">
      <c r="A276">
        <v>0</v>
      </c>
      <c r="B276">
        <v>0</v>
      </c>
      <c r="C276">
        <v>0</v>
      </c>
      <c r="D276">
        <v>0</v>
      </c>
    </row>
    <row r="277" spans="1:4" x14ac:dyDescent="0.25">
      <c r="A277">
        <v>0</v>
      </c>
      <c r="B277">
        <v>0</v>
      </c>
      <c r="C277">
        <v>0</v>
      </c>
      <c r="D277">
        <v>0</v>
      </c>
    </row>
    <row r="278" spans="1:4" x14ac:dyDescent="0.25">
      <c r="A278">
        <v>0</v>
      </c>
      <c r="B278">
        <v>0</v>
      </c>
      <c r="C278">
        <v>0</v>
      </c>
      <c r="D278">
        <v>0</v>
      </c>
    </row>
    <row r="279" spans="1:4" x14ac:dyDescent="0.25">
      <c r="A279">
        <v>0</v>
      </c>
      <c r="B279">
        <v>0</v>
      </c>
      <c r="C279">
        <v>0</v>
      </c>
      <c r="D279">
        <v>0</v>
      </c>
    </row>
    <row r="280" spans="1:4" x14ac:dyDescent="0.25">
      <c r="A280">
        <v>0</v>
      </c>
      <c r="B280">
        <v>0</v>
      </c>
      <c r="C280">
        <v>0</v>
      </c>
      <c r="D280">
        <v>0</v>
      </c>
    </row>
    <row r="281" spans="1:4" x14ac:dyDescent="0.25">
      <c r="A281">
        <v>0</v>
      </c>
      <c r="B281">
        <v>0</v>
      </c>
      <c r="C281">
        <v>0</v>
      </c>
      <c r="D281">
        <v>0</v>
      </c>
    </row>
    <row r="282" spans="1:4" x14ac:dyDescent="0.25">
      <c r="A282">
        <v>0</v>
      </c>
      <c r="B282">
        <v>0</v>
      </c>
      <c r="C282">
        <v>0</v>
      </c>
      <c r="D282">
        <v>0</v>
      </c>
    </row>
    <row r="283" spans="1:4" x14ac:dyDescent="0.25">
      <c r="A283">
        <v>0</v>
      </c>
      <c r="B283">
        <v>0</v>
      </c>
      <c r="C283">
        <v>0</v>
      </c>
      <c r="D283">
        <v>0</v>
      </c>
    </row>
    <row r="284" spans="1:4" x14ac:dyDescent="0.25">
      <c r="A284">
        <v>0</v>
      </c>
      <c r="B284">
        <v>0</v>
      </c>
      <c r="C284">
        <v>0</v>
      </c>
      <c r="D284">
        <v>0</v>
      </c>
    </row>
    <row r="285" spans="1:4" x14ac:dyDescent="0.25">
      <c r="A285">
        <v>0</v>
      </c>
      <c r="B285">
        <v>0</v>
      </c>
      <c r="C285">
        <v>0</v>
      </c>
      <c r="D285">
        <v>0</v>
      </c>
    </row>
    <row r="286" spans="1:4" x14ac:dyDescent="0.25">
      <c r="A286">
        <v>0</v>
      </c>
      <c r="B286">
        <v>0</v>
      </c>
      <c r="C286">
        <v>0</v>
      </c>
      <c r="D286">
        <v>0</v>
      </c>
    </row>
    <row r="287" spans="1:4" x14ac:dyDescent="0.25">
      <c r="A287">
        <v>0</v>
      </c>
      <c r="B287">
        <v>0</v>
      </c>
      <c r="C287">
        <v>0</v>
      </c>
      <c r="D287">
        <v>0</v>
      </c>
    </row>
    <row r="288" spans="1:4" x14ac:dyDescent="0.25">
      <c r="A288">
        <v>0</v>
      </c>
      <c r="B288">
        <v>0</v>
      </c>
      <c r="C288">
        <v>0</v>
      </c>
      <c r="D288">
        <v>0</v>
      </c>
    </row>
    <row r="289" spans="1:4" x14ac:dyDescent="0.25">
      <c r="A289">
        <v>0</v>
      </c>
      <c r="B289">
        <v>0</v>
      </c>
      <c r="C289">
        <v>0</v>
      </c>
      <c r="D289">
        <v>0</v>
      </c>
    </row>
    <row r="290" spans="1:4" x14ac:dyDescent="0.25">
      <c r="A290">
        <v>0</v>
      </c>
      <c r="B290">
        <v>0</v>
      </c>
      <c r="C290">
        <v>0</v>
      </c>
      <c r="D290">
        <v>0</v>
      </c>
    </row>
    <row r="291" spans="1:4" x14ac:dyDescent="0.25">
      <c r="A291">
        <v>0</v>
      </c>
      <c r="B291">
        <v>0</v>
      </c>
      <c r="C291">
        <v>0</v>
      </c>
      <c r="D291">
        <v>0</v>
      </c>
    </row>
    <row r="292" spans="1:4" x14ac:dyDescent="0.25">
      <c r="A292">
        <v>0</v>
      </c>
      <c r="B292">
        <v>0</v>
      </c>
      <c r="C292">
        <v>0</v>
      </c>
      <c r="D292">
        <v>0</v>
      </c>
    </row>
    <row r="293" spans="1:4" x14ac:dyDescent="0.25">
      <c r="A293">
        <v>0</v>
      </c>
      <c r="B293">
        <v>0</v>
      </c>
      <c r="C293">
        <v>0</v>
      </c>
      <c r="D293">
        <v>0</v>
      </c>
    </row>
    <row r="294" spans="1:4" x14ac:dyDescent="0.25">
      <c r="A294">
        <v>0</v>
      </c>
      <c r="B294">
        <v>0</v>
      </c>
      <c r="C294">
        <v>0</v>
      </c>
      <c r="D294">
        <v>0</v>
      </c>
    </row>
    <row r="295" spans="1:4" x14ac:dyDescent="0.25">
      <c r="A295">
        <v>0</v>
      </c>
      <c r="B295">
        <v>0</v>
      </c>
      <c r="C295">
        <v>0</v>
      </c>
      <c r="D295">
        <v>0</v>
      </c>
    </row>
    <row r="296" spans="1:4" x14ac:dyDescent="0.25">
      <c r="A296">
        <v>0</v>
      </c>
      <c r="B296">
        <v>0</v>
      </c>
      <c r="C296">
        <v>0</v>
      </c>
      <c r="D296">
        <v>0</v>
      </c>
    </row>
    <row r="297" spans="1:4" x14ac:dyDescent="0.25">
      <c r="A297">
        <v>0</v>
      </c>
      <c r="B297">
        <v>0</v>
      </c>
      <c r="C297">
        <v>0</v>
      </c>
      <c r="D297">
        <v>0</v>
      </c>
    </row>
    <row r="298" spans="1:4" x14ac:dyDescent="0.25">
      <c r="A298">
        <v>0</v>
      </c>
      <c r="B298">
        <v>0</v>
      </c>
      <c r="C298">
        <v>0</v>
      </c>
      <c r="D298">
        <v>0</v>
      </c>
    </row>
    <row r="299" spans="1:4" x14ac:dyDescent="0.25">
      <c r="A299">
        <v>0</v>
      </c>
      <c r="B299">
        <v>0</v>
      </c>
      <c r="C299">
        <v>0</v>
      </c>
      <c r="D299">
        <v>0</v>
      </c>
    </row>
    <row r="300" spans="1:4" x14ac:dyDescent="0.25">
      <c r="A300">
        <v>0</v>
      </c>
      <c r="B300">
        <v>0</v>
      </c>
      <c r="C300">
        <v>0</v>
      </c>
      <c r="D300">
        <v>0</v>
      </c>
    </row>
    <row r="301" spans="1:4" x14ac:dyDescent="0.25">
      <c r="A301">
        <v>0</v>
      </c>
      <c r="B301">
        <v>0</v>
      </c>
      <c r="C301">
        <v>0</v>
      </c>
      <c r="D301">
        <v>0</v>
      </c>
    </row>
    <row r="302" spans="1:4" x14ac:dyDescent="0.25">
      <c r="A302">
        <v>0</v>
      </c>
      <c r="B302">
        <v>0</v>
      </c>
      <c r="C302">
        <v>0</v>
      </c>
      <c r="D302">
        <v>0</v>
      </c>
    </row>
    <row r="303" spans="1:4" x14ac:dyDescent="0.25">
      <c r="A303">
        <v>0</v>
      </c>
      <c r="B303">
        <v>0</v>
      </c>
      <c r="C303">
        <v>0</v>
      </c>
      <c r="D303">
        <v>0</v>
      </c>
    </row>
    <row r="304" spans="1:4" x14ac:dyDescent="0.25">
      <c r="A304">
        <v>0</v>
      </c>
      <c r="B304">
        <v>0</v>
      </c>
      <c r="C304">
        <v>0</v>
      </c>
      <c r="D304">
        <v>0</v>
      </c>
    </row>
    <row r="305" spans="1:4" x14ac:dyDescent="0.25">
      <c r="A305">
        <v>0</v>
      </c>
      <c r="B305">
        <v>0</v>
      </c>
      <c r="C305">
        <v>0</v>
      </c>
      <c r="D305">
        <v>0</v>
      </c>
    </row>
    <row r="306" spans="1:4" x14ac:dyDescent="0.25">
      <c r="A306">
        <v>0</v>
      </c>
      <c r="B306">
        <v>0</v>
      </c>
      <c r="C306">
        <v>0</v>
      </c>
      <c r="D306">
        <v>0</v>
      </c>
    </row>
    <row r="307" spans="1:4" x14ac:dyDescent="0.25">
      <c r="A307">
        <v>0</v>
      </c>
      <c r="B307">
        <v>0</v>
      </c>
      <c r="C307">
        <v>0</v>
      </c>
      <c r="D307">
        <v>0</v>
      </c>
    </row>
    <row r="308" spans="1:4" x14ac:dyDescent="0.25">
      <c r="A308">
        <v>0</v>
      </c>
      <c r="B308">
        <v>0</v>
      </c>
      <c r="C308">
        <v>0</v>
      </c>
      <c r="D308">
        <v>0</v>
      </c>
    </row>
    <row r="309" spans="1:4" x14ac:dyDescent="0.25">
      <c r="A309">
        <v>0</v>
      </c>
      <c r="B309">
        <v>0</v>
      </c>
      <c r="C309">
        <v>0</v>
      </c>
      <c r="D309">
        <v>0</v>
      </c>
    </row>
    <row r="310" spans="1:4" x14ac:dyDescent="0.25">
      <c r="A310">
        <v>0</v>
      </c>
      <c r="B310">
        <v>0</v>
      </c>
      <c r="C310">
        <v>0</v>
      </c>
      <c r="D310">
        <v>0</v>
      </c>
    </row>
    <row r="311" spans="1:4" x14ac:dyDescent="0.25">
      <c r="A311">
        <v>0</v>
      </c>
      <c r="B311">
        <v>0</v>
      </c>
      <c r="C311">
        <v>0</v>
      </c>
      <c r="D311">
        <v>0</v>
      </c>
    </row>
    <row r="312" spans="1:4" x14ac:dyDescent="0.25">
      <c r="A312">
        <v>0</v>
      </c>
      <c r="B312">
        <v>0</v>
      </c>
      <c r="C312">
        <v>0</v>
      </c>
      <c r="D312">
        <v>0</v>
      </c>
    </row>
    <row r="313" spans="1:4" x14ac:dyDescent="0.25">
      <c r="A313">
        <v>0</v>
      </c>
      <c r="B313">
        <v>0</v>
      </c>
      <c r="C313">
        <v>0</v>
      </c>
      <c r="D313">
        <v>0</v>
      </c>
    </row>
    <row r="314" spans="1:4" x14ac:dyDescent="0.25">
      <c r="A314">
        <v>0</v>
      </c>
      <c r="B314">
        <v>0</v>
      </c>
      <c r="C314">
        <v>0</v>
      </c>
      <c r="D314">
        <v>0</v>
      </c>
    </row>
    <row r="315" spans="1:4" x14ac:dyDescent="0.25">
      <c r="A315">
        <v>0</v>
      </c>
      <c r="B315">
        <v>0</v>
      </c>
      <c r="C315">
        <v>0</v>
      </c>
      <c r="D315">
        <v>0</v>
      </c>
    </row>
    <row r="316" spans="1:4" x14ac:dyDescent="0.25">
      <c r="A316">
        <v>0</v>
      </c>
      <c r="B316">
        <v>0</v>
      </c>
      <c r="C316">
        <v>0</v>
      </c>
      <c r="D316">
        <v>0</v>
      </c>
    </row>
    <row r="317" spans="1:4" x14ac:dyDescent="0.25">
      <c r="A317">
        <v>0</v>
      </c>
      <c r="B317">
        <v>0</v>
      </c>
      <c r="C317">
        <v>0</v>
      </c>
      <c r="D317">
        <v>0</v>
      </c>
    </row>
    <row r="318" spans="1:4" x14ac:dyDescent="0.25">
      <c r="A318">
        <v>0</v>
      </c>
      <c r="B318">
        <v>0</v>
      </c>
      <c r="C318">
        <v>0</v>
      </c>
      <c r="D318">
        <v>0</v>
      </c>
    </row>
    <row r="319" spans="1:4" x14ac:dyDescent="0.25">
      <c r="A319">
        <v>0</v>
      </c>
      <c r="B319">
        <v>0</v>
      </c>
      <c r="C319">
        <v>0</v>
      </c>
      <c r="D319">
        <v>0</v>
      </c>
    </row>
    <row r="320" spans="1:4" x14ac:dyDescent="0.25">
      <c r="A320">
        <v>0</v>
      </c>
      <c r="B320">
        <v>0</v>
      </c>
      <c r="C320">
        <v>0</v>
      </c>
      <c r="D320">
        <v>0</v>
      </c>
    </row>
    <row r="321" spans="1:4" x14ac:dyDescent="0.25">
      <c r="A321">
        <v>0</v>
      </c>
      <c r="B321">
        <v>0</v>
      </c>
      <c r="C321">
        <v>0</v>
      </c>
      <c r="D321">
        <v>0</v>
      </c>
    </row>
    <row r="322" spans="1:4" x14ac:dyDescent="0.25">
      <c r="A322">
        <v>0</v>
      </c>
      <c r="B322">
        <v>0</v>
      </c>
      <c r="C322">
        <v>0</v>
      </c>
      <c r="D322">
        <v>0</v>
      </c>
    </row>
    <row r="323" spans="1:4" x14ac:dyDescent="0.25">
      <c r="A323">
        <v>0</v>
      </c>
      <c r="B323">
        <v>0</v>
      </c>
      <c r="C323">
        <v>0</v>
      </c>
      <c r="D323">
        <v>0</v>
      </c>
    </row>
    <row r="324" spans="1:4" x14ac:dyDescent="0.25">
      <c r="A324">
        <v>0</v>
      </c>
      <c r="B324">
        <v>0</v>
      </c>
      <c r="C324">
        <v>0</v>
      </c>
      <c r="D324">
        <v>0</v>
      </c>
    </row>
    <row r="325" spans="1:4" x14ac:dyDescent="0.25">
      <c r="A325">
        <v>0</v>
      </c>
      <c r="B325">
        <v>0</v>
      </c>
      <c r="C325">
        <v>0</v>
      </c>
      <c r="D325">
        <v>0</v>
      </c>
    </row>
    <row r="326" spans="1:4" x14ac:dyDescent="0.25">
      <c r="A326">
        <v>0</v>
      </c>
      <c r="B326">
        <v>0</v>
      </c>
      <c r="C326">
        <v>0</v>
      </c>
      <c r="D326">
        <v>0</v>
      </c>
    </row>
    <row r="327" spans="1:4" x14ac:dyDescent="0.25">
      <c r="A327">
        <v>0</v>
      </c>
      <c r="B327">
        <v>0</v>
      </c>
      <c r="C327">
        <v>0</v>
      </c>
      <c r="D327">
        <v>0</v>
      </c>
    </row>
    <row r="328" spans="1:4" x14ac:dyDescent="0.25">
      <c r="A328">
        <v>0</v>
      </c>
      <c r="B328">
        <v>0</v>
      </c>
      <c r="C328">
        <v>0</v>
      </c>
      <c r="D328">
        <v>0</v>
      </c>
    </row>
    <row r="329" spans="1:4" x14ac:dyDescent="0.25">
      <c r="A329">
        <v>0</v>
      </c>
      <c r="B329">
        <v>0</v>
      </c>
      <c r="C329">
        <v>0</v>
      </c>
      <c r="D329">
        <v>0</v>
      </c>
    </row>
    <row r="330" spans="1:4" x14ac:dyDescent="0.25">
      <c r="A330">
        <v>0</v>
      </c>
      <c r="B330">
        <v>0</v>
      </c>
      <c r="C330">
        <v>0</v>
      </c>
      <c r="D330">
        <v>0</v>
      </c>
    </row>
    <row r="331" spans="1:4" x14ac:dyDescent="0.25">
      <c r="A331">
        <v>0</v>
      </c>
      <c r="B331">
        <v>0</v>
      </c>
      <c r="C331">
        <v>0</v>
      </c>
      <c r="D331">
        <v>0</v>
      </c>
    </row>
    <row r="332" spans="1:4" x14ac:dyDescent="0.25">
      <c r="A332">
        <v>0</v>
      </c>
      <c r="B332">
        <v>0</v>
      </c>
      <c r="C332">
        <v>0</v>
      </c>
      <c r="D332">
        <v>0</v>
      </c>
    </row>
    <row r="333" spans="1:4" x14ac:dyDescent="0.25">
      <c r="A333">
        <v>0</v>
      </c>
      <c r="B333">
        <v>0</v>
      </c>
      <c r="C333">
        <v>0</v>
      </c>
      <c r="D333">
        <v>0</v>
      </c>
    </row>
    <row r="334" spans="1:4" x14ac:dyDescent="0.25">
      <c r="A334">
        <v>0</v>
      </c>
      <c r="B334">
        <v>0</v>
      </c>
      <c r="C334">
        <v>0</v>
      </c>
      <c r="D334">
        <v>0</v>
      </c>
    </row>
    <row r="335" spans="1:4" x14ac:dyDescent="0.25">
      <c r="A335">
        <v>0</v>
      </c>
      <c r="B335">
        <v>0</v>
      </c>
      <c r="C335">
        <v>0</v>
      </c>
      <c r="D335">
        <v>0</v>
      </c>
    </row>
    <row r="336" spans="1:4" x14ac:dyDescent="0.25">
      <c r="A336">
        <v>0</v>
      </c>
      <c r="B336">
        <v>0</v>
      </c>
      <c r="C336">
        <v>0</v>
      </c>
      <c r="D336">
        <v>0</v>
      </c>
    </row>
    <row r="337" spans="1:4" x14ac:dyDescent="0.25">
      <c r="A337">
        <v>0</v>
      </c>
      <c r="B337">
        <v>0</v>
      </c>
      <c r="C337">
        <v>0</v>
      </c>
      <c r="D337">
        <v>0</v>
      </c>
    </row>
    <row r="338" spans="1:4" x14ac:dyDescent="0.25">
      <c r="A338">
        <v>0</v>
      </c>
      <c r="B338">
        <v>0</v>
      </c>
      <c r="C338">
        <v>0</v>
      </c>
      <c r="D338">
        <v>0</v>
      </c>
    </row>
    <row r="339" spans="1:4" x14ac:dyDescent="0.25">
      <c r="A339">
        <v>0</v>
      </c>
      <c r="B339">
        <v>0</v>
      </c>
      <c r="C339">
        <v>0</v>
      </c>
      <c r="D339">
        <v>0</v>
      </c>
    </row>
    <row r="340" spans="1:4" x14ac:dyDescent="0.25">
      <c r="A340">
        <v>0</v>
      </c>
      <c r="B340">
        <v>0</v>
      </c>
      <c r="C340">
        <v>0</v>
      </c>
      <c r="D340">
        <v>0</v>
      </c>
    </row>
    <row r="341" spans="1:4" x14ac:dyDescent="0.25">
      <c r="A341">
        <v>0</v>
      </c>
      <c r="B341">
        <v>0</v>
      </c>
      <c r="C341">
        <v>0</v>
      </c>
      <c r="D341">
        <v>0</v>
      </c>
    </row>
    <row r="342" spans="1:4" x14ac:dyDescent="0.25">
      <c r="A342">
        <v>0</v>
      </c>
      <c r="B342">
        <v>0</v>
      </c>
      <c r="C342">
        <v>0</v>
      </c>
      <c r="D342">
        <v>0</v>
      </c>
    </row>
    <row r="343" spans="1:4" x14ac:dyDescent="0.25">
      <c r="A343">
        <v>0</v>
      </c>
      <c r="B343">
        <v>0</v>
      </c>
      <c r="C343">
        <v>0</v>
      </c>
      <c r="D343">
        <v>0</v>
      </c>
    </row>
    <row r="344" spans="1:4" x14ac:dyDescent="0.25">
      <c r="A344">
        <v>0</v>
      </c>
      <c r="B344">
        <v>0</v>
      </c>
      <c r="C344">
        <v>0</v>
      </c>
      <c r="D344">
        <v>0</v>
      </c>
    </row>
    <row r="345" spans="1:4" x14ac:dyDescent="0.25">
      <c r="A345">
        <v>0</v>
      </c>
      <c r="B345">
        <v>0</v>
      </c>
      <c r="C345">
        <v>0</v>
      </c>
      <c r="D345">
        <v>0</v>
      </c>
    </row>
    <row r="346" spans="1:4" x14ac:dyDescent="0.25">
      <c r="A346">
        <v>0</v>
      </c>
      <c r="B346">
        <v>0</v>
      </c>
      <c r="C346">
        <v>0</v>
      </c>
      <c r="D346">
        <v>0</v>
      </c>
    </row>
    <row r="347" spans="1:4" x14ac:dyDescent="0.25">
      <c r="A347">
        <v>0</v>
      </c>
      <c r="B347">
        <v>0</v>
      </c>
      <c r="C347">
        <v>0</v>
      </c>
      <c r="D347">
        <v>0</v>
      </c>
    </row>
    <row r="348" spans="1:4" x14ac:dyDescent="0.25">
      <c r="A348">
        <v>0</v>
      </c>
      <c r="B348">
        <v>0</v>
      </c>
      <c r="C348">
        <v>0</v>
      </c>
      <c r="D348">
        <v>0</v>
      </c>
    </row>
    <row r="349" spans="1:4" x14ac:dyDescent="0.25">
      <c r="A349">
        <v>0</v>
      </c>
      <c r="B349">
        <v>0</v>
      </c>
      <c r="C349">
        <v>0</v>
      </c>
      <c r="D349">
        <v>0</v>
      </c>
    </row>
    <row r="350" spans="1:4" x14ac:dyDescent="0.25">
      <c r="A350">
        <v>0</v>
      </c>
      <c r="B350">
        <v>0</v>
      </c>
      <c r="C350">
        <v>0</v>
      </c>
      <c r="D350">
        <v>0</v>
      </c>
    </row>
    <row r="351" spans="1:4" x14ac:dyDescent="0.25">
      <c r="A351">
        <v>0</v>
      </c>
      <c r="B351">
        <v>0</v>
      </c>
      <c r="C351">
        <v>0</v>
      </c>
      <c r="D351">
        <v>0</v>
      </c>
    </row>
    <row r="352" spans="1:4" x14ac:dyDescent="0.25">
      <c r="A352">
        <v>0</v>
      </c>
      <c r="B352">
        <v>0</v>
      </c>
      <c r="C352">
        <v>0</v>
      </c>
      <c r="D352">
        <v>0</v>
      </c>
    </row>
    <row r="353" spans="1:4" x14ac:dyDescent="0.25">
      <c r="A353">
        <v>0</v>
      </c>
      <c r="B353">
        <v>0</v>
      </c>
      <c r="C353">
        <v>0</v>
      </c>
      <c r="D353">
        <v>0</v>
      </c>
    </row>
    <row r="354" spans="1:4" x14ac:dyDescent="0.25">
      <c r="A354">
        <v>0</v>
      </c>
      <c r="B354">
        <v>0</v>
      </c>
      <c r="C354">
        <v>0</v>
      </c>
      <c r="D354">
        <v>0</v>
      </c>
    </row>
    <row r="355" spans="1:4" x14ac:dyDescent="0.25">
      <c r="A355">
        <v>0</v>
      </c>
      <c r="B355">
        <v>0</v>
      </c>
      <c r="C355">
        <v>0</v>
      </c>
      <c r="D355">
        <v>0</v>
      </c>
    </row>
    <row r="356" spans="1:4" x14ac:dyDescent="0.25">
      <c r="A356">
        <v>0</v>
      </c>
      <c r="B356">
        <v>0</v>
      </c>
      <c r="C356">
        <v>0</v>
      </c>
      <c r="D356">
        <v>0</v>
      </c>
    </row>
    <row r="357" spans="1:4" x14ac:dyDescent="0.25">
      <c r="A357">
        <v>0</v>
      </c>
      <c r="B357">
        <v>0</v>
      </c>
      <c r="C357">
        <v>0</v>
      </c>
      <c r="D357">
        <v>0</v>
      </c>
    </row>
    <row r="358" spans="1:4" x14ac:dyDescent="0.25">
      <c r="A358">
        <v>0</v>
      </c>
      <c r="B358">
        <v>0</v>
      </c>
      <c r="C358">
        <v>0</v>
      </c>
      <c r="D358">
        <v>0</v>
      </c>
    </row>
    <row r="359" spans="1:4" x14ac:dyDescent="0.25">
      <c r="A359">
        <v>0</v>
      </c>
      <c r="B359">
        <v>0</v>
      </c>
      <c r="C359">
        <v>0</v>
      </c>
      <c r="D359">
        <v>0</v>
      </c>
    </row>
    <row r="360" spans="1:4" x14ac:dyDescent="0.25">
      <c r="A360">
        <v>0</v>
      </c>
      <c r="B360">
        <v>0</v>
      </c>
      <c r="C360">
        <v>0</v>
      </c>
      <c r="D360">
        <v>0</v>
      </c>
    </row>
    <row r="361" spans="1:4" x14ac:dyDescent="0.25">
      <c r="A361">
        <v>0</v>
      </c>
      <c r="B361">
        <v>0</v>
      </c>
      <c r="C361">
        <v>0</v>
      </c>
      <c r="D361">
        <v>0</v>
      </c>
    </row>
    <row r="362" spans="1:4" x14ac:dyDescent="0.25">
      <c r="A362">
        <v>0</v>
      </c>
      <c r="B362">
        <v>0</v>
      </c>
      <c r="C362">
        <v>0</v>
      </c>
      <c r="D362">
        <v>0</v>
      </c>
    </row>
    <row r="363" spans="1:4" x14ac:dyDescent="0.25">
      <c r="A363">
        <v>0</v>
      </c>
      <c r="B363">
        <v>0</v>
      </c>
      <c r="C363">
        <v>0</v>
      </c>
      <c r="D363">
        <v>0</v>
      </c>
    </row>
    <row r="364" spans="1:4" x14ac:dyDescent="0.25">
      <c r="A364">
        <v>0</v>
      </c>
      <c r="B364">
        <v>0</v>
      </c>
      <c r="C364">
        <v>0</v>
      </c>
      <c r="D364">
        <v>0</v>
      </c>
    </row>
    <row r="365" spans="1:4" x14ac:dyDescent="0.25">
      <c r="A365">
        <v>0</v>
      </c>
      <c r="B365">
        <v>0</v>
      </c>
      <c r="C365">
        <v>0</v>
      </c>
      <c r="D365">
        <v>0</v>
      </c>
    </row>
    <row r="366" spans="1:4" x14ac:dyDescent="0.25">
      <c r="A366">
        <v>0</v>
      </c>
      <c r="B366">
        <v>0</v>
      </c>
      <c r="C366">
        <v>0</v>
      </c>
      <c r="D366">
        <v>0</v>
      </c>
    </row>
    <row r="367" spans="1:4" x14ac:dyDescent="0.25">
      <c r="A367">
        <v>0</v>
      </c>
      <c r="B367">
        <v>0</v>
      </c>
      <c r="C367">
        <v>0</v>
      </c>
      <c r="D367">
        <v>0</v>
      </c>
    </row>
    <row r="368" spans="1:4" x14ac:dyDescent="0.25">
      <c r="A368">
        <v>0</v>
      </c>
      <c r="B368">
        <v>0</v>
      </c>
      <c r="C368">
        <v>0</v>
      </c>
      <c r="D368">
        <v>0</v>
      </c>
    </row>
    <row r="369" spans="1:4" x14ac:dyDescent="0.25">
      <c r="A369">
        <v>0</v>
      </c>
      <c r="B369">
        <v>0</v>
      </c>
      <c r="C369">
        <v>0</v>
      </c>
      <c r="D369">
        <v>0</v>
      </c>
    </row>
    <row r="370" spans="1:4" x14ac:dyDescent="0.25">
      <c r="A370">
        <v>0</v>
      </c>
      <c r="B370">
        <v>0</v>
      </c>
      <c r="C370">
        <v>0</v>
      </c>
      <c r="D370">
        <v>0</v>
      </c>
    </row>
    <row r="371" spans="1:4" x14ac:dyDescent="0.25">
      <c r="A371">
        <v>0</v>
      </c>
      <c r="B371">
        <v>0</v>
      </c>
      <c r="C371">
        <v>0</v>
      </c>
      <c r="D371">
        <v>0</v>
      </c>
    </row>
    <row r="372" spans="1:4" x14ac:dyDescent="0.25">
      <c r="A372">
        <v>0</v>
      </c>
      <c r="B372">
        <v>0</v>
      </c>
      <c r="C372">
        <v>0</v>
      </c>
      <c r="D372">
        <v>0</v>
      </c>
    </row>
    <row r="373" spans="1:4" x14ac:dyDescent="0.25">
      <c r="A373">
        <v>0</v>
      </c>
      <c r="B373">
        <v>0</v>
      </c>
      <c r="C373">
        <v>0</v>
      </c>
      <c r="D373">
        <v>0</v>
      </c>
    </row>
    <row r="374" spans="1:4" x14ac:dyDescent="0.25">
      <c r="A374">
        <v>0</v>
      </c>
      <c r="B374">
        <v>0</v>
      </c>
      <c r="C374">
        <v>0</v>
      </c>
      <c r="D374">
        <v>0</v>
      </c>
    </row>
    <row r="375" spans="1:4" x14ac:dyDescent="0.25">
      <c r="A375">
        <v>0</v>
      </c>
      <c r="B375">
        <v>0</v>
      </c>
      <c r="C375">
        <v>0</v>
      </c>
      <c r="D375">
        <v>0</v>
      </c>
    </row>
    <row r="376" spans="1:4" x14ac:dyDescent="0.25">
      <c r="A376">
        <v>0</v>
      </c>
      <c r="B376">
        <v>0</v>
      </c>
      <c r="C376">
        <v>0</v>
      </c>
      <c r="D376">
        <v>0</v>
      </c>
    </row>
    <row r="377" spans="1:4" x14ac:dyDescent="0.25">
      <c r="A377">
        <v>0</v>
      </c>
      <c r="B377">
        <v>0</v>
      </c>
      <c r="C377">
        <v>0</v>
      </c>
      <c r="D377">
        <v>0</v>
      </c>
    </row>
    <row r="378" spans="1:4" x14ac:dyDescent="0.25">
      <c r="A378">
        <v>0</v>
      </c>
      <c r="B378">
        <v>0</v>
      </c>
      <c r="C378">
        <v>0</v>
      </c>
      <c r="D378">
        <v>0</v>
      </c>
    </row>
    <row r="379" spans="1:4" x14ac:dyDescent="0.25">
      <c r="A379">
        <v>0</v>
      </c>
      <c r="B379">
        <v>0</v>
      </c>
      <c r="C379">
        <v>0</v>
      </c>
      <c r="D379">
        <v>0</v>
      </c>
    </row>
    <row r="380" spans="1:4" x14ac:dyDescent="0.25">
      <c r="A380">
        <v>0</v>
      </c>
      <c r="B380">
        <v>0</v>
      </c>
      <c r="C380">
        <v>0</v>
      </c>
      <c r="D380">
        <v>0</v>
      </c>
    </row>
    <row r="381" spans="1:4" x14ac:dyDescent="0.25">
      <c r="A381">
        <v>0</v>
      </c>
      <c r="B381">
        <v>0</v>
      </c>
      <c r="C381">
        <v>0</v>
      </c>
      <c r="D381">
        <v>0</v>
      </c>
    </row>
    <row r="382" spans="1:4" x14ac:dyDescent="0.25">
      <c r="A382">
        <v>0</v>
      </c>
      <c r="B382">
        <v>0</v>
      </c>
      <c r="C382">
        <v>0</v>
      </c>
      <c r="D382">
        <v>0</v>
      </c>
    </row>
    <row r="383" spans="1:4" x14ac:dyDescent="0.25">
      <c r="A383">
        <v>0</v>
      </c>
      <c r="B383">
        <v>0</v>
      </c>
      <c r="C383">
        <v>0</v>
      </c>
      <c r="D383">
        <v>0</v>
      </c>
    </row>
    <row r="384" spans="1:4" x14ac:dyDescent="0.25">
      <c r="A384">
        <v>0</v>
      </c>
      <c r="B384">
        <v>0</v>
      </c>
      <c r="C384">
        <v>0</v>
      </c>
      <c r="D384">
        <v>0</v>
      </c>
    </row>
    <row r="385" spans="1:4" x14ac:dyDescent="0.25">
      <c r="A385">
        <v>0</v>
      </c>
      <c r="B385">
        <v>0</v>
      </c>
      <c r="C385">
        <v>0</v>
      </c>
      <c r="D385">
        <v>0</v>
      </c>
    </row>
    <row r="386" spans="1:4" x14ac:dyDescent="0.25">
      <c r="A386">
        <v>0</v>
      </c>
      <c r="B386">
        <v>0</v>
      </c>
      <c r="C386">
        <v>0</v>
      </c>
      <c r="D386">
        <v>0</v>
      </c>
    </row>
    <row r="387" spans="1:4" x14ac:dyDescent="0.25">
      <c r="A387">
        <v>0</v>
      </c>
      <c r="B387">
        <v>0</v>
      </c>
      <c r="C387">
        <v>0</v>
      </c>
      <c r="D387">
        <v>0</v>
      </c>
    </row>
    <row r="388" spans="1:4" x14ac:dyDescent="0.25">
      <c r="A388">
        <v>0</v>
      </c>
      <c r="B388">
        <v>0</v>
      </c>
      <c r="C388">
        <v>0</v>
      </c>
      <c r="D388">
        <v>0</v>
      </c>
    </row>
    <row r="389" spans="1:4" x14ac:dyDescent="0.25">
      <c r="A389">
        <v>0</v>
      </c>
      <c r="B389">
        <v>0</v>
      </c>
      <c r="C389">
        <v>0</v>
      </c>
      <c r="D389">
        <v>0</v>
      </c>
    </row>
    <row r="390" spans="1:4" x14ac:dyDescent="0.25">
      <c r="A390">
        <v>0</v>
      </c>
      <c r="B390">
        <v>0</v>
      </c>
      <c r="C390">
        <v>0</v>
      </c>
      <c r="D390">
        <v>0</v>
      </c>
    </row>
    <row r="391" spans="1:4" x14ac:dyDescent="0.25">
      <c r="A391">
        <v>0</v>
      </c>
      <c r="B391">
        <v>0</v>
      </c>
      <c r="C391">
        <v>0</v>
      </c>
      <c r="D391">
        <v>0</v>
      </c>
    </row>
    <row r="392" spans="1:4" x14ac:dyDescent="0.25">
      <c r="A392">
        <v>0</v>
      </c>
      <c r="B392">
        <v>0</v>
      </c>
      <c r="C392">
        <v>0</v>
      </c>
      <c r="D392">
        <v>0</v>
      </c>
    </row>
    <row r="393" spans="1:4" x14ac:dyDescent="0.25">
      <c r="A393">
        <v>0</v>
      </c>
      <c r="B393">
        <v>0</v>
      </c>
      <c r="C393">
        <v>0</v>
      </c>
      <c r="D393">
        <v>0</v>
      </c>
    </row>
    <row r="394" spans="1:4" x14ac:dyDescent="0.25">
      <c r="A394">
        <v>0</v>
      </c>
      <c r="B394">
        <v>0</v>
      </c>
      <c r="C394">
        <v>0</v>
      </c>
      <c r="D394">
        <v>0</v>
      </c>
    </row>
    <row r="395" spans="1:4" x14ac:dyDescent="0.25">
      <c r="A395">
        <v>0</v>
      </c>
      <c r="B395">
        <v>0</v>
      </c>
      <c r="C395">
        <v>0</v>
      </c>
      <c r="D395">
        <v>0</v>
      </c>
    </row>
    <row r="396" spans="1:4" x14ac:dyDescent="0.25">
      <c r="A396">
        <v>0</v>
      </c>
      <c r="B396">
        <v>0</v>
      </c>
      <c r="C396">
        <v>0</v>
      </c>
      <c r="D396">
        <v>0</v>
      </c>
    </row>
    <row r="397" spans="1:4" x14ac:dyDescent="0.25">
      <c r="A397">
        <v>0</v>
      </c>
      <c r="B397">
        <v>0</v>
      </c>
      <c r="C397">
        <v>0</v>
      </c>
      <c r="D397">
        <v>0</v>
      </c>
    </row>
    <row r="398" spans="1:4" x14ac:dyDescent="0.25">
      <c r="A398">
        <v>0</v>
      </c>
      <c r="B398">
        <v>0</v>
      </c>
      <c r="C398">
        <v>0</v>
      </c>
      <c r="D398">
        <v>0</v>
      </c>
    </row>
    <row r="399" spans="1:4" x14ac:dyDescent="0.25">
      <c r="A399">
        <v>0</v>
      </c>
      <c r="B399">
        <v>0</v>
      </c>
      <c r="C399">
        <v>0</v>
      </c>
      <c r="D399">
        <v>0</v>
      </c>
    </row>
    <row r="400" spans="1:4" x14ac:dyDescent="0.25">
      <c r="A400">
        <v>0</v>
      </c>
      <c r="B400">
        <v>0</v>
      </c>
      <c r="C400">
        <v>0</v>
      </c>
      <c r="D400">
        <v>0</v>
      </c>
    </row>
    <row r="401" spans="1:4" x14ac:dyDescent="0.25">
      <c r="A401">
        <v>0</v>
      </c>
      <c r="B401">
        <v>0</v>
      </c>
      <c r="C401">
        <v>0</v>
      </c>
      <c r="D401">
        <v>0</v>
      </c>
    </row>
    <row r="402" spans="1:4" x14ac:dyDescent="0.25">
      <c r="A402">
        <v>0</v>
      </c>
      <c r="B402">
        <v>0</v>
      </c>
      <c r="C402">
        <v>0</v>
      </c>
      <c r="D402">
        <v>0</v>
      </c>
    </row>
    <row r="403" spans="1:4" x14ac:dyDescent="0.25">
      <c r="A403">
        <v>0</v>
      </c>
      <c r="B403">
        <v>0</v>
      </c>
      <c r="C403">
        <v>0</v>
      </c>
      <c r="D403">
        <v>0</v>
      </c>
    </row>
    <row r="404" spans="1:4" x14ac:dyDescent="0.25">
      <c r="A404">
        <v>0</v>
      </c>
      <c r="B404">
        <v>0</v>
      </c>
      <c r="C404">
        <v>0</v>
      </c>
      <c r="D404">
        <v>0</v>
      </c>
    </row>
    <row r="405" spans="1:4" x14ac:dyDescent="0.25">
      <c r="A405">
        <v>0</v>
      </c>
      <c r="B405">
        <v>0</v>
      </c>
      <c r="C405">
        <v>0</v>
      </c>
      <c r="D405">
        <v>0</v>
      </c>
    </row>
    <row r="406" spans="1:4" x14ac:dyDescent="0.25">
      <c r="A406">
        <v>0</v>
      </c>
      <c r="B406">
        <v>0</v>
      </c>
      <c r="C406">
        <v>0</v>
      </c>
      <c r="D406">
        <v>0</v>
      </c>
    </row>
    <row r="407" spans="1:4" x14ac:dyDescent="0.25">
      <c r="A407">
        <v>0</v>
      </c>
      <c r="B407">
        <v>0</v>
      </c>
      <c r="C407">
        <v>0</v>
      </c>
      <c r="D407">
        <v>0</v>
      </c>
    </row>
    <row r="408" spans="1:4" x14ac:dyDescent="0.25">
      <c r="A408">
        <v>0</v>
      </c>
      <c r="B408">
        <v>0</v>
      </c>
      <c r="C408">
        <v>0</v>
      </c>
      <c r="D408">
        <v>0</v>
      </c>
    </row>
    <row r="409" spans="1:4" x14ac:dyDescent="0.25">
      <c r="A409">
        <v>0</v>
      </c>
      <c r="B409">
        <v>0</v>
      </c>
      <c r="C409">
        <v>0</v>
      </c>
      <c r="D409">
        <v>0</v>
      </c>
    </row>
    <row r="410" spans="1:4" x14ac:dyDescent="0.25">
      <c r="A410">
        <v>0</v>
      </c>
      <c r="B410">
        <v>0</v>
      </c>
      <c r="C410">
        <v>0</v>
      </c>
      <c r="D410">
        <v>0</v>
      </c>
    </row>
    <row r="411" spans="1:4" x14ac:dyDescent="0.25">
      <c r="A411">
        <v>0</v>
      </c>
      <c r="B411">
        <v>0</v>
      </c>
      <c r="C411">
        <v>0</v>
      </c>
      <c r="D411">
        <v>0</v>
      </c>
    </row>
    <row r="412" spans="1:4" x14ac:dyDescent="0.25">
      <c r="A412">
        <v>0</v>
      </c>
      <c r="B412">
        <v>0</v>
      </c>
      <c r="C412">
        <v>0</v>
      </c>
      <c r="D412">
        <v>0</v>
      </c>
    </row>
    <row r="413" spans="1:4" x14ac:dyDescent="0.25">
      <c r="A413">
        <v>0</v>
      </c>
      <c r="B413">
        <v>0</v>
      </c>
      <c r="C413">
        <v>0</v>
      </c>
      <c r="D413">
        <v>0</v>
      </c>
    </row>
    <row r="414" spans="1:4" x14ac:dyDescent="0.25">
      <c r="A414">
        <v>0</v>
      </c>
      <c r="B414">
        <v>0</v>
      </c>
      <c r="C414">
        <v>0</v>
      </c>
      <c r="D414">
        <v>0</v>
      </c>
    </row>
    <row r="415" spans="1:4" x14ac:dyDescent="0.25">
      <c r="A415">
        <v>0</v>
      </c>
      <c r="B415">
        <v>0</v>
      </c>
      <c r="C415">
        <v>0</v>
      </c>
      <c r="D415">
        <v>0</v>
      </c>
    </row>
    <row r="416" spans="1:4" x14ac:dyDescent="0.25">
      <c r="A416">
        <v>0</v>
      </c>
      <c r="B416">
        <v>0</v>
      </c>
      <c r="C416">
        <v>0</v>
      </c>
      <c r="D416">
        <v>0</v>
      </c>
    </row>
    <row r="417" spans="1:4" x14ac:dyDescent="0.25">
      <c r="A417">
        <v>0</v>
      </c>
      <c r="B417">
        <v>0</v>
      </c>
      <c r="C417">
        <v>0</v>
      </c>
      <c r="D417">
        <v>0</v>
      </c>
    </row>
    <row r="418" spans="1:4" x14ac:dyDescent="0.25">
      <c r="A418">
        <v>0</v>
      </c>
      <c r="B418">
        <v>0</v>
      </c>
      <c r="C418">
        <v>0</v>
      </c>
      <c r="D418">
        <v>0</v>
      </c>
    </row>
    <row r="419" spans="1:4" x14ac:dyDescent="0.25">
      <c r="A419">
        <v>0</v>
      </c>
      <c r="B419">
        <v>0</v>
      </c>
      <c r="C419">
        <v>0</v>
      </c>
      <c r="D419">
        <v>0</v>
      </c>
    </row>
    <row r="420" spans="1:4" x14ac:dyDescent="0.25">
      <c r="A420">
        <v>0</v>
      </c>
      <c r="B420">
        <v>0</v>
      </c>
      <c r="C420">
        <v>0</v>
      </c>
      <c r="D420">
        <v>0</v>
      </c>
    </row>
    <row r="421" spans="1:4" x14ac:dyDescent="0.25">
      <c r="A421">
        <v>0</v>
      </c>
      <c r="B421">
        <v>0</v>
      </c>
      <c r="C421">
        <v>0</v>
      </c>
      <c r="D421">
        <v>0</v>
      </c>
    </row>
    <row r="422" spans="1:4" x14ac:dyDescent="0.25">
      <c r="A422">
        <v>0</v>
      </c>
      <c r="B422">
        <v>0</v>
      </c>
      <c r="C422">
        <v>0</v>
      </c>
      <c r="D422">
        <v>0</v>
      </c>
    </row>
    <row r="423" spans="1:4" x14ac:dyDescent="0.25">
      <c r="A423">
        <v>0</v>
      </c>
      <c r="B423">
        <v>0</v>
      </c>
      <c r="C423">
        <v>0</v>
      </c>
      <c r="D423">
        <v>0</v>
      </c>
    </row>
    <row r="424" spans="1:4" x14ac:dyDescent="0.25">
      <c r="A424">
        <v>0</v>
      </c>
      <c r="B424">
        <v>0</v>
      </c>
      <c r="C424">
        <v>0</v>
      </c>
      <c r="D424">
        <v>0</v>
      </c>
    </row>
    <row r="425" spans="1:4" x14ac:dyDescent="0.25">
      <c r="A425">
        <v>0</v>
      </c>
      <c r="B425">
        <v>0</v>
      </c>
      <c r="C425">
        <v>0</v>
      </c>
      <c r="D425">
        <v>0</v>
      </c>
    </row>
    <row r="426" spans="1:4" x14ac:dyDescent="0.25">
      <c r="A426">
        <v>0</v>
      </c>
      <c r="B426">
        <v>0</v>
      </c>
      <c r="C426">
        <v>0</v>
      </c>
      <c r="D426">
        <v>0</v>
      </c>
    </row>
    <row r="427" spans="1:4" x14ac:dyDescent="0.25">
      <c r="A427">
        <v>0</v>
      </c>
      <c r="B427">
        <v>0</v>
      </c>
      <c r="C427">
        <v>0</v>
      </c>
      <c r="D427">
        <v>0</v>
      </c>
    </row>
    <row r="428" spans="1:4" x14ac:dyDescent="0.25">
      <c r="A428">
        <v>0</v>
      </c>
      <c r="B428">
        <v>0</v>
      </c>
      <c r="C428">
        <v>0</v>
      </c>
      <c r="D428">
        <v>0</v>
      </c>
    </row>
    <row r="429" spans="1:4" x14ac:dyDescent="0.25">
      <c r="A429">
        <v>0</v>
      </c>
      <c r="B429">
        <v>0</v>
      </c>
      <c r="C429">
        <v>0</v>
      </c>
      <c r="D429">
        <v>0</v>
      </c>
    </row>
    <row r="430" spans="1:4" x14ac:dyDescent="0.25">
      <c r="A430">
        <v>0</v>
      </c>
      <c r="B430">
        <v>0</v>
      </c>
      <c r="C430">
        <v>0</v>
      </c>
      <c r="D430">
        <v>0</v>
      </c>
    </row>
    <row r="431" spans="1:4" x14ac:dyDescent="0.25">
      <c r="A431">
        <v>0</v>
      </c>
      <c r="B431">
        <v>0</v>
      </c>
      <c r="C431">
        <v>0</v>
      </c>
      <c r="D431">
        <v>0</v>
      </c>
    </row>
    <row r="432" spans="1:4" x14ac:dyDescent="0.25">
      <c r="A432">
        <v>0</v>
      </c>
      <c r="B432">
        <v>0</v>
      </c>
      <c r="C432">
        <v>0</v>
      </c>
      <c r="D432">
        <v>0</v>
      </c>
    </row>
    <row r="433" spans="1:4" x14ac:dyDescent="0.25">
      <c r="A433">
        <v>0</v>
      </c>
      <c r="B433">
        <v>0</v>
      </c>
      <c r="C433">
        <v>0</v>
      </c>
      <c r="D433">
        <v>0</v>
      </c>
    </row>
    <row r="434" spans="1:4" x14ac:dyDescent="0.25">
      <c r="A434">
        <v>0</v>
      </c>
      <c r="B434">
        <v>0</v>
      </c>
      <c r="C434">
        <v>0</v>
      </c>
      <c r="D434">
        <v>0</v>
      </c>
    </row>
    <row r="435" spans="1:4" x14ac:dyDescent="0.25">
      <c r="A435">
        <v>0</v>
      </c>
      <c r="B435">
        <v>0</v>
      </c>
      <c r="C435">
        <v>0</v>
      </c>
      <c r="D435">
        <v>0</v>
      </c>
    </row>
    <row r="436" spans="1:4" x14ac:dyDescent="0.25">
      <c r="A436">
        <v>0</v>
      </c>
      <c r="B436">
        <v>0</v>
      </c>
      <c r="C436">
        <v>0</v>
      </c>
      <c r="D436">
        <v>0</v>
      </c>
    </row>
    <row r="437" spans="1:4" x14ac:dyDescent="0.25">
      <c r="A437">
        <v>0</v>
      </c>
      <c r="B437">
        <v>0</v>
      </c>
      <c r="C437">
        <v>0</v>
      </c>
      <c r="D437">
        <v>0</v>
      </c>
    </row>
    <row r="438" spans="1:4" x14ac:dyDescent="0.25">
      <c r="A438">
        <v>0</v>
      </c>
      <c r="B438">
        <v>0</v>
      </c>
      <c r="C438">
        <v>0</v>
      </c>
      <c r="D438">
        <v>0</v>
      </c>
    </row>
    <row r="439" spans="1:4" x14ac:dyDescent="0.25">
      <c r="A439">
        <v>0</v>
      </c>
      <c r="B439">
        <v>0</v>
      </c>
      <c r="C439">
        <v>0</v>
      </c>
      <c r="D439">
        <v>0</v>
      </c>
    </row>
    <row r="440" spans="1:4" x14ac:dyDescent="0.25">
      <c r="A440">
        <v>0</v>
      </c>
      <c r="B440">
        <v>0</v>
      </c>
      <c r="C440">
        <v>0</v>
      </c>
      <c r="D440">
        <v>0</v>
      </c>
    </row>
    <row r="441" spans="1:4" x14ac:dyDescent="0.25">
      <c r="A441">
        <v>0</v>
      </c>
      <c r="B441">
        <v>0</v>
      </c>
      <c r="C441">
        <v>0</v>
      </c>
      <c r="D441">
        <v>0</v>
      </c>
    </row>
    <row r="442" spans="1:4" x14ac:dyDescent="0.25">
      <c r="A442">
        <v>0</v>
      </c>
      <c r="B442">
        <v>0</v>
      </c>
      <c r="C442">
        <v>0</v>
      </c>
      <c r="D442">
        <v>0</v>
      </c>
    </row>
    <row r="443" spans="1:4" x14ac:dyDescent="0.25">
      <c r="A443">
        <v>0</v>
      </c>
      <c r="B443">
        <v>0</v>
      </c>
      <c r="C443">
        <v>0</v>
      </c>
      <c r="D443">
        <v>0</v>
      </c>
    </row>
    <row r="444" spans="1:4" x14ac:dyDescent="0.25">
      <c r="A444">
        <v>0</v>
      </c>
      <c r="B444">
        <v>0</v>
      </c>
      <c r="C444">
        <v>0</v>
      </c>
      <c r="D444">
        <v>0</v>
      </c>
    </row>
    <row r="445" spans="1:4" x14ac:dyDescent="0.25">
      <c r="A445">
        <v>0</v>
      </c>
      <c r="B445">
        <v>0</v>
      </c>
      <c r="C445">
        <v>0</v>
      </c>
      <c r="D445">
        <v>0</v>
      </c>
    </row>
    <row r="446" spans="1:4" x14ac:dyDescent="0.25">
      <c r="A446">
        <v>0</v>
      </c>
      <c r="B446">
        <v>0</v>
      </c>
      <c r="C446">
        <v>0</v>
      </c>
      <c r="D446">
        <v>0</v>
      </c>
    </row>
    <row r="447" spans="1:4" x14ac:dyDescent="0.25">
      <c r="A447">
        <v>0</v>
      </c>
      <c r="B447">
        <v>0</v>
      </c>
      <c r="C447">
        <v>0</v>
      </c>
      <c r="D447">
        <v>0</v>
      </c>
    </row>
    <row r="448" spans="1:4" x14ac:dyDescent="0.25">
      <c r="A448">
        <v>0</v>
      </c>
      <c r="B448">
        <v>0</v>
      </c>
      <c r="C448">
        <v>0</v>
      </c>
      <c r="D448">
        <v>0</v>
      </c>
    </row>
    <row r="449" spans="1:4" x14ac:dyDescent="0.25">
      <c r="A449">
        <v>0</v>
      </c>
      <c r="B449">
        <v>0</v>
      </c>
      <c r="C449">
        <v>0</v>
      </c>
      <c r="D449">
        <v>0</v>
      </c>
    </row>
    <row r="450" spans="1:4" x14ac:dyDescent="0.25">
      <c r="A450">
        <v>0</v>
      </c>
      <c r="B450">
        <v>0</v>
      </c>
      <c r="C450">
        <v>0</v>
      </c>
      <c r="D450">
        <v>0</v>
      </c>
    </row>
    <row r="451" spans="1:4" x14ac:dyDescent="0.25">
      <c r="A451">
        <v>0</v>
      </c>
      <c r="B451">
        <v>0</v>
      </c>
      <c r="C451">
        <v>0</v>
      </c>
      <c r="D451">
        <v>0</v>
      </c>
    </row>
    <row r="452" spans="1:4" x14ac:dyDescent="0.25">
      <c r="A452">
        <v>0</v>
      </c>
      <c r="B452">
        <v>0</v>
      </c>
      <c r="C452">
        <v>0</v>
      </c>
      <c r="D452">
        <v>0</v>
      </c>
    </row>
    <row r="453" spans="1:4" x14ac:dyDescent="0.25">
      <c r="A453">
        <v>0</v>
      </c>
      <c r="B453">
        <v>0</v>
      </c>
      <c r="C453">
        <v>0</v>
      </c>
      <c r="D453">
        <v>0</v>
      </c>
    </row>
    <row r="454" spans="1:4" x14ac:dyDescent="0.25">
      <c r="A454">
        <v>0</v>
      </c>
      <c r="B454">
        <v>0</v>
      </c>
      <c r="C454">
        <v>0</v>
      </c>
      <c r="D454">
        <v>0</v>
      </c>
    </row>
    <row r="455" spans="1:4" x14ac:dyDescent="0.25">
      <c r="A455">
        <v>0</v>
      </c>
      <c r="B455">
        <v>0</v>
      </c>
      <c r="C455">
        <v>0</v>
      </c>
      <c r="D455">
        <v>0</v>
      </c>
    </row>
    <row r="456" spans="1:4" x14ac:dyDescent="0.25">
      <c r="A456">
        <v>0</v>
      </c>
      <c r="B456">
        <v>0</v>
      </c>
      <c r="C456">
        <v>0</v>
      </c>
      <c r="D456">
        <v>0</v>
      </c>
    </row>
    <row r="457" spans="1:4" x14ac:dyDescent="0.25">
      <c r="A457">
        <v>0</v>
      </c>
      <c r="B457">
        <v>0</v>
      </c>
      <c r="C457">
        <v>0</v>
      </c>
      <c r="D457">
        <v>0</v>
      </c>
    </row>
    <row r="458" spans="1:4" x14ac:dyDescent="0.25">
      <c r="A458">
        <v>0</v>
      </c>
      <c r="B458">
        <v>0</v>
      </c>
      <c r="C458">
        <v>0</v>
      </c>
      <c r="D458">
        <v>0</v>
      </c>
    </row>
    <row r="459" spans="1:4" x14ac:dyDescent="0.25">
      <c r="A459">
        <v>0</v>
      </c>
      <c r="B459">
        <v>0</v>
      </c>
      <c r="C459">
        <v>0</v>
      </c>
      <c r="D459">
        <v>0</v>
      </c>
    </row>
    <row r="460" spans="1:4" x14ac:dyDescent="0.25">
      <c r="A460">
        <v>0</v>
      </c>
      <c r="B460">
        <v>0</v>
      </c>
      <c r="C460">
        <v>0</v>
      </c>
      <c r="D460">
        <v>0</v>
      </c>
    </row>
    <row r="461" spans="1:4" x14ac:dyDescent="0.25">
      <c r="A461">
        <v>0</v>
      </c>
      <c r="B461">
        <v>0</v>
      </c>
      <c r="C461">
        <v>0</v>
      </c>
      <c r="D461">
        <v>0</v>
      </c>
    </row>
    <row r="462" spans="1:4" x14ac:dyDescent="0.25">
      <c r="A462">
        <v>0</v>
      </c>
      <c r="B462">
        <v>0</v>
      </c>
      <c r="C462">
        <v>0</v>
      </c>
      <c r="D462">
        <v>0</v>
      </c>
    </row>
    <row r="463" spans="1:4" x14ac:dyDescent="0.25">
      <c r="A463">
        <v>0</v>
      </c>
      <c r="B463">
        <v>0</v>
      </c>
      <c r="C463">
        <v>0</v>
      </c>
      <c r="D463">
        <v>0</v>
      </c>
    </row>
    <row r="464" spans="1:4" x14ac:dyDescent="0.25">
      <c r="A464">
        <v>0</v>
      </c>
      <c r="B464">
        <v>0</v>
      </c>
      <c r="C464">
        <v>0</v>
      </c>
      <c r="D464">
        <v>0</v>
      </c>
    </row>
    <row r="465" spans="1:4" x14ac:dyDescent="0.25">
      <c r="A465">
        <v>0</v>
      </c>
      <c r="B465">
        <v>0</v>
      </c>
      <c r="C465">
        <v>0</v>
      </c>
      <c r="D465">
        <v>0</v>
      </c>
    </row>
    <row r="466" spans="1:4" x14ac:dyDescent="0.25">
      <c r="A466">
        <v>0</v>
      </c>
      <c r="B466">
        <v>0</v>
      </c>
      <c r="C466">
        <v>0</v>
      </c>
      <c r="D466">
        <v>0</v>
      </c>
    </row>
    <row r="467" spans="1:4" x14ac:dyDescent="0.25">
      <c r="A467">
        <v>0</v>
      </c>
      <c r="B467">
        <v>0</v>
      </c>
      <c r="C467">
        <v>0</v>
      </c>
      <c r="D467">
        <v>0</v>
      </c>
    </row>
    <row r="468" spans="1:4" x14ac:dyDescent="0.25">
      <c r="A468">
        <v>0</v>
      </c>
      <c r="B468">
        <v>0</v>
      </c>
      <c r="C468">
        <v>0</v>
      </c>
      <c r="D468">
        <v>0</v>
      </c>
    </row>
    <row r="469" spans="1:4" x14ac:dyDescent="0.25">
      <c r="A469">
        <v>0</v>
      </c>
      <c r="B469">
        <v>0</v>
      </c>
      <c r="C469">
        <v>0</v>
      </c>
      <c r="D469">
        <v>0</v>
      </c>
    </row>
    <row r="470" spans="1:4" x14ac:dyDescent="0.25">
      <c r="A470">
        <v>0</v>
      </c>
      <c r="B470">
        <v>0</v>
      </c>
      <c r="C470">
        <v>0</v>
      </c>
      <c r="D470">
        <v>0</v>
      </c>
    </row>
    <row r="471" spans="1:4" x14ac:dyDescent="0.25">
      <c r="A471">
        <v>0</v>
      </c>
      <c r="B471">
        <v>0</v>
      </c>
      <c r="C471">
        <v>0</v>
      </c>
      <c r="D471">
        <v>0</v>
      </c>
    </row>
    <row r="472" spans="1:4" x14ac:dyDescent="0.25">
      <c r="A472">
        <v>0</v>
      </c>
      <c r="B472">
        <v>0</v>
      </c>
      <c r="C472">
        <v>0</v>
      </c>
      <c r="D472">
        <v>0</v>
      </c>
    </row>
    <row r="473" spans="1:4" x14ac:dyDescent="0.25">
      <c r="A473">
        <v>0</v>
      </c>
      <c r="B473">
        <v>0</v>
      </c>
      <c r="C473">
        <v>0</v>
      </c>
      <c r="D473">
        <v>0</v>
      </c>
    </row>
    <row r="474" spans="1:4" x14ac:dyDescent="0.25">
      <c r="A474">
        <v>0</v>
      </c>
      <c r="B474">
        <v>0</v>
      </c>
      <c r="C474">
        <v>0</v>
      </c>
      <c r="D474">
        <v>0</v>
      </c>
    </row>
    <row r="475" spans="1:4" x14ac:dyDescent="0.25">
      <c r="A475">
        <v>0</v>
      </c>
      <c r="B475">
        <v>0</v>
      </c>
      <c r="C475">
        <v>0</v>
      </c>
      <c r="D475">
        <v>0</v>
      </c>
    </row>
    <row r="476" spans="1:4" x14ac:dyDescent="0.25">
      <c r="A476">
        <v>0</v>
      </c>
      <c r="B476">
        <v>0</v>
      </c>
      <c r="C476">
        <v>0</v>
      </c>
      <c r="D476">
        <v>0</v>
      </c>
    </row>
    <row r="477" spans="1:4" x14ac:dyDescent="0.25">
      <c r="A477">
        <v>0</v>
      </c>
      <c r="B477">
        <v>0</v>
      </c>
      <c r="C477">
        <v>0</v>
      </c>
      <c r="D477">
        <v>0</v>
      </c>
    </row>
    <row r="478" spans="1:4" x14ac:dyDescent="0.25">
      <c r="A478">
        <v>0</v>
      </c>
      <c r="B478">
        <v>0</v>
      </c>
      <c r="C478">
        <v>0</v>
      </c>
      <c r="D478">
        <v>0</v>
      </c>
    </row>
    <row r="479" spans="1:4" x14ac:dyDescent="0.25">
      <c r="A479">
        <v>0</v>
      </c>
      <c r="B479">
        <v>0</v>
      </c>
      <c r="C479">
        <v>0</v>
      </c>
      <c r="D479">
        <v>0</v>
      </c>
    </row>
    <row r="480" spans="1:4" x14ac:dyDescent="0.25">
      <c r="A480">
        <v>0</v>
      </c>
      <c r="B480">
        <v>0</v>
      </c>
      <c r="C480">
        <v>0</v>
      </c>
      <c r="D480">
        <v>0</v>
      </c>
    </row>
    <row r="481" spans="1:4" x14ac:dyDescent="0.25">
      <c r="A481">
        <v>0</v>
      </c>
      <c r="B481">
        <v>0</v>
      </c>
      <c r="C481">
        <v>0</v>
      </c>
      <c r="D481">
        <v>0</v>
      </c>
    </row>
    <row r="482" spans="1:4" x14ac:dyDescent="0.25">
      <c r="A482">
        <v>0</v>
      </c>
      <c r="B482">
        <v>0</v>
      </c>
      <c r="C482">
        <v>0</v>
      </c>
      <c r="D482">
        <v>0</v>
      </c>
    </row>
    <row r="483" spans="1:4" x14ac:dyDescent="0.25">
      <c r="A483">
        <v>0</v>
      </c>
      <c r="B483">
        <v>0</v>
      </c>
      <c r="C483">
        <v>0</v>
      </c>
      <c r="D483">
        <v>0</v>
      </c>
    </row>
    <row r="484" spans="1:4" x14ac:dyDescent="0.25">
      <c r="A484">
        <v>0</v>
      </c>
      <c r="B484">
        <v>0</v>
      </c>
      <c r="C484">
        <v>0</v>
      </c>
      <c r="D484">
        <v>0</v>
      </c>
    </row>
    <row r="485" spans="1:4" x14ac:dyDescent="0.25">
      <c r="A485">
        <v>0</v>
      </c>
      <c r="B485">
        <v>0</v>
      </c>
      <c r="C485">
        <v>0</v>
      </c>
      <c r="D485">
        <v>0</v>
      </c>
    </row>
    <row r="486" spans="1:4" x14ac:dyDescent="0.25">
      <c r="A486">
        <v>0</v>
      </c>
      <c r="B486">
        <v>0</v>
      </c>
      <c r="C486">
        <v>0</v>
      </c>
      <c r="D486">
        <v>0</v>
      </c>
    </row>
    <row r="487" spans="1:4" x14ac:dyDescent="0.25">
      <c r="A487">
        <v>0</v>
      </c>
      <c r="B487">
        <v>0</v>
      </c>
      <c r="C487">
        <v>0</v>
      </c>
      <c r="D487">
        <v>0</v>
      </c>
    </row>
    <row r="488" spans="1:4" x14ac:dyDescent="0.25">
      <c r="A488">
        <v>0</v>
      </c>
      <c r="B488">
        <v>0</v>
      </c>
      <c r="C488">
        <v>0</v>
      </c>
      <c r="D488">
        <v>0</v>
      </c>
    </row>
    <row r="489" spans="1:4" x14ac:dyDescent="0.25">
      <c r="A489">
        <v>0</v>
      </c>
      <c r="B489">
        <v>0</v>
      </c>
      <c r="C489">
        <v>0</v>
      </c>
      <c r="D489">
        <v>0</v>
      </c>
    </row>
    <row r="490" spans="1:4" x14ac:dyDescent="0.25">
      <c r="A490">
        <v>0</v>
      </c>
      <c r="B490">
        <v>0</v>
      </c>
      <c r="C490">
        <v>0</v>
      </c>
      <c r="D490">
        <v>0</v>
      </c>
    </row>
    <row r="491" spans="1:4" x14ac:dyDescent="0.25">
      <c r="A491">
        <v>0</v>
      </c>
      <c r="B491">
        <v>0</v>
      </c>
      <c r="C491">
        <v>0</v>
      </c>
      <c r="D491">
        <v>0</v>
      </c>
    </row>
    <row r="492" spans="1:4" x14ac:dyDescent="0.25">
      <c r="A492">
        <v>0</v>
      </c>
      <c r="B492">
        <v>0</v>
      </c>
      <c r="C492">
        <v>0</v>
      </c>
      <c r="D492">
        <v>0</v>
      </c>
    </row>
    <row r="493" spans="1:4" x14ac:dyDescent="0.25">
      <c r="A493">
        <v>0</v>
      </c>
      <c r="B493">
        <v>0</v>
      </c>
      <c r="C493">
        <v>0</v>
      </c>
      <c r="D493">
        <v>0</v>
      </c>
    </row>
    <row r="494" spans="1:4" x14ac:dyDescent="0.25">
      <c r="A494">
        <v>0</v>
      </c>
      <c r="B494">
        <v>0</v>
      </c>
      <c r="C494">
        <v>0</v>
      </c>
      <c r="D494">
        <v>0</v>
      </c>
    </row>
    <row r="495" spans="1:4" x14ac:dyDescent="0.25">
      <c r="A495">
        <v>0</v>
      </c>
      <c r="B495">
        <v>0</v>
      </c>
      <c r="C495">
        <v>0</v>
      </c>
      <c r="D495">
        <v>0</v>
      </c>
    </row>
    <row r="496" spans="1:4" x14ac:dyDescent="0.25">
      <c r="A496">
        <v>0</v>
      </c>
      <c r="B496">
        <v>0</v>
      </c>
      <c r="C496">
        <v>0</v>
      </c>
      <c r="D496">
        <v>0</v>
      </c>
    </row>
    <row r="497" spans="1:4" x14ac:dyDescent="0.25">
      <c r="A497">
        <v>0</v>
      </c>
      <c r="B497">
        <v>0</v>
      </c>
      <c r="C497">
        <v>0</v>
      </c>
      <c r="D497">
        <v>0</v>
      </c>
    </row>
    <row r="498" spans="1:4" x14ac:dyDescent="0.25">
      <c r="A498">
        <v>0</v>
      </c>
      <c r="B498">
        <v>0</v>
      </c>
      <c r="C498">
        <v>0</v>
      </c>
      <c r="D498">
        <v>0</v>
      </c>
    </row>
    <row r="499" spans="1:4" x14ac:dyDescent="0.25">
      <c r="A499">
        <v>0</v>
      </c>
      <c r="B499">
        <v>0</v>
      </c>
      <c r="C499">
        <v>0</v>
      </c>
      <c r="D499">
        <v>0</v>
      </c>
    </row>
    <row r="500" spans="1:4" x14ac:dyDescent="0.25">
      <c r="A500">
        <v>0</v>
      </c>
      <c r="B500">
        <v>0</v>
      </c>
      <c r="C500">
        <v>0</v>
      </c>
      <c r="D500">
        <v>0</v>
      </c>
    </row>
    <row r="501" spans="1:4" x14ac:dyDescent="0.25">
      <c r="A501">
        <v>0</v>
      </c>
      <c r="B501">
        <v>0</v>
      </c>
      <c r="C501">
        <v>0</v>
      </c>
      <c r="D501">
        <v>0</v>
      </c>
    </row>
    <row r="502" spans="1:4" x14ac:dyDescent="0.25">
      <c r="A502">
        <v>0</v>
      </c>
      <c r="B502">
        <v>0</v>
      </c>
      <c r="C502">
        <v>0</v>
      </c>
      <c r="D502">
        <v>0</v>
      </c>
    </row>
    <row r="503" spans="1:4" x14ac:dyDescent="0.25">
      <c r="A503">
        <v>0</v>
      </c>
      <c r="B503">
        <v>0</v>
      </c>
      <c r="C503">
        <v>0</v>
      </c>
      <c r="D503">
        <v>0</v>
      </c>
    </row>
    <row r="504" spans="1:4" x14ac:dyDescent="0.25">
      <c r="A504">
        <v>0</v>
      </c>
      <c r="B504">
        <v>0</v>
      </c>
      <c r="C504">
        <v>0</v>
      </c>
      <c r="D504">
        <v>0</v>
      </c>
    </row>
    <row r="505" spans="1:4" x14ac:dyDescent="0.25">
      <c r="A505">
        <v>0</v>
      </c>
      <c r="B505">
        <v>0</v>
      </c>
      <c r="C505">
        <v>0</v>
      </c>
      <c r="D505">
        <v>0</v>
      </c>
    </row>
    <row r="506" spans="1:4" x14ac:dyDescent="0.25">
      <c r="A506">
        <v>0</v>
      </c>
      <c r="B506">
        <v>0</v>
      </c>
      <c r="C506">
        <v>0</v>
      </c>
      <c r="D506">
        <v>0</v>
      </c>
    </row>
    <row r="507" spans="1:4" x14ac:dyDescent="0.25">
      <c r="A507">
        <v>0</v>
      </c>
      <c r="B507">
        <v>0</v>
      </c>
      <c r="C507">
        <v>0</v>
      </c>
      <c r="D507">
        <v>0</v>
      </c>
    </row>
    <row r="508" spans="1:4" x14ac:dyDescent="0.25">
      <c r="A508">
        <v>0</v>
      </c>
      <c r="B508">
        <v>0</v>
      </c>
      <c r="C508">
        <v>0</v>
      </c>
      <c r="D508">
        <v>0</v>
      </c>
    </row>
    <row r="509" spans="1:4" x14ac:dyDescent="0.25">
      <c r="A509">
        <v>0</v>
      </c>
      <c r="B509">
        <v>0</v>
      </c>
      <c r="C509">
        <v>0</v>
      </c>
      <c r="D509">
        <v>0</v>
      </c>
    </row>
    <row r="510" spans="1:4" x14ac:dyDescent="0.25">
      <c r="A510">
        <v>0</v>
      </c>
      <c r="B510">
        <v>0</v>
      </c>
      <c r="C510">
        <v>0</v>
      </c>
      <c r="D510">
        <v>0</v>
      </c>
    </row>
    <row r="511" spans="1:4" x14ac:dyDescent="0.25">
      <c r="A511">
        <v>0</v>
      </c>
      <c r="B511">
        <v>0</v>
      </c>
      <c r="C511">
        <v>0</v>
      </c>
      <c r="D511">
        <v>0</v>
      </c>
    </row>
    <row r="512" spans="1:4" x14ac:dyDescent="0.25">
      <c r="A512">
        <v>0</v>
      </c>
      <c r="B512">
        <v>0</v>
      </c>
      <c r="C512">
        <v>0</v>
      </c>
      <c r="D512">
        <v>0</v>
      </c>
    </row>
    <row r="513" spans="1:4" x14ac:dyDescent="0.25">
      <c r="A513">
        <v>0</v>
      </c>
      <c r="B513">
        <v>0</v>
      </c>
      <c r="C513">
        <v>0</v>
      </c>
      <c r="D513">
        <v>0</v>
      </c>
    </row>
    <row r="514" spans="1:4" x14ac:dyDescent="0.25">
      <c r="A514">
        <v>0</v>
      </c>
      <c r="B514">
        <v>0</v>
      </c>
      <c r="C514">
        <v>0</v>
      </c>
      <c r="D514">
        <v>0</v>
      </c>
    </row>
    <row r="515" spans="1:4" x14ac:dyDescent="0.25">
      <c r="A515">
        <v>0</v>
      </c>
      <c r="B515">
        <v>0</v>
      </c>
      <c r="C515">
        <v>0</v>
      </c>
      <c r="D515">
        <v>0</v>
      </c>
    </row>
    <row r="516" spans="1:4" x14ac:dyDescent="0.25">
      <c r="A516">
        <v>0</v>
      </c>
      <c r="B516">
        <v>0</v>
      </c>
      <c r="C516">
        <v>0</v>
      </c>
      <c r="D516">
        <v>0</v>
      </c>
    </row>
    <row r="517" spans="1:4" x14ac:dyDescent="0.25">
      <c r="A517">
        <v>0</v>
      </c>
      <c r="B517">
        <v>0</v>
      </c>
      <c r="C517">
        <v>0</v>
      </c>
      <c r="D517">
        <v>0</v>
      </c>
    </row>
    <row r="518" spans="1:4" x14ac:dyDescent="0.25">
      <c r="A518">
        <v>0</v>
      </c>
      <c r="B518">
        <v>0</v>
      </c>
      <c r="C518">
        <v>0</v>
      </c>
      <c r="D518">
        <v>0</v>
      </c>
    </row>
    <row r="519" spans="1:4" x14ac:dyDescent="0.25">
      <c r="A519">
        <v>0</v>
      </c>
      <c r="B519">
        <v>0</v>
      </c>
      <c r="C519">
        <v>0</v>
      </c>
      <c r="D519">
        <v>0</v>
      </c>
    </row>
    <row r="520" spans="1:4" x14ac:dyDescent="0.25">
      <c r="A520">
        <v>0</v>
      </c>
      <c r="B520">
        <v>0</v>
      </c>
      <c r="C520">
        <v>0</v>
      </c>
      <c r="D520">
        <v>0</v>
      </c>
    </row>
    <row r="521" spans="1:4" x14ac:dyDescent="0.25">
      <c r="A521">
        <v>0</v>
      </c>
      <c r="B521">
        <v>0</v>
      </c>
      <c r="C521">
        <v>0</v>
      </c>
      <c r="D521">
        <v>0</v>
      </c>
    </row>
    <row r="522" spans="1:4" x14ac:dyDescent="0.25">
      <c r="A522">
        <v>0</v>
      </c>
      <c r="B522">
        <v>0</v>
      </c>
      <c r="C522">
        <v>0</v>
      </c>
      <c r="D522">
        <v>0</v>
      </c>
    </row>
    <row r="523" spans="1:4" x14ac:dyDescent="0.25">
      <c r="A523">
        <v>0</v>
      </c>
      <c r="B523">
        <v>0</v>
      </c>
      <c r="C523">
        <v>0</v>
      </c>
      <c r="D523">
        <v>0</v>
      </c>
    </row>
    <row r="524" spans="1:4" x14ac:dyDescent="0.25">
      <c r="A524">
        <v>0</v>
      </c>
      <c r="B524">
        <v>0</v>
      </c>
      <c r="C524">
        <v>0</v>
      </c>
      <c r="D524">
        <v>0</v>
      </c>
    </row>
    <row r="525" spans="1:4" x14ac:dyDescent="0.25">
      <c r="A525">
        <v>0</v>
      </c>
      <c r="B525">
        <v>0</v>
      </c>
      <c r="C525">
        <v>0</v>
      </c>
      <c r="D525">
        <v>0</v>
      </c>
    </row>
    <row r="526" spans="1:4" x14ac:dyDescent="0.25">
      <c r="A526">
        <v>0</v>
      </c>
      <c r="B526">
        <v>0</v>
      </c>
      <c r="C526">
        <v>0</v>
      </c>
      <c r="D526">
        <v>0</v>
      </c>
    </row>
    <row r="527" spans="1:4" x14ac:dyDescent="0.25">
      <c r="A527">
        <v>0</v>
      </c>
      <c r="B527">
        <v>0</v>
      </c>
      <c r="C527">
        <v>0</v>
      </c>
      <c r="D527">
        <v>0</v>
      </c>
    </row>
    <row r="528" spans="1:4" x14ac:dyDescent="0.25">
      <c r="A528">
        <v>0</v>
      </c>
      <c r="B528">
        <v>0</v>
      </c>
      <c r="C528">
        <v>0</v>
      </c>
      <c r="D528">
        <v>0</v>
      </c>
    </row>
    <row r="529" spans="1:4" x14ac:dyDescent="0.25">
      <c r="A529">
        <v>0</v>
      </c>
      <c r="B529">
        <v>0</v>
      </c>
      <c r="C529">
        <v>0</v>
      </c>
      <c r="D529">
        <v>0</v>
      </c>
    </row>
    <row r="530" spans="1:4" x14ac:dyDescent="0.25">
      <c r="A530">
        <v>0</v>
      </c>
      <c r="B530">
        <v>0</v>
      </c>
      <c r="C530">
        <v>0</v>
      </c>
      <c r="D530">
        <v>0</v>
      </c>
    </row>
    <row r="531" spans="1:4" x14ac:dyDescent="0.25">
      <c r="A531">
        <v>0</v>
      </c>
      <c r="B531">
        <v>0</v>
      </c>
      <c r="C531">
        <v>0</v>
      </c>
      <c r="D531">
        <v>0</v>
      </c>
    </row>
    <row r="532" spans="1:4" x14ac:dyDescent="0.25">
      <c r="A532">
        <v>0</v>
      </c>
      <c r="B532">
        <v>0</v>
      </c>
      <c r="C532">
        <v>0</v>
      </c>
      <c r="D532">
        <v>0</v>
      </c>
    </row>
    <row r="533" spans="1:4" x14ac:dyDescent="0.25">
      <c r="A533">
        <v>0</v>
      </c>
      <c r="B533">
        <v>0</v>
      </c>
      <c r="C533">
        <v>0</v>
      </c>
      <c r="D533">
        <v>0</v>
      </c>
    </row>
    <row r="534" spans="1:4" x14ac:dyDescent="0.25">
      <c r="A534">
        <v>0</v>
      </c>
      <c r="B534">
        <v>0</v>
      </c>
      <c r="C534">
        <v>0</v>
      </c>
      <c r="D534">
        <v>0</v>
      </c>
    </row>
    <row r="535" spans="1:4" x14ac:dyDescent="0.25">
      <c r="A535">
        <v>0</v>
      </c>
      <c r="B535">
        <v>0</v>
      </c>
      <c r="C535">
        <v>0</v>
      </c>
      <c r="D535">
        <v>0</v>
      </c>
    </row>
    <row r="536" spans="1:4" x14ac:dyDescent="0.25">
      <c r="A536">
        <v>0</v>
      </c>
      <c r="B536">
        <v>0</v>
      </c>
      <c r="C536">
        <v>0</v>
      </c>
      <c r="D536">
        <v>0</v>
      </c>
    </row>
    <row r="537" spans="1:4" x14ac:dyDescent="0.25">
      <c r="A537">
        <v>0</v>
      </c>
      <c r="B537">
        <v>0</v>
      </c>
      <c r="C537">
        <v>0</v>
      </c>
      <c r="D537">
        <v>0</v>
      </c>
    </row>
    <row r="538" spans="1:4" x14ac:dyDescent="0.25">
      <c r="A538">
        <v>0</v>
      </c>
      <c r="B538">
        <v>0</v>
      </c>
      <c r="C538">
        <v>0</v>
      </c>
      <c r="D538">
        <v>0</v>
      </c>
    </row>
    <row r="539" spans="1:4" x14ac:dyDescent="0.25">
      <c r="A539">
        <v>0</v>
      </c>
      <c r="B539">
        <v>0</v>
      </c>
      <c r="C539">
        <v>0</v>
      </c>
      <c r="D539">
        <v>0</v>
      </c>
    </row>
    <row r="540" spans="1:4" x14ac:dyDescent="0.25">
      <c r="A540">
        <v>0</v>
      </c>
      <c r="B540">
        <v>0</v>
      </c>
      <c r="C540">
        <v>0</v>
      </c>
      <c r="D540">
        <v>0</v>
      </c>
    </row>
    <row r="541" spans="1:4" x14ac:dyDescent="0.25">
      <c r="A541">
        <v>0</v>
      </c>
      <c r="B541">
        <v>0</v>
      </c>
      <c r="C541">
        <v>0</v>
      </c>
      <c r="D541">
        <v>0</v>
      </c>
    </row>
    <row r="542" spans="1:4" x14ac:dyDescent="0.25">
      <c r="A542">
        <v>0</v>
      </c>
      <c r="B542">
        <v>0</v>
      </c>
      <c r="C542">
        <v>0</v>
      </c>
      <c r="D542">
        <v>0</v>
      </c>
    </row>
    <row r="543" spans="1:4" x14ac:dyDescent="0.25">
      <c r="A543">
        <v>0</v>
      </c>
      <c r="B543">
        <v>0</v>
      </c>
      <c r="C543">
        <v>0</v>
      </c>
      <c r="D543">
        <v>0</v>
      </c>
    </row>
    <row r="544" spans="1:4" x14ac:dyDescent="0.25">
      <c r="A544">
        <v>0</v>
      </c>
      <c r="B544">
        <v>0</v>
      </c>
      <c r="C544">
        <v>0</v>
      </c>
      <c r="D544">
        <v>0</v>
      </c>
    </row>
    <row r="545" spans="1:4" x14ac:dyDescent="0.25">
      <c r="A545">
        <v>0</v>
      </c>
      <c r="B545">
        <v>0</v>
      </c>
      <c r="C545">
        <v>0</v>
      </c>
      <c r="D545">
        <v>0</v>
      </c>
    </row>
    <row r="546" spans="1:4" x14ac:dyDescent="0.25">
      <c r="A546">
        <v>0</v>
      </c>
      <c r="B546">
        <v>0</v>
      </c>
      <c r="C546">
        <v>0</v>
      </c>
      <c r="D546">
        <v>0</v>
      </c>
    </row>
    <row r="547" spans="1:4" x14ac:dyDescent="0.25">
      <c r="A547">
        <v>0</v>
      </c>
      <c r="B547">
        <v>0</v>
      </c>
      <c r="C547">
        <v>0</v>
      </c>
      <c r="D547">
        <v>0</v>
      </c>
    </row>
    <row r="548" spans="1:4" x14ac:dyDescent="0.25">
      <c r="A548">
        <v>0</v>
      </c>
      <c r="B548">
        <v>0</v>
      </c>
      <c r="C548">
        <v>0</v>
      </c>
      <c r="D548">
        <v>0</v>
      </c>
    </row>
    <row r="549" spans="1:4" x14ac:dyDescent="0.25">
      <c r="A549">
        <v>0</v>
      </c>
      <c r="B549">
        <v>0</v>
      </c>
      <c r="C549">
        <v>0</v>
      </c>
      <c r="D549">
        <v>0</v>
      </c>
    </row>
    <row r="550" spans="1:4" x14ac:dyDescent="0.25">
      <c r="A550">
        <v>0</v>
      </c>
      <c r="B550">
        <v>0</v>
      </c>
      <c r="C550">
        <v>0</v>
      </c>
      <c r="D550">
        <v>0</v>
      </c>
    </row>
    <row r="551" spans="1:4" x14ac:dyDescent="0.25">
      <c r="A551">
        <v>0</v>
      </c>
      <c r="B551">
        <v>0</v>
      </c>
      <c r="C551">
        <v>0</v>
      </c>
      <c r="D551">
        <v>0</v>
      </c>
    </row>
    <row r="552" spans="1:4" x14ac:dyDescent="0.25">
      <c r="A552">
        <v>0</v>
      </c>
      <c r="B552">
        <v>0</v>
      </c>
      <c r="C552">
        <v>0</v>
      </c>
      <c r="D552">
        <v>0</v>
      </c>
    </row>
    <row r="553" spans="1:4" x14ac:dyDescent="0.25">
      <c r="A553">
        <v>0</v>
      </c>
      <c r="B553">
        <v>0</v>
      </c>
      <c r="C553">
        <v>0</v>
      </c>
      <c r="D553">
        <v>0</v>
      </c>
    </row>
    <row r="554" spans="1:4" x14ac:dyDescent="0.25">
      <c r="A554">
        <v>0</v>
      </c>
      <c r="B554">
        <v>0</v>
      </c>
      <c r="C554">
        <v>0</v>
      </c>
      <c r="D554">
        <v>0</v>
      </c>
    </row>
    <row r="555" spans="1:4" x14ac:dyDescent="0.25">
      <c r="A555">
        <v>0</v>
      </c>
      <c r="B555">
        <v>0</v>
      </c>
      <c r="C555">
        <v>0</v>
      </c>
      <c r="D555">
        <v>0</v>
      </c>
    </row>
    <row r="556" spans="1:4" x14ac:dyDescent="0.25">
      <c r="A556">
        <v>0</v>
      </c>
      <c r="B556">
        <v>0</v>
      </c>
      <c r="C556">
        <v>0</v>
      </c>
      <c r="D556">
        <v>0</v>
      </c>
    </row>
    <row r="557" spans="1:4" x14ac:dyDescent="0.25">
      <c r="A557">
        <v>0</v>
      </c>
      <c r="B557">
        <v>0</v>
      </c>
      <c r="C557">
        <v>0</v>
      </c>
      <c r="D557">
        <v>0</v>
      </c>
    </row>
    <row r="558" spans="1:4" x14ac:dyDescent="0.25">
      <c r="A558">
        <v>0</v>
      </c>
      <c r="B558">
        <v>0</v>
      </c>
      <c r="C558">
        <v>0</v>
      </c>
      <c r="D558">
        <v>0</v>
      </c>
    </row>
    <row r="559" spans="1:4" x14ac:dyDescent="0.25">
      <c r="A559">
        <v>0</v>
      </c>
      <c r="B559">
        <v>0</v>
      </c>
      <c r="C559">
        <v>0</v>
      </c>
      <c r="D559">
        <v>0</v>
      </c>
    </row>
    <row r="560" spans="1:4" x14ac:dyDescent="0.25">
      <c r="A560">
        <v>0</v>
      </c>
      <c r="B560">
        <v>0</v>
      </c>
      <c r="C560">
        <v>0</v>
      </c>
      <c r="D560">
        <v>0</v>
      </c>
    </row>
    <row r="561" spans="1:4" x14ac:dyDescent="0.25">
      <c r="A561">
        <v>0</v>
      </c>
      <c r="B561">
        <v>0</v>
      </c>
      <c r="C561">
        <v>0</v>
      </c>
      <c r="D561">
        <v>0</v>
      </c>
    </row>
    <row r="562" spans="1:4" x14ac:dyDescent="0.25">
      <c r="A562">
        <v>0</v>
      </c>
      <c r="B562">
        <v>0</v>
      </c>
      <c r="C562">
        <v>0</v>
      </c>
      <c r="D562">
        <v>0</v>
      </c>
    </row>
    <row r="563" spans="1:4" x14ac:dyDescent="0.25">
      <c r="A563">
        <v>0</v>
      </c>
      <c r="B563">
        <v>0</v>
      </c>
      <c r="C563">
        <v>0</v>
      </c>
      <c r="D563">
        <v>0</v>
      </c>
    </row>
    <row r="564" spans="1:4" x14ac:dyDescent="0.25">
      <c r="A564">
        <v>0</v>
      </c>
      <c r="B564">
        <v>0</v>
      </c>
      <c r="C564">
        <v>0</v>
      </c>
      <c r="D564">
        <v>0</v>
      </c>
    </row>
    <row r="565" spans="1:4" x14ac:dyDescent="0.25">
      <c r="A565">
        <v>0</v>
      </c>
      <c r="B565">
        <v>0</v>
      </c>
      <c r="C565">
        <v>0</v>
      </c>
      <c r="D565">
        <v>0</v>
      </c>
    </row>
    <row r="566" spans="1:4" x14ac:dyDescent="0.25">
      <c r="A566">
        <v>0</v>
      </c>
      <c r="B566">
        <v>0</v>
      </c>
      <c r="C566">
        <v>0</v>
      </c>
      <c r="D566">
        <v>0</v>
      </c>
    </row>
    <row r="567" spans="1:4" x14ac:dyDescent="0.25">
      <c r="A567">
        <v>0</v>
      </c>
      <c r="B567">
        <v>0</v>
      </c>
      <c r="C567">
        <v>0</v>
      </c>
      <c r="D567">
        <v>0</v>
      </c>
    </row>
    <row r="568" spans="1:4" x14ac:dyDescent="0.25">
      <c r="A568">
        <v>0</v>
      </c>
      <c r="B568">
        <v>0</v>
      </c>
      <c r="C568">
        <v>0</v>
      </c>
      <c r="D568">
        <v>0</v>
      </c>
    </row>
    <row r="569" spans="1:4" x14ac:dyDescent="0.25">
      <c r="A569">
        <v>0</v>
      </c>
      <c r="B569">
        <v>0</v>
      </c>
      <c r="C569">
        <v>0</v>
      </c>
      <c r="D569">
        <v>0</v>
      </c>
    </row>
    <row r="570" spans="1:4" x14ac:dyDescent="0.25">
      <c r="A570">
        <v>0</v>
      </c>
      <c r="B570">
        <v>0</v>
      </c>
      <c r="C570">
        <v>0</v>
      </c>
      <c r="D570">
        <v>0</v>
      </c>
    </row>
    <row r="571" spans="1:4" x14ac:dyDescent="0.25">
      <c r="A571">
        <v>0</v>
      </c>
      <c r="B571">
        <v>0</v>
      </c>
      <c r="C571">
        <v>0</v>
      </c>
      <c r="D571">
        <v>0</v>
      </c>
    </row>
    <row r="572" spans="1:4" x14ac:dyDescent="0.25">
      <c r="A572">
        <v>0</v>
      </c>
      <c r="B572">
        <v>0</v>
      </c>
      <c r="C572">
        <v>0</v>
      </c>
      <c r="D572">
        <v>0</v>
      </c>
    </row>
    <row r="573" spans="1:4" x14ac:dyDescent="0.25">
      <c r="A573">
        <v>0</v>
      </c>
      <c r="B573">
        <v>0</v>
      </c>
      <c r="C573">
        <v>0</v>
      </c>
      <c r="D573">
        <v>0</v>
      </c>
    </row>
    <row r="574" spans="1:4" x14ac:dyDescent="0.25">
      <c r="A574">
        <v>0</v>
      </c>
      <c r="B574">
        <v>0</v>
      </c>
      <c r="C574">
        <v>0</v>
      </c>
      <c r="D574">
        <v>0</v>
      </c>
    </row>
    <row r="575" spans="1:4" x14ac:dyDescent="0.25">
      <c r="A575">
        <v>0</v>
      </c>
      <c r="B575">
        <v>0</v>
      </c>
      <c r="C575">
        <v>0</v>
      </c>
      <c r="D575">
        <v>0</v>
      </c>
    </row>
    <row r="576" spans="1:4" x14ac:dyDescent="0.25">
      <c r="A576">
        <v>0</v>
      </c>
      <c r="B576">
        <v>0</v>
      </c>
      <c r="C576">
        <v>0</v>
      </c>
      <c r="D576">
        <v>0</v>
      </c>
    </row>
    <row r="577" spans="1:4" x14ac:dyDescent="0.25">
      <c r="A577">
        <v>0</v>
      </c>
      <c r="B577">
        <v>0</v>
      </c>
      <c r="C577">
        <v>0</v>
      </c>
      <c r="D577">
        <v>0</v>
      </c>
    </row>
    <row r="578" spans="1:4" x14ac:dyDescent="0.25">
      <c r="A578">
        <v>0</v>
      </c>
      <c r="B578">
        <v>0</v>
      </c>
      <c r="C578">
        <v>0</v>
      </c>
      <c r="D578">
        <v>0</v>
      </c>
    </row>
    <row r="579" spans="1:4" x14ac:dyDescent="0.25">
      <c r="A579">
        <v>0</v>
      </c>
      <c r="B579">
        <v>0</v>
      </c>
      <c r="C579">
        <v>0</v>
      </c>
      <c r="D579">
        <v>0</v>
      </c>
    </row>
    <row r="580" spans="1:4" x14ac:dyDescent="0.25">
      <c r="A580">
        <v>0</v>
      </c>
      <c r="B580">
        <v>0</v>
      </c>
      <c r="C580">
        <v>0</v>
      </c>
      <c r="D580">
        <v>0</v>
      </c>
    </row>
    <row r="581" spans="1:4" x14ac:dyDescent="0.25">
      <c r="A581">
        <v>0</v>
      </c>
      <c r="B581">
        <v>0</v>
      </c>
      <c r="C581">
        <v>0</v>
      </c>
      <c r="D581">
        <v>0</v>
      </c>
    </row>
    <row r="582" spans="1:4" x14ac:dyDescent="0.25">
      <c r="A582">
        <v>0</v>
      </c>
      <c r="B582">
        <v>0</v>
      </c>
      <c r="C582">
        <v>0</v>
      </c>
      <c r="D582">
        <v>0</v>
      </c>
    </row>
    <row r="583" spans="1:4" x14ac:dyDescent="0.25">
      <c r="A583">
        <v>0</v>
      </c>
      <c r="B583">
        <v>0</v>
      </c>
      <c r="C583">
        <v>0</v>
      </c>
      <c r="D583">
        <v>0</v>
      </c>
    </row>
    <row r="584" spans="1:4" x14ac:dyDescent="0.25">
      <c r="A584">
        <v>0</v>
      </c>
      <c r="B584">
        <v>0</v>
      </c>
      <c r="C584">
        <v>0</v>
      </c>
      <c r="D584">
        <v>0</v>
      </c>
    </row>
    <row r="585" spans="1:4" x14ac:dyDescent="0.25">
      <c r="A585">
        <v>0</v>
      </c>
      <c r="B585">
        <v>0</v>
      </c>
      <c r="C585">
        <v>0</v>
      </c>
      <c r="D585">
        <v>0</v>
      </c>
    </row>
    <row r="586" spans="1:4" x14ac:dyDescent="0.25">
      <c r="A586">
        <v>0</v>
      </c>
      <c r="B586">
        <v>0</v>
      </c>
      <c r="C586">
        <v>0</v>
      </c>
      <c r="D586">
        <v>0</v>
      </c>
    </row>
    <row r="587" spans="1:4" x14ac:dyDescent="0.25">
      <c r="A587">
        <v>0</v>
      </c>
      <c r="B587">
        <v>0</v>
      </c>
      <c r="C587">
        <v>0</v>
      </c>
      <c r="D587">
        <v>0</v>
      </c>
    </row>
    <row r="588" spans="1:4" x14ac:dyDescent="0.25">
      <c r="A588">
        <v>0</v>
      </c>
      <c r="B588">
        <v>0</v>
      </c>
      <c r="C588">
        <v>0</v>
      </c>
      <c r="D588">
        <v>0</v>
      </c>
    </row>
    <row r="589" spans="1:4" x14ac:dyDescent="0.25">
      <c r="A589">
        <v>0</v>
      </c>
      <c r="B589">
        <v>0</v>
      </c>
      <c r="C589">
        <v>0</v>
      </c>
      <c r="D589">
        <v>0</v>
      </c>
    </row>
    <row r="590" spans="1:4" x14ac:dyDescent="0.25">
      <c r="A590">
        <v>0</v>
      </c>
      <c r="B590">
        <v>0</v>
      </c>
      <c r="C590">
        <v>0</v>
      </c>
      <c r="D590">
        <v>0</v>
      </c>
    </row>
    <row r="591" spans="1:4" x14ac:dyDescent="0.25">
      <c r="A591">
        <v>0</v>
      </c>
      <c r="B591">
        <v>0</v>
      </c>
      <c r="C591">
        <v>0</v>
      </c>
      <c r="D591">
        <v>0</v>
      </c>
    </row>
    <row r="592" spans="1:4" x14ac:dyDescent="0.25">
      <c r="A592">
        <v>0</v>
      </c>
      <c r="B592">
        <v>0</v>
      </c>
      <c r="C592">
        <v>0</v>
      </c>
      <c r="D592">
        <v>0</v>
      </c>
    </row>
    <row r="593" spans="1:4" x14ac:dyDescent="0.25">
      <c r="A593">
        <v>0</v>
      </c>
      <c r="B593">
        <v>0</v>
      </c>
      <c r="C593">
        <v>0</v>
      </c>
      <c r="D593">
        <v>0</v>
      </c>
    </row>
    <row r="594" spans="1:4" x14ac:dyDescent="0.25">
      <c r="A594">
        <v>0</v>
      </c>
      <c r="B594">
        <v>0</v>
      </c>
      <c r="C594">
        <v>0</v>
      </c>
      <c r="D594">
        <v>0</v>
      </c>
    </row>
    <row r="595" spans="1:4" x14ac:dyDescent="0.25">
      <c r="A595">
        <v>0</v>
      </c>
      <c r="B595">
        <v>0</v>
      </c>
      <c r="C595">
        <v>0</v>
      </c>
      <c r="D595">
        <v>0</v>
      </c>
    </row>
    <row r="596" spans="1:4" x14ac:dyDescent="0.25">
      <c r="A596">
        <v>0</v>
      </c>
      <c r="B596">
        <v>0</v>
      </c>
      <c r="C596">
        <v>0</v>
      </c>
      <c r="D596">
        <v>0</v>
      </c>
    </row>
    <row r="597" spans="1:4" x14ac:dyDescent="0.25">
      <c r="A597">
        <v>0</v>
      </c>
      <c r="B597">
        <v>0</v>
      </c>
      <c r="C597">
        <v>0</v>
      </c>
      <c r="D597">
        <v>0</v>
      </c>
    </row>
    <row r="598" spans="1:4" x14ac:dyDescent="0.25">
      <c r="A598">
        <v>0</v>
      </c>
      <c r="B598">
        <v>0</v>
      </c>
      <c r="C598">
        <v>0</v>
      </c>
      <c r="D598">
        <v>0</v>
      </c>
    </row>
    <row r="599" spans="1:4" x14ac:dyDescent="0.25">
      <c r="A599">
        <v>0</v>
      </c>
      <c r="B599">
        <v>0</v>
      </c>
      <c r="C599">
        <v>0</v>
      </c>
      <c r="D599">
        <v>0</v>
      </c>
    </row>
    <row r="600" spans="1:4" x14ac:dyDescent="0.25">
      <c r="A600">
        <v>0</v>
      </c>
      <c r="B600">
        <v>0</v>
      </c>
      <c r="C600">
        <v>0</v>
      </c>
      <c r="D600">
        <v>0</v>
      </c>
    </row>
    <row r="601" spans="1:4" x14ac:dyDescent="0.25">
      <c r="A601">
        <v>0</v>
      </c>
      <c r="B601">
        <v>0</v>
      </c>
      <c r="C601">
        <v>0</v>
      </c>
      <c r="D601">
        <v>0</v>
      </c>
    </row>
    <row r="602" spans="1:4" x14ac:dyDescent="0.25">
      <c r="A602">
        <v>0</v>
      </c>
      <c r="B602">
        <v>0</v>
      </c>
      <c r="C602">
        <v>0</v>
      </c>
      <c r="D602">
        <v>0</v>
      </c>
    </row>
    <row r="603" spans="1:4" x14ac:dyDescent="0.25">
      <c r="A603">
        <v>0</v>
      </c>
      <c r="B603">
        <v>0</v>
      </c>
      <c r="C603">
        <v>0</v>
      </c>
      <c r="D603">
        <v>0</v>
      </c>
    </row>
    <row r="604" spans="1:4" x14ac:dyDescent="0.25">
      <c r="A604">
        <v>0</v>
      </c>
      <c r="B604">
        <v>0</v>
      </c>
      <c r="C604">
        <v>0</v>
      </c>
      <c r="D604">
        <v>0</v>
      </c>
    </row>
    <row r="605" spans="1:4" x14ac:dyDescent="0.25">
      <c r="A605">
        <v>0</v>
      </c>
      <c r="B605">
        <v>0</v>
      </c>
      <c r="C605">
        <v>0</v>
      </c>
      <c r="D605">
        <v>0</v>
      </c>
    </row>
    <row r="606" spans="1:4" x14ac:dyDescent="0.25">
      <c r="A606">
        <v>0</v>
      </c>
      <c r="B606">
        <v>0</v>
      </c>
      <c r="C606">
        <v>0</v>
      </c>
      <c r="D606">
        <v>0</v>
      </c>
    </row>
    <row r="607" spans="1:4" x14ac:dyDescent="0.25">
      <c r="A607">
        <v>0</v>
      </c>
      <c r="B607">
        <v>0</v>
      </c>
      <c r="C607">
        <v>0</v>
      </c>
      <c r="D607">
        <v>0</v>
      </c>
    </row>
    <row r="608" spans="1:4" x14ac:dyDescent="0.25">
      <c r="A608">
        <v>0</v>
      </c>
      <c r="B608">
        <v>0</v>
      </c>
      <c r="C608">
        <v>0</v>
      </c>
      <c r="D608">
        <v>0</v>
      </c>
    </row>
    <row r="609" spans="1:4" x14ac:dyDescent="0.25">
      <c r="A609">
        <v>0</v>
      </c>
      <c r="B609">
        <v>0</v>
      </c>
      <c r="C609">
        <v>0</v>
      </c>
      <c r="D609">
        <v>0</v>
      </c>
    </row>
    <row r="610" spans="1:4" x14ac:dyDescent="0.25">
      <c r="A610">
        <v>0</v>
      </c>
      <c r="B610">
        <v>0</v>
      </c>
      <c r="C610">
        <v>0</v>
      </c>
      <c r="D610">
        <v>0</v>
      </c>
    </row>
    <row r="611" spans="1:4" x14ac:dyDescent="0.25">
      <c r="A611">
        <v>0</v>
      </c>
      <c r="B611">
        <v>0</v>
      </c>
      <c r="C611">
        <v>0</v>
      </c>
      <c r="D611">
        <v>0</v>
      </c>
    </row>
    <row r="612" spans="1:4" x14ac:dyDescent="0.25">
      <c r="A612">
        <v>0</v>
      </c>
      <c r="B612">
        <v>0</v>
      </c>
      <c r="C612">
        <v>0</v>
      </c>
      <c r="D612">
        <v>0</v>
      </c>
    </row>
    <row r="613" spans="1:4" x14ac:dyDescent="0.25">
      <c r="A613">
        <v>0</v>
      </c>
      <c r="B613">
        <v>0</v>
      </c>
      <c r="C613">
        <v>0</v>
      </c>
      <c r="D613">
        <v>0</v>
      </c>
    </row>
    <row r="614" spans="1:4" x14ac:dyDescent="0.25">
      <c r="A614">
        <v>0</v>
      </c>
      <c r="B614">
        <v>0</v>
      </c>
      <c r="C614">
        <v>0</v>
      </c>
      <c r="D614">
        <v>0</v>
      </c>
    </row>
    <row r="615" spans="1:4" x14ac:dyDescent="0.25">
      <c r="A615">
        <v>0</v>
      </c>
      <c r="B615">
        <v>0</v>
      </c>
      <c r="C615">
        <v>0</v>
      </c>
      <c r="D615">
        <v>0</v>
      </c>
    </row>
    <row r="616" spans="1:4" x14ac:dyDescent="0.25">
      <c r="A616">
        <v>0</v>
      </c>
      <c r="B616">
        <v>0</v>
      </c>
      <c r="C616">
        <v>0</v>
      </c>
      <c r="D616">
        <v>0</v>
      </c>
    </row>
    <row r="617" spans="1:4" x14ac:dyDescent="0.25">
      <c r="A617">
        <v>0</v>
      </c>
      <c r="B617">
        <v>0</v>
      </c>
      <c r="C617">
        <v>0</v>
      </c>
      <c r="D617">
        <v>0</v>
      </c>
    </row>
    <row r="618" spans="1:4" x14ac:dyDescent="0.25">
      <c r="A618">
        <v>0</v>
      </c>
      <c r="B618">
        <v>0</v>
      </c>
      <c r="C618">
        <v>0</v>
      </c>
      <c r="D618">
        <v>0</v>
      </c>
    </row>
    <row r="619" spans="1:4" x14ac:dyDescent="0.25">
      <c r="A619">
        <v>0</v>
      </c>
      <c r="B619">
        <v>0</v>
      </c>
      <c r="C619">
        <v>0</v>
      </c>
      <c r="D619">
        <v>0</v>
      </c>
    </row>
    <row r="620" spans="1:4" x14ac:dyDescent="0.25">
      <c r="A620">
        <v>0</v>
      </c>
      <c r="B620">
        <v>0</v>
      </c>
      <c r="C620">
        <v>0</v>
      </c>
      <c r="D620">
        <v>0</v>
      </c>
    </row>
    <row r="621" spans="1:4" x14ac:dyDescent="0.25">
      <c r="A621">
        <v>0</v>
      </c>
      <c r="B621">
        <v>0</v>
      </c>
      <c r="C621">
        <v>0</v>
      </c>
      <c r="D621">
        <v>0</v>
      </c>
    </row>
    <row r="622" spans="1:4" x14ac:dyDescent="0.25">
      <c r="A622">
        <v>0</v>
      </c>
      <c r="B622">
        <v>0</v>
      </c>
      <c r="C622">
        <v>0</v>
      </c>
      <c r="D622">
        <v>0</v>
      </c>
    </row>
    <row r="623" spans="1:4" x14ac:dyDescent="0.25">
      <c r="A623">
        <v>0</v>
      </c>
      <c r="B623">
        <v>0</v>
      </c>
      <c r="C623">
        <v>0</v>
      </c>
      <c r="D623">
        <v>0</v>
      </c>
    </row>
    <row r="624" spans="1:4" x14ac:dyDescent="0.25">
      <c r="A624">
        <v>0</v>
      </c>
      <c r="B624">
        <v>0</v>
      </c>
      <c r="C624">
        <v>0</v>
      </c>
      <c r="D624">
        <v>0</v>
      </c>
    </row>
    <row r="625" spans="1:4" x14ac:dyDescent="0.25">
      <c r="A625">
        <v>0</v>
      </c>
      <c r="B625">
        <v>0</v>
      </c>
      <c r="C625">
        <v>0</v>
      </c>
      <c r="D625">
        <v>0</v>
      </c>
    </row>
    <row r="626" spans="1:4" x14ac:dyDescent="0.25">
      <c r="A626">
        <v>0</v>
      </c>
      <c r="B626">
        <v>0</v>
      </c>
      <c r="C626">
        <v>0</v>
      </c>
      <c r="D626">
        <v>0</v>
      </c>
    </row>
    <row r="627" spans="1:4" x14ac:dyDescent="0.25">
      <c r="A627">
        <v>0</v>
      </c>
      <c r="B627">
        <v>0</v>
      </c>
      <c r="C627">
        <v>0</v>
      </c>
      <c r="D627">
        <v>0</v>
      </c>
    </row>
    <row r="628" spans="1:4" x14ac:dyDescent="0.25">
      <c r="A628">
        <v>0</v>
      </c>
      <c r="B628">
        <v>0</v>
      </c>
      <c r="C628">
        <v>0</v>
      </c>
      <c r="D628">
        <v>0</v>
      </c>
    </row>
    <row r="629" spans="1:4" x14ac:dyDescent="0.25">
      <c r="A629">
        <v>0</v>
      </c>
      <c r="B629">
        <v>0</v>
      </c>
      <c r="C629">
        <v>0</v>
      </c>
      <c r="D629">
        <v>0</v>
      </c>
    </row>
    <row r="630" spans="1:4" x14ac:dyDescent="0.25">
      <c r="A630">
        <v>0</v>
      </c>
      <c r="B630">
        <v>0</v>
      </c>
      <c r="C630">
        <v>0</v>
      </c>
      <c r="D630">
        <v>0</v>
      </c>
    </row>
    <row r="631" spans="1:4" x14ac:dyDescent="0.25">
      <c r="A631">
        <v>0</v>
      </c>
      <c r="B631">
        <v>0</v>
      </c>
      <c r="C631">
        <v>0</v>
      </c>
      <c r="D631">
        <v>0</v>
      </c>
    </row>
    <row r="632" spans="1:4" x14ac:dyDescent="0.25">
      <c r="A632">
        <v>0</v>
      </c>
      <c r="B632">
        <v>0</v>
      </c>
      <c r="C632">
        <v>0</v>
      </c>
      <c r="D632">
        <v>0</v>
      </c>
    </row>
    <row r="633" spans="1:4" x14ac:dyDescent="0.25">
      <c r="A633">
        <v>0</v>
      </c>
      <c r="B633">
        <v>0</v>
      </c>
      <c r="C633">
        <v>0</v>
      </c>
      <c r="D633">
        <v>0</v>
      </c>
    </row>
    <row r="634" spans="1:4" x14ac:dyDescent="0.25">
      <c r="A634">
        <v>0</v>
      </c>
      <c r="B634">
        <v>0</v>
      </c>
      <c r="C634">
        <v>0</v>
      </c>
      <c r="D634">
        <v>0</v>
      </c>
    </row>
    <row r="635" spans="1:4" x14ac:dyDescent="0.25">
      <c r="A635">
        <v>0</v>
      </c>
      <c r="B635">
        <v>0</v>
      </c>
      <c r="C635">
        <v>0</v>
      </c>
      <c r="D635">
        <v>0</v>
      </c>
    </row>
    <row r="636" spans="1:4" x14ac:dyDescent="0.25">
      <c r="A636">
        <v>0</v>
      </c>
      <c r="B636">
        <v>0</v>
      </c>
      <c r="C636">
        <v>0</v>
      </c>
      <c r="D636">
        <v>0</v>
      </c>
    </row>
    <row r="637" spans="1:4" x14ac:dyDescent="0.25">
      <c r="A637">
        <v>0</v>
      </c>
      <c r="B637">
        <v>0</v>
      </c>
      <c r="C637">
        <v>0</v>
      </c>
      <c r="D637">
        <v>0</v>
      </c>
    </row>
    <row r="638" spans="1:4" x14ac:dyDescent="0.25">
      <c r="A638">
        <v>0</v>
      </c>
      <c r="B638">
        <v>0</v>
      </c>
      <c r="C638">
        <v>0</v>
      </c>
      <c r="D638">
        <v>0</v>
      </c>
    </row>
    <row r="639" spans="1:4" x14ac:dyDescent="0.25">
      <c r="A639">
        <v>0</v>
      </c>
      <c r="B639">
        <v>0</v>
      </c>
      <c r="C639">
        <v>0</v>
      </c>
      <c r="D639">
        <v>0</v>
      </c>
    </row>
    <row r="640" spans="1:4" x14ac:dyDescent="0.25">
      <c r="A640">
        <v>0</v>
      </c>
      <c r="B640">
        <v>0</v>
      </c>
      <c r="C640">
        <v>0</v>
      </c>
      <c r="D640">
        <v>0</v>
      </c>
    </row>
    <row r="641" spans="1:4" x14ac:dyDescent="0.25">
      <c r="A641">
        <v>0</v>
      </c>
      <c r="B641">
        <v>0</v>
      </c>
      <c r="C641">
        <v>0</v>
      </c>
      <c r="D641">
        <v>0</v>
      </c>
    </row>
    <row r="642" spans="1:4" x14ac:dyDescent="0.25">
      <c r="A642">
        <v>0</v>
      </c>
      <c r="B642">
        <v>0</v>
      </c>
      <c r="C642">
        <v>0</v>
      </c>
      <c r="D642">
        <v>0</v>
      </c>
    </row>
    <row r="643" spans="1:4" x14ac:dyDescent="0.25">
      <c r="A643">
        <v>0</v>
      </c>
      <c r="B643">
        <v>0</v>
      </c>
      <c r="C643">
        <v>0</v>
      </c>
      <c r="D643">
        <v>0</v>
      </c>
    </row>
    <row r="644" spans="1:4" x14ac:dyDescent="0.25">
      <c r="A644">
        <v>0</v>
      </c>
      <c r="B644">
        <v>0</v>
      </c>
      <c r="C644">
        <v>0</v>
      </c>
      <c r="D644">
        <v>0</v>
      </c>
    </row>
    <row r="645" spans="1:4" x14ac:dyDescent="0.25">
      <c r="A645">
        <v>0</v>
      </c>
      <c r="B645">
        <v>0</v>
      </c>
      <c r="C645">
        <v>0</v>
      </c>
      <c r="D645">
        <v>0</v>
      </c>
    </row>
    <row r="646" spans="1:4" x14ac:dyDescent="0.25">
      <c r="A646">
        <v>0</v>
      </c>
      <c r="B646">
        <v>0</v>
      </c>
      <c r="C646">
        <v>0</v>
      </c>
      <c r="D646">
        <v>0</v>
      </c>
    </row>
    <row r="647" spans="1:4" x14ac:dyDescent="0.25">
      <c r="A647">
        <v>0</v>
      </c>
      <c r="B647">
        <v>0</v>
      </c>
      <c r="C647">
        <v>0</v>
      </c>
      <c r="D647">
        <v>0</v>
      </c>
    </row>
    <row r="648" spans="1:4" x14ac:dyDescent="0.25">
      <c r="A648">
        <v>0</v>
      </c>
      <c r="B648">
        <v>0</v>
      </c>
      <c r="C648">
        <v>0</v>
      </c>
      <c r="D648">
        <v>0</v>
      </c>
    </row>
    <row r="649" spans="1:4" x14ac:dyDescent="0.25">
      <c r="A649">
        <v>0</v>
      </c>
      <c r="B649">
        <v>0</v>
      </c>
      <c r="C649">
        <v>0</v>
      </c>
      <c r="D649">
        <v>0</v>
      </c>
    </row>
    <row r="650" spans="1:4" x14ac:dyDescent="0.25">
      <c r="A650">
        <v>0</v>
      </c>
      <c r="B650">
        <v>0</v>
      </c>
      <c r="C650">
        <v>0</v>
      </c>
      <c r="D650">
        <v>0</v>
      </c>
    </row>
    <row r="651" spans="1:4" x14ac:dyDescent="0.25">
      <c r="A651">
        <v>0</v>
      </c>
      <c r="B651">
        <v>0</v>
      </c>
      <c r="C651">
        <v>0</v>
      </c>
      <c r="D651">
        <v>0</v>
      </c>
    </row>
    <row r="652" spans="1:4" x14ac:dyDescent="0.25">
      <c r="A652">
        <v>0</v>
      </c>
      <c r="B652">
        <v>0</v>
      </c>
      <c r="C652">
        <v>0</v>
      </c>
      <c r="D652">
        <v>0</v>
      </c>
    </row>
    <row r="653" spans="1:4" x14ac:dyDescent="0.25">
      <c r="A653">
        <v>0</v>
      </c>
      <c r="B653">
        <v>0</v>
      </c>
      <c r="C653">
        <v>0</v>
      </c>
      <c r="D653">
        <v>0</v>
      </c>
    </row>
    <row r="654" spans="1:4" x14ac:dyDescent="0.25">
      <c r="A654">
        <v>0</v>
      </c>
      <c r="B654">
        <v>0</v>
      </c>
      <c r="C654">
        <v>0</v>
      </c>
      <c r="D654">
        <v>0</v>
      </c>
    </row>
    <row r="655" spans="1:4" x14ac:dyDescent="0.25">
      <c r="A655">
        <v>0</v>
      </c>
      <c r="B655">
        <v>0</v>
      </c>
      <c r="C655">
        <v>0</v>
      </c>
      <c r="D655">
        <v>0</v>
      </c>
    </row>
    <row r="656" spans="1:4" x14ac:dyDescent="0.25">
      <c r="A656">
        <v>0</v>
      </c>
      <c r="B656">
        <v>0</v>
      </c>
      <c r="C656">
        <v>0</v>
      </c>
      <c r="D656">
        <v>0</v>
      </c>
    </row>
    <row r="657" spans="1:4" x14ac:dyDescent="0.25">
      <c r="A657">
        <v>0</v>
      </c>
      <c r="B657">
        <v>0</v>
      </c>
      <c r="C657">
        <v>0</v>
      </c>
      <c r="D657">
        <v>0</v>
      </c>
    </row>
    <row r="658" spans="1:4" x14ac:dyDescent="0.25">
      <c r="A658">
        <v>0</v>
      </c>
      <c r="B658">
        <v>0</v>
      </c>
      <c r="C658">
        <v>0</v>
      </c>
      <c r="D658">
        <v>0</v>
      </c>
    </row>
    <row r="659" spans="1:4" x14ac:dyDescent="0.25">
      <c r="A659">
        <v>0</v>
      </c>
      <c r="B659">
        <v>0</v>
      </c>
      <c r="C659">
        <v>0</v>
      </c>
      <c r="D659">
        <v>0</v>
      </c>
    </row>
    <row r="660" spans="1:4" x14ac:dyDescent="0.25">
      <c r="A660">
        <v>0</v>
      </c>
      <c r="B660">
        <v>0</v>
      </c>
      <c r="C660">
        <v>0</v>
      </c>
      <c r="D660">
        <v>0</v>
      </c>
    </row>
    <row r="661" spans="1:4" x14ac:dyDescent="0.25">
      <c r="A661">
        <v>0</v>
      </c>
      <c r="B661">
        <v>0</v>
      </c>
      <c r="C661">
        <v>0</v>
      </c>
      <c r="D661">
        <v>0</v>
      </c>
    </row>
    <row r="662" spans="1:4" x14ac:dyDescent="0.25">
      <c r="A662">
        <v>0</v>
      </c>
      <c r="B662">
        <v>0</v>
      </c>
      <c r="C662">
        <v>0</v>
      </c>
      <c r="D662">
        <v>0</v>
      </c>
    </row>
    <row r="663" spans="1:4" x14ac:dyDescent="0.25">
      <c r="A663">
        <v>0</v>
      </c>
      <c r="B663">
        <v>0</v>
      </c>
      <c r="C663">
        <v>0</v>
      </c>
      <c r="D663">
        <v>0</v>
      </c>
    </row>
    <row r="664" spans="1:4" x14ac:dyDescent="0.25">
      <c r="A664">
        <v>0</v>
      </c>
      <c r="B664">
        <v>0</v>
      </c>
      <c r="C664">
        <v>0</v>
      </c>
      <c r="D664">
        <v>0</v>
      </c>
    </row>
    <row r="665" spans="1:4" x14ac:dyDescent="0.25">
      <c r="A665">
        <v>0</v>
      </c>
      <c r="B665">
        <v>0</v>
      </c>
      <c r="C665">
        <v>0</v>
      </c>
      <c r="D665">
        <v>0</v>
      </c>
    </row>
    <row r="666" spans="1:4" x14ac:dyDescent="0.25">
      <c r="A666">
        <v>0</v>
      </c>
      <c r="B666">
        <v>0</v>
      </c>
      <c r="C666">
        <v>0</v>
      </c>
      <c r="D666">
        <v>0</v>
      </c>
    </row>
    <row r="667" spans="1:4" x14ac:dyDescent="0.25">
      <c r="A667">
        <v>0</v>
      </c>
      <c r="B667">
        <v>0</v>
      </c>
      <c r="C667">
        <v>0</v>
      </c>
      <c r="D667">
        <v>0</v>
      </c>
    </row>
    <row r="668" spans="1:4" x14ac:dyDescent="0.25">
      <c r="A668">
        <v>0</v>
      </c>
      <c r="B668">
        <v>0</v>
      </c>
      <c r="C668">
        <v>0</v>
      </c>
      <c r="D668">
        <v>0</v>
      </c>
    </row>
    <row r="669" spans="1:4" x14ac:dyDescent="0.25">
      <c r="A669">
        <v>0</v>
      </c>
      <c r="B669">
        <v>0</v>
      </c>
      <c r="C669">
        <v>0</v>
      </c>
      <c r="D669">
        <v>0</v>
      </c>
    </row>
    <row r="670" spans="1:4" x14ac:dyDescent="0.25">
      <c r="A670">
        <v>0</v>
      </c>
      <c r="B670">
        <v>0</v>
      </c>
      <c r="C670">
        <v>0</v>
      </c>
      <c r="D670">
        <v>0</v>
      </c>
    </row>
    <row r="671" spans="1:4" x14ac:dyDescent="0.25">
      <c r="A671">
        <v>0</v>
      </c>
      <c r="B671">
        <v>0</v>
      </c>
      <c r="C671">
        <v>0</v>
      </c>
      <c r="D671">
        <v>0</v>
      </c>
    </row>
    <row r="672" spans="1:4" x14ac:dyDescent="0.25">
      <c r="A672">
        <v>0</v>
      </c>
      <c r="B672">
        <v>0</v>
      </c>
      <c r="C672">
        <v>0</v>
      </c>
      <c r="D672">
        <v>0</v>
      </c>
    </row>
    <row r="673" spans="1:4" x14ac:dyDescent="0.25">
      <c r="A673">
        <v>0</v>
      </c>
      <c r="B673">
        <v>0</v>
      </c>
      <c r="C673">
        <v>0</v>
      </c>
      <c r="D673">
        <v>0</v>
      </c>
    </row>
    <row r="674" spans="1:4" x14ac:dyDescent="0.25">
      <c r="A674">
        <v>0</v>
      </c>
      <c r="B674">
        <v>0</v>
      </c>
      <c r="C674">
        <v>0</v>
      </c>
      <c r="D674">
        <v>0</v>
      </c>
    </row>
    <row r="675" spans="1:4" x14ac:dyDescent="0.25">
      <c r="A675">
        <v>0</v>
      </c>
      <c r="B675">
        <v>0</v>
      </c>
      <c r="C675">
        <v>0</v>
      </c>
      <c r="D675">
        <v>0</v>
      </c>
    </row>
    <row r="676" spans="1:4" x14ac:dyDescent="0.25">
      <c r="A676">
        <v>0</v>
      </c>
      <c r="B676">
        <v>0</v>
      </c>
      <c r="C676">
        <v>0</v>
      </c>
      <c r="D676">
        <v>0</v>
      </c>
    </row>
    <row r="677" spans="1:4" x14ac:dyDescent="0.25">
      <c r="A677">
        <v>0</v>
      </c>
      <c r="B677">
        <v>0</v>
      </c>
      <c r="C677">
        <v>0</v>
      </c>
      <c r="D677">
        <v>0</v>
      </c>
    </row>
    <row r="678" spans="1:4" x14ac:dyDescent="0.25">
      <c r="A678">
        <v>0</v>
      </c>
      <c r="B678">
        <v>0</v>
      </c>
      <c r="C678">
        <v>0</v>
      </c>
      <c r="D678">
        <v>0</v>
      </c>
    </row>
    <row r="679" spans="1:4" x14ac:dyDescent="0.25">
      <c r="A679">
        <v>0</v>
      </c>
      <c r="B679">
        <v>0</v>
      </c>
      <c r="C679">
        <v>0</v>
      </c>
      <c r="D679">
        <v>0</v>
      </c>
    </row>
    <row r="680" spans="1:4" x14ac:dyDescent="0.25">
      <c r="A680">
        <v>0</v>
      </c>
      <c r="B680">
        <v>0</v>
      </c>
      <c r="C680">
        <v>0</v>
      </c>
      <c r="D680">
        <v>0</v>
      </c>
    </row>
    <row r="681" spans="1:4" x14ac:dyDescent="0.25">
      <c r="A681">
        <v>0</v>
      </c>
      <c r="B681">
        <v>0</v>
      </c>
      <c r="C681">
        <v>0</v>
      </c>
      <c r="D681">
        <v>0</v>
      </c>
    </row>
    <row r="682" spans="1:4" x14ac:dyDescent="0.25">
      <c r="A682">
        <v>0</v>
      </c>
      <c r="B682">
        <v>0</v>
      </c>
      <c r="C682">
        <v>0</v>
      </c>
      <c r="D682">
        <v>0</v>
      </c>
    </row>
    <row r="683" spans="1:4" x14ac:dyDescent="0.25">
      <c r="A683">
        <v>0</v>
      </c>
      <c r="B683">
        <v>0</v>
      </c>
      <c r="C683">
        <v>0</v>
      </c>
      <c r="D683">
        <v>0</v>
      </c>
    </row>
    <row r="684" spans="1:4" x14ac:dyDescent="0.25">
      <c r="A684">
        <v>0</v>
      </c>
      <c r="B684">
        <v>0</v>
      </c>
      <c r="C684">
        <v>0</v>
      </c>
      <c r="D684">
        <v>0</v>
      </c>
    </row>
    <row r="685" spans="1:4" x14ac:dyDescent="0.25">
      <c r="A685">
        <v>0</v>
      </c>
      <c r="B685">
        <v>0</v>
      </c>
      <c r="C685">
        <v>0</v>
      </c>
      <c r="D685">
        <v>0</v>
      </c>
    </row>
    <row r="686" spans="1:4" x14ac:dyDescent="0.25">
      <c r="A686">
        <v>0</v>
      </c>
      <c r="B686">
        <v>0</v>
      </c>
      <c r="C686">
        <v>0</v>
      </c>
      <c r="D686">
        <v>0</v>
      </c>
    </row>
    <row r="687" spans="1:4" x14ac:dyDescent="0.25">
      <c r="A687">
        <v>0</v>
      </c>
      <c r="B687">
        <v>0</v>
      </c>
      <c r="C687">
        <v>0</v>
      </c>
      <c r="D687">
        <v>0</v>
      </c>
    </row>
    <row r="688" spans="1:4" x14ac:dyDescent="0.25">
      <c r="A688">
        <v>0</v>
      </c>
      <c r="B688">
        <v>0</v>
      </c>
      <c r="C688">
        <v>0</v>
      </c>
      <c r="D688">
        <v>0</v>
      </c>
    </row>
    <row r="689" spans="1:4" x14ac:dyDescent="0.25">
      <c r="A689">
        <v>0</v>
      </c>
      <c r="B689">
        <v>0</v>
      </c>
      <c r="C689">
        <v>0</v>
      </c>
      <c r="D689">
        <v>0</v>
      </c>
    </row>
    <row r="690" spans="1:4" x14ac:dyDescent="0.25">
      <c r="A690">
        <v>0</v>
      </c>
      <c r="B690">
        <v>0</v>
      </c>
      <c r="C690">
        <v>0</v>
      </c>
      <c r="D690">
        <v>0</v>
      </c>
    </row>
    <row r="691" spans="1:4" x14ac:dyDescent="0.25">
      <c r="A691">
        <v>0</v>
      </c>
      <c r="B691">
        <v>0</v>
      </c>
      <c r="C691">
        <v>0</v>
      </c>
      <c r="D691">
        <v>0</v>
      </c>
    </row>
    <row r="692" spans="1:4" x14ac:dyDescent="0.25">
      <c r="A692">
        <v>0</v>
      </c>
      <c r="B692">
        <v>0</v>
      </c>
      <c r="C692">
        <v>0</v>
      </c>
      <c r="D692">
        <v>0</v>
      </c>
    </row>
    <row r="693" spans="1:4" x14ac:dyDescent="0.25">
      <c r="A693">
        <v>0</v>
      </c>
      <c r="B693">
        <v>0</v>
      </c>
      <c r="C693">
        <v>0</v>
      </c>
      <c r="D693">
        <v>0</v>
      </c>
    </row>
    <row r="694" spans="1:4" x14ac:dyDescent="0.25">
      <c r="A694">
        <v>0</v>
      </c>
      <c r="B694">
        <v>0</v>
      </c>
      <c r="C694">
        <v>0</v>
      </c>
      <c r="D694">
        <v>0</v>
      </c>
    </row>
    <row r="695" spans="1:4" x14ac:dyDescent="0.25">
      <c r="A695">
        <v>0</v>
      </c>
      <c r="B695">
        <v>0</v>
      </c>
      <c r="C695">
        <v>0</v>
      </c>
      <c r="D695">
        <v>0</v>
      </c>
    </row>
    <row r="696" spans="1:4" x14ac:dyDescent="0.25">
      <c r="A696">
        <v>0</v>
      </c>
      <c r="B696">
        <v>0</v>
      </c>
      <c r="C696">
        <v>0</v>
      </c>
      <c r="D696">
        <v>0</v>
      </c>
    </row>
    <row r="697" spans="1:4" x14ac:dyDescent="0.25">
      <c r="A697">
        <v>0</v>
      </c>
      <c r="B697">
        <v>0</v>
      </c>
      <c r="C697">
        <v>0</v>
      </c>
      <c r="D697">
        <v>0</v>
      </c>
    </row>
    <row r="698" spans="1:4" x14ac:dyDescent="0.25">
      <c r="A698">
        <v>0</v>
      </c>
      <c r="B698">
        <v>0</v>
      </c>
      <c r="C698">
        <v>0</v>
      </c>
      <c r="D698">
        <v>0</v>
      </c>
    </row>
    <row r="699" spans="1:4" x14ac:dyDescent="0.25">
      <c r="A699">
        <v>0</v>
      </c>
      <c r="B699">
        <v>0</v>
      </c>
      <c r="C699">
        <v>0</v>
      </c>
      <c r="D699">
        <v>0</v>
      </c>
    </row>
    <row r="700" spans="1:4" x14ac:dyDescent="0.25">
      <c r="A700">
        <v>0</v>
      </c>
      <c r="B700">
        <v>0</v>
      </c>
      <c r="C700">
        <v>0</v>
      </c>
      <c r="D700">
        <v>0</v>
      </c>
    </row>
    <row r="701" spans="1:4" x14ac:dyDescent="0.25">
      <c r="A701">
        <v>0</v>
      </c>
      <c r="B701">
        <v>0</v>
      </c>
      <c r="C701">
        <v>0</v>
      </c>
      <c r="D701">
        <v>0</v>
      </c>
    </row>
    <row r="702" spans="1:4" x14ac:dyDescent="0.25">
      <c r="A702">
        <v>0</v>
      </c>
      <c r="B702">
        <v>0</v>
      </c>
      <c r="C702">
        <v>0</v>
      </c>
      <c r="D702">
        <v>0</v>
      </c>
    </row>
    <row r="703" spans="1:4" x14ac:dyDescent="0.25">
      <c r="A703">
        <v>0</v>
      </c>
      <c r="B703">
        <v>0</v>
      </c>
      <c r="C703">
        <v>0</v>
      </c>
      <c r="D703">
        <v>0</v>
      </c>
    </row>
    <row r="704" spans="1:4" x14ac:dyDescent="0.25">
      <c r="A704">
        <v>0</v>
      </c>
      <c r="B704">
        <v>0</v>
      </c>
      <c r="C704">
        <v>0</v>
      </c>
      <c r="D704">
        <v>0</v>
      </c>
    </row>
    <row r="705" spans="1:4" x14ac:dyDescent="0.25">
      <c r="A705">
        <v>0</v>
      </c>
      <c r="B705">
        <v>0</v>
      </c>
      <c r="C705">
        <v>0</v>
      </c>
      <c r="D705">
        <v>0</v>
      </c>
    </row>
    <row r="706" spans="1:4" x14ac:dyDescent="0.25">
      <c r="A706">
        <v>0</v>
      </c>
      <c r="B706">
        <v>0</v>
      </c>
      <c r="C706">
        <v>0</v>
      </c>
      <c r="D706">
        <v>0</v>
      </c>
    </row>
    <row r="707" spans="1:4" x14ac:dyDescent="0.25">
      <c r="A707">
        <v>0</v>
      </c>
      <c r="B707">
        <v>0</v>
      </c>
      <c r="C707">
        <v>0</v>
      </c>
      <c r="D707">
        <v>0</v>
      </c>
    </row>
    <row r="708" spans="1:4" x14ac:dyDescent="0.25">
      <c r="A708">
        <v>0</v>
      </c>
      <c r="B708">
        <v>0</v>
      </c>
      <c r="C708">
        <v>0</v>
      </c>
      <c r="D708">
        <v>0</v>
      </c>
    </row>
    <row r="709" spans="1:4" x14ac:dyDescent="0.25">
      <c r="A709">
        <v>0</v>
      </c>
      <c r="B709">
        <v>0</v>
      </c>
      <c r="C709">
        <v>0</v>
      </c>
      <c r="D709">
        <v>0</v>
      </c>
    </row>
    <row r="710" spans="1:4" x14ac:dyDescent="0.25">
      <c r="A710">
        <v>0</v>
      </c>
      <c r="B710">
        <v>0</v>
      </c>
      <c r="C710">
        <v>0</v>
      </c>
      <c r="D710">
        <v>0</v>
      </c>
    </row>
    <row r="711" spans="1:4" x14ac:dyDescent="0.25">
      <c r="A711">
        <v>0</v>
      </c>
      <c r="B711">
        <v>0</v>
      </c>
      <c r="C711">
        <v>0</v>
      </c>
      <c r="D711">
        <v>0</v>
      </c>
    </row>
    <row r="712" spans="1:4" x14ac:dyDescent="0.25">
      <c r="A712">
        <v>0</v>
      </c>
      <c r="B712">
        <v>0</v>
      </c>
      <c r="C712">
        <v>0</v>
      </c>
      <c r="D712">
        <v>0</v>
      </c>
    </row>
    <row r="713" spans="1:4" x14ac:dyDescent="0.25">
      <c r="A713">
        <v>0</v>
      </c>
      <c r="B713">
        <v>0</v>
      </c>
      <c r="C713">
        <v>0</v>
      </c>
      <c r="D713">
        <v>0</v>
      </c>
    </row>
    <row r="714" spans="1:4" x14ac:dyDescent="0.25">
      <c r="A714">
        <v>0</v>
      </c>
      <c r="B714">
        <v>0</v>
      </c>
      <c r="C714">
        <v>0</v>
      </c>
      <c r="D714">
        <v>0</v>
      </c>
    </row>
    <row r="715" spans="1:4" x14ac:dyDescent="0.25">
      <c r="A715">
        <v>0</v>
      </c>
      <c r="B715">
        <v>0</v>
      </c>
      <c r="C715">
        <v>0</v>
      </c>
      <c r="D715">
        <v>0</v>
      </c>
    </row>
    <row r="716" spans="1:4" x14ac:dyDescent="0.25">
      <c r="A716">
        <v>0</v>
      </c>
      <c r="B716">
        <v>0</v>
      </c>
      <c r="C716">
        <v>0</v>
      </c>
      <c r="D716">
        <v>0</v>
      </c>
    </row>
    <row r="717" spans="1:4" x14ac:dyDescent="0.25">
      <c r="A717">
        <v>0</v>
      </c>
      <c r="B717">
        <v>0</v>
      </c>
      <c r="C717">
        <v>0</v>
      </c>
      <c r="D717">
        <v>0</v>
      </c>
    </row>
    <row r="718" spans="1:4" x14ac:dyDescent="0.25">
      <c r="A718">
        <v>0</v>
      </c>
      <c r="B718">
        <v>0</v>
      </c>
      <c r="C718">
        <v>0</v>
      </c>
      <c r="D718">
        <v>0</v>
      </c>
    </row>
    <row r="719" spans="1:4" x14ac:dyDescent="0.25">
      <c r="A719">
        <v>0</v>
      </c>
      <c r="B719">
        <v>0</v>
      </c>
      <c r="C719">
        <v>0</v>
      </c>
      <c r="D719">
        <v>0</v>
      </c>
    </row>
    <row r="720" spans="1:4" x14ac:dyDescent="0.25">
      <c r="A720">
        <v>0</v>
      </c>
      <c r="B720">
        <v>0</v>
      </c>
      <c r="C720">
        <v>0</v>
      </c>
      <c r="D720">
        <v>0</v>
      </c>
    </row>
    <row r="721" spans="1:4" x14ac:dyDescent="0.25">
      <c r="A721">
        <v>0</v>
      </c>
      <c r="B721">
        <v>0</v>
      </c>
      <c r="C721">
        <v>0</v>
      </c>
      <c r="D721">
        <v>0</v>
      </c>
    </row>
    <row r="722" spans="1:4" x14ac:dyDescent="0.25">
      <c r="A722">
        <v>0</v>
      </c>
      <c r="B722">
        <v>0</v>
      </c>
      <c r="C722">
        <v>0</v>
      </c>
      <c r="D722">
        <v>0</v>
      </c>
    </row>
    <row r="723" spans="1:4" x14ac:dyDescent="0.25">
      <c r="A723">
        <v>0</v>
      </c>
      <c r="B723">
        <v>0</v>
      </c>
      <c r="C723">
        <v>0</v>
      </c>
      <c r="D723">
        <v>0</v>
      </c>
    </row>
    <row r="724" spans="1:4" x14ac:dyDescent="0.25">
      <c r="A724">
        <v>0</v>
      </c>
      <c r="B724">
        <v>0</v>
      </c>
      <c r="C724">
        <v>0</v>
      </c>
      <c r="D724">
        <v>0</v>
      </c>
    </row>
    <row r="725" spans="1:4" x14ac:dyDescent="0.25">
      <c r="A725">
        <v>0</v>
      </c>
      <c r="B725">
        <v>0</v>
      </c>
      <c r="C725">
        <v>0</v>
      </c>
      <c r="D725">
        <v>0</v>
      </c>
    </row>
    <row r="726" spans="1:4" x14ac:dyDescent="0.25">
      <c r="A726">
        <v>0</v>
      </c>
      <c r="B726">
        <v>0</v>
      </c>
      <c r="C726">
        <v>0</v>
      </c>
      <c r="D726">
        <v>0</v>
      </c>
    </row>
    <row r="727" spans="1:4" x14ac:dyDescent="0.25">
      <c r="A727">
        <v>0</v>
      </c>
      <c r="B727">
        <v>0</v>
      </c>
      <c r="C727">
        <v>0</v>
      </c>
      <c r="D727">
        <v>0</v>
      </c>
    </row>
    <row r="728" spans="1:4" x14ac:dyDescent="0.25">
      <c r="A728">
        <v>0</v>
      </c>
      <c r="B728">
        <v>0</v>
      </c>
      <c r="C728">
        <v>0</v>
      </c>
      <c r="D728">
        <v>0</v>
      </c>
    </row>
    <row r="729" spans="1:4" x14ac:dyDescent="0.25">
      <c r="A729">
        <v>0</v>
      </c>
      <c r="B729">
        <v>0</v>
      </c>
      <c r="C729">
        <v>0</v>
      </c>
      <c r="D729">
        <v>0</v>
      </c>
    </row>
    <row r="730" spans="1:4" x14ac:dyDescent="0.25">
      <c r="A730">
        <v>0</v>
      </c>
      <c r="B730">
        <v>0</v>
      </c>
      <c r="C730">
        <v>0</v>
      </c>
      <c r="D730">
        <v>0</v>
      </c>
    </row>
    <row r="731" spans="1:4" x14ac:dyDescent="0.25">
      <c r="A731">
        <v>0</v>
      </c>
      <c r="B731">
        <v>0</v>
      </c>
      <c r="C731">
        <v>0</v>
      </c>
      <c r="D731">
        <v>0</v>
      </c>
    </row>
    <row r="732" spans="1:4" x14ac:dyDescent="0.25">
      <c r="A732">
        <v>0</v>
      </c>
      <c r="B732">
        <v>0</v>
      </c>
      <c r="C732">
        <v>0</v>
      </c>
      <c r="D732">
        <v>0</v>
      </c>
    </row>
    <row r="733" spans="1:4" x14ac:dyDescent="0.25">
      <c r="A733">
        <v>0</v>
      </c>
      <c r="B733">
        <v>0</v>
      </c>
      <c r="C733">
        <v>0</v>
      </c>
      <c r="D733">
        <v>0</v>
      </c>
    </row>
    <row r="734" spans="1:4" x14ac:dyDescent="0.25">
      <c r="A734">
        <v>0</v>
      </c>
      <c r="B734">
        <v>0</v>
      </c>
      <c r="C734">
        <v>0</v>
      </c>
      <c r="D734">
        <v>0</v>
      </c>
    </row>
    <row r="735" spans="1:4" x14ac:dyDescent="0.25">
      <c r="A735">
        <v>0</v>
      </c>
      <c r="B735">
        <v>0</v>
      </c>
      <c r="C735">
        <v>0</v>
      </c>
      <c r="D735">
        <v>0</v>
      </c>
    </row>
    <row r="736" spans="1:4" x14ac:dyDescent="0.25">
      <c r="A736">
        <v>0</v>
      </c>
      <c r="B736">
        <v>0</v>
      </c>
      <c r="C736">
        <v>0</v>
      </c>
      <c r="D736">
        <v>0</v>
      </c>
    </row>
    <row r="737" spans="1:4" x14ac:dyDescent="0.25">
      <c r="A737">
        <v>0</v>
      </c>
      <c r="B737">
        <v>0</v>
      </c>
      <c r="C737">
        <v>0</v>
      </c>
      <c r="D737">
        <v>0</v>
      </c>
    </row>
    <row r="738" spans="1:4" x14ac:dyDescent="0.25">
      <c r="A738">
        <v>0</v>
      </c>
      <c r="B738">
        <v>0</v>
      </c>
      <c r="C738">
        <v>0</v>
      </c>
      <c r="D738">
        <v>0</v>
      </c>
    </row>
    <row r="739" spans="1:4" x14ac:dyDescent="0.25">
      <c r="A739">
        <v>0</v>
      </c>
      <c r="B739">
        <v>0</v>
      </c>
      <c r="C739">
        <v>0</v>
      </c>
      <c r="D739">
        <v>0</v>
      </c>
    </row>
    <row r="740" spans="1:4" x14ac:dyDescent="0.25">
      <c r="A740">
        <v>0</v>
      </c>
      <c r="B740">
        <v>0</v>
      </c>
      <c r="C740">
        <v>0</v>
      </c>
      <c r="D740">
        <v>0</v>
      </c>
    </row>
    <row r="741" spans="1:4" x14ac:dyDescent="0.25">
      <c r="A741">
        <v>0</v>
      </c>
      <c r="B741">
        <v>0</v>
      </c>
      <c r="C741">
        <v>0</v>
      </c>
      <c r="D741">
        <v>0</v>
      </c>
    </row>
    <row r="742" spans="1:4" x14ac:dyDescent="0.25">
      <c r="A742">
        <v>0</v>
      </c>
      <c r="B742">
        <v>0</v>
      </c>
      <c r="C742">
        <v>0</v>
      </c>
      <c r="D742">
        <v>0</v>
      </c>
    </row>
    <row r="743" spans="1:4" x14ac:dyDescent="0.25">
      <c r="A743">
        <v>0</v>
      </c>
      <c r="B743">
        <v>0</v>
      </c>
      <c r="C743">
        <v>0</v>
      </c>
      <c r="D743">
        <v>0</v>
      </c>
    </row>
    <row r="744" spans="1:4" x14ac:dyDescent="0.25">
      <c r="A744">
        <v>0</v>
      </c>
      <c r="B744">
        <v>0</v>
      </c>
      <c r="C744">
        <v>0</v>
      </c>
      <c r="D744">
        <v>0</v>
      </c>
    </row>
    <row r="745" spans="1:4" x14ac:dyDescent="0.25">
      <c r="A745">
        <v>0</v>
      </c>
      <c r="B745">
        <v>0</v>
      </c>
      <c r="C745">
        <v>0</v>
      </c>
      <c r="D745">
        <v>0</v>
      </c>
    </row>
    <row r="746" spans="1:4" x14ac:dyDescent="0.25">
      <c r="A746">
        <v>0</v>
      </c>
      <c r="B746">
        <v>0</v>
      </c>
      <c r="C746">
        <v>0</v>
      </c>
      <c r="D746">
        <v>0</v>
      </c>
    </row>
    <row r="747" spans="1:4" x14ac:dyDescent="0.25">
      <c r="A747">
        <v>0</v>
      </c>
      <c r="B747">
        <v>0</v>
      </c>
      <c r="C747">
        <v>0</v>
      </c>
      <c r="D747">
        <v>0</v>
      </c>
    </row>
    <row r="748" spans="1:4" x14ac:dyDescent="0.25">
      <c r="A748">
        <v>0</v>
      </c>
      <c r="B748">
        <v>0</v>
      </c>
      <c r="C748">
        <v>0</v>
      </c>
      <c r="D748">
        <v>0</v>
      </c>
    </row>
    <row r="749" spans="1:4" x14ac:dyDescent="0.25">
      <c r="A749">
        <v>0</v>
      </c>
      <c r="B749">
        <v>0</v>
      </c>
      <c r="C749">
        <v>0</v>
      </c>
      <c r="D749">
        <v>0</v>
      </c>
    </row>
    <row r="750" spans="1:4" x14ac:dyDescent="0.25">
      <c r="A750">
        <v>0</v>
      </c>
      <c r="B750">
        <v>0</v>
      </c>
      <c r="C750">
        <v>0</v>
      </c>
      <c r="D750">
        <v>0</v>
      </c>
    </row>
    <row r="751" spans="1:4" x14ac:dyDescent="0.25">
      <c r="A751">
        <v>0</v>
      </c>
      <c r="B751">
        <v>0</v>
      </c>
      <c r="C751">
        <v>0</v>
      </c>
      <c r="D751">
        <v>0</v>
      </c>
    </row>
    <row r="752" spans="1:4" x14ac:dyDescent="0.25">
      <c r="A752">
        <v>0</v>
      </c>
      <c r="B752">
        <v>0</v>
      </c>
      <c r="C752">
        <v>0</v>
      </c>
      <c r="D752">
        <v>0</v>
      </c>
    </row>
    <row r="753" spans="1:4" x14ac:dyDescent="0.25">
      <c r="A753">
        <v>0</v>
      </c>
      <c r="B753">
        <v>0</v>
      </c>
      <c r="C753">
        <v>0</v>
      </c>
      <c r="D753">
        <v>0</v>
      </c>
    </row>
    <row r="754" spans="1:4" x14ac:dyDescent="0.25">
      <c r="A754">
        <v>0</v>
      </c>
      <c r="B754">
        <v>0</v>
      </c>
      <c r="C754">
        <v>0</v>
      </c>
      <c r="D754">
        <v>0</v>
      </c>
    </row>
    <row r="755" spans="1:4" x14ac:dyDescent="0.25">
      <c r="A755">
        <v>0</v>
      </c>
      <c r="B755">
        <v>0</v>
      </c>
      <c r="C755">
        <v>0</v>
      </c>
      <c r="D755">
        <v>0</v>
      </c>
    </row>
    <row r="756" spans="1:4" x14ac:dyDescent="0.25">
      <c r="A756">
        <v>0</v>
      </c>
      <c r="B756">
        <v>0</v>
      </c>
      <c r="C756">
        <v>0</v>
      </c>
      <c r="D756">
        <v>0</v>
      </c>
    </row>
    <row r="757" spans="1:4" x14ac:dyDescent="0.25">
      <c r="A757">
        <v>0</v>
      </c>
      <c r="B757">
        <v>0</v>
      </c>
      <c r="C757">
        <v>0</v>
      </c>
      <c r="D757">
        <v>0</v>
      </c>
    </row>
    <row r="758" spans="1:4" x14ac:dyDescent="0.25">
      <c r="A758">
        <v>0</v>
      </c>
      <c r="B758">
        <v>0</v>
      </c>
      <c r="C758">
        <v>0</v>
      </c>
      <c r="D758">
        <v>0</v>
      </c>
    </row>
    <row r="759" spans="1:4" x14ac:dyDescent="0.25">
      <c r="A759" t="s">
        <v>21</v>
      </c>
      <c r="B759" t="s">
        <v>3172</v>
      </c>
      <c r="C759">
        <v>0</v>
      </c>
      <c r="D759">
        <v>3000</v>
      </c>
    </row>
    <row r="760" spans="1:4" x14ac:dyDescent="0.25">
      <c r="A760">
        <v>0</v>
      </c>
      <c r="B760">
        <v>0</v>
      </c>
      <c r="C760">
        <v>0</v>
      </c>
      <c r="D760">
        <v>0</v>
      </c>
    </row>
    <row r="761" spans="1:4" x14ac:dyDescent="0.25">
      <c r="A761">
        <v>0</v>
      </c>
      <c r="B761">
        <v>0</v>
      </c>
      <c r="C761">
        <v>0</v>
      </c>
      <c r="D761">
        <v>0</v>
      </c>
    </row>
    <row r="762" spans="1:4" x14ac:dyDescent="0.25">
      <c r="A762">
        <v>0</v>
      </c>
      <c r="B762">
        <v>0</v>
      </c>
      <c r="C762">
        <v>0</v>
      </c>
      <c r="D762">
        <v>0</v>
      </c>
    </row>
    <row r="763" spans="1:4" x14ac:dyDescent="0.25">
      <c r="A763">
        <v>0</v>
      </c>
      <c r="B763">
        <v>0</v>
      </c>
      <c r="C763">
        <v>0</v>
      </c>
      <c r="D763">
        <v>0</v>
      </c>
    </row>
    <row r="764" spans="1:4" x14ac:dyDescent="0.25">
      <c r="A764">
        <v>0</v>
      </c>
      <c r="B764">
        <v>0</v>
      </c>
      <c r="C764">
        <v>0</v>
      </c>
      <c r="D764">
        <v>0</v>
      </c>
    </row>
    <row r="765" spans="1:4" x14ac:dyDescent="0.25">
      <c r="A765">
        <v>0</v>
      </c>
      <c r="B765">
        <v>0</v>
      </c>
      <c r="C765">
        <v>0</v>
      </c>
      <c r="D765">
        <v>0</v>
      </c>
    </row>
    <row r="766" spans="1:4" x14ac:dyDescent="0.25">
      <c r="A766">
        <v>0</v>
      </c>
      <c r="B766">
        <v>0</v>
      </c>
      <c r="C766">
        <v>0</v>
      </c>
      <c r="D766">
        <v>0</v>
      </c>
    </row>
    <row r="767" spans="1:4" x14ac:dyDescent="0.25">
      <c r="A767">
        <v>0</v>
      </c>
      <c r="B767">
        <v>0</v>
      </c>
      <c r="C767">
        <v>0</v>
      </c>
      <c r="D767">
        <v>0</v>
      </c>
    </row>
    <row r="768" spans="1:4" x14ac:dyDescent="0.25">
      <c r="A768">
        <v>0</v>
      </c>
      <c r="B768">
        <v>0</v>
      </c>
      <c r="C768">
        <v>0</v>
      </c>
      <c r="D768">
        <v>0</v>
      </c>
    </row>
    <row r="769" spans="1:4" x14ac:dyDescent="0.25">
      <c r="A769">
        <v>0</v>
      </c>
      <c r="B769">
        <v>0</v>
      </c>
      <c r="C769">
        <v>0</v>
      </c>
      <c r="D769">
        <v>0</v>
      </c>
    </row>
    <row r="770" spans="1:4" x14ac:dyDescent="0.25">
      <c r="A770">
        <v>0</v>
      </c>
      <c r="B770">
        <v>0</v>
      </c>
      <c r="C770">
        <v>0</v>
      </c>
      <c r="D770">
        <v>0</v>
      </c>
    </row>
    <row r="771" spans="1:4" x14ac:dyDescent="0.25">
      <c r="A771">
        <v>0</v>
      </c>
      <c r="B771">
        <v>0</v>
      </c>
      <c r="C771">
        <v>0</v>
      </c>
      <c r="D771">
        <v>0</v>
      </c>
    </row>
    <row r="772" spans="1:4" x14ac:dyDescent="0.25">
      <c r="A772">
        <v>0</v>
      </c>
      <c r="B772">
        <v>0</v>
      </c>
      <c r="C772">
        <v>0</v>
      </c>
      <c r="D772">
        <v>0</v>
      </c>
    </row>
    <row r="773" spans="1:4" x14ac:dyDescent="0.25">
      <c r="A773">
        <v>0</v>
      </c>
      <c r="B773">
        <v>0</v>
      </c>
      <c r="C773">
        <v>0</v>
      </c>
      <c r="D773">
        <v>0</v>
      </c>
    </row>
    <row r="774" spans="1:4" x14ac:dyDescent="0.25">
      <c r="A774">
        <v>0</v>
      </c>
      <c r="B774">
        <v>0</v>
      </c>
      <c r="C774">
        <v>0</v>
      </c>
      <c r="D774">
        <v>0</v>
      </c>
    </row>
    <row r="775" spans="1:4" x14ac:dyDescent="0.25">
      <c r="A775">
        <v>0</v>
      </c>
      <c r="B775">
        <v>0</v>
      </c>
      <c r="C775">
        <v>0</v>
      </c>
      <c r="D775">
        <v>0</v>
      </c>
    </row>
    <row r="776" spans="1:4" x14ac:dyDescent="0.25">
      <c r="A776">
        <v>0</v>
      </c>
      <c r="B776">
        <v>0</v>
      </c>
      <c r="C776">
        <v>0</v>
      </c>
      <c r="D776">
        <v>0</v>
      </c>
    </row>
    <row r="777" spans="1:4" x14ac:dyDescent="0.25">
      <c r="A777">
        <v>0</v>
      </c>
      <c r="B777">
        <v>0</v>
      </c>
      <c r="C777">
        <v>0</v>
      </c>
      <c r="D777">
        <v>0</v>
      </c>
    </row>
    <row r="778" spans="1:4" x14ac:dyDescent="0.25">
      <c r="A778">
        <v>0</v>
      </c>
      <c r="B778">
        <v>0</v>
      </c>
      <c r="C778">
        <v>0</v>
      </c>
      <c r="D778">
        <v>0</v>
      </c>
    </row>
    <row r="779" spans="1:4" x14ac:dyDescent="0.25">
      <c r="A779">
        <v>0</v>
      </c>
      <c r="B779">
        <v>0</v>
      </c>
      <c r="C779">
        <v>0</v>
      </c>
      <c r="D779">
        <v>0</v>
      </c>
    </row>
    <row r="780" spans="1:4" x14ac:dyDescent="0.25">
      <c r="A780">
        <v>0</v>
      </c>
      <c r="B780">
        <v>0</v>
      </c>
      <c r="C780">
        <v>0</v>
      </c>
      <c r="D780">
        <v>0</v>
      </c>
    </row>
    <row r="781" spans="1:4" x14ac:dyDescent="0.25">
      <c r="A781">
        <v>0</v>
      </c>
      <c r="B781">
        <v>0</v>
      </c>
      <c r="C781">
        <v>0</v>
      </c>
      <c r="D781">
        <v>0</v>
      </c>
    </row>
    <row r="782" spans="1:4" x14ac:dyDescent="0.25">
      <c r="A782">
        <v>0</v>
      </c>
      <c r="B782">
        <v>0</v>
      </c>
      <c r="C782">
        <v>0</v>
      </c>
      <c r="D782">
        <v>0</v>
      </c>
    </row>
    <row r="783" spans="1:4" x14ac:dyDescent="0.25">
      <c r="A783">
        <v>0</v>
      </c>
      <c r="B783">
        <v>0</v>
      </c>
      <c r="C783">
        <v>0</v>
      </c>
      <c r="D783">
        <v>0</v>
      </c>
    </row>
    <row r="784" spans="1:4" x14ac:dyDescent="0.25">
      <c r="A784">
        <v>0</v>
      </c>
      <c r="B784">
        <v>0</v>
      </c>
      <c r="C784">
        <v>0</v>
      </c>
      <c r="D784">
        <v>0</v>
      </c>
    </row>
    <row r="785" spans="1:4" x14ac:dyDescent="0.25">
      <c r="A785">
        <v>0</v>
      </c>
      <c r="B785">
        <v>0</v>
      </c>
      <c r="C785">
        <v>0</v>
      </c>
      <c r="D785">
        <v>0</v>
      </c>
    </row>
    <row r="786" spans="1:4" x14ac:dyDescent="0.25">
      <c r="A786">
        <v>0</v>
      </c>
      <c r="B786">
        <v>0</v>
      </c>
      <c r="C786">
        <v>0</v>
      </c>
      <c r="D786">
        <v>0</v>
      </c>
    </row>
    <row r="787" spans="1:4" x14ac:dyDescent="0.25">
      <c r="A787">
        <v>0</v>
      </c>
      <c r="B787">
        <v>0</v>
      </c>
      <c r="C787">
        <v>0</v>
      </c>
      <c r="D787">
        <v>0</v>
      </c>
    </row>
    <row r="788" spans="1:4" x14ac:dyDescent="0.25">
      <c r="A788">
        <v>0</v>
      </c>
      <c r="B788">
        <v>0</v>
      </c>
      <c r="C788">
        <v>0</v>
      </c>
      <c r="D788">
        <v>0</v>
      </c>
    </row>
    <row r="789" spans="1:4" x14ac:dyDescent="0.25">
      <c r="A789">
        <v>0</v>
      </c>
      <c r="B789">
        <v>0</v>
      </c>
      <c r="C789">
        <v>0</v>
      </c>
      <c r="D789">
        <v>0</v>
      </c>
    </row>
    <row r="790" spans="1:4" x14ac:dyDescent="0.25">
      <c r="A790">
        <v>0</v>
      </c>
      <c r="B790">
        <v>0</v>
      </c>
      <c r="C790">
        <v>0</v>
      </c>
      <c r="D790">
        <v>0</v>
      </c>
    </row>
    <row r="791" spans="1:4" x14ac:dyDescent="0.25">
      <c r="A791">
        <v>0</v>
      </c>
      <c r="B791">
        <v>0</v>
      </c>
      <c r="C791">
        <v>0</v>
      </c>
      <c r="D791">
        <v>0</v>
      </c>
    </row>
    <row r="792" spans="1:4" x14ac:dyDescent="0.25">
      <c r="A792">
        <v>0</v>
      </c>
      <c r="B792">
        <v>0</v>
      </c>
      <c r="C792">
        <v>0</v>
      </c>
      <c r="D792">
        <v>0</v>
      </c>
    </row>
    <row r="793" spans="1:4" x14ac:dyDescent="0.25">
      <c r="A793">
        <v>0</v>
      </c>
      <c r="B793">
        <v>0</v>
      </c>
      <c r="C793">
        <v>0</v>
      </c>
      <c r="D793">
        <v>0</v>
      </c>
    </row>
    <row r="794" spans="1:4" x14ac:dyDescent="0.25">
      <c r="A794">
        <v>0</v>
      </c>
      <c r="B794">
        <v>0</v>
      </c>
      <c r="C794">
        <v>0</v>
      </c>
      <c r="D794">
        <v>0</v>
      </c>
    </row>
    <row r="795" spans="1:4" x14ac:dyDescent="0.25">
      <c r="A795">
        <v>0</v>
      </c>
      <c r="B795">
        <v>0</v>
      </c>
      <c r="C795">
        <v>0</v>
      </c>
      <c r="D795">
        <v>0</v>
      </c>
    </row>
    <row r="796" spans="1:4" x14ac:dyDescent="0.25">
      <c r="A796">
        <v>0</v>
      </c>
      <c r="B796">
        <v>0</v>
      </c>
      <c r="C796">
        <v>0</v>
      </c>
      <c r="D796">
        <v>0</v>
      </c>
    </row>
    <row r="797" spans="1:4" x14ac:dyDescent="0.25">
      <c r="A797">
        <v>0</v>
      </c>
      <c r="B797">
        <v>0</v>
      </c>
      <c r="C797">
        <v>0</v>
      </c>
      <c r="D797">
        <v>0</v>
      </c>
    </row>
    <row r="798" spans="1:4" x14ac:dyDescent="0.25">
      <c r="A798">
        <v>0</v>
      </c>
      <c r="B798">
        <v>0</v>
      </c>
      <c r="C798">
        <v>0</v>
      </c>
      <c r="D798">
        <v>0</v>
      </c>
    </row>
    <row r="799" spans="1:4" x14ac:dyDescent="0.25">
      <c r="A799">
        <v>0</v>
      </c>
      <c r="B799">
        <v>0</v>
      </c>
      <c r="C799">
        <v>0</v>
      </c>
      <c r="D799">
        <v>0</v>
      </c>
    </row>
    <row r="800" spans="1:4" x14ac:dyDescent="0.25">
      <c r="A800">
        <v>0</v>
      </c>
      <c r="B800">
        <v>0</v>
      </c>
      <c r="C800">
        <v>0</v>
      </c>
      <c r="D800">
        <v>0</v>
      </c>
    </row>
    <row r="801" spans="1:4" x14ac:dyDescent="0.25">
      <c r="A801">
        <v>0</v>
      </c>
      <c r="B801">
        <v>0</v>
      </c>
      <c r="C801">
        <v>0</v>
      </c>
      <c r="D801">
        <v>0</v>
      </c>
    </row>
    <row r="802" spans="1:4" x14ac:dyDescent="0.25">
      <c r="A802">
        <v>0</v>
      </c>
      <c r="B802">
        <v>0</v>
      </c>
      <c r="C802">
        <v>0</v>
      </c>
      <c r="D802">
        <v>0</v>
      </c>
    </row>
    <row r="803" spans="1:4" x14ac:dyDescent="0.25">
      <c r="A803">
        <v>0</v>
      </c>
      <c r="B803">
        <v>0</v>
      </c>
      <c r="C803">
        <v>0</v>
      </c>
      <c r="D803">
        <v>0</v>
      </c>
    </row>
    <row r="804" spans="1:4" x14ac:dyDescent="0.25">
      <c r="A804">
        <v>0</v>
      </c>
      <c r="B804">
        <v>0</v>
      </c>
      <c r="C804">
        <v>0</v>
      </c>
      <c r="D804">
        <v>0</v>
      </c>
    </row>
    <row r="805" spans="1:4" x14ac:dyDescent="0.25">
      <c r="A805">
        <v>0</v>
      </c>
      <c r="B805">
        <v>0</v>
      </c>
      <c r="C805">
        <v>0</v>
      </c>
      <c r="D805">
        <v>0</v>
      </c>
    </row>
    <row r="806" spans="1:4" x14ac:dyDescent="0.25">
      <c r="A806">
        <v>0</v>
      </c>
      <c r="B806">
        <v>0</v>
      </c>
      <c r="C806">
        <v>0</v>
      </c>
      <c r="D806">
        <v>0</v>
      </c>
    </row>
    <row r="807" spans="1:4" x14ac:dyDescent="0.25">
      <c r="A807">
        <v>0</v>
      </c>
      <c r="B807">
        <v>0</v>
      </c>
      <c r="C807">
        <v>0</v>
      </c>
      <c r="D807">
        <v>0</v>
      </c>
    </row>
    <row r="808" spans="1:4" x14ac:dyDescent="0.25">
      <c r="A808">
        <v>0</v>
      </c>
      <c r="B808">
        <v>0</v>
      </c>
      <c r="C808">
        <v>0</v>
      </c>
      <c r="D808">
        <v>0</v>
      </c>
    </row>
    <row r="809" spans="1:4" x14ac:dyDescent="0.25">
      <c r="A809">
        <v>0</v>
      </c>
      <c r="B809">
        <v>0</v>
      </c>
      <c r="C809">
        <v>0</v>
      </c>
      <c r="D809">
        <v>0</v>
      </c>
    </row>
    <row r="810" spans="1:4" x14ac:dyDescent="0.25">
      <c r="A810">
        <v>0</v>
      </c>
      <c r="B810">
        <v>0</v>
      </c>
      <c r="C810">
        <v>0</v>
      </c>
      <c r="D810">
        <v>0</v>
      </c>
    </row>
    <row r="811" spans="1:4" x14ac:dyDescent="0.25">
      <c r="A811">
        <v>0</v>
      </c>
      <c r="B811">
        <v>0</v>
      </c>
      <c r="C811">
        <v>0</v>
      </c>
      <c r="D811">
        <v>0</v>
      </c>
    </row>
    <row r="812" spans="1:4" x14ac:dyDescent="0.25">
      <c r="A812">
        <v>0</v>
      </c>
      <c r="B812">
        <v>0</v>
      </c>
      <c r="C812">
        <v>0</v>
      </c>
      <c r="D812">
        <v>0</v>
      </c>
    </row>
    <row r="813" spans="1:4" x14ac:dyDescent="0.25">
      <c r="A813">
        <v>0</v>
      </c>
      <c r="B813">
        <v>0</v>
      </c>
      <c r="C813">
        <v>0</v>
      </c>
      <c r="D813">
        <v>0</v>
      </c>
    </row>
    <row r="814" spans="1:4" x14ac:dyDescent="0.25">
      <c r="A814">
        <v>0</v>
      </c>
      <c r="B814">
        <v>0</v>
      </c>
      <c r="C814">
        <v>0</v>
      </c>
      <c r="D814">
        <v>0</v>
      </c>
    </row>
    <row r="815" spans="1:4" x14ac:dyDescent="0.25">
      <c r="A815">
        <v>0</v>
      </c>
      <c r="B815">
        <v>0</v>
      </c>
      <c r="C815">
        <v>0</v>
      </c>
      <c r="D815">
        <v>0</v>
      </c>
    </row>
    <row r="816" spans="1:4" x14ac:dyDescent="0.25">
      <c r="A816">
        <v>0</v>
      </c>
      <c r="B816">
        <v>0</v>
      </c>
      <c r="C816">
        <v>0</v>
      </c>
      <c r="D816">
        <v>0</v>
      </c>
    </row>
    <row r="817" spans="1:4" x14ac:dyDescent="0.25">
      <c r="A817">
        <v>0</v>
      </c>
      <c r="B817">
        <v>0</v>
      </c>
      <c r="C817">
        <v>0</v>
      </c>
      <c r="D817">
        <v>0</v>
      </c>
    </row>
    <row r="818" spans="1:4" x14ac:dyDescent="0.25">
      <c r="A818">
        <v>0</v>
      </c>
      <c r="B818">
        <v>0</v>
      </c>
      <c r="C818">
        <v>0</v>
      </c>
      <c r="D818">
        <v>0</v>
      </c>
    </row>
    <row r="819" spans="1:4" x14ac:dyDescent="0.25">
      <c r="A819">
        <v>0</v>
      </c>
      <c r="B819">
        <v>0</v>
      </c>
      <c r="C819">
        <v>0</v>
      </c>
      <c r="D819">
        <v>0</v>
      </c>
    </row>
    <row r="820" spans="1:4" x14ac:dyDescent="0.25">
      <c r="A820">
        <v>0</v>
      </c>
      <c r="B820">
        <v>0</v>
      </c>
      <c r="C820">
        <v>0</v>
      </c>
      <c r="D820">
        <v>0</v>
      </c>
    </row>
    <row r="821" spans="1:4" x14ac:dyDescent="0.25">
      <c r="A821">
        <v>0</v>
      </c>
      <c r="B821">
        <v>0</v>
      </c>
      <c r="C821">
        <v>0</v>
      </c>
      <c r="D821">
        <v>0</v>
      </c>
    </row>
    <row r="822" spans="1:4" x14ac:dyDescent="0.25">
      <c r="A822">
        <v>0</v>
      </c>
      <c r="B822">
        <v>0</v>
      </c>
      <c r="C822">
        <v>0</v>
      </c>
      <c r="D822">
        <v>0</v>
      </c>
    </row>
    <row r="823" spans="1:4" x14ac:dyDescent="0.25">
      <c r="A823">
        <v>0</v>
      </c>
      <c r="B823">
        <v>0</v>
      </c>
      <c r="C823">
        <v>0</v>
      </c>
      <c r="D823">
        <v>0</v>
      </c>
    </row>
    <row r="824" spans="1:4" x14ac:dyDescent="0.25">
      <c r="A824">
        <v>0</v>
      </c>
      <c r="B824">
        <v>0</v>
      </c>
      <c r="C824">
        <v>0</v>
      </c>
      <c r="D824">
        <v>0</v>
      </c>
    </row>
    <row r="825" spans="1:4" x14ac:dyDescent="0.25">
      <c r="A825">
        <v>0</v>
      </c>
      <c r="B825">
        <v>0</v>
      </c>
      <c r="C825">
        <v>0</v>
      </c>
      <c r="D825">
        <v>0</v>
      </c>
    </row>
    <row r="826" spans="1:4" x14ac:dyDescent="0.25">
      <c r="A826">
        <v>0</v>
      </c>
      <c r="B826">
        <v>0</v>
      </c>
      <c r="C826">
        <v>0</v>
      </c>
      <c r="D826">
        <v>0</v>
      </c>
    </row>
    <row r="827" spans="1:4" x14ac:dyDescent="0.25">
      <c r="A827">
        <v>0</v>
      </c>
      <c r="B827">
        <v>0</v>
      </c>
      <c r="C827">
        <v>0</v>
      </c>
      <c r="D827">
        <v>0</v>
      </c>
    </row>
    <row r="828" spans="1:4" x14ac:dyDescent="0.25">
      <c r="A828">
        <v>0</v>
      </c>
      <c r="B828">
        <v>0</v>
      </c>
      <c r="C828">
        <v>0</v>
      </c>
      <c r="D828">
        <v>0</v>
      </c>
    </row>
    <row r="829" spans="1:4" x14ac:dyDescent="0.25">
      <c r="A829">
        <v>0</v>
      </c>
      <c r="B829">
        <v>0</v>
      </c>
      <c r="C829">
        <v>0</v>
      </c>
      <c r="D829">
        <v>0</v>
      </c>
    </row>
    <row r="830" spans="1:4" x14ac:dyDescent="0.25">
      <c r="A830">
        <v>0</v>
      </c>
      <c r="B830">
        <v>0</v>
      </c>
      <c r="C830">
        <v>0</v>
      </c>
      <c r="D830">
        <v>0</v>
      </c>
    </row>
    <row r="831" spans="1:4" x14ac:dyDescent="0.25">
      <c r="A831">
        <v>0</v>
      </c>
      <c r="B831">
        <v>0</v>
      </c>
      <c r="C831">
        <v>0</v>
      </c>
      <c r="D831">
        <v>0</v>
      </c>
    </row>
    <row r="832" spans="1:4" x14ac:dyDescent="0.25">
      <c r="A832">
        <v>0</v>
      </c>
      <c r="B832">
        <v>0</v>
      </c>
      <c r="C832">
        <v>0</v>
      </c>
      <c r="D832">
        <v>0</v>
      </c>
    </row>
    <row r="833" spans="1:4" x14ac:dyDescent="0.25">
      <c r="A833">
        <v>0</v>
      </c>
      <c r="B833">
        <v>0</v>
      </c>
      <c r="C833">
        <v>0</v>
      </c>
      <c r="D833">
        <v>0</v>
      </c>
    </row>
    <row r="834" spans="1:4" x14ac:dyDescent="0.25">
      <c r="A834">
        <v>0</v>
      </c>
      <c r="B834">
        <v>0</v>
      </c>
      <c r="C834">
        <v>0</v>
      </c>
      <c r="D834">
        <v>0</v>
      </c>
    </row>
    <row r="835" spans="1:4" x14ac:dyDescent="0.25">
      <c r="A835">
        <v>0</v>
      </c>
      <c r="B835">
        <v>0</v>
      </c>
      <c r="C835">
        <v>0</v>
      </c>
      <c r="D835">
        <v>0</v>
      </c>
    </row>
    <row r="836" spans="1:4" x14ac:dyDescent="0.25">
      <c r="A836">
        <v>0</v>
      </c>
      <c r="B836">
        <v>0</v>
      </c>
      <c r="C836">
        <v>0</v>
      </c>
      <c r="D836">
        <v>0</v>
      </c>
    </row>
    <row r="837" spans="1:4" x14ac:dyDescent="0.25">
      <c r="A837">
        <v>0</v>
      </c>
      <c r="B837">
        <v>0</v>
      </c>
      <c r="C837">
        <v>0</v>
      </c>
      <c r="D837">
        <v>0</v>
      </c>
    </row>
    <row r="838" spans="1:4" x14ac:dyDescent="0.25">
      <c r="A838">
        <v>0</v>
      </c>
      <c r="B838">
        <v>0</v>
      </c>
      <c r="C838">
        <v>0</v>
      </c>
      <c r="D838">
        <v>0</v>
      </c>
    </row>
    <row r="839" spans="1:4" x14ac:dyDescent="0.25">
      <c r="A839">
        <v>0</v>
      </c>
      <c r="B839">
        <v>0</v>
      </c>
      <c r="C839">
        <v>0</v>
      </c>
      <c r="D839">
        <v>0</v>
      </c>
    </row>
    <row r="840" spans="1:4" x14ac:dyDescent="0.25">
      <c r="A840">
        <v>0</v>
      </c>
      <c r="B840">
        <v>0</v>
      </c>
      <c r="C840">
        <v>0</v>
      </c>
      <c r="D840">
        <v>0</v>
      </c>
    </row>
    <row r="841" spans="1:4" x14ac:dyDescent="0.25">
      <c r="A841">
        <v>0</v>
      </c>
      <c r="B841">
        <v>0</v>
      </c>
      <c r="C841">
        <v>0</v>
      </c>
      <c r="D841">
        <v>0</v>
      </c>
    </row>
    <row r="842" spans="1:4" x14ac:dyDescent="0.25">
      <c r="A842">
        <v>0</v>
      </c>
      <c r="B842">
        <v>0</v>
      </c>
      <c r="C842">
        <v>0</v>
      </c>
      <c r="D842">
        <v>0</v>
      </c>
    </row>
    <row r="843" spans="1:4" x14ac:dyDescent="0.25">
      <c r="A843">
        <v>0</v>
      </c>
      <c r="B843">
        <v>0</v>
      </c>
      <c r="C843">
        <v>0</v>
      </c>
      <c r="D843">
        <v>0</v>
      </c>
    </row>
    <row r="844" spans="1:4" x14ac:dyDescent="0.25">
      <c r="A844">
        <v>0</v>
      </c>
      <c r="B844">
        <v>0</v>
      </c>
      <c r="C844">
        <v>0</v>
      </c>
      <c r="D844">
        <v>0</v>
      </c>
    </row>
    <row r="845" spans="1:4" x14ac:dyDescent="0.25">
      <c r="A845">
        <v>0</v>
      </c>
      <c r="B845">
        <v>0</v>
      </c>
      <c r="C845">
        <v>0</v>
      </c>
      <c r="D845">
        <v>0</v>
      </c>
    </row>
    <row r="846" spans="1:4" x14ac:dyDescent="0.25">
      <c r="A846">
        <v>0</v>
      </c>
      <c r="B846">
        <v>0</v>
      </c>
      <c r="C846">
        <v>0</v>
      </c>
      <c r="D846">
        <v>0</v>
      </c>
    </row>
    <row r="847" spans="1:4" x14ac:dyDescent="0.25">
      <c r="A847">
        <v>0</v>
      </c>
      <c r="B847">
        <v>0</v>
      </c>
      <c r="C847">
        <v>0</v>
      </c>
      <c r="D847">
        <v>0</v>
      </c>
    </row>
    <row r="848" spans="1:4" x14ac:dyDescent="0.25">
      <c r="A848">
        <v>0</v>
      </c>
      <c r="B848">
        <v>0</v>
      </c>
      <c r="C848">
        <v>0</v>
      </c>
      <c r="D848">
        <v>0</v>
      </c>
    </row>
    <row r="849" spans="1:4" x14ac:dyDescent="0.25">
      <c r="A849">
        <v>0</v>
      </c>
      <c r="B849">
        <v>0</v>
      </c>
      <c r="C849">
        <v>0</v>
      </c>
      <c r="D849">
        <v>0</v>
      </c>
    </row>
    <row r="850" spans="1:4" x14ac:dyDescent="0.25">
      <c r="A850">
        <v>0</v>
      </c>
      <c r="B850">
        <v>0</v>
      </c>
      <c r="C850">
        <v>0</v>
      </c>
      <c r="D850">
        <v>0</v>
      </c>
    </row>
    <row r="851" spans="1:4" x14ac:dyDescent="0.25">
      <c r="A851">
        <v>0</v>
      </c>
      <c r="B851">
        <v>0</v>
      </c>
      <c r="C851">
        <v>0</v>
      </c>
      <c r="D851">
        <v>0</v>
      </c>
    </row>
    <row r="852" spans="1:4" x14ac:dyDescent="0.25">
      <c r="A852">
        <v>0</v>
      </c>
      <c r="B852">
        <v>0</v>
      </c>
      <c r="C852">
        <v>0</v>
      </c>
      <c r="D852">
        <v>0</v>
      </c>
    </row>
    <row r="853" spans="1:4" x14ac:dyDescent="0.25">
      <c r="A853">
        <v>0</v>
      </c>
      <c r="B853">
        <v>0</v>
      </c>
      <c r="C853">
        <v>0</v>
      </c>
      <c r="D853">
        <v>0</v>
      </c>
    </row>
    <row r="854" spans="1:4" x14ac:dyDescent="0.25">
      <c r="A854">
        <v>0</v>
      </c>
      <c r="B854">
        <v>0</v>
      </c>
      <c r="C854">
        <v>0</v>
      </c>
      <c r="D854">
        <v>0</v>
      </c>
    </row>
    <row r="855" spans="1:4" x14ac:dyDescent="0.25">
      <c r="A855">
        <v>0</v>
      </c>
      <c r="B855">
        <v>0</v>
      </c>
      <c r="C855">
        <v>0</v>
      </c>
      <c r="D855">
        <v>0</v>
      </c>
    </row>
    <row r="856" spans="1:4" x14ac:dyDescent="0.25">
      <c r="A856">
        <v>0</v>
      </c>
      <c r="B856">
        <v>0</v>
      </c>
      <c r="C856">
        <v>0</v>
      </c>
      <c r="D856">
        <v>0</v>
      </c>
    </row>
    <row r="857" spans="1:4" x14ac:dyDescent="0.25">
      <c r="A857">
        <v>0</v>
      </c>
      <c r="B857">
        <v>0</v>
      </c>
      <c r="C857">
        <v>0</v>
      </c>
      <c r="D857">
        <v>0</v>
      </c>
    </row>
    <row r="858" spans="1:4" x14ac:dyDescent="0.25">
      <c r="A858">
        <v>0</v>
      </c>
      <c r="B858">
        <v>0</v>
      </c>
      <c r="C858">
        <v>0</v>
      </c>
      <c r="D858">
        <v>0</v>
      </c>
    </row>
    <row r="859" spans="1:4" x14ac:dyDescent="0.25">
      <c r="A859">
        <v>0</v>
      </c>
      <c r="B859">
        <v>0</v>
      </c>
      <c r="C859">
        <v>0</v>
      </c>
      <c r="D859">
        <v>0</v>
      </c>
    </row>
    <row r="860" spans="1:4" x14ac:dyDescent="0.25">
      <c r="A860">
        <v>0</v>
      </c>
      <c r="B860">
        <v>0</v>
      </c>
      <c r="C860">
        <v>0</v>
      </c>
      <c r="D860">
        <v>0</v>
      </c>
    </row>
    <row r="861" spans="1:4" x14ac:dyDescent="0.25">
      <c r="A861">
        <v>0</v>
      </c>
      <c r="B861">
        <v>0</v>
      </c>
      <c r="C861">
        <v>0</v>
      </c>
      <c r="D861">
        <v>0</v>
      </c>
    </row>
    <row r="862" spans="1:4" x14ac:dyDescent="0.25">
      <c r="A862">
        <v>0</v>
      </c>
      <c r="B862">
        <v>0</v>
      </c>
      <c r="C862">
        <v>0</v>
      </c>
      <c r="D862">
        <v>0</v>
      </c>
    </row>
    <row r="863" spans="1:4" x14ac:dyDescent="0.25">
      <c r="A863">
        <v>0</v>
      </c>
      <c r="B863">
        <v>0</v>
      </c>
      <c r="C863">
        <v>0</v>
      </c>
      <c r="D863">
        <v>0</v>
      </c>
    </row>
    <row r="864" spans="1:4" x14ac:dyDescent="0.25">
      <c r="A864">
        <v>0</v>
      </c>
      <c r="B864">
        <v>0</v>
      </c>
      <c r="C864">
        <v>0</v>
      </c>
      <c r="D864">
        <v>0</v>
      </c>
    </row>
    <row r="865" spans="1:4" x14ac:dyDescent="0.25">
      <c r="A865">
        <v>0</v>
      </c>
      <c r="B865">
        <v>0</v>
      </c>
      <c r="C865">
        <v>0</v>
      </c>
      <c r="D865">
        <v>0</v>
      </c>
    </row>
    <row r="866" spans="1:4" x14ac:dyDescent="0.25">
      <c r="A866">
        <v>0</v>
      </c>
      <c r="B866">
        <v>0</v>
      </c>
      <c r="C866">
        <v>0</v>
      </c>
      <c r="D866">
        <v>0</v>
      </c>
    </row>
    <row r="867" spans="1:4" x14ac:dyDescent="0.25">
      <c r="A867">
        <v>0</v>
      </c>
      <c r="B867">
        <v>0</v>
      </c>
      <c r="C867">
        <v>0</v>
      </c>
      <c r="D867">
        <v>0</v>
      </c>
    </row>
    <row r="868" spans="1:4" x14ac:dyDescent="0.25">
      <c r="A868">
        <v>0</v>
      </c>
      <c r="B868">
        <v>0</v>
      </c>
      <c r="C868">
        <v>0</v>
      </c>
      <c r="D868">
        <v>0</v>
      </c>
    </row>
    <row r="869" spans="1:4" x14ac:dyDescent="0.25">
      <c r="A869">
        <v>0</v>
      </c>
      <c r="B869">
        <v>0</v>
      </c>
      <c r="C869">
        <v>0</v>
      </c>
      <c r="D869">
        <v>0</v>
      </c>
    </row>
    <row r="870" spans="1:4" x14ac:dyDescent="0.25">
      <c r="A870">
        <v>0</v>
      </c>
      <c r="B870">
        <v>0</v>
      </c>
      <c r="C870">
        <v>0</v>
      </c>
      <c r="D870">
        <v>0</v>
      </c>
    </row>
    <row r="871" spans="1:4" x14ac:dyDescent="0.25">
      <c r="A871">
        <v>0</v>
      </c>
      <c r="B871">
        <v>0</v>
      </c>
      <c r="C871">
        <v>0</v>
      </c>
      <c r="D871">
        <v>0</v>
      </c>
    </row>
    <row r="872" spans="1:4" x14ac:dyDescent="0.25">
      <c r="A872">
        <v>0</v>
      </c>
      <c r="B872">
        <v>0</v>
      </c>
      <c r="C872">
        <v>0</v>
      </c>
      <c r="D872">
        <v>0</v>
      </c>
    </row>
    <row r="873" spans="1:4" x14ac:dyDescent="0.25">
      <c r="A873">
        <v>0</v>
      </c>
      <c r="B873">
        <v>0</v>
      </c>
      <c r="C873">
        <v>0</v>
      </c>
      <c r="D873">
        <v>0</v>
      </c>
    </row>
    <row r="874" spans="1:4" x14ac:dyDescent="0.25">
      <c r="A874">
        <v>0</v>
      </c>
      <c r="B874">
        <v>0</v>
      </c>
      <c r="C874">
        <v>0</v>
      </c>
      <c r="D874">
        <v>0</v>
      </c>
    </row>
    <row r="875" spans="1:4" x14ac:dyDescent="0.25">
      <c r="A875">
        <v>0</v>
      </c>
      <c r="B875">
        <v>0</v>
      </c>
      <c r="C875">
        <v>0</v>
      </c>
      <c r="D875">
        <v>0</v>
      </c>
    </row>
    <row r="876" spans="1:4" x14ac:dyDescent="0.25">
      <c r="A876">
        <v>0</v>
      </c>
      <c r="B876">
        <v>0</v>
      </c>
      <c r="C876">
        <v>0</v>
      </c>
      <c r="D876">
        <v>0</v>
      </c>
    </row>
    <row r="877" spans="1:4" x14ac:dyDescent="0.25">
      <c r="A877">
        <v>0</v>
      </c>
      <c r="B877">
        <v>0</v>
      </c>
      <c r="C877">
        <v>0</v>
      </c>
      <c r="D877">
        <v>0</v>
      </c>
    </row>
    <row r="878" spans="1:4" x14ac:dyDescent="0.25">
      <c r="A878">
        <v>0</v>
      </c>
      <c r="B878">
        <v>0</v>
      </c>
      <c r="C878">
        <v>0</v>
      </c>
      <c r="D878">
        <v>0</v>
      </c>
    </row>
    <row r="879" spans="1:4" x14ac:dyDescent="0.25">
      <c r="A879">
        <v>0</v>
      </c>
      <c r="B879">
        <v>0</v>
      </c>
      <c r="C879">
        <v>0</v>
      </c>
      <c r="D879">
        <v>0</v>
      </c>
    </row>
    <row r="880" spans="1:4" x14ac:dyDescent="0.25">
      <c r="A880">
        <v>0</v>
      </c>
      <c r="B880">
        <v>0</v>
      </c>
      <c r="C880">
        <v>0</v>
      </c>
      <c r="D880">
        <v>0</v>
      </c>
    </row>
    <row r="881" spans="1:4" x14ac:dyDescent="0.25">
      <c r="A881">
        <v>0</v>
      </c>
      <c r="B881">
        <v>0</v>
      </c>
      <c r="C881">
        <v>0</v>
      </c>
      <c r="D881">
        <v>0</v>
      </c>
    </row>
    <row r="882" spans="1:4" x14ac:dyDescent="0.25">
      <c r="A882">
        <v>0</v>
      </c>
      <c r="B882">
        <v>0</v>
      </c>
      <c r="C882">
        <v>0</v>
      </c>
      <c r="D882">
        <v>0</v>
      </c>
    </row>
    <row r="883" spans="1:4" x14ac:dyDescent="0.25">
      <c r="A883">
        <v>0</v>
      </c>
      <c r="B883">
        <v>0</v>
      </c>
      <c r="C883">
        <v>0</v>
      </c>
      <c r="D883">
        <v>0</v>
      </c>
    </row>
    <row r="884" spans="1:4" x14ac:dyDescent="0.25">
      <c r="A884">
        <v>0</v>
      </c>
      <c r="B884">
        <v>0</v>
      </c>
      <c r="C884">
        <v>0</v>
      </c>
      <c r="D884">
        <v>0</v>
      </c>
    </row>
    <row r="885" spans="1:4" x14ac:dyDescent="0.25">
      <c r="A885">
        <v>0</v>
      </c>
      <c r="B885">
        <v>0</v>
      </c>
      <c r="C885">
        <v>0</v>
      </c>
      <c r="D885">
        <v>0</v>
      </c>
    </row>
    <row r="886" spans="1:4" x14ac:dyDescent="0.25">
      <c r="A886">
        <v>0</v>
      </c>
      <c r="B886">
        <v>0</v>
      </c>
      <c r="C886">
        <v>0</v>
      </c>
      <c r="D886">
        <v>0</v>
      </c>
    </row>
    <row r="887" spans="1:4" x14ac:dyDescent="0.25">
      <c r="A887">
        <v>0</v>
      </c>
      <c r="B887">
        <v>0</v>
      </c>
      <c r="C887">
        <v>0</v>
      </c>
      <c r="D887">
        <v>0</v>
      </c>
    </row>
    <row r="888" spans="1:4" x14ac:dyDescent="0.25">
      <c r="A888">
        <v>0</v>
      </c>
      <c r="B888">
        <v>0</v>
      </c>
      <c r="C888">
        <v>0</v>
      </c>
      <c r="D888">
        <v>0</v>
      </c>
    </row>
    <row r="889" spans="1:4" x14ac:dyDescent="0.25">
      <c r="A889">
        <v>0</v>
      </c>
      <c r="B889">
        <v>0</v>
      </c>
      <c r="C889">
        <v>0</v>
      </c>
      <c r="D889">
        <v>0</v>
      </c>
    </row>
    <row r="890" spans="1:4" x14ac:dyDescent="0.25">
      <c r="A890">
        <v>0</v>
      </c>
      <c r="B890">
        <v>0</v>
      </c>
      <c r="C890">
        <v>0</v>
      </c>
      <c r="D890">
        <v>0</v>
      </c>
    </row>
    <row r="891" spans="1:4" x14ac:dyDescent="0.25">
      <c r="A891">
        <v>0</v>
      </c>
      <c r="B891">
        <v>0</v>
      </c>
      <c r="C891">
        <v>0</v>
      </c>
      <c r="D891">
        <v>0</v>
      </c>
    </row>
    <row r="892" spans="1:4" x14ac:dyDescent="0.25">
      <c r="A892">
        <v>0</v>
      </c>
      <c r="B892">
        <v>0</v>
      </c>
      <c r="C892">
        <v>0</v>
      </c>
      <c r="D892">
        <v>0</v>
      </c>
    </row>
    <row r="893" spans="1:4" x14ac:dyDescent="0.25">
      <c r="A893">
        <v>0</v>
      </c>
      <c r="B893">
        <v>0</v>
      </c>
      <c r="C893">
        <v>0</v>
      </c>
      <c r="D893">
        <v>0</v>
      </c>
    </row>
    <row r="894" spans="1:4" x14ac:dyDescent="0.25">
      <c r="A894">
        <v>0</v>
      </c>
      <c r="B894">
        <v>0</v>
      </c>
      <c r="C894">
        <v>0</v>
      </c>
      <c r="D894">
        <v>0</v>
      </c>
    </row>
    <row r="895" spans="1:4" x14ac:dyDescent="0.25">
      <c r="A895">
        <v>0</v>
      </c>
      <c r="B895">
        <v>0</v>
      </c>
      <c r="C895">
        <v>0</v>
      </c>
      <c r="D895">
        <v>0</v>
      </c>
    </row>
    <row r="896" spans="1:4" x14ac:dyDescent="0.25">
      <c r="A896">
        <v>0</v>
      </c>
      <c r="B896">
        <v>0</v>
      </c>
      <c r="C896">
        <v>0</v>
      </c>
      <c r="D896">
        <v>0</v>
      </c>
    </row>
    <row r="897" spans="1:4" x14ac:dyDescent="0.25">
      <c r="A897">
        <v>0</v>
      </c>
      <c r="B897">
        <v>0</v>
      </c>
      <c r="C897">
        <v>0</v>
      </c>
      <c r="D897">
        <v>0</v>
      </c>
    </row>
    <row r="898" spans="1:4" x14ac:dyDescent="0.25">
      <c r="A898">
        <v>0</v>
      </c>
      <c r="B898">
        <v>0</v>
      </c>
      <c r="C898">
        <v>0</v>
      </c>
      <c r="D898">
        <v>0</v>
      </c>
    </row>
    <row r="899" spans="1:4" x14ac:dyDescent="0.25">
      <c r="A899">
        <v>0</v>
      </c>
      <c r="B899">
        <v>0</v>
      </c>
      <c r="C899">
        <v>0</v>
      </c>
      <c r="D899">
        <v>0</v>
      </c>
    </row>
    <row r="900" spans="1:4" x14ac:dyDescent="0.25">
      <c r="A900">
        <v>0</v>
      </c>
      <c r="B900">
        <v>0</v>
      </c>
      <c r="C900">
        <v>0</v>
      </c>
      <c r="D900">
        <v>0</v>
      </c>
    </row>
    <row r="901" spans="1:4" x14ac:dyDescent="0.25">
      <c r="A901">
        <v>0</v>
      </c>
      <c r="B901">
        <v>0</v>
      </c>
      <c r="C901">
        <v>0</v>
      </c>
      <c r="D901">
        <v>0</v>
      </c>
    </row>
    <row r="902" spans="1:4" x14ac:dyDescent="0.25">
      <c r="A902">
        <v>0</v>
      </c>
      <c r="B902">
        <v>0</v>
      </c>
      <c r="C902">
        <v>0</v>
      </c>
      <c r="D902">
        <v>0</v>
      </c>
    </row>
    <row r="903" spans="1:4" x14ac:dyDescent="0.25">
      <c r="A903">
        <v>0</v>
      </c>
      <c r="B903">
        <v>0</v>
      </c>
      <c r="C903">
        <v>0</v>
      </c>
      <c r="D903">
        <v>0</v>
      </c>
    </row>
    <row r="904" spans="1:4" x14ac:dyDescent="0.25">
      <c r="A904">
        <v>0</v>
      </c>
      <c r="B904">
        <v>0</v>
      </c>
      <c r="C904">
        <v>0</v>
      </c>
      <c r="D904">
        <v>0</v>
      </c>
    </row>
    <row r="905" spans="1:4" x14ac:dyDescent="0.25">
      <c r="A905">
        <v>0</v>
      </c>
      <c r="B905">
        <v>0</v>
      </c>
      <c r="C905">
        <v>0</v>
      </c>
      <c r="D905">
        <v>0</v>
      </c>
    </row>
    <row r="906" spans="1:4" x14ac:dyDescent="0.25">
      <c r="A906">
        <v>0</v>
      </c>
      <c r="B906">
        <v>0</v>
      </c>
      <c r="C906">
        <v>0</v>
      </c>
      <c r="D906">
        <v>0</v>
      </c>
    </row>
    <row r="907" spans="1:4" x14ac:dyDescent="0.25">
      <c r="A907">
        <v>0</v>
      </c>
      <c r="B907">
        <v>0</v>
      </c>
      <c r="C907">
        <v>0</v>
      </c>
      <c r="D907">
        <v>0</v>
      </c>
    </row>
    <row r="908" spans="1:4" x14ac:dyDescent="0.25">
      <c r="A908">
        <v>0</v>
      </c>
      <c r="B908">
        <v>0</v>
      </c>
      <c r="C908">
        <v>0</v>
      </c>
      <c r="D908">
        <v>0</v>
      </c>
    </row>
    <row r="909" spans="1:4" x14ac:dyDescent="0.25">
      <c r="A909">
        <v>0</v>
      </c>
      <c r="B909">
        <v>0</v>
      </c>
      <c r="C909">
        <v>0</v>
      </c>
      <c r="D909">
        <v>0</v>
      </c>
    </row>
    <row r="910" spans="1:4" x14ac:dyDescent="0.25">
      <c r="A910">
        <v>0</v>
      </c>
      <c r="B910">
        <v>0</v>
      </c>
      <c r="C910">
        <v>0</v>
      </c>
      <c r="D910">
        <v>0</v>
      </c>
    </row>
    <row r="911" spans="1:4" x14ac:dyDescent="0.25">
      <c r="A911">
        <v>0</v>
      </c>
      <c r="B911">
        <v>0</v>
      </c>
      <c r="C911">
        <v>0</v>
      </c>
      <c r="D911">
        <v>0</v>
      </c>
    </row>
    <row r="912" spans="1:4" x14ac:dyDescent="0.25">
      <c r="A912">
        <v>0</v>
      </c>
      <c r="B912">
        <v>0</v>
      </c>
      <c r="C912">
        <v>0</v>
      </c>
      <c r="D912">
        <v>0</v>
      </c>
    </row>
    <row r="913" spans="1:4" x14ac:dyDescent="0.25">
      <c r="A913">
        <v>0</v>
      </c>
      <c r="B913">
        <v>0</v>
      </c>
      <c r="C913">
        <v>0</v>
      </c>
      <c r="D913">
        <v>0</v>
      </c>
    </row>
    <row r="914" spans="1:4" x14ac:dyDescent="0.25">
      <c r="A914">
        <v>0</v>
      </c>
      <c r="B914">
        <v>0</v>
      </c>
      <c r="C914">
        <v>0</v>
      </c>
      <c r="D914">
        <v>0</v>
      </c>
    </row>
    <row r="915" spans="1:4" x14ac:dyDescent="0.25">
      <c r="A915">
        <v>0</v>
      </c>
      <c r="B915">
        <v>0</v>
      </c>
      <c r="C915">
        <v>0</v>
      </c>
      <c r="D915">
        <v>0</v>
      </c>
    </row>
    <row r="916" spans="1:4" x14ac:dyDescent="0.25">
      <c r="A916">
        <v>0</v>
      </c>
      <c r="B916">
        <v>0</v>
      </c>
      <c r="C916">
        <v>0</v>
      </c>
      <c r="D916">
        <v>0</v>
      </c>
    </row>
    <row r="917" spans="1:4" x14ac:dyDescent="0.25">
      <c r="A917">
        <v>0</v>
      </c>
      <c r="B917">
        <v>0</v>
      </c>
      <c r="C917">
        <v>0</v>
      </c>
      <c r="D917">
        <v>0</v>
      </c>
    </row>
    <row r="918" spans="1:4" x14ac:dyDescent="0.25">
      <c r="A918">
        <v>0</v>
      </c>
      <c r="B918">
        <v>0</v>
      </c>
      <c r="C918">
        <v>0</v>
      </c>
      <c r="D918">
        <v>0</v>
      </c>
    </row>
    <row r="919" spans="1:4" x14ac:dyDescent="0.25">
      <c r="A919">
        <v>0</v>
      </c>
      <c r="B919">
        <v>0</v>
      </c>
      <c r="C919">
        <v>0</v>
      </c>
      <c r="D919">
        <v>0</v>
      </c>
    </row>
    <row r="920" spans="1:4" x14ac:dyDescent="0.25">
      <c r="A920">
        <v>0</v>
      </c>
      <c r="B920">
        <v>0</v>
      </c>
      <c r="C920">
        <v>0</v>
      </c>
      <c r="D920">
        <v>0</v>
      </c>
    </row>
    <row r="921" spans="1:4" x14ac:dyDescent="0.25">
      <c r="A921">
        <v>0</v>
      </c>
      <c r="B921">
        <v>0</v>
      </c>
      <c r="C921">
        <v>0</v>
      </c>
      <c r="D921">
        <v>0</v>
      </c>
    </row>
    <row r="922" spans="1:4" x14ac:dyDescent="0.25">
      <c r="A922">
        <v>0</v>
      </c>
      <c r="B922">
        <v>0</v>
      </c>
      <c r="C922">
        <v>0</v>
      </c>
      <c r="D922">
        <v>0</v>
      </c>
    </row>
    <row r="923" spans="1:4" x14ac:dyDescent="0.25">
      <c r="A923">
        <v>0</v>
      </c>
      <c r="B923">
        <v>0</v>
      </c>
      <c r="C923">
        <v>0</v>
      </c>
      <c r="D923">
        <v>0</v>
      </c>
    </row>
    <row r="924" spans="1:4" x14ac:dyDescent="0.25">
      <c r="A924">
        <v>0</v>
      </c>
      <c r="B924">
        <v>0</v>
      </c>
      <c r="C924">
        <v>0</v>
      </c>
      <c r="D924">
        <v>0</v>
      </c>
    </row>
    <row r="925" spans="1:4" x14ac:dyDescent="0.25">
      <c r="A925">
        <v>0</v>
      </c>
      <c r="B925">
        <v>0</v>
      </c>
      <c r="C925">
        <v>0</v>
      </c>
      <c r="D925">
        <v>0</v>
      </c>
    </row>
    <row r="926" spans="1:4" x14ac:dyDescent="0.25">
      <c r="A926">
        <v>0</v>
      </c>
      <c r="B926">
        <v>0</v>
      </c>
      <c r="C926">
        <v>0</v>
      </c>
      <c r="D926">
        <v>0</v>
      </c>
    </row>
    <row r="927" spans="1:4" x14ac:dyDescent="0.25">
      <c r="A927">
        <v>0</v>
      </c>
      <c r="B927">
        <v>0</v>
      </c>
      <c r="C927">
        <v>0</v>
      </c>
      <c r="D927">
        <v>0</v>
      </c>
    </row>
    <row r="928" spans="1:4" x14ac:dyDescent="0.25">
      <c r="A928">
        <v>0</v>
      </c>
      <c r="B928">
        <v>0</v>
      </c>
      <c r="C928">
        <v>0</v>
      </c>
      <c r="D928">
        <v>0</v>
      </c>
    </row>
    <row r="929" spans="1:4" x14ac:dyDescent="0.25">
      <c r="A929">
        <v>0</v>
      </c>
      <c r="B929">
        <v>0</v>
      </c>
      <c r="C929">
        <v>0</v>
      </c>
      <c r="D929">
        <v>0</v>
      </c>
    </row>
    <row r="930" spans="1:4" x14ac:dyDescent="0.25">
      <c r="A930">
        <v>0</v>
      </c>
      <c r="B930">
        <v>0</v>
      </c>
      <c r="C930">
        <v>0</v>
      </c>
      <c r="D930">
        <v>0</v>
      </c>
    </row>
    <row r="931" spans="1:4" x14ac:dyDescent="0.25">
      <c r="A931">
        <v>0</v>
      </c>
      <c r="B931">
        <v>0</v>
      </c>
      <c r="C931">
        <v>0</v>
      </c>
      <c r="D931">
        <v>0</v>
      </c>
    </row>
    <row r="932" spans="1:4" x14ac:dyDescent="0.25">
      <c r="A932">
        <v>0</v>
      </c>
      <c r="B932">
        <v>0</v>
      </c>
      <c r="C932">
        <v>0</v>
      </c>
      <c r="D932">
        <v>0</v>
      </c>
    </row>
    <row r="933" spans="1:4" x14ac:dyDescent="0.25">
      <c r="A933">
        <v>0</v>
      </c>
      <c r="B933">
        <v>0</v>
      </c>
      <c r="C933">
        <v>0</v>
      </c>
      <c r="D933">
        <v>0</v>
      </c>
    </row>
    <row r="934" spans="1:4" x14ac:dyDescent="0.25">
      <c r="A934">
        <v>0</v>
      </c>
      <c r="B934">
        <v>0</v>
      </c>
      <c r="C934">
        <v>0</v>
      </c>
      <c r="D934">
        <v>0</v>
      </c>
    </row>
    <row r="935" spans="1:4" x14ac:dyDescent="0.25">
      <c r="A935">
        <v>0</v>
      </c>
      <c r="B935">
        <v>0</v>
      </c>
      <c r="C935">
        <v>0</v>
      </c>
      <c r="D935">
        <v>0</v>
      </c>
    </row>
    <row r="936" spans="1:4" x14ac:dyDescent="0.25">
      <c r="A936">
        <v>0</v>
      </c>
      <c r="B936">
        <v>0</v>
      </c>
      <c r="C936">
        <v>0</v>
      </c>
      <c r="D936">
        <v>0</v>
      </c>
    </row>
    <row r="937" spans="1:4" x14ac:dyDescent="0.25">
      <c r="A937">
        <v>0</v>
      </c>
      <c r="B937">
        <v>0</v>
      </c>
      <c r="C937">
        <v>0</v>
      </c>
      <c r="D937">
        <v>0</v>
      </c>
    </row>
    <row r="938" spans="1:4" x14ac:dyDescent="0.25">
      <c r="A938">
        <v>0</v>
      </c>
      <c r="B938">
        <v>0</v>
      </c>
      <c r="C938">
        <v>0</v>
      </c>
      <c r="D938">
        <v>0</v>
      </c>
    </row>
    <row r="939" spans="1:4" x14ac:dyDescent="0.25">
      <c r="A939">
        <v>0</v>
      </c>
      <c r="B939">
        <v>0</v>
      </c>
      <c r="C939">
        <v>0</v>
      </c>
      <c r="D939">
        <v>0</v>
      </c>
    </row>
    <row r="940" spans="1:4" x14ac:dyDescent="0.25">
      <c r="A940">
        <v>0</v>
      </c>
      <c r="B940">
        <v>0</v>
      </c>
      <c r="C940">
        <v>0</v>
      </c>
      <c r="D940">
        <v>0</v>
      </c>
    </row>
    <row r="941" spans="1:4" x14ac:dyDescent="0.25">
      <c r="A941">
        <v>0</v>
      </c>
      <c r="B941">
        <v>0</v>
      </c>
      <c r="C941">
        <v>0</v>
      </c>
      <c r="D941">
        <v>0</v>
      </c>
    </row>
    <row r="942" spans="1:4" x14ac:dyDescent="0.25">
      <c r="A942">
        <v>0</v>
      </c>
      <c r="B942">
        <v>0</v>
      </c>
      <c r="C942">
        <v>0</v>
      </c>
      <c r="D942">
        <v>0</v>
      </c>
    </row>
    <row r="943" spans="1:4" x14ac:dyDescent="0.25">
      <c r="A943">
        <v>0</v>
      </c>
      <c r="B943">
        <v>0</v>
      </c>
      <c r="C943">
        <v>0</v>
      </c>
      <c r="D943">
        <v>0</v>
      </c>
    </row>
    <row r="944" spans="1:4" x14ac:dyDescent="0.25">
      <c r="A944">
        <v>0</v>
      </c>
      <c r="B944">
        <v>0</v>
      </c>
      <c r="C944">
        <v>0</v>
      </c>
      <c r="D944">
        <v>0</v>
      </c>
    </row>
    <row r="945" spans="1:4" x14ac:dyDescent="0.25">
      <c r="A945">
        <v>0</v>
      </c>
      <c r="B945">
        <v>0</v>
      </c>
      <c r="C945">
        <v>0</v>
      </c>
      <c r="D945">
        <v>0</v>
      </c>
    </row>
    <row r="946" spans="1:4" x14ac:dyDescent="0.25">
      <c r="A946">
        <v>0</v>
      </c>
      <c r="B946">
        <v>0</v>
      </c>
      <c r="C946">
        <v>0</v>
      </c>
      <c r="D946">
        <v>0</v>
      </c>
    </row>
    <row r="947" spans="1:4" x14ac:dyDescent="0.25">
      <c r="A947">
        <v>0</v>
      </c>
      <c r="B947">
        <v>0</v>
      </c>
      <c r="C947">
        <v>0</v>
      </c>
      <c r="D947">
        <v>0</v>
      </c>
    </row>
    <row r="948" spans="1:4" x14ac:dyDescent="0.25">
      <c r="A948">
        <v>0</v>
      </c>
      <c r="B948">
        <v>0</v>
      </c>
      <c r="C948">
        <v>0</v>
      </c>
      <c r="D948">
        <v>0</v>
      </c>
    </row>
    <row r="949" spans="1:4" x14ac:dyDescent="0.25">
      <c r="A949">
        <v>0</v>
      </c>
      <c r="B949">
        <v>0</v>
      </c>
      <c r="C949">
        <v>0</v>
      </c>
      <c r="D949">
        <v>0</v>
      </c>
    </row>
    <row r="950" spans="1:4" x14ac:dyDescent="0.25">
      <c r="A950">
        <v>0</v>
      </c>
      <c r="B950">
        <v>0</v>
      </c>
      <c r="C950">
        <v>0</v>
      </c>
      <c r="D950">
        <v>0</v>
      </c>
    </row>
    <row r="951" spans="1:4" x14ac:dyDescent="0.25">
      <c r="A951">
        <v>0</v>
      </c>
      <c r="B951">
        <v>0</v>
      </c>
      <c r="C951">
        <v>0</v>
      </c>
      <c r="D951">
        <v>0</v>
      </c>
    </row>
    <row r="952" spans="1:4" x14ac:dyDescent="0.25">
      <c r="A952">
        <v>0</v>
      </c>
      <c r="B952">
        <v>0</v>
      </c>
      <c r="C952">
        <v>0</v>
      </c>
      <c r="D952">
        <v>0</v>
      </c>
    </row>
    <row r="953" spans="1:4" x14ac:dyDescent="0.25">
      <c r="A953">
        <v>0</v>
      </c>
      <c r="B953">
        <v>0</v>
      </c>
      <c r="C953">
        <v>0</v>
      </c>
      <c r="D953">
        <v>0</v>
      </c>
    </row>
    <row r="954" spans="1:4" x14ac:dyDescent="0.25">
      <c r="A954">
        <v>0</v>
      </c>
      <c r="B954">
        <v>0</v>
      </c>
      <c r="C954">
        <v>0</v>
      </c>
      <c r="D954">
        <v>0</v>
      </c>
    </row>
    <row r="955" spans="1:4" x14ac:dyDescent="0.25">
      <c r="A955">
        <v>0</v>
      </c>
      <c r="B955">
        <v>0</v>
      </c>
      <c r="C955">
        <v>0</v>
      </c>
      <c r="D955">
        <v>0</v>
      </c>
    </row>
    <row r="956" spans="1:4" x14ac:dyDescent="0.25">
      <c r="A956">
        <v>0</v>
      </c>
      <c r="B956">
        <v>0</v>
      </c>
      <c r="C956">
        <v>0</v>
      </c>
      <c r="D956">
        <v>0</v>
      </c>
    </row>
    <row r="957" spans="1:4" x14ac:dyDescent="0.25">
      <c r="A957">
        <v>0</v>
      </c>
      <c r="B957">
        <v>0</v>
      </c>
      <c r="C957">
        <v>0</v>
      </c>
      <c r="D957">
        <v>0</v>
      </c>
    </row>
    <row r="958" spans="1:4" x14ac:dyDescent="0.25">
      <c r="A958">
        <v>0</v>
      </c>
      <c r="B958">
        <v>0</v>
      </c>
      <c r="C958">
        <v>0</v>
      </c>
      <c r="D958">
        <v>0</v>
      </c>
    </row>
    <row r="959" spans="1:4" x14ac:dyDescent="0.25">
      <c r="A959">
        <v>0</v>
      </c>
      <c r="B959">
        <v>0</v>
      </c>
      <c r="C959">
        <v>0</v>
      </c>
      <c r="D959">
        <v>0</v>
      </c>
    </row>
    <row r="960" spans="1:4" x14ac:dyDescent="0.25">
      <c r="A960">
        <v>0</v>
      </c>
      <c r="B960">
        <v>0</v>
      </c>
      <c r="C960">
        <v>0</v>
      </c>
      <c r="D960">
        <v>0</v>
      </c>
    </row>
    <row r="961" spans="1:4" x14ac:dyDescent="0.25">
      <c r="A961">
        <v>0</v>
      </c>
      <c r="B961">
        <v>0</v>
      </c>
      <c r="C961">
        <v>0</v>
      </c>
      <c r="D961">
        <v>0</v>
      </c>
    </row>
    <row r="962" spans="1:4" x14ac:dyDescent="0.25">
      <c r="A962">
        <v>0</v>
      </c>
      <c r="B962">
        <v>0</v>
      </c>
      <c r="C962">
        <v>0</v>
      </c>
      <c r="D962">
        <v>0</v>
      </c>
    </row>
    <row r="963" spans="1:4" x14ac:dyDescent="0.25">
      <c r="A963">
        <v>0</v>
      </c>
      <c r="B963">
        <v>0</v>
      </c>
      <c r="C963">
        <v>0</v>
      </c>
      <c r="D963">
        <v>0</v>
      </c>
    </row>
    <row r="964" spans="1:4" x14ac:dyDescent="0.25">
      <c r="A964">
        <v>0</v>
      </c>
      <c r="B964">
        <v>0</v>
      </c>
      <c r="C964">
        <v>0</v>
      </c>
      <c r="D964">
        <v>0</v>
      </c>
    </row>
    <row r="965" spans="1:4" x14ac:dyDescent="0.25">
      <c r="A965">
        <v>0</v>
      </c>
      <c r="B965">
        <v>0</v>
      </c>
      <c r="C965">
        <v>0</v>
      </c>
      <c r="D965">
        <v>0</v>
      </c>
    </row>
    <row r="966" spans="1:4" x14ac:dyDescent="0.25">
      <c r="A966">
        <v>0</v>
      </c>
      <c r="B966">
        <v>0</v>
      </c>
      <c r="C966">
        <v>0</v>
      </c>
      <c r="D966">
        <v>0</v>
      </c>
    </row>
    <row r="967" spans="1:4" x14ac:dyDescent="0.25">
      <c r="A967">
        <v>0</v>
      </c>
      <c r="B967">
        <v>0</v>
      </c>
      <c r="C967">
        <v>0</v>
      </c>
      <c r="D967">
        <v>0</v>
      </c>
    </row>
    <row r="968" spans="1:4" x14ac:dyDescent="0.25">
      <c r="A968">
        <v>0</v>
      </c>
      <c r="B968">
        <v>0</v>
      </c>
      <c r="C968">
        <v>0</v>
      </c>
      <c r="D968">
        <v>0</v>
      </c>
    </row>
    <row r="969" spans="1:4" x14ac:dyDescent="0.25">
      <c r="A969">
        <v>0</v>
      </c>
      <c r="B969">
        <v>0</v>
      </c>
      <c r="C969">
        <v>0</v>
      </c>
      <c r="D969">
        <v>0</v>
      </c>
    </row>
    <row r="970" spans="1:4" x14ac:dyDescent="0.25">
      <c r="A970">
        <v>0</v>
      </c>
      <c r="B970">
        <v>0</v>
      </c>
      <c r="C970">
        <v>0</v>
      </c>
      <c r="D970">
        <v>0</v>
      </c>
    </row>
    <row r="971" spans="1:4" x14ac:dyDescent="0.25">
      <c r="A971">
        <v>0</v>
      </c>
      <c r="B971">
        <v>0</v>
      </c>
      <c r="C971">
        <v>0</v>
      </c>
      <c r="D971">
        <v>0</v>
      </c>
    </row>
    <row r="972" spans="1:4" x14ac:dyDescent="0.25">
      <c r="A972">
        <v>0</v>
      </c>
      <c r="B972">
        <v>0</v>
      </c>
      <c r="C972">
        <v>0</v>
      </c>
      <c r="D972">
        <v>0</v>
      </c>
    </row>
    <row r="973" spans="1:4" x14ac:dyDescent="0.25">
      <c r="A973">
        <v>0</v>
      </c>
      <c r="B973">
        <v>0</v>
      </c>
      <c r="C973">
        <v>0</v>
      </c>
      <c r="D973">
        <v>0</v>
      </c>
    </row>
    <row r="974" spans="1:4" x14ac:dyDescent="0.25">
      <c r="A974">
        <v>0</v>
      </c>
      <c r="B974">
        <v>0</v>
      </c>
      <c r="C974">
        <v>0</v>
      </c>
      <c r="D974">
        <v>0</v>
      </c>
    </row>
    <row r="975" spans="1:4" x14ac:dyDescent="0.25">
      <c r="A975">
        <v>0</v>
      </c>
      <c r="B975">
        <v>0</v>
      </c>
      <c r="C975">
        <v>0</v>
      </c>
      <c r="D975">
        <v>0</v>
      </c>
    </row>
    <row r="976" spans="1:4" x14ac:dyDescent="0.25">
      <c r="A976">
        <v>0</v>
      </c>
      <c r="B976">
        <v>0</v>
      </c>
      <c r="C976">
        <v>0</v>
      </c>
      <c r="D976">
        <v>0</v>
      </c>
    </row>
    <row r="977" spans="1:4" x14ac:dyDescent="0.25">
      <c r="A977">
        <v>0</v>
      </c>
      <c r="B977">
        <v>0</v>
      </c>
      <c r="C977">
        <v>0</v>
      </c>
      <c r="D977">
        <v>0</v>
      </c>
    </row>
    <row r="978" spans="1:4" x14ac:dyDescent="0.25">
      <c r="A978">
        <v>0</v>
      </c>
      <c r="B978">
        <v>0</v>
      </c>
      <c r="C978">
        <v>0</v>
      </c>
      <c r="D978">
        <v>0</v>
      </c>
    </row>
    <row r="979" spans="1:4" x14ac:dyDescent="0.25">
      <c r="A979">
        <v>0</v>
      </c>
      <c r="B979">
        <v>0</v>
      </c>
      <c r="C979">
        <v>0</v>
      </c>
      <c r="D979">
        <v>0</v>
      </c>
    </row>
    <row r="980" spans="1:4" x14ac:dyDescent="0.25">
      <c r="A980">
        <v>0</v>
      </c>
      <c r="B980">
        <v>0</v>
      </c>
      <c r="C980">
        <v>0</v>
      </c>
      <c r="D980">
        <v>0</v>
      </c>
    </row>
    <row r="981" spans="1:4" x14ac:dyDescent="0.25">
      <c r="A981">
        <v>0</v>
      </c>
      <c r="B981">
        <v>0</v>
      </c>
      <c r="C981">
        <v>0</v>
      </c>
      <c r="D981">
        <v>0</v>
      </c>
    </row>
    <row r="982" spans="1:4" x14ac:dyDescent="0.25">
      <c r="A982">
        <v>0</v>
      </c>
      <c r="B982">
        <v>0</v>
      </c>
      <c r="C982">
        <v>0</v>
      </c>
      <c r="D982">
        <v>0</v>
      </c>
    </row>
    <row r="983" spans="1:4" x14ac:dyDescent="0.25">
      <c r="A983">
        <v>0</v>
      </c>
      <c r="B983">
        <v>0</v>
      </c>
      <c r="C983">
        <v>0</v>
      </c>
      <c r="D983">
        <v>0</v>
      </c>
    </row>
    <row r="984" spans="1:4" x14ac:dyDescent="0.25">
      <c r="A984">
        <v>0</v>
      </c>
      <c r="B984">
        <v>0</v>
      </c>
      <c r="C984">
        <v>0</v>
      </c>
      <c r="D984">
        <v>0</v>
      </c>
    </row>
    <row r="985" spans="1:4" x14ac:dyDescent="0.25">
      <c r="A985">
        <v>0</v>
      </c>
      <c r="B985">
        <v>0</v>
      </c>
      <c r="C985">
        <v>0</v>
      </c>
      <c r="D985">
        <v>0</v>
      </c>
    </row>
    <row r="986" spans="1:4" x14ac:dyDescent="0.25">
      <c r="A986">
        <v>0</v>
      </c>
      <c r="B986">
        <v>0</v>
      </c>
      <c r="C986">
        <v>0</v>
      </c>
      <c r="D986">
        <v>0</v>
      </c>
    </row>
    <row r="987" spans="1:4" x14ac:dyDescent="0.25">
      <c r="A987">
        <v>0</v>
      </c>
      <c r="B987">
        <v>0</v>
      </c>
      <c r="C987">
        <v>0</v>
      </c>
      <c r="D987">
        <v>0</v>
      </c>
    </row>
    <row r="988" spans="1:4" x14ac:dyDescent="0.25">
      <c r="A988">
        <v>0</v>
      </c>
      <c r="B988">
        <v>0</v>
      </c>
      <c r="C988">
        <v>0</v>
      </c>
      <c r="D988">
        <v>0</v>
      </c>
    </row>
    <row r="989" spans="1:4" x14ac:dyDescent="0.25">
      <c r="A989">
        <v>0</v>
      </c>
      <c r="B989">
        <v>0</v>
      </c>
      <c r="C989">
        <v>0</v>
      </c>
      <c r="D989">
        <v>0</v>
      </c>
    </row>
    <row r="990" spans="1:4" x14ac:dyDescent="0.25">
      <c r="A990">
        <v>0</v>
      </c>
      <c r="B990">
        <v>0</v>
      </c>
      <c r="C990">
        <v>0</v>
      </c>
      <c r="D990">
        <v>0</v>
      </c>
    </row>
    <row r="991" spans="1:4" x14ac:dyDescent="0.25">
      <c r="A991">
        <v>0</v>
      </c>
      <c r="B991">
        <v>0</v>
      </c>
      <c r="C991">
        <v>0</v>
      </c>
      <c r="D991">
        <v>0</v>
      </c>
    </row>
    <row r="992" spans="1:4" x14ac:dyDescent="0.25">
      <c r="A992">
        <v>0</v>
      </c>
      <c r="B992">
        <v>0</v>
      </c>
      <c r="C992">
        <v>0</v>
      </c>
      <c r="D992">
        <v>0</v>
      </c>
    </row>
    <row r="993" spans="1:4" x14ac:dyDescent="0.25">
      <c r="A993">
        <v>0</v>
      </c>
      <c r="B993">
        <v>0</v>
      </c>
      <c r="C993">
        <v>0</v>
      </c>
      <c r="D993">
        <v>0</v>
      </c>
    </row>
    <row r="994" spans="1:4" x14ac:dyDescent="0.25">
      <c r="A994">
        <v>0</v>
      </c>
      <c r="B994">
        <v>0</v>
      </c>
      <c r="C994">
        <v>0</v>
      </c>
      <c r="D994">
        <v>0</v>
      </c>
    </row>
    <row r="995" spans="1:4" x14ac:dyDescent="0.25">
      <c r="A995">
        <v>0</v>
      </c>
      <c r="B995">
        <v>0</v>
      </c>
      <c r="C995">
        <v>0</v>
      </c>
      <c r="D995">
        <v>0</v>
      </c>
    </row>
    <row r="996" spans="1:4" x14ac:dyDescent="0.25">
      <c r="A996">
        <v>0</v>
      </c>
      <c r="B996">
        <v>0</v>
      </c>
      <c r="C996">
        <v>0</v>
      </c>
      <c r="D996">
        <v>0</v>
      </c>
    </row>
    <row r="997" spans="1:4" x14ac:dyDescent="0.25">
      <c r="A997">
        <v>0</v>
      </c>
      <c r="B997">
        <v>0</v>
      </c>
      <c r="C997">
        <v>0</v>
      </c>
      <c r="D997">
        <v>0</v>
      </c>
    </row>
    <row r="998" spans="1:4" x14ac:dyDescent="0.25">
      <c r="A998">
        <v>0</v>
      </c>
      <c r="B998">
        <v>0</v>
      </c>
      <c r="C998">
        <v>0</v>
      </c>
      <c r="D998">
        <v>0</v>
      </c>
    </row>
    <row r="999" spans="1:4" x14ac:dyDescent="0.25">
      <c r="A999">
        <v>0</v>
      </c>
      <c r="B999">
        <v>0</v>
      </c>
      <c r="C999">
        <v>0</v>
      </c>
      <c r="D999">
        <v>0</v>
      </c>
    </row>
    <row r="1000" spans="1:4" x14ac:dyDescent="0.25">
      <c r="A1000">
        <v>0</v>
      </c>
      <c r="B1000">
        <v>0</v>
      </c>
      <c r="C1000">
        <v>0</v>
      </c>
      <c r="D1000">
        <v>0</v>
      </c>
    </row>
    <row r="1001" spans="1:4" x14ac:dyDescent="0.25">
      <c r="A1001">
        <v>0</v>
      </c>
      <c r="B1001">
        <v>0</v>
      </c>
      <c r="C1001">
        <v>0</v>
      </c>
      <c r="D1001">
        <v>0</v>
      </c>
    </row>
    <row r="1002" spans="1:4" x14ac:dyDescent="0.25">
      <c r="A1002">
        <v>0</v>
      </c>
      <c r="B1002">
        <v>0</v>
      </c>
      <c r="C1002">
        <v>0</v>
      </c>
      <c r="D1002">
        <v>0</v>
      </c>
    </row>
    <row r="1003" spans="1:4" x14ac:dyDescent="0.25">
      <c r="A1003">
        <v>0</v>
      </c>
      <c r="B1003">
        <v>0</v>
      </c>
      <c r="C1003">
        <v>0</v>
      </c>
      <c r="D1003">
        <v>0</v>
      </c>
    </row>
    <row r="1004" spans="1:4" x14ac:dyDescent="0.25">
      <c r="A1004">
        <v>0</v>
      </c>
      <c r="B1004">
        <v>0</v>
      </c>
      <c r="C1004">
        <v>0</v>
      </c>
      <c r="D1004">
        <v>0</v>
      </c>
    </row>
    <row r="1005" spans="1:4" x14ac:dyDescent="0.25">
      <c r="A1005">
        <v>0</v>
      </c>
      <c r="B1005">
        <v>0</v>
      </c>
      <c r="C1005">
        <v>0</v>
      </c>
      <c r="D1005">
        <v>0</v>
      </c>
    </row>
    <row r="1006" spans="1:4" x14ac:dyDescent="0.25">
      <c r="A1006">
        <v>0</v>
      </c>
      <c r="B1006">
        <v>0</v>
      </c>
      <c r="C1006">
        <v>0</v>
      </c>
      <c r="D1006">
        <v>0</v>
      </c>
    </row>
    <row r="1007" spans="1:4" x14ac:dyDescent="0.25">
      <c r="A1007">
        <v>0</v>
      </c>
      <c r="B1007">
        <v>0</v>
      </c>
      <c r="C1007">
        <v>0</v>
      </c>
      <c r="D1007">
        <v>0</v>
      </c>
    </row>
    <row r="1008" spans="1:4" x14ac:dyDescent="0.25">
      <c r="A1008">
        <v>0</v>
      </c>
      <c r="B1008">
        <v>0</v>
      </c>
      <c r="C1008">
        <v>0</v>
      </c>
      <c r="D1008">
        <v>0</v>
      </c>
    </row>
    <row r="1009" spans="1:4" x14ac:dyDescent="0.25">
      <c r="A1009">
        <v>0</v>
      </c>
      <c r="B1009">
        <v>0</v>
      </c>
      <c r="C1009">
        <v>0</v>
      </c>
      <c r="D1009">
        <v>0</v>
      </c>
    </row>
    <row r="1010" spans="1:4" x14ac:dyDescent="0.25">
      <c r="A1010">
        <v>0</v>
      </c>
      <c r="B1010">
        <v>0</v>
      </c>
      <c r="C1010">
        <v>0</v>
      </c>
      <c r="D1010">
        <v>0</v>
      </c>
    </row>
    <row r="1011" spans="1:4" x14ac:dyDescent="0.25">
      <c r="A1011">
        <v>0</v>
      </c>
      <c r="B1011">
        <v>0</v>
      </c>
      <c r="C1011">
        <v>0</v>
      </c>
      <c r="D1011">
        <v>0</v>
      </c>
    </row>
    <row r="1012" spans="1:4" x14ac:dyDescent="0.25">
      <c r="A1012">
        <v>0</v>
      </c>
      <c r="B1012">
        <v>0</v>
      </c>
      <c r="C1012">
        <v>0</v>
      </c>
      <c r="D1012">
        <v>0</v>
      </c>
    </row>
    <row r="1013" spans="1:4" x14ac:dyDescent="0.25">
      <c r="A1013">
        <v>0</v>
      </c>
      <c r="B1013">
        <v>0</v>
      </c>
      <c r="C1013">
        <v>0</v>
      </c>
      <c r="D1013">
        <v>0</v>
      </c>
    </row>
    <row r="1014" spans="1:4" x14ac:dyDescent="0.25">
      <c r="A1014">
        <v>0</v>
      </c>
      <c r="B1014">
        <v>0</v>
      </c>
      <c r="C1014">
        <v>0</v>
      </c>
      <c r="D1014">
        <v>0</v>
      </c>
    </row>
    <row r="1015" spans="1:4" x14ac:dyDescent="0.25">
      <c r="A1015">
        <v>0</v>
      </c>
      <c r="B1015">
        <v>0</v>
      </c>
      <c r="C1015">
        <v>0</v>
      </c>
      <c r="D1015">
        <v>0</v>
      </c>
    </row>
    <row r="1016" spans="1:4" x14ac:dyDescent="0.25">
      <c r="A1016">
        <v>0</v>
      </c>
      <c r="B1016">
        <v>0</v>
      </c>
      <c r="C1016">
        <v>0</v>
      </c>
      <c r="D1016">
        <v>0</v>
      </c>
    </row>
    <row r="1017" spans="1:4" x14ac:dyDescent="0.25">
      <c r="A1017">
        <v>0</v>
      </c>
      <c r="B1017">
        <v>0</v>
      </c>
      <c r="C1017">
        <v>0</v>
      </c>
      <c r="D1017">
        <v>0</v>
      </c>
    </row>
    <row r="1018" spans="1:4" x14ac:dyDescent="0.25">
      <c r="A1018">
        <v>0</v>
      </c>
      <c r="B1018">
        <v>0</v>
      </c>
      <c r="C1018">
        <v>0</v>
      </c>
      <c r="D1018">
        <v>0</v>
      </c>
    </row>
    <row r="1019" spans="1:4" x14ac:dyDescent="0.25">
      <c r="A1019">
        <v>0</v>
      </c>
      <c r="B1019">
        <v>0</v>
      </c>
      <c r="C1019">
        <v>0</v>
      </c>
      <c r="D1019">
        <v>0</v>
      </c>
    </row>
    <row r="1020" spans="1:4" x14ac:dyDescent="0.25">
      <c r="A1020">
        <v>0</v>
      </c>
      <c r="B1020">
        <v>0</v>
      </c>
      <c r="C1020">
        <v>0</v>
      </c>
      <c r="D1020">
        <v>0</v>
      </c>
    </row>
    <row r="1021" spans="1:4" x14ac:dyDescent="0.25">
      <c r="A1021">
        <v>0</v>
      </c>
      <c r="B1021">
        <v>0</v>
      </c>
      <c r="C1021">
        <v>0</v>
      </c>
      <c r="D1021">
        <v>0</v>
      </c>
    </row>
    <row r="1022" spans="1:4" x14ac:dyDescent="0.25">
      <c r="A1022">
        <v>0</v>
      </c>
      <c r="B1022">
        <v>0</v>
      </c>
      <c r="C1022">
        <v>0</v>
      </c>
      <c r="D1022">
        <v>0</v>
      </c>
    </row>
    <row r="1023" spans="1:4" x14ac:dyDescent="0.25">
      <c r="A1023">
        <v>0</v>
      </c>
      <c r="B1023">
        <v>0</v>
      </c>
      <c r="C1023">
        <v>0</v>
      </c>
      <c r="D1023">
        <v>0</v>
      </c>
    </row>
    <row r="1024" spans="1:4" x14ac:dyDescent="0.25">
      <c r="A1024">
        <v>0</v>
      </c>
      <c r="B1024">
        <v>0</v>
      </c>
      <c r="C1024">
        <v>0</v>
      </c>
      <c r="D1024">
        <v>0</v>
      </c>
    </row>
    <row r="1025" spans="1:4" x14ac:dyDescent="0.25">
      <c r="A1025">
        <v>0</v>
      </c>
      <c r="B1025">
        <v>0</v>
      </c>
      <c r="C1025">
        <v>0</v>
      </c>
      <c r="D1025">
        <v>0</v>
      </c>
    </row>
    <row r="1026" spans="1:4" x14ac:dyDescent="0.25">
      <c r="A1026">
        <v>0</v>
      </c>
      <c r="B1026">
        <v>0</v>
      </c>
      <c r="C1026">
        <v>0</v>
      </c>
      <c r="D1026">
        <v>0</v>
      </c>
    </row>
    <row r="1027" spans="1:4" x14ac:dyDescent="0.25">
      <c r="A1027">
        <v>0</v>
      </c>
      <c r="B1027">
        <v>0</v>
      </c>
      <c r="C1027">
        <v>0</v>
      </c>
      <c r="D1027">
        <v>0</v>
      </c>
    </row>
    <row r="1028" spans="1:4" x14ac:dyDescent="0.25">
      <c r="A1028">
        <v>0</v>
      </c>
      <c r="B1028">
        <v>0</v>
      </c>
      <c r="C1028">
        <v>0</v>
      </c>
      <c r="D1028">
        <v>0</v>
      </c>
    </row>
    <row r="1029" spans="1:4" x14ac:dyDescent="0.25">
      <c r="A1029">
        <v>0</v>
      </c>
      <c r="B1029">
        <v>0</v>
      </c>
      <c r="C1029">
        <v>0</v>
      </c>
      <c r="D1029">
        <v>0</v>
      </c>
    </row>
    <row r="1030" spans="1:4" x14ac:dyDescent="0.25">
      <c r="A1030">
        <v>0</v>
      </c>
      <c r="B1030">
        <v>0</v>
      </c>
      <c r="C1030">
        <v>0</v>
      </c>
      <c r="D1030">
        <v>0</v>
      </c>
    </row>
    <row r="1031" spans="1:4" x14ac:dyDescent="0.25">
      <c r="A1031">
        <v>0</v>
      </c>
      <c r="B1031">
        <v>0</v>
      </c>
      <c r="C1031">
        <v>0</v>
      </c>
      <c r="D1031">
        <v>0</v>
      </c>
    </row>
    <row r="1032" spans="1:4" x14ac:dyDescent="0.25">
      <c r="A1032">
        <v>0</v>
      </c>
      <c r="B1032">
        <v>0</v>
      </c>
      <c r="C1032">
        <v>0</v>
      </c>
      <c r="D1032">
        <v>0</v>
      </c>
    </row>
    <row r="1033" spans="1:4" x14ac:dyDescent="0.25">
      <c r="A1033">
        <v>0</v>
      </c>
      <c r="B1033">
        <v>0</v>
      </c>
      <c r="C1033">
        <v>0</v>
      </c>
      <c r="D1033">
        <v>0</v>
      </c>
    </row>
    <row r="1034" spans="1:4" x14ac:dyDescent="0.25">
      <c r="A1034">
        <v>0</v>
      </c>
      <c r="B1034">
        <v>0</v>
      </c>
      <c r="C1034">
        <v>0</v>
      </c>
      <c r="D1034">
        <v>0</v>
      </c>
    </row>
    <row r="1035" spans="1:4" x14ac:dyDescent="0.25">
      <c r="A1035">
        <v>0</v>
      </c>
      <c r="B1035">
        <v>0</v>
      </c>
      <c r="C1035">
        <v>0</v>
      </c>
      <c r="D1035">
        <v>0</v>
      </c>
    </row>
    <row r="1036" spans="1:4" x14ac:dyDescent="0.25">
      <c r="A1036">
        <v>0</v>
      </c>
      <c r="B1036">
        <v>0</v>
      </c>
      <c r="C1036">
        <v>0</v>
      </c>
      <c r="D1036">
        <v>0</v>
      </c>
    </row>
    <row r="1037" spans="1:4" x14ac:dyDescent="0.25">
      <c r="A1037">
        <v>0</v>
      </c>
      <c r="B1037">
        <v>0</v>
      </c>
      <c r="C1037">
        <v>0</v>
      </c>
      <c r="D1037">
        <v>0</v>
      </c>
    </row>
    <row r="1038" spans="1:4" x14ac:dyDescent="0.25">
      <c r="A1038">
        <v>0</v>
      </c>
      <c r="B1038">
        <v>0</v>
      </c>
      <c r="C1038">
        <v>0</v>
      </c>
      <c r="D1038">
        <v>0</v>
      </c>
    </row>
    <row r="1039" spans="1:4" x14ac:dyDescent="0.25">
      <c r="A1039">
        <v>0</v>
      </c>
      <c r="B1039">
        <v>0</v>
      </c>
      <c r="C1039">
        <v>0</v>
      </c>
      <c r="D1039">
        <v>0</v>
      </c>
    </row>
    <row r="1040" spans="1:4" x14ac:dyDescent="0.25">
      <c r="A1040">
        <v>0</v>
      </c>
      <c r="B1040">
        <v>0</v>
      </c>
      <c r="C1040">
        <v>0</v>
      </c>
      <c r="D1040">
        <v>0</v>
      </c>
    </row>
    <row r="1041" spans="1:4" x14ac:dyDescent="0.25">
      <c r="A1041">
        <v>0</v>
      </c>
      <c r="B1041">
        <v>0</v>
      </c>
      <c r="C1041">
        <v>0</v>
      </c>
      <c r="D1041">
        <v>0</v>
      </c>
    </row>
    <row r="1042" spans="1:4" x14ac:dyDescent="0.25">
      <c r="A1042">
        <v>0</v>
      </c>
      <c r="B1042">
        <v>0</v>
      </c>
      <c r="C1042">
        <v>0</v>
      </c>
      <c r="D1042">
        <v>0</v>
      </c>
    </row>
    <row r="1043" spans="1:4" x14ac:dyDescent="0.25">
      <c r="A1043">
        <v>0</v>
      </c>
      <c r="B1043">
        <v>0</v>
      </c>
      <c r="C1043">
        <v>0</v>
      </c>
      <c r="D1043">
        <v>0</v>
      </c>
    </row>
    <row r="1044" spans="1:4" x14ac:dyDescent="0.25">
      <c r="A1044">
        <v>0</v>
      </c>
      <c r="B1044">
        <v>0</v>
      </c>
      <c r="C1044">
        <v>0</v>
      </c>
      <c r="D1044">
        <v>0</v>
      </c>
    </row>
    <row r="1045" spans="1:4" x14ac:dyDescent="0.25">
      <c r="A1045">
        <v>0</v>
      </c>
      <c r="B1045">
        <v>0</v>
      </c>
      <c r="C1045">
        <v>0</v>
      </c>
      <c r="D1045">
        <v>0</v>
      </c>
    </row>
    <row r="1046" spans="1:4" x14ac:dyDescent="0.25">
      <c r="A1046">
        <v>0</v>
      </c>
      <c r="B1046">
        <v>0</v>
      </c>
      <c r="C1046">
        <v>0</v>
      </c>
      <c r="D1046">
        <v>0</v>
      </c>
    </row>
    <row r="1047" spans="1:4" x14ac:dyDescent="0.25">
      <c r="A1047">
        <v>0</v>
      </c>
      <c r="B1047">
        <v>0</v>
      </c>
      <c r="C1047">
        <v>0</v>
      </c>
      <c r="D1047">
        <v>0</v>
      </c>
    </row>
    <row r="1048" spans="1:4" x14ac:dyDescent="0.25">
      <c r="A1048">
        <v>0</v>
      </c>
      <c r="B1048">
        <v>0</v>
      </c>
      <c r="C1048">
        <v>0</v>
      </c>
      <c r="D1048">
        <v>0</v>
      </c>
    </row>
    <row r="1049" spans="1:4" x14ac:dyDescent="0.25">
      <c r="A1049">
        <v>0</v>
      </c>
      <c r="B1049">
        <v>0</v>
      </c>
      <c r="C1049">
        <v>0</v>
      </c>
      <c r="D1049">
        <v>0</v>
      </c>
    </row>
    <row r="1050" spans="1:4" x14ac:dyDescent="0.25">
      <c r="A1050">
        <v>0</v>
      </c>
      <c r="B1050">
        <v>0</v>
      </c>
      <c r="C1050">
        <v>0</v>
      </c>
      <c r="D1050">
        <v>0</v>
      </c>
    </row>
    <row r="1051" spans="1:4" x14ac:dyDescent="0.25">
      <c r="A1051">
        <v>0</v>
      </c>
      <c r="B1051">
        <v>0</v>
      </c>
      <c r="C1051">
        <v>0</v>
      </c>
      <c r="D1051">
        <v>0</v>
      </c>
    </row>
    <row r="1052" spans="1:4" x14ac:dyDescent="0.25">
      <c r="A1052">
        <v>0</v>
      </c>
      <c r="B1052">
        <v>0</v>
      </c>
      <c r="C1052">
        <v>0</v>
      </c>
      <c r="D1052">
        <v>0</v>
      </c>
    </row>
    <row r="1053" spans="1:4" x14ac:dyDescent="0.25">
      <c r="A1053">
        <v>0</v>
      </c>
      <c r="B1053">
        <v>0</v>
      </c>
      <c r="C1053">
        <v>0</v>
      </c>
      <c r="D1053">
        <v>0</v>
      </c>
    </row>
    <row r="1054" spans="1:4" x14ac:dyDescent="0.25">
      <c r="A1054">
        <v>0</v>
      </c>
      <c r="B1054">
        <v>0</v>
      </c>
      <c r="C1054">
        <v>0</v>
      </c>
      <c r="D1054">
        <v>0</v>
      </c>
    </row>
    <row r="1055" spans="1:4" x14ac:dyDescent="0.25">
      <c r="A1055">
        <v>0</v>
      </c>
      <c r="B1055">
        <v>0</v>
      </c>
      <c r="C1055">
        <v>0</v>
      </c>
      <c r="D1055">
        <v>0</v>
      </c>
    </row>
    <row r="1056" spans="1:4" x14ac:dyDescent="0.25">
      <c r="A1056">
        <v>0</v>
      </c>
      <c r="B1056">
        <v>0</v>
      </c>
      <c r="C1056">
        <v>0</v>
      </c>
      <c r="D1056">
        <v>0</v>
      </c>
    </row>
    <row r="1057" spans="1:4" x14ac:dyDescent="0.25">
      <c r="A1057">
        <v>0</v>
      </c>
      <c r="B1057">
        <v>0</v>
      </c>
      <c r="C1057">
        <v>0</v>
      </c>
      <c r="D1057">
        <v>0</v>
      </c>
    </row>
    <row r="1058" spans="1:4" x14ac:dyDescent="0.25">
      <c r="A1058">
        <v>0</v>
      </c>
      <c r="B1058">
        <v>0</v>
      </c>
      <c r="C1058">
        <v>0</v>
      </c>
      <c r="D1058">
        <v>0</v>
      </c>
    </row>
    <row r="1059" spans="1:4" x14ac:dyDescent="0.25">
      <c r="A1059">
        <v>0</v>
      </c>
      <c r="B1059">
        <v>0</v>
      </c>
      <c r="C1059">
        <v>0</v>
      </c>
      <c r="D1059">
        <v>0</v>
      </c>
    </row>
    <row r="1060" spans="1:4" x14ac:dyDescent="0.25">
      <c r="A1060">
        <v>0</v>
      </c>
      <c r="B1060">
        <v>0</v>
      </c>
      <c r="C1060">
        <v>0</v>
      </c>
      <c r="D1060">
        <v>0</v>
      </c>
    </row>
    <row r="1061" spans="1:4" x14ac:dyDescent="0.25">
      <c r="A1061">
        <v>0</v>
      </c>
      <c r="B1061">
        <v>0</v>
      </c>
      <c r="C1061">
        <v>0</v>
      </c>
      <c r="D1061">
        <v>0</v>
      </c>
    </row>
    <row r="1062" spans="1:4" x14ac:dyDescent="0.25">
      <c r="A1062">
        <v>0</v>
      </c>
      <c r="B1062">
        <v>0</v>
      </c>
      <c r="C1062">
        <v>0</v>
      </c>
      <c r="D1062">
        <v>0</v>
      </c>
    </row>
    <row r="1063" spans="1:4" x14ac:dyDescent="0.25">
      <c r="A1063">
        <v>0</v>
      </c>
      <c r="B1063">
        <v>0</v>
      </c>
      <c r="C1063">
        <v>0</v>
      </c>
      <c r="D1063">
        <v>0</v>
      </c>
    </row>
    <row r="1064" spans="1:4" x14ac:dyDescent="0.25">
      <c r="A1064">
        <v>0</v>
      </c>
      <c r="B1064">
        <v>0</v>
      </c>
      <c r="C1064">
        <v>0</v>
      </c>
      <c r="D1064">
        <v>0</v>
      </c>
    </row>
    <row r="1065" spans="1:4" x14ac:dyDescent="0.25">
      <c r="A1065">
        <v>0</v>
      </c>
      <c r="B1065">
        <v>0</v>
      </c>
      <c r="C1065">
        <v>0</v>
      </c>
      <c r="D1065">
        <v>0</v>
      </c>
    </row>
    <row r="1066" spans="1:4" x14ac:dyDescent="0.25">
      <c r="A1066">
        <v>0</v>
      </c>
      <c r="B1066">
        <v>0</v>
      </c>
      <c r="C1066">
        <v>0</v>
      </c>
      <c r="D1066">
        <v>0</v>
      </c>
    </row>
    <row r="1067" spans="1:4" x14ac:dyDescent="0.25">
      <c r="A1067">
        <v>0</v>
      </c>
      <c r="B1067">
        <v>0</v>
      </c>
      <c r="C1067">
        <v>0</v>
      </c>
      <c r="D1067">
        <v>0</v>
      </c>
    </row>
    <row r="1068" spans="1:4" x14ac:dyDescent="0.25">
      <c r="A1068">
        <v>0</v>
      </c>
      <c r="B1068">
        <v>0</v>
      </c>
      <c r="C1068">
        <v>0</v>
      </c>
      <c r="D1068">
        <v>0</v>
      </c>
    </row>
    <row r="1069" spans="1:4" x14ac:dyDescent="0.25">
      <c r="A1069">
        <v>0</v>
      </c>
      <c r="B1069">
        <v>0</v>
      </c>
      <c r="C1069">
        <v>0</v>
      </c>
      <c r="D1069">
        <v>0</v>
      </c>
    </row>
    <row r="1070" spans="1:4" x14ac:dyDescent="0.25">
      <c r="A1070">
        <v>0</v>
      </c>
      <c r="B1070">
        <v>0</v>
      </c>
      <c r="C1070">
        <v>0</v>
      </c>
      <c r="D1070">
        <v>0</v>
      </c>
    </row>
    <row r="1071" spans="1:4" x14ac:dyDescent="0.25">
      <c r="A1071">
        <v>0</v>
      </c>
      <c r="B1071">
        <v>0</v>
      </c>
      <c r="C1071">
        <v>0</v>
      </c>
      <c r="D1071">
        <v>0</v>
      </c>
    </row>
    <row r="1072" spans="1:4" x14ac:dyDescent="0.25">
      <c r="A1072">
        <v>0</v>
      </c>
      <c r="B1072">
        <v>0</v>
      </c>
      <c r="C1072">
        <v>0</v>
      </c>
      <c r="D1072">
        <v>0</v>
      </c>
    </row>
    <row r="1073" spans="1:4" x14ac:dyDescent="0.25">
      <c r="A1073">
        <v>0</v>
      </c>
      <c r="B1073">
        <v>0</v>
      </c>
      <c r="C1073">
        <v>0</v>
      </c>
      <c r="D1073">
        <v>0</v>
      </c>
    </row>
    <row r="1074" spans="1:4" x14ac:dyDescent="0.25">
      <c r="A1074">
        <v>0</v>
      </c>
      <c r="B1074">
        <v>0</v>
      </c>
      <c r="C1074">
        <v>0</v>
      </c>
      <c r="D1074">
        <v>0</v>
      </c>
    </row>
    <row r="1075" spans="1:4" x14ac:dyDescent="0.25">
      <c r="A1075">
        <v>0</v>
      </c>
      <c r="B1075">
        <v>0</v>
      </c>
      <c r="C1075">
        <v>0</v>
      </c>
      <c r="D1075">
        <v>0</v>
      </c>
    </row>
    <row r="1076" spans="1:4" x14ac:dyDescent="0.25">
      <c r="A1076">
        <v>0</v>
      </c>
      <c r="B1076">
        <v>0</v>
      </c>
      <c r="C1076">
        <v>0</v>
      </c>
      <c r="D1076">
        <v>0</v>
      </c>
    </row>
    <row r="1077" spans="1:4" x14ac:dyDescent="0.25">
      <c r="A1077">
        <v>0</v>
      </c>
      <c r="B1077">
        <v>0</v>
      </c>
      <c r="C1077">
        <v>0</v>
      </c>
      <c r="D1077">
        <v>0</v>
      </c>
    </row>
    <row r="1078" spans="1:4" x14ac:dyDescent="0.25">
      <c r="A1078">
        <v>0</v>
      </c>
      <c r="B1078">
        <v>0</v>
      </c>
      <c r="C1078">
        <v>0</v>
      </c>
      <c r="D1078">
        <v>0</v>
      </c>
    </row>
    <row r="1079" spans="1:4" x14ac:dyDescent="0.25">
      <c r="A1079">
        <v>0</v>
      </c>
      <c r="B1079">
        <v>0</v>
      </c>
      <c r="C1079">
        <v>0</v>
      </c>
      <c r="D1079">
        <v>0</v>
      </c>
    </row>
    <row r="1080" spans="1:4" x14ac:dyDescent="0.25">
      <c r="A1080">
        <v>0</v>
      </c>
      <c r="B1080">
        <v>0</v>
      </c>
      <c r="C1080">
        <v>0</v>
      </c>
      <c r="D1080">
        <v>0</v>
      </c>
    </row>
    <row r="1081" spans="1:4" x14ac:dyDescent="0.25">
      <c r="A1081">
        <v>0</v>
      </c>
      <c r="B1081">
        <v>0</v>
      </c>
      <c r="C1081">
        <v>0</v>
      </c>
      <c r="D1081">
        <v>0</v>
      </c>
    </row>
    <row r="1082" spans="1:4" x14ac:dyDescent="0.25">
      <c r="A1082">
        <v>0</v>
      </c>
      <c r="B1082">
        <v>0</v>
      </c>
      <c r="C1082">
        <v>0</v>
      </c>
      <c r="D1082">
        <v>0</v>
      </c>
    </row>
    <row r="1083" spans="1:4" x14ac:dyDescent="0.25">
      <c r="A1083">
        <v>0</v>
      </c>
      <c r="B1083">
        <v>0</v>
      </c>
      <c r="C1083">
        <v>0</v>
      </c>
      <c r="D1083">
        <v>0</v>
      </c>
    </row>
    <row r="1084" spans="1:4" x14ac:dyDescent="0.25">
      <c r="A1084">
        <v>0</v>
      </c>
      <c r="B1084">
        <v>0</v>
      </c>
      <c r="C1084">
        <v>0</v>
      </c>
      <c r="D1084">
        <v>0</v>
      </c>
    </row>
    <row r="1085" spans="1:4" x14ac:dyDescent="0.25">
      <c r="A1085">
        <v>0</v>
      </c>
      <c r="B1085">
        <v>0</v>
      </c>
      <c r="C1085">
        <v>0</v>
      </c>
      <c r="D1085">
        <v>0</v>
      </c>
    </row>
    <row r="1086" spans="1:4" x14ac:dyDescent="0.25">
      <c r="A1086">
        <v>0</v>
      </c>
      <c r="B1086">
        <v>0</v>
      </c>
      <c r="C1086">
        <v>0</v>
      </c>
      <c r="D1086">
        <v>0</v>
      </c>
    </row>
    <row r="1087" spans="1:4" x14ac:dyDescent="0.25">
      <c r="A1087">
        <v>0</v>
      </c>
      <c r="B1087">
        <v>0</v>
      </c>
      <c r="C1087">
        <v>0</v>
      </c>
      <c r="D1087">
        <v>0</v>
      </c>
    </row>
    <row r="1088" spans="1:4" x14ac:dyDescent="0.25">
      <c r="A1088">
        <v>0</v>
      </c>
      <c r="B1088">
        <v>0</v>
      </c>
      <c r="C1088">
        <v>0</v>
      </c>
      <c r="D1088">
        <v>0</v>
      </c>
    </row>
    <row r="1089" spans="1:4" x14ac:dyDescent="0.25">
      <c r="A1089">
        <v>0</v>
      </c>
      <c r="B1089">
        <v>0</v>
      </c>
      <c r="C1089">
        <v>0</v>
      </c>
      <c r="D1089">
        <v>0</v>
      </c>
    </row>
    <row r="1090" spans="1:4" x14ac:dyDescent="0.25">
      <c r="A1090">
        <v>0</v>
      </c>
      <c r="B1090">
        <v>0</v>
      </c>
      <c r="C1090">
        <v>0</v>
      </c>
      <c r="D1090">
        <v>0</v>
      </c>
    </row>
    <row r="1091" spans="1:4" x14ac:dyDescent="0.25">
      <c r="A1091">
        <v>0</v>
      </c>
      <c r="B1091">
        <v>0</v>
      </c>
      <c r="C1091">
        <v>0</v>
      </c>
      <c r="D1091">
        <v>0</v>
      </c>
    </row>
    <row r="1092" spans="1:4" x14ac:dyDescent="0.25">
      <c r="A1092">
        <v>0</v>
      </c>
      <c r="B1092">
        <v>0</v>
      </c>
      <c r="C1092">
        <v>0</v>
      </c>
      <c r="D1092">
        <v>0</v>
      </c>
    </row>
    <row r="1093" spans="1:4" x14ac:dyDescent="0.25">
      <c r="A1093">
        <v>0</v>
      </c>
      <c r="B1093">
        <v>0</v>
      </c>
      <c r="C1093">
        <v>0</v>
      </c>
      <c r="D1093">
        <v>0</v>
      </c>
    </row>
    <row r="1094" spans="1:4" x14ac:dyDescent="0.25">
      <c r="A1094">
        <v>0</v>
      </c>
      <c r="B1094">
        <v>0</v>
      </c>
      <c r="C1094">
        <v>0</v>
      </c>
      <c r="D1094">
        <v>0</v>
      </c>
    </row>
    <row r="1095" spans="1:4" x14ac:dyDescent="0.25">
      <c r="A1095">
        <v>0</v>
      </c>
      <c r="B1095">
        <v>0</v>
      </c>
      <c r="C1095">
        <v>0</v>
      </c>
      <c r="D1095">
        <v>0</v>
      </c>
    </row>
    <row r="1096" spans="1:4" x14ac:dyDescent="0.25">
      <c r="A1096">
        <v>0</v>
      </c>
      <c r="B1096">
        <v>0</v>
      </c>
      <c r="C1096">
        <v>0</v>
      </c>
      <c r="D1096">
        <v>0</v>
      </c>
    </row>
    <row r="1097" spans="1:4" x14ac:dyDescent="0.25">
      <c r="A1097">
        <v>0</v>
      </c>
      <c r="B1097">
        <v>0</v>
      </c>
      <c r="C1097">
        <v>0</v>
      </c>
      <c r="D1097">
        <v>0</v>
      </c>
    </row>
    <row r="1098" spans="1:4" x14ac:dyDescent="0.25">
      <c r="A1098">
        <v>0</v>
      </c>
      <c r="B1098">
        <v>0</v>
      </c>
      <c r="C1098">
        <v>0</v>
      </c>
      <c r="D1098">
        <v>0</v>
      </c>
    </row>
    <row r="1099" spans="1:4" x14ac:dyDescent="0.25">
      <c r="A1099">
        <v>0</v>
      </c>
      <c r="B1099">
        <v>0</v>
      </c>
      <c r="C1099">
        <v>0</v>
      </c>
      <c r="D1099">
        <v>0</v>
      </c>
    </row>
    <row r="1100" spans="1:4" x14ac:dyDescent="0.25">
      <c r="A1100">
        <v>0</v>
      </c>
      <c r="B1100">
        <v>0</v>
      </c>
      <c r="C1100">
        <v>0</v>
      </c>
      <c r="D1100">
        <v>0</v>
      </c>
    </row>
    <row r="1101" spans="1:4" x14ac:dyDescent="0.25">
      <c r="A1101">
        <v>0</v>
      </c>
      <c r="B1101">
        <v>0</v>
      </c>
      <c r="C1101">
        <v>0</v>
      </c>
      <c r="D1101">
        <v>0</v>
      </c>
    </row>
    <row r="1102" spans="1:4" x14ac:dyDescent="0.25">
      <c r="A1102">
        <v>0</v>
      </c>
      <c r="B1102">
        <v>0</v>
      </c>
      <c r="C1102">
        <v>0</v>
      </c>
      <c r="D1102">
        <v>0</v>
      </c>
    </row>
    <row r="1103" spans="1:4" x14ac:dyDescent="0.25">
      <c r="A1103">
        <v>0</v>
      </c>
      <c r="B1103">
        <v>0</v>
      </c>
      <c r="C1103">
        <v>0</v>
      </c>
      <c r="D1103">
        <v>0</v>
      </c>
    </row>
    <row r="1104" spans="1:4" x14ac:dyDescent="0.25">
      <c r="A1104">
        <v>0</v>
      </c>
      <c r="B1104">
        <v>0</v>
      </c>
      <c r="C1104">
        <v>0</v>
      </c>
      <c r="D1104">
        <v>0</v>
      </c>
    </row>
    <row r="1105" spans="1:4" x14ac:dyDescent="0.25">
      <c r="A1105">
        <v>0</v>
      </c>
      <c r="B1105">
        <v>0</v>
      </c>
      <c r="C1105">
        <v>0</v>
      </c>
      <c r="D1105">
        <v>0</v>
      </c>
    </row>
    <row r="1106" spans="1:4" x14ac:dyDescent="0.25">
      <c r="A1106">
        <v>0</v>
      </c>
      <c r="B1106">
        <v>0</v>
      </c>
      <c r="C1106">
        <v>0</v>
      </c>
      <c r="D1106">
        <v>0</v>
      </c>
    </row>
    <row r="1107" spans="1:4" x14ac:dyDescent="0.25">
      <c r="A1107">
        <v>0</v>
      </c>
      <c r="B1107">
        <v>0</v>
      </c>
      <c r="C1107">
        <v>0</v>
      </c>
      <c r="D1107">
        <v>0</v>
      </c>
    </row>
    <row r="1108" spans="1:4" x14ac:dyDescent="0.25">
      <c r="A1108">
        <v>0</v>
      </c>
      <c r="B1108">
        <v>0</v>
      </c>
      <c r="C1108">
        <v>0</v>
      </c>
      <c r="D1108">
        <v>0</v>
      </c>
    </row>
    <row r="1109" spans="1:4" x14ac:dyDescent="0.25">
      <c r="A1109">
        <v>0</v>
      </c>
      <c r="B1109">
        <v>0</v>
      </c>
      <c r="C1109">
        <v>0</v>
      </c>
      <c r="D1109">
        <v>0</v>
      </c>
    </row>
    <row r="1110" spans="1:4" x14ac:dyDescent="0.25">
      <c r="A1110">
        <v>0</v>
      </c>
      <c r="B1110">
        <v>0</v>
      </c>
      <c r="C1110">
        <v>0</v>
      </c>
      <c r="D1110">
        <v>0</v>
      </c>
    </row>
    <row r="1111" spans="1:4" x14ac:dyDescent="0.25">
      <c r="A1111">
        <v>0</v>
      </c>
      <c r="B1111">
        <v>0</v>
      </c>
      <c r="C1111">
        <v>0</v>
      </c>
      <c r="D1111">
        <v>0</v>
      </c>
    </row>
    <row r="1112" spans="1:4" x14ac:dyDescent="0.25">
      <c r="A1112">
        <v>0</v>
      </c>
      <c r="B1112">
        <v>0</v>
      </c>
      <c r="C1112">
        <v>0</v>
      </c>
      <c r="D1112">
        <v>0</v>
      </c>
    </row>
    <row r="1113" spans="1:4" x14ac:dyDescent="0.25">
      <c r="A1113">
        <v>0</v>
      </c>
      <c r="B1113">
        <v>0</v>
      </c>
      <c r="C1113">
        <v>0</v>
      </c>
      <c r="D1113">
        <v>0</v>
      </c>
    </row>
    <row r="1114" spans="1:4" x14ac:dyDescent="0.25">
      <c r="A1114">
        <v>0</v>
      </c>
      <c r="B1114">
        <v>0</v>
      </c>
      <c r="C1114">
        <v>0</v>
      </c>
      <c r="D1114">
        <v>0</v>
      </c>
    </row>
    <row r="1115" spans="1:4" x14ac:dyDescent="0.25">
      <c r="A1115">
        <v>0</v>
      </c>
      <c r="B1115">
        <v>0</v>
      </c>
      <c r="C1115">
        <v>0</v>
      </c>
      <c r="D1115">
        <v>0</v>
      </c>
    </row>
    <row r="1116" spans="1:4" x14ac:dyDescent="0.25">
      <c r="A1116">
        <v>0</v>
      </c>
      <c r="B1116">
        <v>0</v>
      </c>
      <c r="C1116">
        <v>0</v>
      </c>
      <c r="D1116">
        <v>0</v>
      </c>
    </row>
    <row r="1117" spans="1:4" x14ac:dyDescent="0.25">
      <c r="A1117">
        <v>0</v>
      </c>
      <c r="B1117">
        <v>0</v>
      </c>
      <c r="C1117">
        <v>0</v>
      </c>
      <c r="D1117">
        <v>0</v>
      </c>
    </row>
    <row r="1118" spans="1:4" x14ac:dyDescent="0.25">
      <c r="A1118">
        <v>0</v>
      </c>
      <c r="B1118">
        <v>0</v>
      </c>
      <c r="C1118">
        <v>0</v>
      </c>
      <c r="D1118">
        <v>0</v>
      </c>
    </row>
    <row r="1119" spans="1:4" x14ac:dyDescent="0.25">
      <c r="A1119">
        <v>0</v>
      </c>
      <c r="B1119">
        <v>0</v>
      </c>
      <c r="C1119">
        <v>0</v>
      </c>
      <c r="D1119">
        <v>0</v>
      </c>
    </row>
    <row r="1120" spans="1:4" x14ac:dyDescent="0.25">
      <c r="A1120">
        <v>0</v>
      </c>
      <c r="B1120">
        <v>0</v>
      </c>
      <c r="C1120">
        <v>0</v>
      </c>
      <c r="D1120">
        <v>0</v>
      </c>
    </row>
    <row r="1121" spans="1:4" x14ac:dyDescent="0.25">
      <c r="A1121">
        <v>0</v>
      </c>
      <c r="B1121">
        <v>0</v>
      </c>
      <c r="C1121">
        <v>0</v>
      </c>
      <c r="D1121">
        <v>0</v>
      </c>
    </row>
    <row r="1122" spans="1:4" x14ac:dyDescent="0.25">
      <c r="A1122">
        <v>0</v>
      </c>
      <c r="B1122">
        <v>0</v>
      </c>
      <c r="C1122">
        <v>0</v>
      </c>
      <c r="D1122">
        <v>0</v>
      </c>
    </row>
    <row r="1123" spans="1:4" x14ac:dyDescent="0.25">
      <c r="A1123">
        <v>0</v>
      </c>
      <c r="B1123">
        <v>0</v>
      </c>
      <c r="C1123">
        <v>0</v>
      </c>
      <c r="D1123">
        <v>0</v>
      </c>
    </row>
    <row r="1124" spans="1:4" x14ac:dyDescent="0.25">
      <c r="A1124">
        <v>0</v>
      </c>
      <c r="B1124">
        <v>0</v>
      </c>
      <c r="C1124">
        <v>0</v>
      </c>
      <c r="D1124">
        <v>0</v>
      </c>
    </row>
  </sheetData>
  <sortState ref="A2:D1124">
    <sortCondition descending="1" ref="C2:C1124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30"/>
  <sheetViews>
    <sheetView workbookViewId="0">
      <selection activeCell="D8" sqref="D8"/>
    </sheetView>
  </sheetViews>
  <sheetFormatPr defaultRowHeight="15" x14ac:dyDescent="0.25"/>
  <cols>
    <col min="3" max="3" width="12.7109375" bestFit="1" customWidth="1"/>
  </cols>
  <sheetData>
    <row r="1" spans="1:16" x14ac:dyDescent="0.25">
      <c r="A1" t="s">
        <v>1738</v>
      </c>
      <c r="B1">
        <v>1</v>
      </c>
      <c r="C1" t="s">
        <v>1709</v>
      </c>
      <c r="D1">
        <v>89</v>
      </c>
      <c r="E1">
        <v>3106</v>
      </c>
      <c r="F1">
        <v>527</v>
      </c>
      <c r="G1">
        <v>898</v>
      </c>
      <c r="H1">
        <v>197</v>
      </c>
      <c r="I1">
        <v>7</v>
      </c>
      <c r="J1">
        <v>148</v>
      </c>
      <c r="K1">
        <v>1553</v>
      </c>
      <c r="L1">
        <v>499</v>
      </c>
      <c r="M1">
        <v>0.28899999999999998</v>
      </c>
      <c r="N1">
        <v>0.35499999999999998</v>
      </c>
      <c r="O1">
        <v>0.5</v>
      </c>
      <c r="P1">
        <v>0.85499999999999998</v>
      </c>
    </row>
    <row r="2" spans="1:16" x14ac:dyDescent="0.25">
      <c r="A2" t="s">
        <v>1739</v>
      </c>
      <c r="B2">
        <v>2</v>
      </c>
      <c r="C2" t="s">
        <v>828</v>
      </c>
      <c r="D2">
        <v>88</v>
      </c>
      <c r="E2">
        <v>3083</v>
      </c>
      <c r="F2">
        <v>486</v>
      </c>
      <c r="G2">
        <v>855</v>
      </c>
      <c r="H2">
        <v>181</v>
      </c>
      <c r="I2">
        <v>14</v>
      </c>
      <c r="J2">
        <v>125</v>
      </c>
      <c r="K2">
        <v>1439</v>
      </c>
      <c r="L2">
        <v>472</v>
      </c>
      <c r="M2">
        <v>0.27700000000000002</v>
      </c>
      <c r="N2">
        <v>0.34499999999999997</v>
      </c>
      <c r="O2">
        <v>0.46700000000000003</v>
      </c>
      <c r="P2">
        <v>0.81200000000000006</v>
      </c>
    </row>
    <row r="3" spans="1:16" x14ac:dyDescent="0.25">
      <c r="A3" t="s">
        <v>1753</v>
      </c>
      <c r="B3">
        <v>3</v>
      </c>
      <c r="C3" t="s">
        <v>1710</v>
      </c>
      <c r="D3">
        <v>86</v>
      </c>
      <c r="E3">
        <v>2989</v>
      </c>
      <c r="F3">
        <v>477</v>
      </c>
      <c r="G3">
        <v>789</v>
      </c>
      <c r="H3">
        <v>137</v>
      </c>
      <c r="I3">
        <v>12</v>
      </c>
      <c r="J3">
        <v>132</v>
      </c>
      <c r="K3">
        <v>1346</v>
      </c>
      <c r="L3">
        <v>452</v>
      </c>
      <c r="M3">
        <v>0.26400000000000001</v>
      </c>
      <c r="N3">
        <v>0.34399999999999997</v>
      </c>
      <c r="O3">
        <v>0.45</v>
      </c>
      <c r="P3">
        <v>0.79400000000000004</v>
      </c>
    </row>
    <row r="4" spans="1:16" x14ac:dyDescent="0.25">
      <c r="A4" t="s">
        <v>1754</v>
      </c>
      <c r="B4">
        <v>4</v>
      </c>
      <c r="C4" t="s">
        <v>1711</v>
      </c>
      <c r="D4">
        <v>90</v>
      </c>
      <c r="E4">
        <v>3016</v>
      </c>
      <c r="F4">
        <v>463</v>
      </c>
      <c r="G4">
        <v>771</v>
      </c>
      <c r="H4">
        <v>180</v>
      </c>
      <c r="I4">
        <v>8</v>
      </c>
      <c r="J4">
        <v>127</v>
      </c>
      <c r="K4">
        <v>1348</v>
      </c>
      <c r="L4">
        <v>433</v>
      </c>
      <c r="M4">
        <v>0.25600000000000001</v>
      </c>
      <c r="N4">
        <v>0.34200000000000003</v>
      </c>
      <c r="O4">
        <v>0.44700000000000001</v>
      </c>
      <c r="P4">
        <v>0.78900000000000003</v>
      </c>
    </row>
    <row r="5" spans="1:16" x14ac:dyDescent="0.25">
      <c r="A5" t="s">
        <v>1740</v>
      </c>
      <c r="B5">
        <v>5</v>
      </c>
      <c r="C5" t="s">
        <v>1712</v>
      </c>
      <c r="D5">
        <v>91</v>
      </c>
      <c r="E5">
        <v>3122</v>
      </c>
      <c r="F5">
        <v>461</v>
      </c>
      <c r="G5">
        <v>842</v>
      </c>
      <c r="H5">
        <v>150</v>
      </c>
      <c r="I5">
        <v>21</v>
      </c>
      <c r="J5">
        <v>104</v>
      </c>
      <c r="K5">
        <v>1346</v>
      </c>
      <c r="L5">
        <v>443</v>
      </c>
      <c r="M5">
        <v>0.27</v>
      </c>
      <c r="N5">
        <v>0.32800000000000001</v>
      </c>
      <c r="O5">
        <v>0.43099999999999999</v>
      </c>
      <c r="P5">
        <v>0.75900000000000001</v>
      </c>
    </row>
    <row r="6" spans="1:16" x14ac:dyDescent="0.25">
      <c r="A6" t="s">
        <v>1741</v>
      </c>
      <c r="B6">
        <v>6</v>
      </c>
      <c r="C6" t="s">
        <v>1713</v>
      </c>
      <c r="D6">
        <v>91</v>
      </c>
      <c r="E6">
        <v>3104</v>
      </c>
      <c r="F6">
        <v>451</v>
      </c>
      <c r="G6">
        <v>790</v>
      </c>
      <c r="H6">
        <v>165</v>
      </c>
      <c r="I6">
        <v>15</v>
      </c>
      <c r="J6">
        <v>138</v>
      </c>
      <c r="K6">
        <v>1399</v>
      </c>
      <c r="L6">
        <v>432</v>
      </c>
      <c r="M6">
        <v>0.255</v>
      </c>
      <c r="N6">
        <v>0.32600000000000001</v>
      </c>
      <c r="O6">
        <v>0.45100000000000001</v>
      </c>
      <c r="P6">
        <v>0.77700000000000002</v>
      </c>
    </row>
    <row r="7" spans="1:16" x14ac:dyDescent="0.25">
      <c r="A7" t="s">
        <v>1742</v>
      </c>
      <c r="B7">
        <v>7</v>
      </c>
      <c r="C7" t="s">
        <v>1714</v>
      </c>
      <c r="D7">
        <v>89</v>
      </c>
      <c r="E7">
        <v>3061</v>
      </c>
      <c r="F7">
        <v>446</v>
      </c>
      <c r="G7">
        <v>793</v>
      </c>
      <c r="H7">
        <v>177</v>
      </c>
      <c r="I7">
        <v>23</v>
      </c>
      <c r="J7">
        <v>113</v>
      </c>
      <c r="K7">
        <v>1355</v>
      </c>
      <c r="L7">
        <v>424</v>
      </c>
      <c r="M7">
        <v>0.25900000000000001</v>
      </c>
      <c r="N7">
        <v>0.32800000000000001</v>
      </c>
      <c r="O7">
        <v>0.443</v>
      </c>
      <c r="P7">
        <v>0.77100000000000002</v>
      </c>
    </row>
    <row r="8" spans="1:16" x14ac:dyDescent="0.25">
      <c r="A8" t="s">
        <v>1743</v>
      </c>
      <c r="B8">
        <v>8</v>
      </c>
      <c r="C8" t="s">
        <v>1715</v>
      </c>
      <c r="D8">
        <v>88</v>
      </c>
      <c r="E8">
        <v>2950</v>
      </c>
      <c r="F8">
        <v>444</v>
      </c>
      <c r="G8">
        <v>709</v>
      </c>
      <c r="H8">
        <v>135</v>
      </c>
      <c r="I8">
        <v>10</v>
      </c>
      <c r="J8">
        <v>135</v>
      </c>
      <c r="K8">
        <v>1269</v>
      </c>
      <c r="L8">
        <v>417</v>
      </c>
      <c r="M8">
        <v>0.24</v>
      </c>
      <c r="N8">
        <v>0.316</v>
      </c>
      <c r="O8">
        <v>0.43</v>
      </c>
      <c r="P8">
        <v>0.746</v>
      </c>
    </row>
    <row r="9" spans="1:16" x14ac:dyDescent="0.25">
      <c r="A9" t="s">
        <v>1744</v>
      </c>
      <c r="B9">
        <v>9</v>
      </c>
      <c r="C9" t="s">
        <v>1716</v>
      </c>
      <c r="D9">
        <v>89</v>
      </c>
      <c r="E9">
        <v>3065</v>
      </c>
      <c r="F9">
        <v>431</v>
      </c>
      <c r="G9">
        <v>821</v>
      </c>
      <c r="H9">
        <v>165</v>
      </c>
      <c r="I9">
        <v>11</v>
      </c>
      <c r="J9">
        <v>92</v>
      </c>
      <c r="K9">
        <v>1284</v>
      </c>
      <c r="L9">
        <v>402</v>
      </c>
      <c r="M9">
        <v>0.26800000000000002</v>
      </c>
      <c r="N9">
        <v>0.34</v>
      </c>
      <c r="O9">
        <v>0.41899999999999998</v>
      </c>
      <c r="P9">
        <v>0.75900000000000001</v>
      </c>
    </row>
    <row r="10" spans="1:16" x14ac:dyDescent="0.25">
      <c r="A10" t="s">
        <v>1745</v>
      </c>
      <c r="B10">
        <v>10</v>
      </c>
      <c r="C10" t="s">
        <v>1717</v>
      </c>
      <c r="D10">
        <v>90</v>
      </c>
      <c r="E10">
        <v>3063</v>
      </c>
      <c r="F10">
        <v>431</v>
      </c>
      <c r="G10">
        <v>806</v>
      </c>
      <c r="H10">
        <v>152</v>
      </c>
      <c r="I10">
        <v>9</v>
      </c>
      <c r="J10">
        <v>101</v>
      </c>
      <c r="K10">
        <v>1279</v>
      </c>
      <c r="L10">
        <v>408</v>
      </c>
      <c r="M10">
        <v>0.26300000000000001</v>
      </c>
      <c r="N10">
        <v>0.33200000000000002</v>
      </c>
      <c r="O10">
        <v>0.41799999999999998</v>
      </c>
      <c r="P10">
        <v>0.75</v>
      </c>
    </row>
    <row r="11" spans="1:16" x14ac:dyDescent="0.25">
      <c r="A11" t="s">
        <v>3568</v>
      </c>
      <c r="B11">
        <v>11</v>
      </c>
      <c r="C11" t="s">
        <v>1718</v>
      </c>
      <c r="D11">
        <v>90</v>
      </c>
      <c r="E11">
        <v>3077</v>
      </c>
      <c r="F11">
        <v>428</v>
      </c>
      <c r="G11">
        <v>790</v>
      </c>
      <c r="H11">
        <v>140</v>
      </c>
      <c r="I11">
        <v>20</v>
      </c>
      <c r="J11">
        <v>133</v>
      </c>
      <c r="K11">
        <v>1369</v>
      </c>
      <c r="L11">
        <v>413</v>
      </c>
      <c r="M11">
        <v>0.25700000000000001</v>
      </c>
      <c r="N11">
        <v>0.32900000000000001</v>
      </c>
      <c r="O11">
        <v>0.44500000000000001</v>
      </c>
      <c r="P11">
        <v>0.77400000000000002</v>
      </c>
    </row>
    <row r="12" spans="1:16" x14ac:dyDescent="0.25">
      <c r="A12" t="s">
        <v>1746</v>
      </c>
      <c r="B12">
        <v>12</v>
      </c>
      <c r="C12" t="s">
        <v>1719</v>
      </c>
      <c r="D12">
        <v>88</v>
      </c>
      <c r="E12">
        <v>3037</v>
      </c>
      <c r="F12">
        <v>424</v>
      </c>
      <c r="G12">
        <v>789</v>
      </c>
      <c r="H12">
        <v>155</v>
      </c>
      <c r="I12">
        <v>26</v>
      </c>
      <c r="J12">
        <v>125</v>
      </c>
      <c r="K12">
        <v>1371</v>
      </c>
      <c r="L12">
        <v>407</v>
      </c>
      <c r="M12">
        <v>0.26</v>
      </c>
      <c r="N12">
        <v>0.32700000000000001</v>
      </c>
      <c r="O12">
        <v>0.45100000000000001</v>
      </c>
      <c r="P12">
        <v>0.77800000000000002</v>
      </c>
    </row>
    <row r="13" spans="1:16" x14ac:dyDescent="0.25">
      <c r="A13" t="s">
        <v>1747</v>
      </c>
      <c r="B13">
        <v>13</v>
      </c>
      <c r="C13" t="s">
        <v>1720</v>
      </c>
      <c r="D13">
        <v>87</v>
      </c>
      <c r="E13">
        <v>2952</v>
      </c>
      <c r="F13">
        <v>421</v>
      </c>
      <c r="G13">
        <v>774</v>
      </c>
      <c r="H13">
        <v>186</v>
      </c>
      <c r="I13">
        <v>16</v>
      </c>
      <c r="J13">
        <v>103</v>
      </c>
      <c r="K13">
        <v>1301</v>
      </c>
      <c r="L13">
        <v>401</v>
      </c>
      <c r="M13">
        <v>0.26200000000000001</v>
      </c>
      <c r="N13">
        <v>0.33700000000000002</v>
      </c>
      <c r="O13">
        <v>0.441</v>
      </c>
      <c r="P13">
        <v>0.77800000000000002</v>
      </c>
    </row>
    <row r="14" spans="1:16" x14ac:dyDescent="0.25">
      <c r="A14" t="s">
        <v>1748</v>
      </c>
      <c r="B14">
        <v>14</v>
      </c>
      <c r="C14" t="s">
        <v>1721</v>
      </c>
      <c r="D14">
        <v>87</v>
      </c>
      <c r="E14">
        <v>3017</v>
      </c>
      <c r="F14">
        <v>410</v>
      </c>
      <c r="G14">
        <v>811</v>
      </c>
      <c r="H14">
        <v>141</v>
      </c>
      <c r="I14">
        <v>11</v>
      </c>
      <c r="J14">
        <v>104</v>
      </c>
      <c r="K14">
        <v>1286</v>
      </c>
      <c r="L14">
        <v>393</v>
      </c>
      <c r="M14">
        <v>0.26900000000000002</v>
      </c>
      <c r="N14">
        <v>0.32800000000000001</v>
      </c>
      <c r="O14">
        <v>0.42599999999999999</v>
      </c>
      <c r="P14">
        <v>0.754</v>
      </c>
    </row>
    <row r="15" spans="1:16" x14ac:dyDescent="0.25">
      <c r="A15" t="s">
        <v>1749</v>
      </c>
      <c r="B15">
        <v>15</v>
      </c>
      <c r="C15" t="s">
        <v>1722</v>
      </c>
      <c r="D15">
        <v>87</v>
      </c>
      <c r="E15">
        <v>2955</v>
      </c>
      <c r="F15">
        <v>409</v>
      </c>
      <c r="G15">
        <v>751</v>
      </c>
      <c r="H15">
        <v>156</v>
      </c>
      <c r="I15">
        <v>18</v>
      </c>
      <c r="J15">
        <v>104</v>
      </c>
      <c r="K15">
        <v>1255</v>
      </c>
      <c r="L15">
        <v>390</v>
      </c>
      <c r="M15">
        <v>0.254</v>
      </c>
      <c r="N15">
        <v>0.32700000000000001</v>
      </c>
      <c r="O15">
        <v>0.42499999999999999</v>
      </c>
      <c r="P15">
        <v>0.752</v>
      </c>
    </row>
    <row r="16" spans="1:16" x14ac:dyDescent="0.25">
      <c r="A16" t="s">
        <v>1755</v>
      </c>
      <c r="B16">
        <v>16</v>
      </c>
      <c r="C16" t="s">
        <v>1723</v>
      </c>
      <c r="D16">
        <v>86</v>
      </c>
      <c r="E16">
        <v>2945</v>
      </c>
      <c r="F16">
        <v>406</v>
      </c>
      <c r="G16">
        <v>732</v>
      </c>
      <c r="H16">
        <v>159</v>
      </c>
      <c r="I16">
        <v>15</v>
      </c>
      <c r="J16">
        <v>129</v>
      </c>
      <c r="K16">
        <v>1308</v>
      </c>
      <c r="L16">
        <v>393</v>
      </c>
      <c r="M16">
        <v>0.249</v>
      </c>
      <c r="N16">
        <v>0.32100000000000001</v>
      </c>
      <c r="O16">
        <v>0.44400000000000001</v>
      </c>
      <c r="P16">
        <v>0.76500000000000001</v>
      </c>
    </row>
    <row r="17" spans="1:16" x14ac:dyDescent="0.25">
      <c r="A17" t="s">
        <v>1750</v>
      </c>
      <c r="B17">
        <v>17</v>
      </c>
      <c r="C17" t="s">
        <v>1724</v>
      </c>
      <c r="D17">
        <v>87</v>
      </c>
      <c r="E17">
        <v>3021</v>
      </c>
      <c r="F17">
        <v>405</v>
      </c>
      <c r="G17">
        <v>795</v>
      </c>
      <c r="H17">
        <v>164</v>
      </c>
      <c r="I17">
        <v>9</v>
      </c>
      <c r="J17">
        <v>88</v>
      </c>
      <c r="K17">
        <v>1241</v>
      </c>
      <c r="L17">
        <v>393</v>
      </c>
      <c r="M17">
        <v>0.26300000000000001</v>
      </c>
      <c r="N17">
        <v>0.32600000000000001</v>
      </c>
      <c r="O17">
        <v>0.41099999999999998</v>
      </c>
      <c r="P17">
        <v>0.73699999999999999</v>
      </c>
    </row>
    <row r="18" spans="1:16" x14ac:dyDescent="0.25">
      <c r="A18" t="s">
        <v>1751</v>
      </c>
      <c r="B18">
        <v>18</v>
      </c>
      <c r="C18" t="s">
        <v>1725</v>
      </c>
      <c r="D18">
        <v>88</v>
      </c>
      <c r="E18">
        <v>3020</v>
      </c>
      <c r="F18">
        <v>403</v>
      </c>
      <c r="G18">
        <v>764</v>
      </c>
      <c r="H18">
        <v>154</v>
      </c>
      <c r="I18">
        <v>10</v>
      </c>
      <c r="J18">
        <v>100</v>
      </c>
      <c r="K18">
        <v>1238</v>
      </c>
      <c r="L18">
        <v>386</v>
      </c>
      <c r="M18">
        <v>0.253</v>
      </c>
      <c r="N18">
        <v>0.32800000000000001</v>
      </c>
      <c r="O18">
        <v>0.41</v>
      </c>
      <c r="P18">
        <v>0.73799999999999999</v>
      </c>
    </row>
    <row r="19" spans="1:16" x14ac:dyDescent="0.25">
      <c r="A19" t="s">
        <v>1756</v>
      </c>
      <c r="B19">
        <v>19</v>
      </c>
      <c r="C19" t="s">
        <v>1726</v>
      </c>
      <c r="D19">
        <v>88</v>
      </c>
      <c r="E19">
        <v>2978</v>
      </c>
      <c r="F19">
        <v>402</v>
      </c>
      <c r="G19">
        <v>759</v>
      </c>
      <c r="H19">
        <v>159</v>
      </c>
      <c r="I19">
        <v>12</v>
      </c>
      <c r="J19">
        <v>107</v>
      </c>
      <c r="K19">
        <v>1263</v>
      </c>
      <c r="L19">
        <v>383</v>
      </c>
      <c r="M19">
        <v>0.255</v>
      </c>
      <c r="N19">
        <v>0.32900000000000001</v>
      </c>
      <c r="O19">
        <v>0.42399999999999999</v>
      </c>
      <c r="P19">
        <v>0.753</v>
      </c>
    </row>
    <row r="20" spans="1:16" x14ac:dyDescent="0.25">
      <c r="A20" t="s">
        <v>1757</v>
      </c>
      <c r="B20">
        <v>20</v>
      </c>
      <c r="C20" t="s">
        <v>1727</v>
      </c>
      <c r="D20">
        <v>88</v>
      </c>
      <c r="E20">
        <v>2951</v>
      </c>
      <c r="F20">
        <v>399</v>
      </c>
      <c r="G20">
        <v>706</v>
      </c>
      <c r="H20">
        <v>147</v>
      </c>
      <c r="I20">
        <v>16</v>
      </c>
      <c r="J20">
        <v>117</v>
      </c>
      <c r="K20">
        <v>1236</v>
      </c>
      <c r="L20">
        <v>376</v>
      </c>
      <c r="M20">
        <v>0.23899999999999999</v>
      </c>
      <c r="N20">
        <v>0.32600000000000001</v>
      </c>
      <c r="O20">
        <v>0.41899999999999998</v>
      </c>
      <c r="P20">
        <v>0.74399999999999999</v>
      </c>
    </row>
    <row r="21" spans="1:16" x14ac:dyDescent="0.25">
      <c r="A21" t="s">
        <v>1758</v>
      </c>
      <c r="B21">
        <v>21</v>
      </c>
      <c r="C21" t="s">
        <v>1728</v>
      </c>
      <c r="D21">
        <v>87</v>
      </c>
      <c r="E21">
        <v>2966</v>
      </c>
      <c r="F21">
        <v>397</v>
      </c>
      <c r="G21">
        <v>769</v>
      </c>
      <c r="H21">
        <v>133</v>
      </c>
      <c r="I21">
        <v>19</v>
      </c>
      <c r="J21">
        <v>99</v>
      </c>
      <c r="K21">
        <v>1237</v>
      </c>
      <c r="L21">
        <v>380</v>
      </c>
      <c r="M21">
        <v>0.25900000000000001</v>
      </c>
      <c r="N21">
        <v>0.318</v>
      </c>
      <c r="O21">
        <v>0.41699999999999998</v>
      </c>
      <c r="P21">
        <v>0.73499999999999999</v>
      </c>
    </row>
    <row r="22" spans="1:16" x14ac:dyDescent="0.25">
      <c r="A22" t="s">
        <v>1752</v>
      </c>
      <c r="B22">
        <v>22</v>
      </c>
      <c r="C22" t="s">
        <v>1729</v>
      </c>
      <c r="D22">
        <v>88</v>
      </c>
      <c r="E22">
        <v>3064</v>
      </c>
      <c r="F22">
        <v>392</v>
      </c>
      <c r="G22">
        <v>779</v>
      </c>
      <c r="H22">
        <v>145</v>
      </c>
      <c r="I22">
        <v>5</v>
      </c>
      <c r="J22">
        <v>123</v>
      </c>
      <c r="K22">
        <v>1303</v>
      </c>
      <c r="L22">
        <v>375</v>
      </c>
      <c r="M22">
        <v>0.254</v>
      </c>
      <c r="N22">
        <v>0.308</v>
      </c>
      <c r="O22">
        <v>0.42499999999999999</v>
      </c>
      <c r="P22">
        <v>0.73399999999999999</v>
      </c>
    </row>
    <row r="23" spans="1:16" x14ac:dyDescent="0.25">
      <c r="A23" t="s">
        <v>1759</v>
      </c>
      <c r="B23">
        <v>23</v>
      </c>
      <c r="C23" t="s">
        <v>1730</v>
      </c>
      <c r="D23">
        <v>89</v>
      </c>
      <c r="E23">
        <v>2985</v>
      </c>
      <c r="F23">
        <v>382</v>
      </c>
      <c r="G23">
        <v>705</v>
      </c>
      <c r="H23">
        <v>160</v>
      </c>
      <c r="I23">
        <v>8</v>
      </c>
      <c r="J23">
        <v>125</v>
      </c>
      <c r="K23">
        <v>1256</v>
      </c>
      <c r="L23">
        <v>367</v>
      </c>
      <c r="M23">
        <v>0.23599999999999999</v>
      </c>
      <c r="N23">
        <v>0.31</v>
      </c>
      <c r="O23">
        <v>0.42099999999999999</v>
      </c>
      <c r="P23">
        <v>0.73099999999999998</v>
      </c>
    </row>
    <row r="24" spans="1:16" x14ac:dyDescent="0.25">
      <c r="A24" t="s">
        <v>1760</v>
      </c>
      <c r="B24">
        <v>24</v>
      </c>
      <c r="C24" t="s">
        <v>1731</v>
      </c>
      <c r="D24">
        <v>89</v>
      </c>
      <c r="E24">
        <v>3022</v>
      </c>
      <c r="F24">
        <v>378</v>
      </c>
      <c r="G24">
        <v>729</v>
      </c>
      <c r="H24">
        <v>145</v>
      </c>
      <c r="I24">
        <v>22</v>
      </c>
      <c r="J24">
        <v>87</v>
      </c>
      <c r="K24">
        <v>1179</v>
      </c>
      <c r="L24">
        <v>352</v>
      </c>
      <c r="M24">
        <v>0.24099999999999999</v>
      </c>
      <c r="N24">
        <v>0.32</v>
      </c>
      <c r="O24">
        <v>0.39</v>
      </c>
      <c r="P24">
        <v>0.71</v>
      </c>
    </row>
    <row r="25" spans="1:16" x14ac:dyDescent="0.25">
      <c r="A25" t="s">
        <v>1761</v>
      </c>
      <c r="B25">
        <v>25</v>
      </c>
      <c r="C25" t="s">
        <v>1732</v>
      </c>
      <c r="D25">
        <v>92</v>
      </c>
      <c r="E25">
        <v>3081</v>
      </c>
      <c r="F25">
        <v>377</v>
      </c>
      <c r="G25">
        <v>744</v>
      </c>
      <c r="H25">
        <v>134</v>
      </c>
      <c r="I25">
        <v>8</v>
      </c>
      <c r="J25">
        <v>94</v>
      </c>
      <c r="K25">
        <v>1176</v>
      </c>
      <c r="L25">
        <v>360</v>
      </c>
      <c r="M25">
        <v>0.24099999999999999</v>
      </c>
      <c r="N25">
        <v>0.312</v>
      </c>
      <c r="O25">
        <v>0.38200000000000001</v>
      </c>
      <c r="P25">
        <v>0.69299999999999995</v>
      </c>
    </row>
    <row r="26" spans="1:16" x14ac:dyDescent="0.25">
      <c r="A26" t="s">
        <v>1762</v>
      </c>
      <c r="B26">
        <v>26</v>
      </c>
      <c r="C26" t="s">
        <v>1733</v>
      </c>
      <c r="D26">
        <v>88</v>
      </c>
      <c r="E26">
        <v>2964</v>
      </c>
      <c r="F26">
        <v>366</v>
      </c>
      <c r="G26">
        <v>724</v>
      </c>
      <c r="H26">
        <v>134</v>
      </c>
      <c r="I26">
        <v>4</v>
      </c>
      <c r="J26">
        <v>117</v>
      </c>
      <c r="K26">
        <v>1217</v>
      </c>
      <c r="L26">
        <v>347</v>
      </c>
      <c r="M26">
        <v>0.24399999999999999</v>
      </c>
      <c r="N26">
        <v>0.316</v>
      </c>
      <c r="O26">
        <v>0.41099999999999998</v>
      </c>
      <c r="P26">
        <v>0.72599999999999998</v>
      </c>
    </row>
    <row r="27" spans="1:16" x14ac:dyDescent="0.25">
      <c r="A27" t="s">
        <v>1767</v>
      </c>
      <c r="B27">
        <v>27</v>
      </c>
      <c r="C27" t="s">
        <v>1734</v>
      </c>
      <c r="D27">
        <v>87</v>
      </c>
      <c r="E27">
        <v>2961</v>
      </c>
      <c r="F27">
        <v>362</v>
      </c>
      <c r="G27">
        <v>735</v>
      </c>
      <c r="H27">
        <v>142</v>
      </c>
      <c r="I27">
        <v>12</v>
      </c>
      <c r="J27">
        <v>107</v>
      </c>
      <c r="K27">
        <v>1222</v>
      </c>
      <c r="L27">
        <v>341</v>
      </c>
      <c r="M27">
        <v>0.248</v>
      </c>
      <c r="N27">
        <v>0.3</v>
      </c>
      <c r="O27">
        <v>0.41299999999999998</v>
      </c>
      <c r="P27">
        <v>0.71299999999999997</v>
      </c>
    </row>
    <row r="28" spans="1:16" x14ac:dyDescent="0.25">
      <c r="A28" t="s">
        <v>1763</v>
      </c>
      <c r="B28">
        <v>28</v>
      </c>
      <c r="C28" t="s">
        <v>1735</v>
      </c>
      <c r="D28">
        <v>90</v>
      </c>
      <c r="E28">
        <v>3108</v>
      </c>
      <c r="F28">
        <v>354</v>
      </c>
      <c r="G28">
        <v>754</v>
      </c>
      <c r="H28">
        <v>147</v>
      </c>
      <c r="I28">
        <v>18</v>
      </c>
      <c r="J28">
        <v>75</v>
      </c>
      <c r="K28">
        <v>1162</v>
      </c>
      <c r="L28">
        <v>342</v>
      </c>
      <c r="M28">
        <v>0.24299999999999999</v>
      </c>
      <c r="N28">
        <v>0.30299999999999999</v>
      </c>
      <c r="O28">
        <v>0.374</v>
      </c>
      <c r="P28">
        <v>0.67700000000000005</v>
      </c>
    </row>
    <row r="29" spans="1:16" x14ac:dyDescent="0.25">
      <c r="A29" t="s">
        <v>1764</v>
      </c>
      <c r="B29">
        <v>29</v>
      </c>
      <c r="C29" t="s">
        <v>1736</v>
      </c>
      <c r="D29">
        <v>87</v>
      </c>
      <c r="E29">
        <v>2959</v>
      </c>
      <c r="F29">
        <v>332</v>
      </c>
      <c r="G29">
        <v>715</v>
      </c>
      <c r="H29">
        <v>151</v>
      </c>
      <c r="I29">
        <v>17</v>
      </c>
      <c r="J29">
        <v>89</v>
      </c>
      <c r="K29">
        <v>1167</v>
      </c>
      <c r="L29">
        <v>316</v>
      </c>
      <c r="M29">
        <v>0.24199999999999999</v>
      </c>
      <c r="N29">
        <v>0.30299999999999999</v>
      </c>
      <c r="O29">
        <v>0.39400000000000002</v>
      </c>
      <c r="P29">
        <v>0.69799999999999995</v>
      </c>
    </row>
    <row r="30" spans="1:16" x14ac:dyDescent="0.25">
      <c r="A30" t="s">
        <v>1765</v>
      </c>
      <c r="B30">
        <v>30</v>
      </c>
      <c r="C30" t="s">
        <v>1737</v>
      </c>
      <c r="D30">
        <v>88</v>
      </c>
      <c r="E30">
        <v>2893</v>
      </c>
      <c r="F30">
        <v>312</v>
      </c>
      <c r="G30">
        <v>658</v>
      </c>
      <c r="H30">
        <v>114</v>
      </c>
      <c r="I30">
        <v>15</v>
      </c>
      <c r="J30">
        <v>102</v>
      </c>
      <c r="K30">
        <v>1108</v>
      </c>
      <c r="L30">
        <v>304</v>
      </c>
      <c r="M30">
        <v>0.22700000000000001</v>
      </c>
      <c r="N30">
        <v>0.29399999999999998</v>
      </c>
      <c r="O30">
        <v>0.38300000000000001</v>
      </c>
      <c r="P30">
        <v>0.67700000000000005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J16" sqref="J1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Fanduel MLB Solver</vt:lpstr>
      <vt:lpstr>Optimizer</vt:lpstr>
      <vt:lpstr>Batters</vt:lpstr>
      <vt:lpstr>Fandual</vt:lpstr>
      <vt:lpstr>Pitchers</vt:lpstr>
      <vt:lpstr>Starter</vt:lpstr>
      <vt:lpstr>Stack</vt:lpstr>
      <vt:lpstr>Offense</vt:lpstr>
      <vt:lpstr>5Lineups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Dorris</dc:creator>
  <cp:lastModifiedBy>Matt Dorris</cp:lastModifiedBy>
  <cp:lastPrinted>2017-03-25T07:50:40Z</cp:lastPrinted>
  <dcterms:created xsi:type="dcterms:W3CDTF">2017-02-02T03:49:20Z</dcterms:created>
  <dcterms:modified xsi:type="dcterms:W3CDTF">2017-09-04T14:33:20Z</dcterms:modified>
</cp:coreProperties>
</file>