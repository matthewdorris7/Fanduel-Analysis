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9210" windowHeight="4125" activeTab="2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Solver'!$O$4</definedName>
    <definedName name="solver_lhs1" localSheetId="0" hidden="1">'Fanduel Basketball Solver'!$C$2:$C$150</definedName>
    <definedName name="solver_lhs10" localSheetId="0" hidden="1">'Fanduel Basketball Solver'!$O$4</definedName>
    <definedName name="solver_lhs11" localSheetId="0" hidden="1">'Fanduel Basketball Solver'!$O$6</definedName>
    <definedName name="solver_lhs12" localSheetId="0" hidden="1">'Fanduel Basketball Solver'!#REF!</definedName>
    <definedName name="solver_lhs13" localSheetId="0" hidden="1">'Fanduel Basketball Solver'!$O$6</definedName>
    <definedName name="solver_lhs14" localSheetId="0" hidden="1">'Fanduel Basketball Solver'!#REF!</definedName>
    <definedName name="solver_lhs15" localSheetId="0" hidden="1">'Fanduel Basketball Solver'!$O$6</definedName>
    <definedName name="solver_lhs16" localSheetId="0" hidden="1">'Fanduel Basketball Solver'!$O$5</definedName>
    <definedName name="solver_lhs17" localSheetId="0" hidden="1">'Fanduel Basketball Solver'!#REF!</definedName>
    <definedName name="solver_lhs2" localSheetId="0" hidden="1">'Fanduel Basketball Solver'!$N$13</definedName>
    <definedName name="solver_lhs3" localSheetId="0" hidden="1">'Fanduel Basketball Solver'!$N$10</definedName>
    <definedName name="solver_lhs4" localSheetId="0" hidden="1">'Fanduel Basketball Solver'!$N$7</definedName>
    <definedName name="solver_lhs5" localSheetId="0" hidden="1">'Fanduel Basketball Solver'!$O$2</definedName>
    <definedName name="solver_lhs6" localSheetId="0" hidden="1">'Fanduel Basketball Solver'!$O$3</definedName>
    <definedName name="solver_lhs7" localSheetId="0" hidden="1">'Fanduel Basketball Solver'!$O$4</definedName>
    <definedName name="solver_lhs8" localSheetId="0" hidden="1">'Fanduel Basketball Solver'!$O$5</definedName>
    <definedName name="solver_lhs9" localSheetId="0" hidden="1">'Fanduel Basketball Solver'!$O$5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'Fanduel Basketball Solver'!$N$10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1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Solver'!$N$4</definedName>
    <definedName name="solver_rhs1" localSheetId="0" hidden="1">binary</definedName>
    <definedName name="solver_rhs10" localSheetId="0" hidden="1">'Fanduel Basketball Solver'!$N$4</definedName>
    <definedName name="solver_rhs11" localSheetId="0" hidden="1">'Fanduel Basketball Solver'!$N$6</definedName>
    <definedName name="solver_rhs12" localSheetId="0" hidden="1">'Fanduel Basketball Solver'!#REF!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Solver'!$N$5</definedName>
    <definedName name="solver_rhs17" localSheetId="0" hidden="1">'Fanduel Basketball Solver'!#REF!</definedName>
    <definedName name="solver_rhs2" localSheetId="0" hidden="1">'Fanduel Basketball Solver'!$N$12</definedName>
    <definedName name="solver_rhs3" localSheetId="0" hidden="1">'Fanduel Basketball Solver'!$N$11</definedName>
    <definedName name="solver_rhs4" localSheetId="0" hidden="1">'Fanduel Basketball Solver'!$N$8</definedName>
    <definedName name="solver_rhs5" localSheetId="0" hidden="1">'Fanduel Basketball Solver'!$N$2</definedName>
    <definedName name="solver_rhs6" localSheetId="0" hidden="1">'Fanduel Basketball Solver'!$N$3</definedName>
    <definedName name="solver_rhs7" localSheetId="0" hidden="1">'Fanduel Basketball Solver'!$N$4</definedName>
    <definedName name="solver_rhs8" localSheetId="0" hidden="1">'Fanduel Basketball Solver'!$N$5</definedName>
    <definedName name="solver_rhs9" localSheetId="0" hidden="1">'Fanduel Basketball Solver'!$N$5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 calcMode="manual"/>
</workbook>
</file>

<file path=xl/calcChain.xml><?xml version="1.0" encoding="utf-8"?>
<calcChain xmlns="http://schemas.openxmlformats.org/spreadsheetml/2006/main">
  <c r="I3" i="2" l="1"/>
  <c r="N3" i="10" l="1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2" i="10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6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A147" i="2" l="1"/>
  <c r="A145" i="2"/>
  <c r="N10" i="2"/>
  <c r="O10" i="2" s="1"/>
  <c r="I140" i="2"/>
  <c r="H137" i="2"/>
  <c r="J143" i="2"/>
  <c r="H149" i="2"/>
  <c r="K142" i="2"/>
  <c r="J139" i="2"/>
  <c r="I136" i="2"/>
  <c r="H133" i="2"/>
  <c r="K146" i="2"/>
  <c r="I148" i="2"/>
  <c r="H145" i="2"/>
  <c r="K138" i="2"/>
  <c r="J135" i="2"/>
  <c r="I132" i="2"/>
  <c r="K150" i="2"/>
  <c r="J147" i="2"/>
  <c r="I144" i="2"/>
  <c r="H141" i="2"/>
  <c r="K134" i="2"/>
  <c r="H129" i="2"/>
  <c r="K118" i="2"/>
  <c r="K106" i="2"/>
  <c r="J115" i="2"/>
  <c r="J103" i="2"/>
  <c r="K122" i="2"/>
  <c r="H113" i="2"/>
  <c r="K102" i="2"/>
  <c r="J131" i="2"/>
  <c r="J119" i="2"/>
  <c r="I128" i="2"/>
  <c r="H125" i="2"/>
  <c r="I112" i="2"/>
  <c r="H109" i="2"/>
  <c r="K130" i="2"/>
  <c r="J127" i="2"/>
  <c r="I124" i="2"/>
  <c r="H121" i="2"/>
  <c r="K114" i="2"/>
  <c r="J111" i="2"/>
  <c r="I108" i="2"/>
  <c r="H105" i="2"/>
  <c r="I116" i="2"/>
  <c r="K126" i="2"/>
  <c r="J123" i="2"/>
  <c r="I120" i="2"/>
  <c r="H117" i="2"/>
  <c r="K110" i="2"/>
  <c r="J107" i="2"/>
  <c r="I104" i="2"/>
  <c r="J150" i="2"/>
  <c r="K149" i="2"/>
  <c r="H148" i="2"/>
  <c r="I147" i="2"/>
  <c r="J146" i="2"/>
  <c r="K145" i="2"/>
  <c r="H144" i="2"/>
  <c r="I143" i="2"/>
  <c r="J142" i="2"/>
  <c r="K141" i="2"/>
  <c r="H140" i="2"/>
  <c r="I139" i="2"/>
  <c r="J138" i="2"/>
  <c r="K137" i="2"/>
  <c r="H136" i="2"/>
  <c r="I135" i="2"/>
  <c r="J134" i="2"/>
  <c r="K133" i="2"/>
  <c r="H132" i="2"/>
  <c r="I131" i="2"/>
  <c r="J130" i="2"/>
  <c r="K129" i="2"/>
  <c r="H128" i="2"/>
  <c r="I127" i="2"/>
  <c r="J126" i="2"/>
  <c r="K125" i="2"/>
  <c r="H124" i="2"/>
  <c r="I123" i="2"/>
  <c r="J122" i="2"/>
  <c r="K121" i="2"/>
  <c r="H120" i="2"/>
  <c r="I119" i="2"/>
  <c r="J118" i="2"/>
  <c r="K117" i="2"/>
  <c r="H116" i="2"/>
  <c r="I115" i="2"/>
  <c r="J114" i="2"/>
  <c r="K113" i="2"/>
  <c r="H112" i="2"/>
  <c r="I111" i="2"/>
  <c r="J110" i="2"/>
  <c r="K109" i="2"/>
  <c r="H108" i="2"/>
  <c r="I107" i="2"/>
  <c r="J106" i="2"/>
  <c r="K105" i="2"/>
  <c r="H104" i="2"/>
  <c r="I103" i="2"/>
  <c r="J102" i="2"/>
  <c r="I150" i="2"/>
  <c r="J149" i="2"/>
  <c r="K148" i="2"/>
  <c r="H147" i="2"/>
  <c r="I146" i="2"/>
  <c r="J145" i="2"/>
  <c r="K144" i="2"/>
  <c r="H143" i="2"/>
  <c r="I142" i="2"/>
  <c r="J141" i="2"/>
  <c r="K140" i="2"/>
  <c r="H139" i="2"/>
  <c r="I138" i="2"/>
  <c r="J137" i="2"/>
  <c r="K136" i="2"/>
  <c r="H135" i="2"/>
  <c r="I134" i="2"/>
  <c r="J133" i="2"/>
  <c r="K132" i="2"/>
  <c r="H131" i="2"/>
  <c r="I130" i="2"/>
  <c r="J129" i="2"/>
  <c r="K128" i="2"/>
  <c r="H127" i="2"/>
  <c r="I126" i="2"/>
  <c r="J125" i="2"/>
  <c r="K124" i="2"/>
  <c r="H123" i="2"/>
  <c r="I122" i="2"/>
  <c r="J121" i="2"/>
  <c r="K120" i="2"/>
  <c r="H119" i="2"/>
  <c r="I118" i="2"/>
  <c r="J117" i="2"/>
  <c r="K116" i="2"/>
  <c r="H115" i="2"/>
  <c r="I114" i="2"/>
  <c r="J113" i="2"/>
  <c r="K112" i="2"/>
  <c r="H111" i="2"/>
  <c r="I110" i="2"/>
  <c r="J109" i="2"/>
  <c r="K108" i="2"/>
  <c r="H107" i="2"/>
  <c r="I106" i="2"/>
  <c r="J105" i="2"/>
  <c r="K104" i="2"/>
  <c r="H103" i="2"/>
  <c r="I102" i="2"/>
  <c r="N13" i="2"/>
  <c r="I94" i="2" l="1"/>
  <c r="J94" i="2"/>
  <c r="K94" i="2"/>
  <c r="H94" i="2"/>
  <c r="I90" i="2"/>
  <c r="J90" i="2"/>
  <c r="K90" i="2"/>
  <c r="H90" i="2"/>
  <c r="I82" i="2"/>
  <c r="J82" i="2"/>
  <c r="K82" i="2"/>
  <c r="H82" i="2"/>
  <c r="I74" i="2"/>
  <c r="J74" i="2"/>
  <c r="K74" i="2"/>
  <c r="H74" i="2"/>
  <c r="I66" i="2"/>
  <c r="K66" i="2"/>
  <c r="J66" i="2"/>
  <c r="H66" i="2"/>
  <c r="I54" i="2"/>
  <c r="K54" i="2"/>
  <c r="J54" i="2"/>
  <c r="H54" i="2"/>
  <c r="I50" i="2"/>
  <c r="K50" i="2"/>
  <c r="J50" i="2"/>
  <c r="H50" i="2"/>
  <c r="I42" i="2"/>
  <c r="K42" i="2"/>
  <c r="J42" i="2"/>
  <c r="H42" i="2"/>
  <c r="I34" i="2"/>
  <c r="K34" i="2"/>
  <c r="J34" i="2"/>
  <c r="H34" i="2"/>
  <c r="I26" i="2"/>
  <c r="K26" i="2"/>
  <c r="J26" i="2"/>
  <c r="H26" i="2"/>
  <c r="J18" i="2"/>
  <c r="I18" i="2"/>
  <c r="K18" i="2"/>
  <c r="H18" i="2"/>
  <c r="I97" i="2"/>
  <c r="H97" i="2"/>
  <c r="J97" i="2"/>
  <c r="K97" i="2"/>
  <c r="I89" i="2"/>
  <c r="H89" i="2"/>
  <c r="J89" i="2"/>
  <c r="K89" i="2"/>
  <c r="I81" i="2"/>
  <c r="H81" i="2"/>
  <c r="J81" i="2"/>
  <c r="K81" i="2"/>
  <c r="I69" i="2"/>
  <c r="H69" i="2"/>
  <c r="J69" i="2"/>
  <c r="K69" i="2"/>
  <c r="I65" i="2"/>
  <c r="J65" i="2"/>
  <c r="H65" i="2"/>
  <c r="K65" i="2"/>
  <c r="I57" i="2"/>
  <c r="J57" i="2"/>
  <c r="H57" i="2"/>
  <c r="K57" i="2"/>
  <c r="I49" i="2"/>
  <c r="J49" i="2"/>
  <c r="H49" i="2"/>
  <c r="K49" i="2"/>
  <c r="I41" i="2"/>
  <c r="J41" i="2"/>
  <c r="H41" i="2"/>
  <c r="K41" i="2"/>
  <c r="I33" i="2"/>
  <c r="J33" i="2"/>
  <c r="H33" i="2"/>
  <c r="K33" i="2"/>
  <c r="I25" i="2"/>
  <c r="J25" i="2"/>
  <c r="H25" i="2"/>
  <c r="K25" i="2"/>
  <c r="J17" i="2"/>
  <c r="I17" i="2"/>
  <c r="K17" i="2"/>
  <c r="H17" i="2"/>
  <c r="I100" i="2"/>
  <c r="H100" i="2"/>
  <c r="K100" i="2"/>
  <c r="J100" i="2"/>
  <c r="I96" i="2"/>
  <c r="H96" i="2"/>
  <c r="K96" i="2"/>
  <c r="J96" i="2"/>
  <c r="I92" i="2"/>
  <c r="H92" i="2"/>
  <c r="K92" i="2"/>
  <c r="J92" i="2"/>
  <c r="I88" i="2"/>
  <c r="H88" i="2"/>
  <c r="K88" i="2"/>
  <c r="J88" i="2"/>
  <c r="I84" i="2"/>
  <c r="H84" i="2"/>
  <c r="K84" i="2"/>
  <c r="J84" i="2"/>
  <c r="I80" i="2"/>
  <c r="H80" i="2"/>
  <c r="K80" i="2"/>
  <c r="J80" i="2"/>
  <c r="I76" i="2"/>
  <c r="H76" i="2"/>
  <c r="K76" i="2"/>
  <c r="J76" i="2"/>
  <c r="I72" i="2"/>
  <c r="H72" i="2"/>
  <c r="K72" i="2"/>
  <c r="J72" i="2"/>
  <c r="I68" i="2"/>
  <c r="H68" i="2"/>
  <c r="K68" i="2"/>
  <c r="J68" i="2"/>
  <c r="I64" i="2"/>
  <c r="H64" i="2"/>
  <c r="K64" i="2"/>
  <c r="J64" i="2"/>
  <c r="I60" i="2"/>
  <c r="H60" i="2"/>
  <c r="K60" i="2"/>
  <c r="J60" i="2"/>
  <c r="I56" i="2"/>
  <c r="H56" i="2"/>
  <c r="K56" i="2"/>
  <c r="J56" i="2"/>
  <c r="I52" i="2"/>
  <c r="H52" i="2"/>
  <c r="K52" i="2"/>
  <c r="J52" i="2"/>
  <c r="I48" i="2"/>
  <c r="H48" i="2"/>
  <c r="K48" i="2"/>
  <c r="J48" i="2"/>
  <c r="I44" i="2"/>
  <c r="H44" i="2"/>
  <c r="K44" i="2"/>
  <c r="J44" i="2"/>
  <c r="I40" i="2"/>
  <c r="H40" i="2"/>
  <c r="K40" i="2"/>
  <c r="J40" i="2"/>
  <c r="I36" i="2"/>
  <c r="H36" i="2"/>
  <c r="K36" i="2"/>
  <c r="J36" i="2"/>
  <c r="I32" i="2"/>
  <c r="H32" i="2"/>
  <c r="K32" i="2"/>
  <c r="J32" i="2"/>
  <c r="I28" i="2"/>
  <c r="H28" i="2"/>
  <c r="K28" i="2"/>
  <c r="J28" i="2"/>
  <c r="I24" i="2"/>
  <c r="H24" i="2"/>
  <c r="K24" i="2"/>
  <c r="J24" i="2"/>
  <c r="H20" i="2"/>
  <c r="I20" i="2"/>
  <c r="K20" i="2"/>
  <c r="J20" i="2"/>
  <c r="J16" i="2"/>
  <c r="I16" i="2"/>
  <c r="K16" i="2"/>
  <c r="H16" i="2"/>
  <c r="K12" i="2"/>
  <c r="J12" i="2"/>
  <c r="I12" i="2"/>
  <c r="H12" i="2"/>
  <c r="I98" i="2"/>
  <c r="J98" i="2"/>
  <c r="K98" i="2"/>
  <c r="H98" i="2"/>
  <c r="I86" i="2"/>
  <c r="J86" i="2"/>
  <c r="K86" i="2"/>
  <c r="H86" i="2"/>
  <c r="I78" i="2"/>
  <c r="J78" i="2"/>
  <c r="K78" i="2"/>
  <c r="H78" i="2"/>
  <c r="I70" i="2"/>
  <c r="J70" i="2"/>
  <c r="K70" i="2"/>
  <c r="H70" i="2"/>
  <c r="I62" i="2"/>
  <c r="K62" i="2"/>
  <c r="J62" i="2"/>
  <c r="H62" i="2"/>
  <c r="I58" i="2"/>
  <c r="K58" i="2"/>
  <c r="J58" i="2"/>
  <c r="H58" i="2"/>
  <c r="I46" i="2"/>
  <c r="K46" i="2"/>
  <c r="J46" i="2"/>
  <c r="H46" i="2"/>
  <c r="I38" i="2"/>
  <c r="K38" i="2"/>
  <c r="J38" i="2"/>
  <c r="H38" i="2"/>
  <c r="I30" i="2"/>
  <c r="K30" i="2"/>
  <c r="J30" i="2"/>
  <c r="H30" i="2"/>
  <c r="H22" i="2"/>
  <c r="I22" i="2"/>
  <c r="J22" i="2"/>
  <c r="K22" i="2"/>
  <c r="K14" i="2"/>
  <c r="J14" i="2"/>
  <c r="I14" i="2"/>
  <c r="H14" i="2"/>
  <c r="I101" i="2"/>
  <c r="H101" i="2"/>
  <c r="J101" i="2"/>
  <c r="K101" i="2"/>
  <c r="I93" i="2"/>
  <c r="H93" i="2"/>
  <c r="J93" i="2"/>
  <c r="K93" i="2"/>
  <c r="I85" i="2"/>
  <c r="H85" i="2"/>
  <c r="J85" i="2"/>
  <c r="K85" i="2"/>
  <c r="I77" i="2"/>
  <c r="H77" i="2"/>
  <c r="J77" i="2"/>
  <c r="K77" i="2"/>
  <c r="I73" i="2"/>
  <c r="H73" i="2"/>
  <c r="J73" i="2"/>
  <c r="K73" i="2"/>
  <c r="I61" i="2"/>
  <c r="J61" i="2"/>
  <c r="H61" i="2"/>
  <c r="K61" i="2"/>
  <c r="I53" i="2"/>
  <c r="J53" i="2"/>
  <c r="H53" i="2"/>
  <c r="K53" i="2"/>
  <c r="I45" i="2"/>
  <c r="J45" i="2"/>
  <c r="H45" i="2"/>
  <c r="K45" i="2"/>
  <c r="I37" i="2"/>
  <c r="J37" i="2"/>
  <c r="H37" i="2"/>
  <c r="K37" i="2"/>
  <c r="I29" i="2"/>
  <c r="J29" i="2"/>
  <c r="H29" i="2"/>
  <c r="K29" i="2"/>
  <c r="H21" i="2"/>
  <c r="K21" i="2"/>
  <c r="J21" i="2"/>
  <c r="I21" i="2"/>
  <c r="K13" i="2"/>
  <c r="J13" i="2"/>
  <c r="I13" i="2"/>
  <c r="H13" i="2"/>
  <c r="I99" i="2"/>
  <c r="K99" i="2"/>
  <c r="H99" i="2"/>
  <c r="J99" i="2"/>
  <c r="I95" i="2"/>
  <c r="K95" i="2"/>
  <c r="H95" i="2"/>
  <c r="J95" i="2"/>
  <c r="I91" i="2"/>
  <c r="K91" i="2"/>
  <c r="H91" i="2"/>
  <c r="J91" i="2"/>
  <c r="I87" i="2"/>
  <c r="K87" i="2"/>
  <c r="H87" i="2"/>
  <c r="J87" i="2"/>
  <c r="I83" i="2"/>
  <c r="K83" i="2"/>
  <c r="H83" i="2"/>
  <c r="J83" i="2"/>
  <c r="I79" i="2"/>
  <c r="K79" i="2"/>
  <c r="H79" i="2"/>
  <c r="J79" i="2"/>
  <c r="I75" i="2"/>
  <c r="K75" i="2"/>
  <c r="H75" i="2"/>
  <c r="J75" i="2"/>
  <c r="I71" i="2"/>
  <c r="K71" i="2"/>
  <c r="H71" i="2"/>
  <c r="J71" i="2"/>
  <c r="I67" i="2"/>
  <c r="K67" i="2"/>
  <c r="H67" i="2"/>
  <c r="J67" i="2"/>
  <c r="I63" i="2"/>
  <c r="H63" i="2"/>
  <c r="K63" i="2"/>
  <c r="J63" i="2"/>
  <c r="I59" i="2"/>
  <c r="H59" i="2"/>
  <c r="K59" i="2"/>
  <c r="J59" i="2"/>
  <c r="I55" i="2"/>
  <c r="H55" i="2"/>
  <c r="K55" i="2"/>
  <c r="J55" i="2"/>
  <c r="I51" i="2"/>
  <c r="H51" i="2"/>
  <c r="K51" i="2"/>
  <c r="J51" i="2"/>
  <c r="I47" i="2"/>
  <c r="H47" i="2"/>
  <c r="K47" i="2"/>
  <c r="J47" i="2"/>
  <c r="I43" i="2"/>
  <c r="H43" i="2"/>
  <c r="K43" i="2"/>
  <c r="J43" i="2"/>
  <c r="I39" i="2"/>
  <c r="H39" i="2"/>
  <c r="K39" i="2"/>
  <c r="J39" i="2"/>
  <c r="I35" i="2"/>
  <c r="H35" i="2"/>
  <c r="K35" i="2"/>
  <c r="J35" i="2"/>
  <c r="I31" i="2"/>
  <c r="H31" i="2"/>
  <c r="K31" i="2"/>
  <c r="J31" i="2"/>
  <c r="I27" i="2"/>
  <c r="H27" i="2"/>
  <c r="K27" i="2"/>
  <c r="J27" i="2"/>
  <c r="I23" i="2"/>
  <c r="H23" i="2"/>
  <c r="K23" i="2"/>
  <c r="J23" i="2"/>
  <c r="H19" i="2"/>
  <c r="K19" i="2"/>
  <c r="J19" i="2"/>
  <c r="I19" i="2"/>
  <c r="J15" i="2"/>
  <c r="I15" i="2"/>
  <c r="K15" i="2"/>
  <c r="H15" i="2"/>
  <c r="A2" i="2"/>
  <c r="D15" i="4" l="1"/>
  <c r="N7" i="2"/>
  <c r="D16" i="4" s="1"/>
  <c r="N8" i="2"/>
  <c r="S2" i="2" l="1"/>
  <c r="I2" i="2"/>
  <c r="J2" i="2"/>
  <c r="K2" i="2"/>
  <c r="J3" i="2"/>
  <c r="K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O5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O2" i="2"/>
  <c r="O4" i="2"/>
  <c r="O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N16" i="2" l="1"/>
  <c r="O16" i="2" s="1"/>
  <c r="A1" i="11" s="1"/>
  <c r="N24" i="2"/>
  <c r="N20" i="2"/>
  <c r="N21" i="2"/>
  <c r="N23" i="2"/>
  <c r="N19" i="2"/>
  <c r="N22" i="2"/>
  <c r="N18" i="2"/>
  <c r="N17" i="2"/>
  <c r="G17" i="4" l="1"/>
  <c r="O21" i="2"/>
  <c r="F1" i="11" s="1"/>
  <c r="H17" i="4"/>
  <c r="O22" i="2"/>
  <c r="G1" i="11" s="1"/>
  <c r="F17" i="4"/>
  <c r="O20" i="2"/>
  <c r="E1" i="11" s="1"/>
  <c r="I15" i="4"/>
  <c r="O19" i="2"/>
  <c r="D1" i="11" s="1"/>
  <c r="J15" i="4"/>
  <c r="O24" i="2"/>
  <c r="I1" i="11" s="1"/>
  <c r="H15" i="4"/>
  <c r="O18" i="2"/>
  <c r="C1" i="11" s="1"/>
  <c r="G15" i="4"/>
  <c r="O17" i="2"/>
  <c r="B1" i="11" s="1"/>
  <c r="I17" i="4"/>
  <c r="O23" i="2"/>
  <c r="H1" i="11" s="1"/>
  <c r="F15" i="4"/>
</calcChain>
</file>

<file path=xl/sharedStrings.xml><?xml version="1.0" encoding="utf-8"?>
<sst xmlns="http://schemas.openxmlformats.org/spreadsheetml/2006/main" count="2786" uniqueCount="1272">
  <si>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</si>
  <si>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</si>
  <si>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</si>
  <si>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</si>
  <si>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</si>
  <si>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</si>
  <si>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</si>
  <si>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</si>
  <si>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</si>
  <si>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</si>
  <si>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</si>
  <si>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</si>
  <si>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</si>
  <si>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</si>
  <si>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</si>
  <si>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</si>
  <si>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</si>
  <si>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</si>
  <si>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James</t>
  </si>
  <si>
    <t>O</t>
  </si>
  <si>
    <t>Knee</t>
  </si>
  <si>
    <t>Patrick</t>
  </si>
  <si>
    <t>Ankle</t>
  </si>
  <si>
    <t>Illness</t>
  </si>
  <si>
    <t>Smith</t>
  </si>
  <si>
    <t>Jones</t>
  </si>
  <si>
    <t>Jordan</t>
  </si>
  <si>
    <t>C 1</t>
  </si>
  <si>
    <t>Paul</t>
  </si>
  <si>
    <t>Richardson</t>
  </si>
  <si>
    <t>Brandon</t>
  </si>
  <si>
    <t>Game</t>
  </si>
  <si>
    <t>Salary</t>
  </si>
  <si>
    <t>Team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</si>
  <si>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</si>
  <si>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</si>
  <si>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</si>
  <si>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</si>
  <si>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</si>
  <si>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</si>
  <si>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</si>
  <si>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</si>
  <si>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</si>
  <si>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Anthony</t>
  </si>
  <si>
    <t>Kevin</t>
  </si>
  <si>
    <t>Chris</t>
  </si>
  <si>
    <t>Andre</t>
  </si>
  <si>
    <t>Walker</t>
  </si>
  <si>
    <t>Wilson</t>
  </si>
  <si>
    <t>Chandler</t>
  </si>
  <si>
    <t>Will</t>
  </si>
  <si>
    <t>Mason</t>
  </si>
  <si>
    <t>Marcus</t>
  </si>
  <si>
    <t>Michael</t>
  </si>
  <si>
    <t>Eric</t>
  </si>
  <si>
    <t>Tobias</t>
  </si>
  <si>
    <t>Cody</t>
  </si>
  <si>
    <t>Matt</t>
  </si>
  <si>
    <t>Anderson</t>
  </si>
  <si>
    <t>Kyle</t>
  </si>
  <si>
    <t>Ben</t>
  </si>
  <si>
    <t>Murray</t>
  </si>
  <si>
    <t>Marco</t>
  </si>
  <si>
    <t>Johnson</t>
  </si>
  <si>
    <t>Mario</t>
  </si>
  <si>
    <t>Mike</t>
  </si>
  <si>
    <t>Miller</t>
  </si>
  <si>
    <t>Brown</t>
  </si>
  <si>
    <t>Stone</t>
  </si>
  <si>
    <t>Tim</t>
  </si>
  <si>
    <t>Tyler</t>
  </si>
  <si>
    <t>Justin</t>
  </si>
  <si>
    <t>Miles</t>
  </si>
  <si>
    <t>John</t>
  </si>
  <si>
    <t>WAS</t>
  </si>
  <si>
    <t>Joel</t>
  </si>
  <si>
    <t>Dennis</t>
  </si>
  <si>
    <t>Jonas</t>
  </si>
  <si>
    <t>Abdomen</t>
  </si>
  <si>
    <t>Josh</t>
  </si>
  <si>
    <t>Zach</t>
  </si>
  <si>
    <t>Matthews</t>
  </si>
  <si>
    <t>Alex</t>
  </si>
  <si>
    <t>Seth</t>
  </si>
  <si>
    <t>Dillon</t>
  </si>
  <si>
    <t>Brooks</t>
  </si>
  <si>
    <t>Martin</t>
  </si>
  <si>
    <t>Jason</t>
  </si>
  <si>
    <t>Johnny</t>
  </si>
  <si>
    <t>Matthew</t>
  </si>
  <si>
    <t>T.J.</t>
  </si>
  <si>
    <t>Scott</t>
  </si>
  <si>
    <t>Nick</t>
  </si>
  <si>
    <t>Lower body</t>
  </si>
  <si>
    <t>Tomas</t>
  </si>
  <si>
    <t>Luke</t>
  </si>
  <si>
    <t>Foot</t>
  </si>
  <si>
    <t>Jack</t>
  </si>
  <si>
    <t>Hip</t>
  </si>
  <si>
    <t>Andrew</t>
  </si>
  <si>
    <t>Taylor</t>
  </si>
  <si>
    <t>Joffrey</t>
  </si>
  <si>
    <t>Craig</t>
  </si>
  <si>
    <t>Jacob</t>
  </si>
  <si>
    <t>MIN</t>
  </si>
  <si>
    <t>Jimmy</t>
  </si>
  <si>
    <t>Thumb</t>
  </si>
  <si>
    <t>Gibson</t>
  </si>
  <si>
    <t>Grant</t>
  </si>
  <si>
    <t>Joe</t>
  </si>
  <si>
    <t>Aaron</t>
  </si>
  <si>
    <t>Cousins</t>
  </si>
  <si>
    <t>Blake</t>
  </si>
  <si>
    <t>Victor</t>
  </si>
  <si>
    <t>Mitchell</t>
  </si>
  <si>
    <t>Evan</t>
  </si>
  <si>
    <t>Steven</t>
  </si>
  <si>
    <t>Austin</t>
  </si>
  <si>
    <t>Moore</t>
  </si>
  <si>
    <t>Cory</t>
  </si>
  <si>
    <t>Stephenson</t>
  </si>
  <si>
    <t>Back</t>
  </si>
  <si>
    <t>Ron</t>
  </si>
  <si>
    <t>Daniel</t>
  </si>
  <si>
    <t>Jake</t>
  </si>
  <si>
    <t>Sam</t>
  </si>
  <si>
    <t>Joakim</t>
  </si>
  <si>
    <t>Hamilton</t>
  </si>
  <si>
    <t>ID</t>
  </si>
  <si>
    <t>&lt;-set to 350</t>
  </si>
  <si>
    <t>W</t>
  </si>
  <si>
    <t>D</t>
  </si>
  <si>
    <t>G</t>
  </si>
  <si>
    <t>C 2</t>
  </si>
  <si>
    <t>W 1</t>
  </si>
  <si>
    <t>W 2</t>
  </si>
  <si>
    <t>W 3</t>
  </si>
  <si>
    <t>W 4</t>
  </si>
  <si>
    <t>D 1</t>
  </si>
  <si>
    <t>D 2</t>
  </si>
  <si>
    <t>G 1</t>
  </si>
  <si>
    <t>22043-12163</t>
  </si>
  <si>
    <t>Sergei</t>
  </si>
  <si>
    <t>Sergei Bobrovsky</t>
  </si>
  <si>
    <t>Bobrovsky</t>
  </si>
  <si>
    <t>CLS@BUF</t>
  </si>
  <si>
    <t>CLS</t>
  </si>
  <si>
    <t>BUF</t>
  </si>
  <si>
    <t>22043-58909</t>
  </si>
  <si>
    <t>Connor</t>
  </si>
  <si>
    <t>Connor Hellebuyck</t>
  </si>
  <si>
    <t>Hellebuyck</t>
  </si>
  <si>
    <t>WPG@NSH</t>
  </si>
  <si>
    <t>WPG</t>
  </si>
  <si>
    <t>NSH</t>
  </si>
  <si>
    <t>22043-23072</t>
  </si>
  <si>
    <t>Frederik</t>
  </si>
  <si>
    <t>Frederik Andersen</t>
  </si>
  <si>
    <t>Andersen</t>
  </si>
  <si>
    <t>ARI@TOR</t>
  </si>
  <si>
    <t>TOR</t>
  </si>
  <si>
    <t>ARI</t>
  </si>
  <si>
    <t>22043-9416</t>
  </si>
  <si>
    <t>Braden</t>
  </si>
  <si>
    <t>Braden Holtby</t>
  </si>
  <si>
    <t>Holtby</t>
  </si>
  <si>
    <t>CGY@WAS</t>
  </si>
  <si>
    <t>CGY</t>
  </si>
  <si>
    <t>22043-8472</t>
  </si>
  <si>
    <t>Pekka</t>
  </si>
  <si>
    <t>Pekka Rinne</t>
  </si>
  <si>
    <t>Rinne</t>
  </si>
  <si>
    <t>22043-8920</t>
  </si>
  <si>
    <t>Devan</t>
  </si>
  <si>
    <t>Devan Dubnyk</t>
  </si>
  <si>
    <t>Dubnyk</t>
  </si>
  <si>
    <t>NJ@MIN</t>
  </si>
  <si>
    <t>NJ</t>
  </si>
  <si>
    <t>22043-8672</t>
  </si>
  <si>
    <t>Mike Smith</t>
  </si>
  <si>
    <t>22043-8233</t>
  </si>
  <si>
    <t>Curtis</t>
  </si>
  <si>
    <t>Curtis McElhinney</t>
  </si>
  <si>
    <t>McElhinney</t>
  </si>
  <si>
    <t>22043-8781</t>
  </si>
  <si>
    <t>Cory Schneider</t>
  </si>
  <si>
    <t>Schneider</t>
  </si>
  <si>
    <t>22043-8212</t>
  </si>
  <si>
    <t>Ryan</t>
  </si>
  <si>
    <t>Ryan Miller</t>
  </si>
  <si>
    <t>ANH@SJ</t>
  </si>
  <si>
    <t>ANH</t>
  </si>
  <si>
    <t>SJ</t>
  </si>
  <si>
    <t>DTD</t>
  </si>
  <si>
    <t>22043-15268</t>
  </si>
  <si>
    <t>John Gibson</t>
  </si>
  <si>
    <t>22043-9278</t>
  </si>
  <si>
    <t>Martin Jones</t>
  </si>
  <si>
    <t>22043-70899</t>
  </si>
  <si>
    <t>Auston</t>
  </si>
  <si>
    <t>Auston Matthews</t>
  </si>
  <si>
    <t>22043-54514</t>
  </si>
  <si>
    <t>Johnny Gaudreau</t>
  </si>
  <si>
    <t>Gaudreau</t>
  </si>
  <si>
    <t>22043-8718</t>
  </si>
  <si>
    <t>Alex Ovechkin</t>
  </si>
  <si>
    <t>Ovechkin</t>
  </si>
  <si>
    <t>22043-9092</t>
  </si>
  <si>
    <t>Evander</t>
  </si>
  <si>
    <t>Evander Kane</t>
  </si>
  <si>
    <t>Kane</t>
  </si>
  <si>
    <t>22043-8182</t>
  </si>
  <si>
    <t>Blake Wheeler</t>
  </si>
  <si>
    <t>Wheeler</t>
  </si>
  <si>
    <t>22043-12410</t>
  </si>
  <si>
    <t>Taylor Hall</t>
  </si>
  <si>
    <t>Hall</t>
  </si>
  <si>
    <t>22043-15321</t>
  </si>
  <si>
    <t>Mark</t>
  </si>
  <si>
    <t>Mark Scheifele</t>
  </si>
  <si>
    <t>Scheifele</t>
  </si>
  <si>
    <t>22043-14183</t>
  </si>
  <si>
    <t>Keith</t>
  </si>
  <si>
    <t>Keith Kinkaid</t>
  </si>
  <si>
    <t>Kinkaid</t>
  </si>
  <si>
    <t>22043-12262</t>
  </si>
  <si>
    <t>Roman</t>
  </si>
  <si>
    <t>Roman Josi</t>
  </si>
  <si>
    <t>Josi</t>
  </si>
  <si>
    <t>22043-41389</t>
  </si>
  <si>
    <t>Sean</t>
  </si>
  <si>
    <t>Sean Monahan</t>
  </si>
  <si>
    <t>Monahan</t>
  </si>
  <si>
    <t>22043-9252</t>
  </si>
  <si>
    <t>Alex Stalock</t>
  </si>
  <si>
    <t>Stalock</t>
  </si>
  <si>
    <t>22043-39253</t>
  </si>
  <si>
    <t>Filip</t>
  </si>
  <si>
    <t>Filip Forsberg</t>
  </si>
  <si>
    <t>Forsberg</t>
  </si>
  <si>
    <t>22043-12690</t>
  </si>
  <si>
    <t>Scott Wedgewood</t>
  </si>
  <si>
    <t>Wedgewood</t>
  </si>
  <si>
    <t>22043-9269</t>
  </si>
  <si>
    <t>Logan</t>
  </si>
  <si>
    <t>Logan Couture</t>
  </si>
  <si>
    <t>Couture</t>
  </si>
  <si>
    <t>22043-8134</t>
  </si>
  <si>
    <t>Ryan Getzlaf</t>
  </si>
  <si>
    <t>Getzlaf</t>
  </si>
  <si>
    <t>IR</t>
  </si>
  <si>
    <t>Face</t>
  </si>
  <si>
    <t>22043-52475</t>
  </si>
  <si>
    <t>Evgeny</t>
  </si>
  <si>
    <t>Evgeny Kuznetsov</t>
  </si>
  <si>
    <t>Kuznetsov</t>
  </si>
  <si>
    <t>22043-8234</t>
  </si>
  <si>
    <t>Eric Staal</t>
  </si>
  <si>
    <t>Staal</t>
  </si>
  <si>
    <t>22043-70905</t>
  </si>
  <si>
    <t>Clayton</t>
  </si>
  <si>
    <t>Clayton Keller</t>
  </si>
  <si>
    <t>Keller</t>
  </si>
  <si>
    <t>22043-9015</t>
  </si>
  <si>
    <t>John Carlson</t>
  </si>
  <si>
    <t>Carlson</t>
  </si>
  <si>
    <t>22043-21686</t>
  </si>
  <si>
    <t>Jason Zucker</t>
  </si>
  <si>
    <t>Zucker</t>
  </si>
  <si>
    <t>22043-58904</t>
  </si>
  <si>
    <t>Aaron Dell</t>
  </si>
  <si>
    <t>Dell</t>
  </si>
  <si>
    <t>22043-59207</t>
  </si>
  <si>
    <t>Viktor</t>
  </si>
  <si>
    <t>Viktor Arvidsson</t>
  </si>
  <si>
    <t>Arvidsson</t>
  </si>
  <si>
    <t>22043-70900</t>
  </si>
  <si>
    <t>Patrik</t>
  </si>
  <si>
    <t>Patrik Laine</t>
  </si>
  <si>
    <t>Laine</t>
  </si>
  <si>
    <t>22043-8797</t>
  </si>
  <si>
    <t>James van Riemsdyk</t>
  </si>
  <si>
    <t>van Riemsdyk</t>
  </si>
  <si>
    <t>22043-12644</t>
  </si>
  <si>
    <t>Kyle Palmieri</t>
  </si>
  <si>
    <t>Palmieri</t>
  </si>
  <si>
    <t>22043-15269</t>
  </si>
  <si>
    <t>Rickard</t>
  </si>
  <si>
    <t>Rickard Rakell</t>
  </si>
  <si>
    <t>Rakell</t>
  </si>
  <si>
    <t>22043-8741</t>
  </si>
  <si>
    <t>Nazem</t>
  </si>
  <si>
    <t>Nazem Kadri</t>
  </si>
  <si>
    <t>Kadri</t>
  </si>
  <si>
    <t>22043-64100</t>
  </si>
  <si>
    <t>Jack Eichel</t>
  </si>
  <si>
    <t>Eichel</t>
  </si>
  <si>
    <t>22043-12812</t>
  </si>
  <si>
    <t>Jared</t>
  </si>
  <si>
    <t>Jared Spurgeon</t>
  </si>
  <si>
    <t>Spurgeon</t>
  </si>
  <si>
    <t>22043-8864</t>
  </si>
  <si>
    <t>Robin</t>
  </si>
  <si>
    <t>Robin Lehner</t>
  </si>
  <si>
    <t>Lehner</t>
  </si>
  <si>
    <t>22043-40050</t>
  </si>
  <si>
    <t>Antti</t>
  </si>
  <si>
    <t>Antti Raanta</t>
  </si>
  <si>
    <t>Raanta</t>
  </si>
  <si>
    <t>22043-8635</t>
  </si>
  <si>
    <t>T.J. Oshie</t>
  </si>
  <si>
    <t>Oshie</t>
  </si>
  <si>
    <t>22043-8426</t>
  </si>
  <si>
    <t>Brent</t>
  </si>
  <si>
    <t>Brent Burns</t>
  </si>
  <si>
    <t>Burns</t>
  </si>
  <si>
    <t>22043-9124</t>
  </si>
  <si>
    <t>Ryan O'Reilly</t>
  </si>
  <si>
    <t>O'Reilly</t>
  </si>
  <si>
    <t>22043-41394</t>
  </si>
  <si>
    <t>Seth Jones</t>
  </si>
  <si>
    <t>22043-37881</t>
  </si>
  <si>
    <t>Morgan</t>
  </si>
  <si>
    <t>Morgan Rielly</t>
  </si>
  <si>
    <t>Rielly</t>
  </si>
  <si>
    <t>22043-54065</t>
  </si>
  <si>
    <t>Joonas</t>
  </si>
  <si>
    <t>Joonas Korpisalo</t>
  </si>
  <si>
    <t>Korpisalo</t>
  </si>
  <si>
    <t>22043-9305</t>
  </si>
  <si>
    <t>Mathieu</t>
  </si>
  <si>
    <t>Mathieu Perreault</t>
  </si>
  <si>
    <t>Perreault</t>
  </si>
  <si>
    <t>22043-58907</t>
  </si>
  <si>
    <t>Nikolaj</t>
  </si>
  <si>
    <t>Nikolaj Ehlers</t>
  </si>
  <si>
    <t>Ehlers</t>
  </si>
  <si>
    <t>22043-8478</t>
  </si>
  <si>
    <t>Zach Parise</t>
  </si>
  <si>
    <t>Parise</t>
  </si>
  <si>
    <t>22043-8466</t>
  </si>
  <si>
    <t>Ryan Suter</t>
  </si>
  <si>
    <t>Suter</t>
  </si>
  <si>
    <t>22043-68640</t>
  </si>
  <si>
    <t>Zach Werenski</t>
  </si>
  <si>
    <t>Werenski</t>
  </si>
  <si>
    <t>22043-8702</t>
  </si>
  <si>
    <t>Ryan Kesler</t>
  </si>
  <si>
    <t>Kesler</t>
  </si>
  <si>
    <t>22043-9107</t>
  </si>
  <si>
    <t>P.K.</t>
  </si>
  <si>
    <t>P.K. Subban</t>
  </si>
  <si>
    <t>Subban</t>
  </si>
  <si>
    <t>22043-9077</t>
  </si>
  <si>
    <t>Kyle Turris</t>
  </si>
  <si>
    <t>Turris</t>
  </si>
  <si>
    <t>22043-16969</t>
  </si>
  <si>
    <t>Charlie</t>
  </si>
  <si>
    <t>Charlie Coyle</t>
  </si>
  <si>
    <t>Coyle</t>
  </si>
  <si>
    <t>Leg</t>
  </si>
  <si>
    <t>22043-15272</t>
  </si>
  <si>
    <t>Micheal</t>
  </si>
  <si>
    <t>Micheal Ferland</t>
  </si>
  <si>
    <t>Ferland</t>
  </si>
  <si>
    <t>22043-62493</t>
  </si>
  <si>
    <t>Artemi</t>
  </si>
  <si>
    <t>Artemi Panarin</t>
  </si>
  <si>
    <t>Panarin</t>
  </si>
  <si>
    <t>22043-8619</t>
  </si>
  <si>
    <t>Patrick Marleau</t>
  </si>
  <si>
    <t>Marleau</t>
  </si>
  <si>
    <t>22043-11158</t>
  </si>
  <si>
    <t>T.J. Brodie</t>
  </si>
  <si>
    <t>Brodie</t>
  </si>
  <si>
    <t>22043-12244</t>
  </si>
  <si>
    <t>Oliver</t>
  </si>
  <si>
    <t>Oliver Ekman-Larsson</t>
  </si>
  <si>
    <t>Ekman-Larsson</t>
  </si>
  <si>
    <t>22043-12728</t>
  </si>
  <si>
    <t>Nino</t>
  </si>
  <si>
    <t>Nino Niederreiter</t>
  </si>
  <si>
    <t>Niederreiter</t>
  </si>
  <si>
    <t>22043-80991</t>
  </si>
  <si>
    <t>Nico</t>
  </si>
  <si>
    <t>Nico Hischier</t>
  </si>
  <si>
    <t>Hischier</t>
  </si>
  <si>
    <t>22043-70904</t>
  </si>
  <si>
    <t>Matthew Tkachuk</t>
  </si>
  <si>
    <t>Tkachuk</t>
  </si>
  <si>
    <t>22043-61859</t>
  </si>
  <si>
    <t>Brandon Montour</t>
  </si>
  <si>
    <t>Montour</t>
  </si>
  <si>
    <t>22043-8230</t>
  </si>
  <si>
    <t>Mark Giordano</t>
  </si>
  <si>
    <t>Giordano</t>
  </si>
  <si>
    <t>22043-14456</t>
  </si>
  <si>
    <t>Mattias</t>
  </si>
  <si>
    <t>Mattias Ekholm</t>
  </si>
  <si>
    <t>Ekholm</t>
  </si>
  <si>
    <t>22043-62723</t>
  </si>
  <si>
    <t>Ondrej</t>
  </si>
  <si>
    <t>Ondrej Kase</t>
  </si>
  <si>
    <t>Kase</t>
  </si>
  <si>
    <t>Upper body</t>
  </si>
  <si>
    <t>22043-14158</t>
  </si>
  <si>
    <t>Brian</t>
  </si>
  <si>
    <t>Brian Gibbons</t>
  </si>
  <si>
    <t>Gibbons</t>
  </si>
  <si>
    <t>22043-70125</t>
  </si>
  <si>
    <t>Kyle Connor</t>
  </si>
  <si>
    <t>22043-15356</t>
  </si>
  <si>
    <t>Dougie</t>
  </si>
  <si>
    <t>Dougie Hamilton</t>
  </si>
  <si>
    <t>22043-40036</t>
  </si>
  <si>
    <t>Tomas Hertl</t>
  </si>
  <si>
    <t>Hertl</t>
  </si>
  <si>
    <t>22043-14473</t>
  </si>
  <si>
    <t>Jakob</t>
  </si>
  <si>
    <t>Jakob Silfverberg</t>
  </si>
  <si>
    <t>Silfverberg</t>
  </si>
  <si>
    <t>22043-8264</t>
  </si>
  <si>
    <t>Dustin</t>
  </si>
  <si>
    <t>Dustin Byfuglien</t>
  </si>
  <si>
    <t>Byfuglien</t>
  </si>
  <si>
    <t>22043-39464</t>
  </si>
  <si>
    <t>Hampus</t>
  </si>
  <si>
    <t>Hampus Lindholm</t>
  </si>
  <si>
    <t>Lindholm</t>
  </si>
  <si>
    <t>22043-59276</t>
  </si>
  <si>
    <t>William</t>
  </si>
  <si>
    <t>William Nylander</t>
  </si>
  <si>
    <t>Nylander</t>
  </si>
  <si>
    <t>22043-8142</t>
  </si>
  <si>
    <t>Corey</t>
  </si>
  <si>
    <t>Corey Perry</t>
  </si>
  <si>
    <t>Perry</t>
  </si>
  <si>
    <t>22043-8714</t>
  </si>
  <si>
    <t>Nicklas</t>
  </si>
  <si>
    <t>Nicklas Backstrom</t>
  </si>
  <si>
    <t>Backstrom</t>
  </si>
  <si>
    <t>22043-42772</t>
  </si>
  <si>
    <t>Josh Anderson</t>
  </si>
  <si>
    <t>22043-14056</t>
  </si>
  <si>
    <t>Cam</t>
  </si>
  <si>
    <t>Cam Atkinson</t>
  </si>
  <si>
    <t>Atkinson</t>
  </si>
  <si>
    <t>22043-8615</t>
  </si>
  <si>
    <t>Joe Pavelski</t>
  </si>
  <si>
    <t>Pavelski</t>
  </si>
  <si>
    <t>22043-43120</t>
  </si>
  <si>
    <t>Anthony Duclair</t>
  </si>
  <si>
    <t>Duclair</t>
  </si>
  <si>
    <t>22043-8202</t>
  </si>
  <si>
    <t>Jason Pominville</t>
  </si>
  <si>
    <t>Pominville</t>
  </si>
  <si>
    <t>22043-39245</t>
  </si>
  <si>
    <t>Jacob Trouba</t>
  </si>
  <si>
    <t>Trouba</t>
  </si>
  <si>
    <t>22043-15251</t>
  </si>
  <si>
    <t>Boone</t>
  </si>
  <si>
    <t>Boone Jenner</t>
  </si>
  <si>
    <t>Jenner</t>
  </si>
  <si>
    <t>22043-80369</t>
  </si>
  <si>
    <t>Jesper</t>
  </si>
  <si>
    <t>Jesper Bratt</t>
  </si>
  <si>
    <t>Bratt</t>
  </si>
  <si>
    <t>22043-8312</t>
  </si>
  <si>
    <t>Steve</t>
  </si>
  <si>
    <t>Steve Mason</t>
  </si>
  <si>
    <t>22043-8746</t>
  </si>
  <si>
    <t>Matt Calvert</t>
  </si>
  <si>
    <t>Calvert</t>
  </si>
  <si>
    <t>22043-9189</t>
  </si>
  <si>
    <t>Mikael</t>
  </si>
  <si>
    <t>Mikael Backlund</t>
  </si>
  <si>
    <t>Backlund</t>
  </si>
  <si>
    <t>22043-8414</t>
  </si>
  <si>
    <t>Mikko</t>
  </si>
  <si>
    <t>Mikko Koivu</t>
  </si>
  <si>
    <t>Koivu</t>
  </si>
  <si>
    <t>22043-23060</t>
  </si>
  <si>
    <t>Tim Heed</t>
  </si>
  <si>
    <t>Heed</t>
  </si>
  <si>
    <t>22043-23041</t>
  </si>
  <si>
    <t>Mikael Granlund</t>
  </si>
  <si>
    <t>Granlund</t>
  </si>
  <si>
    <t>22043-8357</t>
  </si>
  <si>
    <t>Andrew Cogliano</t>
  </si>
  <si>
    <t>Cogliano</t>
  </si>
  <si>
    <t>22043-12448</t>
  </si>
  <si>
    <t>Derek</t>
  </si>
  <si>
    <t>Derek Stepan</t>
  </si>
  <si>
    <t>Stepan</t>
  </si>
  <si>
    <t>22043-54194</t>
  </si>
  <si>
    <t>Josh Manson</t>
  </si>
  <si>
    <t>Manson</t>
  </si>
  <si>
    <t>22043-15239</t>
  </si>
  <si>
    <t>Craig Smith</t>
  </si>
  <si>
    <t>22043-68658</t>
  </si>
  <si>
    <t>Daniel O'Regan</t>
  </si>
  <si>
    <t>O'Regan</t>
  </si>
  <si>
    <t>22043-82075</t>
  </si>
  <si>
    <t>Will Butcher</t>
  </si>
  <si>
    <t>Butcher</t>
  </si>
  <si>
    <t>22043-59120</t>
  </si>
  <si>
    <t>Christian</t>
  </si>
  <si>
    <t>Christian Dvorak</t>
  </si>
  <si>
    <t>Dvorak</t>
  </si>
  <si>
    <t>22043-66683</t>
  </si>
  <si>
    <t>Mitchell Marner</t>
  </si>
  <si>
    <t>Marner</t>
  </si>
  <si>
    <t>22043-70375</t>
  </si>
  <si>
    <t>Nikita</t>
  </si>
  <si>
    <t>Nikita Zaitsev</t>
  </si>
  <si>
    <t>Zaitsev</t>
  </si>
  <si>
    <t>22043-70118</t>
  </si>
  <si>
    <t>Miles Wood</t>
  </si>
  <si>
    <t>Wood</t>
  </si>
  <si>
    <t>22043-9325</t>
  </si>
  <si>
    <t>Patrick Eaves</t>
  </si>
  <si>
    <t>Eaves</t>
  </si>
  <si>
    <t>22043-9990</t>
  </si>
  <si>
    <t>Lars</t>
  </si>
  <si>
    <t>Lars Eller</t>
  </si>
  <si>
    <t>Eller</t>
  </si>
  <si>
    <t>22043-8203</t>
  </si>
  <si>
    <t>Drew</t>
  </si>
  <si>
    <t>Drew Stafford</t>
  </si>
  <si>
    <t>Stafford</t>
  </si>
  <si>
    <t>22043-12299</t>
  </si>
  <si>
    <t>David</t>
  </si>
  <si>
    <t>David Savard</t>
  </si>
  <si>
    <t>Savard</t>
  </si>
  <si>
    <t>22043-14474</t>
  </si>
  <si>
    <t>Sami</t>
  </si>
  <si>
    <t>Sami Vatanen</t>
  </si>
  <si>
    <t>Vatanen</t>
  </si>
  <si>
    <t>22043-8944</t>
  </si>
  <si>
    <t>Chad</t>
  </si>
  <si>
    <t>Chad Johnson</t>
  </si>
  <si>
    <t>22043-42993</t>
  </si>
  <si>
    <t>Rasmus</t>
  </si>
  <si>
    <t>Rasmus Ristolainen</t>
  </si>
  <si>
    <t>Ristolainen</t>
  </si>
  <si>
    <t>22043-8384</t>
  </si>
  <si>
    <t>Michael Frolik</t>
  </si>
  <si>
    <t>Frolik</t>
  </si>
  <si>
    <t>22043-12609</t>
  </si>
  <si>
    <t>Zach Hyman</t>
  </si>
  <si>
    <t>Hyman</t>
  </si>
  <si>
    <t>22043-42773</t>
  </si>
  <si>
    <t>Oliver Bjorkstrand</t>
  </si>
  <si>
    <t>Bjorkstrand</t>
  </si>
  <si>
    <t>22043-11122</t>
  </si>
  <si>
    <t>Nick Bonino</t>
  </si>
  <si>
    <t>Bonino</t>
  </si>
  <si>
    <t>22043-43022</t>
  </si>
  <si>
    <t>Connor Brown</t>
  </si>
  <si>
    <t>22043-8611</t>
  </si>
  <si>
    <t>Alex Goligoski</t>
  </si>
  <si>
    <t>Goligoski</t>
  </si>
  <si>
    <t>22043-8167</t>
  </si>
  <si>
    <t>Ron Hainsey</t>
  </si>
  <si>
    <t>Hainsey</t>
  </si>
  <si>
    <t>22043-41592</t>
  </si>
  <si>
    <t>Max Domi</t>
  </si>
  <si>
    <t>Domi</t>
  </si>
  <si>
    <t>22043-8539</t>
  </si>
  <si>
    <t>Nick Foligno</t>
  </si>
  <si>
    <t>Foligno</t>
  </si>
  <si>
    <t>22043-8502</t>
  </si>
  <si>
    <t>Kyle Okposo</t>
  </si>
  <si>
    <t>Okposo</t>
  </si>
  <si>
    <t>22043-23225</t>
  </si>
  <si>
    <t>Matt Dumba</t>
  </si>
  <si>
    <t>Dumba</t>
  </si>
  <si>
    <t>22043-12843</t>
  </si>
  <si>
    <t>Adam</t>
  </si>
  <si>
    <t>Adam Henrique</t>
  </si>
  <si>
    <t>Henrique</t>
  </si>
  <si>
    <t>22043-9270</t>
  </si>
  <si>
    <t>Jason Demers</t>
  </si>
  <si>
    <t>Demers</t>
  </si>
  <si>
    <t>22043-54743</t>
  </si>
  <si>
    <t>Alexander</t>
  </si>
  <si>
    <t>Alexander Wennberg</t>
  </si>
  <si>
    <t>Wennberg</t>
  </si>
  <si>
    <t>22043-13657</t>
  </si>
  <si>
    <t>Derek Grant</t>
  </si>
  <si>
    <t>22043-59208</t>
  </si>
  <si>
    <t>Kevin Fiala</t>
  </si>
  <si>
    <t>Fiala</t>
  </si>
  <si>
    <t>22043-42984</t>
  </si>
  <si>
    <t>Justin Bailey</t>
  </si>
  <si>
    <t>Bailey</t>
  </si>
  <si>
    <t>22043-62783</t>
  </si>
  <si>
    <t>Joonas Donskoi</t>
  </si>
  <si>
    <t>Donskoi</t>
  </si>
  <si>
    <t>22043-43152</t>
  </si>
  <si>
    <t>Damon</t>
  </si>
  <si>
    <t>Damon Severson</t>
  </si>
  <si>
    <t>Severson</t>
  </si>
  <si>
    <t>22043-8260</t>
  </si>
  <si>
    <t>Kris</t>
  </si>
  <si>
    <t>Kris Versteeg</t>
  </si>
  <si>
    <t>Versteeg</t>
  </si>
  <si>
    <t>22043-8490</t>
  </si>
  <si>
    <t>Andy</t>
  </si>
  <si>
    <t>Andy Greene</t>
  </si>
  <si>
    <t>Greene</t>
  </si>
  <si>
    <t>22043-42981</t>
  </si>
  <si>
    <t>Josh Morrissey</t>
  </si>
  <si>
    <t>Morrissey</t>
  </si>
  <si>
    <t>22043-59118</t>
  </si>
  <si>
    <t>Brendan</t>
  </si>
  <si>
    <t>Brendan Perlini</t>
  </si>
  <si>
    <t>Perlini</t>
  </si>
  <si>
    <t>22043-8628</t>
  </si>
  <si>
    <t>Marc-Edouard</t>
  </si>
  <si>
    <t>Marc-Edouard Vlasic</t>
  </si>
  <si>
    <t>Vlasic</t>
  </si>
  <si>
    <t>22043-8860</t>
  </si>
  <si>
    <t>John Moore</t>
  </si>
  <si>
    <t>22043-58891</t>
  </si>
  <si>
    <t>Kevin Labanc</t>
  </si>
  <si>
    <t>Labanc</t>
  </si>
  <si>
    <t>22043-8515</t>
  </si>
  <si>
    <t>Brandon Dubinsky</t>
  </si>
  <si>
    <t>Dubinsky</t>
  </si>
  <si>
    <t>22043-8562</t>
  </si>
  <si>
    <t>Scott Hartnell</t>
  </si>
  <si>
    <t>Hartnell</t>
  </si>
  <si>
    <t>22043-70117</t>
  </si>
  <si>
    <t>Steven Santini</t>
  </si>
  <si>
    <t>Santini</t>
  </si>
  <si>
    <t>22043-12460</t>
  </si>
  <si>
    <t>Cam Fowler</t>
  </si>
  <si>
    <t>Fowler</t>
  </si>
  <si>
    <t>22043-21895</t>
  </si>
  <si>
    <t>Chris Wagner</t>
  </si>
  <si>
    <t>Wagner</t>
  </si>
  <si>
    <t>22043-8284</t>
  </si>
  <si>
    <t>Chris Stewart</t>
  </si>
  <si>
    <t>Stewart</t>
  </si>
  <si>
    <t>22043-8614</t>
  </si>
  <si>
    <t>Joe Thornton</t>
  </si>
  <si>
    <t>Thornton</t>
  </si>
  <si>
    <t>22043-8295</t>
  </si>
  <si>
    <t>Antoine</t>
  </si>
  <si>
    <t>Antoine Vermette</t>
  </si>
  <si>
    <t>Vermette</t>
  </si>
  <si>
    <t>22043-8972</t>
  </si>
  <si>
    <t>Tyler Bozak</t>
  </si>
  <si>
    <t>Bozak</t>
  </si>
  <si>
    <t>22043-15346</t>
  </si>
  <si>
    <t>Adam Lowry</t>
  </si>
  <si>
    <t>Lowry</t>
  </si>
  <si>
    <t>22043-8903</t>
  </si>
  <si>
    <t>Marco Scandella</t>
  </si>
  <si>
    <t>Scandella</t>
  </si>
  <si>
    <t>22043-8420</t>
  </si>
  <si>
    <t>Benoit</t>
  </si>
  <si>
    <t>Benoit Pouliot</t>
  </si>
  <si>
    <t>Pouliot</t>
  </si>
  <si>
    <t>22043-58985</t>
  </si>
  <si>
    <t>Jakub</t>
  </si>
  <si>
    <t>Jakub Vrana</t>
  </si>
  <si>
    <t>Vrana</t>
  </si>
  <si>
    <t>22043-42983</t>
  </si>
  <si>
    <t>Joel Armia</t>
  </si>
  <si>
    <t>Armia</t>
  </si>
  <si>
    <t>22043-9145</t>
  </si>
  <si>
    <t>Ben Lovejoy</t>
  </si>
  <si>
    <t>Lovejoy</t>
  </si>
  <si>
    <t>22043-58977</t>
  </si>
  <si>
    <t>Sonny</t>
  </si>
  <si>
    <t>Sonny Milano</t>
  </si>
  <si>
    <t>Milano</t>
  </si>
  <si>
    <t>22043-68644</t>
  </si>
  <si>
    <t>Mark Jankowski</t>
  </si>
  <si>
    <t>Jankowski</t>
  </si>
  <si>
    <t>22043-8211</t>
  </si>
  <si>
    <t>Tyler Myers</t>
  </si>
  <si>
    <t>Myers</t>
  </si>
  <si>
    <t>22043-55375</t>
  </si>
  <si>
    <t>Sam Reinhart</t>
  </si>
  <si>
    <t>Reinhart</t>
  </si>
  <si>
    <t>22043-12220</t>
  </si>
  <si>
    <t>Marcus Johansson</t>
  </si>
  <si>
    <t>Johansson</t>
  </si>
  <si>
    <t>Concussion</t>
  </si>
  <si>
    <t>22043-66620</t>
  </si>
  <si>
    <t>Christian Fischer</t>
  </si>
  <si>
    <t>Fischer</t>
  </si>
  <si>
    <t>22043-12592</t>
  </si>
  <si>
    <t>Ryan Johansen</t>
  </si>
  <si>
    <t>Johansen</t>
  </si>
  <si>
    <t>22043-42705</t>
  </si>
  <si>
    <t>Colton</t>
  </si>
  <si>
    <t>Colton Sissons</t>
  </si>
  <si>
    <t>Sissons</t>
  </si>
  <si>
    <t>22043-68667</t>
  </si>
  <si>
    <t>Tyler Motte</t>
  </si>
  <si>
    <t>Motte</t>
  </si>
  <si>
    <t>22043-42833</t>
  </si>
  <si>
    <t>Andre Burakovsky</t>
  </si>
  <si>
    <t>Burakovsky</t>
  </si>
  <si>
    <t>22043-14561</t>
  </si>
  <si>
    <t>Jaromir</t>
  </si>
  <si>
    <t>Jaromir Jagr</t>
  </si>
  <si>
    <t>Jagr</t>
  </si>
  <si>
    <t>22043-39405</t>
  </si>
  <si>
    <t>Miikka</t>
  </si>
  <si>
    <t>Miikka Salomaki</t>
  </si>
  <si>
    <t>Salomaki</t>
  </si>
  <si>
    <t>22043-70914</t>
  </si>
  <si>
    <t>Jakob Chychrun</t>
  </si>
  <si>
    <t>Chychrun</t>
  </si>
  <si>
    <t>22043-39235</t>
  </si>
  <si>
    <t>Chris Tierney</t>
  </si>
  <si>
    <t>Tierney</t>
  </si>
  <si>
    <t>22043-66690</t>
  </si>
  <si>
    <t>Timo</t>
  </si>
  <si>
    <t>Timo Meier</t>
  </si>
  <si>
    <t>Meier</t>
  </si>
  <si>
    <t>22043-59117</t>
  </si>
  <si>
    <t>Nick Ritchie</t>
  </si>
  <si>
    <t>Ritchie</t>
  </si>
  <si>
    <t>22043-54867</t>
  </si>
  <si>
    <t>Melker</t>
  </si>
  <si>
    <t>Melker Karlsson</t>
  </si>
  <si>
    <t>Karlsson</t>
  </si>
  <si>
    <t>22043-8270</t>
  </si>
  <si>
    <t>Niklas</t>
  </si>
  <si>
    <t>Niklas Hjalmarsson</t>
  </si>
  <si>
    <t>Hjalmarsson</t>
  </si>
  <si>
    <t>22043-11410</t>
  </si>
  <si>
    <t>Justin Braun</t>
  </si>
  <si>
    <t>Braun</t>
  </si>
  <si>
    <t>22043-12952</t>
  </si>
  <si>
    <t>Jake Gardiner</t>
  </si>
  <si>
    <t>Gardiner</t>
  </si>
  <si>
    <t>22043-13472</t>
  </si>
  <si>
    <t>Dmitry</t>
  </si>
  <si>
    <t>Dmitry Orlov</t>
  </si>
  <si>
    <t>Orlov</t>
  </si>
  <si>
    <t>22043-12645</t>
  </si>
  <si>
    <t>Devante</t>
  </si>
  <si>
    <t>Devante Smith-Pelly</t>
  </si>
  <si>
    <t>Smith-Pelly</t>
  </si>
  <si>
    <t>22043-59246</t>
  </si>
  <si>
    <t>John Quenneville</t>
  </si>
  <si>
    <t>Quenneville</t>
  </si>
  <si>
    <t>22043-70416</t>
  </si>
  <si>
    <t>Markus</t>
  </si>
  <si>
    <t>Markus Nutivaara</t>
  </si>
  <si>
    <t>Nutivaara</t>
  </si>
  <si>
    <t>22043-8328</t>
  </si>
  <si>
    <t>Matt Niskanen</t>
  </si>
  <si>
    <t>Niskanen</t>
  </si>
  <si>
    <t>22043-14469</t>
  </si>
  <si>
    <t>Freddie</t>
  </si>
  <si>
    <t>Freddie Hamilton</t>
  </si>
  <si>
    <t>22043-8169</t>
  </si>
  <si>
    <t>Zach Bogosian</t>
  </si>
  <si>
    <t>Bogosian</t>
  </si>
  <si>
    <t>22043-9390</t>
  </si>
  <si>
    <t>Dominic</t>
  </si>
  <si>
    <t>Dominic Moore</t>
  </si>
  <si>
    <t>22043-23061</t>
  </si>
  <si>
    <t>Calle</t>
  </si>
  <si>
    <t>Calle Jarnkrok</t>
  </si>
  <si>
    <t>Jarnkrok</t>
  </si>
  <si>
    <t>22043-14149</t>
  </si>
  <si>
    <t>Jimmy Hayes</t>
  </si>
  <si>
    <t>Hayes</t>
  </si>
  <si>
    <t>22043-66600</t>
  </si>
  <si>
    <t>Blake Coleman</t>
  </si>
  <si>
    <t>Coleman</t>
  </si>
  <si>
    <t>22043-39146</t>
  </si>
  <si>
    <t>Tobias Rieder</t>
  </si>
  <si>
    <t>Rieder</t>
  </si>
  <si>
    <t>22043-8410</t>
  </si>
  <si>
    <t>Jack Johnson</t>
  </si>
  <si>
    <t>22043-70913</t>
  </si>
  <si>
    <t>Luke Kunin</t>
  </si>
  <si>
    <t>Kunin</t>
  </si>
  <si>
    <t>22043-11150</t>
  </si>
  <si>
    <t>Marcus Foligno</t>
  </si>
  <si>
    <t>22043-21936</t>
  </si>
  <si>
    <t>Dylan</t>
  </si>
  <si>
    <t>Dylan DeMelo</t>
  </si>
  <si>
    <t>DeMelo</t>
  </si>
  <si>
    <t>22043-43140</t>
  </si>
  <si>
    <t>Barclay</t>
  </si>
  <si>
    <t>Barclay Goodrow</t>
  </si>
  <si>
    <t>Goodrow</t>
  </si>
  <si>
    <t>Undisclosed</t>
  </si>
  <si>
    <t>22043-23069</t>
  </si>
  <si>
    <t>Adam Clendening</t>
  </si>
  <si>
    <t>Clendening</t>
  </si>
  <si>
    <t>22043-23054</t>
  </si>
  <si>
    <t>Leo</t>
  </si>
  <si>
    <t>Leo Komarov</t>
  </si>
  <si>
    <t>Komarov</t>
  </si>
  <si>
    <t>22043-8162</t>
  </si>
  <si>
    <t>Bryan</t>
  </si>
  <si>
    <t>Bryan Little</t>
  </si>
  <si>
    <t>Little</t>
  </si>
  <si>
    <t>22043-15252</t>
  </si>
  <si>
    <t>Lukas</t>
  </si>
  <si>
    <t>Lukas Sedlak</t>
  </si>
  <si>
    <t>Sedlak</t>
  </si>
  <si>
    <t>22043-8687</t>
  </si>
  <si>
    <t>Francois</t>
  </si>
  <si>
    <t>Francois Beauchemin</t>
  </si>
  <si>
    <t>Beauchemin</t>
  </si>
  <si>
    <t>22043-9006</t>
  </si>
  <si>
    <t>Tyler Ennis</t>
  </si>
  <si>
    <t>Ennis</t>
  </si>
  <si>
    <t>22043-9121</t>
  </si>
  <si>
    <t>Matt Hendricks</t>
  </si>
  <si>
    <t>Hendricks</t>
  </si>
  <si>
    <t>22043-23286</t>
  </si>
  <si>
    <t>Ryan Murray</t>
  </si>
  <si>
    <t>22043-62158</t>
  </si>
  <si>
    <t>Joakim Ryan</t>
  </si>
  <si>
    <t>22043-23226</t>
  </si>
  <si>
    <t>Tom</t>
  </si>
  <si>
    <t>Tom Wilson</t>
  </si>
  <si>
    <t>22043-42839</t>
  </si>
  <si>
    <t>Chandler Stephenson</t>
  </si>
  <si>
    <t>22043-8878</t>
  </si>
  <si>
    <t>Dmitry Kulikov</t>
  </si>
  <si>
    <t>Kulikov</t>
  </si>
  <si>
    <t>22043-62442</t>
  </si>
  <si>
    <t>Markus Hannikainen</t>
  </si>
  <si>
    <t>Hannikainen</t>
  </si>
  <si>
    <t>22043-42842</t>
  </si>
  <si>
    <t>Madison</t>
  </si>
  <si>
    <t>Madison Bowey</t>
  </si>
  <si>
    <t>Bowey</t>
  </si>
  <si>
    <t>22043-73949</t>
  </si>
  <si>
    <t>Joel Eriksson Ek</t>
  </si>
  <si>
    <t>Eriksson Ek</t>
  </si>
  <si>
    <t>22043-8459</t>
  </si>
  <si>
    <t>Joel Ward</t>
  </si>
  <si>
    <t>Ward</t>
  </si>
  <si>
    <t>22043-11387</t>
  </si>
  <si>
    <t>Matt Irwin</t>
  </si>
  <si>
    <t>Irwin</t>
  </si>
  <si>
    <t>22043-66411</t>
  </si>
  <si>
    <t>Juuse</t>
  </si>
  <si>
    <t>Juuse Saros</t>
  </si>
  <si>
    <t>Saros</t>
  </si>
  <si>
    <t>22043-8397</t>
  </si>
  <si>
    <t>Brad</t>
  </si>
  <si>
    <t>Brad Richardson</t>
  </si>
  <si>
    <t>22043-8607</t>
  </si>
  <si>
    <t>Brooks Orpik</t>
  </si>
  <si>
    <t>Orpik</t>
  </si>
  <si>
    <t>22043-13406</t>
  </si>
  <si>
    <t>Brenden</t>
  </si>
  <si>
    <t>Brenden Dillon</t>
  </si>
  <si>
    <t>22043-23438</t>
  </si>
  <si>
    <t>Jonas Brodin</t>
  </si>
  <si>
    <t>Brodin</t>
  </si>
  <si>
    <t>22043-39395</t>
  </si>
  <si>
    <t>Logan Shaw</t>
  </si>
  <si>
    <t>Shaw</t>
  </si>
  <si>
    <t>22043-8584</t>
  </si>
  <si>
    <t>Mikkel</t>
  </si>
  <si>
    <t>Mikkel Boedker</t>
  </si>
  <si>
    <t>Boedker</t>
  </si>
  <si>
    <t>22043-80399</t>
  </si>
  <si>
    <t>Andreas</t>
  </si>
  <si>
    <t>Andreas Borgman</t>
  </si>
  <si>
    <t>Borgman</t>
  </si>
  <si>
    <t>22043-21732</t>
  </si>
  <si>
    <t>Anthony Bitetto</t>
  </si>
  <si>
    <t>Bitetto</t>
  </si>
  <si>
    <t>22043-68646</t>
  </si>
  <si>
    <t>Brandon Tanev</t>
  </si>
  <si>
    <t>Tanev</t>
  </si>
  <si>
    <t>22043-8580</t>
  </si>
  <si>
    <t>Daniel Winnik</t>
  </si>
  <si>
    <t>Winnik</t>
  </si>
  <si>
    <t>22043-14184</t>
  </si>
  <si>
    <t>Martin Marincin</t>
  </si>
  <si>
    <t>Marincin</t>
  </si>
  <si>
    <t>22043-8956</t>
  </si>
  <si>
    <t>Michael Stone</t>
  </si>
  <si>
    <t>22043-53393</t>
  </si>
  <si>
    <t>Zack</t>
  </si>
  <si>
    <t>Zack Mitchell</t>
  </si>
  <si>
    <t>22043-65970</t>
  </si>
  <si>
    <t>Pavel</t>
  </si>
  <si>
    <t>Pavel Zacha</t>
  </si>
  <si>
    <t>Zacha</t>
  </si>
  <si>
    <t>22043-9036</t>
  </si>
  <si>
    <t>Travis</t>
  </si>
  <si>
    <t>Travis Hamonic</t>
  </si>
  <si>
    <t>Hamonic</t>
  </si>
  <si>
    <t>22043-42844</t>
  </si>
  <si>
    <t>Connor Carrick</t>
  </si>
  <si>
    <t>Carrick</t>
  </si>
  <si>
    <t>22043-62445</t>
  </si>
  <si>
    <t>Evan Rodrigues</t>
  </si>
  <si>
    <t>Rodrigues</t>
  </si>
  <si>
    <t>22043-15302</t>
  </si>
  <si>
    <t>Nathan</t>
  </si>
  <si>
    <t>Nathan Beaulieu</t>
  </si>
  <si>
    <t>Beaulieu</t>
  </si>
  <si>
    <t>22043-15307</t>
  </si>
  <si>
    <t>Nick Cousins</t>
  </si>
  <si>
    <t>22043-9230</t>
  </si>
  <si>
    <t>Cameron</t>
  </si>
  <si>
    <t>Cameron Gaunce</t>
  </si>
  <si>
    <t>Gaunce</t>
  </si>
  <si>
    <t>22043-12697</t>
  </si>
  <si>
    <t>Philipp</t>
  </si>
  <si>
    <t>Philipp Grubauer</t>
  </si>
  <si>
    <t>Grubauer</t>
  </si>
  <si>
    <t>22043-8895</t>
  </si>
  <si>
    <t>Justin Falk</t>
  </si>
  <si>
    <t>Falk</t>
  </si>
  <si>
    <t>22043-70116</t>
  </si>
  <si>
    <t>Kevin Roy</t>
  </si>
  <si>
    <t>Roy</t>
  </si>
  <si>
    <t>22043-66656</t>
  </si>
  <si>
    <t>Mike Reilly</t>
  </si>
  <si>
    <t>Reilly</t>
  </si>
  <si>
    <t>22043-8923</t>
  </si>
  <si>
    <t>Taylor Chorney</t>
  </si>
  <si>
    <t>Chorney</t>
  </si>
  <si>
    <t>22043-13629</t>
  </si>
  <si>
    <t>Taylor Fedun</t>
  </si>
  <si>
    <t>Fedun</t>
  </si>
  <si>
    <t>22043-8517</t>
  </si>
  <si>
    <t>Brian Boyle</t>
  </si>
  <si>
    <t>Boyle</t>
  </si>
  <si>
    <t>22043-38289</t>
  </si>
  <si>
    <t>Steve Oleksy</t>
  </si>
  <si>
    <t>Oleksy</t>
  </si>
  <si>
    <t>22043-43167</t>
  </si>
  <si>
    <t>Mirco</t>
  </si>
  <si>
    <t>Mirco Mueller</t>
  </si>
  <si>
    <t>Mueller</t>
  </si>
  <si>
    <t>Collarbone</t>
  </si>
  <si>
    <t>22043-15318</t>
  </si>
  <si>
    <t>Julian</t>
  </si>
  <si>
    <t>Julian Melchiori</t>
  </si>
  <si>
    <t>Melchiori</t>
  </si>
  <si>
    <t>22043-80391</t>
  </si>
  <si>
    <t>Mario Kempe</t>
  </si>
  <si>
    <t>Kempe</t>
  </si>
  <si>
    <t>22043-54481</t>
  </si>
  <si>
    <t>Jake McCabe</t>
  </si>
  <si>
    <t>McCabe</t>
  </si>
  <si>
    <t>22043-62157</t>
  </si>
  <si>
    <t>Andrew Copp</t>
  </si>
  <si>
    <t>Copp</t>
  </si>
  <si>
    <t>22043-68651</t>
  </si>
  <si>
    <t>Kalle</t>
  </si>
  <si>
    <t>Kalle Kossila</t>
  </si>
  <si>
    <t>Kossila</t>
  </si>
  <si>
    <t>22043-14481</t>
  </si>
  <si>
    <t>Alexei</t>
  </si>
  <si>
    <t>Alexei Emelin</t>
  </si>
  <si>
    <t>Emelin</t>
  </si>
  <si>
    <t>22043-8650</t>
  </si>
  <si>
    <t>Roman Polak</t>
  </si>
  <si>
    <t>Polak</t>
  </si>
  <si>
    <t>22043-15255</t>
  </si>
  <si>
    <t>Josh Leivo</t>
  </si>
  <si>
    <t>Leivo</t>
  </si>
  <si>
    <t>22043-14159</t>
  </si>
  <si>
    <t>Zach Redmond</t>
  </si>
  <si>
    <t>Redmond</t>
  </si>
  <si>
    <t>22043-9196</t>
  </si>
  <si>
    <t>Matt Martin</t>
  </si>
  <si>
    <t>22043-8287</t>
  </si>
  <si>
    <t>Kyle Quincey</t>
  </si>
  <si>
    <t>Quincey</t>
  </si>
  <si>
    <t>22043-70552</t>
  </si>
  <si>
    <t>Marcus Sorensen</t>
  </si>
  <si>
    <t>Sorensen</t>
  </si>
  <si>
    <t>22043-59209</t>
  </si>
  <si>
    <t>Frederick</t>
  </si>
  <si>
    <t>Frederick Gaudreau</t>
  </si>
  <si>
    <t>22043-70225</t>
  </si>
  <si>
    <t>Gabriel</t>
  </si>
  <si>
    <t>Gabriel Carlsson</t>
  </si>
  <si>
    <t>Carlsson</t>
  </si>
  <si>
    <t>22043-14151</t>
  </si>
  <si>
    <t>Austin Watson</t>
  </si>
  <si>
    <t>Watson</t>
  </si>
  <si>
    <t>Suspension</t>
  </si>
  <si>
    <t>22043-23222</t>
  </si>
  <si>
    <t>Zemgus</t>
  </si>
  <si>
    <t>Zemgus Girgensons</t>
  </si>
  <si>
    <t>Girgensons</t>
  </si>
  <si>
    <t>22043-8236</t>
  </si>
  <si>
    <t>Matt Cullen</t>
  </si>
  <si>
    <t>Cullen</t>
  </si>
  <si>
    <t>22043-12121</t>
  </si>
  <si>
    <t>Cody Goloubef</t>
  </si>
  <si>
    <t>Goloubef</t>
  </si>
  <si>
    <t>22043-54744</t>
  </si>
  <si>
    <t>Christian Djoos</t>
  </si>
  <si>
    <t>Djoos</t>
  </si>
  <si>
    <t>22043-8688</t>
  </si>
  <si>
    <t>Luke Schenn</t>
  </si>
  <si>
    <t>Schenn</t>
  </si>
  <si>
    <t>22043-70906</t>
  </si>
  <si>
    <t>Alexander Nylander</t>
  </si>
  <si>
    <t>22043-12094</t>
  </si>
  <si>
    <t>Kevin Connauton</t>
  </si>
  <si>
    <t>Connauton</t>
  </si>
  <si>
    <t>22043-80376</t>
  </si>
  <si>
    <t>Victor Antipin</t>
  </si>
  <si>
    <t>Antipin</t>
  </si>
  <si>
    <t>22043-9014</t>
  </si>
  <si>
    <t>Jay</t>
  </si>
  <si>
    <t>Jay Beagle</t>
  </si>
  <si>
    <t>Beagle</t>
  </si>
  <si>
    <t>22043-8711</t>
  </si>
  <si>
    <t>Kevin Bieksa</t>
  </si>
  <si>
    <t>Bieksa</t>
  </si>
  <si>
    <t>22043-12449</t>
  </si>
  <si>
    <t>Brett</t>
  </si>
  <si>
    <t>Brett Connolly</t>
  </si>
  <si>
    <t>Connolly</t>
  </si>
  <si>
    <t>22043-70901</t>
  </si>
  <si>
    <t>Pierre-Luc</t>
  </si>
  <si>
    <t>Pierre-Luc Dubois</t>
  </si>
  <si>
    <t>Dubois</t>
  </si>
  <si>
    <t>22043-8587</t>
  </si>
  <si>
    <t>Zbynek</t>
  </si>
  <si>
    <t>Zbynek Michalek</t>
  </si>
  <si>
    <t>Michalek</t>
  </si>
  <si>
    <t>22043-43008</t>
  </si>
  <si>
    <t>Jordan Martinook</t>
  </si>
  <si>
    <t>Martinook</t>
  </si>
  <si>
    <t>22043-68609</t>
  </si>
  <si>
    <t>Nick Lappin</t>
  </si>
  <si>
    <t>Lappin</t>
  </si>
  <si>
    <t>22043-12732</t>
  </si>
  <si>
    <t>Michael Sgarbossa</t>
  </si>
  <si>
    <t>Sgarbossa</t>
  </si>
  <si>
    <t>22043-21755</t>
  </si>
  <si>
    <t>Alex Chiasson</t>
  </si>
  <si>
    <t>Chiasson</t>
  </si>
  <si>
    <t>22043-58332</t>
  </si>
  <si>
    <t>Sam Bennett</t>
  </si>
  <si>
    <t>Bennett</t>
  </si>
  <si>
    <t>22043-15286</t>
  </si>
  <si>
    <t>Stefan</t>
  </si>
  <si>
    <t>Stefan Noesen</t>
  </si>
  <si>
    <t>Noesen</t>
  </si>
  <si>
    <t>22043-21735</t>
  </si>
  <si>
    <t>Matt Tennyson</t>
  </si>
  <si>
    <t>Tennyson</t>
  </si>
  <si>
    <t>22043-43024</t>
  </si>
  <si>
    <t>Frederik Gauthier</t>
  </si>
  <si>
    <t>Gauthier</t>
  </si>
  <si>
    <t>22043-14462</t>
  </si>
  <si>
    <t>Johan</t>
  </si>
  <si>
    <t>Johan Larsson</t>
  </si>
  <si>
    <t>Larsson</t>
  </si>
  <si>
    <t>22043-8168</t>
  </si>
  <si>
    <t>Toby</t>
  </si>
  <si>
    <t>Toby Enstrom</t>
  </si>
  <si>
    <t>Enstrom</t>
  </si>
  <si>
    <t>22043-79881</t>
  </si>
  <si>
    <t>Tucker</t>
  </si>
  <si>
    <t>Tucker Poolman</t>
  </si>
  <si>
    <t>Poolman</t>
  </si>
  <si>
    <t>22043-58686</t>
  </si>
  <si>
    <t>Kasperi</t>
  </si>
  <si>
    <t>Kasperi Kapanen</t>
  </si>
  <si>
    <t>Kapanen</t>
  </si>
  <si>
    <t>22043-54947</t>
  </si>
  <si>
    <t>Dennis Rasmussen</t>
  </si>
  <si>
    <t>Rasmussen</t>
  </si>
  <si>
    <t>22043-8451</t>
  </si>
  <si>
    <t>Josh Gorges</t>
  </si>
  <si>
    <t>Gorges</t>
  </si>
  <si>
    <t>22043-39349</t>
  </si>
  <si>
    <t>Reto</t>
  </si>
  <si>
    <t>Reto Berra</t>
  </si>
  <si>
    <t>Berra</t>
  </si>
  <si>
    <t>22043-11237</t>
  </si>
  <si>
    <t>Zac</t>
  </si>
  <si>
    <t>Zac Rinaldo</t>
  </si>
  <si>
    <t>Rinaldo</t>
  </si>
  <si>
    <t>22043-54577</t>
  </si>
  <si>
    <t>Pontus</t>
  </si>
  <si>
    <t>Pontus Aberg</t>
  </si>
  <si>
    <t>Aberg</t>
  </si>
  <si>
    <t>22043-11162</t>
  </si>
  <si>
    <t>Zac Dalpe</t>
  </si>
  <si>
    <t>Dalpe</t>
  </si>
  <si>
    <t>22043-39271</t>
  </si>
  <si>
    <t>Seth Griffith</t>
  </si>
  <si>
    <t>Griffith</t>
  </si>
  <si>
    <t>22043-9293</t>
  </si>
  <si>
    <t>Troy</t>
  </si>
  <si>
    <t>Troy Brouwer</t>
  </si>
  <si>
    <t>Brouwer</t>
  </si>
  <si>
    <t>22043-9330</t>
  </si>
  <si>
    <t>Yannick</t>
  </si>
  <si>
    <t>Yannick Weber</t>
  </si>
  <si>
    <t>Weber</t>
  </si>
  <si>
    <t>22043-42962</t>
  </si>
  <si>
    <t>Brett Kulak</t>
  </si>
  <si>
    <t>Kulak</t>
  </si>
  <si>
    <t>22043-8475</t>
  </si>
  <si>
    <t>Travis Zajac</t>
  </si>
  <si>
    <t>Zajac</t>
  </si>
  <si>
    <t>22043-12601</t>
  </si>
  <si>
    <t>Dalton</t>
  </si>
  <si>
    <t>Dalton Prout</t>
  </si>
  <si>
    <t>Prout</t>
  </si>
  <si>
    <t>22043-11277</t>
  </si>
  <si>
    <t>Jordan Schroeder</t>
  </si>
  <si>
    <t>Schroeder</t>
  </si>
  <si>
    <t>22043-8811</t>
  </si>
  <si>
    <t>Jannik</t>
  </si>
  <si>
    <t>Jannik Hansen</t>
  </si>
  <si>
    <t>Hansen</t>
  </si>
  <si>
    <t>22043-62817</t>
  </si>
  <si>
    <t>Blake Pietila</t>
  </si>
  <si>
    <t>Pietila</t>
  </si>
  <si>
    <t>22043-8879</t>
  </si>
  <si>
    <t>Shawn</t>
  </si>
  <si>
    <t>Shawn Matthias</t>
  </si>
  <si>
    <t>Matthias</t>
  </si>
  <si>
    <t>22043-42860</t>
  </si>
  <si>
    <t>Curtis Lazar</t>
  </si>
  <si>
    <t>Lazar</t>
  </si>
  <si>
    <t>22043-62254</t>
  </si>
  <si>
    <t>Kyle Rau</t>
  </si>
  <si>
    <t>Rau</t>
  </si>
  <si>
    <t>22043-54200</t>
  </si>
  <si>
    <t>Ryan Carpenter</t>
  </si>
  <si>
    <t>Carpenter</t>
  </si>
  <si>
    <t>22043-58678</t>
  </si>
  <si>
    <t>Brendan Lemieux</t>
  </si>
  <si>
    <t>Lemieux</t>
  </si>
  <si>
    <t>22043-8675</t>
  </si>
  <si>
    <t>Matt Stajan</t>
  </si>
  <si>
    <t>Stajan</t>
  </si>
  <si>
    <t>22043-12192</t>
  </si>
  <si>
    <t>Jacob Josefson</t>
  </si>
  <si>
    <t>Josefson</t>
  </si>
  <si>
    <t>22043-42841</t>
  </si>
  <si>
    <t>Nathan Walker</t>
  </si>
  <si>
    <t>22043-12266</t>
  </si>
  <si>
    <t>Korbinian</t>
  </si>
  <si>
    <t>Korbinian Holzer</t>
  </si>
  <si>
    <t>Holzer</t>
  </si>
  <si>
    <t>22043-66616</t>
  </si>
  <si>
    <t>Dakota</t>
  </si>
  <si>
    <t>Dakota Mermis</t>
  </si>
  <si>
    <t>Mermis</t>
  </si>
  <si>
    <t>22043-8486</t>
  </si>
  <si>
    <t>Paul Martin</t>
  </si>
  <si>
    <t>22043-66710</t>
  </si>
  <si>
    <t>Joel Hanley</t>
  </si>
  <si>
    <t>Hanley</t>
  </si>
  <si>
    <t>22043-9393</t>
  </si>
  <si>
    <t>Eric Fehr</t>
  </si>
  <si>
    <t>Fehr</t>
  </si>
  <si>
    <t>22043-65969</t>
  </si>
  <si>
    <t>Dylan Strome</t>
  </si>
  <si>
    <t>Strome</t>
  </si>
  <si>
    <t>22043-12120</t>
  </si>
  <si>
    <t>Matt Bartkowski</t>
  </si>
  <si>
    <t>Bartkowski</t>
  </si>
  <si>
    <t>22043-8304</t>
  </si>
  <si>
    <t>Jared Boll</t>
  </si>
  <si>
    <t>Boll</t>
  </si>
  <si>
    <t>22043-8791</t>
  </si>
  <si>
    <t>Matt Moulson</t>
  </si>
  <si>
    <t>Moulson</t>
  </si>
  <si>
    <t>22043-23044</t>
  </si>
  <si>
    <t>Petter</t>
  </si>
  <si>
    <t>Petter Granberg</t>
  </si>
  <si>
    <t>Granberg</t>
  </si>
  <si>
    <t>22043-8278</t>
  </si>
  <si>
    <t>Cody McLeod</t>
  </si>
  <si>
    <t>McLeod</t>
  </si>
  <si>
    <t>22043-66688</t>
  </si>
  <si>
    <t>Rasmus Andersson</t>
  </si>
  <si>
    <t>Andersson</t>
  </si>
  <si>
    <t>22043-42985</t>
  </si>
  <si>
    <t>Nicholas</t>
  </si>
  <si>
    <t>Nicholas Baptiste</t>
  </si>
  <si>
    <t>Baptiste</t>
  </si>
  <si>
    <t>22043-12738</t>
  </si>
  <si>
    <t>Jordan Nolan</t>
  </si>
  <si>
    <t>Nolan</t>
  </si>
  <si>
    <t>22043-11370</t>
  </si>
  <si>
    <t>Eddie</t>
  </si>
  <si>
    <t>Eddie Lack</t>
  </si>
  <si>
    <t>Lack</t>
  </si>
  <si>
    <t>22043-70565</t>
  </si>
  <si>
    <t>Jacob Larsson</t>
  </si>
  <si>
    <t>22043-54110</t>
  </si>
  <si>
    <t>Gustav</t>
  </si>
  <si>
    <t>Gustav Olofsson</t>
  </si>
  <si>
    <t>Olofsson</t>
  </si>
  <si>
    <t>22043-8866</t>
  </si>
  <si>
    <t>Cody Bass</t>
  </si>
  <si>
    <t>Bass</t>
  </si>
  <si>
    <t>22043-8581</t>
  </si>
  <si>
    <t>Kevin Porter</t>
  </si>
  <si>
    <t>Porter</t>
  </si>
  <si>
    <t>22043-58983</t>
  </si>
  <si>
    <t>Liam</t>
  </si>
  <si>
    <t>Liam O'Brien</t>
  </si>
  <si>
    <t>O'Brien</t>
  </si>
  <si>
    <t>22043-15298</t>
  </si>
  <si>
    <t>Tyler Graovac</t>
  </si>
  <si>
    <t>Graovac</t>
  </si>
  <si>
    <t>22043-53527</t>
  </si>
  <si>
    <t>Marko</t>
  </si>
  <si>
    <t>Marko Dano</t>
  </si>
  <si>
    <t>Dano</t>
  </si>
  <si>
    <t>22043-80454</t>
  </si>
  <si>
    <t>Matiss</t>
  </si>
  <si>
    <t>Matiss Kivlenieks</t>
  </si>
  <si>
    <t>Kivlenieks</t>
  </si>
  <si>
    <t>22043-79885</t>
  </si>
  <si>
    <t>Nick DeSimone</t>
  </si>
  <si>
    <t>DeSimone</t>
  </si>
  <si>
    <t>22043-15374</t>
  </si>
  <si>
    <t>Scott Harrington</t>
  </si>
  <si>
    <t>Harrington</t>
  </si>
  <si>
    <t>22043-68663</t>
  </si>
  <si>
    <t>Andy Welinski</t>
  </si>
  <si>
    <t>Welinski</t>
  </si>
  <si>
    <t>22043-13742</t>
  </si>
  <si>
    <t>Ben Chiarot</t>
  </si>
  <si>
    <t>Chiarot</t>
  </si>
  <si>
    <t>22043-62019</t>
  </si>
  <si>
    <t>Nikita Soshnikov</t>
  </si>
  <si>
    <t>Soshnikov</t>
  </si>
  <si>
    <t>22043-73897</t>
  </si>
  <si>
    <t>Cliff</t>
  </si>
  <si>
    <t>Cliff Pu</t>
  </si>
  <si>
    <t>Pu</t>
  </si>
  <si>
    <t>22043-10929</t>
  </si>
  <si>
    <t>Anthony Peluso</t>
  </si>
  <si>
    <t>Peluso</t>
  </si>
  <si>
    <t>22043-70910</t>
  </si>
  <si>
    <t>Michael McLeod</t>
  </si>
  <si>
    <t>22043-82198</t>
  </si>
  <si>
    <t>Mark Kastelic</t>
  </si>
  <si>
    <t>Kastelic</t>
  </si>
  <si>
    <t>22043-14160</t>
  </si>
  <si>
    <t>Mike Sislo</t>
  </si>
  <si>
    <t>Sislo</t>
  </si>
  <si>
    <t>22043-12643</t>
  </si>
  <si>
    <t>Emerson</t>
  </si>
  <si>
    <t>Emerson Etem</t>
  </si>
  <si>
    <t>Etem</t>
  </si>
  <si>
    <t>22043-8139</t>
  </si>
  <si>
    <t>Joffrey Lupul</t>
  </si>
  <si>
    <t>Lupul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</si>
</sst>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2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95250</xdr:rowOff>
        </xdr:from>
        <xdr:to>
          <xdr:col>7</xdr:col>
          <xdr:colOff>1066800</xdr:colOff>
          <xdr:row>9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28575</xdr:rowOff>
        </xdr:from>
        <xdr:to>
          <xdr:col>5</xdr:col>
          <xdr:colOff>638175</xdr:colOff>
          <xdr:row>8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30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zoomScale="90" zoomScaleNormal="90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3" max="13" width="11.42578125" bestFit="1" customWidth="1"/>
    <col min="14" max="14" width="17.28515625" bestFit="1" customWidth="1"/>
    <col min="15" max="15" width="12.140625" bestFit="1" customWidth="1"/>
  </cols>
  <sheetData>
    <row r="1" spans="1:19" x14ac:dyDescent="0.25">
      <c r="A1" t="s">
        <v>0</v>
      </c>
      <c r="B1" t="s">
        <v>6</v>
      </c>
      <c r="C1" t="s">
        <v>7</v>
      </c>
      <c r="D1" t="s">
        <v>2</v>
      </c>
      <c r="E1" t="s">
        <v>3</v>
      </c>
      <c r="F1" t="s">
        <v>4</v>
      </c>
      <c r="G1" t="s">
        <v>5</v>
      </c>
      <c r="H1" t="s">
        <v>1</v>
      </c>
      <c r="I1" t="s">
        <v>130</v>
      </c>
      <c r="J1" t="s">
        <v>131</v>
      </c>
      <c r="K1" t="s">
        <v>132</v>
      </c>
      <c r="M1" t="s">
        <v>0</v>
      </c>
      <c r="N1" t="s">
        <v>8</v>
      </c>
      <c r="O1" t="s">
        <v>9</v>
      </c>
      <c r="S1">
        <v>8</v>
      </c>
    </row>
    <row r="2" spans="1:19" x14ac:dyDescent="0.25">
      <c r="A2" s="1" t="str">
        <f>IF(C2=1,D2,0)</f>
        <v>G</v>
      </c>
      <c r="B2" s="1" t="str">
        <f>IF(C2=0,0,A2&amp;" "&amp;COUNTIF($A$1:$A2,A2))</f>
        <v>G 1</v>
      </c>
      <c r="C2" s="1">
        <v>1</v>
      </c>
      <c r="D2" s="42" t="str">
        <f>Fanduel!B2</f>
        <v>G</v>
      </c>
      <c r="E2" t="str">
        <f>Fanduel!D2</f>
        <v>Sergei Bobrovsky</v>
      </c>
      <c r="F2">
        <f>(Fanduel!F2)*(IF(Fanduel!L2=0,1,0))</f>
        <v>24.049999237060501</v>
      </c>
      <c r="G2" s="35">
        <f>Fanduel!H2</f>
        <v>8800</v>
      </c>
      <c r="H2">
        <f>IF($D2=H$1,$C2*1,0)</f>
        <v>0</v>
      </c>
      <c r="I2">
        <f t="shared" ref="I2:K2" si="0">IF($D2=I$1,$C2*1,0)</f>
        <v>0</v>
      </c>
      <c r="J2">
        <f t="shared" si="0"/>
        <v>0</v>
      </c>
      <c r="K2">
        <f t="shared" si="0"/>
        <v>1</v>
      </c>
      <c r="M2" t="s">
        <v>1</v>
      </c>
      <c r="N2">
        <v>2</v>
      </c>
      <c r="O2">
        <f>SUM(H2:H339)</f>
        <v>2</v>
      </c>
      <c r="S2">
        <f>SUM(C:C)</f>
        <v>9</v>
      </c>
    </row>
    <row r="3" spans="1:19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G</v>
      </c>
      <c r="E3" s="2" t="str">
        <f>Fanduel!D3</f>
        <v>Connor Hellebuyck</v>
      </c>
      <c r="F3" s="2">
        <f>(Fanduel!F3)*(IF(Fanduel!L3=0,1,0))</f>
        <v>23.413334147135402</v>
      </c>
      <c r="G3" s="35">
        <f>Fanduel!H3</f>
        <v>8400</v>
      </c>
      <c r="H3">
        <f t="shared" ref="H3:K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 s="2"/>
      <c r="M3" t="s">
        <v>130</v>
      </c>
      <c r="N3">
        <v>4</v>
      </c>
      <c r="O3">
        <f>SUM(I2:I339)</f>
        <v>4</v>
      </c>
    </row>
    <row r="4" spans="1:19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G</v>
      </c>
      <c r="E4" s="2" t="str">
        <f>Fanduel!D4</f>
        <v>Frederik Andersen</v>
      </c>
      <c r="F4" s="2">
        <f>(Fanduel!F4)*(IF(Fanduel!L4=0,1,0))</f>
        <v>22.2222222222222</v>
      </c>
      <c r="G4" s="35">
        <f>Fanduel!H4</f>
        <v>8400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 s="2"/>
      <c r="M4" t="s">
        <v>131</v>
      </c>
      <c r="N4">
        <v>2</v>
      </c>
      <c r="O4">
        <f>SUM(J2:J339)</f>
        <v>2</v>
      </c>
    </row>
    <row r="5" spans="1:19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G</v>
      </c>
      <c r="E5" s="2" t="str">
        <f>Fanduel!D5</f>
        <v>Braden Holtby</v>
      </c>
      <c r="F5" s="2">
        <f>(Fanduel!F5)*(IF(Fanduel!L5=0,1,0))</f>
        <v>21.973333740234299</v>
      </c>
      <c r="G5" s="35">
        <f>Fanduel!H5</f>
        <v>9100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 s="2"/>
      <c r="M5" t="s">
        <v>132</v>
      </c>
      <c r="N5">
        <v>1</v>
      </c>
      <c r="O5">
        <f>SUM(K2:K339)</f>
        <v>1</v>
      </c>
    </row>
    <row r="6" spans="1:19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G</v>
      </c>
      <c r="E6" s="2" t="str">
        <f>Fanduel!D6</f>
        <v>Pekka Rinne</v>
      </c>
      <c r="F6" s="2">
        <f>(Fanduel!F6)*(IF(Fanduel!L6=0,1,0))</f>
        <v>21.973333740234299</v>
      </c>
      <c r="G6" s="35">
        <f>Fanduel!H6</f>
        <v>8500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 s="2"/>
    </row>
    <row r="7" spans="1:19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G</v>
      </c>
      <c r="E7" s="2" t="str">
        <f>Fanduel!D7</f>
        <v>Devan Dubnyk</v>
      </c>
      <c r="F7" s="2">
        <f>(Fanduel!F7)*(IF(Fanduel!L7=0,1,0))</f>
        <v>21.119999186197902</v>
      </c>
      <c r="G7" s="35">
        <f>Fanduel!H7</f>
        <v>9000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 s="2"/>
      <c r="M7" t="s">
        <v>10</v>
      </c>
      <c r="N7">
        <f>SUMPRODUCT(C2:C239,G2:G239)</f>
        <v>59700</v>
      </c>
    </row>
    <row r="8" spans="1:19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G</v>
      </c>
      <c r="E8" s="2" t="str">
        <f>Fanduel!D8</f>
        <v>Mike Smith</v>
      </c>
      <c r="F8" s="2">
        <f>(Fanduel!F8)*(IF(Fanduel!L8=0,1,0))</f>
        <v>20.752940458409899</v>
      </c>
      <c r="G8" s="35">
        <f>Fanduel!H8</f>
        <v>8400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 s="2"/>
      <c r="M8" t="s">
        <v>11</v>
      </c>
      <c r="N8">
        <f>60000</f>
        <v>60000</v>
      </c>
    </row>
    <row r="9" spans="1:19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G</v>
      </c>
      <c r="E9" s="2" t="str">
        <f>Fanduel!D9</f>
        <v>Curtis McElhinney</v>
      </c>
      <c r="F9" s="2">
        <f>(Fanduel!F9)*(IF(Fanduel!L9=0,1,0))</f>
        <v>20.266666412353501</v>
      </c>
      <c r="G9" s="35">
        <f>Fanduel!H9</f>
        <v>7300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 s="2"/>
    </row>
    <row r="10" spans="1:19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G</v>
      </c>
      <c r="E10" s="2" t="str">
        <f>Fanduel!D10</f>
        <v>Cory Schneider</v>
      </c>
      <c r="F10" s="2">
        <f>(Fanduel!F10)*(IF(Fanduel!L10=0,1,0))</f>
        <v>20.1142861502511</v>
      </c>
      <c r="G10" s="35">
        <f>Fanduel!H10</f>
        <v>8200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 s="2"/>
      <c r="M10" t="s">
        <v>12</v>
      </c>
      <c r="N10">
        <f>SUMPRODUCT(C2:C339,F2:F339)</f>
        <v>153.97245940873381</v>
      </c>
      <c r="O10">
        <f>N10-0.1</f>
        <v>153.87245940873382</v>
      </c>
    </row>
    <row r="11" spans="1:19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G</v>
      </c>
      <c r="E11" s="2" t="str">
        <f>Fanduel!D11</f>
        <v>Ryan Miller</v>
      </c>
      <c r="F11" s="2">
        <f>(Fanduel!F11)*(IF(Fanduel!L11=0,1,0))</f>
        <v>0</v>
      </c>
      <c r="G11" s="35">
        <f>Fanduel!H11</f>
        <v>7900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 s="2"/>
      <c r="N11">
        <v>276.69295769378874</v>
      </c>
      <c r="O11" t="s">
        <v>129</v>
      </c>
    </row>
    <row r="12" spans="1:19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Fanduel!B12</f>
        <v>G</v>
      </c>
      <c r="E12" s="2" t="str">
        <f>Fanduel!D12</f>
        <v>John Gibson</v>
      </c>
      <c r="F12" s="2">
        <f>(Fanduel!F12)*(IF(Fanduel!L12=0,1,0))</f>
        <v>19.9500007629394</v>
      </c>
      <c r="G12" s="35">
        <f>Fanduel!H12</f>
        <v>8500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 s="2"/>
      <c r="M12" t="s">
        <v>13</v>
      </c>
      <c r="N12">
        <v>9</v>
      </c>
    </row>
    <row r="13" spans="1:19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G</v>
      </c>
      <c r="E13" s="2" t="str">
        <f>Fanduel!D13</f>
        <v>Martin Jones</v>
      </c>
      <c r="F13" s="2">
        <f>(Fanduel!F13)*(IF(Fanduel!L13=0,1,0))</f>
        <v>19.8769226074218</v>
      </c>
      <c r="G13" s="35">
        <f>Fanduel!H13</f>
        <v>8800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 s="2"/>
      <c r="M13" t="s">
        <v>14</v>
      </c>
      <c r="N13">
        <f>SUM(C:C)</f>
        <v>9</v>
      </c>
    </row>
    <row r="14" spans="1:19" x14ac:dyDescent="0.25">
      <c r="A14" t="str">
        <f t="shared" si="1"/>
        <v>C</v>
      </c>
      <c r="B14" t="str">
        <f>IF(C14=0,0,A14&amp;" "&amp;COUNTIF($A$1:$A14,A14))</f>
        <v>C 1</v>
      </c>
      <c r="C14" s="1">
        <v>1</v>
      </c>
      <c r="D14" s="42" t="str">
        <f>Fanduel!B14</f>
        <v>C</v>
      </c>
      <c r="E14" s="2" t="str">
        <f>Fanduel!D14</f>
        <v>Auston Matthews</v>
      </c>
      <c r="F14" s="2">
        <f>(Fanduel!F14)*(IF(Fanduel!L14=0,1,0))</f>
        <v>19.570588953354701</v>
      </c>
      <c r="G14" s="35">
        <f>Fanduel!H14</f>
        <v>7900</v>
      </c>
      <c r="H14">
        <f t="shared" si="2"/>
        <v>1</v>
      </c>
      <c r="I14">
        <f t="shared" si="2"/>
        <v>0</v>
      </c>
      <c r="J14">
        <f t="shared" si="2"/>
        <v>0</v>
      </c>
      <c r="K14">
        <f t="shared" si="2"/>
        <v>0</v>
      </c>
      <c r="L14" s="2"/>
    </row>
    <row r="15" spans="1:19" x14ac:dyDescent="0.25">
      <c r="A15" t="str">
        <f t="shared" si="1"/>
        <v>W</v>
      </c>
      <c r="B15" t="str">
        <f>IF(C15=0,0,A15&amp;" "&amp;COUNTIF($A$1:$A15,A15))</f>
        <v>W 1</v>
      </c>
      <c r="C15" s="1">
        <v>1</v>
      </c>
      <c r="D15" s="42" t="str">
        <f>Fanduel!B15</f>
        <v>W</v>
      </c>
      <c r="E15" s="2" t="str">
        <f>Fanduel!D15</f>
        <v>Johnny Gaudreau</v>
      </c>
      <c r="F15" s="2">
        <f>(Fanduel!F15)*(IF(Fanduel!L15=0,1,0))</f>
        <v>19.278946725945701</v>
      </c>
      <c r="G15" s="35">
        <f>Fanduel!H15</f>
        <v>8000</v>
      </c>
      <c r="H15">
        <f t="shared" si="2"/>
        <v>0</v>
      </c>
      <c r="I15">
        <f t="shared" si="2"/>
        <v>1</v>
      </c>
      <c r="J15">
        <f t="shared" si="2"/>
        <v>0</v>
      </c>
      <c r="K15">
        <f t="shared" si="2"/>
        <v>0</v>
      </c>
      <c r="L15" s="2"/>
      <c r="M15" t="s">
        <v>16</v>
      </c>
    </row>
    <row r="16" spans="1:19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W</v>
      </c>
      <c r="E16" s="2" t="str">
        <f>Fanduel!D16</f>
        <v>Alex Ovechkin</v>
      </c>
      <c r="F16" s="2">
        <f>(Fanduel!F16)*(IF(Fanduel!L16=0,1,0))</f>
        <v>18.261904761904699</v>
      </c>
      <c r="G16" s="35">
        <f>Fanduel!H16</f>
        <v>8600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 s="2"/>
      <c r="M16" t="s">
        <v>27</v>
      </c>
      <c r="N16" t="str">
        <f>VLOOKUP(M16,$B$2:$F$201,4,FALSE)</f>
        <v>Auston Matthews</v>
      </c>
      <c r="O16" t="str">
        <f>VLOOKUP(N16,Fanduel!$D$2:$N$383,11,FALSE)</f>
        <v>22043-70899</v>
      </c>
    </row>
    <row r="17" spans="1:15" x14ac:dyDescent="0.25">
      <c r="A17" t="str">
        <f t="shared" si="1"/>
        <v>W</v>
      </c>
      <c r="B17" t="str">
        <f>IF(C17=0,0,A17&amp;" "&amp;COUNTIF($A$1:$A17,A17))</f>
        <v>W 2</v>
      </c>
      <c r="C17" s="1">
        <v>1</v>
      </c>
      <c r="D17" s="42" t="str">
        <f>Fanduel!B17</f>
        <v>W</v>
      </c>
      <c r="E17" s="2" t="str">
        <f>Fanduel!D17</f>
        <v>Evander Kane</v>
      </c>
      <c r="F17" s="2">
        <f>(Fanduel!F17)*(IF(Fanduel!L17=0,1,0))</f>
        <v>18.1449996948242</v>
      </c>
      <c r="G17" s="35">
        <f>Fanduel!H17</f>
        <v>6800</v>
      </c>
      <c r="H17">
        <f t="shared" si="2"/>
        <v>0</v>
      </c>
      <c r="I17">
        <f t="shared" si="2"/>
        <v>1</v>
      </c>
      <c r="J17">
        <f t="shared" si="2"/>
        <v>0</v>
      </c>
      <c r="K17">
        <f t="shared" si="2"/>
        <v>0</v>
      </c>
      <c r="L17" s="2"/>
      <c r="M17" t="s">
        <v>133</v>
      </c>
      <c r="N17" s="2" t="str">
        <f>VLOOKUP(M17,$B$2:$F$200,4,FALSE)</f>
        <v>Logan Couture</v>
      </c>
      <c r="O17" s="2" t="str">
        <f>VLOOKUP(N17,Fanduel!$D$2:$N$383,11,FALSE)</f>
        <v>22043-9269</v>
      </c>
    </row>
    <row r="18" spans="1:15" x14ac:dyDescent="0.25">
      <c r="A18" t="str">
        <f t="shared" si="1"/>
        <v>W</v>
      </c>
      <c r="B18" t="str">
        <f>IF(C18=0,0,A18&amp;" "&amp;COUNTIF($A$1:$A18,A18))</f>
        <v>W 3</v>
      </c>
      <c r="C18" s="1">
        <v>1</v>
      </c>
      <c r="D18" s="42" t="str">
        <f>Fanduel!B18</f>
        <v>W</v>
      </c>
      <c r="E18" s="2" t="str">
        <f>Fanduel!D18</f>
        <v>Blake Wheeler</v>
      </c>
      <c r="F18" s="2">
        <f>(Fanduel!F18)*(IF(Fanduel!L18=0,1,0))</f>
        <v>17.900000321237599</v>
      </c>
      <c r="G18" s="35">
        <f>Fanduel!H18</f>
        <v>7600</v>
      </c>
      <c r="H18">
        <f t="shared" si="2"/>
        <v>0</v>
      </c>
      <c r="I18">
        <f t="shared" si="2"/>
        <v>1</v>
      </c>
      <c r="J18">
        <f t="shared" si="2"/>
        <v>0</v>
      </c>
      <c r="K18">
        <f t="shared" si="2"/>
        <v>0</v>
      </c>
      <c r="L18" s="2"/>
      <c r="M18" t="s">
        <v>134</v>
      </c>
      <c r="N18" s="2" t="str">
        <f>VLOOKUP(M18,$B$2:$F$200,4,FALSE)</f>
        <v>Johnny Gaudreau</v>
      </c>
      <c r="O18" s="2" t="str">
        <f>VLOOKUP(N18,Fanduel!$D$2:$N$383,11,FALSE)</f>
        <v>22043-54514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W</v>
      </c>
      <c r="E19" s="2" t="str">
        <f>Fanduel!D19</f>
        <v>Taylor Hall</v>
      </c>
      <c r="F19" s="2">
        <f>(Fanduel!F19)*(IF(Fanduel!L19=0,1,0))</f>
        <v>16.747369063527898</v>
      </c>
      <c r="G19" s="35">
        <f>Fanduel!H19</f>
        <v>7300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 s="2"/>
      <c r="M19" t="s">
        <v>135</v>
      </c>
      <c r="N19" s="2" t="str">
        <f>VLOOKUP(M19,$B$2:$F$204,4,FALSE)</f>
        <v>Evander Kane</v>
      </c>
      <c r="O19" s="2" t="str">
        <f>VLOOKUP(N19,Fanduel!$D$2:$N$383,11,FALSE)</f>
        <v>22043-9092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C</v>
      </c>
      <c r="E20" s="2" t="str">
        <f>Fanduel!D20</f>
        <v>Mark Scheifele</v>
      </c>
      <c r="F20" s="2">
        <f>(Fanduel!F20)*(IF(Fanduel!L20=0,1,0))</f>
        <v>16.636842426500799</v>
      </c>
      <c r="G20" s="35">
        <f>Fanduel!H20</f>
        <v>8200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 s="2"/>
      <c r="M20" t="s">
        <v>136</v>
      </c>
      <c r="N20" s="2" t="str">
        <f>VLOOKUP(M20,$B$2:$F$205,4,FALSE)</f>
        <v>Blake Wheeler</v>
      </c>
      <c r="O20" s="2" t="str">
        <f>VLOOKUP(N20,Fanduel!$D$2:$N$383,11,FALSE)</f>
        <v>22043-8182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G</v>
      </c>
      <c r="E21" s="2" t="str">
        <f>Fanduel!D21</f>
        <v>Keith Kinkaid</v>
      </c>
      <c r="F21" s="2">
        <f>(Fanduel!F21)*(IF(Fanduel!L21=0,1,0))</f>
        <v>16.228571210588701</v>
      </c>
      <c r="G21" s="35">
        <f>Fanduel!H21</f>
        <v>7300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 s="2"/>
      <c r="M21" t="s">
        <v>137</v>
      </c>
      <c r="N21" s="2" t="str">
        <f>VLOOKUP(M21,$B$2:$F$206,4,FALSE)</f>
        <v>Brian Gibbons</v>
      </c>
      <c r="O21" s="2" t="str">
        <f>VLOOKUP(N21,Fanduel!$D$2:$N$383,11,FALSE)</f>
        <v>22043-14158</v>
      </c>
    </row>
    <row r="22" spans="1:15" x14ac:dyDescent="0.25">
      <c r="A22" t="str">
        <f t="shared" si="1"/>
        <v>D</v>
      </c>
      <c r="B22" t="str">
        <f>IF(C22=0,0,A22&amp;" "&amp;COUNTIF($A$1:$A22,A22))</f>
        <v>D 1</v>
      </c>
      <c r="C22" s="1">
        <v>1</v>
      </c>
      <c r="D22" s="42" t="str">
        <f>Fanduel!B22</f>
        <v>D</v>
      </c>
      <c r="E22" s="2" t="str">
        <f>Fanduel!D22</f>
        <v>Roman Josi</v>
      </c>
      <c r="F22" s="2">
        <f>(Fanduel!F22)*(IF(Fanduel!L22=0,1,0))</f>
        <v>15.875</v>
      </c>
      <c r="G22" s="35">
        <f>Fanduel!H22</f>
        <v>5900</v>
      </c>
      <c r="H22">
        <f t="shared" si="2"/>
        <v>0</v>
      </c>
      <c r="I22">
        <f t="shared" si="2"/>
        <v>0</v>
      </c>
      <c r="J22">
        <f t="shared" si="2"/>
        <v>1</v>
      </c>
      <c r="K22">
        <f t="shared" si="2"/>
        <v>0</v>
      </c>
      <c r="L22" s="2"/>
      <c r="M22" t="s">
        <v>138</v>
      </c>
      <c r="N22" s="2" t="str">
        <f>VLOOKUP(M22,$B$2:$F$207,4,FALSE)</f>
        <v>Roman Josi</v>
      </c>
      <c r="O22" s="2" t="str">
        <f>VLOOKUP(N22,Fanduel!$D$2:$N$383,11,FALSE)</f>
        <v>22043-12262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C</v>
      </c>
      <c r="E23" s="2" t="str">
        <f>Fanduel!D23</f>
        <v>Sean Monahan</v>
      </c>
      <c r="F23" s="2">
        <f>(Fanduel!F23)*(IF(Fanduel!L23=0,1,0))</f>
        <v>15.8631575734991</v>
      </c>
      <c r="G23" s="35">
        <f>Fanduel!H23</f>
        <v>7600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 s="2"/>
      <c r="M23" t="s">
        <v>139</v>
      </c>
      <c r="N23" s="2" t="str">
        <f>VLOOKUP(M23,$B$2:$F$208,4,FALSE)</f>
        <v>Jared Spurgeon</v>
      </c>
      <c r="O23" s="2" t="str">
        <f>VLOOKUP(N23,Fanduel!$D$2:$N$383,11,FALSE)</f>
        <v>22043-12812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G</v>
      </c>
      <c r="E24" s="2" t="str">
        <f>Fanduel!D24</f>
        <v>Alex Stalock</v>
      </c>
      <c r="F24" s="2">
        <f>(Fanduel!F24)*(IF(Fanduel!L24=0,1,0))</f>
        <v>15.839999389648399</v>
      </c>
      <c r="G24" s="35">
        <f>Fanduel!H24</f>
        <v>7400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 s="2"/>
      <c r="M24" t="s">
        <v>140</v>
      </c>
      <c r="N24" s="2" t="str">
        <f>VLOOKUP(M24,$B$2:$F$209,4,FALSE)</f>
        <v>Sergei Bobrovsky</v>
      </c>
      <c r="O24" s="2" t="str">
        <f>VLOOKUP(N24,Fanduel!$D$2:$N$383,11,FALSE)</f>
        <v>22043-12163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W</v>
      </c>
      <c r="E25" s="2" t="str">
        <f>Fanduel!D25</f>
        <v>Filip Forsberg</v>
      </c>
      <c r="F25" s="2">
        <f>(Fanduel!F25)*(IF(Fanduel!L25=0,1,0))</f>
        <v>15.8000006424753</v>
      </c>
      <c r="G25" s="35">
        <f>Fanduel!H25</f>
        <v>7600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 s="2"/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G</v>
      </c>
      <c r="E26" s="2" t="str">
        <f>Fanduel!D26</f>
        <v>Scott Wedgewood</v>
      </c>
      <c r="F26" s="2">
        <f>(Fanduel!F26)*(IF(Fanduel!L26=0,1,0))</f>
        <v>15.199999809265099</v>
      </c>
      <c r="G26" s="35">
        <f>Fanduel!H26</f>
        <v>7200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 s="2"/>
    </row>
    <row r="27" spans="1:15" x14ac:dyDescent="0.25">
      <c r="A27" t="str">
        <f t="shared" si="1"/>
        <v>C</v>
      </c>
      <c r="B27" t="str">
        <f>IF(C27=0,0,A27&amp;" "&amp;COUNTIF($A$1:$A27,A27))</f>
        <v>C 2</v>
      </c>
      <c r="C27" s="1">
        <v>1</v>
      </c>
      <c r="D27" s="42" t="str">
        <f>Fanduel!B27</f>
        <v>C</v>
      </c>
      <c r="E27" s="2" t="str">
        <f>Fanduel!D27</f>
        <v>Logan Couture</v>
      </c>
      <c r="F27" s="2">
        <f>(Fanduel!F27)*(IF(Fanduel!L27=0,1,0))</f>
        <v>15.0055558946397</v>
      </c>
      <c r="G27" s="35">
        <f>Fanduel!H27</f>
        <v>6600</v>
      </c>
      <c r="H27">
        <f t="shared" si="2"/>
        <v>1</v>
      </c>
      <c r="I27">
        <f t="shared" si="2"/>
        <v>0</v>
      </c>
      <c r="J27">
        <f t="shared" si="2"/>
        <v>0</v>
      </c>
      <c r="K27">
        <f t="shared" si="2"/>
        <v>0</v>
      </c>
      <c r="L27" s="2"/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C</v>
      </c>
      <c r="E28" s="2" t="str">
        <f>Fanduel!D28</f>
        <v>Ryan Getzlaf</v>
      </c>
      <c r="F28" s="2">
        <f>(Fanduel!F28)*(IF(Fanduel!L28=0,1,0))</f>
        <v>0</v>
      </c>
      <c r="G28" s="35">
        <f>Fanduel!H28</f>
        <v>7000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 s="2"/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C</v>
      </c>
      <c r="E29" s="2" t="str">
        <f>Fanduel!D29</f>
        <v>Evgeny Kuznetsov</v>
      </c>
      <c r="F29" s="2">
        <f>(Fanduel!F29)*(IF(Fanduel!L29=0,1,0))</f>
        <v>14.523809523809501</v>
      </c>
      <c r="G29" s="35">
        <f>Fanduel!H29</f>
        <v>7000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 s="2"/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C</v>
      </c>
      <c r="E30" s="2" t="str">
        <f>Fanduel!D30</f>
        <v>Eric Staal</v>
      </c>
      <c r="F30" s="2">
        <f>(Fanduel!F30)*(IF(Fanduel!L30=0,1,0))</f>
        <v>14.473684210526301</v>
      </c>
      <c r="G30" s="35">
        <f>Fanduel!H30</f>
        <v>6600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 s="2"/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W</v>
      </c>
      <c r="E31" s="2" t="str">
        <f>Fanduel!D31</f>
        <v>Clayton Keller</v>
      </c>
      <c r="F31" s="2">
        <f>(Fanduel!F31)*(IF(Fanduel!L31=0,1,0))</f>
        <v>14.4545454545454</v>
      </c>
      <c r="G31" s="35">
        <f>Fanduel!H31</f>
        <v>5600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 s="2"/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D</v>
      </c>
      <c r="E32" s="2" t="str">
        <f>Fanduel!D32</f>
        <v>John Carlson</v>
      </c>
      <c r="F32" s="2">
        <f>(Fanduel!F32)*(IF(Fanduel!L32=0,1,0))</f>
        <v>14.385714576357801</v>
      </c>
      <c r="G32" s="35">
        <f>Fanduel!H32</f>
        <v>5700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 s="2"/>
    </row>
    <row r="33" spans="1:12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W</v>
      </c>
      <c r="E33" s="2" t="str">
        <f>Fanduel!D33</f>
        <v>Jason Zucker</v>
      </c>
      <c r="F33" s="2">
        <f>(Fanduel!F33)*(IF(Fanduel!L33=0,1,0))</f>
        <v>14.226315146998299</v>
      </c>
      <c r="G33" s="35">
        <f>Fanduel!H33</f>
        <v>6100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 s="2"/>
    </row>
    <row r="34" spans="1:12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G</v>
      </c>
      <c r="E34" s="2" t="str">
        <f>Fanduel!D34</f>
        <v>Aaron Dell</v>
      </c>
      <c r="F34" s="2">
        <f>(Fanduel!F34)*(IF(Fanduel!L34=0,1,0))</f>
        <v>14.171428135463101</v>
      </c>
      <c r="G34" s="35">
        <f>Fanduel!H34</f>
        <v>7900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 s="2"/>
    </row>
    <row r="35" spans="1:12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W</v>
      </c>
      <c r="E35" s="2" t="str">
        <f>Fanduel!D35</f>
        <v>Viktor Arvidsson</v>
      </c>
      <c r="F35" s="2">
        <f>(Fanduel!F35)*(IF(Fanduel!L35=0,1,0))</f>
        <v>14.0842108475534</v>
      </c>
      <c r="G35" s="35">
        <f>Fanduel!H35</f>
        <v>6500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 s="2"/>
    </row>
    <row r="36" spans="1:12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W</v>
      </c>
      <c r="E36" s="2" t="str">
        <f>Fanduel!D36</f>
        <v>Patrik Laine</v>
      </c>
      <c r="F36" s="2">
        <f>(Fanduel!F36)*(IF(Fanduel!L36=0,1,0))</f>
        <v>13.9684207313939</v>
      </c>
      <c r="G36" s="35">
        <f>Fanduel!H36</f>
        <v>7400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 s="2"/>
    </row>
    <row r="37" spans="1:12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W</v>
      </c>
      <c r="E37" s="2" t="str">
        <f>Fanduel!D37</f>
        <v>James van Riemsdyk</v>
      </c>
      <c r="F37" s="2">
        <f>(Fanduel!F37)*(IF(Fanduel!L37=0,1,0))</f>
        <v>13.694999694824199</v>
      </c>
      <c r="G37" s="35">
        <f>Fanduel!H37</f>
        <v>6600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 s="2"/>
    </row>
    <row r="38" spans="1:12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W</v>
      </c>
      <c r="E38" s="2" t="str">
        <f>Fanduel!D38</f>
        <v>Kyle Palmieri</v>
      </c>
      <c r="F38" s="2">
        <f>(Fanduel!F38)*(IF(Fanduel!L38=0,1,0))</f>
        <v>13.675000508626299</v>
      </c>
      <c r="G38" s="35">
        <f>Fanduel!H38</f>
        <v>5500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 s="2"/>
    </row>
    <row r="39" spans="1:12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C</v>
      </c>
      <c r="E39" s="2" t="str">
        <f>Fanduel!D39</f>
        <v>Rickard Rakell</v>
      </c>
      <c r="F39" s="2">
        <f>(Fanduel!F39)*(IF(Fanduel!L39=0,1,0))</f>
        <v>13.421052631578901</v>
      </c>
      <c r="G39" s="35">
        <f>Fanduel!H39</f>
        <v>6800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 s="2"/>
    </row>
    <row r="40" spans="1:12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C</v>
      </c>
      <c r="E40" s="2" t="str">
        <f>Fanduel!D40</f>
        <v>Nazem Kadri</v>
      </c>
      <c r="F40" s="2">
        <f>(Fanduel!F40)*(IF(Fanduel!L40=0,1,0))</f>
        <v>13.2476196289062</v>
      </c>
      <c r="G40" s="35">
        <f>Fanduel!H40</f>
        <v>6300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 s="2"/>
    </row>
    <row r="41" spans="1:12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C</v>
      </c>
      <c r="E41" s="2" t="str">
        <f>Fanduel!D41</f>
        <v>Jack Eichel</v>
      </c>
      <c r="F41" s="2">
        <f>(Fanduel!F41)*(IF(Fanduel!L41=0,1,0))</f>
        <v>13.225</v>
      </c>
      <c r="G41" s="35">
        <f>Fanduel!H41</f>
        <v>7400</v>
      </c>
      <c r="H41">
        <f t="shared" si="2"/>
        <v>0</v>
      </c>
      <c r="I41">
        <f t="shared" si="2"/>
        <v>0</v>
      </c>
      <c r="J41">
        <f t="shared" ref="I41:K56" si="3">IF($D41=J$1,$C41*1,0)</f>
        <v>0</v>
      </c>
      <c r="K41">
        <f t="shared" si="3"/>
        <v>0</v>
      </c>
      <c r="L41" s="2"/>
    </row>
    <row r="42" spans="1:12" x14ac:dyDescent="0.25">
      <c r="A42" t="str">
        <f t="shared" si="1"/>
        <v>D</v>
      </c>
      <c r="B42" t="str">
        <f>IF(C42=0,0,A42&amp;" "&amp;COUNTIF($A$1:$A42,A42))</f>
        <v>D 2</v>
      </c>
      <c r="C42" s="1">
        <v>1</v>
      </c>
      <c r="D42" s="42" t="str">
        <f>Fanduel!B42</f>
        <v>D</v>
      </c>
      <c r="E42" s="2" t="str">
        <f>Fanduel!D42</f>
        <v>Jared Spurgeon</v>
      </c>
      <c r="F42" s="2">
        <f>(Fanduel!F42)*(IF(Fanduel!L42=0,1,0))</f>
        <v>13.200000160618799</v>
      </c>
      <c r="G42" s="35">
        <f>Fanduel!H42</f>
        <v>4800</v>
      </c>
      <c r="H42">
        <f t="shared" si="2"/>
        <v>0</v>
      </c>
      <c r="I42">
        <f t="shared" si="3"/>
        <v>0</v>
      </c>
      <c r="J42">
        <f t="shared" si="3"/>
        <v>1</v>
      </c>
      <c r="K42">
        <f t="shared" si="3"/>
        <v>0</v>
      </c>
      <c r="L42" s="2"/>
    </row>
    <row r="43" spans="1:12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G</v>
      </c>
      <c r="E43" s="2" t="str">
        <f>Fanduel!D43</f>
        <v>Robin Lehner</v>
      </c>
      <c r="F43" s="2">
        <f>(Fanduel!F43)*(IF(Fanduel!L43=0,1,0))</f>
        <v>13.1428571428571</v>
      </c>
      <c r="G43" s="35">
        <f>Fanduel!H43</f>
        <v>7200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 s="2"/>
    </row>
    <row r="44" spans="1:12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G</v>
      </c>
      <c r="E44" s="2" t="str">
        <f>Fanduel!D44</f>
        <v>Antti Raanta</v>
      </c>
      <c r="F44" s="2">
        <f>(Fanduel!F44)*(IF(Fanduel!L44=0,1,0))</f>
        <v>12.945453990589399</v>
      </c>
      <c r="G44" s="35">
        <f>Fanduel!H44</f>
        <v>7300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 s="2"/>
    </row>
    <row r="45" spans="1:12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W</v>
      </c>
      <c r="E45" s="2" t="str">
        <f>Fanduel!D45</f>
        <v>T.J. Oshie</v>
      </c>
      <c r="F45" s="2">
        <f>(Fanduel!F45)*(IF(Fanduel!L45=0,1,0))</f>
        <v>12.938095819382401</v>
      </c>
      <c r="G45" s="35">
        <f>Fanduel!H45</f>
        <v>6200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 s="2"/>
    </row>
    <row r="46" spans="1:12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D</v>
      </c>
      <c r="E46" s="2" t="str">
        <f>Fanduel!D46</f>
        <v>Brent Burns</v>
      </c>
      <c r="F46" s="2">
        <f>(Fanduel!F46)*(IF(Fanduel!L46=0,1,0))</f>
        <v>12.9111107720269</v>
      </c>
      <c r="G46" s="35">
        <f>Fanduel!H46</f>
        <v>6800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 s="2"/>
    </row>
    <row r="47" spans="1:12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Fanduel!B47</f>
        <v>C</v>
      </c>
      <c r="E47" s="2" t="str">
        <f>Fanduel!D47</f>
        <v>Ryan O'Reilly</v>
      </c>
      <c r="F47" s="2">
        <f>(Fanduel!F47)*(IF(Fanduel!L47=0,1,0))</f>
        <v>12.8</v>
      </c>
      <c r="G47" s="35">
        <f>Fanduel!H47</f>
        <v>5400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 s="2"/>
    </row>
    <row r="48" spans="1:12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D</v>
      </c>
      <c r="E48" s="2" t="str">
        <f>Fanduel!D48</f>
        <v>Seth Jones</v>
      </c>
      <c r="F48" s="2">
        <f>(Fanduel!F48)*(IF(Fanduel!L48=0,1,0))</f>
        <v>12.7300003051757</v>
      </c>
      <c r="G48" s="35">
        <f>Fanduel!H48</f>
        <v>5000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 s="2"/>
    </row>
    <row r="49" spans="1:12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D</v>
      </c>
      <c r="E49" s="2" t="str">
        <f>Fanduel!D49</f>
        <v>Morgan Rielly</v>
      </c>
      <c r="F49" s="2">
        <f>(Fanduel!F49)*(IF(Fanduel!L49=0,1,0))</f>
        <v>12.700000581287201</v>
      </c>
      <c r="G49" s="35">
        <f>Fanduel!H49</f>
        <v>4900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 s="2"/>
    </row>
    <row r="50" spans="1:12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G</v>
      </c>
      <c r="E50" s="2" t="str">
        <f>Fanduel!D50</f>
        <v>Joonas Korpisalo</v>
      </c>
      <c r="F50" s="2">
        <f>(Fanduel!F50)*(IF(Fanduel!L50=0,1,0))</f>
        <v>12.399999618530201</v>
      </c>
      <c r="G50" s="35">
        <f>Fanduel!H50</f>
        <v>7800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 s="2"/>
    </row>
    <row r="51" spans="1:12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W</v>
      </c>
      <c r="E51" s="2" t="str">
        <f>Fanduel!D51</f>
        <v>Mathieu Perreault</v>
      </c>
      <c r="F51" s="2">
        <f>(Fanduel!F51)*(IF(Fanduel!L51=0,1,0))</f>
        <v>12.3714283534458</v>
      </c>
      <c r="G51" s="35">
        <f>Fanduel!H51</f>
        <v>4300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 s="2"/>
    </row>
    <row r="52" spans="1:12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W</v>
      </c>
      <c r="E52" s="2" t="str">
        <f>Fanduel!D52</f>
        <v>Nikolaj Ehlers</v>
      </c>
      <c r="F52" s="2">
        <f>(Fanduel!F52)*(IF(Fanduel!L52=0,1,0))</f>
        <v>12.289473684210501</v>
      </c>
      <c r="G52" s="35">
        <f>Fanduel!H52</f>
        <v>5600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 s="2"/>
    </row>
    <row r="53" spans="1:12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W</v>
      </c>
      <c r="E53" s="2" t="str">
        <f>Fanduel!D53</f>
        <v>Zach Parise</v>
      </c>
      <c r="F53" s="2">
        <f>(Fanduel!F53)*(IF(Fanduel!L53=0,1,0))</f>
        <v>0</v>
      </c>
      <c r="G53" s="35">
        <f>Fanduel!H53</f>
        <v>6500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 s="2"/>
    </row>
    <row r="54" spans="1:12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D</v>
      </c>
      <c r="E54" s="2" t="str">
        <f>Fanduel!D54</f>
        <v>Ryan Suter</v>
      </c>
      <c r="F54" s="2">
        <f>(Fanduel!F54)*(IF(Fanduel!L54=0,1,0))</f>
        <v>12.105263157894701</v>
      </c>
      <c r="G54" s="35">
        <f>Fanduel!H54</f>
        <v>5200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 s="2"/>
    </row>
    <row r="55" spans="1:12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D</v>
      </c>
      <c r="E55" s="2" t="str">
        <f>Fanduel!D55</f>
        <v>Zach Werenski</v>
      </c>
      <c r="F55" s="2">
        <f>(Fanduel!F55)*(IF(Fanduel!L55=0,1,0))</f>
        <v>11.9949996948242</v>
      </c>
      <c r="G55" s="35">
        <f>Fanduel!H55</f>
        <v>5200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 s="2"/>
    </row>
    <row r="56" spans="1:12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Ryan Kesler</v>
      </c>
      <c r="F56" s="2">
        <f>(Fanduel!F56)*(IF(Fanduel!L56=0,1,0))</f>
        <v>0</v>
      </c>
      <c r="G56" s="35">
        <f>Fanduel!H56</f>
        <v>5000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 s="2"/>
    </row>
    <row r="57" spans="1:12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D</v>
      </c>
      <c r="E57" s="2" t="str">
        <f>Fanduel!D57</f>
        <v>P.K. Subban</v>
      </c>
      <c r="F57" s="2">
        <f>(Fanduel!F57)*(IF(Fanduel!L57=0,1,0))</f>
        <v>11.9157891524465</v>
      </c>
      <c r="G57" s="35">
        <f>Fanduel!H57</f>
        <v>5400</v>
      </c>
      <c r="H57">
        <f t="shared" si="2"/>
        <v>0</v>
      </c>
      <c r="I57">
        <f t="shared" ref="I57:K66" si="4">IF($D57=I$1,$C57*1,0)</f>
        <v>0</v>
      </c>
      <c r="J57">
        <f t="shared" si="4"/>
        <v>0</v>
      </c>
      <c r="K57">
        <f t="shared" si="4"/>
        <v>0</v>
      </c>
      <c r="L57" s="2"/>
    </row>
    <row r="58" spans="1:12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C</v>
      </c>
      <c r="E58" s="2" t="str">
        <f>Fanduel!D58</f>
        <v>Kyle Turris</v>
      </c>
      <c r="F58" s="2">
        <f>(Fanduel!F58)*(IF(Fanduel!L58=0,1,0))</f>
        <v>11.9</v>
      </c>
      <c r="G58" s="35">
        <f>Fanduel!H58</f>
        <v>5200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 s="2"/>
    </row>
    <row r="59" spans="1:12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W</v>
      </c>
      <c r="E59" s="2" t="str">
        <f>Fanduel!D59</f>
        <v>Charlie Coyle</v>
      </c>
      <c r="F59" s="2">
        <f>(Fanduel!F59)*(IF(Fanduel!L59=0,1,0))</f>
        <v>0</v>
      </c>
      <c r="G59" s="35">
        <f>Fanduel!H59</f>
        <v>4100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 s="2"/>
    </row>
    <row r="60" spans="1:12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W</v>
      </c>
      <c r="E60" s="2" t="str">
        <f>Fanduel!D60</f>
        <v>Micheal Ferland</v>
      </c>
      <c r="F60" s="2">
        <f>(Fanduel!F60)*(IF(Fanduel!L60=0,1,0))</f>
        <v>11.7277781168619</v>
      </c>
      <c r="G60" s="35">
        <f>Fanduel!H60</f>
        <v>5200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 s="2"/>
    </row>
    <row r="61" spans="1:12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W</v>
      </c>
      <c r="E61" s="2" t="str">
        <f>Fanduel!D61</f>
        <v>Artemi Panarin</v>
      </c>
      <c r="F61" s="2">
        <f>(Fanduel!F61)*(IF(Fanduel!L61=0,1,0))</f>
        <v>11.540000152587799</v>
      </c>
      <c r="G61" s="35">
        <f>Fanduel!H61</f>
        <v>6500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 s="2"/>
    </row>
    <row r="62" spans="1:12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W</v>
      </c>
      <c r="E62" s="2" t="str">
        <f>Fanduel!D62</f>
        <v>Patrick Marleau</v>
      </c>
      <c r="F62" s="2">
        <f>(Fanduel!F62)*(IF(Fanduel!L62=0,1,0))</f>
        <v>11.2476189022972</v>
      </c>
      <c r="G62" s="35">
        <f>Fanduel!H62</f>
        <v>5500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 s="2"/>
    </row>
    <row r="63" spans="1:12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D</v>
      </c>
      <c r="E63" s="2" t="str">
        <f>Fanduel!D63</f>
        <v>T.J. Brodie</v>
      </c>
      <c r="F63" s="2">
        <f>(Fanduel!F63)*(IF(Fanduel!L63=0,1,0))</f>
        <v>11.2421055843955</v>
      </c>
      <c r="G63" s="35">
        <f>Fanduel!H63</f>
        <v>4300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 s="2"/>
    </row>
    <row r="64" spans="1:12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D</v>
      </c>
      <c r="E64" s="2" t="str">
        <f>Fanduel!D64</f>
        <v>Oliver Ekman-Larsson</v>
      </c>
      <c r="F64" s="2">
        <f>(Fanduel!F64)*(IF(Fanduel!L64=0,1,0))</f>
        <v>11.2409092296253</v>
      </c>
      <c r="G64" s="35">
        <f>Fanduel!H64</f>
        <v>5300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 s="2"/>
    </row>
    <row r="65" spans="1:12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W</v>
      </c>
      <c r="E65" s="2" t="str">
        <f>Fanduel!D65</f>
        <v>Nino Niederreiter</v>
      </c>
      <c r="F65" s="2">
        <f>(Fanduel!F65)*(IF(Fanduel!L65=0,1,0))</f>
        <v>11.2153848501352</v>
      </c>
      <c r="G65" s="35">
        <f>Fanduel!H65</f>
        <v>5200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 s="2"/>
    </row>
    <row r="66" spans="1:12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C</v>
      </c>
      <c r="E66" s="2" t="str">
        <f>Fanduel!D66</f>
        <v>Nico Hischier</v>
      </c>
      <c r="F66" s="2">
        <f>(Fanduel!F66)*(IF(Fanduel!L66=0,1,0))</f>
        <v>11.1789470471833</v>
      </c>
      <c r="G66" s="35">
        <f>Fanduel!H66</f>
        <v>5200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 s="2"/>
    </row>
    <row r="67" spans="1:12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W</v>
      </c>
      <c r="E67" s="2" t="str">
        <f>Fanduel!D67</f>
        <v>Matthew Tkachuk</v>
      </c>
      <c r="F67" s="2">
        <f>(Fanduel!F67)*(IF(Fanduel!L67=0,1,0))</f>
        <v>11.1666666666666</v>
      </c>
      <c r="G67" s="35">
        <f>Fanduel!H67</f>
        <v>5700</v>
      </c>
      <c r="H67">
        <f t="shared" ref="H67:K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 s="2"/>
    </row>
    <row r="68" spans="1:12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D</v>
      </c>
      <c r="E68" s="2" t="str">
        <f>Fanduel!D68</f>
        <v>Brandon Montour</v>
      </c>
      <c r="F68" s="2">
        <f>(Fanduel!F68)*(IF(Fanduel!L68=0,1,0))</f>
        <v>11.0999996787623</v>
      </c>
      <c r="G68" s="35">
        <f>Fanduel!H68</f>
        <v>4800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 s="2"/>
    </row>
    <row r="69" spans="1:12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D</v>
      </c>
      <c r="E69" s="2" t="str">
        <f>Fanduel!D69</f>
        <v>Mark Giordano</v>
      </c>
      <c r="F69" s="2">
        <f>(Fanduel!F69)*(IF(Fanduel!L69=0,1,0))</f>
        <v>11.0473680998149</v>
      </c>
      <c r="G69" s="35">
        <f>Fanduel!H69</f>
        <v>5500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 s="2"/>
    </row>
    <row r="70" spans="1:12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D</v>
      </c>
      <c r="E70" s="2" t="str">
        <f>Fanduel!D70</f>
        <v>Mattias Ekholm</v>
      </c>
      <c r="F70" s="2">
        <f>(Fanduel!F70)*(IF(Fanduel!L70=0,1,0))</f>
        <v>11.015789634302999</v>
      </c>
      <c r="G70" s="35">
        <f>Fanduel!H70</f>
        <v>4300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 s="2"/>
    </row>
    <row r="71" spans="1:12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W</v>
      </c>
      <c r="E71" s="2" t="str">
        <f>Fanduel!D71</f>
        <v>Ondrej Kase</v>
      </c>
      <c r="F71" s="2">
        <f>(Fanduel!F71)*(IF(Fanduel!L71=0,1,0))</f>
        <v>0</v>
      </c>
      <c r="G71" s="35">
        <f>Fanduel!H71</f>
        <v>3500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 s="2"/>
    </row>
    <row r="72" spans="1:12" x14ac:dyDescent="0.25">
      <c r="A72" t="str">
        <f t="shared" si="5"/>
        <v>W</v>
      </c>
      <c r="B72" t="str">
        <f>IF(C72=0,0,A72&amp;" "&amp;COUNTIF($A$1:$A72,A72))</f>
        <v>W 4</v>
      </c>
      <c r="C72" s="1">
        <v>1</v>
      </c>
      <c r="D72" s="42" t="str">
        <f>Fanduel!B72</f>
        <v>W</v>
      </c>
      <c r="E72" s="2" t="str">
        <f>Fanduel!D72</f>
        <v>Brian Gibbons</v>
      </c>
      <c r="F72" s="2">
        <f>(Fanduel!F72)*(IF(Fanduel!L72=0,1,0))</f>
        <v>10.9473684210526</v>
      </c>
      <c r="G72" s="35">
        <f>Fanduel!H72</f>
        <v>3300</v>
      </c>
      <c r="H72">
        <f t="shared" si="6"/>
        <v>0</v>
      </c>
      <c r="I72">
        <f t="shared" si="6"/>
        <v>1</v>
      </c>
      <c r="J72">
        <f t="shared" si="6"/>
        <v>0</v>
      </c>
      <c r="K72">
        <f t="shared" si="6"/>
        <v>0</v>
      </c>
      <c r="L72" s="2"/>
    </row>
    <row r="73" spans="1:12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W</v>
      </c>
      <c r="E73" s="2" t="str">
        <f>Fanduel!D73</f>
        <v>Kyle Connor</v>
      </c>
      <c r="F73" s="2">
        <f>(Fanduel!F73)*(IF(Fanduel!L73=0,1,0))</f>
        <v>10.914285932268401</v>
      </c>
      <c r="G73" s="35">
        <f>Fanduel!H73</f>
        <v>4100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 s="2"/>
    </row>
    <row r="74" spans="1:12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2" t="str">
        <f>Fanduel!B74</f>
        <v>D</v>
      </c>
      <c r="E74" s="2" t="str">
        <f>Fanduel!D74</f>
        <v>Dougie Hamilton</v>
      </c>
      <c r="F74" s="2">
        <f>(Fanduel!F74)*(IF(Fanduel!L74=0,1,0))</f>
        <v>10.889473362972801</v>
      </c>
      <c r="G74" s="35">
        <f>Fanduel!H74</f>
        <v>5200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 s="2"/>
    </row>
    <row r="75" spans="1:12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W</v>
      </c>
      <c r="E75" s="2" t="str">
        <f>Fanduel!D75</f>
        <v>Tomas Hertl</v>
      </c>
      <c r="F75" s="2">
        <f>(Fanduel!F75)*(IF(Fanduel!L75=0,1,0))</f>
        <v>10.8777779473198</v>
      </c>
      <c r="G75" s="35">
        <f>Fanduel!H75</f>
        <v>5000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 s="2"/>
    </row>
    <row r="76" spans="1:12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W</v>
      </c>
      <c r="E76" s="2" t="str">
        <f>Fanduel!D76</f>
        <v>Jakob Silfverberg</v>
      </c>
      <c r="F76" s="2">
        <f>(Fanduel!F76)*(IF(Fanduel!L76=0,1,0))</f>
        <v>10.873684531763899</v>
      </c>
      <c r="G76" s="35">
        <f>Fanduel!H76</f>
        <v>5300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 s="2"/>
    </row>
    <row r="77" spans="1:12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D</v>
      </c>
      <c r="E77" s="2" t="str">
        <f>Fanduel!D77</f>
        <v>Dustin Byfuglien</v>
      </c>
      <c r="F77" s="2">
        <f>(Fanduel!F77)*(IF(Fanduel!L77=0,1,0))</f>
        <v>10.8352939381318</v>
      </c>
      <c r="G77" s="35">
        <f>Fanduel!H77</f>
        <v>5200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 s="2"/>
    </row>
    <row r="78" spans="1:12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D</v>
      </c>
      <c r="E78" s="2" t="str">
        <f>Fanduel!D78</f>
        <v>Hampus Lindholm</v>
      </c>
      <c r="F78" s="2">
        <f>(Fanduel!F78)*(IF(Fanduel!L78=0,1,0))</f>
        <v>10.827272588556401</v>
      </c>
      <c r="G78" s="35">
        <f>Fanduel!H78</f>
        <v>4200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 s="2"/>
    </row>
    <row r="79" spans="1:12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W</v>
      </c>
      <c r="E79" s="2" t="str">
        <f>Fanduel!D79</f>
        <v>William Nylander</v>
      </c>
      <c r="F79" s="2">
        <f>(Fanduel!F79)*(IF(Fanduel!L79=0,1,0))</f>
        <v>10.761904761904701</v>
      </c>
      <c r="G79" s="35">
        <f>Fanduel!H79</f>
        <v>5800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 s="2"/>
    </row>
    <row r="80" spans="1:12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W</v>
      </c>
      <c r="E80" s="2" t="str">
        <f>Fanduel!D80</f>
        <v>Corey Perry</v>
      </c>
      <c r="F80" s="2">
        <f>(Fanduel!F80)*(IF(Fanduel!L80=0,1,0))</f>
        <v>10.757894415604399</v>
      </c>
      <c r="G80" s="35">
        <f>Fanduel!H80</f>
        <v>5900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 s="2"/>
    </row>
    <row r="81" spans="1:12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C</v>
      </c>
      <c r="E81" s="2" t="str">
        <f>Fanduel!D81</f>
        <v>Nicklas Backstrom</v>
      </c>
      <c r="F81" s="2">
        <f>(Fanduel!F81)*(IF(Fanduel!L81=0,1,0))</f>
        <v>10.7199996948242</v>
      </c>
      <c r="G81" s="35">
        <f>Fanduel!H81</f>
        <v>5800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 s="2"/>
    </row>
    <row r="82" spans="1:12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W</v>
      </c>
      <c r="E82" s="2" t="str">
        <f>Fanduel!D82</f>
        <v>Josh Anderson</v>
      </c>
      <c r="F82" s="2">
        <f>(Fanduel!F82)*(IF(Fanduel!L82=0,1,0))</f>
        <v>10.711111280653199</v>
      </c>
      <c r="G82" s="35">
        <f>Fanduel!H82</f>
        <v>4400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 s="2"/>
    </row>
    <row r="83" spans="1:12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W</v>
      </c>
      <c r="E83" s="2" t="str">
        <f>Fanduel!D83</f>
        <v>Cam Atkinson</v>
      </c>
      <c r="F83" s="2">
        <f>(Fanduel!F83)*(IF(Fanduel!L83=0,1,0))</f>
        <v>10.699999809265099</v>
      </c>
      <c r="G83" s="35">
        <f>Fanduel!H83</f>
        <v>6200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 s="2"/>
    </row>
    <row r="84" spans="1:12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W</v>
      </c>
      <c r="E84" s="2" t="str">
        <f>Fanduel!D84</f>
        <v>Joe Pavelski</v>
      </c>
      <c r="F84" s="2">
        <f>(Fanduel!F84)*(IF(Fanduel!L84=0,1,0))</f>
        <v>10.6944444444444</v>
      </c>
      <c r="G84" s="35">
        <f>Fanduel!H84</f>
        <v>6900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 s="2"/>
    </row>
    <row r="85" spans="1:12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W</v>
      </c>
      <c r="E85" s="2" t="str">
        <f>Fanduel!D85</f>
        <v>Anthony Duclair</v>
      </c>
      <c r="F85" s="2">
        <f>(Fanduel!F85)*(IF(Fanduel!L85=0,1,0))</f>
        <v>10.6625003814697</v>
      </c>
      <c r="G85" s="35">
        <f>Fanduel!H85</f>
        <v>3200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 s="2"/>
    </row>
    <row r="86" spans="1:12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W</v>
      </c>
      <c r="E86" s="2" t="str">
        <f>Fanduel!D86</f>
        <v>Jason Pominville</v>
      </c>
      <c r="F86" s="2">
        <f>(Fanduel!F86)*(IF(Fanduel!L86=0,1,0))</f>
        <v>10.6099998474121</v>
      </c>
      <c r="G86" s="35">
        <f>Fanduel!H86</f>
        <v>4700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 s="2"/>
    </row>
    <row r="87" spans="1:12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D</v>
      </c>
      <c r="E87" s="2" t="str">
        <f>Fanduel!D87</f>
        <v>Jacob Trouba</v>
      </c>
      <c r="F87" s="2">
        <f>(Fanduel!F87)*(IF(Fanduel!L87=0,1,0))</f>
        <v>10.531579268606</v>
      </c>
      <c r="G87" s="35">
        <f>Fanduel!H87</f>
        <v>4700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 s="2"/>
    </row>
    <row r="88" spans="1:12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W</v>
      </c>
      <c r="E88" s="2" t="str">
        <f>Fanduel!D88</f>
        <v>Boone Jenner</v>
      </c>
      <c r="F88" s="2">
        <f>(Fanduel!F88)*(IF(Fanduel!L88=0,1,0))</f>
        <v>10.3769226074218</v>
      </c>
      <c r="G88" s="35">
        <f>Fanduel!H88</f>
        <v>5000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 s="2"/>
    </row>
    <row r="89" spans="1:12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W</v>
      </c>
      <c r="E89" s="2" t="str">
        <f>Fanduel!D89</f>
        <v>Jesper Bratt</v>
      </c>
      <c r="F89" s="2">
        <f>(Fanduel!F89)*(IF(Fanduel!L89=0,1,0))</f>
        <v>10.3473687422902</v>
      </c>
      <c r="G89" s="35">
        <f>Fanduel!H89</f>
        <v>4100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 s="2"/>
    </row>
    <row r="90" spans="1:12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G</v>
      </c>
      <c r="E90" s="2" t="str">
        <f>Fanduel!D90</f>
        <v>Steve Mason</v>
      </c>
      <c r="F90" s="2">
        <f>(Fanduel!F90)*(IF(Fanduel!L90=0,1,0))</f>
        <v>10.2666664123535</v>
      </c>
      <c r="G90" s="35">
        <f>Fanduel!H90</f>
        <v>7400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 s="2"/>
    </row>
    <row r="91" spans="1:12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W</v>
      </c>
      <c r="E91" s="2" t="str">
        <f>Fanduel!D91</f>
        <v>Matt Calvert</v>
      </c>
      <c r="F91" s="2">
        <f>(Fanduel!F91)*(IF(Fanduel!L91=0,1,0))</f>
        <v>0</v>
      </c>
      <c r="G91" s="35">
        <f>Fanduel!H91</f>
        <v>3000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 s="2"/>
    </row>
    <row r="92" spans="1:12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C</v>
      </c>
      <c r="E92" s="2" t="str">
        <f>Fanduel!D92</f>
        <v>Mikael Backlund</v>
      </c>
      <c r="F92" s="2">
        <f>(Fanduel!F92)*(IF(Fanduel!L92=0,1,0))</f>
        <v>10.094737002724001</v>
      </c>
      <c r="G92" s="35">
        <f>Fanduel!H92</f>
        <v>5200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 s="2"/>
    </row>
    <row r="93" spans="1:12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C</v>
      </c>
      <c r="E93" s="2" t="str">
        <f>Fanduel!D93</f>
        <v>Mikko Koivu</v>
      </c>
      <c r="F93" s="2">
        <f>(Fanduel!F93)*(IF(Fanduel!L93=0,1,0))</f>
        <v>10.015789634302999</v>
      </c>
      <c r="G93" s="35">
        <f>Fanduel!H93</f>
        <v>5400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 s="2"/>
    </row>
    <row r="94" spans="1:12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D</v>
      </c>
      <c r="E94" s="2" t="str">
        <f>Fanduel!D94</f>
        <v>Tim Heed</v>
      </c>
      <c r="F94" s="2">
        <f>(Fanduel!F94)*(IF(Fanduel!L94=0,1,0))</f>
        <v>9.9937496185302699</v>
      </c>
      <c r="G94" s="35">
        <f>Fanduel!H94</f>
        <v>4000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 s="2"/>
    </row>
    <row r="95" spans="1:12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W</v>
      </c>
      <c r="E95" s="2" t="str">
        <f>Fanduel!D95</f>
        <v>Mikael Granlund</v>
      </c>
      <c r="F95" s="2">
        <f>(Fanduel!F95)*(IF(Fanduel!L95=0,1,0))</f>
        <v>9.9071426391601491</v>
      </c>
      <c r="G95" s="35">
        <f>Fanduel!H95</f>
        <v>6300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 s="2"/>
    </row>
    <row r="96" spans="1:12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W</v>
      </c>
      <c r="E96" s="2" t="str">
        <f>Fanduel!D96</f>
        <v>Andrew Cogliano</v>
      </c>
      <c r="F96" s="2">
        <f>(Fanduel!F96)*(IF(Fanduel!L96=0,1,0))</f>
        <v>9.7473682604337899</v>
      </c>
      <c r="G96" s="35">
        <f>Fanduel!H96</f>
        <v>4000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 s="2"/>
    </row>
    <row r="97" spans="1:12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C</v>
      </c>
      <c r="E97" s="2" t="str">
        <f>Fanduel!D97</f>
        <v>Derek Stepan</v>
      </c>
      <c r="F97" s="2">
        <f>(Fanduel!F97)*(IF(Fanduel!L97=0,1,0))</f>
        <v>9.7272727272727195</v>
      </c>
      <c r="G97" s="35">
        <f>Fanduel!H97</f>
        <v>5000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 s="2"/>
    </row>
    <row r="98" spans="1:12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D</v>
      </c>
      <c r="E98" s="2" t="str">
        <f>Fanduel!D98</f>
        <v>Josh Manson</v>
      </c>
      <c r="F98" s="2">
        <f>(Fanduel!F98)*(IF(Fanduel!L98=0,1,0))</f>
        <v>9.7052628366570701</v>
      </c>
      <c r="G98" s="35">
        <f>Fanduel!H98</f>
        <v>3600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 s="2"/>
    </row>
    <row r="99" spans="1:12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W</v>
      </c>
      <c r="E99" s="2" t="str">
        <f>Fanduel!D99</f>
        <v>Craig Smith</v>
      </c>
      <c r="F99" s="2">
        <f>(Fanduel!F99)*(IF(Fanduel!L99=0,1,0))</f>
        <v>9.68947400544819</v>
      </c>
      <c r="G99" s="35">
        <f>Fanduel!H99</f>
        <v>4000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 s="2"/>
    </row>
    <row r="100" spans="1:12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W</v>
      </c>
      <c r="E100" s="2" t="str">
        <f>Fanduel!D100</f>
        <v>Daniel O'Regan</v>
      </c>
      <c r="F100" s="2">
        <f>(Fanduel!F100)*(IF(Fanduel!L100=0,1,0))</f>
        <v>9.6000003814697195</v>
      </c>
      <c r="G100" s="35">
        <f>Fanduel!H100</f>
        <v>3000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 s="2"/>
    </row>
    <row r="101" spans="1:12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D</v>
      </c>
      <c r="E101" s="2" t="str">
        <f>Fanduel!D101</f>
        <v>Will Butcher</v>
      </c>
      <c r="F101" s="2">
        <f>(Fanduel!F101)*(IF(Fanduel!L101=0,1,0))</f>
        <v>9.5999996787623303</v>
      </c>
      <c r="G101" s="35">
        <f>Fanduel!H101</f>
        <v>4200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 s="2"/>
    </row>
    <row r="102" spans="1:12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C</v>
      </c>
      <c r="E102" s="2" t="str">
        <f>Fanduel!D102</f>
        <v>Christian Dvorak</v>
      </c>
      <c r="F102" s="2">
        <f>(Fanduel!F102)*(IF(Fanduel!L102=0,1,0))</f>
        <v>9.5590910478071702</v>
      </c>
      <c r="G102" s="35">
        <f>Fanduel!H102</f>
        <v>4100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/>
    </row>
    <row r="103" spans="1:12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W</v>
      </c>
      <c r="E103" s="2" t="str">
        <f>Fanduel!D103</f>
        <v>Mitchell Marner</v>
      </c>
      <c r="F103" s="2">
        <f>(Fanduel!F103)*(IF(Fanduel!L103=0,1,0))</f>
        <v>9.5428568522135393</v>
      </c>
      <c r="G103" s="35">
        <f>Fanduel!H103</f>
        <v>4900</v>
      </c>
      <c r="H103" s="2">
        <f t="shared" ref="H103:K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/>
    </row>
    <row r="104" spans="1:12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D</v>
      </c>
      <c r="E104" s="2" t="str">
        <f>Fanduel!D104</f>
        <v>Nikita Zaitsev</v>
      </c>
      <c r="F104" s="2">
        <f>(Fanduel!F104)*(IF(Fanduel!L104=0,1,0))</f>
        <v>9.5238095238095202</v>
      </c>
      <c r="G104" s="35">
        <f>Fanduel!H104</f>
        <v>4300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/>
    </row>
    <row r="105" spans="1:12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W</v>
      </c>
      <c r="E105" s="2" t="str">
        <f>Fanduel!D105</f>
        <v>Miles Wood</v>
      </c>
      <c r="F105" s="2">
        <f>(Fanduel!F105)*(IF(Fanduel!L105=0,1,0))</f>
        <v>9.3888888888888893</v>
      </c>
      <c r="G105" s="35">
        <f>Fanduel!H105</f>
        <v>3400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/>
    </row>
    <row r="106" spans="1:12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W</v>
      </c>
      <c r="E106" s="2" t="str">
        <f>Fanduel!D106</f>
        <v>Patrick Eaves</v>
      </c>
      <c r="F106" s="2">
        <f>(Fanduel!F106)*(IF(Fanduel!L106=0,1,0))</f>
        <v>0</v>
      </c>
      <c r="G106" s="35">
        <f>Fanduel!H106</f>
        <v>4300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/>
    </row>
    <row r="107" spans="1:12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C</v>
      </c>
      <c r="E107" s="2" t="str">
        <f>Fanduel!D107</f>
        <v>Lars Eller</v>
      </c>
      <c r="F107" s="2">
        <f>(Fanduel!F107)*(IF(Fanduel!L107=0,1,0))</f>
        <v>9.1849998474121097</v>
      </c>
      <c r="G107" s="35">
        <f>Fanduel!H107</f>
        <v>3600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/>
    </row>
    <row r="108" spans="1:12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W</v>
      </c>
      <c r="E108" s="2" t="str">
        <f>Fanduel!D108</f>
        <v>Drew Stafford</v>
      </c>
      <c r="F108" s="2">
        <f>(Fanduel!F108)*(IF(Fanduel!L108=0,1,0))</f>
        <v>9.1437501907348597</v>
      </c>
      <c r="G108" s="35">
        <f>Fanduel!H108</f>
        <v>4100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/>
    </row>
    <row r="109" spans="1:12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D</v>
      </c>
      <c r="E109" s="2" t="str">
        <f>Fanduel!D109</f>
        <v>David Savard</v>
      </c>
      <c r="F109" s="2">
        <f>(Fanduel!F109)*(IF(Fanduel!L109=0,1,0))</f>
        <v>9.0947370027240897</v>
      </c>
      <c r="G109" s="35">
        <f>Fanduel!H109</f>
        <v>3700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/>
    </row>
    <row r="110" spans="1:12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D</v>
      </c>
      <c r="E110" s="2" t="str">
        <f>Fanduel!D110</f>
        <v>Sami Vatanen</v>
      </c>
      <c r="F110" s="2">
        <f>(Fanduel!F110)*(IF(Fanduel!L110=0,1,0))</f>
        <v>9.0888892279730893</v>
      </c>
      <c r="G110" s="35">
        <f>Fanduel!H110</f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/>
    </row>
    <row r="111" spans="1:12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G</v>
      </c>
      <c r="E111" s="2" t="str">
        <f>Fanduel!D111</f>
        <v>Chad Johnson</v>
      </c>
      <c r="F111" s="2">
        <f>(Fanduel!F111)*(IF(Fanduel!L111=0,1,0))</f>
        <v>9.0666664971245599</v>
      </c>
      <c r="G111" s="35">
        <f>Fanduel!H111</f>
        <v>7200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/>
    </row>
    <row r="112" spans="1:12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D</v>
      </c>
      <c r="E112" s="2" t="str">
        <f>Fanduel!D112</f>
        <v>Rasmus Ristolainen</v>
      </c>
      <c r="F112" s="2">
        <f>(Fanduel!F112)*(IF(Fanduel!L112=0,1,0))</f>
        <v>0</v>
      </c>
      <c r="G112" s="35">
        <f>Fanduel!H112</f>
        <v>5000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/>
    </row>
    <row r="113" spans="1:12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W</v>
      </c>
      <c r="E113" s="2" t="str">
        <f>Fanduel!D113</f>
        <v>Michael Frolik</v>
      </c>
      <c r="F113" s="2">
        <f>(Fanduel!F113)*(IF(Fanduel!L113=0,1,0))</f>
        <v>8.8631575734991692</v>
      </c>
      <c r="G113" s="35">
        <f>Fanduel!H113</f>
        <v>4500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/>
    </row>
    <row r="114" spans="1:12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W</v>
      </c>
      <c r="E114" s="2" t="str">
        <f>Fanduel!D114</f>
        <v>Zach Hyman</v>
      </c>
      <c r="F114" s="2">
        <f>(Fanduel!F114)*(IF(Fanduel!L114=0,1,0))</f>
        <v>8.8380955287388296</v>
      </c>
      <c r="G114" s="35">
        <f>Fanduel!H114</f>
        <v>4300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/>
    </row>
    <row r="115" spans="1:12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W</v>
      </c>
      <c r="E115" s="2" t="str">
        <f>Fanduel!D115</f>
        <v>Oliver Bjorkstrand</v>
      </c>
      <c r="F115" s="2">
        <f>(Fanduel!F115)*(IF(Fanduel!L115=0,1,0))</f>
        <v>8.8349998474121101</v>
      </c>
      <c r="G115" s="35">
        <f>Fanduel!H115</f>
        <v>4900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/>
    </row>
    <row r="116" spans="1:12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C</v>
      </c>
      <c r="E116" s="2" t="str">
        <f>Fanduel!D116</f>
        <v>Nick Bonino</v>
      </c>
      <c r="F116" s="2">
        <f>(Fanduel!F116)*(IF(Fanduel!L116=0,1,0))</f>
        <v>8.8000001907348597</v>
      </c>
      <c r="G116" s="35">
        <f>Fanduel!H116</f>
        <v>3400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/>
    </row>
    <row r="117" spans="1:12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W</v>
      </c>
      <c r="E117" s="2" t="str">
        <f>Fanduel!D117</f>
        <v>Connor Brown</v>
      </c>
      <c r="F117" s="2">
        <f>(Fanduel!F117)*(IF(Fanduel!L117=0,1,0))</f>
        <v>8.7095235188802</v>
      </c>
      <c r="G117" s="35">
        <f>Fanduel!H117</f>
        <v>3500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/>
    </row>
    <row r="118" spans="1:12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D</v>
      </c>
      <c r="E118" s="2" t="str">
        <f>Fanduel!D118</f>
        <v>Alex Goligoski</v>
      </c>
      <c r="F118" s="2">
        <f>(Fanduel!F118)*(IF(Fanduel!L118=0,1,0))</f>
        <v>8.6500001387162602</v>
      </c>
      <c r="G118" s="35">
        <f>Fanduel!H118</f>
        <v>4000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/>
    </row>
    <row r="119" spans="1:12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D</v>
      </c>
      <c r="E119" s="2" t="str">
        <f>Fanduel!D119</f>
        <v>Ron Hainsey</v>
      </c>
      <c r="F119" s="2">
        <f>(Fanduel!F119)*(IF(Fanduel!L119=0,1,0))</f>
        <v>8.4952378045944901</v>
      </c>
      <c r="G119" s="35">
        <f>Fanduel!H119</f>
        <v>3600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/>
    </row>
    <row r="120" spans="1:12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W</v>
      </c>
      <c r="E120" s="2" t="str">
        <f>Fanduel!D120</f>
        <v>Max Domi</v>
      </c>
      <c r="F120" s="2">
        <f>(Fanduel!F120)*(IF(Fanduel!L120=0,1,0))</f>
        <v>8.3227275501598008</v>
      </c>
      <c r="G120" s="35">
        <f>Fanduel!H120</f>
        <v>4700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/>
    </row>
    <row r="121" spans="1:12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W</v>
      </c>
      <c r="E121" s="2" t="str">
        <f>Fanduel!D121</f>
        <v>Nick Foligno</v>
      </c>
      <c r="F121" s="2">
        <f>(Fanduel!F121)*(IF(Fanduel!L121=0,1,0))</f>
        <v>8.3050003051757795</v>
      </c>
      <c r="G121" s="35">
        <f>Fanduel!H121</f>
        <v>5300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/>
    </row>
    <row r="122" spans="1:12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W</v>
      </c>
      <c r="E122" s="2" t="str">
        <f>Fanduel!D122</f>
        <v>Kyle Okposo</v>
      </c>
      <c r="F122" s="2">
        <f>(Fanduel!F122)*(IF(Fanduel!L122=0,1,0))</f>
        <v>8.2888887193467795</v>
      </c>
      <c r="G122" s="35">
        <f>Fanduel!H122</f>
        <v>5300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/>
    </row>
    <row r="123" spans="1:12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D</v>
      </c>
      <c r="E123" s="2" t="str">
        <f>Fanduel!D123</f>
        <v>Matt Dumba</v>
      </c>
      <c r="F123" s="2">
        <f>(Fanduel!F123)*(IF(Fanduel!L123=0,1,0))</f>
        <v>8.2842102050781197</v>
      </c>
      <c r="G123" s="35">
        <f>Fanduel!H123</f>
        <v>3900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/>
    </row>
    <row r="124" spans="1:12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C</v>
      </c>
      <c r="E124" s="2" t="str">
        <f>Fanduel!D124</f>
        <v>Adam Henrique</v>
      </c>
      <c r="F124" s="2">
        <f>(Fanduel!F124)*(IF(Fanduel!L124=0,1,0))</f>
        <v>8.2736840499074802</v>
      </c>
      <c r="G124" s="35">
        <f>Fanduel!H124</f>
        <v>4000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/>
    </row>
    <row r="125" spans="1:12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D</v>
      </c>
      <c r="E125" s="2" t="str">
        <f>Fanduel!D125</f>
        <v>Jason Demers</v>
      </c>
      <c r="F125" s="2">
        <f>(Fanduel!F125)*(IF(Fanduel!L125=0,1,0))</f>
        <v>8.2636365023526199</v>
      </c>
      <c r="G125" s="35">
        <f>Fanduel!H125</f>
        <v>3700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/>
    </row>
    <row r="126" spans="1:12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C</v>
      </c>
      <c r="E126" s="2" t="str">
        <f>Fanduel!D126</f>
        <v>Alexander Wennberg</v>
      </c>
      <c r="F126" s="2">
        <f>(Fanduel!F126)*(IF(Fanduel!L126=0,1,0))</f>
        <v>0</v>
      </c>
      <c r="G126" s="35">
        <f>Fanduel!H126</f>
        <v>5000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/>
    </row>
    <row r="127" spans="1:12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C</v>
      </c>
      <c r="E127" s="2" t="str">
        <f>Fanduel!D127</f>
        <v>Derek Grant</v>
      </c>
      <c r="F127" s="2">
        <f>(Fanduel!F127)*(IF(Fanduel!L127=0,1,0))</f>
        <v>8.1105266370271298</v>
      </c>
      <c r="G127" s="35">
        <f>Fanduel!H127</f>
        <v>3400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/>
    </row>
    <row r="128" spans="1:12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W</v>
      </c>
      <c r="E128" s="2" t="str">
        <f>Fanduel!D128</f>
        <v>Kevin Fiala</v>
      </c>
      <c r="F128" s="2">
        <f>(Fanduel!F128)*(IF(Fanduel!L128=0,1,0))</f>
        <v>8.00555589463975</v>
      </c>
      <c r="G128" s="35">
        <f>Fanduel!H128</f>
        <v>3800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/>
    </row>
    <row r="129" spans="1:12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W</v>
      </c>
      <c r="E129" s="2" t="str">
        <f>Fanduel!D129</f>
        <v>Justin Bailey</v>
      </c>
      <c r="F129" s="2">
        <f>(Fanduel!F129)*(IF(Fanduel!L129=0,1,0))</f>
        <v>8</v>
      </c>
      <c r="G129" s="35">
        <f>Fanduel!H129</f>
        <v>3200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/>
    </row>
    <row r="130" spans="1:12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W</v>
      </c>
      <c r="E130" s="2" t="str">
        <f>Fanduel!D130</f>
        <v>Joonas Donskoi</v>
      </c>
      <c r="F130" s="2">
        <f>(Fanduel!F130)*(IF(Fanduel!L130=0,1,0))</f>
        <v>7.9833331637912304</v>
      </c>
      <c r="G130" s="35">
        <f>Fanduel!H130</f>
        <v>4100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/>
    </row>
    <row r="131" spans="1:12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D</v>
      </c>
      <c r="E131" s="2" t="str">
        <f>Fanduel!D131</f>
        <v>Damon Severson</v>
      </c>
      <c r="F131" s="2">
        <f>(Fanduel!F131)*(IF(Fanduel!L131=0,1,0))</f>
        <v>7.9388885498046804</v>
      </c>
      <c r="G131" s="35">
        <f>Fanduel!H131</f>
        <v>4300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/>
    </row>
    <row r="132" spans="1:12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W</v>
      </c>
      <c r="E132" s="2" t="str">
        <f>Fanduel!D132</f>
        <v>Kris Versteeg</v>
      </c>
      <c r="F132" s="2">
        <f>(Fanduel!F132)*(IF(Fanduel!L132=0,1,0))</f>
        <v>7.9210526315789398</v>
      </c>
      <c r="G132" s="35">
        <f>Fanduel!H132</f>
        <v>3300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/>
    </row>
    <row r="133" spans="1:12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D</v>
      </c>
      <c r="E133" s="2" t="str">
        <f>Fanduel!D133</f>
        <v>Andy Greene</v>
      </c>
      <c r="F133" s="2">
        <f>(Fanduel!F133)*(IF(Fanduel!L133=0,1,0))</f>
        <v>7.9111107720269098</v>
      </c>
      <c r="G133" s="35">
        <f>Fanduel!H133</f>
        <v>3600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/>
    </row>
    <row r="134" spans="1:12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D</v>
      </c>
      <c r="E134" s="2" t="str">
        <f>Fanduel!D134</f>
        <v>Josh Morrissey</v>
      </c>
      <c r="F134" s="2">
        <f>(Fanduel!F134)*(IF(Fanduel!L134=0,1,0))</f>
        <v>7.8315791079872499</v>
      </c>
      <c r="G134" s="35">
        <f>Fanduel!H134</f>
        <v>3700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/>
    </row>
    <row r="135" spans="1:12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W</v>
      </c>
      <c r="E135" s="2" t="str">
        <f>Fanduel!D135</f>
        <v>Brendan Perlini</v>
      </c>
      <c r="F135" s="2">
        <f>(Fanduel!F135)*(IF(Fanduel!L135=0,1,0))</f>
        <v>7.8249998092651296</v>
      </c>
      <c r="G135" s="35">
        <f>Fanduel!H135</f>
        <v>3400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/>
    </row>
    <row r="136" spans="1:12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D</v>
      </c>
      <c r="E136" s="2" t="str">
        <f>Fanduel!D136</f>
        <v>Marc-Edouard Vlasic</v>
      </c>
      <c r="F136" s="2">
        <f>(Fanduel!F136)*(IF(Fanduel!L136=0,1,0))</f>
        <v>7.8235294117647003</v>
      </c>
      <c r="G136" s="35">
        <f>Fanduel!H136</f>
        <v>3600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/>
    </row>
    <row r="137" spans="1:12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D</v>
      </c>
      <c r="E137" s="2" t="str">
        <f>Fanduel!D137</f>
        <v>John Moore</v>
      </c>
      <c r="F137" s="2">
        <f>(Fanduel!F137)*(IF(Fanduel!L137=0,1,0))</f>
        <v>7.7684213738692396</v>
      </c>
      <c r="G137" s="35">
        <f>Fanduel!H137</f>
        <v>3500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/>
    </row>
    <row r="138" spans="1:12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W</v>
      </c>
      <c r="E138" s="2" t="str">
        <f>Fanduel!D138</f>
        <v>Kevin Labanc</v>
      </c>
      <c r="F138" s="2">
        <f>(Fanduel!F138)*(IF(Fanduel!L138=0,1,0))</f>
        <v>7.76000010172526</v>
      </c>
      <c r="G138" s="35">
        <f>Fanduel!H138</f>
        <v>3100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/>
    </row>
    <row r="139" spans="1:12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C</v>
      </c>
      <c r="E139" s="2" t="str">
        <f>Fanduel!D139</f>
        <v>Brandon Dubinsky</v>
      </c>
      <c r="F139" s="2">
        <f>(Fanduel!F139)*(IF(Fanduel!L139=0,1,0))</f>
        <v>7.7599998474121001</v>
      </c>
      <c r="G139" s="35">
        <f>Fanduel!H139</f>
        <v>4500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/>
    </row>
    <row r="140" spans="1:12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W</v>
      </c>
      <c r="E140" s="2" t="str">
        <f>Fanduel!D140</f>
        <v>Scott Hartnell</v>
      </c>
      <c r="F140" s="2">
        <f>(Fanduel!F140)*(IF(Fanduel!L140=0,1,0))</f>
        <v>0</v>
      </c>
      <c r="G140" s="35">
        <f>Fanduel!H140</f>
        <v>3200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/>
    </row>
    <row r="141" spans="1:12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D</v>
      </c>
      <c r="E141" s="2" t="str">
        <f>Fanduel!D141</f>
        <v>Steven Santini</v>
      </c>
      <c r="F141" s="2">
        <f>(Fanduel!F141)*(IF(Fanduel!L141=0,1,0))</f>
        <v>7.7176468793083597</v>
      </c>
      <c r="G141" s="35">
        <f>Fanduel!H141</f>
        <v>3500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/>
    </row>
    <row r="142" spans="1:12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D</v>
      </c>
      <c r="E142" s="2" t="str">
        <f>Fanduel!D142</f>
        <v>Cam Fowler</v>
      </c>
      <c r="F142" s="2">
        <f>(Fanduel!F142)*(IF(Fanduel!L142=0,1,0))</f>
        <v>0</v>
      </c>
      <c r="G142" s="35">
        <f>Fanduel!H142</f>
        <v>4800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/>
    </row>
    <row r="143" spans="1:12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C</v>
      </c>
      <c r="E143" s="2" t="str">
        <f>Fanduel!D143</f>
        <v>Chris Wagner</v>
      </c>
      <c r="F143" s="2">
        <f>(Fanduel!F143)*(IF(Fanduel!L143=0,1,0))</f>
        <v>7.7105263157894699</v>
      </c>
      <c r="G143" s="35">
        <f>Fanduel!H143</f>
        <v>3100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/>
    </row>
    <row r="144" spans="1:12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W</v>
      </c>
      <c r="E144" s="2" t="str">
        <f>Fanduel!D144</f>
        <v>Chris Stewart</v>
      </c>
      <c r="F144" s="2">
        <f>(Fanduel!F144)*(IF(Fanduel!L144=0,1,0))</f>
        <v>7.68947400544819</v>
      </c>
      <c r="G144" s="35">
        <f>Fanduel!H144</f>
        <v>3200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/>
    </row>
    <row r="145" spans="1:12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C</v>
      </c>
      <c r="E145" s="2" t="str">
        <f>Fanduel!D145</f>
        <v>Joe Thornton</v>
      </c>
      <c r="F145" s="2">
        <f>(Fanduel!F145)*(IF(Fanduel!L145=0,1,0))</f>
        <v>7.6666666666666599</v>
      </c>
      <c r="G145" s="35">
        <f>Fanduel!H145</f>
        <v>5300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/>
    </row>
    <row r="146" spans="1:12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C</v>
      </c>
      <c r="E146" s="2" t="str">
        <f>Fanduel!D146</f>
        <v>Antoine Vermette</v>
      </c>
      <c r="F146" s="2">
        <f>(Fanduel!F146)*(IF(Fanduel!L146=0,1,0))</f>
        <v>7.6421051025390598</v>
      </c>
      <c r="G146" s="35">
        <f>Fanduel!H146</f>
        <v>3400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/>
    </row>
    <row r="147" spans="1:12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C</v>
      </c>
      <c r="E147" s="2" t="str">
        <f>Fanduel!D147</f>
        <v>Tyler Bozak</v>
      </c>
      <c r="F147" s="2">
        <f>(Fanduel!F147)*(IF(Fanduel!L147=0,1,0))</f>
        <v>7.5619049072265598</v>
      </c>
      <c r="G147" s="35">
        <f>Fanduel!H147</f>
        <v>4200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/>
    </row>
    <row r="148" spans="1:12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C</v>
      </c>
      <c r="E148" s="2" t="str">
        <f>Fanduel!D148</f>
        <v>Adam Lowry</v>
      </c>
      <c r="F148" s="2">
        <f>(Fanduel!F148)*(IF(Fanduel!L148=0,1,0))</f>
        <v>7.51999969482421</v>
      </c>
      <c r="G148" s="35">
        <f>Fanduel!H148</f>
        <v>3600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/>
    </row>
    <row r="149" spans="1:12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D</v>
      </c>
      <c r="E149" s="2" t="str">
        <f>Fanduel!D149</f>
        <v>Marco Scandella</v>
      </c>
      <c r="F149" s="2">
        <f>(Fanduel!F149)*(IF(Fanduel!L149=0,1,0))</f>
        <v>7.4849998474120998</v>
      </c>
      <c r="G149" s="35">
        <f>Fanduel!H149</f>
        <v>3600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/>
    </row>
    <row r="150" spans="1:12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W</v>
      </c>
      <c r="E150" s="2" t="str">
        <f>Fanduel!D150</f>
        <v>Benoit Pouliot</v>
      </c>
      <c r="F150" s="2">
        <f>(Fanduel!F150)*(IF(Fanduel!L150=0,1,0))</f>
        <v>7.4650001525878897</v>
      </c>
      <c r="G150" s="35">
        <f>Fanduel!H150</f>
        <v>3600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/>
    </row>
    <row r="151" spans="1:12" x14ac:dyDescent="0.25">
      <c r="C151" s="1">
        <v>0</v>
      </c>
      <c r="E151" s="2"/>
    </row>
    <row r="152" spans="1:12" x14ac:dyDescent="0.25">
      <c r="C152" s="1">
        <v>0</v>
      </c>
      <c r="E152" s="2"/>
    </row>
    <row r="153" spans="1:12" x14ac:dyDescent="0.25">
      <c r="C153" s="1">
        <v>0</v>
      </c>
      <c r="E153" s="2"/>
    </row>
    <row r="154" spans="1:12" x14ac:dyDescent="0.25">
      <c r="C154" s="1">
        <v>0</v>
      </c>
      <c r="E154" s="2"/>
    </row>
    <row r="155" spans="1:12" x14ac:dyDescent="0.25">
      <c r="C155" s="1">
        <v>0</v>
      </c>
      <c r="E155" s="2"/>
    </row>
    <row r="156" spans="1:12" x14ac:dyDescent="0.25">
      <c r="C156" s="1">
        <v>0</v>
      </c>
      <c r="E156" s="2"/>
    </row>
    <row r="157" spans="1:12" x14ac:dyDescent="0.25">
      <c r="C157" s="1">
        <v>0</v>
      </c>
      <c r="E157" s="2"/>
    </row>
    <row r="158" spans="1:12" x14ac:dyDescent="0.25">
      <c r="C158" s="1">
        <v>0</v>
      </c>
      <c r="E158" s="2"/>
    </row>
    <row r="159" spans="1:12" x14ac:dyDescent="0.25">
      <c r="C159" s="1">
        <v>0</v>
      </c>
      <c r="E159" s="2"/>
    </row>
    <row r="160" spans="1:12" x14ac:dyDescent="0.25">
      <c r="C160" s="1">
        <v>0</v>
      </c>
      <c r="E160" s="2"/>
    </row>
    <row r="161" spans="3:5" x14ac:dyDescent="0.25">
      <c r="C161" s="1">
        <v>0</v>
      </c>
      <c r="E161" s="2"/>
    </row>
    <row r="162" spans="3:5" x14ac:dyDescent="0.25">
      <c r="C162" s="1">
        <v>0</v>
      </c>
      <c r="E162" s="2"/>
    </row>
    <row r="163" spans="3:5" x14ac:dyDescent="0.25">
      <c r="C163" s="1">
        <v>0</v>
      </c>
      <c r="E163" s="2"/>
    </row>
    <row r="164" spans="3:5" x14ac:dyDescent="0.25">
      <c r="C164" s="1">
        <v>0</v>
      </c>
      <c r="E164" s="2"/>
    </row>
    <row r="165" spans="3:5" x14ac:dyDescent="0.25">
      <c r="C165" s="1">
        <v>0</v>
      </c>
      <c r="E165" s="2"/>
    </row>
    <row r="166" spans="3:5" x14ac:dyDescent="0.25">
      <c r="C166" s="1">
        <v>0</v>
      </c>
      <c r="E166" s="2"/>
    </row>
    <row r="167" spans="3:5" x14ac:dyDescent="0.25">
      <c r="C167" s="1">
        <v>0</v>
      </c>
      <c r="E167" s="2"/>
    </row>
    <row r="168" spans="3:5" x14ac:dyDescent="0.25">
      <c r="C168" s="1">
        <v>0</v>
      </c>
      <c r="E168" s="2"/>
    </row>
    <row r="169" spans="3:5" x14ac:dyDescent="0.25">
      <c r="C169" s="1">
        <v>0</v>
      </c>
      <c r="E169" s="2"/>
    </row>
    <row r="170" spans="3:5" x14ac:dyDescent="0.25">
      <c r="C170" s="1">
        <v>0</v>
      </c>
      <c r="E170" s="2"/>
    </row>
    <row r="171" spans="3:5" x14ac:dyDescent="0.25">
      <c r="C171" s="1">
        <v>0</v>
      </c>
      <c r="E171" s="2"/>
    </row>
    <row r="172" spans="3:5" x14ac:dyDescent="0.25">
      <c r="C172" s="1">
        <v>0</v>
      </c>
      <c r="E172" s="2"/>
    </row>
    <row r="173" spans="3:5" x14ac:dyDescent="0.25">
      <c r="C173" s="1">
        <v>0</v>
      </c>
      <c r="E173" s="2"/>
    </row>
    <row r="174" spans="3:5" x14ac:dyDescent="0.25">
      <c r="C174" s="1">
        <v>0</v>
      </c>
      <c r="E174" s="2"/>
    </row>
    <row r="175" spans="3:5" x14ac:dyDescent="0.25">
      <c r="C175" s="1">
        <v>0</v>
      </c>
      <c r="E175" s="2"/>
    </row>
    <row r="176" spans="3:5" x14ac:dyDescent="0.25">
      <c r="C176" s="1">
        <v>0</v>
      </c>
      <c r="E176" s="2"/>
    </row>
    <row r="177" spans="3:5" x14ac:dyDescent="0.25">
      <c r="C177" s="1">
        <v>0</v>
      </c>
      <c r="E177" s="2"/>
    </row>
    <row r="178" spans="3:5" x14ac:dyDescent="0.25">
      <c r="C178" s="1">
        <v>0</v>
      </c>
      <c r="E178" s="2"/>
    </row>
    <row r="179" spans="3:5" x14ac:dyDescent="0.25">
      <c r="C179" s="1">
        <v>0</v>
      </c>
      <c r="E179" s="2"/>
    </row>
    <row r="180" spans="3:5" x14ac:dyDescent="0.25">
      <c r="C180" s="1">
        <v>0</v>
      </c>
      <c r="E180" s="2"/>
    </row>
    <row r="181" spans="3:5" x14ac:dyDescent="0.25">
      <c r="C181" s="1">
        <v>0</v>
      </c>
      <c r="E181" s="2"/>
    </row>
    <row r="182" spans="3:5" x14ac:dyDescent="0.25">
      <c r="C182" s="1">
        <v>0</v>
      </c>
      <c r="E182" s="2"/>
    </row>
    <row r="183" spans="3:5" x14ac:dyDescent="0.25">
      <c r="C183" s="1">
        <v>0</v>
      </c>
      <c r="E183" s="2"/>
    </row>
    <row r="184" spans="3:5" x14ac:dyDescent="0.25">
      <c r="C184" s="1">
        <v>0</v>
      </c>
      <c r="E184" s="2"/>
    </row>
    <row r="185" spans="3:5" x14ac:dyDescent="0.25">
      <c r="C185" s="1">
        <v>0</v>
      </c>
      <c r="E185" s="2"/>
    </row>
    <row r="186" spans="3:5" x14ac:dyDescent="0.25">
      <c r="C186" s="1">
        <v>0</v>
      </c>
      <c r="E186" s="2"/>
    </row>
    <row r="187" spans="3:5" x14ac:dyDescent="0.25">
      <c r="C187" s="1">
        <v>0</v>
      </c>
      <c r="E187" s="2"/>
    </row>
    <row r="188" spans="3:5" x14ac:dyDescent="0.25">
      <c r="C188" s="1">
        <v>0</v>
      </c>
      <c r="E188" s="2"/>
    </row>
    <row r="189" spans="3:5" x14ac:dyDescent="0.25">
      <c r="C189" s="1">
        <v>0</v>
      </c>
      <c r="E189" s="2"/>
    </row>
    <row r="190" spans="3:5" x14ac:dyDescent="0.25">
      <c r="C190" s="1">
        <v>0</v>
      </c>
      <c r="E190" s="2"/>
    </row>
    <row r="191" spans="3:5" x14ac:dyDescent="0.25">
      <c r="C191" s="1">
        <v>0</v>
      </c>
      <c r="E191" s="2"/>
    </row>
    <row r="192" spans="3:5" x14ac:dyDescent="0.25">
      <c r="C192" s="1">
        <v>0</v>
      </c>
      <c r="E192" s="2"/>
    </row>
    <row r="193" spans="3:5" x14ac:dyDescent="0.25">
      <c r="C193" s="1">
        <v>0</v>
      </c>
      <c r="E193" s="2"/>
    </row>
    <row r="194" spans="3:5" x14ac:dyDescent="0.25">
      <c r="C194" s="1">
        <v>0</v>
      </c>
      <c r="E194" s="2"/>
    </row>
    <row r="195" spans="3:5" x14ac:dyDescent="0.25">
      <c r="C195" s="1">
        <v>0</v>
      </c>
      <c r="E195" s="2"/>
    </row>
    <row r="196" spans="3:5" x14ac:dyDescent="0.25">
      <c r="C196" s="1">
        <v>0</v>
      </c>
      <c r="E196" s="2"/>
    </row>
    <row r="197" spans="3:5" x14ac:dyDescent="0.25">
      <c r="C197" s="1">
        <v>0</v>
      </c>
      <c r="E197" s="2"/>
    </row>
    <row r="198" spans="3:5" x14ac:dyDescent="0.25">
      <c r="C198" s="1">
        <v>0</v>
      </c>
      <c r="E198" s="2"/>
    </row>
    <row r="199" spans="3:5" x14ac:dyDescent="0.25">
      <c r="C199" s="1">
        <v>0</v>
      </c>
      <c r="E199" s="2"/>
    </row>
    <row r="200" spans="3:5" x14ac:dyDescent="0.25">
      <c r="C200" s="1">
        <v>1.6653345369377348E-16</v>
      </c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59"/>
  <sheetViews>
    <sheetView topLeftCell="A232" workbookViewId="0">
      <selection activeCell="P353" sqref="P353"/>
    </sheetView>
  </sheetViews>
  <sheetFormatPr defaultRowHeight="15" x14ac:dyDescent="0.25"/>
  <cols>
    <col min="1" max="1" width="11.7109375" style="2" bestFit="1" customWidth="1"/>
    <col min="2" max="11" width="9.140625" style="2"/>
    <col min="12" max="12" width="14.5703125" style="2" bestFit="1" customWidth="1"/>
    <col min="13" max="13" width="12.7109375" style="2" bestFit="1" customWidth="1"/>
    <col min="14" max="14" width="11.7109375" style="2" bestFit="1" customWidth="1"/>
    <col min="15" max="16384" width="9.140625" style="2"/>
  </cols>
  <sheetData>
    <row r="1" spans="1:14" x14ac:dyDescent="0.25">
      <c r="A1" s="2" t="s">
        <v>34</v>
      </c>
      <c r="B1" s="2" t="s">
        <v>0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  <c r="H1" s="2" t="s">
        <v>32</v>
      </c>
      <c r="I1" s="2" t="s">
        <v>31</v>
      </c>
      <c r="J1" s="2" t="s">
        <v>33</v>
      </c>
      <c r="K1" s="2" t="s">
        <v>40</v>
      </c>
      <c r="L1" s="2" t="s">
        <v>41</v>
      </c>
      <c r="M1" s="2" t="s">
        <v>42</v>
      </c>
      <c r="N1" s="2" t="s">
        <v>128</v>
      </c>
    </row>
    <row r="2" spans="1:14" x14ac:dyDescent="0.25">
      <c r="A2" s="2" t="s">
        <v>141</v>
      </c>
      <c r="B2" s="2" t="s">
        <v>132</v>
      </c>
      <c r="C2" s="2" t="s">
        <v>142</v>
      </c>
      <c r="D2" s="2" t="s">
        <v>143</v>
      </c>
      <c r="E2" s="2" t="s">
        <v>144</v>
      </c>
      <c r="F2" s="2">
        <v>24.049999237060501</v>
      </c>
      <c r="G2" s="2">
        <v>16</v>
      </c>
      <c r="H2" s="2">
        <v>8800</v>
      </c>
      <c r="I2" s="2" t="s">
        <v>145</v>
      </c>
      <c r="J2" s="2" t="s">
        <v>146</v>
      </c>
      <c r="K2" s="2" t="s">
        <v>147</v>
      </c>
      <c r="N2" s="2" t="str">
        <f>A2</f>
        <v>22043-12163</v>
      </c>
    </row>
    <row r="3" spans="1:14" x14ac:dyDescent="0.25">
      <c r="A3" s="2" t="s">
        <v>148</v>
      </c>
      <c r="B3" s="2" t="s">
        <v>132</v>
      </c>
      <c r="C3" s="2" t="s">
        <v>149</v>
      </c>
      <c r="D3" s="2" t="s">
        <v>150</v>
      </c>
      <c r="E3" s="2" t="s">
        <v>151</v>
      </c>
      <c r="F3" s="2">
        <v>23.413334147135402</v>
      </c>
      <c r="G3" s="2">
        <v>15</v>
      </c>
      <c r="H3" s="2">
        <v>8400</v>
      </c>
      <c r="I3" s="2" t="s">
        <v>152</v>
      </c>
      <c r="J3" s="2" t="s">
        <v>153</v>
      </c>
      <c r="K3" s="2" t="s">
        <v>154</v>
      </c>
      <c r="N3" s="2" t="str">
        <f t="shared" ref="N3:N66" si="0">A3</f>
        <v>22043-58909</v>
      </c>
    </row>
    <row r="4" spans="1:14" x14ac:dyDescent="0.25">
      <c r="A4" s="2" t="s">
        <v>155</v>
      </c>
      <c r="B4" s="2" t="s">
        <v>132</v>
      </c>
      <c r="C4" s="2" t="s">
        <v>156</v>
      </c>
      <c r="D4" s="2" t="s">
        <v>157</v>
      </c>
      <c r="E4" s="2" t="s">
        <v>158</v>
      </c>
      <c r="F4" s="2">
        <v>22.2222222222222</v>
      </c>
      <c r="G4" s="2">
        <v>18</v>
      </c>
      <c r="H4" s="2">
        <v>8400</v>
      </c>
      <c r="I4" s="2" t="s">
        <v>159</v>
      </c>
      <c r="J4" s="2" t="s">
        <v>160</v>
      </c>
      <c r="K4" s="2" t="s">
        <v>161</v>
      </c>
      <c r="N4" s="2" t="str">
        <f t="shared" si="0"/>
        <v>22043-23072</v>
      </c>
    </row>
    <row r="5" spans="1:14" x14ac:dyDescent="0.25">
      <c r="A5" s="2" t="s">
        <v>162</v>
      </c>
      <c r="B5" s="2" t="s">
        <v>132</v>
      </c>
      <c r="C5" s="2" t="s">
        <v>163</v>
      </c>
      <c r="D5" s="2" t="s">
        <v>164</v>
      </c>
      <c r="E5" s="2" t="s">
        <v>165</v>
      </c>
      <c r="F5" s="2">
        <v>21.973333740234299</v>
      </c>
      <c r="G5" s="2">
        <v>15</v>
      </c>
      <c r="H5" s="2">
        <v>9100</v>
      </c>
      <c r="I5" s="2" t="s">
        <v>166</v>
      </c>
      <c r="J5" s="2" t="s">
        <v>74</v>
      </c>
      <c r="K5" s="2" t="s">
        <v>167</v>
      </c>
      <c r="N5" s="2" t="str">
        <f t="shared" si="0"/>
        <v>22043-9416</v>
      </c>
    </row>
    <row r="6" spans="1:14" x14ac:dyDescent="0.25">
      <c r="A6" s="2" t="s">
        <v>168</v>
      </c>
      <c r="B6" s="2" t="s">
        <v>132</v>
      </c>
      <c r="C6" s="2" t="s">
        <v>169</v>
      </c>
      <c r="D6" s="2" t="s">
        <v>170</v>
      </c>
      <c r="E6" s="2" t="s">
        <v>171</v>
      </c>
      <c r="F6" s="2">
        <v>21.973333740234299</v>
      </c>
      <c r="G6" s="2">
        <v>15</v>
      </c>
      <c r="H6" s="2">
        <v>8500</v>
      </c>
      <c r="I6" s="2" t="s">
        <v>152</v>
      </c>
      <c r="J6" s="2" t="s">
        <v>154</v>
      </c>
      <c r="K6" s="2" t="s">
        <v>153</v>
      </c>
      <c r="N6" s="2" t="str">
        <f t="shared" si="0"/>
        <v>22043-8472</v>
      </c>
    </row>
    <row r="7" spans="1:14" x14ac:dyDescent="0.25">
      <c r="A7" s="2" t="s">
        <v>172</v>
      </c>
      <c r="B7" s="2" t="s">
        <v>132</v>
      </c>
      <c r="C7" s="2" t="s">
        <v>173</v>
      </c>
      <c r="D7" s="2" t="s">
        <v>174</v>
      </c>
      <c r="E7" s="2" t="s">
        <v>175</v>
      </c>
      <c r="F7" s="2">
        <v>21.119999186197902</v>
      </c>
      <c r="G7" s="2">
        <v>15</v>
      </c>
      <c r="H7" s="2">
        <v>9000</v>
      </c>
      <c r="I7" s="2" t="s">
        <v>176</v>
      </c>
      <c r="J7" s="2" t="s">
        <v>104</v>
      </c>
      <c r="K7" s="2" t="s">
        <v>177</v>
      </c>
      <c r="N7" s="2" t="str">
        <f t="shared" si="0"/>
        <v>22043-8920</v>
      </c>
    </row>
    <row r="8" spans="1:14" x14ac:dyDescent="0.25">
      <c r="A8" s="2" t="s">
        <v>178</v>
      </c>
      <c r="B8" s="2" t="s">
        <v>132</v>
      </c>
      <c r="C8" s="2" t="s">
        <v>65</v>
      </c>
      <c r="D8" s="2" t="s">
        <v>179</v>
      </c>
      <c r="E8" s="2" t="s">
        <v>24</v>
      </c>
      <c r="F8" s="2">
        <v>20.752940458409899</v>
      </c>
      <c r="G8" s="2">
        <v>17</v>
      </c>
      <c r="H8" s="2">
        <v>8400</v>
      </c>
      <c r="I8" s="2" t="s">
        <v>166</v>
      </c>
      <c r="J8" s="2" t="s">
        <v>167</v>
      </c>
      <c r="K8" s="2" t="s">
        <v>74</v>
      </c>
      <c r="N8" s="2" t="str">
        <f t="shared" si="0"/>
        <v>22043-8672</v>
      </c>
    </row>
    <row r="9" spans="1:14" x14ac:dyDescent="0.25">
      <c r="A9" s="2" t="s">
        <v>180</v>
      </c>
      <c r="B9" s="2" t="s">
        <v>132</v>
      </c>
      <c r="C9" s="2" t="s">
        <v>181</v>
      </c>
      <c r="D9" s="2" t="s">
        <v>182</v>
      </c>
      <c r="E9" s="2" t="s">
        <v>183</v>
      </c>
      <c r="F9" s="2">
        <v>20.266666412353501</v>
      </c>
      <c r="G9" s="2">
        <v>3</v>
      </c>
      <c r="H9" s="2">
        <v>7300</v>
      </c>
      <c r="I9" s="2" t="s">
        <v>159</v>
      </c>
      <c r="J9" s="2" t="s">
        <v>160</v>
      </c>
      <c r="K9" s="2" t="s">
        <v>161</v>
      </c>
      <c r="N9" s="2" t="str">
        <f t="shared" si="0"/>
        <v>22043-8233</v>
      </c>
    </row>
    <row r="10" spans="1:14" x14ac:dyDescent="0.25">
      <c r="A10" s="2" t="s">
        <v>184</v>
      </c>
      <c r="B10" s="2" t="s">
        <v>132</v>
      </c>
      <c r="C10" s="2" t="s">
        <v>119</v>
      </c>
      <c r="D10" s="2" t="s">
        <v>185</v>
      </c>
      <c r="E10" s="2" t="s">
        <v>186</v>
      </c>
      <c r="F10" s="2">
        <v>20.1142861502511</v>
      </c>
      <c r="G10" s="2">
        <v>14</v>
      </c>
      <c r="H10" s="2">
        <v>8200</v>
      </c>
      <c r="I10" s="2" t="s">
        <v>176</v>
      </c>
      <c r="J10" s="2" t="s">
        <v>177</v>
      </c>
      <c r="K10" s="2" t="s">
        <v>104</v>
      </c>
      <c r="N10" s="2" t="str">
        <f t="shared" si="0"/>
        <v>22043-8781</v>
      </c>
    </row>
    <row r="11" spans="1:14" x14ac:dyDescent="0.25">
      <c r="A11" s="2" t="s">
        <v>187</v>
      </c>
      <c r="B11" s="2" t="s">
        <v>132</v>
      </c>
      <c r="C11" s="2" t="s">
        <v>188</v>
      </c>
      <c r="D11" s="2" t="s">
        <v>189</v>
      </c>
      <c r="E11" s="2" t="s">
        <v>66</v>
      </c>
      <c r="F11" s="2">
        <v>20</v>
      </c>
      <c r="G11" s="2">
        <v>4</v>
      </c>
      <c r="H11" s="2">
        <v>7900</v>
      </c>
      <c r="I11" s="2" t="s">
        <v>190</v>
      </c>
      <c r="J11" s="2" t="s">
        <v>191</v>
      </c>
      <c r="K11" s="2" t="s">
        <v>192</v>
      </c>
      <c r="L11" s="2" t="s">
        <v>193</v>
      </c>
      <c r="M11" s="2" t="s">
        <v>93</v>
      </c>
      <c r="N11" s="2" t="str">
        <f t="shared" si="0"/>
        <v>22043-8212</v>
      </c>
    </row>
    <row r="12" spans="1:14" x14ac:dyDescent="0.25">
      <c r="A12" s="2" t="s">
        <v>194</v>
      </c>
      <c r="B12" s="2" t="s">
        <v>132</v>
      </c>
      <c r="C12" s="2" t="s">
        <v>73</v>
      </c>
      <c r="D12" s="2" t="s">
        <v>195</v>
      </c>
      <c r="E12" s="2" t="s">
        <v>107</v>
      </c>
      <c r="F12" s="2">
        <v>19.9500007629394</v>
      </c>
      <c r="G12" s="2">
        <v>16</v>
      </c>
      <c r="H12" s="2">
        <v>8500</v>
      </c>
      <c r="I12" s="2" t="s">
        <v>190</v>
      </c>
      <c r="J12" s="2" t="s">
        <v>191</v>
      </c>
      <c r="K12" s="2" t="s">
        <v>192</v>
      </c>
      <c r="N12" s="2" t="str">
        <f t="shared" si="0"/>
        <v>22043-15268</v>
      </c>
    </row>
    <row r="13" spans="1:14" x14ac:dyDescent="0.25">
      <c r="A13" s="2" t="s">
        <v>196</v>
      </c>
      <c r="B13" s="2" t="s">
        <v>132</v>
      </c>
      <c r="C13" s="2" t="s">
        <v>86</v>
      </c>
      <c r="D13" s="2" t="s">
        <v>197</v>
      </c>
      <c r="E13" s="2" t="s">
        <v>25</v>
      </c>
      <c r="F13" s="2">
        <v>19.8769226074218</v>
      </c>
      <c r="G13" s="2">
        <v>13</v>
      </c>
      <c r="H13" s="2">
        <v>8800</v>
      </c>
      <c r="I13" s="2" t="s">
        <v>190</v>
      </c>
      <c r="J13" s="2" t="s">
        <v>192</v>
      </c>
      <c r="K13" s="2" t="s">
        <v>191</v>
      </c>
      <c r="N13" s="2" t="str">
        <f t="shared" si="0"/>
        <v>22043-9278</v>
      </c>
    </row>
    <row r="14" spans="1:14" x14ac:dyDescent="0.25">
      <c r="A14" s="2" t="s">
        <v>198</v>
      </c>
      <c r="B14" s="2" t="s">
        <v>1</v>
      </c>
      <c r="C14" s="2" t="s">
        <v>199</v>
      </c>
      <c r="D14" s="2" t="s">
        <v>200</v>
      </c>
      <c r="E14" s="2" t="s">
        <v>81</v>
      </c>
      <c r="F14" s="2">
        <v>19.570588953354701</v>
      </c>
      <c r="G14" s="2">
        <v>17</v>
      </c>
      <c r="H14" s="2">
        <v>7900</v>
      </c>
      <c r="I14" s="2" t="s">
        <v>159</v>
      </c>
      <c r="J14" s="2" t="s">
        <v>160</v>
      </c>
      <c r="K14" s="2" t="s">
        <v>161</v>
      </c>
      <c r="N14" s="2" t="str">
        <f t="shared" si="0"/>
        <v>22043-70899</v>
      </c>
    </row>
    <row r="15" spans="1:14" x14ac:dyDescent="0.25">
      <c r="A15" s="2" t="s">
        <v>201</v>
      </c>
      <c r="B15" s="2" t="s">
        <v>130</v>
      </c>
      <c r="C15" s="2" t="s">
        <v>88</v>
      </c>
      <c r="D15" s="2" t="s">
        <v>202</v>
      </c>
      <c r="E15" s="2" t="s">
        <v>203</v>
      </c>
      <c r="F15" s="2">
        <v>19.278946725945701</v>
      </c>
      <c r="G15" s="2">
        <v>19</v>
      </c>
      <c r="H15" s="2">
        <v>8000</v>
      </c>
      <c r="I15" s="2" t="s">
        <v>166</v>
      </c>
      <c r="J15" s="2" t="s">
        <v>167</v>
      </c>
      <c r="K15" s="2" t="s">
        <v>74</v>
      </c>
      <c r="N15" s="2" t="str">
        <f t="shared" si="0"/>
        <v>22043-54514</v>
      </c>
    </row>
    <row r="16" spans="1:14" x14ac:dyDescent="0.25">
      <c r="A16" s="2" t="s">
        <v>204</v>
      </c>
      <c r="B16" s="2" t="s">
        <v>130</v>
      </c>
      <c r="C16" s="2" t="s">
        <v>82</v>
      </c>
      <c r="D16" s="2" t="s">
        <v>205</v>
      </c>
      <c r="E16" s="2" t="s">
        <v>206</v>
      </c>
      <c r="F16" s="2">
        <v>18.261904761904699</v>
      </c>
      <c r="G16" s="2">
        <v>21</v>
      </c>
      <c r="H16" s="2">
        <v>8600</v>
      </c>
      <c r="I16" s="2" t="s">
        <v>166</v>
      </c>
      <c r="J16" s="2" t="s">
        <v>74</v>
      </c>
      <c r="K16" s="2" t="s">
        <v>167</v>
      </c>
      <c r="N16" s="2" t="str">
        <f t="shared" si="0"/>
        <v>22043-8718</v>
      </c>
    </row>
    <row r="17" spans="1:14" x14ac:dyDescent="0.25">
      <c r="A17" s="2" t="s">
        <v>207</v>
      </c>
      <c r="B17" s="2" t="s">
        <v>130</v>
      </c>
      <c r="C17" s="2" t="s">
        <v>208</v>
      </c>
      <c r="D17" s="2" t="s">
        <v>209</v>
      </c>
      <c r="E17" s="2" t="s">
        <v>210</v>
      </c>
      <c r="F17" s="2">
        <v>18.1449996948242</v>
      </c>
      <c r="G17" s="2">
        <v>20</v>
      </c>
      <c r="H17" s="2">
        <v>6800</v>
      </c>
      <c r="I17" s="2" t="s">
        <v>145</v>
      </c>
      <c r="J17" s="2" t="s">
        <v>147</v>
      </c>
      <c r="K17" s="2" t="s">
        <v>146</v>
      </c>
      <c r="N17" s="2" t="str">
        <f t="shared" si="0"/>
        <v>22043-9092</v>
      </c>
    </row>
    <row r="18" spans="1:14" x14ac:dyDescent="0.25">
      <c r="A18" s="2" t="s">
        <v>211</v>
      </c>
      <c r="B18" s="2" t="s">
        <v>130</v>
      </c>
      <c r="C18" s="2" t="s">
        <v>112</v>
      </c>
      <c r="D18" s="2" t="s">
        <v>212</v>
      </c>
      <c r="E18" s="2" t="s">
        <v>213</v>
      </c>
      <c r="F18" s="2">
        <v>17.900000321237599</v>
      </c>
      <c r="G18" s="2">
        <v>19</v>
      </c>
      <c r="H18" s="2">
        <v>7600</v>
      </c>
      <c r="I18" s="2" t="s">
        <v>152</v>
      </c>
      <c r="J18" s="2" t="s">
        <v>153</v>
      </c>
      <c r="K18" s="2" t="s">
        <v>154</v>
      </c>
      <c r="N18" s="2" t="str">
        <f t="shared" si="0"/>
        <v>22043-8182</v>
      </c>
    </row>
    <row r="19" spans="1:14" x14ac:dyDescent="0.25">
      <c r="A19" s="2" t="s">
        <v>214</v>
      </c>
      <c r="B19" s="2" t="s">
        <v>130</v>
      </c>
      <c r="C19" s="2" t="s">
        <v>100</v>
      </c>
      <c r="D19" s="2" t="s">
        <v>215</v>
      </c>
      <c r="E19" s="2" t="s">
        <v>216</v>
      </c>
      <c r="F19" s="2">
        <v>16.747369063527898</v>
      </c>
      <c r="G19" s="2">
        <v>19</v>
      </c>
      <c r="H19" s="2">
        <v>7300</v>
      </c>
      <c r="I19" s="2" t="s">
        <v>176</v>
      </c>
      <c r="J19" s="2" t="s">
        <v>177</v>
      </c>
      <c r="K19" s="2" t="s">
        <v>104</v>
      </c>
      <c r="N19" s="2" t="str">
        <f t="shared" si="0"/>
        <v>22043-12410</v>
      </c>
    </row>
    <row r="20" spans="1:14" x14ac:dyDescent="0.25">
      <c r="A20" s="2" t="s">
        <v>217</v>
      </c>
      <c r="B20" s="2" t="s">
        <v>1</v>
      </c>
      <c r="C20" s="2" t="s">
        <v>218</v>
      </c>
      <c r="D20" s="2" t="s">
        <v>219</v>
      </c>
      <c r="E20" s="2" t="s">
        <v>220</v>
      </c>
      <c r="F20" s="2">
        <v>16.636842426500799</v>
      </c>
      <c r="G20" s="2">
        <v>19</v>
      </c>
      <c r="H20" s="2">
        <v>8200</v>
      </c>
      <c r="I20" s="2" t="s">
        <v>152</v>
      </c>
      <c r="J20" s="2" t="s">
        <v>153</v>
      </c>
      <c r="K20" s="2" t="s">
        <v>154</v>
      </c>
      <c r="N20" s="2" t="str">
        <f t="shared" si="0"/>
        <v>22043-15321</v>
      </c>
    </row>
    <row r="21" spans="1:14" x14ac:dyDescent="0.25">
      <c r="A21" s="2" t="s">
        <v>221</v>
      </c>
      <c r="B21" s="2" t="s">
        <v>132</v>
      </c>
      <c r="C21" s="2" t="s">
        <v>222</v>
      </c>
      <c r="D21" s="2" t="s">
        <v>223</v>
      </c>
      <c r="E21" s="2" t="s">
        <v>224</v>
      </c>
      <c r="F21" s="2">
        <v>16.228571210588701</v>
      </c>
      <c r="G21" s="2">
        <v>7</v>
      </c>
      <c r="H21" s="2">
        <v>7300</v>
      </c>
      <c r="I21" s="2" t="s">
        <v>176</v>
      </c>
      <c r="J21" s="2" t="s">
        <v>177</v>
      </c>
      <c r="K21" s="2" t="s">
        <v>104</v>
      </c>
      <c r="N21" s="2" t="str">
        <f t="shared" si="0"/>
        <v>22043-14183</v>
      </c>
    </row>
    <row r="22" spans="1:14" x14ac:dyDescent="0.25">
      <c r="A22" s="2" t="s">
        <v>225</v>
      </c>
      <c r="B22" s="2" t="s">
        <v>131</v>
      </c>
      <c r="C22" s="2" t="s">
        <v>226</v>
      </c>
      <c r="D22" s="2" t="s">
        <v>227</v>
      </c>
      <c r="E22" s="2" t="s">
        <v>228</v>
      </c>
      <c r="F22" s="2">
        <v>15.875</v>
      </c>
      <c r="G22" s="2">
        <v>16</v>
      </c>
      <c r="H22" s="2">
        <v>5900</v>
      </c>
      <c r="I22" s="2" t="s">
        <v>152</v>
      </c>
      <c r="J22" s="2" t="s">
        <v>154</v>
      </c>
      <c r="K22" s="2" t="s">
        <v>153</v>
      </c>
      <c r="N22" s="2" t="str">
        <f t="shared" si="0"/>
        <v>22043-12262</v>
      </c>
    </row>
    <row r="23" spans="1:14" x14ac:dyDescent="0.25">
      <c r="A23" s="2" t="s">
        <v>229</v>
      </c>
      <c r="B23" s="2" t="s">
        <v>1</v>
      </c>
      <c r="C23" s="2" t="s">
        <v>230</v>
      </c>
      <c r="D23" s="2" t="s">
        <v>231</v>
      </c>
      <c r="E23" s="2" t="s">
        <v>232</v>
      </c>
      <c r="F23" s="2">
        <v>15.8631575734991</v>
      </c>
      <c r="G23" s="2">
        <v>19</v>
      </c>
      <c r="H23" s="2">
        <v>7600</v>
      </c>
      <c r="I23" s="2" t="s">
        <v>166</v>
      </c>
      <c r="J23" s="2" t="s">
        <v>167</v>
      </c>
      <c r="K23" s="2" t="s">
        <v>74</v>
      </c>
      <c r="N23" s="2" t="str">
        <f t="shared" si="0"/>
        <v>22043-41389</v>
      </c>
    </row>
    <row r="24" spans="1:14" x14ac:dyDescent="0.25">
      <c r="A24" s="2" t="s">
        <v>233</v>
      </c>
      <c r="B24" s="2" t="s">
        <v>132</v>
      </c>
      <c r="C24" s="2" t="s">
        <v>82</v>
      </c>
      <c r="D24" s="2" t="s">
        <v>234</v>
      </c>
      <c r="E24" s="2" t="s">
        <v>235</v>
      </c>
      <c r="F24" s="2">
        <v>15.839999389648399</v>
      </c>
      <c r="G24" s="2">
        <v>5</v>
      </c>
      <c r="H24" s="2">
        <v>7400</v>
      </c>
      <c r="I24" s="2" t="s">
        <v>176</v>
      </c>
      <c r="J24" s="2" t="s">
        <v>104</v>
      </c>
      <c r="K24" s="2" t="s">
        <v>177</v>
      </c>
      <c r="N24" s="2" t="str">
        <f t="shared" si="0"/>
        <v>22043-9252</v>
      </c>
    </row>
    <row r="25" spans="1:14" x14ac:dyDescent="0.25">
      <c r="A25" s="2" t="s">
        <v>236</v>
      </c>
      <c r="B25" s="2" t="s">
        <v>130</v>
      </c>
      <c r="C25" s="2" t="s">
        <v>237</v>
      </c>
      <c r="D25" s="2" t="s">
        <v>238</v>
      </c>
      <c r="E25" s="2" t="s">
        <v>239</v>
      </c>
      <c r="F25" s="2">
        <v>15.8000006424753</v>
      </c>
      <c r="G25" s="2">
        <v>19</v>
      </c>
      <c r="H25" s="2">
        <v>7600</v>
      </c>
      <c r="I25" s="2" t="s">
        <v>152</v>
      </c>
      <c r="J25" s="2" t="s">
        <v>154</v>
      </c>
      <c r="K25" s="2" t="s">
        <v>153</v>
      </c>
      <c r="N25" s="2" t="str">
        <f t="shared" si="0"/>
        <v>22043-39253</v>
      </c>
    </row>
    <row r="26" spans="1:14" x14ac:dyDescent="0.25">
      <c r="A26" s="2" t="s">
        <v>240</v>
      </c>
      <c r="B26" s="2" t="s">
        <v>132</v>
      </c>
      <c r="C26" s="2" t="s">
        <v>91</v>
      </c>
      <c r="D26" s="2" t="s">
        <v>241</v>
      </c>
      <c r="E26" s="2" t="s">
        <v>242</v>
      </c>
      <c r="F26" s="2">
        <v>15.199999809265099</v>
      </c>
      <c r="G26" s="2">
        <v>4</v>
      </c>
      <c r="H26" s="2">
        <v>7200</v>
      </c>
      <c r="I26" s="2" t="s">
        <v>159</v>
      </c>
      <c r="J26" s="2" t="s">
        <v>161</v>
      </c>
      <c r="K26" s="2" t="s">
        <v>160</v>
      </c>
      <c r="N26" s="2" t="str">
        <f t="shared" si="0"/>
        <v>22043-12690</v>
      </c>
    </row>
    <row r="27" spans="1:14" x14ac:dyDescent="0.25">
      <c r="A27" s="2" t="s">
        <v>243</v>
      </c>
      <c r="B27" s="2" t="s">
        <v>1</v>
      </c>
      <c r="C27" s="2" t="s">
        <v>244</v>
      </c>
      <c r="D27" s="2" t="s">
        <v>245</v>
      </c>
      <c r="E27" s="2" t="s">
        <v>246</v>
      </c>
      <c r="F27" s="2">
        <v>15.0055558946397</v>
      </c>
      <c r="G27" s="2">
        <v>18</v>
      </c>
      <c r="H27" s="2">
        <v>6600</v>
      </c>
      <c r="I27" s="2" t="s">
        <v>190</v>
      </c>
      <c r="J27" s="2" t="s">
        <v>192</v>
      </c>
      <c r="K27" s="2" t="s">
        <v>191</v>
      </c>
      <c r="N27" s="2" t="str">
        <f t="shared" si="0"/>
        <v>22043-9269</v>
      </c>
    </row>
    <row r="28" spans="1:14" x14ac:dyDescent="0.25">
      <c r="A28" s="2" t="s">
        <v>247</v>
      </c>
      <c r="B28" s="2" t="s">
        <v>1</v>
      </c>
      <c r="C28" s="2" t="s">
        <v>188</v>
      </c>
      <c r="D28" s="2" t="s">
        <v>248</v>
      </c>
      <c r="E28" s="2" t="s">
        <v>249</v>
      </c>
      <c r="F28" s="2">
        <v>14.6999994913736</v>
      </c>
      <c r="G28" s="2">
        <v>6</v>
      </c>
      <c r="H28" s="2">
        <v>7000</v>
      </c>
      <c r="I28" s="2" t="s">
        <v>190</v>
      </c>
      <c r="J28" s="2" t="s">
        <v>191</v>
      </c>
      <c r="K28" s="2" t="s">
        <v>192</v>
      </c>
      <c r="L28" s="2" t="s">
        <v>250</v>
      </c>
      <c r="M28" s="2" t="s">
        <v>251</v>
      </c>
      <c r="N28" s="2" t="str">
        <f t="shared" si="0"/>
        <v>22043-8134</v>
      </c>
    </row>
    <row r="29" spans="1:14" x14ac:dyDescent="0.25">
      <c r="A29" s="2" t="s">
        <v>252</v>
      </c>
      <c r="B29" s="2" t="s">
        <v>1</v>
      </c>
      <c r="C29" s="2" t="s">
        <v>253</v>
      </c>
      <c r="D29" s="2" t="s">
        <v>254</v>
      </c>
      <c r="E29" s="2" t="s">
        <v>255</v>
      </c>
      <c r="F29" s="2">
        <v>14.523809523809501</v>
      </c>
      <c r="G29" s="2">
        <v>21</v>
      </c>
      <c r="H29" s="2">
        <v>7000</v>
      </c>
      <c r="I29" s="2" t="s">
        <v>166</v>
      </c>
      <c r="J29" s="2" t="s">
        <v>74</v>
      </c>
      <c r="K29" s="2" t="s">
        <v>167</v>
      </c>
      <c r="N29" s="2" t="str">
        <f t="shared" si="0"/>
        <v>22043-52475</v>
      </c>
    </row>
    <row r="30" spans="1:14" x14ac:dyDescent="0.25">
      <c r="A30" s="2" t="s">
        <v>256</v>
      </c>
      <c r="B30" s="2" t="s">
        <v>1</v>
      </c>
      <c r="C30" s="2" t="s">
        <v>54</v>
      </c>
      <c r="D30" s="2" t="s">
        <v>257</v>
      </c>
      <c r="E30" s="2" t="s">
        <v>258</v>
      </c>
      <c r="F30" s="2">
        <v>14.473684210526301</v>
      </c>
      <c r="G30" s="2">
        <v>19</v>
      </c>
      <c r="H30" s="2">
        <v>6600</v>
      </c>
      <c r="I30" s="2" t="s">
        <v>176</v>
      </c>
      <c r="J30" s="2" t="s">
        <v>104</v>
      </c>
      <c r="K30" s="2" t="s">
        <v>177</v>
      </c>
      <c r="N30" s="2" t="str">
        <f t="shared" si="0"/>
        <v>22043-8234</v>
      </c>
    </row>
    <row r="31" spans="1:14" x14ac:dyDescent="0.25">
      <c r="A31" s="2" t="s">
        <v>259</v>
      </c>
      <c r="B31" s="2" t="s">
        <v>130</v>
      </c>
      <c r="C31" s="2" t="s">
        <v>260</v>
      </c>
      <c r="D31" s="2" t="s">
        <v>261</v>
      </c>
      <c r="E31" s="2" t="s">
        <v>262</v>
      </c>
      <c r="F31" s="2">
        <v>14.4545454545454</v>
      </c>
      <c r="G31" s="2">
        <v>22</v>
      </c>
      <c r="H31" s="2">
        <v>5600</v>
      </c>
      <c r="I31" s="2" t="s">
        <v>159</v>
      </c>
      <c r="J31" s="2" t="s">
        <v>161</v>
      </c>
      <c r="K31" s="2" t="s">
        <v>160</v>
      </c>
      <c r="N31" s="2" t="str">
        <f t="shared" si="0"/>
        <v>22043-70905</v>
      </c>
    </row>
    <row r="32" spans="1:14" x14ac:dyDescent="0.25">
      <c r="A32" s="2" t="s">
        <v>263</v>
      </c>
      <c r="B32" s="2" t="s">
        <v>131</v>
      </c>
      <c r="C32" s="2" t="s">
        <v>73</v>
      </c>
      <c r="D32" s="2" t="s">
        <v>264</v>
      </c>
      <c r="E32" s="2" t="s">
        <v>265</v>
      </c>
      <c r="F32" s="2">
        <v>14.385714576357801</v>
      </c>
      <c r="G32" s="2">
        <v>21</v>
      </c>
      <c r="H32" s="2">
        <v>5700</v>
      </c>
      <c r="I32" s="2" t="s">
        <v>166</v>
      </c>
      <c r="J32" s="2" t="s">
        <v>74</v>
      </c>
      <c r="K32" s="2" t="s">
        <v>167</v>
      </c>
      <c r="N32" s="2" t="str">
        <f t="shared" si="0"/>
        <v>22043-9015</v>
      </c>
    </row>
    <row r="33" spans="1:14" x14ac:dyDescent="0.25">
      <c r="A33" s="2" t="s">
        <v>266</v>
      </c>
      <c r="B33" s="2" t="s">
        <v>130</v>
      </c>
      <c r="C33" s="2" t="s">
        <v>87</v>
      </c>
      <c r="D33" s="2" t="s">
        <v>267</v>
      </c>
      <c r="E33" s="2" t="s">
        <v>268</v>
      </c>
      <c r="F33" s="2">
        <v>14.226315146998299</v>
      </c>
      <c r="G33" s="2">
        <v>19</v>
      </c>
      <c r="H33" s="2">
        <v>6100</v>
      </c>
      <c r="I33" s="2" t="s">
        <v>176</v>
      </c>
      <c r="J33" s="2" t="s">
        <v>104</v>
      </c>
      <c r="K33" s="2" t="s">
        <v>177</v>
      </c>
      <c r="N33" s="2" t="str">
        <f t="shared" si="0"/>
        <v>22043-21686</v>
      </c>
    </row>
    <row r="34" spans="1:14" x14ac:dyDescent="0.25">
      <c r="A34" s="2" t="s">
        <v>269</v>
      </c>
      <c r="B34" s="2" t="s">
        <v>132</v>
      </c>
      <c r="C34" s="2" t="s">
        <v>110</v>
      </c>
      <c r="D34" s="2" t="s">
        <v>270</v>
      </c>
      <c r="E34" s="2" t="s">
        <v>271</v>
      </c>
      <c r="F34" s="2">
        <v>14.171428135463101</v>
      </c>
      <c r="G34" s="2">
        <v>7</v>
      </c>
      <c r="H34" s="2">
        <v>7900</v>
      </c>
      <c r="I34" s="2" t="s">
        <v>190</v>
      </c>
      <c r="J34" s="2" t="s">
        <v>192</v>
      </c>
      <c r="K34" s="2" t="s">
        <v>191</v>
      </c>
      <c r="N34" s="2" t="str">
        <f t="shared" si="0"/>
        <v>22043-58904</v>
      </c>
    </row>
    <row r="35" spans="1:14" x14ac:dyDescent="0.25">
      <c r="A35" s="2" t="s">
        <v>272</v>
      </c>
      <c r="B35" s="2" t="s">
        <v>130</v>
      </c>
      <c r="C35" s="2" t="s">
        <v>273</v>
      </c>
      <c r="D35" s="2" t="s">
        <v>274</v>
      </c>
      <c r="E35" s="2" t="s">
        <v>275</v>
      </c>
      <c r="F35" s="2">
        <v>14.0842108475534</v>
      </c>
      <c r="G35" s="2">
        <v>19</v>
      </c>
      <c r="H35" s="2">
        <v>6500</v>
      </c>
      <c r="I35" s="2" t="s">
        <v>152</v>
      </c>
      <c r="J35" s="2" t="s">
        <v>154</v>
      </c>
      <c r="K35" s="2" t="s">
        <v>153</v>
      </c>
      <c r="N35" s="2" t="str">
        <f t="shared" si="0"/>
        <v>22043-59207</v>
      </c>
    </row>
    <row r="36" spans="1:14" x14ac:dyDescent="0.25">
      <c r="A36" s="2" t="s">
        <v>276</v>
      </c>
      <c r="B36" s="2" t="s">
        <v>130</v>
      </c>
      <c r="C36" s="2" t="s">
        <v>277</v>
      </c>
      <c r="D36" s="2" t="s">
        <v>278</v>
      </c>
      <c r="E36" s="2" t="s">
        <v>279</v>
      </c>
      <c r="F36" s="2">
        <v>13.9684207313939</v>
      </c>
      <c r="G36" s="2">
        <v>19</v>
      </c>
      <c r="H36" s="2">
        <v>7400</v>
      </c>
      <c r="I36" s="2" t="s">
        <v>152</v>
      </c>
      <c r="J36" s="2" t="s">
        <v>153</v>
      </c>
      <c r="K36" s="2" t="s">
        <v>154</v>
      </c>
      <c r="N36" s="2" t="str">
        <f t="shared" si="0"/>
        <v>22043-70900</v>
      </c>
    </row>
    <row r="37" spans="1:14" x14ac:dyDescent="0.25">
      <c r="A37" s="2" t="s">
        <v>280</v>
      </c>
      <c r="B37" s="2" t="s">
        <v>130</v>
      </c>
      <c r="C37" s="2" t="s">
        <v>18</v>
      </c>
      <c r="D37" s="2" t="s">
        <v>281</v>
      </c>
      <c r="E37" s="2" t="s">
        <v>282</v>
      </c>
      <c r="F37" s="2">
        <v>13.694999694824199</v>
      </c>
      <c r="G37" s="2">
        <v>20</v>
      </c>
      <c r="H37" s="2">
        <v>6600</v>
      </c>
      <c r="I37" s="2" t="s">
        <v>159</v>
      </c>
      <c r="J37" s="2" t="s">
        <v>160</v>
      </c>
      <c r="K37" s="2" t="s">
        <v>161</v>
      </c>
      <c r="N37" s="2" t="str">
        <f t="shared" si="0"/>
        <v>22043-8797</v>
      </c>
    </row>
    <row r="38" spans="1:14" x14ac:dyDescent="0.25">
      <c r="A38" s="2" t="s">
        <v>283</v>
      </c>
      <c r="B38" s="2" t="s">
        <v>130</v>
      </c>
      <c r="C38" s="2" t="s">
        <v>59</v>
      </c>
      <c r="D38" s="2" t="s">
        <v>284</v>
      </c>
      <c r="E38" s="2" t="s">
        <v>285</v>
      </c>
      <c r="F38" s="2">
        <v>13.675000508626299</v>
      </c>
      <c r="G38" s="2">
        <v>12</v>
      </c>
      <c r="H38" s="2">
        <v>5500</v>
      </c>
      <c r="I38" s="2" t="s">
        <v>176</v>
      </c>
      <c r="J38" s="2" t="s">
        <v>177</v>
      </c>
      <c r="K38" s="2" t="s">
        <v>104</v>
      </c>
      <c r="N38" s="2" t="str">
        <f t="shared" si="0"/>
        <v>22043-12644</v>
      </c>
    </row>
    <row r="39" spans="1:14" x14ac:dyDescent="0.25">
      <c r="A39" s="2" t="s">
        <v>286</v>
      </c>
      <c r="B39" s="2" t="s">
        <v>1</v>
      </c>
      <c r="C39" s="2" t="s">
        <v>287</v>
      </c>
      <c r="D39" s="2" t="s">
        <v>288</v>
      </c>
      <c r="E39" s="2" t="s">
        <v>289</v>
      </c>
      <c r="F39" s="2">
        <v>13.421052631578901</v>
      </c>
      <c r="G39" s="2">
        <v>19</v>
      </c>
      <c r="H39" s="2">
        <v>6800</v>
      </c>
      <c r="I39" s="2" t="s">
        <v>190</v>
      </c>
      <c r="J39" s="2" t="s">
        <v>191</v>
      </c>
      <c r="K39" s="2" t="s">
        <v>192</v>
      </c>
      <c r="N39" s="2" t="str">
        <f t="shared" si="0"/>
        <v>22043-15269</v>
      </c>
    </row>
    <row r="40" spans="1:14" x14ac:dyDescent="0.25">
      <c r="A40" s="2" t="s">
        <v>290</v>
      </c>
      <c r="B40" s="2" t="s">
        <v>1</v>
      </c>
      <c r="C40" s="2" t="s">
        <v>291</v>
      </c>
      <c r="D40" s="2" t="s">
        <v>292</v>
      </c>
      <c r="E40" s="2" t="s">
        <v>293</v>
      </c>
      <c r="F40" s="2">
        <v>13.2476196289062</v>
      </c>
      <c r="G40" s="2">
        <v>21</v>
      </c>
      <c r="H40" s="2">
        <v>6300</v>
      </c>
      <c r="I40" s="2" t="s">
        <v>159</v>
      </c>
      <c r="J40" s="2" t="s">
        <v>160</v>
      </c>
      <c r="K40" s="2" t="s">
        <v>161</v>
      </c>
      <c r="N40" s="2" t="str">
        <f t="shared" si="0"/>
        <v>22043-8741</v>
      </c>
    </row>
    <row r="41" spans="1:14" x14ac:dyDescent="0.25">
      <c r="A41" s="2" t="s">
        <v>294</v>
      </c>
      <c r="B41" s="2" t="s">
        <v>1</v>
      </c>
      <c r="C41" s="2" t="s">
        <v>97</v>
      </c>
      <c r="D41" s="2" t="s">
        <v>295</v>
      </c>
      <c r="E41" s="2" t="s">
        <v>296</v>
      </c>
      <c r="F41" s="2">
        <v>13.225</v>
      </c>
      <c r="G41" s="2">
        <v>20</v>
      </c>
      <c r="H41" s="2">
        <v>7400</v>
      </c>
      <c r="I41" s="2" t="s">
        <v>145</v>
      </c>
      <c r="J41" s="2" t="s">
        <v>147</v>
      </c>
      <c r="K41" s="2" t="s">
        <v>146</v>
      </c>
      <c r="N41" s="2" t="str">
        <f t="shared" si="0"/>
        <v>22043-64100</v>
      </c>
    </row>
    <row r="42" spans="1:14" x14ac:dyDescent="0.25">
      <c r="A42" s="2" t="s">
        <v>297</v>
      </c>
      <c r="B42" s="2" t="s">
        <v>131</v>
      </c>
      <c r="C42" s="2" t="s">
        <v>298</v>
      </c>
      <c r="D42" s="2" t="s">
        <v>299</v>
      </c>
      <c r="E42" s="2" t="s">
        <v>300</v>
      </c>
      <c r="F42" s="2">
        <v>13.200000160618799</v>
      </c>
      <c r="G42" s="2">
        <v>19</v>
      </c>
      <c r="H42" s="2">
        <v>4800</v>
      </c>
      <c r="I42" s="2" t="s">
        <v>176</v>
      </c>
      <c r="J42" s="2" t="s">
        <v>104</v>
      </c>
      <c r="K42" s="2" t="s">
        <v>177</v>
      </c>
      <c r="N42" s="2" t="str">
        <f t="shared" si="0"/>
        <v>22043-12812</v>
      </c>
    </row>
    <row r="43" spans="1:14" x14ac:dyDescent="0.25">
      <c r="A43" s="2" t="s">
        <v>301</v>
      </c>
      <c r="B43" s="2" t="s">
        <v>132</v>
      </c>
      <c r="C43" s="2" t="s">
        <v>302</v>
      </c>
      <c r="D43" s="2" t="s">
        <v>303</v>
      </c>
      <c r="E43" s="2" t="s">
        <v>304</v>
      </c>
      <c r="F43" s="2">
        <v>13.1428571428571</v>
      </c>
      <c r="G43" s="2">
        <v>14</v>
      </c>
      <c r="H43" s="2">
        <v>7200</v>
      </c>
      <c r="I43" s="2" t="s">
        <v>145</v>
      </c>
      <c r="J43" s="2" t="s">
        <v>147</v>
      </c>
      <c r="K43" s="2" t="s">
        <v>146</v>
      </c>
      <c r="N43" s="2" t="str">
        <f t="shared" si="0"/>
        <v>22043-8864</v>
      </c>
    </row>
    <row r="44" spans="1:14" x14ac:dyDescent="0.25">
      <c r="A44" s="2" t="s">
        <v>305</v>
      </c>
      <c r="B44" s="2" t="s">
        <v>132</v>
      </c>
      <c r="C44" s="2" t="s">
        <v>306</v>
      </c>
      <c r="D44" s="2" t="s">
        <v>307</v>
      </c>
      <c r="E44" s="2" t="s">
        <v>308</v>
      </c>
      <c r="F44" s="2">
        <v>12.945453990589399</v>
      </c>
      <c r="G44" s="2">
        <v>11</v>
      </c>
      <c r="H44" s="2">
        <v>7300</v>
      </c>
      <c r="I44" s="2" t="s">
        <v>159</v>
      </c>
      <c r="J44" s="2" t="s">
        <v>161</v>
      </c>
      <c r="K44" s="2" t="s">
        <v>160</v>
      </c>
      <c r="N44" s="2" t="str">
        <f t="shared" si="0"/>
        <v>22043-40050</v>
      </c>
    </row>
    <row r="45" spans="1:14" x14ac:dyDescent="0.25">
      <c r="A45" s="2" t="s">
        <v>309</v>
      </c>
      <c r="B45" s="2" t="s">
        <v>130</v>
      </c>
      <c r="C45" s="2" t="s">
        <v>90</v>
      </c>
      <c r="D45" s="2" t="s">
        <v>310</v>
      </c>
      <c r="E45" s="2" t="s">
        <v>311</v>
      </c>
      <c r="F45" s="2">
        <v>12.938095819382401</v>
      </c>
      <c r="G45" s="2">
        <v>21</v>
      </c>
      <c r="H45" s="2">
        <v>6200</v>
      </c>
      <c r="I45" s="2" t="s">
        <v>166</v>
      </c>
      <c r="J45" s="2" t="s">
        <v>74</v>
      </c>
      <c r="K45" s="2" t="s">
        <v>167</v>
      </c>
      <c r="N45" s="2" t="str">
        <f t="shared" si="0"/>
        <v>22043-8635</v>
      </c>
    </row>
    <row r="46" spans="1:14" x14ac:dyDescent="0.25">
      <c r="A46" s="2" t="s">
        <v>312</v>
      </c>
      <c r="B46" s="2" t="s">
        <v>131</v>
      </c>
      <c r="C46" s="2" t="s">
        <v>313</v>
      </c>
      <c r="D46" s="2" t="s">
        <v>314</v>
      </c>
      <c r="E46" s="2" t="s">
        <v>315</v>
      </c>
      <c r="F46" s="2">
        <v>12.9111107720269</v>
      </c>
      <c r="G46" s="2">
        <v>18</v>
      </c>
      <c r="H46" s="2">
        <v>6800</v>
      </c>
      <c r="I46" s="2" t="s">
        <v>190</v>
      </c>
      <c r="J46" s="2" t="s">
        <v>192</v>
      </c>
      <c r="K46" s="2" t="s">
        <v>191</v>
      </c>
      <c r="N46" s="2" t="str">
        <f t="shared" si="0"/>
        <v>22043-8426</v>
      </c>
    </row>
    <row r="47" spans="1:14" x14ac:dyDescent="0.25">
      <c r="A47" s="2" t="s">
        <v>316</v>
      </c>
      <c r="B47" s="2" t="s">
        <v>1</v>
      </c>
      <c r="C47" s="2" t="s">
        <v>188</v>
      </c>
      <c r="D47" s="2" t="s">
        <v>317</v>
      </c>
      <c r="E47" s="2" t="s">
        <v>318</v>
      </c>
      <c r="F47" s="2">
        <v>12.8</v>
      </c>
      <c r="G47" s="2">
        <v>20</v>
      </c>
      <c r="H47" s="2">
        <v>5400</v>
      </c>
      <c r="I47" s="2" t="s">
        <v>145</v>
      </c>
      <c r="J47" s="2" t="s">
        <v>147</v>
      </c>
      <c r="K47" s="2" t="s">
        <v>146</v>
      </c>
      <c r="N47" s="2" t="str">
        <f t="shared" si="0"/>
        <v>22043-9124</v>
      </c>
    </row>
    <row r="48" spans="1:14" x14ac:dyDescent="0.25">
      <c r="A48" s="2" t="s">
        <v>319</v>
      </c>
      <c r="B48" s="2" t="s">
        <v>131</v>
      </c>
      <c r="C48" s="2" t="s">
        <v>83</v>
      </c>
      <c r="D48" s="2" t="s">
        <v>320</v>
      </c>
      <c r="E48" s="2" t="s">
        <v>25</v>
      </c>
      <c r="F48" s="2">
        <v>12.7300003051757</v>
      </c>
      <c r="G48" s="2">
        <v>20</v>
      </c>
      <c r="H48" s="2">
        <v>5000</v>
      </c>
      <c r="I48" s="2" t="s">
        <v>145</v>
      </c>
      <c r="J48" s="2" t="s">
        <v>146</v>
      </c>
      <c r="K48" s="2" t="s">
        <v>147</v>
      </c>
      <c r="N48" s="2" t="str">
        <f t="shared" si="0"/>
        <v>22043-41394</v>
      </c>
    </row>
    <row r="49" spans="1:14" x14ac:dyDescent="0.25">
      <c r="A49" s="2" t="s">
        <v>321</v>
      </c>
      <c r="B49" s="2" t="s">
        <v>131</v>
      </c>
      <c r="C49" s="2" t="s">
        <v>322</v>
      </c>
      <c r="D49" s="2" t="s">
        <v>323</v>
      </c>
      <c r="E49" s="2" t="s">
        <v>324</v>
      </c>
      <c r="F49" s="2">
        <v>12.700000581287201</v>
      </c>
      <c r="G49" s="2">
        <v>21</v>
      </c>
      <c r="H49" s="2">
        <v>4900</v>
      </c>
      <c r="I49" s="2" t="s">
        <v>159</v>
      </c>
      <c r="J49" s="2" t="s">
        <v>160</v>
      </c>
      <c r="K49" s="2" t="s">
        <v>161</v>
      </c>
      <c r="N49" s="2" t="str">
        <f t="shared" si="0"/>
        <v>22043-37881</v>
      </c>
    </row>
    <row r="50" spans="1:14" x14ac:dyDescent="0.25">
      <c r="A50" s="2" t="s">
        <v>325</v>
      </c>
      <c r="B50" s="2" t="s">
        <v>132</v>
      </c>
      <c r="C50" s="2" t="s">
        <v>326</v>
      </c>
      <c r="D50" s="2" t="s">
        <v>327</v>
      </c>
      <c r="E50" s="2" t="s">
        <v>328</v>
      </c>
      <c r="F50" s="2">
        <v>12.399999618530201</v>
      </c>
      <c r="G50" s="2">
        <v>4</v>
      </c>
      <c r="H50" s="2">
        <v>7800</v>
      </c>
      <c r="I50" s="2" t="s">
        <v>145</v>
      </c>
      <c r="J50" s="2" t="s">
        <v>146</v>
      </c>
      <c r="K50" s="2" t="s">
        <v>147</v>
      </c>
      <c r="N50" s="2" t="str">
        <f t="shared" si="0"/>
        <v>22043-54065</v>
      </c>
    </row>
    <row r="51" spans="1:14" x14ac:dyDescent="0.25">
      <c r="A51" s="2" t="s">
        <v>329</v>
      </c>
      <c r="B51" s="2" t="s">
        <v>130</v>
      </c>
      <c r="C51" s="2" t="s">
        <v>330</v>
      </c>
      <c r="D51" s="2" t="s">
        <v>331</v>
      </c>
      <c r="E51" s="2" t="s">
        <v>332</v>
      </c>
      <c r="F51" s="2">
        <v>12.3714283534458</v>
      </c>
      <c r="G51" s="2">
        <v>7</v>
      </c>
      <c r="H51" s="2">
        <v>4300</v>
      </c>
      <c r="I51" s="2" t="s">
        <v>152</v>
      </c>
      <c r="J51" s="2" t="s">
        <v>153</v>
      </c>
      <c r="K51" s="2" t="s">
        <v>154</v>
      </c>
      <c r="N51" s="2" t="str">
        <f t="shared" si="0"/>
        <v>22043-9305</v>
      </c>
    </row>
    <row r="52" spans="1:14" x14ac:dyDescent="0.25">
      <c r="A52" s="2" t="s">
        <v>333</v>
      </c>
      <c r="B52" s="2" t="s">
        <v>130</v>
      </c>
      <c r="C52" s="2" t="s">
        <v>334</v>
      </c>
      <c r="D52" s="2" t="s">
        <v>335</v>
      </c>
      <c r="E52" s="2" t="s">
        <v>336</v>
      </c>
      <c r="F52" s="2">
        <v>12.289473684210501</v>
      </c>
      <c r="G52" s="2">
        <v>19</v>
      </c>
      <c r="H52" s="2">
        <v>5600</v>
      </c>
      <c r="I52" s="2" t="s">
        <v>152</v>
      </c>
      <c r="J52" s="2" t="s">
        <v>153</v>
      </c>
      <c r="K52" s="2" t="s">
        <v>154</v>
      </c>
      <c r="N52" s="2" t="str">
        <f t="shared" si="0"/>
        <v>22043-58907</v>
      </c>
    </row>
    <row r="53" spans="1:14" x14ac:dyDescent="0.25">
      <c r="A53" s="2" t="s">
        <v>337</v>
      </c>
      <c r="B53" s="2" t="s">
        <v>130</v>
      </c>
      <c r="C53" s="2" t="s">
        <v>80</v>
      </c>
      <c r="D53" s="2" t="s">
        <v>338</v>
      </c>
      <c r="E53" s="2" t="s">
        <v>339</v>
      </c>
      <c r="F53" s="2">
        <v>12.1565215622169</v>
      </c>
      <c r="G53" s="2">
        <v>69</v>
      </c>
      <c r="H53" s="2">
        <v>6500</v>
      </c>
      <c r="I53" s="2" t="s">
        <v>176</v>
      </c>
      <c r="J53" s="2" t="s">
        <v>104</v>
      </c>
      <c r="K53" s="2" t="s">
        <v>177</v>
      </c>
      <c r="L53" s="2" t="s">
        <v>19</v>
      </c>
      <c r="M53" s="2" t="s">
        <v>121</v>
      </c>
      <c r="N53" s="2" t="str">
        <f t="shared" si="0"/>
        <v>22043-8478</v>
      </c>
    </row>
    <row r="54" spans="1:14" x14ac:dyDescent="0.25">
      <c r="A54" s="2" t="s">
        <v>340</v>
      </c>
      <c r="B54" s="2" t="s">
        <v>131</v>
      </c>
      <c r="C54" s="2" t="s">
        <v>188</v>
      </c>
      <c r="D54" s="2" t="s">
        <v>341</v>
      </c>
      <c r="E54" s="2" t="s">
        <v>342</v>
      </c>
      <c r="F54" s="2">
        <v>12.105263157894701</v>
      </c>
      <c r="G54" s="2">
        <v>19</v>
      </c>
      <c r="H54" s="2">
        <v>5200</v>
      </c>
      <c r="I54" s="2" t="s">
        <v>176</v>
      </c>
      <c r="J54" s="2" t="s">
        <v>104</v>
      </c>
      <c r="K54" s="2" t="s">
        <v>177</v>
      </c>
      <c r="N54" s="2" t="str">
        <f t="shared" si="0"/>
        <v>22043-8466</v>
      </c>
    </row>
    <row r="55" spans="1:14" x14ac:dyDescent="0.25">
      <c r="A55" s="2" t="s">
        <v>343</v>
      </c>
      <c r="B55" s="2" t="s">
        <v>131</v>
      </c>
      <c r="C55" s="2" t="s">
        <v>80</v>
      </c>
      <c r="D55" s="2" t="s">
        <v>344</v>
      </c>
      <c r="E55" s="2" t="s">
        <v>345</v>
      </c>
      <c r="F55" s="2">
        <v>11.9949996948242</v>
      </c>
      <c r="G55" s="2">
        <v>20</v>
      </c>
      <c r="H55" s="2">
        <v>5200</v>
      </c>
      <c r="I55" s="2" t="s">
        <v>145</v>
      </c>
      <c r="J55" s="2" t="s">
        <v>146</v>
      </c>
      <c r="K55" s="2" t="s">
        <v>147</v>
      </c>
      <c r="N55" s="2" t="str">
        <f t="shared" si="0"/>
        <v>22043-68640</v>
      </c>
    </row>
    <row r="56" spans="1:14" x14ac:dyDescent="0.25">
      <c r="A56" s="2" t="s">
        <v>346</v>
      </c>
      <c r="B56" s="2" t="s">
        <v>1</v>
      </c>
      <c r="C56" s="2" t="s">
        <v>188</v>
      </c>
      <c r="D56" s="2" t="s">
        <v>347</v>
      </c>
      <c r="E56" s="2" t="s">
        <v>348</v>
      </c>
      <c r="F56" s="2">
        <v>11.946341165682099</v>
      </c>
      <c r="G56" s="2">
        <v>82</v>
      </c>
      <c r="H56" s="2">
        <v>5000</v>
      </c>
      <c r="I56" s="2" t="s">
        <v>190</v>
      </c>
      <c r="J56" s="2" t="s">
        <v>191</v>
      </c>
      <c r="K56" s="2" t="s">
        <v>192</v>
      </c>
      <c r="L56" s="2" t="s">
        <v>250</v>
      </c>
      <c r="M56" s="2" t="s">
        <v>98</v>
      </c>
      <c r="N56" s="2" t="str">
        <f t="shared" si="0"/>
        <v>22043-8702</v>
      </c>
    </row>
    <row r="57" spans="1:14" x14ac:dyDescent="0.25">
      <c r="A57" s="2" t="s">
        <v>349</v>
      </c>
      <c r="B57" s="2" t="s">
        <v>131</v>
      </c>
      <c r="C57" s="2" t="s">
        <v>350</v>
      </c>
      <c r="D57" s="2" t="s">
        <v>351</v>
      </c>
      <c r="E57" s="2" t="s">
        <v>352</v>
      </c>
      <c r="F57" s="2">
        <v>11.9157891524465</v>
      </c>
      <c r="G57" s="2">
        <v>19</v>
      </c>
      <c r="H57" s="2">
        <v>5400</v>
      </c>
      <c r="I57" s="2" t="s">
        <v>152</v>
      </c>
      <c r="J57" s="2" t="s">
        <v>154</v>
      </c>
      <c r="K57" s="2" t="s">
        <v>153</v>
      </c>
      <c r="N57" s="2" t="str">
        <f t="shared" si="0"/>
        <v>22043-9107</v>
      </c>
    </row>
    <row r="58" spans="1:14" x14ac:dyDescent="0.25">
      <c r="A58" s="2" t="s">
        <v>353</v>
      </c>
      <c r="B58" s="2" t="s">
        <v>1</v>
      </c>
      <c r="C58" s="2" t="s">
        <v>59</v>
      </c>
      <c r="D58" s="2" t="s">
        <v>354</v>
      </c>
      <c r="E58" s="2" t="s">
        <v>355</v>
      </c>
      <c r="F58" s="2">
        <v>11.9</v>
      </c>
      <c r="G58" s="2">
        <v>15</v>
      </c>
      <c r="H58" s="2">
        <v>5200</v>
      </c>
      <c r="I58" s="2" t="s">
        <v>152</v>
      </c>
      <c r="J58" s="2" t="s">
        <v>154</v>
      </c>
      <c r="K58" s="2" t="s">
        <v>153</v>
      </c>
      <c r="N58" s="2" t="str">
        <f t="shared" si="0"/>
        <v>22043-9077</v>
      </c>
    </row>
    <row r="59" spans="1:14" x14ac:dyDescent="0.25">
      <c r="A59" s="2" t="s">
        <v>356</v>
      </c>
      <c r="B59" s="2" t="s">
        <v>130</v>
      </c>
      <c r="C59" s="2" t="s">
        <v>357</v>
      </c>
      <c r="D59" s="2" t="s">
        <v>358</v>
      </c>
      <c r="E59" s="2" t="s">
        <v>359</v>
      </c>
      <c r="F59" s="2">
        <v>11.733333587646401</v>
      </c>
      <c r="G59" s="2">
        <v>3</v>
      </c>
      <c r="H59" s="2">
        <v>4100</v>
      </c>
      <c r="I59" s="2" t="s">
        <v>176</v>
      </c>
      <c r="J59" s="2" t="s">
        <v>104</v>
      </c>
      <c r="K59" s="2" t="s">
        <v>177</v>
      </c>
      <c r="L59" s="2" t="s">
        <v>250</v>
      </c>
      <c r="M59" s="2" t="s">
        <v>360</v>
      </c>
      <c r="N59" s="2" t="str">
        <f t="shared" si="0"/>
        <v>22043-16969</v>
      </c>
    </row>
    <row r="60" spans="1:14" x14ac:dyDescent="0.25">
      <c r="A60" s="2" t="s">
        <v>361</v>
      </c>
      <c r="B60" s="2" t="s">
        <v>130</v>
      </c>
      <c r="C60" s="2" t="s">
        <v>362</v>
      </c>
      <c r="D60" s="2" t="s">
        <v>363</v>
      </c>
      <c r="E60" s="2" t="s">
        <v>364</v>
      </c>
      <c r="F60" s="2">
        <v>11.7277781168619</v>
      </c>
      <c r="G60" s="2">
        <v>18</v>
      </c>
      <c r="H60" s="2">
        <v>5200</v>
      </c>
      <c r="I60" s="2" t="s">
        <v>166</v>
      </c>
      <c r="J60" s="2" t="s">
        <v>167</v>
      </c>
      <c r="K60" s="2" t="s">
        <v>74</v>
      </c>
      <c r="N60" s="2" t="str">
        <f t="shared" si="0"/>
        <v>22043-15272</v>
      </c>
    </row>
    <row r="61" spans="1:14" x14ac:dyDescent="0.25">
      <c r="A61" s="2" t="s">
        <v>365</v>
      </c>
      <c r="B61" s="2" t="s">
        <v>130</v>
      </c>
      <c r="C61" s="2" t="s">
        <v>366</v>
      </c>
      <c r="D61" s="2" t="s">
        <v>367</v>
      </c>
      <c r="E61" s="2" t="s">
        <v>368</v>
      </c>
      <c r="F61" s="2">
        <v>11.540000152587799</v>
      </c>
      <c r="G61" s="2">
        <v>20</v>
      </c>
      <c r="H61" s="2">
        <v>6500</v>
      </c>
      <c r="I61" s="2" t="s">
        <v>145</v>
      </c>
      <c r="J61" s="2" t="s">
        <v>146</v>
      </c>
      <c r="K61" s="2" t="s">
        <v>147</v>
      </c>
      <c r="N61" s="2" t="str">
        <f t="shared" si="0"/>
        <v>22043-62493</v>
      </c>
    </row>
    <row r="62" spans="1:14" x14ac:dyDescent="0.25">
      <c r="A62" s="2" t="s">
        <v>369</v>
      </c>
      <c r="B62" s="2" t="s">
        <v>130</v>
      </c>
      <c r="C62" s="2" t="s">
        <v>21</v>
      </c>
      <c r="D62" s="2" t="s">
        <v>370</v>
      </c>
      <c r="E62" s="2" t="s">
        <v>371</v>
      </c>
      <c r="F62" s="2">
        <v>11.2476189022972</v>
      </c>
      <c r="G62" s="2">
        <v>21</v>
      </c>
      <c r="H62" s="2">
        <v>5500</v>
      </c>
      <c r="I62" s="2" t="s">
        <v>159</v>
      </c>
      <c r="J62" s="2" t="s">
        <v>160</v>
      </c>
      <c r="K62" s="2" t="s">
        <v>161</v>
      </c>
      <c r="N62" s="2" t="str">
        <f t="shared" si="0"/>
        <v>22043-8619</v>
      </c>
    </row>
    <row r="63" spans="1:14" x14ac:dyDescent="0.25">
      <c r="A63" s="2" t="s">
        <v>372</v>
      </c>
      <c r="B63" s="2" t="s">
        <v>131</v>
      </c>
      <c r="C63" s="2" t="s">
        <v>90</v>
      </c>
      <c r="D63" s="2" t="s">
        <v>373</v>
      </c>
      <c r="E63" s="2" t="s">
        <v>374</v>
      </c>
      <c r="F63" s="2">
        <v>11.2421055843955</v>
      </c>
      <c r="G63" s="2">
        <v>19</v>
      </c>
      <c r="H63" s="2">
        <v>4300</v>
      </c>
      <c r="I63" s="2" t="s">
        <v>166</v>
      </c>
      <c r="J63" s="2" t="s">
        <v>167</v>
      </c>
      <c r="K63" s="2" t="s">
        <v>74</v>
      </c>
      <c r="N63" s="2" t="str">
        <f t="shared" si="0"/>
        <v>22043-11158</v>
      </c>
    </row>
    <row r="64" spans="1:14" x14ac:dyDescent="0.25">
      <c r="A64" s="2" t="s">
        <v>375</v>
      </c>
      <c r="B64" s="2" t="s">
        <v>131</v>
      </c>
      <c r="C64" s="2" t="s">
        <v>376</v>
      </c>
      <c r="D64" s="2" t="s">
        <v>377</v>
      </c>
      <c r="E64" s="2" t="s">
        <v>378</v>
      </c>
      <c r="F64" s="2">
        <v>11.2409092296253</v>
      </c>
      <c r="G64" s="2">
        <v>22</v>
      </c>
      <c r="H64" s="2">
        <v>5300</v>
      </c>
      <c r="I64" s="2" t="s">
        <v>159</v>
      </c>
      <c r="J64" s="2" t="s">
        <v>161</v>
      </c>
      <c r="K64" s="2" t="s">
        <v>160</v>
      </c>
      <c r="N64" s="2" t="str">
        <f t="shared" si="0"/>
        <v>22043-12244</v>
      </c>
    </row>
    <row r="65" spans="1:14" x14ac:dyDescent="0.25">
      <c r="A65" s="2" t="s">
        <v>379</v>
      </c>
      <c r="B65" s="2" t="s">
        <v>130</v>
      </c>
      <c r="C65" s="2" t="s">
        <v>380</v>
      </c>
      <c r="D65" s="2" t="s">
        <v>381</v>
      </c>
      <c r="E65" s="2" t="s">
        <v>382</v>
      </c>
      <c r="F65" s="2">
        <v>11.2153848501352</v>
      </c>
      <c r="G65" s="2">
        <v>13</v>
      </c>
      <c r="H65" s="2">
        <v>5200</v>
      </c>
      <c r="I65" s="2" t="s">
        <v>176</v>
      </c>
      <c r="J65" s="2" t="s">
        <v>104</v>
      </c>
      <c r="K65" s="2" t="s">
        <v>177</v>
      </c>
      <c r="N65" s="2" t="str">
        <f t="shared" si="0"/>
        <v>22043-12728</v>
      </c>
    </row>
    <row r="66" spans="1:14" x14ac:dyDescent="0.25">
      <c r="A66" s="2" t="s">
        <v>383</v>
      </c>
      <c r="B66" s="2" t="s">
        <v>1</v>
      </c>
      <c r="C66" s="2" t="s">
        <v>384</v>
      </c>
      <c r="D66" s="2" t="s">
        <v>385</v>
      </c>
      <c r="E66" s="2" t="s">
        <v>386</v>
      </c>
      <c r="F66" s="2">
        <v>11.1789470471833</v>
      </c>
      <c r="G66" s="2">
        <v>19</v>
      </c>
      <c r="H66" s="2">
        <v>5200</v>
      </c>
      <c r="I66" s="2" t="s">
        <v>176</v>
      </c>
      <c r="J66" s="2" t="s">
        <v>177</v>
      </c>
      <c r="K66" s="2" t="s">
        <v>104</v>
      </c>
      <c r="N66" s="2" t="str">
        <f t="shared" si="0"/>
        <v>22043-80991</v>
      </c>
    </row>
    <row r="67" spans="1:14" x14ac:dyDescent="0.25">
      <c r="A67" s="2" t="s">
        <v>387</v>
      </c>
      <c r="B67" s="2" t="s">
        <v>130</v>
      </c>
      <c r="C67" s="2" t="s">
        <v>89</v>
      </c>
      <c r="D67" s="2" t="s">
        <v>388</v>
      </c>
      <c r="E67" s="2" t="s">
        <v>389</v>
      </c>
      <c r="F67" s="2">
        <v>11.1666666666666</v>
      </c>
      <c r="G67" s="2">
        <v>18</v>
      </c>
      <c r="H67" s="2">
        <v>5700</v>
      </c>
      <c r="I67" s="2" t="s">
        <v>166</v>
      </c>
      <c r="J67" s="2" t="s">
        <v>167</v>
      </c>
      <c r="K67" s="2" t="s">
        <v>74</v>
      </c>
      <c r="N67" s="2" t="str">
        <f t="shared" ref="N67:N130" si="1">A67</f>
        <v>22043-70904</v>
      </c>
    </row>
    <row r="68" spans="1:14" x14ac:dyDescent="0.25">
      <c r="A68" s="2" t="s">
        <v>390</v>
      </c>
      <c r="B68" s="2" t="s">
        <v>131</v>
      </c>
      <c r="C68" s="2" t="s">
        <v>30</v>
      </c>
      <c r="D68" s="2" t="s">
        <v>391</v>
      </c>
      <c r="E68" s="2" t="s">
        <v>392</v>
      </c>
      <c r="F68" s="2">
        <v>11.0999996787623</v>
      </c>
      <c r="G68" s="2">
        <v>19</v>
      </c>
      <c r="H68" s="2">
        <v>4800</v>
      </c>
      <c r="I68" s="2" t="s">
        <v>190</v>
      </c>
      <c r="J68" s="2" t="s">
        <v>191</v>
      </c>
      <c r="K68" s="2" t="s">
        <v>192</v>
      </c>
      <c r="N68" s="2" t="str">
        <f t="shared" si="1"/>
        <v>22043-61859</v>
      </c>
    </row>
    <row r="69" spans="1:14" x14ac:dyDescent="0.25">
      <c r="A69" s="2" t="s">
        <v>393</v>
      </c>
      <c r="B69" s="2" t="s">
        <v>131</v>
      </c>
      <c r="C69" s="2" t="s">
        <v>218</v>
      </c>
      <c r="D69" s="2" t="s">
        <v>394</v>
      </c>
      <c r="E69" s="2" t="s">
        <v>395</v>
      </c>
      <c r="F69" s="2">
        <v>11.0473680998149</v>
      </c>
      <c r="G69" s="2">
        <v>19</v>
      </c>
      <c r="H69" s="2">
        <v>5500</v>
      </c>
      <c r="I69" s="2" t="s">
        <v>166</v>
      </c>
      <c r="J69" s="2" t="s">
        <v>167</v>
      </c>
      <c r="K69" s="2" t="s">
        <v>74</v>
      </c>
      <c r="N69" s="2" t="str">
        <f t="shared" si="1"/>
        <v>22043-8230</v>
      </c>
    </row>
    <row r="70" spans="1:14" x14ac:dyDescent="0.25">
      <c r="A70" s="2" t="s">
        <v>396</v>
      </c>
      <c r="B70" s="2" t="s">
        <v>131</v>
      </c>
      <c r="C70" s="2" t="s">
        <v>397</v>
      </c>
      <c r="D70" s="2" t="s">
        <v>398</v>
      </c>
      <c r="E70" s="2" t="s">
        <v>399</v>
      </c>
      <c r="F70" s="2">
        <v>11.015789634302999</v>
      </c>
      <c r="G70" s="2">
        <v>19</v>
      </c>
      <c r="H70" s="2">
        <v>4300</v>
      </c>
      <c r="I70" s="2" t="s">
        <v>152</v>
      </c>
      <c r="J70" s="2" t="s">
        <v>154</v>
      </c>
      <c r="K70" s="2" t="s">
        <v>153</v>
      </c>
      <c r="N70" s="2" t="str">
        <f t="shared" si="1"/>
        <v>22043-14456</v>
      </c>
    </row>
    <row r="71" spans="1:14" x14ac:dyDescent="0.25">
      <c r="A71" s="2" t="s">
        <v>400</v>
      </c>
      <c r="B71" s="2" t="s">
        <v>130</v>
      </c>
      <c r="C71" s="2" t="s">
        <v>401</v>
      </c>
      <c r="D71" s="2" t="s">
        <v>402</v>
      </c>
      <c r="E71" s="2" t="s">
        <v>403</v>
      </c>
      <c r="F71" s="2">
        <v>11</v>
      </c>
      <c r="G71" s="2">
        <v>12</v>
      </c>
      <c r="H71" s="2">
        <v>3500</v>
      </c>
      <c r="I71" s="2" t="s">
        <v>190</v>
      </c>
      <c r="J71" s="2" t="s">
        <v>191</v>
      </c>
      <c r="K71" s="2" t="s">
        <v>192</v>
      </c>
      <c r="L71" s="2" t="s">
        <v>250</v>
      </c>
      <c r="M71" s="2" t="s">
        <v>404</v>
      </c>
      <c r="N71" s="2" t="str">
        <f t="shared" si="1"/>
        <v>22043-62723</v>
      </c>
    </row>
    <row r="72" spans="1:14" x14ac:dyDescent="0.25">
      <c r="A72" s="2" t="s">
        <v>405</v>
      </c>
      <c r="B72" s="2" t="s">
        <v>130</v>
      </c>
      <c r="C72" s="2" t="s">
        <v>406</v>
      </c>
      <c r="D72" s="2" t="s">
        <v>407</v>
      </c>
      <c r="E72" s="2" t="s">
        <v>408</v>
      </c>
      <c r="F72" s="2">
        <v>10.9473684210526</v>
      </c>
      <c r="G72" s="2">
        <v>19</v>
      </c>
      <c r="H72" s="2">
        <v>3300</v>
      </c>
      <c r="I72" s="2" t="s">
        <v>176</v>
      </c>
      <c r="J72" s="2" t="s">
        <v>177</v>
      </c>
      <c r="K72" s="2" t="s">
        <v>104</v>
      </c>
      <c r="N72" s="2" t="str">
        <f t="shared" si="1"/>
        <v>22043-14158</v>
      </c>
    </row>
    <row r="73" spans="1:14" x14ac:dyDescent="0.25">
      <c r="A73" s="2" t="s">
        <v>409</v>
      </c>
      <c r="B73" s="2" t="s">
        <v>130</v>
      </c>
      <c r="C73" s="2" t="s">
        <v>59</v>
      </c>
      <c r="D73" s="2" t="s">
        <v>410</v>
      </c>
      <c r="E73" s="2" t="s">
        <v>149</v>
      </c>
      <c r="F73" s="2">
        <v>10.914285932268401</v>
      </c>
      <c r="G73" s="2">
        <v>14</v>
      </c>
      <c r="H73" s="2">
        <v>4100</v>
      </c>
      <c r="I73" s="2" t="s">
        <v>152</v>
      </c>
      <c r="J73" s="2" t="s">
        <v>153</v>
      </c>
      <c r="K73" s="2" t="s">
        <v>154</v>
      </c>
      <c r="N73" s="2" t="str">
        <f t="shared" si="1"/>
        <v>22043-70125</v>
      </c>
    </row>
    <row r="74" spans="1:14" x14ac:dyDescent="0.25">
      <c r="A74" s="2" t="s">
        <v>411</v>
      </c>
      <c r="B74" s="2" t="s">
        <v>131</v>
      </c>
      <c r="C74" s="2" t="s">
        <v>412</v>
      </c>
      <c r="D74" s="2" t="s">
        <v>413</v>
      </c>
      <c r="E74" s="2" t="s">
        <v>127</v>
      </c>
      <c r="F74" s="2">
        <v>10.889473362972801</v>
      </c>
      <c r="G74" s="2">
        <v>19</v>
      </c>
      <c r="H74" s="2">
        <v>5200</v>
      </c>
      <c r="I74" s="2" t="s">
        <v>166</v>
      </c>
      <c r="J74" s="2" t="s">
        <v>167</v>
      </c>
      <c r="K74" s="2" t="s">
        <v>74</v>
      </c>
      <c r="N74" s="2" t="str">
        <f t="shared" si="1"/>
        <v>22043-15356</v>
      </c>
    </row>
    <row r="75" spans="1:14" x14ac:dyDescent="0.25">
      <c r="A75" s="2" t="s">
        <v>414</v>
      </c>
      <c r="B75" s="2" t="s">
        <v>130</v>
      </c>
      <c r="C75" s="2" t="s">
        <v>94</v>
      </c>
      <c r="D75" s="2" t="s">
        <v>415</v>
      </c>
      <c r="E75" s="2" t="s">
        <v>416</v>
      </c>
      <c r="F75" s="2">
        <v>10.8777779473198</v>
      </c>
      <c r="G75" s="2">
        <v>18</v>
      </c>
      <c r="H75" s="2">
        <v>5000</v>
      </c>
      <c r="I75" s="2" t="s">
        <v>190</v>
      </c>
      <c r="J75" s="2" t="s">
        <v>192</v>
      </c>
      <c r="K75" s="2" t="s">
        <v>191</v>
      </c>
      <c r="N75" s="2" t="str">
        <f t="shared" si="1"/>
        <v>22043-40036</v>
      </c>
    </row>
    <row r="76" spans="1:14" x14ac:dyDescent="0.25">
      <c r="A76" s="2" t="s">
        <v>417</v>
      </c>
      <c r="B76" s="2" t="s">
        <v>130</v>
      </c>
      <c r="C76" s="2" t="s">
        <v>418</v>
      </c>
      <c r="D76" s="2" t="s">
        <v>419</v>
      </c>
      <c r="E76" s="2" t="s">
        <v>420</v>
      </c>
      <c r="F76" s="2">
        <v>10.873684531763899</v>
      </c>
      <c r="G76" s="2">
        <v>19</v>
      </c>
      <c r="H76" s="2">
        <v>5300</v>
      </c>
      <c r="I76" s="2" t="s">
        <v>190</v>
      </c>
      <c r="J76" s="2" t="s">
        <v>191</v>
      </c>
      <c r="K76" s="2" t="s">
        <v>192</v>
      </c>
      <c r="N76" s="2" t="str">
        <f t="shared" si="1"/>
        <v>22043-14473</v>
      </c>
    </row>
    <row r="77" spans="1:14" x14ac:dyDescent="0.25">
      <c r="A77" s="2" t="s">
        <v>421</v>
      </c>
      <c r="B77" s="2" t="s">
        <v>131</v>
      </c>
      <c r="C77" s="2" t="s">
        <v>422</v>
      </c>
      <c r="D77" s="2" t="s">
        <v>423</v>
      </c>
      <c r="E77" s="2" t="s">
        <v>424</v>
      </c>
      <c r="F77" s="2">
        <v>10.8352939381318</v>
      </c>
      <c r="G77" s="2">
        <v>17</v>
      </c>
      <c r="H77" s="2">
        <v>5200</v>
      </c>
      <c r="I77" s="2" t="s">
        <v>152</v>
      </c>
      <c r="J77" s="2" t="s">
        <v>153</v>
      </c>
      <c r="K77" s="2" t="s">
        <v>154</v>
      </c>
      <c r="N77" s="2" t="str">
        <f t="shared" si="1"/>
        <v>22043-8264</v>
      </c>
    </row>
    <row r="78" spans="1:14" x14ac:dyDescent="0.25">
      <c r="A78" s="2" t="s">
        <v>425</v>
      </c>
      <c r="B78" s="2" t="s">
        <v>131</v>
      </c>
      <c r="C78" s="2" t="s">
        <v>426</v>
      </c>
      <c r="D78" s="2" t="s">
        <v>427</v>
      </c>
      <c r="E78" s="2" t="s">
        <v>428</v>
      </c>
      <c r="F78" s="2">
        <v>10.827272588556401</v>
      </c>
      <c r="G78" s="2">
        <v>11</v>
      </c>
      <c r="H78" s="2">
        <v>4200</v>
      </c>
      <c r="I78" s="2" t="s">
        <v>190</v>
      </c>
      <c r="J78" s="2" t="s">
        <v>191</v>
      </c>
      <c r="K78" s="2" t="s">
        <v>192</v>
      </c>
      <c r="N78" s="2" t="str">
        <f t="shared" si="1"/>
        <v>22043-39464</v>
      </c>
    </row>
    <row r="79" spans="1:14" x14ac:dyDescent="0.25">
      <c r="A79" s="2" t="s">
        <v>429</v>
      </c>
      <c r="B79" s="2" t="s">
        <v>130</v>
      </c>
      <c r="C79" s="2" t="s">
        <v>430</v>
      </c>
      <c r="D79" s="2" t="s">
        <v>431</v>
      </c>
      <c r="E79" s="2" t="s">
        <v>432</v>
      </c>
      <c r="F79" s="2">
        <v>10.761904761904701</v>
      </c>
      <c r="G79" s="2">
        <v>21</v>
      </c>
      <c r="H79" s="2">
        <v>5800</v>
      </c>
      <c r="I79" s="2" t="s">
        <v>159</v>
      </c>
      <c r="J79" s="2" t="s">
        <v>160</v>
      </c>
      <c r="K79" s="2" t="s">
        <v>161</v>
      </c>
      <c r="N79" s="2" t="str">
        <f t="shared" si="1"/>
        <v>22043-59276</v>
      </c>
    </row>
    <row r="80" spans="1:14" x14ac:dyDescent="0.25">
      <c r="A80" s="2" t="s">
        <v>433</v>
      </c>
      <c r="B80" s="2" t="s">
        <v>130</v>
      </c>
      <c r="C80" s="2" t="s">
        <v>434</v>
      </c>
      <c r="D80" s="2" t="s">
        <v>435</v>
      </c>
      <c r="E80" s="2" t="s">
        <v>436</v>
      </c>
      <c r="F80" s="2">
        <v>10.757894415604399</v>
      </c>
      <c r="G80" s="2">
        <v>19</v>
      </c>
      <c r="H80" s="2">
        <v>5900</v>
      </c>
      <c r="I80" s="2" t="s">
        <v>190</v>
      </c>
      <c r="J80" s="2" t="s">
        <v>191</v>
      </c>
      <c r="K80" s="2" t="s">
        <v>192</v>
      </c>
      <c r="N80" s="2" t="str">
        <f t="shared" si="1"/>
        <v>22043-8142</v>
      </c>
    </row>
    <row r="81" spans="1:14" x14ac:dyDescent="0.25">
      <c r="A81" s="2" t="s">
        <v>437</v>
      </c>
      <c r="B81" s="2" t="s">
        <v>1</v>
      </c>
      <c r="C81" s="2" t="s">
        <v>438</v>
      </c>
      <c r="D81" s="2" t="s">
        <v>439</v>
      </c>
      <c r="E81" s="2" t="s">
        <v>440</v>
      </c>
      <c r="F81" s="2">
        <v>10.7199996948242</v>
      </c>
      <c r="G81" s="2">
        <v>20</v>
      </c>
      <c r="H81" s="2">
        <v>5800</v>
      </c>
      <c r="I81" s="2" t="s">
        <v>166</v>
      </c>
      <c r="J81" s="2" t="s">
        <v>74</v>
      </c>
      <c r="K81" s="2" t="s">
        <v>167</v>
      </c>
      <c r="N81" s="2" t="str">
        <f t="shared" si="1"/>
        <v>22043-8714</v>
      </c>
    </row>
    <row r="82" spans="1:14" x14ac:dyDescent="0.25">
      <c r="A82" s="2" t="s">
        <v>441</v>
      </c>
      <c r="B82" s="2" t="s">
        <v>130</v>
      </c>
      <c r="C82" s="2" t="s">
        <v>79</v>
      </c>
      <c r="D82" s="2" t="s">
        <v>442</v>
      </c>
      <c r="E82" s="2" t="s">
        <v>58</v>
      </c>
      <c r="F82" s="2">
        <v>10.711111280653199</v>
      </c>
      <c r="G82" s="2">
        <v>18</v>
      </c>
      <c r="H82" s="2">
        <v>4400</v>
      </c>
      <c r="I82" s="2" t="s">
        <v>145</v>
      </c>
      <c r="J82" s="2" t="s">
        <v>146</v>
      </c>
      <c r="K82" s="2" t="s">
        <v>147</v>
      </c>
      <c r="N82" s="2" t="str">
        <f t="shared" si="1"/>
        <v>22043-42772</v>
      </c>
    </row>
    <row r="83" spans="1:14" x14ac:dyDescent="0.25">
      <c r="A83" s="2" t="s">
        <v>443</v>
      </c>
      <c r="B83" s="2" t="s">
        <v>130</v>
      </c>
      <c r="C83" s="2" t="s">
        <v>444</v>
      </c>
      <c r="D83" s="2" t="s">
        <v>445</v>
      </c>
      <c r="E83" s="2" t="s">
        <v>446</v>
      </c>
      <c r="F83" s="2">
        <v>10.699999809265099</v>
      </c>
      <c r="G83" s="2">
        <v>16</v>
      </c>
      <c r="H83" s="2">
        <v>6200</v>
      </c>
      <c r="I83" s="2" t="s">
        <v>145</v>
      </c>
      <c r="J83" s="2" t="s">
        <v>146</v>
      </c>
      <c r="K83" s="2" t="s">
        <v>147</v>
      </c>
      <c r="N83" s="2" t="str">
        <f t="shared" si="1"/>
        <v>22043-14056</v>
      </c>
    </row>
    <row r="84" spans="1:14" x14ac:dyDescent="0.25">
      <c r="A84" s="2" t="s">
        <v>447</v>
      </c>
      <c r="B84" s="2" t="s">
        <v>130</v>
      </c>
      <c r="C84" s="2" t="s">
        <v>109</v>
      </c>
      <c r="D84" s="2" t="s">
        <v>448</v>
      </c>
      <c r="E84" s="2" t="s">
        <v>449</v>
      </c>
      <c r="F84" s="2">
        <v>10.6944444444444</v>
      </c>
      <c r="G84" s="2">
        <v>18</v>
      </c>
      <c r="H84" s="2">
        <v>6900</v>
      </c>
      <c r="I84" s="2" t="s">
        <v>190</v>
      </c>
      <c r="J84" s="2" t="s">
        <v>192</v>
      </c>
      <c r="K84" s="2" t="s">
        <v>191</v>
      </c>
      <c r="N84" s="2" t="str">
        <f t="shared" si="1"/>
        <v>22043-8615</v>
      </c>
    </row>
    <row r="85" spans="1:14" x14ac:dyDescent="0.25">
      <c r="A85" s="2" t="s">
        <v>450</v>
      </c>
      <c r="B85" s="2" t="s">
        <v>130</v>
      </c>
      <c r="C85" s="2" t="s">
        <v>43</v>
      </c>
      <c r="D85" s="2" t="s">
        <v>451</v>
      </c>
      <c r="E85" s="2" t="s">
        <v>452</v>
      </c>
      <c r="F85" s="2">
        <v>10.6625003814697</v>
      </c>
      <c r="G85" s="2">
        <v>16</v>
      </c>
      <c r="H85" s="2">
        <v>3200</v>
      </c>
      <c r="I85" s="2" t="s">
        <v>159</v>
      </c>
      <c r="J85" s="2" t="s">
        <v>161</v>
      </c>
      <c r="K85" s="2" t="s">
        <v>160</v>
      </c>
      <c r="N85" s="2" t="str">
        <f t="shared" si="1"/>
        <v>22043-43120</v>
      </c>
    </row>
    <row r="86" spans="1:14" x14ac:dyDescent="0.25">
      <c r="A86" s="2" t="s">
        <v>453</v>
      </c>
      <c r="B86" s="2" t="s">
        <v>130</v>
      </c>
      <c r="C86" s="2" t="s">
        <v>87</v>
      </c>
      <c r="D86" s="2" t="s">
        <v>454</v>
      </c>
      <c r="E86" s="2" t="s">
        <v>455</v>
      </c>
      <c r="F86" s="2">
        <v>10.6099998474121</v>
      </c>
      <c r="G86" s="2">
        <v>20</v>
      </c>
      <c r="H86" s="2">
        <v>4700</v>
      </c>
      <c r="I86" s="2" t="s">
        <v>145</v>
      </c>
      <c r="J86" s="2" t="s">
        <v>147</v>
      </c>
      <c r="K86" s="2" t="s">
        <v>146</v>
      </c>
      <c r="N86" s="2" t="str">
        <f t="shared" si="1"/>
        <v>22043-8202</v>
      </c>
    </row>
    <row r="87" spans="1:14" x14ac:dyDescent="0.25">
      <c r="A87" s="2" t="s">
        <v>456</v>
      </c>
      <c r="B87" s="2" t="s">
        <v>131</v>
      </c>
      <c r="C87" s="2" t="s">
        <v>103</v>
      </c>
      <c r="D87" s="2" t="s">
        <v>457</v>
      </c>
      <c r="E87" s="2" t="s">
        <v>458</v>
      </c>
      <c r="F87" s="2">
        <v>10.531579268606</v>
      </c>
      <c r="G87" s="2">
        <v>19</v>
      </c>
      <c r="H87" s="2">
        <v>4700</v>
      </c>
      <c r="I87" s="2" t="s">
        <v>152</v>
      </c>
      <c r="J87" s="2" t="s">
        <v>153</v>
      </c>
      <c r="K87" s="2" t="s">
        <v>154</v>
      </c>
      <c r="N87" s="2" t="str">
        <f t="shared" si="1"/>
        <v>22043-39245</v>
      </c>
    </row>
    <row r="88" spans="1:14" x14ac:dyDescent="0.25">
      <c r="A88" s="2" t="s">
        <v>459</v>
      </c>
      <c r="B88" s="2" t="s">
        <v>130</v>
      </c>
      <c r="C88" s="2" t="s">
        <v>460</v>
      </c>
      <c r="D88" s="2" t="s">
        <v>461</v>
      </c>
      <c r="E88" s="2" t="s">
        <v>462</v>
      </c>
      <c r="F88" s="2">
        <v>10.3769226074218</v>
      </c>
      <c r="G88" s="2">
        <v>13</v>
      </c>
      <c r="H88" s="2">
        <v>5000</v>
      </c>
      <c r="I88" s="2" t="s">
        <v>145</v>
      </c>
      <c r="J88" s="2" t="s">
        <v>146</v>
      </c>
      <c r="K88" s="2" t="s">
        <v>147</v>
      </c>
      <c r="N88" s="2" t="str">
        <f t="shared" si="1"/>
        <v>22043-15251</v>
      </c>
    </row>
    <row r="89" spans="1:14" x14ac:dyDescent="0.25">
      <c r="A89" s="2" t="s">
        <v>463</v>
      </c>
      <c r="B89" s="2" t="s">
        <v>130</v>
      </c>
      <c r="C89" s="2" t="s">
        <v>464</v>
      </c>
      <c r="D89" s="2" t="s">
        <v>465</v>
      </c>
      <c r="E89" s="2" t="s">
        <v>466</v>
      </c>
      <c r="F89" s="2">
        <v>10.3473687422902</v>
      </c>
      <c r="G89" s="2">
        <v>19</v>
      </c>
      <c r="H89" s="2">
        <v>4100</v>
      </c>
      <c r="I89" s="2" t="s">
        <v>176</v>
      </c>
      <c r="J89" s="2" t="s">
        <v>177</v>
      </c>
      <c r="K89" s="2" t="s">
        <v>104</v>
      </c>
      <c r="N89" s="2" t="str">
        <f t="shared" si="1"/>
        <v>22043-80369</v>
      </c>
    </row>
    <row r="90" spans="1:14" x14ac:dyDescent="0.25">
      <c r="A90" s="2" t="s">
        <v>467</v>
      </c>
      <c r="B90" s="2" t="s">
        <v>132</v>
      </c>
      <c r="C90" s="2" t="s">
        <v>468</v>
      </c>
      <c r="D90" s="2" t="s">
        <v>469</v>
      </c>
      <c r="E90" s="2" t="s">
        <v>51</v>
      </c>
      <c r="F90" s="2">
        <v>10.2666664123535</v>
      </c>
      <c r="G90" s="2">
        <v>6</v>
      </c>
      <c r="H90" s="2">
        <v>7400</v>
      </c>
      <c r="I90" s="2" t="s">
        <v>152</v>
      </c>
      <c r="J90" s="2" t="s">
        <v>153</v>
      </c>
      <c r="K90" s="2" t="s">
        <v>154</v>
      </c>
      <c r="N90" s="2" t="str">
        <f t="shared" si="1"/>
        <v>22043-8312</v>
      </c>
    </row>
    <row r="91" spans="1:14" x14ac:dyDescent="0.25">
      <c r="A91" s="2" t="s">
        <v>470</v>
      </c>
      <c r="B91" s="2" t="s">
        <v>130</v>
      </c>
      <c r="C91" s="2" t="s">
        <v>57</v>
      </c>
      <c r="D91" s="2" t="s">
        <v>471</v>
      </c>
      <c r="E91" s="2" t="s">
        <v>472</v>
      </c>
      <c r="F91" s="2">
        <v>10.228571210588701</v>
      </c>
      <c r="G91" s="2">
        <v>14</v>
      </c>
      <c r="H91" s="2">
        <v>3000</v>
      </c>
      <c r="I91" s="2" t="s">
        <v>145</v>
      </c>
      <c r="J91" s="2" t="s">
        <v>146</v>
      </c>
      <c r="K91" s="2" t="s">
        <v>147</v>
      </c>
      <c r="L91" s="2" t="s">
        <v>250</v>
      </c>
      <c r="M91" s="2" t="s">
        <v>404</v>
      </c>
      <c r="N91" s="2" t="str">
        <f t="shared" si="1"/>
        <v>22043-8746</v>
      </c>
    </row>
    <row r="92" spans="1:14" x14ac:dyDescent="0.25">
      <c r="A92" s="2" t="s">
        <v>473</v>
      </c>
      <c r="B92" s="2" t="s">
        <v>1</v>
      </c>
      <c r="C92" s="2" t="s">
        <v>474</v>
      </c>
      <c r="D92" s="2" t="s">
        <v>475</v>
      </c>
      <c r="E92" s="2" t="s">
        <v>476</v>
      </c>
      <c r="F92" s="2">
        <v>10.094737002724001</v>
      </c>
      <c r="G92" s="2">
        <v>19</v>
      </c>
      <c r="H92" s="2">
        <v>5200</v>
      </c>
      <c r="I92" s="2" t="s">
        <v>166</v>
      </c>
      <c r="J92" s="2" t="s">
        <v>167</v>
      </c>
      <c r="K92" s="2" t="s">
        <v>74</v>
      </c>
      <c r="N92" s="2" t="str">
        <f t="shared" si="1"/>
        <v>22043-9189</v>
      </c>
    </row>
    <row r="93" spans="1:14" x14ac:dyDescent="0.25">
      <c r="A93" s="2" t="s">
        <v>477</v>
      </c>
      <c r="B93" s="2" t="s">
        <v>1</v>
      </c>
      <c r="C93" s="2" t="s">
        <v>478</v>
      </c>
      <c r="D93" s="2" t="s">
        <v>479</v>
      </c>
      <c r="E93" s="2" t="s">
        <v>480</v>
      </c>
      <c r="F93" s="2">
        <v>10.015789634302999</v>
      </c>
      <c r="G93" s="2">
        <v>19</v>
      </c>
      <c r="H93" s="2">
        <v>5400</v>
      </c>
      <c r="I93" s="2" t="s">
        <v>176</v>
      </c>
      <c r="J93" s="2" t="s">
        <v>104</v>
      </c>
      <c r="K93" s="2" t="s">
        <v>177</v>
      </c>
      <c r="N93" s="2" t="str">
        <f t="shared" si="1"/>
        <v>22043-8414</v>
      </c>
    </row>
    <row r="94" spans="1:14" x14ac:dyDescent="0.25">
      <c r="A94" s="2" t="s">
        <v>481</v>
      </c>
      <c r="B94" s="2" t="s">
        <v>131</v>
      </c>
      <c r="C94" s="2" t="s">
        <v>69</v>
      </c>
      <c r="D94" s="2" t="s">
        <v>482</v>
      </c>
      <c r="E94" s="2" t="s">
        <v>483</v>
      </c>
      <c r="F94" s="2">
        <v>9.9937496185302699</v>
      </c>
      <c r="G94" s="2">
        <v>16</v>
      </c>
      <c r="H94" s="2">
        <v>4000</v>
      </c>
      <c r="I94" s="2" t="s">
        <v>190</v>
      </c>
      <c r="J94" s="2" t="s">
        <v>192</v>
      </c>
      <c r="K94" s="2" t="s">
        <v>191</v>
      </c>
      <c r="N94" s="2" t="str">
        <f t="shared" si="1"/>
        <v>22043-23060</v>
      </c>
    </row>
    <row r="95" spans="1:14" x14ac:dyDescent="0.25">
      <c r="A95" s="2" t="s">
        <v>484</v>
      </c>
      <c r="B95" s="2" t="s">
        <v>130</v>
      </c>
      <c r="C95" s="2" t="s">
        <v>474</v>
      </c>
      <c r="D95" s="2" t="s">
        <v>485</v>
      </c>
      <c r="E95" s="2" t="s">
        <v>486</v>
      </c>
      <c r="F95" s="2">
        <v>9.9071426391601491</v>
      </c>
      <c r="G95" s="2">
        <v>14</v>
      </c>
      <c r="H95" s="2">
        <v>6300</v>
      </c>
      <c r="I95" s="2" t="s">
        <v>176</v>
      </c>
      <c r="J95" s="2" t="s">
        <v>104</v>
      </c>
      <c r="K95" s="2" t="s">
        <v>177</v>
      </c>
      <c r="N95" s="2" t="str">
        <f t="shared" si="1"/>
        <v>22043-23041</v>
      </c>
    </row>
    <row r="96" spans="1:14" x14ac:dyDescent="0.25">
      <c r="A96" s="2" t="s">
        <v>487</v>
      </c>
      <c r="B96" s="2" t="s">
        <v>130</v>
      </c>
      <c r="C96" s="2" t="s">
        <v>99</v>
      </c>
      <c r="D96" s="2" t="s">
        <v>488</v>
      </c>
      <c r="E96" s="2" t="s">
        <v>489</v>
      </c>
      <c r="F96" s="2">
        <v>9.7473682604337899</v>
      </c>
      <c r="G96" s="2">
        <v>19</v>
      </c>
      <c r="H96" s="2">
        <v>4000</v>
      </c>
      <c r="I96" s="2" t="s">
        <v>190</v>
      </c>
      <c r="J96" s="2" t="s">
        <v>191</v>
      </c>
      <c r="K96" s="2" t="s">
        <v>192</v>
      </c>
      <c r="N96" s="2" t="str">
        <f t="shared" si="1"/>
        <v>22043-8357</v>
      </c>
    </row>
    <row r="97" spans="1:14" x14ac:dyDescent="0.25">
      <c r="A97" s="2" t="s">
        <v>490</v>
      </c>
      <c r="B97" s="2" t="s">
        <v>1</v>
      </c>
      <c r="C97" s="2" t="s">
        <v>491</v>
      </c>
      <c r="D97" s="2" t="s">
        <v>492</v>
      </c>
      <c r="E97" s="2" t="s">
        <v>493</v>
      </c>
      <c r="F97" s="2">
        <v>9.7272727272727195</v>
      </c>
      <c r="G97" s="2">
        <v>22</v>
      </c>
      <c r="H97" s="2">
        <v>5000</v>
      </c>
      <c r="I97" s="2" t="s">
        <v>159</v>
      </c>
      <c r="J97" s="2" t="s">
        <v>161</v>
      </c>
      <c r="K97" s="2" t="s">
        <v>160</v>
      </c>
      <c r="N97" s="2" t="str">
        <f t="shared" si="1"/>
        <v>22043-12448</v>
      </c>
    </row>
    <row r="98" spans="1:14" x14ac:dyDescent="0.25">
      <c r="A98" s="2" t="s">
        <v>494</v>
      </c>
      <c r="B98" s="2" t="s">
        <v>131</v>
      </c>
      <c r="C98" s="2" t="s">
        <v>79</v>
      </c>
      <c r="D98" s="2" t="s">
        <v>495</v>
      </c>
      <c r="E98" s="2" t="s">
        <v>496</v>
      </c>
      <c r="F98" s="2">
        <v>9.7052628366570701</v>
      </c>
      <c r="G98" s="2">
        <v>19</v>
      </c>
      <c r="H98" s="2">
        <v>3600</v>
      </c>
      <c r="I98" s="2" t="s">
        <v>190</v>
      </c>
      <c r="J98" s="2" t="s">
        <v>191</v>
      </c>
      <c r="K98" s="2" t="s">
        <v>192</v>
      </c>
      <c r="N98" s="2" t="str">
        <f t="shared" si="1"/>
        <v>22043-54194</v>
      </c>
    </row>
    <row r="99" spans="1:14" x14ac:dyDescent="0.25">
      <c r="A99" s="2" t="s">
        <v>497</v>
      </c>
      <c r="B99" s="2" t="s">
        <v>130</v>
      </c>
      <c r="C99" s="2" t="s">
        <v>102</v>
      </c>
      <c r="D99" s="2" t="s">
        <v>498</v>
      </c>
      <c r="E99" s="2" t="s">
        <v>24</v>
      </c>
      <c r="F99" s="2">
        <v>9.68947400544819</v>
      </c>
      <c r="G99" s="2">
        <v>19</v>
      </c>
      <c r="H99" s="2">
        <v>4000</v>
      </c>
      <c r="I99" s="2" t="s">
        <v>152</v>
      </c>
      <c r="J99" s="2" t="s">
        <v>154</v>
      </c>
      <c r="K99" s="2" t="s">
        <v>153</v>
      </c>
      <c r="N99" s="2" t="str">
        <f t="shared" si="1"/>
        <v>22043-15239</v>
      </c>
    </row>
    <row r="100" spans="1:14" x14ac:dyDescent="0.25">
      <c r="A100" s="2" t="s">
        <v>499</v>
      </c>
      <c r="B100" s="2" t="s">
        <v>130</v>
      </c>
      <c r="C100" s="2" t="s">
        <v>123</v>
      </c>
      <c r="D100" s="2" t="s">
        <v>500</v>
      </c>
      <c r="E100" s="2" t="s">
        <v>501</v>
      </c>
      <c r="F100" s="2">
        <v>9.6000003814697195</v>
      </c>
      <c r="G100" s="2">
        <v>1</v>
      </c>
      <c r="H100" s="2">
        <v>3000</v>
      </c>
      <c r="I100" s="2" t="s">
        <v>190</v>
      </c>
      <c r="J100" s="2" t="s">
        <v>192</v>
      </c>
      <c r="K100" s="2" t="s">
        <v>191</v>
      </c>
      <c r="N100" s="2" t="str">
        <f t="shared" si="1"/>
        <v>22043-68658</v>
      </c>
    </row>
    <row r="101" spans="1:14" x14ac:dyDescent="0.25">
      <c r="A101" s="2" t="s">
        <v>502</v>
      </c>
      <c r="B101" s="2" t="s">
        <v>131</v>
      </c>
      <c r="C101" s="2" t="s">
        <v>50</v>
      </c>
      <c r="D101" s="2" t="s">
        <v>503</v>
      </c>
      <c r="E101" s="2" t="s">
        <v>504</v>
      </c>
      <c r="F101" s="2">
        <v>9.5999996787623303</v>
      </c>
      <c r="G101" s="2">
        <v>19</v>
      </c>
      <c r="H101" s="2">
        <v>4200</v>
      </c>
      <c r="I101" s="2" t="s">
        <v>176</v>
      </c>
      <c r="J101" s="2" t="s">
        <v>177</v>
      </c>
      <c r="K101" s="2" t="s">
        <v>104</v>
      </c>
      <c r="N101" s="2" t="str">
        <f t="shared" si="1"/>
        <v>22043-82075</v>
      </c>
    </row>
    <row r="102" spans="1:14" x14ac:dyDescent="0.25">
      <c r="A102" s="2" t="s">
        <v>505</v>
      </c>
      <c r="B102" s="2" t="s">
        <v>1</v>
      </c>
      <c r="C102" s="2" t="s">
        <v>506</v>
      </c>
      <c r="D102" s="2" t="s">
        <v>507</v>
      </c>
      <c r="E102" s="2" t="s">
        <v>508</v>
      </c>
      <c r="F102" s="2">
        <v>9.5590910478071702</v>
      </c>
      <c r="G102" s="2">
        <v>22</v>
      </c>
      <c r="H102" s="2">
        <v>4100</v>
      </c>
      <c r="I102" s="2" t="s">
        <v>159</v>
      </c>
      <c r="J102" s="2" t="s">
        <v>161</v>
      </c>
      <c r="K102" s="2" t="s">
        <v>160</v>
      </c>
      <c r="N102" s="2" t="str">
        <f t="shared" si="1"/>
        <v>22043-59120</v>
      </c>
    </row>
    <row r="103" spans="1:14" x14ac:dyDescent="0.25">
      <c r="A103" s="2" t="s">
        <v>509</v>
      </c>
      <c r="B103" s="2" t="s">
        <v>130</v>
      </c>
      <c r="C103" s="2" t="s">
        <v>114</v>
      </c>
      <c r="D103" s="2" t="s">
        <v>510</v>
      </c>
      <c r="E103" s="2" t="s">
        <v>511</v>
      </c>
      <c r="F103" s="2">
        <v>9.5428568522135393</v>
      </c>
      <c r="G103" s="2">
        <v>21</v>
      </c>
      <c r="H103" s="2">
        <v>4900</v>
      </c>
      <c r="I103" s="2" t="s">
        <v>159</v>
      </c>
      <c r="J103" s="2" t="s">
        <v>160</v>
      </c>
      <c r="K103" s="2" t="s">
        <v>161</v>
      </c>
      <c r="N103" s="2" t="str">
        <f t="shared" si="1"/>
        <v>22043-66683</v>
      </c>
    </row>
    <row r="104" spans="1:14" x14ac:dyDescent="0.25">
      <c r="A104" s="2" t="s">
        <v>512</v>
      </c>
      <c r="B104" s="2" t="s">
        <v>131</v>
      </c>
      <c r="C104" s="2" t="s">
        <v>513</v>
      </c>
      <c r="D104" s="2" t="s">
        <v>514</v>
      </c>
      <c r="E104" s="2" t="s">
        <v>515</v>
      </c>
      <c r="F104" s="2">
        <v>9.5238095238095202</v>
      </c>
      <c r="G104" s="2">
        <v>21</v>
      </c>
      <c r="H104" s="2">
        <v>4300</v>
      </c>
      <c r="I104" s="2" t="s">
        <v>159</v>
      </c>
      <c r="J104" s="2" t="s">
        <v>160</v>
      </c>
      <c r="K104" s="2" t="s">
        <v>161</v>
      </c>
      <c r="N104" s="2" t="str">
        <f t="shared" si="1"/>
        <v>22043-70375</v>
      </c>
    </row>
    <row r="105" spans="1:14" x14ac:dyDescent="0.25">
      <c r="A105" s="2" t="s">
        <v>516</v>
      </c>
      <c r="B105" s="2" t="s">
        <v>130</v>
      </c>
      <c r="C105" s="2" t="s">
        <v>72</v>
      </c>
      <c r="D105" s="2" t="s">
        <v>517</v>
      </c>
      <c r="E105" s="2" t="s">
        <v>518</v>
      </c>
      <c r="F105" s="2">
        <v>9.3888888888888893</v>
      </c>
      <c r="G105" s="2">
        <v>18</v>
      </c>
      <c r="H105" s="2">
        <v>3400</v>
      </c>
      <c r="I105" s="2" t="s">
        <v>176</v>
      </c>
      <c r="J105" s="2" t="s">
        <v>177</v>
      </c>
      <c r="K105" s="2" t="s">
        <v>104</v>
      </c>
      <c r="N105" s="2" t="str">
        <f t="shared" si="1"/>
        <v>22043-70118</v>
      </c>
    </row>
    <row r="106" spans="1:14" x14ac:dyDescent="0.25">
      <c r="A106" s="2" t="s">
        <v>519</v>
      </c>
      <c r="B106" s="2" t="s">
        <v>130</v>
      </c>
      <c r="C106" s="2" t="s">
        <v>21</v>
      </c>
      <c r="D106" s="2" t="s">
        <v>520</v>
      </c>
      <c r="E106" s="2" t="s">
        <v>521</v>
      </c>
      <c r="F106" s="2">
        <v>9.1999998092651296</v>
      </c>
      <c r="G106" s="2">
        <v>2</v>
      </c>
      <c r="H106" s="2">
        <v>4300</v>
      </c>
      <c r="I106" s="2" t="s">
        <v>190</v>
      </c>
      <c r="J106" s="2" t="s">
        <v>191</v>
      </c>
      <c r="K106" s="2" t="s">
        <v>192</v>
      </c>
      <c r="L106" s="2" t="s">
        <v>250</v>
      </c>
      <c r="M106" s="2" t="s">
        <v>23</v>
      </c>
      <c r="N106" s="2" t="str">
        <f t="shared" si="1"/>
        <v>22043-9325</v>
      </c>
    </row>
    <row r="107" spans="1:14" x14ac:dyDescent="0.25">
      <c r="A107" s="2" t="s">
        <v>522</v>
      </c>
      <c r="B107" s="2" t="s">
        <v>1</v>
      </c>
      <c r="C107" s="2" t="s">
        <v>523</v>
      </c>
      <c r="D107" s="2" t="s">
        <v>524</v>
      </c>
      <c r="E107" s="2" t="s">
        <v>525</v>
      </c>
      <c r="F107" s="2">
        <v>9.1849998474121097</v>
      </c>
      <c r="G107" s="2">
        <v>20</v>
      </c>
      <c r="H107" s="2">
        <v>3600</v>
      </c>
      <c r="I107" s="2" t="s">
        <v>166</v>
      </c>
      <c r="J107" s="2" t="s">
        <v>74</v>
      </c>
      <c r="K107" s="2" t="s">
        <v>167</v>
      </c>
      <c r="N107" s="2" t="str">
        <f t="shared" si="1"/>
        <v>22043-9990</v>
      </c>
    </row>
    <row r="108" spans="1:14" x14ac:dyDescent="0.25">
      <c r="A108" s="2" t="s">
        <v>526</v>
      </c>
      <c r="B108" s="2" t="s">
        <v>130</v>
      </c>
      <c r="C108" s="2" t="s">
        <v>527</v>
      </c>
      <c r="D108" s="2" t="s">
        <v>528</v>
      </c>
      <c r="E108" s="2" t="s">
        <v>529</v>
      </c>
      <c r="F108" s="2">
        <v>9.1437501907348597</v>
      </c>
      <c r="G108" s="2">
        <v>16</v>
      </c>
      <c r="H108" s="2">
        <v>4100</v>
      </c>
      <c r="I108" s="2" t="s">
        <v>176</v>
      </c>
      <c r="J108" s="2" t="s">
        <v>177</v>
      </c>
      <c r="K108" s="2" t="s">
        <v>104</v>
      </c>
      <c r="N108" s="2" t="str">
        <f t="shared" si="1"/>
        <v>22043-8203</v>
      </c>
    </row>
    <row r="109" spans="1:14" x14ac:dyDescent="0.25">
      <c r="A109" s="2" t="s">
        <v>530</v>
      </c>
      <c r="B109" s="2" t="s">
        <v>131</v>
      </c>
      <c r="C109" s="2" t="s">
        <v>531</v>
      </c>
      <c r="D109" s="2" t="s">
        <v>532</v>
      </c>
      <c r="E109" s="2" t="s">
        <v>533</v>
      </c>
      <c r="F109" s="2">
        <v>9.0947370027240897</v>
      </c>
      <c r="G109" s="2">
        <v>19</v>
      </c>
      <c r="H109" s="2">
        <v>3700</v>
      </c>
      <c r="I109" s="2" t="s">
        <v>145</v>
      </c>
      <c r="J109" s="2" t="s">
        <v>146</v>
      </c>
      <c r="K109" s="2" t="s">
        <v>147</v>
      </c>
      <c r="N109" s="2" t="str">
        <f t="shared" si="1"/>
        <v>22043-12299</v>
      </c>
    </row>
    <row r="110" spans="1:14" x14ac:dyDescent="0.25">
      <c r="A110" s="2" t="s">
        <v>534</v>
      </c>
      <c r="B110" s="2" t="s">
        <v>131</v>
      </c>
      <c r="C110" s="2" t="s">
        <v>535</v>
      </c>
      <c r="D110" s="2" t="s">
        <v>536</v>
      </c>
      <c r="E110" s="2" t="s">
        <v>537</v>
      </c>
      <c r="F110" s="2">
        <v>9.0888892279730893</v>
      </c>
      <c r="G110" s="2">
        <v>9</v>
      </c>
      <c r="H110" s="2">
        <v>4600</v>
      </c>
      <c r="I110" s="2" t="s">
        <v>190</v>
      </c>
      <c r="J110" s="2" t="s">
        <v>191</v>
      </c>
      <c r="K110" s="2" t="s">
        <v>192</v>
      </c>
      <c r="N110" s="2" t="str">
        <f t="shared" si="1"/>
        <v>22043-14474</v>
      </c>
    </row>
    <row r="111" spans="1:14" x14ac:dyDescent="0.25">
      <c r="A111" s="2" t="s">
        <v>538</v>
      </c>
      <c r="B111" s="2" t="s">
        <v>132</v>
      </c>
      <c r="C111" s="2" t="s">
        <v>539</v>
      </c>
      <c r="D111" s="2" t="s">
        <v>540</v>
      </c>
      <c r="E111" s="2" t="s">
        <v>63</v>
      </c>
      <c r="F111" s="2">
        <v>9.0666664971245599</v>
      </c>
      <c r="G111" s="2">
        <v>9</v>
      </c>
      <c r="H111" s="2">
        <v>7200</v>
      </c>
      <c r="I111" s="2" t="s">
        <v>145</v>
      </c>
      <c r="J111" s="2" t="s">
        <v>147</v>
      </c>
      <c r="K111" s="2" t="s">
        <v>146</v>
      </c>
      <c r="N111" s="2" t="str">
        <f t="shared" si="1"/>
        <v>22043-8944</v>
      </c>
    </row>
    <row r="112" spans="1:14" x14ac:dyDescent="0.25">
      <c r="A112" s="2" t="s">
        <v>541</v>
      </c>
      <c r="B112" s="2" t="s">
        <v>131</v>
      </c>
      <c r="C112" s="2" t="s">
        <v>542</v>
      </c>
      <c r="D112" s="2" t="s">
        <v>543</v>
      </c>
      <c r="E112" s="2" t="s">
        <v>544</v>
      </c>
      <c r="F112" s="2">
        <v>8.9384613037109304</v>
      </c>
      <c r="G112" s="2">
        <v>13</v>
      </c>
      <c r="H112" s="2">
        <v>5000</v>
      </c>
      <c r="I112" s="2" t="s">
        <v>145</v>
      </c>
      <c r="J112" s="2" t="s">
        <v>147</v>
      </c>
      <c r="K112" s="2" t="s">
        <v>146</v>
      </c>
      <c r="L112" s="2" t="s">
        <v>250</v>
      </c>
      <c r="M112" s="2" t="s">
        <v>404</v>
      </c>
      <c r="N112" s="2" t="str">
        <f t="shared" si="1"/>
        <v>22043-42993</v>
      </c>
    </row>
    <row r="113" spans="1:14" x14ac:dyDescent="0.25">
      <c r="A113" s="2" t="s">
        <v>545</v>
      </c>
      <c r="B113" s="2" t="s">
        <v>130</v>
      </c>
      <c r="C113" s="2" t="s">
        <v>53</v>
      </c>
      <c r="D113" s="2" t="s">
        <v>546</v>
      </c>
      <c r="E113" s="2" t="s">
        <v>547</v>
      </c>
      <c r="F113" s="2">
        <v>8.8631575734991692</v>
      </c>
      <c r="G113" s="2">
        <v>19</v>
      </c>
      <c r="H113" s="2">
        <v>4500</v>
      </c>
      <c r="I113" s="2" t="s">
        <v>166</v>
      </c>
      <c r="J113" s="2" t="s">
        <v>167</v>
      </c>
      <c r="K113" s="2" t="s">
        <v>74</v>
      </c>
      <c r="N113" s="2" t="str">
        <f t="shared" si="1"/>
        <v>22043-8384</v>
      </c>
    </row>
    <row r="114" spans="1:14" x14ac:dyDescent="0.25">
      <c r="A114" s="2" t="s">
        <v>548</v>
      </c>
      <c r="B114" s="2" t="s">
        <v>130</v>
      </c>
      <c r="C114" s="2" t="s">
        <v>80</v>
      </c>
      <c r="D114" s="2" t="s">
        <v>549</v>
      </c>
      <c r="E114" s="2" t="s">
        <v>550</v>
      </c>
      <c r="F114" s="2">
        <v>8.8380955287388296</v>
      </c>
      <c r="G114" s="2">
        <v>21</v>
      </c>
      <c r="H114" s="2">
        <v>4300</v>
      </c>
      <c r="I114" s="2" t="s">
        <v>159</v>
      </c>
      <c r="J114" s="2" t="s">
        <v>160</v>
      </c>
      <c r="K114" s="2" t="s">
        <v>161</v>
      </c>
      <c r="N114" s="2" t="str">
        <f t="shared" si="1"/>
        <v>22043-12609</v>
      </c>
    </row>
    <row r="115" spans="1:14" x14ac:dyDescent="0.25">
      <c r="A115" s="2" t="s">
        <v>551</v>
      </c>
      <c r="B115" s="2" t="s">
        <v>130</v>
      </c>
      <c r="C115" s="2" t="s">
        <v>376</v>
      </c>
      <c r="D115" s="2" t="s">
        <v>552</v>
      </c>
      <c r="E115" s="2" t="s">
        <v>553</v>
      </c>
      <c r="F115" s="2">
        <v>8.8349998474121101</v>
      </c>
      <c r="G115" s="2">
        <v>20</v>
      </c>
      <c r="H115" s="2">
        <v>4900</v>
      </c>
      <c r="I115" s="2" t="s">
        <v>145</v>
      </c>
      <c r="J115" s="2" t="s">
        <v>146</v>
      </c>
      <c r="K115" s="2" t="s">
        <v>147</v>
      </c>
      <c r="N115" s="2" t="str">
        <f t="shared" si="1"/>
        <v>22043-42773</v>
      </c>
    </row>
    <row r="116" spans="1:14" x14ac:dyDescent="0.25">
      <c r="A116" s="2" t="s">
        <v>554</v>
      </c>
      <c r="B116" s="2" t="s">
        <v>1</v>
      </c>
      <c r="C116" s="2" t="s">
        <v>92</v>
      </c>
      <c r="D116" s="2" t="s">
        <v>555</v>
      </c>
      <c r="E116" s="2" t="s">
        <v>556</v>
      </c>
      <c r="F116" s="2">
        <v>8.8000001907348597</v>
      </c>
      <c r="G116" s="2">
        <v>8</v>
      </c>
      <c r="H116" s="2">
        <v>3400</v>
      </c>
      <c r="I116" s="2" t="s">
        <v>152</v>
      </c>
      <c r="J116" s="2" t="s">
        <v>154</v>
      </c>
      <c r="K116" s="2" t="s">
        <v>153</v>
      </c>
      <c r="N116" s="2" t="str">
        <f t="shared" si="1"/>
        <v>22043-11122</v>
      </c>
    </row>
    <row r="117" spans="1:14" x14ac:dyDescent="0.25">
      <c r="A117" s="2" t="s">
        <v>557</v>
      </c>
      <c r="B117" s="2" t="s">
        <v>130</v>
      </c>
      <c r="C117" s="2" t="s">
        <v>149</v>
      </c>
      <c r="D117" s="2" t="s">
        <v>558</v>
      </c>
      <c r="E117" s="2" t="s">
        <v>67</v>
      </c>
      <c r="F117" s="2">
        <v>8.7095235188802</v>
      </c>
      <c r="G117" s="2">
        <v>21</v>
      </c>
      <c r="H117" s="2">
        <v>3500</v>
      </c>
      <c r="I117" s="2" t="s">
        <v>159</v>
      </c>
      <c r="J117" s="2" t="s">
        <v>160</v>
      </c>
      <c r="K117" s="2" t="s">
        <v>161</v>
      </c>
      <c r="N117" s="2" t="str">
        <f t="shared" si="1"/>
        <v>22043-43022</v>
      </c>
    </row>
    <row r="118" spans="1:14" x14ac:dyDescent="0.25">
      <c r="A118" s="2" t="s">
        <v>559</v>
      </c>
      <c r="B118" s="2" t="s">
        <v>131</v>
      </c>
      <c r="C118" s="2" t="s">
        <v>82</v>
      </c>
      <c r="D118" s="2" t="s">
        <v>560</v>
      </c>
      <c r="E118" s="2" t="s">
        <v>561</v>
      </c>
      <c r="F118" s="2">
        <v>8.6500001387162602</v>
      </c>
      <c r="G118" s="2">
        <v>22</v>
      </c>
      <c r="H118" s="2">
        <v>4000</v>
      </c>
      <c r="I118" s="2" t="s">
        <v>159</v>
      </c>
      <c r="J118" s="2" t="s">
        <v>161</v>
      </c>
      <c r="K118" s="2" t="s">
        <v>160</v>
      </c>
      <c r="N118" s="2" t="str">
        <f t="shared" si="1"/>
        <v>22043-8611</v>
      </c>
    </row>
    <row r="119" spans="1:14" x14ac:dyDescent="0.25">
      <c r="A119" s="2" t="s">
        <v>562</v>
      </c>
      <c r="B119" s="2" t="s">
        <v>131</v>
      </c>
      <c r="C119" s="2" t="s">
        <v>122</v>
      </c>
      <c r="D119" s="2" t="s">
        <v>563</v>
      </c>
      <c r="E119" s="2" t="s">
        <v>564</v>
      </c>
      <c r="F119" s="2">
        <v>8.4952378045944901</v>
      </c>
      <c r="G119" s="2">
        <v>21</v>
      </c>
      <c r="H119" s="2">
        <v>3600</v>
      </c>
      <c r="I119" s="2" t="s">
        <v>159</v>
      </c>
      <c r="J119" s="2" t="s">
        <v>160</v>
      </c>
      <c r="K119" s="2" t="s">
        <v>161</v>
      </c>
      <c r="N119" s="2" t="str">
        <f t="shared" si="1"/>
        <v>22043-8167</v>
      </c>
    </row>
    <row r="120" spans="1:14" x14ac:dyDescent="0.25">
      <c r="A120" s="2" t="s">
        <v>565</v>
      </c>
      <c r="B120" s="2" t="s">
        <v>130</v>
      </c>
      <c r="C120" s="2" t="s">
        <v>8</v>
      </c>
      <c r="D120" s="2" t="s">
        <v>566</v>
      </c>
      <c r="E120" s="2" t="s">
        <v>567</v>
      </c>
      <c r="F120" s="2">
        <v>8.3227275501598008</v>
      </c>
      <c r="G120" s="2">
        <v>22</v>
      </c>
      <c r="H120" s="2">
        <v>4700</v>
      </c>
      <c r="I120" s="2" t="s">
        <v>159</v>
      </c>
      <c r="J120" s="2" t="s">
        <v>161</v>
      </c>
      <c r="K120" s="2" t="s">
        <v>160</v>
      </c>
      <c r="N120" s="2" t="str">
        <f t="shared" si="1"/>
        <v>22043-41592</v>
      </c>
    </row>
    <row r="121" spans="1:14" x14ac:dyDescent="0.25">
      <c r="A121" s="2" t="s">
        <v>568</v>
      </c>
      <c r="B121" s="2" t="s">
        <v>130</v>
      </c>
      <c r="C121" s="2" t="s">
        <v>92</v>
      </c>
      <c r="D121" s="2" t="s">
        <v>569</v>
      </c>
      <c r="E121" s="2" t="s">
        <v>570</v>
      </c>
      <c r="F121" s="2">
        <v>8.3050003051757795</v>
      </c>
      <c r="G121" s="2">
        <v>20</v>
      </c>
      <c r="H121" s="2">
        <v>5300</v>
      </c>
      <c r="I121" s="2" t="s">
        <v>145</v>
      </c>
      <c r="J121" s="2" t="s">
        <v>146</v>
      </c>
      <c r="K121" s="2" t="s">
        <v>147</v>
      </c>
      <c r="N121" s="2" t="str">
        <f t="shared" si="1"/>
        <v>22043-8539</v>
      </c>
    </row>
    <row r="122" spans="1:14" x14ac:dyDescent="0.25">
      <c r="A122" s="2" t="s">
        <v>571</v>
      </c>
      <c r="B122" s="2" t="s">
        <v>130</v>
      </c>
      <c r="C122" s="2" t="s">
        <v>59</v>
      </c>
      <c r="D122" s="2" t="s">
        <v>572</v>
      </c>
      <c r="E122" s="2" t="s">
        <v>573</v>
      </c>
      <c r="F122" s="2">
        <v>8.2888887193467795</v>
      </c>
      <c r="G122" s="2">
        <v>18</v>
      </c>
      <c r="H122" s="2">
        <v>5300</v>
      </c>
      <c r="I122" s="2" t="s">
        <v>145</v>
      </c>
      <c r="J122" s="2" t="s">
        <v>147</v>
      </c>
      <c r="K122" s="2" t="s">
        <v>146</v>
      </c>
      <c r="N122" s="2" t="str">
        <f t="shared" si="1"/>
        <v>22043-8502</v>
      </c>
    </row>
    <row r="123" spans="1:14" x14ac:dyDescent="0.25">
      <c r="A123" s="2" t="s">
        <v>574</v>
      </c>
      <c r="B123" s="2" t="s">
        <v>131</v>
      </c>
      <c r="C123" s="2" t="s">
        <v>57</v>
      </c>
      <c r="D123" s="2" t="s">
        <v>575</v>
      </c>
      <c r="E123" s="2" t="s">
        <v>576</v>
      </c>
      <c r="F123" s="2">
        <v>8.2842102050781197</v>
      </c>
      <c r="G123" s="2">
        <v>19</v>
      </c>
      <c r="H123" s="2">
        <v>3900</v>
      </c>
      <c r="I123" s="2" t="s">
        <v>176</v>
      </c>
      <c r="J123" s="2" t="s">
        <v>104</v>
      </c>
      <c r="K123" s="2" t="s">
        <v>177</v>
      </c>
      <c r="N123" s="2" t="str">
        <f t="shared" si="1"/>
        <v>22043-23225</v>
      </c>
    </row>
    <row r="124" spans="1:14" x14ac:dyDescent="0.25">
      <c r="A124" s="2" t="s">
        <v>577</v>
      </c>
      <c r="B124" s="2" t="s">
        <v>1</v>
      </c>
      <c r="C124" s="2" t="s">
        <v>578</v>
      </c>
      <c r="D124" s="2" t="s">
        <v>579</v>
      </c>
      <c r="E124" s="2" t="s">
        <v>580</v>
      </c>
      <c r="F124" s="2">
        <v>8.2736840499074802</v>
      </c>
      <c r="G124" s="2">
        <v>19</v>
      </c>
      <c r="H124" s="2">
        <v>4000</v>
      </c>
      <c r="I124" s="2" t="s">
        <v>176</v>
      </c>
      <c r="J124" s="2" t="s">
        <v>177</v>
      </c>
      <c r="K124" s="2" t="s">
        <v>104</v>
      </c>
      <c r="N124" s="2" t="str">
        <f t="shared" si="1"/>
        <v>22043-12843</v>
      </c>
    </row>
    <row r="125" spans="1:14" x14ac:dyDescent="0.25">
      <c r="A125" s="2" t="s">
        <v>581</v>
      </c>
      <c r="B125" s="2" t="s">
        <v>131</v>
      </c>
      <c r="C125" s="2" t="s">
        <v>87</v>
      </c>
      <c r="D125" s="2" t="s">
        <v>582</v>
      </c>
      <c r="E125" s="2" t="s">
        <v>583</v>
      </c>
      <c r="F125" s="2">
        <v>8.2636365023526199</v>
      </c>
      <c r="G125" s="2">
        <v>22</v>
      </c>
      <c r="H125" s="2">
        <v>3700</v>
      </c>
      <c r="I125" s="2" t="s">
        <v>159</v>
      </c>
      <c r="J125" s="2" t="s">
        <v>161</v>
      </c>
      <c r="K125" s="2" t="s">
        <v>160</v>
      </c>
      <c r="N125" s="2" t="str">
        <f t="shared" si="1"/>
        <v>22043-9270</v>
      </c>
    </row>
    <row r="126" spans="1:14" x14ac:dyDescent="0.25">
      <c r="A126" s="2" t="s">
        <v>584</v>
      </c>
      <c r="B126" s="2" t="s">
        <v>1</v>
      </c>
      <c r="C126" s="2" t="s">
        <v>585</v>
      </c>
      <c r="D126" s="2" t="s">
        <v>586</v>
      </c>
      <c r="E126" s="2" t="s">
        <v>587</v>
      </c>
      <c r="F126" s="2">
        <v>8.25</v>
      </c>
      <c r="G126" s="2">
        <v>18</v>
      </c>
      <c r="H126" s="2">
        <v>5000</v>
      </c>
      <c r="I126" s="2" t="s">
        <v>145</v>
      </c>
      <c r="J126" s="2" t="s">
        <v>146</v>
      </c>
      <c r="K126" s="2" t="s">
        <v>147</v>
      </c>
      <c r="L126" s="2" t="s">
        <v>193</v>
      </c>
      <c r="M126" s="2" t="s">
        <v>404</v>
      </c>
      <c r="N126" s="2" t="str">
        <f t="shared" si="1"/>
        <v>22043-54743</v>
      </c>
    </row>
    <row r="127" spans="1:14" x14ac:dyDescent="0.25">
      <c r="A127" s="2" t="s">
        <v>588</v>
      </c>
      <c r="B127" s="2" t="s">
        <v>1</v>
      </c>
      <c r="C127" s="2" t="s">
        <v>491</v>
      </c>
      <c r="D127" s="2" t="s">
        <v>589</v>
      </c>
      <c r="E127" s="2" t="s">
        <v>108</v>
      </c>
      <c r="F127" s="2">
        <v>8.1105266370271298</v>
      </c>
      <c r="G127" s="2">
        <v>19</v>
      </c>
      <c r="H127" s="2">
        <v>3400</v>
      </c>
      <c r="I127" s="2" t="s">
        <v>190</v>
      </c>
      <c r="J127" s="2" t="s">
        <v>191</v>
      </c>
      <c r="K127" s="2" t="s">
        <v>192</v>
      </c>
      <c r="N127" s="2" t="str">
        <f t="shared" si="1"/>
        <v>22043-13657</v>
      </c>
    </row>
    <row r="128" spans="1:14" x14ac:dyDescent="0.25">
      <c r="A128" s="2" t="s">
        <v>590</v>
      </c>
      <c r="B128" s="2" t="s">
        <v>130</v>
      </c>
      <c r="C128" s="2" t="s">
        <v>44</v>
      </c>
      <c r="D128" s="2" t="s">
        <v>591</v>
      </c>
      <c r="E128" s="2" t="s">
        <v>592</v>
      </c>
      <c r="F128" s="2">
        <v>8.00555589463975</v>
      </c>
      <c r="G128" s="2">
        <v>18</v>
      </c>
      <c r="H128" s="2">
        <v>3800</v>
      </c>
      <c r="I128" s="2" t="s">
        <v>152</v>
      </c>
      <c r="J128" s="2" t="s">
        <v>154</v>
      </c>
      <c r="K128" s="2" t="s">
        <v>153</v>
      </c>
      <c r="N128" s="2" t="str">
        <f t="shared" si="1"/>
        <v>22043-59208</v>
      </c>
    </row>
    <row r="129" spans="1:14" x14ac:dyDescent="0.25">
      <c r="A129" s="2" t="s">
        <v>593</v>
      </c>
      <c r="B129" s="2" t="s">
        <v>130</v>
      </c>
      <c r="C129" s="2" t="s">
        <v>71</v>
      </c>
      <c r="D129" s="2" t="s">
        <v>594</v>
      </c>
      <c r="E129" s="2" t="s">
        <v>595</v>
      </c>
      <c r="F129" s="2">
        <v>8</v>
      </c>
      <c r="G129" s="2">
        <v>7</v>
      </c>
      <c r="H129" s="2">
        <v>3200</v>
      </c>
      <c r="I129" s="2" t="s">
        <v>145</v>
      </c>
      <c r="J129" s="2" t="s">
        <v>147</v>
      </c>
      <c r="K129" s="2" t="s">
        <v>146</v>
      </c>
      <c r="N129" s="2" t="str">
        <f t="shared" si="1"/>
        <v>22043-42984</v>
      </c>
    </row>
    <row r="130" spans="1:14" x14ac:dyDescent="0.25">
      <c r="A130" s="2" t="s">
        <v>596</v>
      </c>
      <c r="B130" s="2" t="s">
        <v>130</v>
      </c>
      <c r="C130" s="2" t="s">
        <v>326</v>
      </c>
      <c r="D130" s="2" t="s">
        <v>597</v>
      </c>
      <c r="E130" s="2" t="s">
        <v>598</v>
      </c>
      <c r="F130" s="2">
        <v>7.9833331637912304</v>
      </c>
      <c r="G130" s="2">
        <v>18</v>
      </c>
      <c r="H130" s="2">
        <v>4100</v>
      </c>
      <c r="I130" s="2" t="s">
        <v>190</v>
      </c>
      <c r="J130" s="2" t="s">
        <v>192</v>
      </c>
      <c r="K130" s="2" t="s">
        <v>191</v>
      </c>
      <c r="N130" s="2" t="str">
        <f t="shared" si="1"/>
        <v>22043-62783</v>
      </c>
    </row>
    <row r="131" spans="1:14" x14ac:dyDescent="0.25">
      <c r="A131" s="2" t="s">
        <v>599</v>
      </c>
      <c r="B131" s="2" t="s">
        <v>131</v>
      </c>
      <c r="C131" s="2" t="s">
        <v>600</v>
      </c>
      <c r="D131" s="2" t="s">
        <v>601</v>
      </c>
      <c r="E131" s="2" t="s">
        <v>602</v>
      </c>
      <c r="F131" s="2">
        <v>7.9388885498046804</v>
      </c>
      <c r="G131" s="2">
        <v>18</v>
      </c>
      <c r="H131" s="2">
        <v>4300</v>
      </c>
      <c r="I131" s="2" t="s">
        <v>176</v>
      </c>
      <c r="J131" s="2" t="s">
        <v>177</v>
      </c>
      <c r="K131" s="2" t="s">
        <v>104</v>
      </c>
      <c r="N131" s="2" t="str">
        <f t="shared" ref="N131:N194" si="2">A131</f>
        <v>22043-43152</v>
      </c>
    </row>
    <row r="132" spans="1:14" x14ac:dyDescent="0.25">
      <c r="A132" s="2" t="s">
        <v>603</v>
      </c>
      <c r="B132" s="2" t="s">
        <v>130</v>
      </c>
      <c r="C132" s="2" t="s">
        <v>604</v>
      </c>
      <c r="D132" s="2" t="s">
        <v>605</v>
      </c>
      <c r="E132" s="2" t="s">
        <v>606</v>
      </c>
      <c r="F132" s="2">
        <v>7.9210526315789398</v>
      </c>
      <c r="G132" s="2">
        <v>19</v>
      </c>
      <c r="H132" s="2">
        <v>3300</v>
      </c>
      <c r="I132" s="2" t="s">
        <v>166</v>
      </c>
      <c r="J132" s="2" t="s">
        <v>167</v>
      </c>
      <c r="K132" s="2" t="s">
        <v>74</v>
      </c>
      <c r="N132" s="2" t="str">
        <f t="shared" si="2"/>
        <v>22043-8260</v>
      </c>
    </row>
    <row r="133" spans="1:14" x14ac:dyDescent="0.25">
      <c r="A133" s="2" t="s">
        <v>607</v>
      </c>
      <c r="B133" s="2" t="s">
        <v>131</v>
      </c>
      <c r="C133" s="2" t="s">
        <v>608</v>
      </c>
      <c r="D133" s="2" t="s">
        <v>609</v>
      </c>
      <c r="E133" s="2" t="s">
        <v>610</v>
      </c>
      <c r="F133" s="2">
        <v>7.9111107720269098</v>
      </c>
      <c r="G133" s="2">
        <v>18</v>
      </c>
      <c r="H133" s="2">
        <v>3600</v>
      </c>
      <c r="I133" s="2" t="s">
        <v>176</v>
      </c>
      <c r="J133" s="2" t="s">
        <v>177</v>
      </c>
      <c r="K133" s="2" t="s">
        <v>104</v>
      </c>
      <c r="N133" s="2" t="str">
        <f t="shared" si="2"/>
        <v>22043-8490</v>
      </c>
    </row>
    <row r="134" spans="1:14" x14ac:dyDescent="0.25">
      <c r="A134" s="2" t="s">
        <v>611</v>
      </c>
      <c r="B134" s="2" t="s">
        <v>131</v>
      </c>
      <c r="C134" s="2" t="s">
        <v>79</v>
      </c>
      <c r="D134" s="2" t="s">
        <v>612</v>
      </c>
      <c r="E134" s="2" t="s">
        <v>613</v>
      </c>
      <c r="F134" s="2">
        <v>7.8315791079872499</v>
      </c>
      <c r="G134" s="2">
        <v>19</v>
      </c>
      <c r="H134" s="2">
        <v>3700</v>
      </c>
      <c r="I134" s="2" t="s">
        <v>152</v>
      </c>
      <c r="J134" s="2" t="s">
        <v>153</v>
      </c>
      <c r="K134" s="2" t="s">
        <v>154</v>
      </c>
      <c r="N134" s="2" t="str">
        <f t="shared" si="2"/>
        <v>22043-42981</v>
      </c>
    </row>
    <row r="135" spans="1:14" x14ac:dyDescent="0.25">
      <c r="A135" s="2" t="s">
        <v>614</v>
      </c>
      <c r="B135" s="2" t="s">
        <v>130</v>
      </c>
      <c r="C135" s="2" t="s">
        <v>615</v>
      </c>
      <c r="D135" s="2" t="s">
        <v>616</v>
      </c>
      <c r="E135" s="2" t="s">
        <v>617</v>
      </c>
      <c r="F135" s="2">
        <v>7.8249998092651296</v>
      </c>
      <c r="G135" s="2">
        <v>16</v>
      </c>
      <c r="H135" s="2">
        <v>3400</v>
      </c>
      <c r="I135" s="2" t="s">
        <v>159</v>
      </c>
      <c r="J135" s="2" t="s">
        <v>161</v>
      </c>
      <c r="K135" s="2" t="s">
        <v>160</v>
      </c>
      <c r="N135" s="2" t="str">
        <f t="shared" si="2"/>
        <v>22043-59118</v>
      </c>
    </row>
    <row r="136" spans="1:14" x14ac:dyDescent="0.25">
      <c r="A136" s="2" t="s">
        <v>618</v>
      </c>
      <c r="B136" s="2" t="s">
        <v>131</v>
      </c>
      <c r="C136" s="2" t="s">
        <v>619</v>
      </c>
      <c r="D136" s="2" t="s">
        <v>620</v>
      </c>
      <c r="E136" s="2" t="s">
        <v>621</v>
      </c>
      <c r="F136" s="2">
        <v>7.8235294117647003</v>
      </c>
      <c r="G136" s="2">
        <v>17</v>
      </c>
      <c r="H136" s="2">
        <v>3600</v>
      </c>
      <c r="I136" s="2" t="s">
        <v>190</v>
      </c>
      <c r="J136" s="2" t="s">
        <v>192</v>
      </c>
      <c r="K136" s="2" t="s">
        <v>191</v>
      </c>
      <c r="N136" s="2" t="str">
        <f t="shared" si="2"/>
        <v>22043-8628</v>
      </c>
    </row>
    <row r="137" spans="1:14" x14ac:dyDescent="0.25">
      <c r="A137" s="2" t="s">
        <v>622</v>
      </c>
      <c r="B137" s="2" t="s">
        <v>131</v>
      </c>
      <c r="C137" s="2" t="s">
        <v>73</v>
      </c>
      <c r="D137" s="2" t="s">
        <v>623</v>
      </c>
      <c r="E137" s="2" t="s">
        <v>118</v>
      </c>
      <c r="F137" s="2">
        <v>7.7684213738692396</v>
      </c>
      <c r="G137" s="2">
        <v>19</v>
      </c>
      <c r="H137" s="2">
        <v>3500</v>
      </c>
      <c r="I137" s="2" t="s">
        <v>176</v>
      </c>
      <c r="J137" s="2" t="s">
        <v>177</v>
      </c>
      <c r="K137" s="2" t="s">
        <v>104</v>
      </c>
      <c r="N137" s="2" t="str">
        <f t="shared" si="2"/>
        <v>22043-8860</v>
      </c>
    </row>
    <row r="138" spans="1:14" x14ac:dyDescent="0.25">
      <c r="A138" s="2" t="s">
        <v>624</v>
      </c>
      <c r="B138" s="2" t="s">
        <v>130</v>
      </c>
      <c r="C138" s="2" t="s">
        <v>44</v>
      </c>
      <c r="D138" s="2" t="s">
        <v>625</v>
      </c>
      <c r="E138" s="2" t="s">
        <v>626</v>
      </c>
      <c r="F138" s="2">
        <v>7.76000010172526</v>
      </c>
      <c r="G138" s="2">
        <v>15</v>
      </c>
      <c r="H138" s="2">
        <v>3100</v>
      </c>
      <c r="I138" s="2" t="s">
        <v>190</v>
      </c>
      <c r="J138" s="2" t="s">
        <v>192</v>
      </c>
      <c r="K138" s="2" t="s">
        <v>191</v>
      </c>
      <c r="N138" s="2" t="str">
        <f t="shared" si="2"/>
        <v>22043-58891</v>
      </c>
    </row>
    <row r="139" spans="1:14" x14ac:dyDescent="0.25">
      <c r="A139" s="2" t="s">
        <v>627</v>
      </c>
      <c r="B139" s="2" t="s">
        <v>1</v>
      </c>
      <c r="C139" s="2" t="s">
        <v>30</v>
      </c>
      <c r="D139" s="2" t="s">
        <v>628</v>
      </c>
      <c r="E139" s="2" t="s">
        <v>629</v>
      </c>
      <c r="F139" s="2">
        <v>7.7599998474121001</v>
      </c>
      <c r="G139" s="2">
        <v>20</v>
      </c>
      <c r="H139" s="2">
        <v>4500</v>
      </c>
      <c r="I139" s="2" t="s">
        <v>145</v>
      </c>
      <c r="J139" s="2" t="s">
        <v>146</v>
      </c>
      <c r="K139" s="2" t="s">
        <v>147</v>
      </c>
      <c r="N139" s="2" t="str">
        <f t="shared" si="2"/>
        <v>22043-8515</v>
      </c>
    </row>
    <row r="140" spans="1:14" x14ac:dyDescent="0.25">
      <c r="A140" s="2" t="s">
        <v>630</v>
      </c>
      <c r="B140" s="2" t="s">
        <v>130</v>
      </c>
      <c r="C140" s="2" t="s">
        <v>91</v>
      </c>
      <c r="D140" s="2" t="s">
        <v>631</v>
      </c>
      <c r="E140" s="2" t="s">
        <v>632</v>
      </c>
      <c r="F140" s="2">
        <v>7.7249999046325604</v>
      </c>
      <c r="G140" s="2">
        <v>16</v>
      </c>
      <c r="H140" s="2">
        <v>3200</v>
      </c>
      <c r="I140" s="2" t="s">
        <v>152</v>
      </c>
      <c r="J140" s="2" t="s">
        <v>154</v>
      </c>
      <c r="K140" s="2" t="s">
        <v>153</v>
      </c>
      <c r="L140" s="2" t="s">
        <v>250</v>
      </c>
      <c r="M140" s="2" t="s">
        <v>93</v>
      </c>
      <c r="N140" s="2" t="str">
        <f t="shared" si="2"/>
        <v>22043-8562</v>
      </c>
    </row>
    <row r="141" spans="1:14" x14ac:dyDescent="0.25">
      <c r="A141" s="2" t="s">
        <v>633</v>
      </c>
      <c r="B141" s="2" t="s">
        <v>131</v>
      </c>
      <c r="C141" s="2" t="s">
        <v>116</v>
      </c>
      <c r="D141" s="2" t="s">
        <v>634</v>
      </c>
      <c r="E141" s="2" t="s">
        <v>635</v>
      </c>
      <c r="F141" s="2">
        <v>7.7176468793083597</v>
      </c>
      <c r="G141" s="2">
        <v>17</v>
      </c>
      <c r="H141" s="2">
        <v>3500</v>
      </c>
      <c r="I141" s="2" t="s">
        <v>176</v>
      </c>
      <c r="J141" s="2" t="s">
        <v>177</v>
      </c>
      <c r="K141" s="2" t="s">
        <v>104</v>
      </c>
      <c r="N141" s="2" t="str">
        <f t="shared" si="2"/>
        <v>22043-70117</v>
      </c>
    </row>
    <row r="142" spans="1:14" x14ac:dyDescent="0.25">
      <c r="A142" s="2" t="s">
        <v>636</v>
      </c>
      <c r="B142" s="2" t="s">
        <v>131</v>
      </c>
      <c r="C142" s="2" t="s">
        <v>444</v>
      </c>
      <c r="D142" s="2" t="s">
        <v>637</v>
      </c>
      <c r="E142" s="2" t="s">
        <v>638</v>
      </c>
      <c r="F142" s="2">
        <v>7.71428571428571</v>
      </c>
      <c r="G142" s="2">
        <v>7</v>
      </c>
      <c r="H142" s="2">
        <v>4800</v>
      </c>
      <c r="I142" s="2" t="s">
        <v>190</v>
      </c>
      <c r="J142" s="2" t="s">
        <v>191</v>
      </c>
      <c r="K142" s="2" t="s">
        <v>192</v>
      </c>
      <c r="L142" s="2" t="s">
        <v>250</v>
      </c>
      <c r="M142" s="2" t="s">
        <v>360</v>
      </c>
      <c r="N142" s="2" t="str">
        <f t="shared" si="2"/>
        <v>22043-12460</v>
      </c>
    </row>
    <row r="143" spans="1:14" x14ac:dyDescent="0.25">
      <c r="A143" s="2" t="s">
        <v>639</v>
      </c>
      <c r="B143" s="2" t="s">
        <v>1</v>
      </c>
      <c r="C143" s="2" t="s">
        <v>45</v>
      </c>
      <c r="D143" s="2" t="s">
        <v>640</v>
      </c>
      <c r="E143" s="2" t="s">
        <v>641</v>
      </c>
      <c r="F143" s="2">
        <v>7.7105263157894699</v>
      </c>
      <c r="G143" s="2">
        <v>19</v>
      </c>
      <c r="H143" s="2">
        <v>3100</v>
      </c>
      <c r="I143" s="2" t="s">
        <v>190</v>
      </c>
      <c r="J143" s="2" t="s">
        <v>191</v>
      </c>
      <c r="K143" s="2" t="s">
        <v>192</v>
      </c>
      <c r="N143" s="2" t="str">
        <f t="shared" si="2"/>
        <v>22043-21895</v>
      </c>
    </row>
    <row r="144" spans="1:14" x14ac:dyDescent="0.25">
      <c r="A144" s="2" t="s">
        <v>642</v>
      </c>
      <c r="B144" s="2" t="s">
        <v>130</v>
      </c>
      <c r="C144" s="2" t="s">
        <v>45</v>
      </c>
      <c r="D144" s="2" t="s">
        <v>643</v>
      </c>
      <c r="E144" s="2" t="s">
        <v>644</v>
      </c>
      <c r="F144" s="2">
        <v>7.68947400544819</v>
      </c>
      <c r="G144" s="2">
        <v>19</v>
      </c>
      <c r="H144" s="2">
        <v>3200</v>
      </c>
      <c r="I144" s="2" t="s">
        <v>176</v>
      </c>
      <c r="J144" s="2" t="s">
        <v>104</v>
      </c>
      <c r="K144" s="2" t="s">
        <v>177</v>
      </c>
      <c r="N144" s="2" t="str">
        <f t="shared" si="2"/>
        <v>22043-8284</v>
      </c>
    </row>
    <row r="145" spans="1:14" x14ac:dyDescent="0.25">
      <c r="A145" s="2" t="s">
        <v>645</v>
      </c>
      <c r="B145" s="2" t="s">
        <v>1</v>
      </c>
      <c r="C145" s="2" t="s">
        <v>109</v>
      </c>
      <c r="D145" s="2" t="s">
        <v>646</v>
      </c>
      <c r="E145" s="2" t="s">
        <v>647</v>
      </c>
      <c r="F145" s="2">
        <v>7.6666666666666599</v>
      </c>
      <c r="G145" s="2">
        <v>18</v>
      </c>
      <c r="H145" s="2">
        <v>5300</v>
      </c>
      <c r="I145" s="2" t="s">
        <v>190</v>
      </c>
      <c r="J145" s="2" t="s">
        <v>192</v>
      </c>
      <c r="K145" s="2" t="s">
        <v>191</v>
      </c>
      <c r="N145" s="2" t="str">
        <f t="shared" si="2"/>
        <v>22043-8614</v>
      </c>
    </row>
    <row r="146" spans="1:14" x14ac:dyDescent="0.25">
      <c r="A146" s="2" t="s">
        <v>648</v>
      </c>
      <c r="B146" s="2" t="s">
        <v>1</v>
      </c>
      <c r="C146" s="2" t="s">
        <v>649</v>
      </c>
      <c r="D146" s="2" t="s">
        <v>650</v>
      </c>
      <c r="E146" s="2" t="s">
        <v>651</v>
      </c>
      <c r="F146" s="2">
        <v>7.6421051025390598</v>
      </c>
      <c r="G146" s="2">
        <v>19</v>
      </c>
      <c r="H146" s="2">
        <v>3400</v>
      </c>
      <c r="I146" s="2" t="s">
        <v>190</v>
      </c>
      <c r="J146" s="2" t="s">
        <v>191</v>
      </c>
      <c r="K146" s="2" t="s">
        <v>192</v>
      </c>
      <c r="N146" s="2" t="str">
        <f t="shared" si="2"/>
        <v>22043-8295</v>
      </c>
    </row>
    <row r="147" spans="1:14" x14ac:dyDescent="0.25">
      <c r="A147" s="2" t="s">
        <v>652</v>
      </c>
      <c r="B147" s="2" t="s">
        <v>1</v>
      </c>
      <c r="C147" s="2" t="s">
        <v>70</v>
      </c>
      <c r="D147" s="2" t="s">
        <v>653</v>
      </c>
      <c r="E147" s="2" t="s">
        <v>654</v>
      </c>
      <c r="F147" s="2">
        <v>7.5619049072265598</v>
      </c>
      <c r="G147" s="2">
        <v>21</v>
      </c>
      <c r="H147" s="2">
        <v>4200</v>
      </c>
      <c r="I147" s="2" t="s">
        <v>159</v>
      </c>
      <c r="J147" s="2" t="s">
        <v>160</v>
      </c>
      <c r="K147" s="2" t="s">
        <v>161</v>
      </c>
      <c r="N147" s="2" t="str">
        <f t="shared" si="2"/>
        <v>22043-8972</v>
      </c>
    </row>
    <row r="148" spans="1:14" x14ac:dyDescent="0.25">
      <c r="A148" s="2" t="s">
        <v>655</v>
      </c>
      <c r="B148" s="2" t="s">
        <v>1</v>
      </c>
      <c r="C148" s="2" t="s">
        <v>578</v>
      </c>
      <c r="D148" s="2" t="s">
        <v>656</v>
      </c>
      <c r="E148" s="2" t="s">
        <v>657</v>
      </c>
      <c r="F148" s="2">
        <v>7.51999969482421</v>
      </c>
      <c r="G148" s="2">
        <v>10</v>
      </c>
      <c r="H148" s="2">
        <v>3600</v>
      </c>
      <c r="I148" s="2" t="s">
        <v>152</v>
      </c>
      <c r="J148" s="2" t="s">
        <v>153</v>
      </c>
      <c r="K148" s="2" t="s">
        <v>154</v>
      </c>
      <c r="N148" s="2" t="str">
        <f t="shared" si="2"/>
        <v>22043-15346</v>
      </c>
    </row>
    <row r="149" spans="1:14" x14ac:dyDescent="0.25">
      <c r="A149" s="2" t="s">
        <v>658</v>
      </c>
      <c r="B149" s="2" t="s">
        <v>131</v>
      </c>
      <c r="C149" s="2" t="s">
        <v>62</v>
      </c>
      <c r="D149" s="2" t="s">
        <v>659</v>
      </c>
      <c r="E149" s="2" t="s">
        <v>660</v>
      </c>
      <c r="F149" s="2">
        <v>7.4849998474120998</v>
      </c>
      <c r="G149" s="2">
        <v>20</v>
      </c>
      <c r="H149" s="2">
        <v>3600</v>
      </c>
      <c r="I149" s="2" t="s">
        <v>145</v>
      </c>
      <c r="J149" s="2" t="s">
        <v>147</v>
      </c>
      <c r="K149" s="2" t="s">
        <v>146</v>
      </c>
      <c r="N149" s="2" t="str">
        <f t="shared" si="2"/>
        <v>22043-8903</v>
      </c>
    </row>
    <row r="150" spans="1:14" x14ac:dyDescent="0.25">
      <c r="A150" s="2" t="s">
        <v>661</v>
      </c>
      <c r="B150" s="2" t="s">
        <v>130</v>
      </c>
      <c r="C150" s="2" t="s">
        <v>662</v>
      </c>
      <c r="D150" s="2" t="s">
        <v>663</v>
      </c>
      <c r="E150" s="2" t="s">
        <v>664</v>
      </c>
      <c r="F150" s="2">
        <v>7.4650001525878897</v>
      </c>
      <c r="G150" s="2">
        <v>20</v>
      </c>
      <c r="H150" s="2">
        <v>3600</v>
      </c>
      <c r="I150" s="2" t="s">
        <v>145</v>
      </c>
      <c r="J150" s="2" t="s">
        <v>147</v>
      </c>
      <c r="K150" s="2" t="s">
        <v>146</v>
      </c>
      <c r="N150" s="2" t="str">
        <f t="shared" si="2"/>
        <v>22043-8420</v>
      </c>
    </row>
    <row r="151" spans="1:14" x14ac:dyDescent="0.25">
      <c r="A151" s="2" t="s">
        <v>665</v>
      </c>
      <c r="B151" s="2" t="s">
        <v>130</v>
      </c>
      <c r="C151" s="2" t="s">
        <v>666</v>
      </c>
      <c r="D151" s="2" t="s">
        <v>667</v>
      </c>
      <c r="E151" s="2" t="s">
        <v>668</v>
      </c>
      <c r="F151" s="2">
        <v>7.4400001525878903</v>
      </c>
      <c r="G151" s="2">
        <v>20</v>
      </c>
      <c r="H151" s="2">
        <v>3800</v>
      </c>
      <c r="I151" s="2" t="s">
        <v>166</v>
      </c>
      <c r="J151" s="2" t="s">
        <v>74</v>
      </c>
      <c r="K151" s="2" t="s">
        <v>167</v>
      </c>
      <c r="N151" s="2" t="str">
        <f t="shared" si="2"/>
        <v>22043-58985</v>
      </c>
    </row>
    <row r="152" spans="1:14" x14ac:dyDescent="0.25">
      <c r="A152" s="2" t="s">
        <v>669</v>
      </c>
      <c r="B152" s="2" t="s">
        <v>130</v>
      </c>
      <c r="C152" s="2" t="s">
        <v>75</v>
      </c>
      <c r="D152" s="2" t="s">
        <v>670</v>
      </c>
      <c r="E152" s="2" t="s">
        <v>671</v>
      </c>
      <c r="F152" s="2">
        <v>7.40625</v>
      </c>
      <c r="G152" s="2">
        <v>16</v>
      </c>
      <c r="H152" s="2">
        <v>3200</v>
      </c>
      <c r="I152" s="2" t="s">
        <v>152</v>
      </c>
      <c r="J152" s="2" t="s">
        <v>153</v>
      </c>
      <c r="K152" s="2" t="s">
        <v>154</v>
      </c>
      <c r="N152" s="2" t="str">
        <f t="shared" si="2"/>
        <v>22043-42983</v>
      </c>
    </row>
    <row r="153" spans="1:14" x14ac:dyDescent="0.25">
      <c r="A153" s="2" t="s">
        <v>672</v>
      </c>
      <c r="B153" s="2" t="s">
        <v>131</v>
      </c>
      <c r="C153" s="2" t="s">
        <v>60</v>
      </c>
      <c r="D153" s="2" t="s">
        <v>673</v>
      </c>
      <c r="E153" s="2" t="s">
        <v>674</v>
      </c>
      <c r="F153" s="2">
        <v>7.3777779473198697</v>
      </c>
      <c r="G153" s="2">
        <v>9</v>
      </c>
      <c r="H153" s="2">
        <v>3500</v>
      </c>
      <c r="I153" s="2" t="s">
        <v>176</v>
      </c>
      <c r="J153" s="2" t="s">
        <v>177</v>
      </c>
      <c r="K153" s="2" t="s">
        <v>104</v>
      </c>
      <c r="N153" s="2" t="str">
        <f t="shared" si="2"/>
        <v>22043-9145</v>
      </c>
    </row>
    <row r="154" spans="1:14" x14ac:dyDescent="0.25">
      <c r="A154" s="2" t="s">
        <v>675</v>
      </c>
      <c r="B154" s="2" t="s">
        <v>130</v>
      </c>
      <c r="C154" s="2" t="s">
        <v>676</v>
      </c>
      <c r="D154" s="2" t="s">
        <v>677</v>
      </c>
      <c r="E154" s="2" t="s">
        <v>678</v>
      </c>
      <c r="F154" s="2">
        <v>7.3529411764705799</v>
      </c>
      <c r="G154" s="2">
        <v>17</v>
      </c>
      <c r="H154" s="2">
        <v>3300</v>
      </c>
      <c r="I154" s="2" t="s">
        <v>145</v>
      </c>
      <c r="J154" s="2" t="s">
        <v>146</v>
      </c>
      <c r="K154" s="2" t="s">
        <v>147</v>
      </c>
      <c r="N154" s="2" t="str">
        <f t="shared" si="2"/>
        <v>22043-58977</v>
      </c>
    </row>
    <row r="155" spans="1:14" x14ac:dyDescent="0.25">
      <c r="A155" s="2" t="s">
        <v>679</v>
      </c>
      <c r="B155" s="2" t="s">
        <v>1</v>
      </c>
      <c r="C155" s="2" t="s">
        <v>218</v>
      </c>
      <c r="D155" s="2" t="s">
        <v>680</v>
      </c>
      <c r="E155" s="2" t="s">
        <v>681</v>
      </c>
      <c r="F155" s="2">
        <v>7.3454548228870697</v>
      </c>
      <c r="G155" s="2">
        <v>11</v>
      </c>
      <c r="H155" s="2">
        <v>3700</v>
      </c>
      <c r="I155" s="2" t="s">
        <v>166</v>
      </c>
      <c r="J155" s="2" t="s">
        <v>167</v>
      </c>
      <c r="K155" s="2" t="s">
        <v>74</v>
      </c>
      <c r="N155" s="2" t="str">
        <f t="shared" si="2"/>
        <v>22043-68644</v>
      </c>
    </row>
    <row r="156" spans="1:14" x14ac:dyDescent="0.25">
      <c r="A156" s="2" t="s">
        <v>682</v>
      </c>
      <c r="B156" s="2" t="s">
        <v>131</v>
      </c>
      <c r="C156" s="2" t="s">
        <v>70</v>
      </c>
      <c r="D156" s="2" t="s">
        <v>683</v>
      </c>
      <c r="E156" s="2" t="s">
        <v>684</v>
      </c>
      <c r="F156" s="2">
        <v>7.3421052631578902</v>
      </c>
      <c r="G156" s="2">
        <v>19</v>
      </c>
      <c r="H156" s="2">
        <v>4200</v>
      </c>
      <c r="I156" s="2" t="s">
        <v>152</v>
      </c>
      <c r="J156" s="2" t="s">
        <v>153</v>
      </c>
      <c r="K156" s="2" t="s">
        <v>154</v>
      </c>
      <c r="N156" s="2" t="str">
        <f t="shared" si="2"/>
        <v>22043-8211</v>
      </c>
    </row>
    <row r="157" spans="1:14" x14ac:dyDescent="0.25">
      <c r="A157" s="2" t="s">
        <v>685</v>
      </c>
      <c r="B157" s="2" t="s">
        <v>130</v>
      </c>
      <c r="C157" s="2" t="s">
        <v>125</v>
      </c>
      <c r="D157" s="2" t="s">
        <v>686</v>
      </c>
      <c r="E157" s="2" t="s">
        <v>687</v>
      </c>
      <c r="F157" s="2">
        <v>7.3400001525878897</v>
      </c>
      <c r="G157" s="2">
        <v>20</v>
      </c>
      <c r="H157" s="2">
        <v>4500</v>
      </c>
      <c r="I157" s="2" t="s">
        <v>145</v>
      </c>
      <c r="J157" s="2" t="s">
        <v>147</v>
      </c>
      <c r="K157" s="2" t="s">
        <v>146</v>
      </c>
      <c r="N157" s="2" t="str">
        <f t="shared" si="2"/>
        <v>22043-55375</v>
      </c>
    </row>
    <row r="158" spans="1:14" x14ac:dyDescent="0.25">
      <c r="A158" s="2" t="s">
        <v>688</v>
      </c>
      <c r="B158" s="2" t="s">
        <v>130</v>
      </c>
      <c r="C158" s="2" t="s">
        <v>52</v>
      </c>
      <c r="D158" s="2" t="s">
        <v>689</v>
      </c>
      <c r="E158" s="2" t="s">
        <v>690</v>
      </c>
      <c r="F158" s="2">
        <v>7.3300003051757798</v>
      </c>
      <c r="G158" s="2">
        <v>10</v>
      </c>
      <c r="H158" s="2">
        <v>4000</v>
      </c>
      <c r="I158" s="2" t="s">
        <v>176</v>
      </c>
      <c r="J158" s="2" t="s">
        <v>177</v>
      </c>
      <c r="K158" s="2" t="s">
        <v>104</v>
      </c>
      <c r="L158" s="2" t="s">
        <v>250</v>
      </c>
      <c r="M158" s="2" t="s">
        <v>691</v>
      </c>
      <c r="N158" s="2" t="str">
        <f t="shared" si="2"/>
        <v>22043-12220</v>
      </c>
    </row>
    <row r="159" spans="1:14" x14ac:dyDescent="0.25">
      <c r="A159" s="2" t="s">
        <v>692</v>
      </c>
      <c r="B159" s="2" t="s">
        <v>130</v>
      </c>
      <c r="C159" s="2" t="s">
        <v>506</v>
      </c>
      <c r="D159" s="2" t="s">
        <v>693</v>
      </c>
      <c r="E159" s="2" t="s">
        <v>694</v>
      </c>
      <c r="F159" s="2">
        <v>7.3150001525878903</v>
      </c>
      <c r="G159" s="2">
        <v>20</v>
      </c>
      <c r="H159" s="2">
        <v>3400</v>
      </c>
      <c r="I159" s="2" t="s">
        <v>159</v>
      </c>
      <c r="J159" s="2" t="s">
        <v>161</v>
      </c>
      <c r="K159" s="2" t="s">
        <v>160</v>
      </c>
      <c r="N159" s="2" t="str">
        <f t="shared" si="2"/>
        <v>22043-66620</v>
      </c>
    </row>
    <row r="160" spans="1:14" x14ac:dyDescent="0.25">
      <c r="A160" s="2" t="s">
        <v>695</v>
      </c>
      <c r="B160" s="2" t="s">
        <v>1</v>
      </c>
      <c r="C160" s="2" t="s">
        <v>188</v>
      </c>
      <c r="D160" s="2" t="s">
        <v>696</v>
      </c>
      <c r="E160" s="2" t="s">
        <v>697</v>
      </c>
      <c r="F160" s="2">
        <v>7.3052633185135596</v>
      </c>
      <c r="G160" s="2">
        <v>19</v>
      </c>
      <c r="H160" s="2">
        <v>5400</v>
      </c>
      <c r="I160" s="2" t="s">
        <v>152</v>
      </c>
      <c r="J160" s="2" t="s">
        <v>154</v>
      </c>
      <c r="K160" s="2" t="s">
        <v>153</v>
      </c>
      <c r="N160" s="2" t="str">
        <f t="shared" si="2"/>
        <v>22043-12592</v>
      </c>
    </row>
    <row r="161" spans="1:14" x14ac:dyDescent="0.25">
      <c r="A161" s="2" t="s">
        <v>698</v>
      </c>
      <c r="B161" s="2" t="s">
        <v>1</v>
      </c>
      <c r="C161" s="2" t="s">
        <v>699</v>
      </c>
      <c r="D161" s="2" t="s">
        <v>700</v>
      </c>
      <c r="E161" s="2" t="s">
        <v>701</v>
      </c>
      <c r="F161" s="2">
        <v>7.2999996609157902</v>
      </c>
      <c r="G161" s="2">
        <v>18</v>
      </c>
      <c r="H161" s="2">
        <v>3300</v>
      </c>
      <c r="I161" s="2" t="s">
        <v>152</v>
      </c>
      <c r="J161" s="2" t="s">
        <v>154</v>
      </c>
      <c r="K161" s="2" t="s">
        <v>153</v>
      </c>
      <c r="N161" s="2" t="str">
        <f t="shared" si="2"/>
        <v>22043-42705</v>
      </c>
    </row>
    <row r="162" spans="1:14" x14ac:dyDescent="0.25">
      <c r="A162" s="2" t="s">
        <v>702</v>
      </c>
      <c r="B162" s="2" t="s">
        <v>130</v>
      </c>
      <c r="C162" s="2" t="s">
        <v>70</v>
      </c>
      <c r="D162" s="2" t="s">
        <v>703</v>
      </c>
      <c r="E162" s="2" t="s">
        <v>704</v>
      </c>
      <c r="F162" s="2">
        <v>7.2888887193467804</v>
      </c>
      <c r="G162" s="2">
        <v>9</v>
      </c>
      <c r="H162" s="2">
        <v>3200</v>
      </c>
      <c r="I162" s="2" t="s">
        <v>145</v>
      </c>
      <c r="J162" s="2" t="s">
        <v>146</v>
      </c>
      <c r="K162" s="2" t="s">
        <v>147</v>
      </c>
      <c r="N162" s="2" t="str">
        <f t="shared" si="2"/>
        <v>22043-68667</v>
      </c>
    </row>
    <row r="163" spans="1:14" x14ac:dyDescent="0.25">
      <c r="A163" s="2" t="s">
        <v>705</v>
      </c>
      <c r="B163" s="2" t="s">
        <v>130</v>
      </c>
      <c r="C163" s="2" t="s">
        <v>46</v>
      </c>
      <c r="D163" s="2" t="s">
        <v>706</v>
      </c>
      <c r="E163" s="2" t="s">
        <v>707</v>
      </c>
      <c r="F163" s="2">
        <v>7.25555589463975</v>
      </c>
      <c r="G163" s="2">
        <v>9</v>
      </c>
      <c r="H163" s="2">
        <v>4100</v>
      </c>
      <c r="I163" s="2" t="s">
        <v>166</v>
      </c>
      <c r="J163" s="2" t="s">
        <v>74</v>
      </c>
      <c r="K163" s="2" t="s">
        <v>167</v>
      </c>
      <c r="L163" s="2" t="s">
        <v>250</v>
      </c>
      <c r="M163" s="2" t="s">
        <v>106</v>
      </c>
      <c r="N163" s="2" t="str">
        <f t="shared" si="2"/>
        <v>22043-42833</v>
      </c>
    </row>
    <row r="164" spans="1:14" x14ac:dyDescent="0.25">
      <c r="A164" s="2" t="s">
        <v>708</v>
      </c>
      <c r="B164" s="2" t="s">
        <v>130</v>
      </c>
      <c r="C164" s="2" t="s">
        <v>709</v>
      </c>
      <c r="D164" s="2" t="s">
        <v>710</v>
      </c>
      <c r="E164" s="2" t="s">
        <v>711</v>
      </c>
      <c r="F164" s="2">
        <v>7.1699996948242104</v>
      </c>
      <c r="G164" s="2">
        <v>10</v>
      </c>
      <c r="H164" s="2">
        <v>3600</v>
      </c>
      <c r="I164" s="2" t="s">
        <v>166</v>
      </c>
      <c r="J164" s="2" t="s">
        <v>167</v>
      </c>
      <c r="K164" s="2" t="s">
        <v>74</v>
      </c>
      <c r="N164" s="2" t="str">
        <f t="shared" si="2"/>
        <v>22043-14561</v>
      </c>
    </row>
    <row r="165" spans="1:14" x14ac:dyDescent="0.25">
      <c r="A165" s="2" t="s">
        <v>712</v>
      </c>
      <c r="B165" s="2" t="s">
        <v>130</v>
      </c>
      <c r="C165" s="2" t="s">
        <v>713</v>
      </c>
      <c r="D165" s="2" t="s">
        <v>714</v>
      </c>
      <c r="E165" s="2" t="s">
        <v>715</v>
      </c>
      <c r="F165" s="2">
        <v>7.1466664632161399</v>
      </c>
      <c r="G165" s="2">
        <v>15</v>
      </c>
      <c r="H165" s="2">
        <v>3500</v>
      </c>
      <c r="I165" s="2" t="s">
        <v>152</v>
      </c>
      <c r="J165" s="2" t="s">
        <v>154</v>
      </c>
      <c r="K165" s="2" t="s">
        <v>153</v>
      </c>
      <c r="N165" s="2" t="str">
        <f t="shared" si="2"/>
        <v>22043-39405</v>
      </c>
    </row>
    <row r="166" spans="1:14" x14ac:dyDescent="0.25">
      <c r="A166" s="2" t="s">
        <v>716</v>
      </c>
      <c r="B166" s="2" t="s">
        <v>131</v>
      </c>
      <c r="C166" s="2" t="s">
        <v>418</v>
      </c>
      <c r="D166" s="2" t="s">
        <v>717</v>
      </c>
      <c r="E166" s="2" t="s">
        <v>718</v>
      </c>
      <c r="F166" s="2">
        <v>7.1323529411764701</v>
      </c>
      <c r="G166" s="2">
        <v>68</v>
      </c>
      <c r="H166" s="2">
        <v>3300</v>
      </c>
      <c r="I166" s="2" t="s">
        <v>159</v>
      </c>
      <c r="J166" s="2" t="s">
        <v>161</v>
      </c>
      <c r="K166" s="2" t="s">
        <v>160</v>
      </c>
      <c r="L166" s="2" t="s">
        <v>250</v>
      </c>
      <c r="M166" s="2" t="s">
        <v>20</v>
      </c>
      <c r="N166" s="2" t="str">
        <f t="shared" si="2"/>
        <v>22043-70914</v>
      </c>
    </row>
    <row r="167" spans="1:14" x14ac:dyDescent="0.25">
      <c r="A167" s="2" t="s">
        <v>719</v>
      </c>
      <c r="B167" s="2" t="s">
        <v>1</v>
      </c>
      <c r="C167" s="2" t="s">
        <v>45</v>
      </c>
      <c r="D167" s="2" t="s">
        <v>720</v>
      </c>
      <c r="E167" s="2" t="s">
        <v>721</v>
      </c>
      <c r="F167" s="2">
        <v>7.0666664971245599</v>
      </c>
      <c r="G167" s="2">
        <v>18</v>
      </c>
      <c r="H167" s="2">
        <v>3400</v>
      </c>
      <c r="I167" s="2" t="s">
        <v>190</v>
      </c>
      <c r="J167" s="2" t="s">
        <v>192</v>
      </c>
      <c r="K167" s="2" t="s">
        <v>191</v>
      </c>
      <c r="N167" s="2" t="str">
        <f t="shared" si="2"/>
        <v>22043-39235</v>
      </c>
    </row>
    <row r="168" spans="1:14" x14ac:dyDescent="0.25">
      <c r="A168" s="2" t="s">
        <v>722</v>
      </c>
      <c r="B168" s="2" t="s">
        <v>130</v>
      </c>
      <c r="C168" s="2" t="s">
        <v>723</v>
      </c>
      <c r="D168" s="2" t="s">
        <v>724</v>
      </c>
      <c r="E168" s="2" t="s">
        <v>725</v>
      </c>
      <c r="F168" s="2">
        <v>7.0588235294117601</v>
      </c>
      <c r="G168" s="2">
        <v>17</v>
      </c>
      <c r="H168" s="2">
        <v>3100</v>
      </c>
      <c r="I168" s="2" t="s">
        <v>190</v>
      </c>
      <c r="J168" s="2" t="s">
        <v>192</v>
      </c>
      <c r="K168" s="2" t="s">
        <v>191</v>
      </c>
      <c r="N168" s="2" t="str">
        <f t="shared" si="2"/>
        <v>22043-66690</v>
      </c>
    </row>
    <row r="169" spans="1:14" x14ac:dyDescent="0.25">
      <c r="A169" s="2" t="s">
        <v>726</v>
      </c>
      <c r="B169" s="2" t="s">
        <v>130</v>
      </c>
      <c r="C169" s="2" t="s">
        <v>92</v>
      </c>
      <c r="D169" s="2" t="s">
        <v>727</v>
      </c>
      <c r="E169" s="2" t="s">
        <v>728</v>
      </c>
      <c r="F169" s="2">
        <v>7.03125</v>
      </c>
      <c r="G169" s="2">
        <v>16</v>
      </c>
      <c r="H169" s="2">
        <v>3400</v>
      </c>
      <c r="I169" s="2" t="s">
        <v>190</v>
      </c>
      <c r="J169" s="2" t="s">
        <v>191</v>
      </c>
      <c r="K169" s="2" t="s">
        <v>192</v>
      </c>
      <c r="N169" s="2" t="str">
        <f t="shared" si="2"/>
        <v>22043-59117</v>
      </c>
    </row>
    <row r="170" spans="1:14" x14ac:dyDescent="0.25">
      <c r="A170" s="2" t="s">
        <v>729</v>
      </c>
      <c r="B170" s="2" t="s">
        <v>130</v>
      </c>
      <c r="C170" s="2" t="s">
        <v>730</v>
      </c>
      <c r="D170" s="2" t="s">
        <v>731</v>
      </c>
      <c r="E170" s="2" t="s">
        <v>732</v>
      </c>
      <c r="F170" s="2">
        <v>6.9777776930067201</v>
      </c>
      <c r="G170" s="2">
        <v>18</v>
      </c>
      <c r="H170" s="2">
        <v>3800</v>
      </c>
      <c r="I170" s="2" t="s">
        <v>190</v>
      </c>
      <c r="J170" s="2" t="s">
        <v>192</v>
      </c>
      <c r="K170" s="2" t="s">
        <v>191</v>
      </c>
      <c r="N170" s="2" t="str">
        <f t="shared" si="2"/>
        <v>22043-54867</v>
      </c>
    </row>
    <row r="171" spans="1:14" x14ac:dyDescent="0.25">
      <c r="A171" s="2" t="s">
        <v>733</v>
      </c>
      <c r="B171" s="2" t="s">
        <v>131</v>
      </c>
      <c r="C171" s="2" t="s">
        <v>734</v>
      </c>
      <c r="D171" s="2" t="s">
        <v>735</v>
      </c>
      <c r="E171" s="2" t="s">
        <v>736</v>
      </c>
      <c r="F171" s="2">
        <v>6.9749997456868398</v>
      </c>
      <c r="G171" s="2">
        <v>12</v>
      </c>
      <c r="H171" s="2">
        <v>3600</v>
      </c>
      <c r="I171" s="2" t="s">
        <v>159</v>
      </c>
      <c r="J171" s="2" t="s">
        <v>161</v>
      </c>
      <c r="K171" s="2" t="s">
        <v>160</v>
      </c>
      <c r="L171" s="2" t="s">
        <v>250</v>
      </c>
      <c r="M171" s="2" t="s">
        <v>404</v>
      </c>
      <c r="N171" s="2" t="str">
        <f t="shared" si="2"/>
        <v>22043-8270</v>
      </c>
    </row>
    <row r="172" spans="1:14" x14ac:dyDescent="0.25">
      <c r="A172" s="2" t="s">
        <v>737</v>
      </c>
      <c r="B172" s="2" t="s">
        <v>131</v>
      </c>
      <c r="C172" s="2" t="s">
        <v>71</v>
      </c>
      <c r="D172" s="2" t="s">
        <v>738</v>
      </c>
      <c r="E172" s="2" t="s">
        <v>739</v>
      </c>
      <c r="F172" s="2">
        <v>6.9333335028754304</v>
      </c>
      <c r="G172" s="2">
        <v>18</v>
      </c>
      <c r="H172" s="2">
        <v>3800</v>
      </c>
      <c r="I172" s="2" t="s">
        <v>190</v>
      </c>
      <c r="J172" s="2" t="s">
        <v>192</v>
      </c>
      <c r="K172" s="2" t="s">
        <v>191</v>
      </c>
      <c r="N172" s="2" t="str">
        <f t="shared" si="2"/>
        <v>22043-11410</v>
      </c>
    </row>
    <row r="173" spans="1:14" x14ac:dyDescent="0.25">
      <c r="A173" s="2" t="s">
        <v>740</v>
      </c>
      <c r="B173" s="2" t="s">
        <v>131</v>
      </c>
      <c r="C173" s="2" t="s">
        <v>124</v>
      </c>
      <c r="D173" s="2" t="s">
        <v>741</v>
      </c>
      <c r="E173" s="2" t="s">
        <v>742</v>
      </c>
      <c r="F173" s="2">
        <v>6.8904760451543901</v>
      </c>
      <c r="G173" s="2">
        <v>21</v>
      </c>
      <c r="H173" s="2">
        <v>4100</v>
      </c>
      <c r="I173" s="2" t="s">
        <v>159</v>
      </c>
      <c r="J173" s="2" t="s">
        <v>160</v>
      </c>
      <c r="K173" s="2" t="s">
        <v>161</v>
      </c>
      <c r="N173" s="2" t="str">
        <f t="shared" si="2"/>
        <v>22043-12952</v>
      </c>
    </row>
    <row r="174" spans="1:14" x14ac:dyDescent="0.25">
      <c r="A174" s="2" t="s">
        <v>743</v>
      </c>
      <c r="B174" s="2" t="s">
        <v>131</v>
      </c>
      <c r="C174" s="2" t="s">
        <v>744</v>
      </c>
      <c r="D174" s="2" t="s">
        <v>745</v>
      </c>
      <c r="E174" s="2" t="s">
        <v>746</v>
      </c>
      <c r="F174" s="2">
        <v>6.8571428571428497</v>
      </c>
      <c r="G174" s="2">
        <v>21</v>
      </c>
      <c r="H174" s="2">
        <v>3600</v>
      </c>
      <c r="I174" s="2" t="s">
        <v>166</v>
      </c>
      <c r="J174" s="2" t="s">
        <v>74</v>
      </c>
      <c r="K174" s="2" t="s">
        <v>167</v>
      </c>
      <c r="N174" s="2" t="str">
        <f t="shared" si="2"/>
        <v>22043-13472</v>
      </c>
    </row>
    <row r="175" spans="1:14" x14ac:dyDescent="0.25">
      <c r="A175" s="2" t="s">
        <v>747</v>
      </c>
      <c r="B175" s="2" t="s">
        <v>130</v>
      </c>
      <c r="C175" s="2" t="s">
        <v>748</v>
      </c>
      <c r="D175" s="2" t="s">
        <v>749</v>
      </c>
      <c r="E175" s="2" t="s">
        <v>750</v>
      </c>
      <c r="F175" s="2">
        <v>6.8571428571428497</v>
      </c>
      <c r="G175" s="2">
        <v>21</v>
      </c>
      <c r="H175" s="2">
        <v>3300</v>
      </c>
      <c r="I175" s="2" t="s">
        <v>166</v>
      </c>
      <c r="J175" s="2" t="s">
        <v>74</v>
      </c>
      <c r="K175" s="2" t="s">
        <v>167</v>
      </c>
      <c r="N175" s="2" t="str">
        <f t="shared" si="2"/>
        <v>22043-12645</v>
      </c>
    </row>
    <row r="176" spans="1:14" x14ac:dyDescent="0.25">
      <c r="A176" s="2" t="s">
        <v>751</v>
      </c>
      <c r="B176" s="2" t="s">
        <v>130</v>
      </c>
      <c r="C176" s="2" t="s">
        <v>73</v>
      </c>
      <c r="D176" s="2" t="s">
        <v>752</v>
      </c>
      <c r="E176" s="2" t="s">
        <v>753</v>
      </c>
      <c r="F176" s="2">
        <v>6.8166669209798103</v>
      </c>
      <c r="G176" s="2">
        <v>12</v>
      </c>
      <c r="H176" s="2">
        <v>3000</v>
      </c>
      <c r="I176" s="2" t="s">
        <v>176</v>
      </c>
      <c r="J176" s="2" t="s">
        <v>177</v>
      </c>
      <c r="K176" s="2" t="s">
        <v>104</v>
      </c>
      <c r="N176" s="2" t="str">
        <f t="shared" si="2"/>
        <v>22043-59246</v>
      </c>
    </row>
    <row r="177" spans="1:14" x14ac:dyDescent="0.25">
      <c r="A177" s="2" t="s">
        <v>754</v>
      </c>
      <c r="B177" s="2" t="s">
        <v>131</v>
      </c>
      <c r="C177" s="2" t="s">
        <v>755</v>
      </c>
      <c r="D177" s="2" t="s">
        <v>756</v>
      </c>
      <c r="E177" s="2" t="s">
        <v>757</v>
      </c>
      <c r="F177" s="2">
        <v>6.7200002034505202</v>
      </c>
      <c r="G177" s="2">
        <v>15</v>
      </c>
      <c r="H177" s="2">
        <v>3500</v>
      </c>
      <c r="I177" s="2" t="s">
        <v>145</v>
      </c>
      <c r="J177" s="2" t="s">
        <v>146</v>
      </c>
      <c r="K177" s="2" t="s">
        <v>147</v>
      </c>
      <c r="N177" s="2" t="str">
        <f t="shared" si="2"/>
        <v>22043-70416</v>
      </c>
    </row>
    <row r="178" spans="1:14" x14ac:dyDescent="0.25">
      <c r="A178" s="2" t="s">
        <v>758</v>
      </c>
      <c r="B178" s="2" t="s">
        <v>131</v>
      </c>
      <c r="C178" s="2" t="s">
        <v>57</v>
      </c>
      <c r="D178" s="2" t="s">
        <v>759</v>
      </c>
      <c r="E178" s="2" t="s">
        <v>760</v>
      </c>
      <c r="F178" s="2">
        <v>6.5999999046325604</v>
      </c>
      <c r="G178" s="2">
        <v>8</v>
      </c>
      <c r="H178" s="2">
        <v>4100</v>
      </c>
      <c r="I178" s="2" t="s">
        <v>166</v>
      </c>
      <c r="J178" s="2" t="s">
        <v>74</v>
      </c>
      <c r="K178" s="2" t="s">
        <v>167</v>
      </c>
      <c r="N178" s="2" t="str">
        <f t="shared" si="2"/>
        <v>22043-8328</v>
      </c>
    </row>
    <row r="179" spans="1:14" x14ac:dyDescent="0.25">
      <c r="A179" s="2" t="s">
        <v>761</v>
      </c>
      <c r="B179" s="2" t="s">
        <v>1</v>
      </c>
      <c r="C179" s="2" t="s">
        <v>762</v>
      </c>
      <c r="D179" s="2" t="s">
        <v>763</v>
      </c>
      <c r="E179" s="2" t="s">
        <v>127</v>
      </c>
      <c r="F179" s="2">
        <v>6.5999999046325604</v>
      </c>
      <c r="G179" s="2">
        <v>2</v>
      </c>
      <c r="H179" s="2">
        <v>3000</v>
      </c>
      <c r="I179" s="2" t="s">
        <v>166</v>
      </c>
      <c r="J179" s="2" t="s">
        <v>167</v>
      </c>
      <c r="K179" s="2" t="s">
        <v>74</v>
      </c>
      <c r="N179" s="2" t="str">
        <f t="shared" si="2"/>
        <v>22043-14469</v>
      </c>
    </row>
    <row r="180" spans="1:14" x14ac:dyDescent="0.25">
      <c r="A180" s="2" t="s">
        <v>764</v>
      </c>
      <c r="B180" s="2" t="s">
        <v>131</v>
      </c>
      <c r="C180" s="2" t="s">
        <v>80</v>
      </c>
      <c r="D180" s="2" t="s">
        <v>765</v>
      </c>
      <c r="E180" s="2" t="s">
        <v>766</v>
      </c>
      <c r="F180" s="2">
        <v>6.5803571428571397</v>
      </c>
      <c r="G180" s="2">
        <v>56</v>
      </c>
      <c r="H180" s="2">
        <v>3500</v>
      </c>
      <c r="I180" s="2" t="s">
        <v>145</v>
      </c>
      <c r="J180" s="2" t="s">
        <v>147</v>
      </c>
      <c r="K180" s="2" t="s">
        <v>146</v>
      </c>
      <c r="L180" s="2" t="s">
        <v>250</v>
      </c>
      <c r="M180" s="2" t="s">
        <v>93</v>
      </c>
      <c r="N180" s="2" t="str">
        <f t="shared" si="2"/>
        <v>22043-8169</v>
      </c>
    </row>
    <row r="181" spans="1:14" x14ac:dyDescent="0.25">
      <c r="A181" s="2" t="s">
        <v>767</v>
      </c>
      <c r="B181" s="2" t="s">
        <v>1</v>
      </c>
      <c r="C181" s="2" t="s">
        <v>768</v>
      </c>
      <c r="D181" s="2" t="s">
        <v>769</v>
      </c>
      <c r="E181" s="2" t="s">
        <v>118</v>
      </c>
      <c r="F181" s="2">
        <v>6.5714285714285703</v>
      </c>
      <c r="G181" s="2">
        <v>14</v>
      </c>
      <c r="H181" s="2">
        <v>3100</v>
      </c>
      <c r="I181" s="2" t="s">
        <v>159</v>
      </c>
      <c r="J181" s="2" t="s">
        <v>160</v>
      </c>
      <c r="K181" s="2" t="s">
        <v>161</v>
      </c>
      <c r="N181" s="2" t="str">
        <f t="shared" si="2"/>
        <v>22043-9390</v>
      </c>
    </row>
    <row r="182" spans="1:14" x14ac:dyDescent="0.25">
      <c r="A182" s="2" t="s">
        <v>770</v>
      </c>
      <c r="B182" s="2" t="s">
        <v>130</v>
      </c>
      <c r="C182" s="2" t="s">
        <v>771</v>
      </c>
      <c r="D182" s="2" t="s">
        <v>772</v>
      </c>
      <c r="E182" s="2" t="s">
        <v>773</v>
      </c>
      <c r="F182" s="2">
        <v>6.5526315789473601</v>
      </c>
      <c r="G182" s="2">
        <v>19</v>
      </c>
      <c r="H182" s="2">
        <v>3900</v>
      </c>
      <c r="I182" s="2" t="s">
        <v>152</v>
      </c>
      <c r="J182" s="2" t="s">
        <v>154</v>
      </c>
      <c r="K182" s="2" t="s">
        <v>153</v>
      </c>
      <c r="N182" s="2" t="str">
        <f t="shared" si="2"/>
        <v>22043-23061</v>
      </c>
    </row>
    <row r="183" spans="1:14" x14ac:dyDescent="0.25">
      <c r="A183" s="2" t="s">
        <v>774</v>
      </c>
      <c r="B183" s="2" t="s">
        <v>130</v>
      </c>
      <c r="C183" s="2" t="s">
        <v>105</v>
      </c>
      <c r="D183" s="2" t="s">
        <v>775</v>
      </c>
      <c r="E183" s="2" t="s">
        <v>776</v>
      </c>
      <c r="F183" s="2">
        <v>6.4866668701171797</v>
      </c>
      <c r="G183" s="2">
        <v>15</v>
      </c>
      <c r="H183" s="2">
        <v>3300</v>
      </c>
      <c r="I183" s="2" t="s">
        <v>176</v>
      </c>
      <c r="J183" s="2" t="s">
        <v>177</v>
      </c>
      <c r="K183" s="2" t="s">
        <v>104</v>
      </c>
      <c r="N183" s="2" t="str">
        <f t="shared" si="2"/>
        <v>22043-14149</v>
      </c>
    </row>
    <row r="184" spans="1:14" x14ac:dyDescent="0.25">
      <c r="A184" s="2" t="s">
        <v>777</v>
      </c>
      <c r="B184" s="2" t="s">
        <v>1</v>
      </c>
      <c r="C184" s="2" t="s">
        <v>112</v>
      </c>
      <c r="D184" s="2" t="s">
        <v>778</v>
      </c>
      <c r="E184" s="2" t="s">
        <v>779</v>
      </c>
      <c r="F184" s="2">
        <v>6.4842103656969501</v>
      </c>
      <c r="G184" s="2">
        <v>19</v>
      </c>
      <c r="H184" s="2">
        <v>3200</v>
      </c>
      <c r="I184" s="2" t="s">
        <v>176</v>
      </c>
      <c r="J184" s="2" t="s">
        <v>177</v>
      </c>
      <c r="K184" s="2" t="s">
        <v>104</v>
      </c>
      <c r="N184" s="2" t="str">
        <f t="shared" si="2"/>
        <v>22043-66600</v>
      </c>
    </row>
    <row r="185" spans="1:14" x14ac:dyDescent="0.25">
      <c r="A185" s="2" t="s">
        <v>780</v>
      </c>
      <c r="B185" s="2" t="s">
        <v>130</v>
      </c>
      <c r="C185" s="2" t="s">
        <v>55</v>
      </c>
      <c r="D185" s="2" t="s">
        <v>781</v>
      </c>
      <c r="E185" s="2" t="s">
        <v>782</v>
      </c>
      <c r="F185" s="2">
        <v>6.4727269952947397</v>
      </c>
      <c r="G185" s="2">
        <v>22</v>
      </c>
      <c r="H185" s="2">
        <v>3900</v>
      </c>
      <c r="I185" s="2" t="s">
        <v>159</v>
      </c>
      <c r="J185" s="2" t="s">
        <v>161</v>
      </c>
      <c r="K185" s="2" t="s">
        <v>160</v>
      </c>
      <c r="N185" s="2" t="str">
        <f t="shared" si="2"/>
        <v>22043-39146</v>
      </c>
    </row>
    <row r="186" spans="1:14" x14ac:dyDescent="0.25">
      <c r="A186" s="2" t="s">
        <v>783</v>
      </c>
      <c r="B186" s="2" t="s">
        <v>131</v>
      </c>
      <c r="C186" s="2" t="s">
        <v>97</v>
      </c>
      <c r="D186" s="2" t="s">
        <v>784</v>
      </c>
      <c r="E186" s="2" t="s">
        <v>63</v>
      </c>
      <c r="F186" s="2">
        <v>6.4400001525878903</v>
      </c>
      <c r="G186" s="2">
        <v>20</v>
      </c>
      <c r="H186" s="2">
        <v>3600</v>
      </c>
      <c r="I186" s="2" t="s">
        <v>145</v>
      </c>
      <c r="J186" s="2" t="s">
        <v>146</v>
      </c>
      <c r="K186" s="2" t="s">
        <v>147</v>
      </c>
      <c r="N186" s="2" t="str">
        <f t="shared" si="2"/>
        <v>22043-8410</v>
      </c>
    </row>
    <row r="187" spans="1:14" x14ac:dyDescent="0.25">
      <c r="A187" s="2" t="s">
        <v>785</v>
      </c>
      <c r="B187" s="2" t="s">
        <v>130</v>
      </c>
      <c r="C187" s="2" t="s">
        <v>95</v>
      </c>
      <c r="D187" s="2" t="s">
        <v>786</v>
      </c>
      <c r="E187" s="2" t="s">
        <v>787</v>
      </c>
      <c r="F187" s="2">
        <v>6.4250001907348597</v>
      </c>
      <c r="G187" s="2">
        <v>16</v>
      </c>
      <c r="H187" s="2">
        <v>3400</v>
      </c>
      <c r="I187" s="2" t="s">
        <v>176</v>
      </c>
      <c r="J187" s="2" t="s">
        <v>104</v>
      </c>
      <c r="K187" s="2" t="s">
        <v>177</v>
      </c>
      <c r="N187" s="2" t="str">
        <f t="shared" si="2"/>
        <v>22043-70913</v>
      </c>
    </row>
    <row r="188" spans="1:14" x14ac:dyDescent="0.25">
      <c r="A188" s="2" t="s">
        <v>788</v>
      </c>
      <c r="B188" s="2" t="s">
        <v>130</v>
      </c>
      <c r="C188" s="2" t="s">
        <v>52</v>
      </c>
      <c r="D188" s="2" t="s">
        <v>789</v>
      </c>
      <c r="E188" s="2" t="s">
        <v>570</v>
      </c>
      <c r="F188" s="2">
        <v>6.4111111958821603</v>
      </c>
      <c r="G188" s="2">
        <v>18</v>
      </c>
      <c r="H188" s="2">
        <v>3300</v>
      </c>
      <c r="I188" s="2" t="s">
        <v>176</v>
      </c>
      <c r="J188" s="2" t="s">
        <v>104</v>
      </c>
      <c r="K188" s="2" t="s">
        <v>177</v>
      </c>
      <c r="N188" s="2" t="str">
        <f t="shared" si="2"/>
        <v>22043-11150</v>
      </c>
    </row>
    <row r="189" spans="1:14" x14ac:dyDescent="0.25">
      <c r="A189" s="2" t="s">
        <v>790</v>
      </c>
      <c r="B189" s="2" t="s">
        <v>131</v>
      </c>
      <c r="C189" s="2" t="s">
        <v>791</v>
      </c>
      <c r="D189" s="2" t="s">
        <v>792</v>
      </c>
      <c r="E189" s="2" t="s">
        <v>793</v>
      </c>
      <c r="F189" s="2">
        <v>6.4000002543131496</v>
      </c>
      <c r="G189" s="2">
        <v>3</v>
      </c>
      <c r="H189" s="2">
        <v>3500</v>
      </c>
      <c r="I189" s="2" t="s">
        <v>190</v>
      </c>
      <c r="J189" s="2" t="s">
        <v>192</v>
      </c>
      <c r="K189" s="2" t="s">
        <v>191</v>
      </c>
      <c r="N189" s="2" t="str">
        <f t="shared" si="2"/>
        <v>22043-21936</v>
      </c>
    </row>
    <row r="190" spans="1:14" x14ac:dyDescent="0.25">
      <c r="A190" s="2" t="s">
        <v>794</v>
      </c>
      <c r="B190" s="2" t="s">
        <v>130</v>
      </c>
      <c r="C190" s="2" t="s">
        <v>795</v>
      </c>
      <c r="D190" s="2" t="s">
        <v>796</v>
      </c>
      <c r="E190" s="2" t="s">
        <v>797</v>
      </c>
      <c r="F190" s="2">
        <v>6.4000002543131496</v>
      </c>
      <c r="G190" s="2">
        <v>6</v>
      </c>
      <c r="H190" s="2">
        <v>3000</v>
      </c>
      <c r="I190" s="2" t="s">
        <v>190</v>
      </c>
      <c r="J190" s="2" t="s">
        <v>192</v>
      </c>
      <c r="K190" s="2" t="s">
        <v>191</v>
      </c>
      <c r="L190" s="2" t="s">
        <v>250</v>
      </c>
      <c r="M190" s="2" t="s">
        <v>798</v>
      </c>
      <c r="N190" s="2" t="str">
        <f t="shared" si="2"/>
        <v>22043-43140</v>
      </c>
    </row>
    <row r="191" spans="1:14" x14ac:dyDescent="0.25">
      <c r="A191" s="2" t="s">
        <v>799</v>
      </c>
      <c r="B191" s="2" t="s">
        <v>131</v>
      </c>
      <c r="C191" s="2" t="s">
        <v>578</v>
      </c>
      <c r="D191" s="2" t="s">
        <v>800</v>
      </c>
      <c r="E191" s="2" t="s">
        <v>801</v>
      </c>
      <c r="F191" s="2">
        <v>6.4</v>
      </c>
      <c r="G191" s="2">
        <v>5</v>
      </c>
      <c r="H191" s="2">
        <v>3500</v>
      </c>
      <c r="I191" s="2" t="s">
        <v>159</v>
      </c>
      <c r="J191" s="2" t="s">
        <v>161</v>
      </c>
      <c r="K191" s="2" t="s">
        <v>160</v>
      </c>
      <c r="N191" s="2" t="str">
        <f t="shared" si="2"/>
        <v>22043-23069</v>
      </c>
    </row>
    <row r="192" spans="1:14" x14ac:dyDescent="0.25">
      <c r="A192" s="2" t="s">
        <v>802</v>
      </c>
      <c r="B192" s="2" t="s">
        <v>130</v>
      </c>
      <c r="C192" s="2" t="s">
        <v>803</v>
      </c>
      <c r="D192" s="2" t="s">
        <v>804</v>
      </c>
      <c r="E192" s="2" t="s">
        <v>805</v>
      </c>
      <c r="F192" s="2">
        <v>6.2952379499162898</v>
      </c>
      <c r="G192" s="2">
        <v>21</v>
      </c>
      <c r="H192" s="2">
        <v>3600</v>
      </c>
      <c r="I192" s="2" t="s">
        <v>159</v>
      </c>
      <c r="J192" s="2" t="s">
        <v>160</v>
      </c>
      <c r="K192" s="2" t="s">
        <v>161</v>
      </c>
      <c r="N192" s="2" t="str">
        <f t="shared" si="2"/>
        <v>22043-23054</v>
      </c>
    </row>
    <row r="193" spans="1:14" x14ac:dyDescent="0.25">
      <c r="A193" s="2" t="s">
        <v>806</v>
      </c>
      <c r="B193" s="2" t="s">
        <v>1</v>
      </c>
      <c r="C193" s="2" t="s">
        <v>807</v>
      </c>
      <c r="D193" s="2" t="s">
        <v>808</v>
      </c>
      <c r="E193" s="2" t="s">
        <v>809</v>
      </c>
      <c r="F193" s="2">
        <v>6.2578948171515201</v>
      </c>
      <c r="G193" s="2">
        <v>19</v>
      </c>
      <c r="H193" s="2">
        <v>4500</v>
      </c>
      <c r="I193" s="2" t="s">
        <v>152</v>
      </c>
      <c r="J193" s="2" t="s">
        <v>153</v>
      </c>
      <c r="K193" s="2" t="s">
        <v>154</v>
      </c>
      <c r="N193" s="2" t="str">
        <f t="shared" si="2"/>
        <v>22043-8162</v>
      </c>
    </row>
    <row r="194" spans="1:14" x14ac:dyDescent="0.25">
      <c r="A194" s="2" t="s">
        <v>810</v>
      </c>
      <c r="B194" s="2" t="s">
        <v>1</v>
      </c>
      <c r="C194" s="2" t="s">
        <v>811</v>
      </c>
      <c r="D194" s="2" t="s">
        <v>812</v>
      </c>
      <c r="E194" s="2" t="s">
        <v>813</v>
      </c>
      <c r="F194" s="2">
        <v>6.1999998092651296</v>
      </c>
      <c r="G194" s="2">
        <v>8</v>
      </c>
      <c r="H194" s="2">
        <v>3100</v>
      </c>
      <c r="I194" s="2" t="s">
        <v>145</v>
      </c>
      <c r="J194" s="2" t="s">
        <v>146</v>
      </c>
      <c r="K194" s="2" t="s">
        <v>147</v>
      </c>
      <c r="L194" s="2" t="s">
        <v>250</v>
      </c>
      <c r="M194" s="2" t="s">
        <v>22</v>
      </c>
      <c r="N194" s="2" t="str">
        <f t="shared" si="2"/>
        <v>22043-15252</v>
      </c>
    </row>
    <row r="195" spans="1:14" x14ac:dyDescent="0.25">
      <c r="A195" s="2" t="s">
        <v>814</v>
      </c>
      <c r="B195" s="2" t="s">
        <v>131</v>
      </c>
      <c r="C195" s="2" t="s">
        <v>815</v>
      </c>
      <c r="D195" s="2" t="s">
        <v>816</v>
      </c>
      <c r="E195" s="2" t="s">
        <v>817</v>
      </c>
      <c r="F195" s="2">
        <v>6.1611111958821603</v>
      </c>
      <c r="G195" s="2">
        <v>18</v>
      </c>
      <c r="H195" s="2">
        <v>3500</v>
      </c>
      <c r="I195" s="2" t="s">
        <v>190</v>
      </c>
      <c r="J195" s="2" t="s">
        <v>191</v>
      </c>
      <c r="K195" s="2" t="s">
        <v>192</v>
      </c>
      <c r="N195" s="2" t="str">
        <f t="shared" ref="N195:N258" si="3">A195</f>
        <v>22043-8687</v>
      </c>
    </row>
    <row r="196" spans="1:14" x14ac:dyDescent="0.25">
      <c r="A196" s="2" t="s">
        <v>818</v>
      </c>
      <c r="B196" s="2" t="s">
        <v>130</v>
      </c>
      <c r="C196" s="2" t="s">
        <v>70</v>
      </c>
      <c r="D196" s="2" t="s">
        <v>819</v>
      </c>
      <c r="E196" s="2" t="s">
        <v>820</v>
      </c>
      <c r="F196" s="2">
        <v>6.1578947368421</v>
      </c>
      <c r="G196" s="2">
        <v>19</v>
      </c>
      <c r="H196" s="2">
        <v>3500</v>
      </c>
      <c r="I196" s="2" t="s">
        <v>176</v>
      </c>
      <c r="J196" s="2" t="s">
        <v>104</v>
      </c>
      <c r="K196" s="2" t="s">
        <v>177</v>
      </c>
      <c r="N196" s="2" t="str">
        <f t="shared" si="3"/>
        <v>22043-9006</v>
      </c>
    </row>
    <row r="197" spans="1:14" x14ac:dyDescent="0.25">
      <c r="A197" s="2" t="s">
        <v>821</v>
      </c>
      <c r="B197" s="2" t="s">
        <v>130</v>
      </c>
      <c r="C197" s="2" t="s">
        <v>57</v>
      </c>
      <c r="D197" s="2" t="s">
        <v>822</v>
      </c>
      <c r="E197" s="2" t="s">
        <v>823</v>
      </c>
      <c r="F197" s="2">
        <v>6.1333332061767498</v>
      </c>
      <c r="G197" s="2">
        <v>12</v>
      </c>
      <c r="H197" s="2">
        <v>3200</v>
      </c>
      <c r="I197" s="2" t="s">
        <v>152</v>
      </c>
      <c r="J197" s="2" t="s">
        <v>153</v>
      </c>
      <c r="K197" s="2" t="s">
        <v>154</v>
      </c>
      <c r="N197" s="2" t="str">
        <f t="shared" si="3"/>
        <v>22043-9121</v>
      </c>
    </row>
    <row r="198" spans="1:14" x14ac:dyDescent="0.25">
      <c r="A198" s="2" t="s">
        <v>824</v>
      </c>
      <c r="B198" s="2" t="s">
        <v>131</v>
      </c>
      <c r="C198" s="2" t="s">
        <v>188</v>
      </c>
      <c r="D198" s="2" t="s">
        <v>825</v>
      </c>
      <c r="E198" s="2" t="s">
        <v>61</v>
      </c>
      <c r="F198" s="2">
        <v>6.1200000762939402</v>
      </c>
      <c r="G198" s="2">
        <v>20</v>
      </c>
      <c r="H198" s="2">
        <v>3500</v>
      </c>
      <c r="I198" s="2" t="s">
        <v>145</v>
      </c>
      <c r="J198" s="2" t="s">
        <v>146</v>
      </c>
      <c r="K198" s="2" t="s">
        <v>147</v>
      </c>
      <c r="N198" s="2" t="str">
        <f t="shared" si="3"/>
        <v>22043-23286</v>
      </c>
    </row>
    <row r="199" spans="1:14" x14ac:dyDescent="0.25">
      <c r="A199" s="2" t="s">
        <v>826</v>
      </c>
      <c r="B199" s="2" t="s">
        <v>131</v>
      </c>
      <c r="C199" s="2" t="s">
        <v>126</v>
      </c>
      <c r="D199" s="2" t="s">
        <v>827</v>
      </c>
      <c r="E199" s="2" t="s">
        <v>188</v>
      </c>
      <c r="F199" s="2">
        <v>6.0999999046325604</v>
      </c>
      <c r="G199" s="2">
        <v>16</v>
      </c>
      <c r="H199" s="2">
        <v>3500</v>
      </c>
      <c r="I199" s="2" t="s">
        <v>190</v>
      </c>
      <c r="J199" s="2" t="s">
        <v>192</v>
      </c>
      <c r="K199" s="2" t="s">
        <v>191</v>
      </c>
      <c r="N199" s="2" t="str">
        <f t="shared" si="3"/>
        <v>22043-62158</v>
      </c>
    </row>
    <row r="200" spans="1:14" x14ac:dyDescent="0.25">
      <c r="A200" s="2" t="s">
        <v>828</v>
      </c>
      <c r="B200" s="2" t="s">
        <v>130</v>
      </c>
      <c r="C200" s="2" t="s">
        <v>829</v>
      </c>
      <c r="D200" s="2" t="s">
        <v>830</v>
      </c>
      <c r="E200" s="2" t="s">
        <v>48</v>
      </c>
      <c r="F200" s="2">
        <v>6.0235295015222796</v>
      </c>
      <c r="G200" s="2">
        <v>17</v>
      </c>
      <c r="H200" s="2">
        <v>3200</v>
      </c>
      <c r="I200" s="2" t="s">
        <v>166</v>
      </c>
      <c r="J200" s="2" t="s">
        <v>74</v>
      </c>
      <c r="K200" s="2" t="s">
        <v>167</v>
      </c>
      <c r="N200" s="2" t="str">
        <f t="shared" si="3"/>
        <v>22043-23226</v>
      </c>
    </row>
    <row r="201" spans="1:14" x14ac:dyDescent="0.25">
      <c r="A201" s="2" t="s">
        <v>831</v>
      </c>
      <c r="B201" s="2" t="s">
        <v>130</v>
      </c>
      <c r="C201" s="2" t="s">
        <v>49</v>
      </c>
      <c r="D201" s="2" t="s">
        <v>832</v>
      </c>
      <c r="E201" s="2" t="s">
        <v>120</v>
      </c>
      <c r="F201" s="2">
        <v>6</v>
      </c>
      <c r="G201" s="2">
        <v>12</v>
      </c>
      <c r="H201" s="2">
        <v>3200</v>
      </c>
      <c r="I201" s="2" t="s">
        <v>166</v>
      </c>
      <c r="J201" s="2" t="s">
        <v>74</v>
      </c>
      <c r="K201" s="2" t="s">
        <v>167</v>
      </c>
      <c r="N201" s="2" t="str">
        <f t="shared" si="3"/>
        <v>22043-42839</v>
      </c>
    </row>
    <row r="202" spans="1:14" x14ac:dyDescent="0.25">
      <c r="A202" s="2" t="s">
        <v>833</v>
      </c>
      <c r="B202" s="2" t="s">
        <v>131</v>
      </c>
      <c r="C202" s="2" t="s">
        <v>744</v>
      </c>
      <c r="D202" s="2" t="s">
        <v>834</v>
      </c>
      <c r="E202" s="2" t="s">
        <v>835</v>
      </c>
      <c r="F202" s="2">
        <v>5.9764704984777097</v>
      </c>
      <c r="G202" s="2">
        <v>17</v>
      </c>
      <c r="H202" s="2">
        <v>3800</v>
      </c>
      <c r="I202" s="2" t="s">
        <v>152</v>
      </c>
      <c r="J202" s="2" t="s">
        <v>153</v>
      </c>
      <c r="K202" s="2" t="s">
        <v>154</v>
      </c>
      <c r="N202" s="2" t="str">
        <f t="shared" si="3"/>
        <v>22043-8878</v>
      </c>
    </row>
    <row r="203" spans="1:14" x14ac:dyDescent="0.25">
      <c r="A203" s="2" t="s">
        <v>836</v>
      </c>
      <c r="B203" s="2" t="s">
        <v>130</v>
      </c>
      <c r="C203" s="2" t="s">
        <v>755</v>
      </c>
      <c r="D203" s="2" t="s">
        <v>837</v>
      </c>
      <c r="E203" s="2" t="s">
        <v>838</v>
      </c>
      <c r="F203" s="2">
        <v>5.9636362249200996</v>
      </c>
      <c r="G203" s="2">
        <v>11</v>
      </c>
      <c r="H203" s="2">
        <v>3100</v>
      </c>
      <c r="I203" s="2" t="s">
        <v>145</v>
      </c>
      <c r="J203" s="2" t="s">
        <v>146</v>
      </c>
      <c r="K203" s="2" t="s">
        <v>147</v>
      </c>
      <c r="N203" s="2" t="str">
        <f t="shared" si="3"/>
        <v>22043-62442</v>
      </c>
    </row>
    <row r="204" spans="1:14" x14ac:dyDescent="0.25">
      <c r="A204" s="2" t="s">
        <v>839</v>
      </c>
      <c r="B204" s="2" t="s">
        <v>131</v>
      </c>
      <c r="C204" s="2" t="s">
        <v>840</v>
      </c>
      <c r="D204" s="2" t="s">
        <v>841</v>
      </c>
      <c r="E204" s="2" t="s">
        <v>842</v>
      </c>
      <c r="F204" s="2">
        <v>5.86666666666666</v>
      </c>
      <c r="G204" s="2">
        <v>15</v>
      </c>
      <c r="H204" s="2">
        <v>3500</v>
      </c>
      <c r="I204" s="2" t="s">
        <v>166</v>
      </c>
      <c r="J204" s="2" t="s">
        <v>74</v>
      </c>
      <c r="K204" s="2" t="s">
        <v>167</v>
      </c>
      <c r="N204" s="2" t="str">
        <f t="shared" si="3"/>
        <v>22043-42842</v>
      </c>
    </row>
    <row r="205" spans="1:14" x14ac:dyDescent="0.25">
      <c r="A205" s="2" t="s">
        <v>843</v>
      </c>
      <c r="B205" s="2" t="s">
        <v>1</v>
      </c>
      <c r="C205" s="2" t="s">
        <v>75</v>
      </c>
      <c r="D205" s="2" t="s">
        <v>844</v>
      </c>
      <c r="E205" s="2" t="s">
        <v>845</v>
      </c>
      <c r="F205" s="2">
        <v>5.8526314183285297</v>
      </c>
      <c r="G205" s="2">
        <v>19</v>
      </c>
      <c r="H205" s="2">
        <v>3400</v>
      </c>
      <c r="I205" s="2" t="s">
        <v>176</v>
      </c>
      <c r="J205" s="2" t="s">
        <v>104</v>
      </c>
      <c r="K205" s="2" t="s">
        <v>177</v>
      </c>
      <c r="N205" s="2" t="str">
        <f t="shared" si="3"/>
        <v>22043-73949</v>
      </c>
    </row>
    <row r="206" spans="1:14" x14ac:dyDescent="0.25">
      <c r="A206" s="2" t="s">
        <v>846</v>
      </c>
      <c r="B206" s="2" t="s">
        <v>130</v>
      </c>
      <c r="C206" s="2" t="s">
        <v>75</v>
      </c>
      <c r="D206" s="2" t="s">
        <v>847</v>
      </c>
      <c r="E206" s="2" t="s">
        <v>848</v>
      </c>
      <c r="F206" s="2">
        <v>5.8461538461538396</v>
      </c>
      <c r="G206" s="2">
        <v>13</v>
      </c>
      <c r="H206" s="2">
        <v>3700</v>
      </c>
      <c r="I206" s="2" t="s">
        <v>190</v>
      </c>
      <c r="J206" s="2" t="s">
        <v>192</v>
      </c>
      <c r="K206" s="2" t="s">
        <v>191</v>
      </c>
      <c r="N206" s="2" t="str">
        <f t="shared" si="3"/>
        <v>22043-8459</v>
      </c>
    </row>
    <row r="207" spans="1:14" x14ac:dyDescent="0.25">
      <c r="A207" s="2" t="s">
        <v>849</v>
      </c>
      <c r="B207" s="2" t="s">
        <v>131</v>
      </c>
      <c r="C207" s="2" t="s">
        <v>57</v>
      </c>
      <c r="D207" s="2" t="s">
        <v>850</v>
      </c>
      <c r="E207" s="2" t="s">
        <v>851</v>
      </c>
      <c r="F207" s="2">
        <v>5.8352939381318896</v>
      </c>
      <c r="G207" s="2">
        <v>17</v>
      </c>
      <c r="H207" s="2">
        <v>3500</v>
      </c>
      <c r="I207" s="2" t="s">
        <v>152</v>
      </c>
      <c r="J207" s="2" t="s">
        <v>154</v>
      </c>
      <c r="K207" s="2" t="s">
        <v>153</v>
      </c>
      <c r="N207" s="2" t="str">
        <f t="shared" si="3"/>
        <v>22043-11387</v>
      </c>
    </row>
    <row r="208" spans="1:14" x14ac:dyDescent="0.25">
      <c r="A208" s="2" t="s">
        <v>852</v>
      </c>
      <c r="B208" s="2" t="s">
        <v>132</v>
      </c>
      <c r="C208" s="2" t="s">
        <v>853</v>
      </c>
      <c r="D208" s="2" t="s">
        <v>854</v>
      </c>
      <c r="E208" s="2" t="s">
        <v>855</v>
      </c>
      <c r="F208" s="2">
        <v>5.8000001907348597</v>
      </c>
      <c r="G208" s="2">
        <v>4</v>
      </c>
      <c r="H208" s="2">
        <v>7600</v>
      </c>
      <c r="I208" s="2" t="s">
        <v>152</v>
      </c>
      <c r="J208" s="2" t="s">
        <v>154</v>
      </c>
      <c r="K208" s="2" t="s">
        <v>153</v>
      </c>
      <c r="N208" s="2" t="str">
        <f t="shared" si="3"/>
        <v>22043-66411</v>
      </c>
    </row>
    <row r="209" spans="1:14" x14ac:dyDescent="0.25">
      <c r="A209" s="2" t="s">
        <v>856</v>
      </c>
      <c r="B209" s="2" t="s">
        <v>1</v>
      </c>
      <c r="C209" s="2" t="s">
        <v>857</v>
      </c>
      <c r="D209" s="2" t="s">
        <v>858</v>
      </c>
      <c r="E209" s="2" t="s">
        <v>29</v>
      </c>
      <c r="F209" s="2">
        <v>5.8</v>
      </c>
      <c r="G209" s="2">
        <v>20</v>
      </c>
      <c r="H209" s="2">
        <v>3400</v>
      </c>
      <c r="I209" s="2" t="s">
        <v>159</v>
      </c>
      <c r="J209" s="2" t="s">
        <v>161</v>
      </c>
      <c r="K209" s="2" t="s">
        <v>160</v>
      </c>
      <c r="N209" s="2" t="str">
        <f t="shared" si="3"/>
        <v>22043-8397</v>
      </c>
    </row>
    <row r="210" spans="1:14" x14ac:dyDescent="0.25">
      <c r="A210" s="2" t="s">
        <v>859</v>
      </c>
      <c r="B210" s="2" t="s">
        <v>131</v>
      </c>
      <c r="C210" s="2" t="s">
        <v>85</v>
      </c>
      <c r="D210" s="2" t="s">
        <v>860</v>
      </c>
      <c r="E210" s="2" t="s">
        <v>861</v>
      </c>
      <c r="F210" s="2">
        <v>5.7904761178152899</v>
      </c>
      <c r="G210" s="2">
        <v>21</v>
      </c>
      <c r="H210" s="2">
        <v>3600</v>
      </c>
      <c r="I210" s="2" t="s">
        <v>166</v>
      </c>
      <c r="J210" s="2" t="s">
        <v>74</v>
      </c>
      <c r="K210" s="2" t="s">
        <v>167</v>
      </c>
      <c r="N210" s="2" t="str">
        <f t="shared" si="3"/>
        <v>22043-8607</v>
      </c>
    </row>
    <row r="211" spans="1:14" x14ac:dyDescent="0.25">
      <c r="A211" s="2" t="s">
        <v>862</v>
      </c>
      <c r="B211" s="2" t="s">
        <v>131</v>
      </c>
      <c r="C211" s="2" t="s">
        <v>863</v>
      </c>
      <c r="D211" s="2" t="s">
        <v>864</v>
      </c>
      <c r="E211" s="2" t="s">
        <v>84</v>
      </c>
      <c r="F211" s="2">
        <v>5.7777777777777697</v>
      </c>
      <c r="G211" s="2">
        <v>18</v>
      </c>
      <c r="H211" s="2">
        <v>3500</v>
      </c>
      <c r="I211" s="2" t="s">
        <v>190</v>
      </c>
      <c r="J211" s="2" t="s">
        <v>192</v>
      </c>
      <c r="K211" s="2" t="s">
        <v>191</v>
      </c>
      <c r="N211" s="2" t="str">
        <f t="shared" si="3"/>
        <v>22043-13406</v>
      </c>
    </row>
    <row r="212" spans="1:14" x14ac:dyDescent="0.25">
      <c r="A212" s="2" t="s">
        <v>865</v>
      </c>
      <c r="B212" s="2" t="s">
        <v>131</v>
      </c>
      <c r="C212" s="2" t="s">
        <v>77</v>
      </c>
      <c r="D212" s="2" t="s">
        <v>866</v>
      </c>
      <c r="E212" s="2" t="s">
        <v>867</v>
      </c>
      <c r="F212" s="2">
        <v>5.7684209723221596</v>
      </c>
      <c r="G212" s="2">
        <v>19</v>
      </c>
      <c r="H212" s="2">
        <v>3500</v>
      </c>
      <c r="I212" s="2" t="s">
        <v>176</v>
      </c>
      <c r="J212" s="2" t="s">
        <v>104</v>
      </c>
      <c r="K212" s="2" t="s">
        <v>177</v>
      </c>
      <c r="N212" s="2" t="str">
        <f t="shared" si="3"/>
        <v>22043-23438</v>
      </c>
    </row>
    <row r="213" spans="1:14" x14ac:dyDescent="0.25">
      <c r="A213" s="2" t="s">
        <v>868</v>
      </c>
      <c r="B213" s="2" t="s">
        <v>1</v>
      </c>
      <c r="C213" s="2" t="s">
        <v>244</v>
      </c>
      <c r="D213" s="2" t="s">
        <v>869</v>
      </c>
      <c r="E213" s="2" t="s">
        <v>870</v>
      </c>
      <c r="F213" s="2">
        <v>5.7555554707844996</v>
      </c>
      <c r="G213" s="2">
        <v>18</v>
      </c>
      <c r="H213" s="2">
        <v>3000</v>
      </c>
      <c r="I213" s="2" t="s">
        <v>190</v>
      </c>
      <c r="J213" s="2" t="s">
        <v>191</v>
      </c>
      <c r="K213" s="2" t="s">
        <v>192</v>
      </c>
      <c r="N213" s="2" t="str">
        <f t="shared" si="3"/>
        <v>22043-39395</v>
      </c>
    </row>
    <row r="214" spans="1:14" x14ac:dyDescent="0.25">
      <c r="A214" s="2" t="s">
        <v>871</v>
      </c>
      <c r="B214" s="2" t="s">
        <v>130</v>
      </c>
      <c r="C214" s="2" t="s">
        <v>872</v>
      </c>
      <c r="D214" s="2" t="s">
        <v>873</v>
      </c>
      <c r="E214" s="2" t="s">
        <v>874</v>
      </c>
      <c r="F214" s="2">
        <v>5.7444445292154898</v>
      </c>
      <c r="G214" s="2">
        <v>18</v>
      </c>
      <c r="H214" s="2">
        <v>3400</v>
      </c>
      <c r="I214" s="2" t="s">
        <v>190</v>
      </c>
      <c r="J214" s="2" t="s">
        <v>192</v>
      </c>
      <c r="K214" s="2" t="s">
        <v>191</v>
      </c>
      <c r="N214" s="2" t="str">
        <f t="shared" si="3"/>
        <v>22043-8584</v>
      </c>
    </row>
    <row r="215" spans="1:14" x14ac:dyDescent="0.25">
      <c r="A215" s="2" t="s">
        <v>875</v>
      </c>
      <c r="B215" s="2" t="s">
        <v>131</v>
      </c>
      <c r="C215" s="2" t="s">
        <v>876</v>
      </c>
      <c r="D215" s="2" t="s">
        <v>877</v>
      </c>
      <c r="E215" s="2" t="s">
        <v>878</v>
      </c>
      <c r="F215" s="2">
        <v>5.72631595009251</v>
      </c>
      <c r="G215" s="2">
        <v>19</v>
      </c>
      <c r="H215" s="2">
        <v>3500</v>
      </c>
      <c r="I215" s="2" t="s">
        <v>159</v>
      </c>
      <c r="J215" s="2" t="s">
        <v>160</v>
      </c>
      <c r="K215" s="2" t="s">
        <v>161</v>
      </c>
      <c r="N215" s="2" t="str">
        <f t="shared" si="3"/>
        <v>22043-80399</v>
      </c>
    </row>
    <row r="216" spans="1:14" x14ac:dyDescent="0.25">
      <c r="A216" s="2" t="s">
        <v>879</v>
      </c>
      <c r="B216" s="2" t="s">
        <v>131</v>
      </c>
      <c r="C216" s="2" t="s">
        <v>43</v>
      </c>
      <c r="D216" s="2" t="s">
        <v>880</v>
      </c>
      <c r="E216" s="2" t="s">
        <v>881</v>
      </c>
      <c r="F216" s="2">
        <v>5.6999998092651296</v>
      </c>
      <c r="G216" s="2">
        <v>8</v>
      </c>
      <c r="H216" s="2">
        <v>3500</v>
      </c>
      <c r="I216" s="2" t="s">
        <v>152</v>
      </c>
      <c r="J216" s="2" t="s">
        <v>154</v>
      </c>
      <c r="K216" s="2" t="s">
        <v>153</v>
      </c>
      <c r="N216" s="2" t="str">
        <f t="shared" si="3"/>
        <v>22043-21732</v>
      </c>
    </row>
    <row r="217" spans="1:14" x14ac:dyDescent="0.25">
      <c r="A217" s="2" t="s">
        <v>882</v>
      </c>
      <c r="B217" s="2" t="s">
        <v>130</v>
      </c>
      <c r="C217" s="2" t="s">
        <v>30</v>
      </c>
      <c r="D217" s="2" t="s">
        <v>883</v>
      </c>
      <c r="E217" s="2" t="s">
        <v>884</v>
      </c>
      <c r="F217" s="2">
        <v>5.6631578144274197</v>
      </c>
      <c r="G217" s="2">
        <v>19</v>
      </c>
      <c r="H217" s="2">
        <v>3100</v>
      </c>
      <c r="I217" s="2" t="s">
        <v>152</v>
      </c>
      <c r="J217" s="2" t="s">
        <v>153</v>
      </c>
      <c r="K217" s="2" t="s">
        <v>154</v>
      </c>
      <c r="N217" s="2" t="str">
        <f t="shared" si="3"/>
        <v>22043-68646</v>
      </c>
    </row>
    <row r="218" spans="1:14" x14ac:dyDescent="0.25">
      <c r="A218" s="2" t="s">
        <v>885</v>
      </c>
      <c r="B218" s="2" t="s">
        <v>130</v>
      </c>
      <c r="C218" s="2" t="s">
        <v>123</v>
      </c>
      <c r="D218" s="2" t="s">
        <v>886</v>
      </c>
      <c r="E218" s="2" t="s">
        <v>887</v>
      </c>
      <c r="F218" s="2">
        <v>5.6421051025390598</v>
      </c>
      <c r="G218" s="2">
        <v>19</v>
      </c>
      <c r="H218" s="2">
        <v>3200</v>
      </c>
      <c r="I218" s="2" t="s">
        <v>176</v>
      </c>
      <c r="J218" s="2" t="s">
        <v>104</v>
      </c>
      <c r="K218" s="2" t="s">
        <v>177</v>
      </c>
      <c r="N218" s="2" t="str">
        <f t="shared" si="3"/>
        <v>22043-8580</v>
      </c>
    </row>
    <row r="219" spans="1:14" x14ac:dyDescent="0.25">
      <c r="A219" s="2" t="s">
        <v>888</v>
      </c>
      <c r="B219" s="2" t="s">
        <v>131</v>
      </c>
      <c r="C219" s="2" t="s">
        <v>86</v>
      </c>
      <c r="D219" s="2" t="s">
        <v>889</v>
      </c>
      <c r="E219" s="2" t="s">
        <v>890</v>
      </c>
      <c r="F219" s="2">
        <v>5.6159997558593702</v>
      </c>
      <c r="G219" s="2">
        <v>25</v>
      </c>
      <c r="H219" s="2">
        <v>3500</v>
      </c>
      <c r="I219" s="2" t="s">
        <v>159</v>
      </c>
      <c r="J219" s="2" t="s">
        <v>160</v>
      </c>
      <c r="K219" s="2" t="s">
        <v>161</v>
      </c>
      <c r="N219" s="2" t="str">
        <f t="shared" si="3"/>
        <v>22043-14184</v>
      </c>
    </row>
    <row r="220" spans="1:14" x14ac:dyDescent="0.25">
      <c r="A220" s="2" t="s">
        <v>891</v>
      </c>
      <c r="B220" s="2" t="s">
        <v>131</v>
      </c>
      <c r="C220" s="2" t="s">
        <v>53</v>
      </c>
      <c r="D220" s="2" t="s">
        <v>892</v>
      </c>
      <c r="E220" s="2" t="s">
        <v>68</v>
      </c>
      <c r="F220" s="2">
        <v>5.6000000803094103</v>
      </c>
      <c r="G220" s="2">
        <v>19</v>
      </c>
      <c r="H220" s="2">
        <v>3500</v>
      </c>
      <c r="I220" s="2" t="s">
        <v>166</v>
      </c>
      <c r="J220" s="2" t="s">
        <v>167</v>
      </c>
      <c r="K220" s="2" t="s">
        <v>74</v>
      </c>
      <c r="N220" s="2" t="str">
        <f t="shared" si="3"/>
        <v>22043-8956</v>
      </c>
    </row>
    <row r="221" spans="1:14" x14ac:dyDescent="0.25">
      <c r="A221" s="2" t="s">
        <v>893</v>
      </c>
      <c r="B221" s="2" t="s">
        <v>130</v>
      </c>
      <c r="C221" s="2" t="s">
        <v>894</v>
      </c>
      <c r="D221" s="2" t="s">
        <v>895</v>
      </c>
      <c r="E221" s="2" t="s">
        <v>114</v>
      </c>
      <c r="F221" s="2">
        <v>5.6</v>
      </c>
      <c r="G221" s="2">
        <v>5</v>
      </c>
      <c r="H221" s="2">
        <v>3000</v>
      </c>
      <c r="I221" s="2" t="s">
        <v>176</v>
      </c>
      <c r="J221" s="2" t="s">
        <v>104</v>
      </c>
      <c r="K221" s="2" t="s">
        <v>177</v>
      </c>
      <c r="N221" s="2" t="str">
        <f t="shared" si="3"/>
        <v>22043-53393</v>
      </c>
    </row>
    <row r="222" spans="1:14" x14ac:dyDescent="0.25">
      <c r="A222" s="2" t="s">
        <v>896</v>
      </c>
      <c r="B222" s="2" t="s">
        <v>1</v>
      </c>
      <c r="C222" s="2" t="s">
        <v>897</v>
      </c>
      <c r="D222" s="2" t="s">
        <v>898</v>
      </c>
      <c r="E222" s="2" t="s">
        <v>899</v>
      </c>
      <c r="F222" s="2">
        <v>5.5799997965494699</v>
      </c>
      <c r="G222" s="2">
        <v>15</v>
      </c>
      <c r="H222" s="2">
        <v>3300</v>
      </c>
      <c r="I222" s="2" t="s">
        <v>176</v>
      </c>
      <c r="J222" s="2" t="s">
        <v>177</v>
      </c>
      <c r="K222" s="2" t="s">
        <v>104</v>
      </c>
      <c r="N222" s="2" t="str">
        <f t="shared" si="3"/>
        <v>22043-65970</v>
      </c>
    </row>
    <row r="223" spans="1:14" x14ac:dyDescent="0.25">
      <c r="A223" s="2" t="s">
        <v>900</v>
      </c>
      <c r="B223" s="2" t="s">
        <v>131</v>
      </c>
      <c r="C223" s="2" t="s">
        <v>901</v>
      </c>
      <c r="D223" s="2" t="s">
        <v>902</v>
      </c>
      <c r="E223" s="2" t="s">
        <v>903</v>
      </c>
      <c r="F223" s="2">
        <v>5.5500001907348597</v>
      </c>
      <c r="G223" s="2">
        <v>16</v>
      </c>
      <c r="H223" s="2">
        <v>3600</v>
      </c>
      <c r="I223" s="2" t="s">
        <v>166</v>
      </c>
      <c r="J223" s="2" t="s">
        <v>167</v>
      </c>
      <c r="K223" s="2" t="s">
        <v>74</v>
      </c>
      <c r="N223" s="2" t="str">
        <f t="shared" si="3"/>
        <v>22043-9036</v>
      </c>
    </row>
    <row r="224" spans="1:14" x14ac:dyDescent="0.25">
      <c r="A224" s="2" t="s">
        <v>904</v>
      </c>
      <c r="B224" s="2" t="s">
        <v>131</v>
      </c>
      <c r="C224" s="2" t="s">
        <v>149</v>
      </c>
      <c r="D224" s="2" t="s">
        <v>905</v>
      </c>
      <c r="E224" s="2" t="s">
        <v>906</v>
      </c>
      <c r="F224" s="2">
        <v>5.5428570338657899</v>
      </c>
      <c r="G224" s="2">
        <v>14</v>
      </c>
      <c r="H224" s="2">
        <v>3500</v>
      </c>
      <c r="I224" s="2" t="s">
        <v>159</v>
      </c>
      <c r="J224" s="2" t="s">
        <v>160</v>
      </c>
      <c r="K224" s="2" t="s">
        <v>161</v>
      </c>
      <c r="N224" s="2" t="str">
        <f t="shared" si="3"/>
        <v>22043-42844</v>
      </c>
    </row>
    <row r="225" spans="1:14" x14ac:dyDescent="0.25">
      <c r="A225" s="2" t="s">
        <v>907</v>
      </c>
      <c r="B225" s="2" t="s">
        <v>130</v>
      </c>
      <c r="C225" s="2" t="s">
        <v>115</v>
      </c>
      <c r="D225" s="2" t="s">
        <v>908</v>
      </c>
      <c r="E225" s="2" t="s">
        <v>909</v>
      </c>
      <c r="F225" s="2">
        <v>5.51000010172526</v>
      </c>
      <c r="G225" s="2">
        <v>30</v>
      </c>
      <c r="H225" s="2">
        <v>3000</v>
      </c>
      <c r="I225" s="2" t="s">
        <v>145</v>
      </c>
      <c r="J225" s="2" t="s">
        <v>147</v>
      </c>
      <c r="K225" s="2" t="s">
        <v>146</v>
      </c>
      <c r="N225" s="2" t="str">
        <f t="shared" si="3"/>
        <v>22043-62445</v>
      </c>
    </row>
    <row r="226" spans="1:14" x14ac:dyDescent="0.25">
      <c r="A226" s="2" t="s">
        <v>910</v>
      </c>
      <c r="B226" s="2" t="s">
        <v>131</v>
      </c>
      <c r="C226" s="2" t="s">
        <v>911</v>
      </c>
      <c r="D226" s="2" t="s">
        <v>912</v>
      </c>
      <c r="E226" s="2" t="s">
        <v>913</v>
      </c>
      <c r="F226" s="2">
        <v>5.4538462712214502</v>
      </c>
      <c r="G226" s="2">
        <v>13</v>
      </c>
      <c r="H226" s="2">
        <v>3700</v>
      </c>
      <c r="I226" s="2" t="s">
        <v>145</v>
      </c>
      <c r="J226" s="2" t="s">
        <v>147</v>
      </c>
      <c r="K226" s="2" t="s">
        <v>146</v>
      </c>
      <c r="N226" s="2" t="str">
        <f t="shared" si="3"/>
        <v>22043-15302</v>
      </c>
    </row>
    <row r="227" spans="1:14" x14ac:dyDescent="0.25">
      <c r="A227" s="2" t="s">
        <v>914</v>
      </c>
      <c r="B227" s="2" t="s">
        <v>130</v>
      </c>
      <c r="C227" s="2" t="s">
        <v>92</v>
      </c>
      <c r="D227" s="2" t="s">
        <v>915</v>
      </c>
      <c r="E227" s="2" t="s">
        <v>111</v>
      </c>
      <c r="F227" s="2">
        <v>5.4117647058823497</v>
      </c>
      <c r="G227" s="2">
        <v>17</v>
      </c>
      <c r="H227" s="2">
        <v>3300</v>
      </c>
      <c r="I227" s="2" t="s">
        <v>159</v>
      </c>
      <c r="J227" s="2" t="s">
        <v>161</v>
      </c>
      <c r="K227" s="2" t="s">
        <v>160</v>
      </c>
      <c r="N227" s="2" t="str">
        <f t="shared" si="3"/>
        <v>22043-15307</v>
      </c>
    </row>
    <row r="228" spans="1:14" x14ac:dyDescent="0.25">
      <c r="A228" s="2" t="s">
        <v>916</v>
      </c>
      <c r="B228" s="2" t="s">
        <v>131</v>
      </c>
      <c r="C228" s="2" t="s">
        <v>917</v>
      </c>
      <c r="D228" s="2" t="s">
        <v>918</v>
      </c>
      <c r="E228" s="2" t="s">
        <v>919</v>
      </c>
      <c r="F228" s="2">
        <v>5.4000002543131496</v>
      </c>
      <c r="G228" s="2">
        <v>12</v>
      </c>
      <c r="H228" s="2">
        <v>3500</v>
      </c>
      <c r="I228" s="2" t="s">
        <v>145</v>
      </c>
      <c r="J228" s="2" t="s">
        <v>146</v>
      </c>
      <c r="K228" s="2" t="s">
        <v>147</v>
      </c>
      <c r="N228" s="2" t="str">
        <f t="shared" si="3"/>
        <v>22043-9230</v>
      </c>
    </row>
    <row r="229" spans="1:14" x14ac:dyDescent="0.25">
      <c r="A229" s="2" t="s">
        <v>920</v>
      </c>
      <c r="B229" s="2" t="s">
        <v>132</v>
      </c>
      <c r="C229" s="2" t="s">
        <v>921</v>
      </c>
      <c r="D229" s="2" t="s">
        <v>922</v>
      </c>
      <c r="E229" s="2" t="s">
        <v>923</v>
      </c>
      <c r="F229" s="2">
        <v>5.4000000953674299</v>
      </c>
      <c r="G229" s="2">
        <v>8</v>
      </c>
      <c r="H229" s="2">
        <v>7600</v>
      </c>
      <c r="I229" s="2" t="s">
        <v>166</v>
      </c>
      <c r="J229" s="2" t="s">
        <v>74</v>
      </c>
      <c r="K229" s="2" t="s">
        <v>167</v>
      </c>
      <c r="N229" s="2" t="str">
        <f t="shared" si="3"/>
        <v>22043-12697</v>
      </c>
    </row>
    <row r="230" spans="1:14" x14ac:dyDescent="0.25">
      <c r="A230" s="2" t="s">
        <v>924</v>
      </c>
      <c r="B230" s="2" t="s">
        <v>131</v>
      </c>
      <c r="C230" s="2" t="s">
        <v>71</v>
      </c>
      <c r="D230" s="2" t="s">
        <v>925</v>
      </c>
      <c r="E230" s="2" t="s">
        <v>926</v>
      </c>
      <c r="F230" s="2">
        <v>5.4000000953674299</v>
      </c>
      <c r="G230" s="2">
        <v>8</v>
      </c>
      <c r="H230" s="2">
        <v>3500</v>
      </c>
      <c r="I230" s="2" t="s">
        <v>145</v>
      </c>
      <c r="J230" s="2" t="s">
        <v>147</v>
      </c>
      <c r="K230" s="2" t="s">
        <v>146</v>
      </c>
      <c r="N230" s="2" t="str">
        <f t="shared" si="3"/>
        <v>22043-8895</v>
      </c>
    </row>
    <row r="231" spans="1:14" x14ac:dyDescent="0.25">
      <c r="A231" s="2" t="s">
        <v>927</v>
      </c>
      <c r="B231" s="2" t="s">
        <v>130</v>
      </c>
      <c r="C231" s="2" t="s">
        <v>44</v>
      </c>
      <c r="D231" s="2" t="s">
        <v>928</v>
      </c>
      <c r="E231" s="2" t="s">
        <v>929</v>
      </c>
      <c r="F231" s="2">
        <v>5.4000000953674299</v>
      </c>
      <c r="G231" s="2">
        <v>4</v>
      </c>
      <c r="H231" s="2">
        <v>3000</v>
      </c>
      <c r="I231" s="2" t="s">
        <v>190</v>
      </c>
      <c r="J231" s="2" t="s">
        <v>191</v>
      </c>
      <c r="K231" s="2" t="s">
        <v>192</v>
      </c>
      <c r="N231" s="2" t="str">
        <f t="shared" si="3"/>
        <v>22043-70116</v>
      </c>
    </row>
    <row r="232" spans="1:14" x14ac:dyDescent="0.25">
      <c r="A232" s="2" t="s">
        <v>930</v>
      </c>
      <c r="B232" s="2" t="s">
        <v>131</v>
      </c>
      <c r="C232" s="2" t="s">
        <v>65</v>
      </c>
      <c r="D232" s="2" t="s">
        <v>931</v>
      </c>
      <c r="E232" s="2" t="s">
        <v>932</v>
      </c>
      <c r="F232" s="2">
        <v>5.3266667683919202</v>
      </c>
      <c r="G232" s="2">
        <v>15</v>
      </c>
      <c r="H232" s="2">
        <v>3500</v>
      </c>
      <c r="I232" s="2" t="s">
        <v>176</v>
      </c>
      <c r="J232" s="2" t="s">
        <v>104</v>
      </c>
      <c r="K232" s="2" t="s">
        <v>177</v>
      </c>
      <c r="N232" s="2" t="str">
        <f t="shared" si="3"/>
        <v>22043-66656</v>
      </c>
    </row>
    <row r="233" spans="1:14" x14ac:dyDescent="0.25">
      <c r="A233" s="2" t="s">
        <v>933</v>
      </c>
      <c r="B233" s="2" t="s">
        <v>131</v>
      </c>
      <c r="C233" s="2" t="s">
        <v>100</v>
      </c>
      <c r="D233" s="2" t="s">
        <v>934</v>
      </c>
      <c r="E233" s="2" t="s">
        <v>935</v>
      </c>
      <c r="F233" s="2">
        <v>5.2750000953674299</v>
      </c>
      <c r="G233" s="2">
        <v>16</v>
      </c>
      <c r="H233" s="2">
        <v>3500</v>
      </c>
      <c r="I233" s="2" t="s">
        <v>166</v>
      </c>
      <c r="J233" s="2" t="s">
        <v>74</v>
      </c>
      <c r="K233" s="2" t="s">
        <v>167</v>
      </c>
      <c r="N233" s="2" t="str">
        <f t="shared" si="3"/>
        <v>22043-8923</v>
      </c>
    </row>
    <row r="234" spans="1:14" x14ac:dyDescent="0.25">
      <c r="A234" s="2" t="s">
        <v>936</v>
      </c>
      <c r="B234" s="2" t="s">
        <v>131</v>
      </c>
      <c r="C234" s="2" t="s">
        <v>100</v>
      </c>
      <c r="D234" s="2" t="s">
        <v>937</v>
      </c>
      <c r="E234" s="2" t="s">
        <v>938</v>
      </c>
      <c r="F234" s="2">
        <v>5.2571427481514998</v>
      </c>
      <c r="G234" s="2">
        <v>7</v>
      </c>
      <c r="H234" s="2">
        <v>3500</v>
      </c>
      <c r="I234" s="2" t="s">
        <v>145</v>
      </c>
      <c r="J234" s="2" t="s">
        <v>147</v>
      </c>
      <c r="K234" s="2" t="s">
        <v>146</v>
      </c>
      <c r="L234" s="2" t="s">
        <v>250</v>
      </c>
      <c r="M234" s="2" t="s">
        <v>93</v>
      </c>
      <c r="N234" s="2" t="str">
        <f t="shared" si="3"/>
        <v>22043-13629</v>
      </c>
    </row>
    <row r="235" spans="1:14" x14ac:dyDescent="0.25">
      <c r="A235" s="2" t="s">
        <v>939</v>
      </c>
      <c r="B235" s="2" t="s">
        <v>1</v>
      </c>
      <c r="C235" s="2" t="s">
        <v>406</v>
      </c>
      <c r="D235" s="2" t="s">
        <v>940</v>
      </c>
      <c r="E235" s="2" t="s">
        <v>941</v>
      </c>
      <c r="F235" s="2">
        <v>5.2444445292154898</v>
      </c>
      <c r="G235" s="2">
        <v>9</v>
      </c>
      <c r="H235" s="2">
        <v>3300</v>
      </c>
      <c r="I235" s="2" t="s">
        <v>176</v>
      </c>
      <c r="J235" s="2" t="s">
        <v>177</v>
      </c>
      <c r="K235" s="2" t="s">
        <v>104</v>
      </c>
      <c r="N235" s="2" t="str">
        <f t="shared" si="3"/>
        <v>22043-8517</v>
      </c>
    </row>
    <row r="236" spans="1:14" x14ac:dyDescent="0.25">
      <c r="A236" s="2" t="s">
        <v>942</v>
      </c>
      <c r="B236" s="2" t="s">
        <v>131</v>
      </c>
      <c r="C236" s="2" t="s">
        <v>468</v>
      </c>
      <c r="D236" s="2" t="s">
        <v>943</v>
      </c>
      <c r="E236" s="2" t="s">
        <v>944</v>
      </c>
      <c r="F236" s="2">
        <v>5.0909090909090899</v>
      </c>
      <c r="G236" s="2">
        <v>11</v>
      </c>
      <c r="H236" s="2">
        <v>3500</v>
      </c>
      <c r="I236" s="2" t="s">
        <v>190</v>
      </c>
      <c r="J236" s="2" t="s">
        <v>191</v>
      </c>
      <c r="K236" s="2" t="s">
        <v>192</v>
      </c>
      <c r="N236" s="2" t="str">
        <f t="shared" si="3"/>
        <v>22043-38289</v>
      </c>
    </row>
    <row r="237" spans="1:14" x14ac:dyDescent="0.25">
      <c r="A237" s="2" t="s">
        <v>945</v>
      </c>
      <c r="B237" s="2" t="s">
        <v>131</v>
      </c>
      <c r="C237" s="2" t="s">
        <v>946</v>
      </c>
      <c r="D237" s="2" t="s">
        <v>947</v>
      </c>
      <c r="E237" s="2" t="s">
        <v>948</v>
      </c>
      <c r="F237" s="2">
        <v>5.0769230769230704</v>
      </c>
      <c r="G237" s="2">
        <v>13</v>
      </c>
      <c r="H237" s="2">
        <v>3500</v>
      </c>
      <c r="I237" s="2" t="s">
        <v>176</v>
      </c>
      <c r="J237" s="2" t="s">
        <v>177</v>
      </c>
      <c r="K237" s="2" t="s">
        <v>104</v>
      </c>
      <c r="L237" s="2" t="s">
        <v>250</v>
      </c>
      <c r="M237" s="2" t="s">
        <v>949</v>
      </c>
      <c r="N237" s="2" t="str">
        <f t="shared" si="3"/>
        <v>22043-43167</v>
      </c>
    </row>
    <row r="238" spans="1:14" x14ac:dyDescent="0.25">
      <c r="A238" s="2" t="s">
        <v>950</v>
      </c>
      <c r="B238" s="2" t="s">
        <v>131</v>
      </c>
      <c r="C238" s="2" t="s">
        <v>951</v>
      </c>
      <c r="D238" s="2" t="s">
        <v>952</v>
      </c>
      <c r="E238" s="2" t="s">
        <v>953</v>
      </c>
      <c r="F238" s="2">
        <v>4.9777776930067201</v>
      </c>
      <c r="G238" s="2">
        <v>18</v>
      </c>
      <c r="H238" s="2">
        <v>3500</v>
      </c>
      <c r="I238" s="2" t="s">
        <v>152</v>
      </c>
      <c r="J238" s="2" t="s">
        <v>153</v>
      </c>
      <c r="K238" s="2" t="s">
        <v>154</v>
      </c>
      <c r="N238" s="2" t="str">
        <f t="shared" si="3"/>
        <v>22043-15318</v>
      </c>
    </row>
    <row r="239" spans="1:14" x14ac:dyDescent="0.25">
      <c r="A239" s="2" t="s">
        <v>954</v>
      </c>
      <c r="B239" s="2" t="s">
        <v>130</v>
      </c>
      <c r="C239" s="2" t="s">
        <v>64</v>
      </c>
      <c r="D239" s="2" t="s">
        <v>955</v>
      </c>
      <c r="E239" s="2" t="s">
        <v>956</v>
      </c>
      <c r="F239" s="2">
        <v>4.9777776930067201</v>
      </c>
      <c r="G239" s="2">
        <v>18</v>
      </c>
      <c r="H239" s="2">
        <v>3200</v>
      </c>
      <c r="I239" s="2" t="s">
        <v>159</v>
      </c>
      <c r="J239" s="2" t="s">
        <v>161</v>
      </c>
      <c r="K239" s="2" t="s">
        <v>160</v>
      </c>
      <c r="N239" s="2" t="str">
        <f t="shared" si="3"/>
        <v>22043-80391</v>
      </c>
    </row>
    <row r="240" spans="1:14" x14ac:dyDescent="0.25">
      <c r="A240" s="2" t="s">
        <v>957</v>
      </c>
      <c r="B240" s="2" t="s">
        <v>131</v>
      </c>
      <c r="C240" s="2" t="s">
        <v>124</v>
      </c>
      <c r="D240" s="2" t="s">
        <v>958</v>
      </c>
      <c r="E240" s="2" t="s">
        <v>959</v>
      </c>
      <c r="F240" s="2">
        <v>4.9599998474121003</v>
      </c>
      <c r="G240" s="2">
        <v>20</v>
      </c>
      <c r="H240" s="2">
        <v>3700</v>
      </c>
      <c r="I240" s="2" t="s">
        <v>145</v>
      </c>
      <c r="J240" s="2" t="s">
        <v>147</v>
      </c>
      <c r="K240" s="2" t="s">
        <v>146</v>
      </c>
      <c r="N240" s="2" t="str">
        <f t="shared" si="3"/>
        <v>22043-54481</v>
      </c>
    </row>
    <row r="241" spans="1:14" x14ac:dyDescent="0.25">
      <c r="A241" s="2" t="s">
        <v>960</v>
      </c>
      <c r="B241" s="2" t="s">
        <v>130</v>
      </c>
      <c r="C241" s="2" t="s">
        <v>99</v>
      </c>
      <c r="D241" s="2" t="s">
        <v>961</v>
      </c>
      <c r="E241" s="2" t="s">
        <v>962</v>
      </c>
      <c r="F241" s="2">
        <v>4.9473684210526301</v>
      </c>
      <c r="G241" s="2">
        <v>19</v>
      </c>
      <c r="H241" s="2">
        <v>3300</v>
      </c>
      <c r="I241" s="2" t="s">
        <v>152</v>
      </c>
      <c r="J241" s="2" t="s">
        <v>153</v>
      </c>
      <c r="K241" s="2" t="s">
        <v>154</v>
      </c>
      <c r="N241" s="2" t="str">
        <f t="shared" si="3"/>
        <v>22043-62157</v>
      </c>
    </row>
    <row r="242" spans="1:14" x14ac:dyDescent="0.25">
      <c r="A242" s="2" t="s">
        <v>963</v>
      </c>
      <c r="B242" s="2" t="s">
        <v>130</v>
      </c>
      <c r="C242" s="2" t="s">
        <v>964</v>
      </c>
      <c r="D242" s="2" t="s">
        <v>965</v>
      </c>
      <c r="E242" s="2" t="s">
        <v>966</v>
      </c>
      <c r="F242" s="2">
        <v>4.9142859322684096</v>
      </c>
      <c r="G242" s="2">
        <v>7</v>
      </c>
      <c r="H242" s="2">
        <v>3200</v>
      </c>
      <c r="I242" s="2" t="s">
        <v>190</v>
      </c>
      <c r="J242" s="2" t="s">
        <v>191</v>
      </c>
      <c r="K242" s="2" t="s">
        <v>192</v>
      </c>
      <c r="N242" s="2" t="str">
        <f t="shared" si="3"/>
        <v>22043-68651</v>
      </c>
    </row>
    <row r="243" spans="1:14" x14ac:dyDescent="0.25">
      <c r="A243" s="2" t="s">
        <v>967</v>
      </c>
      <c r="B243" s="2" t="s">
        <v>131</v>
      </c>
      <c r="C243" s="2" t="s">
        <v>968</v>
      </c>
      <c r="D243" s="2" t="s">
        <v>969</v>
      </c>
      <c r="E243" s="2" t="s">
        <v>970</v>
      </c>
      <c r="F243" s="2">
        <v>4.8000000847710496</v>
      </c>
      <c r="G243" s="2">
        <v>18</v>
      </c>
      <c r="H243" s="2">
        <v>3500</v>
      </c>
      <c r="I243" s="2" t="s">
        <v>152</v>
      </c>
      <c r="J243" s="2" t="s">
        <v>154</v>
      </c>
      <c r="K243" s="2" t="s">
        <v>153</v>
      </c>
      <c r="N243" s="2" t="str">
        <f t="shared" si="3"/>
        <v>22043-14481</v>
      </c>
    </row>
    <row r="244" spans="1:14" x14ac:dyDescent="0.25">
      <c r="A244" s="2" t="s">
        <v>971</v>
      </c>
      <c r="B244" s="2" t="s">
        <v>131</v>
      </c>
      <c r="C244" s="2" t="s">
        <v>226</v>
      </c>
      <c r="D244" s="2" t="s">
        <v>972</v>
      </c>
      <c r="E244" s="2" t="s">
        <v>973</v>
      </c>
      <c r="F244" s="2">
        <v>4.8</v>
      </c>
      <c r="G244" s="2">
        <v>5</v>
      </c>
      <c r="H244" s="2">
        <v>3500</v>
      </c>
      <c r="I244" s="2" t="s">
        <v>159</v>
      </c>
      <c r="J244" s="2" t="s">
        <v>160</v>
      </c>
      <c r="K244" s="2" t="s">
        <v>161</v>
      </c>
      <c r="N244" s="2" t="str">
        <f t="shared" si="3"/>
        <v>22043-8650</v>
      </c>
    </row>
    <row r="245" spans="1:14" x14ac:dyDescent="0.25">
      <c r="A245" s="2" t="s">
        <v>974</v>
      </c>
      <c r="B245" s="2" t="s">
        <v>130</v>
      </c>
      <c r="C245" s="2" t="s">
        <v>79</v>
      </c>
      <c r="D245" s="2" t="s">
        <v>975</v>
      </c>
      <c r="E245" s="2" t="s">
        <v>976</v>
      </c>
      <c r="F245" s="2">
        <v>4.8</v>
      </c>
      <c r="G245" s="2">
        <v>5</v>
      </c>
      <c r="H245" s="2">
        <v>3000</v>
      </c>
      <c r="I245" s="2" t="s">
        <v>159</v>
      </c>
      <c r="J245" s="2" t="s">
        <v>160</v>
      </c>
      <c r="K245" s="2" t="s">
        <v>161</v>
      </c>
      <c r="N245" s="2" t="str">
        <f t="shared" si="3"/>
        <v>22043-15255</v>
      </c>
    </row>
    <row r="246" spans="1:14" x14ac:dyDescent="0.25">
      <c r="A246" s="2" t="s">
        <v>977</v>
      </c>
      <c r="B246" s="2" t="s">
        <v>131</v>
      </c>
      <c r="C246" s="2" t="s">
        <v>80</v>
      </c>
      <c r="D246" s="2" t="s">
        <v>978</v>
      </c>
      <c r="E246" s="2" t="s">
        <v>979</v>
      </c>
      <c r="F246" s="2">
        <v>4.7999998728434203</v>
      </c>
      <c r="G246" s="2">
        <v>3</v>
      </c>
      <c r="H246" s="2">
        <v>3500</v>
      </c>
      <c r="I246" s="2" t="s">
        <v>145</v>
      </c>
      <c r="J246" s="2" t="s">
        <v>147</v>
      </c>
      <c r="K246" s="2" t="s">
        <v>146</v>
      </c>
      <c r="N246" s="2" t="str">
        <f t="shared" si="3"/>
        <v>22043-14159</v>
      </c>
    </row>
    <row r="247" spans="1:14" x14ac:dyDescent="0.25">
      <c r="A247" s="2" t="s">
        <v>980</v>
      </c>
      <c r="B247" s="2" t="s">
        <v>130</v>
      </c>
      <c r="C247" s="2" t="s">
        <v>57</v>
      </c>
      <c r="D247" s="2" t="s">
        <v>981</v>
      </c>
      <c r="E247" s="2" t="s">
        <v>86</v>
      </c>
      <c r="F247" s="2">
        <v>4.7599998474121001</v>
      </c>
      <c r="G247" s="2">
        <v>20</v>
      </c>
      <c r="H247" s="2">
        <v>3000</v>
      </c>
      <c r="I247" s="2" t="s">
        <v>159</v>
      </c>
      <c r="J247" s="2" t="s">
        <v>160</v>
      </c>
      <c r="K247" s="2" t="s">
        <v>161</v>
      </c>
      <c r="N247" s="2" t="str">
        <f t="shared" si="3"/>
        <v>22043-9196</v>
      </c>
    </row>
    <row r="248" spans="1:14" x14ac:dyDescent="0.25">
      <c r="A248" s="2" t="s">
        <v>982</v>
      </c>
      <c r="B248" s="2" t="s">
        <v>131</v>
      </c>
      <c r="C248" s="2" t="s">
        <v>59</v>
      </c>
      <c r="D248" s="2" t="s">
        <v>983</v>
      </c>
      <c r="E248" s="2" t="s">
        <v>984</v>
      </c>
      <c r="F248" s="2">
        <v>4.6857141767229296</v>
      </c>
      <c r="G248" s="2">
        <v>14</v>
      </c>
      <c r="H248" s="2">
        <v>3500</v>
      </c>
      <c r="I248" s="2" t="s">
        <v>176</v>
      </c>
      <c r="J248" s="2" t="s">
        <v>104</v>
      </c>
      <c r="K248" s="2" t="s">
        <v>177</v>
      </c>
      <c r="N248" s="2" t="str">
        <f t="shared" si="3"/>
        <v>22043-8287</v>
      </c>
    </row>
    <row r="249" spans="1:14" x14ac:dyDescent="0.25">
      <c r="A249" s="2" t="s">
        <v>985</v>
      </c>
      <c r="B249" s="2" t="s">
        <v>130</v>
      </c>
      <c r="C249" s="2" t="s">
        <v>52</v>
      </c>
      <c r="D249" s="2" t="s">
        <v>986</v>
      </c>
      <c r="E249" s="2" t="s">
        <v>987</v>
      </c>
      <c r="F249" s="2">
        <v>4.6736843711451401</v>
      </c>
      <c r="G249" s="2">
        <v>19</v>
      </c>
      <c r="H249" s="2">
        <v>3000</v>
      </c>
      <c r="I249" s="2" t="s">
        <v>190</v>
      </c>
      <c r="J249" s="2" t="s">
        <v>192</v>
      </c>
      <c r="K249" s="2" t="s">
        <v>191</v>
      </c>
      <c r="N249" s="2" t="str">
        <f t="shared" si="3"/>
        <v>22043-70552</v>
      </c>
    </row>
    <row r="250" spans="1:14" x14ac:dyDescent="0.25">
      <c r="A250" s="2" t="s">
        <v>988</v>
      </c>
      <c r="B250" s="2" t="s">
        <v>1</v>
      </c>
      <c r="C250" s="2" t="s">
        <v>989</v>
      </c>
      <c r="D250" s="2" t="s">
        <v>990</v>
      </c>
      <c r="E250" s="2" t="s">
        <v>203</v>
      </c>
      <c r="F250" s="2">
        <v>4.6400001525878896</v>
      </c>
      <c r="G250" s="2">
        <v>10</v>
      </c>
      <c r="H250" s="2">
        <v>3100</v>
      </c>
      <c r="I250" s="2" t="s">
        <v>152</v>
      </c>
      <c r="J250" s="2" t="s">
        <v>154</v>
      </c>
      <c r="K250" s="2" t="s">
        <v>153</v>
      </c>
      <c r="N250" s="2" t="str">
        <f t="shared" si="3"/>
        <v>22043-59209</v>
      </c>
    </row>
    <row r="251" spans="1:14" x14ac:dyDescent="0.25">
      <c r="A251" s="2" t="s">
        <v>991</v>
      </c>
      <c r="B251" s="2" t="s">
        <v>131</v>
      </c>
      <c r="C251" s="2" t="s">
        <v>992</v>
      </c>
      <c r="D251" s="2" t="s">
        <v>993</v>
      </c>
      <c r="E251" s="2" t="s">
        <v>994</v>
      </c>
      <c r="F251" s="2">
        <v>4.5999999046325604</v>
      </c>
      <c r="G251" s="2">
        <v>8</v>
      </c>
      <c r="H251" s="2">
        <v>3500</v>
      </c>
      <c r="I251" s="2" t="s">
        <v>145</v>
      </c>
      <c r="J251" s="2" t="s">
        <v>146</v>
      </c>
      <c r="K251" s="2" t="s">
        <v>147</v>
      </c>
      <c r="N251" s="2" t="str">
        <f t="shared" si="3"/>
        <v>22043-70225</v>
      </c>
    </row>
    <row r="252" spans="1:14" x14ac:dyDescent="0.25">
      <c r="A252" s="2" t="s">
        <v>995</v>
      </c>
      <c r="B252" s="2" t="s">
        <v>130</v>
      </c>
      <c r="C252" s="2" t="s">
        <v>117</v>
      </c>
      <c r="D252" s="2" t="s">
        <v>996</v>
      </c>
      <c r="E252" s="2" t="s">
        <v>997</v>
      </c>
      <c r="F252" s="2">
        <v>4.5894735235916899</v>
      </c>
      <c r="G252" s="2">
        <v>19</v>
      </c>
      <c r="H252" s="2">
        <v>3300</v>
      </c>
      <c r="I252" s="2" t="s">
        <v>152</v>
      </c>
      <c r="J252" s="2" t="s">
        <v>154</v>
      </c>
      <c r="K252" s="2" t="s">
        <v>153</v>
      </c>
      <c r="L252" s="2" t="s">
        <v>19</v>
      </c>
      <c r="M252" s="2" t="s">
        <v>998</v>
      </c>
      <c r="N252" s="2" t="str">
        <f t="shared" si="3"/>
        <v>22043-14151</v>
      </c>
    </row>
    <row r="253" spans="1:14" x14ac:dyDescent="0.25">
      <c r="A253" s="2" t="s">
        <v>999</v>
      </c>
      <c r="B253" s="2" t="s">
        <v>130</v>
      </c>
      <c r="C253" s="2" t="s">
        <v>1000</v>
      </c>
      <c r="D253" s="2" t="s">
        <v>1001</v>
      </c>
      <c r="E253" s="2" t="s">
        <v>1002</v>
      </c>
      <c r="F253" s="2">
        <v>4.5647057925953503</v>
      </c>
      <c r="G253" s="2">
        <v>17</v>
      </c>
      <c r="H253" s="2">
        <v>3300</v>
      </c>
      <c r="I253" s="2" t="s">
        <v>145</v>
      </c>
      <c r="J253" s="2" t="s">
        <v>147</v>
      </c>
      <c r="K253" s="2" t="s">
        <v>146</v>
      </c>
      <c r="N253" s="2" t="str">
        <f t="shared" si="3"/>
        <v>22043-23222</v>
      </c>
    </row>
    <row r="254" spans="1:14" x14ac:dyDescent="0.25">
      <c r="A254" s="2" t="s">
        <v>1003</v>
      </c>
      <c r="B254" s="2" t="s">
        <v>1</v>
      </c>
      <c r="C254" s="2" t="s">
        <v>57</v>
      </c>
      <c r="D254" s="2" t="s">
        <v>1004</v>
      </c>
      <c r="E254" s="2" t="s">
        <v>1005</v>
      </c>
      <c r="F254" s="2">
        <v>4.5315788670590003</v>
      </c>
      <c r="G254" s="2">
        <v>19</v>
      </c>
      <c r="H254" s="2">
        <v>3300</v>
      </c>
      <c r="I254" s="2" t="s">
        <v>176</v>
      </c>
      <c r="J254" s="2" t="s">
        <v>104</v>
      </c>
      <c r="K254" s="2" t="s">
        <v>177</v>
      </c>
      <c r="N254" s="2" t="str">
        <f t="shared" si="3"/>
        <v>22043-8236</v>
      </c>
    </row>
    <row r="255" spans="1:14" x14ac:dyDescent="0.25">
      <c r="A255" s="2" t="s">
        <v>1006</v>
      </c>
      <c r="B255" s="2" t="s">
        <v>131</v>
      </c>
      <c r="C255" s="2" t="s">
        <v>56</v>
      </c>
      <c r="D255" s="2" t="s">
        <v>1007</v>
      </c>
      <c r="E255" s="2" t="s">
        <v>1008</v>
      </c>
      <c r="F255" s="2">
        <v>4.50909100156841</v>
      </c>
      <c r="G255" s="2">
        <v>33</v>
      </c>
      <c r="H255" s="2">
        <v>3500</v>
      </c>
      <c r="I255" s="2" t="s">
        <v>145</v>
      </c>
      <c r="J255" s="2" t="s">
        <v>147</v>
      </c>
      <c r="K255" s="2" t="s">
        <v>146</v>
      </c>
      <c r="N255" s="2" t="str">
        <f t="shared" si="3"/>
        <v>22043-12121</v>
      </c>
    </row>
    <row r="256" spans="1:14" x14ac:dyDescent="0.25">
      <c r="A256" s="2" t="s">
        <v>1009</v>
      </c>
      <c r="B256" s="2" t="s">
        <v>131</v>
      </c>
      <c r="C256" s="2" t="s">
        <v>506</v>
      </c>
      <c r="D256" s="2" t="s">
        <v>1010</v>
      </c>
      <c r="E256" s="2" t="s">
        <v>1011</v>
      </c>
      <c r="F256" s="2">
        <v>4.5</v>
      </c>
      <c r="G256" s="2">
        <v>16</v>
      </c>
      <c r="H256" s="2">
        <v>3500</v>
      </c>
      <c r="I256" s="2" t="s">
        <v>166</v>
      </c>
      <c r="J256" s="2" t="s">
        <v>74</v>
      </c>
      <c r="K256" s="2" t="s">
        <v>167</v>
      </c>
      <c r="L256" s="2" t="s">
        <v>193</v>
      </c>
      <c r="M256" s="2" t="s">
        <v>404</v>
      </c>
      <c r="N256" s="2" t="str">
        <f t="shared" si="3"/>
        <v>22043-54744</v>
      </c>
    </row>
    <row r="257" spans="1:14" x14ac:dyDescent="0.25">
      <c r="A257" s="2" t="s">
        <v>1012</v>
      </c>
      <c r="B257" s="2" t="s">
        <v>131</v>
      </c>
      <c r="C257" s="2" t="s">
        <v>95</v>
      </c>
      <c r="D257" s="2" t="s">
        <v>1013</v>
      </c>
      <c r="E257" s="2" t="s">
        <v>1014</v>
      </c>
      <c r="F257" s="2">
        <v>4.4363635670055004</v>
      </c>
      <c r="G257" s="2">
        <v>22</v>
      </c>
      <c r="H257" s="2">
        <v>3500</v>
      </c>
      <c r="I257" s="2" t="s">
        <v>159</v>
      </c>
      <c r="J257" s="2" t="s">
        <v>161</v>
      </c>
      <c r="K257" s="2" t="s">
        <v>160</v>
      </c>
      <c r="N257" s="2" t="str">
        <f t="shared" si="3"/>
        <v>22043-8688</v>
      </c>
    </row>
    <row r="258" spans="1:14" x14ac:dyDescent="0.25">
      <c r="A258" s="2" t="s">
        <v>1015</v>
      </c>
      <c r="B258" s="2" t="s">
        <v>130</v>
      </c>
      <c r="C258" s="2" t="s">
        <v>585</v>
      </c>
      <c r="D258" s="2" t="s">
        <v>1016</v>
      </c>
      <c r="E258" s="2" t="s">
        <v>432</v>
      </c>
      <c r="F258" s="2">
        <v>4.4000000953674299</v>
      </c>
      <c r="G258" s="2">
        <v>4</v>
      </c>
      <c r="H258" s="2">
        <v>3000</v>
      </c>
      <c r="I258" s="2" t="s">
        <v>145</v>
      </c>
      <c r="J258" s="2" t="s">
        <v>147</v>
      </c>
      <c r="K258" s="2" t="s">
        <v>146</v>
      </c>
      <c r="N258" s="2" t="str">
        <f t="shared" si="3"/>
        <v>22043-70906</v>
      </c>
    </row>
    <row r="259" spans="1:14" x14ac:dyDescent="0.25">
      <c r="A259" s="2" t="s">
        <v>1017</v>
      </c>
      <c r="B259" s="2" t="s">
        <v>131</v>
      </c>
      <c r="C259" s="2" t="s">
        <v>44</v>
      </c>
      <c r="D259" s="2" t="s">
        <v>1018</v>
      </c>
      <c r="E259" s="2" t="s">
        <v>1019</v>
      </c>
      <c r="F259" s="2">
        <v>4.3999998304578902</v>
      </c>
      <c r="G259" s="2">
        <v>18</v>
      </c>
      <c r="H259" s="2">
        <v>3500</v>
      </c>
      <c r="I259" s="2" t="s">
        <v>159</v>
      </c>
      <c r="J259" s="2" t="s">
        <v>161</v>
      </c>
      <c r="K259" s="2" t="s">
        <v>160</v>
      </c>
      <c r="N259" s="2" t="str">
        <f t="shared" ref="N259:N322" si="4">A259</f>
        <v>22043-12094</v>
      </c>
    </row>
    <row r="260" spans="1:14" x14ac:dyDescent="0.25">
      <c r="A260" s="2" t="s">
        <v>1020</v>
      </c>
      <c r="B260" s="2" t="s">
        <v>131</v>
      </c>
      <c r="C260" s="2" t="s">
        <v>113</v>
      </c>
      <c r="D260" s="2" t="s">
        <v>1021</v>
      </c>
      <c r="E260" s="2" t="s">
        <v>1022</v>
      </c>
      <c r="F260" s="2">
        <v>4.3785713740757499</v>
      </c>
      <c r="G260" s="2">
        <v>14</v>
      </c>
      <c r="H260" s="2">
        <v>3500</v>
      </c>
      <c r="I260" s="2" t="s">
        <v>145</v>
      </c>
      <c r="J260" s="2" t="s">
        <v>147</v>
      </c>
      <c r="K260" s="2" t="s">
        <v>146</v>
      </c>
      <c r="N260" s="2" t="str">
        <f t="shared" si="4"/>
        <v>22043-80376</v>
      </c>
    </row>
    <row r="261" spans="1:14" x14ac:dyDescent="0.25">
      <c r="A261" s="2" t="s">
        <v>1023</v>
      </c>
      <c r="B261" s="2" t="s">
        <v>1</v>
      </c>
      <c r="C261" s="2" t="s">
        <v>1024</v>
      </c>
      <c r="D261" s="2" t="s">
        <v>1025</v>
      </c>
      <c r="E261" s="2" t="s">
        <v>1026</v>
      </c>
      <c r="F261" s="2">
        <v>4.3619046892438602</v>
      </c>
      <c r="G261" s="2">
        <v>21</v>
      </c>
      <c r="H261" s="2">
        <v>3200</v>
      </c>
      <c r="I261" s="2" t="s">
        <v>166</v>
      </c>
      <c r="J261" s="2" t="s">
        <v>74</v>
      </c>
      <c r="K261" s="2" t="s">
        <v>167</v>
      </c>
      <c r="N261" s="2" t="str">
        <f t="shared" si="4"/>
        <v>22043-9014</v>
      </c>
    </row>
    <row r="262" spans="1:14" x14ac:dyDescent="0.25">
      <c r="A262" s="2" t="s">
        <v>1027</v>
      </c>
      <c r="B262" s="2" t="s">
        <v>131</v>
      </c>
      <c r="C262" s="2" t="s">
        <v>44</v>
      </c>
      <c r="D262" s="2" t="s">
        <v>1028</v>
      </c>
      <c r="E262" s="2" t="s">
        <v>1029</v>
      </c>
      <c r="F262" s="2">
        <v>4.3428570883614599</v>
      </c>
      <c r="G262" s="2">
        <v>14</v>
      </c>
      <c r="H262" s="2">
        <v>3500</v>
      </c>
      <c r="I262" s="2" t="s">
        <v>190</v>
      </c>
      <c r="J262" s="2" t="s">
        <v>191</v>
      </c>
      <c r="K262" s="2" t="s">
        <v>192</v>
      </c>
      <c r="N262" s="2" t="str">
        <f t="shared" si="4"/>
        <v>22043-8711</v>
      </c>
    </row>
    <row r="263" spans="1:14" x14ac:dyDescent="0.25">
      <c r="A263" s="2" t="s">
        <v>1030</v>
      </c>
      <c r="B263" s="2" t="s">
        <v>130</v>
      </c>
      <c r="C263" s="2" t="s">
        <v>1031</v>
      </c>
      <c r="D263" s="2" t="s">
        <v>1032</v>
      </c>
      <c r="E263" s="2" t="s">
        <v>1033</v>
      </c>
      <c r="F263" s="2">
        <v>4.3428570883614599</v>
      </c>
      <c r="G263" s="2">
        <v>14</v>
      </c>
      <c r="H263" s="2">
        <v>3200</v>
      </c>
      <c r="I263" s="2" t="s">
        <v>166</v>
      </c>
      <c r="J263" s="2" t="s">
        <v>74</v>
      </c>
      <c r="K263" s="2" t="s">
        <v>167</v>
      </c>
      <c r="N263" s="2" t="str">
        <f t="shared" si="4"/>
        <v>22043-12449</v>
      </c>
    </row>
    <row r="264" spans="1:14" x14ac:dyDescent="0.25">
      <c r="A264" s="2" t="s">
        <v>1034</v>
      </c>
      <c r="B264" s="2" t="s">
        <v>1</v>
      </c>
      <c r="C264" s="2" t="s">
        <v>1035</v>
      </c>
      <c r="D264" s="2" t="s">
        <v>1036</v>
      </c>
      <c r="E264" s="2" t="s">
        <v>1037</v>
      </c>
      <c r="F264" s="2">
        <v>4.3200000762939403</v>
      </c>
      <c r="G264" s="2">
        <v>20</v>
      </c>
      <c r="H264" s="2">
        <v>3500</v>
      </c>
      <c r="I264" s="2" t="s">
        <v>145</v>
      </c>
      <c r="J264" s="2" t="s">
        <v>146</v>
      </c>
      <c r="K264" s="2" t="s">
        <v>147</v>
      </c>
      <c r="N264" s="2" t="str">
        <f t="shared" si="4"/>
        <v>22043-70901</v>
      </c>
    </row>
    <row r="265" spans="1:14" x14ac:dyDescent="0.25">
      <c r="A265" s="2" t="s">
        <v>1038</v>
      </c>
      <c r="B265" s="2" t="s">
        <v>131</v>
      </c>
      <c r="C265" s="2" t="s">
        <v>1039</v>
      </c>
      <c r="D265" s="2" t="s">
        <v>1040</v>
      </c>
      <c r="E265" s="2" t="s">
        <v>1041</v>
      </c>
      <c r="F265" s="2">
        <v>4.2666667302449497</v>
      </c>
      <c r="G265" s="2">
        <v>3</v>
      </c>
      <c r="H265" s="2">
        <v>3500</v>
      </c>
      <c r="I265" s="2" t="s">
        <v>159</v>
      </c>
      <c r="J265" s="2" t="s">
        <v>161</v>
      </c>
      <c r="K265" s="2" t="s">
        <v>160</v>
      </c>
      <c r="N265" s="2" t="str">
        <f t="shared" si="4"/>
        <v>22043-8587</v>
      </c>
    </row>
    <row r="266" spans="1:14" x14ac:dyDescent="0.25">
      <c r="A266" s="2" t="s">
        <v>1042</v>
      </c>
      <c r="B266" s="2" t="s">
        <v>130</v>
      </c>
      <c r="C266" s="2" t="s">
        <v>26</v>
      </c>
      <c r="D266" s="2" t="s">
        <v>1043</v>
      </c>
      <c r="E266" s="2" t="s">
        <v>1044</v>
      </c>
      <c r="F266" s="2">
        <v>4.2285715738932197</v>
      </c>
      <c r="G266" s="2">
        <v>21</v>
      </c>
      <c r="H266" s="2">
        <v>3100</v>
      </c>
      <c r="I266" s="2" t="s">
        <v>159</v>
      </c>
      <c r="J266" s="2" t="s">
        <v>161</v>
      </c>
      <c r="K266" s="2" t="s">
        <v>160</v>
      </c>
      <c r="N266" s="2" t="str">
        <f t="shared" si="4"/>
        <v>22043-43008</v>
      </c>
    </row>
    <row r="267" spans="1:14" x14ac:dyDescent="0.25">
      <c r="A267" s="2" t="s">
        <v>1045</v>
      </c>
      <c r="B267" s="2" t="s">
        <v>130</v>
      </c>
      <c r="C267" s="2" t="s">
        <v>92</v>
      </c>
      <c r="D267" s="2" t="s">
        <v>1046</v>
      </c>
      <c r="E267" s="2" t="s">
        <v>1047</v>
      </c>
      <c r="F267" s="2">
        <v>4.2046512337618003</v>
      </c>
      <c r="G267" s="2">
        <v>43</v>
      </c>
      <c r="H267" s="2">
        <v>3000</v>
      </c>
      <c r="I267" s="2" t="s">
        <v>176</v>
      </c>
      <c r="J267" s="2" t="s">
        <v>177</v>
      </c>
      <c r="K267" s="2" t="s">
        <v>104</v>
      </c>
      <c r="N267" s="2" t="str">
        <f t="shared" si="4"/>
        <v>22043-68609</v>
      </c>
    </row>
    <row r="268" spans="1:14" x14ac:dyDescent="0.25">
      <c r="A268" s="2" t="s">
        <v>1048</v>
      </c>
      <c r="B268" s="2" t="s">
        <v>130</v>
      </c>
      <c r="C268" s="2" t="s">
        <v>53</v>
      </c>
      <c r="D268" s="2" t="s">
        <v>1049</v>
      </c>
      <c r="E268" s="2" t="s">
        <v>1050</v>
      </c>
      <c r="F268" s="2">
        <v>4.1947366814864298</v>
      </c>
      <c r="G268" s="2">
        <v>38</v>
      </c>
      <c r="H268" s="2">
        <v>3000</v>
      </c>
      <c r="I268" s="2" t="s">
        <v>152</v>
      </c>
      <c r="J268" s="2" t="s">
        <v>153</v>
      </c>
      <c r="K268" s="2" t="s">
        <v>154</v>
      </c>
      <c r="N268" s="2" t="str">
        <f t="shared" si="4"/>
        <v>22043-12732</v>
      </c>
    </row>
    <row r="269" spans="1:14" x14ac:dyDescent="0.25">
      <c r="A269" s="2" t="s">
        <v>1051</v>
      </c>
      <c r="B269" s="2" t="s">
        <v>130</v>
      </c>
      <c r="C269" s="2" t="s">
        <v>82</v>
      </c>
      <c r="D269" s="2" t="s">
        <v>1052</v>
      </c>
      <c r="E269" s="2" t="s">
        <v>1053</v>
      </c>
      <c r="F269" s="2">
        <v>4.0999999999999996</v>
      </c>
      <c r="G269" s="2">
        <v>20</v>
      </c>
      <c r="H269" s="2">
        <v>3400</v>
      </c>
      <c r="I269" s="2" t="s">
        <v>166</v>
      </c>
      <c r="J269" s="2" t="s">
        <v>74</v>
      </c>
      <c r="K269" s="2" t="s">
        <v>167</v>
      </c>
      <c r="N269" s="2" t="str">
        <f t="shared" si="4"/>
        <v>22043-21755</v>
      </c>
    </row>
    <row r="270" spans="1:14" x14ac:dyDescent="0.25">
      <c r="A270" s="2" t="s">
        <v>1054</v>
      </c>
      <c r="B270" s="2" t="s">
        <v>130</v>
      </c>
      <c r="C270" s="2" t="s">
        <v>125</v>
      </c>
      <c r="D270" s="2" t="s">
        <v>1055</v>
      </c>
      <c r="E270" s="2" t="s">
        <v>1056</v>
      </c>
      <c r="F270" s="2">
        <v>4.0842104460063702</v>
      </c>
      <c r="G270" s="2">
        <v>19</v>
      </c>
      <c r="H270" s="2">
        <v>3400</v>
      </c>
      <c r="I270" s="2" t="s">
        <v>166</v>
      </c>
      <c r="J270" s="2" t="s">
        <v>167</v>
      </c>
      <c r="K270" s="2" t="s">
        <v>74</v>
      </c>
      <c r="N270" s="2" t="str">
        <f t="shared" si="4"/>
        <v>22043-58332</v>
      </c>
    </row>
    <row r="271" spans="1:14" x14ac:dyDescent="0.25">
      <c r="A271" s="2" t="s">
        <v>1057</v>
      </c>
      <c r="B271" s="2" t="s">
        <v>130</v>
      </c>
      <c r="C271" s="2" t="s">
        <v>1058</v>
      </c>
      <c r="D271" s="2" t="s">
        <v>1059</v>
      </c>
      <c r="E271" s="2" t="s">
        <v>1060</v>
      </c>
      <c r="F271" s="2">
        <v>4.0571428026471796</v>
      </c>
      <c r="G271" s="2">
        <v>14</v>
      </c>
      <c r="H271" s="2">
        <v>3000</v>
      </c>
      <c r="I271" s="2" t="s">
        <v>176</v>
      </c>
      <c r="J271" s="2" t="s">
        <v>177</v>
      </c>
      <c r="K271" s="2" t="s">
        <v>104</v>
      </c>
      <c r="N271" s="2" t="str">
        <f t="shared" si="4"/>
        <v>22043-15286</v>
      </c>
    </row>
    <row r="272" spans="1:14" x14ac:dyDescent="0.25">
      <c r="A272" s="2" t="s">
        <v>1061</v>
      </c>
      <c r="B272" s="2" t="s">
        <v>131</v>
      </c>
      <c r="C272" s="2" t="s">
        <v>57</v>
      </c>
      <c r="D272" s="2" t="s">
        <v>1062</v>
      </c>
      <c r="E272" s="2" t="s">
        <v>1063</v>
      </c>
      <c r="F272" s="2">
        <v>4</v>
      </c>
      <c r="G272" s="2">
        <v>14</v>
      </c>
      <c r="H272" s="2">
        <v>3500</v>
      </c>
      <c r="I272" s="2" t="s">
        <v>145</v>
      </c>
      <c r="J272" s="2" t="s">
        <v>147</v>
      </c>
      <c r="K272" s="2" t="s">
        <v>146</v>
      </c>
      <c r="L272" s="2" t="s">
        <v>250</v>
      </c>
      <c r="M272" s="2" t="s">
        <v>96</v>
      </c>
      <c r="N272" s="2" t="str">
        <f t="shared" si="4"/>
        <v>22043-21735</v>
      </c>
    </row>
    <row r="273" spans="1:14" x14ac:dyDescent="0.25">
      <c r="A273" s="2" t="s">
        <v>1064</v>
      </c>
      <c r="B273" s="2" t="s">
        <v>1</v>
      </c>
      <c r="C273" s="2" t="s">
        <v>156</v>
      </c>
      <c r="D273" s="2" t="s">
        <v>1065</v>
      </c>
      <c r="E273" s="2" t="s">
        <v>1066</v>
      </c>
      <c r="F273" s="2">
        <v>3.9619046165829599</v>
      </c>
      <c r="G273" s="2">
        <v>21</v>
      </c>
      <c r="H273" s="2">
        <v>3000</v>
      </c>
      <c r="I273" s="2" t="s">
        <v>159</v>
      </c>
      <c r="J273" s="2" t="s">
        <v>160</v>
      </c>
      <c r="K273" s="2" t="s">
        <v>161</v>
      </c>
      <c r="N273" s="2" t="str">
        <f t="shared" si="4"/>
        <v>22043-43024</v>
      </c>
    </row>
    <row r="274" spans="1:14" x14ac:dyDescent="0.25">
      <c r="A274" s="2" t="s">
        <v>1067</v>
      </c>
      <c r="B274" s="2" t="s">
        <v>1</v>
      </c>
      <c r="C274" s="2" t="s">
        <v>1068</v>
      </c>
      <c r="D274" s="2" t="s">
        <v>1069</v>
      </c>
      <c r="E274" s="2" t="s">
        <v>1070</v>
      </c>
      <c r="F274" s="2">
        <v>3.8799999237060501</v>
      </c>
      <c r="G274" s="2">
        <v>20</v>
      </c>
      <c r="H274" s="2">
        <v>3300</v>
      </c>
      <c r="I274" s="2" t="s">
        <v>145</v>
      </c>
      <c r="J274" s="2" t="s">
        <v>147</v>
      </c>
      <c r="K274" s="2" t="s">
        <v>146</v>
      </c>
      <c r="N274" s="2" t="str">
        <f t="shared" si="4"/>
        <v>22043-14462</v>
      </c>
    </row>
    <row r="275" spans="1:14" x14ac:dyDescent="0.25">
      <c r="A275" s="2" t="s">
        <v>1071</v>
      </c>
      <c r="B275" s="2" t="s">
        <v>131</v>
      </c>
      <c r="C275" s="2" t="s">
        <v>1072</v>
      </c>
      <c r="D275" s="2" t="s">
        <v>1073</v>
      </c>
      <c r="E275" s="2" t="s">
        <v>1074</v>
      </c>
      <c r="F275" s="2">
        <v>3.8736841302168998</v>
      </c>
      <c r="G275" s="2">
        <v>19</v>
      </c>
      <c r="H275" s="2">
        <v>3500</v>
      </c>
      <c r="I275" s="2" t="s">
        <v>152</v>
      </c>
      <c r="J275" s="2" t="s">
        <v>153</v>
      </c>
      <c r="K275" s="2" t="s">
        <v>154</v>
      </c>
      <c r="L275" s="2" t="s">
        <v>250</v>
      </c>
      <c r="M275" s="2" t="s">
        <v>93</v>
      </c>
      <c r="N275" s="2" t="str">
        <f t="shared" si="4"/>
        <v>22043-8168</v>
      </c>
    </row>
    <row r="276" spans="1:14" x14ac:dyDescent="0.25">
      <c r="A276" s="2" t="s">
        <v>1075</v>
      </c>
      <c r="B276" s="2" t="s">
        <v>131</v>
      </c>
      <c r="C276" s="2" t="s">
        <v>1076</v>
      </c>
      <c r="D276" s="2" t="s">
        <v>1077</v>
      </c>
      <c r="E276" s="2" t="s">
        <v>1078</v>
      </c>
      <c r="F276" s="2">
        <v>3.7333332697550401</v>
      </c>
      <c r="G276" s="2">
        <v>3</v>
      </c>
      <c r="H276" s="2">
        <v>3500</v>
      </c>
      <c r="I276" s="2" t="s">
        <v>152</v>
      </c>
      <c r="J276" s="2" t="s">
        <v>153</v>
      </c>
      <c r="K276" s="2" t="s">
        <v>154</v>
      </c>
      <c r="N276" s="2" t="str">
        <f t="shared" si="4"/>
        <v>22043-79881</v>
      </c>
    </row>
    <row r="277" spans="1:14" x14ac:dyDescent="0.25">
      <c r="A277" s="2" t="s">
        <v>1079</v>
      </c>
      <c r="B277" s="2" t="s">
        <v>130</v>
      </c>
      <c r="C277" s="2" t="s">
        <v>1080</v>
      </c>
      <c r="D277" s="2" t="s">
        <v>1081</v>
      </c>
      <c r="E277" s="2" t="s">
        <v>1082</v>
      </c>
      <c r="F277" s="2">
        <v>3.7333332697550401</v>
      </c>
      <c r="G277" s="2">
        <v>3</v>
      </c>
      <c r="H277" s="2">
        <v>3000</v>
      </c>
      <c r="I277" s="2" t="s">
        <v>159</v>
      </c>
      <c r="J277" s="2" t="s">
        <v>160</v>
      </c>
      <c r="K277" s="2" t="s">
        <v>161</v>
      </c>
      <c r="N277" s="2" t="str">
        <f t="shared" si="4"/>
        <v>22043-58686</v>
      </c>
    </row>
    <row r="278" spans="1:14" x14ac:dyDescent="0.25">
      <c r="A278" s="2" t="s">
        <v>1083</v>
      </c>
      <c r="B278" s="2" t="s">
        <v>130</v>
      </c>
      <c r="C278" s="2" t="s">
        <v>76</v>
      </c>
      <c r="D278" s="2" t="s">
        <v>1084</v>
      </c>
      <c r="E278" s="2" t="s">
        <v>1085</v>
      </c>
      <c r="F278" s="2">
        <v>3.6500000953674299</v>
      </c>
      <c r="G278" s="2">
        <v>16</v>
      </c>
      <c r="H278" s="2">
        <v>3000</v>
      </c>
      <c r="I278" s="2" t="s">
        <v>190</v>
      </c>
      <c r="J278" s="2" t="s">
        <v>191</v>
      </c>
      <c r="K278" s="2" t="s">
        <v>192</v>
      </c>
      <c r="N278" s="2" t="str">
        <f t="shared" si="4"/>
        <v>22043-54947</v>
      </c>
    </row>
    <row r="279" spans="1:14" x14ac:dyDescent="0.25">
      <c r="A279" s="2" t="s">
        <v>1086</v>
      </c>
      <c r="B279" s="2" t="s">
        <v>131</v>
      </c>
      <c r="C279" s="2" t="s">
        <v>79</v>
      </c>
      <c r="D279" s="2" t="s">
        <v>1087</v>
      </c>
      <c r="E279" s="2" t="s">
        <v>1088</v>
      </c>
      <c r="F279" s="2">
        <v>3.5999999046325599</v>
      </c>
      <c r="G279" s="2">
        <v>8</v>
      </c>
      <c r="H279" s="2">
        <v>3500</v>
      </c>
      <c r="I279" s="2" t="s">
        <v>145</v>
      </c>
      <c r="J279" s="2" t="s">
        <v>147</v>
      </c>
      <c r="K279" s="2" t="s">
        <v>146</v>
      </c>
      <c r="N279" s="2" t="str">
        <f t="shared" si="4"/>
        <v>22043-8451</v>
      </c>
    </row>
    <row r="280" spans="1:14" x14ac:dyDescent="0.25">
      <c r="A280" s="2" t="s">
        <v>1089</v>
      </c>
      <c r="B280" s="2" t="s">
        <v>132</v>
      </c>
      <c r="C280" s="2" t="s">
        <v>1090</v>
      </c>
      <c r="D280" s="2" t="s">
        <v>1091</v>
      </c>
      <c r="E280" s="2" t="s">
        <v>1092</v>
      </c>
      <c r="F280" s="2">
        <v>3.46666653951009</v>
      </c>
      <c r="G280" s="2">
        <v>3</v>
      </c>
      <c r="H280" s="2">
        <v>7200</v>
      </c>
      <c r="I280" s="2" t="s">
        <v>190</v>
      </c>
      <c r="J280" s="2" t="s">
        <v>191</v>
      </c>
      <c r="K280" s="2" t="s">
        <v>192</v>
      </c>
      <c r="N280" s="2" t="str">
        <f t="shared" si="4"/>
        <v>22043-39349</v>
      </c>
    </row>
    <row r="281" spans="1:14" x14ac:dyDescent="0.25">
      <c r="A281" s="2" t="s">
        <v>1093</v>
      </c>
      <c r="B281" s="2" t="s">
        <v>130</v>
      </c>
      <c r="C281" s="2" t="s">
        <v>1094</v>
      </c>
      <c r="D281" s="2" t="s">
        <v>1095</v>
      </c>
      <c r="E281" s="2" t="s">
        <v>1096</v>
      </c>
      <c r="F281" s="2">
        <v>3.3882352043600599</v>
      </c>
      <c r="G281" s="2">
        <v>17</v>
      </c>
      <c r="H281" s="2">
        <v>3000</v>
      </c>
      <c r="I281" s="2" t="s">
        <v>159</v>
      </c>
      <c r="J281" s="2" t="s">
        <v>161</v>
      </c>
      <c r="K281" s="2" t="s">
        <v>160</v>
      </c>
      <c r="N281" s="2" t="str">
        <f t="shared" si="4"/>
        <v>22043-11237</v>
      </c>
    </row>
    <row r="282" spans="1:14" x14ac:dyDescent="0.25">
      <c r="A282" s="2" t="s">
        <v>1097</v>
      </c>
      <c r="B282" s="2" t="s">
        <v>130</v>
      </c>
      <c r="C282" s="2" t="s">
        <v>1098</v>
      </c>
      <c r="D282" s="2" t="s">
        <v>1099</v>
      </c>
      <c r="E282" s="2" t="s">
        <v>1100</v>
      </c>
      <c r="F282" s="2">
        <v>3.3777777353922498</v>
      </c>
      <c r="G282" s="2">
        <v>9</v>
      </c>
      <c r="H282" s="2">
        <v>3200</v>
      </c>
      <c r="I282" s="2" t="s">
        <v>152</v>
      </c>
      <c r="J282" s="2" t="s">
        <v>154</v>
      </c>
      <c r="K282" s="2" t="s">
        <v>153</v>
      </c>
      <c r="N282" s="2" t="str">
        <f t="shared" si="4"/>
        <v>22043-54577</v>
      </c>
    </row>
    <row r="283" spans="1:14" x14ac:dyDescent="0.25">
      <c r="A283" s="2" t="s">
        <v>1101</v>
      </c>
      <c r="B283" s="2" t="s">
        <v>1</v>
      </c>
      <c r="C283" s="2" t="s">
        <v>1094</v>
      </c>
      <c r="D283" s="2" t="s">
        <v>1102</v>
      </c>
      <c r="E283" s="2" t="s">
        <v>1103</v>
      </c>
      <c r="F283" s="2">
        <v>3.3599998474120998</v>
      </c>
      <c r="G283" s="2">
        <v>10</v>
      </c>
      <c r="H283" s="2">
        <v>3000</v>
      </c>
      <c r="I283" s="2" t="s">
        <v>145</v>
      </c>
      <c r="J283" s="2" t="s">
        <v>146</v>
      </c>
      <c r="K283" s="2" t="s">
        <v>147</v>
      </c>
      <c r="N283" s="2" t="str">
        <f t="shared" si="4"/>
        <v>22043-11162</v>
      </c>
    </row>
    <row r="284" spans="1:14" x14ac:dyDescent="0.25">
      <c r="A284" s="2" t="s">
        <v>1104</v>
      </c>
      <c r="B284" s="2" t="s">
        <v>130</v>
      </c>
      <c r="C284" s="2" t="s">
        <v>83</v>
      </c>
      <c r="D284" s="2" t="s">
        <v>1105</v>
      </c>
      <c r="E284" s="2" t="s">
        <v>1106</v>
      </c>
      <c r="F284" s="2">
        <v>3.3312499523162802</v>
      </c>
      <c r="G284" s="2">
        <v>16</v>
      </c>
      <c r="H284" s="2">
        <v>3200</v>
      </c>
      <c r="I284" s="2" t="s">
        <v>145</v>
      </c>
      <c r="J284" s="2" t="s">
        <v>147</v>
      </c>
      <c r="K284" s="2" t="s">
        <v>146</v>
      </c>
      <c r="N284" s="2" t="str">
        <f t="shared" si="4"/>
        <v>22043-39271</v>
      </c>
    </row>
    <row r="285" spans="1:14" x14ac:dyDescent="0.25">
      <c r="A285" s="2" t="s">
        <v>1107</v>
      </c>
      <c r="B285" s="2" t="s">
        <v>130</v>
      </c>
      <c r="C285" s="2" t="s">
        <v>1108</v>
      </c>
      <c r="D285" s="2" t="s">
        <v>1109</v>
      </c>
      <c r="E285" s="2" t="s">
        <v>1110</v>
      </c>
      <c r="F285" s="2">
        <v>3.30526311774002</v>
      </c>
      <c r="G285" s="2">
        <v>19</v>
      </c>
      <c r="H285" s="2">
        <v>3200</v>
      </c>
      <c r="I285" s="2" t="s">
        <v>166</v>
      </c>
      <c r="J285" s="2" t="s">
        <v>167</v>
      </c>
      <c r="K285" s="2" t="s">
        <v>74</v>
      </c>
      <c r="N285" s="2" t="str">
        <f t="shared" si="4"/>
        <v>22043-9293</v>
      </c>
    </row>
    <row r="286" spans="1:14" x14ac:dyDescent="0.25">
      <c r="A286" s="2" t="s">
        <v>1111</v>
      </c>
      <c r="B286" s="2" t="s">
        <v>131</v>
      </c>
      <c r="C286" s="2" t="s">
        <v>1112</v>
      </c>
      <c r="D286" s="2" t="s">
        <v>1113</v>
      </c>
      <c r="E286" s="2" t="s">
        <v>1114</v>
      </c>
      <c r="F286" s="2">
        <v>3.2000001271565699</v>
      </c>
      <c r="G286" s="2">
        <v>12</v>
      </c>
      <c r="H286" s="2">
        <v>3500</v>
      </c>
      <c r="I286" s="2" t="s">
        <v>152</v>
      </c>
      <c r="J286" s="2" t="s">
        <v>154</v>
      </c>
      <c r="K286" s="2" t="s">
        <v>153</v>
      </c>
      <c r="L286" s="2" t="s">
        <v>250</v>
      </c>
      <c r="M286" s="2" t="s">
        <v>93</v>
      </c>
      <c r="N286" s="2" t="str">
        <f t="shared" si="4"/>
        <v>22043-9330</v>
      </c>
    </row>
    <row r="287" spans="1:14" x14ac:dyDescent="0.25">
      <c r="A287" s="2" t="s">
        <v>1115</v>
      </c>
      <c r="B287" s="2" t="s">
        <v>131</v>
      </c>
      <c r="C287" s="2" t="s">
        <v>1031</v>
      </c>
      <c r="D287" s="2" t="s">
        <v>1116</v>
      </c>
      <c r="E287" s="2" t="s">
        <v>1117</v>
      </c>
      <c r="F287" s="2">
        <v>3.2000000693581301</v>
      </c>
      <c r="G287" s="2">
        <v>11</v>
      </c>
      <c r="H287" s="2">
        <v>3500</v>
      </c>
      <c r="I287" s="2" t="s">
        <v>166</v>
      </c>
      <c r="J287" s="2" t="s">
        <v>167</v>
      </c>
      <c r="K287" s="2" t="s">
        <v>74</v>
      </c>
      <c r="N287" s="2" t="str">
        <f t="shared" si="4"/>
        <v>22043-42962</v>
      </c>
    </row>
    <row r="288" spans="1:14" x14ac:dyDescent="0.25">
      <c r="A288" s="2" t="s">
        <v>1118</v>
      </c>
      <c r="B288" s="2" t="s">
        <v>1</v>
      </c>
      <c r="C288" s="2" t="s">
        <v>901</v>
      </c>
      <c r="D288" s="2" t="s">
        <v>1119</v>
      </c>
      <c r="E288" s="2" t="s">
        <v>1120</v>
      </c>
      <c r="F288" s="2">
        <v>3.20000004768371</v>
      </c>
      <c r="G288" s="2">
        <v>2</v>
      </c>
      <c r="H288" s="2">
        <v>4000</v>
      </c>
      <c r="I288" s="2" t="s">
        <v>176</v>
      </c>
      <c r="J288" s="2" t="s">
        <v>177</v>
      </c>
      <c r="K288" s="2" t="s">
        <v>104</v>
      </c>
      <c r="N288" s="2" t="str">
        <f t="shared" si="4"/>
        <v>22043-8475</v>
      </c>
    </row>
    <row r="289" spans="1:14" x14ac:dyDescent="0.25">
      <c r="A289" s="2" t="s">
        <v>1121</v>
      </c>
      <c r="B289" s="2" t="s">
        <v>131</v>
      </c>
      <c r="C289" s="2" t="s">
        <v>1122</v>
      </c>
      <c r="D289" s="2" t="s">
        <v>1123</v>
      </c>
      <c r="E289" s="2" t="s">
        <v>1124</v>
      </c>
      <c r="F289" s="2">
        <v>3.20000004768371</v>
      </c>
      <c r="G289" s="2">
        <v>4</v>
      </c>
      <c r="H289" s="2">
        <v>3500</v>
      </c>
      <c r="I289" s="2" t="s">
        <v>176</v>
      </c>
      <c r="J289" s="2" t="s">
        <v>177</v>
      </c>
      <c r="K289" s="2" t="s">
        <v>104</v>
      </c>
      <c r="N289" s="2" t="str">
        <f t="shared" si="4"/>
        <v>22043-12601</v>
      </c>
    </row>
    <row r="290" spans="1:14" x14ac:dyDescent="0.25">
      <c r="A290" s="2" t="s">
        <v>1125</v>
      </c>
      <c r="B290" s="2" t="s">
        <v>1</v>
      </c>
      <c r="C290" s="2" t="s">
        <v>26</v>
      </c>
      <c r="D290" s="2" t="s">
        <v>1126</v>
      </c>
      <c r="E290" s="2" t="s">
        <v>1127</v>
      </c>
      <c r="F290" s="2">
        <v>3.20000004768371</v>
      </c>
      <c r="G290" s="2">
        <v>2</v>
      </c>
      <c r="H290" s="2">
        <v>3000</v>
      </c>
      <c r="I290" s="2" t="s">
        <v>145</v>
      </c>
      <c r="J290" s="2" t="s">
        <v>146</v>
      </c>
      <c r="K290" s="2" t="s">
        <v>147</v>
      </c>
      <c r="N290" s="2" t="str">
        <f t="shared" si="4"/>
        <v>22043-11277</v>
      </c>
    </row>
    <row r="291" spans="1:14" x14ac:dyDescent="0.25">
      <c r="A291" s="2" t="s">
        <v>1128</v>
      </c>
      <c r="B291" s="2" t="s">
        <v>130</v>
      </c>
      <c r="C291" s="2" t="s">
        <v>1129</v>
      </c>
      <c r="D291" s="2" t="s">
        <v>1130</v>
      </c>
      <c r="E291" s="2" t="s">
        <v>1131</v>
      </c>
      <c r="F291" s="2">
        <v>3.0399999618530198</v>
      </c>
      <c r="G291" s="2">
        <v>10</v>
      </c>
      <c r="H291" s="2">
        <v>3000</v>
      </c>
      <c r="I291" s="2" t="s">
        <v>190</v>
      </c>
      <c r="J291" s="2" t="s">
        <v>192</v>
      </c>
      <c r="K291" s="2" t="s">
        <v>191</v>
      </c>
      <c r="N291" s="2" t="str">
        <f t="shared" si="4"/>
        <v>22043-8811</v>
      </c>
    </row>
    <row r="292" spans="1:14" x14ac:dyDescent="0.25">
      <c r="A292" s="2" t="s">
        <v>1132</v>
      </c>
      <c r="B292" s="2" t="s">
        <v>130</v>
      </c>
      <c r="C292" s="2" t="s">
        <v>112</v>
      </c>
      <c r="D292" s="2" t="s">
        <v>1133</v>
      </c>
      <c r="E292" s="2" t="s">
        <v>1134</v>
      </c>
      <c r="F292" s="2">
        <v>3.0399999618530198</v>
      </c>
      <c r="G292" s="2">
        <v>10</v>
      </c>
      <c r="H292" s="2">
        <v>3000</v>
      </c>
      <c r="I292" s="2" t="s">
        <v>176</v>
      </c>
      <c r="J292" s="2" t="s">
        <v>177</v>
      </c>
      <c r="K292" s="2" t="s">
        <v>104</v>
      </c>
      <c r="N292" s="2" t="str">
        <f t="shared" si="4"/>
        <v>22043-62817</v>
      </c>
    </row>
    <row r="293" spans="1:14" x14ac:dyDescent="0.25">
      <c r="A293" s="2" t="s">
        <v>1135</v>
      </c>
      <c r="B293" s="2" t="s">
        <v>130</v>
      </c>
      <c r="C293" s="2" t="s">
        <v>1136</v>
      </c>
      <c r="D293" s="2" t="s">
        <v>1137</v>
      </c>
      <c r="E293" s="2" t="s">
        <v>1138</v>
      </c>
      <c r="F293" s="2">
        <v>3.0117647507611398</v>
      </c>
      <c r="G293" s="2">
        <v>17</v>
      </c>
      <c r="H293" s="2">
        <v>3100</v>
      </c>
      <c r="I293" s="2" t="s">
        <v>152</v>
      </c>
      <c r="J293" s="2" t="s">
        <v>153</v>
      </c>
      <c r="K293" s="2" t="s">
        <v>154</v>
      </c>
      <c r="N293" s="2" t="str">
        <f t="shared" si="4"/>
        <v>22043-8879</v>
      </c>
    </row>
    <row r="294" spans="1:14" x14ac:dyDescent="0.25">
      <c r="A294" s="2" t="s">
        <v>1139</v>
      </c>
      <c r="B294" s="2" t="s">
        <v>130</v>
      </c>
      <c r="C294" s="2" t="s">
        <v>181</v>
      </c>
      <c r="D294" s="2" t="s">
        <v>1140</v>
      </c>
      <c r="E294" s="2" t="s">
        <v>1141</v>
      </c>
      <c r="F294" s="2">
        <v>2.98666661580403</v>
      </c>
      <c r="G294" s="2">
        <v>15</v>
      </c>
      <c r="H294" s="2">
        <v>3300</v>
      </c>
      <c r="I294" s="2" t="s">
        <v>166</v>
      </c>
      <c r="J294" s="2" t="s">
        <v>167</v>
      </c>
      <c r="K294" s="2" t="s">
        <v>74</v>
      </c>
      <c r="N294" s="2" t="str">
        <f t="shared" si="4"/>
        <v>22043-42860</v>
      </c>
    </row>
    <row r="295" spans="1:14" x14ac:dyDescent="0.25">
      <c r="A295" s="2" t="s">
        <v>1142</v>
      </c>
      <c r="B295" s="2" t="s">
        <v>130</v>
      </c>
      <c r="C295" s="2" t="s">
        <v>59</v>
      </c>
      <c r="D295" s="2" t="s">
        <v>1143</v>
      </c>
      <c r="E295" s="2" t="s">
        <v>1144</v>
      </c>
      <c r="F295" s="2">
        <v>2.9333333969116202</v>
      </c>
      <c r="G295" s="2">
        <v>24</v>
      </c>
      <c r="H295" s="2">
        <v>3000</v>
      </c>
      <c r="I295" s="2" t="s">
        <v>176</v>
      </c>
      <c r="J295" s="2" t="s">
        <v>104</v>
      </c>
      <c r="K295" s="2" t="s">
        <v>177</v>
      </c>
      <c r="N295" s="2" t="str">
        <f t="shared" si="4"/>
        <v>22043-62254</v>
      </c>
    </row>
    <row r="296" spans="1:14" x14ac:dyDescent="0.25">
      <c r="A296" s="2" t="s">
        <v>1145</v>
      </c>
      <c r="B296" s="2" t="s">
        <v>1</v>
      </c>
      <c r="C296" s="2" t="s">
        <v>188</v>
      </c>
      <c r="D296" s="2" t="s">
        <v>1146</v>
      </c>
      <c r="E296" s="2" t="s">
        <v>1147</v>
      </c>
      <c r="F296" s="2">
        <v>2.8799999237060501</v>
      </c>
      <c r="G296" s="2">
        <v>10</v>
      </c>
      <c r="H296" s="2">
        <v>3000</v>
      </c>
      <c r="I296" s="2" t="s">
        <v>190</v>
      </c>
      <c r="J296" s="2" t="s">
        <v>192</v>
      </c>
      <c r="K296" s="2" t="s">
        <v>191</v>
      </c>
      <c r="N296" s="2" t="str">
        <f t="shared" si="4"/>
        <v>22043-54200</v>
      </c>
    </row>
    <row r="297" spans="1:14" x14ac:dyDescent="0.25">
      <c r="A297" s="2" t="s">
        <v>1148</v>
      </c>
      <c r="B297" s="2" t="s">
        <v>130</v>
      </c>
      <c r="C297" s="2" t="s">
        <v>615</v>
      </c>
      <c r="D297" s="2" t="s">
        <v>1149</v>
      </c>
      <c r="E297" s="2" t="s">
        <v>1150</v>
      </c>
      <c r="F297" s="2">
        <v>2.8571428571428501</v>
      </c>
      <c r="G297" s="2">
        <v>7</v>
      </c>
      <c r="H297" s="2">
        <v>3300</v>
      </c>
      <c r="I297" s="2" t="s">
        <v>152</v>
      </c>
      <c r="J297" s="2" t="s">
        <v>153</v>
      </c>
      <c r="K297" s="2" t="s">
        <v>154</v>
      </c>
      <c r="N297" s="2" t="str">
        <f t="shared" si="4"/>
        <v>22043-58678</v>
      </c>
    </row>
    <row r="298" spans="1:14" x14ac:dyDescent="0.25">
      <c r="A298" s="2" t="s">
        <v>1151</v>
      </c>
      <c r="B298" s="2" t="s">
        <v>1</v>
      </c>
      <c r="C298" s="2" t="s">
        <v>57</v>
      </c>
      <c r="D298" s="2" t="s">
        <v>1152</v>
      </c>
      <c r="E298" s="2" t="s">
        <v>1153</v>
      </c>
      <c r="F298" s="2">
        <v>2.7076923663799501</v>
      </c>
      <c r="G298" s="2">
        <v>13</v>
      </c>
      <c r="H298" s="2">
        <v>3000</v>
      </c>
      <c r="I298" s="2" t="s">
        <v>166</v>
      </c>
      <c r="J298" s="2" t="s">
        <v>167</v>
      </c>
      <c r="K298" s="2" t="s">
        <v>74</v>
      </c>
      <c r="N298" s="2" t="str">
        <f t="shared" si="4"/>
        <v>22043-8675</v>
      </c>
    </row>
    <row r="299" spans="1:14" x14ac:dyDescent="0.25">
      <c r="A299" s="2" t="s">
        <v>1154</v>
      </c>
      <c r="B299" s="2" t="s">
        <v>1</v>
      </c>
      <c r="C299" s="2" t="s">
        <v>103</v>
      </c>
      <c r="D299" s="2" t="s">
        <v>1155</v>
      </c>
      <c r="E299" s="2" t="s">
        <v>1156</v>
      </c>
      <c r="F299" s="2">
        <v>2.6666666666666599</v>
      </c>
      <c r="G299" s="2">
        <v>6</v>
      </c>
      <c r="H299" s="2">
        <v>3000</v>
      </c>
      <c r="I299" s="2" t="s">
        <v>145</v>
      </c>
      <c r="J299" s="2" t="s">
        <v>147</v>
      </c>
      <c r="K299" s="2" t="s">
        <v>146</v>
      </c>
      <c r="L299" s="2" t="s">
        <v>250</v>
      </c>
      <c r="M299" s="2" t="s">
        <v>798</v>
      </c>
      <c r="N299" s="2" t="str">
        <f t="shared" si="4"/>
        <v>22043-12192</v>
      </c>
    </row>
    <row r="300" spans="1:14" x14ac:dyDescent="0.25">
      <c r="A300" s="2" t="s">
        <v>1157</v>
      </c>
      <c r="B300" s="2" t="s">
        <v>130</v>
      </c>
      <c r="C300" s="2" t="s">
        <v>911</v>
      </c>
      <c r="D300" s="2" t="s">
        <v>1158</v>
      </c>
      <c r="E300" s="2" t="s">
        <v>47</v>
      </c>
      <c r="F300" s="2">
        <v>2.6285713740757499</v>
      </c>
      <c r="G300" s="2">
        <v>7</v>
      </c>
      <c r="H300" s="2">
        <v>3100</v>
      </c>
      <c r="I300" s="2" t="s">
        <v>166</v>
      </c>
      <c r="J300" s="2" t="s">
        <v>74</v>
      </c>
      <c r="K300" s="2" t="s">
        <v>167</v>
      </c>
      <c r="N300" s="2" t="str">
        <f t="shared" si="4"/>
        <v>22043-42841</v>
      </c>
    </row>
    <row r="301" spans="1:14" x14ac:dyDescent="0.25">
      <c r="A301" s="2" t="s">
        <v>1159</v>
      </c>
      <c r="B301" s="2" t="s">
        <v>131</v>
      </c>
      <c r="C301" s="2" t="s">
        <v>1160</v>
      </c>
      <c r="D301" s="2" t="s">
        <v>1161</v>
      </c>
      <c r="E301" s="2" t="s">
        <v>1162</v>
      </c>
      <c r="F301" s="2">
        <v>2.5999999046325599</v>
      </c>
      <c r="G301" s="2">
        <v>8</v>
      </c>
      <c r="H301" s="2">
        <v>3500</v>
      </c>
      <c r="I301" s="2" t="s">
        <v>190</v>
      </c>
      <c r="J301" s="2" t="s">
        <v>191</v>
      </c>
      <c r="K301" s="2" t="s">
        <v>192</v>
      </c>
      <c r="N301" s="2" t="str">
        <f t="shared" si="4"/>
        <v>22043-12266</v>
      </c>
    </row>
    <row r="302" spans="1:14" x14ac:dyDescent="0.25">
      <c r="A302" s="2" t="s">
        <v>1163</v>
      </c>
      <c r="B302" s="2" t="s">
        <v>131</v>
      </c>
      <c r="C302" s="2" t="s">
        <v>1164</v>
      </c>
      <c r="D302" s="2" t="s">
        <v>1165</v>
      </c>
      <c r="E302" s="2" t="s">
        <v>1166</v>
      </c>
      <c r="F302" s="2">
        <v>2.51428576878138</v>
      </c>
      <c r="G302" s="2">
        <v>7</v>
      </c>
      <c r="H302" s="2">
        <v>3500</v>
      </c>
      <c r="I302" s="2" t="s">
        <v>159</v>
      </c>
      <c r="J302" s="2" t="s">
        <v>161</v>
      </c>
      <c r="K302" s="2" t="s">
        <v>160</v>
      </c>
      <c r="N302" s="2" t="str">
        <f t="shared" si="4"/>
        <v>22043-66616</v>
      </c>
    </row>
    <row r="303" spans="1:14" x14ac:dyDescent="0.25">
      <c r="A303" s="2" t="s">
        <v>1167</v>
      </c>
      <c r="B303" s="2" t="s">
        <v>131</v>
      </c>
      <c r="C303" s="2" t="s">
        <v>28</v>
      </c>
      <c r="D303" s="2" t="s">
        <v>1168</v>
      </c>
      <c r="E303" s="2" t="s">
        <v>86</v>
      </c>
      <c r="F303" s="2">
        <v>2.4000000953674299</v>
      </c>
      <c r="G303" s="2">
        <v>2</v>
      </c>
      <c r="H303" s="2">
        <v>3900</v>
      </c>
      <c r="I303" s="2" t="s">
        <v>190</v>
      </c>
      <c r="J303" s="2" t="s">
        <v>192</v>
      </c>
      <c r="K303" s="2" t="s">
        <v>191</v>
      </c>
      <c r="L303" s="2" t="s">
        <v>250</v>
      </c>
      <c r="M303" s="2" t="s">
        <v>22</v>
      </c>
      <c r="N303" s="2" t="str">
        <f t="shared" si="4"/>
        <v>22043-8486</v>
      </c>
    </row>
    <row r="304" spans="1:14" x14ac:dyDescent="0.25">
      <c r="A304" s="2" t="s">
        <v>1169</v>
      </c>
      <c r="B304" s="2" t="s">
        <v>131</v>
      </c>
      <c r="C304" s="2" t="s">
        <v>75</v>
      </c>
      <c r="D304" s="2" t="s">
        <v>1170</v>
      </c>
      <c r="E304" s="2" t="s">
        <v>1171</v>
      </c>
      <c r="F304" s="2">
        <v>2.4000000953674299</v>
      </c>
      <c r="G304" s="2">
        <v>2</v>
      </c>
      <c r="H304" s="2">
        <v>3500</v>
      </c>
      <c r="I304" s="2" t="s">
        <v>159</v>
      </c>
      <c r="J304" s="2" t="s">
        <v>161</v>
      </c>
      <c r="K304" s="2" t="s">
        <v>160</v>
      </c>
      <c r="N304" s="2" t="str">
        <f t="shared" si="4"/>
        <v>22043-66710</v>
      </c>
    </row>
    <row r="305" spans="1:14" x14ac:dyDescent="0.25">
      <c r="A305" s="2" t="s">
        <v>1172</v>
      </c>
      <c r="B305" s="2" t="s">
        <v>130</v>
      </c>
      <c r="C305" s="2" t="s">
        <v>54</v>
      </c>
      <c r="D305" s="2" t="s">
        <v>1173</v>
      </c>
      <c r="E305" s="2" t="s">
        <v>1174</v>
      </c>
      <c r="F305" s="2">
        <v>2.4000000953674299</v>
      </c>
      <c r="G305" s="2">
        <v>4</v>
      </c>
      <c r="H305" s="2">
        <v>3000</v>
      </c>
      <c r="I305" s="2" t="s">
        <v>159</v>
      </c>
      <c r="J305" s="2" t="s">
        <v>160</v>
      </c>
      <c r="K305" s="2" t="s">
        <v>161</v>
      </c>
      <c r="N305" s="2" t="str">
        <f t="shared" si="4"/>
        <v>22043-9393</v>
      </c>
    </row>
    <row r="306" spans="1:14" x14ac:dyDescent="0.25">
      <c r="A306" s="2" t="s">
        <v>1175</v>
      </c>
      <c r="B306" s="2" t="s">
        <v>1</v>
      </c>
      <c r="C306" s="2" t="s">
        <v>791</v>
      </c>
      <c r="D306" s="2" t="s">
        <v>1176</v>
      </c>
      <c r="E306" s="2" t="s">
        <v>1177</v>
      </c>
      <c r="F306" s="2">
        <v>2.4000000953674299</v>
      </c>
      <c r="G306" s="2">
        <v>2</v>
      </c>
      <c r="H306" s="2">
        <v>3000</v>
      </c>
      <c r="I306" s="2" t="s">
        <v>159</v>
      </c>
      <c r="J306" s="2" t="s">
        <v>161</v>
      </c>
      <c r="K306" s="2" t="s">
        <v>160</v>
      </c>
      <c r="N306" s="2" t="str">
        <f t="shared" si="4"/>
        <v>22043-65969</v>
      </c>
    </row>
    <row r="307" spans="1:14" x14ac:dyDescent="0.25">
      <c r="A307" s="2" t="s">
        <v>1178</v>
      </c>
      <c r="B307" s="2" t="s">
        <v>131</v>
      </c>
      <c r="C307" s="2" t="s">
        <v>57</v>
      </c>
      <c r="D307" s="2" t="s">
        <v>1179</v>
      </c>
      <c r="E307" s="2" t="s">
        <v>1180</v>
      </c>
      <c r="F307" s="2">
        <v>2.4</v>
      </c>
      <c r="G307" s="2">
        <v>10</v>
      </c>
      <c r="H307" s="2">
        <v>3500</v>
      </c>
      <c r="I307" s="2" t="s">
        <v>166</v>
      </c>
      <c r="J307" s="2" t="s">
        <v>167</v>
      </c>
      <c r="K307" s="2" t="s">
        <v>74</v>
      </c>
      <c r="N307" s="2" t="str">
        <f t="shared" si="4"/>
        <v>22043-12120</v>
      </c>
    </row>
    <row r="308" spans="1:14" x14ac:dyDescent="0.25">
      <c r="A308" s="2" t="s">
        <v>1181</v>
      </c>
      <c r="B308" s="2" t="s">
        <v>130</v>
      </c>
      <c r="C308" s="2" t="s">
        <v>298</v>
      </c>
      <c r="D308" s="2" t="s">
        <v>1182</v>
      </c>
      <c r="E308" s="2" t="s">
        <v>1183</v>
      </c>
      <c r="F308" s="2">
        <v>2.2999999523162802</v>
      </c>
      <c r="G308" s="2">
        <v>8</v>
      </c>
      <c r="H308" s="2">
        <v>3000</v>
      </c>
      <c r="I308" s="2" t="s">
        <v>190</v>
      </c>
      <c r="J308" s="2" t="s">
        <v>191</v>
      </c>
      <c r="K308" s="2" t="s">
        <v>192</v>
      </c>
      <c r="L308" s="2" t="s">
        <v>250</v>
      </c>
      <c r="M308" s="2" t="s">
        <v>798</v>
      </c>
      <c r="N308" s="2" t="str">
        <f t="shared" si="4"/>
        <v>22043-8304</v>
      </c>
    </row>
    <row r="309" spans="1:14" x14ac:dyDescent="0.25">
      <c r="A309" s="2" t="s">
        <v>1184</v>
      </c>
      <c r="B309" s="2" t="s">
        <v>130</v>
      </c>
      <c r="C309" s="2" t="s">
        <v>57</v>
      </c>
      <c r="D309" s="2" t="s">
        <v>1185</v>
      </c>
      <c r="E309" s="2" t="s">
        <v>1186</v>
      </c>
      <c r="F309" s="2">
        <v>2.13333336512247</v>
      </c>
      <c r="G309" s="2">
        <v>12</v>
      </c>
      <c r="H309" s="2">
        <v>3800</v>
      </c>
      <c r="I309" s="2" t="s">
        <v>145</v>
      </c>
      <c r="J309" s="2" t="s">
        <v>147</v>
      </c>
      <c r="K309" s="2" t="s">
        <v>146</v>
      </c>
      <c r="N309" s="2" t="str">
        <f t="shared" si="4"/>
        <v>22043-8791</v>
      </c>
    </row>
    <row r="310" spans="1:14" x14ac:dyDescent="0.25">
      <c r="A310" s="2" t="s">
        <v>1187</v>
      </c>
      <c r="B310" s="2" t="s">
        <v>131</v>
      </c>
      <c r="C310" s="2" t="s">
        <v>1188</v>
      </c>
      <c r="D310" s="2" t="s">
        <v>1189</v>
      </c>
      <c r="E310" s="2" t="s">
        <v>1190</v>
      </c>
      <c r="F310" s="2">
        <v>2.0799999237060498</v>
      </c>
      <c r="G310" s="2">
        <v>10</v>
      </c>
      <c r="H310" s="2">
        <v>3500</v>
      </c>
      <c r="I310" s="2" t="s">
        <v>152</v>
      </c>
      <c r="J310" s="2" t="s">
        <v>154</v>
      </c>
      <c r="K310" s="2" t="s">
        <v>153</v>
      </c>
      <c r="N310" s="2" t="str">
        <f t="shared" si="4"/>
        <v>22043-23044</v>
      </c>
    </row>
    <row r="311" spans="1:14" x14ac:dyDescent="0.25">
      <c r="A311" s="2" t="s">
        <v>1191</v>
      </c>
      <c r="B311" s="2" t="s">
        <v>130</v>
      </c>
      <c r="C311" s="2" t="s">
        <v>56</v>
      </c>
      <c r="D311" s="2" t="s">
        <v>1192</v>
      </c>
      <c r="E311" s="2" t="s">
        <v>1193</v>
      </c>
      <c r="F311" s="2">
        <v>2</v>
      </c>
      <c r="G311" s="2">
        <v>16</v>
      </c>
      <c r="H311" s="2">
        <v>3000</v>
      </c>
      <c r="I311" s="2" t="s">
        <v>152</v>
      </c>
      <c r="J311" s="2" t="s">
        <v>154</v>
      </c>
      <c r="K311" s="2" t="s">
        <v>153</v>
      </c>
      <c r="N311" s="2" t="str">
        <f t="shared" si="4"/>
        <v>22043-8278</v>
      </c>
    </row>
    <row r="312" spans="1:14" x14ac:dyDescent="0.25">
      <c r="A312" s="2" t="s">
        <v>1194</v>
      </c>
      <c r="B312" s="2" t="s">
        <v>131</v>
      </c>
      <c r="C312" s="2" t="s">
        <v>542</v>
      </c>
      <c r="D312" s="2" t="s">
        <v>1195</v>
      </c>
      <c r="E312" s="2" t="s">
        <v>1196</v>
      </c>
      <c r="F312" s="2">
        <v>1.6000000238418499</v>
      </c>
      <c r="G312" s="2">
        <v>1</v>
      </c>
      <c r="H312" s="2">
        <v>3500</v>
      </c>
      <c r="I312" s="2" t="s">
        <v>166</v>
      </c>
      <c r="J312" s="2" t="s">
        <v>167</v>
      </c>
      <c r="K312" s="2" t="s">
        <v>74</v>
      </c>
      <c r="N312" s="2" t="str">
        <f t="shared" si="4"/>
        <v>22043-66688</v>
      </c>
    </row>
    <row r="313" spans="1:14" x14ac:dyDescent="0.25">
      <c r="A313" s="2" t="s">
        <v>1197</v>
      </c>
      <c r="B313" s="2" t="s">
        <v>130</v>
      </c>
      <c r="C313" s="2" t="s">
        <v>1198</v>
      </c>
      <c r="D313" s="2" t="s">
        <v>1199</v>
      </c>
      <c r="E313" s="2" t="s">
        <v>1200</v>
      </c>
      <c r="F313" s="2">
        <v>1.6000000238418499</v>
      </c>
      <c r="G313" s="2">
        <v>4</v>
      </c>
      <c r="H313" s="2">
        <v>3100</v>
      </c>
      <c r="I313" s="2" t="s">
        <v>145</v>
      </c>
      <c r="J313" s="2" t="s">
        <v>147</v>
      </c>
      <c r="K313" s="2" t="s">
        <v>146</v>
      </c>
      <c r="N313" s="2" t="str">
        <f t="shared" si="4"/>
        <v>22043-42985</v>
      </c>
    </row>
    <row r="314" spans="1:14" x14ac:dyDescent="0.25">
      <c r="A314" s="2" t="s">
        <v>1201</v>
      </c>
      <c r="B314" s="2" t="s">
        <v>130</v>
      </c>
      <c r="C314" s="2" t="s">
        <v>26</v>
      </c>
      <c r="D314" s="2" t="s">
        <v>1202</v>
      </c>
      <c r="E314" s="2" t="s">
        <v>1203</v>
      </c>
      <c r="F314" s="2">
        <v>1.5111111534966299</v>
      </c>
      <c r="G314" s="2">
        <v>18</v>
      </c>
      <c r="H314" s="2">
        <v>3000</v>
      </c>
      <c r="I314" s="2" t="s">
        <v>145</v>
      </c>
      <c r="J314" s="2" t="s">
        <v>147</v>
      </c>
      <c r="K314" s="2" t="s">
        <v>146</v>
      </c>
      <c r="N314" s="2" t="str">
        <f t="shared" si="4"/>
        <v>22043-12738</v>
      </c>
    </row>
    <row r="315" spans="1:14" x14ac:dyDescent="0.25">
      <c r="A315" s="2" t="s">
        <v>1204</v>
      </c>
      <c r="B315" s="2" t="s">
        <v>132</v>
      </c>
      <c r="C315" s="2" t="s">
        <v>1205</v>
      </c>
      <c r="D315" s="2" t="s">
        <v>1206</v>
      </c>
      <c r="E315" s="2" t="s">
        <v>1207</v>
      </c>
      <c r="F315" s="2">
        <v>1.3999999761581401</v>
      </c>
      <c r="G315" s="2">
        <v>4</v>
      </c>
      <c r="H315" s="2">
        <v>7600</v>
      </c>
      <c r="I315" s="2" t="s">
        <v>166</v>
      </c>
      <c r="J315" s="2" t="s">
        <v>167</v>
      </c>
      <c r="K315" s="2" t="s">
        <v>74</v>
      </c>
      <c r="N315" s="2" t="str">
        <f t="shared" si="4"/>
        <v>22043-11370</v>
      </c>
    </row>
    <row r="316" spans="1:14" x14ac:dyDescent="0.25">
      <c r="A316" s="2" t="s">
        <v>1208</v>
      </c>
      <c r="B316" s="2" t="s">
        <v>131</v>
      </c>
      <c r="C316" s="2" t="s">
        <v>103</v>
      </c>
      <c r="D316" s="2" t="s">
        <v>1209</v>
      </c>
      <c r="E316" s="2" t="s">
        <v>1070</v>
      </c>
      <c r="F316" s="2">
        <v>1.20000004768371</v>
      </c>
      <c r="G316" s="2">
        <v>4</v>
      </c>
      <c r="H316" s="2">
        <v>3500</v>
      </c>
      <c r="I316" s="2" t="s">
        <v>190</v>
      </c>
      <c r="J316" s="2" t="s">
        <v>191</v>
      </c>
      <c r="K316" s="2" t="s">
        <v>192</v>
      </c>
      <c r="N316" s="2" t="str">
        <f t="shared" si="4"/>
        <v>22043-70565</v>
      </c>
    </row>
    <row r="317" spans="1:14" x14ac:dyDescent="0.25">
      <c r="A317" s="2" t="s">
        <v>1210</v>
      </c>
      <c r="B317" s="2" t="s">
        <v>131</v>
      </c>
      <c r="C317" s="2" t="s">
        <v>1211</v>
      </c>
      <c r="D317" s="2" t="s">
        <v>1212</v>
      </c>
      <c r="E317" s="2" t="s">
        <v>1213</v>
      </c>
      <c r="F317" s="2">
        <v>1.1636363809758901</v>
      </c>
      <c r="G317" s="2">
        <v>11</v>
      </c>
      <c r="H317" s="2">
        <v>3500</v>
      </c>
      <c r="I317" s="2" t="s">
        <v>176</v>
      </c>
      <c r="J317" s="2" t="s">
        <v>104</v>
      </c>
      <c r="K317" s="2" t="s">
        <v>177</v>
      </c>
      <c r="N317" s="2" t="str">
        <f t="shared" si="4"/>
        <v>22043-54110</v>
      </c>
    </row>
    <row r="318" spans="1:14" x14ac:dyDescent="0.25">
      <c r="A318" s="2" t="s">
        <v>1214</v>
      </c>
      <c r="B318" s="2" t="s">
        <v>130</v>
      </c>
      <c r="C318" s="2" t="s">
        <v>56</v>
      </c>
      <c r="D318" s="2" t="s">
        <v>1215</v>
      </c>
      <c r="E318" s="2" t="s">
        <v>1216</v>
      </c>
      <c r="F318" s="2">
        <v>0.88888888888888795</v>
      </c>
      <c r="G318" s="2">
        <v>9</v>
      </c>
      <c r="H318" s="2">
        <v>3000</v>
      </c>
      <c r="I318" s="2" t="s">
        <v>152</v>
      </c>
      <c r="J318" s="2" t="s">
        <v>154</v>
      </c>
      <c r="K318" s="2" t="s">
        <v>153</v>
      </c>
      <c r="N318" s="2" t="str">
        <f t="shared" si="4"/>
        <v>22043-8866</v>
      </c>
    </row>
    <row r="319" spans="1:14" x14ac:dyDescent="0.25">
      <c r="A319" s="2" t="s">
        <v>1217</v>
      </c>
      <c r="B319" s="2" t="s">
        <v>130</v>
      </c>
      <c r="C319" s="2" t="s">
        <v>44</v>
      </c>
      <c r="D319" s="2" t="s">
        <v>1218</v>
      </c>
      <c r="E319" s="2" t="s">
        <v>1219</v>
      </c>
      <c r="F319" s="2">
        <v>0.80000001192092896</v>
      </c>
      <c r="G319" s="2">
        <v>2</v>
      </c>
      <c r="H319" s="2">
        <v>3000</v>
      </c>
      <c r="I319" s="2" t="s">
        <v>145</v>
      </c>
      <c r="J319" s="2" t="s">
        <v>147</v>
      </c>
      <c r="K319" s="2" t="s">
        <v>146</v>
      </c>
      <c r="N319" s="2" t="str">
        <f t="shared" si="4"/>
        <v>22043-8581</v>
      </c>
    </row>
    <row r="320" spans="1:14" x14ac:dyDescent="0.25">
      <c r="A320" s="2" t="s">
        <v>1220</v>
      </c>
      <c r="B320" s="2" t="s">
        <v>130</v>
      </c>
      <c r="C320" s="2" t="s">
        <v>1221</v>
      </c>
      <c r="D320" s="2" t="s">
        <v>1222</v>
      </c>
      <c r="E320" s="2" t="s">
        <v>1223</v>
      </c>
      <c r="F320" s="2">
        <v>0.53333334128061904</v>
      </c>
      <c r="G320" s="2">
        <v>3</v>
      </c>
      <c r="H320" s="2">
        <v>3000</v>
      </c>
      <c r="I320" s="2" t="s">
        <v>166</v>
      </c>
      <c r="J320" s="2" t="s">
        <v>74</v>
      </c>
      <c r="K320" s="2" t="s">
        <v>167</v>
      </c>
      <c r="N320" s="2" t="str">
        <f t="shared" si="4"/>
        <v>22043-58983</v>
      </c>
    </row>
    <row r="321" spans="1:14" x14ac:dyDescent="0.25">
      <c r="A321" s="2" t="s">
        <v>1224</v>
      </c>
      <c r="B321" s="2" t="s">
        <v>1</v>
      </c>
      <c r="C321" s="2" t="s">
        <v>70</v>
      </c>
      <c r="D321" s="2" t="s">
        <v>1225</v>
      </c>
      <c r="E321" s="2" t="s">
        <v>1226</v>
      </c>
      <c r="F321" s="2">
        <v>0.53333334128061904</v>
      </c>
      <c r="G321" s="2">
        <v>3</v>
      </c>
      <c r="H321" s="2">
        <v>3000</v>
      </c>
      <c r="I321" s="2" t="s">
        <v>166</v>
      </c>
      <c r="J321" s="2" t="s">
        <v>74</v>
      </c>
      <c r="K321" s="2" t="s">
        <v>167</v>
      </c>
      <c r="L321" s="2" t="s">
        <v>250</v>
      </c>
      <c r="M321" s="2" t="s">
        <v>404</v>
      </c>
      <c r="N321" s="2" t="str">
        <f t="shared" si="4"/>
        <v>22043-15298</v>
      </c>
    </row>
    <row r="322" spans="1:14" x14ac:dyDescent="0.25">
      <c r="A322" s="2" t="s">
        <v>1227</v>
      </c>
      <c r="B322" s="2" t="s">
        <v>130</v>
      </c>
      <c r="C322" s="2" t="s">
        <v>1228</v>
      </c>
      <c r="D322" s="2" t="s">
        <v>1229</v>
      </c>
      <c r="E322" s="2" t="s">
        <v>1230</v>
      </c>
      <c r="F322" s="2">
        <v>0.26666667064030902</v>
      </c>
      <c r="G322" s="2">
        <v>6</v>
      </c>
      <c r="H322" s="2">
        <v>3000</v>
      </c>
      <c r="I322" s="2" t="s">
        <v>152</v>
      </c>
      <c r="J322" s="2" t="s">
        <v>153</v>
      </c>
      <c r="K322" s="2" t="s">
        <v>154</v>
      </c>
      <c r="N322" s="2" t="str">
        <f t="shared" si="4"/>
        <v>22043-53527</v>
      </c>
    </row>
    <row r="323" spans="1:14" x14ac:dyDescent="0.25">
      <c r="A323" s="2" t="s">
        <v>1231</v>
      </c>
      <c r="B323" s="2" t="s">
        <v>132</v>
      </c>
      <c r="C323" s="2" t="s">
        <v>1232</v>
      </c>
      <c r="D323" s="2" t="s">
        <v>1233</v>
      </c>
      <c r="E323" s="2" t="s">
        <v>1234</v>
      </c>
      <c r="F323" s="2">
        <v>0</v>
      </c>
      <c r="G323" s="2">
        <v>0</v>
      </c>
      <c r="H323" s="2">
        <v>7000</v>
      </c>
      <c r="I323" s="2" t="s">
        <v>145</v>
      </c>
      <c r="J323" s="2" t="s">
        <v>146</v>
      </c>
      <c r="K323" s="2" t="s">
        <v>147</v>
      </c>
      <c r="N323" s="2" t="str">
        <f t="shared" ref="N323:N359" si="5">A323</f>
        <v>22043-80454</v>
      </c>
    </row>
    <row r="324" spans="1:14" x14ac:dyDescent="0.25">
      <c r="A324" s="2" t="s">
        <v>1235</v>
      </c>
      <c r="B324" s="2" t="s">
        <v>131</v>
      </c>
      <c r="C324" s="2" t="s">
        <v>92</v>
      </c>
      <c r="D324" s="2" t="s">
        <v>1236</v>
      </c>
      <c r="E324" s="2" t="s">
        <v>1237</v>
      </c>
      <c r="F324" s="2">
        <v>0</v>
      </c>
      <c r="G324" s="2">
        <v>0</v>
      </c>
      <c r="H324" s="2">
        <v>3500</v>
      </c>
      <c r="I324" s="2" t="s">
        <v>190</v>
      </c>
      <c r="J324" s="2" t="s">
        <v>192</v>
      </c>
      <c r="K324" s="2" t="s">
        <v>191</v>
      </c>
      <c r="N324" s="2" t="str">
        <f t="shared" si="5"/>
        <v>22043-79885</v>
      </c>
    </row>
    <row r="325" spans="1:14" x14ac:dyDescent="0.25">
      <c r="A325" s="2" t="s">
        <v>1238</v>
      </c>
      <c r="B325" s="2" t="s">
        <v>131</v>
      </c>
      <c r="C325" s="2" t="s">
        <v>91</v>
      </c>
      <c r="D325" s="2" t="s">
        <v>1239</v>
      </c>
      <c r="E325" s="2" t="s">
        <v>1240</v>
      </c>
      <c r="F325" s="2">
        <v>0</v>
      </c>
      <c r="G325" s="2">
        <v>2</v>
      </c>
      <c r="H325" s="2">
        <v>3500</v>
      </c>
      <c r="I325" s="2" t="s">
        <v>145</v>
      </c>
      <c r="J325" s="2" t="s">
        <v>146</v>
      </c>
      <c r="K325" s="2" t="s">
        <v>147</v>
      </c>
      <c r="N325" s="2" t="str">
        <f t="shared" si="5"/>
        <v>22043-15374</v>
      </c>
    </row>
    <row r="326" spans="1:14" x14ac:dyDescent="0.25">
      <c r="A326" s="2" t="s">
        <v>1241</v>
      </c>
      <c r="B326" s="2" t="s">
        <v>131</v>
      </c>
      <c r="C326" s="2" t="s">
        <v>608</v>
      </c>
      <c r="D326" s="2" t="s">
        <v>1242</v>
      </c>
      <c r="E326" s="2" t="s">
        <v>1243</v>
      </c>
      <c r="F326" s="2">
        <v>0</v>
      </c>
      <c r="G326" s="2">
        <v>0</v>
      </c>
      <c r="H326" s="2">
        <v>3500</v>
      </c>
      <c r="I326" s="2" t="s">
        <v>190</v>
      </c>
      <c r="J326" s="2" t="s">
        <v>191</v>
      </c>
      <c r="K326" s="2" t="s">
        <v>192</v>
      </c>
      <c r="N326" s="2" t="str">
        <f t="shared" si="5"/>
        <v>22043-68663</v>
      </c>
    </row>
    <row r="327" spans="1:14" x14ac:dyDescent="0.25">
      <c r="A327" s="2" t="s">
        <v>1244</v>
      </c>
      <c r="B327" s="2" t="s">
        <v>131</v>
      </c>
      <c r="C327" s="2" t="s">
        <v>60</v>
      </c>
      <c r="D327" s="2" t="s">
        <v>1245</v>
      </c>
      <c r="E327" s="2" t="s">
        <v>1246</v>
      </c>
      <c r="F327" s="2">
        <v>0</v>
      </c>
      <c r="G327" s="2">
        <v>1</v>
      </c>
      <c r="H327" s="2">
        <v>3500</v>
      </c>
      <c r="I327" s="2" t="s">
        <v>152</v>
      </c>
      <c r="J327" s="2" t="s">
        <v>153</v>
      </c>
      <c r="K327" s="2" t="s">
        <v>154</v>
      </c>
      <c r="N327" s="2" t="str">
        <f t="shared" si="5"/>
        <v>22043-13742</v>
      </c>
    </row>
    <row r="328" spans="1:14" x14ac:dyDescent="0.25">
      <c r="A328" s="2" t="s">
        <v>1247</v>
      </c>
      <c r="B328" s="2" t="s">
        <v>130</v>
      </c>
      <c r="C328" s="2" t="s">
        <v>513</v>
      </c>
      <c r="D328" s="2" t="s">
        <v>1248</v>
      </c>
      <c r="E328" s="2" t="s">
        <v>1249</v>
      </c>
      <c r="F328" s="2">
        <v>0</v>
      </c>
      <c r="G328" s="2">
        <v>1</v>
      </c>
      <c r="H328" s="2">
        <v>3000</v>
      </c>
      <c r="I328" s="2" t="s">
        <v>159</v>
      </c>
      <c r="J328" s="2" t="s">
        <v>160</v>
      </c>
      <c r="K328" s="2" t="s">
        <v>161</v>
      </c>
      <c r="N328" s="2" t="str">
        <f t="shared" si="5"/>
        <v>22043-62019</v>
      </c>
    </row>
    <row r="329" spans="1:14" x14ac:dyDescent="0.25">
      <c r="A329" s="2" t="s">
        <v>1250</v>
      </c>
      <c r="B329" s="2" t="s">
        <v>130</v>
      </c>
      <c r="C329" s="2" t="s">
        <v>1251</v>
      </c>
      <c r="D329" s="2" t="s">
        <v>1252</v>
      </c>
      <c r="E329" s="2" t="s">
        <v>1253</v>
      </c>
      <c r="F329" s="2">
        <v>0</v>
      </c>
      <c r="G329" s="2">
        <v>0</v>
      </c>
      <c r="H329" s="2">
        <v>3000</v>
      </c>
      <c r="I329" s="2" t="s">
        <v>145</v>
      </c>
      <c r="J329" s="2" t="s">
        <v>147</v>
      </c>
      <c r="K329" s="2" t="s">
        <v>146</v>
      </c>
      <c r="N329" s="2" t="str">
        <f t="shared" si="5"/>
        <v>22043-73897</v>
      </c>
    </row>
    <row r="330" spans="1:14" x14ac:dyDescent="0.25">
      <c r="A330" s="2" t="s">
        <v>1254</v>
      </c>
      <c r="B330" s="2" t="s">
        <v>130</v>
      </c>
      <c r="C330" s="2" t="s">
        <v>43</v>
      </c>
      <c r="D330" s="2" t="s">
        <v>1255</v>
      </c>
      <c r="E330" s="2" t="s">
        <v>1256</v>
      </c>
      <c r="F330" s="2">
        <v>0</v>
      </c>
      <c r="G330" s="2">
        <v>2</v>
      </c>
      <c r="H330" s="2">
        <v>3000</v>
      </c>
      <c r="I330" s="2" t="s">
        <v>166</v>
      </c>
      <c r="J330" s="2" t="s">
        <v>74</v>
      </c>
      <c r="K330" s="2" t="s">
        <v>167</v>
      </c>
      <c r="N330" s="2" t="str">
        <f t="shared" si="5"/>
        <v>22043-10929</v>
      </c>
    </row>
    <row r="331" spans="1:14" x14ac:dyDescent="0.25">
      <c r="A331" s="2" t="s">
        <v>1257</v>
      </c>
      <c r="B331" s="2" t="s">
        <v>130</v>
      </c>
      <c r="C331" s="2" t="s">
        <v>53</v>
      </c>
      <c r="D331" s="2" t="s">
        <v>1258</v>
      </c>
      <c r="E331" s="2" t="s">
        <v>1193</v>
      </c>
      <c r="F331" s="2">
        <v>0</v>
      </c>
      <c r="G331" s="2">
        <v>0</v>
      </c>
      <c r="H331" s="2">
        <v>3000</v>
      </c>
      <c r="I331" s="2" t="s">
        <v>176</v>
      </c>
      <c r="J331" s="2" t="s">
        <v>177</v>
      </c>
      <c r="K331" s="2" t="s">
        <v>104</v>
      </c>
      <c r="N331" s="2" t="str">
        <f t="shared" si="5"/>
        <v>22043-70910</v>
      </c>
    </row>
    <row r="332" spans="1:14" x14ac:dyDescent="0.25">
      <c r="A332" s="2" t="s">
        <v>1259</v>
      </c>
      <c r="B332" s="2" t="s">
        <v>1</v>
      </c>
      <c r="C332" s="2" t="s">
        <v>218</v>
      </c>
      <c r="D332" s="2" t="s">
        <v>1260</v>
      </c>
      <c r="E332" s="2" t="s">
        <v>1261</v>
      </c>
      <c r="F332" s="2">
        <v>0</v>
      </c>
      <c r="G332" s="2">
        <v>0</v>
      </c>
      <c r="H332" s="2">
        <v>3000</v>
      </c>
      <c r="I332" s="2" t="s">
        <v>190</v>
      </c>
      <c r="J332" s="2" t="s">
        <v>192</v>
      </c>
      <c r="K332" s="2" t="s">
        <v>191</v>
      </c>
      <c r="N332" s="2" t="str">
        <f t="shared" si="5"/>
        <v>22043-82198</v>
      </c>
    </row>
    <row r="333" spans="1:14" x14ac:dyDescent="0.25">
      <c r="A333" s="2" t="s">
        <v>1262</v>
      </c>
      <c r="B333" s="2" t="s">
        <v>130</v>
      </c>
      <c r="C333" s="2" t="s">
        <v>65</v>
      </c>
      <c r="D333" s="2" t="s">
        <v>1263</v>
      </c>
      <c r="E333" s="2" t="s">
        <v>1264</v>
      </c>
      <c r="F333" s="2">
        <v>0</v>
      </c>
      <c r="G333" s="2">
        <v>0</v>
      </c>
      <c r="H333" s="2">
        <v>3000</v>
      </c>
      <c r="I333" s="2" t="s">
        <v>159</v>
      </c>
      <c r="J333" s="2" t="s">
        <v>161</v>
      </c>
      <c r="K333" s="2" t="s">
        <v>160</v>
      </c>
      <c r="N333" s="2" t="str">
        <f t="shared" si="5"/>
        <v>22043-14160</v>
      </c>
    </row>
    <row r="334" spans="1:14" x14ac:dyDescent="0.25">
      <c r="A334" s="2" t="s">
        <v>1265</v>
      </c>
      <c r="B334" s="2" t="s">
        <v>130</v>
      </c>
      <c r="C334" s="2" t="s">
        <v>1266</v>
      </c>
      <c r="D334" s="2" t="s">
        <v>1267</v>
      </c>
      <c r="E334" s="2" t="s">
        <v>1268</v>
      </c>
      <c r="F334" s="2">
        <v>0</v>
      </c>
      <c r="G334" s="2">
        <v>3</v>
      </c>
      <c r="H334" s="2">
        <v>3000</v>
      </c>
      <c r="I334" s="2" t="s">
        <v>159</v>
      </c>
      <c r="J334" s="2" t="s">
        <v>161</v>
      </c>
      <c r="K334" s="2" t="s">
        <v>160</v>
      </c>
      <c r="N334" s="2" t="str">
        <f t="shared" si="5"/>
        <v>22043-12643</v>
      </c>
    </row>
    <row r="335" spans="1:14" x14ac:dyDescent="0.25">
      <c r="A335" s="2" t="s">
        <v>1269</v>
      </c>
      <c r="B335" s="2" t="s">
        <v>130</v>
      </c>
      <c r="C335" s="2" t="s">
        <v>101</v>
      </c>
      <c r="D335" s="2" t="s">
        <v>1270</v>
      </c>
      <c r="E335" s="2" t="s">
        <v>1271</v>
      </c>
      <c r="F335" s="2">
        <v>0</v>
      </c>
      <c r="G335" s="2">
        <v>0</v>
      </c>
      <c r="H335" s="2">
        <v>3000</v>
      </c>
      <c r="I335" s="2" t="s">
        <v>159</v>
      </c>
      <c r="J335" s="2" t="s">
        <v>160</v>
      </c>
      <c r="K335" s="2" t="s">
        <v>161</v>
      </c>
      <c r="L335" s="2" t="s">
        <v>250</v>
      </c>
      <c r="M335" s="2" t="s">
        <v>78</v>
      </c>
      <c r="N335" s="2" t="str">
        <f t="shared" si="5"/>
        <v>22043-8139</v>
      </c>
    </row>
    <row r="336" spans="1:14" x14ac:dyDescent="0.25">
      <c r="N336" s="2">
        <f t="shared" si="5"/>
        <v>0</v>
      </c>
    </row>
    <row r="337" spans="14:14" x14ac:dyDescent="0.25">
      <c r="N337" s="2">
        <f t="shared" si="5"/>
        <v>0</v>
      </c>
    </row>
    <row r="338" spans="14:14" x14ac:dyDescent="0.25">
      <c r="N338" s="2">
        <f t="shared" si="5"/>
        <v>0</v>
      </c>
    </row>
    <row r="339" spans="14:14" x14ac:dyDescent="0.25">
      <c r="N339" s="2">
        <f t="shared" si="5"/>
        <v>0</v>
      </c>
    </row>
    <row r="340" spans="14:14" x14ac:dyDescent="0.25">
      <c r="N340" s="2">
        <f t="shared" si="5"/>
        <v>0</v>
      </c>
    </row>
    <row r="341" spans="14:14" x14ac:dyDescent="0.25">
      <c r="N341" s="2">
        <f t="shared" si="5"/>
        <v>0</v>
      </c>
    </row>
    <row r="342" spans="14:14" x14ac:dyDescent="0.25">
      <c r="N342" s="2">
        <f t="shared" si="5"/>
        <v>0</v>
      </c>
    </row>
    <row r="343" spans="14:14" x14ac:dyDescent="0.25">
      <c r="N343" s="2">
        <f t="shared" si="5"/>
        <v>0</v>
      </c>
    </row>
    <row r="344" spans="14:14" x14ac:dyDescent="0.25">
      <c r="N344" s="2">
        <f t="shared" si="5"/>
        <v>0</v>
      </c>
    </row>
    <row r="345" spans="14:14" x14ac:dyDescent="0.25">
      <c r="N345" s="2">
        <f t="shared" si="5"/>
        <v>0</v>
      </c>
    </row>
    <row r="346" spans="14:14" x14ac:dyDescent="0.25">
      <c r="N346" s="2">
        <f t="shared" si="5"/>
        <v>0</v>
      </c>
    </row>
    <row r="347" spans="14:14" x14ac:dyDescent="0.25">
      <c r="N347" s="2">
        <f t="shared" si="5"/>
        <v>0</v>
      </c>
    </row>
    <row r="348" spans="14:14" x14ac:dyDescent="0.25">
      <c r="N348" s="2">
        <f t="shared" si="5"/>
        <v>0</v>
      </c>
    </row>
    <row r="349" spans="14:14" x14ac:dyDescent="0.25">
      <c r="N349" s="2">
        <f t="shared" si="5"/>
        <v>0</v>
      </c>
    </row>
    <row r="350" spans="14:14" x14ac:dyDescent="0.25">
      <c r="N350" s="2">
        <f t="shared" si="5"/>
        <v>0</v>
      </c>
    </row>
    <row r="351" spans="14:14" x14ac:dyDescent="0.25">
      <c r="N351" s="2">
        <f t="shared" si="5"/>
        <v>0</v>
      </c>
    </row>
    <row r="352" spans="14:14" x14ac:dyDescent="0.25">
      <c r="N352" s="2">
        <f t="shared" si="5"/>
        <v>0</v>
      </c>
    </row>
    <row r="353" spans="14:14" x14ac:dyDescent="0.25">
      <c r="N353" s="2">
        <f t="shared" si="5"/>
        <v>0</v>
      </c>
    </row>
    <row r="354" spans="14:14" x14ac:dyDescent="0.25">
      <c r="N354" s="2">
        <f t="shared" si="5"/>
        <v>0</v>
      </c>
    </row>
    <row r="355" spans="14:14" x14ac:dyDescent="0.25">
      <c r="N355" s="2">
        <f t="shared" si="5"/>
        <v>0</v>
      </c>
    </row>
    <row r="356" spans="14:14" x14ac:dyDescent="0.25">
      <c r="N356" s="2">
        <f t="shared" si="5"/>
        <v>0</v>
      </c>
    </row>
    <row r="357" spans="14:14" x14ac:dyDescent="0.25">
      <c r="N357" s="2">
        <f t="shared" si="5"/>
        <v>0</v>
      </c>
    </row>
    <row r="358" spans="14:14" x14ac:dyDescent="0.25">
      <c r="N358" s="2">
        <f t="shared" si="5"/>
        <v>0</v>
      </c>
    </row>
    <row r="359" spans="14:14" x14ac:dyDescent="0.25">
      <c r="N359" s="2">
        <f t="shared" si="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1" sqref="E11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17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Basketball Solver'!N10</f>
        <v>153.97245940873381</v>
      </c>
      <c r="E15" s="36"/>
      <c r="F15" s="41" t="str">
        <f>'Fanduel Basketball Solver'!N16</f>
        <v>Auston Matthews</v>
      </c>
      <c r="G15" s="40" t="str">
        <f>'Fanduel Basketball Solver'!N17</f>
        <v>Logan Couture</v>
      </c>
      <c r="H15" s="41" t="str">
        <f>'Fanduel Basketball Solver'!N18</f>
        <v>Johnny Gaudreau</v>
      </c>
      <c r="I15" s="40" t="str">
        <f>'Fanduel Basketball Solver'!N19</f>
        <v>Evander Kane</v>
      </c>
      <c r="J15" s="41" t="str">
        <f>'Fanduel Basketball Solver'!N24</f>
        <v>Sergei Bobrovsky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Basketball Solver'!N7</f>
        <v>59700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Solver'!N20</f>
        <v>Blake Wheeler</v>
      </c>
      <c r="G17" s="41" t="str">
        <f>'Fanduel Basketball Solver'!N21</f>
        <v>Brian Gibbons</v>
      </c>
      <c r="H17" s="40" t="str">
        <f>'Fanduel Basketball Solver'!N22</f>
        <v>Roman Josi</v>
      </c>
      <c r="I17" s="41" t="str">
        <f>'Fanduel Basketball Solver'!N23</f>
        <v>Jared Spurgeon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NextSet">
                <anchor moveWithCells="1" sizeWithCells="1">
                  <from>
                    <xdr:col>7</xdr:col>
                    <xdr:colOff>28575</xdr:colOff>
                    <xdr:row>7</xdr:row>
                    <xdr:rowOff>95250</xdr:rowOff>
                  </from>
                  <to>
                    <xdr:col>7</xdr:col>
                    <xdr:colOff>1066800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2"/>
  <sheetViews>
    <sheetView zoomScale="80" zoomScaleNormal="80" workbookViewId="0">
      <selection activeCell="G5" sqref="G5"/>
    </sheetView>
  </sheetViews>
  <sheetFormatPr defaultRowHeight="15" x14ac:dyDescent="0.25"/>
  <cols>
    <col min="1" max="2" width="14.140625" bestFit="1" customWidth="1"/>
    <col min="3" max="4" width="13.7109375" bestFit="1" customWidth="1"/>
    <col min="5" max="9" width="14.140625" bestFit="1" customWidth="1"/>
  </cols>
  <sheetData>
    <row r="1" spans="1:9" x14ac:dyDescent="0.25">
      <c r="A1" t="str">
        <f>'Fanduel Basketball Solver'!O16</f>
        <v>22043-70899</v>
      </c>
      <c r="B1" t="str">
        <f>'Fanduel Basketball Solver'!O17</f>
        <v>22043-9269</v>
      </c>
      <c r="C1" t="str">
        <f>'Fanduel Basketball Solver'!O18</f>
        <v>22043-54514</v>
      </c>
      <c r="D1" t="str">
        <f>'Fanduel Basketball Solver'!O19</f>
        <v>22043-9092</v>
      </c>
      <c r="E1" t="str">
        <f>'Fanduel Basketball Solver'!O20</f>
        <v>22043-8182</v>
      </c>
      <c r="F1" t="str">
        <f>'Fanduel Basketball Solver'!O21</f>
        <v>22043-14158</v>
      </c>
      <c r="G1" t="str">
        <f>'Fanduel Basketball Solver'!O22</f>
        <v>22043-12262</v>
      </c>
      <c r="H1" t="str">
        <f>'Fanduel Basketball Solver'!O23</f>
        <v>22043-12812</v>
      </c>
      <c r="I1" t="str">
        <f>'Fanduel Basketball Solver'!O24</f>
        <v>22043-12163</v>
      </c>
    </row>
    <row r="11" spans="1:9" x14ac:dyDescent="0.2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Hi">
                <anchor moveWithCells="1" sizeWithCells="1">
                  <from>
                    <xdr:col>1</xdr:col>
                    <xdr:colOff>361950</xdr:colOff>
                    <xdr:row>2</xdr:row>
                    <xdr:rowOff>28575</xdr:rowOff>
                  </from>
                  <to>
                    <xdr:col>5</xdr:col>
                    <xdr:colOff>638175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2017-11-20T17:55:13Z</dcterms:modified>
</cp:coreProperties>
</file>