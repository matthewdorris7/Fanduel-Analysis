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College\Algorithms\"/>
    </mc:Choice>
  </mc:AlternateContent>
  <bookViews>
    <workbookView xWindow="0" yWindow="0" windowWidth="8550" windowHeight="7275" activeTab="2"/>
  </bookViews>
  <sheets>
    <sheet name="DraftKings Basketball  Solver" sheetId="2" r:id="rId1"/>
    <sheet name="RawData" sheetId="5" r:id="rId2"/>
    <sheet name="Optimizer" sheetId="4" r:id="rId3"/>
  </sheets>
  <definedNames>
    <definedName name="solver_adj" localSheetId="0" hidden="1">'DraftKings Basketball  Solver'!$C$2:$C$150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ng" localSheetId="2" hidden="1">1</definedName>
    <definedName name="solver_est" localSheetId="0" hidden="1">1</definedName>
    <definedName name="solver_itr" localSheetId="0" hidden="1">2147483647</definedName>
    <definedName name="solver_lhs0" localSheetId="0" hidden="1">'DraftKings Basketball  Solver'!$P$4</definedName>
    <definedName name="solver_lhs1" localSheetId="0" hidden="1">'DraftKings Basketball  Solver'!$C$2:$C$150</definedName>
    <definedName name="solver_lhs10" localSheetId="0" hidden="1">'DraftKings Basketball  Solver'!$P$4</definedName>
    <definedName name="solver_lhs11" localSheetId="0" hidden="1">'DraftKings Basketball  Solver'!$P$7</definedName>
    <definedName name="solver_lhs12" localSheetId="0" hidden="1">'DraftKings Basketball  Solver'!$P$6</definedName>
    <definedName name="solver_lhs13" localSheetId="0" hidden="1">'DraftKings Basketball  Solver'!$P$7</definedName>
    <definedName name="solver_lhs14" localSheetId="0" hidden="1">'DraftKings Basketball  Solver'!#REF!</definedName>
    <definedName name="solver_lhs15" localSheetId="0" hidden="1">'DraftKings Basketball  Solver'!$P$7</definedName>
    <definedName name="solver_lhs16" localSheetId="0" hidden="1">'DraftKings Basketball  Solver'!$P$5</definedName>
    <definedName name="solver_lhs17" localSheetId="0" hidden="1">'DraftKings Basketball  Solver'!#REF!</definedName>
    <definedName name="solver_lhs2" localSheetId="0" hidden="1">'DraftKings Basketball  Solver'!$O$14</definedName>
    <definedName name="solver_lhs3" localSheetId="0" hidden="1">'DraftKings Basketball  Solver'!$O$6</definedName>
    <definedName name="solver_lhs4" localSheetId="0" hidden="1">'DraftKings Basketball  Solver'!$O$8</definedName>
    <definedName name="solver_lhs5" localSheetId="0" hidden="1">'DraftKings Basketball  Solver'!$P$2</definedName>
    <definedName name="solver_lhs6" localSheetId="0" hidden="1">'DraftKings Basketball  Solver'!$P$3</definedName>
    <definedName name="solver_lhs7" localSheetId="0" hidden="1">'DraftKings Basketball  Solver'!$P$4</definedName>
    <definedName name="solver_lhs8" localSheetId="0" hidden="1">'DraftKings Basketball  Solver'!$P$5</definedName>
    <definedName name="solver_lhs9" localSheetId="0" hidden="1">'DraftKings Basketball  Solver'!$P$4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eg" localSheetId="2" hidden="1">1</definedName>
    <definedName name="solver_nod" localSheetId="0" hidden="1">2147483647</definedName>
    <definedName name="solver_num" localSheetId="0" hidden="1">8</definedName>
    <definedName name="solver_num" localSheetId="2" hidden="1">0</definedName>
    <definedName name="solver_nwt" localSheetId="0" hidden="1">1</definedName>
    <definedName name="solver_opt" localSheetId="0" hidden="1">'DraftKings Basketball  Solver'!$O$11</definedName>
    <definedName name="solver_opt" localSheetId="2" hidden="1">Optimizer!$D$15</definedName>
    <definedName name="solver_pre" localSheetId="0" hidden="1">0.000001</definedName>
    <definedName name="solver_rbv" localSheetId="0" hidden="1">2</definedName>
    <definedName name="solver_rel0" localSheetId="0" hidden="1">1</definedName>
    <definedName name="solver_rel1" localSheetId="0" hidden="1">5</definedName>
    <definedName name="solver_rel10" localSheetId="0" hidden="1">1</definedName>
    <definedName name="solver_rel11" localSheetId="0" hidden="1">1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2" localSheetId="0" hidden="1">2</definedName>
    <definedName name="solver_rel3" localSheetId="0" hidden="1">2</definedName>
    <definedName name="solver_rel4" localSheetId="0" hidden="1">1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el8" localSheetId="0" hidden="1">2</definedName>
    <definedName name="solver_rel9" localSheetId="0" hidden="1">1</definedName>
    <definedName name="solver_rhs0" localSheetId="0" hidden="1">'DraftKings Basketball  Solver'!$O$4</definedName>
    <definedName name="solver_rhs1" localSheetId="0" hidden="1">binary</definedName>
    <definedName name="solver_rhs10" localSheetId="0" hidden="1">'DraftKings Basketball  Solver'!$O$4</definedName>
    <definedName name="solver_rhs11" localSheetId="0" hidden="1">'DraftKings Basketball  Solver'!$O$7</definedName>
    <definedName name="solver_rhs12" localSheetId="0" hidden="1">'DraftKings Basketball  Solver'!$O$6</definedName>
    <definedName name="solver_rhs13" localSheetId="0" hidden="1">'DraftKings Basketball  Solver'!#REF!</definedName>
    <definedName name="solver_rhs14" localSheetId="0" hidden="1">'DraftKings Basketball  Solver'!#REF!</definedName>
    <definedName name="solver_rhs15" localSheetId="0" hidden="1">'DraftKings Basketball  Solver'!#REF!</definedName>
    <definedName name="solver_rhs16" localSheetId="0" hidden="1">'DraftKings Basketball  Solver'!$O$5</definedName>
    <definedName name="solver_rhs17" localSheetId="0" hidden="1">'DraftKings Basketball  Solver'!#REF!</definedName>
    <definedName name="solver_rhs2" localSheetId="0" hidden="1">'DraftKings Basketball  Solver'!$O$13</definedName>
    <definedName name="solver_rhs3" localSheetId="0" hidden="1">'DraftKings Basketball  Solver'!$P$6</definedName>
    <definedName name="solver_rhs4" localSheetId="0" hidden="1">'DraftKings Basketball  Solver'!$O$9</definedName>
    <definedName name="solver_rhs5" localSheetId="0" hidden="1">'DraftKings Basketball  Solver'!$O$2</definedName>
    <definedName name="solver_rhs6" localSheetId="0" hidden="1">'DraftKings Basketball  Solver'!$O$3</definedName>
    <definedName name="solver_rhs7" localSheetId="0" hidden="1">'DraftKings Basketball  Solver'!$O$4</definedName>
    <definedName name="solver_rhs8" localSheetId="0" hidden="1">'DraftKings Basketball  Solver'!$O$5</definedName>
    <definedName name="solver_rhs9" localSheetId="0" hidden="1">'DraftKings Basketball  Solver'!$O$4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typ" localSheetId="2" hidden="1">1</definedName>
    <definedName name="solver_val" localSheetId="0" hidden="1">0</definedName>
    <definedName name="solver_val" localSheetId="2" hidden="1">0</definedName>
    <definedName name="solver_ver" localSheetId="0" hidden="1">3</definedName>
    <definedName name="solver_ver" localSheetId="2" hidden="1">3</definedName>
  </definedNames>
  <calcPr calcId="171027"/>
</workbook>
</file>

<file path=xl/calcChain.xml><?xml version="1.0" encoding="utf-8"?>
<calcChain xmlns="http://schemas.openxmlformats.org/spreadsheetml/2006/main"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2" i="2"/>
  <c r="M101" i="2" l="1"/>
  <c r="F101" i="2" s="1"/>
  <c r="G101" i="2"/>
  <c r="M100" i="2"/>
  <c r="F100" i="2" s="1"/>
  <c r="G100" i="2"/>
  <c r="M99" i="2"/>
  <c r="F99" i="2" s="1"/>
  <c r="G99" i="2"/>
  <c r="M98" i="2"/>
  <c r="F98" i="2" s="1"/>
  <c r="G98" i="2"/>
  <c r="M97" i="2"/>
  <c r="F97" i="2" s="1"/>
  <c r="G97" i="2"/>
  <c r="M96" i="2"/>
  <c r="F96" i="2" s="1"/>
  <c r="G96" i="2"/>
  <c r="M95" i="2"/>
  <c r="F95" i="2" s="1"/>
  <c r="G95" i="2"/>
  <c r="M94" i="2"/>
  <c r="F94" i="2" s="1"/>
  <c r="G94" i="2"/>
  <c r="M93" i="2"/>
  <c r="F93" i="2" s="1"/>
  <c r="G93" i="2"/>
  <c r="M92" i="2"/>
  <c r="F92" i="2" s="1"/>
  <c r="G92" i="2"/>
  <c r="M91" i="2"/>
  <c r="F91" i="2" s="1"/>
  <c r="G91" i="2"/>
  <c r="M90" i="2"/>
  <c r="F90" i="2" s="1"/>
  <c r="G90" i="2"/>
  <c r="M89" i="2"/>
  <c r="F89" i="2" s="1"/>
  <c r="G89" i="2"/>
  <c r="M88" i="2"/>
  <c r="F88" i="2" s="1"/>
  <c r="G88" i="2"/>
  <c r="M87" i="2"/>
  <c r="F87" i="2" s="1"/>
  <c r="G87" i="2"/>
  <c r="M86" i="2"/>
  <c r="F86" i="2" s="1"/>
  <c r="G86" i="2"/>
  <c r="M85" i="2"/>
  <c r="F85" i="2" s="1"/>
  <c r="G85" i="2"/>
  <c r="M84" i="2"/>
  <c r="F84" i="2" s="1"/>
  <c r="G84" i="2"/>
  <c r="M83" i="2"/>
  <c r="F83" i="2" s="1"/>
  <c r="G83" i="2"/>
  <c r="M82" i="2"/>
  <c r="F82" i="2" s="1"/>
  <c r="G82" i="2"/>
  <c r="M81" i="2"/>
  <c r="F81" i="2" s="1"/>
  <c r="G81" i="2"/>
  <c r="M80" i="2"/>
  <c r="F80" i="2" s="1"/>
  <c r="G80" i="2"/>
  <c r="M79" i="2"/>
  <c r="F79" i="2" s="1"/>
  <c r="G79" i="2"/>
  <c r="M78" i="2"/>
  <c r="F78" i="2" s="1"/>
  <c r="G78" i="2"/>
  <c r="M77" i="2"/>
  <c r="F77" i="2" s="1"/>
  <c r="G77" i="2"/>
  <c r="M76" i="2"/>
  <c r="F76" i="2" s="1"/>
  <c r="G76" i="2"/>
  <c r="M75" i="2"/>
  <c r="F75" i="2" s="1"/>
  <c r="G75" i="2"/>
  <c r="M74" i="2"/>
  <c r="F74" i="2" s="1"/>
  <c r="G74" i="2"/>
  <c r="M73" i="2"/>
  <c r="F73" i="2" s="1"/>
  <c r="G73" i="2"/>
  <c r="M72" i="2"/>
  <c r="F72" i="2" s="1"/>
  <c r="G72" i="2"/>
  <c r="M71" i="2"/>
  <c r="F71" i="2" s="1"/>
  <c r="G71" i="2"/>
  <c r="M70" i="2"/>
  <c r="F70" i="2" s="1"/>
  <c r="G70" i="2"/>
  <c r="M69" i="2"/>
  <c r="F69" i="2" s="1"/>
  <c r="G69" i="2"/>
  <c r="M68" i="2"/>
  <c r="F68" i="2" s="1"/>
  <c r="G68" i="2"/>
  <c r="M67" i="2"/>
  <c r="F67" i="2" s="1"/>
  <c r="G67" i="2"/>
  <c r="M66" i="2"/>
  <c r="F66" i="2" s="1"/>
  <c r="G66" i="2"/>
  <c r="M65" i="2"/>
  <c r="F65" i="2" s="1"/>
  <c r="G65" i="2"/>
  <c r="M64" i="2"/>
  <c r="F64" i="2" s="1"/>
  <c r="G64" i="2"/>
  <c r="M63" i="2"/>
  <c r="F63" i="2" s="1"/>
  <c r="G63" i="2"/>
  <c r="M62" i="2"/>
  <c r="F62" i="2" s="1"/>
  <c r="G62" i="2"/>
  <c r="M61" i="2"/>
  <c r="F61" i="2" s="1"/>
  <c r="G61" i="2"/>
  <c r="M60" i="2"/>
  <c r="F60" i="2" s="1"/>
  <c r="G60" i="2"/>
  <c r="M59" i="2"/>
  <c r="F59" i="2" s="1"/>
  <c r="G59" i="2"/>
  <c r="M58" i="2"/>
  <c r="F58" i="2" s="1"/>
  <c r="G58" i="2"/>
  <c r="M57" i="2"/>
  <c r="F57" i="2" s="1"/>
  <c r="G57" i="2"/>
  <c r="M56" i="2"/>
  <c r="F56" i="2" s="1"/>
  <c r="G56" i="2"/>
  <c r="M55" i="2"/>
  <c r="F55" i="2" s="1"/>
  <c r="G55" i="2"/>
  <c r="M54" i="2"/>
  <c r="F54" i="2" s="1"/>
  <c r="G54" i="2"/>
  <c r="M53" i="2"/>
  <c r="F53" i="2" s="1"/>
  <c r="G53" i="2"/>
  <c r="M52" i="2"/>
  <c r="F52" i="2" s="1"/>
  <c r="G52" i="2"/>
  <c r="M51" i="2"/>
  <c r="F51" i="2" s="1"/>
  <c r="G51" i="2"/>
  <c r="M50" i="2"/>
  <c r="F50" i="2" s="1"/>
  <c r="G50" i="2"/>
  <c r="M49" i="2"/>
  <c r="F49" i="2" s="1"/>
  <c r="G49" i="2"/>
  <c r="M48" i="2"/>
  <c r="F48" i="2" s="1"/>
  <c r="G48" i="2"/>
  <c r="M47" i="2"/>
  <c r="F47" i="2" s="1"/>
  <c r="G47" i="2"/>
  <c r="M46" i="2"/>
  <c r="F46" i="2" s="1"/>
  <c r="G46" i="2"/>
  <c r="M45" i="2"/>
  <c r="F45" i="2" s="1"/>
  <c r="G45" i="2"/>
  <c r="M44" i="2"/>
  <c r="F44" i="2" s="1"/>
  <c r="G44" i="2"/>
  <c r="M43" i="2"/>
  <c r="F43" i="2" s="1"/>
  <c r="G43" i="2"/>
  <c r="M42" i="2"/>
  <c r="F42" i="2" s="1"/>
  <c r="G42" i="2"/>
  <c r="M41" i="2"/>
  <c r="F41" i="2" s="1"/>
  <c r="G41" i="2"/>
  <c r="M40" i="2"/>
  <c r="F40" i="2" s="1"/>
  <c r="G40" i="2"/>
  <c r="M39" i="2"/>
  <c r="F39" i="2" s="1"/>
  <c r="G39" i="2"/>
  <c r="M38" i="2"/>
  <c r="F38" i="2" s="1"/>
  <c r="G38" i="2"/>
  <c r="M37" i="2"/>
  <c r="F37" i="2" s="1"/>
  <c r="G37" i="2"/>
  <c r="M36" i="2"/>
  <c r="F36" i="2" s="1"/>
  <c r="G36" i="2"/>
  <c r="M35" i="2"/>
  <c r="F35" i="2" s="1"/>
  <c r="G35" i="2"/>
  <c r="M34" i="2"/>
  <c r="F34" i="2" s="1"/>
  <c r="G34" i="2"/>
  <c r="M33" i="2"/>
  <c r="F33" i="2" s="1"/>
  <c r="G33" i="2"/>
  <c r="M32" i="2"/>
  <c r="F32" i="2" s="1"/>
  <c r="G32" i="2"/>
  <c r="M31" i="2"/>
  <c r="F31" i="2" s="1"/>
  <c r="G31" i="2"/>
  <c r="M30" i="2"/>
  <c r="F30" i="2" s="1"/>
  <c r="G30" i="2"/>
  <c r="M29" i="2"/>
  <c r="F29" i="2" s="1"/>
  <c r="G29" i="2"/>
  <c r="M28" i="2"/>
  <c r="F28" i="2" s="1"/>
  <c r="G28" i="2"/>
  <c r="M27" i="2"/>
  <c r="F27" i="2" s="1"/>
  <c r="G27" i="2"/>
  <c r="M26" i="2"/>
  <c r="F26" i="2" s="1"/>
  <c r="G26" i="2"/>
  <c r="M25" i="2"/>
  <c r="F25" i="2" s="1"/>
  <c r="G25" i="2"/>
  <c r="M24" i="2"/>
  <c r="F24" i="2" s="1"/>
  <c r="G24" i="2"/>
  <c r="M23" i="2"/>
  <c r="F23" i="2" s="1"/>
  <c r="G23" i="2"/>
  <c r="M22" i="2"/>
  <c r="F22" i="2" s="1"/>
  <c r="G22" i="2"/>
  <c r="M21" i="2"/>
  <c r="F21" i="2" s="1"/>
  <c r="G21" i="2"/>
  <c r="M20" i="2"/>
  <c r="F20" i="2" s="1"/>
  <c r="G20" i="2"/>
  <c r="M19" i="2"/>
  <c r="F19" i="2" s="1"/>
  <c r="G19" i="2"/>
  <c r="M18" i="2"/>
  <c r="F18" i="2" s="1"/>
  <c r="G18" i="2"/>
  <c r="M17" i="2"/>
  <c r="F17" i="2" s="1"/>
  <c r="G17" i="2"/>
  <c r="M16" i="2"/>
  <c r="F16" i="2" s="1"/>
  <c r="G16" i="2"/>
  <c r="M15" i="2"/>
  <c r="F15" i="2" s="1"/>
  <c r="G15" i="2"/>
  <c r="O14" i="2"/>
  <c r="M14" i="2"/>
  <c r="F14" i="2" s="1"/>
  <c r="G14" i="2"/>
  <c r="M13" i="2"/>
  <c r="F13" i="2" s="1"/>
  <c r="G13" i="2"/>
  <c r="M12" i="2"/>
  <c r="F12" i="2" s="1"/>
  <c r="G12" i="2"/>
  <c r="D3" i="2" l="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2" i="2"/>
  <c r="M3" i="2"/>
  <c r="F3" i="2" s="1"/>
  <c r="M4" i="2"/>
  <c r="F4" i="2" s="1"/>
  <c r="M5" i="2"/>
  <c r="F5" i="2" s="1"/>
  <c r="M6" i="2"/>
  <c r="F6" i="2" s="1"/>
  <c r="M7" i="2"/>
  <c r="F7" i="2" s="1"/>
  <c r="M8" i="2"/>
  <c r="F8" i="2" s="1"/>
  <c r="M9" i="2"/>
  <c r="F9" i="2" s="1"/>
  <c r="M10" i="2"/>
  <c r="F10" i="2" s="1"/>
  <c r="M11" i="2"/>
  <c r="F11" i="2" s="1"/>
  <c r="M2" i="2"/>
  <c r="F2" i="2" s="1"/>
  <c r="G3" i="2"/>
  <c r="G4" i="2"/>
  <c r="G5" i="2"/>
  <c r="G6" i="2"/>
  <c r="G7" i="2"/>
  <c r="G8" i="2"/>
  <c r="G9" i="2"/>
  <c r="G10" i="2"/>
  <c r="G11" i="2"/>
  <c r="G2" i="2"/>
  <c r="I94" i="2" l="1"/>
  <c r="J94" i="2"/>
  <c r="K94" i="2"/>
  <c r="L94" i="2"/>
  <c r="H94" i="2"/>
  <c r="I90" i="2"/>
  <c r="J90" i="2"/>
  <c r="K90" i="2"/>
  <c r="L90" i="2"/>
  <c r="H90" i="2"/>
  <c r="I82" i="2"/>
  <c r="J82" i="2"/>
  <c r="K82" i="2"/>
  <c r="L82" i="2"/>
  <c r="H82" i="2"/>
  <c r="I74" i="2"/>
  <c r="J74" i="2"/>
  <c r="K74" i="2"/>
  <c r="L74" i="2"/>
  <c r="H74" i="2"/>
  <c r="I66" i="2"/>
  <c r="K66" i="2"/>
  <c r="L66" i="2"/>
  <c r="J66" i="2"/>
  <c r="H66" i="2"/>
  <c r="I54" i="2"/>
  <c r="K54" i="2"/>
  <c r="L54" i="2"/>
  <c r="J54" i="2"/>
  <c r="H54" i="2"/>
  <c r="I50" i="2"/>
  <c r="K50" i="2"/>
  <c r="L50" i="2"/>
  <c r="J50" i="2"/>
  <c r="H50" i="2"/>
  <c r="I42" i="2"/>
  <c r="K42" i="2"/>
  <c r="L42" i="2"/>
  <c r="J42" i="2"/>
  <c r="H42" i="2"/>
  <c r="I34" i="2"/>
  <c r="K34" i="2"/>
  <c r="L34" i="2"/>
  <c r="J34" i="2"/>
  <c r="H34" i="2"/>
  <c r="I26" i="2"/>
  <c r="K26" i="2"/>
  <c r="L26" i="2"/>
  <c r="J26" i="2"/>
  <c r="H26" i="2"/>
  <c r="J18" i="2"/>
  <c r="I18" i="2"/>
  <c r="L18" i="2"/>
  <c r="K18" i="2"/>
  <c r="H18" i="2"/>
  <c r="I97" i="2"/>
  <c r="H97" i="2"/>
  <c r="J97" i="2"/>
  <c r="K97" i="2"/>
  <c r="L97" i="2"/>
  <c r="I89" i="2"/>
  <c r="H89" i="2"/>
  <c r="J89" i="2"/>
  <c r="K89" i="2"/>
  <c r="L89" i="2"/>
  <c r="I81" i="2"/>
  <c r="H81" i="2"/>
  <c r="J81" i="2"/>
  <c r="K81" i="2"/>
  <c r="L81" i="2"/>
  <c r="I69" i="2"/>
  <c r="H69" i="2"/>
  <c r="J69" i="2"/>
  <c r="L69" i="2"/>
  <c r="K69" i="2"/>
  <c r="I65" i="2"/>
  <c r="J65" i="2"/>
  <c r="H65" i="2"/>
  <c r="L65" i="2"/>
  <c r="K65" i="2"/>
  <c r="I57" i="2"/>
  <c r="J57" i="2"/>
  <c r="H57" i="2"/>
  <c r="L57" i="2"/>
  <c r="K57" i="2"/>
  <c r="I49" i="2"/>
  <c r="J49" i="2"/>
  <c r="H49" i="2"/>
  <c r="L49" i="2"/>
  <c r="K49" i="2"/>
  <c r="I41" i="2"/>
  <c r="J41" i="2"/>
  <c r="H41" i="2"/>
  <c r="L41" i="2"/>
  <c r="K41" i="2"/>
  <c r="I33" i="2"/>
  <c r="J33" i="2"/>
  <c r="H33" i="2"/>
  <c r="L33" i="2"/>
  <c r="K33" i="2"/>
  <c r="I25" i="2"/>
  <c r="J25" i="2"/>
  <c r="H25" i="2"/>
  <c r="L25" i="2"/>
  <c r="K25" i="2"/>
  <c r="J17" i="2"/>
  <c r="I17" i="2"/>
  <c r="K17" i="2"/>
  <c r="H17" i="2"/>
  <c r="L17" i="2"/>
  <c r="I100" i="2"/>
  <c r="L100" i="2"/>
  <c r="H100" i="2"/>
  <c r="K100" i="2"/>
  <c r="J100" i="2"/>
  <c r="I96" i="2"/>
  <c r="L96" i="2"/>
  <c r="H96" i="2"/>
  <c r="K96" i="2"/>
  <c r="J96" i="2"/>
  <c r="I92" i="2"/>
  <c r="L92" i="2"/>
  <c r="H92" i="2"/>
  <c r="K92" i="2"/>
  <c r="J92" i="2"/>
  <c r="I88" i="2"/>
  <c r="L88" i="2"/>
  <c r="H88" i="2"/>
  <c r="K88" i="2"/>
  <c r="J88" i="2"/>
  <c r="I84" i="2"/>
  <c r="L84" i="2"/>
  <c r="H84" i="2"/>
  <c r="K84" i="2"/>
  <c r="J84" i="2"/>
  <c r="I80" i="2"/>
  <c r="L80" i="2"/>
  <c r="H80" i="2"/>
  <c r="K80" i="2"/>
  <c r="J80" i="2"/>
  <c r="I76" i="2"/>
  <c r="L76" i="2"/>
  <c r="H76" i="2"/>
  <c r="K76" i="2"/>
  <c r="J76" i="2"/>
  <c r="I72" i="2"/>
  <c r="L72" i="2"/>
  <c r="H72" i="2"/>
  <c r="K72" i="2"/>
  <c r="J72" i="2"/>
  <c r="I68" i="2"/>
  <c r="L68" i="2"/>
  <c r="H68" i="2"/>
  <c r="K68" i="2"/>
  <c r="J68" i="2"/>
  <c r="I64" i="2"/>
  <c r="H64" i="2"/>
  <c r="L64" i="2"/>
  <c r="K64" i="2"/>
  <c r="J64" i="2"/>
  <c r="I60" i="2"/>
  <c r="H60" i="2"/>
  <c r="L60" i="2"/>
  <c r="K60" i="2"/>
  <c r="J60" i="2"/>
  <c r="I56" i="2"/>
  <c r="H56" i="2"/>
  <c r="L56" i="2"/>
  <c r="K56" i="2"/>
  <c r="J56" i="2"/>
  <c r="I52" i="2"/>
  <c r="H52" i="2"/>
  <c r="L52" i="2"/>
  <c r="K52" i="2"/>
  <c r="J52" i="2"/>
  <c r="I48" i="2"/>
  <c r="H48" i="2"/>
  <c r="L48" i="2"/>
  <c r="K48" i="2"/>
  <c r="J48" i="2"/>
  <c r="I44" i="2"/>
  <c r="H44" i="2"/>
  <c r="L44" i="2"/>
  <c r="K44" i="2"/>
  <c r="J44" i="2"/>
  <c r="I40" i="2"/>
  <c r="H40" i="2"/>
  <c r="L40" i="2"/>
  <c r="K40" i="2"/>
  <c r="J40" i="2"/>
  <c r="I36" i="2"/>
  <c r="H36" i="2"/>
  <c r="L36" i="2"/>
  <c r="K36" i="2"/>
  <c r="J36" i="2"/>
  <c r="I32" i="2"/>
  <c r="H32" i="2"/>
  <c r="L32" i="2"/>
  <c r="K32" i="2"/>
  <c r="J32" i="2"/>
  <c r="I28" i="2"/>
  <c r="H28" i="2"/>
  <c r="L28" i="2"/>
  <c r="K28" i="2"/>
  <c r="J28" i="2"/>
  <c r="I24" i="2"/>
  <c r="H24" i="2"/>
  <c r="L24" i="2"/>
  <c r="K24" i="2"/>
  <c r="J24" i="2"/>
  <c r="L20" i="2"/>
  <c r="H20" i="2"/>
  <c r="I20" i="2"/>
  <c r="K20" i="2"/>
  <c r="J20" i="2"/>
  <c r="J16" i="2"/>
  <c r="I16" i="2"/>
  <c r="L16" i="2"/>
  <c r="K16" i="2"/>
  <c r="H16" i="2"/>
  <c r="K12" i="2"/>
  <c r="J12" i="2"/>
  <c r="L12" i="2"/>
  <c r="I12" i="2"/>
  <c r="H12" i="2"/>
  <c r="I98" i="2"/>
  <c r="J98" i="2"/>
  <c r="K98" i="2"/>
  <c r="L98" i="2"/>
  <c r="H98" i="2"/>
  <c r="I86" i="2"/>
  <c r="J86" i="2"/>
  <c r="K86" i="2"/>
  <c r="L86" i="2"/>
  <c r="H86" i="2"/>
  <c r="I78" i="2"/>
  <c r="J78" i="2"/>
  <c r="K78" i="2"/>
  <c r="L78" i="2"/>
  <c r="H78" i="2"/>
  <c r="I70" i="2"/>
  <c r="J70" i="2"/>
  <c r="K70" i="2"/>
  <c r="L70" i="2"/>
  <c r="H70" i="2"/>
  <c r="I62" i="2"/>
  <c r="K62" i="2"/>
  <c r="L62" i="2"/>
  <c r="J62" i="2"/>
  <c r="H62" i="2"/>
  <c r="I58" i="2"/>
  <c r="K58" i="2"/>
  <c r="L58" i="2"/>
  <c r="J58" i="2"/>
  <c r="H58" i="2"/>
  <c r="I46" i="2"/>
  <c r="K46" i="2"/>
  <c r="L46" i="2"/>
  <c r="J46" i="2"/>
  <c r="H46" i="2"/>
  <c r="I38" i="2"/>
  <c r="K38" i="2"/>
  <c r="L38" i="2"/>
  <c r="J38" i="2"/>
  <c r="H38" i="2"/>
  <c r="I30" i="2"/>
  <c r="K30" i="2"/>
  <c r="L30" i="2"/>
  <c r="J30" i="2"/>
  <c r="H30" i="2"/>
  <c r="L22" i="2"/>
  <c r="H22" i="2"/>
  <c r="I22" i="2"/>
  <c r="J22" i="2"/>
  <c r="K22" i="2"/>
  <c r="K14" i="2"/>
  <c r="J14" i="2"/>
  <c r="I14" i="2"/>
  <c r="H14" i="2"/>
  <c r="L14" i="2"/>
  <c r="I101" i="2"/>
  <c r="H101" i="2"/>
  <c r="J101" i="2"/>
  <c r="K101" i="2"/>
  <c r="L101" i="2"/>
  <c r="I93" i="2"/>
  <c r="H93" i="2"/>
  <c r="J93" i="2"/>
  <c r="K93" i="2"/>
  <c r="L93" i="2"/>
  <c r="I85" i="2"/>
  <c r="H85" i="2"/>
  <c r="J85" i="2"/>
  <c r="K85" i="2"/>
  <c r="L85" i="2"/>
  <c r="I77" i="2"/>
  <c r="H77" i="2"/>
  <c r="J77" i="2"/>
  <c r="L77" i="2"/>
  <c r="K77" i="2"/>
  <c r="I73" i="2"/>
  <c r="H73" i="2"/>
  <c r="J73" i="2"/>
  <c r="L73" i="2"/>
  <c r="K73" i="2"/>
  <c r="I61" i="2"/>
  <c r="J61" i="2"/>
  <c r="H61" i="2"/>
  <c r="L61" i="2"/>
  <c r="K61" i="2"/>
  <c r="I53" i="2"/>
  <c r="J53" i="2"/>
  <c r="H53" i="2"/>
  <c r="L53" i="2"/>
  <c r="K53" i="2"/>
  <c r="I45" i="2"/>
  <c r="J45" i="2"/>
  <c r="H45" i="2"/>
  <c r="L45" i="2"/>
  <c r="K45" i="2"/>
  <c r="I37" i="2"/>
  <c r="J37" i="2"/>
  <c r="H37" i="2"/>
  <c r="L37" i="2"/>
  <c r="K37" i="2"/>
  <c r="I29" i="2"/>
  <c r="J29" i="2"/>
  <c r="H29" i="2"/>
  <c r="L29" i="2"/>
  <c r="K29" i="2"/>
  <c r="L21" i="2"/>
  <c r="H21" i="2"/>
  <c r="K21" i="2"/>
  <c r="J21" i="2"/>
  <c r="I21" i="2"/>
  <c r="K13" i="2"/>
  <c r="J13" i="2"/>
  <c r="L13" i="2"/>
  <c r="I13" i="2"/>
  <c r="H13" i="2"/>
  <c r="I99" i="2"/>
  <c r="K99" i="2"/>
  <c r="L99" i="2"/>
  <c r="H99" i="2"/>
  <c r="J99" i="2"/>
  <c r="I95" i="2"/>
  <c r="K95" i="2"/>
  <c r="L95" i="2"/>
  <c r="H95" i="2"/>
  <c r="J95" i="2"/>
  <c r="I91" i="2"/>
  <c r="K91" i="2"/>
  <c r="L91" i="2"/>
  <c r="H91" i="2"/>
  <c r="J91" i="2"/>
  <c r="I87" i="2"/>
  <c r="K87" i="2"/>
  <c r="L87" i="2"/>
  <c r="H87" i="2"/>
  <c r="J87" i="2"/>
  <c r="I83" i="2"/>
  <c r="K83" i="2"/>
  <c r="L83" i="2"/>
  <c r="H83" i="2"/>
  <c r="J83" i="2"/>
  <c r="I79" i="2"/>
  <c r="K79" i="2"/>
  <c r="L79" i="2"/>
  <c r="H79" i="2"/>
  <c r="J79" i="2"/>
  <c r="I75" i="2"/>
  <c r="K75" i="2"/>
  <c r="L75" i="2"/>
  <c r="H75" i="2"/>
  <c r="J75" i="2"/>
  <c r="I71" i="2"/>
  <c r="K71" i="2"/>
  <c r="L71" i="2"/>
  <c r="H71" i="2"/>
  <c r="J71" i="2"/>
  <c r="I67" i="2"/>
  <c r="K67" i="2"/>
  <c r="L67" i="2"/>
  <c r="H67" i="2"/>
  <c r="J67" i="2"/>
  <c r="I63" i="2"/>
  <c r="L63" i="2"/>
  <c r="H63" i="2"/>
  <c r="K63" i="2"/>
  <c r="J63" i="2"/>
  <c r="I59" i="2"/>
  <c r="L59" i="2"/>
  <c r="H59" i="2"/>
  <c r="K59" i="2"/>
  <c r="J59" i="2"/>
  <c r="I55" i="2"/>
  <c r="L55" i="2"/>
  <c r="H55" i="2"/>
  <c r="K55" i="2"/>
  <c r="J55" i="2"/>
  <c r="I51" i="2"/>
  <c r="L51" i="2"/>
  <c r="H51" i="2"/>
  <c r="K51" i="2"/>
  <c r="J51" i="2"/>
  <c r="I47" i="2"/>
  <c r="L47" i="2"/>
  <c r="H47" i="2"/>
  <c r="K47" i="2"/>
  <c r="J47" i="2"/>
  <c r="I43" i="2"/>
  <c r="L43" i="2"/>
  <c r="H43" i="2"/>
  <c r="K43" i="2"/>
  <c r="J43" i="2"/>
  <c r="I39" i="2"/>
  <c r="L39" i="2"/>
  <c r="H39" i="2"/>
  <c r="K39" i="2"/>
  <c r="J39" i="2"/>
  <c r="I35" i="2"/>
  <c r="L35" i="2"/>
  <c r="H35" i="2"/>
  <c r="K35" i="2"/>
  <c r="J35" i="2"/>
  <c r="I31" i="2"/>
  <c r="L31" i="2"/>
  <c r="H31" i="2"/>
  <c r="K31" i="2"/>
  <c r="J31" i="2"/>
  <c r="I27" i="2"/>
  <c r="L27" i="2"/>
  <c r="H27" i="2"/>
  <c r="K27" i="2"/>
  <c r="J27" i="2"/>
  <c r="I23" i="2"/>
  <c r="L23" i="2"/>
  <c r="H23" i="2"/>
  <c r="K23" i="2"/>
  <c r="J23" i="2"/>
  <c r="L19" i="2"/>
  <c r="H19" i="2"/>
  <c r="K19" i="2"/>
  <c r="J19" i="2"/>
  <c r="I19" i="2"/>
  <c r="J15" i="2"/>
  <c r="I15" i="2"/>
  <c r="L15" i="2"/>
  <c r="K15" i="2"/>
  <c r="H15" i="2"/>
  <c r="A2" i="2"/>
  <c r="B2" i="2" s="1"/>
  <c r="O11" i="2" l="1"/>
  <c r="D15" i="4" s="1"/>
  <c r="O8" i="2"/>
  <c r="D16" i="4" s="1"/>
  <c r="O9" i="2"/>
  <c r="T2" i="2" l="1"/>
  <c r="I2" i="2"/>
  <c r="J2" i="2"/>
  <c r="K2" i="2"/>
  <c r="L2" i="2"/>
  <c r="I3" i="2"/>
  <c r="J3" i="2"/>
  <c r="K3" i="2"/>
  <c r="L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H3" i="2"/>
  <c r="H4" i="2"/>
  <c r="H5" i="2"/>
  <c r="H6" i="2"/>
  <c r="H7" i="2"/>
  <c r="H8" i="2"/>
  <c r="H9" i="2"/>
  <c r="H10" i="2"/>
  <c r="H11" i="2"/>
  <c r="H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P5" i="2" l="1"/>
  <c r="P6" i="2"/>
  <c r="B5" i="2"/>
  <c r="B101" i="2"/>
  <c r="B93" i="2"/>
  <c r="B85" i="2"/>
  <c r="B77" i="2"/>
  <c r="B69" i="2"/>
  <c r="B65" i="2"/>
  <c r="B61" i="2"/>
  <c r="B57" i="2"/>
  <c r="B53" i="2"/>
  <c r="B41" i="2"/>
  <c r="B37" i="2"/>
  <c r="B33" i="2"/>
  <c r="B29" i="2"/>
  <c r="B25" i="2"/>
  <c r="B21" i="2"/>
  <c r="B17" i="2"/>
  <c r="B13" i="2"/>
  <c r="B97" i="2"/>
  <c r="B89" i="2"/>
  <c r="B81" i="2"/>
  <c r="B73" i="2"/>
  <c r="B49" i="2"/>
  <c r="B45" i="2"/>
  <c r="P2" i="2"/>
  <c r="P4" i="2"/>
  <c r="P3" i="2"/>
  <c r="B9" i="2"/>
  <c r="B4" i="2"/>
  <c r="B66" i="2"/>
  <c r="B50" i="2"/>
  <c r="B94" i="2"/>
  <c r="B90" i="2"/>
  <c r="B86" i="2"/>
  <c r="B78" i="2"/>
  <c r="B74" i="2"/>
  <c r="B70" i="2"/>
  <c r="B62" i="2"/>
  <c r="B58" i="2"/>
  <c r="B54" i="2"/>
  <c r="B46" i="2"/>
  <c r="B42" i="2"/>
  <c r="B38" i="2"/>
  <c r="B30" i="2"/>
  <c r="B26" i="2"/>
  <c r="B22" i="2"/>
  <c r="B14" i="2"/>
  <c r="B10" i="2"/>
  <c r="B6" i="2"/>
  <c r="B98" i="2"/>
  <c r="B34" i="2"/>
  <c r="B82" i="2"/>
  <c r="B18" i="2"/>
  <c r="B100" i="2"/>
  <c r="B96" i="2"/>
  <c r="B92" i="2"/>
  <c r="B88" i="2"/>
  <c r="B84" i="2"/>
  <c r="B80" i="2"/>
  <c r="B76" i="2"/>
  <c r="B72" i="2"/>
  <c r="B68" i="2"/>
  <c r="B64" i="2"/>
  <c r="B60" i="2"/>
  <c r="B56" i="2"/>
  <c r="B52" i="2"/>
  <c r="B48" i="2"/>
  <c r="B44" i="2"/>
  <c r="B40" i="2"/>
  <c r="B36" i="2"/>
  <c r="B32" i="2"/>
  <c r="B28" i="2"/>
  <c r="B24" i="2"/>
  <c r="B20" i="2"/>
  <c r="B16" i="2"/>
  <c r="B12" i="2"/>
  <c r="B8" i="2"/>
  <c r="B99" i="2"/>
  <c r="B95" i="2"/>
  <c r="B87" i="2"/>
  <c r="B83" i="2"/>
  <c r="B79" i="2"/>
  <c r="B75" i="2"/>
  <c r="B71" i="2"/>
  <c r="B67" i="2"/>
  <c r="B63" i="2"/>
  <c r="B59" i="2"/>
  <c r="B55" i="2"/>
  <c r="B51" i="2"/>
  <c r="B47" i="2"/>
  <c r="B43" i="2"/>
  <c r="B39" i="2"/>
  <c r="B35" i="2"/>
  <c r="B31" i="2"/>
  <c r="B27" i="2"/>
  <c r="B23" i="2"/>
  <c r="B19" i="2"/>
  <c r="B15" i="2"/>
  <c r="B11" i="2"/>
  <c r="B7" i="2"/>
  <c r="B3" i="2"/>
  <c r="B91" i="2"/>
  <c r="O25" i="2" l="1"/>
  <c r="J15" i="4" s="1"/>
  <c r="O20" i="2"/>
  <c r="I15" i="4" s="1"/>
  <c r="O19" i="2"/>
  <c r="H15" i="4" s="1"/>
  <c r="O24" i="2"/>
  <c r="I17" i="4" s="1"/>
  <c r="O18" i="2"/>
  <c r="G15" i="4" s="1"/>
  <c r="O23" i="2"/>
  <c r="H17" i="4" s="1"/>
  <c r="O22" i="2"/>
  <c r="G17" i="4" s="1"/>
  <c r="O17" i="2"/>
  <c r="F15" i="4" s="1"/>
  <c r="O21" i="2"/>
  <c r="F17" i="4" s="1"/>
</calcChain>
</file>

<file path=xl/sharedStrings.xml><?xml version="1.0" encoding="utf-8"?>
<sst xmlns="http://schemas.openxmlformats.org/spreadsheetml/2006/main" count="2251" uniqueCount="1063">
  <si>
    <t>Position</t>
  </si>
  <si>
    <t>Game</t>
  </si>
  <si>
    <t>Team</t>
  </si>
  <si>
    <t>PG</t>
  </si>
  <si>
    <t>PF</t>
  </si>
  <si>
    <t>SF</t>
  </si>
  <si>
    <t>C</t>
  </si>
  <si>
    <t>SG</t>
  </si>
  <si>
    <t>Pos</t>
  </si>
  <si>
    <t>Player</t>
  </si>
  <si>
    <t>Points</t>
  </si>
  <si>
    <t>Cost</t>
  </si>
  <si>
    <t>Lineup Pos</t>
  </si>
  <si>
    <t>Play?</t>
  </si>
  <si>
    <t>Max</t>
  </si>
  <si>
    <t># of Players</t>
  </si>
  <si>
    <t>Total Salary</t>
  </si>
  <si>
    <t>Max Salary</t>
  </si>
  <si>
    <t>Total Points</t>
  </si>
  <si>
    <t>Max Players</t>
  </si>
  <si>
    <t>Num Players</t>
  </si>
  <si>
    <t>Matthew Dorris</t>
  </si>
  <si>
    <t>Lineup</t>
  </si>
  <si>
    <t>Basketball Optimization Analysis</t>
  </si>
  <si>
    <t>PG 1</t>
  </si>
  <si>
    <t>PG 2</t>
  </si>
  <si>
    <t>SG 1</t>
  </si>
  <si>
    <t>SG 2</t>
  </si>
  <si>
    <t>SF 1</t>
  </si>
  <si>
    <t>SF 2</t>
  </si>
  <si>
    <t>PF 1</t>
  </si>
  <si>
    <t>PF 2</t>
  </si>
  <si>
    <t>Id</t>
  </si>
  <si>
    <t>First Name</t>
  </si>
  <si>
    <t>Nickname</t>
  </si>
  <si>
    <t>Last Name</t>
  </si>
  <si>
    <t>FPPG</t>
  </si>
  <si>
    <t>Played</t>
  </si>
  <si>
    <t>Salary</t>
  </si>
  <si>
    <t>Opponent</t>
  </si>
  <si>
    <t>Injury Indicator</t>
  </si>
  <si>
    <t>Injury Details</t>
  </si>
  <si>
    <t>James</t>
  </si>
  <si>
    <t>Kevin</t>
  </si>
  <si>
    <t>O</t>
  </si>
  <si>
    <t>Knee</t>
  </si>
  <si>
    <t>Williams</t>
  </si>
  <si>
    <t>Patrick</t>
  </si>
  <si>
    <t>Kyle</t>
  </si>
  <si>
    <t>Smith</t>
  </si>
  <si>
    <t>Anthony</t>
  </si>
  <si>
    <t>Jones</t>
  </si>
  <si>
    <t>Jordan</t>
  </si>
  <si>
    <t>Young</t>
  </si>
  <si>
    <t>Richard</t>
  </si>
  <si>
    <t>Jefferson</t>
  </si>
  <si>
    <t>Jonas</t>
  </si>
  <si>
    <t>Injury?</t>
  </si>
  <si>
    <t>C 1</t>
  </si>
  <si>
    <t>MIL</t>
  </si>
  <si>
    <t>MEM</t>
  </si>
  <si>
    <t>Wright</t>
  </si>
  <si>
    <t>TOR</t>
  </si>
  <si>
    <t>Fred</t>
  </si>
  <si>
    <t>VanVleet</t>
  </si>
  <si>
    <t>Delon</t>
  </si>
  <si>
    <t>Chandler Parsons</t>
  </si>
  <si>
    <t>Kawhi Leonard</t>
  </si>
  <si>
    <t>Vince Carter</t>
  </si>
  <si>
    <t>Richard Jefferson</t>
  </si>
  <si>
    <t>LaMarcus Aldridge</t>
  </si>
  <si>
    <t>Davis</t>
  </si>
  <si>
    <t>SA</t>
  </si>
  <si>
    <t>John</t>
  </si>
  <si>
    <t>Kawhi</t>
  </si>
  <si>
    <t>Leonard</t>
  </si>
  <si>
    <t>Gasol</t>
  </si>
  <si>
    <t>LaMarcus</t>
  </si>
  <si>
    <t>Aldridge</t>
  </si>
  <si>
    <t>Pau</t>
  </si>
  <si>
    <t>Pau Gasol</t>
  </si>
  <si>
    <t>David</t>
  </si>
  <si>
    <t>Dewayne</t>
  </si>
  <si>
    <t>Dewayne Dedmon</t>
  </si>
  <si>
    <t>Dedmon</t>
  </si>
  <si>
    <t>JaMychal</t>
  </si>
  <si>
    <t>JaMychal Green</t>
  </si>
  <si>
    <t>Green</t>
  </si>
  <si>
    <t>Chandler</t>
  </si>
  <si>
    <t>Danny</t>
  </si>
  <si>
    <t>Danny Green</t>
  </si>
  <si>
    <t>Patty</t>
  </si>
  <si>
    <t>Patty Mills</t>
  </si>
  <si>
    <t>Mills</t>
  </si>
  <si>
    <t>Wayne</t>
  </si>
  <si>
    <t>Jason</t>
  </si>
  <si>
    <t>Joel</t>
  </si>
  <si>
    <t>Deyonta</t>
  </si>
  <si>
    <t>Deyonta Davis</t>
  </si>
  <si>
    <t>Dejounte</t>
  </si>
  <si>
    <t>Dejounte Murray</t>
  </si>
  <si>
    <t>Murray</t>
  </si>
  <si>
    <t>Anderson</t>
  </si>
  <si>
    <t>Kyle Anderson</t>
  </si>
  <si>
    <t>Troy</t>
  </si>
  <si>
    <t>Terry</t>
  </si>
  <si>
    <t>Fred VanVleet</t>
  </si>
  <si>
    <t>Parsons</t>
  </si>
  <si>
    <t>Brandan</t>
  </si>
  <si>
    <t>Brandan Wright</t>
  </si>
  <si>
    <t>Davis Bertans</t>
  </si>
  <si>
    <t>Bertans</t>
  </si>
  <si>
    <t>Bryn</t>
  </si>
  <si>
    <t>Bryn Forbes</t>
  </si>
  <si>
    <t>Forbes</t>
  </si>
  <si>
    <t>Nicolas</t>
  </si>
  <si>
    <t>Troy Daniels</t>
  </si>
  <si>
    <t>Daniels</t>
  </si>
  <si>
    <t>Jarell</t>
  </si>
  <si>
    <t>Jarell Martin</t>
  </si>
  <si>
    <t>Martin</t>
  </si>
  <si>
    <t>Delon Wright</t>
  </si>
  <si>
    <t>Simmons</t>
  </si>
  <si>
    <t>Vince</t>
  </si>
  <si>
    <t>Carter</t>
  </si>
  <si>
    <t>Manu</t>
  </si>
  <si>
    <t>Manu Ginobili</t>
  </si>
  <si>
    <t>Ginobili</t>
  </si>
  <si>
    <t>Brooks</t>
  </si>
  <si>
    <t>Miles</t>
  </si>
  <si>
    <t>James Harden</t>
  </si>
  <si>
    <t>Harden</t>
  </si>
  <si>
    <t>HOU</t>
  </si>
  <si>
    <t>John Wall</t>
  </si>
  <si>
    <t>Wall</t>
  </si>
  <si>
    <t>WAS</t>
  </si>
  <si>
    <t>Isaiah</t>
  </si>
  <si>
    <t>Bradley</t>
  </si>
  <si>
    <t>Bradley Beal</t>
  </si>
  <si>
    <t>Beal</t>
  </si>
  <si>
    <t>Clint</t>
  </si>
  <si>
    <t>Clint Capela</t>
  </si>
  <si>
    <t>Capela</t>
  </si>
  <si>
    <t>Avery</t>
  </si>
  <si>
    <t>Avery Bradley</t>
  </si>
  <si>
    <t>Trevor</t>
  </si>
  <si>
    <t>Trevor Ariza</t>
  </si>
  <si>
    <t>Ariza</t>
  </si>
  <si>
    <t>Markieff</t>
  </si>
  <si>
    <t>Markieff Morris</t>
  </si>
  <si>
    <t>Morris</t>
  </si>
  <si>
    <t>Otto</t>
  </si>
  <si>
    <t>Marcin</t>
  </si>
  <si>
    <t>Marcin Gortat</t>
  </si>
  <si>
    <t>Gortat</t>
  </si>
  <si>
    <t>Marcus</t>
  </si>
  <si>
    <t>Eric</t>
  </si>
  <si>
    <t>Eric Gordon</t>
  </si>
  <si>
    <t>Gordon</t>
  </si>
  <si>
    <t>Kelly</t>
  </si>
  <si>
    <t>Kelly Olynyk</t>
  </si>
  <si>
    <t>Olynyk</t>
  </si>
  <si>
    <t>Nene</t>
  </si>
  <si>
    <t>Ryan</t>
  </si>
  <si>
    <t>Ryan Anderson</t>
  </si>
  <si>
    <t>Bogdanovic</t>
  </si>
  <si>
    <t>Jason Smith</t>
  </si>
  <si>
    <t>Kelly Oubre Jr.</t>
  </si>
  <si>
    <t>Oubre Jr.</t>
  </si>
  <si>
    <t>Amir</t>
  </si>
  <si>
    <t>Amir Johnson</t>
  </si>
  <si>
    <t>Johnson</t>
  </si>
  <si>
    <t>Brandon</t>
  </si>
  <si>
    <t>Ian</t>
  </si>
  <si>
    <t>Ian Mahinmi</t>
  </si>
  <si>
    <t>Mahinmi</t>
  </si>
  <si>
    <t>Tomas</t>
  </si>
  <si>
    <t>Tomas Satoransky</t>
  </si>
  <si>
    <t>Satoransky</t>
  </si>
  <si>
    <t>Brown</t>
  </si>
  <si>
    <t>Bobby</t>
  </si>
  <si>
    <t>Bobby Brown</t>
  </si>
  <si>
    <t>Chinanu</t>
  </si>
  <si>
    <t>Chinanu Onuaku</t>
  </si>
  <si>
    <t>Onuaku</t>
  </si>
  <si>
    <t>Kyle Wiltjer</t>
  </si>
  <si>
    <t>Wiltjer</t>
  </si>
  <si>
    <t>Troy Williams</t>
  </si>
  <si>
    <t>Demetrius</t>
  </si>
  <si>
    <t>Demetrius Jackson</t>
  </si>
  <si>
    <t>Jackson</t>
  </si>
  <si>
    <t>Isaiah Taylor</t>
  </si>
  <si>
    <t>Taylor</t>
  </si>
  <si>
    <t>Tyler</t>
  </si>
  <si>
    <t>Zeller</t>
  </si>
  <si>
    <t>Chris</t>
  </si>
  <si>
    <t>Chris McCullough</t>
  </si>
  <si>
    <t>McCullough</t>
  </si>
  <si>
    <t>Trey</t>
  </si>
  <si>
    <t>Jordan Mickey</t>
  </si>
  <si>
    <t>Mickey</t>
  </si>
  <si>
    <t>Sheldon</t>
  </si>
  <si>
    <t>21617-40199</t>
  </si>
  <si>
    <t>Giannis</t>
  </si>
  <si>
    <t>Giannis Antetokounmpo</t>
  </si>
  <si>
    <t>Antetokounmpo</t>
  </si>
  <si>
    <t>CHA@MIL</t>
  </si>
  <si>
    <t>CHA</t>
  </si>
  <si>
    <t>21617-9644</t>
  </si>
  <si>
    <t>MEM@HOU</t>
  </si>
  <si>
    <t>21617-12332</t>
  </si>
  <si>
    <t>WAS@DEN</t>
  </si>
  <si>
    <t>DEN</t>
  </si>
  <si>
    <t>21617-9646</t>
  </si>
  <si>
    <t>Kevin Durant</t>
  </si>
  <si>
    <t>Durant</t>
  </si>
  <si>
    <t>GS@DAL</t>
  </si>
  <si>
    <t>GS</t>
  </si>
  <si>
    <t>DAL</t>
  </si>
  <si>
    <t>21617-12363</t>
  </si>
  <si>
    <t>Hassan</t>
  </si>
  <si>
    <t>Hassan Whiteside</t>
  </si>
  <si>
    <t>Whiteside</t>
  </si>
  <si>
    <t>ATL@MIA</t>
  </si>
  <si>
    <t>MIA</t>
  </si>
  <si>
    <t>ATL</t>
  </si>
  <si>
    <t>GTD</t>
  </si>
  <si>
    <t>21617-9524</t>
  </si>
  <si>
    <t>Stephen</t>
  </si>
  <si>
    <t>Stephen Curry</t>
  </si>
  <si>
    <t>Curry</t>
  </si>
  <si>
    <t>21617-9688</t>
  </si>
  <si>
    <t>TOR@SA</t>
  </si>
  <si>
    <t>21617-9581</t>
  </si>
  <si>
    <t>Marc</t>
  </si>
  <si>
    <t>Marc Gasol</t>
  </si>
  <si>
    <t>21617-9623</t>
  </si>
  <si>
    <t>Chris Paul</t>
  </si>
  <si>
    <t>Paul</t>
  </si>
  <si>
    <t>21617-14513</t>
  </si>
  <si>
    <t>Quadriceps</t>
  </si>
  <si>
    <t>21617-55062</t>
  </si>
  <si>
    <t>Nikola</t>
  </si>
  <si>
    <t>Nikola Jokic</t>
  </si>
  <si>
    <t>Jokic</t>
  </si>
  <si>
    <t>21617-49111</t>
  </si>
  <si>
    <t>Joel Embiid</t>
  </si>
  <si>
    <t>Embiid</t>
  </si>
  <si>
    <t>PHI@DET</t>
  </si>
  <si>
    <t>PHI</t>
  </si>
  <si>
    <t>DET</t>
  </si>
  <si>
    <t>Rest</t>
  </si>
  <si>
    <t>21617-15557</t>
  </si>
  <si>
    <t>Andre</t>
  </si>
  <si>
    <t>Andre Drummond</t>
  </si>
  <si>
    <t>Drummond</t>
  </si>
  <si>
    <t>21617-40201</t>
  </si>
  <si>
    <t>Dennis</t>
  </si>
  <si>
    <t>Dennis Schroder</t>
  </si>
  <si>
    <t>Schroder</t>
  </si>
  <si>
    <t>Ankle</t>
  </si>
  <si>
    <t>21617-14507</t>
  </si>
  <si>
    <t>Kemba</t>
  </si>
  <si>
    <t>Kemba Walker</t>
  </si>
  <si>
    <t>Walker</t>
  </si>
  <si>
    <t>21617-9714</t>
  </si>
  <si>
    <t>DeMar</t>
  </si>
  <si>
    <t>DeMar DeRozan</t>
  </si>
  <si>
    <t>DeRozan</t>
  </si>
  <si>
    <t>Illness</t>
  </si>
  <si>
    <t>21617-66115</t>
  </si>
  <si>
    <t>Ben</t>
  </si>
  <si>
    <t>Ben Simmons</t>
  </si>
  <si>
    <t>21617-15595</t>
  </si>
  <si>
    <t>21617-9575</t>
  </si>
  <si>
    <t>Mike</t>
  </si>
  <si>
    <t>Mike Conley</t>
  </si>
  <si>
    <t>Conley</t>
  </si>
  <si>
    <t>21617-9729</t>
  </si>
  <si>
    <t>Paul Millsap</t>
  </si>
  <si>
    <t>Millsap</t>
  </si>
  <si>
    <t>21617-9535</t>
  </si>
  <si>
    <t>Kyle Lowry</t>
  </si>
  <si>
    <t>Lowry</t>
  </si>
  <si>
    <t>21617-15860</t>
  </si>
  <si>
    <t>Draymond</t>
  </si>
  <si>
    <t>Draymond Green</t>
  </si>
  <si>
    <t>21617-9660</t>
  </si>
  <si>
    <t>Dwight</t>
  </si>
  <si>
    <t>Dwight Howard</t>
  </si>
  <si>
    <t>Howard</t>
  </si>
  <si>
    <t>21617-12355</t>
  </si>
  <si>
    <t>Eric Bledsoe</t>
  </si>
  <si>
    <t>Bledsoe</t>
  </si>
  <si>
    <t>SAC@PHO</t>
  </si>
  <si>
    <t>PHO</t>
  </si>
  <si>
    <t>SAC</t>
  </si>
  <si>
    <t>21617-58460</t>
  </si>
  <si>
    <t>Devin</t>
  </si>
  <si>
    <t>Devin Booker</t>
  </si>
  <si>
    <t>Booker</t>
  </si>
  <si>
    <t>21617-14509</t>
  </si>
  <si>
    <t>Klay</t>
  </si>
  <si>
    <t>Klay Thompson</t>
  </si>
  <si>
    <t>Thompson</t>
  </si>
  <si>
    <t>21617-9673</t>
  </si>
  <si>
    <t>Goran</t>
  </si>
  <si>
    <t>Goran Dragic</t>
  </si>
  <si>
    <t>Dragic</t>
  </si>
  <si>
    <t>21617-55059</t>
  </si>
  <si>
    <t>21617-15628</t>
  </si>
  <si>
    <t>Otto Porter Jr.</t>
  </si>
  <si>
    <t>Porter Jr.</t>
  </si>
  <si>
    <t>21617-16261</t>
  </si>
  <si>
    <t>Khris</t>
  </si>
  <si>
    <t>Khris Middleton</t>
  </si>
  <si>
    <t>Middleton</t>
  </si>
  <si>
    <t>21617-14518</t>
  </si>
  <si>
    <t>Tobias</t>
  </si>
  <si>
    <t>Tobias Harris</t>
  </si>
  <si>
    <t>Harris</t>
  </si>
  <si>
    <t>21617-14523</t>
  </si>
  <si>
    <t>Reggie</t>
  </si>
  <si>
    <t>Reggie Jackson</t>
  </si>
  <si>
    <t>21617-80814</t>
  </si>
  <si>
    <t>Dennis Smith Jr.</t>
  </si>
  <si>
    <t>Smith Jr.</t>
  </si>
  <si>
    <t>21617-9809</t>
  </si>
  <si>
    <t>Nicolas Batum</t>
  </si>
  <si>
    <t>Batum</t>
  </si>
  <si>
    <t>Elbow</t>
  </si>
  <si>
    <t>21617-16220</t>
  </si>
  <si>
    <t>Dion</t>
  </si>
  <si>
    <t>Dion Waiters</t>
  </si>
  <si>
    <t>Waiters</t>
  </si>
  <si>
    <t>21617-16359</t>
  </si>
  <si>
    <t>Malcolm</t>
  </si>
  <si>
    <t>Malcolm Brogdon</t>
  </si>
  <si>
    <t>Brogdon</t>
  </si>
  <si>
    <t>21617-14503</t>
  </si>
  <si>
    <t>Jonas Valanciunas</t>
  </si>
  <si>
    <t>Valanciunas</t>
  </si>
  <si>
    <t>21617-9957</t>
  </si>
  <si>
    <t>Serge</t>
  </si>
  <si>
    <t>Serge Ibaka</t>
  </si>
  <si>
    <t>Ibaka</t>
  </si>
  <si>
    <t>21617-9556</t>
  </si>
  <si>
    <t>21617-15946</t>
  </si>
  <si>
    <t>Harrison</t>
  </si>
  <si>
    <t>Harrison Barnes</t>
  </si>
  <si>
    <t>Barnes</t>
  </si>
  <si>
    <t>21617-9661</t>
  </si>
  <si>
    <t>21617-14511</t>
  </si>
  <si>
    <t>Abdomen</t>
  </si>
  <si>
    <t>21617-9570</t>
  </si>
  <si>
    <t>21617-17333</t>
  </si>
  <si>
    <t>Will</t>
  </si>
  <si>
    <t>Will Barton</t>
  </si>
  <si>
    <t>Barton</t>
  </si>
  <si>
    <t>21617-9966</t>
  </si>
  <si>
    <t>James Johnson</t>
  </si>
  <si>
    <t>21617-20491</t>
  </si>
  <si>
    <t>Robert</t>
  </si>
  <si>
    <t>Robert Covington</t>
  </si>
  <si>
    <t>Covington</t>
  </si>
  <si>
    <t>21617-23823</t>
  </si>
  <si>
    <t>Willie</t>
  </si>
  <si>
    <t>Willie Cauley-Stein</t>
  </si>
  <si>
    <t>Cauley-Stein</t>
  </si>
  <si>
    <t>21617-16233</t>
  </si>
  <si>
    <t>Josh</t>
  </si>
  <si>
    <t>Josh Richardson</t>
  </si>
  <si>
    <t>Richardson</t>
  </si>
  <si>
    <t>21617-9636</t>
  </si>
  <si>
    <t>Wilson</t>
  </si>
  <si>
    <t>Wilson Chandler</t>
  </si>
  <si>
    <t>21617-24544</t>
  </si>
  <si>
    <t>Gary</t>
  </si>
  <si>
    <t>Gary Harris</t>
  </si>
  <si>
    <t>21617-23120</t>
  </si>
  <si>
    <t>TJ</t>
  </si>
  <si>
    <t>TJ Warren</t>
  </si>
  <si>
    <t>Warren</t>
  </si>
  <si>
    <t>21617-15758</t>
  </si>
  <si>
    <t>Michael</t>
  </si>
  <si>
    <t>Michael Kidd-Gilchrist</t>
  </si>
  <si>
    <t>Kidd-Gilchrist</t>
  </si>
  <si>
    <t>Personal</t>
  </si>
  <si>
    <t>21617-9703</t>
  </si>
  <si>
    <t>George</t>
  </si>
  <si>
    <t>George Hill</t>
  </si>
  <si>
    <t>Hill</t>
  </si>
  <si>
    <t>21617-12334</t>
  </si>
  <si>
    <t>21617-15559</t>
  </si>
  <si>
    <t>Jeremy</t>
  </si>
  <si>
    <t>Jeremy Lamb</t>
  </si>
  <si>
    <t>Lamb</t>
  </si>
  <si>
    <t>21617-9538</t>
  </si>
  <si>
    <t>21617-9579</t>
  </si>
  <si>
    <t>Zach</t>
  </si>
  <si>
    <t>Zach Randolph</t>
  </si>
  <si>
    <t>Randolph</t>
  </si>
  <si>
    <t>21617-16301</t>
  </si>
  <si>
    <t>21617-23572</t>
  </si>
  <si>
    <t>Taurean</t>
  </si>
  <si>
    <t>Taurean Prince</t>
  </si>
  <si>
    <t>Prince</t>
  </si>
  <si>
    <t>21617-67708</t>
  </si>
  <si>
    <t>21617-23772</t>
  </si>
  <si>
    <t>Yogi</t>
  </si>
  <si>
    <t>Yogi Ferrell</t>
  </si>
  <si>
    <t>Ferrell</t>
  </si>
  <si>
    <t>21617-58153</t>
  </si>
  <si>
    <t>21617-22541</t>
  </si>
  <si>
    <t>21617-80810</t>
  </si>
  <si>
    <t>De'Aaron</t>
  </si>
  <si>
    <t>De'Aaron Fox</t>
  </si>
  <si>
    <t>Fox</t>
  </si>
  <si>
    <t>21617-16448</t>
  </si>
  <si>
    <t>Frank</t>
  </si>
  <si>
    <t>Frank Kaminsky</t>
  </si>
  <si>
    <t>Kaminsky</t>
  </si>
  <si>
    <t>21617-40200</t>
  </si>
  <si>
    <t>Lucas</t>
  </si>
  <si>
    <t>Lucas Nogueira</t>
  </si>
  <si>
    <t>Nogueira</t>
  </si>
  <si>
    <t>21617-23825</t>
  </si>
  <si>
    <t>Nerlens</t>
  </si>
  <si>
    <t>Nerlens Noel</t>
  </si>
  <si>
    <t>Noel</t>
  </si>
  <si>
    <t>21617-9495</t>
  </si>
  <si>
    <t>J.J.</t>
  </si>
  <si>
    <t>J.J. Barea</t>
  </si>
  <si>
    <t>Barea</t>
  </si>
  <si>
    <t>21617-9577</t>
  </si>
  <si>
    <t>Rudy</t>
  </si>
  <si>
    <t>Rudy Gay</t>
  </si>
  <si>
    <t>Gay</t>
  </si>
  <si>
    <t>21617-9799</t>
  </si>
  <si>
    <t>Wesley</t>
  </si>
  <si>
    <t>Wesley Matthews</t>
  </si>
  <si>
    <t>Matthews</t>
  </si>
  <si>
    <t>21617-23665</t>
  </si>
  <si>
    <t>Buddy</t>
  </si>
  <si>
    <t>Buddy Hield</t>
  </si>
  <si>
    <t>Hield</t>
  </si>
  <si>
    <t>21617-23716</t>
  </si>
  <si>
    <t>21617-66236</t>
  </si>
  <si>
    <t>John Collins</t>
  </si>
  <si>
    <t>Collins</t>
  </si>
  <si>
    <t>21617-19781</t>
  </si>
  <si>
    <t>Kent</t>
  </si>
  <si>
    <t>Kent Bazemore</t>
  </si>
  <si>
    <t>Bazemore</t>
  </si>
  <si>
    <t>21617-15814</t>
  </si>
  <si>
    <t>Alex</t>
  </si>
  <si>
    <t>Alex Len</t>
  </si>
  <si>
    <t>Len</t>
  </si>
  <si>
    <t>21617-9758</t>
  </si>
  <si>
    <t>21617-66109</t>
  </si>
  <si>
    <t>Skal</t>
  </si>
  <si>
    <t>Skal Labissiere</t>
  </si>
  <si>
    <t>Labissiere</t>
  </si>
  <si>
    <t>21617-15583</t>
  </si>
  <si>
    <t>Seth</t>
  </si>
  <si>
    <t>Seth Curry</t>
  </si>
  <si>
    <t>Lower leg</t>
  </si>
  <si>
    <t>21617-9500</t>
  </si>
  <si>
    <t>Dirk</t>
  </si>
  <si>
    <t>Dirk Nowitzki</t>
  </si>
  <si>
    <t>Nowitzki</t>
  </si>
  <si>
    <t>21617-40830</t>
  </si>
  <si>
    <t>21617-9664</t>
  </si>
  <si>
    <t>Andre Iguodala</t>
  </si>
  <si>
    <t>Iguodala</t>
  </si>
  <si>
    <t>21617-9692</t>
  </si>
  <si>
    <t>Tyreke</t>
  </si>
  <si>
    <t>Tyreke Evans</t>
  </si>
  <si>
    <t>Evans</t>
  </si>
  <si>
    <t>21617-58378</t>
  </si>
  <si>
    <t>Jakob</t>
  </si>
  <si>
    <t>Jakob Poeltl</t>
  </si>
  <si>
    <t>Poeltl</t>
  </si>
  <si>
    <t>21617-55056</t>
  </si>
  <si>
    <t>Dario</t>
  </si>
  <si>
    <t>Dario Saric</t>
  </si>
  <si>
    <t>Saric</t>
  </si>
  <si>
    <t>21617-16293</t>
  </si>
  <si>
    <t>Norman</t>
  </si>
  <si>
    <t>Norman Powell</t>
  </si>
  <si>
    <t>Powell</t>
  </si>
  <si>
    <t>21617-80809</t>
  </si>
  <si>
    <t>Josh Jackson</t>
  </si>
  <si>
    <t>21617-9655</t>
  </si>
  <si>
    <t>JJ</t>
  </si>
  <si>
    <t>JJ Redick</t>
  </si>
  <si>
    <t>Redick</t>
  </si>
  <si>
    <t>21617-18600</t>
  </si>
  <si>
    <t>Tyler Johnson</t>
  </si>
  <si>
    <t>21617-58083</t>
  </si>
  <si>
    <t>Jahlil</t>
  </si>
  <si>
    <t>Jahlil Okafor</t>
  </si>
  <si>
    <t>Okafor</t>
  </si>
  <si>
    <t>21617-60233</t>
  </si>
  <si>
    <t>Dillon</t>
  </si>
  <si>
    <t>Dillon Brooks</t>
  </si>
  <si>
    <t>21617-58350</t>
  </si>
  <si>
    <t>Stanley</t>
  </si>
  <si>
    <t>Stanley Johnson</t>
  </si>
  <si>
    <t>21617-9810</t>
  </si>
  <si>
    <t>Jerryd</t>
  </si>
  <si>
    <t>Jerryd Bayless</t>
  </si>
  <si>
    <t>Bayless</t>
  </si>
  <si>
    <t>21617-15691</t>
  </si>
  <si>
    <t>Cody</t>
  </si>
  <si>
    <t>Cody Zeller</t>
  </si>
  <si>
    <t>21617-9598</t>
  </si>
  <si>
    <t>Ersan</t>
  </si>
  <si>
    <t>Ersan Ilyasova</t>
  </si>
  <si>
    <t>Ilyasova</t>
  </si>
  <si>
    <t>21617-9643</t>
  </si>
  <si>
    <t>Shaun</t>
  </si>
  <si>
    <t>Shaun Livingston</t>
  </si>
  <si>
    <t>Livingston</t>
  </si>
  <si>
    <t>21617-9772</t>
  </si>
  <si>
    <t>21617-9451</t>
  </si>
  <si>
    <t>Marvin</t>
  </si>
  <si>
    <t>Marvin Williams</t>
  </si>
  <si>
    <t>21617-40819</t>
  </si>
  <si>
    <t>21617-15405</t>
  </si>
  <si>
    <t>21617-12337</t>
  </si>
  <si>
    <t>Greg</t>
  </si>
  <si>
    <t>Greg Monroe</t>
  </si>
  <si>
    <t>Monroe</t>
  </si>
  <si>
    <t>21617-58084</t>
  </si>
  <si>
    <t>Justise</t>
  </si>
  <si>
    <t>Justise Winslow</t>
  </si>
  <si>
    <t>Winslow</t>
  </si>
  <si>
    <t>21617-23407</t>
  </si>
  <si>
    <t>PJ</t>
  </si>
  <si>
    <t>PJ Tucker</t>
  </si>
  <si>
    <t>Tucker</t>
  </si>
  <si>
    <t>21617-66108</t>
  </si>
  <si>
    <t>Jamal</t>
  </si>
  <si>
    <t>Jamal Murray</t>
  </si>
  <si>
    <t>21617-15952</t>
  </si>
  <si>
    <t>John Henson</t>
  </si>
  <si>
    <t>Henson</t>
  </si>
  <si>
    <t>21617-17491</t>
  </si>
  <si>
    <t>James Ennis III</t>
  </si>
  <si>
    <t>Ennis III</t>
  </si>
  <si>
    <t>21617-12511</t>
  </si>
  <si>
    <t>Ish</t>
  </si>
  <si>
    <t>Ish Smith</t>
  </si>
  <si>
    <t>21617-9473</t>
  </si>
  <si>
    <t>Tyson</t>
  </si>
  <si>
    <t>Tyson Chandler</t>
  </si>
  <si>
    <t>21617-11074</t>
  </si>
  <si>
    <t>Garrett</t>
  </si>
  <si>
    <t>Garrett Temple</t>
  </si>
  <si>
    <t>Temple</t>
  </si>
  <si>
    <t>21617-9583</t>
  </si>
  <si>
    <t>Mario</t>
  </si>
  <si>
    <t>Mario Chalmers</t>
  </si>
  <si>
    <t>Chalmers</t>
  </si>
  <si>
    <t>21617-80805</t>
  </si>
  <si>
    <t>Markelle</t>
  </si>
  <si>
    <t>Markelle Fultz</t>
  </si>
  <si>
    <t>Fultz</t>
  </si>
  <si>
    <t>21617-63124</t>
  </si>
  <si>
    <t>Emmanuel</t>
  </si>
  <si>
    <t>Emmanuel Mudiay</t>
  </si>
  <si>
    <t>Mudiay</t>
  </si>
  <si>
    <t>21617-9935</t>
  </si>
  <si>
    <t>21617-9715</t>
  </si>
  <si>
    <t>Marco</t>
  </si>
  <si>
    <t>Marco Belinelli</t>
  </si>
  <si>
    <t>Belinelli</t>
  </si>
  <si>
    <t>21617-67707</t>
  </si>
  <si>
    <t>Marquese</t>
  </si>
  <si>
    <t>Marquese Chriss</t>
  </si>
  <si>
    <t>Chriss</t>
  </si>
  <si>
    <t>21617-70819</t>
  </si>
  <si>
    <t>Dragan</t>
  </si>
  <si>
    <t>Dragan Bender</t>
  </si>
  <si>
    <t>Bender</t>
  </si>
  <si>
    <t>21617-14506</t>
  </si>
  <si>
    <t>Brandon Knight</t>
  </si>
  <si>
    <t>Knight</t>
  </si>
  <si>
    <t>21617-55060</t>
  </si>
  <si>
    <t>Bogdan</t>
  </si>
  <si>
    <t>Bogdan Bogdanovic</t>
  </si>
  <si>
    <t>21617-9512</t>
  </si>
  <si>
    <t>21617-17517</t>
  </si>
  <si>
    <t>Tony</t>
  </si>
  <si>
    <t>Tony Snell</t>
  </si>
  <si>
    <t>Snell</t>
  </si>
  <si>
    <t>21617-14521</t>
  </si>
  <si>
    <t>Kenneth</t>
  </si>
  <si>
    <t>Kenneth Faried</t>
  </si>
  <si>
    <t>Faried</t>
  </si>
  <si>
    <t>21617-9939</t>
  </si>
  <si>
    <t>21617-15590</t>
  </si>
  <si>
    <t>Mason</t>
  </si>
  <si>
    <t>Mason Plumlee</t>
  </si>
  <si>
    <t>Plumlee</t>
  </si>
  <si>
    <t>21617-15744</t>
  </si>
  <si>
    <t>Rodney</t>
  </si>
  <si>
    <t>Rodney McGruder</t>
  </si>
  <si>
    <t>McGruder</t>
  </si>
  <si>
    <t>Leg</t>
  </si>
  <si>
    <t>21617-9704</t>
  </si>
  <si>
    <t>21617-66061</t>
  </si>
  <si>
    <t>Dwayne</t>
  </si>
  <si>
    <t>Dwayne Bacon</t>
  </si>
  <si>
    <t>Bacon</t>
  </si>
  <si>
    <t>21617-49336</t>
  </si>
  <si>
    <t>DeAndre'</t>
  </si>
  <si>
    <t>DeAndre' Bembry</t>
  </si>
  <si>
    <t>Bembry</t>
  </si>
  <si>
    <t>Wrist</t>
  </si>
  <si>
    <t>21617-14539</t>
  </si>
  <si>
    <t>Jon</t>
  </si>
  <si>
    <t>Jon Leuer</t>
  </si>
  <si>
    <t>Leuer</t>
  </si>
  <si>
    <t>21617-9953</t>
  </si>
  <si>
    <t>21617-9629</t>
  </si>
  <si>
    <t>David West</t>
  </si>
  <si>
    <t>West</t>
  </si>
  <si>
    <t>21617-9669</t>
  </si>
  <si>
    <t>Shoulder</t>
  </si>
  <si>
    <t>21617-9725</t>
  </si>
  <si>
    <t>CJ</t>
  </si>
  <si>
    <t>CJ Miles</t>
  </si>
  <si>
    <t>21617-19049</t>
  </si>
  <si>
    <t>Mike James</t>
  </si>
  <si>
    <t>21617-9454</t>
  </si>
  <si>
    <t>Zaza</t>
  </si>
  <si>
    <t>Zaza Pachulia</t>
  </si>
  <si>
    <t>Pachulia</t>
  </si>
  <si>
    <t>21617-40769</t>
  </si>
  <si>
    <t>Jordan Bell</t>
  </si>
  <si>
    <t>Bell</t>
  </si>
  <si>
    <t>21617-17230</t>
  </si>
  <si>
    <t>Langston</t>
  </si>
  <si>
    <t>Langston Galloway</t>
  </si>
  <si>
    <t>Galloway</t>
  </si>
  <si>
    <t>21617-9731</t>
  </si>
  <si>
    <t>Kosta</t>
  </si>
  <si>
    <t>Kosta Koufos</t>
  </si>
  <si>
    <t>Koufos</t>
  </si>
  <si>
    <t>21617-9796</t>
  </si>
  <si>
    <t>Luc</t>
  </si>
  <si>
    <t>Luc Mbah a Moute</t>
  </si>
  <si>
    <t>Mbah a Moute</t>
  </si>
  <si>
    <t>21617-68203</t>
  </si>
  <si>
    <t>Chris Boucher</t>
  </si>
  <si>
    <t>Boucher</t>
  </si>
  <si>
    <t>21617-70820</t>
  </si>
  <si>
    <t>Thon</t>
  </si>
  <si>
    <t>Thon Maker</t>
  </si>
  <si>
    <t>Maker</t>
  </si>
  <si>
    <t>21617-16201</t>
  </si>
  <si>
    <t>Michael Carter-Williams</t>
  </si>
  <si>
    <t>Carter-Williams</t>
  </si>
  <si>
    <t>21617-20806</t>
  </si>
  <si>
    <t>Treveon</t>
  </si>
  <si>
    <t>Treveon Graham</t>
  </si>
  <si>
    <t>Graham</t>
  </si>
  <si>
    <t>21617-66455</t>
  </si>
  <si>
    <t>Henry</t>
  </si>
  <si>
    <t>Henry Ellenson</t>
  </si>
  <si>
    <t>Ellenson</t>
  </si>
  <si>
    <t>21617-23447</t>
  </si>
  <si>
    <t>Richaun</t>
  </si>
  <si>
    <t>Richaun Holmes</t>
  </si>
  <si>
    <t>Holmes</t>
  </si>
  <si>
    <t>21617-9702</t>
  </si>
  <si>
    <t>Tony Parker</t>
  </si>
  <si>
    <t>Parker</t>
  </si>
  <si>
    <t>21617-17894</t>
  </si>
  <si>
    <t>Mike Muscala</t>
  </si>
  <si>
    <t>Muscala</t>
  </si>
  <si>
    <t>21617-9920</t>
  </si>
  <si>
    <t>Anthony Tolliver</t>
  </si>
  <si>
    <t>Tolliver</t>
  </si>
  <si>
    <t>21617-23744</t>
  </si>
  <si>
    <t>Justin</t>
  </si>
  <si>
    <t>Justin Anderson</t>
  </si>
  <si>
    <t>21617-14537</t>
  </si>
  <si>
    <t>21617-58576</t>
  </si>
  <si>
    <t>Kevon</t>
  </si>
  <si>
    <t>Kevon Looney</t>
  </si>
  <si>
    <t>Looney</t>
  </si>
  <si>
    <t>21617-58584</t>
  </si>
  <si>
    <t>Gian</t>
  </si>
  <si>
    <t>Gian Clavell</t>
  </si>
  <si>
    <t>Clavell</t>
  </si>
  <si>
    <t>21617-9968</t>
  </si>
  <si>
    <t>Jodie</t>
  </si>
  <si>
    <t>Jodie Meeks</t>
  </si>
  <si>
    <t>Meeks</t>
  </si>
  <si>
    <t>21617-15792</t>
  </si>
  <si>
    <t>Johnny</t>
  </si>
  <si>
    <t>Johnny O'Bryant III</t>
  </si>
  <si>
    <t>O'Bryant III</t>
  </si>
  <si>
    <t>21617-17332</t>
  </si>
  <si>
    <t>Tarik</t>
  </si>
  <si>
    <t>Tarik Black</t>
  </si>
  <si>
    <t>Black</t>
  </si>
  <si>
    <t>21617-64017</t>
  </si>
  <si>
    <t>Salah</t>
  </si>
  <si>
    <t>Salah Mejri</t>
  </si>
  <si>
    <t>Mejri</t>
  </si>
  <si>
    <t>21617-20064</t>
  </si>
  <si>
    <t>Matthew</t>
  </si>
  <si>
    <t>Matthew Dellavedova</t>
  </si>
  <si>
    <t>Dellavedova</t>
  </si>
  <si>
    <t>21617-9862</t>
  </si>
  <si>
    <t>21617-23178</t>
  </si>
  <si>
    <t>Mirza</t>
  </si>
  <si>
    <t>Mirza Teletovic</t>
  </si>
  <si>
    <t>Teletovic</t>
  </si>
  <si>
    <t>21617-16071</t>
  </si>
  <si>
    <t>Tim</t>
  </si>
  <si>
    <t>Tim Frazier</t>
  </si>
  <si>
    <t>Frazier</t>
  </si>
  <si>
    <t>21617-71467</t>
  </si>
  <si>
    <t>Malcolm Delaney</t>
  </si>
  <si>
    <t>Delaney</t>
  </si>
  <si>
    <t>21617-16196</t>
  </si>
  <si>
    <t>Dwight Powell</t>
  </si>
  <si>
    <t>21617-18393</t>
  </si>
  <si>
    <t>T.J.</t>
  </si>
  <si>
    <t>T.J. McConnell</t>
  </si>
  <si>
    <t>McConnell</t>
  </si>
  <si>
    <t>21617-16368</t>
  </si>
  <si>
    <t>Mike Scott</t>
  </si>
  <si>
    <t>Scott</t>
  </si>
  <si>
    <t>21617-68090</t>
  </si>
  <si>
    <t>OG</t>
  </si>
  <si>
    <t>OG Anunoby</t>
  </si>
  <si>
    <t>Anunoby</t>
  </si>
  <si>
    <t>21617-18435</t>
  </si>
  <si>
    <t>Alfonzo</t>
  </si>
  <si>
    <t>Alfonzo McKinnie</t>
  </si>
  <si>
    <t>McKinnie</t>
  </si>
  <si>
    <t>21617-9737</t>
  </si>
  <si>
    <t>Nick</t>
  </si>
  <si>
    <t>Nick Young</t>
  </si>
  <si>
    <t>21617-16906</t>
  </si>
  <si>
    <t>Julyan</t>
  </si>
  <si>
    <t>Julyan Stone</t>
  </si>
  <si>
    <t>Stone</t>
  </si>
  <si>
    <t>21617-9739</t>
  </si>
  <si>
    <t>JaVale</t>
  </si>
  <si>
    <t>JaVale McGee</t>
  </si>
  <si>
    <t>McGee</t>
  </si>
  <si>
    <t>21617-49675</t>
  </si>
  <si>
    <t>Derrick</t>
  </si>
  <si>
    <t>Derrick White</t>
  </si>
  <si>
    <t>White</t>
  </si>
  <si>
    <t>21617-66064</t>
  </si>
  <si>
    <t>Malik</t>
  </si>
  <si>
    <t>Malik Beasley</t>
  </si>
  <si>
    <t>Beasley</t>
  </si>
  <si>
    <t>21617-9778</t>
  </si>
  <si>
    <t>Josh McRoberts</t>
  </si>
  <si>
    <t>McRoberts</t>
  </si>
  <si>
    <t>Lower body</t>
  </si>
  <si>
    <t>21617-23097</t>
  </si>
  <si>
    <t>21617-12349</t>
  </si>
  <si>
    <t>Luke</t>
  </si>
  <si>
    <t>Luke Babbitt</t>
  </si>
  <si>
    <t>Babbitt</t>
  </si>
  <si>
    <t>21617-43081</t>
  </si>
  <si>
    <t>Vince Hunter</t>
  </si>
  <si>
    <t>Hunter</t>
  </si>
  <si>
    <t>21617-15434</t>
  </si>
  <si>
    <t>Carrick</t>
  </si>
  <si>
    <t>Carrick Felix</t>
  </si>
  <si>
    <t>Felix</t>
  </si>
  <si>
    <t>21617-15947</t>
  </si>
  <si>
    <t>Reggie Bullock</t>
  </si>
  <si>
    <t>Bullock</t>
  </si>
  <si>
    <t>Suspension</t>
  </si>
  <si>
    <t>21617-66129</t>
  </si>
  <si>
    <t>21617-15955</t>
  </si>
  <si>
    <t>James Michael</t>
  </si>
  <si>
    <t>James Michael McAdoo</t>
  </si>
  <si>
    <t>McAdoo</t>
  </si>
  <si>
    <t>21617-58457</t>
  </si>
  <si>
    <t>Devin Robinson</t>
  </si>
  <si>
    <t>Robinson</t>
  </si>
  <si>
    <t>Foot</t>
  </si>
  <si>
    <t>21617-59483</t>
  </si>
  <si>
    <t>21617-15964</t>
  </si>
  <si>
    <t>Lorenzo</t>
  </si>
  <si>
    <t>Lorenzo Brown</t>
  </si>
  <si>
    <t>21617-58461</t>
  </si>
  <si>
    <t>Trey Lyles</t>
  </si>
  <si>
    <t>Lyles</t>
  </si>
  <si>
    <t>21617-58463</t>
  </si>
  <si>
    <t>Tyler Ulis</t>
  </si>
  <si>
    <t>Ulis</t>
  </si>
  <si>
    <t>21617-43109</t>
  </si>
  <si>
    <t>Alec</t>
  </si>
  <si>
    <t>Alec Peters</t>
  </si>
  <si>
    <t>Peters</t>
  </si>
  <si>
    <t>21617-23655</t>
  </si>
  <si>
    <t>Marcus Paige</t>
  </si>
  <si>
    <t>Paige</t>
  </si>
  <si>
    <t>21617-41063</t>
  </si>
  <si>
    <t>21617-40561</t>
  </si>
  <si>
    <t>Derrick Walton Jr.</t>
  </si>
  <si>
    <t>Walton Jr.</t>
  </si>
  <si>
    <t>21617-60021</t>
  </si>
  <si>
    <t>Pascal</t>
  </si>
  <si>
    <t>Pascal Siakam</t>
  </si>
  <si>
    <t>Siakam</t>
  </si>
  <si>
    <t>21617-15994</t>
  </si>
  <si>
    <t>Jack</t>
  </si>
  <si>
    <t>Jack Cooley</t>
  </si>
  <si>
    <t>Cooley</t>
  </si>
  <si>
    <t>21617-16506</t>
  </si>
  <si>
    <t>Dwight Buycks</t>
  </si>
  <si>
    <t>Buycks</t>
  </si>
  <si>
    <t>Hip</t>
  </si>
  <si>
    <t>21617-41082</t>
  </si>
  <si>
    <t>Damian</t>
  </si>
  <si>
    <t>Damian Jones</t>
  </si>
  <si>
    <t>21617-41597</t>
  </si>
  <si>
    <t>Johnathan</t>
  </si>
  <si>
    <t>Johnathan Motley</t>
  </si>
  <si>
    <t>Motley</t>
  </si>
  <si>
    <t>21617-58505</t>
  </si>
  <si>
    <t>21617-23189</t>
  </si>
  <si>
    <t>Joel Bolomboy</t>
  </si>
  <si>
    <t>Bolomboy</t>
  </si>
  <si>
    <t>21617-58519</t>
  </si>
  <si>
    <t>Gary Payton II</t>
  </si>
  <si>
    <t>Payton II</t>
  </si>
  <si>
    <t>21617-66203</t>
  </si>
  <si>
    <t>Malachi</t>
  </si>
  <si>
    <t>Malachi Richardson</t>
  </si>
  <si>
    <t>21617-66205</t>
  </si>
  <si>
    <t>Tyler Lydon</t>
  </si>
  <si>
    <t>Lydon</t>
  </si>
  <si>
    <t>21617-70821</t>
  </si>
  <si>
    <t>Georgios</t>
  </si>
  <si>
    <t>Georgios Papagiannis</t>
  </si>
  <si>
    <t>Papagiannis</t>
  </si>
  <si>
    <t>21617-42662</t>
  </si>
  <si>
    <t>21617-70822</t>
  </si>
  <si>
    <t>Juan</t>
  </si>
  <si>
    <t>Juan Hernangomez</t>
  </si>
  <si>
    <t>Hernangomez</t>
  </si>
  <si>
    <t>21617-70825</t>
  </si>
  <si>
    <t>Timothe</t>
  </si>
  <si>
    <t>Timothe Luwawu-Cabarrot</t>
  </si>
  <si>
    <t>Luwawu-Cabarrot</t>
  </si>
  <si>
    <t>21617-42665</t>
  </si>
  <si>
    <t>Andrew</t>
  </si>
  <si>
    <t>Andrew Harrison</t>
  </si>
  <si>
    <t>21617-70826</t>
  </si>
  <si>
    <t>Furkan</t>
  </si>
  <si>
    <t>Furkan Korkmaz</t>
  </si>
  <si>
    <t>Korkmaz</t>
  </si>
  <si>
    <t>21617-15532</t>
  </si>
  <si>
    <t>KJ</t>
  </si>
  <si>
    <t>KJ McDaniels</t>
  </si>
  <si>
    <t>McDaniels</t>
  </si>
  <si>
    <t>21617-70830</t>
  </si>
  <si>
    <t>Zhou</t>
  </si>
  <si>
    <t>Zhou Qi</t>
  </si>
  <si>
    <t>Qi</t>
  </si>
  <si>
    <t>21617-24247</t>
  </si>
  <si>
    <t>21617-16063</t>
  </si>
  <si>
    <t>Eric Moreland</t>
  </si>
  <si>
    <t>Moreland</t>
  </si>
  <si>
    <t>21617-49349</t>
  </si>
  <si>
    <t>21617-14543</t>
  </si>
  <si>
    <t>21617-81621</t>
  </si>
  <si>
    <t>Maxi</t>
  </si>
  <si>
    <t>Maxi Kleber</t>
  </si>
  <si>
    <t>Kleber</t>
  </si>
  <si>
    <t>21617-81623</t>
  </si>
  <si>
    <t>Kobi</t>
  </si>
  <si>
    <t>Kobi Simmons</t>
  </si>
  <si>
    <t>21617-14552</t>
  </si>
  <si>
    <t>DeAndre</t>
  </si>
  <si>
    <t>DeAndre Liggins</t>
  </si>
  <si>
    <t>Liggins</t>
  </si>
  <si>
    <t>21617-15582</t>
  </si>
  <si>
    <t>Quinn</t>
  </si>
  <si>
    <t>Quinn Cook</t>
  </si>
  <si>
    <t>Cook</t>
  </si>
  <si>
    <t>21617-9956</t>
  </si>
  <si>
    <t>Wayne Ellington</t>
  </si>
  <si>
    <t>Ellington</t>
  </si>
  <si>
    <t>21617-15591</t>
  </si>
  <si>
    <t>Miles Plumlee</t>
  </si>
  <si>
    <t>21617-9960</t>
  </si>
  <si>
    <t>Omri</t>
  </si>
  <si>
    <t>Omri Casspi</t>
  </si>
  <si>
    <t>Casspi</t>
  </si>
  <si>
    <t>21617-23273</t>
  </si>
  <si>
    <t>AJ</t>
  </si>
  <si>
    <t>AJ Hammons</t>
  </si>
  <si>
    <t>Hammons</t>
  </si>
  <si>
    <t>21617-23788</t>
  </si>
  <si>
    <t>21617-23801</t>
  </si>
  <si>
    <t>Nik</t>
  </si>
  <si>
    <t>Nik Stauskas</t>
  </si>
  <si>
    <t>Stauskas</t>
  </si>
  <si>
    <t>21617-15620</t>
  </si>
  <si>
    <t>Okaro</t>
  </si>
  <si>
    <t>Okaro White</t>
  </si>
  <si>
    <t>21617-40209</t>
  </si>
  <si>
    <t>Joffrey</t>
  </si>
  <si>
    <t>Joffrey Lauvergne</t>
  </si>
  <si>
    <t>Lauvergne</t>
  </si>
  <si>
    <t>21617-55058</t>
  </si>
  <si>
    <t>Bruno</t>
  </si>
  <si>
    <t>Bruno Caboclo</t>
  </si>
  <si>
    <t>Caboclo</t>
  </si>
  <si>
    <t>21617-58134</t>
  </si>
  <si>
    <t>Justin Jackson</t>
  </si>
  <si>
    <t>21617-9496</t>
  </si>
  <si>
    <t>Jason Terry</t>
  </si>
  <si>
    <t>21617-58658</t>
  </si>
  <si>
    <t>Patrick McCaw</t>
  </si>
  <si>
    <t>McCaw</t>
  </si>
  <si>
    <t>21617-58661</t>
  </si>
  <si>
    <t>Rashad</t>
  </si>
  <si>
    <t>Rashad Vaughn</t>
  </si>
  <si>
    <t>Vaughn</t>
  </si>
  <si>
    <t>21617-71469</t>
  </si>
  <si>
    <t>Nicolas Brussino</t>
  </si>
  <si>
    <t>Brussino</t>
  </si>
  <si>
    <t>21617-20277</t>
  </si>
  <si>
    <t>Torrey</t>
  </si>
  <si>
    <t>Torrey Craig</t>
  </si>
  <si>
    <t>Craig</t>
  </si>
  <si>
    <t>21617-41269</t>
  </si>
  <si>
    <t>21617-23350</t>
  </si>
  <si>
    <t>Matt</t>
  </si>
  <si>
    <t>Matt Williams Jr.</t>
  </si>
  <si>
    <t>Williams Jr.</t>
  </si>
  <si>
    <t>21617-15671</t>
  </si>
  <si>
    <t>Brandon Paul</t>
  </si>
  <si>
    <t>21617-16183</t>
  </si>
  <si>
    <t>JaKarr</t>
  </si>
  <si>
    <t>JaKarr Sampson</t>
  </si>
  <si>
    <t>Sampson</t>
  </si>
  <si>
    <t>21617-41275</t>
  </si>
  <si>
    <t>Mike Young</t>
  </si>
  <si>
    <t>21617-82237</t>
  </si>
  <si>
    <t>Jacob</t>
  </si>
  <si>
    <t>Jacob Pullen</t>
  </si>
  <si>
    <t>Pullen</t>
  </si>
  <si>
    <t>21617-40255</t>
  </si>
  <si>
    <t>Davon</t>
  </si>
  <si>
    <t>Davon Reed</t>
  </si>
  <si>
    <t>Reed</t>
  </si>
  <si>
    <t>21617-20805</t>
  </si>
  <si>
    <t>21617-40262</t>
  </si>
  <si>
    <t>Sterling</t>
  </si>
  <si>
    <t>Sterling Brown</t>
  </si>
  <si>
    <t>21617-63826</t>
  </si>
  <si>
    <t>Boban</t>
  </si>
  <si>
    <t>Boban Marjanovic</t>
  </si>
  <si>
    <t>Marjanovic</t>
  </si>
  <si>
    <t>21617-9580</t>
  </si>
  <si>
    <t>Darrell</t>
  </si>
  <si>
    <t>Darrell Arthur</t>
  </si>
  <si>
    <t>Arthur</t>
  </si>
  <si>
    <t>21617-15727</t>
  </si>
  <si>
    <t>Ben McLemore</t>
  </si>
  <si>
    <t>McLemore</t>
  </si>
  <si>
    <t>21617-74101</t>
  </si>
  <si>
    <t>21617-9589</t>
  </si>
  <si>
    <t>Udonis</t>
  </si>
  <si>
    <t>Udonis Haslem</t>
  </si>
  <si>
    <t>Haslem</t>
  </si>
  <si>
    <t>21617-16246</t>
  </si>
  <si>
    <t>Sheldon Mac</t>
  </si>
  <si>
    <t>Mac</t>
  </si>
  <si>
    <t>Achilles</t>
  </si>
  <si>
    <t>21617-15736</t>
  </si>
  <si>
    <t>Jeff</t>
  </si>
  <si>
    <t>Jeff Withey</t>
  </si>
  <si>
    <t>Withey</t>
  </si>
  <si>
    <t>21617-18811</t>
  </si>
  <si>
    <t>Malcolm Miller</t>
  </si>
  <si>
    <t>Miller</t>
  </si>
  <si>
    <t>21617-9613</t>
  </si>
  <si>
    <t>Devin Harris</t>
  </si>
  <si>
    <t>21617-15767</t>
  </si>
  <si>
    <t>21617-66968</t>
  </si>
  <si>
    <t>Derrick Jones Jr.</t>
  </si>
  <si>
    <t>Jones Jr.</t>
  </si>
  <si>
    <t>21617-80817</t>
  </si>
  <si>
    <t>Bam</t>
  </si>
  <si>
    <t>Bam Adebayo</t>
  </si>
  <si>
    <t>Adebayo</t>
  </si>
  <si>
    <t>21617-80816</t>
  </si>
  <si>
    <t>Malik Monk</t>
  </si>
  <si>
    <t>Monk</t>
  </si>
  <si>
    <t>21617-74163</t>
  </si>
  <si>
    <t>Josh Magette</t>
  </si>
  <si>
    <t>Magette</t>
  </si>
  <si>
    <t>21617-80819</t>
  </si>
  <si>
    <t>Harry</t>
  </si>
  <si>
    <t>Harry Giles</t>
  </si>
  <si>
    <t>Giles</t>
  </si>
  <si>
    <t>21617-9654</t>
  </si>
  <si>
    <t>21617-58295</t>
  </si>
  <si>
    <t>D.J.</t>
  </si>
  <si>
    <t>D.J. Wilson</t>
  </si>
  <si>
    <t>21617-40396</t>
  </si>
  <si>
    <t>Monte</t>
  </si>
  <si>
    <t>Monte Morris</t>
  </si>
  <si>
    <t>21617-9677</t>
  </si>
  <si>
    <t>Jared</t>
  </si>
  <si>
    <t>Jared Dudley</t>
  </si>
  <si>
    <t>Dudley</t>
  </si>
  <si>
    <t>Toe</t>
  </si>
  <si>
    <t>21617-67025</t>
  </si>
  <si>
    <t>Ivan</t>
  </si>
  <si>
    <t>Ivan Rabb</t>
  </si>
  <si>
    <t>Rabb</t>
  </si>
  <si>
    <t>21617-49114</t>
  </si>
  <si>
    <t>Frank Mason</t>
  </si>
  <si>
    <t>21617-34779</t>
  </si>
  <si>
    <t>Mangok</t>
  </si>
  <si>
    <t>Mangok Mathiang</t>
  </si>
  <si>
    <t>Mathiang</t>
  </si>
  <si>
    <t>21617-49115</t>
  </si>
  <si>
    <t>Wayne Selden</t>
  </si>
  <si>
    <t>Selden</t>
  </si>
  <si>
    <t>21617-16348</t>
  </si>
  <si>
    <t>Darrun</t>
  </si>
  <si>
    <t>Darrun Hilliard</t>
  </si>
  <si>
    <t>Hilliard</t>
  </si>
  <si>
    <t>21617-24543</t>
  </si>
  <si>
    <t>Matt Costello</t>
  </si>
  <si>
    <t>Costello</t>
  </si>
  <si>
    <t>21617-67556</t>
  </si>
  <si>
    <t>Tyler Dorsey</t>
  </si>
  <si>
    <t>Dorsey</t>
  </si>
  <si>
    <t>21617-9706</t>
  </si>
  <si>
    <t>21617-63477</t>
  </si>
  <si>
    <t>Luis</t>
  </si>
  <si>
    <t>Luis Montero</t>
  </si>
  <si>
    <t>Montero</t>
  </si>
  <si>
    <t>21617-16376</t>
  </si>
  <si>
    <t>Dorian</t>
  </si>
  <si>
    <t>Dorian Finney-Smith</t>
  </si>
  <si>
    <t>Finney-Smith</t>
  </si>
  <si>
    <t>21617-66046</t>
  </si>
  <si>
    <t>Luke Kennard</t>
  </si>
  <si>
    <t>Kennard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</si>
</sst>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6"/>
      <color indexed="51"/>
      <name val="Arial"/>
      <family val="2"/>
    </font>
    <font>
      <sz val="22"/>
      <name val="Arial"/>
      <family val="2"/>
    </font>
    <font>
      <sz val="10"/>
      <color rgb="FF7030A0"/>
      <name val="Arial"/>
      <family val="2"/>
    </font>
    <font>
      <b/>
      <sz val="16"/>
      <color theme="1"/>
      <name val="Cambria"/>
      <family val="1"/>
    </font>
    <font>
      <b/>
      <sz val="7"/>
      <color theme="1"/>
      <name val="Cambria"/>
      <family val="1"/>
    </font>
    <font>
      <b/>
      <sz val="7"/>
      <color rgb="FF7030A0"/>
      <name val="Cambria"/>
      <family val="1"/>
    </font>
    <font>
      <sz val="7"/>
      <name val="Arial"/>
      <family val="1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rgb="FF33CCFF"/>
      <name val="Arial"/>
      <family val="2"/>
    </font>
    <font>
      <sz val="7"/>
      <color rgb="FF33CCFF"/>
      <name val="Arial"/>
      <family val="2"/>
    </font>
    <font>
      <b/>
      <sz val="28"/>
      <color rgb="FF7030A0"/>
      <name val="Cambria"/>
      <family val="1"/>
    </font>
    <font>
      <b/>
      <sz val="22"/>
      <color rgb="FF7030A0"/>
      <name val="Cambria"/>
      <family val="1"/>
    </font>
    <font>
      <sz val="14"/>
      <name val="Arial"/>
      <family val="2"/>
    </font>
    <font>
      <sz val="14"/>
      <color rgb="FF7030A0"/>
      <name val="Arial"/>
      <family val="2"/>
    </font>
    <font>
      <sz val="24"/>
      <color rgb="FF000000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CCFF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64"/>
      </right>
      <top/>
      <bottom style="thick">
        <color indexed="9"/>
      </bottom>
      <diagonal/>
    </border>
    <border>
      <left style="thick">
        <color auto="1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auto="1"/>
      </right>
      <top style="thick">
        <color indexed="9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44">
    <xf numFmtId="0" fontId="0" fillId="0" borderId="0" xfId="0"/>
    <xf numFmtId="0" fontId="0" fillId="0" borderId="0" xfId="0" applyFont="1"/>
    <xf numFmtId="0" fontId="0" fillId="0" borderId="0" xfId="0"/>
    <xf numFmtId="0" fontId="18" fillId="33" borderId="10" xfId="42" applyFill="1" applyBorder="1"/>
    <xf numFmtId="0" fontId="18" fillId="33" borderId="11" xfId="42" applyFill="1" applyBorder="1"/>
    <xf numFmtId="0" fontId="18" fillId="33" borderId="12" xfId="42" applyFill="1" applyBorder="1"/>
    <xf numFmtId="0" fontId="18" fillId="33" borderId="13" xfId="42" applyFill="1" applyBorder="1"/>
    <xf numFmtId="0" fontId="18" fillId="33" borderId="0" xfId="42" applyFill="1" applyBorder="1"/>
    <xf numFmtId="0" fontId="18" fillId="33" borderId="14" xfId="42" applyFill="1" applyBorder="1"/>
    <xf numFmtId="0" fontId="18" fillId="33" borderId="15" xfId="42" applyFill="1" applyBorder="1"/>
    <xf numFmtId="0" fontId="18" fillId="33" borderId="16" xfId="42" applyFill="1" applyBorder="1"/>
    <xf numFmtId="0" fontId="18" fillId="33" borderId="17" xfId="42" applyFill="1" applyBorder="1"/>
    <xf numFmtId="0" fontId="18" fillId="34" borderId="0" xfId="42" applyFill="1"/>
    <xf numFmtId="0" fontId="20" fillId="34" borderId="0" xfId="42" applyFont="1" applyFill="1"/>
    <xf numFmtId="0" fontId="24" fillId="34" borderId="0" xfId="42" applyFont="1" applyFill="1"/>
    <xf numFmtId="0" fontId="22" fillId="35" borderId="0" xfId="0" applyFont="1" applyFill="1"/>
    <xf numFmtId="0" fontId="23" fillId="35" borderId="0" xfId="0" applyFont="1" applyFill="1"/>
    <xf numFmtId="0" fontId="25" fillId="34" borderId="0" xfId="42" applyFont="1" applyFill="1"/>
    <xf numFmtId="0" fontId="18" fillId="36" borderId="19" xfId="42" applyFill="1" applyBorder="1"/>
    <xf numFmtId="0" fontId="26" fillId="37" borderId="0" xfId="42" applyFont="1" applyFill="1"/>
    <xf numFmtId="0" fontId="27" fillId="37" borderId="0" xfId="0" applyFont="1" applyFill="1"/>
    <xf numFmtId="0" fontId="18" fillId="37" borderId="0" xfId="42" applyFill="1"/>
    <xf numFmtId="0" fontId="21" fillId="37" borderId="0" xfId="42" applyFont="1" applyFill="1"/>
    <xf numFmtId="0" fontId="0" fillId="37" borderId="0" xfId="0" applyFill="1"/>
    <xf numFmtId="0" fontId="18" fillId="36" borderId="18" xfId="42" applyFill="1" applyBorder="1"/>
    <xf numFmtId="0" fontId="18" fillId="36" borderId="20" xfId="42" applyFill="1" applyBorder="1"/>
    <xf numFmtId="0" fontId="18" fillId="36" borderId="13" xfId="42" applyFill="1" applyBorder="1"/>
    <xf numFmtId="0" fontId="18" fillId="36" borderId="0" xfId="42" applyFill="1" applyBorder="1"/>
    <xf numFmtId="0" fontId="0" fillId="36" borderId="0" xfId="0" applyFill="1"/>
    <xf numFmtId="0" fontId="18" fillId="36" borderId="14" xfId="42" applyFill="1" applyBorder="1"/>
    <xf numFmtId="0" fontId="26" fillId="36" borderId="0" xfId="42" applyFont="1" applyFill="1" applyBorder="1"/>
    <xf numFmtId="0" fontId="27" fillId="36" borderId="0" xfId="0" applyFont="1" applyFill="1"/>
    <xf numFmtId="0" fontId="18" fillId="36" borderId="21" xfId="42" applyFill="1" applyBorder="1"/>
    <xf numFmtId="0" fontId="18" fillId="36" borderId="22" xfId="42" applyFill="1" applyBorder="1"/>
    <xf numFmtId="0" fontId="18" fillId="36" borderId="23" xfId="42" applyFill="1" applyBorder="1"/>
    <xf numFmtId="3" fontId="0" fillId="0" borderId="0" xfId="0" applyNumberFormat="1"/>
    <xf numFmtId="0" fontId="28" fillId="37" borderId="0" xfId="42" applyFont="1" applyFill="1"/>
    <xf numFmtId="0" fontId="29" fillId="37" borderId="0" xfId="42" applyFont="1" applyFill="1"/>
    <xf numFmtId="0" fontId="30" fillId="34" borderId="0" xfId="42" applyFont="1" applyFill="1"/>
    <xf numFmtId="0" fontId="31" fillId="34" borderId="0" xfId="42" applyFont="1" applyFill="1"/>
    <xf numFmtId="0" fontId="32" fillId="34" borderId="0" xfId="42" applyFont="1" applyFill="1"/>
    <xf numFmtId="0" fontId="33" fillId="34" borderId="0" xfId="42" applyFont="1" applyFill="1"/>
    <xf numFmtId="0" fontId="19" fillId="33" borderId="0" xfId="42" applyFont="1" applyFill="1" applyBorder="1" applyAlignment="1" applyProtection="1">
      <alignment horizontal="center"/>
    </xf>
    <xf numFmtId="0" fontId="19" fillId="33" borderId="0" xfId="42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57150</xdr:rowOff>
        </xdr:from>
        <xdr:to>
          <xdr:col>4</xdr:col>
          <xdr:colOff>400050</xdr:colOff>
          <xdr:row>10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</xdr:colOff>
      <xdr:row>4</xdr:row>
      <xdr:rowOff>38101</xdr:rowOff>
    </xdr:from>
    <xdr:to>
      <xdr:col>5</xdr:col>
      <xdr:colOff>1495425</xdr:colOff>
      <xdr:row>11</xdr:row>
      <xdr:rowOff>151619</xdr:rowOff>
    </xdr:to>
    <xdr:pic>
      <xdr:nvPicPr>
        <xdr:cNvPr id="9" name="Picture 8" descr="Image result for nba logo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1" y="952501"/>
          <a:ext cx="1495424" cy="14565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57151</xdr:colOff>
      <xdr:row>4</xdr:row>
      <xdr:rowOff>47626</xdr:rowOff>
    </xdr:from>
    <xdr:to>
      <xdr:col>8</xdr:col>
      <xdr:colOff>1495425</xdr:colOff>
      <xdr:row>11</xdr:row>
      <xdr:rowOff>142875</xdr:rowOff>
    </xdr:to>
    <xdr:pic>
      <xdr:nvPicPr>
        <xdr:cNvPr id="16" name="Picture 15" descr="Image result for fanduel logo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33951" y="962026"/>
          <a:ext cx="1438274" cy="14382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340"/>
  <sheetViews>
    <sheetView zoomScale="106" zoomScaleNormal="106" workbookViewId="0">
      <selection activeCell="I3" sqref="I3"/>
    </sheetView>
  </sheetViews>
  <sheetFormatPr defaultRowHeight="15" x14ac:dyDescent="0.25"/>
  <cols>
    <col min="2" max="2" width="10.5703125" bestFit="1" customWidth="1"/>
    <col min="5" max="5" width="23.5703125" bestFit="1" customWidth="1"/>
    <col min="14" max="14" width="11.42578125" bestFit="1" customWidth="1"/>
    <col min="15" max="15" width="17.28515625" bestFit="1" customWidth="1"/>
    <col min="16" max="16" width="12.140625" bestFit="1" customWidth="1"/>
  </cols>
  <sheetData>
    <row r="1" spans="1:20" x14ac:dyDescent="0.25">
      <c r="A1" t="s">
        <v>0</v>
      </c>
      <c r="B1" t="s">
        <v>12</v>
      </c>
      <c r="C1" t="s">
        <v>13</v>
      </c>
      <c r="D1" t="s">
        <v>8</v>
      </c>
      <c r="E1" t="s">
        <v>9</v>
      </c>
      <c r="F1" t="s">
        <v>10</v>
      </c>
      <c r="G1" t="s">
        <v>11</v>
      </c>
      <c r="H1" t="s">
        <v>3</v>
      </c>
      <c r="I1" t="s">
        <v>7</v>
      </c>
      <c r="J1" t="s">
        <v>5</v>
      </c>
      <c r="K1" t="s">
        <v>4</v>
      </c>
      <c r="L1" t="s">
        <v>6</v>
      </c>
      <c r="M1" t="s">
        <v>57</v>
      </c>
      <c r="N1" t="s">
        <v>0</v>
      </c>
      <c r="O1" t="s">
        <v>14</v>
      </c>
      <c r="P1" t="s">
        <v>15</v>
      </c>
      <c r="T1">
        <v>8</v>
      </c>
    </row>
    <row r="2" spans="1:20" x14ac:dyDescent="0.25">
      <c r="A2" s="1">
        <f>IF(C2=1,D2,0)</f>
        <v>0</v>
      </c>
      <c r="B2" s="1">
        <f>IF(C2=0,0,A2&amp;" "&amp;COUNTIF($A$1:$A2,A2))</f>
        <v>0</v>
      </c>
      <c r="C2" s="1">
        <v>0</v>
      </c>
      <c r="D2" t="str">
        <f>RawData!B2</f>
        <v>PF</v>
      </c>
      <c r="E2" t="str">
        <f>RawData!C2&amp; " "&amp;RawData!E2</f>
        <v>Giannis Antetokounmpo</v>
      </c>
      <c r="F2">
        <f>(RawData!F2)*M2</f>
        <v>64.433334350585895</v>
      </c>
      <c r="G2" s="35">
        <f>RawData!H2</f>
        <v>12200</v>
      </c>
      <c r="H2">
        <f>IF($D2=H$1,$C2*1,0)</f>
        <v>0</v>
      </c>
      <c r="I2">
        <f t="shared" ref="I2:L2" si="0">IF($D2=I$1,$C2*1,0)</f>
        <v>0</v>
      </c>
      <c r="J2">
        <f t="shared" si="0"/>
        <v>0</v>
      </c>
      <c r="K2">
        <f t="shared" si="0"/>
        <v>0</v>
      </c>
      <c r="L2">
        <f t="shared" si="0"/>
        <v>0</v>
      </c>
      <c r="M2">
        <f>IF(RawData!L2=0,1,0)</f>
        <v>1</v>
      </c>
      <c r="N2" t="s">
        <v>3</v>
      </c>
      <c r="O2">
        <v>2</v>
      </c>
      <c r="P2">
        <f>SUM(H2:H339)</f>
        <v>0</v>
      </c>
      <c r="T2">
        <f>SUM(C:C)</f>
        <v>0</v>
      </c>
    </row>
    <row r="3" spans="1:20" x14ac:dyDescent="0.25">
      <c r="A3">
        <f t="shared" ref="A3:A65" si="1">IF(C3=1,D3,0)</f>
        <v>0</v>
      </c>
      <c r="B3">
        <f>IF(C3=0,0,A3&amp;" "&amp;COUNTIF($A$1:$A3,A3))</f>
        <v>0</v>
      </c>
      <c r="C3" s="1">
        <v>0</v>
      </c>
      <c r="D3" s="2" t="str">
        <f>RawData!B3</f>
        <v>SG</v>
      </c>
      <c r="E3" s="2" t="str">
        <f>RawData!C3&amp; " "&amp;RawData!E3</f>
        <v>James Harden</v>
      </c>
      <c r="F3" s="2">
        <f>(RawData!F3)*M3</f>
        <v>47.133331298828097</v>
      </c>
      <c r="G3" s="35">
        <f>RawData!H3</f>
        <v>11300</v>
      </c>
      <c r="H3">
        <f t="shared" ref="H3:L66" si="2">IF($D3=H$1,$C3*1,0)</f>
        <v>0</v>
      </c>
      <c r="I3">
        <f t="shared" si="2"/>
        <v>0</v>
      </c>
      <c r="J3">
        <f t="shared" si="2"/>
        <v>0</v>
      </c>
      <c r="K3">
        <f t="shared" si="2"/>
        <v>0</v>
      </c>
      <c r="L3">
        <f t="shared" si="2"/>
        <v>0</v>
      </c>
      <c r="M3" s="2">
        <f>IF(RawData!L3=0,1,0)</f>
        <v>1</v>
      </c>
      <c r="N3" t="s">
        <v>7</v>
      </c>
      <c r="O3">
        <v>2</v>
      </c>
      <c r="P3">
        <f>SUM(I2:I339)</f>
        <v>0</v>
      </c>
    </row>
    <row r="4" spans="1:20" x14ac:dyDescent="0.25">
      <c r="A4">
        <f t="shared" si="1"/>
        <v>0</v>
      </c>
      <c r="B4">
        <f>IF(C4=0,0,A4&amp;" "&amp;COUNTIF($A$1:$A4,A4))</f>
        <v>0</v>
      </c>
      <c r="C4" s="1">
        <v>0</v>
      </c>
      <c r="D4" s="2" t="str">
        <f>RawData!B4</f>
        <v>PG</v>
      </c>
      <c r="E4" s="2" t="str">
        <f>RawData!C4&amp; " "&amp;RawData!E4</f>
        <v>John Wall</v>
      </c>
      <c r="F4" s="2">
        <f>(RawData!F4)*M4</f>
        <v>47.799999237060497</v>
      </c>
      <c r="G4" s="35">
        <f>RawData!H4</f>
        <v>10300</v>
      </c>
      <c r="H4">
        <f t="shared" si="2"/>
        <v>0</v>
      </c>
      <c r="I4">
        <f t="shared" si="2"/>
        <v>0</v>
      </c>
      <c r="J4">
        <f t="shared" si="2"/>
        <v>0</v>
      </c>
      <c r="K4">
        <f t="shared" si="2"/>
        <v>0</v>
      </c>
      <c r="L4">
        <f t="shared" si="2"/>
        <v>0</v>
      </c>
      <c r="M4" s="2">
        <f>IF(RawData!L4=0,1,0)</f>
        <v>1</v>
      </c>
      <c r="N4" t="s">
        <v>5</v>
      </c>
      <c r="O4">
        <v>2</v>
      </c>
      <c r="P4">
        <f>SUM(J2:J339)</f>
        <v>0</v>
      </c>
    </row>
    <row r="5" spans="1:20" x14ac:dyDescent="0.25">
      <c r="A5">
        <f t="shared" si="1"/>
        <v>0</v>
      </c>
      <c r="B5">
        <f>IF(C5=0,0,A5&amp;" "&amp;COUNTIF($A$1:$A5,A5))</f>
        <v>0</v>
      </c>
      <c r="C5" s="1">
        <v>0</v>
      </c>
      <c r="D5" s="2" t="str">
        <f>RawData!B5</f>
        <v>SF</v>
      </c>
      <c r="E5" s="2" t="str">
        <f>RawData!C5&amp; " "&amp;RawData!E5</f>
        <v>Kevin Durant</v>
      </c>
      <c r="F5" s="2">
        <f>(RawData!F5)*M5</f>
        <v>49.733332316080698</v>
      </c>
      <c r="G5" s="35">
        <f>RawData!H5</f>
        <v>10200</v>
      </c>
      <c r="H5">
        <f t="shared" si="2"/>
        <v>0</v>
      </c>
      <c r="I5">
        <f t="shared" si="2"/>
        <v>0</v>
      </c>
      <c r="J5">
        <f t="shared" si="2"/>
        <v>0</v>
      </c>
      <c r="K5">
        <f t="shared" si="2"/>
        <v>0</v>
      </c>
      <c r="L5">
        <f t="shared" si="2"/>
        <v>0</v>
      </c>
      <c r="M5" s="2">
        <f>IF(RawData!L5=0,1,0)</f>
        <v>1</v>
      </c>
      <c r="N5" t="s">
        <v>4</v>
      </c>
      <c r="O5">
        <v>2</v>
      </c>
      <c r="P5">
        <f>SUM(K2:K339)</f>
        <v>0</v>
      </c>
    </row>
    <row r="6" spans="1:20" x14ac:dyDescent="0.25">
      <c r="A6">
        <f t="shared" si="1"/>
        <v>0</v>
      </c>
      <c r="B6">
        <f>IF(C6=0,0,A6&amp;" "&amp;COUNTIF($A$1:$A6,A6))</f>
        <v>0</v>
      </c>
      <c r="C6" s="1">
        <v>0</v>
      </c>
      <c r="D6" s="2" t="str">
        <f>RawData!B6</f>
        <v>C</v>
      </c>
      <c r="E6" s="2" t="str">
        <f>RawData!C6&amp; " "&amp;RawData!E6</f>
        <v>Hassan Whiteside</v>
      </c>
      <c r="F6" s="2">
        <f>(RawData!F6)*M6</f>
        <v>0</v>
      </c>
      <c r="G6" s="35">
        <f>RawData!H6</f>
        <v>9400</v>
      </c>
      <c r="H6">
        <f t="shared" si="2"/>
        <v>0</v>
      </c>
      <c r="I6">
        <f t="shared" si="2"/>
        <v>0</v>
      </c>
      <c r="J6">
        <f t="shared" si="2"/>
        <v>0</v>
      </c>
      <c r="K6">
        <f t="shared" si="2"/>
        <v>0</v>
      </c>
      <c r="L6">
        <f t="shared" si="2"/>
        <v>0</v>
      </c>
      <c r="M6" s="2">
        <f>IF(RawData!L6=0,1,0)</f>
        <v>0</v>
      </c>
      <c r="N6" t="s">
        <v>6</v>
      </c>
      <c r="O6">
        <v>1</v>
      </c>
      <c r="P6">
        <f>SUM(L2:L339)</f>
        <v>0</v>
      </c>
    </row>
    <row r="7" spans="1:20" x14ac:dyDescent="0.25">
      <c r="A7">
        <f t="shared" si="1"/>
        <v>0</v>
      </c>
      <c r="B7">
        <f>IF(C7=0,0,A7&amp;" "&amp;COUNTIF($A$1:$A7,A7))</f>
        <v>0</v>
      </c>
      <c r="C7" s="1">
        <v>0</v>
      </c>
      <c r="D7" s="2" t="str">
        <f>RawData!B7</f>
        <v>PG</v>
      </c>
      <c r="E7" s="2" t="str">
        <f>RawData!C7&amp; " "&amp;RawData!E7</f>
        <v>Stephen Curry</v>
      </c>
      <c r="F7" s="2">
        <f>(RawData!F7)*M7</f>
        <v>41.433334350585902</v>
      </c>
      <c r="G7" s="35">
        <f>RawData!H7</f>
        <v>9200</v>
      </c>
      <c r="H7">
        <f t="shared" si="2"/>
        <v>0</v>
      </c>
      <c r="I7">
        <f t="shared" si="2"/>
        <v>0</v>
      </c>
      <c r="J7">
        <f t="shared" si="2"/>
        <v>0</v>
      </c>
      <c r="K7">
        <f t="shared" si="2"/>
        <v>0</v>
      </c>
      <c r="L7">
        <f t="shared" si="2"/>
        <v>0</v>
      </c>
      <c r="M7" s="2">
        <f>IF(RawData!L7=0,1,0)</f>
        <v>1</v>
      </c>
    </row>
    <row r="8" spans="1:20" x14ac:dyDescent="0.25">
      <c r="A8">
        <f t="shared" si="1"/>
        <v>0</v>
      </c>
      <c r="B8">
        <f>IF(C8=0,0,A8&amp;" "&amp;COUNTIF($A$1:$A8,A8))</f>
        <v>0</v>
      </c>
      <c r="C8" s="1">
        <v>0</v>
      </c>
      <c r="D8" s="2" t="str">
        <f>RawData!B8</f>
        <v>PF</v>
      </c>
      <c r="E8" s="2" t="str">
        <f>RawData!C8&amp; " "&amp;RawData!E8</f>
        <v>LaMarcus Aldridge</v>
      </c>
      <c r="F8" s="2">
        <f>(RawData!F8)*M8</f>
        <v>49.25</v>
      </c>
      <c r="G8" s="35">
        <f>RawData!H8</f>
        <v>8800</v>
      </c>
      <c r="H8">
        <f t="shared" si="2"/>
        <v>0</v>
      </c>
      <c r="I8">
        <f t="shared" si="2"/>
        <v>0</v>
      </c>
      <c r="J8">
        <f t="shared" si="2"/>
        <v>0</v>
      </c>
      <c r="K8">
        <f t="shared" si="2"/>
        <v>0</v>
      </c>
      <c r="L8">
        <f t="shared" si="2"/>
        <v>0</v>
      </c>
      <c r="M8" s="2">
        <f>IF(RawData!L8=0,1,0)</f>
        <v>1</v>
      </c>
      <c r="N8" t="s">
        <v>16</v>
      </c>
      <c r="O8">
        <f>SUMPRODUCT(C2:C239,G2:G239)</f>
        <v>0</v>
      </c>
    </row>
    <row r="9" spans="1:20" x14ac:dyDescent="0.25">
      <c r="A9">
        <f t="shared" si="1"/>
        <v>0</v>
      </c>
      <c r="B9">
        <f>IF(C9=0,0,A9&amp;" "&amp;COUNTIF($A$1:$A9,A9))</f>
        <v>0</v>
      </c>
      <c r="C9" s="1">
        <v>0</v>
      </c>
      <c r="D9" s="2" t="str">
        <f>RawData!B9</f>
        <v>C</v>
      </c>
      <c r="E9" s="2" t="str">
        <f>RawData!C9&amp; " "&amp;RawData!E9</f>
        <v>Marc Gasol</v>
      </c>
      <c r="F9" s="2">
        <f>(RawData!F9)*M9</f>
        <v>48</v>
      </c>
      <c r="G9" s="35">
        <f>RawData!H9</f>
        <v>8700</v>
      </c>
      <c r="H9">
        <f t="shared" si="2"/>
        <v>0</v>
      </c>
      <c r="I9">
        <f t="shared" si="2"/>
        <v>0</v>
      </c>
      <c r="J9">
        <f t="shared" si="2"/>
        <v>0</v>
      </c>
      <c r="K9">
        <f t="shared" si="2"/>
        <v>0</v>
      </c>
      <c r="L9">
        <f t="shared" si="2"/>
        <v>0</v>
      </c>
      <c r="M9" s="2">
        <f>IF(RawData!L9=0,1,0)</f>
        <v>1</v>
      </c>
      <c r="N9" t="s">
        <v>17</v>
      </c>
      <c r="O9">
        <f>60000</f>
        <v>60000</v>
      </c>
    </row>
    <row r="10" spans="1:20" x14ac:dyDescent="0.25">
      <c r="A10">
        <f t="shared" si="1"/>
        <v>0</v>
      </c>
      <c r="B10">
        <f>IF(C10=0,0,A10&amp;" "&amp;COUNTIF($A$1:$A10,A10))</f>
        <v>0</v>
      </c>
      <c r="C10" s="1">
        <v>0</v>
      </c>
      <c r="D10" s="2" t="str">
        <f>RawData!B10</f>
        <v>PG</v>
      </c>
      <c r="E10" s="2" t="str">
        <f>RawData!C10&amp; " "&amp;RawData!E10</f>
        <v>Chris Paul</v>
      </c>
      <c r="F10" s="2">
        <f>(RawData!F10)*M10</f>
        <v>0</v>
      </c>
      <c r="G10" s="35">
        <f>RawData!H10</f>
        <v>8700</v>
      </c>
      <c r="H10">
        <f t="shared" si="2"/>
        <v>0</v>
      </c>
      <c r="I10">
        <f t="shared" si="2"/>
        <v>0</v>
      </c>
      <c r="J10">
        <f t="shared" si="2"/>
        <v>0</v>
      </c>
      <c r="K10">
        <f t="shared" si="2"/>
        <v>0</v>
      </c>
      <c r="L10">
        <f t="shared" si="2"/>
        <v>0</v>
      </c>
      <c r="M10" s="2">
        <f>IF(RawData!L10=0,1,0)</f>
        <v>0</v>
      </c>
    </row>
    <row r="11" spans="1:20" x14ac:dyDescent="0.25">
      <c r="A11">
        <f t="shared" si="1"/>
        <v>0</v>
      </c>
      <c r="B11">
        <f>IF(C11=0,0,A11&amp;" "&amp;COUNTIF($A$1:$A11,A11))</f>
        <v>0</v>
      </c>
      <c r="C11" s="1">
        <v>0</v>
      </c>
      <c r="D11" s="2" t="str">
        <f>RawData!B11</f>
        <v>SF</v>
      </c>
      <c r="E11" s="2" t="str">
        <f>RawData!C11&amp; " "&amp;RawData!E11</f>
        <v>Kawhi Leonard</v>
      </c>
      <c r="F11" s="2">
        <f>(RawData!F11)*M11</f>
        <v>0</v>
      </c>
      <c r="G11" s="35">
        <f>RawData!H11</f>
        <v>8600</v>
      </c>
      <c r="H11">
        <f t="shared" si="2"/>
        <v>0</v>
      </c>
      <c r="I11">
        <f t="shared" si="2"/>
        <v>0</v>
      </c>
      <c r="J11">
        <f t="shared" si="2"/>
        <v>0</v>
      </c>
      <c r="K11">
        <f t="shared" si="2"/>
        <v>0</v>
      </c>
      <c r="L11">
        <f t="shared" si="2"/>
        <v>0</v>
      </c>
      <c r="M11" s="2">
        <f>IF(RawData!L11=0,1,0)</f>
        <v>0</v>
      </c>
      <c r="N11" t="s">
        <v>18</v>
      </c>
      <c r="O11">
        <f>SUMPRODUCT(C2:C339,F2:F339)</f>
        <v>0</v>
      </c>
    </row>
    <row r="12" spans="1:20" x14ac:dyDescent="0.25">
      <c r="A12">
        <f t="shared" si="1"/>
        <v>0</v>
      </c>
      <c r="B12">
        <f>IF(C12=0,0,A12&amp;" "&amp;COUNTIF($A$1:$A12,A12))</f>
        <v>0</v>
      </c>
      <c r="C12" s="1">
        <v>0</v>
      </c>
      <c r="D12" s="2" t="str">
        <f>RawData!B12</f>
        <v>C</v>
      </c>
      <c r="E12" s="2" t="str">
        <f>RawData!C12&amp; " "&amp;RawData!E12</f>
        <v>Nikola Jokic</v>
      </c>
      <c r="F12" s="2">
        <f>(RawData!F12)*M12</f>
        <v>25.350000381469702</v>
      </c>
      <c r="G12" s="35">
        <f>RawData!H12</f>
        <v>8600</v>
      </c>
      <c r="H12">
        <f t="shared" si="2"/>
        <v>0</v>
      </c>
      <c r="I12">
        <f t="shared" si="2"/>
        <v>0</v>
      </c>
      <c r="J12">
        <f t="shared" si="2"/>
        <v>0</v>
      </c>
      <c r="K12">
        <f t="shared" si="2"/>
        <v>0</v>
      </c>
      <c r="L12">
        <f t="shared" si="2"/>
        <v>0</v>
      </c>
      <c r="M12" s="2">
        <f>IF(RawData!L12=0,1,0)</f>
        <v>1</v>
      </c>
    </row>
    <row r="13" spans="1:20" x14ac:dyDescent="0.25">
      <c r="A13">
        <f t="shared" si="1"/>
        <v>0</v>
      </c>
      <c r="B13">
        <f>IF(C13=0,0,A13&amp;" "&amp;COUNTIF($A$1:$A13,A13))</f>
        <v>0</v>
      </c>
      <c r="C13" s="1">
        <v>0</v>
      </c>
      <c r="D13" s="2" t="str">
        <f>RawData!B13</f>
        <v>C</v>
      </c>
      <c r="E13" s="2" t="str">
        <f>RawData!C13&amp; " "&amp;RawData!E13</f>
        <v>Joel Embiid</v>
      </c>
      <c r="F13" s="2">
        <f>(RawData!F13)*M13</f>
        <v>0</v>
      </c>
      <c r="G13" s="35">
        <f>RawData!H13</f>
        <v>8500</v>
      </c>
      <c r="H13">
        <f t="shared" si="2"/>
        <v>0</v>
      </c>
      <c r="I13">
        <f t="shared" si="2"/>
        <v>0</v>
      </c>
      <c r="J13">
        <f t="shared" si="2"/>
        <v>0</v>
      </c>
      <c r="K13">
        <f t="shared" si="2"/>
        <v>0</v>
      </c>
      <c r="L13">
        <f t="shared" si="2"/>
        <v>0</v>
      </c>
      <c r="M13" s="2">
        <f>IF(RawData!L13=0,1,0)</f>
        <v>0</v>
      </c>
      <c r="N13" t="s">
        <v>19</v>
      </c>
      <c r="O13">
        <v>9</v>
      </c>
    </row>
    <row r="14" spans="1:20" x14ac:dyDescent="0.25">
      <c r="A14">
        <f t="shared" si="1"/>
        <v>0</v>
      </c>
      <c r="B14">
        <f>IF(C14=0,0,A14&amp;" "&amp;COUNTIF($A$1:$A14,A14))</f>
        <v>0</v>
      </c>
      <c r="C14" s="1">
        <v>0</v>
      </c>
      <c r="D14" s="2" t="str">
        <f>RawData!B14</f>
        <v>C</v>
      </c>
      <c r="E14" s="2" t="str">
        <f>RawData!C14&amp; " "&amp;RawData!E14</f>
        <v>Andre Drummond</v>
      </c>
      <c r="F14" s="2">
        <f>(RawData!F14)*M14</f>
        <v>34.966667175292898</v>
      </c>
      <c r="G14" s="35">
        <f>RawData!H14</f>
        <v>8300</v>
      </c>
      <c r="H14">
        <f t="shared" si="2"/>
        <v>0</v>
      </c>
      <c r="I14">
        <f t="shared" si="2"/>
        <v>0</v>
      </c>
      <c r="J14">
        <f t="shared" si="2"/>
        <v>0</v>
      </c>
      <c r="K14">
        <f t="shared" si="2"/>
        <v>0</v>
      </c>
      <c r="L14">
        <f t="shared" si="2"/>
        <v>0</v>
      </c>
      <c r="M14" s="2">
        <f>IF(RawData!L14=0,1,0)</f>
        <v>1</v>
      </c>
      <c r="N14" t="s">
        <v>20</v>
      </c>
      <c r="O14">
        <f>SUM(C:C)</f>
        <v>0</v>
      </c>
    </row>
    <row r="15" spans="1:20" x14ac:dyDescent="0.25">
      <c r="A15">
        <f t="shared" si="1"/>
        <v>0</v>
      </c>
      <c r="B15">
        <f>IF(C15=0,0,A15&amp;" "&amp;COUNTIF($A$1:$A15,A15))</f>
        <v>0</v>
      </c>
      <c r="C15" s="1">
        <v>0</v>
      </c>
      <c r="D15" s="2" t="str">
        <f>RawData!B15</f>
        <v>PG</v>
      </c>
      <c r="E15" s="2" t="str">
        <f>RawData!C15&amp; " "&amp;RawData!E15</f>
        <v>Dennis Schroder</v>
      </c>
      <c r="F15" s="2">
        <f>(RawData!F15)*M15</f>
        <v>0</v>
      </c>
      <c r="G15" s="35">
        <f>RawData!H15</f>
        <v>8300</v>
      </c>
      <c r="H15">
        <f t="shared" si="2"/>
        <v>0</v>
      </c>
      <c r="I15">
        <f t="shared" si="2"/>
        <v>0</v>
      </c>
      <c r="J15">
        <f t="shared" si="2"/>
        <v>0</v>
      </c>
      <c r="K15">
        <f t="shared" si="2"/>
        <v>0</v>
      </c>
      <c r="L15">
        <f t="shared" si="2"/>
        <v>0</v>
      </c>
      <c r="M15" s="2">
        <f>IF(RawData!L15=0,1,0)</f>
        <v>0</v>
      </c>
    </row>
    <row r="16" spans="1:20" x14ac:dyDescent="0.25">
      <c r="A16">
        <f t="shared" si="1"/>
        <v>0</v>
      </c>
      <c r="B16">
        <f>IF(C16=0,0,A16&amp;" "&amp;COUNTIF($A$1:$A16,A16))</f>
        <v>0</v>
      </c>
      <c r="C16" s="1">
        <v>0</v>
      </c>
      <c r="D16" s="2" t="str">
        <f>RawData!B16</f>
        <v>PG</v>
      </c>
      <c r="E16" s="2" t="str">
        <f>RawData!C16&amp; " "&amp;RawData!E16</f>
        <v>Kemba Walker</v>
      </c>
      <c r="F16" s="2">
        <f>(RawData!F16)*M16</f>
        <v>38.25</v>
      </c>
      <c r="G16" s="35">
        <f>RawData!H16</f>
        <v>8200</v>
      </c>
      <c r="H16">
        <f t="shared" si="2"/>
        <v>0</v>
      </c>
      <c r="I16">
        <f t="shared" si="2"/>
        <v>0</v>
      </c>
      <c r="J16">
        <f t="shared" si="2"/>
        <v>0</v>
      </c>
      <c r="K16">
        <f t="shared" si="2"/>
        <v>0</v>
      </c>
      <c r="L16">
        <f t="shared" si="2"/>
        <v>0</v>
      </c>
      <c r="M16" s="2">
        <f>IF(RawData!L16=0,1,0)</f>
        <v>1</v>
      </c>
      <c r="N16" t="s">
        <v>22</v>
      </c>
    </row>
    <row r="17" spans="1:15" x14ac:dyDescent="0.25">
      <c r="A17">
        <f t="shared" si="1"/>
        <v>0</v>
      </c>
      <c r="B17">
        <f>IF(C17=0,0,A17&amp;" "&amp;COUNTIF($A$1:$A17,A17))</f>
        <v>0</v>
      </c>
      <c r="C17" s="1">
        <v>0</v>
      </c>
      <c r="D17" s="2" t="str">
        <f>RawData!B17</f>
        <v>SG</v>
      </c>
      <c r="E17" s="2" t="str">
        <f>RawData!C17&amp; " "&amp;RawData!E17</f>
        <v>DeMar DeRozan</v>
      </c>
      <c r="F17" s="2">
        <f>(RawData!F17)*M17</f>
        <v>0</v>
      </c>
      <c r="G17" s="35">
        <f>RawData!H17</f>
        <v>8200</v>
      </c>
      <c r="H17">
        <f t="shared" si="2"/>
        <v>0</v>
      </c>
      <c r="I17">
        <f t="shared" si="2"/>
        <v>0</v>
      </c>
      <c r="J17">
        <f t="shared" si="2"/>
        <v>0</v>
      </c>
      <c r="K17">
        <f t="shared" si="2"/>
        <v>0</v>
      </c>
      <c r="L17">
        <f t="shared" si="2"/>
        <v>0</v>
      </c>
      <c r="M17" s="2">
        <f>IF(RawData!L17=0,1,0)</f>
        <v>0</v>
      </c>
      <c r="N17" t="s">
        <v>24</v>
      </c>
      <c r="O17" t="e">
        <f>VLOOKUP(N17,B2:F101,4,FALSE)</f>
        <v>#N/A</v>
      </c>
    </row>
    <row r="18" spans="1:15" x14ac:dyDescent="0.25">
      <c r="A18">
        <f t="shared" si="1"/>
        <v>0</v>
      </c>
      <c r="B18">
        <f>IF(C18=0,0,A18&amp;" "&amp;COUNTIF($A$1:$A18,A18))</f>
        <v>0</v>
      </c>
      <c r="C18" s="1">
        <v>0</v>
      </c>
      <c r="D18" s="2" t="str">
        <f>RawData!B18</f>
        <v>PF</v>
      </c>
      <c r="E18" s="2" t="str">
        <f>RawData!C18&amp; " "&amp;RawData!E18</f>
        <v>Ben Simmons</v>
      </c>
      <c r="F18" s="2">
        <f>(RawData!F18)*M18</f>
        <v>38.399998982747398</v>
      </c>
      <c r="G18" s="35">
        <f>RawData!H18</f>
        <v>8000</v>
      </c>
      <c r="H18">
        <f t="shared" si="2"/>
        <v>0</v>
      </c>
      <c r="I18">
        <f t="shared" si="2"/>
        <v>0</v>
      </c>
      <c r="J18">
        <f t="shared" si="2"/>
        <v>0</v>
      </c>
      <c r="K18">
        <f t="shared" si="2"/>
        <v>0</v>
      </c>
      <c r="L18">
        <f t="shared" si="2"/>
        <v>0</v>
      </c>
      <c r="M18" s="2">
        <f>IF(RawData!L18=0,1,0)</f>
        <v>1</v>
      </c>
      <c r="N18" t="s">
        <v>25</v>
      </c>
      <c r="O18" s="2" t="e">
        <f>VLOOKUP(N18,B2:F102,4,FALSE)</f>
        <v>#N/A</v>
      </c>
    </row>
    <row r="19" spans="1:15" x14ac:dyDescent="0.25">
      <c r="A19">
        <f t="shared" si="1"/>
        <v>0</v>
      </c>
      <c r="B19">
        <f>IF(C19=0,0,A19&amp;" "&amp;COUNTIF($A$1:$A19,A19))</f>
        <v>0</v>
      </c>
      <c r="C19" s="1">
        <v>0</v>
      </c>
      <c r="D19" s="2" t="str">
        <f>RawData!B19</f>
        <v>SG</v>
      </c>
      <c r="E19" s="2" t="str">
        <f>RawData!C19&amp; " "&amp;RawData!E19</f>
        <v>Bradley Beal</v>
      </c>
      <c r="F19" s="2">
        <f>(RawData!F19)*M19</f>
        <v>45.5</v>
      </c>
      <c r="G19" s="35">
        <f>RawData!H19</f>
        <v>8000</v>
      </c>
      <c r="H19">
        <f t="shared" si="2"/>
        <v>0</v>
      </c>
      <c r="I19">
        <f t="shared" si="2"/>
        <v>0</v>
      </c>
      <c r="J19">
        <f t="shared" si="2"/>
        <v>0</v>
      </c>
      <c r="K19">
        <f t="shared" si="2"/>
        <v>0</v>
      </c>
      <c r="L19">
        <f t="shared" si="2"/>
        <v>0</v>
      </c>
      <c r="M19" s="2">
        <f>IF(RawData!L19=0,1,0)</f>
        <v>1</v>
      </c>
      <c r="N19" t="s">
        <v>26</v>
      </c>
      <c r="O19" s="2" t="e">
        <f>VLOOKUP(N19,B2:F103,4,FALSE)</f>
        <v>#N/A</v>
      </c>
    </row>
    <row r="20" spans="1:15" x14ac:dyDescent="0.25">
      <c r="A20">
        <f t="shared" si="1"/>
        <v>0</v>
      </c>
      <c r="B20">
        <f>IF(C20=0,0,A20&amp;" "&amp;COUNTIF($A$1:$A20,A20))</f>
        <v>0</v>
      </c>
      <c r="C20" s="1">
        <v>0</v>
      </c>
      <c r="D20" s="2" t="str">
        <f>RawData!B20</f>
        <v>PG</v>
      </c>
      <c r="E20" s="2" t="str">
        <f>RawData!C20&amp; " "&amp;RawData!E20</f>
        <v>Mike Conley</v>
      </c>
      <c r="F20" s="2">
        <f>(RawData!F20)*M20</f>
        <v>32.200000762939403</v>
      </c>
      <c r="G20" s="35">
        <f>RawData!H20</f>
        <v>7900</v>
      </c>
      <c r="H20">
        <f t="shared" si="2"/>
        <v>0</v>
      </c>
      <c r="I20">
        <f t="shared" si="2"/>
        <v>0</v>
      </c>
      <c r="J20">
        <f t="shared" si="2"/>
        <v>0</v>
      </c>
      <c r="K20">
        <f t="shared" si="2"/>
        <v>0</v>
      </c>
      <c r="L20">
        <f t="shared" si="2"/>
        <v>0</v>
      </c>
      <c r="M20" s="2">
        <f>IF(RawData!L20=0,1,0)</f>
        <v>1</v>
      </c>
      <c r="N20" t="s">
        <v>27</v>
      </c>
      <c r="O20" s="2" t="e">
        <f>VLOOKUP(N20,B2:F104,4,FALSE)</f>
        <v>#N/A</v>
      </c>
    </row>
    <row r="21" spans="1:15" x14ac:dyDescent="0.25">
      <c r="A21">
        <f t="shared" si="1"/>
        <v>0</v>
      </c>
      <c r="B21">
        <f>IF(C21=0,0,A21&amp;" "&amp;COUNTIF($A$1:$A21,A21))</f>
        <v>0</v>
      </c>
      <c r="C21" s="1">
        <v>0</v>
      </c>
      <c r="D21" s="2" t="str">
        <f>RawData!B21</f>
        <v>PF</v>
      </c>
      <c r="E21" s="2" t="str">
        <f>RawData!C21&amp; " "&amp;RawData!E21</f>
        <v>Paul Millsap</v>
      </c>
      <c r="F21" s="2">
        <f>(RawData!F21)*M21</f>
        <v>27.25</v>
      </c>
      <c r="G21" s="35">
        <f>RawData!H21</f>
        <v>7800</v>
      </c>
      <c r="H21">
        <f t="shared" si="2"/>
        <v>0</v>
      </c>
      <c r="I21">
        <f t="shared" si="2"/>
        <v>0</v>
      </c>
      <c r="J21">
        <f t="shared" si="2"/>
        <v>0</v>
      </c>
      <c r="K21">
        <f t="shared" si="2"/>
        <v>0</v>
      </c>
      <c r="L21">
        <f t="shared" si="2"/>
        <v>0</v>
      </c>
      <c r="M21" s="2">
        <f>IF(RawData!L21=0,1,0)</f>
        <v>1</v>
      </c>
      <c r="N21" t="s">
        <v>28</v>
      </c>
      <c r="O21" s="2" t="e">
        <f>VLOOKUP(N21,B2:F105,4,FALSE)</f>
        <v>#N/A</v>
      </c>
    </row>
    <row r="22" spans="1:15" x14ac:dyDescent="0.25">
      <c r="A22">
        <f t="shared" si="1"/>
        <v>0</v>
      </c>
      <c r="B22">
        <f>IF(C22=0,0,A22&amp;" "&amp;COUNTIF($A$1:$A22,A22))</f>
        <v>0</v>
      </c>
      <c r="C22" s="1">
        <v>0</v>
      </c>
      <c r="D22" s="2" t="str">
        <f>RawData!B22</f>
        <v>PG</v>
      </c>
      <c r="E22" s="2" t="str">
        <f>RawData!C22&amp; " "&amp;RawData!E22</f>
        <v>Kyle Lowry</v>
      </c>
      <c r="F22" s="2">
        <f>(RawData!F22)*M22</f>
        <v>29.399999618530199</v>
      </c>
      <c r="G22" s="35">
        <f>RawData!H22</f>
        <v>7700</v>
      </c>
      <c r="H22">
        <f t="shared" si="2"/>
        <v>0</v>
      </c>
      <c r="I22">
        <f t="shared" si="2"/>
        <v>0</v>
      </c>
      <c r="J22">
        <f t="shared" si="2"/>
        <v>0</v>
      </c>
      <c r="K22">
        <f t="shared" si="2"/>
        <v>0</v>
      </c>
      <c r="L22">
        <f t="shared" si="2"/>
        <v>0</v>
      </c>
      <c r="M22" s="2">
        <f>IF(RawData!L22=0,1,0)</f>
        <v>1</v>
      </c>
      <c r="N22" t="s">
        <v>29</v>
      </c>
      <c r="O22" s="2" t="e">
        <f>VLOOKUP(N22,B2:F106,4,FALSE)</f>
        <v>#N/A</v>
      </c>
    </row>
    <row r="23" spans="1:15" x14ac:dyDescent="0.25">
      <c r="A23">
        <f t="shared" si="1"/>
        <v>0</v>
      </c>
      <c r="B23">
        <f>IF(C23=0,0,A23&amp;" "&amp;COUNTIF($A$1:$A23,A23))</f>
        <v>0</v>
      </c>
      <c r="C23" s="1">
        <v>0</v>
      </c>
      <c r="D23" s="2" t="str">
        <f>RawData!B23</f>
        <v>PF</v>
      </c>
      <c r="E23" s="2" t="str">
        <f>RawData!C23&amp; " "&amp;RawData!E23</f>
        <v>Draymond Green</v>
      </c>
      <c r="F23" s="2">
        <f>(RawData!F23)*M23</f>
        <v>31.533332824706999</v>
      </c>
      <c r="G23" s="35">
        <f>RawData!H23</f>
        <v>7700</v>
      </c>
      <c r="H23">
        <f t="shared" si="2"/>
        <v>0</v>
      </c>
      <c r="I23">
        <f t="shared" si="2"/>
        <v>0</v>
      </c>
      <c r="J23">
        <f t="shared" si="2"/>
        <v>0</v>
      </c>
      <c r="K23">
        <f t="shared" si="2"/>
        <v>0</v>
      </c>
      <c r="L23">
        <f t="shared" si="2"/>
        <v>0</v>
      </c>
      <c r="M23" s="2">
        <f>IF(RawData!L23=0,1,0)</f>
        <v>1</v>
      </c>
      <c r="N23" t="s">
        <v>30</v>
      </c>
      <c r="O23" s="2" t="e">
        <f>VLOOKUP(N23,B2:F107,4,FALSE)</f>
        <v>#N/A</v>
      </c>
    </row>
    <row r="24" spans="1:15" x14ac:dyDescent="0.25">
      <c r="A24">
        <f t="shared" si="1"/>
        <v>0</v>
      </c>
      <c r="B24">
        <f>IF(C24=0,0,A24&amp;" "&amp;COUNTIF($A$1:$A24,A24))</f>
        <v>0</v>
      </c>
      <c r="C24" s="1">
        <v>0</v>
      </c>
      <c r="D24" s="2" t="str">
        <f>RawData!B24</f>
        <v>C</v>
      </c>
      <c r="E24" s="2" t="str">
        <f>RawData!C24&amp; " "&amp;RawData!E24</f>
        <v>Dwight Howard</v>
      </c>
      <c r="F24" s="2">
        <f>(RawData!F24)*M24</f>
        <v>35.25</v>
      </c>
      <c r="G24" s="35">
        <f>RawData!H24</f>
        <v>7400</v>
      </c>
      <c r="H24">
        <f t="shared" si="2"/>
        <v>0</v>
      </c>
      <c r="I24">
        <f t="shared" si="2"/>
        <v>0</v>
      </c>
      <c r="J24">
        <f t="shared" si="2"/>
        <v>0</v>
      </c>
      <c r="K24">
        <f t="shared" si="2"/>
        <v>0</v>
      </c>
      <c r="L24">
        <f t="shared" si="2"/>
        <v>0</v>
      </c>
      <c r="M24" s="2">
        <f>IF(RawData!L24=0,1,0)</f>
        <v>1</v>
      </c>
      <c r="N24" t="s">
        <v>31</v>
      </c>
      <c r="O24" s="2" t="e">
        <f>VLOOKUP(N24,B2:F108,4,FALSE)</f>
        <v>#N/A</v>
      </c>
    </row>
    <row r="25" spans="1:15" x14ac:dyDescent="0.25">
      <c r="A25">
        <f t="shared" si="1"/>
        <v>0</v>
      </c>
      <c r="B25">
        <f>IF(C25=0,0,A25&amp;" "&amp;COUNTIF($A$1:$A25,A25))</f>
        <v>0</v>
      </c>
      <c r="C25" s="1">
        <v>0</v>
      </c>
      <c r="D25" s="2" t="str">
        <f>RawData!B25</f>
        <v>PG</v>
      </c>
      <c r="E25" s="2" t="str">
        <f>RawData!C25&amp; " "&amp;RawData!E25</f>
        <v>Eric Bledsoe</v>
      </c>
      <c r="F25" s="2">
        <f>(RawData!F25)*M25</f>
        <v>25.633333841959601</v>
      </c>
      <c r="G25" s="35">
        <f>RawData!H25</f>
        <v>7200</v>
      </c>
      <c r="H25">
        <f t="shared" si="2"/>
        <v>0</v>
      </c>
      <c r="I25">
        <f t="shared" si="2"/>
        <v>0</v>
      </c>
      <c r="J25">
        <f t="shared" si="2"/>
        <v>0</v>
      </c>
      <c r="K25">
        <f t="shared" si="2"/>
        <v>0</v>
      </c>
      <c r="L25">
        <f t="shared" si="2"/>
        <v>0</v>
      </c>
      <c r="M25" s="2">
        <f>IF(RawData!L25=0,1,0)</f>
        <v>1</v>
      </c>
      <c r="N25" t="s">
        <v>58</v>
      </c>
      <c r="O25" s="2" t="e">
        <f>VLOOKUP(N25,B3:F109,4,FALSE)</f>
        <v>#N/A</v>
      </c>
    </row>
    <row r="26" spans="1:15" x14ac:dyDescent="0.25">
      <c r="A26">
        <f t="shared" si="1"/>
        <v>0</v>
      </c>
      <c r="B26">
        <f>IF(C26=0,0,A26&amp;" "&amp;COUNTIF($A$1:$A26,A26))</f>
        <v>0</v>
      </c>
      <c r="C26" s="1">
        <v>0</v>
      </c>
      <c r="D26" s="2" t="str">
        <f>RawData!B26</f>
        <v>SG</v>
      </c>
      <c r="E26" s="2" t="str">
        <f>RawData!C26&amp; " "&amp;RawData!E26</f>
        <v>Devin Booker</v>
      </c>
      <c r="F26" s="2">
        <f>(RawData!F26)*M26</f>
        <v>33</v>
      </c>
      <c r="G26" s="35">
        <f>RawData!H26</f>
        <v>7200</v>
      </c>
      <c r="H26">
        <f t="shared" si="2"/>
        <v>0</v>
      </c>
      <c r="I26">
        <f t="shared" si="2"/>
        <v>0</v>
      </c>
      <c r="J26">
        <f t="shared" si="2"/>
        <v>0</v>
      </c>
      <c r="K26">
        <f t="shared" si="2"/>
        <v>0</v>
      </c>
      <c r="L26">
        <f t="shared" si="2"/>
        <v>0</v>
      </c>
      <c r="M26" s="2">
        <f>IF(RawData!L26=0,1,0)</f>
        <v>1</v>
      </c>
    </row>
    <row r="27" spans="1:15" x14ac:dyDescent="0.25">
      <c r="A27">
        <f t="shared" si="1"/>
        <v>0</v>
      </c>
      <c r="B27">
        <f>IF(C27=0,0,A27&amp;" "&amp;COUNTIF($A$1:$A27,A27))</f>
        <v>0</v>
      </c>
      <c r="C27" s="1">
        <v>0</v>
      </c>
      <c r="D27" s="2" t="str">
        <f>RawData!B27</f>
        <v>SG</v>
      </c>
      <c r="E27" s="2" t="str">
        <f>RawData!C27&amp; " "&amp;RawData!E27</f>
        <v>Klay Thompson</v>
      </c>
      <c r="F27" s="2">
        <f>(RawData!F27)*M27</f>
        <v>33.966667175292898</v>
      </c>
      <c r="G27" s="35">
        <f>RawData!H27</f>
        <v>7200</v>
      </c>
      <c r="H27">
        <f t="shared" si="2"/>
        <v>0</v>
      </c>
      <c r="I27">
        <f t="shared" si="2"/>
        <v>0</v>
      </c>
      <c r="J27">
        <f t="shared" si="2"/>
        <v>0</v>
      </c>
      <c r="K27">
        <f t="shared" si="2"/>
        <v>0</v>
      </c>
      <c r="L27">
        <f t="shared" si="2"/>
        <v>0</v>
      </c>
      <c r="M27" s="2">
        <f>IF(RawData!L27=0,1,0)</f>
        <v>1</v>
      </c>
    </row>
    <row r="28" spans="1:15" x14ac:dyDescent="0.25">
      <c r="A28">
        <f t="shared" si="1"/>
        <v>0</v>
      </c>
      <c r="B28">
        <f>IF(C28=0,0,A28&amp;" "&amp;COUNTIF($A$1:$A28,A28))</f>
        <v>0</v>
      </c>
      <c r="C28" s="1">
        <v>0</v>
      </c>
      <c r="D28" s="2" t="str">
        <f>RawData!B28</f>
        <v>PG</v>
      </c>
      <c r="E28" s="2" t="str">
        <f>RawData!C28&amp; " "&amp;RawData!E28</f>
        <v>Goran Dragic</v>
      </c>
      <c r="F28" s="2">
        <f>(RawData!F28)*M28</f>
        <v>33.25</v>
      </c>
      <c r="G28" s="35">
        <f>RawData!H28</f>
        <v>7100</v>
      </c>
      <c r="H28">
        <f t="shared" si="2"/>
        <v>0</v>
      </c>
      <c r="I28">
        <f t="shared" si="2"/>
        <v>0</v>
      </c>
      <c r="J28">
        <f t="shared" si="2"/>
        <v>0</v>
      </c>
      <c r="K28">
        <f t="shared" si="2"/>
        <v>0</v>
      </c>
      <c r="L28">
        <f t="shared" si="2"/>
        <v>0</v>
      </c>
      <c r="M28" s="2">
        <f>IF(RawData!L28=0,1,0)</f>
        <v>1</v>
      </c>
    </row>
    <row r="29" spans="1:15" x14ac:dyDescent="0.25">
      <c r="A29">
        <f t="shared" si="1"/>
        <v>0</v>
      </c>
      <c r="B29">
        <f>IF(C29=0,0,A29&amp;" "&amp;COUNTIF($A$1:$A29,A29))</f>
        <v>0</v>
      </c>
      <c r="C29" s="1">
        <v>0</v>
      </c>
      <c r="D29" s="2" t="str">
        <f>RawData!B29</f>
        <v>C</v>
      </c>
      <c r="E29" s="2" t="str">
        <f>RawData!C29&amp; " "&amp;RawData!E29</f>
        <v>Clint Capela</v>
      </c>
      <c r="F29" s="2">
        <f>(RawData!F29)*M29</f>
        <v>34.233332316080698</v>
      </c>
      <c r="G29" s="35">
        <f>RawData!H29</f>
        <v>7000</v>
      </c>
      <c r="H29">
        <f t="shared" si="2"/>
        <v>0</v>
      </c>
      <c r="I29">
        <f t="shared" si="2"/>
        <v>0</v>
      </c>
      <c r="J29">
        <f t="shared" si="2"/>
        <v>0</v>
      </c>
      <c r="K29">
        <f t="shared" si="2"/>
        <v>0</v>
      </c>
      <c r="L29">
        <f t="shared" si="2"/>
        <v>0</v>
      </c>
      <c r="M29" s="2">
        <f>IF(RawData!L29=0,1,0)</f>
        <v>1</v>
      </c>
    </row>
    <row r="30" spans="1:15" x14ac:dyDescent="0.25">
      <c r="A30">
        <f t="shared" si="1"/>
        <v>0</v>
      </c>
      <c r="B30">
        <f>IF(C30=0,0,A30&amp;" "&amp;COUNTIF($A$1:$A30,A30))</f>
        <v>0</v>
      </c>
      <c r="C30" s="1">
        <v>0</v>
      </c>
      <c r="D30" s="2" t="str">
        <f>RawData!B30</f>
        <v>PF</v>
      </c>
      <c r="E30" s="2" t="str">
        <f>RawData!C30&amp; " "&amp;RawData!E30</f>
        <v>Otto Porter Jr.</v>
      </c>
      <c r="F30" s="2">
        <f>(RawData!F30)*M30</f>
        <v>44.450000762939403</v>
      </c>
      <c r="G30" s="35">
        <f>RawData!H30</f>
        <v>6900</v>
      </c>
      <c r="H30">
        <f t="shared" si="2"/>
        <v>0</v>
      </c>
      <c r="I30">
        <f t="shared" si="2"/>
        <v>0</v>
      </c>
      <c r="J30">
        <f t="shared" si="2"/>
        <v>0</v>
      </c>
      <c r="K30">
        <f t="shared" si="2"/>
        <v>0</v>
      </c>
      <c r="L30">
        <f t="shared" si="2"/>
        <v>0</v>
      </c>
      <c r="M30" s="2">
        <f>IF(RawData!L30=0,1,0)</f>
        <v>1</v>
      </c>
    </row>
    <row r="31" spans="1:15" x14ac:dyDescent="0.25">
      <c r="A31">
        <f t="shared" si="1"/>
        <v>0</v>
      </c>
      <c r="B31">
        <f>IF(C31=0,0,A31&amp;" "&amp;COUNTIF($A$1:$A31,A31))</f>
        <v>0</v>
      </c>
      <c r="C31" s="1">
        <v>0</v>
      </c>
      <c r="D31" s="2" t="str">
        <f>RawData!B31</f>
        <v>SF</v>
      </c>
      <c r="E31" s="2" t="str">
        <f>RawData!C31&amp; " "&amp;RawData!E31</f>
        <v>Khris Middleton</v>
      </c>
      <c r="F31" s="2">
        <f>(RawData!F31)*M31</f>
        <v>26.533332824706999</v>
      </c>
      <c r="G31" s="35">
        <f>RawData!H31</f>
        <v>6900</v>
      </c>
      <c r="H31">
        <f t="shared" si="2"/>
        <v>0</v>
      </c>
      <c r="I31">
        <f t="shared" si="2"/>
        <v>0</v>
      </c>
      <c r="J31">
        <f t="shared" si="2"/>
        <v>0</v>
      </c>
      <c r="K31">
        <f t="shared" si="2"/>
        <v>0</v>
      </c>
      <c r="L31">
        <f t="shared" si="2"/>
        <v>0</v>
      </c>
      <c r="M31" s="2">
        <f>IF(RawData!L31=0,1,0)</f>
        <v>1</v>
      </c>
    </row>
    <row r="32" spans="1:15" x14ac:dyDescent="0.25">
      <c r="A32">
        <f t="shared" si="1"/>
        <v>0</v>
      </c>
      <c r="B32">
        <f>IF(C32=0,0,A32&amp;" "&amp;COUNTIF($A$1:$A32,A32))</f>
        <v>0</v>
      </c>
      <c r="C32" s="1">
        <v>0</v>
      </c>
      <c r="D32" s="2" t="str">
        <f>RawData!B32</f>
        <v>SF</v>
      </c>
      <c r="E32" s="2" t="str">
        <f>RawData!C32&amp; " "&amp;RawData!E32</f>
        <v>Tobias Harris</v>
      </c>
      <c r="F32" s="2">
        <f>(RawData!F32)*M32</f>
        <v>35.100001017252602</v>
      </c>
      <c r="G32" s="35">
        <f>RawData!H32</f>
        <v>6800</v>
      </c>
      <c r="H32">
        <f t="shared" si="2"/>
        <v>0</v>
      </c>
      <c r="I32">
        <f t="shared" si="2"/>
        <v>0</v>
      </c>
      <c r="J32">
        <f t="shared" si="2"/>
        <v>0</v>
      </c>
      <c r="K32">
        <f t="shared" si="2"/>
        <v>0</v>
      </c>
      <c r="L32">
        <f t="shared" si="2"/>
        <v>0</v>
      </c>
      <c r="M32" s="2">
        <f>IF(RawData!L32=0,1,0)</f>
        <v>1</v>
      </c>
    </row>
    <row r="33" spans="1:13" x14ac:dyDescent="0.25">
      <c r="A33">
        <f t="shared" si="1"/>
        <v>0</v>
      </c>
      <c r="B33">
        <f>IF(C33=0,0,A33&amp;" "&amp;COUNTIF($A$1:$A33,A33))</f>
        <v>0</v>
      </c>
      <c r="C33" s="1">
        <v>0</v>
      </c>
      <c r="D33" s="2" t="str">
        <f>RawData!B33</f>
        <v>PG</v>
      </c>
      <c r="E33" s="2" t="str">
        <f>RawData!C33&amp; " "&amp;RawData!E33</f>
        <v>Reggie Jackson</v>
      </c>
      <c r="F33" s="2">
        <f>(RawData!F33)*M33</f>
        <v>35.800000508626297</v>
      </c>
      <c r="G33" s="35">
        <f>RawData!H33</f>
        <v>6800</v>
      </c>
      <c r="H33">
        <f t="shared" si="2"/>
        <v>0</v>
      </c>
      <c r="I33">
        <f t="shared" si="2"/>
        <v>0</v>
      </c>
      <c r="J33">
        <f t="shared" si="2"/>
        <v>0</v>
      </c>
      <c r="K33">
        <f t="shared" si="2"/>
        <v>0</v>
      </c>
      <c r="L33">
        <f t="shared" si="2"/>
        <v>0</v>
      </c>
      <c r="M33" s="2">
        <f>IF(RawData!L33=0,1,0)</f>
        <v>1</v>
      </c>
    </row>
    <row r="34" spans="1:13" x14ac:dyDescent="0.25">
      <c r="A34">
        <f t="shared" si="1"/>
        <v>0</v>
      </c>
      <c r="B34">
        <f>IF(C34=0,0,A34&amp;" "&amp;COUNTIF($A$1:$A34,A34))</f>
        <v>0</v>
      </c>
      <c r="C34" s="1">
        <v>0</v>
      </c>
      <c r="D34" s="2" t="str">
        <f>RawData!B34</f>
        <v>PG</v>
      </c>
      <c r="E34" s="2" t="str">
        <f>RawData!C34&amp; " "&amp;RawData!E34</f>
        <v>Dennis Smith Jr.</v>
      </c>
      <c r="F34" s="2">
        <f>(RawData!F34)*M34</f>
        <v>0</v>
      </c>
      <c r="G34" s="35">
        <f>RawData!H34</f>
        <v>6500</v>
      </c>
      <c r="H34">
        <f t="shared" si="2"/>
        <v>0</v>
      </c>
      <c r="I34">
        <f t="shared" si="2"/>
        <v>0</v>
      </c>
      <c r="J34">
        <f t="shared" si="2"/>
        <v>0</v>
      </c>
      <c r="K34">
        <f t="shared" si="2"/>
        <v>0</v>
      </c>
      <c r="L34">
        <f t="shared" si="2"/>
        <v>0</v>
      </c>
      <c r="M34" s="2">
        <f>IF(RawData!L34=0,1,0)</f>
        <v>0</v>
      </c>
    </row>
    <row r="35" spans="1:13" x14ac:dyDescent="0.25">
      <c r="A35">
        <f t="shared" si="1"/>
        <v>0</v>
      </c>
      <c r="B35">
        <f>IF(C35=0,0,A35&amp;" "&amp;COUNTIF($A$1:$A35,A35))</f>
        <v>0</v>
      </c>
      <c r="C35" s="1">
        <v>0</v>
      </c>
      <c r="D35" s="2" t="str">
        <f>RawData!B35</f>
        <v>SG</v>
      </c>
      <c r="E35" s="2" t="str">
        <f>RawData!C35&amp; " "&amp;RawData!E35</f>
        <v>Nicolas Batum</v>
      </c>
      <c r="F35" s="2">
        <f>(RawData!F35)*M35</f>
        <v>0</v>
      </c>
      <c r="G35" s="35">
        <f>RawData!H35</f>
        <v>6400</v>
      </c>
      <c r="H35">
        <f t="shared" si="2"/>
        <v>0</v>
      </c>
      <c r="I35">
        <f t="shared" si="2"/>
        <v>0</v>
      </c>
      <c r="J35">
        <f t="shared" si="2"/>
        <v>0</v>
      </c>
      <c r="K35">
        <f t="shared" si="2"/>
        <v>0</v>
      </c>
      <c r="L35">
        <f t="shared" si="2"/>
        <v>0</v>
      </c>
      <c r="M35" s="2">
        <f>IF(RawData!L35=0,1,0)</f>
        <v>0</v>
      </c>
    </row>
    <row r="36" spans="1:13" x14ac:dyDescent="0.25">
      <c r="A36">
        <f t="shared" si="1"/>
        <v>0</v>
      </c>
      <c r="B36">
        <f>IF(C36=0,0,A36&amp;" "&amp;COUNTIF($A$1:$A36,A36))</f>
        <v>0</v>
      </c>
      <c r="C36" s="1">
        <v>0</v>
      </c>
      <c r="D36" s="2" t="str">
        <f>RawData!B36</f>
        <v>SG</v>
      </c>
      <c r="E36" s="2" t="str">
        <f>RawData!C36&amp; " "&amp;RawData!E36</f>
        <v>Dion Waiters</v>
      </c>
      <c r="F36" s="2">
        <f>(RawData!F36)*M36</f>
        <v>29.100000381469702</v>
      </c>
      <c r="G36" s="35">
        <f>RawData!H36</f>
        <v>6400</v>
      </c>
      <c r="H36">
        <f t="shared" si="2"/>
        <v>0</v>
      </c>
      <c r="I36">
        <f t="shared" si="2"/>
        <v>0</v>
      </c>
      <c r="J36">
        <f t="shared" si="2"/>
        <v>0</v>
      </c>
      <c r="K36">
        <f t="shared" si="2"/>
        <v>0</v>
      </c>
      <c r="L36">
        <f t="shared" si="2"/>
        <v>0</v>
      </c>
      <c r="M36" s="2">
        <f>IF(RawData!L36=0,1,0)</f>
        <v>1</v>
      </c>
    </row>
    <row r="37" spans="1:13" x14ac:dyDescent="0.25">
      <c r="A37">
        <f t="shared" si="1"/>
        <v>0</v>
      </c>
      <c r="B37">
        <f>IF(C37=0,0,A37&amp;" "&amp;COUNTIF($A$1:$A37,A37))</f>
        <v>0</v>
      </c>
      <c r="C37" s="1">
        <v>0</v>
      </c>
      <c r="D37" s="2" t="str">
        <f>RawData!B37</f>
        <v>PG</v>
      </c>
      <c r="E37" s="2" t="str">
        <f>RawData!C37&amp; " "&amp;RawData!E37</f>
        <v>Malcolm Brogdon</v>
      </c>
      <c r="F37" s="2">
        <f>(RawData!F37)*M37</f>
        <v>27.100001017252598</v>
      </c>
      <c r="G37" s="35">
        <f>RawData!H37</f>
        <v>6300</v>
      </c>
      <c r="H37">
        <f t="shared" si="2"/>
        <v>0</v>
      </c>
      <c r="I37">
        <f t="shared" si="2"/>
        <v>0</v>
      </c>
      <c r="J37">
        <f t="shared" si="2"/>
        <v>0</v>
      </c>
      <c r="K37">
        <f t="shared" si="2"/>
        <v>0</v>
      </c>
      <c r="L37">
        <f t="shared" si="2"/>
        <v>0</v>
      </c>
      <c r="M37" s="2">
        <f>IF(RawData!L37=0,1,0)</f>
        <v>1</v>
      </c>
    </row>
    <row r="38" spans="1:13" x14ac:dyDescent="0.25">
      <c r="A38">
        <f t="shared" si="1"/>
        <v>0</v>
      </c>
      <c r="B38">
        <f>IF(C38=0,0,A38&amp;" "&amp;COUNTIF($A$1:$A38,A38))</f>
        <v>0</v>
      </c>
      <c r="C38" s="1">
        <v>0</v>
      </c>
      <c r="D38" s="2" t="str">
        <f>RawData!B38</f>
        <v>C</v>
      </c>
      <c r="E38" s="2" t="str">
        <f>RawData!C38&amp; " "&amp;RawData!E38</f>
        <v>Jonas Valanciunas</v>
      </c>
      <c r="F38" s="2">
        <f>(RawData!F38)*M38</f>
        <v>0</v>
      </c>
      <c r="G38" s="35">
        <f>RawData!H38</f>
        <v>6200</v>
      </c>
      <c r="H38">
        <f t="shared" si="2"/>
        <v>0</v>
      </c>
      <c r="I38">
        <f t="shared" si="2"/>
        <v>0</v>
      </c>
      <c r="J38">
        <f t="shared" si="2"/>
        <v>0</v>
      </c>
      <c r="K38">
        <f t="shared" si="2"/>
        <v>0</v>
      </c>
      <c r="L38">
        <f t="shared" si="2"/>
        <v>0</v>
      </c>
      <c r="M38" s="2">
        <f>IF(RawData!L38=0,1,0)</f>
        <v>0</v>
      </c>
    </row>
    <row r="39" spans="1:13" x14ac:dyDescent="0.25">
      <c r="A39">
        <f t="shared" si="1"/>
        <v>0</v>
      </c>
      <c r="B39">
        <f>IF(C39=0,0,A39&amp;" "&amp;COUNTIF($A$1:$A39,A39))</f>
        <v>0</v>
      </c>
      <c r="C39" s="1">
        <v>0</v>
      </c>
      <c r="D39" s="2" t="str">
        <f>RawData!B39</f>
        <v>PF</v>
      </c>
      <c r="E39" s="2" t="str">
        <f>RawData!C39&amp; " "&amp;RawData!E39</f>
        <v>Serge Ibaka</v>
      </c>
      <c r="F39" s="2">
        <f>(RawData!F39)*M39</f>
        <v>26.899999618530199</v>
      </c>
      <c r="G39" s="35">
        <f>RawData!H39</f>
        <v>6200</v>
      </c>
      <c r="H39">
        <f t="shared" si="2"/>
        <v>0</v>
      </c>
      <c r="I39">
        <f t="shared" si="2"/>
        <v>0</v>
      </c>
      <c r="J39">
        <f t="shared" si="2"/>
        <v>0</v>
      </c>
      <c r="K39">
        <f t="shared" si="2"/>
        <v>0</v>
      </c>
      <c r="L39">
        <f t="shared" si="2"/>
        <v>0</v>
      </c>
      <c r="M39" s="2">
        <f>IF(RawData!L39=0,1,0)</f>
        <v>1</v>
      </c>
    </row>
    <row r="40" spans="1:13" x14ac:dyDescent="0.25">
      <c r="A40">
        <f t="shared" si="1"/>
        <v>0</v>
      </c>
      <c r="B40">
        <f>IF(C40=0,0,A40&amp;" "&amp;COUNTIF($A$1:$A40,A40))</f>
        <v>0</v>
      </c>
      <c r="C40" s="1">
        <v>0</v>
      </c>
      <c r="D40" s="2" t="str">
        <f>RawData!B40</f>
        <v>SG</v>
      </c>
      <c r="E40" s="2" t="str">
        <f>RawData!C40&amp; " "&amp;RawData!E40</f>
        <v>Eric Gordon</v>
      </c>
      <c r="F40" s="2">
        <f>(RawData!F40)*M40</f>
        <v>28.733332316080698</v>
      </c>
      <c r="G40" s="35">
        <f>RawData!H40</f>
        <v>6200</v>
      </c>
      <c r="H40">
        <f t="shared" si="2"/>
        <v>0</v>
      </c>
      <c r="I40">
        <f t="shared" si="2"/>
        <v>0</v>
      </c>
      <c r="J40">
        <f t="shared" si="2"/>
        <v>0</v>
      </c>
      <c r="K40">
        <f t="shared" si="2"/>
        <v>0</v>
      </c>
      <c r="L40">
        <f t="shared" si="2"/>
        <v>0</v>
      </c>
      <c r="M40" s="2">
        <f>IF(RawData!L40=0,1,0)</f>
        <v>1</v>
      </c>
    </row>
    <row r="41" spans="1:13" x14ac:dyDescent="0.25">
      <c r="A41">
        <f t="shared" si="1"/>
        <v>0</v>
      </c>
      <c r="B41">
        <f>IF(C41=0,0,A41&amp;" "&amp;COUNTIF($A$1:$A41,A41))</f>
        <v>0</v>
      </c>
      <c r="C41" s="1">
        <v>0</v>
      </c>
      <c r="D41" s="2" t="str">
        <f>RawData!B41</f>
        <v>SF</v>
      </c>
      <c r="E41" s="2" t="str">
        <f>RawData!C41&amp; " "&amp;RawData!E41</f>
        <v>Harrison Barnes</v>
      </c>
      <c r="F41" s="2">
        <f>(RawData!F41)*M41</f>
        <v>26.733332316080698</v>
      </c>
      <c r="G41" s="35">
        <f>RawData!H41</f>
        <v>6100</v>
      </c>
      <c r="H41">
        <f t="shared" si="2"/>
        <v>0</v>
      </c>
      <c r="I41">
        <f t="shared" si="2"/>
        <v>0</v>
      </c>
      <c r="J41">
        <f t="shared" ref="I41:L56" si="3">IF($D41=J$1,$C41*1,0)</f>
        <v>0</v>
      </c>
      <c r="K41">
        <f t="shared" si="3"/>
        <v>0</v>
      </c>
      <c r="L41">
        <f t="shared" si="3"/>
        <v>0</v>
      </c>
      <c r="M41" s="2">
        <f>IF(RawData!L41=0,1,0)</f>
        <v>1</v>
      </c>
    </row>
    <row r="42" spans="1:13" x14ac:dyDescent="0.25">
      <c r="A42">
        <f t="shared" si="1"/>
        <v>0</v>
      </c>
      <c r="B42">
        <f>IF(C42=0,0,A42&amp;" "&amp;COUNTIF($A$1:$A42,A42))</f>
        <v>0</v>
      </c>
      <c r="C42" s="1">
        <v>0</v>
      </c>
      <c r="D42" s="2" t="str">
        <f>RawData!B42</f>
        <v>C</v>
      </c>
      <c r="E42" s="2" t="str">
        <f>RawData!C42&amp; " "&amp;RawData!E42</f>
        <v>Marcin Gortat</v>
      </c>
      <c r="F42" s="2">
        <f>(RawData!F42)*M42</f>
        <v>35.599998474121001</v>
      </c>
      <c r="G42" s="35">
        <f>RawData!H42</f>
        <v>6100</v>
      </c>
      <c r="H42">
        <f t="shared" si="2"/>
        <v>0</v>
      </c>
      <c r="I42">
        <f t="shared" si="3"/>
        <v>0</v>
      </c>
      <c r="J42">
        <f t="shared" si="3"/>
        <v>0</v>
      </c>
      <c r="K42">
        <f t="shared" si="3"/>
        <v>0</v>
      </c>
      <c r="L42">
        <f t="shared" si="3"/>
        <v>0</v>
      </c>
      <c r="M42" s="2">
        <f>IF(RawData!L42=0,1,0)</f>
        <v>1</v>
      </c>
    </row>
    <row r="43" spans="1:13" x14ac:dyDescent="0.25">
      <c r="A43">
        <f t="shared" si="1"/>
        <v>0</v>
      </c>
      <c r="B43">
        <f>IF(C43=0,0,A43&amp;" "&amp;COUNTIF($A$1:$A43,A43))</f>
        <v>0</v>
      </c>
      <c r="C43" s="1">
        <v>0</v>
      </c>
      <c r="D43" s="2" t="str">
        <f>RawData!B43</f>
        <v>PF</v>
      </c>
      <c r="E43" s="2" t="str">
        <f>RawData!C43&amp; " "&amp;RawData!E43</f>
        <v>Markieff Morris</v>
      </c>
      <c r="F43" s="2">
        <f>(RawData!F43)*M43</f>
        <v>0</v>
      </c>
      <c r="G43" s="35">
        <f>RawData!H43</f>
        <v>6000</v>
      </c>
      <c r="H43">
        <f t="shared" si="2"/>
        <v>0</v>
      </c>
      <c r="I43">
        <f t="shared" si="3"/>
        <v>0</v>
      </c>
      <c r="J43">
        <f t="shared" si="3"/>
        <v>0</v>
      </c>
      <c r="K43">
        <f t="shared" si="3"/>
        <v>0</v>
      </c>
      <c r="L43">
        <f t="shared" si="3"/>
        <v>0</v>
      </c>
      <c r="M43" s="2">
        <f>IF(RawData!L43=0,1,0)</f>
        <v>0</v>
      </c>
    </row>
    <row r="44" spans="1:13" x14ac:dyDescent="0.25">
      <c r="A44">
        <f t="shared" si="1"/>
        <v>0</v>
      </c>
      <c r="B44">
        <f>IF(C44=0,0,A44&amp;" "&amp;COUNTIF($A$1:$A44,A44))</f>
        <v>0</v>
      </c>
      <c r="C44" s="1">
        <v>0</v>
      </c>
      <c r="D44" s="2" t="str">
        <f>RawData!B44</f>
        <v>C</v>
      </c>
      <c r="E44" s="2" t="str">
        <f>RawData!C44&amp; " "&amp;RawData!E44</f>
        <v>Pau Gasol</v>
      </c>
      <c r="F44" s="2">
        <f>(RawData!F44)*M44</f>
        <v>25.399999618530199</v>
      </c>
      <c r="G44" s="35">
        <f>RawData!H44</f>
        <v>6000</v>
      </c>
      <c r="H44">
        <f t="shared" si="2"/>
        <v>0</v>
      </c>
      <c r="I44">
        <f t="shared" si="3"/>
        <v>0</v>
      </c>
      <c r="J44">
        <f t="shared" si="3"/>
        <v>0</v>
      </c>
      <c r="K44">
        <f t="shared" si="3"/>
        <v>0</v>
      </c>
      <c r="L44">
        <f t="shared" si="3"/>
        <v>0</v>
      </c>
      <c r="M44" s="2">
        <f>IF(RawData!L44=0,1,0)</f>
        <v>1</v>
      </c>
    </row>
    <row r="45" spans="1:13" x14ac:dyDescent="0.25">
      <c r="A45">
        <f t="shared" si="1"/>
        <v>0</v>
      </c>
      <c r="B45">
        <f>IF(C45=0,0,A45&amp;" "&amp;COUNTIF($A$1:$A45,A45))</f>
        <v>0</v>
      </c>
      <c r="C45" s="1">
        <v>0</v>
      </c>
      <c r="D45" s="2" t="str">
        <f>RawData!B45</f>
        <v>SG</v>
      </c>
      <c r="E45" s="2" t="str">
        <f>RawData!C45&amp; " "&amp;RawData!E45</f>
        <v>Will Barton</v>
      </c>
      <c r="F45" s="2">
        <f>(RawData!F45)*M45</f>
        <v>31.850000381469702</v>
      </c>
      <c r="G45" s="35">
        <f>RawData!H45</f>
        <v>6000</v>
      </c>
      <c r="H45">
        <f t="shared" si="2"/>
        <v>0</v>
      </c>
      <c r="I45">
        <f t="shared" si="3"/>
        <v>0</v>
      </c>
      <c r="J45">
        <f t="shared" si="3"/>
        <v>0</v>
      </c>
      <c r="K45">
        <f t="shared" si="3"/>
        <v>0</v>
      </c>
      <c r="L45">
        <f t="shared" si="3"/>
        <v>0</v>
      </c>
      <c r="M45" s="2">
        <f>IF(RawData!L45=0,1,0)</f>
        <v>1</v>
      </c>
    </row>
    <row r="46" spans="1:13" x14ac:dyDescent="0.25">
      <c r="A46">
        <f t="shared" si="1"/>
        <v>0</v>
      </c>
      <c r="B46">
        <f>IF(C46=0,0,A46&amp;" "&amp;COUNTIF($A$1:$A46,A46))</f>
        <v>0</v>
      </c>
      <c r="C46" s="1">
        <v>0</v>
      </c>
      <c r="D46" s="2" t="str">
        <f>RawData!B46</f>
        <v>PF</v>
      </c>
      <c r="E46" s="2" t="str">
        <f>RawData!C46&amp; " "&amp;RawData!E46</f>
        <v>James Johnson</v>
      </c>
      <c r="F46" s="2">
        <f>(RawData!F46)*M46</f>
        <v>37.299999237060497</v>
      </c>
      <c r="G46" s="35">
        <f>RawData!H46</f>
        <v>5900</v>
      </c>
      <c r="H46">
        <f t="shared" si="2"/>
        <v>0</v>
      </c>
      <c r="I46">
        <f t="shared" si="3"/>
        <v>0</v>
      </c>
      <c r="J46">
        <f t="shared" si="3"/>
        <v>0</v>
      </c>
      <c r="K46">
        <f t="shared" si="3"/>
        <v>0</v>
      </c>
      <c r="L46">
        <f t="shared" si="3"/>
        <v>0</v>
      </c>
      <c r="M46" s="2">
        <f>IF(RawData!L46=0,1,0)</f>
        <v>1</v>
      </c>
    </row>
    <row r="47" spans="1:13" x14ac:dyDescent="0.25">
      <c r="A47">
        <f t="shared" si="1"/>
        <v>0</v>
      </c>
      <c r="B47">
        <f>IF(C47=0,0,A47&amp;" "&amp;COUNTIF($A$1:$A47,A47))</f>
        <v>0</v>
      </c>
      <c r="C47" s="1">
        <v>0</v>
      </c>
      <c r="D47" s="2" t="str">
        <f>RawData!B47</f>
        <v>SF</v>
      </c>
      <c r="E47" s="2" t="str">
        <f>RawData!C47&amp; " "&amp;RawData!E47</f>
        <v>Robert Covington</v>
      </c>
      <c r="F47" s="2">
        <f>(RawData!F47)*M47</f>
        <v>24.300000508626301</v>
      </c>
      <c r="G47" s="35">
        <f>RawData!H47</f>
        <v>5800</v>
      </c>
      <c r="H47">
        <f t="shared" si="2"/>
        <v>0</v>
      </c>
      <c r="I47">
        <f t="shared" si="3"/>
        <v>0</v>
      </c>
      <c r="J47">
        <f t="shared" si="3"/>
        <v>0</v>
      </c>
      <c r="K47">
        <f t="shared" si="3"/>
        <v>0</v>
      </c>
      <c r="L47">
        <f t="shared" si="3"/>
        <v>0</v>
      </c>
      <c r="M47" s="2">
        <f>IF(RawData!L47=0,1,0)</f>
        <v>1</v>
      </c>
    </row>
    <row r="48" spans="1:13" x14ac:dyDescent="0.25">
      <c r="A48">
        <f t="shared" si="1"/>
        <v>0</v>
      </c>
      <c r="B48">
        <f>IF(C48=0,0,A48&amp;" "&amp;COUNTIF($A$1:$A48,A48))</f>
        <v>0</v>
      </c>
      <c r="C48" s="1">
        <v>0</v>
      </c>
      <c r="D48" s="2" t="str">
        <f>RawData!B48</f>
        <v>C</v>
      </c>
      <c r="E48" s="2" t="str">
        <f>RawData!C48&amp; " "&amp;RawData!E48</f>
        <v>Willie Cauley-Stein</v>
      </c>
      <c r="F48" s="2">
        <f>(RawData!F48)*M48</f>
        <v>27.766667683919199</v>
      </c>
      <c r="G48" s="35">
        <f>RawData!H48</f>
        <v>5800</v>
      </c>
      <c r="H48">
        <f t="shared" si="2"/>
        <v>0</v>
      </c>
      <c r="I48">
        <f t="shared" si="3"/>
        <v>0</v>
      </c>
      <c r="J48">
        <f t="shared" si="3"/>
        <v>0</v>
      </c>
      <c r="K48">
        <f t="shared" si="3"/>
        <v>0</v>
      </c>
      <c r="L48">
        <f t="shared" si="3"/>
        <v>0</v>
      </c>
      <c r="M48" s="2">
        <f>IF(RawData!L48=0,1,0)</f>
        <v>1</v>
      </c>
    </row>
    <row r="49" spans="1:13" x14ac:dyDescent="0.25">
      <c r="A49">
        <f t="shared" si="1"/>
        <v>0</v>
      </c>
      <c r="B49">
        <f>IF(C49=0,0,A49&amp;" "&amp;COUNTIF($A$1:$A49,A49))</f>
        <v>0</v>
      </c>
      <c r="C49" s="1">
        <v>0</v>
      </c>
      <c r="D49" s="2" t="str">
        <f>RawData!B49</f>
        <v>SF</v>
      </c>
      <c r="E49" s="2" t="str">
        <f>RawData!C49&amp; " "&amp;RawData!E49</f>
        <v>Josh Richardson</v>
      </c>
      <c r="F49" s="2">
        <f>(RawData!F49)*M49</f>
        <v>22</v>
      </c>
      <c r="G49" s="35">
        <f>RawData!H49</f>
        <v>5800</v>
      </c>
      <c r="H49">
        <f t="shared" si="2"/>
        <v>0</v>
      </c>
      <c r="I49">
        <f t="shared" si="3"/>
        <v>0</v>
      </c>
      <c r="J49">
        <f t="shared" si="3"/>
        <v>0</v>
      </c>
      <c r="K49">
        <f t="shared" si="3"/>
        <v>0</v>
      </c>
      <c r="L49">
        <f t="shared" si="3"/>
        <v>0</v>
      </c>
      <c r="M49" s="2">
        <f>IF(RawData!L49=0,1,0)</f>
        <v>1</v>
      </c>
    </row>
    <row r="50" spans="1:13" x14ac:dyDescent="0.25">
      <c r="A50">
        <f t="shared" si="1"/>
        <v>0</v>
      </c>
      <c r="B50">
        <f>IF(C50=0,0,A50&amp;" "&amp;COUNTIF($A$1:$A50,A50))</f>
        <v>0</v>
      </c>
      <c r="C50" s="1">
        <v>0</v>
      </c>
      <c r="D50" s="2" t="str">
        <f>RawData!B50</f>
        <v>SF</v>
      </c>
      <c r="E50" s="2" t="str">
        <f>RawData!C50&amp; " "&amp;RawData!E50</f>
        <v>Wilson Chandler</v>
      </c>
      <c r="F50" s="2">
        <f>(RawData!F50)*M50</f>
        <v>24.149999618530199</v>
      </c>
      <c r="G50" s="35">
        <f>RawData!H50</f>
        <v>5700</v>
      </c>
      <c r="H50">
        <f t="shared" si="2"/>
        <v>0</v>
      </c>
      <c r="I50">
        <f t="shared" si="3"/>
        <v>0</v>
      </c>
      <c r="J50">
        <f t="shared" si="3"/>
        <v>0</v>
      </c>
      <c r="K50">
        <f t="shared" si="3"/>
        <v>0</v>
      </c>
      <c r="L50">
        <f t="shared" si="3"/>
        <v>0</v>
      </c>
      <c r="M50" s="2">
        <f>IF(RawData!L50=0,1,0)</f>
        <v>1</v>
      </c>
    </row>
    <row r="51" spans="1:13" x14ac:dyDescent="0.25">
      <c r="A51">
        <f t="shared" si="1"/>
        <v>0</v>
      </c>
      <c r="B51">
        <f>IF(C51=0,0,A51&amp;" "&amp;COUNTIF($A$1:$A51,A51))</f>
        <v>0</v>
      </c>
      <c r="C51" s="1">
        <v>0</v>
      </c>
      <c r="D51" s="2" t="str">
        <f>RawData!B51</f>
        <v>SG</v>
      </c>
      <c r="E51" s="2" t="str">
        <f>RawData!C51&amp; " "&amp;RawData!E51</f>
        <v>Gary Harris</v>
      </c>
      <c r="F51" s="2">
        <f>(RawData!F51)*M51</f>
        <v>22.5</v>
      </c>
      <c r="G51" s="35">
        <f>RawData!H51</f>
        <v>5700</v>
      </c>
      <c r="H51">
        <f t="shared" si="2"/>
        <v>0</v>
      </c>
      <c r="I51">
        <f t="shared" si="3"/>
        <v>0</v>
      </c>
      <c r="J51">
        <f t="shared" si="3"/>
        <v>0</v>
      </c>
      <c r="K51">
        <f t="shared" si="3"/>
        <v>0</v>
      </c>
      <c r="L51">
        <f t="shared" si="3"/>
        <v>0</v>
      </c>
      <c r="M51" s="2">
        <f>IF(RawData!L51=0,1,0)</f>
        <v>1</v>
      </c>
    </row>
    <row r="52" spans="1:13" x14ac:dyDescent="0.25">
      <c r="A52">
        <f t="shared" si="1"/>
        <v>0</v>
      </c>
      <c r="B52">
        <f>IF(C52=0,0,A52&amp;" "&amp;COUNTIF($A$1:$A52,A52))</f>
        <v>0</v>
      </c>
      <c r="C52" s="1">
        <v>0</v>
      </c>
      <c r="D52" s="2" t="str">
        <f>RawData!B52</f>
        <v>SF</v>
      </c>
      <c r="E52" s="2" t="str">
        <f>RawData!C52&amp; " "&amp;RawData!E52</f>
        <v>TJ Warren</v>
      </c>
      <c r="F52" s="2">
        <f>(RawData!F52)*M52</f>
        <v>23.6666666666666</v>
      </c>
      <c r="G52" s="35">
        <f>RawData!H52</f>
        <v>5600</v>
      </c>
      <c r="H52">
        <f t="shared" si="2"/>
        <v>0</v>
      </c>
      <c r="I52">
        <f t="shared" si="3"/>
        <v>0</v>
      </c>
      <c r="J52">
        <f t="shared" si="3"/>
        <v>0</v>
      </c>
      <c r="K52">
        <f t="shared" si="3"/>
        <v>0</v>
      </c>
      <c r="L52">
        <f t="shared" si="3"/>
        <v>0</v>
      </c>
      <c r="M52" s="2">
        <f>IF(RawData!L52=0,1,0)</f>
        <v>1</v>
      </c>
    </row>
    <row r="53" spans="1:13" x14ac:dyDescent="0.25">
      <c r="A53">
        <f t="shared" si="1"/>
        <v>0</v>
      </c>
      <c r="B53">
        <f>IF(C53=0,0,A53&amp;" "&amp;COUNTIF($A$1:$A53,A53))</f>
        <v>0</v>
      </c>
      <c r="C53" s="1">
        <v>0</v>
      </c>
      <c r="D53" s="2" t="str">
        <f>RawData!B53</f>
        <v>SF</v>
      </c>
      <c r="E53" s="2" t="str">
        <f>RawData!C53&amp; " "&amp;RawData!E53</f>
        <v>Michael Kidd-Gilchrist</v>
      </c>
      <c r="F53" s="2">
        <f>(RawData!F53)*M53</f>
        <v>0</v>
      </c>
      <c r="G53" s="35">
        <f>RawData!H53</f>
        <v>5600</v>
      </c>
      <c r="H53">
        <f t="shared" si="2"/>
        <v>0</v>
      </c>
      <c r="I53">
        <f t="shared" si="3"/>
        <v>0</v>
      </c>
      <c r="J53">
        <f t="shared" si="3"/>
        <v>0</v>
      </c>
      <c r="K53">
        <f t="shared" si="3"/>
        <v>0</v>
      </c>
      <c r="L53">
        <f t="shared" si="3"/>
        <v>0</v>
      </c>
      <c r="M53" s="2">
        <f>IF(RawData!L53=0,1,0)</f>
        <v>0</v>
      </c>
    </row>
    <row r="54" spans="1:13" x14ac:dyDescent="0.25">
      <c r="A54">
        <f t="shared" si="1"/>
        <v>0</v>
      </c>
      <c r="B54">
        <f>IF(C54=0,0,A54&amp;" "&amp;COUNTIF($A$1:$A54,A54))</f>
        <v>0</v>
      </c>
      <c r="C54" s="1">
        <v>0</v>
      </c>
      <c r="D54" s="2" t="str">
        <f>RawData!B54</f>
        <v>PG</v>
      </c>
      <c r="E54" s="2" t="str">
        <f>RawData!C54&amp; " "&amp;RawData!E54</f>
        <v>George Hill</v>
      </c>
      <c r="F54" s="2">
        <f>(RawData!F54)*M54</f>
        <v>17.866666158040299</v>
      </c>
      <c r="G54" s="35">
        <f>RawData!H54</f>
        <v>5600</v>
      </c>
      <c r="H54">
        <f t="shared" si="2"/>
        <v>0</v>
      </c>
      <c r="I54">
        <f t="shared" si="3"/>
        <v>0</v>
      </c>
      <c r="J54">
        <f t="shared" si="3"/>
        <v>0</v>
      </c>
      <c r="K54">
        <f t="shared" si="3"/>
        <v>0</v>
      </c>
      <c r="L54">
        <f t="shared" si="3"/>
        <v>0</v>
      </c>
      <c r="M54" s="2">
        <f>IF(RawData!L54=0,1,0)</f>
        <v>1</v>
      </c>
    </row>
    <row r="55" spans="1:13" x14ac:dyDescent="0.25">
      <c r="A55">
        <f t="shared" si="1"/>
        <v>0</v>
      </c>
      <c r="B55">
        <f>IF(C55=0,0,A55&amp;" "&amp;COUNTIF($A$1:$A55,A55))</f>
        <v>0</v>
      </c>
      <c r="C55" s="1">
        <v>0</v>
      </c>
      <c r="D55" s="2" t="str">
        <f>RawData!B55</f>
        <v>SG</v>
      </c>
      <c r="E55" s="2" t="str">
        <f>RawData!C55&amp; " "&amp;RawData!E55</f>
        <v>Avery Bradley</v>
      </c>
      <c r="F55" s="2">
        <f>(RawData!F55)*M55</f>
        <v>19.599999745686802</v>
      </c>
      <c r="G55" s="35">
        <f>RawData!H55</f>
        <v>5500</v>
      </c>
      <c r="H55">
        <f t="shared" si="2"/>
        <v>0</v>
      </c>
      <c r="I55">
        <f t="shared" si="3"/>
        <v>0</v>
      </c>
      <c r="J55">
        <f t="shared" si="3"/>
        <v>0</v>
      </c>
      <c r="K55">
        <f t="shared" si="3"/>
        <v>0</v>
      </c>
      <c r="L55">
        <f t="shared" si="3"/>
        <v>0</v>
      </c>
      <c r="M55" s="2">
        <f>IF(RawData!L55=0,1,0)</f>
        <v>1</v>
      </c>
    </row>
    <row r="56" spans="1:13" x14ac:dyDescent="0.25">
      <c r="A56">
        <f t="shared" si="1"/>
        <v>0</v>
      </c>
      <c r="B56">
        <f>IF(C56=0,0,A56&amp;" "&amp;COUNTIF($A$1:$A56,A56))</f>
        <v>0</v>
      </c>
      <c r="C56" s="1">
        <v>0</v>
      </c>
      <c r="D56" s="2" t="str">
        <f>RawData!B56</f>
        <v>SG</v>
      </c>
      <c r="E56" s="2" t="str">
        <f>RawData!C56&amp; " "&amp;RawData!E56</f>
        <v>Jeremy Lamb</v>
      </c>
      <c r="F56" s="2">
        <f>(RawData!F56)*M56</f>
        <v>24.399999618530199</v>
      </c>
      <c r="G56" s="35">
        <f>RawData!H56</f>
        <v>5500</v>
      </c>
      <c r="H56">
        <f t="shared" si="2"/>
        <v>0</v>
      </c>
      <c r="I56">
        <f t="shared" si="3"/>
        <v>0</v>
      </c>
      <c r="J56">
        <f t="shared" si="3"/>
        <v>0</v>
      </c>
      <c r="K56">
        <f t="shared" si="3"/>
        <v>0</v>
      </c>
      <c r="L56">
        <f t="shared" si="3"/>
        <v>0</v>
      </c>
      <c r="M56" s="2">
        <f>IF(RawData!L56=0,1,0)</f>
        <v>1</v>
      </c>
    </row>
    <row r="57" spans="1:13" x14ac:dyDescent="0.25">
      <c r="A57">
        <f t="shared" si="1"/>
        <v>0</v>
      </c>
      <c r="B57">
        <f>IF(C57=0,0,A57&amp;" "&amp;COUNTIF($A$1:$A57,A57))</f>
        <v>0</v>
      </c>
      <c r="C57" s="1">
        <v>0</v>
      </c>
      <c r="D57" s="2" t="str">
        <f>RawData!B57</f>
        <v>SF</v>
      </c>
      <c r="E57" s="2" t="str">
        <f>RawData!C57&amp; " "&amp;RawData!E57</f>
        <v>Trevor Ariza</v>
      </c>
      <c r="F57" s="2">
        <f>(RawData!F57)*M57</f>
        <v>21.133333841959601</v>
      </c>
      <c r="G57" s="35">
        <f>RawData!H57</f>
        <v>5500</v>
      </c>
      <c r="H57">
        <f t="shared" si="2"/>
        <v>0</v>
      </c>
      <c r="I57">
        <f t="shared" ref="I57:L66" si="4">IF($D57=I$1,$C57*1,0)</f>
        <v>0</v>
      </c>
      <c r="J57">
        <f t="shared" si="4"/>
        <v>0</v>
      </c>
      <c r="K57">
        <f t="shared" si="4"/>
        <v>0</v>
      </c>
      <c r="L57">
        <f t="shared" si="4"/>
        <v>0</v>
      </c>
      <c r="M57" s="2">
        <f>IF(RawData!L57=0,1,0)</f>
        <v>1</v>
      </c>
    </row>
    <row r="58" spans="1:13" x14ac:dyDescent="0.25">
      <c r="A58">
        <f t="shared" si="1"/>
        <v>0</v>
      </c>
      <c r="B58">
        <f>IF(C58=0,0,A58&amp;" "&amp;COUNTIF($A$1:$A58,A58))</f>
        <v>0</v>
      </c>
      <c r="C58" s="1">
        <v>0</v>
      </c>
      <c r="D58" s="2" t="str">
        <f>RawData!B58</f>
        <v>PF</v>
      </c>
      <c r="E58" s="2" t="str">
        <f>RawData!C58&amp; " "&amp;RawData!E58</f>
        <v>Zach Randolph</v>
      </c>
      <c r="F58" s="2">
        <f>(RawData!F58)*M58</f>
        <v>26.25</v>
      </c>
      <c r="G58" s="35">
        <f>RawData!H58</f>
        <v>5500</v>
      </c>
      <c r="H58">
        <f t="shared" si="2"/>
        <v>0</v>
      </c>
      <c r="I58">
        <f t="shared" si="4"/>
        <v>0</v>
      </c>
      <c r="J58">
        <f t="shared" si="4"/>
        <v>0</v>
      </c>
      <c r="K58">
        <f t="shared" si="4"/>
        <v>0</v>
      </c>
      <c r="L58">
        <f t="shared" si="4"/>
        <v>0</v>
      </c>
      <c r="M58" s="2">
        <f>IF(RawData!L58=0,1,0)</f>
        <v>1</v>
      </c>
    </row>
    <row r="59" spans="1:13" x14ac:dyDescent="0.25">
      <c r="A59">
        <f t="shared" si="1"/>
        <v>0</v>
      </c>
      <c r="B59">
        <f>IF(C59=0,0,A59&amp;" "&amp;COUNTIF($A$1:$A59,A59))</f>
        <v>0</v>
      </c>
      <c r="C59" s="1">
        <v>0</v>
      </c>
      <c r="D59" s="2" t="str">
        <f>RawData!B59</f>
        <v>C</v>
      </c>
      <c r="E59" s="2" t="str">
        <f>RawData!C59&amp; " "&amp;RawData!E59</f>
        <v>Dewayne Dedmon</v>
      </c>
      <c r="F59" s="2">
        <f>(RawData!F59)*M59</f>
        <v>23.233332316080698</v>
      </c>
      <c r="G59" s="35">
        <f>RawData!H59</f>
        <v>5500</v>
      </c>
      <c r="H59">
        <f t="shared" si="2"/>
        <v>0</v>
      </c>
      <c r="I59">
        <f t="shared" si="4"/>
        <v>0</v>
      </c>
      <c r="J59">
        <f t="shared" si="4"/>
        <v>0</v>
      </c>
      <c r="K59">
        <f t="shared" si="4"/>
        <v>0</v>
      </c>
      <c r="L59">
        <f t="shared" si="4"/>
        <v>0</v>
      </c>
      <c r="M59" s="2">
        <f>IF(RawData!L59=0,1,0)</f>
        <v>1</v>
      </c>
    </row>
    <row r="60" spans="1:13" x14ac:dyDescent="0.25">
      <c r="A60">
        <f t="shared" si="1"/>
        <v>0</v>
      </c>
      <c r="B60">
        <f>IF(C60=0,0,A60&amp;" "&amp;COUNTIF($A$1:$A60,A60))</f>
        <v>0</v>
      </c>
      <c r="C60" s="1">
        <v>0</v>
      </c>
      <c r="D60" s="2" t="str">
        <f>RawData!B60</f>
        <v>SF</v>
      </c>
      <c r="E60" s="2" t="str">
        <f>RawData!C60&amp; " "&amp;RawData!E60</f>
        <v>Taurean Prince</v>
      </c>
      <c r="F60" s="2">
        <f>(RawData!F60)*M60</f>
        <v>21.133333841959601</v>
      </c>
      <c r="G60" s="35">
        <f>RawData!H60</f>
        <v>5400</v>
      </c>
      <c r="H60">
        <f t="shared" si="2"/>
        <v>0</v>
      </c>
      <c r="I60">
        <f t="shared" si="4"/>
        <v>0</v>
      </c>
      <c r="J60">
        <f t="shared" si="4"/>
        <v>0</v>
      </c>
      <c r="K60">
        <f t="shared" si="4"/>
        <v>0</v>
      </c>
      <c r="L60">
        <f t="shared" si="4"/>
        <v>0</v>
      </c>
      <c r="M60" s="2">
        <f>IF(RawData!L60=0,1,0)</f>
        <v>1</v>
      </c>
    </row>
    <row r="61" spans="1:13" x14ac:dyDescent="0.25">
      <c r="A61">
        <f t="shared" si="1"/>
        <v>0</v>
      </c>
      <c r="B61">
        <f>IF(C61=0,0,A61&amp;" "&amp;COUNTIF($A$1:$A61,A61))</f>
        <v>0</v>
      </c>
      <c r="C61" s="1">
        <v>0</v>
      </c>
      <c r="D61" s="2" t="str">
        <f>RawData!B61</f>
        <v>PG</v>
      </c>
      <c r="E61" s="2" t="str">
        <f>RawData!C61&amp; " "&amp;RawData!E61</f>
        <v>Dejounte Murray</v>
      </c>
      <c r="F61" s="2">
        <f>(RawData!F61)*M61</f>
        <v>33</v>
      </c>
      <c r="G61" s="35">
        <f>RawData!H61</f>
        <v>5400</v>
      </c>
      <c r="H61">
        <f t="shared" si="2"/>
        <v>0</v>
      </c>
      <c r="I61">
        <f t="shared" si="4"/>
        <v>0</v>
      </c>
      <c r="J61">
        <f t="shared" si="4"/>
        <v>0</v>
      </c>
      <c r="K61">
        <f t="shared" si="4"/>
        <v>0</v>
      </c>
      <c r="L61">
        <f t="shared" si="4"/>
        <v>0</v>
      </c>
      <c r="M61" s="2">
        <f>IF(RawData!L61=0,1,0)</f>
        <v>1</v>
      </c>
    </row>
    <row r="62" spans="1:13" x14ac:dyDescent="0.25">
      <c r="A62">
        <f t="shared" si="1"/>
        <v>0</v>
      </c>
      <c r="B62">
        <f>IF(C62=0,0,A62&amp;" "&amp;COUNTIF($A$1:$A62,A62))</f>
        <v>0</v>
      </c>
      <c r="C62" s="1">
        <v>0</v>
      </c>
      <c r="D62" s="2" t="str">
        <f>RawData!B62</f>
        <v>PG</v>
      </c>
      <c r="E62" s="2" t="str">
        <f>RawData!C62&amp; " "&amp;RawData!E62</f>
        <v>Yogi Ferrell</v>
      </c>
      <c r="F62" s="2">
        <f>(RawData!F62)*M62</f>
        <v>23.133333841959601</v>
      </c>
      <c r="G62" s="35">
        <f>RawData!H62</f>
        <v>5300</v>
      </c>
      <c r="H62">
        <f t="shared" si="2"/>
        <v>0</v>
      </c>
      <c r="I62">
        <f t="shared" si="4"/>
        <v>0</v>
      </c>
      <c r="J62">
        <f t="shared" si="4"/>
        <v>0</v>
      </c>
      <c r="K62">
        <f t="shared" si="4"/>
        <v>0</v>
      </c>
      <c r="L62">
        <f t="shared" si="4"/>
        <v>0</v>
      </c>
      <c r="M62" s="2">
        <f>IF(RawData!L62=0,1,0)</f>
        <v>1</v>
      </c>
    </row>
    <row r="63" spans="1:13" x14ac:dyDescent="0.25">
      <c r="A63">
        <f t="shared" si="1"/>
        <v>0</v>
      </c>
      <c r="B63">
        <f>IF(C63=0,0,A63&amp;" "&amp;COUNTIF($A$1:$A63,A63))</f>
        <v>0</v>
      </c>
      <c r="C63" s="1">
        <v>0</v>
      </c>
      <c r="D63" s="2" t="str">
        <f>RawData!B63</f>
        <v>SF</v>
      </c>
      <c r="E63" s="2" t="str">
        <f>RawData!C63&amp; " "&amp;RawData!E63</f>
        <v>Kelly Oubre Jr.</v>
      </c>
      <c r="F63" s="2">
        <f>(RawData!F63)*M63</f>
        <v>28</v>
      </c>
      <c r="G63" s="35">
        <f>RawData!H63</f>
        <v>5300</v>
      </c>
      <c r="H63">
        <f t="shared" si="2"/>
        <v>0</v>
      </c>
      <c r="I63">
        <f t="shared" si="4"/>
        <v>0</v>
      </c>
      <c r="J63">
        <f t="shared" si="4"/>
        <v>0</v>
      </c>
      <c r="K63">
        <f t="shared" si="4"/>
        <v>0</v>
      </c>
      <c r="L63">
        <f t="shared" si="4"/>
        <v>0</v>
      </c>
      <c r="M63" s="2">
        <f>IF(RawData!L63=0,1,0)</f>
        <v>1</v>
      </c>
    </row>
    <row r="64" spans="1:13" x14ac:dyDescent="0.25">
      <c r="A64">
        <f t="shared" si="1"/>
        <v>0</v>
      </c>
      <c r="B64">
        <f>IF(C64=0,0,A64&amp;" "&amp;COUNTIF($A$1:$A64,A64))</f>
        <v>0</v>
      </c>
      <c r="C64" s="1">
        <v>0</v>
      </c>
      <c r="D64" s="2" t="str">
        <f>RawData!B64</f>
        <v>PF</v>
      </c>
      <c r="E64" s="2" t="str">
        <f>RawData!C64&amp; " "&amp;RawData!E64</f>
        <v>Kelly Olynyk</v>
      </c>
      <c r="F64" s="2">
        <f>(RawData!F64)*M64</f>
        <v>28.649999618530199</v>
      </c>
      <c r="G64" s="35">
        <f>RawData!H64</f>
        <v>5200</v>
      </c>
      <c r="H64">
        <f t="shared" si="2"/>
        <v>0</v>
      </c>
      <c r="I64">
        <f t="shared" si="4"/>
        <v>0</v>
      </c>
      <c r="J64">
        <f t="shared" si="4"/>
        <v>0</v>
      </c>
      <c r="K64">
        <f t="shared" si="4"/>
        <v>0</v>
      </c>
      <c r="L64">
        <f t="shared" si="4"/>
        <v>0</v>
      </c>
      <c r="M64" s="2">
        <f>IF(RawData!L64=0,1,0)</f>
        <v>1</v>
      </c>
    </row>
    <row r="65" spans="1:13" x14ac:dyDescent="0.25">
      <c r="A65">
        <f t="shared" si="1"/>
        <v>0</v>
      </c>
      <c r="B65">
        <f>IF(C65=0,0,A65&amp;" "&amp;COUNTIF($A$1:$A65,A65))</f>
        <v>0</v>
      </c>
      <c r="C65" s="1">
        <v>0</v>
      </c>
      <c r="D65" s="2" t="str">
        <f>RawData!B65</f>
        <v>PG</v>
      </c>
      <c r="E65" s="2" t="str">
        <f>RawData!C65&amp; " "&amp;RawData!E65</f>
        <v>De'Aaron Fox</v>
      </c>
      <c r="F65" s="2">
        <f>(RawData!F65)*M65</f>
        <v>26.3333333333333</v>
      </c>
      <c r="G65" s="35">
        <f>RawData!H65</f>
        <v>5200</v>
      </c>
      <c r="H65">
        <f t="shared" si="2"/>
        <v>0</v>
      </c>
      <c r="I65">
        <f t="shared" si="4"/>
        <v>0</v>
      </c>
      <c r="J65">
        <f t="shared" si="4"/>
        <v>0</v>
      </c>
      <c r="K65">
        <f t="shared" si="4"/>
        <v>0</v>
      </c>
      <c r="L65">
        <f t="shared" si="4"/>
        <v>0</v>
      </c>
      <c r="M65" s="2">
        <f>IF(RawData!L65=0,1,0)</f>
        <v>1</v>
      </c>
    </row>
    <row r="66" spans="1:13" x14ac:dyDescent="0.25">
      <c r="A66">
        <f t="shared" ref="A66:A101" si="5">IF(C66=1,D66,0)</f>
        <v>0</v>
      </c>
      <c r="B66">
        <f>IF(C66=0,0,A66&amp;" "&amp;COUNTIF($A$1:$A66,A66))</f>
        <v>0</v>
      </c>
      <c r="C66" s="1">
        <v>0</v>
      </c>
      <c r="D66" s="2" t="str">
        <f>RawData!B66</f>
        <v>PF</v>
      </c>
      <c r="E66" s="2" t="str">
        <f>RawData!C66&amp; " "&amp;RawData!E66</f>
        <v>Frank Kaminsky</v>
      </c>
      <c r="F66" s="2">
        <f>(RawData!F66)*M66</f>
        <v>22.75</v>
      </c>
      <c r="G66" s="35">
        <f>RawData!H66</f>
        <v>5000</v>
      </c>
      <c r="H66">
        <f t="shared" si="2"/>
        <v>0</v>
      </c>
      <c r="I66">
        <f t="shared" si="4"/>
        <v>0</v>
      </c>
      <c r="J66">
        <f t="shared" si="4"/>
        <v>0</v>
      </c>
      <c r="K66">
        <f t="shared" si="4"/>
        <v>0</v>
      </c>
      <c r="L66">
        <f t="shared" si="4"/>
        <v>0</v>
      </c>
      <c r="M66" s="2">
        <f>IF(RawData!L66=0,1,0)</f>
        <v>1</v>
      </c>
    </row>
    <row r="67" spans="1:13" x14ac:dyDescent="0.25">
      <c r="A67">
        <f t="shared" si="5"/>
        <v>0</v>
      </c>
      <c r="B67">
        <f>IF(C67=0,0,A67&amp;" "&amp;COUNTIF($A$1:$A67,A67))</f>
        <v>0</v>
      </c>
      <c r="C67" s="1">
        <v>0</v>
      </c>
      <c r="D67" s="2" t="str">
        <f>RawData!B67</f>
        <v>C</v>
      </c>
      <c r="E67" s="2" t="str">
        <f>RawData!C67&amp; " "&amp;RawData!E67</f>
        <v>Lucas Nogueira</v>
      </c>
      <c r="F67" s="2">
        <f>(RawData!F67)*M67</f>
        <v>31.799999237060501</v>
      </c>
      <c r="G67" s="35">
        <f>RawData!H67</f>
        <v>5000</v>
      </c>
      <c r="H67">
        <f t="shared" ref="H67:L101" si="6">IF($D67=H$1,$C67*1,0)</f>
        <v>0</v>
      </c>
      <c r="I67">
        <f t="shared" si="6"/>
        <v>0</v>
      </c>
      <c r="J67">
        <f t="shared" si="6"/>
        <v>0</v>
      </c>
      <c r="K67">
        <f t="shared" si="6"/>
        <v>0</v>
      </c>
      <c r="L67">
        <f t="shared" si="6"/>
        <v>0</v>
      </c>
      <c r="M67" s="2">
        <f>IF(RawData!L67=0,1,0)</f>
        <v>1</v>
      </c>
    </row>
    <row r="68" spans="1:13" x14ac:dyDescent="0.25">
      <c r="A68">
        <f t="shared" si="5"/>
        <v>0</v>
      </c>
      <c r="B68">
        <f>IF(C68=0,0,A68&amp;" "&amp;COUNTIF($A$1:$A68,A68))</f>
        <v>0</v>
      </c>
      <c r="C68" s="1">
        <v>0</v>
      </c>
      <c r="D68" s="2" t="str">
        <f>RawData!B68</f>
        <v>C</v>
      </c>
      <c r="E68" s="2" t="str">
        <f>RawData!C68&amp; " "&amp;RawData!E68</f>
        <v>Nerlens Noel</v>
      </c>
      <c r="F68" s="2">
        <f>(RawData!F68)*M68</f>
        <v>25.800000508626301</v>
      </c>
      <c r="G68" s="35">
        <f>RawData!H68</f>
        <v>5000</v>
      </c>
      <c r="H68">
        <f t="shared" si="6"/>
        <v>0</v>
      </c>
      <c r="I68">
        <f t="shared" si="6"/>
        <v>0</v>
      </c>
      <c r="J68">
        <f t="shared" si="6"/>
        <v>0</v>
      </c>
      <c r="K68">
        <f t="shared" si="6"/>
        <v>0</v>
      </c>
      <c r="L68">
        <f t="shared" si="6"/>
        <v>0</v>
      </c>
      <c r="M68" s="2">
        <f>IF(RawData!L68=0,1,0)</f>
        <v>1</v>
      </c>
    </row>
    <row r="69" spans="1:13" x14ac:dyDescent="0.25">
      <c r="A69">
        <f t="shared" si="5"/>
        <v>0</v>
      </c>
      <c r="B69">
        <f>IF(C69=0,0,A69&amp;" "&amp;COUNTIF($A$1:$A69,A69))</f>
        <v>0</v>
      </c>
      <c r="C69" s="1">
        <v>0</v>
      </c>
      <c r="D69" s="2" t="str">
        <f>RawData!B69</f>
        <v>PG</v>
      </c>
      <c r="E69" s="2" t="str">
        <f>RawData!C69&amp; " "&amp;RawData!E69</f>
        <v>J.J. Barea</v>
      </c>
      <c r="F69" s="2">
        <f>(RawData!F69)*M69</f>
        <v>26.933334350585898</v>
      </c>
      <c r="G69" s="35">
        <f>RawData!H69</f>
        <v>5000</v>
      </c>
      <c r="H69">
        <f t="shared" si="6"/>
        <v>0</v>
      </c>
      <c r="I69">
        <f t="shared" si="6"/>
        <v>0</v>
      </c>
      <c r="J69">
        <f t="shared" si="6"/>
        <v>0</v>
      </c>
      <c r="K69">
        <f t="shared" si="6"/>
        <v>0</v>
      </c>
      <c r="L69">
        <f t="shared" si="6"/>
        <v>0</v>
      </c>
      <c r="M69" s="2">
        <f>IF(RawData!L69=0,1,0)</f>
        <v>1</v>
      </c>
    </row>
    <row r="70" spans="1:13" x14ac:dyDescent="0.25">
      <c r="A70">
        <f t="shared" si="5"/>
        <v>0</v>
      </c>
      <c r="B70">
        <f>IF(C70=0,0,A70&amp;" "&amp;COUNTIF($A$1:$A70,A70))</f>
        <v>0</v>
      </c>
      <c r="C70" s="1">
        <v>0</v>
      </c>
      <c r="D70" s="2" t="str">
        <f>RawData!B70</f>
        <v>SF</v>
      </c>
      <c r="E70" s="2" t="str">
        <f>RawData!C70&amp; " "&amp;RawData!E70</f>
        <v>Rudy Gay</v>
      </c>
      <c r="F70" s="2">
        <f>(RawData!F70)*M70</f>
        <v>24.049999237060501</v>
      </c>
      <c r="G70" s="35">
        <f>RawData!H70</f>
        <v>5000</v>
      </c>
      <c r="H70">
        <f t="shared" si="6"/>
        <v>0</v>
      </c>
      <c r="I70">
        <f t="shared" si="6"/>
        <v>0</v>
      </c>
      <c r="J70">
        <f t="shared" si="6"/>
        <v>0</v>
      </c>
      <c r="K70">
        <f t="shared" si="6"/>
        <v>0</v>
      </c>
      <c r="L70">
        <f t="shared" si="6"/>
        <v>0</v>
      </c>
      <c r="M70" s="2">
        <f>IF(RawData!L70=0,1,0)</f>
        <v>1</v>
      </c>
    </row>
    <row r="71" spans="1:13" x14ac:dyDescent="0.25">
      <c r="A71">
        <f t="shared" si="5"/>
        <v>0</v>
      </c>
      <c r="B71">
        <f>IF(C71=0,0,A71&amp;" "&amp;COUNTIF($A$1:$A71,A71))</f>
        <v>0</v>
      </c>
      <c r="C71" s="1">
        <v>0</v>
      </c>
      <c r="D71" s="2" t="str">
        <f>RawData!B71</f>
        <v>SG</v>
      </c>
      <c r="E71" s="2" t="str">
        <f>RawData!C71&amp; " "&amp;RawData!E71</f>
        <v>Wesley Matthews</v>
      </c>
      <c r="F71" s="2">
        <f>(RawData!F71)*M71</f>
        <v>19.699999491373699</v>
      </c>
      <c r="G71" s="35">
        <f>RawData!H71</f>
        <v>4800</v>
      </c>
      <c r="H71">
        <f t="shared" si="6"/>
        <v>0</v>
      </c>
      <c r="I71">
        <f t="shared" si="6"/>
        <v>0</v>
      </c>
      <c r="J71">
        <f t="shared" si="6"/>
        <v>0</v>
      </c>
      <c r="K71">
        <f t="shared" si="6"/>
        <v>0</v>
      </c>
      <c r="L71">
        <f t="shared" si="6"/>
        <v>0</v>
      </c>
      <c r="M71" s="2">
        <f>IF(RawData!L71=0,1,0)</f>
        <v>1</v>
      </c>
    </row>
    <row r="72" spans="1:13" x14ac:dyDescent="0.25">
      <c r="A72">
        <f t="shared" si="5"/>
        <v>0</v>
      </c>
      <c r="B72">
        <f>IF(C72=0,0,A72&amp;" "&amp;COUNTIF($A$1:$A72,A72))</f>
        <v>0</v>
      </c>
      <c r="C72" s="1">
        <v>0</v>
      </c>
      <c r="D72" s="2" t="str">
        <f>RawData!B72</f>
        <v>SG</v>
      </c>
      <c r="E72" s="2" t="str">
        <f>RawData!C72&amp; " "&amp;RawData!E72</f>
        <v>Buddy Hield</v>
      </c>
      <c r="F72" s="2">
        <f>(RawData!F72)*M72</f>
        <v>22.266667683919199</v>
      </c>
      <c r="G72" s="35">
        <f>RawData!H72</f>
        <v>4800</v>
      </c>
      <c r="H72">
        <f t="shared" si="6"/>
        <v>0</v>
      </c>
      <c r="I72">
        <f t="shared" si="6"/>
        <v>0</v>
      </c>
      <c r="J72">
        <f t="shared" si="6"/>
        <v>0</v>
      </c>
      <c r="K72">
        <f t="shared" si="6"/>
        <v>0</v>
      </c>
      <c r="L72">
        <f t="shared" si="6"/>
        <v>0</v>
      </c>
      <c r="M72" s="2">
        <f>IF(RawData!L72=0,1,0)</f>
        <v>1</v>
      </c>
    </row>
    <row r="73" spans="1:13" x14ac:dyDescent="0.25">
      <c r="A73">
        <f t="shared" si="5"/>
        <v>0</v>
      </c>
      <c r="B73">
        <f>IF(C73=0,0,A73&amp;" "&amp;COUNTIF($A$1:$A73,A73))</f>
        <v>0</v>
      </c>
      <c r="C73" s="1">
        <v>0</v>
      </c>
      <c r="D73" s="2" t="str">
        <f>RawData!B73</f>
        <v>SF</v>
      </c>
      <c r="E73" s="2" t="str">
        <f>RawData!C73&amp; " "&amp;RawData!E73</f>
        <v>Kyle Anderson</v>
      </c>
      <c r="F73" s="2">
        <f>(RawData!F73)*M73</f>
        <v>20.2000007629394</v>
      </c>
      <c r="G73" s="35">
        <f>RawData!H73</f>
        <v>4800</v>
      </c>
      <c r="H73">
        <f t="shared" si="6"/>
        <v>0</v>
      </c>
      <c r="I73">
        <f t="shared" si="6"/>
        <v>0</v>
      </c>
      <c r="J73">
        <f t="shared" si="6"/>
        <v>0</v>
      </c>
      <c r="K73">
        <f t="shared" si="6"/>
        <v>0</v>
      </c>
      <c r="L73">
        <f t="shared" si="6"/>
        <v>0</v>
      </c>
      <c r="M73" s="2">
        <f>IF(RawData!L73=0,1,0)</f>
        <v>1</v>
      </c>
    </row>
    <row r="74" spans="1:13" x14ac:dyDescent="0.25">
      <c r="A74">
        <f t="shared" si="5"/>
        <v>0</v>
      </c>
      <c r="B74">
        <f>IF(C74=0,0,A74&amp;" "&amp;COUNTIF($A$1:$A74,A74))</f>
        <v>0</v>
      </c>
      <c r="C74" s="1">
        <v>0</v>
      </c>
      <c r="D74" s="2" t="str">
        <f>RawData!B74</f>
        <v>PF</v>
      </c>
      <c r="E74" s="2" t="str">
        <f>RawData!C74&amp; " "&amp;RawData!E74</f>
        <v>John Collins</v>
      </c>
      <c r="F74" s="2">
        <f>(RawData!F74)*M74</f>
        <v>23.8333333333333</v>
      </c>
      <c r="G74" s="35">
        <f>RawData!H74</f>
        <v>4800</v>
      </c>
      <c r="H74">
        <f t="shared" si="6"/>
        <v>0</v>
      </c>
      <c r="I74">
        <f t="shared" si="6"/>
        <v>0</v>
      </c>
      <c r="J74">
        <f t="shared" si="6"/>
        <v>0</v>
      </c>
      <c r="K74">
        <f t="shared" si="6"/>
        <v>0</v>
      </c>
      <c r="L74">
        <f t="shared" si="6"/>
        <v>0</v>
      </c>
      <c r="M74" s="2">
        <f>IF(RawData!L74=0,1,0)</f>
        <v>1</v>
      </c>
    </row>
    <row r="75" spans="1:13" x14ac:dyDescent="0.25">
      <c r="A75">
        <f t="shared" si="5"/>
        <v>0</v>
      </c>
      <c r="B75">
        <f>IF(C75=0,0,A75&amp;" "&amp;COUNTIF($A$1:$A75,A75))</f>
        <v>0</v>
      </c>
      <c r="C75" s="1">
        <v>0</v>
      </c>
      <c r="D75" s="2" t="str">
        <f>RawData!B75</f>
        <v>SG</v>
      </c>
      <c r="E75" s="2" t="str">
        <f>RawData!C75&amp; " "&amp;RawData!E75</f>
        <v>Kent Bazemore</v>
      </c>
      <c r="F75" s="2">
        <f>(RawData!F75)*M75</f>
        <v>21.199999491373699</v>
      </c>
      <c r="G75" s="35">
        <f>RawData!H75</f>
        <v>4800</v>
      </c>
      <c r="H75">
        <f t="shared" si="6"/>
        <v>0</v>
      </c>
      <c r="I75">
        <f t="shared" si="6"/>
        <v>0</v>
      </c>
      <c r="J75">
        <f t="shared" si="6"/>
        <v>0</v>
      </c>
      <c r="K75">
        <f t="shared" si="6"/>
        <v>0</v>
      </c>
      <c r="L75">
        <f t="shared" si="6"/>
        <v>0</v>
      </c>
      <c r="M75" s="2">
        <f>IF(RawData!L75=0,1,0)</f>
        <v>1</v>
      </c>
    </row>
    <row r="76" spans="1:13" x14ac:dyDescent="0.25">
      <c r="A76">
        <f t="shared" si="5"/>
        <v>0</v>
      </c>
      <c r="B76">
        <f>IF(C76=0,0,A76&amp;" "&amp;COUNTIF($A$1:$A76,A76))</f>
        <v>0</v>
      </c>
      <c r="C76" s="1">
        <v>0</v>
      </c>
      <c r="D76" s="2" t="str">
        <f>RawData!B76</f>
        <v>C</v>
      </c>
      <c r="E76" s="2" t="str">
        <f>RawData!C76&amp; " "&amp;RawData!E76</f>
        <v>Alex Len</v>
      </c>
      <c r="F76" s="2">
        <f>(RawData!F76)*M76</f>
        <v>21.149999618530199</v>
      </c>
      <c r="G76" s="35">
        <f>RawData!H76</f>
        <v>4700</v>
      </c>
      <c r="H76">
        <f t="shared" si="6"/>
        <v>0</v>
      </c>
      <c r="I76">
        <f t="shared" si="6"/>
        <v>0</v>
      </c>
      <c r="J76">
        <f t="shared" si="6"/>
        <v>0</v>
      </c>
      <c r="K76">
        <f t="shared" si="6"/>
        <v>0</v>
      </c>
      <c r="L76">
        <f t="shared" si="6"/>
        <v>0</v>
      </c>
      <c r="M76" s="2">
        <f>IF(RawData!L76=0,1,0)</f>
        <v>1</v>
      </c>
    </row>
    <row r="77" spans="1:13" x14ac:dyDescent="0.25">
      <c r="A77">
        <f t="shared" si="5"/>
        <v>0</v>
      </c>
      <c r="B77">
        <f>IF(C77=0,0,A77&amp;" "&amp;COUNTIF($A$1:$A77,A77))</f>
        <v>0</v>
      </c>
      <c r="C77" s="1">
        <v>0</v>
      </c>
      <c r="D77" s="2" t="str">
        <f>RawData!B77</f>
        <v>SG</v>
      </c>
      <c r="E77" s="2" t="str">
        <f>RawData!C77&amp; " "&amp;RawData!E77</f>
        <v>Danny Green</v>
      </c>
      <c r="F77" s="2">
        <f>(RawData!F77)*M77</f>
        <v>27.4500007629394</v>
      </c>
      <c r="G77" s="35">
        <f>RawData!H77</f>
        <v>4600</v>
      </c>
      <c r="H77">
        <f t="shared" si="6"/>
        <v>0</v>
      </c>
      <c r="I77">
        <f t="shared" si="6"/>
        <v>0</v>
      </c>
      <c r="J77">
        <f t="shared" si="6"/>
        <v>0</v>
      </c>
      <c r="K77">
        <f t="shared" si="6"/>
        <v>0</v>
      </c>
      <c r="L77">
        <f t="shared" si="6"/>
        <v>0</v>
      </c>
      <c r="M77" s="2">
        <f>IF(RawData!L77=0,1,0)</f>
        <v>1</v>
      </c>
    </row>
    <row r="78" spans="1:13" x14ac:dyDescent="0.25">
      <c r="A78">
        <f t="shared" si="5"/>
        <v>0</v>
      </c>
      <c r="B78">
        <f>IF(C78=0,0,A78&amp;" "&amp;COUNTIF($A$1:$A78,A78))</f>
        <v>0</v>
      </c>
      <c r="C78" s="1">
        <v>0</v>
      </c>
      <c r="D78" s="2" t="str">
        <f>RawData!B78</f>
        <v>PF</v>
      </c>
      <c r="E78" s="2" t="str">
        <f>RawData!C78&amp; " "&amp;RawData!E78</f>
        <v>Skal Labissiere</v>
      </c>
      <c r="F78" s="2">
        <f>(RawData!F78)*M78</f>
        <v>22.766667683919199</v>
      </c>
      <c r="G78" s="35">
        <f>RawData!H78</f>
        <v>4600</v>
      </c>
      <c r="H78">
        <f t="shared" si="6"/>
        <v>0</v>
      </c>
      <c r="I78">
        <f t="shared" si="6"/>
        <v>0</v>
      </c>
      <c r="J78">
        <f t="shared" si="6"/>
        <v>0</v>
      </c>
      <c r="K78">
        <f t="shared" si="6"/>
        <v>0</v>
      </c>
      <c r="L78">
        <f t="shared" si="6"/>
        <v>0</v>
      </c>
      <c r="M78" s="2">
        <f>IF(RawData!L78=0,1,0)</f>
        <v>1</v>
      </c>
    </row>
    <row r="79" spans="1:13" x14ac:dyDescent="0.25">
      <c r="A79">
        <f t="shared" si="5"/>
        <v>0</v>
      </c>
      <c r="B79">
        <f>IF(C79=0,0,A79&amp;" "&amp;COUNTIF($A$1:$A79,A79))</f>
        <v>0</v>
      </c>
      <c r="C79" s="1">
        <v>0</v>
      </c>
      <c r="D79" s="2" t="str">
        <f>RawData!B79</f>
        <v>SG</v>
      </c>
      <c r="E79" s="2" t="str">
        <f>RawData!C79&amp; " "&amp;RawData!E79</f>
        <v>Seth Curry</v>
      </c>
      <c r="F79" s="2">
        <f>(RawData!F79)*M79</f>
        <v>0</v>
      </c>
      <c r="G79" s="35">
        <f>RawData!H79</f>
        <v>4600</v>
      </c>
      <c r="H79">
        <f t="shared" si="6"/>
        <v>0</v>
      </c>
      <c r="I79">
        <f t="shared" si="6"/>
        <v>0</v>
      </c>
      <c r="J79">
        <f t="shared" si="6"/>
        <v>0</v>
      </c>
      <c r="K79">
        <f t="shared" si="6"/>
        <v>0</v>
      </c>
      <c r="L79">
        <f t="shared" si="6"/>
        <v>0</v>
      </c>
      <c r="M79" s="2">
        <f>IF(RawData!L79=0,1,0)</f>
        <v>0</v>
      </c>
    </row>
    <row r="80" spans="1:13" x14ac:dyDescent="0.25">
      <c r="A80">
        <f t="shared" si="5"/>
        <v>0</v>
      </c>
      <c r="B80">
        <f>IF(C80=0,0,A80&amp;" "&amp;COUNTIF($A$1:$A80,A80))</f>
        <v>0</v>
      </c>
      <c r="C80" s="1">
        <v>0</v>
      </c>
      <c r="D80" s="2" t="str">
        <f>RawData!B80</f>
        <v>PF</v>
      </c>
      <c r="E80" s="2" t="str">
        <f>RawData!C80&amp; " "&amp;RawData!E80</f>
        <v>Dirk Nowitzki</v>
      </c>
      <c r="F80" s="2">
        <f>(RawData!F80)*M80</f>
        <v>16.8333333333333</v>
      </c>
      <c r="G80" s="35">
        <f>RawData!H80</f>
        <v>4600</v>
      </c>
      <c r="H80">
        <f t="shared" si="6"/>
        <v>0</v>
      </c>
      <c r="I80">
        <f t="shared" si="6"/>
        <v>0</v>
      </c>
      <c r="J80">
        <f t="shared" si="6"/>
        <v>0</v>
      </c>
      <c r="K80">
        <f t="shared" si="6"/>
        <v>0</v>
      </c>
      <c r="L80">
        <f t="shared" si="6"/>
        <v>0</v>
      </c>
      <c r="M80" s="2">
        <f>IF(RawData!L80=0,1,0)</f>
        <v>1</v>
      </c>
    </row>
    <row r="81" spans="1:13" x14ac:dyDescent="0.25">
      <c r="A81">
        <f t="shared" si="5"/>
        <v>0</v>
      </c>
      <c r="B81">
        <f>IF(C81=0,0,A81&amp;" "&amp;COUNTIF($A$1:$A81,A81))</f>
        <v>0</v>
      </c>
      <c r="C81" s="1">
        <v>0</v>
      </c>
      <c r="D81" s="2" t="str">
        <f>RawData!B81</f>
        <v>PG</v>
      </c>
      <c r="E81" s="2" t="str">
        <f>RawData!C81&amp; " "&amp;RawData!E81</f>
        <v>Delon Wright</v>
      </c>
      <c r="F81" s="2">
        <f>(RawData!F81)*M81</f>
        <v>25.7000007629394</v>
      </c>
      <c r="G81" s="35">
        <f>RawData!H81</f>
        <v>4600</v>
      </c>
      <c r="H81">
        <f t="shared" si="6"/>
        <v>0</v>
      </c>
      <c r="I81">
        <f t="shared" si="6"/>
        <v>0</v>
      </c>
      <c r="J81">
        <f t="shared" si="6"/>
        <v>0</v>
      </c>
      <c r="K81">
        <f t="shared" si="6"/>
        <v>0</v>
      </c>
      <c r="L81">
        <f t="shared" si="6"/>
        <v>0</v>
      </c>
      <c r="M81" s="2">
        <f>IF(RawData!L81=0,1,0)</f>
        <v>1</v>
      </c>
    </row>
    <row r="82" spans="1:13" x14ac:dyDescent="0.25">
      <c r="A82">
        <f t="shared" si="5"/>
        <v>0</v>
      </c>
      <c r="B82">
        <f>IF(C82=0,0,A82&amp;" "&amp;COUNTIF($A$1:$A82,A82))</f>
        <v>0</v>
      </c>
      <c r="C82" s="1">
        <v>0</v>
      </c>
      <c r="D82" s="2" t="str">
        <f>RawData!B82</f>
        <v>SF</v>
      </c>
      <c r="E82" s="2" t="str">
        <f>RawData!C82&amp; " "&amp;RawData!E82</f>
        <v>Andre Iguodala</v>
      </c>
      <c r="F82" s="2">
        <f>(RawData!F82)*M82</f>
        <v>17.399999618530199</v>
      </c>
      <c r="G82" s="35">
        <f>RawData!H82</f>
        <v>4600</v>
      </c>
      <c r="H82">
        <f t="shared" si="6"/>
        <v>0</v>
      </c>
      <c r="I82">
        <f t="shared" si="6"/>
        <v>0</v>
      </c>
      <c r="J82">
        <f t="shared" si="6"/>
        <v>0</v>
      </c>
      <c r="K82">
        <f t="shared" si="6"/>
        <v>0</v>
      </c>
      <c r="L82">
        <f t="shared" si="6"/>
        <v>0</v>
      </c>
      <c r="M82" s="2">
        <f>IF(RawData!L82=0,1,0)</f>
        <v>1</v>
      </c>
    </row>
    <row r="83" spans="1:13" x14ac:dyDescent="0.25">
      <c r="A83">
        <f t="shared" si="5"/>
        <v>0</v>
      </c>
      <c r="B83">
        <f>IF(C83=0,0,A83&amp;" "&amp;COUNTIF($A$1:$A83,A83))</f>
        <v>0</v>
      </c>
      <c r="C83" s="1">
        <v>0</v>
      </c>
      <c r="D83" s="2" t="str">
        <f>RawData!B83</f>
        <v>SG</v>
      </c>
      <c r="E83" s="2" t="str">
        <f>RawData!C83&amp; " "&amp;RawData!E83</f>
        <v>Tyreke Evans</v>
      </c>
      <c r="F83" s="2">
        <f>(RawData!F83)*M83</f>
        <v>21.7000007629394</v>
      </c>
      <c r="G83" s="35">
        <f>RawData!H83</f>
        <v>4600</v>
      </c>
      <c r="H83">
        <f t="shared" si="6"/>
        <v>0</v>
      </c>
      <c r="I83">
        <f t="shared" si="6"/>
        <v>0</v>
      </c>
      <c r="J83">
        <f t="shared" si="6"/>
        <v>0</v>
      </c>
      <c r="K83">
        <f t="shared" si="6"/>
        <v>0</v>
      </c>
      <c r="L83">
        <f t="shared" si="6"/>
        <v>0</v>
      </c>
      <c r="M83" s="2">
        <f>IF(RawData!L83=0,1,0)</f>
        <v>1</v>
      </c>
    </row>
    <row r="84" spans="1:13" x14ac:dyDescent="0.25">
      <c r="A84">
        <f t="shared" si="5"/>
        <v>0</v>
      </c>
      <c r="B84">
        <f>IF(C84=0,0,A84&amp;" "&amp;COUNTIF($A$1:$A84,A84))</f>
        <v>0</v>
      </c>
      <c r="C84" s="1">
        <v>0</v>
      </c>
      <c r="D84" s="2" t="str">
        <f>RawData!B84</f>
        <v>C</v>
      </c>
      <c r="E84" s="2" t="str">
        <f>RawData!C84&amp; " "&amp;RawData!E84</f>
        <v>Jakob Poeltl</v>
      </c>
      <c r="F84" s="2">
        <f>(RawData!F84)*M84</f>
        <v>19</v>
      </c>
      <c r="G84" s="35">
        <f>RawData!H84</f>
        <v>4500</v>
      </c>
      <c r="H84">
        <f t="shared" si="6"/>
        <v>0</v>
      </c>
      <c r="I84">
        <f t="shared" si="6"/>
        <v>0</v>
      </c>
      <c r="J84">
        <f t="shared" si="6"/>
        <v>0</v>
      </c>
      <c r="K84">
        <f t="shared" si="6"/>
        <v>0</v>
      </c>
      <c r="L84">
        <f t="shared" si="6"/>
        <v>0</v>
      </c>
      <c r="M84" s="2">
        <f>IF(RawData!L84=0,1,0)</f>
        <v>1</v>
      </c>
    </row>
    <row r="85" spans="1:13" x14ac:dyDescent="0.25">
      <c r="A85">
        <f t="shared" si="5"/>
        <v>0</v>
      </c>
      <c r="B85">
        <f>IF(C85=0,0,A85&amp;" "&amp;COUNTIF($A$1:$A85,A85))</f>
        <v>0</v>
      </c>
      <c r="C85" s="1">
        <v>0</v>
      </c>
      <c r="D85" s="2" t="str">
        <f>RawData!B85</f>
        <v>PF</v>
      </c>
      <c r="E85" s="2" t="str">
        <f>RawData!C85&amp; " "&amp;RawData!E85</f>
        <v>Dario Saric</v>
      </c>
      <c r="F85" s="2">
        <f>(RawData!F85)*M85</f>
        <v>16.8333333333333</v>
      </c>
      <c r="G85" s="35">
        <f>RawData!H85</f>
        <v>4500</v>
      </c>
      <c r="H85">
        <f t="shared" si="6"/>
        <v>0</v>
      </c>
      <c r="I85">
        <f t="shared" si="6"/>
        <v>0</v>
      </c>
      <c r="J85">
        <f t="shared" si="6"/>
        <v>0</v>
      </c>
      <c r="K85">
        <f t="shared" si="6"/>
        <v>0</v>
      </c>
      <c r="L85">
        <f t="shared" si="6"/>
        <v>0</v>
      </c>
      <c r="M85" s="2">
        <f>IF(RawData!L85=0,1,0)</f>
        <v>1</v>
      </c>
    </row>
    <row r="86" spans="1:13" x14ac:dyDescent="0.25">
      <c r="A86">
        <f t="shared" si="5"/>
        <v>0</v>
      </c>
      <c r="B86">
        <f>IF(C86=0,0,A86&amp;" "&amp;COUNTIF($A$1:$A86,A86))</f>
        <v>0</v>
      </c>
      <c r="C86" s="1">
        <v>0</v>
      </c>
      <c r="D86" s="2" t="str">
        <f>RawData!B86</f>
        <v>SG</v>
      </c>
      <c r="E86" s="2" t="str">
        <f>RawData!C86&amp; " "&amp;RawData!E86</f>
        <v>Norman Powell</v>
      </c>
      <c r="F86" s="2">
        <f>(RawData!F86)*M86</f>
        <v>15.3500003814697</v>
      </c>
      <c r="G86" s="35">
        <f>RawData!H86</f>
        <v>4500</v>
      </c>
      <c r="H86">
        <f t="shared" si="6"/>
        <v>0</v>
      </c>
      <c r="I86">
        <f t="shared" si="6"/>
        <v>0</v>
      </c>
      <c r="J86">
        <f t="shared" si="6"/>
        <v>0</v>
      </c>
      <c r="K86">
        <f t="shared" si="6"/>
        <v>0</v>
      </c>
      <c r="L86">
        <f t="shared" si="6"/>
        <v>0</v>
      </c>
      <c r="M86" s="2">
        <f>IF(RawData!L86=0,1,0)</f>
        <v>1</v>
      </c>
    </row>
    <row r="87" spans="1:13" x14ac:dyDescent="0.25">
      <c r="A87">
        <f t="shared" si="5"/>
        <v>0</v>
      </c>
      <c r="B87">
        <f>IF(C87=0,0,A87&amp;" "&amp;COUNTIF($A$1:$A87,A87))</f>
        <v>0</v>
      </c>
      <c r="C87" s="1">
        <v>0</v>
      </c>
      <c r="D87" s="2" t="str">
        <f>RawData!B87</f>
        <v>SF</v>
      </c>
      <c r="E87" s="2" t="str">
        <f>RawData!C87&amp; " "&amp;RawData!E87</f>
        <v>Josh Jackson</v>
      </c>
      <c r="F87" s="2">
        <f>(RawData!F87)*M87</f>
        <v>17.866666158040299</v>
      </c>
      <c r="G87" s="35">
        <f>RawData!H87</f>
        <v>4500</v>
      </c>
      <c r="H87">
        <f t="shared" si="6"/>
        <v>0</v>
      </c>
      <c r="I87">
        <f t="shared" si="6"/>
        <v>0</v>
      </c>
      <c r="J87">
        <f t="shared" si="6"/>
        <v>0</v>
      </c>
      <c r="K87">
        <f t="shared" si="6"/>
        <v>0</v>
      </c>
      <c r="L87">
        <f t="shared" si="6"/>
        <v>0</v>
      </c>
      <c r="M87" s="2">
        <f>IF(RawData!L87=0,1,0)</f>
        <v>1</v>
      </c>
    </row>
    <row r="88" spans="1:13" x14ac:dyDescent="0.25">
      <c r="A88">
        <f t="shared" si="5"/>
        <v>0</v>
      </c>
      <c r="B88">
        <f>IF(C88=0,0,A88&amp;" "&amp;COUNTIF($A$1:$A88,A88))</f>
        <v>0</v>
      </c>
      <c r="C88" s="1">
        <v>0</v>
      </c>
      <c r="D88" s="2" t="str">
        <f>RawData!B88</f>
        <v>SG</v>
      </c>
      <c r="E88" s="2" t="str">
        <f>RawData!C88&amp; " "&amp;RawData!E88</f>
        <v>JJ Redick</v>
      </c>
      <c r="F88" s="2">
        <f>(RawData!F88)*M88</f>
        <v>21.099999745686802</v>
      </c>
      <c r="G88" s="35">
        <f>RawData!H88</f>
        <v>4500</v>
      </c>
      <c r="H88">
        <f t="shared" si="6"/>
        <v>0</v>
      </c>
      <c r="I88">
        <f t="shared" si="6"/>
        <v>0</v>
      </c>
      <c r="J88">
        <f t="shared" si="6"/>
        <v>0</v>
      </c>
      <c r="K88">
        <f t="shared" si="6"/>
        <v>0</v>
      </c>
      <c r="L88">
        <f t="shared" si="6"/>
        <v>0</v>
      </c>
      <c r="M88" s="2">
        <f>IF(RawData!L88=0,1,0)</f>
        <v>1</v>
      </c>
    </row>
    <row r="89" spans="1:13" x14ac:dyDescent="0.25">
      <c r="A89">
        <f t="shared" si="5"/>
        <v>0</v>
      </c>
      <c r="B89">
        <f>IF(C89=0,0,A89&amp;" "&amp;COUNTIF($A$1:$A89,A89))</f>
        <v>0</v>
      </c>
      <c r="C89" s="1">
        <v>0</v>
      </c>
      <c r="D89" s="2" t="str">
        <f>RawData!B89</f>
        <v>PG</v>
      </c>
      <c r="E89" s="2" t="str">
        <f>RawData!C89&amp; " "&amp;RawData!E89</f>
        <v>Tyler Johnson</v>
      </c>
      <c r="F89" s="2">
        <f>(RawData!F89)*M89</f>
        <v>15.25</v>
      </c>
      <c r="G89" s="35">
        <f>RawData!H89</f>
        <v>4400</v>
      </c>
      <c r="H89">
        <f t="shared" si="6"/>
        <v>0</v>
      </c>
      <c r="I89">
        <f t="shared" si="6"/>
        <v>0</v>
      </c>
      <c r="J89">
        <f t="shared" si="6"/>
        <v>0</v>
      </c>
      <c r="K89">
        <f t="shared" si="6"/>
        <v>0</v>
      </c>
      <c r="L89">
        <f t="shared" si="6"/>
        <v>0</v>
      </c>
      <c r="M89" s="2">
        <f>IF(RawData!L89=0,1,0)</f>
        <v>1</v>
      </c>
    </row>
    <row r="90" spans="1:13" x14ac:dyDescent="0.25">
      <c r="A90">
        <f t="shared" si="5"/>
        <v>0</v>
      </c>
      <c r="B90">
        <f>IF(C90=0,0,A90&amp;" "&amp;COUNTIF($A$1:$A90,A90))</f>
        <v>0</v>
      </c>
      <c r="C90" s="1">
        <v>0</v>
      </c>
      <c r="D90" s="2" t="str">
        <f>RawData!B90</f>
        <v>C</v>
      </c>
      <c r="E90" s="2" t="str">
        <f>RawData!C90&amp; " "&amp;RawData!E90</f>
        <v>Jahlil Okafor</v>
      </c>
      <c r="F90" s="2">
        <f>(RawData!F90)*M90</f>
        <v>24.799999237060501</v>
      </c>
      <c r="G90" s="35">
        <f>RawData!H90</f>
        <v>4400</v>
      </c>
      <c r="H90">
        <f t="shared" si="6"/>
        <v>0</v>
      </c>
      <c r="I90">
        <f t="shared" si="6"/>
        <v>0</v>
      </c>
      <c r="J90">
        <f t="shared" si="6"/>
        <v>0</v>
      </c>
      <c r="K90">
        <f t="shared" si="6"/>
        <v>0</v>
      </c>
      <c r="L90">
        <f t="shared" si="6"/>
        <v>0</v>
      </c>
      <c r="M90" s="2">
        <f>IF(RawData!L90=0,1,0)</f>
        <v>1</v>
      </c>
    </row>
    <row r="91" spans="1:13" x14ac:dyDescent="0.25">
      <c r="A91">
        <f t="shared" si="5"/>
        <v>0</v>
      </c>
      <c r="B91">
        <f>IF(C91=0,0,A91&amp;" "&amp;COUNTIF($A$1:$A91,A91))</f>
        <v>0</v>
      </c>
      <c r="C91" s="1">
        <v>0</v>
      </c>
      <c r="D91" s="2" t="str">
        <f>RawData!B91</f>
        <v>SF</v>
      </c>
      <c r="E91" s="2" t="str">
        <f>RawData!C91&amp; " "&amp;RawData!E91</f>
        <v>Dillon Brooks</v>
      </c>
      <c r="F91" s="2">
        <f>(RawData!F91)*M91</f>
        <v>31.2000007629394</v>
      </c>
      <c r="G91" s="35">
        <f>RawData!H91</f>
        <v>4400</v>
      </c>
      <c r="H91">
        <f t="shared" si="6"/>
        <v>0</v>
      </c>
      <c r="I91">
        <f t="shared" si="6"/>
        <v>0</v>
      </c>
      <c r="J91">
        <f t="shared" si="6"/>
        <v>0</v>
      </c>
      <c r="K91">
        <f t="shared" si="6"/>
        <v>0</v>
      </c>
      <c r="L91">
        <f t="shared" si="6"/>
        <v>0</v>
      </c>
      <c r="M91" s="2">
        <f>IF(RawData!L91=0,1,0)</f>
        <v>1</v>
      </c>
    </row>
    <row r="92" spans="1:13" x14ac:dyDescent="0.25">
      <c r="A92">
        <f t="shared" si="5"/>
        <v>0</v>
      </c>
      <c r="B92">
        <f>IF(C92=0,0,A92&amp;" "&amp;COUNTIF($A$1:$A92,A92))</f>
        <v>0</v>
      </c>
      <c r="C92" s="1">
        <v>0</v>
      </c>
      <c r="D92" s="2" t="str">
        <f>RawData!B92</f>
        <v>SF</v>
      </c>
      <c r="E92" s="2" t="str">
        <f>RawData!C92&amp; " "&amp;RawData!E92</f>
        <v>Stanley Johnson</v>
      </c>
      <c r="F92" s="2">
        <f>(RawData!F92)*M92</f>
        <v>19.8333333333333</v>
      </c>
      <c r="G92" s="35">
        <f>RawData!H92</f>
        <v>4400</v>
      </c>
      <c r="H92">
        <f t="shared" si="6"/>
        <v>0</v>
      </c>
      <c r="I92">
        <f t="shared" si="6"/>
        <v>0</v>
      </c>
      <c r="J92">
        <f t="shared" si="6"/>
        <v>0</v>
      </c>
      <c r="K92">
        <f t="shared" si="6"/>
        <v>0</v>
      </c>
      <c r="L92">
        <f t="shared" si="6"/>
        <v>0</v>
      </c>
      <c r="M92" s="2">
        <f>IF(RawData!L92=0,1,0)</f>
        <v>1</v>
      </c>
    </row>
    <row r="93" spans="1:13" x14ac:dyDescent="0.25">
      <c r="A93">
        <f t="shared" si="5"/>
        <v>0</v>
      </c>
      <c r="B93">
        <f>IF(C93=0,0,A93&amp;" "&amp;COUNTIF($A$1:$A93,A93))</f>
        <v>0</v>
      </c>
      <c r="C93" s="1">
        <v>0</v>
      </c>
      <c r="D93" s="2" t="str">
        <f>RawData!B93</f>
        <v>PG</v>
      </c>
      <c r="E93" s="2" t="str">
        <f>RawData!C93&amp; " "&amp;RawData!E93</f>
        <v>Jerryd Bayless</v>
      </c>
      <c r="F93" s="2">
        <f>(RawData!F93)*M93</f>
        <v>21.800000508626301</v>
      </c>
      <c r="G93" s="35">
        <f>RawData!H93</f>
        <v>4300</v>
      </c>
      <c r="H93">
        <f t="shared" si="6"/>
        <v>0</v>
      </c>
      <c r="I93">
        <f t="shared" si="6"/>
        <v>0</v>
      </c>
      <c r="J93">
        <f t="shared" si="6"/>
        <v>0</v>
      </c>
      <c r="K93">
        <f t="shared" si="6"/>
        <v>0</v>
      </c>
      <c r="L93">
        <f t="shared" si="6"/>
        <v>0</v>
      </c>
      <c r="M93" s="2">
        <f>IF(RawData!L93=0,1,0)</f>
        <v>1</v>
      </c>
    </row>
    <row r="94" spans="1:13" x14ac:dyDescent="0.25">
      <c r="A94">
        <f t="shared" si="5"/>
        <v>0</v>
      </c>
      <c r="B94">
        <f>IF(C94=0,0,A94&amp;" "&amp;COUNTIF($A$1:$A94,A94))</f>
        <v>0</v>
      </c>
      <c r="C94" s="1">
        <v>0</v>
      </c>
      <c r="D94" s="2" t="str">
        <f>RawData!B94</f>
        <v>C</v>
      </c>
      <c r="E94" s="2" t="str">
        <f>RawData!C94&amp; " "&amp;RawData!E94</f>
        <v>Cody Zeller</v>
      </c>
      <c r="F94" s="2">
        <f>(RawData!F94)*M94</f>
        <v>0</v>
      </c>
      <c r="G94" s="35">
        <f>RawData!H94</f>
        <v>4300</v>
      </c>
      <c r="H94">
        <f t="shared" si="6"/>
        <v>0</v>
      </c>
      <c r="I94">
        <f t="shared" si="6"/>
        <v>0</v>
      </c>
      <c r="J94">
        <f t="shared" si="6"/>
        <v>0</v>
      </c>
      <c r="K94">
        <f t="shared" si="6"/>
        <v>0</v>
      </c>
      <c r="L94">
        <f t="shared" si="6"/>
        <v>0</v>
      </c>
      <c r="M94" s="2">
        <f>IF(RawData!L94=0,1,0)</f>
        <v>0</v>
      </c>
    </row>
    <row r="95" spans="1:13" x14ac:dyDescent="0.25">
      <c r="A95">
        <f t="shared" si="5"/>
        <v>0</v>
      </c>
      <c r="B95">
        <f>IF(C95=0,0,A95&amp;" "&amp;COUNTIF($A$1:$A95,A95))</f>
        <v>0</v>
      </c>
      <c r="C95" s="1">
        <v>0</v>
      </c>
      <c r="D95" s="2" t="str">
        <f>RawData!B95</f>
        <v>PF</v>
      </c>
      <c r="E95" s="2" t="str">
        <f>RawData!C95&amp; " "&amp;RawData!E95</f>
        <v>Ersan Ilyasova</v>
      </c>
      <c r="F95" s="2">
        <f>(RawData!F95)*M95</f>
        <v>17.766666412353501</v>
      </c>
      <c r="G95" s="35">
        <f>RawData!H95</f>
        <v>4300</v>
      </c>
      <c r="H95">
        <f t="shared" si="6"/>
        <v>0</v>
      </c>
      <c r="I95">
        <f t="shared" si="6"/>
        <v>0</v>
      </c>
      <c r="J95">
        <f t="shared" si="6"/>
        <v>0</v>
      </c>
      <c r="K95">
        <f t="shared" si="6"/>
        <v>0</v>
      </c>
      <c r="L95">
        <f t="shared" si="6"/>
        <v>0</v>
      </c>
      <c r="M95" s="2">
        <f>IF(RawData!L95=0,1,0)</f>
        <v>1</v>
      </c>
    </row>
    <row r="96" spans="1:13" x14ac:dyDescent="0.25">
      <c r="A96">
        <f t="shared" si="5"/>
        <v>0</v>
      </c>
      <c r="B96">
        <f>IF(C96=0,0,A96&amp;" "&amp;COUNTIF($A$1:$A96,A96))</f>
        <v>0</v>
      </c>
      <c r="C96" s="1">
        <v>0</v>
      </c>
      <c r="D96" s="2" t="str">
        <f>RawData!B96</f>
        <v>PG</v>
      </c>
      <c r="E96" s="2" t="str">
        <f>RawData!C96&amp; " "&amp;RawData!E96</f>
        <v>Shaun Livingston</v>
      </c>
      <c r="F96" s="2">
        <f>(RawData!F96)*M96</f>
        <v>10.2000001271565</v>
      </c>
      <c r="G96" s="35">
        <f>RawData!H96</f>
        <v>4300</v>
      </c>
      <c r="H96">
        <f t="shared" si="6"/>
        <v>0</v>
      </c>
      <c r="I96">
        <f t="shared" si="6"/>
        <v>0</v>
      </c>
      <c r="J96">
        <f t="shared" si="6"/>
        <v>0</v>
      </c>
      <c r="K96">
        <f t="shared" si="6"/>
        <v>0</v>
      </c>
      <c r="L96">
        <f t="shared" si="6"/>
        <v>0</v>
      </c>
      <c r="M96" s="2">
        <f>IF(RawData!L96=0,1,0)</f>
        <v>1</v>
      </c>
    </row>
    <row r="97" spans="1:13" x14ac:dyDescent="0.25">
      <c r="A97">
        <f t="shared" si="5"/>
        <v>0</v>
      </c>
      <c r="B97">
        <f>IF(C97=0,0,A97&amp;" "&amp;COUNTIF($A$1:$A97,A97))</f>
        <v>0</v>
      </c>
      <c r="C97" s="1">
        <v>0</v>
      </c>
      <c r="D97" s="2" t="str">
        <f>RawData!B97</f>
        <v>PF</v>
      </c>
      <c r="E97" s="2" t="str">
        <f>RawData!C97&amp; " "&amp;RawData!E97</f>
        <v>Ryan Anderson</v>
      </c>
      <c r="F97" s="2">
        <f>(RawData!F97)*M97</f>
        <v>20.866666158040299</v>
      </c>
      <c r="G97" s="35">
        <f>RawData!H97</f>
        <v>4200</v>
      </c>
      <c r="H97">
        <f t="shared" si="6"/>
        <v>0</v>
      </c>
      <c r="I97">
        <f t="shared" si="6"/>
        <v>0</v>
      </c>
      <c r="J97">
        <f t="shared" si="6"/>
        <v>0</v>
      </c>
      <c r="K97">
        <f t="shared" si="6"/>
        <v>0</v>
      </c>
      <c r="L97">
        <f t="shared" si="6"/>
        <v>0</v>
      </c>
      <c r="M97" s="2">
        <f>IF(RawData!L97=0,1,0)</f>
        <v>1</v>
      </c>
    </row>
    <row r="98" spans="1:13" x14ac:dyDescent="0.25">
      <c r="A98">
        <f t="shared" si="5"/>
        <v>0</v>
      </c>
      <c r="B98">
        <f>IF(C98=0,0,A98&amp;" "&amp;COUNTIF($A$1:$A98,A98))</f>
        <v>0</v>
      </c>
      <c r="C98" s="1">
        <v>0</v>
      </c>
      <c r="D98" s="2" t="str">
        <f>RawData!B98</f>
        <v>PF</v>
      </c>
      <c r="E98" s="2" t="str">
        <f>RawData!C98&amp; " "&amp;RawData!E98</f>
        <v>Marvin Williams</v>
      </c>
      <c r="F98" s="2">
        <f>(RawData!F98)*M98</f>
        <v>9.75</v>
      </c>
      <c r="G98" s="35">
        <f>RawData!H98</f>
        <v>4200</v>
      </c>
      <c r="H98">
        <f t="shared" si="6"/>
        <v>0</v>
      </c>
      <c r="I98">
        <f t="shared" si="6"/>
        <v>0</v>
      </c>
      <c r="J98">
        <f t="shared" si="6"/>
        <v>0</v>
      </c>
      <c r="K98">
        <f t="shared" si="6"/>
        <v>0</v>
      </c>
      <c r="L98">
        <f t="shared" si="6"/>
        <v>0</v>
      </c>
      <c r="M98" s="2">
        <f>IF(RawData!L98=0,1,0)</f>
        <v>1</v>
      </c>
    </row>
    <row r="99" spans="1:13" x14ac:dyDescent="0.25">
      <c r="A99">
        <f t="shared" si="5"/>
        <v>0</v>
      </c>
      <c r="B99">
        <f>IF(C99=0,0,A99&amp;" "&amp;COUNTIF($A$1:$A99,A99))</f>
        <v>0</v>
      </c>
      <c r="C99" s="1">
        <v>0</v>
      </c>
      <c r="D99" s="2" t="str">
        <f>RawData!B99</f>
        <v>PF</v>
      </c>
      <c r="E99" s="2" t="str">
        <f>RawData!C99&amp; " "&amp;RawData!E99</f>
        <v>Jarell Martin</v>
      </c>
      <c r="F99" s="2">
        <f>(RawData!F99)*M99</f>
        <v>13.5</v>
      </c>
      <c r="G99" s="35">
        <f>RawData!H99</f>
        <v>4200</v>
      </c>
      <c r="H99">
        <f t="shared" si="6"/>
        <v>0</v>
      </c>
      <c r="I99">
        <f t="shared" si="6"/>
        <v>0</v>
      </c>
      <c r="J99">
        <f t="shared" si="6"/>
        <v>0</v>
      </c>
      <c r="K99">
        <f t="shared" si="6"/>
        <v>0</v>
      </c>
      <c r="L99">
        <f t="shared" si="6"/>
        <v>0</v>
      </c>
      <c r="M99" s="2">
        <f>IF(RawData!L99=0,1,0)</f>
        <v>1</v>
      </c>
    </row>
    <row r="100" spans="1:13" x14ac:dyDescent="0.25">
      <c r="A100">
        <f t="shared" si="5"/>
        <v>0</v>
      </c>
      <c r="B100">
        <f>IF(C100=0,0,A100&amp;" "&amp;COUNTIF($A$1:$A100,A100))</f>
        <v>0</v>
      </c>
      <c r="C100" s="1">
        <v>0</v>
      </c>
      <c r="D100" s="2" t="str">
        <f>RawData!B100</f>
        <v>PF</v>
      </c>
      <c r="E100" s="2" t="str">
        <f>RawData!C100&amp; " "&amp;RawData!E100</f>
        <v>JaMychal Green</v>
      </c>
      <c r="F100" s="2">
        <f>(RawData!F100)*M100</f>
        <v>0</v>
      </c>
      <c r="G100" s="35">
        <f>RawData!H100</f>
        <v>4100</v>
      </c>
      <c r="H100">
        <f t="shared" si="6"/>
        <v>0</v>
      </c>
      <c r="I100">
        <f t="shared" si="6"/>
        <v>0</v>
      </c>
      <c r="J100">
        <f t="shared" si="6"/>
        <v>0</v>
      </c>
      <c r="K100">
        <f t="shared" si="6"/>
        <v>0</v>
      </c>
      <c r="L100">
        <f t="shared" si="6"/>
        <v>0</v>
      </c>
      <c r="M100" s="2">
        <f>IF(RawData!L100=0,1,0)</f>
        <v>0</v>
      </c>
    </row>
    <row r="101" spans="1:13" x14ac:dyDescent="0.25">
      <c r="A101">
        <f t="shared" si="5"/>
        <v>0</v>
      </c>
      <c r="B101">
        <f>IF(C101=0,0,A101&amp;" "&amp;COUNTIF($A$1:$A101,A101))</f>
        <v>0</v>
      </c>
      <c r="C101" s="1">
        <v>0</v>
      </c>
      <c r="D101" s="2" t="str">
        <f>RawData!B101</f>
        <v>C</v>
      </c>
      <c r="E101" s="2" t="str">
        <f>RawData!C101&amp; " "&amp;RawData!E101</f>
        <v>Greg Monroe</v>
      </c>
      <c r="F101" s="2">
        <f>(RawData!F101)*M101</f>
        <v>10.299999872843401</v>
      </c>
      <c r="G101" s="35">
        <f>RawData!H101</f>
        <v>4100</v>
      </c>
      <c r="H101">
        <f t="shared" si="6"/>
        <v>0</v>
      </c>
      <c r="I101">
        <f t="shared" si="6"/>
        <v>0</v>
      </c>
      <c r="J101">
        <f t="shared" si="6"/>
        <v>0</v>
      </c>
      <c r="K101">
        <f t="shared" si="6"/>
        <v>0</v>
      </c>
      <c r="L101">
        <f t="shared" si="6"/>
        <v>0</v>
      </c>
      <c r="M101" s="2">
        <f>IF(RawData!L101=0,1,0)</f>
        <v>1</v>
      </c>
    </row>
    <row r="102" spans="1:13" x14ac:dyDescent="0.25">
      <c r="C102" s="1">
        <v>0</v>
      </c>
      <c r="E102" s="2"/>
      <c r="M102" s="2"/>
    </row>
    <row r="103" spans="1:13" x14ac:dyDescent="0.25">
      <c r="C103" s="1">
        <v>0</v>
      </c>
      <c r="E103" s="2"/>
      <c r="M103" s="2"/>
    </row>
    <row r="104" spans="1:13" x14ac:dyDescent="0.25">
      <c r="C104" s="1">
        <v>0</v>
      </c>
      <c r="E104" s="2"/>
      <c r="M104" s="2"/>
    </row>
    <row r="105" spans="1:13" x14ac:dyDescent="0.25">
      <c r="C105" s="1">
        <v>0</v>
      </c>
      <c r="E105" s="2"/>
      <c r="M105" s="2"/>
    </row>
    <row r="106" spans="1:13" x14ac:dyDescent="0.25">
      <c r="C106" s="1">
        <v>0</v>
      </c>
      <c r="E106" s="2"/>
      <c r="M106" s="2"/>
    </row>
    <row r="107" spans="1:13" x14ac:dyDescent="0.25">
      <c r="C107" s="1">
        <v>0</v>
      </c>
      <c r="E107" s="2"/>
      <c r="M107" s="2"/>
    </row>
    <row r="108" spans="1:13" x14ac:dyDescent="0.25">
      <c r="C108" s="1">
        <v>0</v>
      </c>
      <c r="E108" s="2"/>
      <c r="M108" s="2"/>
    </row>
    <row r="109" spans="1:13" x14ac:dyDescent="0.25">
      <c r="C109" s="1">
        <v>0</v>
      </c>
      <c r="E109" s="2"/>
      <c r="M109" s="2"/>
    </row>
    <row r="110" spans="1:13" x14ac:dyDescent="0.25">
      <c r="C110" s="1">
        <v>0</v>
      </c>
      <c r="E110" s="2"/>
      <c r="M110" s="2"/>
    </row>
    <row r="111" spans="1:13" x14ac:dyDescent="0.25">
      <c r="C111" s="1">
        <v>0</v>
      </c>
      <c r="E111" s="2"/>
      <c r="M111" s="2"/>
    </row>
    <row r="112" spans="1:13" x14ac:dyDescent="0.25">
      <c r="C112" s="1">
        <v>0</v>
      </c>
      <c r="E112" s="2"/>
      <c r="M112" s="2"/>
    </row>
    <row r="113" spans="3:13" x14ac:dyDescent="0.25">
      <c r="C113" s="1">
        <v>0</v>
      </c>
      <c r="E113" s="2"/>
      <c r="M113" s="2"/>
    </row>
    <row r="114" spans="3:13" x14ac:dyDescent="0.25">
      <c r="C114" s="1">
        <v>0</v>
      </c>
      <c r="E114" s="2"/>
      <c r="M114" s="2"/>
    </row>
    <row r="115" spans="3:13" x14ac:dyDescent="0.25">
      <c r="C115" s="1">
        <v>0</v>
      </c>
      <c r="E115" s="2"/>
      <c r="M115" s="2"/>
    </row>
    <row r="116" spans="3:13" x14ac:dyDescent="0.25">
      <c r="C116" s="1">
        <v>0</v>
      </c>
      <c r="E116" s="2"/>
      <c r="M116" s="2"/>
    </row>
    <row r="117" spans="3:13" x14ac:dyDescent="0.25">
      <c r="C117" s="1">
        <v>0</v>
      </c>
      <c r="E117" s="2"/>
      <c r="M117" s="2"/>
    </row>
    <row r="118" spans="3:13" x14ac:dyDescent="0.25">
      <c r="C118" s="1">
        <v>0</v>
      </c>
      <c r="E118" s="2"/>
      <c r="M118" s="2"/>
    </row>
    <row r="119" spans="3:13" x14ac:dyDescent="0.25">
      <c r="C119" s="1">
        <v>0</v>
      </c>
      <c r="E119" s="2"/>
      <c r="M119" s="2"/>
    </row>
    <row r="120" spans="3:13" x14ac:dyDescent="0.25">
      <c r="C120" s="1">
        <v>0</v>
      </c>
      <c r="E120" s="2"/>
      <c r="M120" s="2"/>
    </row>
    <row r="121" spans="3:13" x14ac:dyDescent="0.25">
      <c r="C121" s="1">
        <v>0</v>
      </c>
      <c r="E121" s="2"/>
      <c r="M121" s="2"/>
    </row>
    <row r="122" spans="3:13" x14ac:dyDescent="0.25">
      <c r="C122" s="1">
        <v>0</v>
      </c>
      <c r="E122" s="2"/>
      <c r="M122" s="2"/>
    </row>
    <row r="123" spans="3:13" x14ac:dyDescent="0.25">
      <c r="C123" s="1">
        <v>0</v>
      </c>
      <c r="E123" s="2"/>
      <c r="M123" s="2"/>
    </row>
    <row r="124" spans="3:13" x14ac:dyDescent="0.25">
      <c r="C124" s="1">
        <v>0</v>
      </c>
      <c r="E124" s="2"/>
      <c r="M124" s="2"/>
    </row>
    <row r="125" spans="3:13" x14ac:dyDescent="0.25">
      <c r="C125" s="1">
        <v>0</v>
      </c>
      <c r="E125" s="2"/>
      <c r="M125" s="2"/>
    </row>
    <row r="126" spans="3:13" x14ac:dyDescent="0.25">
      <c r="C126" s="1">
        <v>0</v>
      </c>
      <c r="E126" s="2"/>
      <c r="M126" s="2"/>
    </row>
    <row r="127" spans="3:13" x14ac:dyDescent="0.25">
      <c r="C127" s="1">
        <v>0</v>
      </c>
      <c r="E127" s="2"/>
      <c r="M127" s="2"/>
    </row>
    <row r="128" spans="3:13" x14ac:dyDescent="0.25">
      <c r="C128" s="1">
        <v>0</v>
      </c>
      <c r="E128" s="2"/>
      <c r="M128" s="2"/>
    </row>
    <row r="129" spans="3:13" x14ac:dyDescent="0.25">
      <c r="C129" s="1">
        <v>0</v>
      </c>
      <c r="E129" s="2"/>
      <c r="M129" s="2"/>
    </row>
    <row r="130" spans="3:13" x14ac:dyDescent="0.25">
      <c r="C130" s="1">
        <v>0</v>
      </c>
      <c r="E130" s="2"/>
      <c r="M130" s="2"/>
    </row>
    <row r="131" spans="3:13" x14ac:dyDescent="0.25">
      <c r="C131" s="1">
        <v>0</v>
      </c>
      <c r="E131" s="2"/>
      <c r="M131" s="2"/>
    </row>
    <row r="132" spans="3:13" x14ac:dyDescent="0.25">
      <c r="C132" s="1">
        <v>0</v>
      </c>
      <c r="E132" s="2"/>
      <c r="M132" s="2"/>
    </row>
    <row r="133" spans="3:13" x14ac:dyDescent="0.25">
      <c r="C133" s="1">
        <v>0</v>
      </c>
      <c r="E133" s="2"/>
      <c r="M133" s="2"/>
    </row>
    <row r="134" spans="3:13" x14ac:dyDescent="0.25">
      <c r="C134" s="1">
        <v>0</v>
      </c>
      <c r="E134" s="2"/>
      <c r="M134" s="2"/>
    </row>
    <row r="135" spans="3:13" x14ac:dyDescent="0.25">
      <c r="C135" s="1">
        <v>0</v>
      </c>
      <c r="E135" s="2"/>
      <c r="M135" s="2"/>
    </row>
    <row r="136" spans="3:13" x14ac:dyDescent="0.25">
      <c r="C136" s="1">
        <v>0</v>
      </c>
      <c r="E136" s="2"/>
      <c r="M136" s="2"/>
    </row>
    <row r="137" spans="3:13" x14ac:dyDescent="0.25">
      <c r="C137" s="1">
        <v>0</v>
      </c>
      <c r="E137" s="2"/>
      <c r="M137" s="2"/>
    </row>
    <row r="138" spans="3:13" x14ac:dyDescent="0.25">
      <c r="C138" s="1">
        <v>0</v>
      </c>
      <c r="E138" s="2"/>
      <c r="M138" s="2"/>
    </row>
    <row r="139" spans="3:13" x14ac:dyDescent="0.25">
      <c r="C139" s="1">
        <v>0</v>
      </c>
      <c r="E139" s="2"/>
      <c r="M139" s="2"/>
    </row>
    <row r="140" spans="3:13" x14ac:dyDescent="0.25">
      <c r="C140" s="1">
        <v>0</v>
      </c>
      <c r="E140" s="2"/>
      <c r="M140" s="2"/>
    </row>
    <row r="141" spans="3:13" x14ac:dyDescent="0.25">
      <c r="C141" s="1">
        <v>0</v>
      </c>
      <c r="E141" s="2"/>
      <c r="M141" s="2"/>
    </row>
    <row r="142" spans="3:13" x14ac:dyDescent="0.25">
      <c r="C142" s="1">
        <v>0</v>
      </c>
      <c r="E142" s="2"/>
      <c r="M142" s="2"/>
    </row>
    <row r="143" spans="3:13" x14ac:dyDescent="0.25">
      <c r="C143" s="1">
        <v>0</v>
      </c>
      <c r="E143" s="2"/>
      <c r="M143" s="2"/>
    </row>
    <row r="144" spans="3:13" x14ac:dyDescent="0.25">
      <c r="C144" s="1">
        <v>0</v>
      </c>
      <c r="E144" s="2"/>
      <c r="M144" s="2"/>
    </row>
    <row r="145" spans="3:13" x14ac:dyDescent="0.25">
      <c r="C145" s="1">
        <v>0</v>
      </c>
      <c r="E145" s="2"/>
      <c r="M145" s="2"/>
    </row>
    <row r="146" spans="3:13" x14ac:dyDescent="0.25">
      <c r="C146" s="1">
        <v>0</v>
      </c>
      <c r="E146" s="2"/>
      <c r="M146" s="2"/>
    </row>
    <row r="147" spans="3:13" x14ac:dyDescent="0.25">
      <c r="C147" s="1">
        <v>0</v>
      </c>
      <c r="E147" s="2"/>
      <c r="M147" s="2"/>
    </row>
    <row r="148" spans="3:13" x14ac:dyDescent="0.25">
      <c r="C148" s="1">
        <v>0</v>
      </c>
      <c r="E148" s="2"/>
      <c r="M148" s="2"/>
    </row>
    <row r="149" spans="3:13" x14ac:dyDescent="0.25">
      <c r="C149" s="1">
        <v>0</v>
      </c>
      <c r="E149" s="2"/>
      <c r="M149" s="2"/>
    </row>
    <row r="150" spans="3:13" x14ac:dyDescent="0.25">
      <c r="C150" s="1">
        <v>0</v>
      </c>
      <c r="E150" s="2"/>
      <c r="M150" s="2"/>
    </row>
    <row r="151" spans="3:13" x14ac:dyDescent="0.25">
      <c r="C151" s="1"/>
      <c r="E151" s="2"/>
    </row>
    <row r="152" spans="3:13" x14ac:dyDescent="0.25">
      <c r="C152" s="1"/>
      <c r="E152" s="2"/>
    </row>
    <row r="153" spans="3:13" x14ac:dyDescent="0.25">
      <c r="C153" s="1"/>
      <c r="E153" s="2"/>
    </row>
    <row r="154" spans="3:13" x14ac:dyDescent="0.25">
      <c r="C154" s="1"/>
      <c r="E154" s="2"/>
    </row>
    <row r="155" spans="3:13" x14ac:dyDescent="0.25">
      <c r="C155" s="1"/>
      <c r="E155" s="2"/>
    </row>
    <row r="156" spans="3:13" x14ac:dyDescent="0.25">
      <c r="C156" s="1"/>
      <c r="E156" s="2"/>
    </row>
    <row r="157" spans="3:13" x14ac:dyDescent="0.25">
      <c r="C157" s="1"/>
      <c r="E157" s="2"/>
    </row>
    <row r="158" spans="3:13" x14ac:dyDescent="0.25">
      <c r="C158" s="1"/>
      <c r="E158" s="2"/>
    </row>
    <row r="159" spans="3:13" x14ac:dyDescent="0.25">
      <c r="C159" s="1"/>
      <c r="E159" s="2"/>
    </row>
    <row r="160" spans="3:13" x14ac:dyDescent="0.25">
      <c r="C160" s="1"/>
      <c r="E160" s="2"/>
    </row>
    <row r="161" spans="3:5" x14ac:dyDescent="0.25">
      <c r="C161" s="1"/>
      <c r="E161" s="2"/>
    </row>
    <row r="162" spans="3:5" x14ac:dyDescent="0.25">
      <c r="C162" s="1"/>
      <c r="E162" s="2"/>
    </row>
    <row r="163" spans="3:5" x14ac:dyDescent="0.25">
      <c r="C163" s="1"/>
      <c r="E163" s="2"/>
    </row>
    <row r="164" spans="3:5" x14ac:dyDescent="0.25">
      <c r="C164" s="1"/>
      <c r="E164" s="2"/>
    </row>
    <row r="165" spans="3:5" x14ac:dyDescent="0.25">
      <c r="C165" s="1"/>
      <c r="E165" s="2"/>
    </row>
    <row r="166" spans="3:5" x14ac:dyDescent="0.25">
      <c r="C166" s="1"/>
      <c r="E166" s="2"/>
    </row>
    <row r="167" spans="3:5" x14ac:dyDescent="0.25">
      <c r="C167" s="1"/>
      <c r="E167" s="2"/>
    </row>
    <row r="168" spans="3:5" x14ac:dyDescent="0.25">
      <c r="C168" s="1"/>
      <c r="E168" s="2"/>
    </row>
    <row r="169" spans="3:5" x14ac:dyDescent="0.25">
      <c r="C169" s="1"/>
      <c r="E169" s="2"/>
    </row>
    <row r="170" spans="3:5" x14ac:dyDescent="0.25">
      <c r="C170" s="1"/>
      <c r="E170" s="2"/>
    </row>
    <row r="171" spans="3:5" x14ac:dyDescent="0.25">
      <c r="C171" s="1"/>
      <c r="E171" s="2"/>
    </row>
    <row r="172" spans="3:5" x14ac:dyDescent="0.25">
      <c r="C172" s="1"/>
      <c r="E172" s="2"/>
    </row>
    <row r="173" spans="3:5" x14ac:dyDescent="0.25">
      <c r="C173" s="1"/>
      <c r="E173" s="2"/>
    </row>
    <row r="174" spans="3:5" x14ac:dyDescent="0.25">
      <c r="C174" s="1"/>
      <c r="E174" s="2"/>
    </row>
    <row r="175" spans="3:5" x14ac:dyDescent="0.25">
      <c r="C175" s="1"/>
      <c r="E175" s="2"/>
    </row>
    <row r="176" spans="3:5" x14ac:dyDescent="0.25">
      <c r="C176" s="1"/>
      <c r="E176" s="2"/>
    </row>
    <row r="177" spans="3:5" x14ac:dyDescent="0.25">
      <c r="C177" s="1"/>
      <c r="E177" s="2"/>
    </row>
    <row r="178" spans="3:5" x14ac:dyDescent="0.25">
      <c r="C178" s="1"/>
      <c r="E178" s="2"/>
    </row>
    <row r="179" spans="3:5" x14ac:dyDescent="0.25">
      <c r="C179" s="1"/>
      <c r="E179" s="2"/>
    </row>
    <row r="180" spans="3:5" x14ac:dyDescent="0.25">
      <c r="C180" s="1"/>
      <c r="E180" s="2"/>
    </row>
    <row r="181" spans="3:5" x14ac:dyDescent="0.25">
      <c r="C181" s="1"/>
      <c r="E181" s="2"/>
    </row>
    <row r="182" spans="3:5" x14ac:dyDescent="0.25">
      <c r="C182" s="1"/>
      <c r="E182" s="2"/>
    </row>
    <row r="183" spans="3:5" x14ac:dyDescent="0.25">
      <c r="C183" s="1"/>
      <c r="E183" s="2"/>
    </row>
    <row r="184" spans="3:5" x14ac:dyDescent="0.25">
      <c r="C184" s="1"/>
      <c r="E184" s="2"/>
    </row>
    <row r="185" spans="3:5" x14ac:dyDescent="0.25">
      <c r="C185" s="1"/>
      <c r="E185" s="2"/>
    </row>
    <row r="186" spans="3:5" x14ac:dyDescent="0.25">
      <c r="C186" s="1"/>
      <c r="E186" s="2"/>
    </row>
    <row r="187" spans="3:5" x14ac:dyDescent="0.25">
      <c r="C187" s="1"/>
      <c r="E187" s="2"/>
    </row>
    <row r="188" spans="3:5" x14ac:dyDescent="0.25">
      <c r="C188" s="1"/>
      <c r="E188" s="2"/>
    </row>
    <row r="189" spans="3:5" x14ac:dyDescent="0.25">
      <c r="C189" s="1"/>
      <c r="E189" s="2"/>
    </row>
    <row r="190" spans="3:5" x14ac:dyDescent="0.25">
      <c r="C190" s="1"/>
      <c r="E190" s="2"/>
    </row>
    <row r="191" spans="3:5" x14ac:dyDescent="0.25">
      <c r="C191" s="1"/>
      <c r="E191" s="2"/>
    </row>
    <row r="192" spans="3:5" x14ac:dyDescent="0.25">
      <c r="C192" s="1"/>
      <c r="E192" s="2"/>
    </row>
    <row r="193" spans="3:5" x14ac:dyDescent="0.25">
      <c r="C193" s="1"/>
      <c r="E193" s="2"/>
    </row>
    <row r="194" spans="3:5" x14ac:dyDescent="0.25">
      <c r="C194" s="1"/>
      <c r="E194" s="2"/>
    </row>
    <row r="195" spans="3:5" x14ac:dyDescent="0.25">
      <c r="C195" s="1"/>
      <c r="E195" s="2"/>
    </row>
    <row r="196" spans="3:5" x14ac:dyDescent="0.25">
      <c r="C196" s="1"/>
      <c r="E196" s="2"/>
    </row>
    <row r="197" spans="3:5" x14ac:dyDescent="0.25">
      <c r="C197" s="1"/>
      <c r="E197" s="2"/>
    </row>
    <row r="198" spans="3:5" x14ac:dyDescent="0.25">
      <c r="C198" s="1"/>
      <c r="E198" s="2"/>
    </row>
    <row r="199" spans="3:5" x14ac:dyDescent="0.25">
      <c r="C199" s="1"/>
      <c r="E199" s="2"/>
    </row>
    <row r="200" spans="3:5" x14ac:dyDescent="0.25">
      <c r="C200" s="1"/>
      <c r="E200" s="2"/>
    </row>
    <row r="201" spans="3:5" x14ac:dyDescent="0.25">
      <c r="C201" s="1"/>
      <c r="E201" s="2"/>
    </row>
    <row r="202" spans="3:5" x14ac:dyDescent="0.25">
      <c r="C202" s="1"/>
      <c r="E202" s="2"/>
    </row>
    <row r="203" spans="3:5" x14ac:dyDescent="0.25">
      <c r="C203" s="1"/>
      <c r="E203" s="2"/>
    </row>
    <row r="204" spans="3:5" x14ac:dyDescent="0.25">
      <c r="C204" s="1"/>
      <c r="E204" s="2"/>
    </row>
    <row r="205" spans="3:5" x14ac:dyDescent="0.25">
      <c r="C205" s="1"/>
      <c r="E205" s="2"/>
    </row>
    <row r="206" spans="3:5" x14ac:dyDescent="0.25">
      <c r="C206" s="1"/>
      <c r="E206" s="2"/>
    </row>
    <row r="207" spans="3:5" x14ac:dyDescent="0.25">
      <c r="C207" s="1"/>
      <c r="E207" s="2"/>
    </row>
    <row r="208" spans="3:5" x14ac:dyDescent="0.25">
      <c r="C208" s="1"/>
      <c r="E208" s="2"/>
    </row>
    <row r="209" spans="3:5" x14ac:dyDescent="0.25">
      <c r="C209" s="1"/>
      <c r="E209" s="2"/>
    </row>
    <row r="210" spans="3:5" x14ac:dyDescent="0.25">
      <c r="C210" s="1"/>
      <c r="E210" s="2"/>
    </row>
    <row r="211" spans="3:5" x14ac:dyDescent="0.25">
      <c r="C211" s="1"/>
      <c r="E211" s="2"/>
    </row>
    <row r="212" spans="3:5" x14ac:dyDescent="0.25">
      <c r="C212" s="1"/>
      <c r="E212" s="2"/>
    </row>
    <row r="213" spans="3:5" x14ac:dyDescent="0.25">
      <c r="C213" s="1"/>
      <c r="E213" s="2"/>
    </row>
    <row r="214" spans="3:5" x14ac:dyDescent="0.25">
      <c r="C214" s="1"/>
      <c r="E214" s="2"/>
    </row>
    <row r="215" spans="3:5" x14ac:dyDescent="0.25">
      <c r="C215" s="1"/>
      <c r="E215" s="2"/>
    </row>
    <row r="216" spans="3:5" x14ac:dyDescent="0.25">
      <c r="C216" s="1"/>
      <c r="E216" s="2"/>
    </row>
    <row r="217" spans="3:5" x14ac:dyDescent="0.25">
      <c r="C217" s="1"/>
      <c r="E217" s="2"/>
    </row>
    <row r="218" spans="3:5" x14ac:dyDescent="0.25">
      <c r="C218" s="1"/>
      <c r="E218" s="2"/>
    </row>
    <row r="219" spans="3:5" x14ac:dyDescent="0.25">
      <c r="C219" s="1"/>
      <c r="E219" s="2"/>
    </row>
    <row r="220" spans="3:5" x14ac:dyDescent="0.25">
      <c r="C220" s="1"/>
      <c r="E220" s="2"/>
    </row>
    <row r="221" spans="3:5" x14ac:dyDescent="0.25">
      <c r="C221" s="1"/>
      <c r="E221" s="2"/>
    </row>
    <row r="222" spans="3:5" x14ac:dyDescent="0.25">
      <c r="C222" s="1"/>
      <c r="E222" s="2"/>
    </row>
    <row r="223" spans="3:5" x14ac:dyDescent="0.25">
      <c r="C223" s="1"/>
      <c r="E223" s="2"/>
    </row>
    <row r="224" spans="3:5" x14ac:dyDescent="0.25">
      <c r="C224" s="1"/>
      <c r="E224" s="2"/>
    </row>
    <row r="225" spans="3:5" x14ac:dyDescent="0.25">
      <c r="C225" s="1"/>
      <c r="E225" s="2"/>
    </row>
    <row r="226" spans="3:5" x14ac:dyDescent="0.25">
      <c r="C226" s="1"/>
      <c r="E226" s="2"/>
    </row>
    <row r="227" spans="3:5" x14ac:dyDescent="0.25">
      <c r="C227" s="1"/>
      <c r="E227" s="2"/>
    </row>
    <row r="228" spans="3:5" x14ac:dyDescent="0.25">
      <c r="C228" s="1"/>
      <c r="E228" s="2"/>
    </row>
    <row r="229" spans="3:5" x14ac:dyDescent="0.25">
      <c r="C229" s="1"/>
      <c r="E229" s="2"/>
    </row>
    <row r="230" spans="3:5" x14ac:dyDescent="0.25">
      <c r="C230" s="1"/>
      <c r="E230" s="2"/>
    </row>
    <row r="231" spans="3:5" x14ac:dyDescent="0.25">
      <c r="C231" s="1"/>
      <c r="E231" s="2"/>
    </row>
    <row r="232" spans="3:5" x14ac:dyDescent="0.25">
      <c r="C232" s="1"/>
      <c r="E232" s="2"/>
    </row>
    <row r="233" spans="3:5" x14ac:dyDescent="0.25">
      <c r="C233" s="1"/>
      <c r="E233" s="2"/>
    </row>
    <row r="234" spans="3:5" x14ac:dyDescent="0.25">
      <c r="C234" s="1"/>
      <c r="E234" s="2"/>
    </row>
    <row r="235" spans="3:5" x14ac:dyDescent="0.25">
      <c r="C235" s="1"/>
      <c r="E235" s="2"/>
    </row>
    <row r="236" spans="3:5" x14ac:dyDescent="0.25">
      <c r="C236" s="1"/>
      <c r="E236" s="2"/>
    </row>
    <row r="237" spans="3:5" x14ac:dyDescent="0.25">
      <c r="C237" s="1"/>
      <c r="E237" s="2"/>
    </row>
    <row r="238" spans="3:5" x14ac:dyDescent="0.25">
      <c r="C238" s="1"/>
      <c r="E238" s="2"/>
    </row>
    <row r="239" spans="3:5" x14ac:dyDescent="0.25">
      <c r="C239" s="1"/>
      <c r="E239" s="2"/>
    </row>
    <row r="240" spans="3:5" x14ac:dyDescent="0.25">
      <c r="C240" s="1"/>
      <c r="E240" s="2"/>
    </row>
    <row r="241" spans="3:5" x14ac:dyDescent="0.25">
      <c r="C241" s="1"/>
      <c r="E241" s="2"/>
    </row>
    <row r="242" spans="3:5" x14ac:dyDescent="0.25">
      <c r="C242" s="1"/>
      <c r="E242" s="2"/>
    </row>
    <row r="243" spans="3:5" x14ac:dyDescent="0.25">
      <c r="C243" s="1"/>
      <c r="E243" s="2"/>
    </row>
    <row r="244" spans="3:5" x14ac:dyDescent="0.25">
      <c r="C244" s="1"/>
      <c r="E244" s="2"/>
    </row>
    <row r="245" spans="3:5" x14ac:dyDescent="0.25">
      <c r="C245" s="1"/>
      <c r="E245" s="2"/>
    </row>
    <row r="246" spans="3:5" x14ac:dyDescent="0.25">
      <c r="C246" s="1"/>
      <c r="E246" s="2"/>
    </row>
    <row r="247" spans="3:5" x14ac:dyDescent="0.25">
      <c r="C247" s="1"/>
      <c r="E247" s="2"/>
    </row>
    <row r="248" spans="3:5" x14ac:dyDescent="0.25">
      <c r="C248" s="1"/>
      <c r="E248" s="2"/>
    </row>
    <row r="249" spans="3:5" x14ac:dyDescent="0.25">
      <c r="C249" s="1"/>
      <c r="E249" s="2"/>
    </row>
    <row r="250" spans="3:5" x14ac:dyDescent="0.25">
      <c r="C250" s="1"/>
      <c r="E250" s="2"/>
    </row>
    <row r="251" spans="3:5" x14ac:dyDescent="0.25">
      <c r="C251" s="1"/>
      <c r="E251" s="2"/>
    </row>
    <row r="252" spans="3:5" x14ac:dyDescent="0.25">
      <c r="C252" s="1"/>
      <c r="E252" s="2"/>
    </row>
    <row r="253" spans="3:5" x14ac:dyDescent="0.25">
      <c r="C253" s="1"/>
      <c r="E253" s="2"/>
    </row>
    <row r="254" spans="3:5" x14ac:dyDescent="0.25">
      <c r="C254" s="1"/>
      <c r="E254" s="2"/>
    </row>
    <row r="255" spans="3:5" x14ac:dyDescent="0.25">
      <c r="C255" s="1"/>
      <c r="E255" s="2"/>
    </row>
    <row r="256" spans="3:5" x14ac:dyDescent="0.25">
      <c r="C256" s="1"/>
      <c r="E256" s="2"/>
    </row>
    <row r="257" spans="3:5" x14ac:dyDescent="0.25">
      <c r="C257" s="1"/>
      <c r="E257" s="2"/>
    </row>
    <row r="258" spans="3:5" x14ac:dyDescent="0.25">
      <c r="C258" s="1"/>
      <c r="E258" s="2"/>
    </row>
    <row r="259" spans="3:5" x14ac:dyDescent="0.25">
      <c r="C259" s="1"/>
      <c r="E259" s="2"/>
    </row>
    <row r="260" spans="3:5" x14ac:dyDescent="0.25">
      <c r="C260" s="1"/>
      <c r="E260" s="2"/>
    </row>
    <row r="261" spans="3:5" x14ac:dyDescent="0.25">
      <c r="C261" s="1"/>
      <c r="E261" s="2"/>
    </row>
    <row r="262" spans="3:5" x14ac:dyDescent="0.25">
      <c r="C262" s="1"/>
      <c r="E262" s="2"/>
    </row>
    <row r="263" spans="3:5" x14ac:dyDescent="0.25">
      <c r="C263" s="1"/>
      <c r="E263" s="2"/>
    </row>
    <row r="264" spans="3:5" x14ac:dyDescent="0.25">
      <c r="C264" s="1"/>
      <c r="E264" s="2"/>
    </row>
    <row r="265" spans="3:5" x14ac:dyDescent="0.25">
      <c r="C265" s="1"/>
      <c r="E265" s="2"/>
    </row>
    <row r="266" spans="3:5" x14ac:dyDescent="0.25">
      <c r="C266" s="1"/>
      <c r="E266" s="2"/>
    </row>
    <row r="267" spans="3:5" x14ac:dyDescent="0.25">
      <c r="C267" s="1"/>
      <c r="E267" s="2"/>
    </row>
    <row r="268" spans="3:5" x14ac:dyDescent="0.25">
      <c r="C268" s="1"/>
      <c r="E268" s="2"/>
    </row>
    <row r="269" spans="3:5" x14ac:dyDescent="0.25">
      <c r="C269" s="1"/>
      <c r="E269" s="2"/>
    </row>
    <row r="270" spans="3:5" x14ac:dyDescent="0.25">
      <c r="C270" s="1"/>
      <c r="E270" s="2"/>
    </row>
    <row r="271" spans="3:5" x14ac:dyDescent="0.25">
      <c r="C271" s="1"/>
      <c r="E271" s="2"/>
    </row>
    <row r="272" spans="3:5" x14ac:dyDescent="0.25">
      <c r="C272" s="1"/>
      <c r="E272" s="2"/>
    </row>
    <row r="273" spans="3:5" x14ac:dyDescent="0.25">
      <c r="C273" s="1"/>
      <c r="E273" s="2"/>
    </row>
    <row r="274" spans="3:5" x14ac:dyDescent="0.25">
      <c r="C274" s="1"/>
      <c r="E274" s="2"/>
    </row>
    <row r="275" spans="3:5" x14ac:dyDescent="0.25">
      <c r="C275" s="1"/>
      <c r="E275" s="2"/>
    </row>
    <row r="276" spans="3:5" x14ac:dyDescent="0.25">
      <c r="C276" s="1"/>
      <c r="E276" s="2"/>
    </row>
    <row r="277" spans="3:5" x14ac:dyDescent="0.25">
      <c r="C277" s="1"/>
      <c r="E277" s="2"/>
    </row>
    <row r="278" spans="3:5" x14ac:dyDescent="0.25">
      <c r="C278" s="1"/>
      <c r="E278" s="2"/>
    </row>
    <row r="279" spans="3:5" x14ac:dyDescent="0.25">
      <c r="C279" s="1"/>
      <c r="E279" s="2"/>
    </row>
    <row r="280" spans="3:5" x14ac:dyDescent="0.25">
      <c r="C280" s="1"/>
      <c r="E280" s="2"/>
    </row>
    <row r="281" spans="3:5" x14ac:dyDescent="0.25">
      <c r="C281" s="1"/>
      <c r="E281" s="2"/>
    </row>
    <row r="282" spans="3:5" x14ac:dyDescent="0.25">
      <c r="C282" s="1"/>
      <c r="E282" s="2"/>
    </row>
    <row r="283" spans="3:5" x14ac:dyDescent="0.25">
      <c r="C283" s="1"/>
      <c r="E283" s="2"/>
    </row>
    <row r="284" spans="3:5" x14ac:dyDescent="0.25">
      <c r="C284" s="1"/>
      <c r="E284" s="2"/>
    </row>
    <row r="285" spans="3:5" x14ac:dyDescent="0.25">
      <c r="C285" s="1"/>
      <c r="E285" s="2"/>
    </row>
    <row r="286" spans="3:5" x14ac:dyDescent="0.25">
      <c r="C286" s="1"/>
      <c r="E286" s="2"/>
    </row>
    <row r="287" spans="3:5" x14ac:dyDescent="0.25">
      <c r="C287" s="1"/>
      <c r="E287" s="2"/>
    </row>
    <row r="288" spans="3:5" x14ac:dyDescent="0.25">
      <c r="C288" s="1"/>
      <c r="E288" s="2"/>
    </row>
    <row r="289" spans="3:5" x14ac:dyDescent="0.25">
      <c r="C289" s="1"/>
      <c r="E289" s="2"/>
    </row>
    <row r="290" spans="3:5" x14ac:dyDescent="0.25">
      <c r="C290" s="1"/>
      <c r="E290" s="2"/>
    </row>
    <row r="291" spans="3:5" x14ac:dyDescent="0.25">
      <c r="C291" s="1"/>
      <c r="E291" s="2"/>
    </row>
    <row r="292" spans="3:5" x14ac:dyDescent="0.25">
      <c r="C292" s="1"/>
      <c r="E292" s="2"/>
    </row>
    <row r="293" spans="3:5" x14ac:dyDescent="0.25">
      <c r="C293" s="1"/>
      <c r="E293" s="2"/>
    </row>
    <row r="294" spans="3:5" x14ac:dyDescent="0.25">
      <c r="C294" s="1"/>
      <c r="E294" s="2"/>
    </row>
    <row r="295" spans="3:5" x14ac:dyDescent="0.25">
      <c r="C295" s="1"/>
      <c r="E295" s="2"/>
    </row>
    <row r="296" spans="3:5" x14ac:dyDescent="0.25">
      <c r="C296" s="1"/>
      <c r="E296" s="2"/>
    </row>
    <row r="297" spans="3:5" x14ac:dyDescent="0.25">
      <c r="C297" s="1"/>
      <c r="E297" s="2"/>
    </row>
    <row r="298" spans="3:5" x14ac:dyDescent="0.25">
      <c r="C298" s="1"/>
      <c r="E298" s="2"/>
    </row>
    <row r="299" spans="3:5" x14ac:dyDescent="0.25">
      <c r="C299" s="1"/>
      <c r="E299" s="2"/>
    </row>
    <row r="300" spans="3:5" x14ac:dyDescent="0.25">
      <c r="C300" s="1"/>
      <c r="E300" s="2"/>
    </row>
    <row r="301" spans="3:5" x14ac:dyDescent="0.25">
      <c r="C301" s="1"/>
      <c r="E301" s="2"/>
    </row>
    <row r="302" spans="3:5" x14ac:dyDescent="0.25">
      <c r="C302" s="1"/>
      <c r="E302" s="2"/>
    </row>
    <row r="303" spans="3:5" x14ac:dyDescent="0.25">
      <c r="C303" s="1"/>
      <c r="E303" s="2"/>
    </row>
    <row r="304" spans="3:5" x14ac:dyDescent="0.25">
      <c r="C304" s="1"/>
      <c r="E304" s="2"/>
    </row>
    <row r="305" spans="3:5" x14ac:dyDescent="0.25">
      <c r="C305" s="1"/>
      <c r="E305" s="2"/>
    </row>
    <row r="306" spans="3:5" x14ac:dyDescent="0.25">
      <c r="C306" s="1"/>
      <c r="E306" s="2"/>
    </row>
    <row r="307" spans="3:5" x14ac:dyDescent="0.25">
      <c r="C307" s="1"/>
      <c r="E307" s="2"/>
    </row>
    <row r="308" spans="3:5" x14ac:dyDescent="0.25">
      <c r="C308" s="1"/>
      <c r="E308" s="2"/>
    </row>
    <row r="309" spans="3:5" x14ac:dyDescent="0.25">
      <c r="C309" s="1"/>
      <c r="E309" s="2"/>
    </row>
    <row r="310" spans="3:5" x14ac:dyDescent="0.25">
      <c r="C310" s="1"/>
      <c r="E310" s="2"/>
    </row>
    <row r="311" spans="3:5" x14ac:dyDescent="0.25">
      <c r="C311" s="1"/>
      <c r="E311" s="2"/>
    </row>
    <row r="312" spans="3:5" x14ac:dyDescent="0.25">
      <c r="C312" s="1"/>
      <c r="E312" s="2"/>
    </row>
    <row r="313" spans="3:5" x14ac:dyDescent="0.25">
      <c r="C313" s="1"/>
      <c r="E313" s="2"/>
    </row>
    <row r="314" spans="3:5" x14ac:dyDescent="0.25">
      <c r="C314" s="1"/>
      <c r="E314" s="2"/>
    </row>
    <row r="315" spans="3:5" x14ac:dyDescent="0.25">
      <c r="C315" s="1"/>
      <c r="E315" s="2"/>
    </row>
    <row r="316" spans="3:5" x14ac:dyDescent="0.25">
      <c r="C316" s="1"/>
      <c r="E316" s="2"/>
    </row>
    <row r="317" spans="3:5" x14ac:dyDescent="0.25">
      <c r="C317" s="1"/>
      <c r="E317" s="2"/>
    </row>
    <row r="318" spans="3:5" x14ac:dyDescent="0.25">
      <c r="C318" s="1"/>
      <c r="E318" s="2"/>
    </row>
    <row r="319" spans="3:5" x14ac:dyDescent="0.25">
      <c r="C319" s="1"/>
      <c r="E319" s="2"/>
    </row>
    <row r="320" spans="3:5" x14ac:dyDescent="0.25">
      <c r="C320" s="1"/>
      <c r="E320" s="2"/>
    </row>
    <row r="321" spans="3:5" x14ac:dyDescent="0.25">
      <c r="C321" s="1"/>
      <c r="E321" s="2"/>
    </row>
    <row r="322" spans="3:5" x14ac:dyDescent="0.25">
      <c r="C322" s="1"/>
      <c r="E322" s="2"/>
    </row>
    <row r="323" spans="3:5" x14ac:dyDescent="0.25">
      <c r="C323" s="1"/>
      <c r="E323" s="2"/>
    </row>
    <row r="324" spans="3:5" x14ac:dyDescent="0.25">
      <c r="C324" s="1"/>
      <c r="E324" s="2"/>
    </row>
    <row r="325" spans="3:5" x14ac:dyDescent="0.25">
      <c r="C325" s="1"/>
      <c r="E325" s="2"/>
    </row>
    <row r="326" spans="3:5" x14ac:dyDescent="0.25">
      <c r="C326" s="1"/>
      <c r="E326" s="2"/>
    </row>
    <row r="327" spans="3:5" x14ac:dyDescent="0.25">
      <c r="C327" s="1"/>
      <c r="E327" s="2"/>
    </row>
    <row r="328" spans="3:5" x14ac:dyDescent="0.25">
      <c r="C328" s="1"/>
      <c r="E328" s="2"/>
    </row>
    <row r="329" spans="3:5" x14ac:dyDescent="0.25">
      <c r="C329" s="1"/>
      <c r="E329" s="2"/>
    </row>
    <row r="330" spans="3:5" x14ac:dyDescent="0.25">
      <c r="C330" s="1"/>
      <c r="E330" s="2"/>
    </row>
    <row r="331" spans="3:5" x14ac:dyDescent="0.25">
      <c r="C331" s="1"/>
      <c r="E331" s="2"/>
    </row>
    <row r="332" spans="3:5" x14ac:dyDescent="0.25">
      <c r="C332" s="1"/>
      <c r="E332" s="2"/>
    </row>
    <row r="333" spans="3:5" x14ac:dyDescent="0.25">
      <c r="C333" s="1"/>
      <c r="E333" s="2"/>
    </row>
    <row r="334" spans="3:5" x14ac:dyDescent="0.25">
      <c r="C334" s="1"/>
      <c r="E334" s="2"/>
    </row>
    <row r="335" spans="3:5" x14ac:dyDescent="0.25">
      <c r="C335" s="1"/>
      <c r="E335" s="2"/>
    </row>
    <row r="336" spans="3:5" x14ac:dyDescent="0.25">
      <c r="C336" s="1"/>
      <c r="E336" s="2"/>
    </row>
    <row r="337" spans="3:5" x14ac:dyDescent="0.25">
      <c r="C337" s="1"/>
      <c r="E337" s="2"/>
    </row>
    <row r="338" spans="3:5" x14ac:dyDescent="0.25">
      <c r="C338" s="1"/>
      <c r="E338" s="2"/>
    </row>
    <row r="339" spans="3:5" x14ac:dyDescent="0.25">
      <c r="C339" s="1"/>
      <c r="E339" s="2"/>
    </row>
    <row r="340" spans="3:5" x14ac:dyDescent="0.25">
      <c r="C340" s="1"/>
      <c r="E340" s="2"/>
    </row>
  </sheetData>
  <scenarios current="0">
    <scenario name="NBA Solver" count="1" user="Matt Dorris" comment="Created by Matt Dorris on 2/3/2017">
      <inputCells r="C339" val=""/>
    </scenario>
  </scenario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67"/>
  <sheetViews>
    <sheetView workbookViewId="0">
      <selection activeCell="H4" sqref="H4"/>
    </sheetView>
  </sheetViews>
  <sheetFormatPr defaultRowHeight="15" x14ac:dyDescent="0.25"/>
  <cols>
    <col min="1" max="16384" width="9.140625" style="2"/>
  </cols>
  <sheetData>
    <row r="1" spans="1:13" x14ac:dyDescent="0.25">
      <c r="A1" s="2" t="s">
        <v>32</v>
      </c>
      <c r="B1" s="2" t="s">
        <v>0</v>
      </c>
      <c r="C1" s="2" t="s">
        <v>33</v>
      </c>
      <c r="D1" s="2" t="s">
        <v>34</v>
      </c>
      <c r="E1" s="2" t="s">
        <v>35</v>
      </c>
      <c r="F1" s="2" t="s">
        <v>36</v>
      </c>
      <c r="G1" s="2" t="s">
        <v>37</v>
      </c>
      <c r="H1" s="2" t="s">
        <v>38</v>
      </c>
      <c r="I1" s="2" t="s">
        <v>1</v>
      </c>
      <c r="J1" s="2" t="s">
        <v>2</v>
      </c>
      <c r="K1" s="2" t="s">
        <v>39</v>
      </c>
      <c r="L1" s="2" t="s">
        <v>40</v>
      </c>
      <c r="M1" s="2" t="s">
        <v>41</v>
      </c>
    </row>
    <row r="2" spans="1:13" x14ac:dyDescent="0.25">
      <c r="A2" s="2" t="s">
        <v>202</v>
      </c>
      <c r="B2" s="2" t="s">
        <v>4</v>
      </c>
      <c r="C2" s="2" t="s">
        <v>203</v>
      </c>
      <c r="D2" s="2" t="s">
        <v>204</v>
      </c>
      <c r="E2" s="2" t="s">
        <v>205</v>
      </c>
      <c r="F2" s="2">
        <v>64.433334350585895</v>
      </c>
      <c r="G2" s="2">
        <v>3</v>
      </c>
      <c r="H2" s="2">
        <v>12200</v>
      </c>
      <c r="I2" s="2" t="s">
        <v>206</v>
      </c>
      <c r="J2" s="2" t="s">
        <v>59</v>
      </c>
      <c r="K2" s="2" t="s">
        <v>207</v>
      </c>
    </row>
    <row r="3" spans="1:13" x14ac:dyDescent="0.25">
      <c r="A3" s="2" t="s">
        <v>208</v>
      </c>
      <c r="B3" s="2" t="s">
        <v>7</v>
      </c>
      <c r="C3" s="2" t="s">
        <v>42</v>
      </c>
      <c r="D3" s="2" t="s">
        <v>130</v>
      </c>
      <c r="E3" s="2" t="s">
        <v>131</v>
      </c>
      <c r="F3" s="2">
        <v>47.133331298828097</v>
      </c>
      <c r="G3" s="2">
        <v>3</v>
      </c>
      <c r="H3" s="2">
        <v>11300</v>
      </c>
      <c r="I3" s="2" t="s">
        <v>209</v>
      </c>
      <c r="J3" s="2" t="s">
        <v>132</v>
      </c>
      <c r="K3" s="2" t="s">
        <v>60</v>
      </c>
    </row>
    <row r="4" spans="1:13" x14ac:dyDescent="0.25">
      <c r="A4" s="2" t="s">
        <v>210</v>
      </c>
      <c r="B4" s="2" t="s">
        <v>3</v>
      </c>
      <c r="C4" s="2" t="s">
        <v>73</v>
      </c>
      <c r="D4" s="2" t="s">
        <v>133</v>
      </c>
      <c r="E4" s="2" t="s">
        <v>134</v>
      </c>
      <c r="F4" s="2">
        <v>47.799999237060497</v>
      </c>
      <c r="G4" s="2">
        <v>2</v>
      </c>
      <c r="H4" s="2">
        <v>10300</v>
      </c>
      <c r="I4" s="2" t="s">
        <v>211</v>
      </c>
      <c r="J4" s="2" t="s">
        <v>135</v>
      </c>
      <c r="K4" s="2" t="s">
        <v>212</v>
      </c>
    </row>
    <row r="5" spans="1:13" x14ac:dyDescent="0.25">
      <c r="A5" s="2" t="s">
        <v>213</v>
      </c>
      <c r="B5" s="2" t="s">
        <v>5</v>
      </c>
      <c r="C5" s="2" t="s">
        <v>43</v>
      </c>
      <c r="D5" s="2" t="s">
        <v>214</v>
      </c>
      <c r="E5" s="2" t="s">
        <v>215</v>
      </c>
      <c r="F5" s="2">
        <v>49.733332316080698</v>
      </c>
      <c r="G5" s="2">
        <v>3</v>
      </c>
      <c r="H5" s="2">
        <v>10200</v>
      </c>
      <c r="I5" s="2" t="s">
        <v>216</v>
      </c>
      <c r="J5" s="2" t="s">
        <v>217</v>
      </c>
      <c r="K5" s="2" t="s">
        <v>218</v>
      </c>
    </row>
    <row r="6" spans="1:13" x14ac:dyDescent="0.25">
      <c r="A6" s="2" t="s">
        <v>219</v>
      </c>
      <c r="B6" s="2" t="s">
        <v>6</v>
      </c>
      <c r="C6" s="2" t="s">
        <v>220</v>
      </c>
      <c r="D6" s="2" t="s">
        <v>221</v>
      </c>
      <c r="E6" s="2" t="s">
        <v>222</v>
      </c>
      <c r="F6" s="2">
        <v>55.900001525878899</v>
      </c>
      <c r="G6" s="2">
        <v>1</v>
      </c>
      <c r="H6" s="2">
        <v>9400</v>
      </c>
      <c r="I6" s="2" t="s">
        <v>223</v>
      </c>
      <c r="J6" s="2" t="s">
        <v>224</v>
      </c>
      <c r="K6" s="2" t="s">
        <v>225</v>
      </c>
      <c r="L6" s="2" t="s">
        <v>226</v>
      </c>
      <c r="M6" s="2" t="s">
        <v>45</v>
      </c>
    </row>
    <row r="7" spans="1:13" x14ac:dyDescent="0.25">
      <c r="A7" s="2" t="s">
        <v>227</v>
      </c>
      <c r="B7" s="2" t="s">
        <v>3</v>
      </c>
      <c r="C7" s="2" t="s">
        <v>228</v>
      </c>
      <c r="D7" s="2" t="s">
        <v>229</v>
      </c>
      <c r="E7" s="2" t="s">
        <v>230</v>
      </c>
      <c r="F7" s="2">
        <v>41.433334350585902</v>
      </c>
      <c r="G7" s="2">
        <v>3</v>
      </c>
      <c r="H7" s="2">
        <v>9200</v>
      </c>
      <c r="I7" s="2" t="s">
        <v>216</v>
      </c>
      <c r="J7" s="2" t="s">
        <v>217</v>
      </c>
      <c r="K7" s="2" t="s">
        <v>218</v>
      </c>
    </row>
    <row r="8" spans="1:13" x14ac:dyDescent="0.25">
      <c r="A8" s="2" t="s">
        <v>231</v>
      </c>
      <c r="B8" s="2" t="s">
        <v>4</v>
      </c>
      <c r="C8" s="2" t="s">
        <v>77</v>
      </c>
      <c r="D8" s="2" t="s">
        <v>70</v>
      </c>
      <c r="E8" s="2" t="s">
        <v>78</v>
      </c>
      <c r="F8" s="2">
        <v>49.25</v>
      </c>
      <c r="G8" s="2">
        <v>2</v>
      </c>
      <c r="H8" s="2">
        <v>8800</v>
      </c>
      <c r="I8" s="2" t="s">
        <v>232</v>
      </c>
      <c r="J8" s="2" t="s">
        <v>72</v>
      </c>
      <c r="K8" s="2" t="s">
        <v>62</v>
      </c>
    </row>
    <row r="9" spans="1:13" x14ac:dyDescent="0.25">
      <c r="A9" s="2" t="s">
        <v>233</v>
      </c>
      <c r="B9" s="2" t="s">
        <v>6</v>
      </c>
      <c r="C9" s="2" t="s">
        <v>234</v>
      </c>
      <c r="D9" s="2" t="s">
        <v>235</v>
      </c>
      <c r="E9" s="2" t="s">
        <v>76</v>
      </c>
      <c r="F9" s="2">
        <v>48</v>
      </c>
      <c r="G9" s="2">
        <v>2</v>
      </c>
      <c r="H9" s="2">
        <v>8700</v>
      </c>
      <c r="I9" s="2" t="s">
        <v>209</v>
      </c>
      <c r="J9" s="2" t="s">
        <v>60</v>
      </c>
      <c r="K9" s="2" t="s">
        <v>132</v>
      </c>
    </row>
    <row r="10" spans="1:13" x14ac:dyDescent="0.25">
      <c r="A10" s="2" t="s">
        <v>236</v>
      </c>
      <c r="B10" s="2" t="s">
        <v>3</v>
      </c>
      <c r="C10" s="2" t="s">
        <v>195</v>
      </c>
      <c r="D10" s="2" t="s">
        <v>237</v>
      </c>
      <c r="E10" s="2" t="s">
        <v>238</v>
      </c>
      <c r="F10" s="2">
        <v>38.099998474121001</v>
      </c>
      <c r="G10" s="2">
        <v>1</v>
      </c>
      <c r="H10" s="2">
        <v>8700</v>
      </c>
      <c r="I10" s="2" t="s">
        <v>209</v>
      </c>
      <c r="J10" s="2" t="s">
        <v>132</v>
      </c>
      <c r="K10" s="2" t="s">
        <v>60</v>
      </c>
      <c r="L10" s="2" t="s">
        <v>44</v>
      </c>
      <c r="M10" s="2" t="s">
        <v>45</v>
      </c>
    </row>
    <row r="11" spans="1:13" x14ac:dyDescent="0.25">
      <c r="A11" s="2" t="s">
        <v>239</v>
      </c>
      <c r="B11" s="2" t="s">
        <v>5</v>
      </c>
      <c r="C11" s="2" t="s">
        <v>74</v>
      </c>
      <c r="D11" s="2" t="s">
        <v>67</v>
      </c>
      <c r="E11" s="2" t="s">
        <v>75</v>
      </c>
      <c r="F11" s="2">
        <v>43.297297297297298</v>
      </c>
      <c r="G11" s="2">
        <v>74</v>
      </c>
      <c r="H11" s="2">
        <v>8600</v>
      </c>
      <c r="I11" s="2" t="s">
        <v>232</v>
      </c>
      <c r="J11" s="2" t="s">
        <v>72</v>
      </c>
      <c r="K11" s="2" t="s">
        <v>62</v>
      </c>
      <c r="L11" s="2" t="s">
        <v>44</v>
      </c>
      <c r="M11" s="2" t="s">
        <v>240</v>
      </c>
    </row>
    <row r="12" spans="1:13" x14ac:dyDescent="0.25">
      <c r="A12" s="2" t="s">
        <v>241</v>
      </c>
      <c r="B12" s="2" t="s">
        <v>6</v>
      </c>
      <c r="C12" s="2" t="s">
        <v>242</v>
      </c>
      <c r="D12" s="2" t="s">
        <v>243</v>
      </c>
      <c r="E12" s="2" t="s">
        <v>244</v>
      </c>
      <c r="F12" s="2">
        <v>25.350000381469702</v>
      </c>
      <c r="G12" s="2">
        <v>2</v>
      </c>
      <c r="H12" s="2">
        <v>8600</v>
      </c>
      <c r="I12" s="2" t="s">
        <v>211</v>
      </c>
      <c r="J12" s="2" t="s">
        <v>212</v>
      </c>
      <c r="K12" s="2" t="s">
        <v>135</v>
      </c>
    </row>
    <row r="13" spans="1:13" x14ac:dyDescent="0.25">
      <c r="A13" s="2" t="s">
        <v>245</v>
      </c>
      <c r="B13" s="2" t="s">
        <v>6</v>
      </c>
      <c r="C13" s="2" t="s">
        <v>96</v>
      </c>
      <c r="D13" s="2" t="s">
        <v>246</v>
      </c>
      <c r="E13" s="2" t="s">
        <v>247</v>
      </c>
      <c r="F13" s="2">
        <v>37.700000762939403</v>
      </c>
      <c r="G13" s="2">
        <v>2</v>
      </c>
      <c r="H13" s="2">
        <v>8500</v>
      </c>
      <c r="I13" s="2" t="s">
        <v>248</v>
      </c>
      <c r="J13" s="2" t="s">
        <v>249</v>
      </c>
      <c r="K13" s="2" t="s">
        <v>250</v>
      </c>
      <c r="L13" s="2" t="s">
        <v>226</v>
      </c>
      <c r="M13" s="2" t="s">
        <v>251</v>
      </c>
    </row>
    <row r="14" spans="1:13" x14ac:dyDescent="0.25">
      <c r="A14" s="2" t="s">
        <v>252</v>
      </c>
      <c r="B14" s="2" t="s">
        <v>6</v>
      </c>
      <c r="C14" s="2" t="s">
        <v>253</v>
      </c>
      <c r="D14" s="2" t="s">
        <v>254</v>
      </c>
      <c r="E14" s="2" t="s">
        <v>255</v>
      </c>
      <c r="F14" s="2">
        <v>34.966667175292898</v>
      </c>
      <c r="G14" s="2">
        <v>3</v>
      </c>
      <c r="H14" s="2">
        <v>8300</v>
      </c>
      <c r="I14" s="2" t="s">
        <v>248</v>
      </c>
      <c r="J14" s="2" t="s">
        <v>250</v>
      </c>
      <c r="K14" s="2" t="s">
        <v>249</v>
      </c>
    </row>
    <row r="15" spans="1:13" x14ac:dyDescent="0.25">
      <c r="A15" s="2" t="s">
        <v>256</v>
      </c>
      <c r="B15" s="2" t="s">
        <v>3</v>
      </c>
      <c r="C15" s="2" t="s">
        <v>257</v>
      </c>
      <c r="D15" s="2" t="s">
        <v>258</v>
      </c>
      <c r="E15" s="2" t="s">
        <v>259</v>
      </c>
      <c r="F15" s="2">
        <v>39.600001017252602</v>
      </c>
      <c r="G15" s="2">
        <v>3</v>
      </c>
      <c r="H15" s="2">
        <v>8300</v>
      </c>
      <c r="I15" s="2" t="s">
        <v>223</v>
      </c>
      <c r="J15" s="2" t="s">
        <v>225</v>
      </c>
      <c r="K15" s="2" t="s">
        <v>224</v>
      </c>
      <c r="L15" s="2" t="s">
        <v>226</v>
      </c>
      <c r="M15" s="2" t="s">
        <v>260</v>
      </c>
    </row>
    <row r="16" spans="1:13" x14ac:dyDescent="0.25">
      <c r="A16" s="2" t="s">
        <v>261</v>
      </c>
      <c r="B16" s="2" t="s">
        <v>3</v>
      </c>
      <c r="C16" s="2" t="s">
        <v>262</v>
      </c>
      <c r="D16" s="2" t="s">
        <v>263</v>
      </c>
      <c r="E16" s="2" t="s">
        <v>264</v>
      </c>
      <c r="F16" s="2">
        <v>38.25</v>
      </c>
      <c r="G16" s="2">
        <v>2</v>
      </c>
      <c r="H16" s="2">
        <v>8200</v>
      </c>
      <c r="I16" s="2" t="s">
        <v>206</v>
      </c>
      <c r="J16" s="2" t="s">
        <v>207</v>
      </c>
      <c r="K16" s="2" t="s">
        <v>59</v>
      </c>
    </row>
    <row r="17" spans="1:13" x14ac:dyDescent="0.25">
      <c r="A17" s="2" t="s">
        <v>265</v>
      </c>
      <c r="B17" s="2" t="s">
        <v>7</v>
      </c>
      <c r="C17" s="2" t="s">
        <v>266</v>
      </c>
      <c r="D17" s="2" t="s">
        <v>267</v>
      </c>
      <c r="E17" s="2" t="s">
        <v>268</v>
      </c>
      <c r="F17" s="2">
        <v>33.400001525878899</v>
      </c>
      <c r="G17" s="2">
        <v>2</v>
      </c>
      <c r="H17" s="2">
        <v>8200</v>
      </c>
      <c r="I17" s="2" t="s">
        <v>232</v>
      </c>
      <c r="J17" s="2" t="s">
        <v>62</v>
      </c>
      <c r="K17" s="2" t="s">
        <v>72</v>
      </c>
      <c r="L17" s="2" t="s">
        <v>226</v>
      </c>
      <c r="M17" s="2" t="s">
        <v>269</v>
      </c>
    </row>
    <row r="18" spans="1:13" x14ac:dyDescent="0.25">
      <c r="A18" s="2" t="s">
        <v>270</v>
      </c>
      <c r="B18" s="2" t="s">
        <v>4</v>
      </c>
      <c r="C18" s="2" t="s">
        <v>271</v>
      </c>
      <c r="D18" s="2" t="s">
        <v>272</v>
      </c>
      <c r="E18" s="2" t="s">
        <v>122</v>
      </c>
      <c r="F18" s="2">
        <v>38.399998982747398</v>
      </c>
      <c r="G18" s="2">
        <v>3</v>
      </c>
      <c r="H18" s="2">
        <v>8000</v>
      </c>
      <c r="I18" s="2" t="s">
        <v>248</v>
      </c>
      <c r="J18" s="2" t="s">
        <v>249</v>
      </c>
      <c r="K18" s="2" t="s">
        <v>250</v>
      </c>
    </row>
    <row r="19" spans="1:13" x14ac:dyDescent="0.25">
      <c r="A19" s="2" t="s">
        <v>273</v>
      </c>
      <c r="B19" s="2" t="s">
        <v>7</v>
      </c>
      <c r="C19" s="2" t="s">
        <v>137</v>
      </c>
      <c r="D19" s="2" t="s">
        <v>138</v>
      </c>
      <c r="E19" s="2" t="s">
        <v>139</v>
      </c>
      <c r="F19" s="2">
        <v>45.5</v>
      </c>
      <c r="G19" s="2">
        <v>2</v>
      </c>
      <c r="H19" s="2">
        <v>8000</v>
      </c>
      <c r="I19" s="2" t="s">
        <v>211</v>
      </c>
      <c r="J19" s="2" t="s">
        <v>135</v>
      </c>
      <c r="K19" s="2" t="s">
        <v>212</v>
      </c>
    </row>
    <row r="20" spans="1:13" x14ac:dyDescent="0.25">
      <c r="A20" s="2" t="s">
        <v>274</v>
      </c>
      <c r="B20" s="2" t="s">
        <v>3</v>
      </c>
      <c r="C20" s="2" t="s">
        <v>275</v>
      </c>
      <c r="D20" s="2" t="s">
        <v>276</v>
      </c>
      <c r="E20" s="2" t="s">
        <v>277</v>
      </c>
      <c r="F20" s="2">
        <v>32.200000762939403</v>
      </c>
      <c r="G20" s="2">
        <v>2</v>
      </c>
      <c r="H20" s="2">
        <v>7900</v>
      </c>
      <c r="I20" s="2" t="s">
        <v>209</v>
      </c>
      <c r="J20" s="2" t="s">
        <v>60</v>
      </c>
      <c r="K20" s="2" t="s">
        <v>132</v>
      </c>
    </row>
    <row r="21" spans="1:13" x14ac:dyDescent="0.25">
      <c r="A21" s="2" t="s">
        <v>278</v>
      </c>
      <c r="B21" s="2" t="s">
        <v>4</v>
      </c>
      <c r="C21" s="2" t="s">
        <v>238</v>
      </c>
      <c r="D21" s="2" t="s">
        <v>279</v>
      </c>
      <c r="E21" s="2" t="s">
        <v>280</v>
      </c>
      <c r="F21" s="2">
        <v>27.25</v>
      </c>
      <c r="G21" s="2">
        <v>2</v>
      </c>
      <c r="H21" s="2">
        <v>7800</v>
      </c>
      <c r="I21" s="2" t="s">
        <v>211</v>
      </c>
      <c r="J21" s="2" t="s">
        <v>212</v>
      </c>
      <c r="K21" s="2" t="s">
        <v>135</v>
      </c>
    </row>
    <row r="22" spans="1:13" x14ac:dyDescent="0.25">
      <c r="A22" s="2" t="s">
        <v>281</v>
      </c>
      <c r="B22" s="2" t="s">
        <v>3</v>
      </c>
      <c r="C22" s="2" t="s">
        <v>48</v>
      </c>
      <c r="D22" s="2" t="s">
        <v>282</v>
      </c>
      <c r="E22" s="2" t="s">
        <v>283</v>
      </c>
      <c r="F22" s="2">
        <v>29.399999618530199</v>
      </c>
      <c r="G22" s="2">
        <v>2</v>
      </c>
      <c r="H22" s="2">
        <v>7700</v>
      </c>
      <c r="I22" s="2" t="s">
        <v>232</v>
      </c>
      <c r="J22" s="2" t="s">
        <v>62</v>
      </c>
      <c r="K22" s="2" t="s">
        <v>72</v>
      </c>
    </row>
    <row r="23" spans="1:13" x14ac:dyDescent="0.25">
      <c r="A23" s="2" t="s">
        <v>284</v>
      </c>
      <c r="B23" s="2" t="s">
        <v>4</v>
      </c>
      <c r="C23" s="2" t="s">
        <v>285</v>
      </c>
      <c r="D23" s="2" t="s">
        <v>286</v>
      </c>
      <c r="E23" s="2" t="s">
        <v>87</v>
      </c>
      <c r="F23" s="2">
        <v>31.533332824706999</v>
      </c>
      <c r="G23" s="2">
        <v>3</v>
      </c>
      <c r="H23" s="2">
        <v>7700</v>
      </c>
      <c r="I23" s="2" t="s">
        <v>216</v>
      </c>
      <c r="J23" s="2" t="s">
        <v>217</v>
      </c>
      <c r="K23" s="2" t="s">
        <v>218</v>
      </c>
    </row>
    <row r="24" spans="1:13" x14ac:dyDescent="0.25">
      <c r="A24" s="2" t="s">
        <v>287</v>
      </c>
      <c r="B24" s="2" t="s">
        <v>6</v>
      </c>
      <c r="C24" s="2" t="s">
        <v>288</v>
      </c>
      <c r="D24" s="2" t="s">
        <v>289</v>
      </c>
      <c r="E24" s="2" t="s">
        <v>290</v>
      </c>
      <c r="F24" s="2">
        <v>35.25</v>
      </c>
      <c r="G24" s="2">
        <v>2</v>
      </c>
      <c r="H24" s="2">
        <v>7400</v>
      </c>
      <c r="I24" s="2" t="s">
        <v>206</v>
      </c>
      <c r="J24" s="2" t="s">
        <v>207</v>
      </c>
      <c r="K24" s="2" t="s">
        <v>59</v>
      </c>
    </row>
    <row r="25" spans="1:13" x14ac:dyDescent="0.25">
      <c r="A25" s="2" t="s">
        <v>291</v>
      </c>
      <c r="B25" s="2" t="s">
        <v>3</v>
      </c>
      <c r="C25" s="2" t="s">
        <v>156</v>
      </c>
      <c r="D25" s="2" t="s">
        <v>292</v>
      </c>
      <c r="E25" s="2" t="s">
        <v>293</v>
      </c>
      <c r="F25" s="2">
        <v>25.633333841959601</v>
      </c>
      <c r="G25" s="2">
        <v>3</v>
      </c>
      <c r="H25" s="2">
        <v>7200</v>
      </c>
      <c r="I25" s="2" t="s">
        <v>294</v>
      </c>
      <c r="J25" s="2" t="s">
        <v>295</v>
      </c>
      <c r="K25" s="2" t="s">
        <v>296</v>
      </c>
    </row>
    <row r="26" spans="1:13" x14ac:dyDescent="0.25">
      <c r="A26" s="2" t="s">
        <v>297</v>
      </c>
      <c r="B26" s="2" t="s">
        <v>7</v>
      </c>
      <c r="C26" s="2" t="s">
        <v>298</v>
      </c>
      <c r="D26" s="2" t="s">
        <v>299</v>
      </c>
      <c r="E26" s="2" t="s">
        <v>300</v>
      </c>
      <c r="F26" s="2">
        <v>33</v>
      </c>
      <c r="G26" s="2">
        <v>3</v>
      </c>
      <c r="H26" s="2">
        <v>7200</v>
      </c>
      <c r="I26" s="2" t="s">
        <v>294</v>
      </c>
      <c r="J26" s="2" t="s">
        <v>295</v>
      </c>
      <c r="K26" s="2" t="s">
        <v>296</v>
      </c>
    </row>
    <row r="27" spans="1:13" x14ac:dyDescent="0.25">
      <c r="A27" s="2" t="s">
        <v>301</v>
      </c>
      <c r="B27" s="2" t="s">
        <v>7</v>
      </c>
      <c r="C27" s="2" t="s">
        <v>302</v>
      </c>
      <c r="D27" s="2" t="s">
        <v>303</v>
      </c>
      <c r="E27" s="2" t="s">
        <v>304</v>
      </c>
      <c r="F27" s="2">
        <v>33.966667175292898</v>
      </c>
      <c r="G27" s="2">
        <v>3</v>
      </c>
      <c r="H27" s="2">
        <v>7200</v>
      </c>
      <c r="I27" s="2" t="s">
        <v>216</v>
      </c>
      <c r="J27" s="2" t="s">
        <v>217</v>
      </c>
      <c r="K27" s="2" t="s">
        <v>218</v>
      </c>
    </row>
    <row r="28" spans="1:13" x14ac:dyDescent="0.25">
      <c r="A28" s="2" t="s">
        <v>305</v>
      </c>
      <c r="B28" s="2" t="s">
        <v>3</v>
      </c>
      <c r="C28" s="2" t="s">
        <v>306</v>
      </c>
      <c r="D28" s="2" t="s">
        <v>307</v>
      </c>
      <c r="E28" s="2" t="s">
        <v>308</v>
      </c>
      <c r="F28" s="2">
        <v>33.25</v>
      </c>
      <c r="G28" s="2">
        <v>2</v>
      </c>
      <c r="H28" s="2">
        <v>7100</v>
      </c>
      <c r="I28" s="2" t="s">
        <v>223</v>
      </c>
      <c r="J28" s="2" t="s">
        <v>224</v>
      </c>
      <c r="K28" s="2" t="s">
        <v>225</v>
      </c>
    </row>
    <row r="29" spans="1:13" x14ac:dyDescent="0.25">
      <c r="A29" s="2" t="s">
        <v>309</v>
      </c>
      <c r="B29" s="2" t="s">
        <v>6</v>
      </c>
      <c r="C29" s="2" t="s">
        <v>140</v>
      </c>
      <c r="D29" s="2" t="s">
        <v>141</v>
      </c>
      <c r="E29" s="2" t="s">
        <v>142</v>
      </c>
      <c r="F29" s="2">
        <v>34.233332316080698</v>
      </c>
      <c r="G29" s="2">
        <v>3</v>
      </c>
      <c r="H29" s="2">
        <v>7000</v>
      </c>
      <c r="I29" s="2" t="s">
        <v>209</v>
      </c>
      <c r="J29" s="2" t="s">
        <v>132</v>
      </c>
      <c r="K29" s="2" t="s">
        <v>60</v>
      </c>
    </row>
    <row r="30" spans="1:13" x14ac:dyDescent="0.25">
      <c r="A30" s="2" t="s">
        <v>310</v>
      </c>
      <c r="B30" s="2" t="s">
        <v>4</v>
      </c>
      <c r="C30" s="2" t="s">
        <v>151</v>
      </c>
      <c r="D30" s="2" t="s">
        <v>311</v>
      </c>
      <c r="E30" s="2" t="s">
        <v>312</v>
      </c>
      <c r="F30" s="2">
        <v>44.450000762939403</v>
      </c>
      <c r="G30" s="2">
        <v>2</v>
      </c>
      <c r="H30" s="2">
        <v>6900</v>
      </c>
      <c r="I30" s="2" t="s">
        <v>211</v>
      </c>
      <c r="J30" s="2" t="s">
        <v>135</v>
      </c>
      <c r="K30" s="2" t="s">
        <v>212</v>
      </c>
    </row>
    <row r="31" spans="1:13" x14ac:dyDescent="0.25">
      <c r="A31" s="2" t="s">
        <v>313</v>
      </c>
      <c r="B31" s="2" t="s">
        <v>5</v>
      </c>
      <c r="C31" s="2" t="s">
        <v>314</v>
      </c>
      <c r="D31" s="2" t="s">
        <v>315</v>
      </c>
      <c r="E31" s="2" t="s">
        <v>316</v>
      </c>
      <c r="F31" s="2">
        <v>26.533332824706999</v>
      </c>
      <c r="G31" s="2">
        <v>3</v>
      </c>
      <c r="H31" s="2">
        <v>6900</v>
      </c>
      <c r="I31" s="2" t="s">
        <v>206</v>
      </c>
      <c r="J31" s="2" t="s">
        <v>59</v>
      </c>
      <c r="K31" s="2" t="s">
        <v>207</v>
      </c>
    </row>
    <row r="32" spans="1:13" x14ac:dyDescent="0.25">
      <c r="A32" s="2" t="s">
        <v>317</v>
      </c>
      <c r="B32" s="2" t="s">
        <v>5</v>
      </c>
      <c r="C32" s="2" t="s">
        <v>318</v>
      </c>
      <c r="D32" s="2" t="s">
        <v>319</v>
      </c>
      <c r="E32" s="2" t="s">
        <v>320</v>
      </c>
      <c r="F32" s="2">
        <v>35.100001017252602</v>
      </c>
      <c r="G32" s="2">
        <v>3</v>
      </c>
      <c r="H32" s="2">
        <v>6800</v>
      </c>
      <c r="I32" s="2" t="s">
        <v>248</v>
      </c>
      <c r="J32" s="2" t="s">
        <v>250</v>
      </c>
      <c r="K32" s="2" t="s">
        <v>249</v>
      </c>
    </row>
    <row r="33" spans="1:13" x14ac:dyDescent="0.25">
      <c r="A33" s="2" t="s">
        <v>321</v>
      </c>
      <c r="B33" s="2" t="s">
        <v>3</v>
      </c>
      <c r="C33" s="2" t="s">
        <v>322</v>
      </c>
      <c r="D33" s="2" t="s">
        <v>323</v>
      </c>
      <c r="E33" s="2" t="s">
        <v>190</v>
      </c>
      <c r="F33" s="2">
        <v>35.800000508626297</v>
      </c>
      <c r="G33" s="2">
        <v>3</v>
      </c>
      <c r="H33" s="2">
        <v>6800</v>
      </c>
      <c r="I33" s="2" t="s">
        <v>248</v>
      </c>
      <c r="J33" s="2" t="s">
        <v>250</v>
      </c>
      <c r="K33" s="2" t="s">
        <v>249</v>
      </c>
    </row>
    <row r="34" spans="1:13" x14ac:dyDescent="0.25">
      <c r="A34" s="2" t="s">
        <v>324</v>
      </c>
      <c r="B34" s="2" t="s">
        <v>3</v>
      </c>
      <c r="C34" s="2" t="s">
        <v>257</v>
      </c>
      <c r="D34" s="2" t="s">
        <v>325</v>
      </c>
      <c r="E34" s="2" t="s">
        <v>326</v>
      </c>
      <c r="F34" s="2">
        <v>31.600000381469702</v>
      </c>
      <c r="G34" s="2">
        <v>1</v>
      </c>
      <c r="H34" s="2">
        <v>6500</v>
      </c>
      <c r="I34" s="2" t="s">
        <v>216</v>
      </c>
      <c r="J34" s="2" t="s">
        <v>218</v>
      </c>
      <c r="K34" s="2" t="s">
        <v>217</v>
      </c>
      <c r="L34" s="2" t="s">
        <v>226</v>
      </c>
      <c r="M34" s="2" t="s">
        <v>45</v>
      </c>
    </row>
    <row r="35" spans="1:13" x14ac:dyDescent="0.25">
      <c r="A35" s="2" t="s">
        <v>327</v>
      </c>
      <c r="B35" s="2" t="s">
        <v>7</v>
      </c>
      <c r="C35" s="2" t="s">
        <v>115</v>
      </c>
      <c r="D35" s="2" t="s">
        <v>328</v>
      </c>
      <c r="E35" s="2" t="s">
        <v>329</v>
      </c>
      <c r="F35" s="2">
        <v>33.457142223011303</v>
      </c>
      <c r="G35" s="2">
        <v>77</v>
      </c>
      <c r="H35" s="2">
        <v>6400</v>
      </c>
      <c r="I35" s="2" t="s">
        <v>206</v>
      </c>
      <c r="J35" s="2" t="s">
        <v>207</v>
      </c>
      <c r="K35" s="2" t="s">
        <v>59</v>
      </c>
      <c r="L35" s="2" t="s">
        <v>44</v>
      </c>
      <c r="M35" s="2" t="s">
        <v>330</v>
      </c>
    </row>
    <row r="36" spans="1:13" x14ac:dyDescent="0.25">
      <c r="A36" s="2" t="s">
        <v>331</v>
      </c>
      <c r="B36" s="2" t="s">
        <v>7</v>
      </c>
      <c r="C36" s="2" t="s">
        <v>332</v>
      </c>
      <c r="D36" s="2" t="s">
        <v>333</v>
      </c>
      <c r="E36" s="2" t="s">
        <v>334</v>
      </c>
      <c r="F36" s="2">
        <v>29.100000381469702</v>
      </c>
      <c r="G36" s="2">
        <v>2</v>
      </c>
      <c r="H36" s="2">
        <v>6400</v>
      </c>
      <c r="I36" s="2" t="s">
        <v>223</v>
      </c>
      <c r="J36" s="2" t="s">
        <v>224</v>
      </c>
      <c r="K36" s="2" t="s">
        <v>225</v>
      </c>
    </row>
    <row r="37" spans="1:13" x14ac:dyDescent="0.25">
      <c r="A37" s="2" t="s">
        <v>335</v>
      </c>
      <c r="B37" s="2" t="s">
        <v>3</v>
      </c>
      <c r="C37" s="2" t="s">
        <v>336</v>
      </c>
      <c r="D37" s="2" t="s">
        <v>337</v>
      </c>
      <c r="E37" s="2" t="s">
        <v>338</v>
      </c>
      <c r="F37" s="2">
        <v>27.100001017252598</v>
      </c>
      <c r="G37" s="2">
        <v>3</v>
      </c>
      <c r="H37" s="2">
        <v>6300</v>
      </c>
      <c r="I37" s="2" t="s">
        <v>206</v>
      </c>
      <c r="J37" s="2" t="s">
        <v>59</v>
      </c>
      <c r="K37" s="2" t="s">
        <v>207</v>
      </c>
    </row>
    <row r="38" spans="1:13" x14ac:dyDescent="0.25">
      <c r="A38" s="2" t="s">
        <v>339</v>
      </c>
      <c r="B38" s="2" t="s">
        <v>6</v>
      </c>
      <c r="C38" s="2" t="s">
        <v>56</v>
      </c>
      <c r="D38" s="2" t="s">
        <v>340</v>
      </c>
      <c r="E38" s="2" t="s">
        <v>341</v>
      </c>
      <c r="F38" s="2">
        <v>29.399999618530199</v>
      </c>
      <c r="G38" s="2">
        <v>2</v>
      </c>
      <c r="H38" s="2">
        <v>6200</v>
      </c>
      <c r="I38" s="2" t="s">
        <v>232</v>
      </c>
      <c r="J38" s="2" t="s">
        <v>62</v>
      </c>
      <c r="K38" s="2" t="s">
        <v>72</v>
      </c>
      <c r="L38" s="2" t="s">
        <v>44</v>
      </c>
      <c r="M38" s="2" t="s">
        <v>260</v>
      </c>
    </row>
    <row r="39" spans="1:13" x14ac:dyDescent="0.25">
      <c r="A39" s="2" t="s">
        <v>342</v>
      </c>
      <c r="B39" s="2" t="s">
        <v>4</v>
      </c>
      <c r="C39" s="2" t="s">
        <v>343</v>
      </c>
      <c r="D39" s="2" t="s">
        <v>344</v>
      </c>
      <c r="E39" s="2" t="s">
        <v>345</v>
      </c>
      <c r="F39" s="2">
        <v>26.899999618530199</v>
      </c>
      <c r="G39" s="2">
        <v>2</v>
      </c>
      <c r="H39" s="2">
        <v>6200</v>
      </c>
      <c r="I39" s="2" t="s">
        <v>232</v>
      </c>
      <c r="J39" s="2" t="s">
        <v>62</v>
      </c>
      <c r="K39" s="2" t="s">
        <v>72</v>
      </c>
    </row>
    <row r="40" spans="1:13" x14ac:dyDescent="0.25">
      <c r="A40" s="2" t="s">
        <v>346</v>
      </c>
      <c r="B40" s="2" t="s">
        <v>7</v>
      </c>
      <c r="C40" s="2" t="s">
        <v>156</v>
      </c>
      <c r="D40" s="2" t="s">
        <v>157</v>
      </c>
      <c r="E40" s="2" t="s">
        <v>158</v>
      </c>
      <c r="F40" s="2">
        <v>28.733332316080698</v>
      </c>
      <c r="G40" s="2">
        <v>3</v>
      </c>
      <c r="H40" s="2">
        <v>6200</v>
      </c>
      <c r="I40" s="2" t="s">
        <v>209</v>
      </c>
      <c r="J40" s="2" t="s">
        <v>132</v>
      </c>
      <c r="K40" s="2" t="s">
        <v>60</v>
      </c>
    </row>
    <row r="41" spans="1:13" x14ac:dyDescent="0.25">
      <c r="A41" s="2" t="s">
        <v>347</v>
      </c>
      <c r="B41" s="2" t="s">
        <v>5</v>
      </c>
      <c r="C41" s="2" t="s">
        <v>348</v>
      </c>
      <c r="D41" s="2" t="s">
        <v>349</v>
      </c>
      <c r="E41" s="2" t="s">
        <v>350</v>
      </c>
      <c r="F41" s="2">
        <v>26.733332316080698</v>
      </c>
      <c r="G41" s="2">
        <v>3</v>
      </c>
      <c r="H41" s="2">
        <v>6100</v>
      </c>
      <c r="I41" s="2" t="s">
        <v>216</v>
      </c>
      <c r="J41" s="2" t="s">
        <v>218</v>
      </c>
      <c r="K41" s="2" t="s">
        <v>217</v>
      </c>
    </row>
    <row r="42" spans="1:13" x14ac:dyDescent="0.25">
      <c r="A42" s="2" t="s">
        <v>351</v>
      </c>
      <c r="B42" s="2" t="s">
        <v>6</v>
      </c>
      <c r="C42" s="2" t="s">
        <v>152</v>
      </c>
      <c r="D42" s="2" t="s">
        <v>153</v>
      </c>
      <c r="E42" s="2" t="s">
        <v>154</v>
      </c>
      <c r="F42" s="2">
        <v>35.599998474121001</v>
      </c>
      <c r="G42" s="2">
        <v>2</v>
      </c>
      <c r="H42" s="2">
        <v>6100</v>
      </c>
      <c r="I42" s="2" t="s">
        <v>211</v>
      </c>
      <c r="J42" s="2" t="s">
        <v>135</v>
      </c>
      <c r="K42" s="2" t="s">
        <v>212</v>
      </c>
    </row>
    <row r="43" spans="1:13" x14ac:dyDescent="0.25">
      <c r="A43" s="2" t="s">
        <v>352</v>
      </c>
      <c r="B43" s="2" t="s">
        <v>4</v>
      </c>
      <c r="C43" s="2" t="s">
        <v>148</v>
      </c>
      <c r="D43" s="2" t="s">
        <v>149</v>
      </c>
      <c r="E43" s="2" t="s">
        <v>150</v>
      </c>
      <c r="F43" s="2">
        <v>27.455264442845301</v>
      </c>
      <c r="G43" s="2">
        <v>76</v>
      </c>
      <c r="H43" s="2">
        <v>6000</v>
      </c>
      <c r="I43" s="2" t="s">
        <v>211</v>
      </c>
      <c r="J43" s="2" t="s">
        <v>135</v>
      </c>
      <c r="K43" s="2" t="s">
        <v>212</v>
      </c>
      <c r="L43" s="2" t="s">
        <v>44</v>
      </c>
      <c r="M43" s="2" t="s">
        <v>353</v>
      </c>
    </row>
    <row r="44" spans="1:13" x14ac:dyDescent="0.25">
      <c r="A44" s="2" t="s">
        <v>354</v>
      </c>
      <c r="B44" s="2" t="s">
        <v>6</v>
      </c>
      <c r="C44" s="2" t="s">
        <v>79</v>
      </c>
      <c r="D44" s="2" t="s">
        <v>80</v>
      </c>
      <c r="E44" s="2" t="s">
        <v>76</v>
      </c>
      <c r="F44" s="2">
        <v>25.399999618530199</v>
      </c>
      <c r="G44" s="2">
        <v>2</v>
      </c>
      <c r="H44" s="2">
        <v>6000</v>
      </c>
      <c r="I44" s="2" t="s">
        <v>232</v>
      </c>
      <c r="J44" s="2" t="s">
        <v>72</v>
      </c>
      <c r="K44" s="2" t="s">
        <v>62</v>
      </c>
    </row>
    <row r="45" spans="1:13" x14ac:dyDescent="0.25">
      <c r="A45" s="2" t="s">
        <v>355</v>
      </c>
      <c r="B45" s="2" t="s">
        <v>7</v>
      </c>
      <c r="C45" s="2" t="s">
        <v>356</v>
      </c>
      <c r="D45" s="2" t="s">
        <v>357</v>
      </c>
      <c r="E45" s="2" t="s">
        <v>358</v>
      </c>
      <c r="F45" s="2">
        <v>31.850000381469702</v>
      </c>
      <c r="G45" s="2">
        <v>2</v>
      </c>
      <c r="H45" s="2">
        <v>6000</v>
      </c>
      <c r="I45" s="2" t="s">
        <v>211</v>
      </c>
      <c r="J45" s="2" t="s">
        <v>212</v>
      </c>
      <c r="K45" s="2" t="s">
        <v>135</v>
      </c>
    </row>
    <row r="46" spans="1:13" x14ac:dyDescent="0.25">
      <c r="A46" s="2" t="s">
        <v>359</v>
      </c>
      <c r="B46" s="2" t="s">
        <v>4</v>
      </c>
      <c r="C46" s="2" t="s">
        <v>42</v>
      </c>
      <c r="D46" s="2" t="s">
        <v>360</v>
      </c>
      <c r="E46" s="2" t="s">
        <v>171</v>
      </c>
      <c r="F46" s="2">
        <v>37.299999237060497</v>
      </c>
      <c r="G46" s="2">
        <v>2</v>
      </c>
      <c r="H46" s="2">
        <v>5900</v>
      </c>
      <c r="I46" s="2" t="s">
        <v>223</v>
      </c>
      <c r="J46" s="2" t="s">
        <v>224</v>
      </c>
      <c r="K46" s="2" t="s">
        <v>225</v>
      </c>
    </row>
    <row r="47" spans="1:13" x14ac:dyDescent="0.25">
      <c r="A47" s="2" t="s">
        <v>361</v>
      </c>
      <c r="B47" s="2" t="s">
        <v>5</v>
      </c>
      <c r="C47" s="2" t="s">
        <v>362</v>
      </c>
      <c r="D47" s="2" t="s">
        <v>363</v>
      </c>
      <c r="E47" s="2" t="s">
        <v>364</v>
      </c>
      <c r="F47" s="2">
        <v>24.300000508626301</v>
      </c>
      <c r="G47" s="2">
        <v>3</v>
      </c>
      <c r="H47" s="2">
        <v>5800</v>
      </c>
      <c r="I47" s="2" t="s">
        <v>248</v>
      </c>
      <c r="J47" s="2" t="s">
        <v>249</v>
      </c>
      <c r="K47" s="2" t="s">
        <v>250</v>
      </c>
    </row>
    <row r="48" spans="1:13" x14ac:dyDescent="0.25">
      <c r="A48" s="2" t="s">
        <v>365</v>
      </c>
      <c r="B48" s="2" t="s">
        <v>6</v>
      </c>
      <c r="C48" s="2" t="s">
        <v>366</v>
      </c>
      <c r="D48" s="2" t="s">
        <v>367</v>
      </c>
      <c r="E48" s="2" t="s">
        <v>368</v>
      </c>
      <c r="F48" s="2">
        <v>27.766667683919199</v>
      </c>
      <c r="G48" s="2">
        <v>3</v>
      </c>
      <c r="H48" s="2">
        <v>5800</v>
      </c>
      <c r="I48" s="2" t="s">
        <v>294</v>
      </c>
      <c r="J48" s="2" t="s">
        <v>296</v>
      </c>
      <c r="K48" s="2" t="s">
        <v>295</v>
      </c>
    </row>
    <row r="49" spans="1:13" x14ac:dyDescent="0.25">
      <c r="A49" s="2" t="s">
        <v>369</v>
      </c>
      <c r="B49" s="2" t="s">
        <v>5</v>
      </c>
      <c r="C49" s="2" t="s">
        <v>370</v>
      </c>
      <c r="D49" s="2" t="s">
        <v>371</v>
      </c>
      <c r="E49" s="2" t="s">
        <v>372</v>
      </c>
      <c r="F49" s="2">
        <v>22</v>
      </c>
      <c r="G49" s="2">
        <v>2</v>
      </c>
      <c r="H49" s="2">
        <v>5800</v>
      </c>
      <c r="I49" s="2" t="s">
        <v>223</v>
      </c>
      <c r="J49" s="2" t="s">
        <v>224</v>
      </c>
      <c r="K49" s="2" t="s">
        <v>225</v>
      </c>
    </row>
    <row r="50" spans="1:13" x14ac:dyDescent="0.25">
      <c r="A50" s="2" t="s">
        <v>373</v>
      </c>
      <c r="B50" s="2" t="s">
        <v>5</v>
      </c>
      <c r="C50" s="2" t="s">
        <v>374</v>
      </c>
      <c r="D50" s="2" t="s">
        <v>375</v>
      </c>
      <c r="E50" s="2" t="s">
        <v>88</v>
      </c>
      <c r="F50" s="2">
        <v>24.149999618530199</v>
      </c>
      <c r="G50" s="2">
        <v>2</v>
      </c>
      <c r="H50" s="2">
        <v>5700</v>
      </c>
      <c r="I50" s="2" t="s">
        <v>211</v>
      </c>
      <c r="J50" s="2" t="s">
        <v>212</v>
      </c>
      <c r="K50" s="2" t="s">
        <v>135</v>
      </c>
    </row>
    <row r="51" spans="1:13" x14ac:dyDescent="0.25">
      <c r="A51" s="2" t="s">
        <v>376</v>
      </c>
      <c r="B51" s="2" t="s">
        <v>7</v>
      </c>
      <c r="C51" s="2" t="s">
        <v>377</v>
      </c>
      <c r="D51" s="2" t="s">
        <v>378</v>
      </c>
      <c r="E51" s="2" t="s">
        <v>320</v>
      </c>
      <c r="F51" s="2">
        <v>22.5</v>
      </c>
      <c r="G51" s="2">
        <v>2</v>
      </c>
      <c r="H51" s="2">
        <v>5700</v>
      </c>
      <c r="I51" s="2" t="s">
        <v>211</v>
      </c>
      <c r="J51" s="2" t="s">
        <v>212</v>
      </c>
      <c r="K51" s="2" t="s">
        <v>135</v>
      </c>
    </row>
    <row r="52" spans="1:13" x14ac:dyDescent="0.25">
      <c r="A52" s="2" t="s">
        <v>379</v>
      </c>
      <c r="B52" s="2" t="s">
        <v>5</v>
      </c>
      <c r="C52" s="2" t="s">
        <v>380</v>
      </c>
      <c r="D52" s="2" t="s">
        <v>381</v>
      </c>
      <c r="E52" s="2" t="s">
        <v>382</v>
      </c>
      <c r="F52" s="2">
        <v>23.6666666666666</v>
      </c>
      <c r="G52" s="2">
        <v>3</v>
      </c>
      <c r="H52" s="2">
        <v>5600</v>
      </c>
      <c r="I52" s="2" t="s">
        <v>294</v>
      </c>
      <c r="J52" s="2" t="s">
        <v>295</v>
      </c>
      <c r="K52" s="2" t="s">
        <v>296</v>
      </c>
    </row>
    <row r="53" spans="1:13" x14ac:dyDescent="0.25">
      <c r="A53" s="2" t="s">
        <v>383</v>
      </c>
      <c r="B53" s="2" t="s">
        <v>5</v>
      </c>
      <c r="C53" s="2" t="s">
        <v>384</v>
      </c>
      <c r="D53" s="2" t="s">
        <v>385</v>
      </c>
      <c r="E53" s="2" t="s">
        <v>386</v>
      </c>
      <c r="F53" s="2">
        <v>24.814814814814799</v>
      </c>
      <c r="G53" s="2">
        <v>81</v>
      </c>
      <c r="H53" s="2">
        <v>5600</v>
      </c>
      <c r="I53" s="2" t="s">
        <v>206</v>
      </c>
      <c r="J53" s="2" t="s">
        <v>207</v>
      </c>
      <c r="K53" s="2" t="s">
        <v>59</v>
      </c>
      <c r="L53" s="2" t="s">
        <v>44</v>
      </c>
      <c r="M53" s="2" t="s">
        <v>387</v>
      </c>
    </row>
    <row r="54" spans="1:13" x14ac:dyDescent="0.25">
      <c r="A54" s="2" t="s">
        <v>388</v>
      </c>
      <c r="B54" s="2" t="s">
        <v>3</v>
      </c>
      <c r="C54" s="2" t="s">
        <v>389</v>
      </c>
      <c r="D54" s="2" t="s">
        <v>390</v>
      </c>
      <c r="E54" s="2" t="s">
        <v>391</v>
      </c>
      <c r="F54" s="2">
        <v>17.866666158040299</v>
      </c>
      <c r="G54" s="2">
        <v>3</v>
      </c>
      <c r="H54" s="2">
        <v>5600</v>
      </c>
      <c r="I54" s="2" t="s">
        <v>294</v>
      </c>
      <c r="J54" s="2" t="s">
        <v>296</v>
      </c>
      <c r="K54" s="2" t="s">
        <v>295</v>
      </c>
    </row>
    <row r="55" spans="1:13" x14ac:dyDescent="0.25">
      <c r="A55" s="2" t="s">
        <v>392</v>
      </c>
      <c r="B55" s="2" t="s">
        <v>7</v>
      </c>
      <c r="C55" s="2" t="s">
        <v>143</v>
      </c>
      <c r="D55" s="2" t="s">
        <v>144</v>
      </c>
      <c r="E55" s="2" t="s">
        <v>137</v>
      </c>
      <c r="F55" s="2">
        <v>19.599999745686802</v>
      </c>
      <c r="G55" s="2">
        <v>3</v>
      </c>
      <c r="H55" s="2">
        <v>5500</v>
      </c>
      <c r="I55" s="2" t="s">
        <v>248</v>
      </c>
      <c r="J55" s="2" t="s">
        <v>250</v>
      </c>
      <c r="K55" s="2" t="s">
        <v>249</v>
      </c>
    </row>
    <row r="56" spans="1:13" x14ac:dyDescent="0.25">
      <c r="A56" s="2" t="s">
        <v>393</v>
      </c>
      <c r="B56" s="2" t="s">
        <v>7</v>
      </c>
      <c r="C56" s="2" t="s">
        <v>394</v>
      </c>
      <c r="D56" s="2" t="s">
        <v>395</v>
      </c>
      <c r="E56" s="2" t="s">
        <v>396</v>
      </c>
      <c r="F56" s="2">
        <v>24.399999618530199</v>
      </c>
      <c r="G56" s="2">
        <v>2</v>
      </c>
      <c r="H56" s="2">
        <v>5500</v>
      </c>
      <c r="I56" s="2" t="s">
        <v>206</v>
      </c>
      <c r="J56" s="2" t="s">
        <v>207</v>
      </c>
      <c r="K56" s="2" t="s">
        <v>59</v>
      </c>
    </row>
    <row r="57" spans="1:13" x14ac:dyDescent="0.25">
      <c r="A57" s="2" t="s">
        <v>397</v>
      </c>
      <c r="B57" s="2" t="s">
        <v>5</v>
      </c>
      <c r="C57" s="2" t="s">
        <v>145</v>
      </c>
      <c r="D57" s="2" t="s">
        <v>146</v>
      </c>
      <c r="E57" s="2" t="s">
        <v>147</v>
      </c>
      <c r="F57" s="2">
        <v>21.133333841959601</v>
      </c>
      <c r="G57" s="2">
        <v>3</v>
      </c>
      <c r="H57" s="2">
        <v>5500</v>
      </c>
      <c r="I57" s="2" t="s">
        <v>209</v>
      </c>
      <c r="J57" s="2" t="s">
        <v>132</v>
      </c>
      <c r="K57" s="2" t="s">
        <v>60</v>
      </c>
    </row>
    <row r="58" spans="1:13" x14ac:dyDescent="0.25">
      <c r="A58" s="2" t="s">
        <v>398</v>
      </c>
      <c r="B58" s="2" t="s">
        <v>4</v>
      </c>
      <c r="C58" s="2" t="s">
        <v>399</v>
      </c>
      <c r="D58" s="2" t="s">
        <v>400</v>
      </c>
      <c r="E58" s="2" t="s">
        <v>401</v>
      </c>
      <c r="F58" s="2">
        <v>26.25</v>
      </c>
      <c r="G58" s="2">
        <v>2</v>
      </c>
      <c r="H58" s="2">
        <v>5500</v>
      </c>
      <c r="I58" s="2" t="s">
        <v>294</v>
      </c>
      <c r="J58" s="2" t="s">
        <v>296</v>
      </c>
      <c r="K58" s="2" t="s">
        <v>295</v>
      </c>
    </row>
    <row r="59" spans="1:13" x14ac:dyDescent="0.25">
      <c r="A59" s="2" t="s">
        <v>402</v>
      </c>
      <c r="B59" s="2" t="s">
        <v>6</v>
      </c>
      <c r="C59" s="2" t="s">
        <v>82</v>
      </c>
      <c r="D59" s="2" t="s">
        <v>83</v>
      </c>
      <c r="E59" s="2" t="s">
        <v>84</v>
      </c>
      <c r="F59" s="2">
        <v>23.233332316080698</v>
      </c>
      <c r="G59" s="2">
        <v>3</v>
      </c>
      <c r="H59" s="2">
        <v>5500</v>
      </c>
      <c r="I59" s="2" t="s">
        <v>223</v>
      </c>
      <c r="J59" s="2" t="s">
        <v>225</v>
      </c>
      <c r="K59" s="2" t="s">
        <v>224</v>
      </c>
    </row>
    <row r="60" spans="1:13" x14ac:dyDescent="0.25">
      <c r="A60" s="2" t="s">
        <v>403</v>
      </c>
      <c r="B60" s="2" t="s">
        <v>5</v>
      </c>
      <c r="C60" s="2" t="s">
        <v>404</v>
      </c>
      <c r="D60" s="2" t="s">
        <v>405</v>
      </c>
      <c r="E60" s="2" t="s">
        <v>406</v>
      </c>
      <c r="F60" s="2">
        <v>21.133333841959601</v>
      </c>
      <c r="G60" s="2">
        <v>3</v>
      </c>
      <c r="H60" s="2">
        <v>5400</v>
      </c>
      <c r="I60" s="2" t="s">
        <v>223</v>
      </c>
      <c r="J60" s="2" t="s">
        <v>225</v>
      </c>
      <c r="K60" s="2" t="s">
        <v>224</v>
      </c>
    </row>
    <row r="61" spans="1:13" x14ac:dyDescent="0.25">
      <c r="A61" s="2" t="s">
        <v>407</v>
      </c>
      <c r="B61" s="2" t="s">
        <v>3</v>
      </c>
      <c r="C61" s="2" t="s">
        <v>99</v>
      </c>
      <c r="D61" s="2" t="s">
        <v>100</v>
      </c>
      <c r="E61" s="2" t="s">
        <v>101</v>
      </c>
      <c r="F61" s="2">
        <v>33</v>
      </c>
      <c r="G61" s="2">
        <v>2</v>
      </c>
      <c r="H61" s="2">
        <v>5400</v>
      </c>
      <c r="I61" s="2" t="s">
        <v>232</v>
      </c>
      <c r="J61" s="2" t="s">
        <v>72</v>
      </c>
      <c r="K61" s="2" t="s">
        <v>62</v>
      </c>
    </row>
    <row r="62" spans="1:13" x14ac:dyDescent="0.25">
      <c r="A62" s="2" t="s">
        <v>408</v>
      </c>
      <c r="B62" s="2" t="s">
        <v>3</v>
      </c>
      <c r="C62" s="2" t="s">
        <v>409</v>
      </c>
      <c r="D62" s="2" t="s">
        <v>410</v>
      </c>
      <c r="E62" s="2" t="s">
        <v>411</v>
      </c>
      <c r="F62" s="2">
        <v>23.133333841959601</v>
      </c>
      <c r="G62" s="2">
        <v>3</v>
      </c>
      <c r="H62" s="2">
        <v>5300</v>
      </c>
      <c r="I62" s="2" t="s">
        <v>216</v>
      </c>
      <c r="J62" s="2" t="s">
        <v>218</v>
      </c>
      <c r="K62" s="2" t="s">
        <v>217</v>
      </c>
    </row>
    <row r="63" spans="1:13" x14ac:dyDescent="0.25">
      <c r="A63" s="2" t="s">
        <v>412</v>
      </c>
      <c r="B63" s="2" t="s">
        <v>5</v>
      </c>
      <c r="C63" s="2" t="s">
        <v>159</v>
      </c>
      <c r="D63" s="2" t="s">
        <v>167</v>
      </c>
      <c r="E63" s="2" t="s">
        <v>168</v>
      </c>
      <c r="F63" s="2">
        <v>28</v>
      </c>
      <c r="G63" s="2">
        <v>2</v>
      </c>
      <c r="H63" s="2">
        <v>5300</v>
      </c>
      <c r="I63" s="2" t="s">
        <v>211</v>
      </c>
      <c r="J63" s="2" t="s">
        <v>135</v>
      </c>
      <c r="K63" s="2" t="s">
        <v>212</v>
      </c>
    </row>
    <row r="64" spans="1:13" x14ac:dyDescent="0.25">
      <c r="A64" s="2" t="s">
        <v>413</v>
      </c>
      <c r="B64" s="2" t="s">
        <v>4</v>
      </c>
      <c r="C64" s="2" t="s">
        <v>159</v>
      </c>
      <c r="D64" s="2" t="s">
        <v>160</v>
      </c>
      <c r="E64" s="2" t="s">
        <v>161</v>
      </c>
      <c r="F64" s="2">
        <v>28.649999618530199</v>
      </c>
      <c r="G64" s="2">
        <v>2</v>
      </c>
      <c r="H64" s="2">
        <v>5200</v>
      </c>
      <c r="I64" s="2" t="s">
        <v>223</v>
      </c>
      <c r="J64" s="2" t="s">
        <v>224</v>
      </c>
      <c r="K64" s="2" t="s">
        <v>225</v>
      </c>
    </row>
    <row r="65" spans="1:13" x14ac:dyDescent="0.25">
      <c r="A65" s="2" t="s">
        <v>414</v>
      </c>
      <c r="B65" s="2" t="s">
        <v>3</v>
      </c>
      <c r="C65" s="2" t="s">
        <v>415</v>
      </c>
      <c r="D65" s="2" t="s">
        <v>416</v>
      </c>
      <c r="E65" s="2" t="s">
        <v>417</v>
      </c>
      <c r="F65" s="2">
        <v>26.3333333333333</v>
      </c>
      <c r="G65" s="2">
        <v>3</v>
      </c>
      <c r="H65" s="2">
        <v>5200</v>
      </c>
      <c r="I65" s="2" t="s">
        <v>294</v>
      </c>
      <c r="J65" s="2" t="s">
        <v>296</v>
      </c>
      <c r="K65" s="2" t="s">
        <v>295</v>
      </c>
    </row>
    <row r="66" spans="1:13" x14ac:dyDescent="0.25">
      <c r="A66" s="2" t="s">
        <v>418</v>
      </c>
      <c r="B66" s="2" t="s">
        <v>4</v>
      </c>
      <c r="C66" s="2" t="s">
        <v>419</v>
      </c>
      <c r="D66" s="2" t="s">
        <v>420</v>
      </c>
      <c r="E66" s="2" t="s">
        <v>421</v>
      </c>
      <c r="F66" s="2">
        <v>22.75</v>
      </c>
      <c r="G66" s="2">
        <v>2</v>
      </c>
      <c r="H66" s="2">
        <v>5000</v>
      </c>
      <c r="I66" s="2" t="s">
        <v>206</v>
      </c>
      <c r="J66" s="2" t="s">
        <v>207</v>
      </c>
      <c r="K66" s="2" t="s">
        <v>59</v>
      </c>
    </row>
    <row r="67" spans="1:13" x14ac:dyDescent="0.25">
      <c r="A67" s="2" t="s">
        <v>422</v>
      </c>
      <c r="B67" s="2" t="s">
        <v>6</v>
      </c>
      <c r="C67" s="2" t="s">
        <v>423</v>
      </c>
      <c r="D67" s="2" t="s">
        <v>424</v>
      </c>
      <c r="E67" s="2" t="s">
        <v>425</v>
      </c>
      <c r="F67" s="2">
        <v>31.799999237060501</v>
      </c>
      <c r="G67" s="2">
        <v>1</v>
      </c>
      <c r="H67" s="2">
        <v>5000</v>
      </c>
      <c r="I67" s="2" t="s">
        <v>232</v>
      </c>
      <c r="J67" s="2" t="s">
        <v>62</v>
      </c>
      <c r="K67" s="2" t="s">
        <v>72</v>
      </c>
    </row>
    <row r="68" spans="1:13" x14ac:dyDescent="0.25">
      <c r="A68" s="2" t="s">
        <v>426</v>
      </c>
      <c r="B68" s="2" t="s">
        <v>6</v>
      </c>
      <c r="C68" s="2" t="s">
        <v>427</v>
      </c>
      <c r="D68" s="2" t="s">
        <v>428</v>
      </c>
      <c r="E68" s="2" t="s">
        <v>429</v>
      </c>
      <c r="F68" s="2">
        <v>25.800000508626301</v>
      </c>
      <c r="G68" s="2">
        <v>3</v>
      </c>
      <c r="H68" s="2">
        <v>5000</v>
      </c>
      <c r="I68" s="2" t="s">
        <v>216</v>
      </c>
      <c r="J68" s="2" t="s">
        <v>218</v>
      </c>
      <c r="K68" s="2" t="s">
        <v>217</v>
      </c>
    </row>
    <row r="69" spans="1:13" x14ac:dyDescent="0.25">
      <c r="A69" s="2" t="s">
        <v>430</v>
      </c>
      <c r="B69" s="2" t="s">
        <v>3</v>
      </c>
      <c r="C69" s="2" t="s">
        <v>431</v>
      </c>
      <c r="D69" s="2" t="s">
        <v>432</v>
      </c>
      <c r="E69" s="2" t="s">
        <v>433</v>
      </c>
      <c r="F69" s="2">
        <v>26.933334350585898</v>
      </c>
      <c r="G69" s="2">
        <v>3</v>
      </c>
      <c r="H69" s="2">
        <v>5000</v>
      </c>
      <c r="I69" s="2" t="s">
        <v>216</v>
      </c>
      <c r="J69" s="2" t="s">
        <v>218</v>
      </c>
      <c r="K69" s="2" t="s">
        <v>217</v>
      </c>
    </row>
    <row r="70" spans="1:13" x14ac:dyDescent="0.25">
      <c r="A70" s="2" t="s">
        <v>434</v>
      </c>
      <c r="B70" s="2" t="s">
        <v>5</v>
      </c>
      <c r="C70" s="2" t="s">
        <v>435</v>
      </c>
      <c r="D70" s="2" t="s">
        <v>436</v>
      </c>
      <c r="E70" s="2" t="s">
        <v>437</v>
      </c>
      <c r="F70" s="2">
        <v>24.049999237060501</v>
      </c>
      <c r="G70" s="2">
        <v>2</v>
      </c>
      <c r="H70" s="2">
        <v>5000</v>
      </c>
      <c r="I70" s="2" t="s">
        <v>232</v>
      </c>
      <c r="J70" s="2" t="s">
        <v>72</v>
      </c>
      <c r="K70" s="2" t="s">
        <v>62</v>
      </c>
    </row>
    <row r="71" spans="1:13" x14ac:dyDescent="0.25">
      <c r="A71" s="2" t="s">
        <v>438</v>
      </c>
      <c r="B71" s="2" t="s">
        <v>7</v>
      </c>
      <c r="C71" s="2" t="s">
        <v>439</v>
      </c>
      <c r="D71" s="2" t="s">
        <v>440</v>
      </c>
      <c r="E71" s="2" t="s">
        <v>441</v>
      </c>
      <c r="F71" s="2">
        <v>19.699999491373699</v>
      </c>
      <c r="G71" s="2">
        <v>3</v>
      </c>
      <c r="H71" s="2">
        <v>4800</v>
      </c>
      <c r="I71" s="2" t="s">
        <v>216</v>
      </c>
      <c r="J71" s="2" t="s">
        <v>218</v>
      </c>
      <c r="K71" s="2" t="s">
        <v>217</v>
      </c>
    </row>
    <row r="72" spans="1:13" x14ac:dyDescent="0.25">
      <c r="A72" s="2" t="s">
        <v>442</v>
      </c>
      <c r="B72" s="2" t="s">
        <v>7</v>
      </c>
      <c r="C72" s="2" t="s">
        <v>443</v>
      </c>
      <c r="D72" s="2" t="s">
        <v>444</v>
      </c>
      <c r="E72" s="2" t="s">
        <v>445</v>
      </c>
      <c r="F72" s="2">
        <v>22.266667683919199</v>
      </c>
      <c r="G72" s="2">
        <v>3</v>
      </c>
      <c r="H72" s="2">
        <v>4800</v>
      </c>
      <c r="I72" s="2" t="s">
        <v>294</v>
      </c>
      <c r="J72" s="2" t="s">
        <v>296</v>
      </c>
      <c r="K72" s="2" t="s">
        <v>295</v>
      </c>
    </row>
    <row r="73" spans="1:13" x14ac:dyDescent="0.25">
      <c r="A73" s="2" t="s">
        <v>446</v>
      </c>
      <c r="B73" s="2" t="s">
        <v>5</v>
      </c>
      <c r="C73" s="2" t="s">
        <v>48</v>
      </c>
      <c r="D73" s="2" t="s">
        <v>103</v>
      </c>
      <c r="E73" s="2" t="s">
        <v>102</v>
      </c>
      <c r="F73" s="2">
        <v>20.2000007629394</v>
      </c>
      <c r="G73" s="2">
        <v>2</v>
      </c>
      <c r="H73" s="2">
        <v>4800</v>
      </c>
      <c r="I73" s="2" t="s">
        <v>232</v>
      </c>
      <c r="J73" s="2" t="s">
        <v>72</v>
      </c>
      <c r="K73" s="2" t="s">
        <v>62</v>
      </c>
    </row>
    <row r="74" spans="1:13" x14ac:dyDescent="0.25">
      <c r="A74" s="2" t="s">
        <v>447</v>
      </c>
      <c r="B74" s="2" t="s">
        <v>4</v>
      </c>
      <c r="C74" s="2" t="s">
        <v>73</v>
      </c>
      <c r="D74" s="2" t="s">
        <v>448</v>
      </c>
      <c r="E74" s="2" t="s">
        <v>449</v>
      </c>
      <c r="F74" s="2">
        <v>23.8333333333333</v>
      </c>
      <c r="G74" s="2">
        <v>3</v>
      </c>
      <c r="H74" s="2">
        <v>4800</v>
      </c>
      <c r="I74" s="2" t="s">
        <v>223</v>
      </c>
      <c r="J74" s="2" t="s">
        <v>225</v>
      </c>
      <c r="K74" s="2" t="s">
        <v>224</v>
      </c>
    </row>
    <row r="75" spans="1:13" x14ac:dyDescent="0.25">
      <c r="A75" s="2" t="s">
        <v>450</v>
      </c>
      <c r="B75" s="2" t="s">
        <v>7</v>
      </c>
      <c r="C75" s="2" t="s">
        <v>451</v>
      </c>
      <c r="D75" s="2" t="s">
        <v>452</v>
      </c>
      <c r="E75" s="2" t="s">
        <v>453</v>
      </c>
      <c r="F75" s="2">
        <v>21.199999491373699</v>
      </c>
      <c r="G75" s="2">
        <v>3</v>
      </c>
      <c r="H75" s="2">
        <v>4800</v>
      </c>
      <c r="I75" s="2" t="s">
        <v>223</v>
      </c>
      <c r="J75" s="2" t="s">
        <v>225</v>
      </c>
      <c r="K75" s="2" t="s">
        <v>224</v>
      </c>
    </row>
    <row r="76" spans="1:13" x14ac:dyDescent="0.25">
      <c r="A76" s="2" t="s">
        <v>454</v>
      </c>
      <c r="B76" s="2" t="s">
        <v>6</v>
      </c>
      <c r="C76" s="2" t="s">
        <v>455</v>
      </c>
      <c r="D76" s="2" t="s">
        <v>456</v>
      </c>
      <c r="E76" s="2" t="s">
        <v>457</v>
      </c>
      <c r="F76" s="2">
        <v>21.149999618530199</v>
      </c>
      <c r="G76" s="2">
        <v>2</v>
      </c>
      <c r="H76" s="2">
        <v>4700</v>
      </c>
      <c r="I76" s="2" t="s">
        <v>294</v>
      </c>
      <c r="J76" s="2" t="s">
        <v>295</v>
      </c>
      <c r="K76" s="2" t="s">
        <v>296</v>
      </c>
    </row>
    <row r="77" spans="1:13" x14ac:dyDescent="0.25">
      <c r="A77" s="2" t="s">
        <v>458</v>
      </c>
      <c r="B77" s="2" t="s">
        <v>7</v>
      </c>
      <c r="C77" s="2" t="s">
        <v>89</v>
      </c>
      <c r="D77" s="2" t="s">
        <v>90</v>
      </c>
      <c r="E77" s="2" t="s">
        <v>87</v>
      </c>
      <c r="F77" s="2">
        <v>27.4500007629394</v>
      </c>
      <c r="G77" s="2">
        <v>2</v>
      </c>
      <c r="H77" s="2">
        <v>4600</v>
      </c>
      <c r="I77" s="2" t="s">
        <v>232</v>
      </c>
      <c r="J77" s="2" t="s">
        <v>72</v>
      </c>
      <c r="K77" s="2" t="s">
        <v>62</v>
      </c>
    </row>
    <row r="78" spans="1:13" x14ac:dyDescent="0.25">
      <c r="A78" s="2" t="s">
        <v>459</v>
      </c>
      <c r="B78" s="2" t="s">
        <v>4</v>
      </c>
      <c r="C78" s="2" t="s">
        <v>460</v>
      </c>
      <c r="D78" s="2" t="s">
        <v>461</v>
      </c>
      <c r="E78" s="2" t="s">
        <v>462</v>
      </c>
      <c r="F78" s="2">
        <v>22.766667683919199</v>
      </c>
      <c r="G78" s="2">
        <v>3</v>
      </c>
      <c r="H78" s="2">
        <v>4600</v>
      </c>
      <c r="I78" s="2" t="s">
        <v>294</v>
      </c>
      <c r="J78" s="2" t="s">
        <v>296</v>
      </c>
      <c r="K78" s="2" t="s">
        <v>295</v>
      </c>
    </row>
    <row r="79" spans="1:13" x14ac:dyDescent="0.25">
      <c r="A79" s="2" t="s">
        <v>463</v>
      </c>
      <c r="B79" s="2" t="s">
        <v>7</v>
      </c>
      <c r="C79" s="2" t="s">
        <v>464</v>
      </c>
      <c r="D79" s="2" t="s">
        <v>465</v>
      </c>
      <c r="E79" s="2" t="s">
        <v>230</v>
      </c>
      <c r="F79" s="2">
        <v>22.301428222656199</v>
      </c>
      <c r="G79" s="2">
        <v>70</v>
      </c>
      <c r="H79" s="2">
        <v>4600</v>
      </c>
      <c r="I79" s="2" t="s">
        <v>216</v>
      </c>
      <c r="J79" s="2" t="s">
        <v>218</v>
      </c>
      <c r="K79" s="2" t="s">
        <v>217</v>
      </c>
      <c r="L79" s="2" t="s">
        <v>44</v>
      </c>
      <c r="M79" s="2" t="s">
        <v>466</v>
      </c>
    </row>
    <row r="80" spans="1:13" x14ac:dyDescent="0.25">
      <c r="A80" s="2" t="s">
        <v>467</v>
      </c>
      <c r="B80" s="2" t="s">
        <v>4</v>
      </c>
      <c r="C80" s="2" t="s">
        <v>468</v>
      </c>
      <c r="D80" s="2" t="s">
        <v>469</v>
      </c>
      <c r="E80" s="2" t="s">
        <v>470</v>
      </c>
      <c r="F80" s="2">
        <v>16.8333333333333</v>
      </c>
      <c r="G80" s="2">
        <v>3</v>
      </c>
      <c r="H80" s="2">
        <v>4600</v>
      </c>
      <c r="I80" s="2" t="s">
        <v>216</v>
      </c>
      <c r="J80" s="2" t="s">
        <v>218</v>
      </c>
      <c r="K80" s="2" t="s">
        <v>217</v>
      </c>
    </row>
    <row r="81" spans="1:13" x14ac:dyDescent="0.25">
      <c r="A81" s="2" t="s">
        <v>471</v>
      </c>
      <c r="B81" s="2" t="s">
        <v>3</v>
      </c>
      <c r="C81" s="2" t="s">
        <v>65</v>
      </c>
      <c r="D81" s="2" t="s">
        <v>121</v>
      </c>
      <c r="E81" s="2" t="s">
        <v>61</v>
      </c>
      <c r="F81" s="2">
        <v>25.7000007629394</v>
      </c>
      <c r="G81" s="2">
        <v>2</v>
      </c>
      <c r="H81" s="2">
        <v>4600</v>
      </c>
      <c r="I81" s="2" t="s">
        <v>232</v>
      </c>
      <c r="J81" s="2" t="s">
        <v>62</v>
      </c>
      <c r="K81" s="2" t="s">
        <v>72</v>
      </c>
    </row>
    <row r="82" spans="1:13" x14ac:dyDescent="0.25">
      <c r="A82" s="2" t="s">
        <v>472</v>
      </c>
      <c r="B82" s="2" t="s">
        <v>5</v>
      </c>
      <c r="C82" s="2" t="s">
        <v>253</v>
      </c>
      <c r="D82" s="2" t="s">
        <v>473</v>
      </c>
      <c r="E82" s="2" t="s">
        <v>474</v>
      </c>
      <c r="F82" s="2">
        <v>17.399999618530199</v>
      </c>
      <c r="G82" s="2">
        <v>2</v>
      </c>
      <c r="H82" s="2">
        <v>4600</v>
      </c>
      <c r="I82" s="2" t="s">
        <v>216</v>
      </c>
      <c r="J82" s="2" t="s">
        <v>217</v>
      </c>
      <c r="K82" s="2" t="s">
        <v>218</v>
      </c>
    </row>
    <row r="83" spans="1:13" x14ac:dyDescent="0.25">
      <c r="A83" s="2" t="s">
        <v>475</v>
      </c>
      <c r="B83" s="2" t="s">
        <v>7</v>
      </c>
      <c r="C83" s="2" t="s">
        <v>476</v>
      </c>
      <c r="D83" s="2" t="s">
        <v>477</v>
      </c>
      <c r="E83" s="2" t="s">
        <v>478</v>
      </c>
      <c r="F83" s="2">
        <v>21.7000007629394</v>
      </c>
      <c r="G83" s="2">
        <v>2</v>
      </c>
      <c r="H83" s="2">
        <v>4600</v>
      </c>
      <c r="I83" s="2" t="s">
        <v>209</v>
      </c>
      <c r="J83" s="2" t="s">
        <v>60</v>
      </c>
      <c r="K83" s="2" t="s">
        <v>132</v>
      </c>
    </row>
    <row r="84" spans="1:13" x14ac:dyDescent="0.25">
      <c r="A84" s="2" t="s">
        <v>479</v>
      </c>
      <c r="B84" s="2" t="s">
        <v>6</v>
      </c>
      <c r="C84" s="2" t="s">
        <v>480</v>
      </c>
      <c r="D84" s="2" t="s">
        <v>481</v>
      </c>
      <c r="E84" s="2" t="s">
        <v>482</v>
      </c>
      <c r="F84" s="2">
        <v>19</v>
      </c>
      <c r="G84" s="2">
        <v>2</v>
      </c>
      <c r="H84" s="2">
        <v>4500</v>
      </c>
      <c r="I84" s="2" t="s">
        <v>232</v>
      </c>
      <c r="J84" s="2" t="s">
        <v>62</v>
      </c>
      <c r="K84" s="2" t="s">
        <v>72</v>
      </c>
    </row>
    <row r="85" spans="1:13" x14ac:dyDescent="0.25">
      <c r="A85" s="2" t="s">
        <v>483</v>
      </c>
      <c r="B85" s="2" t="s">
        <v>4</v>
      </c>
      <c r="C85" s="2" t="s">
        <v>484</v>
      </c>
      <c r="D85" s="2" t="s">
        <v>485</v>
      </c>
      <c r="E85" s="2" t="s">
        <v>486</v>
      </c>
      <c r="F85" s="2">
        <v>16.8333333333333</v>
      </c>
      <c r="G85" s="2">
        <v>3</v>
      </c>
      <c r="H85" s="2">
        <v>4500</v>
      </c>
      <c r="I85" s="2" t="s">
        <v>248</v>
      </c>
      <c r="J85" s="2" t="s">
        <v>249</v>
      </c>
      <c r="K85" s="2" t="s">
        <v>250</v>
      </c>
    </row>
    <row r="86" spans="1:13" x14ac:dyDescent="0.25">
      <c r="A86" s="2" t="s">
        <v>487</v>
      </c>
      <c r="B86" s="2" t="s">
        <v>7</v>
      </c>
      <c r="C86" s="2" t="s">
        <v>488</v>
      </c>
      <c r="D86" s="2" t="s">
        <v>489</v>
      </c>
      <c r="E86" s="2" t="s">
        <v>490</v>
      </c>
      <c r="F86" s="2">
        <v>15.3500003814697</v>
      </c>
      <c r="G86" s="2">
        <v>2</v>
      </c>
      <c r="H86" s="2">
        <v>4500</v>
      </c>
      <c r="I86" s="2" t="s">
        <v>232</v>
      </c>
      <c r="J86" s="2" t="s">
        <v>62</v>
      </c>
      <c r="K86" s="2" t="s">
        <v>72</v>
      </c>
    </row>
    <row r="87" spans="1:13" x14ac:dyDescent="0.25">
      <c r="A87" s="2" t="s">
        <v>491</v>
      </c>
      <c r="B87" s="2" t="s">
        <v>5</v>
      </c>
      <c r="C87" s="2" t="s">
        <v>370</v>
      </c>
      <c r="D87" s="2" t="s">
        <v>492</v>
      </c>
      <c r="E87" s="2" t="s">
        <v>190</v>
      </c>
      <c r="F87" s="2">
        <v>17.866666158040299</v>
      </c>
      <c r="G87" s="2">
        <v>3</v>
      </c>
      <c r="H87" s="2">
        <v>4500</v>
      </c>
      <c r="I87" s="2" t="s">
        <v>294</v>
      </c>
      <c r="J87" s="2" t="s">
        <v>295</v>
      </c>
      <c r="K87" s="2" t="s">
        <v>296</v>
      </c>
    </row>
    <row r="88" spans="1:13" x14ac:dyDescent="0.25">
      <c r="A88" s="2" t="s">
        <v>493</v>
      </c>
      <c r="B88" s="2" t="s">
        <v>7</v>
      </c>
      <c r="C88" s="2" t="s">
        <v>494</v>
      </c>
      <c r="D88" s="2" t="s">
        <v>495</v>
      </c>
      <c r="E88" s="2" t="s">
        <v>496</v>
      </c>
      <c r="F88" s="2">
        <v>21.099999745686802</v>
      </c>
      <c r="G88" s="2">
        <v>3</v>
      </c>
      <c r="H88" s="2">
        <v>4500</v>
      </c>
      <c r="I88" s="2" t="s">
        <v>248</v>
      </c>
      <c r="J88" s="2" t="s">
        <v>249</v>
      </c>
      <c r="K88" s="2" t="s">
        <v>250</v>
      </c>
    </row>
    <row r="89" spans="1:13" x14ac:dyDescent="0.25">
      <c r="A89" s="2" t="s">
        <v>497</v>
      </c>
      <c r="B89" s="2" t="s">
        <v>3</v>
      </c>
      <c r="C89" s="2" t="s">
        <v>193</v>
      </c>
      <c r="D89" s="2" t="s">
        <v>498</v>
      </c>
      <c r="E89" s="2" t="s">
        <v>171</v>
      </c>
      <c r="F89" s="2">
        <v>15.25</v>
      </c>
      <c r="G89" s="2">
        <v>2</v>
      </c>
      <c r="H89" s="2">
        <v>4400</v>
      </c>
      <c r="I89" s="2" t="s">
        <v>223</v>
      </c>
      <c r="J89" s="2" t="s">
        <v>224</v>
      </c>
      <c r="K89" s="2" t="s">
        <v>225</v>
      </c>
    </row>
    <row r="90" spans="1:13" x14ac:dyDescent="0.25">
      <c r="A90" s="2" t="s">
        <v>499</v>
      </c>
      <c r="B90" s="2" t="s">
        <v>6</v>
      </c>
      <c r="C90" s="2" t="s">
        <v>500</v>
      </c>
      <c r="D90" s="2" t="s">
        <v>501</v>
      </c>
      <c r="E90" s="2" t="s">
        <v>502</v>
      </c>
      <c r="F90" s="2">
        <v>24.799999237060501</v>
      </c>
      <c r="G90" s="2">
        <v>1</v>
      </c>
      <c r="H90" s="2">
        <v>4400</v>
      </c>
      <c r="I90" s="2" t="s">
        <v>248</v>
      </c>
      <c r="J90" s="2" t="s">
        <v>249</v>
      </c>
      <c r="K90" s="2" t="s">
        <v>250</v>
      </c>
    </row>
    <row r="91" spans="1:13" x14ac:dyDescent="0.25">
      <c r="A91" s="2" t="s">
        <v>503</v>
      </c>
      <c r="B91" s="2" t="s">
        <v>5</v>
      </c>
      <c r="C91" s="2" t="s">
        <v>504</v>
      </c>
      <c r="D91" s="2" t="s">
        <v>505</v>
      </c>
      <c r="E91" s="2" t="s">
        <v>128</v>
      </c>
      <c r="F91" s="2">
        <v>31.2000007629394</v>
      </c>
      <c r="G91" s="2">
        <v>2</v>
      </c>
      <c r="H91" s="2">
        <v>4400</v>
      </c>
      <c r="I91" s="2" t="s">
        <v>209</v>
      </c>
      <c r="J91" s="2" t="s">
        <v>60</v>
      </c>
      <c r="K91" s="2" t="s">
        <v>132</v>
      </c>
    </row>
    <row r="92" spans="1:13" x14ac:dyDescent="0.25">
      <c r="A92" s="2" t="s">
        <v>506</v>
      </c>
      <c r="B92" s="2" t="s">
        <v>5</v>
      </c>
      <c r="C92" s="2" t="s">
        <v>507</v>
      </c>
      <c r="D92" s="2" t="s">
        <v>508</v>
      </c>
      <c r="E92" s="2" t="s">
        <v>171</v>
      </c>
      <c r="F92" s="2">
        <v>19.8333333333333</v>
      </c>
      <c r="G92" s="2">
        <v>3</v>
      </c>
      <c r="H92" s="2">
        <v>4400</v>
      </c>
      <c r="I92" s="2" t="s">
        <v>248</v>
      </c>
      <c r="J92" s="2" t="s">
        <v>250</v>
      </c>
      <c r="K92" s="2" t="s">
        <v>249</v>
      </c>
    </row>
    <row r="93" spans="1:13" x14ac:dyDescent="0.25">
      <c r="A93" s="2" t="s">
        <v>509</v>
      </c>
      <c r="B93" s="2" t="s">
        <v>3</v>
      </c>
      <c r="C93" s="2" t="s">
        <v>510</v>
      </c>
      <c r="D93" s="2" t="s">
        <v>511</v>
      </c>
      <c r="E93" s="2" t="s">
        <v>512</v>
      </c>
      <c r="F93" s="2">
        <v>21.800000508626301</v>
      </c>
      <c r="G93" s="2">
        <v>3</v>
      </c>
      <c r="H93" s="2">
        <v>4300</v>
      </c>
      <c r="I93" s="2" t="s">
        <v>248</v>
      </c>
      <c r="J93" s="2" t="s">
        <v>249</v>
      </c>
      <c r="K93" s="2" t="s">
        <v>250</v>
      </c>
    </row>
    <row r="94" spans="1:13" x14ac:dyDescent="0.25">
      <c r="A94" s="2" t="s">
        <v>513</v>
      </c>
      <c r="B94" s="2" t="s">
        <v>6</v>
      </c>
      <c r="C94" s="2" t="s">
        <v>514</v>
      </c>
      <c r="D94" s="2" t="s">
        <v>515</v>
      </c>
      <c r="E94" s="2" t="s">
        <v>194</v>
      </c>
      <c r="F94" s="2">
        <v>19.799999237060501</v>
      </c>
      <c r="G94" s="2">
        <v>1</v>
      </c>
      <c r="H94" s="2">
        <v>4300</v>
      </c>
      <c r="I94" s="2" t="s">
        <v>206</v>
      </c>
      <c r="J94" s="2" t="s">
        <v>207</v>
      </c>
      <c r="K94" s="2" t="s">
        <v>59</v>
      </c>
      <c r="L94" s="2" t="s">
        <v>44</v>
      </c>
      <c r="M94" s="2" t="s">
        <v>45</v>
      </c>
    </row>
    <row r="95" spans="1:13" x14ac:dyDescent="0.25">
      <c r="A95" s="2" t="s">
        <v>516</v>
      </c>
      <c r="B95" s="2" t="s">
        <v>4</v>
      </c>
      <c r="C95" s="2" t="s">
        <v>517</v>
      </c>
      <c r="D95" s="2" t="s">
        <v>518</v>
      </c>
      <c r="E95" s="2" t="s">
        <v>519</v>
      </c>
      <c r="F95" s="2">
        <v>17.766666412353501</v>
      </c>
      <c r="G95" s="2">
        <v>3</v>
      </c>
      <c r="H95" s="2">
        <v>4300</v>
      </c>
      <c r="I95" s="2" t="s">
        <v>223</v>
      </c>
      <c r="J95" s="2" t="s">
        <v>225</v>
      </c>
      <c r="K95" s="2" t="s">
        <v>224</v>
      </c>
    </row>
    <row r="96" spans="1:13" x14ac:dyDescent="0.25">
      <c r="A96" s="2" t="s">
        <v>520</v>
      </c>
      <c r="B96" s="2" t="s">
        <v>3</v>
      </c>
      <c r="C96" s="2" t="s">
        <v>521</v>
      </c>
      <c r="D96" s="2" t="s">
        <v>522</v>
      </c>
      <c r="E96" s="2" t="s">
        <v>523</v>
      </c>
      <c r="F96" s="2">
        <v>10.2000001271565</v>
      </c>
      <c r="G96" s="2">
        <v>3</v>
      </c>
      <c r="H96" s="2">
        <v>4300</v>
      </c>
      <c r="I96" s="2" t="s">
        <v>216</v>
      </c>
      <c r="J96" s="2" t="s">
        <v>217</v>
      </c>
      <c r="K96" s="2" t="s">
        <v>218</v>
      </c>
    </row>
    <row r="97" spans="1:13" x14ac:dyDescent="0.25">
      <c r="A97" s="2" t="s">
        <v>524</v>
      </c>
      <c r="B97" s="2" t="s">
        <v>4</v>
      </c>
      <c r="C97" s="2" t="s">
        <v>163</v>
      </c>
      <c r="D97" s="2" t="s">
        <v>164</v>
      </c>
      <c r="E97" s="2" t="s">
        <v>102</v>
      </c>
      <c r="F97" s="2">
        <v>20.866666158040299</v>
      </c>
      <c r="G97" s="2">
        <v>3</v>
      </c>
      <c r="H97" s="2">
        <v>4200</v>
      </c>
      <c r="I97" s="2" t="s">
        <v>209</v>
      </c>
      <c r="J97" s="2" t="s">
        <v>132</v>
      </c>
      <c r="K97" s="2" t="s">
        <v>60</v>
      </c>
    </row>
    <row r="98" spans="1:13" x14ac:dyDescent="0.25">
      <c r="A98" s="2" t="s">
        <v>525</v>
      </c>
      <c r="B98" s="2" t="s">
        <v>4</v>
      </c>
      <c r="C98" s="2" t="s">
        <v>526</v>
      </c>
      <c r="D98" s="2" t="s">
        <v>527</v>
      </c>
      <c r="E98" s="2" t="s">
        <v>46</v>
      </c>
      <c r="F98" s="2">
        <v>9.75</v>
      </c>
      <c r="G98" s="2">
        <v>2</v>
      </c>
      <c r="H98" s="2">
        <v>4200</v>
      </c>
      <c r="I98" s="2" t="s">
        <v>206</v>
      </c>
      <c r="J98" s="2" t="s">
        <v>207</v>
      </c>
      <c r="K98" s="2" t="s">
        <v>59</v>
      </c>
    </row>
    <row r="99" spans="1:13" x14ac:dyDescent="0.25">
      <c r="A99" s="2" t="s">
        <v>528</v>
      </c>
      <c r="B99" s="2" t="s">
        <v>4</v>
      </c>
      <c r="C99" s="2" t="s">
        <v>118</v>
      </c>
      <c r="D99" s="2" t="s">
        <v>119</v>
      </c>
      <c r="E99" s="2" t="s">
        <v>120</v>
      </c>
      <c r="F99" s="2">
        <v>13.5</v>
      </c>
      <c r="G99" s="2">
        <v>2</v>
      </c>
      <c r="H99" s="2">
        <v>4200</v>
      </c>
      <c r="I99" s="2" t="s">
        <v>209</v>
      </c>
      <c r="J99" s="2" t="s">
        <v>60</v>
      </c>
      <c r="K99" s="2" t="s">
        <v>132</v>
      </c>
    </row>
    <row r="100" spans="1:13" x14ac:dyDescent="0.25">
      <c r="A100" s="2" t="s">
        <v>529</v>
      </c>
      <c r="B100" s="2" t="s">
        <v>4</v>
      </c>
      <c r="C100" s="2" t="s">
        <v>85</v>
      </c>
      <c r="D100" s="2" t="s">
        <v>86</v>
      </c>
      <c r="E100" s="2" t="s">
        <v>87</v>
      </c>
      <c r="F100" s="2">
        <v>4.6999998092651296</v>
      </c>
      <c r="G100" s="2">
        <v>1</v>
      </c>
      <c r="H100" s="2">
        <v>4100</v>
      </c>
      <c r="I100" s="2" t="s">
        <v>209</v>
      </c>
      <c r="J100" s="2" t="s">
        <v>60</v>
      </c>
      <c r="K100" s="2" t="s">
        <v>132</v>
      </c>
      <c r="L100" s="2" t="s">
        <v>44</v>
      </c>
      <c r="M100" s="2" t="s">
        <v>260</v>
      </c>
    </row>
    <row r="101" spans="1:13" x14ac:dyDescent="0.25">
      <c r="A101" s="2" t="s">
        <v>530</v>
      </c>
      <c r="B101" s="2" t="s">
        <v>6</v>
      </c>
      <c r="C101" s="2" t="s">
        <v>531</v>
      </c>
      <c r="D101" s="2" t="s">
        <v>532</v>
      </c>
      <c r="E101" s="2" t="s">
        <v>533</v>
      </c>
      <c r="F101" s="2">
        <v>10.299999872843401</v>
      </c>
      <c r="G101" s="2">
        <v>3</v>
      </c>
      <c r="H101" s="2">
        <v>4100</v>
      </c>
      <c r="I101" s="2" t="s">
        <v>206</v>
      </c>
      <c r="J101" s="2" t="s">
        <v>59</v>
      </c>
      <c r="K101" s="2" t="s">
        <v>207</v>
      </c>
    </row>
    <row r="102" spans="1:13" x14ac:dyDescent="0.25">
      <c r="A102" s="2" t="s">
        <v>534</v>
      </c>
      <c r="B102" s="2" t="s">
        <v>5</v>
      </c>
      <c r="C102" s="2" t="s">
        <v>535</v>
      </c>
      <c r="D102" s="2" t="s">
        <v>536</v>
      </c>
      <c r="E102" s="2" t="s">
        <v>537</v>
      </c>
      <c r="F102" s="2">
        <v>19</v>
      </c>
      <c r="G102" s="2">
        <v>2</v>
      </c>
      <c r="H102" s="2">
        <v>4100</v>
      </c>
      <c r="I102" s="2" t="s">
        <v>223</v>
      </c>
      <c r="J102" s="2" t="s">
        <v>224</v>
      </c>
      <c r="K102" s="2" t="s">
        <v>225</v>
      </c>
    </row>
    <row r="103" spans="1:13" x14ac:dyDescent="0.25">
      <c r="A103" s="2" t="s">
        <v>538</v>
      </c>
      <c r="B103" s="2" t="s">
        <v>5</v>
      </c>
      <c r="C103" s="2" t="s">
        <v>539</v>
      </c>
      <c r="D103" s="2" t="s">
        <v>540</v>
      </c>
      <c r="E103" s="2" t="s">
        <v>541</v>
      </c>
      <c r="F103" s="2">
        <v>18.133333841959601</v>
      </c>
      <c r="G103" s="2">
        <v>3</v>
      </c>
      <c r="H103" s="2">
        <v>4100</v>
      </c>
      <c r="I103" s="2" t="s">
        <v>209</v>
      </c>
      <c r="J103" s="2" t="s">
        <v>132</v>
      </c>
      <c r="K103" s="2" t="s">
        <v>60</v>
      </c>
    </row>
    <row r="104" spans="1:13" x14ac:dyDescent="0.25">
      <c r="A104" s="2" t="s">
        <v>542</v>
      </c>
      <c r="B104" s="2" t="s">
        <v>3</v>
      </c>
      <c r="C104" s="2" t="s">
        <v>543</v>
      </c>
      <c r="D104" s="2" t="s">
        <v>544</v>
      </c>
      <c r="E104" s="2" t="s">
        <v>101</v>
      </c>
      <c r="F104" s="2">
        <v>9.8999996185302699</v>
      </c>
      <c r="G104" s="2">
        <v>2</v>
      </c>
      <c r="H104" s="2">
        <v>4000</v>
      </c>
      <c r="I104" s="2" t="s">
        <v>211</v>
      </c>
      <c r="J104" s="2" t="s">
        <v>212</v>
      </c>
      <c r="K104" s="2" t="s">
        <v>135</v>
      </c>
    </row>
    <row r="105" spans="1:13" x14ac:dyDescent="0.25">
      <c r="A105" s="2" t="s">
        <v>545</v>
      </c>
      <c r="B105" s="2" t="s">
        <v>6</v>
      </c>
      <c r="C105" s="2" t="s">
        <v>73</v>
      </c>
      <c r="D105" s="2" t="s">
        <v>546</v>
      </c>
      <c r="E105" s="2" t="s">
        <v>547</v>
      </c>
      <c r="F105" s="2">
        <v>18.800000508626301</v>
      </c>
      <c r="G105" s="2">
        <v>3</v>
      </c>
      <c r="H105" s="2">
        <v>4000</v>
      </c>
      <c r="I105" s="2" t="s">
        <v>206</v>
      </c>
      <c r="J105" s="2" t="s">
        <v>59</v>
      </c>
      <c r="K105" s="2" t="s">
        <v>207</v>
      </c>
    </row>
    <row r="106" spans="1:13" x14ac:dyDescent="0.25">
      <c r="A106" s="2" t="s">
        <v>548</v>
      </c>
      <c r="B106" s="2" t="s">
        <v>5</v>
      </c>
      <c r="C106" s="2" t="s">
        <v>42</v>
      </c>
      <c r="D106" s="2" t="s">
        <v>549</v>
      </c>
      <c r="E106" s="2" t="s">
        <v>550</v>
      </c>
      <c r="F106" s="2">
        <v>17.25</v>
      </c>
      <c r="G106" s="2">
        <v>2</v>
      </c>
      <c r="H106" s="2">
        <v>4000</v>
      </c>
      <c r="I106" s="2" t="s">
        <v>209</v>
      </c>
      <c r="J106" s="2" t="s">
        <v>60</v>
      </c>
      <c r="K106" s="2" t="s">
        <v>132</v>
      </c>
    </row>
    <row r="107" spans="1:13" x14ac:dyDescent="0.25">
      <c r="A107" s="2" t="s">
        <v>551</v>
      </c>
      <c r="B107" s="2" t="s">
        <v>3</v>
      </c>
      <c r="C107" s="2" t="s">
        <v>552</v>
      </c>
      <c r="D107" s="2" t="s">
        <v>553</v>
      </c>
      <c r="E107" s="2" t="s">
        <v>49</v>
      </c>
      <c r="F107" s="2">
        <v>16.599999745686802</v>
      </c>
      <c r="G107" s="2">
        <v>3</v>
      </c>
      <c r="H107" s="2">
        <v>4000</v>
      </c>
      <c r="I107" s="2" t="s">
        <v>248</v>
      </c>
      <c r="J107" s="2" t="s">
        <v>250</v>
      </c>
      <c r="K107" s="2" t="s">
        <v>249</v>
      </c>
    </row>
    <row r="108" spans="1:13" x14ac:dyDescent="0.25">
      <c r="A108" s="2" t="s">
        <v>554</v>
      </c>
      <c r="B108" s="2" t="s">
        <v>6</v>
      </c>
      <c r="C108" s="2" t="s">
        <v>555</v>
      </c>
      <c r="D108" s="2" t="s">
        <v>556</v>
      </c>
      <c r="E108" s="2" t="s">
        <v>88</v>
      </c>
      <c r="F108" s="2">
        <v>19.400000254313099</v>
      </c>
      <c r="G108" s="2">
        <v>3</v>
      </c>
      <c r="H108" s="2">
        <v>4000</v>
      </c>
      <c r="I108" s="2" t="s">
        <v>294</v>
      </c>
      <c r="J108" s="2" t="s">
        <v>295</v>
      </c>
      <c r="K108" s="2" t="s">
        <v>296</v>
      </c>
    </row>
    <row r="109" spans="1:13" x14ac:dyDescent="0.25">
      <c r="A109" s="2" t="s">
        <v>557</v>
      </c>
      <c r="B109" s="2" t="s">
        <v>7</v>
      </c>
      <c r="C109" s="2" t="s">
        <v>558</v>
      </c>
      <c r="D109" s="2" t="s">
        <v>559</v>
      </c>
      <c r="E109" s="2" t="s">
        <v>560</v>
      </c>
      <c r="F109" s="2">
        <v>19.866666158040299</v>
      </c>
      <c r="G109" s="2">
        <v>3</v>
      </c>
      <c r="H109" s="2">
        <v>4000</v>
      </c>
      <c r="I109" s="2" t="s">
        <v>294</v>
      </c>
      <c r="J109" s="2" t="s">
        <v>296</v>
      </c>
      <c r="K109" s="2" t="s">
        <v>295</v>
      </c>
    </row>
    <row r="110" spans="1:13" x14ac:dyDescent="0.25">
      <c r="A110" s="2" t="s">
        <v>561</v>
      </c>
      <c r="B110" s="2" t="s">
        <v>3</v>
      </c>
      <c r="C110" s="2" t="s">
        <v>562</v>
      </c>
      <c r="D110" s="2" t="s">
        <v>563</v>
      </c>
      <c r="E110" s="2" t="s">
        <v>564</v>
      </c>
      <c r="F110" s="2">
        <v>17.049999237060501</v>
      </c>
      <c r="G110" s="2">
        <v>2</v>
      </c>
      <c r="H110" s="2">
        <v>4000</v>
      </c>
      <c r="I110" s="2" t="s">
        <v>209</v>
      </c>
      <c r="J110" s="2" t="s">
        <v>60</v>
      </c>
      <c r="K110" s="2" t="s">
        <v>132</v>
      </c>
    </row>
    <row r="111" spans="1:13" x14ac:dyDescent="0.25">
      <c r="A111" s="2" t="s">
        <v>565</v>
      </c>
      <c r="B111" s="2" t="s">
        <v>3</v>
      </c>
      <c r="C111" s="2" t="s">
        <v>566</v>
      </c>
      <c r="D111" s="2" t="s">
        <v>567</v>
      </c>
      <c r="E111" s="2" t="s">
        <v>568</v>
      </c>
      <c r="F111" s="2">
        <v>13.800000508626299</v>
      </c>
      <c r="G111" s="2">
        <v>3</v>
      </c>
      <c r="H111" s="2">
        <v>4000</v>
      </c>
      <c r="I111" s="2" t="s">
        <v>248</v>
      </c>
      <c r="J111" s="2" t="s">
        <v>249</v>
      </c>
      <c r="K111" s="2" t="s">
        <v>250</v>
      </c>
    </row>
    <row r="112" spans="1:13" x14ac:dyDescent="0.25">
      <c r="A112" s="2" t="s">
        <v>569</v>
      </c>
      <c r="B112" s="2" t="s">
        <v>3</v>
      </c>
      <c r="C112" s="2" t="s">
        <v>570</v>
      </c>
      <c r="D112" s="2" t="s">
        <v>571</v>
      </c>
      <c r="E112" s="2" t="s">
        <v>572</v>
      </c>
      <c r="F112" s="2">
        <v>17.899999618530199</v>
      </c>
      <c r="G112" s="2">
        <v>2</v>
      </c>
      <c r="H112" s="2">
        <v>3900</v>
      </c>
      <c r="I112" s="2" t="s">
        <v>211</v>
      </c>
      <c r="J112" s="2" t="s">
        <v>212</v>
      </c>
      <c r="K112" s="2" t="s">
        <v>135</v>
      </c>
    </row>
    <row r="113" spans="1:13" x14ac:dyDescent="0.25">
      <c r="A113" s="2" t="s">
        <v>573</v>
      </c>
      <c r="B113" s="2" t="s">
        <v>6</v>
      </c>
      <c r="C113" s="2" t="s">
        <v>108</v>
      </c>
      <c r="D113" s="2" t="s">
        <v>109</v>
      </c>
      <c r="E113" s="2" t="s">
        <v>61</v>
      </c>
      <c r="F113" s="2">
        <v>16.299999237060501</v>
      </c>
      <c r="G113" s="2">
        <v>2</v>
      </c>
      <c r="H113" s="2">
        <v>3900</v>
      </c>
      <c r="I113" s="2" t="s">
        <v>209</v>
      </c>
      <c r="J113" s="2" t="s">
        <v>60</v>
      </c>
      <c r="K113" s="2" t="s">
        <v>132</v>
      </c>
    </row>
    <row r="114" spans="1:13" x14ac:dyDescent="0.25">
      <c r="A114" s="2" t="s">
        <v>574</v>
      </c>
      <c r="B114" s="2" t="s">
        <v>7</v>
      </c>
      <c r="C114" s="2" t="s">
        <v>575</v>
      </c>
      <c r="D114" s="2" t="s">
        <v>576</v>
      </c>
      <c r="E114" s="2" t="s">
        <v>577</v>
      </c>
      <c r="F114" s="2">
        <v>23.933334350585898</v>
      </c>
      <c r="G114" s="2">
        <v>3</v>
      </c>
      <c r="H114" s="2">
        <v>3900</v>
      </c>
      <c r="I114" s="2" t="s">
        <v>223</v>
      </c>
      <c r="J114" s="2" t="s">
        <v>225</v>
      </c>
      <c r="K114" s="2" t="s">
        <v>224</v>
      </c>
    </row>
    <row r="115" spans="1:13" x14ac:dyDescent="0.25">
      <c r="A115" s="2" t="s">
        <v>578</v>
      </c>
      <c r="B115" s="2" t="s">
        <v>4</v>
      </c>
      <c r="C115" s="2" t="s">
        <v>579</v>
      </c>
      <c r="D115" s="2" t="s">
        <v>580</v>
      </c>
      <c r="E115" s="2" t="s">
        <v>581</v>
      </c>
      <c r="F115" s="2">
        <v>13.033332824706999</v>
      </c>
      <c r="G115" s="2">
        <v>3</v>
      </c>
      <c r="H115" s="2">
        <v>3800</v>
      </c>
      <c r="I115" s="2" t="s">
        <v>294</v>
      </c>
      <c r="J115" s="2" t="s">
        <v>295</v>
      </c>
      <c r="K115" s="2" t="s">
        <v>296</v>
      </c>
    </row>
    <row r="116" spans="1:13" x14ac:dyDescent="0.25">
      <c r="A116" s="2" t="s">
        <v>582</v>
      </c>
      <c r="B116" s="2" t="s">
        <v>4</v>
      </c>
      <c r="C116" s="2" t="s">
        <v>583</v>
      </c>
      <c r="D116" s="2" t="s">
        <v>584</v>
      </c>
      <c r="E116" s="2" t="s">
        <v>585</v>
      </c>
      <c r="F116" s="2">
        <v>13.066666920979801</v>
      </c>
      <c r="G116" s="2">
        <v>3</v>
      </c>
      <c r="H116" s="2">
        <v>3800</v>
      </c>
      <c r="I116" s="2" t="s">
        <v>294</v>
      </c>
      <c r="J116" s="2" t="s">
        <v>295</v>
      </c>
      <c r="K116" s="2" t="s">
        <v>296</v>
      </c>
    </row>
    <row r="117" spans="1:13" x14ac:dyDescent="0.25">
      <c r="A117" s="2" t="s">
        <v>586</v>
      </c>
      <c r="B117" s="2" t="s">
        <v>7</v>
      </c>
      <c r="C117" s="2" t="s">
        <v>172</v>
      </c>
      <c r="D117" s="2" t="s">
        <v>587</v>
      </c>
      <c r="E117" s="2" t="s">
        <v>588</v>
      </c>
      <c r="F117" s="2">
        <v>17.399999547887699</v>
      </c>
      <c r="G117" s="2">
        <v>54</v>
      </c>
      <c r="H117" s="2">
        <v>3800</v>
      </c>
      <c r="I117" s="2" t="s">
        <v>294</v>
      </c>
      <c r="J117" s="2" t="s">
        <v>295</v>
      </c>
      <c r="K117" s="2" t="s">
        <v>296</v>
      </c>
      <c r="M117" s="2" t="s">
        <v>45</v>
      </c>
    </row>
    <row r="118" spans="1:13" x14ac:dyDescent="0.25">
      <c r="A118" s="2" t="s">
        <v>589</v>
      </c>
      <c r="B118" s="2" t="s">
        <v>7</v>
      </c>
      <c r="C118" s="2" t="s">
        <v>590</v>
      </c>
      <c r="D118" s="2" t="s">
        <v>591</v>
      </c>
      <c r="E118" s="2" t="s">
        <v>165</v>
      </c>
      <c r="F118" s="2">
        <v>0</v>
      </c>
      <c r="G118" s="2">
        <v>0</v>
      </c>
      <c r="H118" s="2">
        <v>3800</v>
      </c>
      <c r="I118" s="2" t="s">
        <v>294</v>
      </c>
      <c r="J118" s="2" t="s">
        <v>296</v>
      </c>
      <c r="K118" s="2" t="s">
        <v>295</v>
      </c>
      <c r="L118" s="2" t="s">
        <v>44</v>
      </c>
      <c r="M118" s="2" t="s">
        <v>260</v>
      </c>
    </row>
    <row r="119" spans="1:13" x14ac:dyDescent="0.25">
      <c r="A119" s="2" t="s">
        <v>592</v>
      </c>
      <c r="B119" s="2" t="s">
        <v>6</v>
      </c>
      <c r="D119" s="2" t="s">
        <v>162</v>
      </c>
      <c r="E119" s="2" t="s">
        <v>162</v>
      </c>
      <c r="F119" s="2">
        <v>16.850000381469702</v>
      </c>
      <c r="G119" s="2">
        <v>2</v>
      </c>
      <c r="H119" s="2">
        <v>3800</v>
      </c>
      <c r="I119" s="2" t="s">
        <v>209</v>
      </c>
      <c r="J119" s="2" t="s">
        <v>132</v>
      </c>
      <c r="K119" s="2" t="s">
        <v>60</v>
      </c>
    </row>
    <row r="120" spans="1:13" x14ac:dyDescent="0.25">
      <c r="A120" s="2" t="s">
        <v>593</v>
      </c>
      <c r="B120" s="2" t="s">
        <v>7</v>
      </c>
      <c r="C120" s="2" t="s">
        <v>594</v>
      </c>
      <c r="D120" s="2" t="s">
        <v>595</v>
      </c>
      <c r="E120" s="2" t="s">
        <v>596</v>
      </c>
      <c r="F120" s="2">
        <v>17.366666158040299</v>
      </c>
      <c r="G120" s="2">
        <v>3</v>
      </c>
      <c r="H120" s="2">
        <v>3700</v>
      </c>
      <c r="I120" s="2" t="s">
        <v>206</v>
      </c>
      <c r="J120" s="2" t="s">
        <v>59</v>
      </c>
      <c r="K120" s="2" t="s">
        <v>207</v>
      </c>
    </row>
    <row r="121" spans="1:13" x14ac:dyDescent="0.25">
      <c r="A121" s="2" t="s">
        <v>597</v>
      </c>
      <c r="B121" s="2" t="s">
        <v>6</v>
      </c>
      <c r="C121" s="2" t="s">
        <v>598</v>
      </c>
      <c r="D121" s="2" t="s">
        <v>599</v>
      </c>
      <c r="E121" s="2" t="s">
        <v>600</v>
      </c>
      <c r="F121" s="2">
        <v>19.649999618530199</v>
      </c>
      <c r="G121" s="2">
        <v>2</v>
      </c>
      <c r="H121" s="2">
        <v>3700</v>
      </c>
      <c r="I121" s="2" t="s">
        <v>211</v>
      </c>
      <c r="J121" s="2" t="s">
        <v>212</v>
      </c>
      <c r="K121" s="2" t="s">
        <v>135</v>
      </c>
    </row>
    <row r="122" spans="1:13" x14ac:dyDescent="0.25">
      <c r="A122" s="2" t="s">
        <v>601</v>
      </c>
      <c r="B122" s="2" t="s">
        <v>3</v>
      </c>
      <c r="C122" s="2" t="s">
        <v>91</v>
      </c>
      <c r="D122" s="2" t="s">
        <v>92</v>
      </c>
      <c r="E122" s="2" t="s">
        <v>93</v>
      </c>
      <c r="F122" s="2">
        <v>11.149999618530201</v>
      </c>
      <c r="G122" s="2">
        <v>2</v>
      </c>
      <c r="H122" s="2">
        <v>3700</v>
      </c>
      <c r="I122" s="2" t="s">
        <v>232</v>
      </c>
      <c r="J122" s="2" t="s">
        <v>72</v>
      </c>
      <c r="K122" s="2" t="s">
        <v>62</v>
      </c>
    </row>
    <row r="123" spans="1:13" x14ac:dyDescent="0.25">
      <c r="A123" s="2" t="s">
        <v>602</v>
      </c>
      <c r="B123" s="2" t="s">
        <v>6</v>
      </c>
      <c r="C123" s="2" t="s">
        <v>603</v>
      </c>
      <c r="D123" s="2" t="s">
        <v>604</v>
      </c>
      <c r="E123" s="2" t="s">
        <v>605</v>
      </c>
      <c r="F123" s="2">
        <v>10.5</v>
      </c>
      <c r="G123" s="2">
        <v>2</v>
      </c>
      <c r="H123" s="2">
        <v>3700</v>
      </c>
      <c r="I123" s="2" t="s">
        <v>211</v>
      </c>
      <c r="J123" s="2" t="s">
        <v>212</v>
      </c>
      <c r="K123" s="2" t="s">
        <v>135</v>
      </c>
    </row>
    <row r="124" spans="1:13" x14ac:dyDescent="0.25">
      <c r="A124" s="2" t="s">
        <v>606</v>
      </c>
      <c r="B124" s="2" t="s">
        <v>5</v>
      </c>
      <c r="C124" s="2" t="s">
        <v>607</v>
      </c>
      <c r="D124" s="2" t="s">
        <v>608</v>
      </c>
      <c r="E124" s="2" t="s">
        <v>609</v>
      </c>
      <c r="F124" s="2">
        <v>14.4256403996394</v>
      </c>
      <c r="G124" s="2">
        <v>78</v>
      </c>
      <c r="H124" s="2">
        <v>3700</v>
      </c>
      <c r="I124" s="2" t="s">
        <v>223</v>
      </c>
      <c r="J124" s="2" t="s">
        <v>224</v>
      </c>
      <c r="K124" s="2" t="s">
        <v>225</v>
      </c>
      <c r="L124" s="2" t="s">
        <v>44</v>
      </c>
      <c r="M124" s="2" t="s">
        <v>610</v>
      </c>
    </row>
    <row r="125" spans="1:13" x14ac:dyDescent="0.25">
      <c r="A125" s="2" t="s">
        <v>611</v>
      </c>
      <c r="B125" s="2" t="s">
        <v>7</v>
      </c>
      <c r="C125" s="2" t="s">
        <v>125</v>
      </c>
      <c r="D125" s="2" t="s">
        <v>126</v>
      </c>
      <c r="E125" s="2" t="s">
        <v>127</v>
      </c>
      <c r="F125" s="2">
        <v>21.649999618530199</v>
      </c>
      <c r="G125" s="2">
        <v>2</v>
      </c>
      <c r="H125" s="2">
        <v>3700</v>
      </c>
      <c r="I125" s="2" t="s">
        <v>232</v>
      </c>
      <c r="J125" s="2" t="s">
        <v>72</v>
      </c>
      <c r="K125" s="2" t="s">
        <v>62</v>
      </c>
    </row>
    <row r="126" spans="1:13" x14ac:dyDescent="0.25">
      <c r="A126" s="2" t="s">
        <v>612</v>
      </c>
      <c r="B126" s="2" t="s">
        <v>7</v>
      </c>
      <c r="C126" s="2" t="s">
        <v>613</v>
      </c>
      <c r="D126" s="2" t="s">
        <v>614</v>
      </c>
      <c r="E126" s="2" t="s">
        <v>615</v>
      </c>
      <c r="F126" s="2">
        <v>15.800000190734799</v>
      </c>
      <c r="G126" s="2">
        <v>2</v>
      </c>
      <c r="H126" s="2">
        <v>3600</v>
      </c>
      <c r="I126" s="2" t="s">
        <v>206</v>
      </c>
      <c r="J126" s="2" t="s">
        <v>207</v>
      </c>
      <c r="K126" s="2" t="s">
        <v>59</v>
      </c>
    </row>
    <row r="127" spans="1:13" x14ac:dyDescent="0.25">
      <c r="A127" s="2" t="s">
        <v>616</v>
      </c>
      <c r="B127" s="2" t="s">
        <v>5</v>
      </c>
      <c r="C127" s="2" t="s">
        <v>617</v>
      </c>
      <c r="D127" s="2" t="s">
        <v>618</v>
      </c>
      <c r="E127" s="2" t="s">
        <v>619</v>
      </c>
      <c r="F127" s="2">
        <v>21.7000007629394</v>
      </c>
      <c r="G127" s="2">
        <v>1</v>
      </c>
      <c r="H127" s="2">
        <v>3600</v>
      </c>
      <c r="I127" s="2" t="s">
        <v>223</v>
      </c>
      <c r="J127" s="2" t="s">
        <v>225</v>
      </c>
      <c r="K127" s="2" t="s">
        <v>224</v>
      </c>
      <c r="L127" s="2" t="s">
        <v>44</v>
      </c>
      <c r="M127" s="2" t="s">
        <v>620</v>
      </c>
    </row>
    <row r="128" spans="1:13" x14ac:dyDescent="0.25">
      <c r="A128" s="2" t="s">
        <v>621</v>
      </c>
      <c r="B128" s="2" t="s">
        <v>4</v>
      </c>
      <c r="C128" s="2" t="s">
        <v>622</v>
      </c>
      <c r="D128" s="2" t="s">
        <v>623</v>
      </c>
      <c r="E128" s="2" t="s">
        <v>624</v>
      </c>
      <c r="F128" s="2">
        <v>12.233333587646401</v>
      </c>
      <c r="G128" s="2">
        <v>3</v>
      </c>
      <c r="H128" s="2">
        <v>3600</v>
      </c>
      <c r="I128" s="2" t="s">
        <v>248</v>
      </c>
      <c r="J128" s="2" t="s">
        <v>250</v>
      </c>
      <c r="K128" s="2" t="s">
        <v>249</v>
      </c>
    </row>
    <row r="129" spans="1:13" x14ac:dyDescent="0.25">
      <c r="A129" s="2" t="s">
        <v>625</v>
      </c>
      <c r="B129" s="2" t="s">
        <v>6</v>
      </c>
      <c r="C129" s="2" t="s">
        <v>173</v>
      </c>
      <c r="D129" s="2" t="s">
        <v>174</v>
      </c>
      <c r="E129" s="2" t="s">
        <v>175</v>
      </c>
      <c r="F129" s="2">
        <v>14.449999809265099</v>
      </c>
      <c r="G129" s="2">
        <v>2</v>
      </c>
      <c r="H129" s="2">
        <v>3600</v>
      </c>
      <c r="I129" s="2" t="s">
        <v>211</v>
      </c>
      <c r="J129" s="2" t="s">
        <v>135</v>
      </c>
      <c r="K129" s="2" t="s">
        <v>212</v>
      </c>
    </row>
    <row r="130" spans="1:13" x14ac:dyDescent="0.25">
      <c r="A130" s="2" t="s">
        <v>626</v>
      </c>
      <c r="B130" s="2" t="s">
        <v>4</v>
      </c>
      <c r="C130" s="2" t="s">
        <v>81</v>
      </c>
      <c r="D130" s="2" t="s">
        <v>627</v>
      </c>
      <c r="E130" s="2" t="s">
        <v>628</v>
      </c>
      <c r="F130" s="2">
        <v>14.033332824706999</v>
      </c>
      <c r="G130" s="2">
        <v>3</v>
      </c>
      <c r="H130" s="2">
        <v>3600</v>
      </c>
      <c r="I130" s="2" t="s">
        <v>216</v>
      </c>
      <c r="J130" s="2" t="s">
        <v>217</v>
      </c>
      <c r="K130" s="2" t="s">
        <v>218</v>
      </c>
    </row>
    <row r="131" spans="1:13" x14ac:dyDescent="0.25">
      <c r="A131" s="2" t="s">
        <v>629</v>
      </c>
      <c r="B131" s="2" t="s">
        <v>4</v>
      </c>
      <c r="C131" s="2" t="s">
        <v>95</v>
      </c>
      <c r="D131" s="2" t="s">
        <v>166</v>
      </c>
      <c r="E131" s="2" t="s">
        <v>49</v>
      </c>
      <c r="F131" s="2">
        <v>1.20000004768371</v>
      </c>
      <c r="G131" s="2">
        <v>1</v>
      </c>
      <c r="H131" s="2">
        <v>3600</v>
      </c>
      <c r="I131" s="2" t="s">
        <v>211</v>
      </c>
      <c r="J131" s="2" t="s">
        <v>135</v>
      </c>
      <c r="K131" s="2" t="s">
        <v>212</v>
      </c>
      <c r="L131" s="2" t="s">
        <v>226</v>
      </c>
      <c r="M131" s="2" t="s">
        <v>630</v>
      </c>
    </row>
    <row r="132" spans="1:13" x14ac:dyDescent="0.25">
      <c r="A132" s="2" t="s">
        <v>631</v>
      </c>
      <c r="B132" s="2" t="s">
        <v>5</v>
      </c>
      <c r="C132" s="2" t="s">
        <v>632</v>
      </c>
      <c r="D132" s="2" t="s">
        <v>633</v>
      </c>
      <c r="E132" s="2" t="s">
        <v>129</v>
      </c>
      <c r="F132" s="2">
        <v>18.549999237060501</v>
      </c>
      <c r="G132" s="2">
        <v>2</v>
      </c>
      <c r="H132" s="2">
        <v>3600</v>
      </c>
      <c r="I132" s="2" t="s">
        <v>232</v>
      </c>
      <c r="J132" s="2" t="s">
        <v>62</v>
      </c>
      <c r="K132" s="2" t="s">
        <v>72</v>
      </c>
    </row>
    <row r="133" spans="1:13" x14ac:dyDescent="0.25">
      <c r="A133" s="2" t="s">
        <v>634</v>
      </c>
      <c r="B133" s="2" t="s">
        <v>3</v>
      </c>
      <c r="C133" s="2" t="s">
        <v>275</v>
      </c>
      <c r="D133" s="2" t="s">
        <v>635</v>
      </c>
      <c r="E133" s="2" t="s">
        <v>42</v>
      </c>
      <c r="F133" s="2">
        <v>19.3333333333333</v>
      </c>
      <c r="G133" s="2">
        <v>3</v>
      </c>
      <c r="H133" s="2">
        <v>3500</v>
      </c>
      <c r="I133" s="2" t="s">
        <v>294</v>
      </c>
      <c r="J133" s="2" t="s">
        <v>295</v>
      </c>
      <c r="K133" s="2" t="s">
        <v>296</v>
      </c>
    </row>
    <row r="134" spans="1:13" x14ac:dyDescent="0.25">
      <c r="A134" s="2" t="s">
        <v>636</v>
      </c>
      <c r="B134" s="2" t="s">
        <v>6</v>
      </c>
      <c r="C134" s="2" t="s">
        <v>637</v>
      </c>
      <c r="D134" s="2" t="s">
        <v>638</v>
      </c>
      <c r="E134" s="2" t="s">
        <v>639</v>
      </c>
      <c r="F134" s="2">
        <v>14.1999994913736</v>
      </c>
      <c r="G134" s="2">
        <v>3</v>
      </c>
      <c r="H134" s="2">
        <v>3500</v>
      </c>
      <c r="I134" s="2" t="s">
        <v>216</v>
      </c>
      <c r="J134" s="2" t="s">
        <v>217</v>
      </c>
      <c r="K134" s="2" t="s">
        <v>218</v>
      </c>
    </row>
    <row r="135" spans="1:13" x14ac:dyDescent="0.25">
      <c r="A135" s="2" t="s">
        <v>640</v>
      </c>
      <c r="B135" s="2" t="s">
        <v>4</v>
      </c>
      <c r="C135" s="2" t="s">
        <v>52</v>
      </c>
      <c r="D135" s="2" t="s">
        <v>641</v>
      </c>
      <c r="E135" s="2" t="s">
        <v>642</v>
      </c>
      <c r="F135" s="2">
        <v>8.1666666666666607</v>
      </c>
      <c r="G135" s="2">
        <v>3</v>
      </c>
      <c r="H135" s="2">
        <v>3500</v>
      </c>
      <c r="I135" s="2" t="s">
        <v>216</v>
      </c>
      <c r="J135" s="2" t="s">
        <v>217</v>
      </c>
      <c r="K135" s="2" t="s">
        <v>218</v>
      </c>
    </row>
    <row r="136" spans="1:13" x14ac:dyDescent="0.25">
      <c r="A136" s="2" t="s">
        <v>643</v>
      </c>
      <c r="B136" s="2" t="s">
        <v>3</v>
      </c>
      <c r="C136" s="2" t="s">
        <v>644</v>
      </c>
      <c r="D136" s="2" t="s">
        <v>645</v>
      </c>
      <c r="E136" s="2" t="s">
        <v>646</v>
      </c>
      <c r="F136" s="2">
        <v>18.850000381469702</v>
      </c>
      <c r="G136" s="2">
        <v>2</v>
      </c>
      <c r="H136" s="2">
        <v>3500</v>
      </c>
      <c r="I136" s="2" t="s">
        <v>248</v>
      </c>
      <c r="J136" s="2" t="s">
        <v>250</v>
      </c>
      <c r="K136" s="2" t="s">
        <v>249</v>
      </c>
    </row>
    <row r="137" spans="1:13" x14ac:dyDescent="0.25">
      <c r="A137" s="2" t="s">
        <v>647</v>
      </c>
      <c r="B137" s="2" t="s">
        <v>6</v>
      </c>
      <c r="C137" s="2" t="s">
        <v>648</v>
      </c>
      <c r="D137" s="2" t="s">
        <v>649</v>
      </c>
      <c r="E137" s="2" t="s">
        <v>650</v>
      </c>
      <c r="F137" s="2">
        <v>12.4333330790201</v>
      </c>
      <c r="G137" s="2">
        <v>3</v>
      </c>
      <c r="H137" s="2">
        <v>3400</v>
      </c>
      <c r="I137" s="2" t="s">
        <v>294</v>
      </c>
      <c r="J137" s="2" t="s">
        <v>296</v>
      </c>
      <c r="K137" s="2" t="s">
        <v>295</v>
      </c>
    </row>
    <row r="138" spans="1:13" x14ac:dyDescent="0.25">
      <c r="A138" s="2" t="s">
        <v>651</v>
      </c>
      <c r="B138" s="2" t="s">
        <v>4</v>
      </c>
      <c r="C138" s="2" t="s">
        <v>652</v>
      </c>
      <c r="D138" s="2" t="s">
        <v>653</v>
      </c>
      <c r="E138" s="2" t="s">
        <v>654</v>
      </c>
      <c r="F138" s="2">
        <v>14.033332824706999</v>
      </c>
      <c r="G138" s="2">
        <v>3</v>
      </c>
      <c r="H138" s="2">
        <v>3400</v>
      </c>
      <c r="I138" s="2" t="s">
        <v>209</v>
      </c>
      <c r="J138" s="2" t="s">
        <v>132</v>
      </c>
      <c r="K138" s="2" t="s">
        <v>60</v>
      </c>
    </row>
    <row r="139" spans="1:13" x14ac:dyDescent="0.25">
      <c r="A139" s="2" t="s">
        <v>655</v>
      </c>
      <c r="B139" s="2" t="s">
        <v>4</v>
      </c>
      <c r="C139" s="2" t="s">
        <v>195</v>
      </c>
      <c r="D139" s="2" t="s">
        <v>656</v>
      </c>
      <c r="E139" s="2" t="s">
        <v>657</v>
      </c>
      <c r="F139" s="2">
        <v>0</v>
      </c>
      <c r="G139" s="2">
        <v>0</v>
      </c>
      <c r="H139" s="2">
        <v>3400</v>
      </c>
      <c r="I139" s="2" t="s">
        <v>216</v>
      </c>
      <c r="J139" s="2" t="s">
        <v>217</v>
      </c>
      <c r="K139" s="2" t="s">
        <v>218</v>
      </c>
    </row>
    <row r="140" spans="1:13" x14ac:dyDescent="0.25">
      <c r="A140" s="2" t="s">
        <v>658</v>
      </c>
      <c r="B140" s="2" t="s">
        <v>6</v>
      </c>
      <c r="C140" s="2" t="s">
        <v>659</v>
      </c>
      <c r="D140" s="2" t="s">
        <v>660</v>
      </c>
      <c r="E140" s="2" t="s">
        <v>661</v>
      </c>
      <c r="F140" s="2">
        <v>11.5999997456868</v>
      </c>
      <c r="G140" s="2">
        <v>3</v>
      </c>
      <c r="H140" s="2">
        <v>3400</v>
      </c>
      <c r="I140" s="2" t="s">
        <v>206</v>
      </c>
      <c r="J140" s="2" t="s">
        <v>59</v>
      </c>
      <c r="K140" s="2" t="s">
        <v>207</v>
      </c>
    </row>
    <row r="141" spans="1:13" x14ac:dyDescent="0.25">
      <c r="A141" s="2" t="s">
        <v>662</v>
      </c>
      <c r="B141" s="2" t="s">
        <v>3</v>
      </c>
      <c r="C141" s="2" t="s">
        <v>384</v>
      </c>
      <c r="D141" s="2" t="s">
        <v>663</v>
      </c>
      <c r="E141" s="2" t="s">
        <v>664</v>
      </c>
      <c r="F141" s="2">
        <v>17.0466661241319</v>
      </c>
      <c r="G141" s="2">
        <v>45</v>
      </c>
      <c r="H141" s="2">
        <v>3400</v>
      </c>
      <c r="I141" s="2" t="s">
        <v>206</v>
      </c>
      <c r="J141" s="2" t="s">
        <v>207</v>
      </c>
      <c r="K141" s="2" t="s">
        <v>59</v>
      </c>
      <c r="L141" s="2" t="s">
        <v>44</v>
      </c>
      <c r="M141" s="2" t="s">
        <v>45</v>
      </c>
    </row>
    <row r="142" spans="1:13" x14ac:dyDescent="0.25">
      <c r="A142" s="2" t="s">
        <v>665</v>
      </c>
      <c r="B142" s="2" t="s">
        <v>7</v>
      </c>
      <c r="C142" s="2" t="s">
        <v>666</v>
      </c>
      <c r="D142" s="2" t="s">
        <v>667</v>
      </c>
      <c r="E142" s="2" t="s">
        <v>668</v>
      </c>
      <c r="F142" s="2">
        <v>11.649999618530201</v>
      </c>
      <c r="G142" s="2">
        <v>2</v>
      </c>
      <c r="H142" s="2">
        <v>3300</v>
      </c>
      <c r="I142" s="2" t="s">
        <v>206</v>
      </c>
      <c r="J142" s="2" t="s">
        <v>207</v>
      </c>
      <c r="K142" s="2" t="s">
        <v>59</v>
      </c>
    </row>
    <row r="143" spans="1:13" x14ac:dyDescent="0.25">
      <c r="A143" s="2" t="s">
        <v>669</v>
      </c>
      <c r="B143" s="2" t="s">
        <v>4</v>
      </c>
      <c r="C143" s="2" t="s">
        <v>670</v>
      </c>
      <c r="D143" s="2" t="s">
        <v>671</v>
      </c>
      <c r="E143" s="2" t="s">
        <v>672</v>
      </c>
      <c r="F143" s="2">
        <v>10.649999618530201</v>
      </c>
      <c r="G143" s="2">
        <v>2</v>
      </c>
      <c r="H143" s="2">
        <v>3300</v>
      </c>
      <c r="I143" s="2" t="s">
        <v>248</v>
      </c>
      <c r="J143" s="2" t="s">
        <v>250</v>
      </c>
      <c r="K143" s="2" t="s">
        <v>249</v>
      </c>
    </row>
    <row r="144" spans="1:13" x14ac:dyDescent="0.25">
      <c r="A144" s="2" t="s">
        <v>673</v>
      </c>
      <c r="B144" s="2" t="s">
        <v>6</v>
      </c>
      <c r="C144" s="2" t="s">
        <v>674</v>
      </c>
      <c r="D144" s="2" t="s">
        <v>675</v>
      </c>
      <c r="E144" s="2" t="s">
        <v>676</v>
      </c>
      <c r="F144" s="2">
        <v>22.0210517749451</v>
      </c>
      <c r="G144" s="2">
        <v>57</v>
      </c>
      <c r="H144" s="2">
        <v>3300</v>
      </c>
      <c r="I144" s="2" t="s">
        <v>248</v>
      </c>
      <c r="J144" s="2" t="s">
        <v>249</v>
      </c>
      <c r="K144" s="2" t="s">
        <v>250</v>
      </c>
      <c r="L144" s="2" t="s">
        <v>44</v>
      </c>
      <c r="M144" s="2" t="s">
        <v>620</v>
      </c>
    </row>
    <row r="145" spans="1:13" x14ac:dyDescent="0.25">
      <c r="A145" s="2" t="s">
        <v>677</v>
      </c>
      <c r="B145" s="2" t="s">
        <v>3</v>
      </c>
      <c r="C145" s="2" t="s">
        <v>594</v>
      </c>
      <c r="D145" s="2" t="s">
        <v>678</v>
      </c>
      <c r="E145" s="2" t="s">
        <v>679</v>
      </c>
      <c r="F145" s="2">
        <v>19.3666662791418</v>
      </c>
      <c r="G145" s="2">
        <v>63</v>
      </c>
      <c r="H145" s="2">
        <v>3300</v>
      </c>
      <c r="I145" s="2" t="s">
        <v>232</v>
      </c>
      <c r="J145" s="2" t="s">
        <v>72</v>
      </c>
      <c r="K145" s="2" t="s">
        <v>62</v>
      </c>
      <c r="L145" s="2" t="s">
        <v>44</v>
      </c>
      <c r="M145" s="2" t="s">
        <v>240</v>
      </c>
    </row>
    <row r="146" spans="1:13" x14ac:dyDescent="0.25">
      <c r="A146" s="2" t="s">
        <v>680</v>
      </c>
      <c r="B146" s="2" t="s">
        <v>6</v>
      </c>
      <c r="C146" s="2" t="s">
        <v>275</v>
      </c>
      <c r="D146" s="2" t="s">
        <v>681</v>
      </c>
      <c r="E146" s="2" t="s">
        <v>682</v>
      </c>
      <c r="F146" s="2">
        <v>14.7666664123535</v>
      </c>
      <c r="G146" s="2">
        <v>3</v>
      </c>
      <c r="H146" s="2">
        <v>3300</v>
      </c>
      <c r="I146" s="2" t="s">
        <v>223</v>
      </c>
      <c r="J146" s="2" t="s">
        <v>225</v>
      </c>
      <c r="K146" s="2" t="s">
        <v>224</v>
      </c>
    </row>
    <row r="147" spans="1:13" x14ac:dyDescent="0.25">
      <c r="A147" s="2" t="s">
        <v>683</v>
      </c>
      <c r="B147" s="2" t="s">
        <v>4</v>
      </c>
      <c r="C147" s="2" t="s">
        <v>50</v>
      </c>
      <c r="D147" s="2" t="s">
        <v>684</v>
      </c>
      <c r="E147" s="2" t="s">
        <v>685</v>
      </c>
      <c r="F147" s="2">
        <v>19.799999237060501</v>
      </c>
      <c r="G147" s="2">
        <v>1</v>
      </c>
      <c r="H147" s="2">
        <v>3200</v>
      </c>
      <c r="I147" s="2" t="s">
        <v>248</v>
      </c>
      <c r="J147" s="2" t="s">
        <v>250</v>
      </c>
      <c r="K147" s="2" t="s">
        <v>249</v>
      </c>
    </row>
    <row r="148" spans="1:13" x14ac:dyDescent="0.25">
      <c r="A148" s="2" t="s">
        <v>686</v>
      </c>
      <c r="B148" s="2" t="s">
        <v>5</v>
      </c>
      <c r="C148" s="2" t="s">
        <v>687</v>
      </c>
      <c r="D148" s="2" t="s">
        <v>688</v>
      </c>
      <c r="E148" s="2" t="s">
        <v>102</v>
      </c>
      <c r="F148" s="2">
        <v>7.5999999046325604</v>
      </c>
      <c r="G148" s="2">
        <v>2</v>
      </c>
      <c r="H148" s="2">
        <v>3200</v>
      </c>
      <c r="I148" s="2" t="s">
        <v>248</v>
      </c>
      <c r="J148" s="2" t="s">
        <v>249</v>
      </c>
      <c r="K148" s="2" t="s">
        <v>250</v>
      </c>
    </row>
    <row r="149" spans="1:13" x14ac:dyDescent="0.25">
      <c r="A149" s="2" t="s">
        <v>689</v>
      </c>
      <c r="B149" s="2" t="s">
        <v>5</v>
      </c>
      <c r="C149" s="2" t="s">
        <v>88</v>
      </c>
      <c r="D149" s="2" t="s">
        <v>66</v>
      </c>
      <c r="E149" s="2" t="s">
        <v>107</v>
      </c>
      <c r="F149" s="2">
        <v>12.25</v>
      </c>
      <c r="G149" s="2">
        <v>2</v>
      </c>
      <c r="H149" s="2">
        <v>3200</v>
      </c>
      <c r="I149" s="2" t="s">
        <v>209</v>
      </c>
      <c r="J149" s="2" t="s">
        <v>60</v>
      </c>
      <c r="K149" s="2" t="s">
        <v>132</v>
      </c>
    </row>
    <row r="150" spans="1:13" x14ac:dyDescent="0.25">
      <c r="A150" s="2" t="s">
        <v>690</v>
      </c>
      <c r="B150" s="2" t="s">
        <v>4</v>
      </c>
      <c r="C150" s="2" t="s">
        <v>691</v>
      </c>
      <c r="D150" s="2" t="s">
        <v>692</v>
      </c>
      <c r="E150" s="2" t="s">
        <v>693</v>
      </c>
      <c r="F150" s="2">
        <v>6.4000000953674299</v>
      </c>
      <c r="G150" s="2">
        <v>1</v>
      </c>
      <c r="H150" s="2">
        <v>3200</v>
      </c>
      <c r="I150" s="2" t="s">
        <v>216</v>
      </c>
      <c r="J150" s="2" t="s">
        <v>217</v>
      </c>
      <c r="K150" s="2" t="s">
        <v>218</v>
      </c>
    </row>
    <row r="151" spans="1:13" x14ac:dyDescent="0.25">
      <c r="A151" s="2" t="s">
        <v>694</v>
      </c>
      <c r="B151" s="2" t="s">
        <v>3</v>
      </c>
      <c r="C151" s="2" t="s">
        <v>695</v>
      </c>
      <c r="D151" s="2" t="s">
        <v>696</v>
      </c>
      <c r="E151" s="2" t="s">
        <v>697</v>
      </c>
      <c r="F151" s="2">
        <v>14.199999809265099</v>
      </c>
      <c r="G151" s="2">
        <v>2</v>
      </c>
      <c r="H151" s="2">
        <v>3200</v>
      </c>
      <c r="I151" s="2" t="s">
        <v>216</v>
      </c>
      <c r="J151" s="2" t="s">
        <v>218</v>
      </c>
      <c r="K151" s="2" t="s">
        <v>217</v>
      </c>
    </row>
    <row r="152" spans="1:13" x14ac:dyDescent="0.25">
      <c r="A152" s="2" t="s">
        <v>698</v>
      </c>
      <c r="B152" s="2" t="s">
        <v>7</v>
      </c>
      <c r="C152" s="2" t="s">
        <v>699</v>
      </c>
      <c r="D152" s="2" t="s">
        <v>700</v>
      </c>
      <c r="E152" s="2" t="s">
        <v>701</v>
      </c>
      <c r="F152" s="2">
        <v>13.699999809265099</v>
      </c>
      <c r="G152" s="2">
        <v>2</v>
      </c>
      <c r="H152" s="2">
        <v>3200</v>
      </c>
      <c r="I152" s="2" t="s">
        <v>211</v>
      </c>
      <c r="J152" s="2" t="s">
        <v>135</v>
      </c>
      <c r="K152" s="2" t="s">
        <v>212</v>
      </c>
    </row>
    <row r="153" spans="1:13" x14ac:dyDescent="0.25">
      <c r="A153" s="2" t="s">
        <v>702</v>
      </c>
      <c r="B153" s="2" t="s">
        <v>4</v>
      </c>
      <c r="C153" s="2" t="s">
        <v>703</v>
      </c>
      <c r="D153" s="2" t="s">
        <v>704</v>
      </c>
      <c r="E153" s="2" t="s">
        <v>705</v>
      </c>
      <c r="F153" s="2">
        <v>20.7000007629394</v>
      </c>
      <c r="G153" s="2">
        <v>1</v>
      </c>
      <c r="H153" s="2">
        <v>3200</v>
      </c>
      <c r="I153" s="2" t="s">
        <v>206</v>
      </c>
      <c r="J153" s="2" t="s">
        <v>207</v>
      </c>
      <c r="K153" s="2" t="s">
        <v>59</v>
      </c>
    </row>
    <row r="154" spans="1:13" x14ac:dyDescent="0.25">
      <c r="A154" s="2" t="s">
        <v>706</v>
      </c>
      <c r="B154" s="2" t="s">
        <v>4</v>
      </c>
      <c r="C154" s="2" t="s">
        <v>707</v>
      </c>
      <c r="D154" s="2" t="s">
        <v>708</v>
      </c>
      <c r="E154" s="2" t="s">
        <v>709</v>
      </c>
      <c r="F154" s="2">
        <v>20.2000007629394</v>
      </c>
      <c r="G154" s="2">
        <v>1</v>
      </c>
      <c r="H154" s="2">
        <v>3200</v>
      </c>
      <c r="I154" s="2" t="s">
        <v>209</v>
      </c>
      <c r="J154" s="2" t="s">
        <v>132</v>
      </c>
      <c r="K154" s="2" t="s">
        <v>60</v>
      </c>
    </row>
    <row r="155" spans="1:13" x14ac:dyDescent="0.25">
      <c r="A155" s="2" t="s">
        <v>710</v>
      </c>
      <c r="B155" s="2" t="s">
        <v>6</v>
      </c>
      <c r="C155" s="2" t="s">
        <v>711</v>
      </c>
      <c r="D155" s="2" t="s">
        <v>712</v>
      </c>
      <c r="E155" s="2" t="s">
        <v>713</v>
      </c>
      <c r="F155" s="2">
        <v>15.6000003814697</v>
      </c>
      <c r="G155" s="2">
        <v>1</v>
      </c>
      <c r="H155" s="2">
        <v>3100</v>
      </c>
      <c r="I155" s="2" t="s">
        <v>216</v>
      </c>
      <c r="J155" s="2" t="s">
        <v>218</v>
      </c>
      <c r="K155" s="2" t="s">
        <v>217</v>
      </c>
    </row>
    <row r="156" spans="1:13" x14ac:dyDescent="0.25">
      <c r="A156" s="2" t="s">
        <v>714</v>
      </c>
      <c r="B156" s="2" t="s">
        <v>3</v>
      </c>
      <c r="C156" s="2" t="s">
        <v>715</v>
      </c>
      <c r="D156" s="2" t="s">
        <v>716</v>
      </c>
      <c r="E156" s="2" t="s">
        <v>717</v>
      </c>
      <c r="F156" s="2">
        <v>12</v>
      </c>
      <c r="G156" s="2">
        <v>3</v>
      </c>
      <c r="H156" s="2">
        <v>3100</v>
      </c>
      <c r="I156" s="2" t="s">
        <v>206</v>
      </c>
      <c r="J156" s="2" t="s">
        <v>59</v>
      </c>
      <c r="K156" s="2" t="s">
        <v>207</v>
      </c>
    </row>
    <row r="157" spans="1:13" x14ac:dyDescent="0.25">
      <c r="A157" s="2" t="s">
        <v>718</v>
      </c>
      <c r="B157" s="2" t="s">
        <v>4</v>
      </c>
      <c r="C157" s="2" t="s">
        <v>169</v>
      </c>
      <c r="D157" s="2" t="s">
        <v>170</v>
      </c>
      <c r="E157" s="2" t="s">
        <v>171</v>
      </c>
      <c r="F157" s="2">
        <v>9.4333330790201799</v>
      </c>
      <c r="G157" s="2">
        <v>3</v>
      </c>
      <c r="H157" s="2">
        <v>3100</v>
      </c>
      <c r="I157" s="2" t="s">
        <v>248</v>
      </c>
      <c r="J157" s="2" t="s">
        <v>249</v>
      </c>
      <c r="K157" s="2" t="s">
        <v>250</v>
      </c>
    </row>
    <row r="158" spans="1:13" x14ac:dyDescent="0.25">
      <c r="A158" s="2" t="s">
        <v>719</v>
      </c>
      <c r="B158" s="2" t="s">
        <v>5</v>
      </c>
      <c r="C158" s="2" t="s">
        <v>720</v>
      </c>
      <c r="D158" s="2" t="s">
        <v>721</v>
      </c>
      <c r="E158" s="2" t="s">
        <v>722</v>
      </c>
      <c r="F158" s="2">
        <v>8.0999997456868496</v>
      </c>
      <c r="G158" s="2">
        <v>3</v>
      </c>
      <c r="H158" s="2">
        <v>3100</v>
      </c>
      <c r="I158" s="2" t="s">
        <v>206</v>
      </c>
      <c r="J158" s="2" t="s">
        <v>59</v>
      </c>
      <c r="K158" s="2" t="s">
        <v>207</v>
      </c>
    </row>
    <row r="159" spans="1:13" x14ac:dyDescent="0.25">
      <c r="A159" s="2" t="s">
        <v>723</v>
      </c>
      <c r="B159" s="2" t="s">
        <v>3</v>
      </c>
      <c r="C159" s="2" t="s">
        <v>724</v>
      </c>
      <c r="D159" s="2" t="s">
        <v>725</v>
      </c>
      <c r="E159" s="2" t="s">
        <v>726</v>
      </c>
      <c r="F159" s="2">
        <v>7.8499999046325604</v>
      </c>
      <c r="G159" s="2">
        <v>2</v>
      </c>
      <c r="H159" s="2">
        <v>3100</v>
      </c>
      <c r="I159" s="2" t="s">
        <v>211</v>
      </c>
      <c r="J159" s="2" t="s">
        <v>135</v>
      </c>
      <c r="K159" s="2" t="s">
        <v>212</v>
      </c>
    </row>
    <row r="160" spans="1:13" x14ac:dyDescent="0.25">
      <c r="A160" s="2" t="s">
        <v>727</v>
      </c>
      <c r="B160" s="2" t="s">
        <v>3</v>
      </c>
      <c r="C160" s="2" t="s">
        <v>336</v>
      </c>
      <c r="D160" s="2" t="s">
        <v>728</v>
      </c>
      <c r="E160" s="2" t="s">
        <v>729</v>
      </c>
      <c r="F160" s="2">
        <v>12.066666920979801</v>
      </c>
      <c r="G160" s="2">
        <v>3</v>
      </c>
      <c r="H160" s="2">
        <v>3100</v>
      </c>
      <c r="I160" s="2" t="s">
        <v>223</v>
      </c>
      <c r="J160" s="2" t="s">
        <v>225</v>
      </c>
      <c r="K160" s="2" t="s">
        <v>224</v>
      </c>
    </row>
    <row r="161" spans="1:13" x14ac:dyDescent="0.25">
      <c r="A161" s="2" t="s">
        <v>730</v>
      </c>
      <c r="B161" s="2" t="s">
        <v>4</v>
      </c>
      <c r="C161" s="2" t="s">
        <v>288</v>
      </c>
      <c r="D161" s="2" t="s">
        <v>731</v>
      </c>
      <c r="E161" s="2" t="s">
        <v>490</v>
      </c>
      <c r="F161" s="2">
        <v>12.2666664123535</v>
      </c>
      <c r="G161" s="2">
        <v>3</v>
      </c>
      <c r="H161" s="2">
        <v>3100</v>
      </c>
      <c r="I161" s="2" t="s">
        <v>216</v>
      </c>
      <c r="J161" s="2" t="s">
        <v>218</v>
      </c>
      <c r="K161" s="2" t="s">
        <v>217</v>
      </c>
    </row>
    <row r="162" spans="1:13" x14ac:dyDescent="0.25">
      <c r="A162" s="2" t="s">
        <v>732</v>
      </c>
      <c r="B162" s="2" t="s">
        <v>3</v>
      </c>
      <c r="C162" s="2" t="s">
        <v>733</v>
      </c>
      <c r="D162" s="2" t="s">
        <v>734</v>
      </c>
      <c r="E162" s="2" t="s">
        <v>735</v>
      </c>
      <c r="F162" s="2">
        <v>8</v>
      </c>
      <c r="G162" s="2">
        <v>3</v>
      </c>
      <c r="H162" s="2">
        <v>3100</v>
      </c>
      <c r="I162" s="2" t="s">
        <v>248</v>
      </c>
      <c r="J162" s="2" t="s">
        <v>249</v>
      </c>
      <c r="K162" s="2" t="s">
        <v>250</v>
      </c>
    </row>
    <row r="163" spans="1:13" x14ac:dyDescent="0.25">
      <c r="A163" s="2" t="s">
        <v>736</v>
      </c>
      <c r="B163" s="2" t="s">
        <v>4</v>
      </c>
      <c r="C163" s="2" t="s">
        <v>275</v>
      </c>
      <c r="D163" s="2" t="s">
        <v>737</v>
      </c>
      <c r="E163" s="2" t="s">
        <v>738</v>
      </c>
      <c r="F163" s="2">
        <v>10.449999809265099</v>
      </c>
      <c r="G163" s="2">
        <v>2</v>
      </c>
      <c r="H163" s="2">
        <v>3100</v>
      </c>
      <c r="I163" s="2" t="s">
        <v>211</v>
      </c>
      <c r="J163" s="2" t="s">
        <v>135</v>
      </c>
      <c r="K163" s="2" t="s">
        <v>212</v>
      </c>
    </row>
    <row r="164" spans="1:13" x14ac:dyDescent="0.25">
      <c r="A164" s="2" t="s">
        <v>739</v>
      </c>
      <c r="B164" s="2" t="s">
        <v>5</v>
      </c>
      <c r="C164" s="2" t="s">
        <v>740</v>
      </c>
      <c r="D164" s="2" t="s">
        <v>741</v>
      </c>
      <c r="E164" s="2" t="s">
        <v>742</v>
      </c>
      <c r="F164" s="2">
        <v>14.1000003814697</v>
      </c>
      <c r="G164" s="2">
        <v>2</v>
      </c>
      <c r="H164" s="2">
        <v>3100</v>
      </c>
      <c r="I164" s="2" t="s">
        <v>232</v>
      </c>
      <c r="J164" s="2" t="s">
        <v>62</v>
      </c>
      <c r="K164" s="2" t="s">
        <v>72</v>
      </c>
    </row>
    <row r="165" spans="1:13" x14ac:dyDescent="0.25">
      <c r="A165" s="2" t="s">
        <v>743</v>
      </c>
      <c r="B165" s="2" t="s">
        <v>4</v>
      </c>
      <c r="C165" s="2" t="s">
        <v>744</v>
      </c>
      <c r="D165" s="2" t="s">
        <v>745</v>
      </c>
      <c r="E165" s="2" t="s">
        <v>746</v>
      </c>
      <c r="F165" s="2">
        <v>0</v>
      </c>
      <c r="G165" s="2">
        <v>1</v>
      </c>
      <c r="H165" s="2">
        <v>3000</v>
      </c>
      <c r="I165" s="2" t="s">
        <v>232</v>
      </c>
      <c r="J165" s="2" t="s">
        <v>62</v>
      </c>
      <c r="K165" s="2" t="s">
        <v>72</v>
      </c>
    </row>
    <row r="166" spans="1:13" x14ac:dyDescent="0.25">
      <c r="A166" s="2" t="s">
        <v>747</v>
      </c>
      <c r="B166" s="2" t="s">
        <v>7</v>
      </c>
      <c r="C166" s="2" t="s">
        <v>748</v>
      </c>
      <c r="D166" s="2" t="s">
        <v>749</v>
      </c>
      <c r="E166" s="2" t="s">
        <v>53</v>
      </c>
      <c r="F166" s="2">
        <v>10.6999994913736</v>
      </c>
      <c r="G166" s="2">
        <v>3</v>
      </c>
      <c r="H166" s="2">
        <v>3000</v>
      </c>
      <c r="I166" s="2" t="s">
        <v>216</v>
      </c>
      <c r="J166" s="2" t="s">
        <v>217</v>
      </c>
      <c r="K166" s="2" t="s">
        <v>218</v>
      </c>
    </row>
    <row r="167" spans="1:13" x14ac:dyDescent="0.25">
      <c r="A167" s="2" t="s">
        <v>750</v>
      </c>
      <c r="B167" s="2" t="s">
        <v>3</v>
      </c>
      <c r="C167" s="2" t="s">
        <v>751</v>
      </c>
      <c r="D167" s="2" t="s">
        <v>752</v>
      </c>
      <c r="E167" s="2" t="s">
        <v>753</v>
      </c>
      <c r="F167" s="2">
        <v>9.5</v>
      </c>
      <c r="G167" s="2">
        <v>2</v>
      </c>
      <c r="H167" s="2">
        <v>3000</v>
      </c>
      <c r="I167" s="2" t="s">
        <v>206</v>
      </c>
      <c r="J167" s="2" t="s">
        <v>207</v>
      </c>
      <c r="K167" s="2" t="s">
        <v>59</v>
      </c>
    </row>
    <row r="168" spans="1:13" x14ac:dyDescent="0.25">
      <c r="A168" s="2" t="s">
        <v>754</v>
      </c>
      <c r="B168" s="2" t="s">
        <v>6</v>
      </c>
      <c r="C168" s="2" t="s">
        <v>755</v>
      </c>
      <c r="D168" s="2" t="s">
        <v>756</v>
      </c>
      <c r="E168" s="2" t="s">
        <v>757</v>
      </c>
      <c r="F168" s="2">
        <v>5.6500000953674299</v>
      </c>
      <c r="G168" s="2">
        <v>2</v>
      </c>
      <c r="H168" s="2">
        <v>3000</v>
      </c>
      <c r="I168" s="2" t="s">
        <v>216</v>
      </c>
      <c r="J168" s="2" t="s">
        <v>217</v>
      </c>
      <c r="K168" s="2" t="s">
        <v>218</v>
      </c>
    </row>
    <row r="169" spans="1:13" x14ac:dyDescent="0.25">
      <c r="A169" s="2" t="s">
        <v>758</v>
      </c>
      <c r="B169" s="2" t="s">
        <v>3</v>
      </c>
      <c r="C169" s="2" t="s">
        <v>759</v>
      </c>
      <c r="D169" s="2" t="s">
        <v>760</v>
      </c>
      <c r="E169" s="2" t="s">
        <v>761</v>
      </c>
      <c r="F169" s="2">
        <v>0</v>
      </c>
      <c r="G169" s="2">
        <v>1</v>
      </c>
      <c r="H169" s="2">
        <v>3000</v>
      </c>
      <c r="I169" s="2" t="s">
        <v>232</v>
      </c>
      <c r="J169" s="2" t="s">
        <v>72</v>
      </c>
      <c r="K169" s="2" t="s">
        <v>62</v>
      </c>
    </row>
    <row r="170" spans="1:13" x14ac:dyDescent="0.25">
      <c r="A170" s="2" t="s">
        <v>762</v>
      </c>
      <c r="B170" s="2" t="s">
        <v>7</v>
      </c>
      <c r="C170" s="2" t="s">
        <v>763</v>
      </c>
      <c r="D170" s="2" t="s">
        <v>764</v>
      </c>
      <c r="E170" s="2" t="s">
        <v>765</v>
      </c>
      <c r="F170" s="2">
        <v>0.85000002384185702</v>
      </c>
      <c r="G170" s="2">
        <v>2</v>
      </c>
      <c r="H170" s="2">
        <v>3000</v>
      </c>
      <c r="I170" s="2" t="s">
        <v>211</v>
      </c>
      <c r="J170" s="2" t="s">
        <v>212</v>
      </c>
      <c r="K170" s="2" t="s">
        <v>135</v>
      </c>
    </row>
    <row r="171" spans="1:13" x14ac:dyDescent="0.25">
      <c r="A171" s="2" t="s">
        <v>766</v>
      </c>
      <c r="B171" s="2" t="s">
        <v>4</v>
      </c>
      <c r="C171" s="2" t="s">
        <v>370</v>
      </c>
      <c r="D171" s="2" t="s">
        <v>767</v>
      </c>
      <c r="E171" s="2" t="s">
        <v>768</v>
      </c>
      <c r="F171" s="2">
        <v>13.172726717862201</v>
      </c>
      <c r="G171" s="2">
        <v>22</v>
      </c>
      <c r="H171" s="2">
        <v>3000</v>
      </c>
      <c r="I171" s="2" t="s">
        <v>216</v>
      </c>
      <c r="J171" s="2" t="s">
        <v>218</v>
      </c>
      <c r="K171" s="2" t="s">
        <v>217</v>
      </c>
      <c r="L171" s="2" t="s">
        <v>44</v>
      </c>
      <c r="M171" s="2" t="s">
        <v>769</v>
      </c>
    </row>
    <row r="172" spans="1:13" x14ac:dyDescent="0.25">
      <c r="A172" s="2" t="s">
        <v>770</v>
      </c>
      <c r="B172" s="2" t="s">
        <v>3</v>
      </c>
      <c r="C172" s="2" t="s">
        <v>176</v>
      </c>
      <c r="D172" s="2" t="s">
        <v>177</v>
      </c>
      <c r="E172" s="2" t="s">
        <v>178</v>
      </c>
      <c r="F172" s="2">
        <v>7.8877194053248303</v>
      </c>
      <c r="G172" s="2">
        <v>57</v>
      </c>
      <c r="H172" s="2">
        <v>3000</v>
      </c>
      <c r="I172" s="2" t="s">
        <v>211</v>
      </c>
      <c r="J172" s="2" t="s">
        <v>135</v>
      </c>
      <c r="K172" s="2" t="s">
        <v>212</v>
      </c>
    </row>
    <row r="173" spans="1:13" x14ac:dyDescent="0.25">
      <c r="A173" s="2" t="s">
        <v>771</v>
      </c>
      <c r="B173" s="2" t="s">
        <v>4</v>
      </c>
      <c r="C173" s="2" t="s">
        <v>772</v>
      </c>
      <c r="D173" s="2" t="s">
        <v>773</v>
      </c>
      <c r="E173" s="2" t="s">
        <v>774</v>
      </c>
      <c r="F173" s="2">
        <v>5.9333330790201799</v>
      </c>
      <c r="G173" s="2">
        <v>3</v>
      </c>
      <c r="H173" s="2">
        <v>3000</v>
      </c>
      <c r="I173" s="2" t="s">
        <v>223</v>
      </c>
      <c r="J173" s="2" t="s">
        <v>225</v>
      </c>
      <c r="K173" s="2" t="s">
        <v>224</v>
      </c>
    </row>
    <row r="174" spans="1:13" x14ac:dyDescent="0.25">
      <c r="A174" s="2" t="s">
        <v>775</v>
      </c>
      <c r="B174" s="2" t="s">
        <v>4</v>
      </c>
      <c r="C174" s="2" t="s">
        <v>123</v>
      </c>
      <c r="D174" s="2" t="s">
        <v>776</v>
      </c>
      <c r="E174" s="2" t="s">
        <v>777</v>
      </c>
      <c r="F174" s="2">
        <v>0</v>
      </c>
      <c r="G174" s="2">
        <v>0</v>
      </c>
      <c r="H174" s="2">
        <v>3000</v>
      </c>
      <c r="I174" s="2" t="s">
        <v>209</v>
      </c>
      <c r="J174" s="2" t="s">
        <v>60</v>
      </c>
      <c r="K174" s="2" t="s">
        <v>132</v>
      </c>
    </row>
    <row r="175" spans="1:13" x14ac:dyDescent="0.25">
      <c r="A175" s="2" t="s">
        <v>778</v>
      </c>
      <c r="B175" s="2" t="s">
        <v>5</v>
      </c>
      <c r="C175" s="2" t="s">
        <v>779</v>
      </c>
      <c r="D175" s="2" t="s">
        <v>780</v>
      </c>
      <c r="E175" s="2" t="s">
        <v>781</v>
      </c>
      <c r="F175" s="2">
        <v>0</v>
      </c>
      <c r="G175" s="2">
        <v>0</v>
      </c>
      <c r="H175" s="2">
        <v>3000</v>
      </c>
      <c r="I175" s="2" t="s">
        <v>211</v>
      </c>
      <c r="J175" s="2" t="s">
        <v>135</v>
      </c>
      <c r="K175" s="2" t="s">
        <v>212</v>
      </c>
    </row>
    <row r="176" spans="1:13" x14ac:dyDescent="0.25">
      <c r="A176" s="2" t="s">
        <v>782</v>
      </c>
      <c r="B176" s="2" t="s">
        <v>5</v>
      </c>
      <c r="C176" s="2" t="s">
        <v>322</v>
      </c>
      <c r="D176" s="2" t="s">
        <v>783</v>
      </c>
      <c r="E176" s="2" t="s">
        <v>784</v>
      </c>
      <c r="F176" s="2">
        <v>10.138709283644101</v>
      </c>
      <c r="G176" s="2">
        <v>31</v>
      </c>
      <c r="H176" s="2">
        <v>3000</v>
      </c>
      <c r="I176" s="2" t="s">
        <v>248</v>
      </c>
      <c r="J176" s="2" t="s">
        <v>250</v>
      </c>
      <c r="K176" s="2" t="s">
        <v>249</v>
      </c>
      <c r="L176" s="2" t="s">
        <v>44</v>
      </c>
      <c r="M176" s="2" t="s">
        <v>785</v>
      </c>
    </row>
    <row r="177" spans="1:13" x14ac:dyDescent="0.25">
      <c r="A177" s="2" t="s">
        <v>786</v>
      </c>
      <c r="B177" s="2" t="s">
        <v>6</v>
      </c>
      <c r="C177" s="2" t="s">
        <v>97</v>
      </c>
      <c r="D177" s="2" t="s">
        <v>98</v>
      </c>
      <c r="E177" s="2" t="s">
        <v>71</v>
      </c>
      <c r="F177" s="2">
        <v>5.1388888888888804</v>
      </c>
      <c r="G177" s="2">
        <v>36</v>
      </c>
      <c r="H177" s="2">
        <v>3000</v>
      </c>
      <c r="I177" s="2" t="s">
        <v>209</v>
      </c>
      <c r="J177" s="2" t="s">
        <v>60</v>
      </c>
      <c r="K177" s="2" t="s">
        <v>132</v>
      </c>
    </row>
    <row r="178" spans="1:13" x14ac:dyDescent="0.25">
      <c r="A178" s="2" t="s">
        <v>787</v>
      </c>
      <c r="B178" s="2" t="s">
        <v>4</v>
      </c>
      <c r="C178" s="2" t="s">
        <v>788</v>
      </c>
      <c r="D178" s="2" t="s">
        <v>789</v>
      </c>
      <c r="E178" s="2" t="s">
        <v>790</v>
      </c>
      <c r="F178" s="2">
        <v>7.7923079270582898</v>
      </c>
      <c r="G178" s="2">
        <v>52</v>
      </c>
      <c r="H178" s="2">
        <v>3000</v>
      </c>
      <c r="I178" s="2" t="s">
        <v>248</v>
      </c>
      <c r="J178" s="2" t="s">
        <v>249</v>
      </c>
      <c r="K178" s="2" t="s">
        <v>250</v>
      </c>
    </row>
    <row r="179" spans="1:13" x14ac:dyDescent="0.25">
      <c r="A179" s="2" t="s">
        <v>791</v>
      </c>
      <c r="B179" s="2" t="s">
        <v>5</v>
      </c>
      <c r="C179" s="2" t="s">
        <v>298</v>
      </c>
      <c r="D179" s="2" t="s">
        <v>792</v>
      </c>
      <c r="E179" s="2" t="s">
        <v>793</v>
      </c>
      <c r="F179" s="2">
        <v>0</v>
      </c>
      <c r="G179" s="2">
        <v>0</v>
      </c>
      <c r="H179" s="2">
        <v>3000</v>
      </c>
      <c r="I179" s="2" t="s">
        <v>211</v>
      </c>
      <c r="J179" s="2" t="s">
        <v>135</v>
      </c>
      <c r="K179" s="2" t="s">
        <v>212</v>
      </c>
      <c r="L179" s="2" t="s">
        <v>44</v>
      </c>
      <c r="M179" s="2" t="s">
        <v>794</v>
      </c>
    </row>
    <row r="180" spans="1:13" x14ac:dyDescent="0.25">
      <c r="A180" s="2" t="s">
        <v>795</v>
      </c>
      <c r="B180" s="2" t="s">
        <v>4</v>
      </c>
      <c r="C180" s="2" t="s">
        <v>195</v>
      </c>
      <c r="D180" s="2" t="s">
        <v>196</v>
      </c>
      <c r="E180" s="2" t="s">
        <v>197</v>
      </c>
      <c r="F180" s="2">
        <v>4.4250001907348597</v>
      </c>
      <c r="G180" s="2">
        <v>16</v>
      </c>
      <c r="H180" s="2">
        <v>3000</v>
      </c>
      <c r="I180" s="2" t="s">
        <v>211</v>
      </c>
      <c r="J180" s="2" t="s">
        <v>135</v>
      </c>
      <c r="K180" s="2" t="s">
        <v>212</v>
      </c>
    </row>
    <row r="181" spans="1:13" x14ac:dyDescent="0.25">
      <c r="A181" s="2" t="s">
        <v>796</v>
      </c>
      <c r="B181" s="2" t="s">
        <v>3</v>
      </c>
      <c r="C181" s="2" t="s">
        <v>797</v>
      </c>
      <c r="D181" s="2" t="s">
        <v>798</v>
      </c>
      <c r="E181" s="2" t="s">
        <v>179</v>
      </c>
      <c r="F181" s="2">
        <v>0</v>
      </c>
      <c r="G181" s="2">
        <v>0</v>
      </c>
      <c r="H181" s="2">
        <v>3000</v>
      </c>
      <c r="I181" s="2" t="s">
        <v>232</v>
      </c>
      <c r="J181" s="2" t="s">
        <v>62</v>
      </c>
      <c r="K181" s="2" t="s">
        <v>72</v>
      </c>
    </row>
    <row r="182" spans="1:13" x14ac:dyDescent="0.25">
      <c r="A182" s="2" t="s">
        <v>799</v>
      </c>
      <c r="B182" s="2" t="s">
        <v>4</v>
      </c>
      <c r="C182" s="2" t="s">
        <v>198</v>
      </c>
      <c r="D182" s="2" t="s">
        <v>800</v>
      </c>
      <c r="E182" s="2" t="s">
        <v>801</v>
      </c>
      <c r="F182" s="2">
        <v>3.70000004768371</v>
      </c>
      <c r="G182" s="2">
        <v>2</v>
      </c>
      <c r="H182" s="2">
        <v>3000</v>
      </c>
      <c r="I182" s="2" t="s">
        <v>211</v>
      </c>
      <c r="J182" s="2" t="s">
        <v>212</v>
      </c>
      <c r="K182" s="2" t="s">
        <v>135</v>
      </c>
    </row>
    <row r="183" spans="1:13" x14ac:dyDescent="0.25">
      <c r="A183" s="2" t="s">
        <v>802</v>
      </c>
      <c r="B183" s="2" t="s">
        <v>3</v>
      </c>
      <c r="C183" s="2" t="s">
        <v>193</v>
      </c>
      <c r="D183" s="2" t="s">
        <v>803</v>
      </c>
      <c r="E183" s="2" t="s">
        <v>804</v>
      </c>
      <c r="F183" s="2">
        <v>3</v>
      </c>
      <c r="G183" s="2">
        <v>2</v>
      </c>
      <c r="H183" s="2">
        <v>3000</v>
      </c>
      <c r="I183" s="2" t="s">
        <v>294</v>
      </c>
      <c r="J183" s="2" t="s">
        <v>295</v>
      </c>
      <c r="K183" s="2" t="s">
        <v>296</v>
      </c>
    </row>
    <row r="184" spans="1:13" x14ac:dyDescent="0.25">
      <c r="A184" s="2" t="s">
        <v>805</v>
      </c>
      <c r="B184" s="2" t="s">
        <v>4</v>
      </c>
      <c r="C184" s="2" t="s">
        <v>806</v>
      </c>
      <c r="D184" s="2" t="s">
        <v>807</v>
      </c>
      <c r="E184" s="2" t="s">
        <v>808</v>
      </c>
      <c r="F184" s="2">
        <v>6.3000001907348597</v>
      </c>
      <c r="G184" s="2">
        <v>2</v>
      </c>
      <c r="H184" s="2">
        <v>3000</v>
      </c>
      <c r="I184" s="2" t="s">
        <v>294</v>
      </c>
      <c r="J184" s="2" t="s">
        <v>295</v>
      </c>
      <c r="K184" s="2" t="s">
        <v>296</v>
      </c>
    </row>
    <row r="185" spans="1:13" x14ac:dyDescent="0.25">
      <c r="A185" s="2" t="s">
        <v>809</v>
      </c>
      <c r="B185" s="2" t="s">
        <v>3</v>
      </c>
      <c r="C185" s="2" t="s">
        <v>155</v>
      </c>
      <c r="D185" s="2" t="s">
        <v>810</v>
      </c>
      <c r="E185" s="2" t="s">
        <v>811</v>
      </c>
      <c r="F185" s="2">
        <v>0</v>
      </c>
      <c r="G185" s="2">
        <v>0</v>
      </c>
      <c r="H185" s="2">
        <v>3000</v>
      </c>
      <c r="I185" s="2" t="s">
        <v>206</v>
      </c>
      <c r="J185" s="2" t="s">
        <v>207</v>
      </c>
      <c r="K185" s="2" t="s">
        <v>59</v>
      </c>
    </row>
    <row r="186" spans="1:13" x14ac:dyDescent="0.25">
      <c r="A186" s="2" t="s">
        <v>812</v>
      </c>
      <c r="B186" s="2" t="s">
        <v>4</v>
      </c>
      <c r="C186" s="2" t="s">
        <v>52</v>
      </c>
      <c r="D186" s="2" t="s">
        <v>199</v>
      </c>
      <c r="E186" s="2" t="s">
        <v>200</v>
      </c>
      <c r="F186" s="2">
        <v>14.199999809265099</v>
      </c>
      <c r="G186" s="2">
        <v>1</v>
      </c>
      <c r="H186" s="2">
        <v>3000</v>
      </c>
      <c r="I186" s="2" t="s">
        <v>223</v>
      </c>
      <c r="J186" s="2" t="s">
        <v>224</v>
      </c>
      <c r="K186" s="2" t="s">
        <v>225</v>
      </c>
    </row>
    <row r="187" spans="1:13" x14ac:dyDescent="0.25">
      <c r="A187" s="2" t="s">
        <v>813</v>
      </c>
      <c r="B187" s="2" t="s">
        <v>3</v>
      </c>
      <c r="C187" s="2" t="s">
        <v>759</v>
      </c>
      <c r="D187" s="2" t="s">
        <v>814</v>
      </c>
      <c r="E187" s="2" t="s">
        <v>815</v>
      </c>
      <c r="F187" s="2">
        <v>0</v>
      </c>
      <c r="G187" s="2">
        <v>0</v>
      </c>
      <c r="H187" s="2">
        <v>3000</v>
      </c>
      <c r="I187" s="2" t="s">
        <v>223</v>
      </c>
      <c r="J187" s="2" t="s">
        <v>224</v>
      </c>
      <c r="K187" s="2" t="s">
        <v>225</v>
      </c>
    </row>
    <row r="188" spans="1:13" x14ac:dyDescent="0.25">
      <c r="A188" s="2" t="s">
        <v>816</v>
      </c>
      <c r="B188" s="2" t="s">
        <v>4</v>
      </c>
      <c r="C188" s="2" t="s">
        <v>817</v>
      </c>
      <c r="D188" s="2" t="s">
        <v>818</v>
      </c>
      <c r="E188" s="2" t="s">
        <v>819</v>
      </c>
      <c r="F188" s="2">
        <v>8.6000003814697195</v>
      </c>
      <c r="G188" s="2">
        <v>2</v>
      </c>
      <c r="H188" s="2">
        <v>3000</v>
      </c>
      <c r="I188" s="2" t="s">
        <v>232</v>
      </c>
      <c r="J188" s="2" t="s">
        <v>62</v>
      </c>
      <c r="K188" s="2" t="s">
        <v>72</v>
      </c>
    </row>
    <row r="189" spans="1:13" x14ac:dyDescent="0.25">
      <c r="A189" s="2" t="s">
        <v>820</v>
      </c>
      <c r="B189" s="2" t="s">
        <v>6</v>
      </c>
      <c r="C189" s="2" t="s">
        <v>821</v>
      </c>
      <c r="D189" s="2" t="s">
        <v>822</v>
      </c>
      <c r="E189" s="2" t="s">
        <v>823</v>
      </c>
      <c r="F189" s="2">
        <v>0</v>
      </c>
      <c r="G189" s="2">
        <v>0</v>
      </c>
      <c r="H189" s="2">
        <v>3000</v>
      </c>
      <c r="I189" s="2" t="s">
        <v>294</v>
      </c>
      <c r="J189" s="2" t="s">
        <v>296</v>
      </c>
      <c r="K189" s="2" t="s">
        <v>295</v>
      </c>
    </row>
    <row r="190" spans="1:13" x14ac:dyDescent="0.25">
      <c r="A190" s="2" t="s">
        <v>824</v>
      </c>
      <c r="B190" s="2" t="s">
        <v>3</v>
      </c>
      <c r="C190" s="2" t="s">
        <v>288</v>
      </c>
      <c r="D190" s="2" t="s">
        <v>825</v>
      </c>
      <c r="E190" s="2" t="s">
        <v>826</v>
      </c>
      <c r="F190" s="2">
        <v>0</v>
      </c>
      <c r="G190" s="2">
        <v>0</v>
      </c>
      <c r="H190" s="2">
        <v>3000</v>
      </c>
      <c r="I190" s="2" t="s">
        <v>248</v>
      </c>
      <c r="J190" s="2" t="s">
        <v>250</v>
      </c>
      <c r="K190" s="2" t="s">
        <v>249</v>
      </c>
      <c r="L190" s="2" t="s">
        <v>44</v>
      </c>
      <c r="M190" s="2" t="s">
        <v>827</v>
      </c>
    </row>
    <row r="191" spans="1:13" x14ac:dyDescent="0.25">
      <c r="A191" s="2" t="s">
        <v>828</v>
      </c>
      <c r="B191" s="2" t="s">
        <v>6</v>
      </c>
      <c r="C191" s="2" t="s">
        <v>829</v>
      </c>
      <c r="D191" s="2" t="s">
        <v>830</v>
      </c>
      <c r="E191" s="2" t="s">
        <v>51</v>
      </c>
      <c r="F191" s="2">
        <v>5.5599998474121097</v>
      </c>
      <c r="G191" s="2">
        <v>10</v>
      </c>
      <c r="H191" s="2">
        <v>3000</v>
      </c>
      <c r="I191" s="2" t="s">
        <v>216</v>
      </c>
      <c r="J191" s="2" t="s">
        <v>217</v>
      </c>
      <c r="K191" s="2" t="s">
        <v>218</v>
      </c>
    </row>
    <row r="192" spans="1:13" x14ac:dyDescent="0.25">
      <c r="A192" s="2" t="s">
        <v>831</v>
      </c>
      <c r="B192" s="2" t="s">
        <v>5</v>
      </c>
      <c r="C192" s="2" t="s">
        <v>832</v>
      </c>
      <c r="D192" s="2" t="s">
        <v>833</v>
      </c>
      <c r="E192" s="2" t="s">
        <v>834</v>
      </c>
      <c r="F192" s="2">
        <v>0</v>
      </c>
      <c r="G192" s="2">
        <v>0</v>
      </c>
      <c r="H192" s="2">
        <v>3000</v>
      </c>
      <c r="I192" s="2" t="s">
        <v>216</v>
      </c>
      <c r="J192" s="2" t="s">
        <v>218</v>
      </c>
      <c r="K192" s="2" t="s">
        <v>217</v>
      </c>
    </row>
    <row r="193" spans="1:11" x14ac:dyDescent="0.25">
      <c r="A193" s="2" t="s">
        <v>835</v>
      </c>
      <c r="B193" s="2" t="s">
        <v>6</v>
      </c>
      <c r="C193" s="2" t="s">
        <v>182</v>
      </c>
      <c r="D193" s="2" t="s">
        <v>183</v>
      </c>
      <c r="E193" s="2" t="s">
        <v>184</v>
      </c>
      <c r="F193" s="2">
        <v>7.7</v>
      </c>
      <c r="G193" s="2">
        <v>5</v>
      </c>
      <c r="H193" s="2">
        <v>3000</v>
      </c>
      <c r="I193" s="2" t="s">
        <v>209</v>
      </c>
      <c r="J193" s="2" t="s">
        <v>132</v>
      </c>
      <c r="K193" s="2" t="s">
        <v>60</v>
      </c>
    </row>
    <row r="194" spans="1:11" x14ac:dyDescent="0.25">
      <c r="A194" s="2" t="s">
        <v>836</v>
      </c>
      <c r="B194" s="2" t="s">
        <v>4</v>
      </c>
      <c r="C194" s="2" t="s">
        <v>96</v>
      </c>
      <c r="D194" s="2" t="s">
        <v>837</v>
      </c>
      <c r="E194" s="2" t="s">
        <v>838</v>
      </c>
      <c r="F194" s="2">
        <v>4.3666667938232404</v>
      </c>
      <c r="G194" s="2">
        <v>12</v>
      </c>
      <c r="H194" s="2">
        <v>3000</v>
      </c>
      <c r="I194" s="2" t="s">
        <v>206</v>
      </c>
      <c r="J194" s="2" t="s">
        <v>59</v>
      </c>
      <c r="K194" s="2" t="s">
        <v>207</v>
      </c>
    </row>
    <row r="195" spans="1:11" x14ac:dyDescent="0.25">
      <c r="A195" s="2" t="s">
        <v>839</v>
      </c>
      <c r="B195" s="2" t="s">
        <v>3</v>
      </c>
      <c r="C195" s="2" t="s">
        <v>377</v>
      </c>
      <c r="D195" s="2" t="s">
        <v>840</v>
      </c>
      <c r="E195" s="2" t="s">
        <v>841</v>
      </c>
      <c r="F195" s="2">
        <v>10.816666920979801</v>
      </c>
      <c r="G195" s="2">
        <v>6</v>
      </c>
      <c r="H195" s="2">
        <v>3000</v>
      </c>
      <c r="I195" s="2" t="s">
        <v>206</v>
      </c>
      <c r="J195" s="2" t="s">
        <v>59</v>
      </c>
      <c r="K195" s="2" t="s">
        <v>207</v>
      </c>
    </row>
    <row r="196" spans="1:11" x14ac:dyDescent="0.25">
      <c r="A196" s="2" t="s">
        <v>842</v>
      </c>
      <c r="B196" s="2" t="s">
        <v>7</v>
      </c>
      <c r="C196" s="2" t="s">
        <v>843</v>
      </c>
      <c r="D196" s="2" t="s">
        <v>844</v>
      </c>
      <c r="E196" s="2" t="s">
        <v>372</v>
      </c>
      <c r="F196" s="2">
        <v>5.3499999046325604</v>
      </c>
      <c r="G196" s="2">
        <v>2</v>
      </c>
      <c r="H196" s="2">
        <v>3000</v>
      </c>
      <c r="I196" s="2" t="s">
        <v>294</v>
      </c>
      <c r="J196" s="2" t="s">
        <v>296</v>
      </c>
      <c r="K196" s="2" t="s">
        <v>295</v>
      </c>
    </row>
    <row r="197" spans="1:11" x14ac:dyDescent="0.25">
      <c r="A197" s="2" t="s">
        <v>845</v>
      </c>
      <c r="B197" s="2" t="s">
        <v>4</v>
      </c>
      <c r="C197" s="2" t="s">
        <v>193</v>
      </c>
      <c r="D197" s="2" t="s">
        <v>846</v>
      </c>
      <c r="E197" s="2" t="s">
        <v>847</v>
      </c>
      <c r="F197" s="2">
        <v>0</v>
      </c>
      <c r="G197" s="2">
        <v>0</v>
      </c>
      <c r="H197" s="2">
        <v>3000</v>
      </c>
      <c r="I197" s="2" t="s">
        <v>211</v>
      </c>
      <c r="J197" s="2" t="s">
        <v>212</v>
      </c>
      <c r="K197" s="2" t="s">
        <v>135</v>
      </c>
    </row>
    <row r="198" spans="1:11" x14ac:dyDescent="0.25">
      <c r="A198" s="2" t="s">
        <v>848</v>
      </c>
      <c r="B198" s="2" t="s">
        <v>6</v>
      </c>
      <c r="C198" s="2" t="s">
        <v>849</v>
      </c>
      <c r="D198" s="2" t="s">
        <v>850</v>
      </c>
      <c r="E198" s="2" t="s">
        <v>851</v>
      </c>
      <c r="F198" s="2">
        <v>13.3272732821377</v>
      </c>
      <c r="G198" s="2">
        <v>22</v>
      </c>
      <c r="H198" s="2">
        <v>3000</v>
      </c>
      <c r="I198" s="2" t="s">
        <v>294</v>
      </c>
      <c r="J198" s="2" t="s">
        <v>296</v>
      </c>
      <c r="K198" s="2" t="s">
        <v>295</v>
      </c>
    </row>
    <row r="199" spans="1:11" x14ac:dyDescent="0.25">
      <c r="A199" s="2" t="s">
        <v>852</v>
      </c>
      <c r="B199" s="2" t="s">
        <v>5</v>
      </c>
      <c r="C199" s="2" t="s">
        <v>104</v>
      </c>
      <c r="D199" s="2" t="s">
        <v>187</v>
      </c>
      <c r="E199" s="2" t="s">
        <v>46</v>
      </c>
      <c r="F199" s="2">
        <v>3.20000004768371</v>
      </c>
      <c r="G199" s="2">
        <v>1</v>
      </c>
      <c r="H199" s="2">
        <v>3000</v>
      </c>
      <c r="I199" s="2" t="s">
        <v>209</v>
      </c>
      <c r="J199" s="2" t="s">
        <v>132</v>
      </c>
      <c r="K199" s="2" t="s">
        <v>60</v>
      </c>
    </row>
    <row r="200" spans="1:11" x14ac:dyDescent="0.25">
      <c r="A200" s="2" t="s">
        <v>853</v>
      </c>
      <c r="B200" s="2" t="s">
        <v>5</v>
      </c>
      <c r="C200" s="2" t="s">
        <v>854</v>
      </c>
      <c r="D200" s="2" t="s">
        <v>855</v>
      </c>
      <c r="E200" s="2" t="s">
        <v>856</v>
      </c>
      <c r="F200" s="2">
        <v>0</v>
      </c>
      <c r="G200" s="2">
        <v>2</v>
      </c>
      <c r="H200" s="2">
        <v>3000</v>
      </c>
      <c r="I200" s="2" t="s">
        <v>211</v>
      </c>
      <c r="J200" s="2" t="s">
        <v>212</v>
      </c>
      <c r="K200" s="2" t="s">
        <v>135</v>
      </c>
    </row>
    <row r="201" spans="1:11" x14ac:dyDescent="0.25">
      <c r="A201" s="2" t="s">
        <v>857</v>
      </c>
      <c r="B201" s="2" t="s">
        <v>7</v>
      </c>
      <c r="C201" s="2" t="s">
        <v>858</v>
      </c>
      <c r="D201" s="2" t="s">
        <v>859</v>
      </c>
      <c r="E201" s="2" t="s">
        <v>860</v>
      </c>
      <c r="F201" s="2">
        <v>7.7666664123535103</v>
      </c>
      <c r="G201" s="2">
        <v>3</v>
      </c>
      <c r="H201" s="2">
        <v>3000</v>
      </c>
      <c r="I201" s="2" t="s">
        <v>248</v>
      </c>
      <c r="J201" s="2" t="s">
        <v>249</v>
      </c>
      <c r="K201" s="2" t="s">
        <v>250</v>
      </c>
    </row>
    <row r="202" spans="1:11" x14ac:dyDescent="0.25">
      <c r="A202" s="2" t="s">
        <v>861</v>
      </c>
      <c r="B202" s="2" t="s">
        <v>3</v>
      </c>
      <c r="C202" s="2" t="s">
        <v>862</v>
      </c>
      <c r="D202" s="2" t="s">
        <v>863</v>
      </c>
      <c r="E202" s="2" t="s">
        <v>348</v>
      </c>
      <c r="F202" s="2">
        <v>6.4499998092651296</v>
      </c>
      <c r="G202" s="2">
        <v>2</v>
      </c>
      <c r="H202" s="2">
        <v>3000</v>
      </c>
      <c r="I202" s="2" t="s">
        <v>209</v>
      </c>
      <c r="J202" s="2" t="s">
        <v>60</v>
      </c>
      <c r="K202" s="2" t="s">
        <v>132</v>
      </c>
    </row>
    <row r="203" spans="1:11" x14ac:dyDescent="0.25">
      <c r="A203" s="2" t="s">
        <v>864</v>
      </c>
      <c r="B203" s="2" t="s">
        <v>7</v>
      </c>
      <c r="C203" s="2" t="s">
        <v>865</v>
      </c>
      <c r="D203" s="2" t="s">
        <v>866</v>
      </c>
      <c r="E203" s="2" t="s">
        <v>867</v>
      </c>
      <c r="F203" s="2">
        <v>0</v>
      </c>
      <c r="G203" s="2">
        <v>0</v>
      </c>
      <c r="H203" s="2">
        <v>3000</v>
      </c>
      <c r="I203" s="2" t="s">
        <v>248</v>
      </c>
      <c r="J203" s="2" t="s">
        <v>249</v>
      </c>
      <c r="K203" s="2" t="s">
        <v>250</v>
      </c>
    </row>
    <row r="204" spans="1:11" x14ac:dyDescent="0.25">
      <c r="A204" s="2" t="s">
        <v>868</v>
      </c>
      <c r="B204" s="2" t="s">
        <v>5</v>
      </c>
      <c r="C204" s="2" t="s">
        <v>869</v>
      </c>
      <c r="D204" s="2" t="s">
        <v>870</v>
      </c>
      <c r="E204" s="2" t="s">
        <v>871</v>
      </c>
      <c r="F204" s="2">
        <v>8.2836733448262105</v>
      </c>
      <c r="G204" s="2">
        <v>49</v>
      </c>
      <c r="H204" s="2">
        <v>3000</v>
      </c>
      <c r="I204" s="2" t="s">
        <v>232</v>
      </c>
      <c r="J204" s="2" t="s">
        <v>62</v>
      </c>
      <c r="K204" s="2" t="s">
        <v>72</v>
      </c>
    </row>
    <row r="205" spans="1:11" x14ac:dyDescent="0.25">
      <c r="A205" s="2" t="s">
        <v>872</v>
      </c>
      <c r="B205" s="2" t="s">
        <v>6</v>
      </c>
      <c r="C205" s="2" t="s">
        <v>873</v>
      </c>
      <c r="D205" s="2" t="s">
        <v>874</v>
      </c>
      <c r="E205" s="2" t="s">
        <v>875</v>
      </c>
      <c r="F205" s="2">
        <v>5.5999999046325604</v>
      </c>
      <c r="G205" s="2">
        <v>1</v>
      </c>
      <c r="H205" s="2">
        <v>3000</v>
      </c>
      <c r="I205" s="2" t="s">
        <v>209</v>
      </c>
      <c r="J205" s="2" t="s">
        <v>132</v>
      </c>
      <c r="K205" s="2" t="s">
        <v>60</v>
      </c>
    </row>
    <row r="206" spans="1:11" x14ac:dyDescent="0.25">
      <c r="A206" s="2" t="s">
        <v>876</v>
      </c>
      <c r="B206" s="2" t="s">
        <v>3</v>
      </c>
      <c r="C206" s="2" t="s">
        <v>63</v>
      </c>
      <c r="D206" s="2" t="s">
        <v>106</v>
      </c>
      <c r="E206" s="2" t="s">
        <v>64</v>
      </c>
      <c r="F206" s="2">
        <v>8.6000003814697195</v>
      </c>
      <c r="G206" s="2">
        <v>2</v>
      </c>
      <c r="H206" s="2">
        <v>3000</v>
      </c>
      <c r="I206" s="2" t="s">
        <v>232</v>
      </c>
      <c r="J206" s="2" t="s">
        <v>62</v>
      </c>
      <c r="K206" s="2" t="s">
        <v>72</v>
      </c>
    </row>
    <row r="207" spans="1:11" x14ac:dyDescent="0.25">
      <c r="A207" s="2" t="s">
        <v>877</v>
      </c>
      <c r="B207" s="2" t="s">
        <v>4</v>
      </c>
      <c r="C207" s="2" t="s">
        <v>156</v>
      </c>
      <c r="D207" s="2" t="s">
        <v>878</v>
      </c>
      <c r="E207" s="2" t="s">
        <v>879</v>
      </c>
      <c r="F207" s="2">
        <v>5.9000000953674299</v>
      </c>
      <c r="G207" s="2">
        <v>2</v>
      </c>
      <c r="H207" s="2">
        <v>3000</v>
      </c>
      <c r="I207" s="2" t="s">
        <v>248</v>
      </c>
      <c r="J207" s="2" t="s">
        <v>250</v>
      </c>
      <c r="K207" s="2" t="s">
        <v>249</v>
      </c>
    </row>
    <row r="208" spans="1:11" x14ac:dyDescent="0.25">
      <c r="A208" s="2" t="s">
        <v>880</v>
      </c>
      <c r="B208" s="2" t="s">
        <v>3</v>
      </c>
      <c r="C208" s="2" t="s">
        <v>136</v>
      </c>
      <c r="D208" s="2" t="s">
        <v>191</v>
      </c>
      <c r="E208" s="2" t="s">
        <v>192</v>
      </c>
      <c r="F208" s="2">
        <v>0</v>
      </c>
      <c r="G208" s="2">
        <v>1</v>
      </c>
      <c r="H208" s="2">
        <v>3000</v>
      </c>
      <c r="I208" s="2" t="s">
        <v>223</v>
      </c>
      <c r="J208" s="2" t="s">
        <v>225</v>
      </c>
      <c r="K208" s="2" t="s">
        <v>224</v>
      </c>
    </row>
    <row r="209" spans="1:13" x14ac:dyDescent="0.25">
      <c r="A209" s="2" t="s">
        <v>881</v>
      </c>
      <c r="B209" s="2" t="s">
        <v>4</v>
      </c>
      <c r="C209" s="2" t="s">
        <v>71</v>
      </c>
      <c r="D209" s="2" t="s">
        <v>110</v>
      </c>
      <c r="E209" s="2" t="s">
        <v>111</v>
      </c>
      <c r="F209" s="2">
        <v>2.4000000953674299</v>
      </c>
      <c r="G209" s="2">
        <v>1</v>
      </c>
      <c r="H209" s="2">
        <v>3000</v>
      </c>
      <c r="I209" s="2" t="s">
        <v>232</v>
      </c>
      <c r="J209" s="2" t="s">
        <v>72</v>
      </c>
      <c r="K209" s="2" t="s">
        <v>62</v>
      </c>
    </row>
    <row r="210" spans="1:13" x14ac:dyDescent="0.25">
      <c r="A210" s="2" t="s">
        <v>882</v>
      </c>
      <c r="B210" s="2" t="s">
        <v>4</v>
      </c>
      <c r="C210" s="2" t="s">
        <v>883</v>
      </c>
      <c r="D210" s="2" t="s">
        <v>884</v>
      </c>
      <c r="E210" s="2" t="s">
        <v>885</v>
      </c>
      <c r="F210" s="2">
        <v>10.699999809265099</v>
      </c>
      <c r="G210" s="2">
        <v>1</v>
      </c>
      <c r="H210" s="2">
        <v>3000</v>
      </c>
      <c r="I210" s="2" t="s">
        <v>216</v>
      </c>
      <c r="J210" s="2" t="s">
        <v>218</v>
      </c>
      <c r="K210" s="2" t="s">
        <v>217</v>
      </c>
    </row>
    <row r="211" spans="1:13" x14ac:dyDescent="0.25">
      <c r="A211" s="2" t="s">
        <v>886</v>
      </c>
      <c r="B211" s="2" t="s">
        <v>7</v>
      </c>
      <c r="C211" s="2" t="s">
        <v>887</v>
      </c>
      <c r="D211" s="2" t="s">
        <v>888</v>
      </c>
      <c r="E211" s="2" t="s">
        <v>122</v>
      </c>
      <c r="F211" s="2">
        <v>0</v>
      </c>
      <c r="G211" s="2">
        <v>0</v>
      </c>
      <c r="H211" s="2">
        <v>3000</v>
      </c>
      <c r="I211" s="2" t="s">
        <v>209</v>
      </c>
      <c r="J211" s="2" t="s">
        <v>60</v>
      </c>
      <c r="K211" s="2" t="s">
        <v>132</v>
      </c>
    </row>
    <row r="212" spans="1:13" x14ac:dyDescent="0.25">
      <c r="A212" s="2" t="s">
        <v>889</v>
      </c>
      <c r="B212" s="2" t="s">
        <v>7</v>
      </c>
      <c r="C212" s="2" t="s">
        <v>890</v>
      </c>
      <c r="D212" s="2" t="s">
        <v>891</v>
      </c>
      <c r="E212" s="2" t="s">
        <v>892</v>
      </c>
      <c r="F212" s="2">
        <v>3.20000004768371</v>
      </c>
      <c r="G212" s="2">
        <v>1</v>
      </c>
      <c r="H212" s="2">
        <v>3000</v>
      </c>
      <c r="I212" s="2" t="s">
        <v>206</v>
      </c>
      <c r="J212" s="2" t="s">
        <v>59</v>
      </c>
      <c r="K212" s="2" t="s">
        <v>207</v>
      </c>
    </row>
    <row r="213" spans="1:13" x14ac:dyDescent="0.25">
      <c r="A213" s="2" t="s">
        <v>893</v>
      </c>
      <c r="B213" s="2" t="s">
        <v>3</v>
      </c>
      <c r="C213" s="2" t="s">
        <v>894</v>
      </c>
      <c r="D213" s="2" t="s">
        <v>895</v>
      </c>
      <c r="E213" s="2" t="s">
        <v>896</v>
      </c>
      <c r="F213" s="2">
        <v>2</v>
      </c>
      <c r="G213" s="2">
        <v>1</v>
      </c>
      <c r="H213" s="2">
        <v>3000</v>
      </c>
      <c r="I213" s="2" t="s">
        <v>216</v>
      </c>
      <c r="J213" s="2" t="s">
        <v>217</v>
      </c>
      <c r="K213" s="2" t="s">
        <v>218</v>
      </c>
    </row>
    <row r="214" spans="1:13" x14ac:dyDescent="0.25">
      <c r="A214" s="2" t="s">
        <v>897</v>
      </c>
      <c r="B214" s="2" t="s">
        <v>7</v>
      </c>
      <c r="C214" s="2" t="s">
        <v>94</v>
      </c>
      <c r="D214" s="2" t="s">
        <v>898</v>
      </c>
      <c r="E214" s="2" t="s">
        <v>899</v>
      </c>
      <c r="F214" s="2">
        <v>9.5500001907348597</v>
      </c>
      <c r="G214" s="2">
        <v>2</v>
      </c>
      <c r="H214" s="2">
        <v>3000</v>
      </c>
      <c r="I214" s="2" t="s">
        <v>223</v>
      </c>
      <c r="J214" s="2" t="s">
        <v>224</v>
      </c>
      <c r="K214" s="2" t="s">
        <v>225</v>
      </c>
    </row>
    <row r="215" spans="1:13" x14ac:dyDescent="0.25">
      <c r="A215" s="2" t="s">
        <v>900</v>
      </c>
      <c r="B215" s="2" t="s">
        <v>6</v>
      </c>
      <c r="C215" s="2" t="s">
        <v>129</v>
      </c>
      <c r="D215" s="2" t="s">
        <v>901</v>
      </c>
      <c r="E215" s="2" t="s">
        <v>605</v>
      </c>
      <c r="F215" s="2">
        <v>7.1444444444444404</v>
      </c>
      <c r="G215" s="2">
        <v>45</v>
      </c>
      <c r="H215" s="2">
        <v>3000</v>
      </c>
      <c r="I215" s="2" t="s">
        <v>223</v>
      </c>
      <c r="J215" s="2" t="s">
        <v>225</v>
      </c>
      <c r="K215" s="2" t="s">
        <v>224</v>
      </c>
      <c r="L215" s="2" t="s">
        <v>44</v>
      </c>
      <c r="M215" s="2" t="s">
        <v>240</v>
      </c>
    </row>
    <row r="216" spans="1:13" x14ac:dyDescent="0.25">
      <c r="A216" s="2" t="s">
        <v>902</v>
      </c>
      <c r="B216" s="2" t="s">
        <v>5</v>
      </c>
      <c r="C216" s="2" t="s">
        <v>903</v>
      </c>
      <c r="D216" s="2" t="s">
        <v>904</v>
      </c>
      <c r="E216" s="2" t="s">
        <v>905</v>
      </c>
      <c r="F216" s="2">
        <v>3.20000004768371</v>
      </c>
      <c r="G216" s="2">
        <v>1</v>
      </c>
      <c r="H216" s="2">
        <v>3000</v>
      </c>
      <c r="I216" s="2" t="s">
        <v>216</v>
      </c>
      <c r="J216" s="2" t="s">
        <v>217</v>
      </c>
      <c r="K216" s="2" t="s">
        <v>218</v>
      </c>
      <c r="L216" s="2" t="s">
        <v>226</v>
      </c>
      <c r="M216" s="2" t="s">
        <v>260</v>
      </c>
    </row>
    <row r="217" spans="1:13" x14ac:dyDescent="0.25">
      <c r="A217" s="2" t="s">
        <v>906</v>
      </c>
      <c r="B217" s="2" t="s">
        <v>6</v>
      </c>
      <c r="C217" s="2" t="s">
        <v>907</v>
      </c>
      <c r="D217" s="2" t="s">
        <v>908</v>
      </c>
      <c r="E217" s="2" t="s">
        <v>909</v>
      </c>
      <c r="F217" s="2">
        <v>5.8727271340109999</v>
      </c>
      <c r="G217" s="2">
        <v>22</v>
      </c>
      <c r="H217" s="2">
        <v>3000</v>
      </c>
      <c r="I217" s="2" t="s">
        <v>223</v>
      </c>
      <c r="J217" s="2" t="s">
        <v>224</v>
      </c>
      <c r="K217" s="2" t="s">
        <v>225</v>
      </c>
    </row>
    <row r="218" spans="1:13" x14ac:dyDescent="0.25">
      <c r="A218" s="2" t="s">
        <v>910</v>
      </c>
      <c r="B218" s="2" t="s">
        <v>7</v>
      </c>
      <c r="C218" s="2" t="s">
        <v>112</v>
      </c>
      <c r="D218" s="2" t="s">
        <v>113</v>
      </c>
      <c r="E218" s="2" t="s">
        <v>114</v>
      </c>
      <c r="F218" s="2">
        <v>3.20000004768371</v>
      </c>
      <c r="G218" s="2">
        <v>2</v>
      </c>
      <c r="H218" s="2">
        <v>3000</v>
      </c>
      <c r="I218" s="2" t="s">
        <v>232</v>
      </c>
      <c r="J218" s="2" t="s">
        <v>72</v>
      </c>
      <c r="K218" s="2" t="s">
        <v>62</v>
      </c>
    </row>
    <row r="219" spans="1:13" x14ac:dyDescent="0.25">
      <c r="A219" s="2" t="s">
        <v>911</v>
      </c>
      <c r="B219" s="2" t="s">
        <v>7</v>
      </c>
      <c r="C219" s="2" t="s">
        <v>912</v>
      </c>
      <c r="D219" s="2" t="s">
        <v>913</v>
      </c>
      <c r="E219" s="2" t="s">
        <v>914</v>
      </c>
      <c r="F219" s="2">
        <v>2</v>
      </c>
      <c r="G219" s="2">
        <v>1</v>
      </c>
      <c r="H219" s="2">
        <v>3000</v>
      </c>
      <c r="I219" s="2" t="s">
        <v>248</v>
      </c>
      <c r="J219" s="2" t="s">
        <v>249</v>
      </c>
      <c r="K219" s="2" t="s">
        <v>250</v>
      </c>
    </row>
    <row r="220" spans="1:13" x14ac:dyDescent="0.25">
      <c r="A220" s="2" t="s">
        <v>915</v>
      </c>
      <c r="B220" s="2" t="s">
        <v>4</v>
      </c>
      <c r="C220" s="2" t="s">
        <v>916</v>
      </c>
      <c r="D220" s="2" t="s">
        <v>917</v>
      </c>
      <c r="E220" s="2" t="s">
        <v>761</v>
      </c>
      <c r="F220" s="2">
        <v>7.7114283970424102</v>
      </c>
      <c r="G220" s="2">
        <v>35</v>
      </c>
      <c r="H220" s="2">
        <v>3000</v>
      </c>
      <c r="I220" s="2" t="s">
        <v>223</v>
      </c>
      <c r="J220" s="2" t="s">
        <v>224</v>
      </c>
      <c r="K220" s="2" t="s">
        <v>225</v>
      </c>
    </row>
    <row r="221" spans="1:13" x14ac:dyDescent="0.25">
      <c r="A221" s="2" t="s">
        <v>918</v>
      </c>
      <c r="B221" s="2" t="s">
        <v>6</v>
      </c>
      <c r="C221" s="2" t="s">
        <v>919</v>
      </c>
      <c r="D221" s="2" t="s">
        <v>920</v>
      </c>
      <c r="E221" s="2" t="s">
        <v>921</v>
      </c>
      <c r="F221" s="2">
        <v>10.899999618530201</v>
      </c>
      <c r="G221" s="2">
        <v>2</v>
      </c>
      <c r="H221" s="2">
        <v>3000</v>
      </c>
      <c r="I221" s="2" t="s">
        <v>232</v>
      </c>
      <c r="J221" s="2" t="s">
        <v>72</v>
      </c>
      <c r="K221" s="2" t="s">
        <v>62</v>
      </c>
    </row>
    <row r="222" spans="1:13" x14ac:dyDescent="0.25">
      <c r="A222" s="2" t="s">
        <v>922</v>
      </c>
      <c r="B222" s="2" t="s">
        <v>5</v>
      </c>
      <c r="C222" s="2" t="s">
        <v>923</v>
      </c>
      <c r="D222" s="2" t="s">
        <v>924</v>
      </c>
      <c r="E222" s="2" t="s">
        <v>925</v>
      </c>
      <c r="F222" s="2">
        <v>5.6999998092651296</v>
      </c>
      <c r="G222" s="2">
        <v>1</v>
      </c>
      <c r="H222" s="2">
        <v>3000</v>
      </c>
      <c r="I222" s="2" t="s">
        <v>232</v>
      </c>
      <c r="J222" s="2" t="s">
        <v>62</v>
      </c>
      <c r="K222" s="2" t="s">
        <v>72</v>
      </c>
    </row>
    <row r="223" spans="1:13" x14ac:dyDescent="0.25">
      <c r="A223" s="2" t="s">
        <v>926</v>
      </c>
      <c r="B223" s="2" t="s">
        <v>5</v>
      </c>
      <c r="C223" s="2" t="s">
        <v>687</v>
      </c>
      <c r="D223" s="2" t="s">
        <v>927</v>
      </c>
      <c r="E223" s="2" t="s">
        <v>190</v>
      </c>
      <c r="F223" s="2">
        <v>5.7999998728434203</v>
      </c>
      <c r="G223" s="2">
        <v>3</v>
      </c>
      <c r="H223" s="2">
        <v>3000</v>
      </c>
      <c r="I223" s="2" t="s">
        <v>294</v>
      </c>
      <c r="J223" s="2" t="s">
        <v>296</v>
      </c>
      <c r="K223" s="2" t="s">
        <v>295</v>
      </c>
    </row>
    <row r="224" spans="1:13" x14ac:dyDescent="0.25">
      <c r="A224" s="2" t="s">
        <v>928</v>
      </c>
      <c r="B224" s="2" t="s">
        <v>7</v>
      </c>
      <c r="C224" s="2" t="s">
        <v>95</v>
      </c>
      <c r="D224" s="2" t="s">
        <v>929</v>
      </c>
      <c r="E224" s="2" t="s">
        <v>105</v>
      </c>
      <c r="F224" s="2">
        <v>8.0500001907348597</v>
      </c>
      <c r="G224" s="2">
        <v>2</v>
      </c>
      <c r="H224" s="2">
        <v>3000</v>
      </c>
      <c r="I224" s="2" t="s">
        <v>206</v>
      </c>
      <c r="J224" s="2" t="s">
        <v>59</v>
      </c>
      <c r="K224" s="2" t="s">
        <v>207</v>
      </c>
    </row>
    <row r="225" spans="1:13" x14ac:dyDescent="0.25">
      <c r="A225" s="2" t="s">
        <v>930</v>
      </c>
      <c r="B225" s="2" t="s">
        <v>7</v>
      </c>
      <c r="C225" s="2" t="s">
        <v>47</v>
      </c>
      <c r="D225" s="2" t="s">
        <v>931</v>
      </c>
      <c r="E225" s="2" t="s">
        <v>932</v>
      </c>
      <c r="F225" s="2">
        <v>7.0333334604899003</v>
      </c>
      <c r="G225" s="2">
        <v>3</v>
      </c>
      <c r="H225" s="2">
        <v>3000</v>
      </c>
      <c r="I225" s="2" t="s">
        <v>216</v>
      </c>
      <c r="J225" s="2" t="s">
        <v>217</v>
      </c>
      <c r="K225" s="2" t="s">
        <v>218</v>
      </c>
    </row>
    <row r="226" spans="1:13" x14ac:dyDescent="0.25">
      <c r="A226" s="2" t="s">
        <v>933</v>
      </c>
      <c r="B226" s="2" t="s">
        <v>7</v>
      </c>
      <c r="C226" s="2" t="s">
        <v>934</v>
      </c>
      <c r="D226" s="2" t="s">
        <v>935</v>
      </c>
      <c r="E226" s="2" t="s">
        <v>936</v>
      </c>
      <c r="F226" s="2">
        <v>0</v>
      </c>
      <c r="G226" s="2">
        <v>2</v>
      </c>
      <c r="H226" s="2">
        <v>3000</v>
      </c>
      <c r="I226" s="2" t="s">
        <v>206</v>
      </c>
      <c r="J226" s="2" t="s">
        <v>59</v>
      </c>
      <c r="K226" s="2" t="s">
        <v>207</v>
      </c>
    </row>
    <row r="227" spans="1:13" x14ac:dyDescent="0.25">
      <c r="A227" s="2" t="s">
        <v>937</v>
      </c>
      <c r="B227" s="2" t="s">
        <v>5</v>
      </c>
      <c r="C227" s="2" t="s">
        <v>115</v>
      </c>
      <c r="D227" s="2" t="s">
        <v>938</v>
      </c>
      <c r="E227" s="2" t="s">
        <v>939</v>
      </c>
      <c r="F227" s="2">
        <v>1.20000004768371</v>
      </c>
      <c r="G227" s="2">
        <v>1</v>
      </c>
      <c r="H227" s="2">
        <v>3000</v>
      </c>
      <c r="I227" s="2" t="s">
        <v>223</v>
      </c>
      <c r="J227" s="2" t="s">
        <v>225</v>
      </c>
      <c r="K227" s="2" t="s">
        <v>224</v>
      </c>
    </row>
    <row r="228" spans="1:13" x14ac:dyDescent="0.25">
      <c r="A228" s="2" t="s">
        <v>940</v>
      </c>
      <c r="B228" s="2" t="s">
        <v>5</v>
      </c>
      <c r="C228" s="2" t="s">
        <v>941</v>
      </c>
      <c r="D228" s="2" t="s">
        <v>942</v>
      </c>
      <c r="E228" s="2" t="s">
        <v>943</v>
      </c>
      <c r="F228" s="2">
        <v>0</v>
      </c>
      <c r="G228" s="2">
        <v>0</v>
      </c>
      <c r="H228" s="2">
        <v>3000</v>
      </c>
      <c r="I228" s="2" t="s">
        <v>211</v>
      </c>
      <c r="J228" s="2" t="s">
        <v>212</v>
      </c>
      <c r="K228" s="2" t="s">
        <v>135</v>
      </c>
    </row>
    <row r="229" spans="1:13" x14ac:dyDescent="0.25">
      <c r="A229" s="2" t="s">
        <v>944</v>
      </c>
      <c r="B229" s="2" t="s">
        <v>3</v>
      </c>
      <c r="C229" s="2" t="s">
        <v>188</v>
      </c>
      <c r="D229" s="2" t="s">
        <v>189</v>
      </c>
      <c r="E229" s="2" t="s">
        <v>190</v>
      </c>
      <c r="F229" s="2">
        <v>12.300000190734799</v>
      </c>
      <c r="G229" s="2">
        <v>2</v>
      </c>
      <c r="H229" s="2">
        <v>3000</v>
      </c>
      <c r="I229" s="2" t="s">
        <v>209</v>
      </c>
      <c r="J229" s="2" t="s">
        <v>132</v>
      </c>
      <c r="K229" s="2" t="s">
        <v>60</v>
      </c>
    </row>
    <row r="230" spans="1:13" x14ac:dyDescent="0.25">
      <c r="A230" s="2" t="s">
        <v>945</v>
      </c>
      <c r="B230" s="2" t="s">
        <v>7</v>
      </c>
      <c r="C230" s="2" t="s">
        <v>946</v>
      </c>
      <c r="D230" s="2" t="s">
        <v>947</v>
      </c>
      <c r="E230" s="2" t="s">
        <v>948</v>
      </c>
      <c r="F230" s="2">
        <v>0</v>
      </c>
      <c r="G230" s="2">
        <v>0</v>
      </c>
      <c r="H230" s="2">
        <v>3000</v>
      </c>
      <c r="I230" s="2" t="s">
        <v>223</v>
      </c>
      <c r="J230" s="2" t="s">
        <v>224</v>
      </c>
      <c r="K230" s="2" t="s">
        <v>225</v>
      </c>
    </row>
    <row r="231" spans="1:13" x14ac:dyDescent="0.25">
      <c r="A231" s="2" t="s">
        <v>949</v>
      </c>
      <c r="B231" s="2" t="s">
        <v>7</v>
      </c>
      <c r="C231" s="2" t="s">
        <v>172</v>
      </c>
      <c r="D231" s="2" t="s">
        <v>950</v>
      </c>
      <c r="E231" s="2" t="s">
        <v>238</v>
      </c>
      <c r="F231" s="2">
        <v>0</v>
      </c>
      <c r="G231" s="2">
        <v>2</v>
      </c>
      <c r="H231" s="2">
        <v>3000</v>
      </c>
      <c r="I231" s="2" t="s">
        <v>232</v>
      </c>
      <c r="J231" s="2" t="s">
        <v>72</v>
      </c>
      <c r="K231" s="2" t="s">
        <v>62</v>
      </c>
    </row>
    <row r="232" spans="1:13" x14ac:dyDescent="0.25">
      <c r="A232" s="2" t="s">
        <v>951</v>
      </c>
      <c r="B232" s="2" t="s">
        <v>5</v>
      </c>
      <c r="C232" s="2" t="s">
        <v>952</v>
      </c>
      <c r="D232" s="2" t="s">
        <v>953</v>
      </c>
      <c r="E232" s="2" t="s">
        <v>954</v>
      </c>
      <c r="F232" s="2">
        <v>3.20000004768371</v>
      </c>
      <c r="G232" s="2">
        <v>1</v>
      </c>
      <c r="H232" s="2">
        <v>3000</v>
      </c>
      <c r="I232" s="2" t="s">
        <v>294</v>
      </c>
      <c r="J232" s="2" t="s">
        <v>296</v>
      </c>
      <c r="K232" s="2" t="s">
        <v>295</v>
      </c>
    </row>
    <row r="233" spans="1:13" x14ac:dyDescent="0.25">
      <c r="A233" s="2" t="s">
        <v>955</v>
      </c>
      <c r="B233" s="2" t="s">
        <v>4</v>
      </c>
      <c r="C233" s="2" t="s">
        <v>275</v>
      </c>
      <c r="D233" s="2" t="s">
        <v>956</v>
      </c>
      <c r="E233" s="2" t="s">
        <v>53</v>
      </c>
      <c r="F233" s="2">
        <v>0</v>
      </c>
      <c r="G233" s="2">
        <v>0</v>
      </c>
      <c r="H233" s="2">
        <v>3000</v>
      </c>
      <c r="I233" s="2" t="s">
        <v>211</v>
      </c>
      <c r="J233" s="2" t="s">
        <v>135</v>
      </c>
      <c r="K233" s="2" t="s">
        <v>212</v>
      </c>
    </row>
    <row r="234" spans="1:13" x14ac:dyDescent="0.25">
      <c r="A234" s="2" t="s">
        <v>957</v>
      </c>
      <c r="B234" s="2" t="s">
        <v>3</v>
      </c>
      <c r="C234" s="2" t="s">
        <v>958</v>
      </c>
      <c r="D234" s="2" t="s">
        <v>959</v>
      </c>
      <c r="E234" s="2" t="s">
        <v>960</v>
      </c>
      <c r="F234" s="2">
        <v>0</v>
      </c>
      <c r="G234" s="2">
        <v>0</v>
      </c>
      <c r="H234" s="2">
        <v>3000</v>
      </c>
      <c r="I234" s="2" t="s">
        <v>248</v>
      </c>
      <c r="J234" s="2" t="s">
        <v>249</v>
      </c>
      <c r="K234" s="2" t="s">
        <v>250</v>
      </c>
    </row>
    <row r="235" spans="1:13" x14ac:dyDescent="0.25">
      <c r="A235" s="2" t="s">
        <v>961</v>
      </c>
      <c r="B235" s="2" t="s">
        <v>7</v>
      </c>
      <c r="C235" s="2" t="s">
        <v>962</v>
      </c>
      <c r="D235" s="2" t="s">
        <v>963</v>
      </c>
      <c r="E235" s="2" t="s">
        <v>964</v>
      </c>
      <c r="F235" s="2">
        <v>0</v>
      </c>
      <c r="G235" s="2">
        <v>0</v>
      </c>
      <c r="H235" s="2">
        <v>3000</v>
      </c>
      <c r="I235" s="2" t="s">
        <v>294</v>
      </c>
      <c r="J235" s="2" t="s">
        <v>295</v>
      </c>
      <c r="K235" s="2" t="s">
        <v>296</v>
      </c>
      <c r="L235" s="2" t="s">
        <v>44</v>
      </c>
      <c r="M235" s="2" t="s">
        <v>45</v>
      </c>
    </row>
    <row r="236" spans="1:13" x14ac:dyDescent="0.25">
      <c r="A236" s="2" t="s">
        <v>965</v>
      </c>
      <c r="B236" s="2" t="s">
        <v>7</v>
      </c>
      <c r="C236" s="2" t="s">
        <v>104</v>
      </c>
      <c r="D236" s="2" t="s">
        <v>116</v>
      </c>
      <c r="E236" s="2" t="s">
        <v>117</v>
      </c>
      <c r="F236" s="2">
        <v>5.4000002543131496</v>
      </c>
      <c r="G236" s="2">
        <v>3</v>
      </c>
      <c r="H236" s="2">
        <v>3000</v>
      </c>
      <c r="I236" s="2" t="s">
        <v>294</v>
      </c>
      <c r="J236" s="2" t="s">
        <v>295</v>
      </c>
      <c r="K236" s="2" t="s">
        <v>296</v>
      </c>
    </row>
    <row r="237" spans="1:13" x14ac:dyDescent="0.25">
      <c r="A237" s="2" t="s">
        <v>966</v>
      </c>
      <c r="B237" s="2" t="s">
        <v>7</v>
      </c>
      <c r="C237" s="2" t="s">
        <v>967</v>
      </c>
      <c r="D237" s="2" t="s">
        <v>968</v>
      </c>
      <c r="E237" s="2" t="s">
        <v>179</v>
      </c>
      <c r="F237" s="2">
        <v>3</v>
      </c>
      <c r="G237" s="2">
        <v>1</v>
      </c>
      <c r="H237" s="2">
        <v>3000</v>
      </c>
      <c r="I237" s="2" t="s">
        <v>206</v>
      </c>
      <c r="J237" s="2" t="s">
        <v>59</v>
      </c>
      <c r="K237" s="2" t="s">
        <v>207</v>
      </c>
    </row>
    <row r="238" spans="1:13" x14ac:dyDescent="0.25">
      <c r="A238" s="2" t="s">
        <v>969</v>
      </c>
      <c r="B238" s="2" t="s">
        <v>6</v>
      </c>
      <c r="C238" s="2" t="s">
        <v>970</v>
      </c>
      <c r="D238" s="2" t="s">
        <v>971</v>
      </c>
      <c r="E238" s="2" t="s">
        <v>972</v>
      </c>
      <c r="F238" s="2">
        <v>5</v>
      </c>
      <c r="G238" s="2">
        <v>1</v>
      </c>
      <c r="H238" s="2">
        <v>3000</v>
      </c>
      <c r="I238" s="2" t="s">
        <v>248</v>
      </c>
      <c r="J238" s="2" t="s">
        <v>250</v>
      </c>
      <c r="K238" s="2" t="s">
        <v>249</v>
      </c>
    </row>
    <row r="239" spans="1:13" x14ac:dyDescent="0.25">
      <c r="A239" s="2" t="s">
        <v>973</v>
      </c>
      <c r="B239" s="2" t="s">
        <v>4</v>
      </c>
      <c r="C239" s="2" t="s">
        <v>974</v>
      </c>
      <c r="D239" s="2" t="s">
        <v>975</v>
      </c>
      <c r="E239" s="2" t="s">
        <v>976</v>
      </c>
      <c r="F239" s="2">
        <v>13.2536591320503</v>
      </c>
      <c r="G239" s="2">
        <v>41</v>
      </c>
      <c r="H239" s="2">
        <v>3000</v>
      </c>
      <c r="I239" s="2" t="s">
        <v>211</v>
      </c>
      <c r="J239" s="2" t="s">
        <v>212</v>
      </c>
      <c r="K239" s="2" t="s">
        <v>135</v>
      </c>
    </row>
    <row r="240" spans="1:13" x14ac:dyDescent="0.25">
      <c r="A240" s="2" t="s">
        <v>977</v>
      </c>
      <c r="B240" s="2" t="s">
        <v>7</v>
      </c>
      <c r="C240" s="2" t="s">
        <v>271</v>
      </c>
      <c r="D240" s="2" t="s">
        <v>978</v>
      </c>
      <c r="E240" s="2" t="s">
        <v>979</v>
      </c>
      <c r="F240" s="2">
        <v>12.611475209720799</v>
      </c>
      <c r="G240" s="2">
        <v>61</v>
      </c>
      <c r="H240" s="2">
        <v>3000</v>
      </c>
      <c r="I240" s="2" t="s">
        <v>209</v>
      </c>
      <c r="J240" s="2" t="s">
        <v>60</v>
      </c>
      <c r="K240" s="2" t="s">
        <v>132</v>
      </c>
      <c r="L240" s="2" t="s">
        <v>44</v>
      </c>
      <c r="M240" s="2" t="s">
        <v>794</v>
      </c>
    </row>
    <row r="241" spans="1:13" x14ac:dyDescent="0.25">
      <c r="A241" s="2" t="s">
        <v>980</v>
      </c>
      <c r="B241" s="2" t="s">
        <v>3</v>
      </c>
      <c r="C241" s="2" t="s">
        <v>180</v>
      </c>
      <c r="D241" s="2" t="s">
        <v>181</v>
      </c>
      <c r="E241" s="2" t="s">
        <v>179</v>
      </c>
      <c r="F241" s="2">
        <v>2</v>
      </c>
      <c r="G241" s="2">
        <v>1</v>
      </c>
      <c r="H241" s="2">
        <v>3000</v>
      </c>
      <c r="I241" s="2" t="s">
        <v>209</v>
      </c>
      <c r="J241" s="2" t="s">
        <v>132</v>
      </c>
      <c r="K241" s="2" t="s">
        <v>60</v>
      </c>
    </row>
    <row r="242" spans="1:13" x14ac:dyDescent="0.25">
      <c r="A242" s="2" t="s">
        <v>981</v>
      </c>
      <c r="B242" s="2" t="s">
        <v>6</v>
      </c>
      <c r="C242" s="2" t="s">
        <v>982</v>
      </c>
      <c r="D242" s="2" t="s">
        <v>983</v>
      </c>
      <c r="E242" s="2" t="s">
        <v>984</v>
      </c>
      <c r="F242" s="2">
        <v>5.6588233498965996</v>
      </c>
      <c r="G242" s="2">
        <v>17</v>
      </c>
      <c r="H242" s="2">
        <v>3000</v>
      </c>
      <c r="I242" s="2" t="s">
        <v>223</v>
      </c>
      <c r="J242" s="2" t="s">
        <v>224</v>
      </c>
      <c r="K242" s="2" t="s">
        <v>225</v>
      </c>
    </row>
    <row r="243" spans="1:13" x14ac:dyDescent="0.25">
      <c r="A243" s="2" t="s">
        <v>985</v>
      </c>
      <c r="B243" s="2" t="s">
        <v>7</v>
      </c>
      <c r="C243" s="2" t="s">
        <v>201</v>
      </c>
      <c r="D243" s="2" t="s">
        <v>986</v>
      </c>
      <c r="E243" s="2" t="s">
        <v>987</v>
      </c>
      <c r="F243" s="2">
        <v>5.94333343505859</v>
      </c>
      <c r="G243" s="2">
        <v>30</v>
      </c>
      <c r="H243" s="2">
        <v>3000</v>
      </c>
      <c r="I243" s="2" t="s">
        <v>211</v>
      </c>
      <c r="J243" s="2" t="s">
        <v>135</v>
      </c>
      <c r="K243" s="2" t="s">
        <v>212</v>
      </c>
      <c r="L243" s="2" t="s">
        <v>44</v>
      </c>
      <c r="M243" s="2" t="s">
        <v>988</v>
      </c>
    </row>
    <row r="244" spans="1:13" x14ac:dyDescent="0.25">
      <c r="A244" s="2" t="s">
        <v>989</v>
      </c>
      <c r="B244" s="2" t="s">
        <v>6</v>
      </c>
      <c r="C244" s="2" t="s">
        <v>990</v>
      </c>
      <c r="D244" s="2" t="s">
        <v>991</v>
      </c>
      <c r="E244" s="2" t="s">
        <v>992</v>
      </c>
      <c r="F244" s="2">
        <v>4.4000000953674299</v>
      </c>
      <c r="G244" s="2">
        <v>1</v>
      </c>
      <c r="H244" s="2">
        <v>3000</v>
      </c>
      <c r="I244" s="2" t="s">
        <v>216</v>
      </c>
      <c r="J244" s="2" t="s">
        <v>218</v>
      </c>
      <c r="K244" s="2" t="s">
        <v>217</v>
      </c>
    </row>
    <row r="245" spans="1:13" x14ac:dyDescent="0.25">
      <c r="A245" s="2" t="s">
        <v>993</v>
      </c>
      <c r="B245" s="2" t="s">
        <v>4</v>
      </c>
      <c r="C245" s="2" t="s">
        <v>336</v>
      </c>
      <c r="D245" s="2" t="s">
        <v>994</v>
      </c>
      <c r="E245" s="2" t="s">
        <v>995</v>
      </c>
      <c r="F245" s="2">
        <v>0</v>
      </c>
      <c r="G245" s="2">
        <v>0</v>
      </c>
      <c r="H245" s="2">
        <v>3000</v>
      </c>
      <c r="I245" s="2" t="s">
        <v>232</v>
      </c>
      <c r="J245" s="2" t="s">
        <v>62</v>
      </c>
      <c r="K245" s="2" t="s">
        <v>72</v>
      </c>
      <c r="L245" s="2" t="s">
        <v>44</v>
      </c>
      <c r="M245" s="2" t="s">
        <v>260</v>
      </c>
    </row>
    <row r="246" spans="1:13" x14ac:dyDescent="0.25">
      <c r="A246" s="2" t="s">
        <v>996</v>
      </c>
      <c r="B246" s="2" t="s">
        <v>7</v>
      </c>
      <c r="C246" s="2" t="s">
        <v>298</v>
      </c>
      <c r="D246" s="2" t="s">
        <v>997</v>
      </c>
      <c r="E246" s="2" t="s">
        <v>320</v>
      </c>
      <c r="F246" s="2">
        <v>11</v>
      </c>
      <c r="G246" s="2">
        <v>1</v>
      </c>
      <c r="H246" s="2">
        <v>3000</v>
      </c>
      <c r="I246" s="2" t="s">
        <v>216</v>
      </c>
      <c r="J246" s="2" t="s">
        <v>218</v>
      </c>
      <c r="K246" s="2" t="s">
        <v>217</v>
      </c>
      <c r="L246" s="2" t="s">
        <v>226</v>
      </c>
      <c r="M246" s="2" t="s">
        <v>387</v>
      </c>
    </row>
    <row r="247" spans="1:13" x14ac:dyDescent="0.25">
      <c r="A247" s="2" t="s">
        <v>998</v>
      </c>
      <c r="B247" s="2" t="s">
        <v>4</v>
      </c>
      <c r="C247" s="2" t="s">
        <v>48</v>
      </c>
      <c r="D247" s="2" t="s">
        <v>185</v>
      </c>
      <c r="E247" s="2" t="s">
        <v>186</v>
      </c>
      <c r="F247" s="2">
        <v>2.5</v>
      </c>
      <c r="G247" s="2">
        <v>14</v>
      </c>
      <c r="H247" s="2">
        <v>3000</v>
      </c>
      <c r="I247" s="2" t="s">
        <v>232</v>
      </c>
      <c r="J247" s="2" t="s">
        <v>62</v>
      </c>
      <c r="K247" s="2" t="s">
        <v>72</v>
      </c>
    </row>
    <row r="248" spans="1:13" x14ac:dyDescent="0.25">
      <c r="A248" s="2" t="s">
        <v>999</v>
      </c>
      <c r="B248" s="2" t="s">
        <v>5</v>
      </c>
      <c r="C248" s="2" t="s">
        <v>759</v>
      </c>
      <c r="D248" s="2" t="s">
        <v>1000</v>
      </c>
      <c r="E248" s="2" t="s">
        <v>1001</v>
      </c>
      <c r="F248" s="2">
        <v>6.8499999046325604</v>
      </c>
      <c r="G248" s="2">
        <v>2</v>
      </c>
      <c r="H248" s="2">
        <v>3000</v>
      </c>
      <c r="I248" s="2" t="s">
        <v>294</v>
      </c>
      <c r="J248" s="2" t="s">
        <v>295</v>
      </c>
      <c r="K248" s="2" t="s">
        <v>296</v>
      </c>
    </row>
    <row r="249" spans="1:13" x14ac:dyDescent="0.25">
      <c r="A249" s="2" t="s">
        <v>1002</v>
      </c>
      <c r="B249" s="2" t="s">
        <v>6</v>
      </c>
      <c r="C249" s="2" t="s">
        <v>1003</v>
      </c>
      <c r="D249" s="2" t="s">
        <v>1004</v>
      </c>
      <c r="E249" s="2" t="s">
        <v>1005</v>
      </c>
      <c r="F249" s="2">
        <v>0</v>
      </c>
      <c r="G249" s="2">
        <v>1</v>
      </c>
      <c r="H249" s="2">
        <v>3000</v>
      </c>
      <c r="I249" s="2" t="s">
        <v>223</v>
      </c>
      <c r="J249" s="2" t="s">
        <v>224</v>
      </c>
      <c r="K249" s="2" t="s">
        <v>225</v>
      </c>
    </row>
    <row r="250" spans="1:13" x14ac:dyDescent="0.25">
      <c r="A250" s="2" t="s">
        <v>1006</v>
      </c>
      <c r="B250" s="2" t="s">
        <v>7</v>
      </c>
      <c r="C250" s="2" t="s">
        <v>763</v>
      </c>
      <c r="D250" s="2" t="s">
        <v>1007</v>
      </c>
      <c r="E250" s="2" t="s">
        <v>1008</v>
      </c>
      <c r="F250" s="2">
        <v>4.0500001907348597</v>
      </c>
      <c r="G250" s="2">
        <v>2</v>
      </c>
      <c r="H250" s="2">
        <v>3000</v>
      </c>
      <c r="I250" s="2" t="s">
        <v>206</v>
      </c>
      <c r="J250" s="2" t="s">
        <v>207</v>
      </c>
      <c r="K250" s="2" t="s">
        <v>59</v>
      </c>
    </row>
    <row r="251" spans="1:13" x14ac:dyDescent="0.25">
      <c r="A251" s="2" t="s">
        <v>1009</v>
      </c>
      <c r="B251" s="2" t="s">
        <v>3</v>
      </c>
      <c r="C251" s="2" t="s">
        <v>370</v>
      </c>
      <c r="D251" s="2" t="s">
        <v>1010</v>
      </c>
      <c r="E251" s="2" t="s">
        <v>1011</v>
      </c>
      <c r="F251" s="2">
        <v>2.8999999364217102</v>
      </c>
      <c r="G251" s="2">
        <v>3</v>
      </c>
      <c r="H251" s="2">
        <v>3000</v>
      </c>
      <c r="I251" s="2" t="s">
        <v>223</v>
      </c>
      <c r="J251" s="2" t="s">
        <v>225</v>
      </c>
      <c r="K251" s="2" t="s">
        <v>224</v>
      </c>
    </row>
    <row r="252" spans="1:13" x14ac:dyDescent="0.25">
      <c r="A252" s="2" t="s">
        <v>1012</v>
      </c>
      <c r="B252" s="2" t="s">
        <v>4</v>
      </c>
      <c r="C252" s="2" t="s">
        <v>1013</v>
      </c>
      <c r="D252" s="2" t="s">
        <v>1014</v>
      </c>
      <c r="E252" s="2" t="s">
        <v>1015</v>
      </c>
      <c r="F252" s="2">
        <v>0</v>
      </c>
      <c r="G252" s="2">
        <v>0</v>
      </c>
      <c r="H252" s="2">
        <v>3000</v>
      </c>
      <c r="I252" s="2" t="s">
        <v>294</v>
      </c>
      <c r="J252" s="2" t="s">
        <v>296</v>
      </c>
      <c r="K252" s="2" t="s">
        <v>295</v>
      </c>
      <c r="L252" s="2" t="s">
        <v>44</v>
      </c>
      <c r="M252" s="2" t="s">
        <v>45</v>
      </c>
    </row>
    <row r="253" spans="1:13" x14ac:dyDescent="0.25">
      <c r="A253" s="2" t="s">
        <v>1016</v>
      </c>
      <c r="B253" s="2" t="s">
        <v>5</v>
      </c>
      <c r="C253" s="2" t="s">
        <v>123</v>
      </c>
      <c r="D253" s="2" t="s">
        <v>68</v>
      </c>
      <c r="E253" s="2" t="s">
        <v>124</v>
      </c>
      <c r="F253" s="2">
        <v>6.6666666666666599</v>
      </c>
      <c r="G253" s="2">
        <v>3</v>
      </c>
      <c r="H253" s="2">
        <v>3000</v>
      </c>
      <c r="I253" s="2" t="s">
        <v>294</v>
      </c>
      <c r="J253" s="2" t="s">
        <v>296</v>
      </c>
      <c r="K253" s="2" t="s">
        <v>295</v>
      </c>
    </row>
    <row r="254" spans="1:13" x14ac:dyDescent="0.25">
      <c r="A254" s="2" t="s">
        <v>1017</v>
      </c>
      <c r="B254" s="2" t="s">
        <v>4</v>
      </c>
      <c r="C254" s="2" t="s">
        <v>1018</v>
      </c>
      <c r="D254" s="2" t="s">
        <v>1019</v>
      </c>
      <c r="E254" s="2" t="s">
        <v>374</v>
      </c>
      <c r="F254" s="2">
        <v>0</v>
      </c>
      <c r="G254" s="2">
        <v>1</v>
      </c>
      <c r="H254" s="2">
        <v>3000</v>
      </c>
      <c r="I254" s="2" t="s">
        <v>206</v>
      </c>
      <c r="J254" s="2" t="s">
        <v>59</v>
      </c>
      <c r="K254" s="2" t="s">
        <v>207</v>
      </c>
    </row>
    <row r="255" spans="1:13" x14ac:dyDescent="0.25">
      <c r="A255" s="2" t="s">
        <v>1020</v>
      </c>
      <c r="B255" s="2" t="s">
        <v>3</v>
      </c>
      <c r="C255" s="2" t="s">
        <v>1021</v>
      </c>
      <c r="D255" s="2" t="s">
        <v>1022</v>
      </c>
      <c r="E255" s="2" t="s">
        <v>150</v>
      </c>
      <c r="F255" s="2">
        <v>0</v>
      </c>
      <c r="G255" s="2">
        <v>0</v>
      </c>
      <c r="H255" s="2">
        <v>3000</v>
      </c>
      <c r="I255" s="2" t="s">
        <v>211</v>
      </c>
      <c r="J255" s="2" t="s">
        <v>212</v>
      </c>
      <c r="K255" s="2" t="s">
        <v>135</v>
      </c>
    </row>
    <row r="256" spans="1:13" x14ac:dyDescent="0.25">
      <c r="A256" s="2" t="s">
        <v>1023</v>
      </c>
      <c r="B256" s="2" t="s">
        <v>4</v>
      </c>
      <c r="C256" s="2" t="s">
        <v>1024</v>
      </c>
      <c r="D256" s="2" t="s">
        <v>1025</v>
      </c>
      <c r="E256" s="2" t="s">
        <v>1026</v>
      </c>
      <c r="F256" s="2">
        <v>15.4140625</v>
      </c>
      <c r="G256" s="2">
        <v>64</v>
      </c>
      <c r="H256" s="2">
        <v>3000</v>
      </c>
      <c r="I256" s="2" t="s">
        <v>294</v>
      </c>
      <c r="J256" s="2" t="s">
        <v>295</v>
      </c>
      <c r="K256" s="2" t="s">
        <v>296</v>
      </c>
      <c r="L256" s="2" t="s">
        <v>226</v>
      </c>
      <c r="M256" s="2" t="s">
        <v>1027</v>
      </c>
    </row>
    <row r="257" spans="1:13" x14ac:dyDescent="0.25">
      <c r="A257" s="2" t="s">
        <v>1028</v>
      </c>
      <c r="B257" s="2" t="s">
        <v>4</v>
      </c>
      <c r="C257" s="2" t="s">
        <v>1029</v>
      </c>
      <c r="D257" s="2" t="s">
        <v>1030</v>
      </c>
      <c r="E257" s="2" t="s">
        <v>1031</v>
      </c>
      <c r="F257" s="2">
        <v>0</v>
      </c>
      <c r="G257" s="2">
        <v>0</v>
      </c>
      <c r="H257" s="2">
        <v>3000</v>
      </c>
      <c r="I257" s="2" t="s">
        <v>209</v>
      </c>
      <c r="J257" s="2" t="s">
        <v>60</v>
      </c>
      <c r="K257" s="2" t="s">
        <v>132</v>
      </c>
    </row>
    <row r="258" spans="1:13" x14ac:dyDescent="0.25">
      <c r="A258" s="2" t="s">
        <v>1032</v>
      </c>
      <c r="B258" s="2" t="s">
        <v>3</v>
      </c>
      <c r="C258" s="2" t="s">
        <v>419</v>
      </c>
      <c r="D258" s="2" t="s">
        <v>1033</v>
      </c>
      <c r="E258" s="2" t="s">
        <v>603</v>
      </c>
      <c r="F258" s="2">
        <v>9.8999996185302699</v>
      </c>
      <c r="G258" s="2">
        <v>1</v>
      </c>
      <c r="H258" s="2">
        <v>3000</v>
      </c>
      <c r="I258" s="2" t="s">
        <v>294</v>
      </c>
      <c r="J258" s="2" t="s">
        <v>296</v>
      </c>
      <c r="K258" s="2" t="s">
        <v>295</v>
      </c>
    </row>
    <row r="259" spans="1:13" x14ac:dyDescent="0.25">
      <c r="A259" s="2" t="s">
        <v>1034</v>
      </c>
      <c r="B259" s="2" t="s">
        <v>4</v>
      </c>
      <c r="C259" s="2" t="s">
        <v>1035</v>
      </c>
      <c r="D259" s="2" t="s">
        <v>1036</v>
      </c>
      <c r="E259" s="2" t="s">
        <v>1037</v>
      </c>
      <c r="F259" s="2">
        <v>0</v>
      </c>
      <c r="G259" s="2">
        <v>0</v>
      </c>
      <c r="H259" s="2">
        <v>3000</v>
      </c>
      <c r="I259" s="2" t="s">
        <v>206</v>
      </c>
      <c r="J259" s="2" t="s">
        <v>207</v>
      </c>
      <c r="K259" s="2" t="s">
        <v>59</v>
      </c>
    </row>
    <row r="260" spans="1:13" x14ac:dyDescent="0.25">
      <c r="A260" s="2" t="s">
        <v>1038</v>
      </c>
      <c r="B260" s="2" t="s">
        <v>7</v>
      </c>
      <c r="C260" s="2" t="s">
        <v>94</v>
      </c>
      <c r="D260" s="2" t="s">
        <v>1039</v>
      </c>
      <c r="E260" s="2" t="s">
        <v>1040</v>
      </c>
      <c r="F260" s="2">
        <v>8.4785712105887203</v>
      </c>
      <c r="G260" s="2">
        <v>14</v>
      </c>
      <c r="H260" s="2">
        <v>3000</v>
      </c>
      <c r="I260" s="2" t="s">
        <v>209</v>
      </c>
      <c r="J260" s="2" t="s">
        <v>60</v>
      </c>
      <c r="K260" s="2" t="s">
        <v>132</v>
      </c>
      <c r="L260" s="2" t="s">
        <v>44</v>
      </c>
      <c r="M260" s="2" t="s">
        <v>240</v>
      </c>
    </row>
    <row r="261" spans="1:13" x14ac:dyDescent="0.25">
      <c r="A261" s="2" t="s">
        <v>1041</v>
      </c>
      <c r="B261" s="2" t="s">
        <v>7</v>
      </c>
      <c r="C261" s="2" t="s">
        <v>1042</v>
      </c>
      <c r="D261" s="2" t="s">
        <v>1043</v>
      </c>
      <c r="E261" s="2" t="s">
        <v>1044</v>
      </c>
      <c r="F261" s="2">
        <v>5.8230770795773203</v>
      </c>
      <c r="G261" s="2">
        <v>39</v>
      </c>
      <c r="H261" s="2">
        <v>3000</v>
      </c>
      <c r="I261" s="2" t="s">
        <v>232</v>
      </c>
      <c r="J261" s="2" t="s">
        <v>72</v>
      </c>
      <c r="K261" s="2" t="s">
        <v>62</v>
      </c>
    </row>
    <row r="262" spans="1:13" x14ac:dyDescent="0.25">
      <c r="A262" s="2" t="s">
        <v>1045</v>
      </c>
      <c r="B262" s="2" t="s">
        <v>4</v>
      </c>
      <c r="C262" s="2" t="s">
        <v>946</v>
      </c>
      <c r="D262" s="2" t="s">
        <v>1046</v>
      </c>
      <c r="E262" s="2" t="s">
        <v>1047</v>
      </c>
      <c r="F262" s="2">
        <v>0</v>
      </c>
      <c r="G262" s="2">
        <v>0</v>
      </c>
      <c r="H262" s="2">
        <v>3000</v>
      </c>
      <c r="I262" s="2" t="s">
        <v>232</v>
      </c>
      <c r="J262" s="2" t="s">
        <v>72</v>
      </c>
      <c r="K262" s="2" t="s">
        <v>62</v>
      </c>
    </row>
    <row r="263" spans="1:13" x14ac:dyDescent="0.25">
      <c r="A263" s="2" t="s">
        <v>1048</v>
      </c>
      <c r="B263" s="2" t="s">
        <v>3</v>
      </c>
      <c r="C263" s="2" t="s">
        <v>193</v>
      </c>
      <c r="D263" s="2" t="s">
        <v>1049</v>
      </c>
      <c r="E263" s="2" t="s">
        <v>1050</v>
      </c>
      <c r="F263" s="2">
        <v>0.60000002384185702</v>
      </c>
      <c r="G263" s="2">
        <v>2</v>
      </c>
      <c r="H263" s="2">
        <v>3000</v>
      </c>
      <c r="I263" s="2" t="s">
        <v>223</v>
      </c>
      <c r="J263" s="2" t="s">
        <v>225</v>
      </c>
      <c r="K263" s="2" t="s">
        <v>224</v>
      </c>
    </row>
    <row r="264" spans="1:13" x14ac:dyDescent="0.25">
      <c r="A264" s="2" t="s">
        <v>1051</v>
      </c>
      <c r="B264" s="2" t="s">
        <v>5</v>
      </c>
      <c r="C264" s="2" t="s">
        <v>54</v>
      </c>
      <c r="D264" s="2" t="s">
        <v>69</v>
      </c>
      <c r="E264" s="2" t="s">
        <v>55</v>
      </c>
      <c r="F264" s="2">
        <v>10.944303488429499</v>
      </c>
      <c r="G264" s="2">
        <v>79</v>
      </c>
      <c r="H264" s="2">
        <v>3000</v>
      </c>
      <c r="I264" s="2" t="s">
        <v>211</v>
      </c>
      <c r="J264" s="2" t="s">
        <v>212</v>
      </c>
      <c r="K264" s="2" t="s">
        <v>135</v>
      </c>
    </row>
    <row r="265" spans="1:13" x14ac:dyDescent="0.25">
      <c r="A265" s="2" t="s">
        <v>1052</v>
      </c>
      <c r="B265" s="2" t="s">
        <v>5</v>
      </c>
      <c r="C265" s="2" t="s">
        <v>1053</v>
      </c>
      <c r="D265" s="2" t="s">
        <v>1054</v>
      </c>
      <c r="E265" s="2" t="s">
        <v>1055</v>
      </c>
      <c r="F265" s="2">
        <v>0</v>
      </c>
      <c r="G265" s="2">
        <v>0</v>
      </c>
      <c r="H265" s="2">
        <v>3000</v>
      </c>
      <c r="I265" s="2" t="s">
        <v>248</v>
      </c>
      <c r="J265" s="2" t="s">
        <v>250</v>
      </c>
      <c r="K265" s="2" t="s">
        <v>249</v>
      </c>
    </row>
    <row r="266" spans="1:13" x14ac:dyDescent="0.25">
      <c r="A266" s="2" t="s">
        <v>1056</v>
      </c>
      <c r="B266" s="2" t="s">
        <v>5</v>
      </c>
      <c r="C266" s="2" t="s">
        <v>1057</v>
      </c>
      <c r="D266" s="2" t="s">
        <v>1058</v>
      </c>
      <c r="E266" s="2" t="s">
        <v>1059</v>
      </c>
      <c r="F266" s="2">
        <v>7.4000002543131496</v>
      </c>
      <c r="G266" s="2">
        <v>3</v>
      </c>
      <c r="H266" s="2">
        <v>3000</v>
      </c>
      <c r="I266" s="2" t="s">
        <v>216</v>
      </c>
      <c r="J266" s="2" t="s">
        <v>218</v>
      </c>
      <c r="K266" s="2" t="s">
        <v>217</v>
      </c>
    </row>
    <row r="267" spans="1:13" x14ac:dyDescent="0.25">
      <c r="A267" s="2" t="s">
        <v>1060</v>
      </c>
      <c r="B267" s="2" t="s">
        <v>7</v>
      </c>
      <c r="C267" s="2" t="s">
        <v>772</v>
      </c>
      <c r="D267" s="2" t="s">
        <v>1061</v>
      </c>
      <c r="E267" s="2" t="s">
        <v>1062</v>
      </c>
      <c r="F267" s="2">
        <v>10.800000190734799</v>
      </c>
      <c r="G267" s="2">
        <v>2</v>
      </c>
      <c r="H267" s="2">
        <v>3000</v>
      </c>
      <c r="I267" s="2" t="s">
        <v>248</v>
      </c>
      <c r="J267" s="2" t="s">
        <v>250</v>
      </c>
      <c r="K267" s="2" t="s">
        <v>249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123"/>
  <sheetViews>
    <sheetView tabSelected="1" workbookViewId="0">
      <selection activeCell="E17" sqref="E17"/>
    </sheetView>
  </sheetViews>
  <sheetFormatPr defaultRowHeight="15" x14ac:dyDescent="0.25"/>
  <cols>
    <col min="1" max="1" width="9.140625" style="20"/>
    <col min="4" max="4" width="14.140625" bestFit="1" customWidth="1"/>
    <col min="5" max="5" width="19.140625" customWidth="1"/>
    <col min="6" max="6" width="25.42578125" bestFit="1" customWidth="1"/>
    <col min="7" max="7" width="23.5703125" bestFit="1" customWidth="1"/>
    <col min="8" max="8" width="25.5703125" customWidth="1"/>
    <col min="9" max="9" width="28.5703125" customWidth="1"/>
    <col min="10" max="10" width="27.7109375" customWidth="1"/>
  </cols>
  <sheetData>
    <row r="1" spans="1:46" ht="15.75" thickTop="1" x14ac:dyDescent="0.25">
      <c r="A1" s="19"/>
      <c r="B1" s="3"/>
      <c r="C1" s="4"/>
      <c r="D1" s="4"/>
      <c r="E1" s="4"/>
      <c r="F1" s="4"/>
      <c r="G1" s="4"/>
      <c r="H1" s="4"/>
      <c r="I1" s="4"/>
      <c r="J1" s="4"/>
      <c r="K1" s="5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</row>
    <row r="2" spans="1:46" ht="20.25" x14ac:dyDescent="0.3">
      <c r="A2" s="19"/>
      <c r="B2" s="6"/>
      <c r="C2" s="7"/>
      <c r="D2" s="42" t="s">
        <v>21</v>
      </c>
      <c r="E2" s="42"/>
      <c r="F2" s="42"/>
      <c r="G2" s="42"/>
      <c r="H2" s="42"/>
      <c r="I2" s="42"/>
      <c r="J2" s="7"/>
      <c r="K2" s="8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</row>
    <row r="3" spans="1:46" ht="20.25" x14ac:dyDescent="0.3">
      <c r="A3" s="19"/>
      <c r="B3" s="6"/>
      <c r="C3" s="7"/>
      <c r="D3" s="43" t="s">
        <v>23</v>
      </c>
      <c r="E3" s="43"/>
      <c r="F3" s="43"/>
      <c r="G3" s="43"/>
      <c r="H3" s="43"/>
      <c r="I3" s="43"/>
      <c r="J3" s="7"/>
      <c r="K3" s="8"/>
      <c r="L3" s="21"/>
      <c r="M3" s="23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</row>
    <row r="4" spans="1:46" ht="15.75" thickBot="1" x14ac:dyDescent="0.3">
      <c r="A4" s="19"/>
      <c r="B4" s="9"/>
      <c r="C4" s="10"/>
      <c r="D4" s="10"/>
      <c r="E4" s="10"/>
      <c r="F4" s="10"/>
      <c r="G4" s="10"/>
      <c r="H4" s="10"/>
      <c r="I4" s="10"/>
      <c r="J4" s="10"/>
      <c r="K4" s="1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</row>
    <row r="5" spans="1:46" ht="15.75" thickTop="1" x14ac:dyDescent="0.25">
      <c r="A5" s="19"/>
      <c r="B5" s="24"/>
      <c r="C5" s="18"/>
      <c r="D5" s="18"/>
      <c r="E5" s="18"/>
      <c r="F5" s="18"/>
      <c r="G5" s="18"/>
      <c r="H5" s="18"/>
      <c r="I5" s="18"/>
      <c r="J5" s="18"/>
      <c r="K5" s="25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</row>
    <row r="6" spans="1:46" x14ac:dyDescent="0.25">
      <c r="A6" s="19"/>
      <c r="B6" s="26"/>
      <c r="C6" s="27"/>
      <c r="D6" s="27"/>
      <c r="E6" s="27"/>
      <c r="F6" s="28"/>
      <c r="G6" s="27"/>
      <c r="H6" s="28"/>
      <c r="I6" s="28"/>
      <c r="J6" s="27"/>
      <c r="K6" s="29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</row>
    <row r="7" spans="1:46" x14ac:dyDescent="0.25">
      <c r="A7" s="19"/>
      <c r="B7" s="26"/>
      <c r="C7" s="27"/>
      <c r="D7" s="27"/>
      <c r="E7" s="27"/>
      <c r="F7" s="27"/>
      <c r="G7" s="30"/>
      <c r="H7" s="27"/>
      <c r="I7" s="31"/>
      <c r="J7" s="27"/>
      <c r="K7" s="29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</row>
    <row r="8" spans="1:46" x14ac:dyDescent="0.25">
      <c r="A8" s="19"/>
      <c r="B8" s="26"/>
      <c r="C8" s="27"/>
      <c r="D8" s="27"/>
      <c r="E8" s="27"/>
      <c r="F8" s="27"/>
      <c r="G8" s="27"/>
      <c r="H8" s="27"/>
      <c r="I8" s="27"/>
      <c r="J8" s="27"/>
      <c r="K8" s="29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</row>
    <row r="9" spans="1:46" x14ac:dyDescent="0.25">
      <c r="A9" s="19"/>
      <c r="B9" s="26"/>
      <c r="C9" s="27"/>
      <c r="D9" s="27"/>
      <c r="E9" s="27"/>
      <c r="F9" s="27"/>
      <c r="G9" s="27"/>
      <c r="H9" s="27"/>
      <c r="I9" s="28"/>
      <c r="J9" s="27"/>
      <c r="K9" s="29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</row>
    <row r="10" spans="1:46" x14ac:dyDescent="0.25">
      <c r="A10" s="19"/>
      <c r="B10" s="26"/>
      <c r="C10" s="27"/>
      <c r="D10" s="27"/>
      <c r="E10" s="27"/>
      <c r="F10" s="27"/>
      <c r="G10" s="27"/>
      <c r="H10" s="27"/>
      <c r="I10" s="28"/>
      <c r="J10" s="27"/>
      <c r="K10" s="29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</row>
    <row r="11" spans="1:46" x14ac:dyDescent="0.25">
      <c r="A11" s="19"/>
      <c r="B11" s="26"/>
      <c r="C11" s="27"/>
      <c r="D11" s="27"/>
      <c r="E11" s="27"/>
      <c r="F11" s="27"/>
      <c r="G11" s="27"/>
      <c r="H11" s="27"/>
      <c r="I11" s="27"/>
      <c r="J11" s="27"/>
      <c r="K11" s="29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</row>
    <row r="12" spans="1:46" ht="15.75" thickBot="1" x14ac:dyDescent="0.3">
      <c r="A12" s="19"/>
      <c r="B12" s="32"/>
      <c r="C12" s="33"/>
      <c r="D12" s="33"/>
      <c r="E12" s="33"/>
      <c r="F12" s="33"/>
      <c r="G12" s="33"/>
      <c r="H12" s="33"/>
      <c r="I12" s="33"/>
      <c r="J12" s="33"/>
      <c r="K12" s="34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</row>
    <row r="13" spans="1:46" ht="15.75" thickTop="1" x14ac:dyDescent="0.25">
      <c r="A13" s="1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</row>
    <row r="14" spans="1:46" x14ac:dyDescent="0.25">
      <c r="A14" s="19"/>
      <c r="B14" s="12"/>
      <c r="C14" s="12"/>
      <c r="D14" s="12"/>
      <c r="E14" s="36"/>
      <c r="F14" s="12"/>
      <c r="G14" s="12"/>
      <c r="H14" s="12"/>
      <c r="I14" s="12"/>
      <c r="J14" s="12"/>
      <c r="K14" s="12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</row>
    <row r="15" spans="1:46" ht="34.5" x14ac:dyDescent="0.45">
      <c r="A15" s="19"/>
      <c r="B15" s="13" t="s">
        <v>10</v>
      </c>
      <c r="C15" s="15"/>
      <c r="D15" s="38">
        <f>'DraftKings Basketball  Solver'!O11</f>
        <v>0</v>
      </c>
      <c r="E15" s="36"/>
      <c r="F15" s="41" t="e">
        <f>'DraftKings Basketball  Solver'!O17</f>
        <v>#N/A</v>
      </c>
      <c r="G15" s="40" t="e">
        <f>'DraftKings Basketball  Solver'!O18</f>
        <v>#N/A</v>
      </c>
      <c r="H15" s="41" t="e">
        <f>'DraftKings Basketball  Solver'!O19</f>
        <v>#N/A</v>
      </c>
      <c r="I15" s="40" t="e">
        <f>'DraftKings Basketball  Solver'!O20</f>
        <v>#N/A</v>
      </c>
      <c r="J15" s="41" t="e">
        <f>'DraftKings Basketball  Solver'!O25</f>
        <v>#N/A</v>
      </c>
      <c r="K15" s="12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</row>
    <row r="16" spans="1:46" ht="27" x14ac:dyDescent="0.35">
      <c r="A16" s="19"/>
      <c r="B16" s="13" t="s">
        <v>11</v>
      </c>
      <c r="C16" s="15"/>
      <c r="D16" s="39">
        <f>'DraftKings Basketball  Solver'!O8</f>
        <v>0</v>
      </c>
      <c r="E16" s="36"/>
      <c r="F16" s="40"/>
      <c r="G16" s="40"/>
      <c r="H16" s="40"/>
      <c r="I16" s="40"/>
      <c r="J16" s="40"/>
      <c r="K16" s="12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</row>
    <row r="17" spans="1:46" ht="27" x14ac:dyDescent="0.35">
      <c r="A17" s="19"/>
      <c r="B17" s="13"/>
      <c r="C17" s="16"/>
      <c r="D17" s="14"/>
      <c r="E17" s="37"/>
      <c r="F17" s="40" t="e">
        <f>'DraftKings Basketball  Solver'!O21</f>
        <v>#N/A</v>
      </c>
      <c r="G17" s="41" t="e">
        <f>'DraftKings Basketball  Solver'!O22</f>
        <v>#N/A</v>
      </c>
      <c r="H17" s="40" t="e">
        <f>'DraftKings Basketball  Solver'!O23</f>
        <v>#N/A</v>
      </c>
      <c r="I17" s="41" t="e">
        <f>'DraftKings Basketball  Solver'!O24</f>
        <v>#N/A</v>
      </c>
      <c r="J17" s="40"/>
      <c r="K17" s="17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</row>
    <row r="18" spans="1:46" x14ac:dyDescent="0.25">
      <c r="A18" s="19"/>
      <c r="B18" s="12"/>
      <c r="C18" s="17"/>
      <c r="D18" s="17"/>
      <c r="E18" s="37"/>
      <c r="F18" s="12"/>
      <c r="G18" s="17"/>
      <c r="H18" s="17"/>
      <c r="I18" s="17"/>
      <c r="J18" s="17"/>
      <c r="K18" s="17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</row>
    <row r="19" spans="1:46" x14ac:dyDescent="0.25">
      <c r="A19" s="19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</row>
    <row r="20" spans="1:46" x14ac:dyDescent="0.25">
      <c r="A20" s="19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</row>
    <row r="21" spans="1:46" x14ac:dyDescent="0.25">
      <c r="A21" s="19"/>
      <c r="B21" s="22"/>
      <c r="C21" s="23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1"/>
      <c r="W21" s="21"/>
      <c r="X21" s="21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</row>
    <row r="22" spans="1:46" x14ac:dyDescent="0.25">
      <c r="A22" s="19"/>
      <c r="B22" s="22"/>
      <c r="C22" s="23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1"/>
      <c r="W22" s="21"/>
      <c r="X22" s="21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</row>
    <row r="23" spans="1:46" x14ac:dyDescent="0.25">
      <c r="A23" s="19"/>
      <c r="B23" s="22"/>
      <c r="C23" s="23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1"/>
      <c r="W23" s="21"/>
      <c r="X23" s="21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</row>
    <row r="24" spans="1:46" x14ac:dyDescent="0.25">
      <c r="A24" s="19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1"/>
      <c r="W24" s="21"/>
      <c r="X24" s="21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</row>
    <row r="25" spans="1:46" x14ac:dyDescent="0.25">
      <c r="A25" s="19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1"/>
      <c r="W25" s="21"/>
      <c r="X25" s="21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</row>
    <row r="26" spans="1:46" x14ac:dyDescent="0.25">
      <c r="A26" s="19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1"/>
      <c r="W26" s="21"/>
      <c r="X26" s="21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</row>
    <row r="27" spans="1:46" x14ac:dyDescent="0.25">
      <c r="A27" s="19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</row>
    <row r="28" spans="1:46" x14ac:dyDescent="0.25">
      <c r="A28" s="19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</row>
    <row r="29" spans="1:46" x14ac:dyDescent="0.25">
      <c r="A29" s="19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</row>
    <row r="30" spans="1:46" x14ac:dyDescent="0.25">
      <c r="A30" s="19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</row>
    <row r="31" spans="1:46" x14ac:dyDescent="0.25">
      <c r="A31" s="19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</row>
    <row r="32" spans="1:46" x14ac:dyDescent="0.25">
      <c r="A32" s="19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</row>
    <row r="33" spans="1:46" x14ac:dyDescent="0.25">
      <c r="A33" s="19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</row>
    <row r="34" spans="1:46" x14ac:dyDescent="0.25">
      <c r="A34" s="19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</row>
    <row r="35" spans="1:46" x14ac:dyDescent="0.25">
      <c r="A35" s="19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</row>
    <row r="36" spans="1:46" x14ac:dyDescent="0.25">
      <c r="A36" s="19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</row>
    <row r="37" spans="1:46" x14ac:dyDescent="0.25">
      <c r="A37" s="19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</row>
    <row r="38" spans="1:46" x14ac:dyDescent="0.25">
      <c r="A38" s="19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</row>
    <row r="39" spans="1:46" x14ac:dyDescent="0.25">
      <c r="A39" s="19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</row>
    <row r="40" spans="1:46" x14ac:dyDescent="0.25">
      <c r="A40" s="19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</row>
    <row r="41" spans="1:46" x14ac:dyDescent="0.25">
      <c r="A41" s="19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</row>
    <row r="42" spans="1:46" x14ac:dyDescent="0.25">
      <c r="A42" s="19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</row>
    <row r="43" spans="1:46" x14ac:dyDescent="0.25">
      <c r="A43" s="19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</row>
    <row r="44" spans="1:46" x14ac:dyDescent="0.25">
      <c r="A44" s="19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</row>
    <row r="45" spans="1:46" x14ac:dyDescent="0.25">
      <c r="A45" s="19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</row>
    <row r="46" spans="1:46" x14ac:dyDescent="0.25">
      <c r="A46" s="19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</row>
    <row r="47" spans="1:46" x14ac:dyDescent="0.25">
      <c r="A47" s="19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</row>
    <row r="48" spans="1:46" x14ac:dyDescent="0.25">
      <c r="A48" s="19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</row>
    <row r="49" spans="1:46" x14ac:dyDescent="0.25">
      <c r="A49" s="19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</row>
    <row r="50" spans="1:46" x14ac:dyDescent="0.25">
      <c r="A50" s="19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</row>
    <row r="51" spans="1:46" x14ac:dyDescent="0.25">
      <c r="A51" s="19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</row>
    <row r="52" spans="1:46" x14ac:dyDescent="0.25">
      <c r="A52" s="19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</row>
    <row r="53" spans="1:46" x14ac:dyDescent="0.25">
      <c r="A53" s="19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</row>
    <row r="54" spans="1:46" x14ac:dyDescent="0.25">
      <c r="A54" s="19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</row>
    <row r="55" spans="1:46" x14ac:dyDescent="0.25">
      <c r="A55" s="19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</row>
    <row r="56" spans="1:46" x14ac:dyDescent="0.25">
      <c r="A56" s="19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</row>
    <row r="57" spans="1:46" x14ac:dyDescent="0.25">
      <c r="A57" s="19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</row>
    <row r="58" spans="1:46" x14ac:dyDescent="0.25">
      <c r="A58" s="19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</row>
    <row r="59" spans="1:46" x14ac:dyDescent="0.25">
      <c r="A59" s="19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</row>
    <row r="60" spans="1:46" x14ac:dyDescent="0.25">
      <c r="A60" s="19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</row>
    <row r="61" spans="1:46" x14ac:dyDescent="0.25">
      <c r="A61" s="19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</row>
    <row r="62" spans="1:46" x14ac:dyDescent="0.25">
      <c r="A62" s="19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</row>
    <row r="63" spans="1:46" x14ac:dyDescent="0.25">
      <c r="A63" s="19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</row>
    <row r="64" spans="1:46" x14ac:dyDescent="0.25">
      <c r="A64" s="19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</row>
    <row r="65" spans="1:46" x14ac:dyDescent="0.25">
      <c r="A65" s="19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</row>
    <row r="66" spans="1:46" x14ac:dyDescent="0.25">
      <c r="A66" s="19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</row>
    <row r="67" spans="1:46" x14ac:dyDescent="0.25">
      <c r="A67" s="19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</row>
    <row r="68" spans="1:46" x14ac:dyDescent="0.25">
      <c r="A68" s="19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</row>
    <row r="69" spans="1:46" x14ac:dyDescent="0.25">
      <c r="A69" s="19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</row>
    <row r="70" spans="1:46" x14ac:dyDescent="0.25">
      <c r="A70" s="19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</row>
    <row r="71" spans="1:46" x14ac:dyDescent="0.25">
      <c r="A71" s="19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</row>
    <row r="72" spans="1:46" x14ac:dyDescent="0.25">
      <c r="A72" s="19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</row>
    <row r="73" spans="1:46" x14ac:dyDescent="0.25">
      <c r="A73" s="19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</row>
    <row r="74" spans="1:46" x14ac:dyDescent="0.25">
      <c r="A74" s="19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</row>
    <row r="75" spans="1:46" x14ac:dyDescent="0.25">
      <c r="A75" s="19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</row>
    <row r="76" spans="1:46" x14ac:dyDescent="0.25">
      <c r="A76" s="19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</row>
    <row r="77" spans="1:46" x14ac:dyDescent="0.25">
      <c r="A77" s="19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</row>
    <row r="78" spans="1:46" x14ac:dyDescent="0.25">
      <c r="A78" s="19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</row>
    <row r="79" spans="1:46" x14ac:dyDescent="0.25">
      <c r="A79" s="19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</row>
    <row r="80" spans="1:46" x14ac:dyDescent="0.25">
      <c r="A80" s="19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</row>
    <row r="81" spans="1:46" x14ac:dyDescent="0.25">
      <c r="A81" s="19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</row>
    <row r="82" spans="1:46" x14ac:dyDescent="0.25">
      <c r="A82" s="19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</row>
    <row r="83" spans="1:46" x14ac:dyDescent="0.25">
      <c r="A83" s="19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</row>
    <row r="84" spans="1:46" x14ac:dyDescent="0.25">
      <c r="A84" s="19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</row>
    <row r="85" spans="1:46" x14ac:dyDescent="0.25">
      <c r="A85" s="19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</row>
    <row r="86" spans="1:46" x14ac:dyDescent="0.25">
      <c r="A86" s="19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</row>
    <row r="87" spans="1:46" x14ac:dyDescent="0.25">
      <c r="A87" s="19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</row>
    <row r="88" spans="1:46" x14ac:dyDescent="0.25">
      <c r="A88" s="19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</row>
    <row r="89" spans="1:46" x14ac:dyDescent="0.25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</row>
    <row r="90" spans="1:46" x14ac:dyDescent="0.25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</row>
    <row r="91" spans="1:46" x14ac:dyDescent="0.25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</row>
    <row r="92" spans="1:46" x14ac:dyDescent="0.25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</row>
    <row r="93" spans="1:46" x14ac:dyDescent="0.25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</row>
    <row r="94" spans="1:46" x14ac:dyDescent="0.25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</row>
    <row r="95" spans="1:46" x14ac:dyDescent="0.25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</row>
    <row r="96" spans="1:46" x14ac:dyDescent="0.25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</row>
    <row r="97" spans="2:46" x14ac:dyDescent="0.25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</row>
    <row r="98" spans="2:46" x14ac:dyDescent="0.25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</row>
    <row r="99" spans="2:46" x14ac:dyDescent="0.25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</row>
    <row r="100" spans="2:46" x14ac:dyDescent="0.25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</row>
    <row r="101" spans="2:46" x14ac:dyDescent="0.25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</row>
    <row r="102" spans="2:46" x14ac:dyDescent="0.25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</row>
    <row r="103" spans="2:46" x14ac:dyDescent="0.25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</row>
    <row r="104" spans="2:46" x14ac:dyDescent="0.25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</row>
    <row r="105" spans="2:46" x14ac:dyDescent="0.25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</row>
    <row r="106" spans="2:46" x14ac:dyDescent="0.25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</row>
    <row r="107" spans="2:46" x14ac:dyDescent="0.25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</row>
    <row r="108" spans="2:46" x14ac:dyDescent="0.25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</row>
    <row r="109" spans="2:46" x14ac:dyDescent="0.25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</row>
    <row r="110" spans="2:46" x14ac:dyDescent="0.25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</row>
    <row r="111" spans="2:46" x14ac:dyDescent="0.25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</row>
    <row r="112" spans="2:46" x14ac:dyDescent="0.25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</row>
    <row r="113" spans="2:46" x14ac:dyDescent="0.25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</row>
    <row r="114" spans="2:46" x14ac:dyDescent="0.25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</row>
    <row r="115" spans="2:46" x14ac:dyDescent="0.25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2:46" x14ac:dyDescent="0.25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</row>
    <row r="117" spans="2:46" x14ac:dyDescent="0.25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</row>
    <row r="118" spans="2:46" x14ac:dyDescent="0.25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</row>
    <row r="119" spans="2:46" x14ac:dyDescent="0.25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</row>
    <row r="120" spans="2:46" x14ac:dyDescent="0.25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</row>
    <row r="121" spans="2:46" x14ac:dyDescent="0.25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</row>
    <row r="122" spans="2:46" x14ac:dyDescent="0.25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</row>
    <row r="123" spans="2:46" x14ac:dyDescent="0.25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</row>
  </sheetData>
  <mergeCells count="2">
    <mergeCell ref="D2:I2"/>
    <mergeCell ref="D3:I3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Macro3">
                <anchor moveWithCells="1" sizeWithCells="1">
                  <from>
                    <xdr:col>2</xdr:col>
                    <xdr:colOff>85725</xdr:colOff>
                    <xdr:row>6</xdr:row>
                    <xdr:rowOff>57150</xdr:rowOff>
                  </from>
                  <to>
                    <xdr:col>4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DraftKings Basketball  Solver</vt:lpstr>
      <vt:lpstr>RawData</vt:lpstr>
      <vt:lpstr>Optimizer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Matt Dorris</cp:lastModifiedBy>
  <dcterms:created xsi:type="dcterms:W3CDTF">2017-02-02T03:49:20Z</dcterms:created>
  <dcterms:modified xsi:type="dcterms:W3CDTF">2017-10-23T03:06:30Z</dcterms:modified>
</cp:coreProperties>
</file>