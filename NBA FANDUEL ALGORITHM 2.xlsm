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/>
  </bookViews>
  <sheets>
    <sheet name="DraftKings Basketball  Solver" sheetId="2" r:id="rId1"/>
    <sheet name="RawData" sheetId="5" r:id="rId2"/>
    <sheet name="Sheet1" sheetId="4" r:id="rId3"/>
    <sheet name="Check" sheetId="6" r:id="rId4"/>
    <sheet name="Sheet3" sheetId="7" r:id="rId5"/>
  </sheets>
  <definedNames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Solver'!$O$8</definedName>
    <definedName name="solver_lhs4" localSheetId="0" hidden="1">'DraftKings Basketball  Solver'!$P$2</definedName>
    <definedName name="solver_lhs5" localSheetId="0" hidden="1">'DraftKings Basketball  Solver'!$P$3</definedName>
    <definedName name="solver_lhs6" localSheetId="0" hidden="1">'DraftKings Basketball  Solver'!$P$4</definedName>
    <definedName name="solver_lhs7" localSheetId="0" hidden="1">'DraftKings Basketball  Solver'!$P$5</definedName>
    <definedName name="solver_lhs8" localSheetId="0" hidden="1">'DraftKings Basketball  Solver'!$P$4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7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1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1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Solver'!$O$9</definedName>
    <definedName name="solver_rhs4" localSheetId="0" hidden="1">'DraftKings Basketball  Solver'!$O$2</definedName>
    <definedName name="solver_rhs5" localSheetId="0" hidden="1">'DraftKings Basketball  Solver'!$O$3</definedName>
    <definedName name="solver_rhs6" localSheetId="0" hidden="1">'DraftKings Basketball  Solver'!$O$4</definedName>
    <definedName name="solver_rhs7" localSheetId="0" hidden="1">'DraftKings Basketball  Solver'!$O$5</definedName>
    <definedName name="solver_rhs8" localSheetId="0" hidden="1">'DraftKings Basketball  Solver'!$O$4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2" i="5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M3" i="2" l="1"/>
  <c r="F3" i="2" s="1"/>
  <c r="M4" i="2"/>
  <c r="F4" i="2" s="1"/>
  <c r="M5" i="2"/>
  <c r="F5" i="2" s="1"/>
  <c r="M6" i="2"/>
  <c r="F6" i="2" s="1"/>
  <c r="M7" i="2"/>
  <c r="F7" i="2" s="1"/>
  <c r="M8" i="2"/>
  <c r="F8" i="2" s="1"/>
  <c r="M9" i="2"/>
  <c r="F9" i="2" s="1"/>
  <c r="M10" i="2"/>
  <c r="F10" i="2" s="1"/>
  <c r="M11" i="2"/>
  <c r="F11" i="2" s="1"/>
  <c r="M12" i="2"/>
  <c r="F12" i="2" s="1"/>
  <c r="M13" i="2"/>
  <c r="F13" i="2" s="1"/>
  <c r="M14" i="2"/>
  <c r="F14" i="2" s="1"/>
  <c r="M15" i="2"/>
  <c r="F15" i="2" s="1"/>
  <c r="M16" i="2"/>
  <c r="F16" i="2" s="1"/>
  <c r="M17" i="2"/>
  <c r="F17" i="2" s="1"/>
  <c r="M18" i="2"/>
  <c r="F18" i="2" s="1"/>
  <c r="M19" i="2"/>
  <c r="F19" i="2" s="1"/>
  <c r="M20" i="2"/>
  <c r="F20" i="2" s="1"/>
  <c r="M21" i="2"/>
  <c r="F21" i="2" s="1"/>
  <c r="M22" i="2"/>
  <c r="F22" i="2" s="1"/>
  <c r="M23" i="2"/>
  <c r="F23" i="2" s="1"/>
  <c r="M24" i="2"/>
  <c r="F24" i="2" s="1"/>
  <c r="M25" i="2"/>
  <c r="F25" i="2" s="1"/>
  <c r="M26" i="2"/>
  <c r="F26" i="2" s="1"/>
  <c r="M27" i="2"/>
  <c r="F27" i="2" s="1"/>
  <c r="M28" i="2"/>
  <c r="F28" i="2" s="1"/>
  <c r="M29" i="2"/>
  <c r="F29" i="2" s="1"/>
  <c r="M30" i="2"/>
  <c r="F30" i="2" s="1"/>
  <c r="M31" i="2"/>
  <c r="F31" i="2" s="1"/>
  <c r="M32" i="2"/>
  <c r="F32" i="2" s="1"/>
  <c r="M33" i="2"/>
  <c r="F33" i="2" s="1"/>
  <c r="M34" i="2"/>
  <c r="F34" i="2" s="1"/>
  <c r="M35" i="2"/>
  <c r="F35" i="2" s="1"/>
  <c r="M36" i="2"/>
  <c r="F36" i="2" s="1"/>
  <c r="M37" i="2"/>
  <c r="F37" i="2" s="1"/>
  <c r="M38" i="2"/>
  <c r="F38" i="2" s="1"/>
  <c r="M39" i="2"/>
  <c r="F39" i="2" s="1"/>
  <c r="M40" i="2"/>
  <c r="F40" i="2" s="1"/>
  <c r="M41" i="2"/>
  <c r="F41" i="2" s="1"/>
  <c r="M42" i="2"/>
  <c r="F42" i="2" s="1"/>
  <c r="M43" i="2"/>
  <c r="F43" i="2" s="1"/>
  <c r="M44" i="2"/>
  <c r="F44" i="2" s="1"/>
  <c r="M45" i="2"/>
  <c r="F45" i="2" s="1"/>
  <c r="M46" i="2"/>
  <c r="F46" i="2" s="1"/>
  <c r="M47" i="2"/>
  <c r="F47" i="2" s="1"/>
  <c r="M48" i="2"/>
  <c r="F48" i="2" s="1"/>
  <c r="M49" i="2"/>
  <c r="F49" i="2" s="1"/>
  <c r="M50" i="2"/>
  <c r="F50" i="2" s="1"/>
  <c r="M51" i="2"/>
  <c r="F51" i="2" s="1"/>
  <c r="M52" i="2"/>
  <c r="F52" i="2" s="1"/>
  <c r="M53" i="2"/>
  <c r="F53" i="2" s="1"/>
  <c r="M54" i="2"/>
  <c r="F54" i="2" s="1"/>
  <c r="M55" i="2"/>
  <c r="F55" i="2" s="1"/>
  <c r="M56" i="2"/>
  <c r="F56" i="2" s="1"/>
  <c r="M57" i="2"/>
  <c r="F57" i="2" s="1"/>
  <c r="M58" i="2"/>
  <c r="F58" i="2" s="1"/>
  <c r="M59" i="2"/>
  <c r="F59" i="2" s="1"/>
  <c r="M60" i="2"/>
  <c r="F60" i="2" s="1"/>
  <c r="M61" i="2"/>
  <c r="F61" i="2" s="1"/>
  <c r="M62" i="2"/>
  <c r="F62" i="2" s="1"/>
  <c r="M63" i="2"/>
  <c r="F63" i="2" s="1"/>
  <c r="M64" i="2"/>
  <c r="F64" i="2" s="1"/>
  <c r="M65" i="2"/>
  <c r="F65" i="2" s="1"/>
  <c r="M66" i="2"/>
  <c r="F66" i="2" s="1"/>
  <c r="M67" i="2"/>
  <c r="F67" i="2" s="1"/>
  <c r="M68" i="2"/>
  <c r="F68" i="2" s="1"/>
  <c r="M69" i="2"/>
  <c r="F69" i="2" s="1"/>
  <c r="M70" i="2"/>
  <c r="F70" i="2" s="1"/>
  <c r="M71" i="2"/>
  <c r="F71" i="2" s="1"/>
  <c r="M72" i="2"/>
  <c r="F72" i="2" s="1"/>
  <c r="M73" i="2"/>
  <c r="F73" i="2" s="1"/>
  <c r="M74" i="2"/>
  <c r="F74" i="2" s="1"/>
  <c r="M75" i="2"/>
  <c r="F75" i="2" s="1"/>
  <c r="M76" i="2"/>
  <c r="F76" i="2" s="1"/>
  <c r="M77" i="2"/>
  <c r="F77" i="2" s="1"/>
  <c r="M78" i="2"/>
  <c r="F78" i="2" s="1"/>
  <c r="M79" i="2"/>
  <c r="F79" i="2" s="1"/>
  <c r="M80" i="2"/>
  <c r="F80" i="2" s="1"/>
  <c r="M81" i="2"/>
  <c r="F81" i="2" s="1"/>
  <c r="M82" i="2"/>
  <c r="F82" i="2" s="1"/>
  <c r="M83" i="2"/>
  <c r="F83" i="2" s="1"/>
  <c r="M84" i="2"/>
  <c r="F84" i="2" s="1"/>
  <c r="M85" i="2"/>
  <c r="F85" i="2" s="1"/>
  <c r="M86" i="2"/>
  <c r="F86" i="2" s="1"/>
  <c r="M87" i="2"/>
  <c r="F87" i="2" s="1"/>
  <c r="M88" i="2"/>
  <c r="F88" i="2" s="1"/>
  <c r="M89" i="2"/>
  <c r="F89" i="2" s="1"/>
  <c r="M90" i="2"/>
  <c r="F90" i="2" s="1"/>
  <c r="M91" i="2"/>
  <c r="F91" i="2" s="1"/>
  <c r="M92" i="2"/>
  <c r="F92" i="2" s="1"/>
  <c r="M93" i="2"/>
  <c r="F93" i="2" s="1"/>
  <c r="M94" i="2"/>
  <c r="F94" i="2" s="1"/>
  <c r="M95" i="2"/>
  <c r="F95" i="2" s="1"/>
  <c r="M96" i="2"/>
  <c r="F96" i="2" s="1"/>
  <c r="M97" i="2"/>
  <c r="F97" i="2" s="1"/>
  <c r="M98" i="2"/>
  <c r="F98" i="2" s="1"/>
  <c r="M99" i="2"/>
  <c r="F99" i="2" s="1"/>
  <c r="M100" i="2"/>
  <c r="F100" i="2" s="1"/>
  <c r="M101" i="2"/>
  <c r="F101" i="2" s="1"/>
  <c r="M2" i="2"/>
  <c r="F2" i="2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2" i="2"/>
  <c r="A2" i="2" l="1"/>
  <c r="O11" i="2" l="1"/>
  <c r="D15" i="4" s="1"/>
  <c r="O8" i="2"/>
  <c r="D16" i="4" s="1"/>
  <c r="O9" i="2"/>
  <c r="O14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18" i="2"/>
  <c r="J18" i="2"/>
  <c r="K18" i="2"/>
  <c r="L18" i="2"/>
  <c r="I19" i="2"/>
  <c r="J19" i="2"/>
  <c r="K19" i="2"/>
  <c r="L19" i="2"/>
  <c r="I20" i="2"/>
  <c r="J20" i="2"/>
  <c r="K20" i="2"/>
  <c r="L20" i="2"/>
  <c r="I21" i="2"/>
  <c r="J21" i="2"/>
  <c r="K21" i="2"/>
  <c r="L21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/>
  <c r="J37" i="2"/>
  <c r="K37" i="2"/>
  <c r="L37" i="2"/>
  <c r="I38" i="2"/>
  <c r="J38" i="2"/>
  <c r="K38" i="2"/>
  <c r="L38" i="2"/>
  <c r="I39" i="2"/>
  <c r="J39" i="2"/>
  <c r="K39" i="2"/>
  <c r="L39" i="2"/>
  <c r="I40" i="2"/>
  <c r="J40" i="2"/>
  <c r="K40" i="2"/>
  <c r="L40" i="2"/>
  <c r="I41" i="2"/>
  <c r="J41" i="2"/>
  <c r="K41" i="2"/>
  <c r="L41" i="2"/>
  <c r="I42" i="2"/>
  <c r="J42" i="2"/>
  <c r="K42" i="2"/>
  <c r="L42" i="2"/>
  <c r="I43" i="2"/>
  <c r="J43" i="2"/>
  <c r="K43" i="2"/>
  <c r="L43" i="2"/>
  <c r="I44" i="2"/>
  <c r="J44" i="2"/>
  <c r="K44" i="2"/>
  <c r="L44" i="2"/>
  <c r="I45" i="2"/>
  <c r="J45" i="2"/>
  <c r="K45" i="2"/>
  <c r="L45" i="2"/>
  <c r="I46" i="2"/>
  <c r="J46" i="2"/>
  <c r="K46" i="2"/>
  <c r="L46" i="2"/>
  <c r="I47" i="2"/>
  <c r="J47" i="2"/>
  <c r="K47" i="2"/>
  <c r="L47" i="2"/>
  <c r="I48" i="2"/>
  <c r="J48" i="2"/>
  <c r="K48" i="2"/>
  <c r="L48" i="2"/>
  <c r="I49" i="2"/>
  <c r="J49" i="2"/>
  <c r="K49" i="2"/>
  <c r="L49" i="2"/>
  <c r="I50" i="2"/>
  <c r="J50" i="2"/>
  <c r="K50" i="2"/>
  <c r="L50" i="2"/>
  <c r="I51" i="2"/>
  <c r="J51" i="2"/>
  <c r="K51" i="2"/>
  <c r="L51" i="2"/>
  <c r="I52" i="2"/>
  <c r="J52" i="2"/>
  <c r="K52" i="2"/>
  <c r="L52" i="2"/>
  <c r="I53" i="2"/>
  <c r="J53" i="2"/>
  <c r="K53" i="2"/>
  <c r="L53" i="2"/>
  <c r="I54" i="2"/>
  <c r="J54" i="2"/>
  <c r="K54" i="2"/>
  <c r="L54" i="2"/>
  <c r="I55" i="2"/>
  <c r="J55" i="2"/>
  <c r="K55" i="2"/>
  <c r="L55" i="2"/>
  <c r="I56" i="2"/>
  <c r="J56" i="2"/>
  <c r="K56" i="2"/>
  <c r="L56" i="2"/>
  <c r="I57" i="2"/>
  <c r="J57" i="2"/>
  <c r="K57" i="2"/>
  <c r="L57" i="2"/>
  <c r="I58" i="2"/>
  <c r="J58" i="2"/>
  <c r="K58" i="2"/>
  <c r="L58" i="2"/>
  <c r="I59" i="2"/>
  <c r="J59" i="2"/>
  <c r="K59" i="2"/>
  <c r="L59" i="2"/>
  <c r="I60" i="2"/>
  <c r="J60" i="2"/>
  <c r="K60" i="2"/>
  <c r="L60" i="2"/>
  <c r="I61" i="2"/>
  <c r="J61" i="2"/>
  <c r="K61" i="2"/>
  <c r="L61" i="2"/>
  <c r="I62" i="2"/>
  <c r="J62" i="2"/>
  <c r="K62" i="2"/>
  <c r="L62" i="2"/>
  <c r="I63" i="2"/>
  <c r="J63" i="2"/>
  <c r="K63" i="2"/>
  <c r="L63" i="2"/>
  <c r="I64" i="2"/>
  <c r="J64" i="2"/>
  <c r="K64" i="2"/>
  <c r="L64" i="2"/>
  <c r="I65" i="2"/>
  <c r="J65" i="2"/>
  <c r="K65" i="2"/>
  <c r="L65" i="2"/>
  <c r="I66" i="2"/>
  <c r="J66" i="2"/>
  <c r="K66" i="2"/>
  <c r="L66" i="2"/>
  <c r="I67" i="2"/>
  <c r="J67" i="2"/>
  <c r="K67" i="2"/>
  <c r="L67" i="2"/>
  <c r="I68" i="2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I82" i="2"/>
  <c r="J82" i="2"/>
  <c r="K82" i="2"/>
  <c r="L82" i="2"/>
  <c r="I83" i="2"/>
  <c r="J83" i="2"/>
  <c r="K83" i="2"/>
  <c r="L83" i="2"/>
  <c r="I84" i="2"/>
  <c r="J84" i="2"/>
  <c r="K84" i="2"/>
  <c r="L84" i="2"/>
  <c r="I85" i="2"/>
  <c r="J85" i="2"/>
  <c r="K85" i="2"/>
  <c r="L85" i="2"/>
  <c r="I86" i="2"/>
  <c r="J86" i="2"/>
  <c r="K86" i="2"/>
  <c r="L86" i="2"/>
  <c r="I87" i="2"/>
  <c r="J87" i="2"/>
  <c r="K87" i="2"/>
  <c r="L87" i="2"/>
  <c r="I88" i="2"/>
  <c r="J88" i="2"/>
  <c r="K88" i="2"/>
  <c r="L88" i="2"/>
  <c r="I89" i="2"/>
  <c r="J89" i="2"/>
  <c r="K89" i="2"/>
  <c r="L89" i="2"/>
  <c r="I90" i="2"/>
  <c r="J90" i="2"/>
  <c r="K90" i="2"/>
  <c r="L90" i="2"/>
  <c r="I91" i="2"/>
  <c r="J91" i="2"/>
  <c r="K91" i="2"/>
  <c r="L91" i="2"/>
  <c r="I92" i="2"/>
  <c r="J92" i="2"/>
  <c r="K92" i="2"/>
  <c r="L92" i="2"/>
  <c r="I93" i="2"/>
  <c r="J93" i="2"/>
  <c r="K93" i="2"/>
  <c r="L93" i="2"/>
  <c r="I94" i="2"/>
  <c r="J94" i="2"/>
  <c r="K94" i="2"/>
  <c r="L94" i="2"/>
  <c r="I95" i="2"/>
  <c r="J95" i="2"/>
  <c r="K95" i="2"/>
  <c r="L95" i="2"/>
  <c r="I96" i="2"/>
  <c r="J96" i="2"/>
  <c r="K96" i="2"/>
  <c r="L96" i="2"/>
  <c r="I97" i="2"/>
  <c r="J97" i="2"/>
  <c r="K97" i="2"/>
  <c r="L97" i="2"/>
  <c r="I98" i="2"/>
  <c r="J98" i="2"/>
  <c r="K98" i="2"/>
  <c r="L98" i="2"/>
  <c r="I99" i="2"/>
  <c r="J99" i="2"/>
  <c r="K99" i="2"/>
  <c r="L99" i="2"/>
  <c r="I100" i="2"/>
  <c r="J100" i="2"/>
  <c r="K100" i="2"/>
  <c r="L100" i="2"/>
  <c r="I101" i="2"/>
  <c r="J101" i="2"/>
  <c r="K101" i="2"/>
  <c r="L101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5" i="2" l="1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9" i="2" l="1"/>
  <c r="O23" i="2"/>
  <c r="O22" i="2"/>
  <c r="O20" i="2"/>
  <c r="O24" i="2"/>
  <c r="O21" i="2"/>
  <c r="O17" i="2"/>
  <c r="O18" i="2"/>
  <c r="I15" i="4" l="1"/>
  <c r="P20" i="2"/>
  <c r="F15" i="4"/>
  <c r="P17" i="2"/>
  <c r="G17" i="4"/>
  <c r="P22" i="2"/>
  <c r="F17" i="4"/>
  <c r="P21" i="2"/>
  <c r="H17" i="4"/>
  <c r="P23" i="2"/>
  <c r="G15" i="4"/>
  <c r="P18" i="2"/>
  <c r="I17" i="4"/>
  <c r="P24" i="2"/>
  <c r="H15" i="4"/>
  <c r="P19" i="2"/>
  <c r="P25" i="2" l="1"/>
</calcChain>
</file>

<file path=xl/sharedStrings.xml><?xml version="1.0" encoding="utf-8"?>
<sst xmlns="http://schemas.openxmlformats.org/spreadsheetml/2006/main" count="2757" uniqueCount="1267">
  <si>
    <t>Position</t>
  </si>
  <si>
    <t>Game</t>
  </si>
  <si>
    <t>Team</t>
  </si>
  <si>
    <t>PG</t>
  </si>
  <si>
    <t>OKC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</si>
  <si>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</si>
  <si>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</si>
  <si>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</si>
  <si>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</si>
  <si>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</si>
  <si>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</si>
  <si>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</si>
  <si>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</si>
  <si>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</si>
  <si>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</si>
  <si>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</si>
  <si>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</si>
  <si>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</si>
  <si>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</si>
  <si>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</si>
  <si>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</si>
  <si>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</si>
  <si>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</si>
  <si>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</si>
  <si>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</si>
  <si>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</si>
  <si>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</si>
  <si>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</si>
  <si>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</si>
  <si>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</si>
  <si>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</si>
  <si>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</si>
  <si>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</si>
  <si>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Id</t>
  </si>
  <si>
    <t>First Name</t>
  </si>
  <si>
    <t>Nickname</t>
  </si>
  <si>
    <t>Last Name</t>
  </si>
  <si>
    <t>FPPG</t>
  </si>
  <si>
    <t>Played</t>
  </si>
  <si>
    <t>Salary</t>
  </si>
  <si>
    <t>Opponent</t>
  </si>
  <si>
    <t>Injury Indicator</t>
  </si>
  <si>
    <t>Injury Details</t>
  </si>
  <si>
    <t>James</t>
  </si>
  <si>
    <t>CHA</t>
  </si>
  <si>
    <t>Russell</t>
  </si>
  <si>
    <t>Westbrook</t>
  </si>
  <si>
    <t>Isaiah</t>
  </si>
  <si>
    <t>Thomas</t>
  </si>
  <si>
    <t>BOS</t>
  </si>
  <si>
    <t>POR</t>
  </si>
  <si>
    <t>Kevin</t>
  </si>
  <si>
    <t>Joel</t>
  </si>
  <si>
    <t>Embiid</t>
  </si>
  <si>
    <t>PHI</t>
  </si>
  <si>
    <t>ORL</t>
  </si>
  <si>
    <t>O</t>
  </si>
  <si>
    <t>Knee</t>
  </si>
  <si>
    <t>Damian</t>
  </si>
  <si>
    <t>Lillard</t>
  </si>
  <si>
    <t>C.J.</t>
  </si>
  <si>
    <t>McCollum</t>
  </si>
  <si>
    <t>Rudy</t>
  </si>
  <si>
    <t>Gobert</t>
  </si>
  <si>
    <t>UTA</t>
  </si>
  <si>
    <t>DAL</t>
  </si>
  <si>
    <t>Gordon</t>
  </si>
  <si>
    <t>Hayward</t>
  </si>
  <si>
    <t>Nicolas</t>
  </si>
  <si>
    <t>Batum</t>
  </si>
  <si>
    <t>Al</t>
  </si>
  <si>
    <t>Horford</t>
  </si>
  <si>
    <t>Kemba</t>
  </si>
  <si>
    <t>Walker</t>
  </si>
  <si>
    <t>Nikola</t>
  </si>
  <si>
    <t>Vucevic</t>
  </si>
  <si>
    <t>Mason</t>
  </si>
  <si>
    <t>Plumlee</t>
  </si>
  <si>
    <t>Avery</t>
  </si>
  <si>
    <t>Bradley</t>
  </si>
  <si>
    <t>Achilles</t>
  </si>
  <si>
    <t>Jae</t>
  </si>
  <si>
    <t>Crowder</t>
  </si>
  <si>
    <t>Victor</t>
  </si>
  <si>
    <t>Oladipo</t>
  </si>
  <si>
    <t>Harrison</t>
  </si>
  <si>
    <t>Barnes</t>
  </si>
  <si>
    <t>Elfrid</t>
  </si>
  <si>
    <t>Payton</t>
  </si>
  <si>
    <t>Deron</t>
  </si>
  <si>
    <t>Williams</t>
  </si>
  <si>
    <t>GTD</t>
  </si>
  <si>
    <t>Steven</t>
  </si>
  <si>
    <t>Adams</t>
  </si>
  <si>
    <t>Enes</t>
  </si>
  <si>
    <t>Kanter</t>
  </si>
  <si>
    <t>Forearm</t>
  </si>
  <si>
    <t>George</t>
  </si>
  <si>
    <t>Hill</t>
  </si>
  <si>
    <t>Serge</t>
  </si>
  <si>
    <t>Ibaka</t>
  </si>
  <si>
    <t>Robert</t>
  </si>
  <si>
    <t>Covington</t>
  </si>
  <si>
    <t>Wesley</t>
  </si>
  <si>
    <t>Matthews</t>
  </si>
  <si>
    <t>Yogi</t>
  </si>
  <si>
    <t>Ferrell</t>
  </si>
  <si>
    <t>Dirk</t>
  </si>
  <si>
    <t>Nowitzki</t>
  </si>
  <si>
    <t>Marcus</t>
  </si>
  <si>
    <t>Smart</t>
  </si>
  <si>
    <t>Ersan</t>
  </si>
  <si>
    <t>Ilyasova</t>
  </si>
  <si>
    <t>Thompson</t>
  </si>
  <si>
    <t>Patrick</t>
  </si>
  <si>
    <t>Eric</t>
  </si>
  <si>
    <t>Michael</t>
  </si>
  <si>
    <t>Kidd-Gilchrist</t>
  </si>
  <si>
    <t>Nerlens</t>
  </si>
  <si>
    <t>Noel</t>
  </si>
  <si>
    <t>Al-Farouq</t>
  </si>
  <si>
    <t>Aminu</t>
  </si>
  <si>
    <t>Evan</t>
  </si>
  <si>
    <t>Fournier</t>
  </si>
  <si>
    <t>Trevor</t>
  </si>
  <si>
    <t>Cody</t>
  </si>
  <si>
    <t>Zeller</t>
  </si>
  <si>
    <t>Quadriceps</t>
  </si>
  <si>
    <t>Marvin</t>
  </si>
  <si>
    <t>Derrick</t>
  </si>
  <si>
    <t>Favors</t>
  </si>
  <si>
    <t>Seth</t>
  </si>
  <si>
    <t>Curry</t>
  </si>
  <si>
    <t>T.J.</t>
  </si>
  <si>
    <t>McConnell</t>
  </si>
  <si>
    <t>Ben</t>
  </si>
  <si>
    <t>Simmons</t>
  </si>
  <si>
    <t>Foot</t>
  </si>
  <si>
    <t>Frank</t>
  </si>
  <si>
    <t>Kaminsky</t>
  </si>
  <si>
    <t>Ryan</t>
  </si>
  <si>
    <t>Anderson</t>
  </si>
  <si>
    <t>J.J.</t>
  </si>
  <si>
    <t>Barea</t>
  </si>
  <si>
    <t>Calf</t>
  </si>
  <si>
    <t>Turner</t>
  </si>
  <si>
    <t>Hand</t>
  </si>
  <si>
    <t>Jeremy</t>
  </si>
  <si>
    <t>Lamb</t>
  </si>
  <si>
    <t>Jahlil</t>
  </si>
  <si>
    <t>Okafor</t>
  </si>
  <si>
    <t>Aaron</t>
  </si>
  <si>
    <t>Dario</t>
  </si>
  <si>
    <t>Saric</t>
  </si>
  <si>
    <t>Rodney</t>
  </si>
  <si>
    <t>Hood</t>
  </si>
  <si>
    <t>Watson</t>
  </si>
  <si>
    <t>Andre</t>
  </si>
  <si>
    <t>Roberson</t>
  </si>
  <si>
    <t>Marco</t>
  </si>
  <si>
    <t>Belinelli</t>
  </si>
  <si>
    <t>Kelly</t>
  </si>
  <si>
    <t>Olynyk</t>
  </si>
  <si>
    <t>Andrew</t>
  </si>
  <si>
    <t>Bogut</t>
  </si>
  <si>
    <t>Hamstring</t>
  </si>
  <si>
    <t>Devin</t>
  </si>
  <si>
    <t>Harris</t>
  </si>
  <si>
    <t>Ankle</t>
  </si>
  <si>
    <t>Maurice</t>
  </si>
  <si>
    <t>Harkless</t>
  </si>
  <si>
    <t>Jaylen</t>
  </si>
  <si>
    <t>Brown</t>
  </si>
  <si>
    <t>Joe</t>
  </si>
  <si>
    <t>Johnson</t>
  </si>
  <si>
    <t>Salah</t>
  </si>
  <si>
    <t>Mejri</t>
  </si>
  <si>
    <t>Amir</t>
  </si>
  <si>
    <t>Kyle</t>
  </si>
  <si>
    <t>Ingles</t>
  </si>
  <si>
    <t>Jodie</t>
  </si>
  <si>
    <t>Meeks</t>
  </si>
  <si>
    <t>Thumb</t>
  </si>
  <si>
    <t>Joffrey</t>
  </si>
  <si>
    <t>Lauvergne</t>
  </si>
  <si>
    <t>Jerami</t>
  </si>
  <si>
    <t>Grant</t>
  </si>
  <si>
    <t>Richaun</t>
  </si>
  <si>
    <t>Holmes</t>
  </si>
  <si>
    <t>Illness</t>
  </si>
  <si>
    <t>Nik</t>
  </si>
  <si>
    <t>Stauskas</t>
  </si>
  <si>
    <t>Alex</t>
  </si>
  <si>
    <t>Abrines</t>
  </si>
  <si>
    <t>Dante</t>
  </si>
  <si>
    <t>Exum</t>
  </si>
  <si>
    <t>Raul</t>
  </si>
  <si>
    <t>Neto</t>
  </si>
  <si>
    <t>Wilcox</t>
  </si>
  <si>
    <t>Smith</t>
  </si>
  <si>
    <t>Chris</t>
  </si>
  <si>
    <t>Brussino</t>
  </si>
  <si>
    <t>Jonathan</t>
  </si>
  <si>
    <t>Gibson</t>
  </si>
  <si>
    <t>Meyers</t>
  </si>
  <si>
    <t>Leonard</t>
  </si>
  <si>
    <t>Demetrius</t>
  </si>
  <si>
    <t>Jackson</t>
  </si>
  <si>
    <t>Anthony</t>
  </si>
  <si>
    <t>Morrow</t>
  </si>
  <si>
    <t>Jones</t>
  </si>
  <si>
    <t>Josh</t>
  </si>
  <si>
    <t>Huestis</t>
  </si>
  <si>
    <t>Dwight</t>
  </si>
  <si>
    <t>Powell</t>
  </si>
  <si>
    <t>Chasson</t>
  </si>
  <si>
    <t>Randle</t>
  </si>
  <si>
    <t>Treveon</t>
  </si>
  <si>
    <t>Graham</t>
  </si>
  <si>
    <t>Ed</t>
  </si>
  <si>
    <t>Davis</t>
  </si>
  <si>
    <t>Damjan</t>
  </si>
  <si>
    <t>Rudez</t>
  </si>
  <si>
    <t>Tyler</t>
  </si>
  <si>
    <t>Trey</t>
  </si>
  <si>
    <t>Lyles</t>
  </si>
  <si>
    <t>Jordan</t>
  </si>
  <si>
    <t>Mickey</t>
  </si>
  <si>
    <t>Tim</t>
  </si>
  <si>
    <t>Quarterman</t>
  </si>
  <si>
    <t>Semaj</t>
  </si>
  <si>
    <t>Christon</t>
  </si>
  <si>
    <t>Jeff</t>
  </si>
  <si>
    <t>Withey</t>
  </si>
  <si>
    <t>Gerald</t>
  </si>
  <si>
    <t>Green</t>
  </si>
  <si>
    <t>Pat</t>
  </si>
  <si>
    <t>Connaughton</t>
  </si>
  <si>
    <t>Ramon</t>
  </si>
  <si>
    <t>Sessions</t>
  </si>
  <si>
    <t>Allen</t>
  </si>
  <si>
    <t>Crabbe</t>
  </si>
  <si>
    <t>Mario</t>
  </si>
  <si>
    <t>Hezonja</t>
  </si>
  <si>
    <t>Bolomboy</t>
  </si>
  <si>
    <t>Stephen</t>
  </si>
  <si>
    <t>Zimmerman Jr.</t>
  </si>
  <si>
    <t>Noah</t>
  </si>
  <si>
    <t>Vonleh</t>
  </si>
  <si>
    <t>Timothe</t>
  </si>
  <si>
    <t>Luwawu-Cabarrot</t>
  </si>
  <si>
    <t>Bismack</t>
  </si>
  <si>
    <t>Biyombo</t>
  </si>
  <si>
    <t>Alec</t>
  </si>
  <si>
    <t>Burks</t>
  </si>
  <si>
    <t>Young</t>
  </si>
  <si>
    <t>Personal</t>
  </si>
  <si>
    <t>Ray</t>
  </si>
  <si>
    <t>McCallum</t>
  </si>
  <si>
    <t>Nick</t>
  </si>
  <si>
    <t>Collison</t>
  </si>
  <si>
    <t>Terry</t>
  </si>
  <si>
    <t>Rozier</t>
  </si>
  <si>
    <t>Cameron</t>
  </si>
  <si>
    <t>Payne</t>
  </si>
  <si>
    <t>Justin</t>
  </si>
  <si>
    <t>Singler</t>
  </si>
  <si>
    <t>Shelvin</t>
  </si>
  <si>
    <t>Mack</t>
  </si>
  <si>
    <t>Mike</t>
  </si>
  <si>
    <t>Tobey</t>
  </si>
  <si>
    <t>Shabazz</t>
  </si>
  <si>
    <t>Napier</t>
  </si>
  <si>
    <t>Festus</t>
  </si>
  <si>
    <t>Ezeli</t>
  </si>
  <si>
    <t>Brian</t>
  </si>
  <si>
    <t>Roberts</t>
  </si>
  <si>
    <t>DeAndre</t>
  </si>
  <si>
    <t>Domantas</t>
  </si>
  <si>
    <t>Sabonis</t>
  </si>
  <si>
    <t>Henderson</t>
  </si>
  <si>
    <t>Jake</t>
  </si>
  <si>
    <t>Layman</t>
  </si>
  <si>
    <t>Miles</t>
  </si>
  <si>
    <t>A.J.</t>
  </si>
  <si>
    <t>Hammons</t>
  </si>
  <si>
    <t>Jefferson</t>
  </si>
  <si>
    <t>Jonas</t>
  </si>
  <si>
    <t>Jerebko</t>
  </si>
  <si>
    <t>Dorian</t>
  </si>
  <si>
    <t>Finney-Smith</t>
  </si>
  <si>
    <t>D.J.</t>
  </si>
  <si>
    <t>Augustin</t>
  </si>
  <si>
    <t>Sergio</t>
  </si>
  <si>
    <t>Rodriguez</t>
  </si>
  <si>
    <t>Boris</t>
  </si>
  <si>
    <t>Diaw</t>
  </si>
  <si>
    <t>Injury?</t>
  </si>
  <si>
    <t>GS</t>
  </si>
  <si>
    <t>PHO</t>
  </si>
  <si>
    <t>Giannis</t>
  </si>
  <si>
    <t>Antetokounmpo</t>
  </si>
  <si>
    <t>MIL</t>
  </si>
  <si>
    <t>IND</t>
  </si>
  <si>
    <t>DEN</t>
  </si>
  <si>
    <t>Durant</t>
  </si>
  <si>
    <t>Jokic</t>
  </si>
  <si>
    <t>Hassan</t>
  </si>
  <si>
    <t>Whiteside</t>
  </si>
  <si>
    <t>MIA</t>
  </si>
  <si>
    <t>Paul</t>
  </si>
  <si>
    <t>Bledsoe</t>
  </si>
  <si>
    <t>Goran</t>
  </si>
  <si>
    <t>Dragic</t>
  </si>
  <si>
    <t>Draymond</t>
  </si>
  <si>
    <t>Teague</t>
  </si>
  <si>
    <t>Dion</t>
  </si>
  <si>
    <t>Waiters</t>
  </si>
  <si>
    <t>Danilo</t>
  </si>
  <si>
    <t>Gallinari</t>
  </si>
  <si>
    <t>Groin</t>
  </si>
  <si>
    <t>Booker</t>
  </si>
  <si>
    <t>Klay</t>
  </si>
  <si>
    <t>Wilson</t>
  </si>
  <si>
    <t>Chandler</t>
  </si>
  <si>
    <t>Myles</t>
  </si>
  <si>
    <t>Will</t>
  </si>
  <si>
    <t>Barton</t>
  </si>
  <si>
    <t>Kenneth</t>
  </si>
  <si>
    <t>Faried</t>
  </si>
  <si>
    <t>Greg</t>
  </si>
  <si>
    <t>Monroe</t>
  </si>
  <si>
    <t>Thaddeus</t>
  </si>
  <si>
    <t>Wrist</t>
  </si>
  <si>
    <t>Tyson</t>
  </si>
  <si>
    <t>Back</t>
  </si>
  <si>
    <t>Richardson</t>
  </si>
  <si>
    <t>Gary</t>
  </si>
  <si>
    <t>Malcolm</t>
  </si>
  <si>
    <t>Brogdon</t>
  </si>
  <si>
    <t>Emmanuel</t>
  </si>
  <si>
    <t>Mudiay</t>
  </si>
  <si>
    <t>P.J.</t>
  </si>
  <si>
    <t>Tucker</t>
  </si>
  <si>
    <t>Spencer</t>
  </si>
  <si>
    <t>Hawes</t>
  </si>
  <si>
    <t>Warren</t>
  </si>
  <si>
    <t>Zaza</t>
  </si>
  <si>
    <t>Pachulia</t>
  </si>
  <si>
    <t>Shoulder</t>
  </si>
  <si>
    <t>Beasley</t>
  </si>
  <si>
    <t>Khris</t>
  </si>
  <si>
    <t>Middleton</t>
  </si>
  <si>
    <t>Jameer</t>
  </si>
  <si>
    <t>Nelson</t>
  </si>
  <si>
    <t>Darrell</t>
  </si>
  <si>
    <t>Arthur</t>
  </si>
  <si>
    <t>Matthew</t>
  </si>
  <si>
    <t>Dellavedova</t>
  </si>
  <si>
    <t>Shaun</t>
  </si>
  <si>
    <t>Livingston</t>
  </si>
  <si>
    <t>Iguodala</t>
  </si>
  <si>
    <t>Mirza</t>
  </si>
  <si>
    <t>Teletovic</t>
  </si>
  <si>
    <t>Jamal</t>
  </si>
  <si>
    <t>Murray</t>
  </si>
  <si>
    <t>Tony</t>
  </si>
  <si>
    <t>Snell</t>
  </si>
  <si>
    <t>John</t>
  </si>
  <si>
    <t>Henson</t>
  </si>
  <si>
    <t>Marquese</t>
  </si>
  <si>
    <t>Chriss</t>
  </si>
  <si>
    <t>Lavoy</t>
  </si>
  <si>
    <t>McGruder</t>
  </si>
  <si>
    <t>Brandon</t>
  </si>
  <si>
    <t>Knight</t>
  </si>
  <si>
    <t>Wayne</t>
  </si>
  <si>
    <t>Ellington</t>
  </si>
  <si>
    <t>Jusuf</t>
  </si>
  <si>
    <t>Nurkic</t>
  </si>
  <si>
    <t>Rashad</t>
  </si>
  <si>
    <t>Vaughn</t>
  </si>
  <si>
    <t>Ronnie</t>
  </si>
  <si>
    <t>Price</t>
  </si>
  <si>
    <t>JaVale</t>
  </si>
  <si>
    <t>McGee</t>
  </si>
  <si>
    <t>Monta</t>
  </si>
  <si>
    <t>Ellis</t>
  </si>
  <si>
    <t>Len</t>
  </si>
  <si>
    <t>Jared</t>
  </si>
  <si>
    <t>Dudley</t>
  </si>
  <si>
    <t>Miller</t>
  </si>
  <si>
    <t>Malik</t>
  </si>
  <si>
    <t>Seraphin</t>
  </si>
  <si>
    <t>Luke</t>
  </si>
  <si>
    <t>Babbitt</t>
  </si>
  <si>
    <t>James Michael</t>
  </si>
  <si>
    <t>McAdoo</t>
  </si>
  <si>
    <t>Ulis</t>
  </si>
  <si>
    <t>Georges</t>
  </si>
  <si>
    <t>Niang</t>
  </si>
  <si>
    <t>Alan</t>
  </si>
  <si>
    <t>Dragan</t>
  </si>
  <si>
    <t>Bender</t>
  </si>
  <si>
    <t>Thon</t>
  </si>
  <si>
    <t>Maker</t>
  </si>
  <si>
    <t>Steve</t>
  </si>
  <si>
    <t>Novak</t>
  </si>
  <si>
    <t>Juancho</t>
  </si>
  <si>
    <t>Hernangomez</t>
  </si>
  <si>
    <t>Kevon</t>
  </si>
  <si>
    <t>Looney</t>
  </si>
  <si>
    <t>Glenn</t>
  </si>
  <si>
    <t>Robinson III</t>
  </si>
  <si>
    <t>Okaro</t>
  </si>
  <si>
    <t>White</t>
  </si>
  <si>
    <t>Varejao</t>
  </si>
  <si>
    <t>Jason</t>
  </si>
  <si>
    <t>McCaw</t>
  </si>
  <si>
    <t>Stuckey</t>
  </si>
  <si>
    <t>Willie</t>
  </si>
  <si>
    <t>Reed</t>
  </si>
  <si>
    <t>Brooks</t>
  </si>
  <si>
    <t>Rakeem</t>
  </si>
  <si>
    <t>Christmas</t>
  </si>
  <si>
    <t>Roy</t>
  </si>
  <si>
    <t>Hibbert</t>
  </si>
  <si>
    <t>Ian</t>
  </si>
  <si>
    <t>Clark</t>
  </si>
  <si>
    <t>Udonis</t>
  </si>
  <si>
    <t>Haslem</t>
  </si>
  <si>
    <t>Jones Jr.</t>
  </si>
  <si>
    <t>David</t>
  </si>
  <si>
    <t>West</t>
  </si>
  <si>
    <t>Leandro</t>
  </si>
  <si>
    <t>Barbosa</t>
  </si>
  <si>
    <t>Spencer Dinwiddie</t>
  </si>
  <si>
    <t>Joe Ingles</t>
  </si>
  <si>
    <t>Khris Middleton</t>
  </si>
  <si>
    <t>Kyle Korver</t>
  </si>
  <si>
    <t>Alexis Ajinca</t>
  </si>
  <si>
    <t>Solomon Hill</t>
  </si>
  <si>
    <t>Marquese Chriss</t>
  </si>
  <si>
    <t>Brook Lopez</t>
  </si>
  <si>
    <t>Glenn Robinson III</t>
  </si>
  <si>
    <t>Marcus Smart</t>
  </si>
  <si>
    <t>DeMarre Carroll</t>
  </si>
  <si>
    <t>Jusuf Nurkic</t>
  </si>
  <si>
    <t>Jerami Grant</t>
  </si>
  <si>
    <t>Patty Mills</t>
  </si>
  <si>
    <t>Dirk Nowitzki</t>
  </si>
  <si>
    <t>Klay Thompson</t>
  </si>
  <si>
    <t>Matt Barnes</t>
  </si>
  <si>
    <t>Alex Len</t>
  </si>
  <si>
    <t>Wesley Johnson</t>
  </si>
  <si>
    <t>Jameer Nelson</t>
  </si>
  <si>
    <t>Toney Douglas</t>
  </si>
  <si>
    <t>Derrick Rose</t>
  </si>
  <si>
    <t>Monta Ellis</t>
  </si>
  <si>
    <t>Frank Kaminsky</t>
  </si>
  <si>
    <t>Jon Leuer</t>
  </si>
  <si>
    <t>Malachi Richardson</t>
  </si>
  <si>
    <t>Tony Snell</t>
  </si>
  <si>
    <t>Eric Bledsoe</t>
  </si>
  <si>
    <t>Dario Saric</t>
  </si>
  <si>
    <t>Andrew Wiggins</t>
  </si>
  <si>
    <t>Gary Harris</t>
  </si>
  <si>
    <t>Robert Covington</t>
  </si>
  <si>
    <t>Willie Cauley-Stein</t>
  </si>
  <si>
    <t>T.J. McConnell</t>
  </si>
  <si>
    <t>Greg Monroe</t>
  </si>
  <si>
    <t>Brandon Knight</t>
  </si>
  <si>
    <t>Dion Waiters</t>
  </si>
  <si>
    <t>Kelly Olynyk</t>
  </si>
  <si>
    <t>Delon Wright</t>
  </si>
  <si>
    <t>Russell Westbrook</t>
  </si>
  <si>
    <t>Norman Powell</t>
  </si>
  <si>
    <t>Raymond Felton</t>
  </si>
  <si>
    <t>Dewayne Dedmon</t>
  </si>
  <si>
    <t>JaVale McGee</t>
  </si>
  <si>
    <t>Kris Dunn</t>
  </si>
  <si>
    <t>Joe Harris</t>
  </si>
  <si>
    <t>D'Angelo Russell</t>
  </si>
  <si>
    <t>Hassan Whiteside</t>
  </si>
  <si>
    <t>Kemba Walker</t>
  </si>
  <si>
    <t>James Harden</t>
  </si>
  <si>
    <t>Michael Kidd-Gilchrist</t>
  </si>
  <si>
    <t>Jeff Green</t>
  </si>
  <si>
    <t>T.J. Warren</t>
  </si>
  <si>
    <t>Shabazz Muhammad</t>
  </si>
  <si>
    <t>Julius Randle</t>
  </si>
  <si>
    <t>Nerlens Noel</t>
  </si>
  <si>
    <t>Al Jefferson</t>
  </si>
  <si>
    <t>Ryan Anderson</t>
  </si>
  <si>
    <t>Giannis Antetokounmpo</t>
  </si>
  <si>
    <t>Matthew Dellavedova</t>
  </si>
  <si>
    <t>Trevor Booker</t>
  </si>
  <si>
    <t>Reggie Jackson</t>
  </si>
  <si>
    <t>Guillermo Hernangomez</t>
  </si>
  <si>
    <t>Will Barton</t>
  </si>
  <si>
    <t>Lou Williams</t>
  </si>
  <si>
    <t>Sergio Rodriguez</t>
  </si>
  <si>
    <t>Marc Gasol</t>
  </si>
  <si>
    <t>Carmelo Anthony</t>
  </si>
  <si>
    <t>Andre Roberson</t>
  </si>
  <si>
    <t>Nene Hilario</t>
  </si>
  <si>
    <t>Gordon Hayward</t>
  </si>
  <si>
    <t>Austin Rivers</t>
  </si>
  <si>
    <t>Rodney McGruder</t>
  </si>
  <si>
    <t>James Young</t>
  </si>
  <si>
    <t>Tyler Johnson</t>
  </si>
  <si>
    <t>Karl-Anthony Towns</t>
  </si>
  <si>
    <t>Andre Iguodala</t>
  </si>
  <si>
    <t>Meyers Leonard</t>
  </si>
  <si>
    <t>Tony Parker</t>
  </si>
  <si>
    <t>Kyrie Irving</t>
  </si>
  <si>
    <t>Kevin Durant</t>
  </si>
  <si>
    <t>Kevon Looney</t>
  </si>
  <si>
    <t>Bojan Bogdanovic</t>
  </si>
  <si>
    <t>LaMarcus Aldridge</t>
  </si>
  <si>
    <t>Victor Oladipo</t>
  </si>
  <si>
    <t>Kentavious Caldwell-Pope</t>
  </si>
  <si>
    <t>Kyle Anderson</t>
  </si>
  <si>
    <t>Marvin Williams</t>
  </si>
  <si>
    <t>Jeff Teague</t>
  </si>
  <si>
    <t>Courtney Lee</t>
  </si>
  <si>
    <t>Aaron Gordon</t>
  </si>
  <si>
    <t>Dante Exum</t>
  </si>
  <si>
    <t>Tristan Thompson</t>
  </si>
  <si>
    <t>Aron Baynes</t>
  </si>
  <si>
    <t>Jae Crowder</t>
  </si>
  <si>
    <t>George Hill</t>
  </si>
  <si>
    <t>Mason Plumlee</t>
  </si>
  <si>
    <t>Brandon Rush</t>
  </si>
  <si>
    <t>Tyson Chandler</t>
  </si>
  <si>
    <t>Dennis Schroder</t>
  </si>
  <si>
    <t>Kyle Lowry</t>
  </si>
  <si>
    <t>Zach Randolph</t>
  </si>
  <si>
    <t>Jrue Holiday</t>
  </si>
  <si>
    <t>Seth Curry</t>
  </si>
  <si>
    <t>Daniel Green</t>
  </si>
  <si>
    <t>Michael Beasley</t>
  </si>
  <si>
    <t>Nemanja Bjelica</t>
  </si>
  <si>
    <t>Maurice Harkless</t>
  </si>
  <si>
    <t>Anthony Tolliver</t>
  </si>
  <si>
    <t>Devin Booker</t>
  </si>
  <si>
    <t>Andrew Bogut</t>
  </si>
  <si>
    <t>Tyreke Evans</t>
  </si>
  <si>
    <t>Rondae Hollis-Jefferson</t>
  </si>
  <si>
    <t>Marcus Morris</t>
  </si>
  <si>
    <t>Jonas Valanciunas</t>
  </si>
  <si>
    <t>Deron Williams</t>
  </si>
  <si>
    <t>Nikola Jokic</t>
  </si>
  <si>
    <t>Ben McLemore</t>
  </si>
  <si>
    <t>Mario Hezonja</t>
  </si>
  <si>
    <t>J.J. Redick</t>
  </si>
  <si>
    <t>Nik Stauskas</t>
  </si>
  <si>
    <t>Jonathon Simmons</t>
  </si>
  <si>
    <t>Pat Connaughton</t>
  </si>
  <si>
    <t>Rudy Gobert</t>
  </si>
  <si>
    <t>Ish Smith</t>
  </si>
  <si>
    <t>JaMychal Green</t>
  </si>
  <si>
    <t>Blake Griffin</t>
  </si>
  <si>
    <t>Jordan Clarkson</t>
  </si>
  <si>
    <t>Derrick Williams</t>
  </si>
  <si>
    <t>Joe Johnson</t>
  </si>
  <si>
    <t>Myles Turner</t>
  </si>
  <si>
    <t>Domantas Sabonis</t>
  </si>
  <si>
    <t>DeAndre Jordan</t>
  </si>
  <si>
    <t>Dwight Howard</t>
  </si>
  <si>
    <t>Isaiah Thomas</t>
  </si>
  <si>
    <t>James Michael McAdoo</t>
  </si>
  <si>
    <t>Chandler Parsons</t>
  </si>
  <si>
    <t>Harrison Barnes</t>
  </si>
  <si>
    <t>Steven Adams</t>
  </si>
  <si>
    <t>Stephen Curry</t>
  </si>
  <si>
    <t>Evan Fournier</t>
  </si>
  <si>
    <t>Devin Harris</t>
  </si>
  <si>
    <t>Luol Deng</t>
  </si>
  <si>
    <t>Nikola Vucevic</t>
  </si>
  <si>
    <t>Alec Burks</t>
  </si>
  <si>
    <t>Jahlil Okafor</t>
  </si>
  <si>
    <t>Goran Dragic</t>
  </si>
  <si>
    <t>Willie Reed</t>
  </si>
  <si>
    <t>LeBron James</t>
  </si>
  <si>
    <t>Damian Lillard</t>
  </si>
  <si>
    <t>Joffrey Lauvergne</t>
  </si>
  <si>
    <t>Gorgui Dieng</t>
  </si>
  <si>
    <t>Larry Nance Jr.</t>
  </si>
  <si>
    <t>Vince Carter</t>
  </si>
  <si>
    <t>Donatas Motiejunas</t>
  </si>
  <si>
    <t>Justin Holiday</t>
  </si>
  <si>
    <t>Kawhi Leonard</t>
  </si>
  <si>
    <t>Kristaps Porzingis</t>
  </si>
  <si>
    <t>Kyle O'Quinn</t>
  </si>
  <si>
    <t>Jamal Crawford</t>
  </si>
  <si>
    <t>Eric Gordon</t>
  </si>
  <si>
    <t>Yogi Ferrell</t>
  </si>
  <si>
    <t>Luke Babbitt</t>
  </si>
  <si>
    <t>Corey Brewer</t>
  </si>
  <si>
    <t>Gerald Henderson</t>
  </si>
  <si>
    <t>Sam Dekker</t>
  </si>
  <si>
    <t>Shabazz Napier</t>
  </si>
  <si>
    <t>Tobias Harris</t>
  </si>
  <si>
    <t>Jamal Murray</t>
  </si>
  <si>
    <t>Ed Davis</t>
  </si>
  <si>
    <t>Wes Matthews</t>
  </si>
  <si>
    <t>Taurean Prince</t>
  </si>
  <si>
    <t>Channing Frye</t>
  </si>
  <si>
    <t>James Johnson</t>
  </si>
  <si>
    <t>Al Horford</t>
  </si>
  <si>
    <t>Rashad Vaughn</t>
  </si>
  <si>
    <t>Malcolm Delaney</t>
  </si>
  <si>
    <t>Mike Conley</t>
  </si>
  <si>
    <t>Buddy Hield</t>
  </si>
  <si>
    <t>Ivica Zubac</t>
  </si>
  <si>
    <t>Malcolm Brogdon</t>
  </si>
  <si>
    <t>Nicolas Batum</t>
  </si>
  <si>
    <t>Darren Collison</t>
  </si>
  <si>
    <t>Anthony Davis</t>
  </si>
  <si>
    <t>Ian Clark</t>
  </si>
  <si>
    <t>Cory Joseph</t>
  </si>
  <si>
    <t>Paul George</t>
  </si>
  <si>
    <t>Thon Maker</t>
  </si>
  <si>
    <t>Ron Baker</t>
  </si>
  <si>
    <t>Jakob Poeltl</t>
  </si>
  <si>
    <t>Troy Daniels</t>
  </si>
  <si>
    <t>Andre Drummond</t>
  </si>
  <si>
    <t>Tim Hardaway Jr.</t>
  </si>
  <si>
    <t>Lamar Patterson</t>
  </si>
  <si>
    <t>Ricky Rubio</t>
  </si>
  <si>
    <t>Jared Dudley</t>
  </si>
  <si>
    <t>Clint Capela</t>
  </si>
  <si>
    <t>Derrick Favors</t>
  </si>
  <si>
    <t>David Lee</t>
  </si>
  <si>
    <t>Trevor Ariza</t>
  </si>
  <si>
    <t>Doug McDermott</t>
  </si>
  <si>
    <t>Cristiano Felicio</t>
  </si>
  <si>
    <t>DeMarcus Cousins</t>
  </si>
  <si>
    <t>Arron Afflalo</t>
  </si>
  <si>
    <t>Brandon Ingram</t>
  </si>
  <si>
    <t>Michael Carter-Williams</t>
  </si>
  <si>
    <t>Jimmy Butler</t>
  </si>
  <si>
    <t>Taj Gibson</t>
  </si>
  <si>
    <t>Kosta Koufos</t>
  </si>
  <si>
    <t>Nick Young</t>
  </si>
  <si>
    <t>Rajon Rondo</t>
  </si>
  <si>
    <t>Robin Lopez</t>
  </si>
  <si>
    <t>DeMar DeRozan</t>
  </si>
  <si>
    <t>Tarik Black</t>
  </si>
  <si>
    <t>Bobby Portis</t>
  </si>
  <si>
    <t>Denzel Valentine</t>
  </si>
  <si>
    <t>Iman Shumpert</t>
  </si>
  <si>
    <t>Lucas Nogueira</t>
  </si>
  <si>
    <t>Timofey Mozgov</t>
  </si>
  <si>
    <t>Richard Jefferson</t>
  </si>
  <si>
    <t>Jerian Grant</t>
  </si>
  <si>
    <t>Sean Kilpatrick</t>
  </si>
  <si>
    <t>Rodney Stuckey</t>
  </si>
  <si>
    <t>Amir Johnson</t>
  </si>
  <si>
    <t>Patrick McCaw</t>
  </si>
  <si>
    <t>Brandan Wright</t>
  </si>
  <si>
    <t>P.J. Tucker</t>
  </si>
  <si>
    <t>Paul Millsap</t>
  </si>
  <si>
    <t>Al-Farouq Aminu</t>
  </si>
  <si>
    <t>Kent Bazemore</t>
  </si>
  <si>
    <t>Otto Porter</t>
  </si>
  <si>
    <t>Elfrid Payton</t>
  </si>
  <si>
    <t>E'Twaun Moore</t>
  </si>
  <si>
    <t>Trey Burke</t>
  </si>
  <si>
    <t>Cameron Payne</t>
  </si>
  <si>
    <t>C.J. McCollum</t>
  </si>
  <si>
    <t>Serge Ibaka</t>
  </si>
  <si>
    <t>Kevin Seraphin</t>
  </si>
  <si>
    <t>Luc Richard Mbah a Moute</t>
  </si>
  <si>
    <t>Marco Belinelli</t>
  </si>
  <si>
    <t>Jason Smith</t>
  </si>
  <si>
    <t>Markieff Morris</t>
  </si>
  <si>
    <t>Salah Mejri</t>
  </si>
  <si>
    <t>Bismack Biyombo</t>
  </si>
  <si>
    <t>Kyle Singler</t>
  </si>
  <si>
    <t>John Wall</t>
  </si>
  <si>
    <t>Ersan Ilyasova</t>
  </si>
  <si>
    <t>Gerald Green</t>
  </si>
  <si>
    <t>Marreese Speights</t>
  </si>
  <si>
    <t>Boris Diaw</t>
  </si>
  <si>
    <t>Marcin Gortat</t>
  </si>
  <si>
    <t>Allen Crabbe</t>
  </si>
  <si>
    <t>Isaiah Whitehead</t>
  </si>
  <si>
    <t>Langston Galloway</t>
  </si>
  <si>
    <t>Alex Abrines</t>
  </si>
  <si>
    <t>Jeremy Lamb</t>
  </si>
  <si>
    <t>Draymond Green</t>
  </si>
  <si>
    <t>Mike Muscala</t>
  </si>
  <si>
    <t>Luis Scola</t>
  </si>
  <si>
    <t>Bradley Beal</t>
  </si>
  <si>
    <t>Trey Lyles</t>
  </si>
  <si>
    <t>Randy Foye</t>
  </si>
  <si>
    <t>Richaun Holmes</t>
  </si>
  <si>
    <t>Brian Roberts</t>
  </si>
  <si>
    <t>Terry Rozier</t>
  </si>
  <si>
    <t>Mike Miller</t>
  </si>
  <si>
    <t>C.J. Miles</t>
  </si>
  <si>
    <t>Anthony Morrow</t>
  </si>
  <si>
    <t>Jonas Jerebko</t>
  </si>
  <si>
    <t>Noah Vonleh</t>
  </si>
  <si>
    <t>Damian Jones</t>
  </si>
  <si>
    <t>Jason Terry</t>
  </si>
  <si>
    <t>Ian Mahinmi</t>
  </si>
  <si>
    <t>Wayne Ellington</t>
  </si>
  <si>
    <t>Semaj Christon</t>
  </si>
  <si>
    <t>Caris LeVert</t>
  </si>
  <si>
    <t>Kelly Oubre Jr.</t>
  </si>
  <si>
    <t>Dwight Powell</t>
  </si>
  <si>
    <t>D.J. Augustin</t>
  </si>
  <si>
    <t>Leandro Barbosa</t>
  </si>
  <si>
    <t>C.J. Watson</t>
  </si>
  <si>
    <t>Tomas Satoransky</t>
  </si>
  <si>
    <t>Alan Anderson</t>
  </si>
  <si>
    <t>Dante Cunningham</t>
  </si>
  <si>
    <t>Manu Ginobili</t>
  </si>
  <si>
    <t>Stanley Johnson</t>
  </si>
  <si>
    <t>Terrence Ross</t>
  </si>
  <si>
    <t>Isaiah Canaan</t>
  </si>
  <si>
    <t>Davis Bertans</t>
  </si>
  <si>
    <t>Brandon Jennings</t>
  </si>
  <si>
    <t>Lance Stephenson</t>
  </si>
  <si>
    <t>Lance Thomas</t>
  </si>
  <si>
    <t>Tim Frazier</t>
  </si>
  <si>
    <t>Alan Williams</t>
  </si>
  <si>
    <t>Tony Allen</t>
  </si>
  <si>
    <t>Wilson Chandler</t>
  </si>
  <si>
    <t>Okaro White</t>
  </si>
  <si>
    <t>Justin Hamilton</t>
  </si>
  <si>
    <t>Darrell Arthur</t>
  </si>
  <si>
    <t>Nikola Mirotic</t>
  </si>
  <si>
    <t>Lavoy Allen</t>
  </si>
  <si>
    <t>Dwyane Wade</t>
  </si>
  <si>
    <t>Kris Humphries</t>
  </si>
  <si>
    <t>Mike Dunleavy</t>
  </si>
  <si>
    <t>John Henson</t>
  </si>
  <si>
    <t>Mirza Teletovic</t>
  </si>
  <si>
    <t>Shaun Livingston</t>
  </si>
  <si>
    <t>17990-9642</t>
  </si>
  <si>
    <t>OKC@WAS</t>
  </si>
  <si>
    <t>WAS</t>
  </si>
  <si>
    <t>17990-40199</t>
  </si>
  <si>
    <t>DET@MIL</t>
  </si>
  <si>
    <t>DET</t>
  </si>
  <si>
    <t>17990-15755</t>
  </si>
  <si>
    <t>NO@PHO</t>
  </si>
  <si>
    <t>NO</t>
  </si>
  <si>
    <t>17990-12332</t>
  </si>
  <si>
    <t>Wall</t>
  </si>
  <si>
    <t>17990-14559</t>
  </si>
  <si>
    <t>BOS@DAL</t>
  </si>
  <si>
    <t>17990-55062</t>
  </si>
  <si>
    <t>GS@DEN</t>
  </si>
  <si>
    <t>17990-9646</t>
  </si>
  <si>
    <t>17990-9560</t>
  </si>
  <si>
    <t>Blake</t>
  </si>
  <si>
    <t>Griffin</t>
  </si>
  <si>
    <t>LAC@UTA</t>
  </si>
  <si>
    <t>LAC</t>
  </si>
  <si>
    <t>17990-14513</t>
  </si>
  <si>
    <t>Kawhi</t>
  </si>
  <si>
    <t>SA@IND</t>
  </si>
  <si>
    <t>SA</t>
  </si>
  <si>
    <t>17990-9524</t>
  </si>
  <si>
    <t>17990-12363</t>
  </si>
  <si>
    <t>ORL@MIA</t>
  </si>
  <si>
    <t>17990-9623</t>
  </si>
  <si>
    <t>17990-15557</t>
  </si>
  <si>
    <t>Drummond</t>
  </si>
  <si>
    <t>17990-49111</t>
  </si>
  <si>
    <t>PHI@CHA</t>
  </si>
  <si>
    <t>17990-20848</t>
  </si>
  <si>
    <t>ATL@POR</t>
  </si>
  <si>
    <t>ATL</t>
  </si>
  <si>
    <t>17990-9581</t>
  </si>
  <si>
    <t>Marc</t>
  </si>
  <si>
    <t>Gasol</t>
  </si>
  <si>
    <t>MEM@BKN</t>
  </si>
  <si>
    <t>MEM</t>
  </si>
  <si>
    <t>BKN</t>
  </si>
  <si>
    <t>17990-12355</t>
  </si>
  <si>
    <t>17990-9663</t>
  </si>
  <si>
    <t>Jrue</t>
  </si>
  <si>
    <t>Holiday</t>
  </si>
  <si>
    <t>17990-15860</t>
  </si>
  <si>
    <t>17990-12366</t>
  </si>
  <si>
    <t>17990-9729</t>
  </si>
  <si>
    <t>Millsap</t>
  </si>
  <si>
    <t>17990-12341</t>
  </si>
  <si>
    <t>17990-9809</t>
  </si>
  <si>
    <t>17990-9673</t>
  </si>
  <si>
    <t>17990-9575</t>
  </si>
  <si>
    <t>Conley</t>
  </si>
  <si>
    <t>17990-40203</t>
  </si>
  <si>
    <t>17990-19067</t>
  </si>
  <si>
    <t>17990-15595</t>
  </si>
  <si>
    <t>Beal</t>
  </si>
  <si>
    <t>17990-9561</t>
  </si>
  <si>
    <t>17990-14507</t>
  </si>
  <si>
    <t>17990-9688</t>
  </si>
  <si>
    <t>LaMarcus</t>
  </si>
  <si>
    <t>Aldridge</t>
  </si>
  <si>
    <t>17990-9621</t>
  </si>
  <si>
    <t>Brook</t>
  </si>
  <si>
    <t>Lopez</t>
  </si>
  <si>
    <t>17990-14511</t>
  </si>
  <si>
    <t>Markieff</t>
  </si>
  <si>
    <t>Morris</t>
  </si>
  <si>
    <t>17990-14514</t>
  </si>
  <si>
    <t>17990-16220</t>
  </si>
  <si>
    <t>17990-9661</t>
  </si>
  <si>
    <t>Marcin</t>
  </si>
  <si>
    <t>Gortat</t>
  </si>
  <si>
    <t>17990-9446</t>
  </si>
  <si>
    <t>17990-9453</t>
  </si>
  <si>
    <t>17990-14509</t>
  </si>
  <si>
    <t>17990-40201</t>
  </si>
  <si>
    <t>Dennis</t>
  </si>
  <si>
    <t>Schroder</t>
  </si>
  <si>
    <t>17990-9637</t>
  </si>
  <si>
    <t>17990-9660</t>
  </si>
  <si>
    <t>Howard</t>
  </si>
  <si>
    <t>17990-58460</t>
  </si>
  <si>
    <t>17990-15590</t>
  </si>
  <si>
    <t>Not injury related</t>
  </si>
  <si>
    <t>17990-9636</t>
  </si>
  <si>
    <t>17990-12334</t>
  </si>
  <si>
    <t>17990-15628</t>
  </si>
  <si>
    <t>Otto</t>
  </si>
  <si>
    <t>Porter</t>
  </si>
  <si>
    <t>17990-9579</t>
  </si>
  <si>
    <t>Zach</t>
  </si>
  <si>
    <t>Randolph</t>
  </si>
  <si>
    <t>17990-20491</t>
  </si>
  <si>
    <t>17990-12443</t>
  </si>
  <si>
    <t>Lin</t>
  </si>
  <si>
    <t>17990-9966</t>
  </si>
  <si>
    <t>17990-15684</t>
  </si>
  <si>
    <t>17990-15946</t>
  </si>
  <si>
    <t>17990-23169</t>
  </si>
  <si>
    <t>17990-9570</t>
  </si>
  <si>
    <t>Pau</t>
  </si>
  <si>
    <t>Finger</t>
  </si>
  <si>
    <t>17990-15800</t>
  </si>
  <si>
    <t>17990-9703</t>
  </si>
  <si>
    <t>17990-14516</t>
  </si>
  <si>
    <t>17990-14521</t>
  </si>
  <si>
    <t>17990-58253</t>
  </si>
  <si>
    <t>17990-9722</t>
  </si>
  <si>
    <t>17990-9799</t>
  </si>
  <si>
    <t>17990-23670</t>
  </si>
  <si>
    <t>17990-12337</t>
  </si>
  <si>
    <t>17990-19138</t>
  </si>
  <si>
    <t>17990-9957</t>
  </si>
  <si>
    <t>17990-17333</t>
  </si>
  <si>
    <t>17990-18600</t>
  </si>
  <si>
    <t>17990-14512</t>
  </si>
  <si>
    <t>17990-14523</t>
  </si>
  <si>
    <t>Reggie</t>
  </si>
  <si>
    <t>17990-15592</t>
  </si>
  <si>
    <t>Austin</t>
  </si>
  <si>
    <t>Rivers</t>
  </si>
  <si>
    <t>17990-9500</t>
  </si>
  <si>
    <t>17990-15846</t>
  </si>
  <si>
    <t>Hardaway Jr.</t>
  </si>
  <si>
    <t>17990-23772</t>
  </si>
  <si>
    <t>17990-15758</t>
  </si>
  <si>
    <t>17990-12342</t>
  </si>
  <si>
    <t>17990-14518</t>
  </si>
  <si>
    <t>Tobias</t>
  </si>
  <si>
    <t>17990-9598</t>
  </si>
  <si>
    <t>17990-15757</t>
  </si>
  <si>
    <t>Terrence</t>
  </si>
  <si>
    <t>17990-18393</t>
  </si>
  <si>
    <t>17990-23096</t>
  </si>
  <si>
    <t>17990-15583</t>
  </si>
  <si>
    <t>17990-9451</t>
  </si>
  <si>
    <t>17990-23825</t>
  </si>
  <si>
    <t>17990-9666</t>
  </si>
  <si>
    <t>17990-9473</t>
  </si>
  <si>
    <t>17990-16233</t>
  </si>
  <si>
    <t>17990-12350</t>
  </si>
  <si>
    <t>17990-15691</t>
  </si>
  <si>
    <t>17990-24544</t>
  </si>
  <si>
    <t>17990-16359</t>
  </si>
  <si>
    <t>17990-9448</t>
  </si>
  <si>
    <t>Crawford</t>
  </si>
  <si>
    <t>17990-55056</t>
  </si>
  <si>
    <t>17990-15636</t>
  </si>
  <si>
    <t>Kentavious</t>
  </si>
  <si>
    <t>Caldwell-Pope</t>
  </si>
  <si>
    <t>17990-9638</t>
  </si>
  <si>
    <t>Lee</t>
  </si>
  <si>
    <t>17990-66115</t>
  </si>
  <si>
    <t>17990-9652</t>
  </si>
  <si>
    <t>17990-12351</t>
  </si>
  <si>
    <t>17990-23120</t>
  </si>
  <si>
    <t>17990-63124</t>
  </si>
  <si>
    <t>17990-9458</t>
  </si>
  <si>
    <t>17990-23407</t>
  </si>
  <si>
    <t>17990-16448</t>
  </si>
  <si>
    <t>17990-14539</t>
  </si>
  <si>
    <t>Jon</t>
  </si>
  <si>
    <t>Leuer</t>
  </si>
  <si>
    <t>17990-19781</t>
  </si>
  <si>
    <t>Kent</t>
  </si>
  <si>
    <t>Bazemore</t>
  </si>
  <si>
    <t>17990-15405</t>
  </si>
  <si>
    <t>JaMychal</t>
  </si>
  <si>
    <t>17990-12359</t>
  </si>
  <si>
    <t>17990-9495</t>
  </si>
  <si>
    <t>17990-9655</t>
  </si>
  <si>
    <t>Redick</t>
  </si>
  <si>
    <t>17990-9700</t>
  </si>
  <si>
    <t>17990-58083</t>
  </si>
  <si>
    <t>17990-9465</t>
  </si>
  <si>
    <t>Raymond</t>
  </si>
  <si>
    <t>Felton</t>
  </si>
  <si>
    <t>17990-22541</t>
  </si>
  <si>
    <t>17990-41594</t>
  </si>
  <si>
    <t>17990-42148</t>
  </si>
  <si>
    <t>Rondae</t>
  </si>
  <si>
    <t>Hollis-Jefferson</t>
  </si>
  <si>
    <t>17990-14530</t>
  </si>
  <si>
    <t>Bojan</t>
  </si>
  <si>
    <t>Bogdanovic</t>
  </si>
  <si>
    <t>17990-9692</t>
  </si>
  <si>
    <t>Tyreke</t>
  </si>
  <si>
    <t>Evans</t>
  </si>
  <si>
    <t>17990-9702</t>
  </si>
  <si>
    <t>Parker</t>
  </si>
  <si>
    <t>17990-15559</t>
  </si>
  <si>
    <t>17990-9454</t>
  </si>
  <si>
    <t>17990-16261</t>
  </si>
  <si>
    <t>17990-16301</t>
  </si>
  <si>
    <t>Dewayne</t>
  </si>
  <si>
    <t>Dedmon</t>
  </si>
  <si>
    <t>17990-9664</t>
  </si>
  <si>
    <t>17990-15548</t>
  </si>
  <si>
    <t>17990-23798</t>
  </si>
  <si>
    <t>Caris</t>
  </si>
  <si>
    <t>LeVert</t>
  </si>
  <si>
    <t>17990-16178</t>
  </si>
  <si>
    <t>17990-9587</t>
  </si>
  <si>
    <t>17990-15904</t>
  </si>
  <si>
    <t>17990-15417</t>
  </si>
  <si>
    <t>Solomon</t>
  </si>
  <si>
    <t>17990-12511</t>
  </si>
  <si>
    <t>Ish</t>
  </si>
  <si>
    <t>17990-23801</t>
  </si>
  <si>
    <t>17990-9525</t>
  </si>
  <si>
    <t>17990-9580</t>
  </si>
  <si>
    <t>17990-9725</t>
  </si>
  <si>
    <t>17990-20064</t>
  </si>
  <si>
    <t>17990-17517</t>
  </si>
  <si>
    <t>17990-23178</t>
  </si>
  <si>
    <t>17990-9601</t>
  </si>
  <si>
    <t>17990-15814</t>
  </si>
  <si>
    <t>17990-9715</t>
  </si>
  <si>
    <t>17990-64017</t>
  </si>
  <si>
    <t>17990-9758</t>
  </si>
  <si>
    <t>Danny</t>
  </si>
  <si>
    <t>17990-9643</t>
  </si>
  <si>
    <t>17990-66108</t>
  </si>
  <si>
    <t>17990-67707</t>
  </si>
  <si>
    <t>17990-14505</t>
  </si>
  <si>
    <t>17990-14554</t>
  </si>
  <si>
    <t>E'Twaun</t>
  </si>
  <si>
    <t>Moore</t>
  </si>
  <si>
    <t>17990-9956</t>
  </si>
  <si>
    <t>17990-9447</t>
  </si>
  <si>
    <t>17990-9526</t>
  </si>
  <si>
    <t>17990-15744</t>
  </si>
  <si>
    <t>17990-59318</t>
  </si>
  <si>
    <t>17990-9671</t>
  </si>
  <si>
    <t>Marreese</t>
  </si>
  <si>
    <t>Speights</t>
  </si>
  <si>
    <t>17990-9751</t>
  </si>
  <si>
    <t>Toney</t>
  </si>
  <si>
    <t>Douglas</t>
  </si>
  <si>
    <t>17990-15952</t>
  </si>
  <si>
    <t>17990-17491</t>
  </si>
  <si>
    <t>Ennis III</t>
  </si>
  <si>
    <t>17990-58463</t>
  </si>
  <si>
    <t>17990-15520</t>
  </si>
  <si>
    <t>Sean</t>
  </si>
  <si>
    <t>Kilpatrick</t>
  </si>
  <si>
    <t>17990-14549</t>
  </si>
  <si>
    <t>17990-9951</t>
  </si>
  <si>
    <t>17990-9968</t>
  </si>
  <si>
    <t>17990-9613</t>
  </si>
  <si>
    <t>17990-9739</t>
  </si>
  <si>
    <t>17990-66091</t>
  </si>
  <si>
    <t>Cheick</t>
  </si>
  <si>
    <t>Diallo</t>
  </si>
  <si>
    <t>17990-23665</t>
  </si>
  <si>
    <t>Buddy</t>
  </si>
  <si>
    <t>Hield</t>
  </si>
  <si>
    <t>17990-9862</t>
  </si>
  <si>
    <t>17990-17542</t>
  </si>
  <si>
    <t>17990-15501</t>
  </si>
  <si>
    <t>17990-63123</t>
  </si>
  <si>
    <t>17990-70820</t>
  </si>
  <si>
    <t>17990-14537</t>
  </si>
  <si>
    <t>Parsons</t>
  </si>
  <si>
    <t>17990-9940</t>
  </si>
  <si>
    <t>Cunningham</t>
  </si>
  <si>
    <t>17990-9953</t>
  </si>
  <si>
    <t>Mahinmi</t>
  </si>
  <si>
    <t>17990-23831</t>
  </si>
  <si>
    <t>17990-58661</t>
  </si>
  <si>
    <t>17990-71469</t>
  </si>
  <si>
    <t>17990-15788</t>
  </si>
  <si>
    <t>Hamilton</t>
  </si>
  <si>
    <t>17990-9647</t>
  </si>
  <si>
    <t>Thabo</t>
  </si>
  <si>
    <t>Sefolosha</t>
  </si>
  <si>
    <t>17990-9669</t>
  </si>
  <si>
    <t>17990-9677</t>
  </si>
  <si>
    <t>17990-67026</t>
  </si>
  <si>
    <t>Hip</t>
  </si>
  <si>
    <t>17990-59358</t>
  </si>
  <si>
    <t>17990-9733</t>
  </si>
  <si>
    <t>Randy</t>
  </si>
  <si>
    <t>Foye</t>
  </si>
  <si>
    <t>17990-9734</t>
  </si>
  <si>
    <t>17990-66064</t>
  </si>
  <si>
    <t>17990-23572</t>
  </si>
  <si>
    <t>Taurean</t>
  </si>
  <si>
    <t>Prince</t>
  </si>
  <si>
    <t>17990-16411</t>
  </si>
  <si>
    <t>17990-37931</t>
  </si>
  <si>
    <t>Aron</t>
  </si>
  <si>
    <t>Baynes</t>
  </si>
  <si>
    <t>17990-12335</t>
  </si>
  <si>
    <t>17990-9783</t>
  </si>
  <si>
    <t>17990-12344</t>
  </si>
  <si>
    <t>Greivis</t>
  </si>
  <si>
    <t>Vasquez</t>
  </si>
  <si>
    <t>17990-23097</t>
  </si>
  <si>
    <t>Tomas</t>
  </si>
  <si>
    <t>Satoransky</t>
  </si>
  <si>
    <t>17990-12348</t>
  </si>
  <si>
    <t>17990-12349</t>
  </si>
  <si>
    <t>17990-9796</t>
  </si>
  <si>
    <t>Luc Richard</t>
  </si>
  <si>
    <t>Mbah a Moute</t>
  </si>
  <si>
    <t>17990-66117</t>
  </si>
  <si>
    <t>Diamond</t>
  </si>
  <si>
    <t>Stone</t>
  </si>
  <si>
    <t>17990-15947</t>
  </si>
  <si>
    <t>Bullock</t>
  </si>
  <si>
    <t>17990-9804</t>
  </si>
  <si>
    <t>Alexis</t>
  </si>
  <si>
    <t>Ajinca</t>
  </si>
  <si>
    <t>17990-12365</t>
  </si>
  <si>
    <t>17990-55376</t>
  </si>
  <si>
    <t>17990-66129</t>
  </si>
  <si>
    <t>Deyonta</t>
  </si>
  <si>
    <t>17990-15955</t>
  </si>
  <si>
    <t>17990-15961</t>
  </si>
  <si>
    <t>17990-59483</t>
  </si>
  <si>
    <t>McCullough</t>
  </si>
  <si>
    <t>17990-58461</t>
  </si>
  <si>
    <t>17990-23654</t>
  </si>
  <si>
    <t>Brice</t>
  </si>
  <si>
    <t>17990-41063</t>
  </si>
  <si>
    <t>17990-41065</t>
  </si>
  <si>
    <t>17990-23148</t>
  </si>
  <si>
    <t>17990-15469</t>
  </si>
  <si>
    <t>Quincy</t>
  </si>
  <si>
    <t>Acy</t>
  </si>
  <si>
    <t>17990-23156</t>
  </si>
  <si>
    <t>17990-9849</t>
  </si>
  <si>
    <t>17990-15993</t>
  </si>
  <si>
    <t>17990-41082</t>
  </si>
  <si>
    <t>17990-58490</t>
  </si>
  <si>
    <t>Wade</t>
  </si>
  <si>
    <t>Baldwin IV</t>
  </si>
  <si>
    <t>17990-67708</t>
  </si>
  <si>
    <t>Dejounte</t>
  </si>
  <si>
    <t>17990-12421</t>
  </si>
  <si>
    <t>Tiago</t>
  </si>
  <si>
    <t>Splitter</t>
  </si>
  <si>
    <t>17990-12423</t>
  </si>
  <si>
    <t>Omer</t>
  </si>
  <si>
    <t>Asik</t>
  </si>
  <si>
    <t>17990-23189</t>
  </si>
  <si>
    <t>17990-21665</t>
  </si>
  <si>
    <t>17990-70819</t>
  </si>
  <si>
    <t>17990-23716</t>
  </si>
  <si>
    <t>17990-42661</t>
  </si>
  <si>
    <t>17990-42662</t>
  </si>
  <si>
    <t>Troy</t>
  </si>
  <si>
    <t>17990-9895</t>
  </si>
  <si>
    <t>17990-70822</t>
  </si>
  <si>
    <t>17990-42664</t>
  </si>
  <si>
    <t>17990-70825</t>
  </si>
  <si>
    <t>17990-42665</t>
  </si>
  <si>
    <t>17990-14506</t>
  </si>
  <si>
    <t>17990-14510</t>
  </si>
  <si>
    <t>17990-42671</t>
  </si>
  <si>
    <t>17990-42677</t>
  </si>
  <si>
    <t>17990-15542</t>
  </si>
  <si>
    <t>Dinwiddie</t>
  </si>
  <si>
    <t>17990-14519</t>
  </si>
  <si>
    <t>Donatas</t>
  </si>
  <si>
    <t>Motiejunas</t>
  </si>
  <si>
    <t>17990-49336</t>
  </si>
  <si>
    <t>DeAndre'</t>
  </si>
  <si>
    <t>Bembry</t>
  </si>
  <si>
    <t>17990-23743</t>
  </si>
  <si>
    <t>Daniel</t>
  </si>
  <si>
    <t>Ochefu</t>
  </si>
  <si>
    <t>17990-23744</t>
  </si>
  <si>
    <t>17990-14532</t>
  </si>
  <si>
    <t>17990-14533</t>
  </si>
  <si>
    <t>17990-23750</t>
  </si>
  <si>
    <t>17990-16071</t>
  </si>
  <si>
    <t>Frazier</t>
  </si>
  <si>
    <t>17990-15560</t>
  </si>
  <si>
    <t>17990-23757</t>
  </si>
  <si>
    <t>17990-9935</t>
  </si>
  <si>
    <t>Brandan</t>
  </si>
  <si>
    <t>Wright</t>
  </si>
  <si>
    <t>17990-14543</t>
  </si>
  <si>
    <t>Bertans</t>
  </si>
  <si>
    <t>17990-58576</t>
  </si>
  <si>
    <t>17990-9939</t>
  </si>
  <si>
    <t>Patty</t>
  </si>
  <si>
    <t>Mills</t>
  </si>
  <si>
    <t>17990-16089</t>
  </si>
  <si>
    <t>Lamar</t>
  </si>
  <si>
    <t>Patterson</t>
  </si>
  <si>
    <t>17990-15585</t>
  </si>
  <si>
    <t>Gbinije</t>
  </si>
  <si>
    <t>17990-9955</t>
  </si>
  <si>
    <t>Thornton</t>
  </si>
  <si>
    <t>17990-15587</t>
  </si>
  <si>
    <t>17990-23780</t>
  </si>
  <si>
    <t>17990-15591</t>
  </si>
  <si>
    <t>17990-23273</t>
  </si>
  <si>
    <t>17990-9962</t>
  </si>
  <si>
    <t>17990-23788</t>
  </si>
  <si>
    <t>Bryn</t>
  </si>
  <si>
    <t>Forbes</t>
  </si>
  <si>
    <t>17990-9459</t>
  </si>
  <si>
    <t>Pierce</t>
  </si>
  <si>
    <t>17990-23800</t>
  </si>
  <si>
    <t>17990-9466</t>
  </si>
  <si>
    <t>17990-71420</t>
  </si>
  <si>
    <t>17990-23294</t>
  </si>
  <si>
    <t>Danuel</t>
  </si>
  <si>
    <t>House</t>
  </si>
  <si>
    <t>17990-9471</t>
  </si>
  <si>
    <t>17990-15620</t>
  </si>
  <si>
    <t>17990-40206</t>
  </si>
  <si>
    <t>17990-55055</t>
  </si>
  <si>
    <t>17990-23824</t>
  </si>
  <si>
    <t>Archie</t>
  </si>
  <si>
    <t>Goodwin</t>
  </si>
  <si>
    <t>17990-40208</t>
  </si>
  <si>
    <t>17990-40209</t>
  </si>
  <si>
    <t>17990-55057</t>
  </si>
  <si>
    <t>17990-9490</t>
  </si>
  <si>
    <t>17990-55063</t>
  </si>
  <si>
    <t>Edy</t>
  </si>
  <si>
    <t>Tavares</t>
  </si>
  <si>
    <t>17990-9496</t>
  </si>
  <si>
    <t>17990-9501</t>
  </si>
  <si>
    <t>Kris</t>
  </si>
  <si>
    <t>Humphries</t>
  </si>
  <si>
    <t>17990-58658</t>
  </si>
  <si>
    <t>17990-58153</t>
  </si>
  <si>
    <t>Oubre Jr.</t>
  </si>
  <si>
    <t>17990-9514</t>
  </si>
  <si>
    <t>17990-71467</t>
  </si>
  <si>
    <t>Delaney</t>
  </si>
  <si>
    <t>17990-71468</t>
  </si>
  <si>
    <t>17990-15669</t>
  </si>
  <si>
    <t>17990-41269</t>
  </si>
  <si>
    <t>17990-34615</t>
  </si>
  <si>
    <t>17990-9529</t>
  </si>
  <si>
    <t>17990-16188</t>
  </si>
  <si>
    <t>17990-9534</t>
  </si>
  <si>
    <t>17990-16191</t>
  </si>
  <si>
    <t>17990-17218</t>
  </si>
  <si>
    <t>Nicholson</t>
  </si>
  <si>
    <t>17990-16196</t>
  </si>
  <si>
    <t>17990-16197</t>
  </si>
  <si>
    <t>17990-20805</t>
  </si>
  <si>
    <t>Daniels</t>
  </si>
  <si>
    <t>17990-9542</t>
  </si>
  <si>
    <t>Luis</t>
  </si>
  <si>
    <t>Scola</t>
  </si>
  <si>
    <t>17990-20806</t>
  </si>
  <si>
    <t>17990-16202</t>
  </si>
  <si>
    <t>17990-9547</t>
  </si>
  <si>
    <t>Dunleavy</t>
  </si>
  <si>
    <t>17990-17230</t>
  </si>
  <si>
    <t>Langston</t>
  </si>
  <si>
    <t>Galloway</t>
  </si>
  <si>
    <t>17990-9553</t>
  </si>
  <si>
    <t>17990-63826</t>
  </si>
  <si>
    <t>Boban</t>
  </si>
  <si>
    <t>Marjanovic</t>
  </si>
  <si>
    <t>17990-17747</t>
  </si>
  <si>
    <t>17990-40819</t>
  </si>
  <si>
    <t>Jarell</t>
  </si>
  <si>
    <t>Martin</t>
  </si>
  <si>
    <t>17990-9589</t>
  </si>
  <si>
    <t>17990-16246</t>
  </si>
  <si>
    <t>Sheldon</t>
  </si>
  <si>
    <t>McClellan</t>
  </si>
  <si>
    <t>17990-15736</t>
  </si>
  <si>
    <t>17990-9605</t>
  </si>
  <si>
    <t>17990-18821</t>
  </si>
  <si>
    <t>Jonathon</t>
  </si>
  <si>
    <t>17990-58247</t>
  </si>
  <si>
    <t>Whitehead</t>
  </si>
  <si>
    <t>17990-9609</t>
  </si>
  <si>
    <t>17990-18828</t>
  </si>
  <si>
    <t>17990-66455</t>
  </si>
  <si>
    <t>Henry</t>
  </si>
  <si>
    <t>Ellenson</t>
  </si>
  <si>
    <t>17990-23447</t>
  </si>
  <si>
    <t>17990-66966</t>
  </si>
  <si>
    <t>17990-66968</t>
  </si>
  <si>
    <t>17990-9629</t>
  </si>
  <si>
    <t>17990-9648</t>
  </si>
  <si>
    <t>17990-18352</t>
  </si>
  <si>
    <t>17990-9649</t>
  </si>
  <si>
    <t>17990-74164</t>
  </si>
  <si>
    <t>Laprovittola</t>
  </si>
  <si>
    <t>17990-9654</t>
  </si>
  <si>
    <t>Vince</t>
  </si>
  <si>
    <t>Carter</t>
  </si>
  <si>
    <t>17990-48567</t>
  </si>
  <si>
    <t>17990-9659</t>
  </si>
  <si>
    <t>Bass</t>
  </si>
  <si>
    <t>17990-9674</t>
  </si>
  <si>
    <t>17990-16331</t>
  </si>
  <si>
    <t>17990-16348</t>
  </si>
  <si>
    <t>Darrun</t>
  </si>
  <si>
    <t>Hilliard</t>
  </si>
  <si>
    <t>17990-9693</t>
  </si>
  <si>
    <t>Beno</t>
  </si>
  <si>
    <t>Udrih</t>
  </si>
  <si>
    <t>17990-15843</t>
  </si>
  <si>
    <t>Burke</t>
  </si>
  <si>
    <t>17990-17894</t>
  </si>
  <si>
    <t>Muscala</t>
  </si>
  <si>
    <t>17990-9704</t>
  </si>
  <si>
    <t>Manu</t>
  </si>
  <si>
    <t>Ginobili</t>
  </si>
  <si>
    <t>17990-16363</t>
  </si>
  <si>
    <t>17990-58350</t>
  </si>
  <si>
    <t>Stanley</t>
  </si>
  <si>
    <t>17990-16368</t>
  </si>
  <si>
    <t>Scott</t>
  </si>
  <si>
    <t>17990-16376</t>
  </si>
  <si>
    <t>17990-9723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</si>
</sst>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4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552450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abSelected="1" zoomScale="106" zoomScaleNormal="106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13</v>
      </c>
      <c r="C1" t="s">
        <v>14</v>
      </c>
      <c r="D1" t="s">
        <v>9</v>
      </c>
      <c r="E1" t="s">
        <v>10</v>
      </c>
      <c r="F1" t="s">
        <v>11</v>
      </c>
      <c r="G1" t="s">
        <v>12</v>
      </c>
      <c r="H1" t="s">
        <v>3</v>
      </c>
      <c r="I1" t="s">
        <v>8</v>
      </c>
      <c r="J1" t="s">
        <v>6</v>
      </c>
      <c r="K1" t="s">
        <v>5</v>
      </c>
      <c r="L1" t="s">
        <v>7</v>
      </c>
      <c r="M1" t="s">
        <v>297</v>
      </c>
      <c r="N1" t="s">
        <v>0</v>
      </c>
      <c r="O1" t="s">
        <v>15</v>
      </c>
      <c r="P1" t="s">
        <v>16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t="str">
        <f>RawData!B2</f>
        <v>PG</v>
      </c>
      <c r="E2" t="str">
        <f>RawData!D2</f>
        <v>Russell Westbrook</v>
      </c>
      <c r="F2">
        <f>(RawData!F2)*M2</f>
        <v>57.5</v>
      </c>
      <c r="G2" s="35">
        <f>RawData!H2</f>
        <v>12600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>IF(RawData!L2=0,1,0)</f>
        <v>1</v>
      </c>
      <c r="N2" t="s">
        <v>3</v>
      </c>
      <c r="O2">
        <v>2</v>
      </c>
      <c r="P2">
        <f>SUM(H2:H339)</f>
        <v>0</v>
      </c>
      <c r="T2">
        <f>SUM(C:C)</f>
        <v>0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2" t="str">
        <f>RawData!B3</f>
        <v>SG</v>
      </c>
      <c r="E3" s="2" t="str">
        <f>RawData!D3</f>
        <v>Giannis Antetokounmpo</v>
      </c>
      <c r="F3" s="2">
        <f>(RawData!F3)*M3</f>
        <v>46.5538470928485</v>
      </c>
      <c r="G3" s="35">
        <f>RawData!H3</f>
        <v>11300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f>IF(RawData!L3=0,1,0)</f>
        <v>1</v>
      </c>
      <c r="N3" t="s">
        <v>8</v>
      </c>
      <c r="O3">
        <v>2</v>
      </c>
      <c r="P3">
        <f>SUM(I2:I339)</f>
        <v>0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2" t="str">
        <f>RawData!B4</f>
        <v>PF</v>
      </c>
      <c r="E4" s="2" t="str">
        <f>RawData!D4</f>
        <v>Anthony Davis</v>
      </c>
      <c r="F4" s="2">
        <f>(RawData!F4)*M4</f>
        <v>50.696078431372499</v>
      </c>
      <c r="G4" s="35">
        <f>RawData!H4</f>
        <v>11100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>
        <f>IF(RawData!L4=0,1,0)</f>
        <v>1</v>
      </c>
      <c r="N4" t="s">
        <v>6</v>
      </c>
      <c r="O4">
        <v>2</v>
      </c>
      <c r="P4">
        <f>SUM(J2:J339)</f>
        <v>0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2" t="str">
        <f>RawData!B5</f>
        <v>PG</v>
      </c>
      <c r="E5" s="2" t="str">
        <f>RawData!D5</f>
        <v>John Wall</v>
      </c>
      <c r="F5" s="2">
        <f>(RawData!F5)*M5</f>
        <v>45.249018650428901</v>
      </c>
      <c r="G5" s="35">
        <f>RawData!H5</f>
        <v>10500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>
        <f>IF(RawData!L5=0,1,0)</f>
        <v>1</v>
      </c>
      <c r="N5" t="s">
        <v>5</v>
      </c>
      <c r="O5">
        <v>2</v>
      </c>
      <c r="P5">
        <f>SUM(K2:K339)</f>
        <v>0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2" t="str">
        <f>RawData!B6</f>
        <v>PG</v>
      </c>
      <c r="E6" s="2" t="str">
        <f>RawData!D6</f>
        <v>Isaiah Thomas</v>
      </c>
      <c r="F6" s="2">
        <f>(RawData!F6)*M6</f>
        <v>41.816000976562499</v>
      </c>
      <c r="G6" s="35">
        <f>RawData!H6</f>
        <v>10100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2" t="str">
        <f>RawData!B7</f>
        <v>PF</v>
      </c>
      <c r="E7" s="2" t="str">
        <f>RawData!D7</f>
        <v>Nikola Jokic</v>
      </c>
      <c r="F7" s="2">
        <f>(RawData!F7)*M7</f>
        <v>33.946808510638299</v>
      </c>
      <c r="G7" s="35">
        <f>RawData!H7</f>
        <v>10100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>
        <f>IF(RawData!L7=0,1,0)</f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2" t="str">
        <f>RawData!B8</f>
        <v>SF</v>
      </c>
      <c r="E8" s="2" t="str">
        <f>RawData!D8</f>
        <v>Kevin Durant</v>
      </c>
      <c r="F8" s="2">
        <f>(RawData!F8)*M8</f>
        <v>46.374073169849503</v>
      </c>
      <c r="G8" s="35">
        <f>RawData!H8</f>
        <v>10100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f>IF(RawData!L8=0,1,0)</f>
        <v>1</v>
      </c>
      <c r="N8" t="s">
        <v>17</v>
      </c>
      <c r="O8">
        <f>SUMPRODUCT(C2:C239,G2:G239)</f>
        <v>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2" t="str">
        <f>RawData!B9</f>
        <v>PF</v>
      </c>
      <c r="E9" s="2" t="str">
        <f>RawData!D9</f>
        <v>Blake Griffin</v>
      </c>
      <c r="F9" s="2">
        <f>(RawData!F9)*M9</f>
        <v>40.491175034466899</v>
      </c>
      <c r="G9" s="35">
        <f>RawData!H9</f>
        <v>9700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>
        <f>IF(RawData!L9=0,1,0)</f>
        <v>1</v>
      </c>
      <c r="N9" t="s">
        <v>18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2" t="str">
        <f>RawData!B10</f>
        <v>SF</v>
      </c>
      <c r="E10" s="2" t="str">
        <f>RawData!D10</f>
        <v>Kawhi Leonard</v>
      </c>
      <c r="F10" s="2">
        <f>(RawData!F10)*M10</f>
        <v>40.877551020408099</v>
      </c>
      <c r="G10" s="35">
        <f>RawData!H10</f>
        <v>9600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1</v>
      </c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2" t="str">
        <f>RawData!B11</f>
        <v>PG</v>
      </c>
      <c r="E11" s="2" t="str">
        <f>RawData!D11</f>
        <v>Stephen Curry</v>
      </c>
      <c r="F11" s="2">
        <f>(RawData!F11)*M11</f>
        <v>40.762262308372598</v>
      </c>
      <c r="G11" s="35">
        <f>RawData!H11</f>
        <v>9400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>
        <f>IF(RawData!L11=0,1,0)</f>
        <v>1</v>
      </c>
      <c r="N11" t="s">
        <v>19</v>
      </c>
      <c r="O11">
        <f>SUMPRODUCT(C2:C339,F2:F339)</f>
        <v>0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2" t="str">
        <f>RawData!B12</f>
        <v>C</v>
      </c>
      <c r="E12" s="2" t="str">
        <f>RawData!D12</f>
        <v>Hassan Whiteside</v>
      </c>
      <c r="F12" s="2">
        <f>(RawData!F12)*M12</f>
        <v>38.036000976562498</v>
      </c>
      <c r="G12" s="35">
        <f>RawData!H12</f>
        <v>8800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f>IF(RawData!L12=0,1,0)</f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 t="str">
        <f>RawData!B13</f>
        <v>PG</v>
      </c>
      <c r="E13" s="2" t="str">
        <f>RawData!D13</f>
        <v>Chris Paul</v>
      </c>
      <c r="F13" s="2">
        <f>(RawData!F13)*M13</f>
        <v>0</v>
      </c>
      <c r="G13" s="35">
        <f>RawData!H13</f>
        <v>8800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0</v>
      </c>
      <c r="N13" t="s">
        <v>20</v>
      </c>
      <c r="O13">
        <v>8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2" t="str">
        <f>RawData!B14</f>
        <v>C</v>
      </c>
      <c r="E14" s="2" t="str">
        <f>RawData!D14</f>
        <v>Andre Drummond</v>
      </c>
      <c r="F14" s="2">
        <f>(RawData!F14)*M14</f>
        <v>36.737037941261498</v>
      </c>
      <c r="G14" s="35">
        <f>RawData!H14</f>
        <v>8700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1</v>
      </c>
      <c r="N14" t="s">
        <v>21</v>
      </c>
      <c r="O14">
        <f>SUM(C:C)</f>
        <v>0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 t="str">
        <f>RawData!B15</f>
        <v>C</v>
      </c>
      <c r="E15" s="2" t="str">
        <f>RawData!D15</f>
        <v>Joel Embiid</v>
      </c>
      <c r="F15" s="2">
        <f>(RawData!F15)*M15</f>
        <v>0</v>
      </c>
      <c r="G15" s="35">
        <f>RawData!H15</f>
        <v>8700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0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2" t="str">
        <f>RawData!B16</f>
        <v>PG</v>
      </c>
      <c r="E16" s="2" t="str">
        <f>RawData!D16</f>
        <v>Damian Lillard</v>
      </c>
      <c r="F16" s="2">
        <f>(RawData!F16)*M16</f>
        <v>40.083672971141503</v>
      </c>
      <c r="G16" s="35">
        <f>RawData!H16</f>
        <v>8600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1</v>
      </c>
      <c r="N16" t="s">
        <v>23</v>
      </c>
    </row>
    <row r="17" spans="1:16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2" t="str">
        <f>RawData!B17</f>
        <v>C</v>
      </c>
      <c r="E17" s="2" t="str">
        <f>RawData!D17</f>
        <v>Marc Gasol</v>
      </c>
      <c r="F17" s="2">
        <f>(RawData!F17)*M17</f>
        <v>36.932075932340801</v>
      </c>
      <c r="G17" s="35">
        <f>RawData!H17</f>
        <v>8500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f>IF(RawData!L17=0,1,0)</f>
        <v>1</v>
      </c>
      <c r="N17" t="s">
        <v>25</v>
      </c>
      <c r="O17" t="e">
        <f>VLOOKUP(N17,$B$2:$F$101,4,FALSE)</f>
        <v>#N/A</v>
      </c>
      <c r="P17" t="e">
        <f>VLOOKUP(O17, Sheet3!A2:B308,2,FALSE)</f>
        <v>#N/A</v>
      </c>
    </row>
    <row r="18" spans="1:16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2" t="str">
        <f>RawData!B18</f>
        <v>PG</v>
      </c>
      <c r="E18" s="2" t="str">
        <f>RawData!D18</f>
        <v>Eric Bledsoe</v>
      </c>
      <c r="F18" s="2">
        <f>(RawData!F18)*M18</f>
        <v>36.5870361328125</v>
      </c>
      <c r="G18" s="35">
        <f>RawData!H18</f>
        <v>8400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f>IF(RawData!L18=0,1,0)</f>
        <v>1</v>
      </c>
      <c r="N18" t="s">
        <v>26</v>
      </c>
      <c r="O18" s="2" t="e">
        <f t="shared" ref="O18:O24" si="3">VLOOKUP(N18,$B$2:$F$101,4,FALSE)</f>
        <v>#N/A</v>
      </c>
      <c r="P18" s="2" t="e">
        <f>VLOOKUP(O18, Sheet3!A3:B309,2,FALSE)</f>
        <v>#N/A</v>
      </c>
    </row>
    <row r="19" spans="1:16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2" t="str">
        <f>RawData!B19</f>
        <v>PG</v>
      </c>
      <c r="E19" s="2" t="str">
        <f>RawData!D19</f>
        <v>Jrue Holiday</v>
      </c>
      <c r="F19" s="2">
        <f>(RawData!F19)*M19</f>
        <v>33.545001220703099</v>
      </c>
      <c r="G19" s="35">
        <f>RawData!H19</f>
        <v>8300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f>IF(RawData!L19=0,1,0)</f>
        <v>1</v>
      </c>
      <c r="N19" t="s">
        <v>27</v>
      </c>
      <c r="O19" s="2" t="e">
        <f t="shared" si="3"/>
        <v>#N/A</v>
      </c>
      <c r="P19" s="2" t="e">
        <f>VLOOKUP(O19, Sheet3!A4:B310,2,FALSE)</f>
        <v>#N/A</v>
      </c>
    </row>
    <row r="20" spans="1:16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 t="str">
        <f>RawData!B20</f>
        <v>PF</v>
      </c>
      <c r="E20" s="2" t="str">
        <f>RawData!D20</f>
        <v>Draymond Green</v>
      </c>
      <c r="F20" s="2">
        <f>(RawData!F20)*M20</f>
        <v>36.543136297487699</v>
      </c>
      <c r="G20" s="35">
        <f>RawData!H20</f>
        <v>8300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1</v>
      </c>
      <c r="N20" t="s">
        <v>28</v>
      </c>
      <c r="O20" s="2" t="e">
        <f t="shared" si="3"/>
        <v>#N/A</v>
      </c>
      <c r="P20" s="2" t="e">
        <f>VLOOKUP(O20, Sheet3!A5:B311,2,FALSE)</f>
        <v>#N/A</v>
      </c>
    </row>
    <row r="21" spans="1:16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2" t="str">
        <f>RawData!B21</f>
        <v>SF</v>
      </c>
      <c r="E21" s="2" t="str">
        <f>RawData!D21</f>
        <v>Gordon Hayward</v>
      </c>
      <c r="F21" s="2">
        <f>(RawData!F21)*M21</f>
        <v>35.1979166666666</v>
      </c>
      <c r="G21" s="35">
        <f>RawData!H21</f>
        <v>8100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f>IF(RawData!L21=0,1,0)</f>
        <v>1</v>
      </c>
      <c r="N21" t="s">
        <v>29</v>
      </c>
      <c r="O21" s="2" t="e">
        <f t="shared" si="3"/>
        <v>#N/A</v>
      </c>
      <c r="P21" s="2" t="e">
        <f>VLOOKUP(O21, Sheet3!A6:B312,2,FALSE)</f>
        <v>#N/A</v>
      </c>
    </row>
    <row r="22" spans="1:16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 t="str">
        <f>RawData!B22</f>
        <v>PF</v>
      </c>
      <c r="E22" s="2" t="str">
        <f>RawData!D22</f>
        <v>Paul Millsap</v>
      </c>
      <c r="F22" s="2">
        <f>(RawData!F22)*M22</f>
        <v>35.856861787683798</v>
      </c>
      <c r="G22" s="35">
        <f>RawData!H22</f>
        <v>8000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1</v>
      </c>
      <c r="N22" t="s">
        <v>30</v>
      </c>
      <c r="O22" s="2" t="e">
        <f t="shared" si="3"/>
        <v>#N/A</v>
      </c>
      <c r="P22" s="2" t="e">
        <f>VLOOKUP(O22, Sheet3!A7:B313,2,FALSE)</f>
        <v>#N/A</v>
      </c>
    </row>
    <row r="23" spans="1:16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 t="str">
        <f>RawData!B23</f>
        <v>SF</v>
      </c>
      <c r="E23" s="2" t="str">
        <f>RawData!D23</f>
        <v>Paul George</v>
      </c>
      <c r="F23" s="2">
        <f>(RawData!F23)*M23</f>
        <v>35.8680861452792</v>
      </c>
      <c r="G23" s="35">
        <f>RawData!H23</f>
        <v>8000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1</v>
      </c>
      <c r="N23" t="s">
        <v>31</v>
      </c>
      <c r="O23" s="2" t="e">
        <f t="shared" si="3"/>
        <v>#N/A</v>
      </c>
      <c r="P23" s="2" t="e">
        <f>VLOOKUP(O23, Sheet3!A8:B314,2,FALSE)</f>
        <v>#N/A</v>
      </c>
    </row>
    <row r="24" spans="1:16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2" t="str">
        <f>RawData!B24</f>
        <v>SG</v>
      </c>
      <c r="E24" s="2" t="str">
        <f>RawData!D24</f>
        <v>Nicolas Batum</v>
      </c>
      <c r="F24" s="2">
        <f>(RawData!F24)*M24</f>
        <v>33.1529421338848</v>
      </c>
      <c r="G24" s="35">
        <f>RawData!H24</f>
        <v>8000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f>IF(RawData!L24=0,1,0)</f>
        <v>1</v>
      </c>
      <c r="N24" t="s">
        <v>32</v>
      </c>
      <c r="O24" s="2" t="e">
        <f t="shared" si="3"/>
        <v>#N/A</v>
      </c>
      <c r="P24" s="2" t="e">
        <f>VLOOKUP(O24, Sheet3!A9:B315,2,FALSE)</f>
        <v>#N/A</v>
      </c>
    </row>
    <row r="25" spans="1:16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 t="str">
        <f>RawData!B25</f>
        <v>PG</v>
      </c>
      <c r="E25" s="2" t="str">
        <f>RawData!D25</f>
        <v>Goran Dragic</v>
      </c>
      <c r="F25" s="2">
        <f>(RawData!F25)*M25</f>
        <v>33.706381939827097</v>
      </c>
      <c r="G25" s="35">
        <f>RawData!H25</f>
        <v>8000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1</v>
      </c>
      <c r="P25" t="e">
        <f>SUM(P17:P24)</f>
        <v>#N/A</v>
      </c>
    </row>
    <row r="26" spans="1:16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 t="str">
        <f>RawData!B26</f>
        <v>PG</v>
      </c>
      <c r="E26" s="2" t="str">
        <f>RawData!D26</f>
        <v>Mike Conley</v>
      </c>
      <c r="F26" s="2">
        <f>(RawData!F26)*M26</f>
        <v>33.977272727272698</v>
      </c>
      <c r="G26" s="35">
        <f>RawData!H26</f>
        <v>7900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1</v>
      </c>
    </row>
    <row r="27" spans="1:16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2" t="str">
        <f>RawData!B27</f>
        <v>C</v>
      </c>
      <c r="E27" s="2" t="str">
        <f>RawData!D27</f>
        <v>Rudy Gobert</v>
      </c>
      <c r="F27" s="2">
        <f>(RawData!F27)*M27</f>
        <v>34.318181818181799</v>
      </c>
      <c r="G27" s="35">
        <f>RawData!H27</f>
        <v>7800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>
        <f>IF(RawData!L27=0,1,0)</f>
        <v>1</v>
      </c>
    </row>
    <row r="28" spans="1:16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2" t="str">
        <f>RawData!B28</f>
        <v>SG</v>
      </c>
      <c r="E28" s="2" t="str">
        <f>RawData!D28</f>
        <v>C.J. McCollum</v>
      </c>
      <c r="F28" s="2">
        <f>(RawData!F28)*M28</f>
        <v>34.3907402886284</v>
      </c>
      <c r="G28" s="35">
        <f>RawData!H28</f>
        <v>7700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f>IF(RawData!L28=0,1,0)</f>
        <v>1</v>
      </c>
    </row>
    <row r="29" spans="1:16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 t="str">
        <f>RawData!B29</f>
        <v>SG</v>
      </c>
      <c r="E29" s="2" t="str">
        <f>RawData!D29</f>
        <v>Bradley Beal</v>
      </c>
      <c r="F29" s="2">
        <f>(RawData!F29)*M29</f>
        <v>31.942856146364701</v>
      </c>
      <c r="G29" s="35">
        <f>RawData!H29</f>
        <v>7700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1</v>
      </c>
    </row>
    <row r="30" spans="1:16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 t="str">
        <f>RawData!B30</f>
        <v>C</v>
      </c>
      <c r="E30" s="2" t="str">
        <f>RawData!D30</f>
        <v>DeAndre Jordan</v>
      </c>
      <c r="F30" s="2">
        <f>(RawData!F30)*M30</f>
        <v>33.290739836516202</v>
      </c>
      <c r="G30" s="35">
        <f>RawData!H30</f>
        <v>7700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1</v>
      </c>
    </row>
    <row r="31" spans="1:16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 t="str">
        <f>RawData!B31</f>
        <v>PG</v>
      </c>
      <c r="E31" s="2" t="str">
        <f>RawData!D31</f>
        <v>Kemba Walker</v>
      </c>
      <c r="F31" s="2">
        <f>(RawData!F31)*M31</f>
        <v>35.845283940153301</v>
      </c>
      <c r="G31" s="35">
        <f>RawData!H31</f>
        <v>7600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1</v>
      </c>
    </row>
    <row r="32" spans="1:16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 t="str">
        <f>RawData!B32</f>
        <v>PF</v>
      </c>
      <c r="E32" s="2" t="str">
        <f>RawData!D32</f>
        <v>LaMarcus Aldridge</v>
      </c>
      <c r="F32" s="2">
        <f>(RawData!F32)*M32</f>
        <v>31.324490294164502</v>
      </c>
      <c r="G32" s="35">
        <f>RawData!H32</f>
        <v>7500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1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 t="str">
        <f>RawData!B33</f>
        <v>C</v>
      </c>
      <c r="E33" s="2" t="str">
        <f>RawData!D33</f>
        <v>Brook Lopez</v>
      </c>
      <c r="F33" s="2">
        <f>(RawData!F33)*M33</f>
        <v>32.6346933793048</v>
      </c>
      <c r="G33" s="35">
        <f>RawData!H33</f>
        <v>7300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1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2" t="str">
        <f>RawData!B34</f>
        <v>PF</v>
      </c>
      <c r="E34" s="2" t="str">
        <f>RawData!D34</f>
        <v>Markieff Morris</v>
      </c>
      <c r="F34" s="2">
        <f>(RawData!F34)*M34</f>
        <v>27.1392152075674</v>
      </c>
      <c r="G34" s="35">
        <f>RawData!H34</f>
        <v>7100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1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 t="str">
        <f>RawData!B35</f>
        <v>C</v>
      </c>
      <c r="E35" s="2" t="str">
        <f>RawData!D35</f>
        <v>Nikola Vucevic</v>
      </c>
      <c r="F35" s="2">
        <f>(RawData!F35)*M35</f>
        <v>32.279246204304201</v>
      </c>
      <c r="G35" s="35">
        <f>RawData!H35</f>
        <v>7100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1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 t="str">
        <f>RawData!B36</f>
        <v>SG</v>
      </c>
      <c r="E36" s="2" t="str">
        <f>RawData!D36</f>
        <v>Dion Waiters</v>
      </c>
      <c r="F36" s="2">
        <f>(RawData!F36)*M36</f>
        <v>0</v>
      </c>
      <c r="G36" s="35">
        <f>RawData!H36</f>
        <v>7100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0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 t="str">
        <f>RawData!B37</f>
        <v>C</v>
      </c>
      <c r="E37" s="2" t="str">
        <f>RawData!D37</f>
        <v>Marcin Gortat</v>
      </c>
      <c r="F37" s="2">
        <f>(RawData!F37)*M37</f>
        <v>29.867924528301799</v>
      </c>
      <c r="G37" s="35">
        <f>RawData!H37</f>
        <v>7100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 t="str">
        <f>RawData!B38</f>
        <v>PG</v>
      </c>
      <c r="E38" s="2" t="str">
        <f>RawData!D38</f>
        <v>Jeff Teague</v>
      </c>
      <c r="F38" s="2">
        <f>(RawData!F38)*M38</f>
        <v>33.8314819335937</v>
      </c>
      <c r="G38" s="35">
        <f>RawData!H38</f>
        <v>7000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1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 t="str">
        <f>RawData!B39</f>
        <v>C</v>
      </c>
      <c r="E39" s="2" t="str">
        <f>RawData!D39</f>
        <v>Al Horford</v>
      </c>
      <c r="F39" s="2">
        <f>(RawData!F39)*M39</f>
        <v>33.654761904761898</v>
      </c>
      <c r="G39" s="35">
        <f>RawData!H39</f>
        <v>7000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1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2" t="str">
        <f>RawData!B40</f>
        <v>SG</v>
      </c>
      <c r="E40" s="2" t="str">
        <f>RawData!D40</f>
        <v>Klay Thompson</v>
      </c>
      <c r="F40" s="2">
        <f>(RawData!F40)*M40</f>
        <v>30.098112286261699</v>
      </c>
      <c r="G40" s="35">
        <f>RawData!H40</f>
        <v>6900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1</v>
      </c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2" t="str">
        <f>RawData!B41</f>
        <v>PG</v>
      </c>
      <c r="E41" s="2" t="str">
        <f>RawData!D41</f>
        <v>Dennis Schroder</v>
      </c>
      <c r="F41" s="2">
        <f>(RawData!F41)*M41</f>
        <v>29.153704607928201</v>
      </c>
      <c r="G41" s="35">
        <f>RawData!H41</f>
        <v>6900</v>
      </c>
      <c r="H41">
        <f t="shared" si="2"/>
        <v>0</v>
      </c>
      <c r="I41">
        <f t="shared" si="2"/>
        <v>0</v>
      </c>
      <c r="J41">
        <f t="shared" ref="I41:L56" si="4">IF($D41=J$1,$C41*1,0)</f>
        <v>0</v>
      </c>
      <c r="K41">
        <f t="shared" si="4"/>
        <v>0</v>
      </c>
      <c r="L41">
        <f t="shared" si="4"/>
        <v>0</v>
      </c>
      <c r="M41" s="2">
        <f>IF(RawData!L41=0,1,0)</f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 t="str">
        <f>RawData!B42</f>
        <v>SF</v>
      </c>
      <c r="E42" s="2" t="str">
        <f>RawData!D42</f>
        <v>Danilo Gallinari</v>
      </c>
      <c r="F42" s="2">
        <f>(RawData!F42)*M42</f>
        <v>0</v>
      </c>
      <c r="G42" s="35">
        <f>RawData!H42</f>
        <v>6900</v>
      </c>
      <c r="H42">
        <f t="shared" si="2"/>
        <v>0</v>
      </c>
      <c r="I42">
        <f t="shared" si="4"/>
        <v>0</v>
      </c>
      <c r="J42">
        <f t="shared" si="4"/>
        <v>0</v>
      </c>
      <c r="K42">
        <f t="shared" si="4"/>
        <v>0</v>
      </c>
      <c r="L42">
        <f t="shared" si="4"/>
        <v>0</v>
      </c>
      <c r="M42" s="2">
        <f>IF(RawData!L42=0,1,0)</f>
        <v>0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 t="str">
        <f>RawData!B43</f>
        <v>C</v>
      </c>
      <c r="E43" s="2" t="str">
        <f>RawData!D43</f>
        <v>Dwight Howard</v>
      </c>
      <c r="F43" s="2">
        <f>(RawData!F43)*M43</f>
        <v>32.918367346938702</v>
      </c>
      <c r="G43" s="35">
        <f>RawData!H43</f>
        <v>6800</v>
      </c>
      <c r="H43">
        <f t="shared" si="2"/>
        <v>0</v>
      </c>
      <c r="I43">
        <f t="shared" si="4"/>
        <v>0</v>
      </c>
      <c r="J43">
        <f t="shared" si="4"/>
        <v>0</v>
      </c>
      <c r="K43">
        <f t="shared" si="4"/>
        <v>0</v>
      </c>
      <c r="L43">
        <f t="shared" si="4"/>
        <v>0</v>
      </c>
      <c r="M43" s="2">
        <f>IF(RawData!L43=0,1,0)</f>
        <v>1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 t="str">
        <f>RawData!B44</f>
        <v>SG</v>
      </c>
      <c r="E44" s="2" t="str">
        <f>RawData!D44</f>
        <v>Devin Booker</v>
      </c>
      <c r="F44" s="2">
        <f>(RawData!F44)*M44</f>
        <v>28.766667118778901</v>
      </c>
      <c r="G44" s="35">
        <f>RawData!H44</f>
        <v>6700</v>
      </c>
      <c r="H44">
        <f t="shared" si="2"/>
        <v>0</v>
      </c>
      <c r="I44">
        <f t="shared" si="4"/>
        <v>0</v>
      </c>
      <c r="J44">
        <f t="shared" si="4"/>
        <v>0</v>
      </c>
      <c r="K44">
        <f t="shared" si="4"/>
        <v>0</v>
      </c>
      <c r="L44">
        <f t="shared" si="4"/>
        <v>0</v>
      </c>
      <c r="M44" s="2">
        <f>IF(RawData!L44=0,1,0)</f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 t="str">
        <f>RawData!B45</f>
        <v>C</v>
      </c>
      <c r="E45" s="2" t="str">
        <f>RawData!D45</f>
        <v>Mason Plumlee</v>
      </c>
      <c r="F45" s="2">
        <f>(RawData!F45)*M45</f>
        <v>0</v>
      </c>
      <c r="G45" s="35">
        <f>RawData!H45</f>
        <v>6700</v>
      </c>
      <c r="H45">
        <f t="shared" si="2"/>
        <v>0</v>
      </c>
      <c r="I45">
        <f t="shared" si="4"/>
        <v>0</v>
      </c>
      <c r="J45">
        <f t="shared" si="4"/>
        <v>0</v>
      </c>
      <c r="K45">
        <f t="shared" si="4"/>
        <v>0</v>
      </c>
      <c r="L45">
        <f t="shared" si="4"/>
        <v>0</v>
      </c>
      <c r="M45" s="2">
        <f>IF(RawData!L45=0,1,0)</f>
        <v>0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 t="str">
        <f>RawData!B46</f>
        <v>SF</v>
      </c>
      <c r="E46" s="2" t="str">
        <f>RawData!D46</f>
        <v>Wilson Chandler</v>
      </c>
      <c r="F46" s="2">
        <f>(RawData!F46)*M46</f>
        <v>0</v>
      </c>
      <c r="G46" s="35">
        <f>RawData!H46</f>
        <v>6600</v>
      </c>
      <c r="H46">
        <f t="shared" si="2"/>
        <v>0</v>
      </c>
      <c r="I46">
        <f t="shared" si="4"/>
        <v>0</v>
      </c>
      <c r="J46">
        <f t="shared" si="4"/>
        <v>0</v>
      </c>
      <c r="K46">
        <f t="shared" si="4"/>
        <v>0</v>
      </c>
      <c r="L46">
        <f t="shared" si="4"/>
        <v>0</v>
      </c>
      <c r="M46" s="2">
        <f>IF(RawData!L46=0,1,0)</f>
        <v>0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 t="str">
        <f>RawData!B47</f>
        <v>SG</v>
      </c>
      <c r="E47" s="2" t="str">
        <f>RawData!D47</f>
        <v>Avery Bradley</v>
      </c>
      <c r="F47" s="2">
        <f>(RawData!F47)*M47</f>
        <v>0</v>
      </c>
      <c r="G47" s="35">
        <f>RawData!H47</f>
        <v>6500</v>
      </c>
      <c r="H47">
        <f t="shared" si="2"/>
        <v>0</v>
      </c>
      <c r="I47">
        <f t="shared" si="4"/>
        <v>0</v>
      </c>
      <c r="J47">
        <f t="shared" si="4"/>
        <v>0</v>
      </c>
      <c r="K47">
        <f t="shared" si="4"/>
        <v>0</v>
      </c>
      <c r="L47">
        <f t="shared" si="4"/>
        <v>0</v>
      </c>
      <c r="M47" s="2">
        <f>IF(RawData!L47=0,1,0)</f>
        <v>0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 t="str">
        <f>RawData!B48</f>
        <v>SF</v>
      </c>
      <c r="E48" s="2" t="str">
        <f>RawData!D48</f>
        <v>Otto Porter</v>
      </c>
      <c r="F48" s="2">
        <f>(RawData!F48)*M48</f>
        <v>28.150943396226399</v>
      </c>
      <c r="G48" s="35">
        <f>RawData!H48</f>
        <v>6500</v>
      </c>
      <c r="H48">
        <f t="shared" si="2"/>
        <v>0</v>
      </c>
      <c r="I48">
        <f t="shared" si="4"/>
        <v>0</v>
      </c>
      <c r="J48">
        <f t="shared" si="4"/>
        <v>0</v>
      </c>
      <c r="K48">
        <f t="shared" si="4"/>
        <v>0</v>
      </c>
      <c r="L48">
        <f t="shared" si="4"/>
        <v>0</v>
      </c>
      <c r="M48" s="2">
        <f>IF(RawData!L48=0,1,0)</f>
        <v>1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 t="str">
        <f>RawData!B49</f>
        <v>PF</v>
      </c>
      <c r="E49" s="2" t="str">
        <f>RawData!D49</f>
        <v>Zach Randolph</v>
      </c>
      <c r="F49" s="2">
        <f>(RawData!F49)*M49</f>
        <v>26.899998982747299</v>
      </c>
      <c r="G49" s="35">
        <f>RawData!H49</f>
        <v>6500</v>
      </c>
      <c r="H49">
        <f t="shared" si="2"/>
        <v>0</v>
      </c>
      <c r="I49">
        <f t="shared" si="4"/>
        <v>0</v>
      </c>
      <c r="J49">
        <f t="shared" si="4"/>
        <v>0</v>
      </c>
      <c r="K49">
        <f t="shared" si="4"/>
        <v>0</v>
      </c>
      <c r="L49">
        <f t="shared" si="4"/>
        <v>0</v>
      </c>
      <c r="M49" s="2">
        <f>IF(RawData!L49=0,1,0)</f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 t="str">
        <f>RawData!B50</f>
        <v>SF</v>
      </c>
      <c r="E50" s="2" t="str">
        <f>RawData!D50</f>
        <v>Robert Covington</v>
      </c>
      <c r="F50" s="2">
        <f>(RawData!F50)*M50</f>
        <v>24.797917683919199</v>
      </c>
      <c r="G50" s="35">
        <f>RawData!H50</f>
        <v>6400</v>
      </c>
      <c r="H50">
        <f t="shared" si="2"/>
        <v>0</v>
      </c>
      <c r="I50">
        <f t="shared" si="4"/>
        <v>0</v>
      </c>
      <c r="J50">
        <f t="shared" si="4"/>
        <v>0</v>
      </c>
      <c r="K50">
        <f t="shared" si="4"/>
        <v>0</v>
      </c>
      <c r="L50">
        <f t="shared" si="4"/>
        <v>0</v>
      </c>
      <c r="M50" s="2">
        <f>IF(RawData!L50=0,1,0)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 t="str">
        <f>RawData!B51</f>
        <v>PG</v>
      </c>
      <c r="E51" s="2" t="str">
        <f>RawData!D51</f>
        <v>Jeremy Lin</v>
      </c>
      <c r="F51" s="2">
        <f>(RawData!F51)*M51</f>
        <v>0</v>
      </c>
      <c r="G51" s="35">
        <f>RawData!H51</f>
        <v>6400</v>
      </c>
      <c r="H51">
        <f t="shared" si="2"/>
        <v>0</v>
      </c>
      <c r="I51">
        <f t="shared" si="4"/>
        <v>0</v>
      </c>
      <c r="J51">
        <f t="shared" si="4"/>
        <v>0</v>
      </c>
      <c r="K51">
        <f t="shared" si="4"/>
        <v>0</v>
      </c>
      <c r="L51">
        <f t="shared" si="4"/>
        <v>0</v>
      </c>
      <c r="M51" s="2">
        <f>IF(RawData!L51=0,1,0)</f>
        <v>0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 t="str">
        <f>RawData!B52</f>
        <v>PF</v>
      </c>
      <c r="E52" s="2" t="str">
        <f>RawData!D52</f>
        <v>James Johnson</v>
      </c>
      <c r="F52" s="2">
        <f>(RawData!F52)*M52</f>
        <v>24.891999511718701</v>
      </c>
      <c r="G52" s="35">
        <f>RawData!H52</f>
        <v>6400</v>
      </c>
      <c r="H52">
        <f t="shared" si="2"/>
        <v>0</v>
      </c>
      <c r="I52">
        <f t="shared" si="4"/>
        <v>0</v>
      </c>
      <c r="J52">
        <f t="shared" si="4"/>
        <v>0</v>
      </c>
      <c r="K52">
        <f t="shared" si="4"/>
        <v>0</v>
      </c>
      <c r="L52">
        <f t="shared" si="4"/>
        <v>0</v>
      </c>
      <c r="M52" s="2">
        <f>IF(RawData!L52=0,1,0)</f>
        <v>1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 t="str">
        <f>RawData!B53</f>
        <v>SG</v>
      </c>
      <c r="E53" s="2" t="str">
        <f>RawData!D53</f>
        <v>Victor Oladipo</v>
      </c>
      <c r="F53" s="2">
        <f>(RawData!F53)*M53</f>
        <v>27.167390242866801</v>
      </c>
      <c r="G53" s="35">
        <f>RawData!H53</f>
        <v>6400</v>
      </c>
      <c r="H53">
        <f t="shared" si="2"/>
        <v>0</v>
      </c>
      <c r="I53">
        <f t="shared" si="4"/>
        <v>0</v>
      </c>
      <c r="J53">
        <f t="shared" si="4"/>
        <v>0</v>
      </c>
      <c r="K53">
        <f t="shared" si="4"/>
        <v>0</v>
      </c>
      <c r="L53">
        <f t="shared" si="4"/>
        <v>0</v>
      </c>
      <c r="M53" s="2">
        <f>IF(RawData!L53=0,1,0)</f>
        <v>1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 t="str">
        <f>RawData!B54</f>
        <v>SF</v>
      </c>
      <c r="E54" s="2" t="str">
        <f>RawData!D54</f>
        <v>Harrison Barnes</v>
      </c>
      <c r="F54" s="2">
        <f>(RawData!F54)*M54</f>
        <v>29.6111111111111</v>
      </c>
      <c r="G54" s="35">
        <f>RawData!H54</f>
        <v>6200</v>
      </c>
      <c r="H54">
        <f t="shared" si="2"/>
        <v>0</v>
      </c>
      <c r="I54">
        <f t="shared" si="4"/>
        <v>0</v>
      </c>
      <c r="J54">
        <f t="shared" si="4"/>
        <v>0</v>
      </c>
      <c r="K54">
        <f t="shared" si="4"/>
        <v>0</v>
      </c>
      <c r="L54">
        <f t="shared" si="4"/>
        <v>0</v>
      </c>
      <c r="M54" s="2">
        <f>IF(RawData!L54=0,1,0)</f>
        <v>1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 t="str">
        <f>RawData!B55</f>
        <v>C</v>
      </c>
      <c r="E55" s="2" t="str">
        <f>RawData!D55</f>
        <v>Steven Adams</v>
      </c>
      <c r="F55" s="2">
        <f>(RawData!F55)*M55</f>
        <v>25.875472158755802</v>
      </c>
      <c r="G55" s="35">
        <f>RawData!H55</f>
        <v>6200</v>
      </c>
      <c r="H55">
        <f t="shared" si="2"/>
        <v>0</v>
      </c>
      <c r="I55">
        <f t="shared" si="4"/>
        <v>0</v>
      </c>
      <c r="J55">
        <f t="shared" si="4"/>
        <v>0</v>
      </c>
      <c r="K55">
        <f t="shared" si="4"/>
        <v>0</v>
      </c>
      <c r="L55">
        <f t="shared" si="4"/>
        <v>0</v>
      </c>
      <c r="M55" s="2">
        <f>IF(RawData!L55=0,1,0)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 t="str">
        <f>RawData!B56</f>
        <v>C</v>
      </c>
      <c r="E56" s="2" t="str">
        <f>RawData!D56</f>
        <v>Pau Gasol</v>
      </c>
      <c r="F56" s="2">
        <f>(RawData!F56)*M56</f>
        <v>0</v>
      </c>
      <c r="G56" s="35">
        <f>RawData!H56</f>
        <v>6200</v>
      </c>
      <c r="H56">
        <f t="shared" si="2"/>
        <v>0</v>
      </c>
      <c r="I56">
        <f t="shared" si="4"/>
        <v>0</v>
      </c>
      <c r="J56">
        <f t="shared" si="4"/>
        <v>0</v>
      </c>
      <c r="K56">
        <f t="shared" si="4"/>
        <v>0</v>
      </c>
      <c r="L56">
        <f t="shared" si="4"/>
        <v>0</v>
      </c>
      <c r="M56" s="2">
        <f>IF(RawData!L56=0,1,0)</f>
        <v>0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 t="str">
        <f>RawData!B57</f>
        <v>SF</v>
      </c>
      <c r="E57" s="2" t="str">
        <f>RawData!D57</f>
        <v>Jae Crowder</v>
      </c>
      <c r="F57" s="2">
        <f>(RawData!F57)*M57</f>
        <v>0</v>
      </c>
      <c r="G57" s="35">
        <f>RawData!H57</f>
        <v>6200</v>
      </c>
      <c r="H57">
        <f t="shared" si="2"/>
        <v>0</v>
      </c>
      <c r="I57">
        <f t="shared" ref="I57:L66" si="5">IF($D57=I$1,$C57*1,0)</f>
        <v>0</v>
      </c>
      <c r="J57">
        <f t="shared" si="5"/>
        <v>0</v>
      </c>
      <c r="K57">
        <f t="shared" si="5"/>
        <v>0</v>
      </c>
      <c r="L57">
        <f t="shared" si="5"/>
        <v>0</v>
      </c>
      <c r="M57" s="2">
        <f>IF(RawData!L57=0,1,0)</f>
        <v>0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 t="str">
        <f>RawData!B58</f>
        <v>PG</v>
      </c>
      <c r="E58" s="2" t="str">
        <f>RawData!D58</f>
        <v>George Hill</v>
      </c>
      <c r="F58" s="2">
        <f>(RawData!F58)*M58</f>
        <v>29.383333333333301</v>
      </c>
      <c r="G58" s="35">
        <f>RawData!H58</f>
        <v>6200</v>
      </c>
      <c r="H58">
        <f t="shared" si="2"/>
        <v>0</v>
      </c>
      <c r="I58">
        <f t="shared" si="5"/>
        <v>0</v>
      </c>
      <c r="J58">
        <f t="shared" si="5"/>
        <v>0</v>
      </c>
      <c r="K58">
        <f t="shared" si="5"/>
        <v>0</v>
      </c>
      <c r="L58">
        <f t="shared" si="5"/>
        <v>0</v>
      </c>
      <c r="M58" s="2">
        <f>IF(RawData!L58=0,1,0)</f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 t="str">
        <f>RawData!B59</f>
        <v>PF</v>
      </c>
      <c r="E59" s="2" t="str">
        <f>RawData!D59</f>
        <v>Enes Kanter</v>
      </c>
      <c r="F59" s="2">
        <f>(RawData!F59)*M59</f>
        <v>0</v>
      </c>
      <c r="G59" s="35">
        <f>RawData!H59</f>
        <v>6100</v>
      </c>
      <c r="H59">
        <f t="shared" si="2"/>
        <v>0</v>
      </c>
      <c r="I59">
        <f t="shared" si="5"/>
        <v>0</v>
      </c>
      <c r="J59">
        <f t="shared" si="5"/>
        <v>0</v>
      </c>
      <c r="K59">
        <f t="shared" si="5"/>
        <v>0</v>
      </c>
      <c r="L59">
        <f t="shared" si="5"/>
        <v>0</v>
      </c>
      <c r="M59" s="2">
        <f>IF(RawData!L59=0,1,0)</f>
        <v>0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 t="str">
        <f>RawData!B60</f>
        <v>PF</v>
      </c>
      <c r="E60" s="2" t="str">
        <f>RawData!D60</f>
        <v>Kenneth Faried</v>
      </c>
      <c r="F60" s="2">
        <f>(RawData!F60)*M60</f>
        <v>0</v>
      </c>
      <c r="G60" s="35">
        <f>RawData!H60</f>
        <v>6100</v>
      </c>
      <c r="H60">
        <f t="shared" si="2"/>
        <v>0</v>
      </c>
      <c r="I60">
        <f t="shared" si="5"/>
        <v>0</v>
      </c>
      <c r="J60">
        <f t="shared" si="5"/>
        <v>0</v>
      </c>
      <c r="K60">
        <f t="shared" si="5"/>
        <v>0</v>
      </c>
      <c r="L60">
        <f t="shared" si="5"/>
        <v>0</v>
      </c>
      <c r="M60" s="2">
        <f>IF(RawData!L60=0,1,0)</f>
        <v>0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 t="str">
        <f>RawData!B61</f>
        <v>C</v>
      </c>
      <c r="E61" s="2" t="str">
        <f>RawData!D61</f>
        <v>Myles Turner</v>
      </c>
      <c r="F61" s="2">
        <f>(RawData!F61)*M61</f>
        <v>30.450943856869099</v>
      </c>
      <c r="G61" s="35">
        <f>RawData!H61</f>
        <v>6000</v>
      </c>
      <c r="H61">
        <f t="shared" si="2"/>
        <v>0</v>
      </c>
      <c r="I61">
        <f t="shared" si="5"/>
        <v>0</v>
      </c>
      <c r="J61">
        <f t="shared" si="5"/>
        <v>0</v>
      </c>
      <c r="K61">
        <f t="shared" si="5"/>
        <v>0</v>
      </c>
      <c r="L61">
        <f t="shared" si="5"/>
        <v>0</v>
      </c>
      <c r="M61" s="2">
        <f>IF(RawData!L61=0,1,0)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 t="str">
        <f>RawData!B62</f>
        <v>PG</v>
      </c>
      <c r="E62" s="2" t="str">
        <f>RawData!D62</f>
        <v>Deron Williams</v>
      </c>
      <c r="F62" s="2">
        <f>(RawData!F62)*M62</f>
        <v>25.955262836656999</v>
      </c>
      <c r="G62" s="35">
        <f>RawData!H62</f>
        <v>6000</v>
      </c>
      <c r="H62">
        <f t="shared" si="2"/>
        <v>0</v>
      </c>
      <c r="I62">
        <f t="shared" si="5"/>
        <v>0</v>
      </c>
      <c r="J62">
        <f t="shared" si="5"/>
        <v>0</v>
      </c>
      <c r="K62">
        <f t="shared" si="5"/>
        <v>0</v>
      </c>
      <c r="L62">
        <f t="shared" si="5"/>
        <v>0</v>
      </c>
      <c r="M62" s="2">
        <f>IF(RawData!L62=0,1,0)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 t="str">
        <f>RawData!B63</f>
        <v>SG</v>
      </c>
      <c r="E63" s="2" t="str">
        <f>RawData!D63</f>
        <v>Wesley Matthews</v>
      </c>
      <c r="F63" s="2">
        <f>(RawData!F63)*M63</f>
        <v>24.6843142041973</v>
      </c>
      <c r="G63" s="35">
        <f>RawData!H63</f>
        <v>5900</v>
      </c>
      <c r="H63">
        <f t="shared" si="2"/>
        <v>0</v>
      </c>
      <c r="I63">
        <f t="shared" si="5"/>
        <v>0</v>
      </c>
      <c r="J63">
        <f t="shared" si="5"/>
        <v>0</v>
      </c>
      <c r="K63">
        <f t="shared" si="5"/>
        <v>0</v>
      </c>
      <c r="L63">
        <f t="shared" si="5"/>
        <v>0</v>
      </c>
      <c r="M63" s="2">
        <f>IF(RawData!L63=0,1,0)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 t="str">
        <f>RawData!B64</f>
        <v>SG</v>
      </c>
      <c r="E64" s="2" t="str">
        <f>RawData!D64</f>
        <v>Marcus Smart</v>
      </c>
      <c r="F64" s="2">
        <f>(RawData!F64)*M64</f>
        <v>23.737254423253599</v>
      </c>
      <c r="G64" s="35">
        <f>RawData!H64</f>
        <v>5900</v>
      </c>
      <c r="H64">
        <f t="shared" si="2"/>
        <v>0</v>
      </c>
      <c r="I64">
        <f t="shared" si="5"/>
        <v>0</v>
      </c>
      <c r="J64">
        <f t="shared" si="5"/>
        <v>0</v>
      </c>
      <c r="K64">
        <f t="shared" si="5"/>
        <v>0</v>
      </c>
      <c r="L64">
        <f t="shared" si="5"/>
        <v>0</v>
      </c>
      <c r="M64" s="2">
        <f>IF(RawData!L64=0,1,0)</f>
        <v>1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 t="str">
        <f>RawData!B65</f>
        <v>C</v>
      </c>
      <c r="E65" s="2" t="str">
        <f>RawData!D65</f>
        <v>Greg Monroe</v>
      </c>
      <c r="F65" s="2">
        <f>(RawData!F65)*M65</f>
        <v>24.105769230769202</v>
      </c>
      <c r="G65" s="35">
        <f>RawData!H65</f>
        <v>5800</v>
      </c>
      <c r="H65">
        <f t="shared" si="2"/>
        <v>0</v>
      </c>
      <c r="I65">
        <f t="shared" si="5"/>
        <v>0</v>
      </c>
      <c r="J65">
        <f t="shared" si="5"/>
        <v>0</v>
      </c>
      <c r="K65">
        <f t="shared" si="5"/>
        <v>0</v>
      </c>
      <c r="L65">
        <f t="shared" si="5"/>
        <v>0</v>
      </c>
      <c r="M65" s="2">
        <f>IF(RawData!L65=0,1,0)</f>
        <v>1</v>
      </c>
    </row>
    <row r="66" spans="1:13" x14ac:dyDescent="0.25">
      <c r="A66">
        <f t="shared" ref="A66:A101" si="6">IF(C66=1,D66,0)</f>
        <v>0</v>
      </c>
      <c r="B66">
        <f>IF(C66=0,0,A66&amp;" "&amp;COUNTIF($A$1:$A66,A66))</f>
        <v>0</v>
      </c>
      <c r="C66" s="1">
        <v>0</v>
      </c>
      <c r="D66" s="2" t="str">
        <f>RawData!B66</f>
        <v>PG</v>
      </c>
      <c r="E66" s="2" t="str">
        <f>RawData!D66</f>
        <v>Elfrid Payton</v>
      </c>
      <c r="F66" s="2">
        <f>(RawData!F66)*M66</f>
        <v>26.712500435965399</v>
      </c>
      <c r="G66" s="35">
        <f>RawData!H66</f>
        <v>5800</v>
      </c>
      <c r="H66">
        <f t="shared" si="2"/>
        <v>0</v>
      </c>
      <c r="I66">
        <f t="shared" si="5"/>
        <v>0</v>
      </c>
      <c r="J66">
        <f t="shared" si="5"/>
        <v>0</v>
      </c>
      <c r="K66">
        <f t="shared" si="5"/>
        <v>0</v>
      </c>
      <c r="L66">
        <f t="shared" si="5"/>
        <v>0</v>
      </c>
      <c r="M66" s="2">
        <f>IF(RawData!L66=0,1,0)</f>
        <v>1</v>
      </c>
    </row>
    <row r="67" spans="1:13" x14ac:dyDescent="0.25">
      <c r="A67">
        <f t="shared" si="6"/>
        <v>0</v>
      </c>
      <c r="B67">
        <f>IF(C67=0,0,A67&amp;" "&amp;COUNTIF($A$1:$A67,A67))</f>
        <v>0</v>
      </c>
      <c r="C67" s="1">
        <v>0</v>
      </c>
      <c r="D67" s="2" t="str">
        <f>RawData!B67</f>
        <v>PF</v>
      </c>
      <c r="E67" s="2" t="str">
        <f>RawData!D67</f>
        <v>Serge Ibaka</v>
      </c>
      <c r="F67" s="2">
        <f>(RawData!F67)*M67</f>
        <v>28.078182705965901</v>
      </c>
      <c r="G67" s="35">
        <f>RawData!H67</f>
        <v>5800</v>
      </c>
      <c r="H67">
        <f t="shared" ref="H67:L101" si="7">IF($D67=H$1,$C67*1,0)</f>
        <v>0</v>
      </c>
      <c r="I67">
        <f t="shared" si="7"/>
        <v>0</v>
      </c>
      <c r="J67">
        <f t="shared" si="7"/>
        <v>0</v>
      </c>
      <c r="K67">
        <f t="shared" si="7"/>
        <v>0</v>
      </c>
      <c r="L67">
        <f t="shared" si="7"/>
        <v>0</v>
      </c>
      <c r="M67" s="2">
        <f>IF(RawData!L67=0,1,0)</f>
        <v>1</v>
      </c>
    </row>
    <row r="68" spans="1:13" x14ac:dyDescent="0.25">
      <c r="A68">
        <f t="shared" si="6"/>
        <v>0</v>
      </c>
      <c r="B68">
        <f>IF(C68=0,0,A68&amp;" "&amp;COUNTIF($A$1:$A68,A68))</f>
        <v>0</v>
      </c>
      <c r="C68" s="1">
        <v>0</v>
      </c>
      <c r="D68" s="2" t="str">
        <f>RawData!B68</f>
        <v>SG</v>
      </c>
      <c r="E68" s="2" t="str">
        <f>RawData!D68</f>
        <v>Will Barton</v>
      </c>
      <c r="F68" s="2">
        <f>(RawData!F68)*M68</f>
        <v>24.925000000000001</v>
      </c>
      <c r="G68" s="35">
        <f>RawData!H68</f>
        <v>5800</v>
      </c>
      <c r="H68">
        <f t="shared" si="7"/>
        <v>0</v>
      </c>
      <c r="I68">
        <f t="shared" si="7"/>
        <v>0</v>
      </c>
      <c r="J68">
        <f t="shared" si="7"/>
        <v>0</v>
      </c>
      <c r="K68">
        <f t="shared" si="7"/>
        <v>0</v>
      </c>
      <c r="L68">
        <f t="shared" si="7"/>
        <v>0</v>
      </c>
      <c r="M68" s="2">
        <f>IF(RawData!L68=0,1,0)</f>
        <v>1</v>
      </c>
    </row>
    <row r="69" spans="1:13" x14ac:dyDescent="0.25">
      <c r="A69">
        <f t="shared" si="6"/>
        <v>0</v>
      </c>
      <c r="B69">
        <f>IF(C69=0,0,A69&amp;" "&amp;COUNTIF($A$1:$A69,A69))</f>
        <v>0</v>
      </c>
      <c r="C69" s="1">
        <v>0</v>
      </c>
      <c r="D69" s="2" t="str">
        <f>RawData!B69</f>
        <v>PG</v>
      </c>
      <c r="E69" s="2" t="str">
        <f>RawData!D69</f>
        <v>Tyler Johnson</v>
      </c>
      <c r="F69" s="2">
        <f>(RawData!F69)*M69</f>
        <v>26.548937209108999</v>
      </c>
      <c r="G69" s="35">
        <f>RawData!H69</f>
        <v>5700</v>
      </c>
      <c r="H69">
        <f t="shared" si="7"/>
        <v>0</v>
      </c>
      <c r="I69">
        <f t="shared" si="7"/>
        <v>0</v>
      </c>
      <c r="J69">
        <f t="shared" si="7"/>
        <v>0</v>
      </c>
      <c r="K69">
        <f t="shared" si="7"/>
        <v>0</v>
      </c>
      <c r="L69">
        <f t="shared" si="7"/>
        <v>0</v>
      </c>
      <c r="M69" s="2">
        <f>IF(RawData!L69=0,1,0)</f>
        <v>1</v>
      </c>
    </row>
    <row r="70" spans="1:13" x14ac:dyDescent="0.25">
      <c r="A70">
        <f t="shared" si="6"/>
        <v>0</v>
      </c>
      <c r="B70">
        <f>IF(C70=0,0,A70&amp;" "&amp;COUNTIF($A$1:$A70,A70))</f>
        <v>0</v>
      </c>
      <c r="C70" s="1">
        <v>0</v>
      </c>
      <c r="D70" s="2" t="str">
        <f>RawData!B70</f>
        <v>SF</v>
      </c>
      <c r="E70" s="2" t="str">
        <f>RawData!D70</f>
        <v>Marcus Morris</v>
      </c>
      <c r="F70" s="2">
        <f>(RawData!F70)*M70</f>
        <v>23.696295844184</v>
      </c>
      <c r="G70" s="35">
        <f>RawData!H70</f>
        <v>5700</v>
      </c>
      <c r="H70">
        <f t="shared" si="7"/>
        <v>0</v>
      </c>
      <c r="I70">
        <f t="shared" si="7"/>
        <v>0</v>
      </c>
      <c r="J70">
        <f t="shared" si="7"/>
        <v>0</v>
      </c>
      <c r="K70">
        <f t="shared" si="7"/>
        <v>0</v>
      </c>
      <c r="L70">
        <f t="shared" si="7"/>
        <v>0</v>
      </c>
      <c r="M70" s="2">
        <f>IF(RawData!L70=0,1,0)</f>
        <v>1</v>
      </c>
    </row>
    <row r="71" spans="1:13" x14ac:dyDescent="0.25">
      <c r="A71">
        <f t="shared" si="6"/>
        <v>0</v>
      </c>
      <c r="B71">
        <f>IF(C71=0,0,A71&amp;" "&amp;COUNTIF($A$1:$A71,A71))</f>
        <v>0</v>
      </c>
      <c r="C71" s="1">
        <v>0</v>
      </c>
      <c r="D71" s="2" t="str">
        <f>RawData!B71</f>
        <v>PG</v>
      </c>
      <c r="E71" s="2" t="str">
        <f>RawData!D71</f>
        <v>Reggie Jackson</v>
      </c>
      <c r="F71" s="2">
        <f>(RawData!F71)*M71</f>
        <v>25.449999640969601</v>
      </c>
      <c r="G71" s="35">
        <f>RawData!H71</f>
        <v>5700</v>
      </c>
      <c r="H71">
        <f t="shared" si="7"/>
        <v>0</v>
      </c>
      <c r="I71">
        <f t="shared" si="7"/>
        <v>0</v>
      </c>
      <c r="J71">
        <f t="shared" si="7"/>
        <v>0</v>
      </c>
      <c r="K71">
        <f t="shared" si="7"/>
        <v>0</v>
      </c>
      <c r="L71">
        <f t="shared" si="7"/>
        <v>0</v>
      </c>
      <c r="M71" s="2">
        <f>IF(RawData!L71=0,1,0)</f>
        <v>1</v>
      </c>
    </row>
    <row r="72" spans="1:13" x14ac:dyDescent="0.25">
      <c r="A72">
        <f t="shared" si="6"/>
        <v>0</v>
      </c>
      <c r="B72">
        <f>IF(C72=0,0,A72&amp;" "&amp;COUNTIF($A$1:$A72,A72))</f>
        <v>0</v>
      </c>
      <c r="C72" s="1">
        <v>0</v>
      </c>
      <c r="D72" s="2" t="str">
        <f>RawData!B72</f>
        <v>PG</v>
      </c>
      <c r="E72" s="2" t="str">
        <f>RawData!D72</f>
        <v>Austin Rivers</v>
      </c>
      <c r="F72" s="2">
        <f>(RawData!F72)*M72</f>
        <v>19.3365384615384</v>
      </c>
      <c r="G72" s="35">
        <f>RawData!H72</f>
        <v>5700</v>
      </c>
      <c r="H72">
        <f t="shared" si="7"/>
        <v>0</v>
      </c>
      <c r="I72">
        <f t="shared" si="7"/>
        <v>0</v>
      </c>
      <c r="J72">
        <f t="shared" si="7"/>
        <v>0</v>
      </c>
      <c r="K72">
        <f t="shared" si="7"/>
        <v>0</v>
      </c>
      <c r="L72">
        <f t="shared" si="7"/>
        <v>0</v>
      </c>
      <c r="M72" s="2">
        <f>IF(RawData!L72=0,1,0)</f>
        <v>1</v>
      </c>
    </row>
    <row r="73" spans="1:13" x14ac:dyDescent="0.25">
      <c r="A73">
        <f t="shared" si="6"/>
        <v>0</v>
      </c>
      <c r="B73">
        <f>IF(C73=0,0,A73&amp;" "&amp;COUNTIF($A$1:$A73,A73))</f>
        <v>0</v>
      </c>
      <c r="C73" s="1">
        <v>0</v>
      </c>
      <c r="D73" s="2" t="str">
        <f>RawData!B73</f>
        <v>PF</v>
      </c>
      <c r="E73" s="2" t="str">
        <f>RawData!D73</f>
        <v>Dirk Nowitzki</v>
      </c>
      <c r="F73" s="2">
        <f>(RawData!F73)*M73</f>
        <v>24.5</v>
      </c>
      <c r="G73" s="35">
        <f>RawData!H73</f>
        <v>5700</v>
      </c>
      <c r="H73">
        <f t="shared" si="7"/>
        <v>0</v>
      </c>
      <c r="I73">
        <f t="shared" si="7"/>
        <v>0</v>
      </c>
      <c r="J73">
        <f t="shared" si="7"/>
        <v>0</v>
      </c>
      <c r="K73">
        <f t="shared" si="7"/>
        <v>0</v>
      </c>
      <c r="L73">
        <f t="shared" si="7"/>
        <v>0</v>
      </c>
      <c r="M73" s="2">
        <f>IF(RawData!L73=0,1,0)</f>
        <v>1</v>
      </c>
    </row>
    <row r="74" spans="1:13" x14ac:dyDescent="0.25">
      <c r="A74">
        <f t="shared" si="6"/>
        <v>0</v>
      </c>
      <c r="B74">
        <f>IF(C74=0,0,A74&amp;" "&amp;COUNTIF($A$1:$A74,A74))</f>
        <v>0</v>
      </c>
      <c r="C74" s="1">
        <v>0</v>
      </c>
      <c r="D74" s="2" t="str">
        <f>RawData!B74</f>
        <v>SG</v>
      </c>
      <c r="E74" s="2" t="str">
        <f>RawData!D74</f>
        <v>Tim Hardaway Jr.</v>
      </c>
      <c r="F74" s="2">
        <f>(RawData!F74)*M74</f>
        <v>19.484615619365901</v>
      </c>
      <c r="G74" s="35">
        <f>RawData!H74</f>
        <v>5700</v>
      </c>
      <c r="H74">
        <f t="shared" si="7"/>
        <v>0</v>
      </c>
      <c r="I74">
        <f t="shared" si="7"/>
        <v>0</v>
      </c>
      <c r="J74">
        <f t="shared" si="7"/>
        <v>0</v>
      </c>
      <c r="K74">
        <f t="shared" si="7"/>
        <v>0</v>
      </c>
      <c r="L74">
        <f t="shared" si="7"/>
        <v>0</v>
      </c>
      <c r="M74" s="2">
        <f>IF(RawData!L74=0,1,0)</f>
        <v>1</v>
      </c>
    </row>
    <row r="75" spans="1:13" x14ac:dyDescent="0.25">
      <c r="A75">
        <f t="shared" si="6"/>
        <v>0</v>
      </c>
      <c r="B75">
        <f>IF(C75=0,0,A75&amp;" "&amp;COUNTIF($A$1:$A75,A75))</f>
        <v>0</v>
      </c>
      <c r="C75" s="1">
        <v>0</v>
      </c>
      <c r="D75" s="2" t="str">
        <f>RawData!B75</f>
        <v>PG</v>
      </c>
      <c r="E75" s="2" t="str">
        <f>RawData!D75</f>
        <v>Yogi Ferrell</v>
      </c>
      <c r="F75" s="2">
        <f>(RawData!F75)*M75</f>
        <v>17.1111111111111</v>
      </c>
      <c r="G75" s="35">
        <f>RawData!H75</f>
        <v>5600</v>
      </c>
      <c r="H75">
        <f t="shared" si="7"/>
        <v>0</v>
      </c>
      <c r="I75">
        <f t="shared" si="7"/>
        <v>0</v>
      </c>
      <c r="J75">
        <f t="shared" si="7"/>
        <v>0</v>
      </c>
      <c r="K75">
        <f t="shared" si="7"/>
        <v>0</v>
      </c>
      <c r="L75">
        <f t="shared" si="7"/>
        <v>0</v>
      </c>
      <c r="M75" s="2">
        <f>IF(RawData!L75=0,1,0)</f>
        <v>1</v>
      </c>
    </row>
    <row r="76" spans="1:13" x14ac:dyDescent="0.25">
      <c r="A76">
        <f t="shared" si="6"/>
        <v>0</v>
      </c>
      <c r="B76">
        <f>IF(C76=0,0,A76&amp;" "&amp;COUNTIF($A$1:$A76,A76))</f>
        <v>0</v>
      </c>
      <c r="C76" s="1">
        <v>0</v>
      </c>
      <c r="D76" s="2" t="str">
        <f>RawData!B76</f>
        <v>SF</v>
      </c>
      <c r="E76" s="2" t="str">
        <f>RawData!D76</f>
        <v>Michael Kidd-Gilchrist</v>
      </c>
      <c r="F76" s="2">
        <f>(RawData!F76)*M76</f>
        <v>22.945282558225198</v>
      </c>
      <c r="G76" s="35">
        <f>RawData!H76</f>
        <v>5600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  <c r="L76">
        <f t="shared" si="7"/>
        <v>0</v>
      </c>
      <c r="M76" s="2">
        <f>IF(RawData!L76=0,1,0)</f>
        <v>1</v>
      </c>
    </row>
    <row r="77" spans="1:13" x14ac:dyDescent="0.25">
      <c r="A77">
        <f t="shared" si="6"/>
        <v>0</v>
      </c>
      <c r="B77">
        <f>IF(C77=0,0,A77&amp;" "&amp;COUNTIF($A$1:$A77,A77))</f>
        <v>0</v>
      </c>
      <c r="C77" s="1">
        <v>0</v>
      </c>
      <c r="D77" s="2" t="str">
        <f>RawData!B77</f>
        <v>PF</v>
      </c>
      <c r="E77" s="2" t="str">
        <f>RawData!D77</f>
        <v>Al-Farouq Aminu</v>
      </c>
      <c r="F77" s="2">
        <f>(RawData!F77)*M77</f>
        <v>21.7527770996093</v>
      </c>
      <c r="G77" s="35">
        <f>RawData!H77</f>
        <v>5500</v>
      </c>
      <c r="H77">
        <f t="shared" si="7"/>
        <v>0</v>
      </c>
      <c r="I77">
        <f t="shared" si="7"/>
        <v>0</v>
      </c>
      <c r="J77">
        <f t="shared" si="7"/>
        <v>0</v>
      </c>
      <c r="K77">
        <f t="shared" si="7"/>
        <v>0</v>
      </c>
      <c r="L77">
        <f t="shared" si="7"/>
        <v>0</v>
      </c>
      <c r="M77" s="2">
        <f>IF(RawData!L77=0,1,0)</f>
        <v>1</v>
      </c>
    </row>
    <row r="78" spans="1:13" x14ac:dyDescent="0.25">
      <c r="A78">
        <f t="shared" si="6"/>
        <v>0</v>
      </c>
      <c r="B78">
        <f>IF(C78=0,0,A78&amp;" "&amp;COUNTIF($A$1:$A78,A78))</f>
        <v>0</v>
      </c>
      <c r="C78" s="1">
        <v>0</v>
      </c>
      <c r="D78" s="2" t="str">
        <f>RawData!B78</f>
        <v>PF</v>
      </c>
      <c r="E78" s="2" t="str">
        <f>RawData!D78</f>
        <v>Tobias Harris</v>
      </c>
      <c r="F78" s="2">
        <f>(RawData!F78)*M78</f>
        <v>26.274545010653402</v>
      </c>
      <c r="G78" s="35">
        <f>RawData!H78</f>
        <v>5500</v>
      </c>
      <c r="H78">
        <f t="shared" si="7"/>
        <v>0</v>
      </c>
      <c r="I78">
        <f t="shared" si="7"/>
        <v>0</v>
      </c>
      <c r="J78">
        <f t="shared" si="7"/>
        <v>0</v>
      </c>
      <c r="K78">
        <f t="shared" si="7"/>
        <v>0</v>
      </c>
      <c r="L78">
        <f t="shared" si="7"/>
        <v>0</v>
      </c>
      <c r="M78" s="2">
        <f>IF(RawData!L78=0,1,0)</f>
        <v>1</v>
      </c>
    </row>
    <row r="79" spans="1:13" x14ac:dyDescent="0.25">
      <c r="A79">
        <f t="shared" si="6"/>
        <v>0</v>
      </c>
      <c r="B79">
        <f>IF(C79=0,0,A79&amp;" "&amp;COUNTIF($A$1:$A79,A79))</f>
        <v>0</v>
      </c>
      <c r="C79" s="1">
        <v>0</v>
      </c>
      <c r="D79" s="2" t="str">
        <f>RawData!B79</f>
        <v>PF</v>
      </c>
      <c r="E79" s="2" t="str">
        <f>RawData!D79</f>
        <v>Ersan Ilyasova</v>
      </c>
      <c r="F79" s="2">
        <f>(RawData!F79)*M79</f>
        <v>24.6925930447048</v>
      </c>
      <c r="G79" s="35">
        <f>RawData!H79</f>
        <v>5500</v>
      </c>
      <c r="H79">
        <f t="shared" si="7"/>
        <v>0</v>
      </c>
      <c r="I79">
        <f t="shared" si="7"/>
        <v>0</v>
      </c>
      <c r="J79">
        <f t="shared" si="7"/>
        <v>0</v>
      </c>
      <c r="K79">
        <f t="shared" si="7"/>
        <v>0</v>
      </c>
      <c r="L79">
        <f t="shared" si="7"/>
        <v>0</v>
      </c>
      <c r="M79" s="2">
        <f>IF(RawData!L79=0,1,0)</f>
        <v>1</v>
      </c>
    </row>
    <row r="80" spans="1:13" x14ac:dyDescent="0.25">
      <c r="A80">
        <f t="shared" si="6"/>
        <v>0</v>
      </c>
      <c r="B80">
        <f>IF(C80=0,0,A80&amp;" "&amp;COUNTIF($A$1:$A80,A80))</f>
        <v>0</v>
      </c>
      <c r="C80" s="1">
        <v>0</v>
      </c>
      <c r="D80" s="2" t="str">
        <f>RawData!B80</f>
        <v>PF</v>
      </c>
      <c r="E80" s="2" t="str">
        <f>RawData!D80</f>
        <v>Terrence Jones</v>
      </c>
      <c r="F80" s="2">
        <f>(RawData!F80)*M80</f>
        <v>0</v>
      </c>
      <c r="G80" s="35">
        <f>RawData!H80</f>
        <v>5500</v>
      </c>
      <c r="H80">
        <f t="shared" si="7"/>
        <v>0</v>
      </c>
      <c r="I80">
        <f t="shared" si="7"/>
        <v>0</v>
      </c>
      <c r="J80">
        <f t="shared" si="7"/>
        <v>0</v>
      </c>
      <c r="K80">
        <f t="shared" si="7"/>
        <v>0</v>
      </c>
      <c r="L80">
        <f t="shared" si="7"/>
        <v>0</v>
      </c>
      <c r="M80" s="2">
        <f>IF(RawData!L80=0,1,0)</f>
        <v>0</v>
      </c>
    </row>
    <row r="81" spans="1:13" x14ac:dyDescent="0.25">
      <c r="A81">
        <f t="shared" si="6"/>
        <v>0</v>
      </c>
      <c r="B81">
        <f>IF(C81=0,0,A81&amp;" "&amp;COUNTIF($A$1:$A81,A81))</f>
        <v>0</v>
      </c>
      <c r="C81" s="1">
        <v>0</v>
      </c>
      <c r="D81" s="2" t="str">
        <f>RawData!B81</f>
        <v>PG</v>
      </c>
      <c r="E81" s="2" t="str">
        <f>RawData!D81</f>
        <v>T.J. McConnell</v>
      </c>
      <c r="F81" s="2">
        <f>(RawData!F81)*M81</f>
        <v>20.096225954451601</v>
      </c>
      <c r="G81" s="35">
        <f>RawData!H81</f>
        <v>5500</v>
      </c>
      <c r="H81">
        <f t="shared" si="7"/>
        <v>0</v>
      </c>
      <c r="I81">
        <f t="shared" si="7"/>
        <v>0</v>
      </c>
      <c r="J81">
        <f t="shared" si="7"/>
        <v>0</v>
      </c>
      <c r="K81">
        <f t="shared" si="7"/>
        <v>0</v>
      </c>
      <c r="L81">
        <f t="shared" si="7"/>
        <v>0</v>
      </c>
      <c r="M81" s="2">
        <f>IF(RawData!L81=0,1,0)</f>
        <v>1</v>
      </c>
    </row>
    <row r="82" spans="1:13" x14ac:dyDescent="0.25">
      <c r="A82">
        <f t="shared" si="6"/>
        <v>0</v>
      </c>
      <c r="B82">
        <f>IF(C82=0,0,A82&amp;" "&amp;COUNTIF($A$1:$A82,A82))</f>
        <v>0</v>
      </c>
      <c r="C82" s="1">
        <v>0</v>
      </c>
      <c r="D82" s="2" t="str">
        <f>RawData!B82</f>
        <v>SG</v>
      </c>
      <c r="E82" s="2" t="str">
        <f>RawData!D82</f>
        <v>Evan Fournier</v>
      </c>
      <c r="F82" s="2">
        <f>(RawData!F82)*M82</f>
        <v>25.5697674418604</v>
      </c>
      <c r="G82" s="35">
        <f>RawData!H82</f>
        <v>5400</v>
      </c>
      <c r="H82">
        <f t="shared" si="7"/>
        <v>0</v>
      </c>
      <c r="I82">
        <f t="shared" si="7"/>
        <v>0</v>
      </c>
      <c r="J82">
        <f t="shared" si="7"/>
        <v>0</v>
      </c>
      <c r="K82">
        <f t="shared" si="7"/>
        <v>0</v>
      </c>
      <c r="L82">
        <f t="shared" si="7"/>
        <v>0</v>
      </c>
      <c r="M82" s="2">
        <f>IF(RawData!L82=0,1,0)</f>
        <v>1</v>
      </c>
    </row>
    <row r="83" spans="1:13" x14ac:dyDescent="0.25">
      <c r="A83">
        <f t="shared" si="6"/>
        <v>0</v>
      </c>
      <c r="B83">
        <f>IF(C83=0,0,A83&amp;" "&amp;COUNTIF($A$1:$A83,A83))</f>
        <v>0</v>
      </c>
      <c r="C83" s="1">
        <v>0</v>
      </c>
      <c r="D83" s="2" t="str">
        <f>RawData!B83</f>
        <v>SG</v>
      </c>
      <c r="E83" s="2" t="str">
        <f>RawData!D83</f>
        <v>Seth Curry</v>
      </c>
      <c r="F83" s="2">
        <f>(RawData!F83)*M83</f>
        <v>20.028000488281201</v>
      </c>
      <c r="G83" s="35">
        <f>RawData!H83</f>
        <v>5400</v>
      </c>
      <c r="H83">
        <f t="shared" si="7"/>
        <v>0</v>
      </c>
      <c r="I83">
        <f t="shared" si="7"/>
        <v>0</v>
      </c>
      <c r="J83">
        <f t="shared" si="7"/>
        <v>0</v>
      </c>
      <c r="K83">
        <f t="shared" si="7"/>
        <v>0</v>
      </c>
      <c r="L83">
        <f t="shared" si="7"/>
        <v>0</v>
      </c>
      <c r="M83" s="2">
        <f>IF(RawData!L83=0,1,0)</f>
        <v>1</v>
      </c>
    </row>
    <row r="84" spans="1:13" x14ac:dyDescent="0.25">
      <c r="A84">
        <f t="shared" si="6"/>
        <v>0</v>
      </c>
      <c r="B84">
        <f>IF(C84=0,0,A84&amp;" "&amp;COUNTIF($A$1:$A84,A84))</f>
        <v>0</v>
      </c>
      <c r="C84" s="1">
        <v>0</v>
      </c>
      <c r="D84" s="2" t="str">
        <f>RawData!B84</f>
        <v>PF</v>
      </c>
      <c r="E84" s="2" t="str">
        <f>RawData!D84</f>
        <v>Marvin Williams</v>
      </c>
      <c r="F84" s="2">
        <f>(RawData!F84)*M84</f>
        <v>21.477083841959601</v>
      </c>
      <c r="G84" s="35">
        <f>RawData!H84</f>
        <v>5400</v>
      </c>
      <c r="H84">
        <f t="shared" si="7"/>
        <v>0</v>
      </c>
      <c r="I84">
        <f t="shared" si="7"/>
        <v>0</v>
      </c>
      <c r="J84">
        <f t="shared" si="7"/>
        <v>0</v>
      </c>
      <c r="K84">
        <f t="shared" si="7"/>
        <v>0</v>
      </c>
      <c r="L84">
        <f t="shared" si="7"/>
        <v>0</v>
      </c>
      <c r="M84" s="2">
        <f>IF(RawData!L84=0,1,0)</f>
        <v>1</v>
      </c>
    </row>
    <row r="85" spans="1:13" x14ac:dyDescent="0.25">
      <c r="A85">
        <f t="shared" si="6"/>
        <v>0</v>
      </c>
      <c r="B85">
        <f>IF(C85=0,0,A85&amp;" "&amp;COUNTIF($A$1:$A85,A85))</f>
        <v>0</v>
      </c>
      <c r="C85" s="1">
        <v>0</v>
      </c>
      <c r="D85" s="2" t="str">
        <f>RawData!B85</f>
        <v>PF</v>
      </c>
      <c r="E85" s="2" t="str">
        <f>RawData!D85</f>
        <v>Nerlens Noel</v>
      </c>
      <c r="F85" s="2">
        <f>(RawData!F85)*M85</f>
        <v>19.259259259259199</v>
      </c>
      <c r="G85" s="35">
        <f>RawData!H85</f>
        <v>5400</v>
      </c>
      <c r="H85">
        <f t="shared" si="7"/>
        <v>0</v>
      </c>
      <c r="I85">
        <f t="shared" si="7"/>
        <v>0</v>
      </c>
      <c r="J85">
        <f t="shared" si="7"/>
        <v>0</v>
      </c>
      <c r="K85">
        <f t="shared" si="7"/>
        <v>0</v>
      </c>
      <c r="L85">
        <f t="shared" si="7"/>
        <v>0</v>
      </c>
      <c r="M85" s="2">
        <f>IF(RawData!L85=0,1,0)</f>
        <v>1</v>
      </c>
    </row>
    <row r="86" spans="1:13" x14ac:dyDescent="0.25">
      <c r="A86">
        <f t="shared" si="6"/>
        <v>0</v>
      </c>
      <c r="B86">
        <f>IF(C86=0,0,A86&amp;" "&amp;COUNTIF($A$1:$A86,A86))</f>
        <v>0</v>
      </c>
      <c r="C86" s="1">
        <v>0</v>
      </c>
      <c r="D86" s="2" t="str">
        <f>RawData!B86</f>
        <v>PF</v>
      </c>
      <c r="E86" s="2" t="str">
        <f>RawData!D86</f>
        <v>Thaddeus Young</v>
      </c>
      <c r="F86" s="2">
        <f>(RawData!F86)*M86</f>
        <v>0</v>
      </c>
      <c r="G86" s="35">
        <f>RawData!H86</f>
        <v>5400</v>
      </c>
      <c r="H86">
        <f t="shared" si="7"/>
        <v>0</v>
      </c>
      <c r="I86">
        <f t="shared" si="7"/>
        <v>0</v>
      </c>
      <c r="J86">
        <f t="shared" si="7"/>
        <v>0</v>
      </c>
      <c r="K86">
        <f t="shared" si="7"/>
        <v>0</v>
      </c>
      <c r="L86">
        <f t="shared" si="7"/>
        <v>0</v>
      </c>
      <c r="M86" s="2">
        <f>IF(RawData!L86=0,1,0)</f>
        <v>0</v>
      </c>
    </row>
    <row r="87" spans="1:13" x14ac:dyDescent="0.25">
      <c r="A87">
        <f t="shared" si="6"/>
        <v>0</v>
      </c>
      <c r="B87">
        <f>IF(C87=0,0,A87&amp;" "&amp;COUNTIF($A$1:$A87,A87))</f>
        <v>0</v>
      </c>
      <c r="C87" s="1">
        <v>0</v>
      </c>
      <c r="D87" s="2" t="str">
        <f>RawData!B87</f>
        <v>C</v>
      </c>
      <c r="E87" s="2" t="str">
        <f>RawData!D87</f>
        <v>Tyson Chandler</v>
      </c>
      <c r="F87" s="2">
        <f>(RawData!F87)*M87</f>
        <v>0</v>
      </c>
      <c r="G87" s="35">
        <f>RawData!H87</f>
        <v>5300</v>
      </c>
      <c r="H87">
        <f t="shared" si="7"/>
        <v>0</v>
      </c>
      <c r="I87">
        <f t="shared" si="7"/>
        <v>0</v>
      </c>
      <c r="J87">
        <f t="shared" si="7"/>
        <v>0</v>
      </c>
      <c r="K87">
        <f t="shared" si="7"/>
        <v>0</v>
      </c>
      <c r="L87">
        <f t="shared" si="7"/>
        <v>0</v>
      </c>
      <c r="M87" s="2">
        <f>IF(RawData!L87=0,1,0)</f>
        <v>0</v>
      </c>
    </row>
    <row r="88" spans="1:13" x14ac:dyDescent="0.25">
      <c r="A88">
        <f t="shared" si="6"/>
        <v>0</v>
      </c>
      <c r="B88">
        <f>IF(C88=0,0,A88&amp;" "&amp;COUNTIF($A$1:$A88,A88))</f>
        <v>0</v>
      </c>
      <c r="C88" s="1">
        <v>0</v>
      </c>
      <c r="D88" s="2" t="str">
        <f>RawData!B88</f>
        <v>SG</v>
      </c>
      <c r="E88" s="2" t="str">
        <f>RawData!D88</f>
        <v>Josh Richardson</v>
      </c>
      <c r="F88" s="2">
        <f>(RawData!F88)*M88</f>
        <v>0</v>
      </c>
      <c r="G88" s="35">
        <f>RawData!H88</f>
        <v>5300</v>
      </c>
      <c r="H88">
        <f t="shared" si="7"/>
        <v>0</v>
      </c>
      <c r="I88">
        <f t="shared" si="7"/>
        <v>0</v>
      </c>
      <c r="J88">
        <f t="shared" si="7"/>
        <v>0</v>
      </c>
      <c r="K88">
        <f t="shared" si="7"/>
        <v>0</v>
      </c>
      <c r="L88">
        <f t="shared" si="7"/>
        <v>0</v>
      </c>
      <c r="M88" s="2">
        <f>IF(RawData!L88=0,1,0)</f>
        <v>0</v>
      </c>
    </row>
    <row r="89" spans="1:13" x14ac:dyDescent="0.25">
      <c r="A89">
        <f t="shared" si="6"/>
        <v>0</v>
      </c>
      <c r="B89">
        <f>IF(C89=0,0,A89&amp;" "&amp;COUNTIF($A$1:$A89,A89))</f>
        <v>0</v>
      </c>
      <c r="C89" s="1">
        <v>0</v>
      </c>
      <c r="D89" s="2" t="str">
        <f>RawData!B89</f>
        <v>PF</v>
      </c>
      <c r="E89" s="2" t="str">
        <f>RawData!D89</f>
        <v>Trevor Booker</v>
      </c>
      <c r="F89" s="2">
        <f>(RawData!F89)*M89</f>
        <v>25.4061229472257</v>
      </c>
      <c r="G89" s="35">
        <f>RawData!H89</f>
        <v>5200</v>
      </c>
      <c r="H89">
        <f t="shared" si="7"/>
        <v>0</v>
      </c>
      <c r="I89">
        <f t="shared" si="7"/>
        <v>0</v>
      </c>
      <c r="J89">
        <f t="shared" si="7"/>
        <v>0</v>
      </c>
      <c r="K89">
        <f t="shared" si="7"/>
        <v>0</v>
      </c>
      <c r="L89">
        <f t="shared" si="7"/>
        <v>0</v>
      </c>
      <c r="M89" s="2">
        <f>IF(RawData!L89=0,1,0)</f>
        <v>1</v>
      </c>
    </row>
    <row r="90" spans="1:13" x14ac:dyDescent="0.25">
      <c r="A90">
        <f t="shared" si="6"/>
        <v>0</v>
      </c>
      <c r="B90">
        <f>IF(C90=0,0,A90&amp;" "&amp;COUNTIF($A$1:$A90,A90))</f>
        <v>0</v>
      </c>
      <c r="C90" s="1">
        <v>0</v>
      </c>
      <c r="D90" s="2" t="str">
        <f>RawData!B90</f>
        <v>C</v>
      </c>
      <c r="E90" s="2" t="str">
        <f>RawData!D90</f>
        <v>Cody Zeller</v>
      </c>
      <c r="F90" s="2">
        <f>(RawData!F90)*M90</f>
        <v>0</v>
      </c>
      <c r="G90" s="35">
        <f>RawData!H90</f>
        <v>5200</v>
      </c>
      <c r="H90">
        <f t="shared" si="7"/>
        <v>0</v>
      </c>
      <c r="I90">
        <f t="shared" si="7"/>
        <v>0</v>
      </c>
      <c r="J90">
        <f t="shared" si="7"/>
        <v>0</v>
      </c>
      <c r="K90">
        <f t="shared" si="7"/>
        <v>0</v>
      </c>
      <c r="L90">
        <f t="shared" si="7"/>
        <v>0</v>
      </c>
      <c r="M90" s="2">
        <f>IF(RawData!L90=0,1,0)</f>
        <v>0</v>
      </c>
    </row>
    <row r="91" spans="1:13" x14ac:dyDescent="0.25">
      <c r="A91">
        <f t="shared" si="6"/>
        <v>0</v>
      </c>
      <c r="B91">
        <f>IF(C91=0,0,A91&amp;" "&amp;COUNTIF($A$1:$A91,A91))</f>
        <v>0</v>
      </c>
      <c r="C91" s="1">
        <v>0</v>
      </c>
      <c r="D91" s="2" t="str">
        <f>RawData!B91</f>
        <v>SG</v>
      </c>
      <c r="E91" s="2" t="str">
        <f>RawData!D91</f>
        <v>Gary Harris</v>
      </c>
      <c r="F91" s="2">
        <f>(RawData!F91)*M91</f>
        <v>0</v>
      </c>
      <c r="G91" s="35">
        <f>RawData!H91</f>
        <v>5200</v>
      </c>
      <c r="H91">
        <f t="shared" si="7"/>
        <v>0</v>
      </c>
      <c r="I91">
        <f t="shared" si="7"/>
        <v>0</v>
      </c>
      <c r="J91">
        <f t="shared" si="7"/>
        <v>0</v>
      </c>
      <c r="K91">
        <f t="shared" si="7"/>
        <v>0</v>
      </c>
      <c r="L91">
        <f t="shared" si="7"/>
        <v>0</v>
      </c>
      <c r="M91" s="2">
        <f>IF(RawData!L91=0,1,0)</f>
        <v>0</v>
      </c>
    </row>
    <row r="92" spans="1:13" x14ac:dyDescent="0.25">
      <c r="A92">
        <f t="shared" si="6"/>
        <v>0</v>
      </c>
      <c r="B92">
        <f>IF(C92=0,0,A92&amp;" "&amp;COUNTIF($A$1:$A92,A92))</f>
        <v>0</v>
      </c>
      <c r="C92" s="1">
        <v>0</v>
      </c>
      <c r="D92" s="2" t="str">
        <f>RawData!B92</f>
        <v>PG</v>
      </c>
      <c r="E92" s="2" t="str">
        <f>RawData!D92</f>
        <v>Malcolm Brogdon</v>
      </c>
      <c r="F92" s="2">
        <f>(RawData!F92)*M92</f>
        <v>20.0566037735849</v>
      </c>
      <c r="G92" s="35">
        <f>RawData!H92</f>
        <v>5200</v>
      </c>
      <c r="H92">
        <f t="shared" si="7"/>
        <v>0</v>
      </c>
      <c r="I92">
        <f t="shared" si="7"/>
        <v>0</v>
      </c>
      <c r="J92">
        <f t="shared" si="7"/>
        <v>0</v>
      </c>
      <c r="K92">
        <f t="shared" si="7"/>
        <v>0</v>
      </c>
      <c r="L92">
        <f t="shared" si="7"/>
        <v>0</v>
      </c>
      <c r="M92" s="2">
        <f>IF(RawData!L92=0,1,0)</f>
        <v>1</v>
      </c>
    </row>
    <row r="93" spans="1:13" x14ac:dyDescent="0.25">
      <c r="A93">
        <f t="shared" si="6"/>
        <v>0</v>
      </c>
      <c r="B93">
        <f>IF(C93=0,0,A93&amp;" "&amp;COUNTIF($A$1:$A93,A93))</f>
        <v>0</v>
      </c>
      <c r="C93" s="1">
        <v>0</v>
      </c>
      <c r="D93" s="2" t="str">
        <f>RawData!B93</f>
        <v>SG</v>
      </c>
      <c r="E93" s="2" t="str">
        <f>RawData!D93</f>
        <v>Jamal Crawford</v>
      </c>
      <c r="F93" s="2">
        <f>(RawData!F93)*M93</f>
        <v>19.072222674334402</v>
      </c>
      <c r="G93" s="35">
        <f>RawData!H93</f>
        <v>5100</v>
      </c>
      <c r="H93">
        <f t="shared" si="7"/>
        <v>0</v>
      </c>
      <c r="I93">
        <f t="shared" si="7"/>
        <v>0</v>
      </c>
      <c r="J93">
        <f t="shared" si="7"/>
        <v>0</v>
      </c>
      <c r="K93">
        <f t="shared" si="7"/>
        <v>0</v>
      </c>
      <c r="L93">
        <f t="shared" si="7"/>
        <v>0</v>
      </c>
      <c r="M93" s="2">
        <f>IF(RawData!L93=0,1,0)</f>
        <v>1</v>
      </c>
    </row>
    <row r="94" spans="1:13" x14ac:dyDescent="0.25">
      <c r="A94">
        <f t="shared" si="6"/>
        <v>0</v>
      </c>
      <c r="B94">
        <f>IF(C94=0,0,A94&amp;" "&amp;COUNTIF($A$1:$A94,A94))</f>
        <v>0</v>
      </c>
      <c r="C94" s="1">
        <v>0</v>
      </c>
      <c r="D94" s="2" t="str">
        <f>RawData!B94</f>
        <v>PF</v>
      </c>
      <c r="E94" s="2" t="str">
        <f>RawData!D94</f>
        <v>Dario Saric</v>
      </c>
      <c r="F94" s="2">
        <f>(RawData!F94)*M94</f>
        <v>19.894445348668899</v>
      </c>
      <c r="G94" s="35">
        <f>RawData!H94</f>
        <v>5100</v>
      </c>
      <c r="H94">
        <f t="shared" si="7"/>
        <v>0</v>
      </c>
      <c r="I94">
        <f t="shared" si="7"/>
        <v>0</v>
      </c>
      <c r="J94">
        <f t="shared" si="7"/>
        <v>0</v>
      </c>
      <c r="K94">
        <f t="shared" si="7"/>
        <v>0</v>
      </c>
      <c r="L94">
        <f t="shared" si="7"/>
        <v>0</v>
      </c>
      <c r="M94" s="2">
        <f>IF(RawData!L94=0,1,0)</f>
        <v>1</v>
      </c>
    </row>
    <row r="95" spans="1:13" x14ac:dyDescent="0.25">
      <c r="A95">
        <f t="shared" si="6"/>
        <v>0</v>
      </c>
      <c r="B95">
        <f>IF(C95=0,0,A95&amp;" "&amp;COUNTIF($A$1:$A95,A95))</f>
        <v>0</v>
      </c>
      <c r="C95" s="1">
        <v>0</v>
      </c>
      <c r="D95" s="2" t="str">
        <f>RawData!B95</f>
        <v>SG</v>
      </c>
      <c r="E95" s="2" t="str">
        <f>RawData!D95</f>
        <v>Kentavious Caldwell-Pope</v>
      </c>
      <c r="F95" s="2">
        <f>(RawData!F95)*M95</f>
        <v>24.373999023437499</v>
      </c>
      <c r="G95" s="35">
        <f>RawData!H95</f>
        <v>5100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  <c r="M95" s="2">
        <f>IF(RawData!L95=0,1,0)</f>
        <v>1</v>
      </c>
    </row>
    <row r="96" spans="1:13" x14ac:dyDescent="0.25">
      <c r="A96">
        <f t="shared" si="6"/>
        <v>0</v>
      </c>
      <c r="B96">
        <f>IF(C96=0,0,A96&amp;" "&amp;COUNTIF($A$1:$A96,A96))</f>
        <v>0</v>
      </c>
      <c r="C96" s="1">
        <v>0</v>
      </c>
      <c r="D96" s="2" t="str">
        <f>RawData!B96</f>
        <v>PF</v>
      </c>
      <c r="E96" s="2" t="str">
        <f>RawData!D96</f>
        <v>David Lee</v>
      </c>
      <c r="F96" s="2">
        <f>(RawData!F96)*M96</f>
        <v>17.152829728036501</v>
      </c>
      <c r="G96" s="35">
        <f>RawData!H96</f>
        <v>5100</v>
      </c>
      <c r="H96">
        <f t="shared" si="7"/>
        <v>0</v>
      </c>
      <c r="I96">
        <f t="shared" si="7"/>
        <v>0</v>
      </c>
      <c r="J96">
        <f t="shared" si="7"/>
        <v>0</v>
      </c>
      <c r="K96">
        <f t="shared" si="7"/>
        <v>0</v>
      </c>
      <c r="L96">
        <f t="shared" si="7"/>
        <v>0</v>
      </c>
      <c r="M96" s="2">
        <f>IF(RawData!L96=0,1,0)</f>
        <v>1</v>
      </c>
    </row>
    <row r="97" spans="1:13" x14ac:dyDescent="0.25">
      <c r="A97">
        <f t="shared" si="6"/>
        <v>0</v>
      </c>
      <c r="B97">
        <f>IF(C97=0,0,A97&amp;" "&amp;COUNTIF($A$1:$A97,A97))</f>
        <v>0</v>
      </c>
      <c r="C97" s="1">
        <v>0</v>
      </c>
      <c r="D97" s="2" t="str">
        <f>RawData!B97</f>
        <v>SF</v>
      </c>
      <c r="E97" s="2" t="str">
        <f>RawData!D97</f>
        <v>Ben Simmons</v>
      </c>
      <c r="F97" s="2">
        <f>(RawData!F97)*M97</f>
        <v>0</v>
      </c>
      <c r="G97" s="35">
        <f>RawData!H97</f>
        <v>5000</v>
      </c>
      <c r="H97">
        <f t="shared" si="7"/>
        <v>0</v>
      </c>
      <c r="I97">
        <f t="shared" si="7"/>
        <v>0</v>
      </c>
      <c r="J97">
        <f t="shared" si="7"/>
        <v>0</v>
      </c>
      <c r="K97">
        <f t="shared" si="7"/>
        <v>0</v>
      </c>
      <c r="L97">
        <f t="shared" si="7"/>
        <v>0</v>
      </c>
      <c r="M97" s="2">
        <f>IF(RawData!L97=0,1,0)</f>
        <v>0</v>
      </c>
    </row>
    <row r="98" spans="1:13" x14ac:dyDescent="0.25">
      <c r="A98">
        <f t="shared" si="6"/>
        <v>0</v>
      </c>
      <c r="B98">
        <f>IF(C98=0,0,A98&amp;" "&amp;COUNTIF($A$1:$A98,A98))</f>
        <v>0</v>
      </c>
      <c r="C98" s="1">
        <v>0</v>
      </c>
      <c r="D98" s="2" t="str">
        <f>RawData!B98</f>
        <v>PG</v>
      </c>
      <c r="E98" s="2" t="str">
        <f>RawData!D98</f>
        <v>Jameer Nelson</v>
      </c>
      <c r="F98" s="2">
        <f>(RawData!F98)*M98</f>
        <v>18.5555555555555</v>
      </c>
      <c r="G98" s="35">
        <f>RawData!H98</f>
        <v>5000</v>
      </c>
      <c r="H98">
        <f t="shared" si="7"/>
        <v>0</v>
      </c>
      <c r="I98">
        <f t="shared" si="7"/>
        <v>0</v>
      </c>
      <c r="J98">
        <f t="shared" si="7"/>
        <v>0</v>
      </c>
      <c r="K98">
        <f t="shared" si="7"/>
        <v>0</v>
      </c>
      <c r="L98">
        <f t="shared" si="7"/>
        <v>0</v>
      </c>
      <c r="M98" s="2">
        <f>IF(RawData!L98=0,1,0)</f>
        <v>1</v>
      </c>
    </row>
    <row r="99" spans="1:13" x14ac:dyDescent="0.25">
      <c r="A99">
        <f t="shared" si="6"/>
        <v>0</v>
      </c>
      <c r="B99">
        <f>IF(C99=0,0,A99&amp;" "&amp;COUNTIF($A$1:$A99,A99))</f>
        <v>0</v>
      </c>
      <c r="C99" s="1">
        <v>0</v>
      </c>
      <c r="D99" s="2" t="str">
        <f>RawData!B99</f>
        <v>PF</v>
      </c>
      <c r="E99" s="2" t="str">
        <f>RawData!D99</f>
        <v>Derrick Favors</v>
      </c>
      <c r="F99" s="2">
        <f>(RawData!F99)*M99</f>
        <v>20.389473362972801</v>
      </c>
      <c r="G99" s="35">
        <f>RawData!H99</f>
        <v>4900</v>
      </c>
      <c r="H99">
        <f t="shared" si="7"/>
        <v>0</v>
      </c>
      <c r="I99">
        <f t="shared" si="7"/>
        <v>0</v>
      </c>
      <c r="J99">
        <f t="shared" si="7"/>
        <v>0</v>
      </c>
      <c r="K99">
        <f t="shared" si="7"/>
        <v>0</v>
      </c>
      <c r="L99">
        <f t="shared" si="7"/>
        <v>0</v>
      </c>
      <c r="M99" s="2">
        <f>IF(RawData!L99=0,1,0)</f>
        <v>1</v>
      </c>
    </row>
    <row r="100" spans="1:13" x14ac:dyDescent="0.25">
      <c r="A100">
        <f t="shared" si="6"/>
        <v>0</v>
      </c>
      <c r="B100">
        <f>IF(C100=0,0,A100&amp;" "&amp;COUNTIF($A$1:$A100,A100))</f>
        <v>0</v>
      </c>
      <c r="C100" s="1">
        <v>0</v>
      </c>
      <c r="D100" s="2" t="str">
        <f>RawData!B100</f>
        <v>SF</v>
      </c>
      <c r="E100" s="2" t="str">
        <f>RawData!D100</f>
        <v>T.J. Warren</v>
      </c>
      <c r="F100" s="2">
        <f>(RawData!F100)*M100</f>
        <v>21.754762195405501</v>
      </c>
      <c r="G100" s="35">
        <f>RawData!H100</f>
        <v>4900</v>
      </c>
      <c r="H100">
        <f t="shared" si="7"/>
        <v>0</v>
      </c>
      <c r="I100">
        <f t="shared" si="7"/>
        <v>0</v>
      </c>
      <c r="J100">
        <f t="shared" si="7"/>
        <v>0</v>
      </c>
      <c r="K100">
        <f t="shared" si="7"/>
        <v>0</v>
      </c>
      <c r="L100">
        <f t="shared" si="7"/>
        <v>0</v>
      </c>
      <c r="M100" s="2">
        <f>IF(RawData!L100=0,1,0)</f>
        <v>1</v>
      </c>
    </row>
    <row r="101" spans="1:13" x14ac:dyDescent="0.25">
      <c r="A101">
        <f t="shared" si="6"/>
        <v>0</v>
      </c>
      <c r="B101">
        <f>IF(C101=0,0,A101&amp;" "&amp;COUNTIF($A$1:$A101,A101))</f>
        <v>0</v>
      </c>
      <c r="C101" s="1">
        <v>0</v>
      </c>
      <c r="D101" s="2" t="str">
        <f>RawData!B101</f>
        <v>PG</v>
      </c>
      <c r="E101" s="2" t="str">
        <f>RawData!D101</f>
        <v>Emmanuel Mudiay</v>
      </c>
      <c r="F101" s="2">
        <f>(RawData!F101)*M101</f>
        <v>0</v>
      </c>
      <c r="G101" s="35">
        <f>RawData!H101</f>
        <v>4900</v>
      </c>
      <c r="H101">
        <f t="shared" si="7"/>
        <v>0</v>
      </c>
      <c r="I101">
        <f t="shared" si="7"/>
        <v>0</v>
      </c>
      <c r="J101">
        <f t="shared" si="7"/>
        <v>0</v>
      </c>
      <c r="K101">
        <f t="shared" si="7"/>
        <v>0</v>
      </c>
      <c r="L101">
        <f t="shared" si="7"/>
        <v>0</v>
      </c>
      <c r="M101" s="2">
        <f>IF(RawData!L101=0,1,0)</f>
        <v>0</v>
      </c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2"/>
  <sheetViews>
    <sheetView topLeftCell="A2" workbookViewId="0">
      <selection activeCell="H4" sqref="H4"/>
    </sheetView>
  </sheetViews>
  <sheetFormatPr defaultRowHeight="15" x14ac:dyDescent="0.25"/>
  <cols>
    <col min="1" max="3" width="9.140625" style="2"/>
    <col min="4" max="4" width="17.7109375" style="2" bestFit="1" customWidth="1"/>
    <col min="5" max="16384" width="9.140625" style="2"/>
  </cols>
  <sheetData>
    <row r="1" spans="1:13" x14ac:dyDescent="0.25">
      <c r="A1" s="2" t="s">
        <v>33</v>
      </c>
      <c r="B1" s="2" t="s">
        <v>0</v>
      </c>
      <c r="C1" s="2" t="s">
        <v>34</v>
      </c>
      <c r="D1" s="2" t="s">
        <v>35</v>
      </c>
      <c r="E1" s="2" t="s">
        <v>36</v>
      </c>
      <c r="F1" s="2" t="s">
        <v>37</v>
      </c>
      <c r="G1" s="2" t="s">
        <v>38</v>
      </c>
      <c r="H1" s="2" t="s">
        <v>39</v>
      </c>
      <c r="I1" s="2" t="s">
        <v>1</v>
      </c>
      <c r="J1" s="2" t="s">
        <v>2</v>
      </c>
      <c r="K1" s="2" t="s">
        <v>40</v>
      </c>
      <c r="L1" s="2" t="s">
        <v>41</v>
      </c>
      <c r="M1" s="2" t="s">
        <v>42</v>
      </c>
    </row>
    <row r="2" spans="1:13" x14ac:dyDescent="0.25">
      <c r="A2" s="2" t="s">
        <v>743</v>
      </c>
      <c r="B2" s="2" t="s">
        <v>3</v>
      </c>
      <c r="C2" s="2" t="s">
        <v>45</v>
      </c>
      <c r="D2" s="2" t="str">
        <f>C2&amp;" "&amp;E2</f>
        <v>Russell Westbrook</v>
      </c>
      <c r="E2" s="2" t="s">
        <v>46</v>
      </c>
      <c r="F2" s="2">
        <v>57.5</v>
      </c>
      <c r="G2" s="2">
        <v>55</v>
      </c>
      <c r="H2" s="2">
        <v>12600</v>
      </c>
      <c r="I2" s="2" t="s">
        <v>744</v>
      </c>
      <c r="J2" s="2" t="s">
        <v>4</v>
      </c>
      <c r="K2" s="2" t="s">
        <v>745</v>
      </c>
    </row>
    <row r="3" spans="1:13" x14ac:dyDescent="0.25">
      <c r="A3" s="2" t="s">
        <v>746</v>
      </c>
      <c r="B3" s="2" t="s">
        <v>8</v>
      </c>
      <c r="C3" s="2" t="s">
        <v>300</v>
      </c>
      <c r="D3" s="2" t="str">
        <f t="shared" ref="D3:D66" si="0">C3&amp;" "&amp;E3</f>
        <v>Giannis Antetokounmpo</v>
      </c>
      <c r="E3" s="2" t="s">
        <v>301</v>
      </c>
      <c r="F3" s="2">
        <v>46.5538470928485</v>
      </c>
      <c r="G3" s="2">
        <v>52</v>
      </c>
      <c r="H3" s="2">
        <v>11300</v>
      </c>
      <c r="I3" s="2" t="s">
        <v>747</v>
      </c>
      <c r="J3" s="2" t="s">
        <v>302</v>
      </c>
      <c r="K3" s="2" t="s">
        <v>748</v>
      </c>
    </row>
    <row r="4" spans="1:13" x14ac:dyDescent="0.25">
      <c r="A4" s="2" t="s">
        <v>749</v>
      </c>
      <c r="B4" s="2" t="s">
        <v>5</v>
      </c>
      <c r="C4" s="2" t="s">
        <v>208</v>
      </c>
      <c r="D4" s="2" t="str">
        <f t="shared" si="0"/>
        <v>Anthony Davis</v>
      </c>
      <c r="E4" s="2" t="s">
        <v>220</v>
      </c>
      <c r="F4" s="2">
        <v>50.696078431372499</v>
      </c>
      <c r="G4" s="2">
        <v>51</v>
      </c>
      <c r="H4" s="2">
        <v>11100</v>
      </c>
      <c r="I4" s="2" t="s">
        <v>750</v>
      </c>
      <c r="J4" s="2" t="s">
        <v>751</v>
      </c>
      <c r="K4" s="2" t="s">
        <v>299</v>
      </c>
    </row>
    <row r="5" spans="1:13" x14ac:dyDescent="0.25">
      <c r="A5" s="2" t="s">
        <v>752</v>
      </c>
      <c r="B5" s="2" t="s">
        <v>3</v>
      </c>
      <c r="C5" s="2" t="s">
        <v>368</v>
      </c>
      <c r="D5" s="2" t="str">
        <f t="shared" si="0"/>
        <v>John Wall</v>
      </c>
      <c r="E5" s="2" t="s">
        <v>753</v>
      </c>
      <c r="F5" s="2">
        <v>45.249018650428901</v>
      </c>
      <c r="G5" s="2">
        <v>51</v>
      </c>
      <c r="H5" s="2">
        <v>10500</v>
      </c>
      <c r="I5" s="2" t="s">
        <v>744</v>
      </c>
      <c r="J5" s="2" t="s">
        <v>745</v>
      </c>
      <c r="K5" s="2" t="s">
        <v>4</v>
      </c>
    </row>
    <row r="6" spans="1:13" x14ac:dyDescent="0.25">
      <c r="A6" s="2" t="s">
        <v>754</v>
      </c>
      <c r="B6" s="2" t="s">
        <v>3</v>
      </c>
      <c r="C6" s="2" t="s">
        <v>47</v>
      </c>
      <c r="D6" s="2" t="str">
        <f t="shared" si="0"/>
        <v>Isaiah Thomas</v>
      </c>
      <c r="E6" s="2" t="s">
        <v>48</v>
      </c>
      <c r="F6" s="2">
        <v>41.816000976562499</v>
      </c>
      <c r="G6" s="2">
        <v>50</v>
      </c>
      <c r="H6" s="2">
        <v>10100</v>
      </c>
      <c r="I6" s="2" t="s">
        <v>755</v>
      </c>
      <c r="J6" s="2" t="s">
        <v>49</v>
      </c>
      <c r="K6" s="2" t="s">
        <v>65</v>
      </c>
    </row>
    <row r="7" spans="1:13" x14ac:dyDescent="0.25">
      <c r="A7" s="2" t="s">
        <v>756</v>
      </c>
      <c r="B7" s="2" t="s">
        <v>5</v>
      </c>
      <c r="C7" s="2" t="s">
        <v>74</v>
      </c>
      <c r="D7" s="2" t="str">
        <f t="shared" si="0"/>
        <v>Nikola Jokic</v>
      </c>
      <c r="E7" s="2" t="s">
        <v>306</v>
      </c>
      <c r="F7" s="2">
        <v>33.946808510638299</v>
      </c>
      <c r="G7" s="2">
        <v>47</v>
      </c>
      <c r="H7" s="2">
        <v>10100</v>
      </c>
      <c r="I7" s="2" t="s">
        <v>757</v>
      </c>
      <c r="J7" s="2" t="s">
        <v>304</v>
      </c>
      <c r="K7" s="2" t="s">
        <v>298</v>
      </c>
    </row>
    <row r="8" spans="1:13" x14ac:dyDescent="0.25">
      <c r="A8" s="2" t="s">
        <v>758</v>
      </c>
      <c r="B8" s="2" t="s">
        <v>6</v>
      </c>
      <c r="C8" s="2" t="s">
        <v>51</v>
      </c>
      <c r="D8" s="2" t="str">
        <f t="shared" si="0"/>
        <v>Kevin Durant</v>
      </c>
      <c r="E8" s="2" t="s">
        <v>305</v>
      </c>
      <c r="F8" s="2">
        <v>46.374073169849503</v>
      </c>
      <c r="G8" s="2">
        <v>54</v>
      </c>
      <c r="H8" s="2">
        <v>10100</v>
      </c>
      <c r="I8" s="2" t="s">
        <v>757</v>
      </c>
      <c r="J8" s="2" t="s">
        <v>298</v>
      </c>
      <c r="K8" s="2" t="s">
        <v>304</v>
      </c>
    </row>
    <row r="9" spans="1:13" x14ac:dyDescent="0.25">
      <c r="A9" s="2" t="s">
        <v>759</v>
      </c>
      <c r="B9" s="2" t="s">
        <v>5</v>
      </c>
      <c r="C9" s="2" t="s">
        <v>760</v>
      </c>
      <c r="D9" s="2" t="str">
        <f t="shared" si="0"/>
        <v>Blake Griffin</v>
      </c>
      <c r="E9" s="2" t="s">
        <v>761</v>
      </c>
      <c r="F9" s="2">
        <v>40.491175034466899</v>
      </c>
      <c r="G9" s="2">
        <v>34</v>
      </c>
      <c r="H9" s="2">
        <v>9700</v>
      </c>
      <c r="I9" s="2" t="s">
        <v>762</v>
      </c>
      <c r="J9" s="2" t="s">
        <v>763</v>
      </c>
      <c r="K9" s="2" t="s">
        <v>64</v>
      </c>
    </row>
    <row r="10" spans="1:13" x14ac:dyDescent="0.25">
      <c r="A10" s="2" t="s">
        <v>764</v>
      </c>
      <c r="B10" s="2" t="s">
        <v>6</v>
      </c>
      <c r="C10" s="2" t="s">
        <v>765</v>
      </c>
      <c r="D10" s="2" t="str">
        <f t="shared" si="0"/>
        <v>Kawhi Leonard</v>
      </c>
      <c r="E10" s="2" t="s">
        <v>205</v>
      </c>
      <c r="F10" s="2">
        <v>40.877551020408099</v>
      </c>
      <c r="G10" s="2">
        <v>49</v>
      </c>
      <c r="H10" s="2">
        <v>9600</v>
      </c>
      <c r="I10" s="2" t="s">
        <v>766</v>
      </c>
      <c r="J10" s="2" t="s">
        <v>767</v>
      </c>
      <c r="K10" s="2" t="s">
        <v>303</v>
      </c>
    </row>
    <row r="11" spans="1:13" x14ac:dyDescent="0.25">
      <c r="A11" s="2" t="s">
        <v>768</v>
      </c>
      <c r="B11" s="2" t="s">
        <v>3</v>
      </c>
      <c r="C11" s="2" t="s">
        <v>245</v>
      </c>
      <c r="D11" s="2" t="str">
        <f t="shared" si="0"/>
        <v>Stephen Curry</v>
      </c>
      <c r="E11" s="2" t="s">
        <v>132</v>
      </c>
      <c r="F11" s="2">
        <v>40.762262308372598</v>
      </c>
      <c r="G11" s="2">
        <v>53</v>
      </c>
      <c r="H11" s="2">
        <v>9400</v>
      </c>
      <c r="I11" s="2" t="s">
        <v>757</v>
      </c>
      <c r="J11" s="2" t="s">
        <v>298</v>
      </c>
      <c r="K11" s="2" t="s">
        <v>304</v>
      </c>
    </row>
    <row r="12" spans="1:13" x14ac:dyDescent="0.25">
      <c r="A12" s="2" t="s">
        <v>769</v>
      </c>
      <c r="B12" s="2" t="s">
        <v>7</v>
      </c>
      <c r="C12" s="2" t="s">
        <v>307</v>
      </c>
      <c r="D12" s="2" t="str">
        <f t="shared" si="0"/>
        <v>Hassan Whiteside</v>
      </c>
      <c r="E12" s="2" t="s">
        <v>308</v>
      </c>
      <c r="F12" s="2">
        <v>38.036000976562498</v>
      </c>
      <c r="G12" s="2">
        <v>50</v>
      </c>
      <c r="H12" s="2">
        <v>8800</v>
      </c>
      <c r="I12" s="2" t="s">
        <v>770</v>
      </c>
      <c r="J12" s="2" t="s">
        <v>309</v>
      </c>
      <c r="K12" s="2" t="s">
        <v>55</v>
      </c>
    </row>
    <row r="13" spans="1:13" x14ac:dyDescent="0.25">
      <c r="A13" s="2" t="s">
        <v>771</v>
      </c>
      <c r="B13" s="2" t="s">
        <v>3</v>
      </c>
      <c r="C13" s="2" t="s">
        <v>200</v>
      </c>
      <c r="D13" s="2" t="str">
        <f t="shared" si="0"/>
        <v>Chris Paul</v>
      </c>
      <c r="E13" s="2" t="s">
        <v>310</v>
      </c>
      <c r="F13" s="2">
        <v>40.7361111111111</v>
      </c>
      <c r="G13" s="2">
        <v>36</v>
      </c>
      <c r="H13" s="2">
        <v>8800</v>
      </c>
      <c r="I13" s="2" t="s">
        <v>762</v>
      </c>
      <c r="J13" s="2" t="s">
        <v>763</v>
      </c>
      <c r="K13" s="2" t="s">
        <v>64</v>
      </c>
      <c r="L13" s="2" t="s">
        <v>56</v>
      </c>
      <c r="M13" s="2" t="s">
        <v>182</v>
      </c>
    </row>
    <row r="14" spans="1:13" x14ac:dyDescent="0.25">
      <c r="A14" s="2" t="s">
        <v>772</v>
      </c>
      <c r="B14" s="2" t="s">
        <v>7</v>
      </c>
      <c r="C14" s="2" t="s">
        <v>157</v>
      </c>
      <c r="D14" s="2" t="str">
        <f t="shared" si="0"/>
        <v>Andre Drummond</v>
      </c>
      <c r="E14" s="2" t="s">
        <v>773</v>
      </c>
      <c r="F14" s="2">
        <v>36.737037941261498</v>
      </c>
      <c r="G14" s="2">
        <v>54</v>
      </c>
      <c r="H14" s="2">
        <v>8700</v>
      </c>
      <c r="I14" s="2" t="s">
        <v>747</v>
      </c>
      <c r="J14" s="2" t="s">
        <v>748</v>
      </c>
      <c r="K14" s="2" t="s">
        <v>302</v>
      </c>
    </row>
    <row r="15" spans="1:13" x14ac:dyDescent="0.25">
      <c r="A15" s="2" t="s">
        <v>774</v>
      </c>
      <c r="B15" s="2" t="s">
        <v>7</v>
      </c>
      <c r="C15" s="2" t="s">
        <v>52</v>
      </c>
      <c r="D15" s="2" t="str">
        <f t="shared" si="0"/>
        <v>Joel Embiid</v>
      </c>
      <c r="E15" s="2" t="s">
        <v>53</v>
      </c>
      <c r="F15" s="2">
        <v>35.696773405997902</v>
      </c>
      <c r="G15" s="2">
        <v>31</v>
      </c>
      <c r="H15" s="2">
        <v>8700</v>
      </c>
      <c r="I15" s="2" t="s">
        <v>775</v>
      </c>
      <c r="J15" s="2" t="s">
        <v>54</v>
      </c>
      <c r="K15" s="2" t="s">
        <v>44</v>
      </c>
      <c r="L15" s="2" t="s">
        <v>56</v>
      </c>
      <c r="M15" s="2" t="s">
        <v>57</v>
      </c>
    </row>
    <row r="16" spans="1:13" x14ac:dyDescent="0.25">
      <c r="A16" s="2" t="s">
        <v>776</v>
      </c>
      <c r="B16" s="2" t="s">
        <v>3</v>
      </c>
      <c r="C16" s="2" t="s">
        <v>58</v>
      </c>
      <c r="D16" s="2" t="str">
        <f t="shared" si="0"/>
        <v>Damian Lillard</v>
      </c>
      <c r="E16" s="2" t="s">
        <v>59</v>
      </c>
      <c r="F16" s="2">
        <v>40.083672971141503</v>
      </c>
      <c r="G16" s="2">
        <v>49</v>
      </c>
      <c r="H16" s="2">
        <v>8600</v>
      </c>
      <c r="I16" s="2" t="s">
        <v>777</v>
      </c>
      <c r="J16" s="2" t="s">
        <v>50</v>
      </c>
      <c r="K16" s="2" t="s">
        <v>778</v>
      </c>
    </row>
    <row r="17" spans="1:11" x14ac:dyDescent="0.25">
      <c r="A17" s="2" t="s">
        <v>779</v>
      </c>
      <c r="B17" s="2" t="s">
        <v>7</v>
      </c>
      <c r="C17" s="2" t="s">
        <v>780</v>
      </c>
      <c r="D17" s="2" t="str">
        <f t="shared" si="0"/>
        <v>Marc Gasol</v>
      </c>
      <c r="E17" s="2" t="s">
        <v>781</v>
      </c>
      <c r="F17" s="2">
        <v>36.932075932340801</v>
      </c>
      <c r="G17" s="2">
        <v>53</v>
      </c>
      <c r="H17" s="2">
        <v>8500</v>
      </c>
      <c r="I17" s="2" t="s">
        <v>782</v>
      </c>
      <c r="J17" s="2" t="s">
        <v>783</v>
      </c>
      <c r="K17" s="2" t="s">
        <v>784</v>
      </c>
    </row>
    <row r="18" spans="1:11" x14ac:dyDescent="0.25">
      <c r="A18" s="2" t="s">
        <v>785</v>
      </c>
      <c r="B18" s="2" t="s">
        <v>3</v>
      </c>
      <c r="C18" s="2" t="s">
        <v>115</v>
      </c>
      <c r="D18" s="2" t="str">
        <f t="shared" si="0"/>
        <v>Eric Bledsoe</v>
      </c>
      <c r="E18" s="2" t="s">
        <v>311</v>
      </c>
      <c r="F18" s="2">
        <v>36.5870361328125</v>
      </c>
      <c r="G18" s="2">
        <v>54</v>
      </c>
      <c r="H18" s="2">
        <v>8400</v>
      </c>
      <c r="I18" s="2" t="s">
        <v>750</v>
      </c>
      <c r="J18" s="2" t="s">
        <v>299</v>
      </c>
      <c r="K18" s="2" t="s">
        <v>751</v>
      </c>
    </row>
    <row r="19" spans="1:11" x14ac:dyDescent="0.25">
      <c r="A19" s="2" t="s">
        <v>786</v>
      </c>
      <c r="B19" s="2" t="s">
        <v>3</v>
      </c>
      <c r="C19" s="2" t="s">
        <v>787</v>
      </c>
      <c r="D19" s="2" t="str">
        <f t="shared" si="0"/>
        <v>Jrue Holiday</v>
      </c>
      <c r="E19" s="2" t="s">
        <v>788</v>
      </c>
      <c r="F19" s="2">
        <v>33.545001220703099</v>
      </c>
      <c r="G19" s="2">
        <v>40</v>
      </c>
      <c r="H19" s="2">
        <v>8300</v>
      </c>
      <c r="I19" s="2" t="s">
        <v>750</v>
      </c>
      <c r="J19" s="2" t="s">
        <v>751</v>
      </c>
      <c r="K19" s="2" t="s">
        <v>299</v>
      </c>
    </row>
    <row r="20" spans="1:11" x14ac:dyDescent="0.25">
      <c r="A20" s="2" t="s">
        <v>789</v>
      </c>
      <c r="B20" s="2" t="s">
        <v>5</v>
      </c>
      <c r="C20" s="2" t="s">
        <v>314</v>
      </c>
      <c r="D20" s="2" t="str">
        <f t="shared" si="0"/>
        <v>Draymond Green</v>
      </c>
      <c r="E20" s="2" t="s">
        <v>235</v>
      </c>
      <c r="F20" s="2">
        <v>36.543136297487699</v>
      </c>
      <c r="G20" s="2">
        <v>51</v>
      </c>
      <c r="H20" s="2">
        <v>8300</v>
      </c>
      <c r="I20" s="2" t="s">
        <v>757</v>
      </c>
      <c r="J20" s="2" t="s">
        <v>298</v>
      </c>
      <c r="K20" s="2" t="s">
        <v>304</v>
      </c>
    </row>
    <row r="21" spans="1:11" x14ac:dyDescent="0.25">
      <c r="A21" s="2" t="s">
        <v>790</v>
      </c>
      <c r="B21" s="2" t="s">
        <v>6</v>
      </c>
      <c r="C21" s="2" t="s">
        <v>66</v>
      </c>
      <c r="D21" s="2" t="str">
        <f t="shared" si="0"/>
        <v>Gordon Hayward</v>
      </c>
      <c r="E21" s="2" t="s">
        <v>67</v>
      </c>
      <c r="F21" s="2">
        <v>35.1979166666666</v>
      </c>
      <c r="G21" s="2">
        <v>48</v>
      </c>
      <c r="H21" s="2">
        <v>8100</v>
      </c>
      <c r="I21" s="2" t="s">
        <v>762</v>
      </c>
      <c r="J21" s="2" t="s">
        <v>64</v>
      </c>
      <c r="K21" s="2" t="s">
        <v>763</v>
      </c>
    </row>
    <row r="22" spans="1:11" x14ac:dyDescent="0.25">
      <c r="A22" s="2" t="s">
        <v>791</v>
      </c>
      <c r="B22" s="2" t="s">
        <v>5</v>
      </c>
      <c r="C22" s="2" t="s">
        <v>310</v>
      </c>
      <c r="D22" s="2" t="str">
        <f t="shared" si="0"/>
        <v>Paul Millsap</v>
      </c>
      <c r="E22" s="2" t="s">
        <v>792</v>
      </c>
      <c r="F22" s="2">
        <v>35.856861787683798</v>
      </c>
      <c r="G22" s="2">
        <v>51</v>
      </c>
      <c r="H22" s="2">
        <v>8000</v>
      </c>
      <c r="I22" s="2" t="s">
        <v>777</v>
      </c>
      <c r="J22" s="2" t="s">
        <v>778</v>
      </c>
      <c r="K22" s="2" t="s">
        <v>50</v>
      </c>
    </row>
    <row r="23" spans="1:11" x14ac:dyDescent="0.25">
      <c r="A23" s="2" t="s">
        <v>793</v>
      </c>
      <c r="B23" s="2" t="s">
        <v>6</v>
      </c>
      <c r="C23" s="2" t="s">
        <v>310</v>
      </c>
      <c r="D23" s="2" t="str">
        <f t="shared" si="0"/>
        <v>Paul George</v>
      </c>
      <c r="E23" s="2" t="s">
        <v>97</v>
      </c>
      <c r="F23" s="2">
        <v>35.8680861452792</v>
      </c>
      <c r="G23" s="2">
        <v>47</v>
      </c>
      <c r="H23" s="2">
        <v>8000</v>
      </c>
      <c r="I23" s="2" t="s">
        <v>766</v>
      </c>
      <c r="J23" s="2" t="s">
        <v>303</v>
      </c>
      <c r="K23" s="2" t="s">
        <v>767</v>
      </c>
    </row>
    <row r="24" spans="1:11" x14ac:dyDescent="0.25">
      <c r="A24" s="2" t="s">
        <v>794</v>
      </c>
      <c r="B24" s="2" t="s">
        <v>8</v>
      </c>
      <c r="C24" s="2" t="s">
        <v>68</v>
      </c>
      <c r="D24" s="2" t="str">
        <f t="shared" si="0"/>
        <v>Nicolas Batum</v>
      </c>
      <c r="E24" s="2" t="s">
        <v>69</v>
      </c>
      <c r="F24" s="2">
        <v>33.1529421338848</v>
      </c>
      <c r="G24" s="2">
        <v>51</v>
      </c>
      <c r="H24" s="2">
        <v>8000</v>
      </c>
      <c r="I24" s="2" t="s">
        <v>775</v>
      </c>
      <c r="J24" s="2" t="s">
        <v>44</v>
      </c>
      <c r="K24" s="2" t="s">
        <v>54</v>
      </c>
    </row>
    <row r="25" spans="1:11" x14ac:dyDescent="0.25">
      <c r="A25" s="2" t="s">
        <v>795</v>
      </c>
      <c r="B25" s="2" t="s">
        <v>3</v>
      </c>
      <c r="C25" s="2" t="s">
        <v>312</v>
      </c>
      <c r="D25" s="2" t="str">
        <f t="shared" si="0"/>
        <v>Goran Dragic</v>
      </c>
      <c r="E25" s="2" t="s">
        <v>313</v>
      </c>
      <c r="F25" s="2">
        <v>33.706381939827097</v>
      </c>
      <c r="G25" s="2">
        <v>47</v>
      </c>
      <c r="H25" s="2">
        <v>8000</v>
      </c>
      <c r="I25" s="2" t="s">
        <v>770</v>
      </c>
      <c r="J25" s="2" t="s">
        <v>309</v>
      </c>
      <c r="K25" s="2" t="s">
        <v>55</v>
      </c>
    </row>
    <row r="26" spans="1:11" x14ac:dyDescent="0.25">
      <c r="A26" s="2" t="s">
        <v>796</v>
      </c>
      <c r="B26" s="2" t="s">
        <v>3</v>
      </c>
      <c r="C26" s="2" t="s">
        <v>269</v>
      </c>
      <c r="D26" s="2" t="str">
        <f t="shared" si="0"/>
        <v>Mike Conley</v>
      </c>
      <c r="E26" s="2" t="s">
        <v>797</v>
      </c>
      <c r="F26" s="2">
        <v>33.977272727272698</v>
      </c>
      <c r="G26" s="2">
        <v>44</v>
      </c>
      <c r="H26" s="2">
        <v>7900</v>
      </c>
      <c r="I26" s="2" t="s">
        <v>782</v>
      </c>
      <c r="J26" s="2" t="s">
        <v>783</v>
      </c>
      <c r="K26" s="2" t="s">
        <v>784</v>
      </c>
    </row>
    <row r="27" spans="1:11" x14ac:dyDescent="0.25">
      <c r="A27" s="2" t="s">
        <v>798</v>
      </c>
      <c r="B27" s="2" t="s">
        <v>7</v>
      </c>
      <c r="C27" s="2" t="s">
        <v>62</v>
      </c>
      <c r="D27" s="2" t="str">
        <f t="shared" si="0"/>
        <v>Rudy Gobert</v>
      </c>
      <c r="E27" s="2" t="s">
        <v>63</v>
      </c>
      <c r="F27" s="2">
        <v>34.318181818181799</v>
      </c>
      <c r="G27" s="2">
        <v>55</v>
      </c>
      <c r="H27" s="2">
        <v>7800</v>
      </c>
      <c r="I27" s="2" t="s">
        <v>762</v>
      </c>
      <c r="J27" s="2" t="s">
        <v>64</v>
      </c>
      <c r="K27" s="2" t="s">
        <v>763</v>
      </c>
    </row>
    <row r="28" spans="1:11" x14ac:dyDescent="0.25">
      <c r="A28" s="2" t="s">
        <v>799</v>
      </c>
      <c r="B28" s="2" t="s">
        <v>8</v>
      </c>
      <c r="C28" s="2" t="s">
        <v>60</v>
      </c>
      <c r="D28" s="2" t="str">
        <f t="shared" si="0"/>
        <v>C.J. McCollum</v>
      </c>
      <c r="E28" s="2" t="s">
        <v>61</v>
      </c>
      <c r="F28" s="2">
        <v>34.3907402886284</v>
      </c>
      <c r="G28" s="2">
        <v>54</v>
      </c>
      <c r="H28" s="2">
        <v>7700</v>
      </c>
      <c r="I28" s="2" t="s">
        <v>777</v>
      </c>
      <c r="J28" s="2" t="s">
        <v>50</v>
      </c>
      <c r="K28" s="2" t="s">
        <v>778</v>
      </c>
    </row>
    <row r="29" spans="1:11" x14ac:dyDescent="0.25">
      <c r="A29" s="2" t="s">
        <v>800</v>
      </c>
      <c r="B29" s="2" t="s">
        <v>8</v>
      </c>
      <c r="C29" s="2" t="s">
        <v>79</v>
      </c>
      <c r="D29" s="2" t="str">
        <f t="shared" si="0"/>
        <v>Bradley Beal</v>
      </c>
      <c r="E29" s="2" t="s">
        <v>801</v>
      </c>
      <c r="F29" s="2">
        <v>31.942856146364701</v>
      </c>
      <c r="G29" s="2">
        <v>49</v>
      </c>
      <c r="H29" s="2">
        <v>7700</v>
      </c>
      <c r="I29" s="2" t="s">
        <v>744</v>
      </c>
      <c r="J29" s="2" t="s">
        <v>745</v>
      </c>
      <c r="K29" s="2" t="s">
        <v>4</v>
      </c>
    </row>
    <row r="30" spans="1:11" x14ac:dyDescent="0.25">
      <c r="A30" s="2" t="s">
        <v>802</v>
      </c>
      <c r="B30" s="2" t="s">
        <v>7</v>
      </c>
      <c r="C30" s="2" t="s">
        <v>277</v>
      </c>
      <c r="D30" s="2" t="str">
        <f t="shared" si="0"/>
        <v>DeAndre Jordan</v>
      </c>
      <c r="E30" s="2" t="s">
        <v>226</v>
      </c>
      <c r="F30" s="2">
        <v>33.290739836516202</v>
      </c>
      <c r="G30" s="2">
        <v>54</v>
      </c>
      <c r="H30" s="2">
        <v>7700</v>
      </c>
      <c r="I30" s="2" t="s">
        <v>762</v>
      </c>
      <c r="J30" s="2" t="s">
        <v>763</v>
      </c>
      <c r="K30" s="2" t="s">
        <v>64</v>
      </c>
    </row>
    <row r="31" spans="1:11" x14ac:dyDescent="0.25">
      <c r="A31" s="2" t="s">
        <v>803</v>
      </c>
      <c r="B31" s="2" t="s">
        <v>3</v>
      </c>
      <c r="C31" s="2" t="s">
        <v>72</v>
      </c>
      <c r="D31" s="2" t="str">
        <f t="shared" si="0"/>
        <v>Kemba Walker</v>
      </c>
      <c r="E31" s="2" t="s">
        <v>73</v>
      </c>
      <c r="F31" s="2">
        <v>35.845283940153301</v>
      </c>
      <c r="G31" s="2">
        <v>53</v>
      </c>
      <c r="H31" s="2">
        <v>7600</v>
      </c>
      <c r="I31" s="2" t="s">
        <v>775</v>
      </c>
      <c r="J31" s="2" t="s">
        <v>44</v>
      </c>
      <c r="K31" s="2" t="s">
        <v>54</v>
      </c>
    </row>
    <row r="32" spans="1:11" x14ac:dyDescent="0.25">
      <c r="A32" s="2" t="s">
        <v>804</v>
      </c>
      <c r="B32" s="2" t="s">
        <v>5</v>
      </c>
      <c r="C32" s="2" t="s">
        <v>805</v>
      </c>
      <c r="D32" s="2" t="str">
        <f t="shared" si="0"/>
        <v>LaMarcus Aldridge</v>
      </c>
      <c r="E32" s="2" t="s">
        <v>806</v>
      </c>
      <c r="F32" s="2">
        <v>31.324490294164502</v>
      </c>
      <c r="G32" s="2">
        <v>49</v>
      </c>
      <c r="H32" s="2">
        <v>7500</v>
      </c>
      <c r="I32" s="2" t="s">
        <v>766</v>
      </c>
      <c r="J32" s="2" t="s">
        <v>767</v>
      </c>
      <c r="K32" s="2" t="s">
        <v>303</v>
      </c>
    </row>
    <row r="33" spans="1:13" x14ac:dyDescent="0.25">
      <c r="A33" s="2" t="s">
        <v>807</v>
      </c>
      <c r="B33" s="2" t="s">
        <v>7</v>
      </c>
      <c r="C33" s="2" t="s">
        <v>808</v>
      </c>
      <c r="D33" s="2" t="str">
        <f t="shared" si="0"/>
        <v>Brook Lopez</v>
      </c>
      <c r="E33" s="2" t="s">
        <v>809</v>
      </c>
      <c r="F33" s="2">
        <v>32.6346933793048</v>
      </c>
      <c r="G33" s="2">
        <v>49</v>
      </c>
      <c r="H33" s="2">
        <v>7300</v>
      </c>
      <c r="I33" s="2" t="s">
        <v>782</v>
      </c>
      <c r="J33" s="2" t="s">
        <v>784</v>
      </c>
      <c r="K33" s="2" t="s">
        <v>783</v>
      </c>
    </row>
    <row r="34" spans="1:13" x14ac:dyDescent="0.25">
      <c r="A34" s="2" t="s">
        <v>810</v>
      </c>
      <c r="B34" s="2" t="s">
        <v>5</v>
      </c>
      <c r="C34" s="2" t="s">
        <v>811</v>
      </c>
      <c r="D34" s="2" t="str">
        <f t="shared" si="0"/>
        <v>Markieff Morris</v>
      </c>
      <c r="E34" s="2" t="s">
        <v>812</v>
      </c>
      <c r="F34" s="2">
        <v>27.1392152075674</v>
      </c>
      <c r="G34" s="2">
        <v>51</v>
      </c>
      <c r="H34" s="2">
        <v>7100</v>
      </c>
      <c r="I34" s="2" t="s">
        <v>744</v>
      </c>
      <c r="J34" s="2" t="s">
        <v>745</v>
      </c>
      <c r="K34" s="2" t="s">
        <v>4</v>
      </c>
    </row>
    <row r="35" spans="1:13" x14ac:dyDescent="0.25">
      <c r="A35" s="2" t="s">
        <v>813</v>
      </c>
      <c r="B35" s="2" t="s">
        <v>7</v>
      </c>
      <c r="C35" s="2" t="s">
        <v>74</v>
      </c>
      <c r="D35" s="2" t="str">
        <f t="shared" si="0"/>
        <v>Nikola Vucevic</v>
      </c>
      <c r="E35" s="2" t="s">
        <v>75</v>
      </c>
      <c r="F35" s="2">
        <v>32.279246204304201</v>
      </c>
      <c r="G35" s="2">
        <v>53</v>
      </c>
      <c r="H35" s="2">
        <v>7100</v>
      </c>
      <c r="I35" s="2" t="s">
        <v>770</v>
      </c>
      <c r="J35" s="2" t="s">
        <v>55</v>
      </c>
      <c r="K35" s="2" t="s">
        <v>309</v>
      </c>
    </row>
    <row r="36" spans="1:13" x14ac:dyDescent="0.25">
      <c r="A36" s="2" t="s">
        <v>814</v>
      </c>
      <c r="B36" s="2" t="s">
        <v>8</v>
      </c>
      <c r="C36" s="2" t="s">
        <v>316</v>
      </c>
      <c r="D36" s="2" t="str">
        <f t="shared" si="0"/>
        <v>Dion Waiters</v>
      </c>
      <c r="E36" s="2" t="s">
        <v>317</v>
      </c>
      <c r="F36" s="2">
        <v>26.540624618530199</v>
      </c>
      <c r="G36" s="2">
        <v>32</v>
      </c>
      <c r="H36" s="2">
        <v>7100</v>
      </c>
      <c r="I36" s="2" t="s">
        <v>770</v>
      </c>
      <c r="J36" s="2" t="s">
        <v>309</v>
      </c>
      <c r="K36" s="2" t="s">
        <v>55</v>
      </c>
      <c r="L36" s="2" t="s">
        <v>91</v>
      </c>
      <c r="M36" s="2" t="s">
        <v>168</v>
      </c>
    </row>
    <row r="37" spans="1:13" x14ac:dyDescent="0.25">
      <c r="A37" s="2" t="s">
        <v>815</v>
      </c>
      <c r="B37" s="2" t="s">
        <v>7</v>
      </c>
      <c r="C37" s="2" t="s">
        <v>816</v>
      </c>
      <c r="D37" s="2" t="str">
        <f t="shared" si="0"/>
        <v>Marcin Gortat</v>
      </c>
      <c r="E37" s="2" t="s">
        <v>817</v>
      </c>
      <c r="F37" s="2">
        <v>29.867924528301799</v>
      </c>
      <c r="G37" s="2">
        <v>53</v>
      </c>
      <c r="H37" s="2">
        <v>7100</v>
      </c>
      <c r="I37" s="2" t="s">
        <v>744</v>
      </c>
      <c r="J37" s="2" t="s">
        <v>745</v>
      </c>
      <c r="K37" s="2" t="s">
        <v>4</v>
      </c>
    </row>
    <row r="38" spans="1:13" x14ac:dyDescent="0.25">
      <c r="A38" s="2" t="s">
        <v>818</v>
      </c>
      <c r="B38" s="2" t="s">
        <v>3</v>
      </c>
      <c r="C38" s="2" t="s">
        <v>232</v>
      </c>
      <c r="D38" s="2" t="str">
        <f t="shared" si="0"/>
        <v>Jeff Teague</v>
      </c>
      <c r="E38" s="2" t="s">
        <v>315</v>
      </c>
      <c r="F38" s="2">
        <v>33.8314819335937</v>
      </c>
      <c r="G38" s="2">
        <v>54</v>
      </c>
      <c r="H38" s="2">
        <v>7000</v>
      </c>
      <c r="I38" s="2" t="s">
        <v>766</v>
      </c>
      <c r="J38" s="2" t="s">
        <v>303</v>
      </c>
      <c r="K38" s="2" t="s">
        <v>767</v>
      </c>
    </row>
    <row r="39" spans="1:13" x14ac:dyDescent="0.25">
      <c r="A39" s="2" t="s">
        <v>819</v>
      </c>
      <c r="B39" s="2" t="s">
        <v>7</v>
      </c>
      <c r="C39" s="2" t="s">
        <v>70</v>
      </c>
      <c r="D39" s="2" t="str">
        <f t="shared" si="0"/>
        <v>Al Horford</v>
      </c>
      <c r="E39" s="2" t="s">
        <v>71</v>
      </c>
      <c r="F39" s="2">
        <v>33.654761904761898</v>
      </c>
      <c r="G39" s="2">
        <v>42</v>
      </c>
      <c r="H39" s="2">
        <v>7000</v>
      </c>
      <c r="I39" s="2" t="s">
        <v>755</v>
      </c>
      <c r="J39" s="2" t="s">
        <v>49</v>
      </c>
      <c r="K39" s="2" t="s">
        <v>65</v>
      </c>
    </row>
    <row r="40" spans="1:13" x14ac:dyDescent="0.25">
      <c r="A40" s="2" t="s">
        <v>820</v>
      </c>
      <c r="B40" s="2" t="s">
        <v>8</v>
      </c>
      <c r="C40" s="2" t="s">
        <v>322</v>
      </c>
      <c r="D40" s="2" t="str">
        <f t="shared" si="0"/>
        <v>Klay Thompson</v>
      </c>
      <c r="E40" s="2" t="s">
        <v>113</v>
      </c>
      <c r="F40" s="2">
        <v>30.098112286261699</v>
      </c>
      <c r="G40" s="2">
        <v>53</v>
      </c>
      <c r="H40" s="2">
        <v>6900</v>
      </c>
      <c r="I40" s="2" t="s">
        <v>757</v>
      </c>
      <c r="J40" s="2" t="s">
        <v>298</v>
      </c>
      <c r="K40" s="2" t="s">
        <v>304</v>
      </c>
    </row>
    <row r="41" spans="1:13" x14ac:dyDescent="0.25">
      <c r="A41" s="2" t="s">
        <v>821</v>
      </c>
      <c r="B41" s="2" t="s">
        <v>3</v>
      </c>
      <c r="C41" s="2" t="s">
        <v>822</v>
      </c>
      <c r="D41" s="2" t="str">
        <f t="shared" si="0"/>
        <v>Dennis Schroder</v>
      </c>
      <c r="E41" s="2" t="s">
        <v>823</v>
      </c>
      <c r="F41" s="2">
        <v>29.153704607928201</v>
      </c>
      <c r="G41" s="2">
        <v>54</v>
      </c>
      <c r="H41" s="2">
        <v>6900</v>
      </c>
      <c r="I41" s="2" t="s">
        <v>777</v>
      </c>
      <c r="J41" s="2" t="s">
        <v>778</v>
      </c>
      <c r="K41" s="2" t="s">
        <v>50</v>
      </c>
    </row>
    <row r="42" spans="1:13" x14ac:dyDescent="0.25">
      <c r="A42" s="2" t="s">
        <v>824</v>
      </c>
      <c r="B42" s="2" t="s">
        <v>6</v>
      </c>
      <c r="C42" s="2" t="s">
        <v>318</v>
      </c>
      <c r="D42" s="2" t="str">
        <f t="shared" si="0"/>
        <v>Danilo Gallinari</v>
      </c>
      <c r="E42" s="2" t="s">
        <v>319</v>
      </c>
      <c r="F42" s="2">
        <v>26.850000554865002</v>
      </c>
      <c r="G42" s="2">
        <v>44</v>
      </c>
      <c r="H42" s="2">
        <v>6900</v>
      </c>
      <c r="I42" s="2" t="s">
        <v>757</v>
      </c>
      <c r="J42" s="2" t="s">
        <v>304</v>
      </c>
      <c r="K42" s="2" t="s">
        <v>298</v>
      </c>
      <c r="L42" s="2" t="s">
        <v>56</v>
      </c>
      <c r="M42" s="2" t="s">
        <v>320</v>
      </c>
    </row>
    <row r="43" spans="1:13" x14ac:dyDescent="0.25">
      <c r="A43" s="2" t="s">
        <v>825</v>
      </c>
      <c r="B43" s="2" t="s">
        <v>7</v>
      </c>
      <c r="C43" s="2" t="s">
        <v>213</v>
      </c>
      <c r="D43" s="2" t="str">
        <f t="shared" si="0"/>
        <v>Dwight Howard</v>
      </c>
      <c r="E43" s="2" t="s">
        <v>826</v>
      </c>
      <c r="F43" s="2">
        <v>32.918367346938702</v>
      </c>
      <c r="G43" s="2">
        <v>49</v>
      </c>
      <c r="H43" s="2">
        <v>6800</v>
      </c>
      <c r="I43" s="2" t="s">
        <v>777</v>
      </c>
      <c r="J43" s="2" t="s">
        <v>778</v>
      </c>
      <c r="K43" s="2" t="s">
        <v>50</v>
      </c>
    </row>
    <row r="44" spans="1:13" x14ac:dyDescent="0.25">
      <c r="A44" s="2" t="s">
        <v>827</v>
      </c>
      <c r="B44" s="2" t="s">
        <v>8</v>
      </c>
      <c r="C44" s="2" t="s">
        <v>166</v>
      </c>
      <c r="D44" s="2" t="str">
        <f t="shared" si="0"/>
        <v>Devin Booker</v>
      </c>
      <c r="E44" s="2" t="s">
        <v>321</v>
      </c>
      <c r="F44" s="2">
        <v>28.766667118778901</v>
      </c>
      <c r="G44" s="2">
        <v>54</v>
      </c>
      <c r="H44" s="2">
        <v>6700</v>
      </c>
      <c r="I44" s="2" t="s">
        <v>750</v>
      </c>
      <c r="J44" s="2" t="s">
        <v>299</v>
      </c>
      <c r="K44" s="2" t="s">
        <v>751</v>
      </c>
    </row>
    <row r="45" spans="1:13" x14ac:dyDescent="0.25">
      <c r="A45" s="2" t="s">
        <v>828</v>
      </c>
      <c r="B45" s="2" t="s">
        <v>7</v>
      </c>
      <c r="C45" s="2" t="s">
        <v>76</v>
      </c>
      <c r="D45" s="2" t="str">
        <f t="shared" si="0"/>
        <v>Mason Plumlee</v>
      </c>
      <c r="E45" s="2" t="s">
        <v>77</v>
      </c>
      <c r="F45" s="2">
        <v>29.177777325665499</v>
      </c>
      <c r="G45" s="2">
        <v>54</v>
      </c>
      <c r="H45" s="2">
        <v>6700</v>
      </c>
      <c r="I45" s="2" t="s">
        <v>777</v>
      </c>
      <c r="J45" s="2" t="s">
        <v>50</v>
      </c>
      <c r="K45" s="2" t="s">
        <v>778</v>
      </c>
      <c r="L45" s="2" t="s">
        <v>56</v>
      </c>
      <c r="M45" s="2" t="s">
        <v>829</v>
      </c>
    </row>
    <row r="46" spans="1:13" x14ac:dyDescent="0.25">
      <c r="A46" s="2" t="s">
        <v>830</v>
      </c>
      <c r="B46" s="2" t="s">
        <v>6</v>
      </c>
      <c r="C46" s="2" t="s">
        <v>323</v>
      </c>
      <c r="D46" s="2" t="str">
        <f t="shared" si="0"/>
        <v>Wilson Chandler</v>
      </c>
      <c r="E46" s="2" t="s">
        <v>324</v>
      </c>
      <c r="F46" s="2">
        <v>27.586000976562499</v>
      </c>
      <c r="G46" s="2">
        <v>50</v>
      </c>
      <c r="H46" s="2">
        <v>6600</v>
      </c>
      <c r="I46" s="2" t="s">
        <v>757</v>
      </c>
      <c r="J46" s="2" t="s">
        <v>304</v>
      </c>
      <c r="K46" s="2" t="s">
        <v>298</v>
      </c>
      <c r="L46" s="2" t="s">
        <v>91</v>
      </c>
      <c r="M46" s="2" t="s">
        <v>189</v>
      </c>
    </row>
    <row r="47" spans="1:13" x14ac:dyDescent="0.25">
      <c r="A47" s="2" t="s">
        <v>831</v>
      </c>
      <c r="B47" s="2" t="s">
        <v>8</v>
      </c>
      <c r="C47" s="2" t="s">
        <v>78</v>
      </c>
      <c r="D47" s="2" t="str">
        <f t="shared" si="0"/>
        <v>Avery Bradley</v>
      </c>
      <c r="E47" s="2" t="s">
        <v>79</v>
      </c>
      <c r="F47" s="2">
        <v>30.794443766276</v>
      </c>
      <c r="G47" s="2">
        <v>36</v>
      </c>
      <c r="H47" s="2">
        <v>6500</v>
      </c>
      <c r="I47" s="2" t="s">
        <v>755</v>
      </c>
      <c r="J47" s="2" t="s">
        <v>49</v>
      </c>
      <c r="K47" s="2" t="s">
        <v>65</v>
      </c>
      <c r="L47" s="2" t="s">
        <v>56</v>
      </c>
      <c r="M47" s="2" t="s">
        <v>80</v>
      </c>
    </row>
    <row r="48" spans="1:13" x14ac:dyDescent="0.25">
      <c r="A48" s="2" t="s">
        <v>832</v>
      </c>
      <c r="B48" s="2" t="s">
        <v>6</v>
      </c>
      <c r="C48" s="2" t="s">
        <v>833</v>
      </c>
      <c r="D48" s="2" t="str">
        <f t="shared" si="0"/>
        <v>Otto Porter</v>
      </c>
      <c r="E48" s="2" t="s">
        <v>834</v>
      </c>
      <c r="F48" s="2">
        <v>28.150943396226399</v>
      </c>
      <c r="G48" s="2">
        <v>53</v>
      </c>
      <c r="H48" s="2">
        <v>6500</v>
      </c>
      <c r="I48" s="2" t="s">
        <v>744</v>
      </c>
      <c r="J48" s="2" t="s">
        <v>745</v>
      </c>
      <c r="K48" s="2" t="s">
        <v>4</v>
      </c>
    </row>
    <row r="49" spans="1:13" x14ac:dyDescent="0.25">
      <c r="A49" s="2" t="s">
        <v>835</v>
      </c>
      <c r="B49" s="2" t="s">
        <v>5</v>
      </c>
      <c r="C49" s="2" t="s">
        <v>836</v>
      </c>
      <c r="D49" s="2" t="str">
        <f t="shared" si="0"/>
        <v>Zach Randolph</v>
      </c>
      <c r="E49" s="2" t="s">
        <v>837</v>
      </c>
      <c r="F49" s="2">
        <v>26.899998982747299</v>
      </c>
      <c r="G49" s="2">
        <v>48</v>
      </c>
      <c r="H49" s="2">
        <v>6500</v>
      </c>
      <c r="I49" s="2" t="s">
        <v>782</v>
      </c>
      <c r="J49" s="2" t="s">
        <v>783</v>
      </c>
      <c r="K49" s="2" t="s">
        <v>784</v>
      </c>
    </row>
    <row r="50" spans="1:13" x14ac:dyDescent="0.25">
      <c r="A50" s="2" t="s">
        <v>838</v>
      </c>
      <c r="B50" s="2" t="s">
        <v>6</v>
      </c>
      <c r="C50" s="2" t="s">
        <v>101</v>
      </c>
      <c r="D50" s="2" t="str">
        <f t="shared" si="0"/>
        <v>Robert Covington</v>
      </c>
      <c r="E50" s="2" t="s">
        <v>102</v>
      </c>
      <c r="F50" s="2">
        <v>24.797917683919199</v>
      </c>
      <c r="G50" s="2">
        <v>48</v>
      </c>
      <c r="H50" s="2">
        <v>6400</v>
      </c>
      <c r="I50" s="2" t="s">
        <v>775</v>
      </c>
      <c r="J50" s="2" t="s">
        <v>54</v>
      </c>
      <c r="K50" s="2" t="s">
        <v>44</v>
      </c>
    </row>
    <row r="51" spans="1:13" x14ac:dyDescent="0.25">
      <c r="A51" s="2" t="s">
        <v>839</v>
      </c>
      <c r="B51" s="2" t="s">
        <v>3</v>
      </c>
      <c r="C51" s="2" t="s">
        <v>147</v>
      </c>
      <c r="D51" s="2" t="str">
        <f t="shared" si="0"/>
        <v>Jeremy Lin</v>
      </c>
      <c r="E51" s="2" t="s">
        <v>840</v>
      </c>
      <c r="F51" s="2">
        <v>27.899998982747299</v>
      </c>
      <c r="G51" s="2">
        <v>12</v>
      </c>
      <c r="H51" s="2">
        <v>6400</v>
      </c>
      <c r="I51" s="2" t="s">
        <v>782</v>
      </c>
      <c r="J51" s="2" t="s">
        <v>784</v>
      </c>
      <c r="K51" s="2" t="s">
        <v>783</v>
      </c>
      <c r="L51" s="2" t="s">
        <v>56</v>
      </c>
      <c r="M51" s="2" t="s">
        <v>165</v>
      </c>
    </row>
    <row r="52" spans="1:13" x14ac:dyDescent="0.25">
      <c r="A52" s="2" t="s">
        <v>841</v>
      </c>
      <c r="B52" s="2" t="s">
        <v>5</v>
      </c>
      <c r="C52" s="2" t="s">
        <v>43</v>
      </c>
      <c r="D52" s="2" t="str">
        <f t="shared" si="0"/>
        <v>James Johnson</v>
      </c>
      <c r="E52" s="2" t="s">
        <v>174</v>
      </c>
      <c r="F52" s="2">
        <v>24.891999511718701</v>
      </c>
      <c r="G52" s="2">
        <v>50</v>
      </c>
      <c r="H52" s="2">
        <v>6400</v>
      </c>
      <c r="I52" s="2" t="s">
        <v>770</v>
      </c>
      <c r="J52" s="2" t="s">
        <v>309</v>
      </c>
      <c r="K52" s="2" t="s">
        <v>55</v>
      </c>
    </row>
    <row r="53" spans="1:13" x14ac:dyDescent="0.25">
      <c r="A53" s="2" t="s">
        <v>842</v>
      </c>
      <c r="B53" s="2" t="s">
        <v>8</v>
      </c>
      <c r="C53" s="2" t="s">
        <v>83</v>
      </c>
      <c r="D53" s="2" t="str">
        <f t="shared" si="0"/>
        <v>Victor Oladipo</v>
      </c>
      <c r="E53" s="2" t="s">
        <v>84</v>
      </c>
      <c r="F53" s="2">
        <v>27.167390242866801</v>
      </c>
      <c r="G53" s="2">
        <v>46</v>
      </c>
      <c r="H53" s="2">
        <v>6400</v>
      </c>
      <c r="I53" s="2" t="s">
        <v>744</v>
      </c>
      <c r="J53" s="2" t="s">
        <v>4</v>
      </c>
      <c r="K53" s="2" t="s">
        <v>745</v>
      </c>
    </row>
    <row r="54" spans="1:13" x14ac:dyDescent="0.25">
      <c r="A54" s="2" t="s">
        <v>843</v>
      </c>
      <c r="B54" s="2" t="s">
        <v>6</v>
      </c>
      <c r="C54" s="2" t="s">
        <v>85</v>
      </c>
      <c r="D54" s="2" t="str">
        <f t="shared" si="0"/>
        <v>Harrison Barnes</v>
      </c>
      <c r="E54" s="2" t="s">
        <v>86</v>
      </c>
      <c r="F54" s="2">
        <v>29.6111111111111</v>
      </c>
      <c r="G54" s="2">
        <v>54</v>
      </c>
      <c r="H54" s="2">
        <v>6200</v>
      </c>
      <c r="I54" s="2" t="s">
        <v>755</v>
      </c>
      <c r="J54" s="2" t="s">
        <v>65</v>
      </c>
      <c r="K54" s="2" t="s">
        <v>49</v>
      </c>
    </row>
    <row r="55" spans="1:13" x14ac:dyDescent="0.25">
      <c r="A55" s="2" t="s">
        <v>844</v>
      </c>
      <c r="B55" s="2" t="s">
        <v>7</v>
      </c>
      <c r="C55" s="2" t="s">
        <v>92</v>
      </c>
      <c r="D55" s="2" t="str">
        <f t="shared" si="0"/>
        <v>Steven Adams</v>
      </c>
      <c r="E55" s="2" t="s">
        <v>93</v>
      </c>
      <c r="F55" s="2">
        <v>25.875472158755802</v>
      </c>
      <c r="G55" s="2">
        <v>53</v>
      </c>
      <c r="H55" s="2">
        <v>6200</v>
      </c>
      <c r="I55" s="2" t="s">
        <v>744</v>
      </c>
      <c r="J55" s="2" t="s">
        <v>4</v>
      </c>
      <c r="K55" s="2" t="s">
        <v>745</v>
      </c>
    </row>
    <row r="56" spans="1:13" x14ac:dyDescent="0.25">
      <c r="A56" s="2" t="s">
        <v>845</v>
      </c>
      <c r="B56" s="2" t="s">
        <v>7</v>
      </c>
      <c r="C56" s="2" t="s">
        <v>846</v>
      </c>
      <c r="D56" s="2" t="str">
        <f t="shared" si="0"/>
        <v>Pau Gasol</v>
      </c>
      <c r="E56" s="2" t="s">
        <v>781</v>
      </c>
      <c r="F56" s="2">
        <v>27.174360226362101</v>
      </c>
      <c r="G56" s="2">
        <v>39</v>
      </c>
      <c r="H56" s="2">
        <v>6200</v>
      </c>
      <c r="I56" s="2" t="s">
        <v>766</v>
      </c>
      <c r="J56" s="2" t="s">
        <v>767</v>
      </c>
      <c r="K56" s="2" t="s">
        <v>303</v>
      </c>
      <c r="L56" s="2" t="s">
        <v>56</v>
      </c>
      <c r="M56" s="2" t="s">
        <v>847</v>
      </c>
    </row>
    <row r="57" spans="1:13" x14ac:dyDescent="0.25">
      <c r="A57" s="2" t="s">
        <v>848</v>
      </c>
      <c r="B57" s="2" t="s">
        <v>6</v>
      </c>
      <c r="C57" s="2" t="s">
        <v>81</v>
      </c>
      <c r="D57" s="2" t="str">
        <f t="shared" si="0"/>
        <v>Jae Crowder</v>
      </c>
      <c r="E57" s="2" t="s">
        <v>82</v>
      </c>
      <c r="F57" s="2">
        <v>25.468181263316701</v>
      </c>
      <c r="G57" s="2">
        <v>44</v>
      </c>
      <c r="H57" s="2">
        <v>6200</v>
      </c>
      <c r="I57" s="2" t="s">
        <v>755</v>
      </c>
      <c r="J57" s="2" t="s">
        <v>49</v>
      </c>
      <c r="K57" s="2" t="s">
        <v>65</v>
      </c>
      <c r="L57" s="2" t="s">
        <v>91</v>
      </c>
      <c r="M57" s="2" t="s">
        <v>256</v>
      </c>
    </row>
    <row r="58" spans="1:13" x14ac:dyDescent="0.25">
      <c r="A58" s="2" t="s">
        <v>849</v>
      </c>
      <c r="B58" s="2" t="s">
        <v>3</v>
      </c>
      <c r="C58" s="2" t="s">
        <v>97</v>
      </c>
      <c r="D58" s="2" t="str">
        <f t="shared" si="0"/>
        <v>George Hill</v>
      </c>
      <c r="E58" s="2" t="s">
        <v>98</v>
      </c>
      <c r="F58" s="2">
        <v>29.383333333333301</v>
      </c>
      <c r="G58" s="2">
        <v>30</v>
      </c>
      <c r="H58" s="2">
        <v>6200</v>
      </c>
      <c r="I58" s="2" t="s">
        <v>762</v>
      </c>
      <c r="J58" s="2" t="s">
        <v>64</v>
      </c>
      <c r="K58" s="2" t="s">
        <v>763</v>
      </c>
    </row>
    <row r="59" spans="1:13" x14ac:dyDescent="0.25">
      <c r="A59" s="2" t="s">
        <v>850</v>
      </c>
      <c r="B59" s="2" t="s">
        <v>5</v>
      </c>
      <c r="C59" s="2" t="s">
        <v>94</v>
      </c>
      <c r="D59" s="2" t="str">
        <f t="shared" si="0"/>
        <v>Enes Kanter</v>
      </c>
      <c r="E59" s="2" t="s">
        <v>95</v>
      </c>
      <c r="F59" s="2">
        <v>24.5744680851063</v>
      </c>
      <c r="G59" s="2">
        <v>47</v>
      </c>
      <c r="H59" s="2">
        <v>6100</v>
      </c>
      <c r="I59" s="2" t="s">
        <v>744</v>
      </c>
      <c r="J59" s="2" t="s">
        <v>4</v>
      </c>
      <c r="K59" s="2" t="s">
        <v>745</v>
      </c>
      <c r="L59" s="2" t="s">
        <v>56</v>
      </c>
      <c r="M59" s="2" t="s">
        <v>96</v>
      </c>
    </row>
    <row r="60" spans="1:13" x14ac:dyDescent="0.25">
      <c r="A60" s="2" t="s">
        <v>851</v>
      </c>
      <c r="B60" s="2" t="s">
        <v>5</v>
      </c>
      <c r="C60" s="2" t="s">
        <v>328</v>
      </c>
      <c r="D60" s="2" t="str">
        <f t="shared" si="0"/>
        <v>Kenneth Faried</v>
      </c>
      <c r="E60" s="2" t="s">
        <v>329</v>
      </c>
      <c r="F60" s="2">
        <v>22.787234042553099</v>
      </c>
      <c r="G60" s="2">
        <v>47</v>
      </c>
      <c r="H60" s="2">
        <v>6100</v>
      </c>
      <c r="I60" s="2" t="s">
        <v>757</v>
      </c>
      <c r="J60" s="2" t="s">
        <v>304</v>
      </c>
      <c r="K60" s="2" t="s">
        <v>298</v>
      </c>
      <c r="L60" s="2" t="s">
        <v>56</v>
      </c>
      <c r="M60" s="2" t="s">
        <v>168</v>
      </c>
    </row>
    <row r="61" spans="1:13" x14ac:dyDescent="0.25">
      <c r="A61" s="2" t="s">
        <v>852</v>
      </c>
      <c r="B61" s="2" t="s">
        <v>7</v>
      </c>
      <c r="C61" s="2" t="s">
        <v>325</v>
      </c>
      <c r="D61" s="2" t="str">
        <f t="shared" si="0"/>
        <v>Myles Turner</v>
      </c>
      <c r="E61" s="2" t="s">
        <v>145</v>
      </c>
      <c r="F61" s="2">
        <v>30.450943856869099</v>
      </c>
      <c r="G61" s="2">
        <v>53</v>
      </c>
      <c r="H61" s="2">
        <v>6000</v>
      </c>
      <c r="I61" s="2" t="s">
        <v>766</v>
      </c>
      <c r="J61" s="2" t="s">
        <v>303</v>
      </c>
      <c r="K61" s="2" t="s">
        <v>767</v>
      </c>
    </row>
    <row r="62" spans="1:13" x14ac:dyDescent="0.25">
      <c r="A62" s="2" t="s">
        <v>853</v>
      </c>
      <c r="B62" s="2" t="s">
        <v>3</v>
      </c>
      <c r="C62" s="2" t="s">
        <v>89</v>
      </c>
      <c r="D62" s="2" t="str">
        <f t="shared" si="0"/>
        <v>Deron Williams</v>
      </c>
      <c r="E62" s="2" t="s">
        <v>90</v>
      </c>
      <c r="F62" s="2">
        <v>25.955262836656999</v>
      </c>
      <c r="G62" s="2">
        <v>38</v>
      </c>
      <c r="H62" s="2">
        <v>6000</v>
      </c>
      <c r="I62" s="2" t="s">
        <v>755</v>
      </c>
      <c r="J62" s="2" t="s">
        <v>65</v>
      </c>
      <c r="K62" s="2" t="s">
        <v>49</v>
      </c>
    </row>
    <row r="63" spans="1:13" x14ac:dyDescent="0.25">
      <c r="A63" s="2" t="s">
        <v>854</v>
      </c>
      <c r="B63" s="2" t="s">
        <v>8</v>
      </c>
      <c r="C63" s="2" t="s">
        <v>103</v>
      </c>
      <c r="D63" s="2" t="str">
        <f t="shared" si="0"/>
        <v>Wesley Matthews</v>
      </c>
      <c r="E63" s="2" t="s">
        <v>104</v>
      </c>
      <c r="F63" s="2">
        <v>24.6843142041973</v>
      </c>
      <c r="G63" s="2">
        <v>51</v>
      </c>
      <c r="H63" s="2">
        <v>5900</v>
      </c>
      <c r="I63" s="2" t="s">
        <v>755</v>
      </c>
      <c r="J63" s="2" t="s">
        <v>65</v>
      </c>
      <c r="K63" s="2" t="s">
        <v>49</v>
      </c>
    </row>
    <row r="64" spans="1:13" x14ac:dyDescent="0.25">
      <c r="A64" s="2" t="s">
        <v>855</v>
      </c>
      <c r="B64" s="2" t="s">
        <v>8</v>
      </c>
      <c r="C64" s="2" t="s">
        <v>109</v>
      </c>
      <c r="D64" s="2" t="str">
        <f t="shared" si="0"/>
        <v>Marcus Smart</v>
      </c>
      <c r="E64" s="2" t="s">
        <v>110</v>
      </c>
      <c r="F64" s="2">
        <v>23.737254423253599</v>
      </c>
      <c r="G64" s="2">
        <v>51</v>
      </c>
      <c r="H64" s="2">
        <v>5900</v>
      </c>
      <c r="I64" s="2" t="s">
        <v>755</v>
      </c>
      <c r="J64" s="2" t="s">
        <v>49</v>
      </c>
      <c r="K64" s="2" t="s">
        <v>65</v>
      </c>
    </row>
    <row r="65" spans="1:13" x14ac:dyDescent="0.25">
      <c r="A65" s="2" t="s">
        <v>856</v>
      </c>
      <c r="B65" s="2" t="s">
        <v>7</v>
      </c>
      <c r="C65" s="2" t="s">
        <v>330</v>
      </c>
      <c r="D65" s="2" t="str">
        <f t="shared" si="0"/>
        <v>Greg Monroe</v>
      </c>
      <c r="E65" s="2" t="s">
        <v>331</v>
      </c>
      <c r="F65" s="2">
        <v>24.105769230769202</v>
      </c>
      <c r="G65" s="2">
        <v>52</v>
      </c>
      <c r="H65" s="2">
        <v>5800</v>
      </c>
      <c r="I65" s="2" t="s">
        <v>747</v>
      </c>
      <c r="J65" s="2" t="s">
        <v>302</v>
      </c>
      <c r="K65" s="2" t="s">
        <v>748</v>
      </c>
    </row>
    <row r="66" spans="1:13" x14ac:dyDescent="0.25">
      <c r="A66" s="2" t="s">
        <v>857</v>
      </c>
      <c r="B66" s="2" t="s">
        <v>3</v>
      </c>
      <c r="C66" s="2" t="s">
        <v>87</v>
      </c>
      <c r="D66" s="2" t="str">
        <f t="shared" si="0"/>
        <v>Elfrid Payton</v>
      </c>
      <c r="E66" s="2" t="s">
        <v>88</v>
      </c>
      <c r="F66" s="2">
        <v>26.712500435965399</v>
      </c>
      <c r="G66" s="2">
        <v>56</v>
      </c>
      <c r="H66" s="2">
        <v>5800</v>
      </c>
      <c r="I66" s="2" t="s">
        <v>770</v>
      </c>
      <c r="J66" s="2" t="s">
        <v>55</v>
      </c>
      <c r="K66" s="2" t="s">
        <v>309</v>
      </c>
    </row>
    <row r="67" spans="1:13" x14ac:dyDescent="0.25">
      <c r="A67" s="2" t="s">
        <v>858</v>
      </c>
      <c r="B67" s="2" t="s">
        <v>5</v>
      </c>
      <c r="C67" s="2" t="s">
        <v>99</v>
      </c>
      <c r="D67" s="2" t="str">
        <f t="shared" ref="D67:D130" si="1">C67&amp;" "&amp;E67</f>
        <v>Serge Ibaka</v>
      </c>
      <c r="E67" s="2" t="s">
        <v>100</v>
      </c>
      <c r="F67" s="2">
        <v>28.078182705965901</v>
      </c>
      <c r="G67" s="2">
        <v>55</v>
      </c>
      <c r="H67" s="2">
        <v>5800</v>
      </c>
      <c r="I67" s="2" t="s">
        <v>770</v>
      </c>
      <c r="J67" s="2" t="s">
        <v>55</v>
      </c>
      <c r="K67" s="2" t="s">
        <v>309</v>
      </c>
    </row>
    <row r="68" spans="1:13" x14ac:dyDescent="0.25">
      <c r="A68" s="2" t="s">
        <v>859</v>
      </c>
      <c r="B68" s="2" t="s">
        <v>8</v>
      </c>
      <c r="C68" s="2" t="s">
        <v>326</v>
      </c>
      <c r="D68" s="2" t="str">
        <f t="shared" si="1"/>
        <v>Will Barton</v>
      </c>
      <c r="E68" s="2" t="s">
        <v>327</v>
      </c>
      <c r="F68" s="2">
        <v>24.925000000000001</v>
      </c>
      <c r="G68" s="2">
        <v>40</v>
      </c>
      <c r="H68" s="2">
        <v>5800</v>
      </c>
      <c r="I68" s="2" t="s">
        <v>757</v>
      </c>
      <c r="J68" s="2" t="s">
        <v>304</v>
      </c>
      <c r="K68" s="2" t="s">
        <v>298</v>
      </c>
    </row>
    <row r="69" spans="1:13" x14ac:dyDescent="0.25">
      <c r="A69" s="2" t="s">
        <v>860</v>
      </c>
      <c r="B69" s="2" t="s">
        <v>3</v>
      </c>
      <c r="C69" s="2" t="s">
        <v>223</v>
      </c>
      <c r="D69" s="2" t="str">
        <f t="shared" si="1"/>
        <v>Tyler Johnson</v>
      </c>
      <c r="E69" s="2" t="s">
        <v>174</v>
      </c>
      <c r="F69" s="2">
        <v>26.548937209108999</v>
      </c>
      <c r="G69" s="2">
        <v>47</v>
      </c>
      <c r="H69" s="2">
        <v>5700</v>
      </c>
      <c r="I69" s="2" t="s">
        <v>770</v>
      </c>
      <c r="J69" s="2" t="s">
        <v>309</v>
      </c>
      <c r="K69" s="2" t="s">
        <v>55</v>
      </c>
    </row>
    <row r="70" spans="1:13" x14ac:dyDescent="0.25">
      <c r="A70" s="2" t="s">
        <v>861</v>
      </c>
      <c r="B70" s="2" t="s">
        <v>6</v>
      </c>
      <c r="C70" s="2" t="s">
        <v>109</v>
      </c>
      <c r="D70" s="2" t="str">
        <f t="shared" si="1"/>
        <v>Marcus Morris</v>
      </c>
      <c r="E70" s="2" t="s">
        <v>812</v>
      </c>
      <c r="F70" s="2">
        <v>23.696295844184</v>
      </c>
      <c r="G70" s="2">
        <v>54</v>
      </c>
      <c r="H70" s="2">
        <v>5700</v>
      </c>
      <c r="I70" s="2" t="s">
        <v>747</v>
      </c>
      <c r="J70" s="2" t="s">
        <v>748</v>
      </c>
      <c r="K70" s="2" t="s">
        <v>302</v>
      </c>
    </row>
    <row r="71" spans="1:13" x14ac:dyDescent="0.25">
      <c r="A71" s="2" t="s">
        <v>862</v>
      </c>
      <c r="B71" s="2" t="s">
        <v>3</v>
      </c>
      <c r="C71" s="2" t="s">
        <v>863</v>
      </c>
      <c r="D71" s="2" t="str">
        <f t="shared" si="1"/>
        <v>Reggie Jackson</v>
      </c>
      <c r="E71" s="2" t="s">
        <v>207</v>
      </c>
      <c r="F71" s="2">
        <v>25.449999640969601</v>
      </c>
      <c r="G71" s="2">
        <v>34</v>
      </c>
      <c r="H71" s="2">
        <v>5700</v>
      </c>
      <c r="I71" s="2" t="s">
        <v>747</v>
      </c>
      <c r="J71" s="2" t="s">
        <v>748</v>
      </c>
      <c r="K71" s="2" t="s">
        <v>302</v>
      </c>
    </row>
    <row r="72" spans="1:13" x14ac:dyDescent="0.25">
      <c r="A72" s="2" t="s">
        <v>864</v>
      </c>
      <c r="B72" s="2" t="s">
        <v>3</v>
      </c>
      <c r="C72" s="2" t="s">
        <v>865</v>
      </c>
      <c r="D72" s="2" t="str">
        <f t="shared" si="1"/>
        <v>Austin Rivers</v>
      </c>
      <c r="E72" s="2" t="s">
        <v>866</v>
      </c>
      <c r="F72" s="2">
        <v>19.3365384615384</v>
      </c>
      <c r="G72" s="2">
        <v>52</v>
      </c>
      <c r="H72" s="2">
        <v>5700</v>
      </c>
      <c r="I72" s="2" t="s">
        <v>762</v>
      </c>
      <c r="J72" s="2" t="s">
        <v>763</v>
      </c>
      <c r="K72" s="2" t="s">
        <v>64</v>
      </c>
    </row>
    <row r="73" spans="1:13" x14ac:dyDescent="0.25">
      <c r="A73" s="2" t="s">
        <v>867</v>
      </c>
      <c r="B73" s="2" t="s">
        <v>5</v>
      </c>
      <c r="C73" s="2" t="s">
        <v>107</v>
      </c>
      <c r="D73" s="2" t="str">
        <f t="shared" si="1"/>
        <v>Dirk Nowitzki</v>
      </c>
      <c r="E73" s="2" t="s">
        <v>108</v>
      </c>
      <c r="F73" s="2">
        <v>24.5</v>
      </c>
      <c r="G73" s="2">
        <v>28</v>
      </c>
      <c r="H73" s="2">
        <v>5700</v>
      </c>
      <c r="I73" s="2" t="s">
        <v>755</v>
      </c>
      <c r="J73" s="2" t="s">
        <v>65</v>
      </c>
      <c r="K73" s="2" t="s">
        <v>49</v>
      </c>
    </row>
    <row r="74" spans="1:13" x14ac:dyDescent="0.25">
      <c r="A74" s="2" t="s">
        <v>868</v>
      </c>
      <c r="B74" s="2" t="s">
        <v>8</v>
      </c>
      <c r="C74" s="2" t="s">
        <v>228</v>
      </c>
      <c r="D74" s="2" t="str">
        <f t="shared" si="1"/>
        <v>Tim Hardaway Jr.</v>
      </c>
      <c r="E74" s="2" t="s">
        <v>869</v>
      </c>
      <c r="F74" s="2">
        <v>19.484615619365901</v>
      </c>
      <c r="G74" s="2">
        <v>52</v>
      </c>
      <c r="H74" s="2">
        <v>5700</v>
      </c>
      <c r="I74" s="2" t="s">
        <v>777</v>
      </c>
      <c r="J74" s="2" t="s">
        <v>778</v>
      </c>
      <c r="K74" s="2" t="s">
        <v>50</v>
      </c>
    </row>
    <row r="75" spans="1:13" x14ac:dyDescent="0.25">
      <c r="A75" s="2" t="s">
        <v>870</v>
      </c>
      <c r="B75" s="2" t="s">
        <v>3</v>
      </c>
      <c r="C75" s="2" t="s">
        <v>105</v>
      </c>
      <c r="D75" s="2" t="str">
        <f t="shared" si="1"/>
        <v>Yogi Ferrell</v>
      </c>
      <c r="E75" s="2" t="s">
        <v>106</v>
      </c>
      <c r="F75" s="2">
        <v>17.1111111111111</v>
      </c>
      <c r="G75" s="2">
        <v>18</v>
      </c>
      <c r="H75" s="2">
        <v>5600</v>
      </c>
      <c r="I75" s="2" t="s">
        <v>755</v>
      </c>
      <c r="J75" s="2" t="s">
        <v>65</v>
      </c>
      <c r="K75" s="2" t="s">
        <v>49</v>
      </c>
    </row>
    <row r="76" spans="1:13" x14ac:dyDescent="0.25">
      <c r="A76" s="2" t="s">
        <v>871</v>
      </c>
      <c r="B76" s="2" t="s">
        <v>6</v>
      </c>
      <c r="C76" s="2" t="s">
        <v>116</v>
      </c>
      <c r="D76" s="2" t="str">
        <f t="shared" si="1"/>
        <v>Michael Kidd-Gilchrist</v>
      </c>
      <c r="E76" s="2" t="s">
        <v>117</v>
      </c>
      <c r="F76" s="2">
        <v>22.945282558225198</v>
      </c>
      <c r="G76" s="2">
        <v>53</v>
      </c>
      <c r="H76" s="2">
        <v>5600</v>
      </c>
      <c r="I76" s="2" t="s">
        <v>775</v>
      </c>
      <c r="J76" s="2" t="s">
        <v>44</v>
      </c>
      <c r="K76" s="2" t="s">
        <v>54</v>
      </c>
    </row>
    <row r="77" spans="1:13" x14ac:dyDescent="0.25">
      <c r="A77" s="2" t="s">
        <v>872</v>
      </c>
      <c r="B77" s="2" t="s">
        <v>5</v>
      </c>
      <c r="C77" s="2" t="s">
        <v>120</v>
      </c>
      <c r="D77" s="2" t="str">
        <f t="shared" si="1"/>
        <v>Al-Farouq Aminu</v>
      </c>
      <c r="E77" s="2" t="s">
        <v>121</v>
      </c>
      <c r="F77" s="2">
        <v>21.7527770996093</v>
      </c>
      <c r="G77" s="2">
        <v>36</v>
      </c>
      <c r="H77" s="2">
        <v>5500</v>
      </c>
      <c r="I77" s="2" t="s">
        <v>777</v>
      </c>
      <c r="J77" s="2" t="s">
        <v>50</v>
      </c>
      <c r="K77" s="2" t="s">
        <v>778</v>
      </c>
    </row>
    <row r="78" spans="1:13" x14ac:dyDescent="0.25">
      <c r="A78" s="2" t="s">
        <v>873</v>
      </c>
      <c r="B78" s="2" t="s">
        <v>5</v>
      </c>
      <c r="C78" s="2" t="s">
        <v>874</v>
      </c>
      <c r="D78" s="2" t="str">
        <f t="shared" si="1"/>
        <v>Tobias Harris</v>
      </c>
      <c r="E78" s="2" t="s">
        <v>167</v>
      </c>
      <c r="F78" s="2">
        <v>26.274545010653402</v>
      </c>
      <c r="G78" s="2">
        <v>55</v>
      </c>
      <c r="H78" s="2">
        <v>5500</v>
      </c>
      <c r="I78" s="2" t="s">
        <v>747</v>
      </c>
      <c r="J78" s="2" t="s">
        <v>748</v>
      </c>
      <c r="K78" s="2" t="s">
        <v>302</v>
      </c>
    </row>
    <row r="79" spans="1:13" x14ac:dyDescent="0.25">
      <c r="A79" s="2" t="s">
        <v>875</v>
      </c>
      <c r="B79" s="2" t="s">
        <v>5</v>
      </c>
      <c r="C79" s="2" t="s">
        <v>111</v>
      </c>
      <c r="D79" s="2" t="str">
        <f t="shared" si="1"/>
        <v>Ersan Ilyasova</v>
      </c>
      <c r="E79" s="2" t="s">
        <v>112</v>
      </c>
      <c r="F79" s="2">
        <v>24.6925930447048</v>
      </c>
      <c r="G79" s="2">
        <v>54</v>
      </c>
      <c r="H79" s="2">
        <v>5500</v>
      </c>
      <c r="I79" s="2" t="s">
        <v>775</v>
      </c>
      <c r="J79" s="2" t="s">
        <v>54</v>
      </c>
      <c r="K79" s="2" t="s">
        <v>44</v>
      </c>
    </row>
    <row r="80" spans="1:13" x14ac:dyDescent="0.25">
      <c r="A80" s="2" t="s">
        <v>876</v>
      </c>
      <c r="B80" s="2" t="s">
        <v>5</v>
      </c>
      <c r="C80" s="2" t="s">
        <v>877</v>
      </c>
      <c r="D80" s="2" t="str">
        <f t="shared" si="1"/>
        <v>Terrence Jones</v>
      </c>
      <c r="E80" s="2" t="s">
        <v>210</v>
      </c>
      <c r="F80" s="2">
        <v>22.982352462469301</v>
      </c>
      <c r="G80" s="2">
        <v>51</v>
      </c>
      <c r="H80" s="2">
        <v>5500</v>
      </c>
      <c r="I80" s="2" t="s">
        <v>750</v>
      </c>
      <c r="J80" s="2" t="s">
        <v>751</v>
      </c>
      <c r="K80" s="2" t="s">
        <v>299</v>
      </c>
      <c r="L80" s="2" t="s">
        <v>91</v>
      </c>
      <c r="M80" s="2" t="s">
        <v>182</v>
      </c>
    </row>
    <row r="81" spans="1:13" x14ac:dyDescent="0.25">
      <c r="A81" s="2" t="s">
        <v>878</v>
      </c>
      <c r="B81" s="2" t="s">
        <v>3</v>
      </c>
      <c r="C81" s="2" t="s">
        <v>133</v>
      </c>
      <c r="D81" s="2" t="str">
        <f t="shared" si="1"/>
        <v>T.J. McConnell</v>
      </c>
      <c r="E81" s="2" t="s">
        <v>134</v>
      </c>
      <c r="F81" s="2">
        <v>20.096225954451601</v>
      </c>
      <c r="G81" s="2">
        <v>53</v>
      </c>
      <c r="H81" s="2">
        <v>5500</v>
      </c>
      <c r="I81" s="2" t="s">
        <v>775</v>
      </c>
      <c r="J81" s="2" t="s">
        <v>54</v>
      </c>
      <c r="K81" s="2" t="s">
        <v>44</v>
      </c>
    </row>
    <row r="82" spans="1:13" x14ac:dyDescent="0.25">
      <c r="A82" s="2" t="s">
        <v>879</v>
      </c>
      <c r="B82" s="2" t="s">
        <v>8</v>
      </c>
      <c r="C82" s="2" t="s">
        <v>122</v>
      </c>
      <c r="D82" s="2" t="str">
        <f t="shared" si="1"/>
        <v>Evan Fournier</v>
      </c>
      <c r="E82" s="2" t="s">
        <v>123</v>
      </c>
      <c r="F82" s="2">
        <v>25.5697674418604</v>
      </c>
      <c r="G82" s="2">
        <v>43</v>
      </c>
      <c r="H82" s="2">
        <v>5400</v>
      </c>
      <c r="I82" s="2" t="s">
        <v>770</v>
      </c>
      <c r="J82" s="2" t="s">
        <v>55</v>
      </c>
      <c r="K82" s="2" t="s">
        <v>309</v>
      </c>
    </row>
    <row r="83" spans="1:13" x14ac:dyDescent="0.25">
      <c r="A83" s="2" t="s">
        <v>880</v>
      </c>
      <c r="B83" s="2" t="s">
        <v>8</v>
      </c>
      <c r="C83" s="2" t="s">
        <v>131</v>
      </c>
      <c r="D83" s="2" t="str">
        <f t="shared" si="1"/>
        <v>Seth Curry</v>
      </c>
      <c r="E83" s="2" t="s">
        <v>132</v>
      </c>
      <c r="F83" s="2">
        <v>20.028000488281201</v>
      </c>
      <c r="G83" s="2">
        <v>50</v>
      </c>
      <c r="H83" s="2">
        <v>5400</v>
      </c>
      <c r="I83" s="2" t="s">
        <v>755</v>
      </c>
      <c r="J83" s="2" t="s">
        <v>65</v>
      </c>
      <c r="K83" s="2" t="s">
        <v>49</v>
      </c>
    </row>
    <row r="84" spans="1:13" x14ac:dyDescent="0.25">
      <c r="A84" s="2" t="s">
        <v>881</v>
      </c>
      <c r="B84" s="2" t="s">
        <v>5</v>
      </c>
      <c r="C84" s="2" t="s">
        <v>128</v>
      </c>
      <c r="D84" s="2" t="str">
        <f t="shared" si="1"/>
        <v>Marvin Williams</v>
      </c>
      <c r="E84" s="2" t="s">
        <v>90</v>
      </c>
      <c r="F84" s="2">
        <v>21.477083841959601</v>
      </c>
      <c r="G84" s="2">
        <v>48</v>
      </c>
      <c r="H84" s="2">
        <v>5400</v>
      </c>
      <c r="I84" s="2" t="s">
        <v>775</v>
      </c>
      <c r="J84" s="2" t="s">
        <v>44</v>
      </c>
      <c r="K84" s="2" t="s">
        <v>54</v>
      </c>
    </row>
    <row r="85" spans="1:13" x14ac:dyDescent="0.25">
      <c r="A85" s="2" t="s">
        <v>882</v>
      </c>
      <c r="B85" s="2" t="s">
        <v>5</v>
      </c>
      <c r="C85" s="2" t="s">
        <v>118</v>
      </c>
      <c r="D85" s="2" t="str">
        <f t="shared" si="1"/>
        <v>Nerlens Noel</v>
      </c>
      <c r="E85" s="2" t="s">
        <v>119</v>
      </c>
      <c r="F85" s="2">
        <v>19.259259259259199</v>
      </c>
      <c r="G85" s="2">
        <v>27</v>
      </c>
      <c r="H85" s="2">
        <v>5400</v>
      </c>
      <c r="I85" s="2" t="s">
        <v>775</v>
      </c>
      <c r="J85" s="2" t="s">
        <v>54</v>
      </c>
      <c r="K85" s="2" t="s">
        <v>44</v>
      </c>
    </row>
    <row r="86" spans="1:13" x14ac:dyDescent="0.25">
      <c r="A86" s="2" t="s">
        <v>883</v>
      </c>
      <c r="B86" s="2" t="s">
        <v>5</v>
      </c>
      <c r="C86" s="2" t="s">
        <v>332</v>
      </c>
      <c r="D86" s="2" t="str">
        <f t="shared" si="1"/>
        <v>Thaddeus Young</v>
      </c>
      <c r="E86" s="2" t="s">
        <v>255</v>
      </c>
      <c r="F86" s="2">
        <v>24.475511200573902</v>
      </c>
      <c r="G86" s="2">
        <v>49</v>
      </c>
      <c r="H86" s="2">
        <v>5400</v>
      </c>
      <c r="I86" s="2" t="s">
        <v>766</v>
      </c>
      <c r="J86" s="2" t="s">
        <v>303</v>
      </c>
      <c r="K86" s="2" t="s">
        <v>767</v>
      </c>
      <c r="L86" s="2" t="s">
        <v>91</v>
      </c>
      <c r="M86" s="2" t="s">
        <v>333</v>
      </c>
    </row>
    <row r="87" spans="1:13" x14ac:dyDescent="0.25">
      <c r="A87" s="2" t="s">
        <v>884</v>
      </c>
      <c r="B87" s="2" t="s">
        <v>7</v>
      </c>
      <c r="C87" s="2" t="s">
        <v>334</v>
      </c>
      <c r="D87" s="2" t="str">
        <f t="shared" si="1"/>
        <v>Tyson Chandler</v>
      </c>
      <c r="E87" s="2" t="s">
        <v>324</v>
      </c>
      <c r="F87" s="2">
        <v>24.266666666666602</v>
      </c>
      <c r="G87" s="2">
        <v>45</v>
      </c>
      <c r="H87" s="2">
        <v>5300</v>
      </c>
      <c r="I87" s="2" t="s">
        <v>750</v>
      </c>
      <c r="J87" s="2" t="s">
        <v>299</v>
      </c>
      <c r="K87" s="2" t="s">
        <v>751</v>
      </c>
      <c r="L87" s="2" t="s">
        <v>91</v>
      </c>
      <c r="M87" s="2" t="s">
        <v>168</v>
      </c>
    </row>
    <row r="88" spans="1:13" x14ac:dyDescent="0.25">
      <c r="A88" s="2" t="s">
        <v>885</v>
      </c>
      <c r="B88" s="2" t="s">
        <v>8</v>
      </c>
      <c r="C88" s="2" t="s">
        <v>211</v>
      </c>
      <c r="D88" s="2" t="str">
        <f t="shared" si="1"/>
        <v>Josh Richardson</v>
      </c>
      <c r="E88" s="2" t="s">
        <v>336</v>
      </c>
      <c r="F88" s="2">
        <v>20.7535705566406</v>
      </c>
      <c r="G88" s="2">
        <v>28</v>
      </c>
      <c r="H88" s="2">
        <v>5300</v>
      </c>
      <c r="I88" s="2" t="s">
        <v>770</v>
      </c>
      <c r="J88" s="2" t="s">
        <v>309</v>
      </c>
      <c r="K88" s="2" t="s">
        <v>55</v>
      </c>
      <c r="L88" s="2" t="s">
        <v>56</v>
      </c>
      <c r="M88" s="2" t="s">
        <v>168</v>
      </c>
    </row>
    <row r="89" spans="1:13" x14ac:dyDescent="0.25">
      <c r="A89" s="2" t="s">
        <v>886</v>
      </c>
      <c r="B89" s="2" t="s">
        <v>5</v>
      </c>
      <c r="C89" s="2" t="s">
        <v>124</v>
      </c>
      <c r="D89" s="2" t="str">
        <f t="shared" si="1"/>
        <v>Trevor Booker</v>
      </c>
      <c r="E89" s="2" t="s">
        <v>321</v>
      </c>
      <c r="F89" s="2">
        <v>25.4061229472257</v>
      </c>
      <c r="G89" s="2">
        <v>49</v>
      </c>
      <c r="H89" s="2">
        <v>5200</v>
      </c>
      <c r="I89" s="2" t="s">
        <v>782</v>
      </c>
      <c r="J89" s="2" t="s">
        <v>784</v>
      </c>
      <c r="K89" s="2" t="s">
        <v>783</v>
      </c>
    </row>
    <row r="90" spans="1:13" x14ac:dyDescent="0.25">
      <c r="A90" s="2" t="s">
        <v>887</v>
      </c>
      <c r="B90" s="2" t="s">
        <v>7</v>
      </c>
      <c r="C90" s="2" t="s">
        <v>125</v>
      </c>
      <c r="D90" s="2" t="str">
        <f t="shared" si="1"/>
        <v>Cody Zeller</v>
      </c>
      <c r="E90" s="2" t="s">
        <v>126</v>
      </c>
      <c r="F90" s="2">
        <v>23.1435891175881</v>
      </c>
      <c r="G90" s="2">
        <v>39</v>
      </c>
      <c r="H90" s="2">
        <v>5200</v>
      </c>
      <c r="I90" s="2" t="s">
        <v>775</v>
      </c>
      <c r="J90" s="2" t="s">
        <v>44</v>
      </c>
      <c r="K90" s="2" t="s">
        <v>54</v>
      </c>
      <c r="L90" s="2" t="s">
        <v>91</v>
      </c>
      <c r="M90" s="2" t="s">
        <v>127</v>
      </c>
    </row>
    <row r="91" spans="1:13" x14ac:dyDescent="0.25">
      <c r="A91" s="2" t="s">
        <v>888</v>
      </c>
      <c r="B91" s="2" t="s">
        <v>8</v>
      </c>
      <c r="C91" s="2" t="s">
        <v>337</v>
      </c>
      <c r="D91" s="2" t="str">
        <f t="shared" si="1"/>
        <v>Gary Harris</v>
      </c>
      <c r="E91" s="2" t="s">
        <v>167</v>
      </c>
      <c r="F91" s="2">
        <v>22.126666259765599</v>
      </c>
      <c r="G91" s="2">
        <v>30</v>
      </c>
      <c r="H91" s="2">
        <v>5200</v>
      </c>
      <c r="I91" s="2" t="s">
        <v>757</v>
      </c>
      <c r="J91" s="2" t="s">
        <v>304</v>
      </c>
      <c r="K91" s="2" t="s">
        <v>298</v>
      </c>
      <c r="L91" s="2" t="s">
        <v>91</v>
      </c>
      <c r="M91" s="2" t="s">
        <v>165</v>
      </c>
    </row>
    <row r="92" spans="1:13" x14ac:dyDescent="0.25">
      <c r="A92" s="2" t="s">
        <v>889</v>
      </c>
      <c r="B92" s="2" t="s">
        <v>3</v>
      </c>
      <c r="C92" s="2" t="s">
        <v>338</v>
      </c>
      <c r="D92" s="2" t="str">
        <f t="shared" si="1"/>
        <v>Malcolm Brogdon</v>
      </c>
      <c r="E92" s="2" t="s">
        <v>339</v>
      </c>
      <c r="F92" s="2">
        <v>20.0566037735849</v>
      </c>
      <c r="G92" s="2">
        <v>53</v>
      </c>
      <c r="H92" s="2">
        <v>5200</v>
      </c>
      <c r="I92" s="2" t="s">
        <v>747</v>
      </c>
      <c r="J92" s="2" t="s">
        <v>302</v>
      </c>
      <c r="K92" s="2" t="s">
        <v>748</v>
      </c>
    </row>
    <row r="93" spans="1:13" x14ac:dyDescent="0.25">
      <c r="A93" s="2" t="s">
        <v>890</v>
      </c>
      <c r="B93" s="2" t="s">
        <v>8</v>
      </c>
      <c r="C93" s="2" t="s">
        <v>364</v>
      </c>
      <c r="D93" s="2" t="str">
        <f t="shared" si="1"/>
        <v>Jamal Crawford</v>
      </c>
      <c r="E93" s="2" t="s">
        <v>891</v>
      </c>
      <c r="F93" s="2">
        <v>19.072222674334402</v>
      </c>
      <c r="G93" s="2">
        <v>54</v>
      </c>
      <c r="H93" s="2">
        <v>5100</v>
      </c>
      <c r="I93" s="2" t="s">
        <v>762</v>
      </c>
      <c r="J93" s="2" t="s">
        <v>763</v>
      </c>
      <c r="K93" s="2" t="s">
        <v>64</v>
      </c>
    </row>
    <row r="94" spans="1:13" x14ac:dyDescent="0.25">
      <c r="A94" s="2" t="s">
        <v>892</v>
      </c>
      <c r="B94" s="2" t="s">
        <v>5</v>
      </c>
      <c r="C94" s="2" t="s">
        <v>152</v>
      </c>
      <c r="D94" s="2" t="str">
        <f t="shared" si="1"/>
        <v>Dario Saric</v>
      </c>
      <c r="E94" s="2" t="s">
        <v>153</v>
      </c>
      <c r="F94" s="2">
        <v>19.894445348668899</v>
      </c>
      <c r="G94" s="2">
        <v>54</v>
      </c>
      <c r="H94" s="2">
        <v>5100</v>
      </c>
      <c r="I94" s="2" t="s">
        <v>775</v>
      </c>
      <c r="J94" s="2" t="s">
        <v>54</v>
      </c>
      <c r="K94" s="2" t="s">
        <v>44</v>
      </c>
    </row>
    <row r="95" spans="1:13" x14ac:dyDescent="0.25">
      <c r="A95" s="2" t="s">
        <v>893</v>
      </c>
      <c r="B95" s="2" t="s">
        <v>8</v>
      </c>
      <c r="C95" s="2" t="s">
        <v>894</v>
      </c>
      <c r="D95" s="2" t="str">
        <f t="shared" si="1"/>
        <v>Kentavious Caldwell-Pope</v>
      </c>
      <c r="E95" s="2" t="s">
        <v>895</v>
      </c>
      <c r="F95" s="2">
        <v>24.373999023437499</v>
      </c>
      <c r="G95" s="2">
        <v>50</v>
      </c>
      <c r="H95" s="2">
        <v>5100</v>
      </c>
      <c r="I95" s="2" t="s">
        <v>747</v>
      </c>
      <c r="J95" s="2" t="s">
        <v>748</v>
      </c>
      <c r="K95" s="2" t="s">
        <v>302</v>
      </c>
    </row>
    <row r="96" spans="1:13" x14ac:dyDescent="0.25">
      <c r="A96" s="2" t="s">
        <v>896</v>
      </c>
      <c r="B96" s="2" t="s">
        <v>5</v>
      </c>
      <c r="C96" s="2" t="s">
        <v>432</v>
      </c>
      <c r="D96" s="2" t="str">
        <f t="shared" si="1"/>
        <v>David Lee</v>
      </c>
      <c r="E96" s="2" t="s">
        <v>897</v>
      </c>
      <c r="F96" s="2">
        <v>17.152829728036501</v>
      </c>
      <c r="G96" s="2">
        <v>53</v>
      </c>
      <c r="H96" s="2">
        <v>5100</v>
      </c>
      <c r="I96" s="2" t="s">
        <v>766</v>
      </c>
      <c r="J96" s="2" t="s">
        <v>767</v>
      </c>
      <c r="K96" s="2" t="s">
        <v>303</v>
      </c>
    </row>
    <row r="97" spans="1:13" x14ac:dyDescent="0.25">
      <c r="A97" s="2" t="s">
        <v>898</v>
      </c>
      <c r="B97" s="2" t="s">
        <v>6</v>
      </c>
      <c r="C97" s="2" t="s">
        <v>135</v>
      </c>
      <c r="D97" s="2" t="str">
        <f t="shared" si="1"/>
        <v>Ben Simmons</v>
      </c>
      <c r="E97" s="2" t="s">
        <v>136</v>
      </c>
      <c r="F97" s="2">
        <v>0</v>
      </c>
      <c r="G97" s="2">
        <v>0</v>
      </c>
      <c r="H97" s="2">
        <v>5000</v>
      </c>
      <c r="I97" s="2" t="s">
        <v>775</v>
      </c>
      <c r="J97" s="2" t="s">
        <v>54</v>
      </c>
      <c r="K97" s="2" t="s">
        <v>44</v>
      </c>
      <c r="L97" s="2" t="s">
        <v>56</v>
      </c>
      <c r="M97" s="2" t="s">
        <v>137</v>
      </c>
    </row>
    <row r="98" spans="1:13" x14ac:dyDescent="0.25">
      <c r="A98" s="2" t="s">
        <v>899</v>
      </c>
      <c r="B98" s="2" t="s">
        <v>3</v>
      </c>
      <c r="C98" s="2" t="s">
        <v>353</v>
      </c>
      <c r="D98" s="2" t="str">
        <f t="shared" si="1"/>
        <v>Jameer Nelson</v>
      </c>
      <c r="E98" s="2" t="s">
        <v>354</v>
      </c>
      <c r="F98" s="2">
        <v>18.5555555555555</v>
      </c>
      <c r="G98" s="2">
        <v>54</v>
      </c>
      <c r="H98" s="2">
        <v>5000</v>
      </c>
      <c r="I98" s="2" t="s">
        <v>757</v>
      </c>
      <c r="J98" s="2" t="s">
        <v>304</v>
      </c>
      <c r="K98" s="2" t="s">
        <v>298</v>
      </c>
    </row>
    <row r="99" spans="1:13" x14ac:dyDescent="0.25">
      <c r="A99" s="2" t="s">
        <v>900</v>
      </c>
      <c r="B99" s="2" t="s">
        <v>5</v>
      </c>
      <c r="C99" s="2" t="s">
        <v>129</v>
      </c>
      <c r="D99" s="2" t="str">
        <f t="shared" si="1"/>
        <v>Derrick Favors</v>
      </c>
      <c r="E99" s="2" t="s">
        <v>130</v>
      </c>
      <c r="F99" s="2">
        <v>20.389473362972801</v>
      </c>
      <c r="G99" s="2">
        <v>38</v>
      </c>
      <c r="H99" s="2">
        <v>4900</v>
      </c>
      <c r="I99" s="2" t="s">
        <v>762</v>
      </c>
      <c r="J99" s="2" t="s">
        <v>64</v>
      </c>
      <c r="K99" s="2" t="s">
        <v>763</v>
      </c>
    </row>
    <row r="100" spans="1:13" x14ac:dyDescent="0.25">
      <c r="A100" s="2" t="s">
        <v>901</v>
      </c>
      <c r="B100" s="2" t="s">
        <v>6</v>
      </c>
      <c r="C100" s="2" t="s">
        <v>133</v>
      </c>
      <c r="D100" s="2" t="str">
        <f t="shared" si="1"/>
        <v>T.J. Warren</v>
      </c>
      <c r="E100" s="2" t="s">
        <v>346</v>
      </c>
      <c r="F100" s="2">
        <v>21.754762195405501</v>
      </c>
      <c r="G100" s="2">
        <v>42</v>
      </c>
      <c r="H100" s="2">
        <v>4900</v>
      </c>
      <c r="I100" s="2" t="s">
        <v>750</v>
      </c>
      <c r="J100" s="2" t="s">
        <v>299</v>
      </c>
      <c r="K100" s="2" t="s">
        <v>751</v>
      </c>
    </row>
    <row r="101" spans="1:13" x14ac:dyDescent="0.25">
      <c r="A101" s="2" t="s">
        <v>902</v>
      </c>
      <c r="B101" s="2" t="s">
        <v>3</v>
      </c>
      <c r="C101" s="2" t="s">
        <v>340</v>
      </c>
      <c r="D101" s="2" t="str">
        <f t="shared" si="1"/>
        <v>Emmanuel Mudiay</v>
      </c>
      <c r="E101" s="2" t="s">
        <v>341</v>
      </c>
      <c r="F101" s="2">
        <v>21.988636363636299</v>
      </c>
      <c r="G101" s="2">
        <v>44</v>
      </c>
      <c r="H101" s="2">
        <v>4900</v>
      </c>
      <c r="I101" s="2" t="s">
        <v>757</v>
      </c>
      <c r="J101" s="2" t="s">
        <v>304</v>
      </c>
      <c r="K101" s="2" t="s">
        <v>298</v>
      </c>
      <c r="L101" s="2" t="s">
        <v>91</v>
      </c>
      <c r="M101" s="2" t="s">
        <v>335</v>
      </c>
    </row>
    <row r="102" spans="1:13" x14ac:dyDescent="0.25">
      <c r="A102" s="2" t="s">
        <v>903</v>
      </c>
      <c r="B102" s="2" t="s">
        <v>8</v>
      </c>
      <c r="C102" s="2" t="s">
        <v>366</v>
      </c>
      <c r="D102" s="2" t="str">
        <f t="shared" si="1"/>
        <v>Tony Allen</v>
      </c>
      <c r="E102" s="2" t="s">
        <v>240</v>
      </c>
      <c r="F102" s="2">
        <v>21.220832824706999</v>
      </c>
      <c r="G102" s="2">
        <v>48</v>
      </c>
      <c r="H102" s="2">
        <v>4900</v>
      </c>
      <c r="I102" s="2" t="s">
        <v>782</v>
      </c>
      <c r="J102" s="2" t="s">
        <v>783</v>
      </c>
      <c r="K102" s="2" t="s">
        <v>784</v>
      </c>
    </row>
    <row r="103" spans="1:13" x14ac:dyDescent="0.25">
      <c r="A103" s="2" t="s">
        <v>904</v>
      </c>
      <c r="B103" s="2" t="s">
        <v>6</v>
      </c>
      <c r="C103" s="2" t="s">
        <v>342</v>
      </c>
      <c r="D103" s="2" t="str">
        <f t="shared" si="1"/>
        <v>P.J. Tucker</v>
      </c>
      <c r="E103" s="2" t="s">
        <v>343</v>
      </c>
      <c r="F103" s="2">
        <v>18.6290904651988</v>
      </c>
      <c r="G103" s="2">
        <v>55</v>
      </c>
      <c r="H103" s="2">
        <v>4900</v>
      </c>
      <c r="I103" s="2" t="s">
        <v>750</v>
      </c>
      <c r="J103" s="2" t="s">
        <v>299</v>
      </c>
      <c r="K103" s="2" t="s">
        <v>751</v>
      </c>
    </row>
    <row r="104" spans="1:13" x14ac:dyDescent="0.25">
      <c r="A104" s="2" t="s">
        <v>905</v>
      </c>
      <c r="B104" s="2" t="s">
        <v>5</v>
      </c>
      <c r="C104" s="2" t="s">
        <v>138</v>
      </c>
      <c r="D104" s="2" t="str">
        <f t="shared" si="1"/>
        <v>Frank Kaminsky</v>
      </c>
      <c r="E104" s="2" t="s">
        <v>139</v>
      </c>
      <c r="F104" s="2">
        <v>20.182692307692299</v>
      </c>
      <c r="G104" s="2">
        <v>52</v>
      </c>
      <c r="H104" s="2">
        <v>4800</v>
      </c>
      <c r="I104" s="2" t="s">
        <v>775</v>
      </c>
      <c r="J104" s="2" t="s">
        <v>44</v>
      </c>
      <c r="K104" s="2" t="s">
        <v>54</v>
      </c>
    </row>
    <row r="105" spans="1:13" x14ac:dyDescent="0.25">
      <c r="A105" s="2" t="s">
        <v>906</v>
      </c>
      <c r="B105" s="2" t="s">
        <v>5</v>
      </c>
      <c r="C105" s="2" t="s">
        <v>907</v>
      </c>
      <c r="D105" s="2" t="str">
        <f t="shared" si="1"/>
        <v>Jon Leuer</v>
      </c>
      <c r="E105" s="2" t="s">
        <v>908</v>
      </c>
      <c r="F105" s="2">
        <v>20.993876554528001</v>
      </c>
      <c r="G105" s="2">
        <v>49</v>
      </c>
      <c r="H105" s="2">
        <v>4800</v>
      </c>
      <c r="I105" s="2" t="s">
        <v>747</v>
      </c>
      <c r="J105" s="2" t="s">
        <v>748</v>
      </c>
      <c r="K105" s="2" t="s">
        <v>302</v>
      </c>
    </row>
    <row r="106" spans="1:13" x14ac:dyDescent="0.25">
      <c r="A106" s="2" t="s">
        <v>909</v>
      </c>
      <c r="B106" s="2" t="s">
        <v>6</v>
      </c>
      <c r="C106" s="2" t="s">
        <v>910</v>
      </c>
      <c r="D106" s="2" t="str">
        <f t="shared" si="1"/>
        <v>Kent Bazemore</v>
      </c>
      <c r="E106" s="2" t="s">
        <v>911</v>
      </c>
      <c r="F106" s="2">
        <v>20.967308631310001</v>
      </c>
      <c r="G106" s="2">
        <v>52</v>
      </c>
      <c r="H106" s="2">
        <v>4800</v>
      </c>
      <c r="I106" s="2" t="s">
        <v>777</v>
      </c>
      <c r="J106" s="2" t="s">
        <v>778</v>
      </c>
      <c r="K106" s="2" t="s">
        <v>50</v>
      </c>
    </row>
    <row r="107" spans="1:13" x14ac:dyDescent="0.25">
      <c r="A107" s="2" t="s">
        <v>912</v>
      </c>
      <c r="B107" s="2" t="s">
        <v>5</v>
      </c>
      <c r="C107" s="2" t="s">
        <v>913</v>
      </c>
      <c r="D107" s="2" t="str">
        <f t="shared" si="1"/>
        <v>JaMychal Green</v>
      </c>
      <c r="E107" s="2" t="s">
        <v>235</v>
      </c>
      <c r="F107" s="2">
        <v>20.985184280960599</v>
      </c>
      <c r="G107" s="2">
        <v>54</v>
      </c>
      <c r="H107" s="2">
        <v>4700</v>
      </c>
      <c r="I107" s="2" t="s">
        <v>782</v>
      </c>
      <c r="J107" s="2" t="s">
        <v>783</v>
      </c>
      <c r="K107" s="2" t="s">
        <v>784</v>
      </c>
    </row>
    <row r="108" spans="1:13" x14ac:dyDescent="0.25">
      <c r="A108" s="2" t="s">
        <v>914</v>
      </c>
      <c r="B108" s="2" t="s">
        <v>6</v>
      </c>
      <c r="C108" s="2" t="s">
        <v>122</v>
      </c>
      <c r="D108" s="2" t="str">
        <f t="shared" si="1"/>
        <v>Evan Turner</v>
      </c>
      <c r="E108" s="2" t="s">
        <v>145</v>
      </c>
      <c r="F108" s="2">
        <v>20.134000244140601</v>
      </c>
      <c r="G108" s="2">
        <v>50</v>
      </c>
      <c r="H108" s="2">
        <v>4700</v>
      </c>
      <c r="I108" s="2" t="s">
        <v>777</v>
      </c>
      <c r="J108" s="2" t="s">
        <v>50</v>
      </c>
      <c r="K108" s="2" t="s">
        <v>778</v>
      </c>
      <c r="L108" s="2" t="s">
        <v>56</v>
      </c>
      <c r="M108" s="2" t="s">
        <v>146</v>
      </c>
    </row>
    <row r="109" spans="1:13" x14ac:dyDescent="0.25">
      <c r="A109" s="2" t="s">
        <v>915</v>
      </c>
      <c r="B109" s="2" t="s">
        <v>3</v>
      </c>
      <c r="C109" s="2" t="s">
        <v>142</v>
      </c>
      <c r="D109" s="2" t="str">
        <f t="shared" si="1"/>
        <v>J.J. Barea</v>
      </c>
      <c r="E109" s="2" t="s">
        <v>143</v>
      </c>
      <c r="F109" s="2">
        <v>22.438888549804599</v>
      </c>
      <c r="G109" s="2">
        <v>18</v>
      </c>
      <c r="H109" s="2">
        <v>4700</v>
      </c>
      <c r="I109" s="2" t="s">
        <v>755</v>
      </c>
      <c r="J109" s="2" t="s">
        <v>65</v>
      </c>
      <c r="K109" s="2" t="s">
        <v>49</v>
      </c>
      <c r="L109" s="2" t="s">
        <v>56</v>
      </c>
      <c r="M109" s="2" t="s">
        <v>144</v>
      </c>
    </row>
    <row r="110" spans="1:13" x14ac:dyDescent="0.25">
      <c r="A110" s="2" t="s">
        <v>916</v>
      </c>
      <c r="B110" s="2" t="s">
        <v>8</v>
      </c>
      <c r="C110" s="2" t="s">
        <v>142</v>
      </c>
      <c r="D110" s="2" t="str">
        <f t="shared" si="1"/>
        <v>J.J. Redick</v>
      </c>
      <c r="E110" s="2" t="s">
        <v>917</v>
      </c>
      <c r="F110" s="2">
        <v>20.339216643688701</v>
      </c>
      <c r="G110" s="2">
        <v>51</v>
      </c>
      <c r="H110" s="2">
        <v>4700</v>
      </c>
      <c r="I110" s="2" t="s">
        <v>762</v>
      </c>
      <c r="J110" s="2" t="s">
        <v>763</v>
      </c>
      <c r="K110" s="2" t="s">
        <v>64</v>
      </c>
    </row>
    <row r="111" spans="1:13" x14ac:dyDescent="0.25">
      <c r="A111" s="2" t="s">
        <v>918</v>
      </c>
      <c r="B111" s="2" t="s">
        <v>7</v>
      </c>
      <c r="C111" s="2" t="s">
        <v>344</v>
      </c>
      <c r="D111" s="2" t="str">
        <f t="shared" si="1"/>
        <v>Spencer Hawes</v>
      </c>
      <c r="E111" s="2" t="s">
        <v>345</v>
      </c>
      <c r="F111" s="2">
        <v>16.005714634486601</v>
      </c>
      <c r="G111" s="2">
        <v>35</v>
      </c>
      <c r="H111" s="2">
        <v>4700</v>
      </c>
      <c r="I111" s="2" t="s">
        <v>747</v>
      </c>
      <c r="J111" s="2" t="s">
        <v>302</v>
      </c>
      <c r="K111" s="2" t="s">
        <v>748</v>
      </c>
    </row>
    <row r="112" spans="1:13" x14ac:dyDescent="0.25">
      <c r="A112" s="2" t="s">
        <v>919</v>
      </c>
      <c r="B112" s="2" t="s">
        <v>7</v>
      </c>
      <c r="C112" s="2" t="s">
        <v>149</v>
      </c>
      <c r="D112" s="2" t="str">
        <f t="shared" si="1"/>
        <v>Jahlil Okafor</v>
      </c>
      <c r="E112" s="2" t="s">
        <v>150</v>
      </c>
      <c r="F112" s="2">
        <v>20.286485826646899</v>
      </c>
      <c r="G112" s="2">
        <v>37</v>
      </c>
      <c r="H112" s="2">
        <v>4600</v>
      </c>
      <c r="I112" s="2" t="s">
        <v>775</v>
      </c>
      <c r="J112" s="2" t="s">
        <v>54</v>
      </c>
      <c r="K112" s="2" t="s">
        <v>44</v>
      </c>
      <c r="L112" s="2" t="s">
        <v>56</v>
      </c>
      <c r="M112" s="2" t="s">
        <v>829</v>
      </c>
    </row>
    <row r="113" spans="1:13" x14ac:dyDescent="0.25">
      <c r="A113" s="2" t="s">
        <v>920</v>
      </c>
      <c r="B113" s="2" t="s">
        <v>3</v>
      </c>
      <c r="C113" s="2" t="s">
        <v>921</v>
      </c>
      <c r="D113" s="2" t="str">
        <f t="shared" si="1"/>
        <v>Raymond Felton</v>
      </c>
      <c r="E113" s="2" t="s">
        <v>922</v>
      </c>
      <c r="F113" s="2">
        <v>16.615384615384599</v>
      </c>
      <c r="G113" s="2">
        <v>52</v>
      </c>
      <c r="H113" s="2">
        <v>4600</v>
      </c>
      <c r="I113" s="2" t="s">
        <v>762</v>
      </c>
      <c r="J113" s="2" t="s">
        <v>763</v>
      </c>
      <c r="K113" s="2" t="s">
        <v>64</v>
      </c>
    </row>
    <row r="114" spans="1:13" x14ac:dyDescent="0.25">
      <c r="A114" s="2" t="s">
        <v>923</v>
      </c>
      <c r="B114" s="2" t="s">
        <v>7</v>
      </c>
      <c r="C114" s="2" t="s">
        <v>161</v>
      </c>
      <c r="D114" s="2" t="str">
        <f t="shared" si="1"/>
        <v>Kelly Olynyk</v>
      </c>
      <c r="E114" s="2" t="s">
        <v>162</v>
      </c>
      <c r="F114" s="2">
        <v>18.542553191489301</v>
      </c>
      <c r="G114" s="2">
        <v>47</v>
      </c>
      <c r="H114" s="2">
        <v>4500</v>
      </c>
      <c r="I114" s="2" t="s">
        <v>755</v>
      </c>
      <c r="J114" s="2" t="s">
        <v>49</v>
      </c>
      <c r="K114" s="2" t="s">
        <v>65</v>
      </c>
    </row>
    <row r="115" spans="1:13" x14ac:dyDescent="0.25">
      <c r="A115" s="2" t="s">
        <v>924</v>
      </c>
      <c r="B115" s="2" t="s">
        <v>6</v>
      </c>
      <c r="C115" s="2" t="s">
        <v>151</v>
      </c>
      <c r="D115" s="2" t="str">
        <f t="shared" si="1"/>
        <v>Aaron Gordon</v>
      </c>
      <c r="E115" s="2" t="s">
        <v>66</v>
      </c>
      <c r="F115" s="2">
        <v>20.8333333333333</v>
      </c>
      <c r="G115" s="2">
        <v>54</v>
      </c>
      <c r="H115" s="2">
        <v>4500</v>
      </c>
      <c r="I115" s="2" t="s">
        <v>770</v>
      </c>
      <c r="J115" s="2" t="s">
        <v>55</v>
      </c>
      <c r="K115" s="2" t="s">
        <v>309</v>
      </c>
      <c r="L115" s="2" t="s">
        <v>91</v>
      </c>
      <c r="M115" s="2" t="s">
        <v>137</v>
      </c>
    </row>
    <row r="116" spans="1:13" x14ac:dyDescent="0.25">
      <c r="A116" s="2" t="s">
        <v>925</v>
      </c>
      <c r="B116" s="2" t="s">
        <v>6</v>
      </c>
      <c r="C116" s="2" t="s">
        <v>926</v>
      </c>
      <c r="D116" s="2" t="str">
        <f t="shared" si="1"/>
        <v>Rondae Hollis-Jefferson</v>
      </c>
      <c r="E116" s="2" t="s">
        <v>927</v>
      </c>
      <c r="F116" s="2">
        <v>18.441999511718699</v>
      </c>
      <c r="G116" s="2">
        <v>50</v>
      </c>
      <c r="H116" s="2">
        <v>4500</v>
      </c>
      <c r="I116" s="2" t="s">
        <v>782</v>
      </c>
      <c r="J116" s="2" t="s">
        <v>784</v>
      </c>
      <c r="K116" s="2" t="s">
        <v>783</v>
      </c>
    </row>
    <row r="117" spans="1:13" x14ac:dyDescent="0.25">
      <c r="A117" s="2" t="s">
        <v>928</v>
      </c>
      <c r="B117" s="2" t="s">
        <v>6</v>
      </c>
      <c r="C117" s="2" t="s">
        <v>929</v>
      </c>
      <c r="D117" s="2" t="str">
        <f t="shared" si="1"/>
        <v>Bojan Bogdanovic</v>
      </c>
      <c r="E117" s="2" t="s">
        <v>930</v>
      </c>
      <c r="F117" s="2">
        <v>20.305659456073101</v>
      </c>
      <c r="G117" s="2">
        <v>53</v>
      </c>
      <c r="H117" s="2">
        <v>4500</v>
      </c>
      <c r="I117" s="2" t="s">
        <v>782</v>
      </c>
      <c r="J117" s="2" t="s">
        <v>784</v>
      </c>
      <c r="K117" s="2" t="s">
        <v>783</v>
      </c>
    </row>
    <row r="118" spans="1:13" x14ac:dyDescent="0.25">
      <c r="A118" s="2" t="s">
        <v>931</v>
      </c>
      <c r="B118" s="2" t="s">
        <v>8</v>
      </c>
      <c r="C118" s="2" t="s">
        <v>932</v>
      </c>
      <c r="D118" s="2" t="str">
        <f t="shared" si="1"/>
        <v>Tyreke Evans</v>
      </c>
      <c r="E118" s="2" t="s">
        <v>933</v>
      </c>
      <c r="F118" s="2">
        <v>19.120833079020102</v>
      </c>
      <c r="G118" s="2">
        <v>24</v>
      </c>
      <c r="H118" s="2">
        <v>4500</v>
      </c>
      <c r="I118" s="2" t="s">
        <v>750</v>
      </c>
      <c r="J118" s="2" t="s">
        <v>751</v>
      </c>
      <c r="K118" s="2" t="s">
        <v>299</v>
      </c>
    </row>
    <row r="119" spans="1:13" x14ac:dyDescent="0.25">
      <c r="A119" s="2" t="s">
        <v>934</v>
      </c>
      <c r="B119" s="2" t="s">
        <v>3</v>
      </c>
      <c r="C119" s="2" t="s">
        <v>366</v>
      </c>
      <c r="D119" s="2" t="str">
        <f t="shared" si="1"/>
        <v>Tony Parker</v>
      </c>
      <c r="E119" s="2" t="s">
        <v>935</v>
      </c>
      <c r="F119" s="2">
        <v>19.873170433974799</v>
      </c>
      <c r="G119" s="2">
        <v>41</v>
      </c>
      <c r="H119" s="2">
        <v>4500</v>
      </c>
      <c r="I119" s="2" t="s">
        <v>766</v>
      </c>
      <c r="J119" s="2" t="s">
        <v>767</v>
      </c>
      <c r="K119" s="2" t="s">
        <v>303</v>
      </c>
    </row>
    <row r="120" spans="1:13" x14ac:dyDescent="0.25">
      <c r="A120" s="2" t="s">
        <v>936</v>
      </c>
      <c r="B120" s="2" t="s">
        <v>8</v>
      </c>
      <c r="C120" s="2" t="s">
        <v>147</v>
      </c>
      <c r="D120" s="2" t="str">
        <f t="shared" si="1"/>
        <v>Jeremy Lamb</v>
      </c>
      <c r="E120" s="2" t="s">
        <v>148</v>
      </c>
      <c r="F120" s="2">
        <v>17.3000003590303</v>
      </c>
      <c r="G120" s="2">
        <v>34</v>
      </c>
      <c r="H120" s="2">
        <v>4400</v>
      </c>
      <c r="I120" s="2" t="s">
        <v>775</v>
      </c>
      <c r="J120" s="2" t="s">
        <v>44</v>
      </c>
      <c r="K120" s="2" t="s">
        <v>54</v>
      </c>
    </row>
    <row r="121" spans="1:13" x14ac:dyDescent="0.25">
      <c r="A121" s="2" t="s">
        <v>937</v>
      </c>
      <c r="B121" s="2" t="s">
        <v>7</v>
      </c>
      <c r="C121" s="2" t="s">
        <v>347</v>
      </c>
      <c r="D121" s="2" t="str">
        <f t="shared" si="1"/>
        <v>Zaza Pachulia</v>
      </c>
      <c r="E121" s="2" t="s">
        <v>348</v>
      </c>
      <c r="F121" s="2">
        <v>17.618182095614301</v>
      </c>
      <c r="G121" s="2">
        <v>44</v>
      </c>
      <c r="H121" s="2">
        <v>4400</v>
      </c>
      <c r="I121" s="2" t="s">
        <v>757</v>
      </c>
      <c r="J121" s="2" t="s">
        <v>298</v>
      </c>
      <c r="K121" s="2" t="s">
        <v>304</v>
      </c>
      <c r="L121" s="2" t="s">
        <v>56</v>
      </c>
      <c r="M121" s="2" t="s">
        <v>349</v>
      </c>
    </row>
    <row r="122" spans="1:13" x14ac:dyDescent="0.25">
      <c r="A122" s="2" t="s">
        <v>938</v>
      </c>
      <c r="B122" s="2" t="s">
        <v>8</v>
      </c>
      <c r="C122" s="2" t="s">
        <v>351</v>
      </c>
      <c r="D122" s="2" t="str">
        <f t="shared" si="1"/>
        <v>Khris Middleton</v>
      </c>
      <c r="E122" s="2" t="s">
        <v>352</v>
      </c>
      <c r="F122" s="2">
        <v>16.799999237060501</v>
      </c>
      <c r="G122" s="2">
        <v>2</v>
      </c>
      <c r="H122" s="2">
        <v>4400</v>
      </c>
      <c r="I122" s="2" t="s">
        <v>747</v>
      </c>
      <c r="J122" s="2" t="s">
        <v>302</v>
      </c>
      <c r="K122" s="2" t="s">
        <v>748</v>
      </c>
    </row>
    <row r="123" spans="1:13" x14ac:dyDescent="0.25">
      <c r="A123" s="2" t="s">
        <v>939</v>
      </c>
      <c r="B123" s="2" t="s">
        <v>7</v>
      </c>
      <c r="C123" s="2" t="s">
        <v>940</v>
      </c>
      <c r="D123" s="2" t="str">
        <f t="shared" si="1"/>
        <v>Dewayne Dedmon</v>
      </c>
      <c r="E123" s="2" t="s">
        <v>941</v>
      </c>
      <c r="F123" s="2">
        <v>15.8291664123535</v>
      </c>
      <c r="G123" s="2">
        <v>48</v>
      </c>
      <c r="H123" s="2">
        <v>4400</v>
      </c>
      <c r="I123" s="2" t="s">
        <v>766</v>
      </c>
      <c r="J123" s="2" t="s">
        <v>767</v>
      </c>
      <c r="K123" s="2" t="s">
        <v>303</v>
      </c>
    </row>
    <row r="124" spans="1:13" x14ac:dyDescent="0.25">
      <c r="A124" s="2" t="s">
        <v>942</v>
      </c>
      <c r="B124" s="2" t="s">
        <v>6</v>
      </c>
      <c r="C124" s="2" t="s">
        <v>157</v>
      </c>
      <c r="D124" s="2" t="str">
        <f t="shared" si="1"/>
        <v>Andre Iguodala</v>
      </c>
      <c r="E124" s="2" t="s">
        <v>361</v>
      </c>
      <c r="F124" s="2">
        <v>17.9730764535757</v>
      </c>
      <c r="G124" s="2">
        <v>52</v>
      </c>
      <c r="H124" s="2">
        <v>4400</v>
      </c>
      <c r="I124" s="2" t="s">
        <v>757</v>
      </c>
      <c r="J124" s="2" t="s">
        <v>298</v>
      </c>
      <c r="K124" s="2" t="s">
        <v>304</v>
      </c>
    </row>
    <row r="125" spans="1:13" x14ac:dyDescent="0.25">
      <c r="A125" s="2" t="s">
        <v>943</v>
      </c>
      <c r="B125" s="2" t="s">
        <v>6</v>
      </c>
      <c r="C125" s="2" t="s">
        <v>157</v>
      </c>
      <c r="D125" s="2" t="str">
        <f t="shared" si="1"/>
        <v>Andre Roberson</v>
      </c>
      <c r="E125" s="2" t="s">
        <v>158</v>
      </c>
      <c r="F125" s="2">
        <v>18.130909312855099</v>
      </c>
      <c r="G125" s="2">
        <v>55</v>
      </c>
      <c r="H125" s="2">
        <v>4300</v>
      </c>
      <c r="I125" s="2" t="s">
        <v>744</v>
      </c>
      <c r="J125" s="2" t="s">
        <v>4</v>
      </c>
      <c r="K125" s="2" t="s">
        <v>745</v>
      </c>
    </row>
    <row r="126" spans="1:13" x14ac:dyDescent="0.25">
      <c r="A126" s="2" t="s">
        <v>944</v>
      </c>
      <c r="B126" s="2" t="s">
        <v>8</v>
      </c>
      <c r="C126" s="2" t="s">
        <v>945</v>
      </c>
      <c r="D126" s="2" t="str">
        <f t="shared" si="1"/>
        <v>Caris LeVert</v>
      </c>
      <c r="E126" s="2" t="s">
        <v>946</v>
      </c>
      <c r="F126" s="2">
        <v>14.606667073567699</v>
      </c>
      <c r="G126" s="2">
        <v>30</v>
      </c>
      <c r="H126" s="2">
        <v>4300</v>
      </c>
      <c r="I126" s="2" t="s">
        <v>782</v>
      </c>
      <c r="J126" s="2" t="s">
        <v>784</v>
      </c>
      <c r="K126" s="2" t="s">
        <v>783</v>
      </c>
    </row>
    <row r="127" spans="1:13" x14ac:dyDescent="0.25">
      <c r="A127" s="2" t="s">
        <v>947</v>
      </c>
      <c r="B127" s="2" t="s">
        <v>6</v>
      </c>
      <c r="C127" s="2" t="s">
        <v>169</v>
      </c>
      <c r="D127" s="2" t="str">
        <f t="shared" si="1"/>
        <v>Maurice Harkless</v>
      </c>
      <c r="E127" s="2" t="s">
        <v>170</v>
      </c>
      <c r="F127" s="2">
        <v>20.3540002441406</v>
      </c>
      <c r="G127" s="2">
        <v>50</v>
      </c>
      <c r="H127" s="2">
        <v>4300</v>
      </c>
      <c r="I127" s="2" t="s">
        <v>777</v>
      </c>
      <c r="J127" s="2" t="s">
        <v>50</v>
      </c>
      <c r="K127" s="2" t="s">
        <v>778</v>
      </c>
    </row>
    <row r="128" spans="1:13" x14ac:dyDescent="0.25">
      <c r="A128" s="2" t="s">
        <v>948</v>
      </c>
      <c r="B128" s="2" t="s">
        <v>6</v>
      </c>
      <c r="C128" s="2" t="s">
        <v>116</v>
      </c>
      <c r="D128" s="2" t="str">
        <f t="shared" si="1"/>
        <v>Michael Beasley</v>
      </c>
      <c r="E128" s="2" t="s">
        <v>350</v>
      </c>
      <c r="F128" s="2">
        <v>15.0866672092013</v>
      </c>
      <c r="G128" s="2">
        <v>45</v>
      </c>
      <c r="H128" s="2">
        <v>4300</v>
      </c>
      <c r="I128" s="2" t="s">
        <v>747</v>
      </c>
      <c r="J128" s="2" t="s">
        <v>302</v>
      </c>
      <c r="K128" s="2" t="s">
        <v>748</v>
      </c>
    </row>
    <row r="129" spans="1:13" x14ac:dyDescent="0.25">
      <c r="A129" s="2" t="s">
        <v>949</v>
      </c>
      <c r="B129" s="2" t="s">
        <v>8</v>
      </c>
      <c r="C129" s="2" t="s">
        <v>154</v>
      </c>
      <c r="D129" s="2" t="str">
        <f t="shared" si="1"/>
        <v>Rodney Hood</v>
      </c>
      <c r="E129" s="2" t="s">
        <v>155</v>
      </c>
      <c r="F129" s="2">
        <v>21.119999694824202</v>
      </c>
      <c r="G129" s="2">
        <v>40</v>
      </c>
      <c r="H129" s="2">
        <v>4200</v>
      </c>
      <c r="I129" s="2" t="s">
        <v>762</v>
      </c>
      <c r="J129" s="2" t="s">
        <v>64</v>
      </c>
      <c r="K129" s="2" t="s">
        <v>763</v>
      </c>
      <c r="L129" s="2" t="s">
        <v>56</v>
      </c>
      <c r="M129" s="2" t="s">
        <v>57</v>
      </c>
    </row>
    <row r="130" spans="1:13" x14ac:dyDescent="0.25">
      <c r="A130" s="2" t="s">
        <v>950</v>
      </c>
      <c r="B130" s="2" t="s">
        <v>6</v>
      </c>
      <c r="C130" s="2" t="s">
        <v>951</v>
      </c>
      <c r="D130" s="2" t="str">
        <f t="shared" si="1"/>
        <v>Solomon Hill</v>
      </c>
      <c r="E130" s="2" t="s">
        <v>98</v>
      </c>
      <c r="F130" s="2">
        <v>15.090565807414499</v>
      </c>
      <c r="G130" s="2">
        <v>53</v>
      </c>
      <c r="H130" s="2">
        <v>4200</v>
      </c>
      <c r="I130" s="2" t="s">
        <v>750</v>
      </c>
      <c r="J130" s="2" t="s">
        <v>751</v>
      </c>
      <c r="K130" s="2" t="s">
        <v>299</v>
      </c>
    </row>
    <row r="131" spans="1:13" x14ac:dyDescent="0.25">
      <c r="A131" s="2" t="s">
        <v>952</v>
      </c>
      <c r="B131" s="2" t="s">
        <v>3</v>
      </c>
      <c r="C131" s="2" t="s">
        <v>953</v>
      </c>
      <c r="D131" s="2" t="str">
        <f t="shared" ref="D131:D194" si="2">C131&amp;" "&amp;E131</f>
        <v>Ish Smith</v>
      </c>
      <c r="E131" s="2" t="s">
        <v>199</v>
      </c>
      <c r="F131" s="2">
        <v>19.898148148148099</v>
      </c>
      <c r="G131" s="2">
        <v>54</v>
      </c>
      <c r="H131" s="2">
        <v>4200</v>
      </c>
      <c r="I131" s="2" t="s">
        <v>747</v>
      </c>
      <c r="J131" s="2" t="s">
        <v>748</v>
      </c>
      <c r="K131" s="2" t="s">
        <v>302</v>
      </c>
    </row>
    <row r="132" spans="1:13" x14ac:dyDescent="0.25">
      <c r="A132" s="2" t="s">
        <v>954</v>
      </c>
      <c r="B132" s="2" t="s">
        <v>8</v>
      </c>
      <c r="C132" s="2" t="s">
        <v>190</v>
      </c>
      <c r="D132" s="2" t="str">
        <f t="shared" si="2"/>
        <v>Nik Stauskas</v>
      </c>
      <c r="E132" s="2" t="s">
        <v>191</v>
      </c>
      <c r="F132" s="2">
        <v>15.969231238731901</v>
      </c>
      <c r="G132" s="2">
        <v>52</v>
      </c>
      <c r="H132" s="2">
        <v>4100</v>
      </c>
      <c r="I132" s="2" t="s">
        <v>775</v>
      </c>
      <c r="J132" s="2" t="s">
        <v>54</v>
      </c>
      <c r="K132" s="2" t="s">
        <v>44</v>
      </c>
    </row>
    <row r="133" spans="1:13" x14ac:dyDescent="0.25">
      <c r="A133" s="2" t="s">
        <v>955</v>
      </c>
      <c r="B133" s="2" t="s">
        <v>8</v>
      </c>
      <c r="C133" s="2" t="s">
        <v>60</v>
      </c>
      <c r="D133" s="2" t="str">
        <f t="shared" si="2"/>
        <v>C.J. Watson</v>
      </c>
      <c r="E133" s="2" t="s">
        <v>156</v>
      </c>
      <c r="F133" s="2">
        <v>9.9795455932617099</v>
      </c>
      <c r="G133" s="2">
        <v>44</v>
      </c>
      <c r="H133" s="2">
        <v>4100</v>
      </c>
      <c r="I133" s="2" t="s">
        <v>770</v>
      </c>
      <c r="J133" s="2" t="s">
        <v>55</v>
      </c>
      <c r="K133" s="2" t="s">
        <v>309</v>
      </c>
    </row>
    <row r="134" spans="1:13" x14ac:dyDescent="0.25">
      <c r="A134" s="2" t="s">
        <v>956</v>
      </c>
      <c r="B134" s="2" t="s">
        <v>5</v>
      </c>
      <c r="C134" s="2" t="s">
        <v>355</v>
      </c>
      <c r="D134" s="2" t="str">
        <f t="shared" si="2"/>
        <v>Darrell Arthur</v>
      </c>
      <c r="E134" s="2" t="s">
        <v>356</v>
      </c>
      <c r="F134" s="2">
        <v>12.9448273757408</v>
      </c>
      <c r="G134" s="2">
        <v>29</v>
      </c>
      <c r="H134" s="2">
        <v>4100</v>
      </c>
      <c r="I134" s="2" t="s">
        <v>757</v>
      </c>
      <c r="J134" s="2" t="s">
        <v>304</v>
      </c>
      <c r="K134" s="2" t="s">
        <v>298</v>
      </c>
      <c r="L134" s="2" t="s">
        <v>91</v>
      </c>
      <c r="M134" s="2" t="s">
        <v>57</v>
      </c>
    </row>
    <row r="135" spans="1:13" x14ac:dyDescent="0.25">
      <c r="A135" s="2" t="s">
        <v>957</v>
      </c>
      <c r="B135" s="2" t="s">
        <v>6</v>
      </c>
      <c r="C135" s="2" t="s">
        <v>60</v>
      </c>
      <c r="D135" s="2" t="str">
        <f t="shared" si="2"/>
        <v>C.J. Miles</v>
      </c>
      <c r="E135" s="2" t="s">
        <v>283</v>
      </c>
      <c r="F135" s="2">
        <v>16.904167175292901</v>
      </c>
      <c r="G135" s="2">
        <v>48</v>
      </c>
      <c r="H135" s="2">
        <v>4100</v>
      </c>
      <c r="I135" s="2" t="s">
        <v>766</v>
      </c>
      <c r="J135" s="2" t="s">
        <v>303</v>
      </c>
      <c r="K135" s="2" t="s">
        <v>767</v>
      </c>
    </row>
    <row r="136" spans="1:13" x14ac:dyDescent="0.25">
      <c r="A136" s="2" t="s">
        <v>958</v>
      </c>
      <c r="B136" s="2" t="s">
        <v>3</v>
      </c>
      <c r="C136" s="2" t="s">
        <v>357</v>
      </c>
      <c r="D136" s="2" t="str">
        <f t="shared" si="2"/>
        <v>Matthew Dellavedova</v>
      </c>
      <c r="E136" s="2" t="s">
        <v>358</v>
      </c>
      <c r="F136" s="2">
        <v>17.693749745686802</v>
      </c>
      <c r="G136" s="2">
        <v>48</v>
      </c>
      <c r="H136" s="2">
        <v>4000</v>
      </c>
      <c r="I136" s="2" t="s">
        <v>747</v>
      </c>
      <c r="J136" s="2" t="s">
        <v>302</v>
      </c>
      <c r="K136" s="2" t="s">
        <v>748</v>
      </c>
    </row>
    <row r="137" spans="1:13" x14ac:dyDescent="0.25">
      <c r="A137" s="2" t="s">
        <v>959</v>
      </c>
      <c r="B137" s="2" t="s">
        <v>6</v>
      </c>
      <c r="C137" s="2" t="s">
        <v>366</v>
      </c>
      <c r="D137" s="2" t="str">
        <f t="shared" si="2"/>
        <v>Tony Snell</v>
      </c>
      <c r="E137" s="2" t="s">
        <v>367</v>
      </c>
      <c r="F137" s="2">
        <v>14.6230773925781</v>
      </c>
      <c r="G137" s="2">
        <v>52</v>
      </c>
      <c r="H137" s="2">
        <v>4000</v>
      </c>
      <c r="I137" s="2" t="s">
        <v>747</v>
      </c>
      <c r="J137" s="2" t="s">
        <v>302</v>
      </c>
      <c r="K137" s="2" t="s">
        <v>748</v>
      </c>
    </row>
    <row r="138" spans="1:13" x14ac:dyDescent="0.25">
      <c r="A138" s="2" t="s">
        <v>960</v>
      </c>
      <c r="B138" s="2" t="s">
        <v>6</v>
      </c>
      <c r="C138" s="2" t="s">
        <v>362</v>
      </c>
      <c r="D138" s="2" t="str">
        <f t="shared" si="2"/>
        <v>Mirza Teletovic</v>
      </c>
      <c r="E138" s="2" t="s">
        <v>363</v>
      </c>
      <c r="F138" s="2">
        <v>11.3772728659889</v>
      </c>
      <c r="G138" s="2">
        <v>44</v>
      </c>
      <c r="H138" s="2">
        <v>4000</v>
      </c>
      <c r="I138" s="2" t="s">
        <v>747</v>
      </c>
      <c r="J138" s="2" t="s">
        <v>302</v>
      </c>
      <c r="K138" s="2" t="s">
        <v>748</v>
      </c>
    </row>
    <row r="139" spans="1:13" x14ac:dyDescent="0.25">
      <c r="A139" s="2" t="s">
        <v>961</v>
      </c>
      <c r="B139" s="2" t="s">
        <v>7</v>
      </c>
      <c r="C139" s="2" t="s">
        <v>163</v>
      </c>
      <c r="D139" s="2" t="str">
        <f t="shared" si="2"/>
        <v>Andrew Bogut</v>
      </c>
      <c r="E139" s="2" t="s">
        <v>164</v>
      </c>
      <c r="F139" s="2">
        <v>17.151999511718699</v>
      </c>
      <c r="G139" s="2">
        <v>25</v>
      </c>
      <c r="H139" s="2">
        <v>4000</v>
      </c>
      <c r="I139" s="2" t="s">
        <v>755</v>
      </c>
      <c r="J139" s="2" t="s">
        <v>65</v>
      </c>
      <c r="K139" s="2" t="s">
        <v>49</v>
      </c>
      <c r="L139" s="2" t="s">
        <v>56</v>
      </c>
      <c r="M139" s="2" t="s">
        <v>165</v>
      </c>
    </row>
    <row r="140" spans="1:13" x14ac:dyDescent="0.25">
      <c r="A140" s="2" t="s">
        <v>962</v>
      </c>
      <c r="B140" s="2" t="s">
        <v>5</v>
      </c>
      <c r="C140" s="2" t="s">
        <v>192</v>
      </c>
      <c r="D140" s="2" t="str">
        <f t="shared" si="2"/>
        <v>Alex Len</v>
      </c>
      <c r="E140" s="2" t="s">
        <v>388</v>
      </c>
      <c r="F140" s="2">
        <v>17.784615149864699</v>
      </c>
      <c r="G140" s="2">
        <v>52</v>
      </c>
      <c r="H140" s="2">
        <v>4000</v>
      </c>
      <c r="I140" s="2" t="s">
        <v>750</v>
      </c>
      <c r="J140" s="2" t="s">
        <v>299</v>
      </c>
      <c r="K140" s="2" t="s">
        <v>751</v>
      </c>
    </row>
    <row r="141" spans="1:13" x14ac:dyDescent="0.25">
      <c r="A141" s="2" t="s">
        <v>963</v>
      </c>
      <c r="B141" s="2" t="s">
        <v>6</v>
      </c>
      <c r="C141" s="2" t="s">
        <v>159</v>
      </c>
      <c r="D141" s="2" t="str">
        <f t="shared" si="2"/>
        <v>Marco Belinelli</v>
      </c>
      <c r="E141" s="2" t="s">
        <v>160</v>
      </c>
      <c r="F141" s="2">
        <v>17.546938526387098</v>
      </c>
      <c r="G141" s="2">
        <v>49</v>
      </c>
      <c r="H141" s="2">
        <v>4000</v>
      </c>
      <c r="I141" s="2" t="s">
        <v>775</v>
      </c>
      <c r="J141" s="2" t="s">
        <v>44</v>
      </c>
      <c r="K141" s="2" t="s">
        <v>54</v>
      </c>
    </row>
    <row r="142" spans="1:13" x14ac:dyDescent="0.25">
      <c r="A142" s="2" t="s">
        <v>964</v>
      </c>
      <c r="B142" s="2" t="s">
        <v>7</v>
      </c>
      <c r="C142" s="2" t="s">
        <v>175</v>
      </c>
      <c r="D142" s="2" t="str">
        <f t="shared" si="2"/>
        <v>Salah Mejri</v>
      </c>
      <c r="E142" s="2" t="s">
        <v>176</v>
      </c>
      <c r="F142" s="2">
        <v>11.0583330790201</v>
      </c>
      <c r="G142" s="2">
        <v>48</v>
      </c>
      <c r="H142" s="2">
        <v>3900</v>
      </c>
      <c r="I142" s="2" t="s">
        <v>755</v>
      </c>
      <c r="J142" s="2" t="s">
        <v>65</v>
      </c>
      <c r="K142" s="2" t="s">
        <v>49</v>
      </c>
    </row>
    <row r="143" spans="1:13" x14ac:dyDescent="0.25">
      <c r="A143" s="2" t="s">
        <v>965</v>
      </c>
      <c r="B143" s="2" t="s">
        <v>8</v>
      </c>
      <c r="C143" s="2" t="s">
        <v>966</v>
      </c>
      <c r="D143" s="2" t="str">
        <f t="shared" si="2"/>
        <v>Danny Green</v>
      </c>
      <c r="E143" s="2" t="s">
        <v>235</v>
      </c>
      <c r="F143" s="2">
        <v>16.6630434782608</v>
      </c>
      <c r="G143" s="2">
        <v>46</v>
      </c>
      <c r="H143" s="2">
        <v>3900</v>
      </c>
      <c r="I143" s="2" t="s">
        <v>766</v>
      </c>
      <c r="J143" s="2" t="s">
        <v>767</v>
      </c>
      <c r="K143" s="2" t="s">
        <v>303</v>
      </c>
    </row>
    <row r="144" spans="1:13" x14ac:dyDescent="0.25">
      <c r="A144" s="2" t="s">
        <v>967</v>
      </c>
      <c r="B144" s="2" t="s">
        <v>3</v>
      </c>
      <c r="C144" s="2" t="s">
        <v>359</v>
      </c>
      <c r="D144" s="2" t="str">
        <f t="shared" si="2"/>
        <v>Shaun Livingston</v>
      </c>
      <c r="E144" s="2" t="s">
        <v>360</v>
      </c>
      <c r="F144" s="2">
        <v>10.821999511718699</v>
      </c>
      <c r="G144" s="2">
        <v>50</v>
      </c>
      <c r="H144" s="2">
        <v>3900</v>
      </c>
      <c r="I144" s="2" t="s">
        <v>757</v>
      </c>
      <c r="J144" s="2" t="s">
        <v>298</v>
      </c>
      <c r="K144" s="2" t="s">
        <v>304</v>
      </c>
    </row>
    <row r="145" spans="1:13" x14ac:dyDescent="0.25">
      <c r="A145" s="2" t="s">
        <v>968</v>
      </c>
      <c r="B145" s="2" t="s">
        <v>3</v>
      </c>
      <c r="C145" s="2" t="s">
        <v>364</v>
      </c>
      <c r="D145" s="2" t="str">
        <f t="shared" si="2"/>
        <v>Jamal Murray</v>
      </c>
      <c r="E145" s="2" t="s">
        <v>365</v>
      </c>
      <c r="F145" s="2">
        <v>14.7370368109809</v>
      </c>
      <c r="G145" s="2">
        <v>54</v>
      </c>
      <c r="H145" s="2">
        <v>3800</v>
      </c>
      <c r="I145" s="2" t="s">
        <v>757</v>
      </c>
      <c r="J145" s="2" t="s">
        <v>304</v>
      </c>
      <c r="K145" s="2" t="s">
        <v>298</v>
      </c>
    </row>
    <row r="146" spans="1:13" x14ac:dyDescent="0.25">
      <c r="A146" s="2" t="s">
        <v>969</v>
      </c>
      <c r="B146" s="2" t="s">
        <v>5</v>
      </c>
      <c r="C146" s="2" t="s">
        <v>370</v>
      </c>
      <c r="D146" s="2" t="str">
        <f t="shared" si="2"/>
        <v>Marquese Chriss</v>
      </c>
      <c r="E146" s="2" t="s">
        <v>371</v>
      </c>
      <c r="F146" s="2">
        <v>14.1599997780539</v>
      </c>
      <c r="G146" s="2">
        <v>55</v>
      </c>
      <c r="H146" s="2">
        <v>3800</v>
      </c>
      <c r="I146" s="2" t="s">
        <v>750</v>
      </c>
      <c r="J146" s="2" t="s">
        <v>299</v>
      </c>
      <c r="K146" s="2" t="s">
        <v>751</v>
      </c>
    </row>
    <row r="147" spans="1:13" x14ac:dyDescent="0.25">
      <c r="A147" s="2" t="s">
        <v>970</v>
      </c>
      <c r="B147" s="2" t="s">
        <v>7</v>
      </c>
      <c r="C147" s="2" t="s">
        <v>251</v>
      </c>
      <c r="D147" s="2" t="str">
        <f t="shared" si="2"/>
        <v>Bismack Biyombo</v>
      </c>
      <c r="E147" s="2" t="s">
        <v>252</v>
      </c>
      <c r="F147" s="2">
        <v>18.4181818181818</v>
      </c>
      <c r="G147" s="2">
        <v>55</v>
      </c>
      <c r="H147" s="2">
        <v>3800</v>
      </c>
      <c r="I147" s="2" t="s">
        <v>770</v>
      </c>
      <c r="J147" s="2" t="s">
        <v>55</v>
      </c>
      <c r="K147" s="2" t="s">
        <v>309</v>
      </c>
    </row>
    <row r="148" spans="1:13" x14ac:dyDescent="0.25">
      <c r="A148" s="2" t="s">
        <v>971</v>
      </c>
      <c r="B148" s="2" t="s">
        <v>8</v>
      </c>
      <c r="C148" s="2" t="s">
        <v>972</v>
      </c>
      <c r="D148" s="2" t="str">
        <f t="shared" si="2"/>
        <v>E'Twaun Moore</v>
      </c>
      <c r="E148" s="2" t="s">
        <v>973</v>
      </c>
      <c r="F148" s="2">
        <v>17.224489795918299</v>
      </c>
      <c r="G148" s="2">
        <v>49</v>
      </c>
      <c r="H148" s="2">
        <v>3800</v>
      </c>
      <c r="I148" s="2" t="s">
        <v>750</v>
      </c>
      <c r="J148" s="2" t="s">
        <v>751</v>
      </c>
      <c r="K148" s="2" t="s">
        <v>299</v>
      </c>
      <c r="L148" s="2" t="s">
        <v>91</v>
      </c>
      <c r="M148" s="2" t="s">
        <v>256</v>
      </c>
    </row>
    <row r="149" spans="1:13" x14ac:dyDescent="0.25">
      <c r="A149" s="2" t="s">
        <v>974</v>
      </c>
      <c r="B149" s="2" t="s">
        <v>8</v>
      </c>
      <c r="C149" s="2" t="s">
        <v>376</v>
      </c>
      <c r="D149" s="2" t="str">
        <f t="shared" si="2"/>
        <v>Wayne Ellington</v>
      </c>
      <c r="E149" s="2" t="s">
        <v>377</v>
      </c>
      <c r="F149" s="2">
        <v>16.9457135881696</v>
      </c>
      <c r="G149" s="2">
        <v>35</v>
      </c>
      <c r="H149" s="2">
        <v>3800</v>
      </c>
      <c r="I149" s="2" t="s">
        <v>770</v>
      </c>
      <c r="J149" s="2" t="s">
        <v>309</v>
      </c>
      <c r="K149" s="2" t="s">
        <v>55</v>
      </c>
    </row>
    <row r="150" spans="1:13" x14ac:dyDescent="0.25">
      <c r="A150" s="2" t="s">
        <v>975</v>
      </c>
      <c r="B150" s="2" t="s">
        <v>6</v>
      </c>
      <c r="C150" s="2" t="s">
        <v>173</v>
      </c>
      <c r="D150" s="2" t="str">
        <f t="shared" si="2"/>
        <v>Joe Johnson</v>
      </c>
      <c r="E150" s="2" t="s">
        <v>174</v>
      </c>
      <c r="F150" s="2">
        <v>14.924074526186301</v>
      </c>
      <c r="G150" s="2">
        <v>54</v>
      </c>
      <c r="H150" s="2">
        <v>3800</v>
      </c>
      <c r="I150" s="2" t="s">
        <v>762</v>
      </c>
      <c r="J150" s="2" t="s">
        <v>64</v>
      </c>
      <c r="K150" s="2" t="s">
        <v>763</v>
      </c>
    </row>
    <row r="151" spans="1:13" x14ac:dyDescent="0.25">
      <c r="A151" s="2" t="s">
        <v>976</v>
      </c>
      <c r="B151" s="2" t="s">
        <v>8</v>
      </c>
      <c r="C151" s="2" t="s">
        <v>386</v>
      </c>
      <c r="D151" s="2" t="str">
        <f t="shared" si="2"/>
        <v>Monta Ellis</v>
      </c>
      <c r="E151" s="2" t="s">
        <v>387</v>
      </c>
      <c r="F151" s="2">
        <v>17.010869565217298</v>
      </c>
      <c r="G151" s="2">
        <v>46</v>
      </c>
      <c r="H151" s="2">
        <v>3800</v>
      </c>
      <c r="I151" s="2" t="s">
        <v>766</v>
      </c>
      <c r="J151" s="2" t="s">
        <v>303</v>
      </c>
      <c r="K151" s="2" t="s">
        <v>767</v>
      </c>
    </row>
    <row r="152" spans="1:13" x14ac:dyDescent="0.25">
      <c r="A152" s="2" t="s">
        <v>977</v>
      </c>
      <c r="B152" s="2" t="s">
        <v>6</v>
      </c>
      <c r="C152" s="2" t="s">
        <v>154</v>
      </c>
      <c r="D152" s="2" t="str">
        <f t="shared" si="2"/>
        <v>Rodney McGruder</v>
      </c>
      <c r="E152" s="2" t="s">
        <v>373</v>
      </c>
      <c r="F152" s="2">
        <v>13.7568622663909</v>
      </c>
      <c r="G152" s="2">
        <v>51</v>
      </c>
      <c r="H152" s="2">
        <v>3800</v>
      </c>
      <c r="I152" s="2" t="s">
        <v>770</v>
      </c>
      <c r="J152" s="2" t="s">
        <v>309</v>
      </c>
      <c r="K152" s="2" t="s">
        <v>55</v>
      </c>
    </row>
    <row r="153" spans="1:13" x14ac:dyDescent="0.25">
      <c r="A153" s="2" t="s">
        <v>978</v>
      </c>
      <c r="B153" s="2" t="s">
        <v>6</v>
      </c>
      <c r="C153" s="2" t="s">
        <v>173</v>
      </c>
      <c r="D153" s="2" t="str">
        <f t="shared" si="2"/>
        <v>Joe Ingles</v>
      </c>
      <c r="E153" s="2" t="s">
        <v>179</v>
      </c>
      <c r="F153" s="2">
        <v>14.6436368075284</v>
      </c>
      <c r="G153" s="2">
        <v>55</v>
      </c>
      <c r="H153" s="2">
        <v>3800</v>
      </c>
      <c r="I153" s="2" t="s">
        <v>762</v>
      </c>
      <c r="J153" s="2" t="s">
        <v>64</v>
      </c>
      <c r="K153" s="2" t="s">
        <v>763</v>
      </c>
    </row>
    <row r="154" spans="1:13" x14ac:dyDescent="0.25">
      <c r="A154" s="2" t="s">
        <v>979</v>
      </c>
      <c r="B154" s="2" t="s">
        <v>5</v>
      </c>
      <c r="C154" s="2" t="s">
        <v>980</v>
      </c>
      <c r="D154" s="2" t="str">
        <f t="shared" si="2"/>
        <v>Marreese Speights</v>
      </c>
      <c r="E154" s="2" t="s">
        <v>981</v>
      </c>
      <c r="F154" s="2">
        <v>17.9592590332031</v>
      </c>
      <c r="G154" s="2">
        <v>54</v>
      </c>
      <c r="H154" s="2">
        <v>3800</v>
      </c>
      <c r="I154" s="2" t="s">
        <v>762</v>
      </c>
      <c r="J154" s="2" t="s">
        <v>763</v>
      </c>
      <c r="K154" s="2" t="s">
        <v>64</v>
      </c>
    </row>
    <row r="155" spans="1:13" x14ac:dyDescent="0.25">
      <c r="A155" s="2" t="s">
        <v>982</v>
      </c>
      <c r="B155" s="2" t="s">
        <v>3</v>
      </c>
      <c r="C155" s="2" t="s">
        <v>983</v>
      </c>
      <c r="D155" s="2" t="str">
        <f t="shared" si="2"/>
        <v>Toney Douglas</v>
      </c>
      <c r="E155" s="2" t="s">
        <v>984</v>
      </c>
      <c r="F155" s="2">
        <v>12.5833333333333</v>
      </c>
      <c r="G155" s="2">
        <v>12</v>
      </c>
      <c r="H155" s="2">
        <v>3700</v>
      </c>
      <c r="I155" s="2" t="s">
        <v>782</v>
      </c>
      <c r="J155" s="2" t="s">
        <v>783</v>
      </c>
      <c r="K155" s="2" t="s">
        <v>784</v>
      </c>
    </row>
    <row r="156" spans="1:13" x14ac:dyDescent="0.25">
      <c r="A156" s="2" t="s">
        <v>985</v>
      </c>
      <c r="B156" s="2" t="s">
        <v>7</v>
      </c>
      <c r="C156" s="2" t="s">
        <v>368</v>
      </c>
      <c r="D156" s="2" t="str">
        <f t="shared" si="2"/>
        <v>John Henson</v>
      </c>
      <c r="E156" s="2" t="s">
        <v>369</v>
      </c>
      <c r="F156" s="2">
        <v>17.519565748131701</v>
      </c>
      <c r="G156" s="2">
        <v>46</v>
      </c>
      <c r="H156" s="2">
        <v>3700</v>
      </c>
      <c r="I156" s="2" t="s">
        <v>747</v>
      </c>
      <c r="J156" s="2" t="s">
        <v>302</v>
      </c>
      <c r="K156" s="2" t="s">
        <v>748</v>
      </c>
    </row>
    <row r="157" spans="1:13" x14ac:dyDescent="0.25">
      <c r="A157" s="2" t="s">
        <v>986</v>
      </c>
      <c r="B157" s="2" t="s">
        <v>6</v>
      </c>
      <c r="C157" s="2" t="s">
        <v>43</v>
      </c>
      <c r="D157" s="2" t="str">
        <f t="shared" si="2"/>
        <v>James Ennis III</v>
      </c>
      <c r="E157" s="2" t="s">
        <v>987</v>
      </c>
      <c r="F157" s="2">
        <v>15.7904764811197</v>
      </c>
      <c r="G157" s="2">
        <v>42</v>
      </c>
      <c r="H157" s="2">
        <v>3700</v>
      </c>
      <c r="I157" s="2" t="s">
        <v>782</v>
      </c>
      <c r="J157" s="2" t="s">
        <v>783</v>
      </c>
      <c r="K157" s="2" t="s">
        <v>784</v>
      </c>
    </row>
    <row r="158" spans="1:13" x14ac:dyDescent="0.25">
      <c r="A158" s="2" t="s">
        <v>988</v>
      </c>
      <c r="B158" s="2" t="s">
        <v>3</v>
      </c>
      <c r="C158" s="2" t="s">
        <v>223</v>
      </c>
      <c r="D158" s="2" t="str">
        <f t="shared" si="2"/>
        <v>Tyler Ulis</v>
      </c>
      <c r="E158" s="2" t="s">
        <v>398</v>
      </c>
      <c r="F158" s="2">
        <v>6.3142857142857096</v>
      </c>
      <c r="G158" s="2">
        <v>35</v>
      </c>
      <c r="H158" s="2">
        <v>3700</v>
      </c>
      <c r="I158" s="2" t="s">
        <v>750</v>
      </c>
      <c r="J158" s="2" t="s">
        <v>299</v>
      </c>
      <c r="K158" s="2" t="s">
        <v>751</v>
      </c>
    </row>
    <row r="159" spans="1:13" x14ac:dyDescent="0.25">
      <c r="A159" s="2" t="s">
        <v>989</v>
      </c>
      <c r="B159" s="2" t="s">
        <v>8</v>
      </c>
      <c r="C159" s="2" t="s">
        <v>990</v>
      </c>
      <c r="D159" s="2" t="str">
        <f t="shared" si="2"/>
        <v>Sean Kilpatrick</v>
      </c>
      <c r="E159" s="2" t="s">
        <v>991</v>
      </c>
      <c r="F159" s="2">
        <v>21.198113207547099</v>
      </c>
      <c r="G159" s="2">
        <v>53</v>
      </c>
      <c r="H159" s="2">
        <v>3700</v>
      </c>
      <c r="I159" s="2" t="s">
        <v>782</v>
      </c>
      <c r="J159" s="2" t="s">
        <v>784</v>
      </c>
      <c r="K159" s="2" t="s">
        <v>783</v>
      </c>
    </row>
    <row r="160" spans="1:13" x14ac:dyDescent="0.25">
      <c r="A160" s="2" t="s">
        <v>992</v>
      </c>
      <c r="B160" s="2" t="s">
        <v>5</v>
      </c>
      <c r="C160" s="2" t="s">
        <v>372</v>
      </c>
      <c r="D160" s="2" t="str">
        <f t="shared" si="2"/>
        <v>Lavoy Allen</v>
      </c>
      <c r="E160" s="2" t="s">
        <v>240</v>
      </c>
      <c r="F160" s="2">
        <v>8.1214287167503691</v>
      </c>
      <c r="G160" s="2">
        <v>42</v>
      </c>
      <c r="H160" s="2">
        <v>3700</v>
      </c>
      <c r="I160" s="2" t="s">
        <v>766</v>
      </c>
      <c r="J160" s="2" t="s">
        <v>303</v>
      </c>
      <c r="K160" s="2" t="s">
        <v>767</v>
      </c>
    </row>
    <row r="161" spans="1:13" x14ac:dyDescent="0.25">
      <c r="A161" s="2" t="s">
        <v>993</v>
      </c>
      <c r="B161" s="2" t="s">
        <v>8</v>
      </c>
      <c r="C161" s="2" t="s">
        <v>234</v>
      </c>
      <c r="D161" s="2" t="str">
        <f t="shared" si="2"/>
        <v>Gerald Henderson</v>
      </c>
      <c r="E161" s="2" t="s">
        <v>280</v>
      </c>
      <c r="F161" s="2">
        <v>16.0163262814891</v>
      </c>
      <c r="G161" s="2">
        <v>49</v>
      </c>
      <c r="H161" s="2">
        <v>3700</v>
      </c>
      <c r="I161" s="2" t="s">
        <v>775</v>
      </c>
      <c r="J161" s="2" t="s">
        <v>54</v>
      </c>
      <c r="K161" s="2" t="s">
        <v>44</v>
      </c>
    </row>
    <row r="162" spans="1:13" x14ac:dyDescent="0.25">
      <c r="A162" s="2" t="s">
        <v>994</v>
      </c>
      <c r="B162" s="2" t="s">
        <v>8</v>
      </c>
      <c r="C162" s="2" t="s">
        <v>180</v>
      </c>
      <c r="D162" s="2" t="str">
        <f t="shared" si="2"/>
        <v>Jodie Meeks</v>
      </c>
      <c r="E162" s="2" t="s">
        <v>181</v>
      </c>
      <c r="F162" s="2">
        <v>15.429166158040299</v>
      </c>
      <c r="G162" s="2">
        <v>24</v>
      </c>
      <c r="H162" s="2">
        <v>3700</v>
      </c>
      <c r="I162" s="2" t="s">
        <v>770</v>
      </c>
      <c r="J162" s="2" t="s">
        <v>55</v>
      </c>
      <c r="K162" s="2" t="s">
        <v>309</v>
      </c>
      <c r="L162" s="2" t="s">
        <v>56</v>
      </c>
      <c r="M162" s="2" t="s">
        <v>182</v>
      </c>
    </row>
    <row r="163" spans="1:13" x14ac:dyDescent="0.25">
      <c r="A163" s="2" t="s">
        <v>995</v>
      </c>
      <c r="B163" s="2" t="s">
        <v>3</v>
      </c>
      <c r="C163" s="2" t="s">
        <v>166</v>
      </c>
      <c r="D163" s="2" t="str">
        <f t="shared" si="2"/>
        <v>Devin Harris</v>
      </c>
      <c r="E163" s="2" t="s">
        <v>167</v>
      </c>
      <c r="F163" s="2">
        <v>11.748648978568401</v>
      </c>
      <c r="G163" s="2">
        <v>37</v>
      </c>
      <c r="H163" s="2">
        <v>3700</v>
      </c>
      <c r="I163" s="2" t="s">
        <v>755</v>
      </c>
      <c r="J163" s="2" t="s">
        <v>65</v>
      </c>
      <c r="K163" s="2" t="s">
        <v>49</v>
      </c>
    </row>
    <row r="164" spans="1:13" x14ac:dyDescent="0.25">
      <c r="A164" s="2" t="s">
        <v>996</v>
      </c>
      <c r="B164" s="2" t="s">
        <v>7</v>
      </c>
      <c r="C164" s="2" t="s">
        <v>384</v>
      </c>
      <c r="D164" s="2" t="str">
        <f t="shared" si="2"/>
        <v>JaVale McGee</v>
      </c>
      <c r="E164" s="2" t="s">
        <v>385</v>
      </c>
      <c r="F164" s="2">
        <v>11.034694126674101</v>
      </c>
      <c r="G164" s="2">
        <v>49</v>
      </c>
      <c r="H164" s="2">
        <v>3600</v>
      </c>
      <c r="I164" s="2" t="s">
        <v>757</v>
      </c>
      <c r="J164" s="2" t="s">
        <v>298</v>
      </c>
      <c r="K164" s="2" t="s">
        <v>304</v>
      </c>
    </row>
    <row r="165" spans="1:13" x14ac:dyDescent="0.25">
      <c r="A165" s="2" t="s">
        <v>997</v>
      </c>
      <c r="B165" s="2" t="s">
        <v>5</v>
      </c>
      <c r="C165" s="2" t="s">
        <v>998</v>
      </c>
      <c r="D165" s="2" t="str">
        <f t="shared" si="2"/>
        <v>Cheick Diallo</v>
      </c>
      <c r="E165" s="2" t="s">
        <v>999</v>
      </c>
      <c r="F165" s="2">
        <v>10.433333502875399</v>
      </c>
      <c r="G165" s="2">
        <v>9</v>
      </c>
      <c r="H165" s="2">
        <v>3600</v>
      </c>
      <c r="I165" s="2" t="s">
        <v>750</v>
      </c>
      <c r="J165" s="2" t="s">
        <v>751</v>
      </c>
      <c r="K165" s="2" t="s">
        <v>299</v>
      </c>
    </row>
    <row r="166" spans="1:13" x14ac:dyDescent="0.25">
      <c r="A166" s="2" t="s">
        <v>1000</v>
      </c>
      <c r="B166" s="2" t="s">
        <v>8</v>
      </c>
      <c r="C166" s="2" t="s">
        <v>1001</v>
      </c>
      <c r="D166" s="2" t="str">
        <f t="shared" si="2"/>
        <v>Buddy Hield</v>
      </c>
      <c r="E166" s="2" t="s">
        <v>1002</v>
      </c>
      <c r="F166" s="2">
        <v>14.0199995561079</v>
      </c>
      <c r="G166" s="2">
        <v>55</v>
      </c>
      <c r="H166" s="2">
        <v>3600</v>
      </c>
      <c r="I166" s="2" t="s">
        <v>750</v>
      </c>
      <c r="J166" s="2" t="s">
        <v>751</v>
      </c>
      <c r="K166" s="2" t="s">
        <v>299</v>
      </c>
    </row>
    <row r="167" spans="1:13" x14ac:dyDescent="0.25">
      <c r="A167" s="2" t="s">
        <v>1003</v>
      </c>
      <c r="B167" s="2" t="s">
        <v>5</v>
      </c>
      <c r="C167" s="2" t="s">
        <v>177</v>
      </c>
      <c r="D167" s="2" t="str">
        <f t="shared" si="2"/>
        <v>Amir Johnson</v>
      </c>
      <c r="E167" s="2" t="s">
        <v>174</v>
      </c>
      <c r="F167" s="2">
        <v>15.9339622641509</v>
      </c>
      <c r="G167" s="2">
        <v>53</v>
      </c>
      <c r="H167" s="2">
        <v>3600</v>
      </c>
      <c r="I167" s="2" t="s">
        <v>755</v>
      </c>
      <c r="J167" s="2" t="s">
        <v>49</v>
      </c>
      <c r="K167" s="2" t="s">
        <v>65</v>
      </c>
    </row>
    <row r="168" spans="1:13" x14ac:dyDescent="0.25">
      <c r="A168" s="2" t="s">
        <v>1004</v>
      </c>
      <c r="B168" s="2" t="s">
        <v>7</v>
      </c>
      <c r="C168" s="2" t="s">
        <v>401</v>
      </c>
      <c r="D168" s="2" t="str">
        <f t="shared" si="2"/>
        <v>Alan Williams</v>
      </c>
      <c r="E168" s="2" t="s">
        <v>90</v>
      </c>
      <c r="F168" s="2">
        <v>8.2772730047052505</v>
      </c>
      <c r="G168" s="2">
        <v>22</v>
      </c>
      <c r="H168" s="2">
        <v>3600</v>
      </c>
      <c r="I168" s="2" t="s">
        <v>750</v>
      </c>
      <c r="J168" s="2" t="s">
        <v>299</v>
      </c>
      <c r="K168" s="2" t="s">
        <v>751</v>
      </c>
    </row>
    <row r="169" spans="1:13" x14ac:dyDescent="0.25">
      <c r="A169" s="2" t="s">
        <v>1005</v>
      </c>
      <c r="B169" s="2" t="s">
        <v>8</v>
      </c>
      <c r="C169" s="2" t="s">
        <v>240</v>
      </c>
      <c r="D169" s="2" t="str">
        <f t="shared" si="2"/>
        <v>Allen Crabbe</v>
      </c>
      <c r="E169" s="2" t="s">
        <v>241</v>
      </c>
      <c r="F169" s="2">
        <v>16.490740740740701</v>
      </c>
      <c r="G169" s="2">
        <v>54</v>
      </c>
      <c r="H169" s="2">
        <v>3600</v>
      </c>
      <c r="I169" s="2" t="s">
        <v>777</v>
      </c>
      <c r="J169" s="2" t="s">
        <v>50</v>
      </c>
      <c r="K169" s="2" t="s">
        <v>778</v>
      </c>
    </row>
    <row r="170" spans="1:13" x14ac:dyDescent="0.25">
      <c r="A170" s="2" t="s">
        <v>1006</v>
      </c>
      <c r="B170" s="2" t="s">
        <v>8</v>
      </c>
      <c r="C170" s="2" t="s">
        <v>242</v>
      </c>
      <c r="D170" s="2" t="str">
        <f t="shared" si="2"/>
        <v>Mario Hezonja</v>
      </c>
      <c r="E170" s="2" t="s">
        <v>243</v>
      </c>
      <c r="F170" s="2">
        <v>6.93846169496193</v>
      </c>
      <c r="G170" s="2">
        <v>39</v>
      </c>
      <c r="H170" s="2">
        <v>3600</v>
      </c>
      <c r="I170" s="2" t="s">
        <v>770</v>
      </c>
      <c r="J170" s="2" t="s">
        <v>55</v>
      </c>
      <c r="K170" s="2" t="s">
        <v>309</v>
      </c>
    </row>
    <row r="171" spans="1:13" x14ac:dyDescent="0.25">
      <c r="A171" s="2" t="s">
        <v>1007</v>
      </c>
      <c r="B171" s="2" t="s">
        <v>5</v>
      </c>
      <c r="C171" s="2" t="s">
        <v>404</v>
      </c>
      <c r="D171" s="2" t="str">
        <f t="shared" si="2"/>
        <v>Thon Maker</v>
      </c>
      <c r="E171" s="2" t="s">
        <v>405</v>
      </c>
      <c r="F171" s="2">
        <v>6.3285713195800701</v>
      </c>
      <c r="G171" s="2">
        <v>28</v>
      </c>
      <c r="H171" s="2">
        <v>3600</v>
      </c>
      <c r="I171" s="2" t="s">
        <v>747</v>
      </c>
      <c r="J171" s="2" t="s">
        <v>302</v>
      </c>
      <c r="K171" s="2" t="s">
        <v>748</v>
      </c>
    </row>
    <row r="172" spans="1:13" x14ac:dyDescent="0.25">
      <c r="A172" s="2" t="s">
        <v>1008</v>
      </c>
      <c r="B172" s="2" t="s">
        <v>6</v>
      </c>
      <c r="C172" s="2" t="s">
        <v>324</v>
      </c>
      <c r="D172" s="2" t="str">
        <f t="shared" si="2"/>
        <v>Chandler Parsons</v>
      </c>
      <c r="E172" s="2" t="s">
        <v>1009</v>
      </c>
      <c r="F172" s="2">
        <v>12.715999755859301</v>
      </c>
      <c r="G172" s="2">
        <v>25</v>
      </c>
      <c r="H172" s="2">
        <v>3600</v>
      </c>
      <c r="I172" s="2" t="s">
        <v>782</v>
      </c>
      <c r="J172" s="2" t="s">
        <v>783</v>
      </c>
      <c r="K172" s="2" t="s">
        <v>784</v>
      </c>
    </row>
    <row r="173" spans="1:13" x14ac:dyDescent="0.25">
      <c r="A173" s="2" t="s">
        <v>1010</v>
      </c>
      <c r="B173" s="2" t="s">
        <v>6</v>
      </c>
      <c r="C173" s="2" t="s">
        <v>194</v>
      </c>
      <c r="D173" s="2" t="str">
        <f t="shared" si="2"/>
        <v>Dante Cunningham</v>
      </c>
      <c r="E173" s="2" t="s">
        <v>1011</v>
      </c>
      <c r="F173" s="2">
        <v>13.8619050525483</v>
      </c>
      <c r="G173" s="2">
        <v>42</v>
      </c>
      <c r="H173" s="2">
        <v>3600</v>
      </c>
      <c r="I173" s="2" t="s">
        <v>750</v>
      </c>
      <c r="J173" s="2" t="s">
        <v>751</v>
      </c>
      <c r="K173" s="2" t="s">
        <v>299</v>
      </c>
    </row>
    <row r="174" spans="1:13" x14ac:dyDescent="0.25">
      <c r="A174" s="2" t="s">
        <v>1012</v>
      </c>
      <c r="B174" s="2" t="s">
        <v>7</v>
      </c>
      <c r="C174" s="2" t="s">
        <v>427</v>
      </c>
      <c r="D174" s="2" t="str">
        <f t="shared" si="2"/>
        <v>Ian Mahinmi</v>
      </c>
      <c r="E174" s="2" t="s">
        <v>1013</v>
      </c>
      <c r="F174" s="2">
        <v>6.5999997456868398</v>
      </c>
      <c r="G174" s="2">
        <v>3</v>
      </c>
      <c r="H174" s="2">
        <v>3600</v>
      </c>
      <c r="I174" s="2" t="s">
        <v>744</v>
      </c>
      <c r="J174" s="2" t="s">
        <v>745</v>
      </c>
      <c r="K174" s="2" t="s">
        <v>4</v>
      </c>
    </row>
    <row r="175" spans="1:13" x14ac:dyDescent="0.25">
      <c r="A175" s="2" t="s">
        <v>1014</v>
      </c>
      <c r="B175" s="2" t="s">
        <v>6</v>
      </c>
      <c r="C175" s="2" t="s">
        <v>185</v>
      </c>
      <c r="D175" s="2" t="str">
        <f t="shared" si="2"/>
        <v>Jerami Grant</v>
      </c>
      <c r="E175" s="2" t="s">
        <v>186</v>
      </c>
      <c r="F175" s="2">
        <v>12.511110658998801</v>
      </c>
      <c r="G175" s="2">
        <v>54</v>
      </c>
      <c r="H175" s="2">
        <v>3600</v>
      </c>
      <c r="I175" s="2" t="s">
        <v>744</v>
      </c>
      <c r="J175" s="2" t="s">
        <v>4</v>
      </c>
      <c r="K175" s="2" t="s">
        <v>745</v>
      </c>
    </row>
    <row r="176" spans="1:13" x14ac:dyDescent="0.25">
      <c r="A176" s="2" t="s">
        <v>1015</v>
      </c>
      <c r="B176" s="2" t="s">
        <v>8</v>
      </c>
      <c r="C176" s="2" t="s">
        <v>380</v>
      </c>
      <c r="D176" s="2" t="str">
        <f t="shared" si="2"/>
        <v>Rashad Vaughn</v>
      </c>
      <c r="E176" s="2" t="s">
        <v>381</v>
      </c>
      <c r="F176" s="2">
        <v>6.9863634976473703</v>
      </c>
      <c r="G176" s="2">
        <v>22</v>
      </c>
      <c r="H176" s="2">
        <v>3600</v>
      </c>
      <c r="I176" s="2" t="s">
        <v>747</v>
      </c>
      <c r="J176" s="2" t="s">
        <v>302</v>
      </c>
      <c r="K176" s="2" t="s">
        <v>748</v>
      </c>
    </row>
    <row r="177" spans="1:13" x14ac:dyDescent="0.25">
      <c r="A177" s="2" t="s">
        <v>1016</v>
      </c>
      <c r="B177" s="2" t="s">
        <v>8</v>
      </c>
      <c r="C177" s="2" t="s">
        <v>68</v>
      </c>
      <c r="D177" s="2" t="str">
        <f t="shared" si="2"/>
        <v>Nicolas Brussino</v>
      </c>
      <c r="E177" s="2" t="s">
        <v>201</v>
      </c>
      <c r="F177" s="2">
        <v>4.9171430315290099</v>
      </c>
      <c r="G177" s="2">
        <v>35</v>
      </c>
      <c r="H177" s="2">
        <v>3600</v>
      </c>
      <c r="I177" s="2" t="s">
        <v>755</v>
      </c>
      <c r="J177" s="2" t="s">
        <v>65</v>
      </c>
      <c r="K177" s="2" t="s">
        <v>49</v>
      </c>
    </row>
    <row r="178" spans="1:13" x14ac:dyDescent="0.25">
      <c r="A178" s="2" t="s">
        <v>1017</v>
      </c>
      <c r="B178" s="2" t="s">
        <v>7</v>
      </c>
      <c r="C178" s="2" t="s">
        <v>265</v>
      </c>
      <c r="D178" s="2" t="str">
        <f t="shared" si="2"/>
        <v>Justin Hamilton</v>
      </c>
      <c r="E178" s="2" t="s">
        <v>1018</v>
      </c>
      <c r="F178" s="2">
        <v>15.4574468085106</v>
      </c>
      <c r="G178" s="2">
        <v>47</v>
      </c>
      <c r="H178" s="2">
        <v>3600</v>
      </c>
      <c r="I178" s="2" t="s">
        <v>782</v>
      </c>
      <c r="J178" s="2" t="s">
        <v>784</v>
      </c>
      <c r="K178" s="2" t="s">
        <v>783</v>
      </c>
    </row>
    <row r="179" spans="1:13" x14ac:dyDescent="0.25">
      <c r="A179" s="2" t="s">
        <v>1019</v>
      </c>
      <c r="B179" s="2" t="s">
        <v>6</v>
      </c>
      <c r="C179" s="2" t="s">
        <v>1020</v>
      </c>
      <c r="D179" s="2" t="str">
        <f t="shared" si="2"/>
        <v>Thabo Sefolosha</v>
      </c>
      <c r="E179" s="2" t="s">
        <v>1021</v>
      </c>
      <c r="F179" s="2">
        <v>18.574999722567402</v>
      </c>
      <c r="G179" s="2">
        <v>44</v>
      </c>
      <c r="H179" s="2">
        <v>3600</v>
      </c>
      <c r="I179" s="2" t="s">
        <v>777</v>
      </c>
      <c r="J179" s="2" t="s">
        <v>778</v>
      </c>
      <c r="K179" s="2" t="s">
        <v>50</v>
      </c>
      <c r="L179" s="2" t="s">
        <v>91</v>
      </c>
      <c r="M179" s="2" t="s">
        <v>320</v>
      </c>
    </row>
    <row r="180" spans="1:13" x14ac:dyDescent="0.25">
      <c r="A180" s="2" t="s">
        <v>1022</v>
      </c>
      <c r="B180" s="2" t="s">
        <v>5</v>
      </c>
      <c r="C180" s="2" t="s">
        <v>417</v>
      </c>
      <c r="D180" s="2" t="str">
        <f t="shared" si="2"/>
        <v>Jason Smith</v>
      </c>
      <c r="E180" s="2" t="s">
        <v>199</v>
      </c>
      <c r="F180" s="2">
        <v>10.4725485409007</v>
      </c>
      <c r="G180" s="2">
        <v>51</v>
      </c>
      <c r="H180" s="2">
        <v>3600</v>
      </c>
      <c r="I180" s="2" t="s">
        <v>744</v>
      </c>
      <c r="J180" s="2" t="s">
        <v>745</v>
      </c>
      <c r="K180" s="2" t="s">
        <v>4</v>
      </c>
    </row>
    <row r="181" spans="1:13" x14ac:dyDescent="0.25">
      <c r="A181" s="2" t="s">
        <v>1023</v>
      </c>
      <c r="B181" s="2" t="s">
        <v>5</v>
      </c>
      <c r="C181" s="2" t="s">
        <v>389</v>
      </c>
      <c r="D181" s="2" t="str">
        <f t="shared" si="2"/>
        <v>Jared Dudley</v>
      </c>
      <c r="E181" s="2" t="s">
        <v>390</v>
      </c>
      <c r="F181" s="2">
        <v>14.278946725945699</v>
      </c>
      <c r="G181" s="2">
        <v>38</v>
      </c>
      <c r="H181" s="2">
        <v>3600</v>
      </c>
      <c r="I181" s="2" t="s">
        <v>750</v>
      </c>
      <c r="J181" s="2" t="s">
        <v>299</v>
      </c>
      <c r="K181" s="2" t="s">
        <v>751</v>
      </c>
    </row>
    <row r="182" spans="1:13" x14ac:dyDescent="0.25">
      <c r="A182" s="2" t="s">
        <v>1024</v>
      </c>
      <c r="B182" s="2" t="s">
        <v>6</v>
      </c>
      <c r="C182" s="2" t="s">
        <v>171</v>
      </c>
      <c r="D182" s="2" t="str">
        <f t="shared" si="2"/>
        <v>Jaylen Brown</v>
      </c>
      <c r="E182" s="2" t="s">
        <v>172</v>
      </c>
      <c r="F182" s="2">
        <v>10.3433964567364</v>
      </c>
      <c r="G182" s="2">
        <v>53</v>
      </c>
      <c r="H182" s="2">
        <v>3600</v>
      </c>
      <c r="I182" s="2" t="s">
        <v>755</v>
      </c>
      <c r="J182" s="2" t="s">
        <v>49</v>
      </c>
      <c r="K182" s="2" t="s">
        <v>65</v>
      </c>
      <c r="L182" s="2" t="s">
        <v>91</v>
      </c>
      <c r="M182" s="2" t="s">
        <v>1025</v>
      </c>
    </row>
    <row r="183" spans="1:13" x14ac:dyDescent="0.25">
      <c r="A183" s="2" t="s">
        <v>1026</v>
      </c>
      <c r="B183" s="2" t="s">
        <v>5</v>
      </c>
      <c r="C183" s="2" t="s">
        <v>278</v>
      </c>
      <c r="D183" s="2" t="str">
        <f t="shared" si="2"/>
        <v>Domantas Sabonis</v>
      </c>
      <c r="E183" s="2" t="s">
        <v>279</v>
      </c>
      <c r="F183" s="2">
        <v>12.794545676491399</v>
      </c>
      <c r="G183" s="2">
        <v>55</v>
      </c>
      <c r="H183" s="2">
        <v>3600</v>
      </c>
      <c r="I183" s="2" t="s">
        <v>744</v>
      </c>
      <c r="J183" s="2" t="s">
        <v>4</v>
      </c>
      <c r="K183" s="2" t="s">
        <v>745</v>
      </c>
    </row>
    <row r="184" spans="1:13" x14ac:dyDescent="0.25">
      <c r="A184" s="2" t="s">
        <v>1027</v>
      </c>
      <c r="B184" s="2" t="s">
        <v>8</v>
      </c>
      <c r="C184" s="2" t="s">
        <v>1028</v>
      </c>
      <c r="D184" s="2" t="str">
        <f t="shared" si="2"/>
        <v>Randy Foye</v>
      </c>
      <c r="E184" s="2" t="s">
        <v>1029</v>
      </c>
      <c r="F184" s="2">
        <v>11.3658536585365</v>
      </c>
      <c r="G184" s="2">
        <v>41</v>
      </c>
      <c r="H184" s="2">
        <v>3500</v>
      </c>
      <c r="I184" s="2" t="s">
        <v>782</v>
      </c>
      <c r="J184" s="2" t="s">
        <v>784</v>
      </c>
      <c r="K184" s="2" t="s">
        <v>783</v>
      </c>
    </row>
    <row r="185" spans="1:13" x14ac:dyDescent="0.25">
      <c r="A185" s="2" t="s">
        <v>1030</v>
      </c>
      <c r="B185" s="2" t="s">
        <v>6</v>
      </c>
      <c r="C185" s="2" t="s">
        <v>269</v>
      </c>
      <c r="D185" s="2" t="str">
        <f t="shared" si="2"/>
        <v>Mike Miller</v>
      </c>
      <c r="E185" s="2" t="s">
        <v>391</v>
      </c>
      <c r="F185" s="2">
        <v>3.6833333969116202</v>
      </c>
      <c r="G185" s="2">
        <v>12</v>
      </c>
      <c r="H185" s="2">
        <v>3500</v>
      </c>
      <c r="I185" s="2" t="s">
        <v>757</v>
      </c>
      <c r="J185" s="2" t="s">
        <v>304</v>
      </c>
      <c r="K185" s="2" t="s">
        <v>298</v>
      </c>
    </row>
    <row r="186" spans="1:13" x14ac:dyDescent="0.25">
      <c r="A186" s="2" t="s">
        <v>1031</v>
      </c>
      <c r="B186" s="2" t="s">
        <v>8</v>
      </c>
      <c r="C186" s="2" t="s">
        <v>392</v>
      </c>
      <c r="D186" s="2" t="str">
        <f t="shared" si="2"/>
        <v>Malik Beasley</v>
      </c>
      <c r="E186" s="2" t="s">
        <v>350</v>
      </c>
      <c r="F186" s="2">
        <v>4.2000000897575802</v>
      </c>
      <c r="G186" s="2">
        <v>17</v>
      </c>
      <c r="H186" s="2">
        <v>3500</v>
      </c>
      <c r="I186" s="2" t="s">
        <v>757</v>
      </c>
      <c r="J186" s="2" t="s">
        <v>304</v>
      </c>
      <c r="K186" s="2" t="s">
        <v>298</v>
      </c>
    </row>
    <row r="187" spans="1:13" x14ac:dyDescent="0.25">
      <c r="A187" s="2" t="s">
        <v>1032</v>
      </c>
      <c r="B187" s="2" t="s">
        <v>6</v>
      </c>
      <c r="C187" s="2" t="s">
        <v>1033</v>
      </c>
      <c r="D187" s="2" t="str">
        <f t="shared" si="2"/>
        <v>Taurean Prince</v>
      </c>
      <c r="E187" s="2" t="s">
        <v>1034</v>
      </c>
      <c r="F187" s="2">
        <v>7.0483870967741904</v>
      </c>
      <c r="G187" s="2">
        <v>31</v>
      </c>
      <c r="H187" s="2">
        <v>3500</v>
      </c>
      <c r="I187" s="2" t="s">
        <v>777</v>
      </c>
      <c r="J187" s="2" t="s">
        <v>778</v>
      </c>
      <c r="K187" s="2" t="s">
        <v>50</v>
      </c>
    </row>
    <row r="188" spans="1:13" x14ac:dyDescent="0.25">
      <c r="A188" s="2" t="s">
        <v>1035</v>
      </c>
      <c r="B188" s="2" t="s">
        <v>8</v>
      </c>
      <c r="C188" s="2" t="s">
        <v>60</v>
      </c>
      <c r="D188" s="2" t="str">
        <f t="shared" si="2"/>
        <v>C.J. Wilcox</v>
      </c>
      <c r="E188" s="2" t="s">
        <v>198</v>
      </c>
      <c r="F188" s="2">
        <v>2.3937499523162802</v>
      </c>
      <c r="G188" s="2">
        <v>16</v>
      </c>
      <c r="H188" s="2">
        <v>3500</v>
      </c>
      <c r="I188" s="2" t="s">
        <v>770</v>
      </c>
      <c r="J188" s="2" t="s">
        <v>55</v>
      </c>
      <c r="K188" s="2" t="s">
        <v>309</v>
      </c>
      <c r="L188" s="2" t="s">
        <v>56</v>
      </c>
      <c r="M188" s="2" t="s">
        <v>80</v>
      </c>
    </row>
    <row r="189" spans="1:13" x14ac:dyDescent="0.25">
      <c r="A189" s="2" t="s">
        <v>1036</v>
      </c>
      <c r="B189" s="2" t="s">
        <v>7</v>
      </c>
      <c r="C189" s="2" t="s">
        <v>1037</v>
      </c>
      <c r="D189" s="2" t="str">
        <f t="shared" si="2"/>
        <v>Aron Baynes</v>
      </c>
      <c r="E189" s="2" t="s">
        <v>1038</v>
      </c>
      <c r="F189" s="2">
        <v>10.6384617732121</v>
      </c>
      <c r="G189" s="2">
        <v>52</v>
      </c>
      <c r="H189" s="2">
        <v>3500</v>
      </c>
      <c r="I189" s="2" t="s">
        <v>747</v>
      </c>
      <c r="J189" s="2" t="s">
        <v>748</v>
      </c>
      <c r="K189" s="2" t="s">
        <v>302</v>
      </c>
    </row>
    <row r="190" spans="1:13" x14ac:dyDescent="0.25">
      <c r="A190" s="2" t="s">
        <v>1039</v>
      </c>
      <c r="B190" s="2" t="s">
        <v>5</v>
      </c>
      <c r="C190" s="2" t="s">
        <v>51</v>
      </c>
      <c r="D190" s="2" t="str">
        <f t="shared" si="2"/>
        <v>Kevin Seraphin</v>
      </c>
      <c r="E190" s="2" t="s">
        <v>393</v>
      </c>
      <c r="F190" s="2">
        <v>9.3612907163558408</v>
      </c>
      <c r="G190" s="2">
        <v>31</v>
      </c>
      <c r="H190" s="2">
        <v>3500</v>
      </c>
      <c r="I190" s="2" t="s">
        <v>766</v>
      </c>
      <c r="J190" s="2" t="s">
        <v>303</v>
      </c>
      <c r="K190" s="2" t="s">
        <v>767</v>
      </c>
    </row>
    <row r="191" spans="1:13" x14ac:dyDescent="0.25">
      <c r="A191" s="2" t="s">
        <v>1040</v>
      </c>
      <c r="B191" s="2" t="s">
        <v>7</v>
      </c>
      <c r="C191" s="2" t="s">
        <v>52</v>
      </c>
      <c r="D191" s="2" t="str">
        <f t="shared" si="2"/>
        <v>Joel Anthony</v>
      </c>
      <c r="E191" s="2" t="s">
        <v>208</v>
      </c>
      <c r="F191" s="2">
        <v>4.1624999046325604</v>
      </c>
      <c r="G191" s="2">
        <v>8</v>
      </c>
      <c r="H191" s="2">
        <v>3500</v>
      </c>
      <c r="I191" s="2" t="s">
        <v>766</v>
      </c>
      <c r="J191" s="2" t="s">
        <v>767</v>
      </c>
      <c r="K191" s="2" t="s">
        <v>303</v>
      </c>
    </row>
    <row r="192" spans="1:13" x14ac:dyDescent="0.25">
      <c r="A192" s="2" t="s">
        <v>1041</v>
      </c>
      <c r="B192" s="2" t="s">
        <v>3</v>
      </c>
      <c r="C192" s="2" t="s">
        <v>1042</v>
      </c>
      <c r="D192" s="2" t="str">
        <f t="shared" si="2"/>
        <v>Greivis Vasquez</v>
      </c>
      <c r="E192" s="2" t="s">
        <v>1043</v>
      </c>
      <c r="F192" s="2">
        <v>6.6333332061767498</v>
      </c>
      <c r="G192" s="2">
        <v>3</v>
      </c>
      <c r="H192" s="2">
        <v>3500</v>
      </c>
      <c r="I192" s="2" t="s">
        <v>782</v>
      </c>
      <c r="J192" s="2" t="s">
        <v>784</v>
      </c>
      <c r="K192" s="2" t="s">
        <v>783</v>
      </c>
    </row>
    <row r="193" spans="1:13" x14ac:dyDescent="0.25">
      <c r="A193" s="2" t="s">
        <v>1044</v>
      </c>
      <c r="B193" s="2" t="s">
        <v>8</v>
      </c>
      <c r="C193" s="2" t="s">
        <v>1045</v>
      </c>
      <c r="D193" s="2" t="str">
        <f t="shared" si="2"/>
        <v>Tomas Satoransky</v>
      </c>
      <c r="E193" s="2" t="s">
        <v>1046</v>
      </c>
      <c r="F193" s="2">
        <v>8.7027027027027</v>
      </c>
      <c r="G193" s="2">
        <v>37</v>
      </c>
      <c r="H193" s="2">
        <v>3500</v>
      </c>
      <c r="I193" s="2" t="s">
        <v>744</v>
      </c>
      <c r="J193" s="2" t="s">
        <v>745</v>
      </c>
      <c r="K193" s="2" t="s">
        <v>4</v>
      </c>
    </row>
    <row r="194" spans="1:13" x14ac:dyDescent="0.25">
      <c r="A194" s="2" t="s">
        <v>1047</v>
      </c>
      <c r="B194" s="2" t="s">
        <v>6</v>
      </c>
      <c r="C194" s="2" t="s">
        <v>103</v>
      </c>
      <c r="D194" s="2" t="str">
        <f t="shared" si="2"/>
        <v>Wesley Johnson</v>
      </c>
      <c r="E194" s="2" t="s">
        <v>174</v>
      </c>
      <c r="F194" s="2">
        <v>9.2191486764461406</v>
      </c>
      <c r="G194" s="2">
        <v>47</v>
      </c>
      <c r="H194" s="2">
        <v>3500</v>
      </c>
      <c r="I194" s="2" t="s">
        <v>762</v>
      </c>
      <c r="J194" s="2" t="s">
        <v>763</v>
      </c>
      <c r="K194" s="2" t="s">
        <v>64</v>
      </c>
    </row>
    <row r="195" spans="1:13" x14ac:dyDescent="0.25">
      <c r="A195" s="2" t="s">
        <v>1048</v>
      </c>
      <c r="B195" s="2" t="s">
        <v>6</v>
      </c>
      <c r="C195" s="2" t="s">
        <v>394</v>
      </c>
      <c r="D195" s="2" t="str">
        <f t="shared" ref="D195:D258" si="3">C195&amp;" "&amp;E195</f>
        <v>Luke Babbitt</v>
      </c>
      <c r="E195" s="2" t="s">
        <v>395</v>
      </c>
      <c r="F195" s="2">
        <v>8.2478259542714003</v>
      </c>
      <c r="G195" s="2">
        <v>46</v>
      </c>
      <c r="H195" s="2">
        <v>3500</v>
      </c>
      <c r="I195" s="2" t="s">
        <v>770</v>
      </c>
      <c r="J195" s="2" t="s">
        <v>309</v>
      </c>
      <c r="K195" s="2" t="s">
        <v>55</v>
      </c>
    </row>
    <row r="196" spans="1:13" x14ac:dyDescent="0.25">
      <c r="A196" s="2" t="s">
        <v>1049</v>
      </c>
      <c r="B196" s="2" t="s">
        <v>6</v>
      </c>
      <c r="C196" s="2" t="s">
        <v>1050</v>
      </c>
      <c r="D196" s="2" t="str">
        <f t="shared" si="3"/>
        <v>Luc Richard Mbah a Moute</v>
      </c>
      <c r="E196" s="2" t="s">
        <v>1051</v>
      </c>
      <c r="F196" s="2">
        <v>11.9980773925781</v>
      </c>
      <c r="G196" s="2">
        <v>52</v>
      </c>
      <c r="H196" s="2">
        <v>3500</v>
      </c>
      <c r="I196" s="2" t="s">
        <v>762</v>
      </c>
      <c r="J196" s="2" t="s">
        <v>763</v>
      </c>
      <c r="K196" s="2" t="s">
        <v>64</v>
      </c>
    </row>
    <row r="197" spans="1:13" x14ac:dyDescent="0.25">
      <c r="A197" s="2" t="s">
        <v>1052</v>
      </c>
      <c r="B197" s="2" t="s">
        <v>7</v>
      </c>
      <c r="C197" s="2" t="s">
        <v>1053</v>
      </c>
      <c r="D197" s="2" t="str">
        <f t="shared" si="3"/>
        <v>Diamond Stone</v>
      </c>
      <c r="E197" s="2" t="s">
        <v>1054</v>
      </c>
      <c r="F197" s="2">
        <v>3.1600000381469702</v>
      </c>
      <c r="G197" s="2">
        <v>5</v>
      </c>
      <c r="H197" s="2">
        <v>3500</v>
      </c>
      <c r="I197" s="2" t="s">
        <v>762</v>
      </c>
      <c r="J197" s="2" t="s">
        <v>763</v>
      </c>
      <c r="K197" s="2" t="s">
        <v>64</v>
      </c>
    </row>
    <row r="198" spans="1:13" x14ac:dyDescent="0.25">
      <c r="A198" s="2" t="s">
        <v>1055</v>
      </c>
      <c r="B198" s="2" t="s">
        <v>8</v>
      </c>
      <c r="C198" s="2" t="s">
        <v>863</v>
      </c>
      <c r="D198" s="2" t="str">
        <f t="shared" si="3"/>
        <v>Reggie Bullock</v>
      </c>
      <c r="E198" s="2" t="s">
        <v>1056</v>
      </c>
      <c r="F198" s="2">
        <v>9.4000004359653992</v>
      </c>
      <c r="G198" s="2">
        <v>14</v>
      </c>
      <c r="H198" s="2">
        <v>3500</v>
      </c>
      <c r="I198" s="2" t="s">
        <v>747</v>
      </c>
      <c r="J198" s="2" t="s">
        <v>748</v>
      </c>
      <c r="K198" s="2" t="s">
        <v>302</v>
      </c>
    </row>
    <row r="199" spans="1:13" x14ac:dyDescent="0.25">
      <c r="A199" s="2" t="s">
        <v>1057</v>
      </c>
      <c r="B199" s="2" t="s">
        <v>7</v>
      </c>
      <c r="C199" s="2" t="s">
        <v>1058</v>
      </c>
      <c r="D199" s="2" t="str">
        <f t="shared" si="3"/>
        <v>Alexis Ajinca</v>
      </c>
      <c r="E199" s="2" t="s">
        <v>1059</v>
      </c>
      <c r="F199" s="2">
        <v>11.366666521344801</v>
      </c>
      <c r="G199" s="2">
        <v>21</v>
      </c>
      <c r="H199" s="2">
        <v>3500</v>
      </c>
      <c r="I199" s="2" t="s">
        <v>750</v>
      </c>
      <c r="J199" s="2" t="s">
        <v>751</v>
      </c>
      <c r="K199" s="2" t="s">
        <v>299</v>
      </c>
    </row>
    <row r="200" spans="1:13" x14ac:dyDescent="0.25">
      <c r="A200" s="2" t="s">
        <v>1060</v>
      </c>
      <c r="B200" s="2" t="s">
        <v>5</v>
      </c>
      <c r="C200" s="2" t="s">
        <v>219</v>
      </c>
      <c r="D200" s="2" t="str">
        <f t="shared" si="3"/>
        <v>Ed Davis</v>
      </c>
      <c r="E200" s="2" t="s">
        <v>220</v>
      </c>
      <c r="F200" s="2">
        <v>11.9418604651162</v>
      </c>
      <c r="G200" s="2">
        <v>43</v>
      </c>
      <c r="H200" s="2">
        <v>3500</v>
      </c>
      <c r="I200" s="2" t="s">
        <v>777</v>
      </c>
      <c r="J200" s="2" t="s">
        <v>50</v>
      </c>
      <c r="K200" s="2" t="s">
        <v>778</v>
      </c>
    </row>
    <row r="201" spans="1:13" x14ac:dyDescent="0.25">
      <c r="A201" s="2" t="s">
        <v>1061</v>
      </c>
      <c r="B201" s="2" t="s">
        <v>6</v>
      </c>
      <c r="C201" s="2" t="s">
        <v>221</v>
      </c>
      <c r="D201" s="2" t="str">
        <f t="shared" si="3"/>
        <v>Damjan Rudez</v>
      </c>
      <c r="E201" s="2" t="s">
        <v>222</v>
      </c>
      <c r="F201" s="2">
        <v>4.0764707677504504</v>
      </c>
      <c r="G201" s="2">
        <v>34</v>
      </c>
      <c r="H201" s="2">
        <v>3500</v>
      </c>
      <c r="I201" s="2" t="s">
        <v>770</v>
      </c>
      <c r="J201" s="2" t="s">
        <v>55</v>
      </c>
      <c r="K201" s="2" t="s">
        <v>309</v>
      </c>
    </row>
    <row r="202" spans="1:13" x14ac:dyDescent="0.25">
      <c r="A202" s="2" t="s">
        <v>1062</v>
      </c>
      <c r="B202" s="2" t="s">
        <v>5</v>
      </c>
      <c r="C202" s="2" t="s">
        <v>1063</v>
      </c>
      <c r="D202" s="2" t="str">
        <f t="shared" si="3"/>
        <v>Deyonta Davis</v>
      </c>
      <c r="E202" s="2" t="s">
        <v>220</v>
      </c>
      <c r="F202" s="2">
        <v>5.3679998779296803</v>
      </c>
      <c r="G202" s="2">
        <v>25</v>
      </c>
      <c r="H202" s="2">
        <v>3500</v>
      </c>
      <c r="I202" s="2" t="s">
        <v>782</v>
      </c>
      <c r="J202" s="2" t="s">
        <v>783</v>
      </c>
      <c r="K202" s="2" t="s">
        <v>784</v>
      </c>
    </row>
    <row r="203" spans="1:13" x14ac:dyDescent="0.25">
      <c r="A203" s="2" t="s">
        <v>1064</v>
      </c>
      <c r="B203" s="2" t="s">
        <v>5</v>
      </c>
      <c r="C203" s="2" t="s">
        <v>396</v>
      </c>
      <c r="D203" s="2" t="str">
        <f t="shared" si="3"/>
        <v>James Michael McAdoo</v>
      </c>
      <c r="E203" s="2" t="s">
        <v>397</v>
      </c>
      <c r="F203" s="2">
        <v>6.2185182924623801</v>
      </c>
      <c r="G203" s="2">
        <v>27</v>
      </c>
      <c r="H203" s="2">
        <v>3500</v>
      </c>
      <c r="I203" s="2" t="s">
        <v>757</v>
      </c>
      <c r="J203" s="2" t="s">
        <v>298</v>
      </c>
      <c r="K203" s="2" t="s">
        <v>304</v>
      </c>
    </row>
    <row r="204" spans="1:13" x14ac:dyDescent="0.25">
      <c r="A204" s="2" t="s">
        <v>1065</v>
      </c>
      <c r="B204" s="2" t="s">
        <v>7</v>
      </c>
      <c r="C204" s="2" t="s">
        <v>223</v>
      </c>
      <c r="D204" s="2" t="str">
        <f t="shared" si="3"/>
        <v>Tyler Zeller</v>
      </c>
      <c r="E204" s="2" t="s">
        <v>126</v>
      </c>
      <c r="F204" s="2">
        <v>9.9393939393939394</v>
      </c>
      <c r="G204" s="2">
        <v>33</v>
      </c>
      <c r="H204" s="2">
        <v>3500</v>
      </c>
      <c r="I204" s="2" t="s">
        <v>755</v>
      </c>
      <c r="J204" s="2" t="s">
        <v>49</v>
      </c>
      <c r="K204" s="2" t="s">
        <v>65</v>
      </c>
    </row>
    <row r="205" spans="1:13" x14ac:dyDescent="0.25">
      <c r="A205" s="2" t="s">
        <v>1066</v>
      </c>
      <c r="B205" s="2" t="s">
        <v>5</v>
      </c>
      <c r="C205" s="2" t="s">
        <v>200</v>
      </c>
      <c r="D205" s="2" t="str">
        <f t="shared" si="3"/>
        <v>Chris McCullough</v>
      </c>
      <c r="E205" s="2" t="s">
        <v>1067</v>
      </c>
      <c r="F205" s="2">
        <v>4.8000001173753004</v>
      </c>
      <c r="G205" s="2">
        <v>13</v>
      </c>
      <c r="H205" s="2">
        <v>3500</v>
      </c>
      <c r="I205" s="2" t="s">
        <v>782</v>
      </c>
      <c r="J205" s="2" t="s">
        <v>784</v>
      </c>
      <c r="K205" s="2" t="s">
        <v>783</v>
      </c>
    </row>
    <row r="206" spans="1:13" x14ac:dyDescent="0.25">
      <c r="A206" s="2" t="s">
        <v>1068</v>
      </c>
      <c r="B206" s="2" t="s">
        <v>5</v>
      </c>
      <c r="C206" s="2" t="s">
        <v>224</v>
      </c>
      <c r="D206" s="2" t="str">
        <f t="shared" si="3"/>
        <v>Trey Lyles</v>
      </c>
      <c r="E206" s="2" t="s">
        <v>225</v>
      </c>
      <c r="F206" s="2">
        <v>14.1818181818181</v>
      </c>
      <c r="G206" s="2">
        <v>55</v>
      </c>
      <c r="H206" s="2">
        <v>3500</v>
      </c>
      <c r="I206" s="2" t="s">
        <v>762</v>
      </c>
      <c r="J206" s="2" t="s">
        <v>64</v>
      </c>
      <c r="K206" s="2" t="s">
        <v>763</v>
      </c>
    </row>
    <row r="207" spans="1:13" x14ac:dyDescent="0.25">
      <c r="A207" s="2" t="s">
        <v>1069</v>
      </c>
      <c r="B207" s="2" t="s">
        <v>5</v>
      </c>
      <c r="C207" s="2" t="s">
        <v>1070</v>
      </c>
      <c r="D207" s="2" t="str">
        <f t="shared" si="3"/>
        <v>Brice Johnson</v>
      </c>
      <c r="E207" s="2" t="s">
        <v>174</v>
      </c>
      <c r="F207" s="2">
        <v>0</v>
      </c>
      <c r="G207" s="2">
        <v>0</v>
      </c>
      <c r="H207" s="2">
        <v>3500</v>
      </c>
      <c r="I207" s="2" t="s">
        <v>762</v>
      </c>
      <c r="J207" s="2" t="s">
        <v>763</v>
      </c>
      <c r="K207" s="2" t="s">
        <v>64</v>
      </c>
      <c r="L207" s="2" t="s">
        <v>56</v>
      </c>
      <c r="M207" s="2" t="s">
        <v>335</v>
      </c>
    </row>
    <row r="208" spans="1:13" x14ac:dyDescent="0.25">
      <c r="A208" s="2" t="s">
        <v>1071</v>
      </c>
      <c r="B208" s="2" t="s">
        <v>5</v>
      </c>
      <c r="C208" s="2" t="s">
        <v>226</v>
      </c>
      <c r="D208" s="2" t="str">
        <f t="shared" si="3"/>
        <v>Jordan Mickey</v>
      </c>
      <c r="E208" s="2" t="s">
        <v>227</v>
      </c>
      <c r="F208" s="2">
        <v>5.12666676839192</v>
      </c>
      <c r="G208" s="2">
        <v>15</v>
      </c>
      <c r="H208" s="2">
        <v>3500</v>
      </c>
      <c r="I208" s="2" t="s">
        <v>755</v>
      </c>
      <c r="J208" s="2" t="s">
        <v>49</v>
      </c>
      <c r="K208" s="2" t="s">
        <v>65</v>
      </c>
    </row>
    <row r="209" spans="1:13" x14ac:dyDescent="0.25">
      <c r="A209" s="2" t="s">
        <v>1072</v>
      </c>
      <c r="B209" s="2" t="s">
        <v>3</v>
      </c>
      <c r="C209" s="2" t="s">
        <v>228</v>
      </c>
      <c r="D209" s="2" t="str">
        <f t="shared" si="3"/>
        <v>Tim Quarterman</v>
      </c>
      <c r="E209" s="2" t="s">
        <v>229</v>
      </c>
      <c r="F209" s="2">
        <v>2.9750000635782801</v>
      </c>
      <c r="G209" s="2">
        <v>12</v>
      </c>
      <c r="H209" s="2">
        <v>3500</v>
      </c>
      <c r="I209" s="2" t="s">
        <v>777</v>
      </c>
      <c r="J209" s="2" t="s">
        <v>50</v>
      </c>
      <c r="K209" s="2" t="s">
        <v>778</v>
      </c>
    </row>
    <row r="210" spans="1:13" x14ac:dyDescent="0.25">
      <c r="A210" s="2" t="s">
        <v>1073</v>
      </c>
      <c r="B210" s="2" t="s">
        <v>3</v>
      </c>
      <c r="C210" s="2" t="s">
        <v>230</v>
      </c>
      <c r="D210" s="2" t="str">
        <f t="shared" si="3"/>
        <v>Semaj Christon</v>
      </c>
      <c r="E210" s="2" t="s">
        <v>231</v>
      </c>
      <c r="F210" s="2">
        <v>8.4948714818709892</v>
      </c>
      <c r="G210" s="2">
        <v>39</v>
      </c>
      <c r="H210" s="2">
        <v>3500</v>
      </c>
      <c r="I210" s="2" t="s">
        <v>744</v>
      </c>
      <c r="J210" s="2" t="s">
        <v>4</v>
      </c>
      <c r="K210" s="2" t="s">
        <v>745</v>
      </c>
    </row>
    <row r="211" spans="1:13" x14ac:dyDescent="0.25">
      <c r="A211" s="2" t="s">
        <v>1074</v>
      </c>
      <c r="B211" s="2" t="s">
        <v>5</v>
      </c>
      <c r="C211" s="2" t="s">
        <v>1075</v>
      </c>
      <c r="D211" s="2" t="str">
        <f t="shared" si="3"/>
        <v>Quincy Acy</v>
      </c>
      <c r="E211" s="2" t="s">
        <v>1076</v>
      </c>
      <c r="F211" s="2">
        <v>8.5444446139865402</v>
      </c>
      <c r="G211" s="2">
        <v>18</v>
      </c>
      <c r="H211" s="2">
        <v>3500</v>
      </c>
      <c r="I211" s="2" t="s">
        <v>782</v>
      </c>
      <c r="J211" s="2" t="s">
        <v>784</v>
      </c>
      <c r="K211" s="2" t="s">
        <v>783</v>
      </c>
      <c r="L211" s="2" t="s">
        <v>56</v>
      </c>
      <c r="M211" s="2" t="s">
        <v>168</v>
      </c>
    </row>
    <row r="212" spans="1:13" x14ac:dyDescent="0.25">
      <c r="A212" s="2" t="s">
        <v>1077</v>
      </c>
      <c r="B212" s="2" t="s">
        <v>6</v>
      </c>
      <c r="C212" s="2" t="s">
        <v>399</v>
      </c>
      <c r="D212" s="2" t="str">
        <f t="shared" si="3"/>
        <v>Georges Niang</v>
      </c>
      <c r="E212" s="2" t="s">
        <v>400</v>
      </c>
      <c r="F212" s="2">
        <v>2.1666666666666599</v>
      </c>
      <c r="G212" s="2">
        <v>21</v>
      </c>
      <c r="H212" s="2">
        <v>3500</v>
      </c>
      <c r="I212" s="2" t="s">
        <v>766</v>
      </c>
      <c r="J212" s="2" t="s">
        <v>303</v>
      </c>
      <c r="K212" s="2" t="s">
        <v>767</v>
      </c>
    </row>
    <row r="213" spans="1:13" x14ac:dyDescent="0.25">
      <c r="A213" s="2" t="s">
        <v>1078</v>
      </c>
      <c r="B213" s="2" t="s">
        <v>8</v>
      </c>
      <c r="C213" s="2" t="s">
        <v>234</v>
      </c>
      <c r="D213" s="2" t="str">
        <f t="shared" si="3"/>
        <v>Gerald Green</v>
      </c>
      <c r="E213" s="2" t="s">
        <v>235</v>
      </c>
      <c r="F213" s="2">
        <v>9.1575761274857896</v>
      </c>
      <c r="G213" s="2">
        <v>33</v>
      </c>
      <c r="H213" s="2">
        <v>3500</v>
      </c>
      <c r="I213" s="2" t="s">
        <v>755</v>
      </c>
      <c r="J213" s="2" t="s">
        <v>49</v>
      </c>
      <c r="K213" s="2" t="s">
        <v>65</v>
      </c>
    </row>
    <row r="214" spans="1:13" x14ac:dyDescent="0.25">
      <c r="A214" s="2" t="s">
        <v>1079</v>
      </c>
      <c r="B214" s="2" t="s">
        <v>8</v>
      </c>
      <c r="C214" s="2" t="s">
        <v>236</v>
      </c>
      <c r="D214" s="2" t="str">
        <f t="shared" si="3"/>
        <v>Pat Connaughton</v>
      </c>
      <c r="E214" s="2" t="s">
        <v>237</v>
      </c>
      <c r="F214" s="2">
        <v>3.9079998779296798</v>
      </c>
      <c r="G214" s="2">
        <v>25</v>
      </c>
      <c r="H214" s="2">
        <v>3500</v>
      </c>
      <c r="I214" s="2" t="s">
        <v>777</v>
      </c>
      <c r="J214" s="2" t="s">
        <v>50</v>
      </c>
      <c r="K214" s="2" t="s">
        <v>778</v>
      </c>
    </row>
    <row r="215" spans="1:13" x14ac:dyDescent="0.25">
      <c r="A215" s="2" t="s">
        <v>1080</v>
      </c>
      <c r="B215" s="2" t="s">
        <v>7</v>
      </c>
      <c r="C215" s="2" t="s">
        <v>58</v>
      </c>
      <c r="D215" s="2" t="str">
        <f t="shared" si="3"/>
        <v>Damian Jones</v>
      </c>
      <c r="E215" s="2" t="s">
        <v>210</v>
      </c>
      <c r="F215" s="2">
        <v>2.6000000635782801</v>
      </c>
      <c r="G215" s="2">
        <v>6</v>
      </c>
      <c r="H215" s="2">
        <v>3500</v>
      </c>
      <c r="I215" s="2" t="s">
        <v>757</v>
      </c>
      <c r="J215" s="2" t="s">
        <v>298</v>
      </c>
      <c r="K215" s="2" t="s">
        <v>304</v>
      </c>
    </row>
    <row r="216" spans="1:13" x14ac:dyDescent="0.25">
      <c r="A216" s="2" t="s">
        <v>1081</v>
      </c>
      <c r="B216" s="2" t="s">
        <v>3</v>
      </c>
      <c r="C216" s="2" t="s">
        <v>1082</v>
      </c>
      <c r="D216" s="2" t="str">
        <f t="shared" si="3"/>
        <v>Wade Baldwin IV</v>
      </c>
      <c r="E216" s="2" t="s">
        <v>1083</v>
      </c>
      <c r="F216" s="2">
        <v>8.4208335876464808</v>
      </c>
      <c r="G216" s="2">
        <v>24</v>
      </c>
      <c r="H216" s="2">
        <v>3500</v>
      </c>
      <c r="I216" s="2" t="s">
        <v>782</v>
      </c>
      <c r="J216" s="2" t="s">
        <v>783</v>
      </c>
      <c r="K216" s="2" t="s">
        <v>784</v>
      </c>
    </row>
    <row r="217" spans="1:13" x14ac:dyDescent="0.25">
      <c r="A217" s="2" t="s">
        <v>1084</v>
      </c>
      <c r="B217" s="2" t="s">
        <v>3</v>
      </c>
      <c r="C217" s="2" t="s">
        <v>1085</v>
      </c>
      <c r="D217" s="2" t="str">
        <f t="shared" si="3"/>
        <v>Dejounte Murray</v>
      </c>
      <c r="E217" s="2" t="s">
        <v>365</v>
      </c>
      <c r="F217" s="2">
        <v>5.8299997965494699</v>
      </c>
      <c r="G217" s="2">
        <v>30</v>
      </c>
      <c r="H217" s="2">
        <v>3500</v>
      </c>
      <c r="I217" s="2" t="s">
        <v>766</v>
      </c>
      <c r="J217" s="2" t="s">
        <v>767</v>
      </c>
      <c r="K217" s="2" t="s">
        <v>303</v>
      </c>
    </row>
    <row r="218" spans="1:13" x14ac:dyDescent="0.25">
      <c r="A218" s="2" t="s">
        <v>1086</v>
      </c>
      <c r="B218" s="2" t="s">
        <v>7</v>
      </c>
      <c r="C218" s="2" t="s">
        <v>1087</v>
      </c>
      <c r="D218" s="2" t="str">
        <f t="shared" si="3"/>
        <v>Tiago Splitter</v>
      </c>
      <c r="E218" s="2" t="s">
        <v>1088</v>
      </c>
      <c r="F218" s="2">
        <v>11.9777781168619</v>
      </c>
      <c r="G218" s="2">
        <v>36</v>
      </c>
      <c r="H218" s="2">
        <v>3500</v>
      </c>
      <c r="I218" s="2" t="s">
        <v>777</v>
      </c>
      <c r="J218" s="2" t="s">
        <v>778</v>
      </c>
      <c r="K218" s="2" t="s">
        <v>50</v>
      </c>
      <c r="L218" s="2" t="s">
        <v>56</v>
      </c>
      <c r="M218" s="2" t="s">
        <v>144</v>
      </c>
    </row>
    <row r="219" spans="1:13" x14ac:dyDescent="0.25">
      <c r="A219" s="2" t="s">
        <v>1089</v>
      </c>
      <c r="B219" s="2" t="s">
        <v>7</v>
      </c>
      <c r="C219" s="2" t="s">
        <v>1090</v>
      </c>
      <c r="D219" s="2" t="str">
        <f t="shared" si="3"/>
        <v>Omer Asik</v>
      </c>
      <c r="E219" s="2" t="s">
        <v>1091</v>
      </c>
      <c r="F219" s="2">
        <v>10.2935485839843</v>
      </c>
      <c r="G219" s="2">
        <v>31</v>
      </c>
      <c r="H219" s="2">
        <v>3500</v>
      </c>
      <c r="I219" s="2" t="s">
        <v>750</v>
      </c>
      <c r="J219" s="2" t="s">
        <v>751</v>
      </c>
      <c r="K219" s="2" t="s">
        <v>299</v>
      </c>
    </row>
    <row r="220" spans="1:13" x14ac:dyDescent="0.25">
      <c r="A220" s="2" t="s">
        <v>1092</v>
      </c>
      <c r="B220" s="2" t="s">
        <v>5</v>
      </c>
      <c r="C220" s="2" t="s">
        <v>52</v>
      </c>
      <c r="D220" s="2" t="str">
        <f t="shared" si="3"/>
        <v>Joel Bolomboy</v>
      </c>
      <c r="E220" s="2" t="s">
        <v>244</v>
      </c>
      <c r="F220" s="2">
        <v>2.7222222222222201</v>
      </c>
      <c r="G220" s="2">
        <v>9</v>
      </c>
      <c r="H220" s="2">
        <v>3500</v>
      </c>
      <c r="I220" s="2" t="s">
        <v>762</v>
      </c>
      <c r="J220" s="2" t="s">
        <v>64</v>
      </c>
      <c r="K220" s="2" t="s">
        <v>763</v>
      </c>
    </row>
    <row r="221" spans="1:13" x14ac:dyDescent="0.25">
      <c r="A221" s="2" t="s">
        <v>1093</v>
      </c>
      <c r="B221" s="2" t="s">
        <v>8</v>
      </c>
      <c r="C221" s="2" t="s">
        <v>401</v>
      </c>
      <c r="D221" s="2" t="str">
        <f t="shared" si="3"/>
        <v>Alan Anderson</v>
      </c>
      <c r="E221" s="2" t="s">
        <v>141</v>
      </c>
      <c r="F221" s="2">
        <v>4.9523809523809499</v>
      </c>
      <c r="G221" s="2">
        <v>21</v>
      </c>
      <c r="H221" s="2">
        <v>3500</v>
      </c>
      <c r="I221" s="2" t="s">
        <v>762</v>
      </c>
      <c r="J221" s="2" t="s">
        <v>763</v>
      </c>
      <c r="K221" s="2" t="s">
        <v>64</v>
      </c>
    </row>
    <row r="222" spans="1:13" x14ac:dyDescent="0.25">
      <c r="A222" s="2" t="s">
        <v>1094</v>
      </c>
      <c r="B222" s="2" t="s">
        <v>5</v>
      </c>
      <c r="C222" s="2" t="s">
        <v>402</v>
      </c>
      <c r="D222" s="2" t="str">
        <f t="shared" si="3"/>
        <v>Dragan Bender</v>
      </c>
      <c r="E222" s="2" t="s">
        <v>403</v>
      </c>
      <c r="F222" s="2">
        <v>7.2078945762232696</v>
      </c>
      <c r="G222" s="2">
        <v>38</v>
      </c>
      <c r="H222" s="2">
        <v>3500</v>
      </c>
      <c r="I222" s="2" t="s">
        <v>750</v>
      </c>
      <c r="J222" s="2" t="s">
        <v>299</v>
      </c>
      <c r="K222" s="2" t="s">
        <v>751</v>
      </c>
      <c r="L222" s="2" t="s">
        <v>56</v>
      </c>
      <c r="M222" s="2" t="s">
        <v>168</v>
      </c>
    </row>
    <row r="223" spans="1:13" x14ac:dyDescent="0.25">
      <c r="A223" s="2" t="s">
        <v>1095</v>
      </c>
      <c r="B223" s="2" t="s">
        <v>6</v>
      </c>
      <c r="C223" s="2" t="s">
        <v>178</v>
      </c>
      <c r="D223" s="2" t="str">
        <f t="shared" si="3"/>
        <v>Kyle Anderson</v>
      </c>
      <c r="E223" s="2" t="s">
        <v>141</v>
      </c>
      <c r="F223" s="2">
        <v>9.0877548529177297</v>
      </c>
      <c r="G223" s="2">
        <v>49</v>
      </c>
      <c r="H223" s="2">
        <v>3500</v>
      </c>
      <c r="I223" s="2" t="s">
        <v>766</v>
      </c>
      <c r="J223" s="2" t="s">
        <v>767</v>
      </c>
      <c r="K223" s="2" t="s">
        <v>303</v>
      </c>
    </row>
    <row r="224" spans="1:13" x14ac:dyDescent="0.25">
      <c r="A224" s="2" t="s">
        <v>1096</v>
      </c>
      <c r="B224" s="2" t="s">
        <v>5</v>
      </c>
      <c r="C224" s="2" t="s">
        <v>247</v>
      </c>
      <c r="D224" s="2" t="str">
        <f t="shared" si="3"/>
        <v>Noah Vonleh</v>
      </c>
      <c r="E224" s="2" t="s">
        <v>248</v>
      </c>
      <c r="F224" s="2">
        <v>9.1413043478260807</v>
      </c>
      <c r="G224" s="2">
        <v>46</v>
      </c>
      <c r="H224" s="2">
        <v>3500</v>
      </c>
      <c r="I224" s="2" t="s">
        <v>777</v>
      </c>
      <c r="J224" s="2" t="s">
        <v>50</v>
      </c>
      <c r="K224" s="2" t="s">
        <v>778</v>
      </c>
    </row>
    <row r="225" spans="1:11" x14ac:dyDescent="0.25">
      <c r="A225" s="2" t="s">
        <v>1097</v>
      </c>
      <c r="B225" s="2" t="s">
        <v>6</v>
      </c>
      <c r="C225" s="2" t="s">
        <v>1098</v>
      </c>
      <c r="D225" s="2" t="str">
        <f t="shared" si="3"/>
        <v>Troy Williams</v>
      </c>
      <c r="E225" s="2" t="s">
        <v>90</v>
      </c>
      <c r="F225" s="2">
        <v>10.3041667938232</v>
      </c>
      <c r="G225" s="2">
        <v>24</v>
      </c>
      <c r="H225" s="2">
        <v>3500</v>
      </c>
      <c r="I225" s="2" t="s">
        <v>782</v>
      </c>
      <c r="J225" s="2" t="s">
        <v>783</v>
      </c>
      <c r="K225" s="2" t="s">
        <v>784</v>
      </c>
    </row>
    <row r="226" spans="1:11" x14ac:dyDescent="0.25">
      <c r="A226" s="2" t="s">
        <v>1099</v>
      </c>
      <c r="B226" s="2" t="s">
        <v>6</v>
      </c>
      <c r="C226" s="2" t="s">
        <v>406</v>
      </c>
      <c r="D226" s="2" t="str">
        <f t="shared" si="3"/>
        <v>Steve Novak</v>
      </c>
      <c r="E226" s="2" t="s">
        <v>407</v>
      </c>
      <c r="F226" s="2">
        <v>1.07500004768371</v>
      </c>
      <c r="G226" s="2">
        <v>8</v>
      </c>
      <c r="H226" s="2">
        <v>3500</v>
      </c>
      <c r="I226" s="2" t="s">
        <v>747</v>
      </c>
      <c r="J226" s="2" t="s">
        <v>302</v>
      </c>
      <c r="K226" s="2" t="s">
        <v>748</v>
      </c>
    </row>
    <row r="227" spans="1:11" x14ac:dyDescent="0.25">
      <c r="A227" s="2" t="s">
        <v>1100</v>
      </c>
      <c r="B227" s="2" t="s">
        <v>5</v>
      </c>
      <c r="C227" s="2" t="s">
        <v>408</v>
      </c>
      <c r="D227" s="2" t="str">
        <f t="shared" si="3"/>
        <v>Juancho Hernangomez</v>
      </c>
      <c r="E227" s="2" t="s">
        <v>409</v>
      </c>
      <c r="F227" s="2">
        <v>8.8289473684210495</v>
      </c>
      <c r="G227" s="2">
        <v>38</v>
      </c>
      <c r="H227" s="2">
        <v>3500</v>
      </c>
      <c r="I227" s="2" t="s">
        <v>757</v>
      </c>
      <c r="J227" s="2" t="s">
        <v>304</v>
      </c>
      <c r="K227" s="2" t="s">
        <v>298</v>
      </c>
    </row>
    <row r="228" spans="1:11" x14ac:dyDescent="0.25">
      <c r="A228" s="2" t="s">
        <v>1101</v>
      </c>
      <c r="B228" s="2" t="s">
        <v>8</v>
      </c>
      <c r="C228" s="2" t="s">
        <v>151</v>
      </c>
      <c r="D228" s="2" t="str">
        <f t="shared" si="3"/>
        <v>Aaron Harrison</v>
      </c>
      <c r="E228" s="2" t="s">
        <v>85</v>
      </c>
      <c r="F228" s="2">
        <v>1.8200000762939399</v>
      </c>
      <c r="G228" s="2">
        <v>5</v>
      </c>
      <c r="H228" s="2">
        <v>3500</v>
      </c>
      <c r="I228" s="2" t="s">
        <v>775</v>
      </c>
      <c r="J228" s="2" t="s">
        <v>44</v>
      </c>
      <c r="K228" s="2" t="s">
        <v>54</v>
      </c>
    </row>
    <row r="229" spans="1:11" x14ac:dyDescent="0.25">
      <c r="A229" s="2" t="s">
        <v>1102</v>
      </c>
      <c r="B229" s="2" t="s">
        <v>8</v>
      </c>
      <c r="C229" s="2" t="s">
        <v>249</v>
      </c>
      <c r="D229" s="2" t="str">
        <f t="shared" si="3"/>
        <v>Timothe Luwawu-Cabarrot</v>
      </c>
      <c r="E229" s="2" t="s">
        <v>250</v>
      </c>
      <c r="F229" s="2">
        <v>6.4756097560975601</v>
      </c>
      <c r="G229" s="2">
        <v>41</v>
      </c>
      <c r="H229" s="2">
        <v>3500</v>
      </c>
      <c r="I229" s="2" t="s">
        <v>775</v>
      </c>
      <c r="J229" s="2" t="s">
        <v>54</v>
      </c>
      <c r="K229" s="2" t="s">
        <v>44</v>
      </c>
    </row>
    <row r="230" spans="1:11" x14ac:dyDescent="0.25">
      <c r="A230" s="2" t="s">
        <v>1103</v>
      </c>
      <c r="B230" s="2" t="s">
        <v>3</v>
      </c>
      <c r="C230" s="2" t="s">
        <v>163</v>
      </c>
      <c r="D230" s="2" t="str">
        <f t="shared" si="3"/>
        <v>Andrew Harrison</v>
      </c>
      <c r="E230" s="2" t="s">
        <v>85</v>
      </c>
      <c r="F230" s="2">
        <v>14.111321215359601</v>
      </c>
      <c r="G230" s="2">
        <v>53</v>
      </c>
      <c r="H230" s="2">
        <v>3500</v>
      </c>
      <c r="I230" s="2" t="s">
        <v>782</v>
      </c>
      <c r="J230" s="2" t="s">
        <v>783</v>
      </c>
      <c r="K230" s="2" t="s">
        <v>784</v>
      </c>
    </row>
    <row r="231" spans="1:11" x14ac:dyDescent="0.25">
      <c r="A231" s="2" t="s">
        <v>1104</v>
      </c>
      <c r="B231" s="2" t="s">
        <v>8</v>
      </c>
      <c r="C231" s="2" t="s">
        <v>374</v>
      </c>
      <c r="D231" s="2" t="str">
        <f t="shared" si="3"/>
        <v>Brandon Knight</v>
      </c>
      <c r="E231" s="2" t="s">
        <v>375</v>
      </c>
      <c r="F231" s="2">
        <v>16.7923079270582</v>
      </c>
      <c r="G231" s="2">
        <v>52</v>
      </c>
      <c r="H231" s="2">
        <v>3500</v>
      </c>
      <c r="I231" s="2" t="s">
        <v>750</v>
      </c>
      <c r="J231" s="2" t="s">
        <v>299</v>
      </c>
      <c r="K231" s="2" t="s">
        <v>751</v>
      </c>
    </row>
    <row r="232" spans="1:11" x14ac:dyDescent="0.25">
      <c r="A232" s="2" t="s">
        <v>1105</v>
      </c>
      <c r="B232" s="2" t="s">
        <v>8</v>
      </c>
      <c r="C232" s="2" t="s">
        <v>253</v>
      </c>
      <c r="D232" s="2" t="str">
        <f t="shared" si="3"/>
        <v>Alec Burks</v>
      </c>
      <c r="E232" s="2" t="s">
        <v>254</v>
      </c>
      <c r="F232" s="2">
        <v>10.605263157894701</v>
      </c>
      <c r="G232" s="2">
        <v>19</v>
      </c>
      <c r="H232" s="2">
        <v>3500</v>
      </c>
      <c r="I232" s="2" t="s">
        <v>762</v>
      </c>
      <c r="J232" s="2" t="s">
        <v>64</v>
      </c>
      <c r="K232" s="2" t="s">
        <v>763</v>
      </c>
    </row>
    <row r="233" spans="1:11" x14ac:dyDescent="0.25">
      <c r="A233" s="2" t="s">
        <v>1106</v>
      </c>
      <c r="B233" s="2" t="s">
        <v>6</v>
      </c>
      <c r="C233" s="2" t="s">
        <v>43</v>
      </c>
      <c r="D233" s="2" t="str">
        <f t="shared" si="3"/>
        <v>James Young</v>
      </c>
      <c r="E233" s="2" t="s">
        <v>255</v>
      </c>
      <c r="F233" s="2">
        <v>3.6941176021800302</v>
      </c>
      <c r="G233" s="2">
        <v>17</v>
      </c>
      <c r="H233" s="2">
        <v>3500</v>
      </c>
      <c r="I233" s="2" t="s">
        <v>755</v>
      </c>
      <c r="J233" s="2" t="s">
        <v>49</v>
      </c>
      <c r="K233" s="2" t="s">
        <v>65</v>
      </c>
    </row>
    <row r="234" spans="1:11" x14ac:dyDescent="0.25">
      <c r="A234" s="2" t="s">
        <v>1107</v>
      </c>
      <c r="B234" s="2" t="s">
        <v>3</v>
      </c>
      <c r="C234" s="2" t="s">
        <v>261</v>
      </c>
      <c r="D234" s="2" t="str">
        <f t="shared" si="3"/>
        <v>Terry Rozier</v>
      </c>
      <c r="E234" s="2" t="s">
        <v>262</v>
      </c>
      <c r="F234" s="2">
        <v>13.0551022899394</v>
      </c>
      <c r="G234" s="2">
        <v>49</v>
      </c>
      <c r="H234" s="2">
        <v>3500</v>
      </c>
      <c r="I234" s="2" t="s">
        <v>755</v>
      </c>
      <c r="J234" s="2" t="s">
        <v>49</v>
      </c>
      <c r="K234" s="2" t="s">
        <v>65</v>
      </c>
    </row>
    <row r="235" spans="1:11" x14ac:dyDescent="0.25">
      <c r="A235" s="2" t="s">
        <v>1108</v>
      </c>
      <c r="B235" s="2" t="s">
        <v>3</v>
      </c>
      <c r="C235" s="2" t="s">
        <v>344</v>
      </c>
      <c r="D235" s="2" t="str">
        <f t="shared" si="3"/>
        <v>Spencer Dinwiddie</v>
      </c>
      <c r="E235" s="2" t="s">
        <v>1109</v>
      </c>
      <c r="F235" s="2">
        <v>13.993547993321499</v>
      </c>
      <c r="G235" s="2">
        <v>31</v>
      </c>
      <c r="H235" s="2">
        <v>3500</v>
      </c>
      <c r="I235" s="2" t="s">
        <v>782</v>
      </c>
      <c r="J235" s="2" t="s">
        <v>784</v>
      </c>
      <c r="K235" s="2" t="s">
        <v>783</v>
      </c>
    </row>
    <row r="236" spans="1:11" x14ac:dyDescent="0.25">
      <c r="A236" s="2" t="s">
        <v>1110</v>
      </c>
      <c r="B236" s="2" t="s">
        <v>5</v>
      </c>
      <c r="C236" s="2" t="s">
        <v>1111</v>
      </c>
      <c r="D236" s="2" t="str">
        <f t="shared" si="3"/>
        <v>Donatas Motiejunas</v>
      </c>
      <c r="E236" s="2" t="s">
        <v>1112</v>
      </c>
      <c r="F236" s="2">
        <v>11.483333163791199</v>
      </c>
      <c r="G236" s="2">
        <v>18</v>
      </c>
      <c r="H236" s="2">
        <v>3500</v>
      </c>
      <c r="I236" s="2" t="s">
        <v>750</v>
      </c>
      <c r="J236" s="2" t="s">
        <v>751</v>
      </c>
      <c r="K236" s="2" t="s">
        <v>299</v>
      </c>
    </row>
    <row r="237" spans="1:11" x14ac:dyDescent="0.25">
      <c r="A237" s="2" t="s">
        <v>1113</v>
      </c>
      <c r="B237" s="2" t="s">
        <v>6</v>
      </c>
      <c r="C237" s="2" t="s">
        <v>1114</v>
      </c>
      <c r="D237" s="2" t="str">
        <f t="shared" si="3"/>
        <v>DeAndre' Bembry</v>
      </c>
      <c r="E237" s="2" t="s">
        <v>1115</v>
      </c>
      <c r="F237" s="2">
        <v>6.2625001271565699</v>
      </c>
      <c r="G237" s="2">
        <v>24</v>
      </c>
      <c r="H237" s="2">
        <v>3500</v>
      </c>
      <c r="I237" s="2" t="s">
        <v>777</v>
      </c>
      <c r="J237" s="2" t="s">
        <v>778</v>
      </c>
      <c r="K237" s="2" t="s">
        <v>50</v>
      </c>
    </row>
    <row r="238" spans="1:11" x14ac:dyDescent="0.25">
      <c r="A238" s="2" t="s">
        <v>1116</v>
      </c>
      <c r="B238" s="2" t="s">
        <v>5</v>
      </c>
      <c r="C238" s="2" t="s">
        <v>1117</v>
      </c>
      <c r="D238" s="2" t="str">
        <f t="shared" si="3"/>
        <v>Daniel Ochefu</v>
      </c>
      <c r="E238" s="2" t="s">
        <v>1118</v>
      </c>
      <c r="F238" s="2">
        <v>2.6153846153846101</v>
      </c>
      <c r="G238" s="2">
        <v>13</v>
      </c>
      <c r="H238" s="2">
        <v>3500</v>
      </c>
      <c r="I238" s="2" t="s">
        <v>744</v>
      </c>
      <c r="J238" s="2" t="s">
        <v>745</v>
      </c>
      <c r="K238" s="2" t="s">
        <v>4</v>
      </c>
    </row>
    <row r="239" spans="1:11" x14ac:dyDescent="0.25">
      <c r="A239" s="2" t="s">
        <v>1119</v>
      </c>
      <c r="B239" s="2" t="s">
        <v>6</v>
      </c>
      <c r="C239" s="2" t="s">
        <v>265</v>
      </c>
      <c r="D239" s="2" t="str">
        <f t="shared" si="3"/>
        <v>Justin Anderson</v>
      </c>
      <c r="E239" s="2" t="s">
        <v>141</v>
      </c>
      <c r="F239" s="2">
        <v>12.2571423588966</v>
      </c>
      <c r="G239" s="2">
        <v>49</v>
      </c>
      <c r="H239" s="2">
        <v>3500</v>
      </c>
      <c r="I239" s="2" t="s">
        <v>755</v>
      </c>
      <c r="J239" s="2" t="s">
        <v>65</v>
      </c>
      <c r="K239" s="2" t="s">
        <v>49</v>
      </c>
    </row>
    <row r="240" spans="1:11" x14ac:dyDescent="0.25">
      <c r="A240" s="2" t="s">
        <v>1120</v>
      </c>
      <c r="B240" s="2" t="s">
        <v>6</v>
      </c>
      <c r="C240" s="2" t="s">
        <v>178</v>
      </c>
      <c r="D240" s="2" t="str">
        <f t="shared" si="3"/>
        <v>Kyle Singler</v>
      </c>
      <c r="E240" s="2" t="s">
        <v>266</v>
      </c>
      <c r="F240" s="2">
        <v>3.6076924250675999</v>
      </c>
      <c r="G240" s="2">
        <v>26</v>
      </c>
      <c r="H240" s="2">
        <v>3500</v>
      </c>
      <c r="I240" s="2" t="s">
        <v>744</v>
      </c>
      <c r="J240" s="2" t="s">
        <v>4</v>
      </c>
      <c r="K240" s="2" t="s">
        <v>745</v>
      </c>
    </row>
    <row r="241" spans="1:11" x14ac:dyDescent="0.25">
      <c r="A241" s="2" t="s">
        <v>1121</v>
      </c>
      <c r="B241" s="2" t="s">
        <v>3</v>
      </c>
      <c r="C241" s="2" t="s">
        <v>267</v>
      </c>
      <c r="D241" s="2" t="str">
        <f t="shared" si="3"/>
        <v>Shelvin Mack</v>
      </c>
      <c r="E241" s="2" t="s">
        <v>268</v>
      </c>
      <c r="F241" s="2">
        <v>13.9804342518682</v>
      </c>
      <c r="G241" s="2">
        <v>46</v>
      </c>
      <c r="H241" s="2">
        <v>3500</v>
      </c>
      <c r="I241" s="2" t="s">
        <v>762</v>
      </c>
      <c r="J241" s="2" t="s">
        <v>64</v>
      </c>
      <c r="K241" s="2" t="s">
        <v>763</v>
      </c>
    </row>
    <row r="242" spans="1:11" x14ac:dyDescent="0.25">
      <c r="A242" s="2" t="s">
        <v>1122</v>
      </c>
      <c r="B242" s="2" t="s">
        <v>7</v>
      </c>
      <c r="C242" s="2" t="s">
        <v>269</v>
      </c>
      <c r="D242" s="2" t="str">
        <f t="shared" si="3"/>
        <v>Mike Tobey</v>
      </c>
      <c r="E242" s="2" t="s">
        <v>270</v>
      </c>
      <c r="F242" s="2">
        <v>0</v>
      </c>
      <c r="G242" s="2">
        <v>0</v>
      </c>
      <c r="H242" s="2">
        <v>3500</v>
      </c>
      <c r="I242" s="2" t="s">
        <v>775</v>
      </c>
      <c r="J242" s="2" t="s">
        <v>44</v>
      </c>
      <c r="K242" s="2" t="s">
        <v>54</v>
      </c>
    </row>
    <row r="243" spans="1:11" x14ac:dyDescent="0.25">
      <c r="A243" s="2" t="s">
        <v>1123</v>
      </c>
      <c r="B243" s="2" t="s">
        <v>3</v>
      </c>
      <c r="C243" s="2" t="s">
        <v>228</v>
      </c>
      <c r="D243" s="2" t="str">
        <f t="shared" si="3"/>
        <v>Tim Frazier</v>
      </c>
      <c r="E243" s="2" t="s">
        <v>1124</v>
      </c>
      <c r="F243" s="2">
        <v>20.924390839367302</v>
      </c>
      <c r="G243" s="2">
        <v>41</v>
      </c>
      <c r="H243" s="2">
        <v>3500</v>
      </c>
      <c r="I243" s="2" t="s">
        <v>750</v>
      </c>
      <c r="J243" s="2" t="s">
        <v>751</v>
      </c>
      <c r="K243" s="2" t="s">
        <v>299</v>
      </c>
    </row>
    <row r="244" spans="1:11" x14ac:dyDescent="0.25">
      <c r="A244" s="2" t="s">
        <v>1125</v>
      </c>
      <c r="B244" s="2" t="s">
        <v>3</v>
      </c>
      <c r="C244" s="2" t="s">
        <v>271</v>
      </c>
      <c r="D244" s="2" t="str">
        <f t="shared" si="3"/>
        <v>Shabazz Napier</v>
      </c>
      <c r="E244" s="2" t="s">
        <v>272</v>
      </c>
      <c r="F244" s="2">
        <v>6.09666646321614</v>
      </c>
      <c r="G244" s="2">
        <v>30</v>
      </c>
      <c r="H244" s="2">
        <v>3500</v>
      </c>
      <c r="I244" s="2" t="s">
        <v>777</v>
      </c>
      <c r="J244" s="2" t="s">
        <v>50</v>
      </c>
      <c r="K244" s="2" t="s">
        <v>778</v>
      </c>
    </row>
    <row r="245" spans="1:11" x14ac:dyDescent="0.25">
      <c r="A245" s="2" t="s">
        <v>1126</v>
      </c>
      <c r="B245" s="2" t="s">
        <v>3</v>
      </c>
      <c r="C245" s="2" t="s">
        <v>275</v>
      </c>
      <c r="D245" s="2" t="str">
        <f t="shared" si="3"/>
        <v>Brian Roberts</v>
      </c>
      <c r="E245" s="2" t="s">
        <v>276</v>
      </c>
      <c r="F245" s="2">
        <v>4.8888888888888804</v>
      </c>
      <c r="G245" s="2">
        <v>18</v>
      </c>
      <c r="H245" s="2">
        <v>3500</v>
      </c>
      <c r="I245" s="2" t="s">
        <v>775</v>
      </c>
      <c r="J245" s="2" t="s">
        <v>44</v>
      </c>
      <c r="K245" s="2" t="s">
        <v>54</v>
      </c>
    </row>
    <row r="246" spans="1:11" x14ac:dyDescent="0.25">
      <c r="A246" s="2" t="s">
        <v>1127</v>
      </c>
      <c r="B246" s="2" t="s">
        <v>7</v>
      </c>
      <c r="C246" s="2" t="s">
        <v>1128</v>
      </c>
      <c r="D246" s="2" t="str">
        <f t="shared" si="3"/>
        <v>Brandan Wright</v>
      </c>
      <c r="E246" s="2" t="s">
        <v>1129</v>
      </c>
      <c r="F246" s="2">
        <v>10.866666158040299</v>
      </c>
      <c r="G246" s="2">
        <v>6</v>
      </c>
      <c r="H246" s="2">
        <v>3500</v>
      </c>
      <c r="I246" s="2" t="s">
        <v>782</v>
      </c>
      <c r="J246" s="2" t="s">
        <v>783</v>
      </c>
      <c r="K246" s="2" t="s">
        <v>784</v>
      </c>
    </row>
    <row r="247" spans="1:11" x14ac:dyDescent="0.25">
      <c r="A247" s="2" t="s">
        <v>1130</v>
      </c>
      <c r="B247" s="2" t="s">
        <v>6</v>
      </c>
      <c r="C247" s="2" t="s">
        <v>220</v>
      </c>
      <c r="D247" s="2" t="str">
        <f t="shared" si="3"/>
        <v>Davis Bertans</v>
      </c>
      <c r="E247" s="2" t="s">
        <v>1131</v>
      </c>
      <c r="F247" s="2">
        <v>8.1239133088485005</v>
      </c>
      <c r="G247" s="2">
        <v>46</v>
      </c>
      <c r="H247" s="2">
        <v>3500</v>
      </c>
      <c r="I247" s="2" t="s">
        <v>766</v>
      </c>
      <c r="J247" s="2" t="s">
        <v>767</v>
      </c>
      <c r="K247" s="2" t="s">
        <v>303</v>
      </c>
    </row>
    <row r="248" spans="1:11" x14ac:dyDescent="0.25">
      <c r="A248" s="2" t="s">
        <v>1132</v>
      </c>
      <c r="B248" s="2" t="s">
        <v>5</v>
      </c>
      <c r="C248" s="2" t="s">
        <v>410</v>
      </c>
      <c r="D248" s="2" t="str">
        <f t="shared" si="3"/>
        <v>Kevon Looney</v>
      </c>
      <c r="E248" s="2" t="s">
        <v>411</v>
      </c>
      <c r="F248" s="2">
        <v>7.5829266804020499</v>
      </c>
      <c r="G248" s="2">
        <v>41</v>
      </c>
      <c r="H248" s="2">
        <v>3500</v>
      </c>
      <c r="I248" s="2" t="s">
        <v>757</v>
      </c>
      <c r="J248" s="2" t="s">
        <v>298</v>
      </c>
      <c r="K248" s="2" t="s">
        <v>304</v>
      </c>
    </row>
    <row r="249" spans="1:11" x14ac:dyDescent="0.25">
      <c r="A249" s="2" t="s">
        <v>1133</v>
      </c>
      <c r="B249" s="2" t="s">
        <v>3</v>
      </c>
      <c r="C249" s="2" t="s">
        <v>1134</v>
      </c>
      <c r="D249" s="2" t="str">
        <f t="shared" si="3"/>
        <v>Patty Mills</v>
      </c>
      <c r="E249" s="2" t="s">
        <v>1135</v>
      </c>
      <c r="F249" s="2">
        <v>17.115093878979899</v>
      </c>
      <c r="G249" s="2">
        <v>53</v>
      </c>
      <c r="H249" s="2">
        <v>3500</v>
      </c>
      <c r="I249" s="2" t="s">
        <v>766</v>
      </c>
      <c r="J249" s="2" t="s">
        <v>767</v>
      </c>
      <c r="K249" s="2" t="s">
        <v>303</v>
      </c>
    </row>
    <row r="250" spans="1:11" x14ac:dyDescent="0.25">
      <c r="A250" s="2" t="s">
        <v>1136</v>
      </c>
      <c r="B250" s="2" t="s">
        <v>8</v>
      </c>
      <c r="C250" s="2" t="s">
        <v>1137</v>
      </c>
      <c r="D250" s="2" t="str">
        <f t="shared" si="3"/>
        <v>Lamar Patterson</v>
      </c>
      <c r="E250" s="2" t="s">
        <v>1138</v>
      </c>
      <c r="F250" s="2">
        <v>2.9333333969116202</v>
      </c>
      <c r="G250" s="2">
        <v>3</v>
      </c>
      <c r="H250" s="2">
        <v>3500</v>
      </c>
      <c r="I250" s="2" t="s">
        <v>777</v>
      </c>
      <c r="J250" s="2" t="s">
        <v>778</v>
      </c>
      <c r="K250" s="2" t="s">
        <v>50</v>
      </c>
    </row>
    <row r="251" spans="1:11" x14ac:dyDescent="0.25">
      <c r="A251" s="2" t="s">
        <v>1139</v>
      </c>
      <c r="B251" s="2" t="s">
        <v>8</v>
      </c>
      <c r="C251" s="2" t="s">
        <v>116</v>
      </c>
      <c r="D251" s="2" t="str">
        <f t="shared" si="3"/>
        <v>Michael Gbinije</v>
      </c>
      <c r="E251" s="2" t="s">
        <v>1140</v>
      </c>
      <c r="F251" s="2">
        <v>1.1777778201633</v>
      </c>
      <c r="G251" s="2">
        <v>9</v>
      </c>
      <c r="H251" s="2">
        <v>3500</v>
      </c>
      <c r="I251" s="2" t="s">
        <v>747</v>
      </c>
      <c r="J251" s="2" t="s">
        <v>748</v>
      </c>
      <c r="K251" s="2" t="s">
        <v>302</v>
      </c>
    </row>
    <row r="252" spans="1:11" x14ac:dyDescent="0.25">
      <c r="A252" s="2" t="s">
        <v>1141</v>
      </c>
      <c r="B252" s="2" t="s">
        <v>8</v>
      </c>
      <c r="C252" s="2" t="s">
        <v>109</v>
      </c>
      <c r="D252" s="2" t="str">
        <f t="shared" si="3"/>
        <v>Marcus Thornton</v>
      </c>
      <c r="E252" s="2" t="s">
        <v>1142</v>
      </c>
      <c r="F252" s="2">
        <v>11.7939397638494</v>
      </c>
      <c r="G252" s="2">
        <v>33</v>
      </c>
      <c r="H252" s="2">
        <v>3500</v>
      </c>
      <c r="I252" s="2" t="s">
        <v>744</v>
      </c>
      <c r="J252" s="2" t="s">
        <v>745</v>
      </c>
      <c r="K252" s="2" t="s">
        <v>4</v>
      </c>
    </row>
    <row r="253" spans="1:11" x14ac:dyDescent="0.25">
      <c r="A253" s="2" t="s">
        <v>1143</v>
      </c>
      <c r="B253" s="2" t="s">
        <v>6</v>
      </c>
      <c r="C253" s="2" t="s">
        <v>140</v>
      </c>
      <c r="D253" s="2" t="str">
        <f t="shared" si="3"/>
        <v>Ryan Kelly</v>
      </c>
      <c r="E253" s="2" t="s">
        <v>161</v>
      </c>
      <c r="F253" s="2">
        <v>4.3888888888888804</v>
      </c>
      <c r="G253" s="2">
        <v>9</v>
      </c>
      <c r="H253" s="2">
        <v>3500</v>
      </c>
      <c r="I253" s="2" t="s">
        <v>777</v>
      </c>
      <c r="J253" s="2" t="s">
        <v>778</v>
      </c>
      <c r="K253" s="2" t="s">
        <v>50</v>
      </c>
    </row>
    <row r="254" spans="1:11" x14ac:dyDescent="0.25">
      <c r="A254" s="2" t="s">
        <v>1144</v>
      </c>
      <c r="B254" s="2" t="s">
        <v>5</v>
      </c>
      <c r="C254" s="2" t="s">
        <v>281</v>
      </c>
      <c r="D254" s="2" t="str">
        <f t="shared" si="3"/>
        <v>Jake Layman</v>
      </c>
      <c r="E254" s="2" t="s">
        <v>282</v>
      </c>
      <c r="F254" s="2">
        <v>4.0130436109459904</v>
      </c>
      <c r="G254" s="2">
        <v>23</v>
      </c>
      <c r="H254" s="2">
        <v>3500</v>
      </c>
      <c r="I254" s="2" t="s">
        <v>777</v>
      </c>
      <c r="J254" s="2" t="s">
        <v>50</v>
      </c>
      <c r="K254" s="2" t="s">
        <v>778</v>
      </c>
    </row>
    <row r="255" spans="1:11" x14ac:dyDescent="0.25">
      <c r="A255" s="2" t="s">
        <v>1145</v>
      </c>
      <c r="B255" s="2" t="s">
        <v>7</v>
      </c>
      <c r="C255" s="2" t="s">
        <v>283</v>
      </c>
      <c r="D255" s="2" t="str">
        <f t="shared" si="3"/>
        <v>Miles Plumlee</v>
      </c>
      <c r="E255" s="2" t="s">
        <v>77</v>
      </c>
      <c r="F255" s="2">
        <v>6.3555556403265996</v>
      </c>
      <c r="G255" s="2">
        <v>36</v>
      </c>
      <c r="H255" s="2">
        <v>3500</v>
      </c>
      <c r="I255" s="2" t="s">
        <v>775</v>
      </c>
      <c r="J255" s="2" t="s">
        <v>44</v>
      </c>
      <c r="K255" s="2" t="s">
        <v>54</v>
      </c>
    </row>
    <row r="256" spans="1:11" x14ac:dyDescent="0.25">
      <c r="A256" s="2" t="s">
        <v>1146</v>
      </c>
      <c r="B256" s="2" t="s">
        <v>7</v>
      </c>
      <c r="C256" s="2" t="s">
        <v>284</v>
      </c>
      <c r="D256" s="2" t="str">
        <f t="shared" si="3"/>
        <v>A.J. Hammons</v>
      </c>
      <c r="E256" s="2" t="s">
        <v>285</v>
      </c>
      <c r="F256" s="2">
        <v>3.52941176470588</v>
      </c>
      <c r="G256" s="2">
        <v>17</v>
      </c>
      <c r="H256" s="2">
        <v>3500</v>
      </c>
      <c r="I256" s="2" t="s">
        <v>755</v>
      </c>
      <c r="J256" s="2" t="s">
        <v>65</v>
      </c>
      <c r="K256" s="2" t="s">
        <v>49</v>
      </c>
    </row>
    <row r="257" spans="1:11" x14ac:dyDescent="0.25">
      <c r="A257" s="2" t="s">
        <v>1147</v>
      </c>
      <c r="B257" s="2" t="s">
        <v>5</v>
      </c>
      <c r="C257" s="2" t="s">
        <v>287</v>
      </c>
      <c r="D257" s="2" t="str">
        <f t="shared" si="3"/>
        <v>Jonas Jerebko</v>
      </c>
      <c r="E257" s="2" t="s">
        <v>288</v>
      </c>
      <c r="F257" s="2">
        <v>10.4207544866597</v>
      </c>
      <c r="G257" s="2">
        <v>53</v>
      </c>
      <c r="H257" s="2">
        <v>3500</v>
      </c>
      <c r="I257" s="2" t="s">
        <v>755</v>
      </c>
      <c r="J257" s="2" t="s">
        <v>49</v>
      </c>
      <c r="K257" s="2" t="s">
        <v>65</v>
      </c>
    </row>
    <row r="258" spans="1:11" x14ac:dyDescent="0.25">
      <c r="A258" s="2" t="s">
        <v>1148</v>
      </c>
      <c r="B258" s="2" t="s">
        <v>8</v>
      </c>
      <c r="C258" s="2" t="s">
        <v>1149</v>
      </c>
      <c r="D258" s="2" t="str">
        <f t="shared" si="3"/>
        <v>Bryn Forbes</v>
      </c>
      <c r="E258" s="2" t="s">
        <v>1150</v>
      </c>
      <c r="F258" s="2">
        <v>2.0549999237060499</v>
      </c>
      <c r="G258" s="2">
        <v>20</v>
      </c>
      <c r="H258" s="2">
        <v>3500</v>
      </c>
      <c r="I258" s="2" t="s">
        <v>766</v>
      </c>
      <c r="J258" s="2" t="s">
        <v>767</v>
      </c>
      <c r="K258" s="2" t="s">
        <v>303</v>
      </c>
    </row>
    <row r="259" spans="1:11" x14ac:dyDescent="0.25">
      <c r="A259" s="2" t="s">
        <v>1151</v>
      </c>
      <c r="B259" s="2" t="s">
        <v>6</v>
      </c>
      <c r="C259" s="2" t="s">
        <v>310</v>
      </c>
      <c r="D259" s="2" t="str">
        <f t="shared" ref="D259:D322" si="4">C259&amp;" "&amp;E259</f>
        <v>Paul Pierce</v>
      </c>
      <c r="E259" s="2" t="s">
        <v>1152</v>
      </c>
      <c r="F259" s="2">
        <v>5.8923075749323903</v>
      </c>
      <c r="G259" s="2">
        <v>13</v>
      </c>
      <c r="H259" s="2">
        <v>3500</v>
      </c>
      <c r="I259" s="2" t="s">
        <v>762</v>
      </c>
      <c r="J259" s="2" t="s">
        <v>763</v>
      </c>
      <c r="K259" s="2" t="s">
        <v>64</v>
      </c>
    </row>
    <row r="260" spans="1:11" x14ac:dyDescent="0.25">
      <c r="A260" s="2" t="s">
        <v>1153</v>
      </c>
      <c r="B260" s="2" t="s">
        <v>6</v>
      </c>
      <c r="C260" s="2" t="s">
        <v>412</v>
      </c>
      <c r="D260" s="2" t="str">
        <f t="shared" si="4"/>
        <v>Glenn Robinson III</v>
      </c>
      <c r="E260" s="2" t="s">
        <v>413</v>
      </c>
      <c r="F260" s="2">
        <v>12.561538696289</v>
      </c>
      <c r="G260" s="2">
        <v>52</v>
      </c>
      <c r="H260" s="2">
        <v>3500</v>
      </c>
      <c r="I260" s="2" t="s">
        <v>766</v>
      </c>
      <c r="J260" s="2" t="s">
        <v>303</v>
      </c>
      <c r="K260" s="2" t="s">
        <v>767</v>
      </c>
    </row>
    <row r="261" spans="1:11" x14ac:dyDescent="0.25">
      <c r="A261" s="2" t="s">
        <v>1154</v>
      </c>
      <c r="B261" s="2" t="s">
        <v>3</v>
      </c>
      <c r="C261" s="2" t="s">
        <v>291</v>
      </c>
      <c r="D261" s="2" t="str">
        <f t="shared" si="4"/>
        <v>D.J. Augustin</v>
      </c>
      <c r="E261" s="2" t="s">
        <v>292</v>
      </c>
      <c r="F261" s="2">
        <v>14.765454101562501</v>
      </c>
      <c r="G261" s="2">
        <v>55</v>
      </c>
      <c r="H261" s="2">
        <v>3500</v>
      </c>
      <c r="I261" s="2" t="s">
        <v>770</v>
      </c>
      <c r="J261" s="2" t="s">
        <v>55</v>
      </c>
      <c r="K261" s="2" t="s">
        <v>309</v>
      </c>
    </row>
    <row r="262" spans="1:11" x14ac:dyDescent="0.25">
      <c r="A262" s="2" t="s">
        <v>1155</v>
      </c>
      <c r="B262" s="2" t="s">
        <v>3</v>
      </c>
      <c r="C262" s="2" t="s">
        <v>293</v>
      </c>
      <c r="D262" s="2" t="str">
        <f t="shared" si="4"/>
        <v>Sergio Rodriguez</v>
      </c>
      <c r="E262" s="2" t="s">
        <v>294</v>
      </c>
      <c r="F262" s="2">
        <v>18.483673718510801</v>
      </c>
      <c r="G262" s="2">
        <v>49</v>
      </c>
      <c r="H262" s="2">
        <v>3500</v>
      </c>
      <c r="I262" s="2" t="s">
        <v>775</v>
      </c>
      <c r="J262" s="2" t="s">
        <v>54</v>
      </c>
      <c r="K262" s="2" t="s">
        <v>44</v>
      </c>
    </row>
    <row r="263" spans="1:11" x14ac:dyDescent="0.25">
      <c r="A263" s="2" t="s">
        <v>1156</v>
      </c>
      <c r="B263" s="2" t="s">
        <v>6</v>
      </c>
      <c r="C263" s="2" t="s">
        <v>1157</v>
      </c>
      <c r="D263" s="2" t="str">
        <f t="shared" si="4"/>
        <v>Danuel House</v>
      </c>
      <c r="E263" s="2" t="s">
        <v>1158</v>
      </c>
      <c r="F263" s="2">
        <v>1.20000004768371</v>
      </c>
      <c r="G263" s="2">
        <v>1</v>
      </c>
      <c r="H263" s="2">
        <v>3500</v>
      </c>
      <c r="I263" s="2" t="s">
        <v>744</v>
      </c>
      <c r="J263" s="2" t="s">
        <v>745</v>
      </c>
      <c r="K263" s="2" t="s">
        <v>4</v>
      </c>
    </row>
    <row r="264" spans="1:11" x14ac:dyDescent="0.25">
      <c r="A264" s="2" t="s">
        <v>1159</v>
      </c>
      <c r="B264" s="2" t="s">
        <v>5</v>
      </c>
      <c r="C264" s="2" t="s">
        <v>295</v>
      </c>
      <c r="D264" s="2" t="str">
        <f t="shared" si="4"/>
        <v>Boris Diaw</v>
      </c>
      <c r="E264" s="2" t="s">
        <v>296</v>
      </c>
      <c r="F264" s="2">
        <v>9.7173913043478208</v>
      </c>
      <c r="G264" s="2">
        <v>46</v>
      </c>
      <c r="H264" s="2">
        <v>3500</v>
      </c>
      <c r="I264" s="2" t="s">
        <v>762</v>
      </c>
      <c r="J264" s="2" t="s">
        <v>64</v>
      </c>
      <c r="K264" s="2" t="s">
        <v>763</v>
      </c>
    </row>
    <row r="265" spans="1:11" x14ac:dyDescent="0.25">
      <c r="A265" s="2" t="s">
        <v>1160</v>
      </c>
      <c r="B265" s="2" t="s">
        <v>5</v>
      </c>
      <c r="C265" s="2" t="s">
        <v>414</v>
      </c>
      <c r="D265" s="2" t="str">
        <f t="shared" si="4"/>
        <v>Okaro White</v>
      </c>
      <c r="E265" s="2" t="s">
        <v>415</v>
      </c>
      <c r="F265" s="2">
        <v>8.7538463885967506</v>
      </c>
      <c r="G265" s="2">
        <v>13</v>
      </c>
      <c r="H265" s="2">
        <v>3500</v>
      </c>
      <c r="I265" s="2" t="s">
        <v>770</v>
      </c>
      <c r="J265" s="2" t="s">
        <v>309</v>
      </c>
      <c r="K265" s="2" t="s">
        <v>55</v>
      </c>
    </row>
    <row r="266" spans="1:11" x14ac:dyDescent="0.25">
      <c r="A266" s="2" t="s">
        <v>1161</v>
      </c>
      <c r="B266" s="2" t="s">
        <v>8</v>
      </c>
      <c r="C266" s="2" t="s">
        <v>192</v>
      </c>
      <c r="D266" s="2" t="str">
        <f t="shared" si="4"/>
        <v>Alex Abrines</v>
      </c>
      <c r="E266" s="2" t="s">
        <v>193</v>
      </c>
      <c r="F266" s="2">
        <v>8.04772741144353</v>
      </c>
      <c r="G266" s="2">
        <v>44</v>
      </c>
      <c r="H266" s="2">
        <v>3500</v>
      </c>
      <c r="I266" s="2" t="s">
        <v>744</v>
      </c>
      <c r="J266" s="2" t="s">
        <v>4</v>
      </c>
      <c r="K266" s="2" t="s">
        <v>745</v>
      </c>
    </row>
    <row r="267" spans="1:11" x14ac:dyDescent="0.25">
      <c r="A267" s="2" t="s">
        <v>1162</v>
      </c>
      <c r="B267" s="2" t="s">
        <v>3</v>
      </c>
      <c r="C267" s="2" t="s">
        <v>194</v>
      </c>
      <c r="D267" s="2" t="str">
        <f t="shared" si="4"/>
        <v>Dante Exum</v>
      </c>
      <c r="E267" s="2" t="s">
        <v>195</v>
      </c>
      <c r="F267" s="2">
        <v>10.342500305175699</v>
      </c>
      <c r="G267" s="2">
        <v>40</v>
      </c>
      <c r="H267" s="2">
        <v>3500</v>
      </c>
      <c r="I267" s="2" t="s">
        <v>762</v>
      </c>
      <c r="J267" s="2" t="s">
        <v>64</v>
      </c>
      <c r="K267" s="2" t="s">
        <v>763</v>
      </c>
    </row>
    <row r="268" spans="1:11" x14ac:dyDescent="0.25">
      <c r="A268" s="2" t="s">
        <v>1163</v>
      </c>
      <c r="B268" s="2" t="s">
        <v>3</v>
      </c>
      <c r="C268" s="2" t="s">
        <v>1164</v>
      </c>
      <c r="D268" s="2" t="str">
        <f t="shared" si="4"/>
        <v>Archie Goodwin</v>
      </c>
      <c r="E268" s="2" t="s">
        <v>1165</v>
      </c>
      <c r="F268" s="2">
        <v>6.1666666666666599</v>
      </c>
      <c r="G268" s="2">
        <v>3</v>
      </c>
      <c r="H268" s="2">
        <v>3500</v>
      </c>
      <c r="I268" s="2" t="s">
        <v>750</v>
      </c>
      <c r="J268" s="2" t="s">
        <v>751</v>
      </c>
      <c r="K268" s="2" t="s">
        <v>299</v>
      </c>
    </row>
    <row r="269" spans="1:11" x14ac:dyDescent="0.25">
      <c r="A269" s="2" t="s">
        <v>1166</v>
      </c>
      <c r="B269" s="2" t="s">
        <v>3</v>
      </c>
      <c r="C269" s="2" t="s">
        <v>196</v>
      </c>
      <c r="D269" s="2" t="str">
        <f t="shared" si="4"/>
        <v>Raul Neto</v>
      </c>
      <c r="E269" s="2" t="s">
        <v>197</v>
      </c>
      <c r="F269" s="2">
        <v>4.6222223352502896</v>
      </c>
      <c r="G269" s="2">
        <v>27</v>
      </c>
      <c r="H269" s="2">
        <v>3500</v>
      </c>
      <c r="I269" s="2" t="s">
        <v>762</v>
      </c>
      <c r="J269" s="2" t="s">
        <v>64</v>
      </c>
      <c r="K269" s="2" t="s">
        <v>763</v>
      </c>
    </row>
    <row r="270" spans="1:11" x14ac:dyDescent="0.25">
      <c r="A270" s="2" t="s">
        <v>1167</v>
      </c>
      <c r="B270" s="2" t="s">
        <v>7</v>
      </c>
      <c r="C270" s="2" t="s">
        <v>183</v>
      </c>
      <c r="D270" s="2" t="str">
        <f t="shared" si="4"/>
        <v>Joffrey Lauvergne</v>
      </c>
      <c r="E270" s="2" t="s">
        <v>184</v>
      </c>
      <c r="F270" s="2">
        <v>11.4270833333333</v>
      </c>
      <c r="G270" s="2">
        <v>48</v>
      </c>
      <c r="H270" s="2">
        <v>3500</v>
      </c>
      <c r="I270" s="2" t="s">
        <v>744</v>
      </c>
      <c r="J270" s="2" t="s">
        <v>4</v>
      </c>
      <c r="K270" s="2" t="s">
        <v>745</v>
      </c>
    </row>
    <row r="271" spans="1:11" x14ac:dyDescent="0.25">
      <c r="A271" s="2" t="s">
        <v>1168</v>
      </c>
      <c r="B271" s="2" t="s">
        <v>7</v>
      </c>
      <c r="C271" s="2" t="s">
        <v>378</v>
      </c>
      <c r="D271" s="2" t="str">
        <f t="shared" si="4"/>
        <v>Jusuf Nurkic</v>
      </c>
      <c r="E271" s="2" t="s">
        <v>379</v>
      </c>
      <c r="F271" s="2">
        <v>17.7222222222222</v>
      </c>
      <c r="G271" s="2">
        <v>45</v>
      </c>
      <c r="H271" s="2">
        <v>3500</v>
      </c>
      <c r="I271" s="2" t="s">
        <v>757</v>
      </c>
      <c r="J271" s="2" t="s">
        <v>304</v>
      </c>
      <c r="K271" s="2" t="s">
        <v>298</v>
      </c>
    </row>
    <row r="272" spans="1:11" x14ac:dyDescent="0.25">
      <c r="A272" s="2" t="s">
        <v>1169</v>
      </c>
      <c r="B272" s="2" t="s">
        <v>7</v>
      </c>
      <c r="C272" s="2" t="s">
        <v>141</v>
      </c>
      <c r="D272" s="2" t="str">
        <f t="shared" si="4"/>
        <v>Anderson Varejao</v>
      </c>
      <c r="E272" s="2" t="s">
        <v>416</v>
      </c>
      <c r="F272" s="2">
        <v>4.9571429661342004</v>
      </c>
      <c r="G272" s="2">
        <v>14</v>
      </c>
      <c r="H272" s="2">
        <v>3500</v>
      </c>
      <c r="I272" s="2" t="s">
        <v>757</v>
      </c>
      <c r="J272" s="2" t="s">
        <v>298</v>
      </c>
      <c r="K272" s="2" t="s">
        <v>304</v>
      </c>
    </row>
    <row r="273" spans="1:11" x14ac:dyDescent="0.25">
      <c r="A273" s="2" t="s">
        <v>1170</v>
      </c>
      <c r="B273" s="2" t="s">
        <v>7</v>
      </c>
      <c r="C273" s="2" t="s">
        <v>1171</v>
      </c>
      <c r="D273" s="2" t="str">
        <f t="shared" si="4"/>
        <v>Edy Tavares</v>
      </c>
      <c r="E273" s="2" t="s">
        <v>1172</v>
      </c>
      <c r="F273" s="2">
        <v>3.20000004768371</v>
      </c>
      <c r="G273" s="2">
        <v>1</v>
      </c>
      <c r="H273" s="2">
        <v>3500</v>
      </c>
      <c r="I273" s="2" t="s">
        <v>777</v>
      </c>
      <c r="J273" s="2" t="s">
        <v>778</v>
      </c>
      <c r="K273" s="2" t="s">
        <v>50</v>
      </c>
    </row>
    <row r="274" spans="1:11" x14ac:dyDescent="0.25">
      <c r="A274" s="2" t="s">
        <v>1173</v>
      </c>
      <c r="B274" s="2" t="s">
        <v>3</v>
      </c>
      <c r="C274" s="2" t="s">
        <v>417</v>
      </c>
      <c r="D274" s="2" t="str">
        <f t="shared" si="4"/>
        <v>Jason Terry</v>
      </c>
      <c r="E274" s="2" t="s">
        <v>261</v>
      </c>
      <c r="F274" s="2">
        <v>8.3543475607167093</v>
      </c>
      <c r="G274" s="2">
        <v>46</v>
      </c>
      <c r="H274" s="2">
        <v>3500</v>
      </c>
      <c r="I274" s="2" t="s">
        <v>747</v>
      </c>
      <c r="J274" s="2" t="s">
        <v>302</v>
      </c>
      <c r="K274" s="2" t="s">
        <v>748</v>
      </c>
    </row>
    <row r="275" spans="1:11" x14ac:dyDescent="0.25">
      <c r="A275" s="2" t="s">
        <v>1174</v>
      </c>
      <c r="B275" s="2" t="s">
        <v>5</v>
      </c>
      <c r="C275" s="2" t="s">
        <v>1175</v>
      </c>
      <c r="D275" s="2" t="str">
        <f t="shared" si="4"/>
        <v>Kris Humphries</v>
      </c>
      <c r="E275" s="2" t="s">
        <v>1176</v>
      </c>
      <c r="F275" s="2">
        <v>10.283721214117</v>
      </c>
      <c r="G275" s="2">
        <v>43</v>
      </c>
      <c r="H275" s="2">
        <v>3500</v>
      </c>
      <c r="I275" s="2" t="s">
        <v>777</v>
      </c>
      <c r="J275" s="2" t="s">
        <v>778</v>
      </c>
      <c r="K275" s="2" t="s">
        <v>50</v>
      </c>
    </row>
    <row r="276" spans="1:11" x14ac:dyDescent="0.25">
      <c r="A276" s="2" t="s">
        <v>1177</v>
      </c>
      <c r="B276" s="2" t="s">
        <v>8</v>
      </c>
      <c r="C276" s="2" t="s">
        <v>114</v>
      </c>
      <c r="D276" s="2" t="str">
        <f t="shared" si="4"/>
        <v>Patrick McCaw</v>
      </c>
      <c r="E276" s="2" t="s">
        <v>418</v>
      </c>
      <c r="F276" s="2">
        <v>6.1386365023526199</v>
      </c>
      <c r="G276" s="2">
        <v>44</v>
      </c>
      <c r="H276" s="2">
        <v>3500</v>
      </c>
      <c r="I276" s="2" t="s">
        <v>757</v>
      </c>
      <c r="J276" s="2" t="s">
        <v>298</v>
      </c>
      <c r="K276" s="2" t="s">
        <v>304</v>
      </c>
    </row>
    <row r="277" spans="1:11" x14ac:dyDescent="0.25">
      <c r="A277" s="2" t="s">
        <v>1178</v>
      </c>
      <c r="B277" s="2" t="s">
        <v>6</v>
      </c>
      <c r="C277" s="2" t="s">
        <v>161</v>
      </c>
      <c r="D277" s="2" t="str">
        <f t="shared" si="4"/>
        <v>Kelly Oubre Jr.</v>
      </c>
      <c r="E277" s="2" t="s">
        <v>1179</v>
      </c>
      <c r="F277" s="2">
        <v>12.7137259689031</v>
      </c>
      <c r="G277" s="2">
        <v>51</v>
      </c>
      <c r="H277" s="2">
        <v>3500</v>
      </c>
      <c r="I277" s="2" t="s">
        <v>744</v>
      </c>
      <c r="J277" s="2" t="s">
        <v>745</v>
      </c>
      <c r="K277" s="2" t="s">
        <v>4</v>
      </c>
    </row>
    <row r="278" spans="1:11" x14ac:dyDescent="0.25">
      <c r="A278" s="2" t="s">
        <v>1180</v>
      </c>
      <c r="B278" s="2" t="s">
        <v>8</v>
      </c>
      <c r="C278" s="2" t="s">
        <v>154</v>
      </c>
      <c r="D278" s="2" t="str">
        <f t="shared" si="4"/>
        <v>Rodney Stuckey</v>
      </c>
      <c r="E278" s="2" t="s">
        <v>419</v>
      </c>
      <c r="F278" s="2">
        <v>13.600000554865</v>
      </c>
      <c r="G278" s="2">
        <v>22</v>
      </c>
      <c r="H278" s="2">
        <v>3500</v>
      </c>
      <c r="I278" s="2" t="s">
        <v>766</v>
      </c>
      <c r="J278" s="2" t="s">
        <v>303</v>
      </c>
      <c r="K278" s="2" t="s">
        <v>767</v>
      </c>
    </row>
    <row r="279" spans="1:11" x14ac:dyDescent="0.25">
      <c r="A279" s="2" t="s">
        <v>1181</v>
      </c>
      <c r="B279" s="2" t="s">
        <v>3</v>
      </c>
      <c r="C279" s="2" t="s">
        <v>338</v>
      </c>
      <c r="D279" s="2" t="str">
        <f t="shared" si="4"/>
        <v>Malcolm Delaney</v>
      </c>
      <c r="E279" s="2" t="s">
        <v>1182</v>
      </c>
      <c r="F279" s="2">
        <v>12.094443992332099</v>
      </c>
      <c r="G279" s="2">
        <v>54</v>
      </c>
      <c r="H279" s="2">
        <v>3500</v>
      </c>
      <c r="I279" s="2" t="s">
        <v>777</v>
      </c>
      <c r="J279" s="2" t="s">
        <v>778</v>
      </c>
      <c r="K279" s="2" t="s">
        <v>50</v>
      </c>
    </row>
    <row r="280" spans="1:11" x14ac:dyDescent="0.25">
      <c r="A280" s="2" t="s">
        <v>1183</v>
      </c>
      <c r="B280" s="2" t="s">
        <v>3</v>
      </c>
      <c r="C280" s="2" t="s">
        <v>202</v>
      </c>
      <c r="D280" s="2" t="str">
        <f t="shared" si="4"/>
        <v>Jonathan Gibson</v>
      </c>
      <c r="E280" s="2" t="s">
        <v>203</v>
      </c>
      <c r="F280" s="2">
        <v>9.7882349350873099</v>
      </c>
      <c r="G280" s="2">
        <v>17</v>
      </c>
      <c r="H280" s="2">
        <v>3500</v>
      </c>
      <c r="I280" s="2" t="s">
        <v>755</v>
      </c>
      <c r="J280" s="2" t="s">
        <v>65</v>
      </c>
      <c r="K280" s="2" t="s">
        <v>49</v>
      </c>
    </row>
    <row r="281" spans="1:11" x14ac:dyDescent="0.25">
      <c r="A281" s="2" t="s">
        <v>1184</v>
      </c>
      <c r="B281" s="2" t="s">
        <v>5</v>
      </c>
      <c r="C281" s="2" t="s">
        <v>204</v>
      </c>
      <c r="D281" s="2" t="str">
        <f t="shared" si="4"/>
        <v>Meyers Leonard</v>
      </c>
      <c r="E281" s="2" t="s">
        <v>205</v>
      </c>
      <c r="F281" s="2">
        <v>11.0630433455757</v>
      </c>
      <c r="G281" s="2">
        <v>46</v>
      </c>
      <c r="H281" s="2">
        <v>3500</v>
      </c>
      <c r="I281" s="2" t="s">
        <v>777</v>
      </c>
      <c r="J281" s="2" t="s">
        <v>50</v>
      </c>
      <c r="K281" s="2" t="s">
        <v>778</v>
      </c>
    </row>
    <row r="282" spans="1:11" x14ac:dyDescent="0.25">
      <c r="A282" s="2" t="s">
        <v>1185</v>
      </c>
      <c r="B282" s="2" t="s">
        <v>3</v>
      </c>
      <c r="C282" s="2" t="s">
        <v>206</v>
      </c>
      <c r="D282" s="2" t="str">
        <f t="shared" si="4"/>
        <v>Demetrius Jackson</v>
      </c>
      <c r="E282" s="2" t="s">
        <v>207</v>
      </c>
      <c r="F282" s="2">
        <v>4.8249998092651296</v>
      </c>
      <c r="G282" s="2">
        <v>4</v>
      </c>
      <c r="H282" s="2">
        <v>3500</v>
      </c>
      <c r="I282" s="2" t="s">
        <v>755</v>
      </c>
      <c r="J282" s="2" t="s">
        <v>49</v>
      </c>
      <c r="K282" s="2" t="s">
        <v>65</v>
      </c>
    </row>
    <row r="283" spans="1:11" x14ac:dyDescent="0.25">
      <c r="A283" s="2" t="s">
        <v>1186</v>
      </c>
      <c r="B283" s="2" t="s">
        <v>7</v>
      </c>
      <c r="C283" s="2" t="s">
        <v>420</v>
      </c>
      <c r="D283" s="2" t="str">
        <f t="shared" si="4"/>
        <v>Willie Reed</v>
      </c>
      <c r="E283" s="2" t="s">
        <v>421</v>
      </c>
      <c r="F283" s="2">
        <v>13.1565220045006</v>
      </c>
      <c r="G283" s="2">
        <v>46</v>
      </c>
      <c r="H283" s="2">
        <v>3500</v>
      </c>
      <c r="I283" s="2" t="s">
        <v>770</v>
      </c>
      <c r="J283" s="2" t="s">
        <v>309</v>
      </c>
      <c r="K283" s="2" t="s">
        <v>55</v>
      </c>
    </row>
    <row r="284" spans="1:11" x14ac:dyDescent="0.25">
      <c r="A284" s="2" t="s">
        <v>1187</v>
      </c>
      <c r="B284" s="2" t="s">
        <v>8</v>
      </c>
      <c r="C284" s="2" t="s">
        <v>208</v>
      </c>
      <c r="D284" s="2" t="str">
        <f t="shared" si="4"/>
        <v>Anthony Morrow</v>
      </c>
      <c r="E284" s="2" t="s">
        <v>209</v>
      </c>
      <c r="F284" s="2">
        <v>8.4631580553556702</v>
      </c>
      <c r="G284" s="2">
        <v>38</v>
      </c>
      <c r="H284" s="2">
        <v>3500</v>
      </c>
      <c r="I284" s="2" t="s">
        <v>744</v>
      </c>
      <c r="J284" s="2" t="s">
        <v>4</v>
      </c>
      <c r="K284" s="2" t="s">
        <v>745</v>
      </c>
    </row>
    <row r="285" spans="1:11" x14ac:dyDescent="0.25">
      <c r="A285" s="2" t="s">
        <v>1188</v>
      </c>
      <c r="B285" s="2" t="s">
        <v>6</v>
      </c>
      <c r="C285" s="2" t="s">
        <v>208</v>
      </c>
      <c r="D285" s="2" t="str">
        <f t="shared" si="4"/>
        <v>Anthony Brown</v>
      </c>
      <c r="E285" s="2" t="s">
        <v>172</v>
      </c>
      <c r="F285" s="2">
        <v>9.1454544067382795</v>
      </c>
      <c r="G285" s="2">
        <v>11</v>
      </c>
      <c r="H285" s="2">
        <v>3500</v>
      </c>
      <c r="I285" s="2" t="s">
        <v>770</v>
      </c>
      <c r="J285" s="2" t="s">
        <v>55</v>
      </c>
      <c r="K285" s="2" t="s">
        <v>309</v>
      </c>
    </row>
    <row r="286" spans="1:11" x14ac:dyDescent="0.25">
      <c r="A286" s="2" t="s">
        <v>1189</v>
      </c>
      <c r="B286" s="2" t="s">
        <v>3</v>
      </c>
      <c r="C286" s="2" t="s">
        <v>151</v>
      </c>
      <c r="D286" s="2" t="str">
        <f t="shared" si="4"/>
        <v>Aaron Brooks</v>
      </c>
      <c r="E286" s="2" t="s">
        <v>422</v>
      </c>
      <c r="F286" s="2">
        <v>10.182222493489499</v>
      </c>
      <c r="G286" s="2">
        <v>45</v>
      </c>
      <c r="H286" s="2">
        <v>3500</v>
      </c>
      <c r="I286" s="2" t="s">
        <v>766</v>
      </c>
      <c r="J286" s="2" t="s">
        <v>303</v>
      </c>
      <c r="K286" s="2" t="s">
        <v>767</v>
      </c>
    </row>
    <row r="287" spans="1:11" x14ac:dyDescent="0.25">
      <c r="A287" s="2" t="s">
        <v>1190</v>
      </c>
      <c r="B287" s="2" t="s">
        <v>6</v>
      </c>
      <c r="C287" s="2" t="s">
        <v>211</v>
      </c>
      <c r="D287" s="2" t="str">
        <f t="shared" si="4"/>
        <v>Josh Huestis</v>
      </c>
      <c r="E287" s="2" t="s">
        <v>212</v>
      </c>
      <c r="F287" s="2">
        <v>13.300000190734799</v>
      </c>
      <c r="G287" s="2">
        <v>1</v>
      </c>
      <c r="H287" s="2">
        <v>3500</v>
      </c>
      <c r="I287" s="2" t="s">
        <v>744</v>
      </c>
      <c r="J287" s="2" t="s">
        <v>4</v>
      </c>
      <c r="K287" s="2" t="s">
        <v>745</v>
      </c>
    </row>
    <row r="288" spans="1:11" x14ac:dyDescent="0.25">
      <c r="A288" s="2" t="s">
        <v>1191</v>
      </c>
      <c r="B288" s="2" t="s">
        <v>5</v>
      </c>
      <c r="C288" s="2" t="s">
        <v>163</v>
      </c>
      <c r="D288" s="2" t="str">
        <f t="shared" si="4"/>
        <v>Andrew Nicholson</v>
      </c>
      <c r="E288" s="2" t="s">
        <v>1192</v>
      </c>
      <c r="F288" s="2">
        <v>5.3444445574725101</v>
      </c>
      <c r="G288" s="2">
        <v>27</v>
      </c>
      <c r="H288" s="2">
        <v>3500</v>
      </c>
      <c r="I288" s="2" t="s">
        <v>744</v>
      </c>
      <c r="J288" s="2" t="s">
        <v>745</v>
      </c>
      <c r="K288" s="2" t="s">
        <v>4</v>
      </c>
    </row>
    <row r="289" spans="1:13" x14ac:dyDescent="0.25">
      <c r="A289" s="2" t="s">
        <v>1193</v>
      </c>
      <c r="B289" s="2" t="s">
        <v>5</v>
      </c>
      <c r="C289" s="2" t="s">
        <v>213</v>
      </c>
      <c r="D289" s="2" t="str">
        <f t="shared" si="4"/>
        <v>Dwight Powell</v>
      </c>
      <c r="E289" s="2" t="s">
        <v>214</v>
      </c>
      <c r="F289" s="2">
        <v>16.399999547887699</v>
      </c>
      <c r="G289" s="2">
        <v>54</v>
      </c>
      <c r="H289" s="2">
        <v>3500</v>
      </c>
      <c r="I289" s="2" t="s">
        <v>755</v>
      </c>
      <c r="J289" s="2" t="s">
        <v>65</v>
      </c>
      <c r="K289" s="2" t="s">
        <v>49</v>
      </c>
    </row>
    <row r="290" spans="1:13" x14ac:dyDescent="0.25">
      <c r="A290" s="2" t="s">
        <v>1194</v>
      </c>
      <c r="B290" s="2" t="s">
        <v>3</v>
      </c>
      <c r="C290" s="2" t="s">
        <v>215</v>
      </c>
      <c r="D290" s="2" t="str">
        <f t="shared" si="4"/>
        <v>Chasson Randle</v>
      </c>
      <c r="E290" s="2" t="s">
        <v>216</v>
      </c>
      <c r="F290" s="2">
        <v>7.75</v>
      </c>
      <c r="G290" s="2">
        <v>8</v>
      </c>
      <c r="H290" s="2">
        <v>3500</v>
      </c>
      <c r="I290" s="2" t="s">
        <v>775</v>
      </c>
      <c r="J290" s="2" t="s">
        <v>54</v>
      </c>
      <c r="K290" s="2" t="s">
        <v>44</v>
      </c>
    </row>
    <row r="291" spans="1:13" x14ac:dyDescent="0.25">
      <c r="A291" s="2" t="s">
        <v>1195</v>
      </c>
      <c r="B291" s="2" t="s">
        <v>8</v>
      </c>
      <c r="C291" s="2" t="s">
        <v>1098</v>
      </c>
      <c r="D291" s="2" t="str">
        <f t="shared" si="4"/>
        <v>Troy Daniels</v>
      </c>
      <c r="E291" s="2" t="s">
        <v>1196</v>
      </c>
      <c r="F291" s="2">
        <v>11.409755799828501</v>
      </c>
      <c r="G291" s="2">
        <v>41</v>
      </c>
      <c r="H291" s="2">
        <v>3500</v>
      </c>
      <c r="I291" s="2" t="s">
        <v>782</v>
      </c>
      <c r="J291" s="2" t="s">
        <v>783</v>
      </c>
      <c r="K291" s="2" t="s">
        <v>784</v>
      </c>
    </row>
    <row r="292" spans="1:13" x14ac:dyDescent="0.25">
      <c r="A292" s="2" t="s">
        <v>1197</v>
      </c>
      <c r="B292" s="2" t="s">
        <v>5</v>
      </c>
      <c r="C292" s="2" t="s">
        <v>1198</v>
      </c>
      <c r="D292" s="2" t="str">
        <f t="shared" si="4"/>
        <v>Luis Scola</v>
      </c>
      <c r="E292" s="2" t="s">
        <v>1199</v>
      </c>
      <c r="F292" s="2">
        <v>11.357142857142801</v>
      </c>
      <c r="G292" s="2">
        <v>35</v>
      </c>
      <c r="H292" s="2">
        <v>3500</v>
      </c>
      <c r="I292" s="2" t="s">
        <v>782</v>
      </c>
      <c r="J292" s="2" t="s">
        <v>784</v>
      </c>
      <c r="K292" s="2" t="s">
        <v>783</v>
      </c>
    </row>
    <row r="293" spans="1:13" x14ac:dyDescent="0.25">
      <c r="A293" s="2" t="s">
        <v>1200</v>
      </c>
      <c r="B293" s="2" t="s">
        <v>6</v>
      </c>
      <c r="C293" s="2" t="s">
        <v>217</v>
      </c>
      <c r="D293" s="2" t="str">
        <f t="shared" si="4"/>
        <v>Treveon Graham</v>
      </c>
      <c r="E293" s="2" t="s">
        <v>218</v>
      </c>
      <c r="F293" s="2">
        <v>3.0058822631835902</v>
      </c>
      <c r="G293" s="2">
        <v>17</v>
      </c>
      <c r="H293" s="2">
        <v>3500</v>
      </c>
      <c r="I293" s="2" t="s">
        <v>775</v>
      </c>
      <c r="J293" s="2" t="s">
        <v>44</v>
      </c>
      <c r="K293" s="2" t="s">
        <v>54</v>
      </c>
    </row>
    <row r="294" spans="1:13" x14ac:dyDescent="0.25">
      <c r="A294" s="2" t="s">
        <v>1201</v>
      </c>
      <c r="B294" s="2" t="s">
        <v>7</v>
      </c>
      <c r="C294" s="2" t="s">
        <v>423</v>
      </c>
      <c r="D294" s="2" t="str">
        <f t="shared" si="4"/>
        <v>Rakeem Christmas</v>
      </c>
      <c r="E294" s="2" t="s">
        <v>424</v>
      </c>
      <c r="F294" s="2">
        <v>3.5833333333333299</v>
      </c>
      <c r="G294" s="2">
        <v>6</v>
      </c>
      <c r="H294" s="2">
        <v>3500</v>
      </c>
      <c r="I294" s="2" t="s">
        <v>766</v>
      </c>
      <c r="J294" s="2" t="s">
        <v>303</v>
      </c>
      <c r="K294" s="2" t="s">
        <v>767</v>
      </c>
    </row>
    <row r="295" spans="1:13" x14ac:dyDescent="0.25">
      <c r="A295" s="2" t="s">
        <v>1202</v>
      </c>
      <c r="B295" s="2" t="s">
        <v>6</v>
      </c>
      <c r="C295" s="2" t="s">
        <v>269</v>
      </c>
      <c r="D295" s="2" t="str">
        <f t="shared" si="4"/>
        <v>Mike Dunleavy</v>
      </c>
      <c r="E295" s="2" t="s">
        <v>1203</v>
      </c>
      <c r="F295" s="2">
        <v>9.4794874924879799</v>
      </c>
      <c r="G295" s="2">
        <v>39</v>
      </c>
      <c r="H295" s="2">
        <v>3500</v>
      </c>
      <c r="I295" s="2" t="s">
        <v>777</v>
      </c>
      <c r="J295" s="2" t="s">
        <v>778</v>
      </c>
      <c r="K295" s="2" t="s">
        <v>50</v>
      </c>
    </row>
    <row r="296" spans="1:13" x14ac:dyDescent="0.25">
      <c r="A296" s="2" t="s">
        <v>1204</v>
      </c>
      <c r="B296" s="2" t="s">
        <v>8</v>
      </c>
      <c r="C296" s="2" t="s">
        <v>1205</v>
      </c>
      <c r="D296" s="2" t="str">
        <f t="shared" si="4"/>
        <v>Langston Galloway</v>
      </c>
      <c r="E296" s="2" t="s">
        <v>1206</v>
      </c>
      <c r="F296" s="2">
        <v>14.326414864018201</v>
      </c>
      <c r="G296" s="2">
        <v>53</v>
      </c>
      <c r="H296" s="2">
        <v>3500</v>
      </c>
      <c r="I296" s="2" t="s">
        <v>750</v>
      </c>
      <c r="J296" s="2" t="s">
        <v>751</v>
      </c>
      <c r="K296" s="2" t="s">
        <v>299</v>
      </c>
    </row>
    <row r="297" spans="1:13" x14ac:dyDescent="0.25">
      <c r="A297" s="2" t="s">
        <v>1207</v>
      </c>
      <c r="B297" s="2" t="s">
        <v>7</v>
      </c>
      <c r="C297" s="2" t="s">
        <v>425</v>
      </c>
      <c r="D297" s="2" t="str">
        <f t="shared" si="4"/>
        <v>Roy Hibbert</v>
      </c>
      <c r="E297" s="2" t="s">
        <v>426</v>
      </c>
      <c r="F297" s="2">
        <v>11.9047619047619</v>
      </c>
      <c r="G297" s="2">
        <v>42</v>
      </c>
      <c r="H297" s="2">
        <v>3500</v>
      </c>
      <c r="I297" s="2" t="s">
        <v>747</v>
      </c>
      <c r="J297" s="2" t="s">
        <v>302</v>
      </c>
      <c r="K297" s="2" t="s">
        <v>748</v>
      </c>
    </row>
    <row r="298" spans="1:13" x14ac:dyDescent="0.25">
      <c r="A298" s="2" t="s">
        <v>1208</v>
      </c>
      <c r="B298" s="2" t="s">
        <v>7</v>
      </c>
      <c r="C298" s="2" t="s">
        <v>1209</v>
      </c>
      <c r="D298" s="2" t="str">
        <f t="shared" si="4"/>
        <v>Boban Marjanovic</v>
      </c>
      <c r="E298" s="2" t="s">
        <v>1210</v>
      </c>
      <c r="F298" s="2">
        <v>8.6454544067382795</v>
      </c>
      <c r="G298" s="2">
        <v>22</v>
      </c>
      <c r="H298" s="2">
        <v>3500</v>
      </c>
      <c r="I298" s="2" t="s">
        <v>747</v>
      </c>
      <c r="J298" s="2" t="s">
        <v>748</v>
      </c>
      <c r="K298" s="2" t="s">
        <v>302</v>
      </c>
    </row>
    <row r="299" spans="1:13" x14ac:dyDescent="0.25">
      <c r="A299" s="2" t="s">
        <v>1211</v>
      </c>
      <c r="B299" s="2" t="s">
        <v>8</v>
      </c>
      <c r="C299" s="2" t="s">
        <v>427</v>
      </c>
      <c r="D299" s="2" t="str">
        <f t="shared" si="4"/>
        <v>Ian Clark</v>
      </c>
      <c r="E299" s="2" t="s">
        <v>428</v>
      </c>
      <c r="F299" s="2">
        <v>10.514285963408801</v>
      </c>
      <c r="G299" s="2">
        <v>49</v>
      </c>
      <c r="H299" s="2">
        <v>3500</v>
      </c>
      <c r="I299" s="2" t="s">
        <v>757</v>
      </c>
      <c r="J299" s="2" t="s">
        <v>298</v>
      </c>
      <c r="K299" s="2" t="s">
        <v>304</v>
      </c>
    </row>
    <row r="300" spans="1:13" x14ac:dyDescent="0.25">
      <c r="A300" s="2" t="s">
        <v>1212</v>
      </c>
      <c r="B300" s="2" t="s">
        <v>5</v>
      </c>
      <c r="C300" s="2" t="s">
        <v>1213</v>
      </c>
      <c r="D300" s="2" t="str">
        <f t="shared" si="4"/>
        <v>Jarell Martin</v>
      </c>
      <c r="E300" s="2" t="s">
        <v>1214</v>
      </c>
      <c r="F300" s="2">
        <v>9.2624999999999993</v>
      </c>
      <c r="G300" s="2">
        <v>40</v>
      </c>
      <c r="H300" s="2">
        <v>3500</v>
      </c>
      <c r="I300" s="2" t="s">
        <v>782</v>
      </c>
      <c r="J300" s="2" t="s">
        <v>783</v>
      </c>
      <c r="K300" s="2" t="s">
        <v>784</v>
      </c>
    </row>
    <row r="301" spans="1:13" x14ac:dyDescent="0.25">
      <c r="A301" s="2" t="s">
        <v>1215</v>
      </c>
      <c r="B301" s="2" t="s">
        <v>5</v>
      </c>
      <c r="C301" s="2" t="s">
        <v>429</v>
      </c>
      <c r="D301" s="2" t="str">
        <f t="shared" si="4"/>
        <v>Udonis Haslem</v>
      </c>
      <c r="E301" s="2" t="s">
        <v>430</v>
      </c>
      <c r="F301" s="2">
        <v>5.5</v>
      </c>
      <c r="G301" s="2">
        <v>16</v>
      </c>
      <c r="H301" s="2">
        <v>3500</v>
      </c>
      <c r="I301" s="2" t="s">
        <v>770</v>
      </c>
      <c r="J301" s="2" t="s">
        <v>309</v>
      </c>
      <c r="K301" s="2" t="s">
        <v>55</v>
      </c>
    </row>
    <row r="302" spans="1:13" x14ac:dyDescent="0.25">
      <c r="A302" s="2" t="s">
        <v>1216</v>
      </c>
      <c r="B302" s="2" t="s">
        <v>8</v>
      </c>
      <c r="C302" s="2" t="s">
        <v>1217</v>
      </c>
      <c r="D302" s="2" t="str">
        <f t="shared" si="4"/>
        <v>Sheldon McClellan</v>
      </c>
      <c r="E302" s="2" t="s">
        <v>1218</v>
      </c>
      <c r="F302" s="2">
        <v>6.3260869565217304</v>
      </c>
      <c r="G302" s="2">
        <v>23</v>
      </c>
      <c r="H302" s="2">
        <v>3500</v>
      </c>
      <c r="I302" s="2" t="s">
        <v>744</v>
      </c>
      <c r="J302" s="2" t="s">
        <v>745</v>
      </c>
      <c r="K302" s="2" t="s">
        <v>4</v>
      </c>
    </row>
    <row r="303" spans="1:13" x14ac:dyDescent="0.25">
      <c r="A303" s="2" t="s">
        <v>1219</v>
      </c>
      <c r="B303" s="2" t="s">
        <v>7</v>
      </c>
      <c r="C303" s="2" t="s">
        <v>232</v>
      </c>
      <c r="D303" s="2" t="str">
        <f t="shared" si="4"/>
        <v>Jeff Withey</v>
      </c>
      <c r="E303" s="2" t="s">
        <v>233</v>
      </c>
      <c r="F303" s="2">
        <v>7.02000020345052</v>
      </c>
      <c r="G303" s="2">
        <v>30</v>
      </c>
      <c r="H303" s="2">
        <v>3500</v>
      </c>
      <c r="I303" s="2" t="s">
        <v>762</v>
      </c>
      <c r="J303" s="2" t="s">
        <v>64</v>
      </c>
      <c r="K303" s="2" t="s">
        <v>763</v>
      </c>
    </row>
    <row r="304" spans="1:13" x14ac:dyDescent="0.25">
      <c r="A304" s="2" t="s">
        <v>1220</v>
      </c>
      <c r="B304" s="2" t="s">
        <v>3</v>
      </c>
      <c r="C304" s="2" t="s">
        <v>238</v>
      </c>
      <c r="D304" s="2" t="str">
        <f t="shared" si="4"/>
        <v>Ramon Sessions</v>
      </c>
      <c r="E304" s="2" t="s">
        <v>239</v>
      </c>
      <c r="F304" s="2">
        <v>12.0619995117187</v>
      </c>
      <c r="G304" s="2">
        <v>50</v>
      </c>
      <c r="H304" s="2">
        <v>3500</v>
      </c>
      <c r="I304" s="2" t="s">
        <v>775</v>
      </c>
      <c r="J304" s="2" t="s">
        <v>44</v>
      </c>
      <c r="K304" s="2" t="s">
        <v>54</v>
      </c>
      <c r="L304" s="2" t="s">
        <v>56</v>
      </c>
      <c r="M304" s="2" t="s">
        <v>57</v>
      </c>
    </row>
    <row r="305" spans="1:13" x14ac:dyDescent="0.25">
      <c r="A305" s="2" t="s">
        <v>1221</v>
      </c>
      <c r="B305" s="2" t="s">
        <v>6</v>
      </c>
      <c r="C305" s="2" t="s">
        <v>1222</v>
      </c>
      <c r="D305" s="2" t="str">
        <f t="shared" si="4"/>
        <v>Jonathon Simmons</v>
      </c>
      <c r="E305" s="2" t="s">
        <v>136</v>
      </c>
      <c r="F305" s="2">
        <v>12.571999511718699</v>
      </c>
      <c r="G305" s="2">
        <v>50</v>
      </c>
      <c r="H305" s="2">
        <v>3500</v>
      </c>
      <c r="I305" s="2" t="s">
        <v>766</v>
      </c>
      <c r="J305" s="2" t="s">
        <v>767</v>
      </c>
      <c r="K305" s="2" t="s">
        <v>303</v>
      </c>
      <c r="L305" s="2" t="s">
        <v>91</v>
      </c>
      <c r="M305" s="2" t="s">
        <v>189</v>
      </c>
    </row>
    <row r="306" spans="1:13" x14ac:dyDescent="0.25">
      <c r="A306" s="2" t="s">
        <v>1223</v>
      </c>
      <c r="B306" s="2" t="s">
        <v>3</v>
      </c>
      <c r="C306" s="2" t="s">
        <v>47</v>
      </c>
      <c r="D306" s="2" t="str">
        <f t="shared" si="4"/>
        <v>Isaiah Whitehead</v>
      </c>
      <c r="E306" s="2" t="s">
        <v>1224</v>
      </c>
      <c r="F306" s="2">
        <v>14.5652173913043</v>
      </c>
      <c r="G306" s="2">
        <v>46</v>
      </c>
      <c r="H306" s="2">
        <v>3500</v>
      </c>
      <c r="I306" s="2" t="s">
        <v>782</v>
      </c>
      <c r="J306" s="2" t="s">
        <v>784</v>
      </c>
      <c r="K306" s="2" t="s">
        <v>783</v>
      </c>
    </row>
    <row r="307" spans="1:13" x14ac:dyDescent="0.25">
      <c r="A307" s="2" t="s">
        <v>1225</v>
      </c>
      <c r="B307" s="2" t="s">
        <v>7</v>
      </c>
      <c r="C307" s="2" t="s">
        <v>70</v>
      </c>
      <c r="D307" s="2" t="str">
        <f t="shared" si="4"/>
        <v>Al Jefferson</v>
      </c>
      <c r="E307" s="2" t="s">
        <v>286</v>
      </c>
      <c r="F307" s="2">
        <v>15.5870372630931</v>
      </c>
      <c r="G307" s="2">
        <v>54</v>
      </c>
      <c r="H307" s="2">
        <v>3500</v>
      </c>
      <c r="I307" s="2" t="s">
        <v>766</v>
      </c>
      <c r="J307" s="2" t="s">
        <v>303</v>
      </c>
      <c r="K307" s="2" t="s">
        <v>767</v>
      </c>
    </row>
    <row r="308" spans="1:13" x14ac:dyDescent="0.25">
      <c r="A308" s="2" t="s">
        <v>1226</v>
      </c>
      <c r="B308" s="2" t="s">
        <v>8</v>
      </c>
      <c r="C308" s="2" t="s">
        <v>173</v>
      </c>
      <c r="D308" s="2" t="str">
        <f t="shared" si="4"/>
        <v>Joe Young</v>
      </c>
      <c r="E308" s="2" t="s">
        <v>255</v>
      </c>
      <c r="F308" s="2">
        <v>4.1791667938232404</v>
      </c>
      <c r="G308" s="2">
        <v>24</v>
      </c>
      <c r="H308" s="2">
        <v>3500</v>
      </c>
      <c r="I308" s="2" t="s">
        <v>766</v>
      </c>
      <c r="J308" s="2" t="s">
        <v>303</v>
      </c>
      <c r="K308" s="2" t="s">
        <v>767</v>
      </c>
    </row>
    <row r="309" spans="1:13" x14ac:dyDescent="0.25">
      <c r="A309" s="2" t="s">
        <v>1227</v>
      </c>
      <c r="B309" s="2" t="s">
        <v>5</v>
      </c>
      <c r="C309" s="2" t="s">
        <v>1228</v>
      </c>
      <c r="D309" s="2" t="str">
        <f t="shared" si="4"/>
        <v>Henry Ellenson</v>
      </c>
      <c r="E309" s="2" t="s">
        <v>1229</v>
      </c>
      <c r="F309" s="2">
        <v>2.6000001089913498</v>
      </c>
      <c r="G309" s="2">
        <v>14</v>
      </c>
      <c r="H309" s="2">
        <v>3500</v>
      </c>
      <c r="I309" s="2" t="s">
        <v>747</v>
      </c>
      <c r="J309" s="2" t="s">
        <v>748</v>
      </c>
      <c r="K309" s="2" t="s">
        <v>302</v>
      </c>
    </row>
    <row r="310" spans="1:13" x14ac:dyDescent="0.25">
      <c r="A310" s="2" t="s">
        <v>1230</v>
      </c>
      <c r="B310" s="2" t="s">
        <v>5</v>
      </c>
      <c r="C310" s="2" t="s">
        <v>187</v>
      </c>
      <c r="D310" s="2" t="str">
        <f t="shared" si="4"/>
        <v>Richaun Holmes</v>
      </c>
      <c r="E310" s="2" t="s">
        <v>188</v>
      </c>
      <c r="F310" s="2">
        <v>14.8033335367838</v>
      </c>
      <c r="G310" s="2">
        <v>30</v>
      </c>
      <c r="H310" s="2">
        <v>3500</v>
      </c>
      <c r="I310" s="2" t="s">
        <v>775</v>
      </c>
      <c r="J310" s="2" t="s">
        <v>54</v>
      </c>
      <c r="K310" s="2" t="s">
        <v>44</v>
      </c>
    </row>
    <row r="311" spans="1:13" x14ac:dyDescent="0.25">
      <c r="A311" s="2" t="s">
        <v>1231</v>
      </c>
      <c r="B311" s="2" t="s">
        <v>7</v>
      </c>
      <c r="C311" s="2" t="s">
        <v>245</v>
      </c>
      <c r="D311" s="2" t="str">
        <f t="shared" si="4"/>
        <v>Stephen Zimmerman Jr.</v>
      </c>
      <c r="E311" s="2" t="s">
        <v>246</v>
      </c>
      <c r="F311" s="2">
        <v>4.0374999046325604</v>
      </c>
      <c r="G311" s="2">
        <v>8</v>
      </c>
      <c r="H311" s="2">
        <v>3500</v>
      </c>
      <c r="I311" s="2" t="s">
        <v>770</v>
      </c>
      <c r="J311" s="2" t="s">
        <v>55</v>
      </c>
      <c r="K311" s="2" t="s">
        <v>309</v>
      </c>
    </row>
    <row r="312" spans="1:13" x14ac:dyDescent="0.25">
      <c r="A312" s="2" t="s">
        <v>1232</v>
      </c>
      <c r="B312" s="2" t="s">
        <v>6</v>
      </c>
      <c r="C312" s="2" t="s">
        <v>129</v>
      </c>
      <c r="D312" s="2" t="str">
        <f t="shared" si="4"/>
        <v>Derrick Jones Jr.</v>
      </c>
      <c r="E312" s="2" t="s">
        <v>431</v>
      </c>
      <c r="F312" s="2">
        <v>1.61666663487752</v>
      </c>
      <c r="G312" s="2">
        <v>6</v>
      </c>
      <c r="H312" s="2">
        <v>3500</v>
      </c>
      <c r="I312" s="2" t="s">
        <v>750</v>
      </c>
      <c r="J312" s="2" t="s">
        <v>299</v>
      </c>
      <c r="K312" s="2" t="s">
        <v>751</v>
      </c>
    </row>
    <row r="313" spans="1:13" x14ac:dyDescent="0.25">
      <c r="A313" s="2" t="s">
        <v>1233</v>
      </c>
      <c r="B313" s="2" t="s">
        <v>5</v>
      </c>
      <c r="C313" s="2" t="s">
        <v>432</v>
      </c>
      <c r="D313" s="2" t="str">
        <f t="shared" si="4"/>
        <v>David West</v>
      </c>
      <c r="E313" s="2" t="s">
        <v>433</v>
      </c>
      <c r="F313" s="2">
        <v>11.745237804594399</v>
      </c>
      <c r="G313" s="2">
        <v>42</v>
      </c>
      <c r="H313" s="2">
        <v>3500</v>
      </c>
      <c r="I313" s="2" t="s">
        <v>757</v>
      </c>
      <c r="J313" s="2" t="s">
        <v>298</v>
      </c>
      <c r="K313" s="2" t="s">
        <v>304</v>
      </c>
      <c r="L313" s="2" t="s">
        <v>56</v>
      </c>
      <c r="M313" s="2" t="s">
        <v>182</v>
      </c>
    </row>
    <row r="314" spans="1:13" x14ac:dyDescent="0.25">
      <c r="A314" s="2" t="s">
        <v>1234</v>
      </c>
      <c r="B314" s="2" t="s">
        <v>6</v>
      </c>
      <c r="C314" s="2" t="s">
        <v>232</v>
      </c>
      <c r="D314" s="2" t="str">
        <f t="shared" si="4"/>
        <v>Jeff Green</v>
      </c>
      <c r="E314" s="2" t="s">
        <v>235</v>
      </c>
      <c r="F314" s="2">
        <v>15.0166671187789</v>
      </c>
      <c r="G314" s="2">
        <v>54</v>
      </c>
      <c r="H314" s="2">
        <v>3500</v>
      </c>
      <c r="I314" s="2" t="s">
        <v>770</v>
      </c>
      <c r="J314" s="2" t="s">
        <v>55</v>
      </c>
      <c r="K314" s="2" t="s">
        <v>309</v>
      </c>
    </row>
    <row r="315" spans="1:13" x14ac:dyDescent="0.25">
      <c r="A315" s="2" t="s">
        <v>1235</v>
      </c>
      <c r="B315" s="2" t="s">
        <v>3</v>
      </c>
      <c r="C315" s="2" t="s">
        <v>257</v>
      </c>
      <c r="D315" s="2" t="str">
        <f t="shared" si="4"/>
        <v>Ray McCallum</v>
      </c>
      <c r="E315" s="2" t="s">
        <v>258</v>
      </c>
      <c r="F315" s="2">
        <v>7.2536583877191303</v>
      </c>
      <c r="G315" s="2">
        <v>41</v>
      </c>
      <c r="H315" s="2">
        <v>3500</v>
      </c>
      <c r="I315" s="2" t="s">
        <v>775</v>
      </c>
      <c r="J315" s="2" t="s">
        <v>44</v>
      </c>
      <c r="K315" s="2" t="s">
        <v>54</v>
      </c>
    </row>
    <row r="316" spans="1:13" x14ac:dyDescent="0.25">
      <c r="A316" s="2" t="s">
        <v>1236</v>
      </c>
      <c r="B316" s="2" t="s">
        <v>5</v>
      </c>
      <c r="C316" s="2" t="s">
        <v>259</v>
      </c>
      <c r="D316" s="2" t="str">
        <f t="shared" si="4"/>
        <v>Nick Collison</v>
      </c>
      <c r="E316" s="2" t="s">
        <v>260</v>
      </c>
      <c r="F316" s="2">
        <v>3.2857142857142798</v>
      </c>
      <c r="G316" s="2">
        <v>14</v>
      </c>
      <c r="H316" s="2">
        <v>3500</v>
      </c>
      <c r="I316" s="2" t="s">
        <v>744</v>
      </c>
      <c r="J316" s="2" t="s">
        <v>4</v>
      </c>
      <c r="K316" s="2" t="s">
        <v>745</v>
      </c>
    </row>
    <row r="317" spans="1:13" x14ac:dyDescent="0.25">
      <c r="A317" s="2" t="s">
        <v>1237</v>
      </c>
      <c r="B317" s="2" t="s">
        <v>3</v>
      </c>
      <c r="C317" s="2" t="s">
        <v>68</v>
      </c>
      <c r="D317" s="2" t="str">
        <f t="shared" si="4"/>
        <v>Nicolas Laprovittola</v>
      </c>
      <c r="E317" s="2" t="s">
        <v>1238</v>
      </c>
      <c r="F317" s="2">
        <v>5.7777777777777697</v>
      </c>
      <c r="G317" s="2">
        <v>18</v>
      </c>
      <c r="H317" s="2">
        <v>3500</v>
      </c>
      <c r="I317" s="2" t="s">
        <v>766</v>
      </c>
      <c r="J317" s="2" t="s">
        <v>767</v>
      </c>
      <c r="K317" s="2" t="s">
        <v>303</v>
      </c>
    </row>
    <row r="318" spans="1:13" x14ac:dyDescent="0.25">
      <c r="A318" s="2" t="s">
        <v>1239</v>
      </c>
      <c r="B318" s="2" t="s">
        <v>6</v>
      </c>
      <c r="C318" s="2" t="s">
        <v>1240</v>
      </c>
      <c r="D318" s="2" t="str">
        <f t="shared" si="4"/>
        <v>Vince Carter</v>
      </c>
      <c r="E318" s="2" t="s">
        <v>1241</v>
      </c>
      <c r="F318" s="2">
        <v>16.6041666666666</v>
      </c>
      <c r="G318" s="2">
        <v>48</v>
      </c>
      <c r="H318" s="2">
        <v>3500</v>
      </c>
      <c r="I318" s="2" t="s">
        <v>782</v>
      </c>
      <c r="J318" s="2" t="s">
        <v>783</v>
      </c>
      <c r="K318" s="2" t="s">
        <v>784</v>
      </c>
    </row>
    <row r="319" spans="1:13" x14ac:dyDescent="0.25">
      <c r="A319" s="2" t="s">
        <v>1242</v>
      </c>
      <c r="B319" s="2" t="s">
        <v>3</v>
      </c>
      <c r="C319" s="2" t="s">
        <v>263</v>
      </c>
      <c r="D319" s="2" t="str">
        <f t="shared" si="4"/>
        <v>Cameron Payne</v>
      </c>
      <c r="E319" s="2" t="s">
        <v>264</v>
      </c>
      <c r="F319" s="2">
        <v>10.5388887193467</v>
      </c>
      <c r="G319" s="2">
        <v>18</v>
      </c>
      <c r="H319" s="2">
        <v>3500</v>
      </c>
      <c r="I319" s="2" t="s">
        <v>744</v>
      </c>
      <c r="J319" s="2" t="s">
        <v>4</v>
      </c>
      <c r="K319" s="2" t="s">
        <v>745</v>
      </c>
    </row>
    <row r="320" spans="1:13" x14ac:dyDescent="0.25">
      <c r="A320" s="2" t="s">
        <v>1243</v>
      </c>
      <c r="B320" s="2" t="s">
        <v>5</v>
      </c>
      <c r="C320" s="2" t="s">
        <v>374</v>
      </c>
      <c r="D320" s="2" t="str">
        <f t="shared" si="4"/>
        <v>Brandon Bass</v>
      </c>
      <c r="E320" s="2" t="s">
        <v>1244</v>
      </c>
      <c r="F320" s="2">
        <v>9.4527774386935697</v>
      </c>
      <c r="G320" s="2">
        <v>36</v>
      </c>
      <c r="H320" s="2">
        <v>3500</v>
      </c>
      <c r="I320" s="2" t="s">
        <v>762</v>
      </c>
      <c r="J320" s="2" t="s">
        <v>763</v>
      </c>
      <c r="K320" s="2" t="s">
        <v>64</v>
      </c>
    </row>
    <row r="321" spans="1:13" x14ac:dyDescent="0.25">
      <c r="A321" s="2" t="s">
        <v>1245</v>
      </c>
      <c r="B321" s="2" t="s">
        <v>8</v>
      </c>
      <c r="C321" s="2" t="s">
        <v>434</v>
      </c>
      <c r="D321" s="2" t="str">
        <f t="shared" si="4"/>
        <v>Leandro Barbosa</v>
      </c>
      <c r="E321" s="2" t="s">
        <v>435</v>
      </c>
      <c r="F321" s="2">
        <v>9.7313723096660496</v>
      </c>
      <c r="G321" s="2">
        <v>51</v>
      </c>
      <c r="H321" s="2">
        <v>3500</v>
      </c>
      <c r="I321" s="2" t="s">
        <v>750</v>
      </c>
      <c r="J321" s="2" t="s">
        <v>299</v>
      </c>
      <c r="K321" s="2" t="s">
        <v>751</v>
      </c>
    </row>
    <row r="322" spans="1:13" x14ac:dyDescent="0.25">
      <c r="A322" s="2" t="s">
        <v>1246</v>
      </c>
      <c r="B322" s="2" t="s">
        <v>7</v>
      </c>
      <c r="C322" s="2" t="s">
        <v>273</v>
      </c>
      <c r="D322" s="2" t="str">
        <f t="shared" si="4"/>
        <v>Festus Ezeli</v>
      </c>
      <c r="E322" s="2" t="s">
        <v>274</v>
      </c>
      <c r="F322" s="2">
        <v>16.9130434782608</v>
      </c>
      <c r="G322" s="2">
        <v>46</v>
      </c>
      <c r="H322" s="2">
        <v>3500</v>
      </c>
      <c r="I322" s="2" t="s">
        <v>777</v>
      </c>
      <c r="J322" s="2" t="s">
        <v>50</v>
      </c>
      <c r="K322" s="2" t="s">
        <v>778</v>
      </c>
      <c r="L322" s="2" t="s">
        <v>56</v>
      </c>
      <c r="M322" s="2" t="s">
        <v>57</v>
      </c>
    </row>
    <row r="323" spans="1:13" x14ac:dyDescent="0.25">
      <c r="A323" s="2" t="s">
        <v>1247</v>
      </c>
      <c r="B323" s="2" t="s">
        <v>8</v>
      </c>
      <c r="C323" s="2" t="s">
        <v>1248</v>
      </c>
      <c r="D323" s="2" t="str">
        <f t="shared" ref="D323:D332" si="5">C323&amp;" "&amp;E323</f>
        <v>Darrun Hilliard</v>
      </c>
      <c r="E323" s="2" t="s">
        <v>1249</v>
      </c>
      <c r="F323" s="2">
        <v>5.5888886628327503</v>
      </c>
      <c r="G323" s="2">
        <v>27</v>
      </c>
      <c r="H323" s="2">
        <v>3500</v>
      </c>
      <c r="I323" s="2" t="s">
        <v>747</v>
      </c>
      <c r="J323" s="2" t="s">
        <v>748</v>
      </c>
      <c r="K323" s="2" t="s">
        <v>302</v>
      </c>
    </row>
    <row r="324" spans="1:13" x14ac:dyDescent="0.25">
      <c r="A324" s="2" t="s">
        <v>1250</v>
      </c>
      <c r="B324" s="2" t="s">
        <v>3</v>
      </c>
      <c r="C324" s="2" t="s">
        <v>1251</v>
      </c>
      <c r="D324" s="2" t="str">
        <f t="shared" si="5"/>
        <v>Beno Udrih</v>
      </c>
      <c r="E324" s="2" t="s">
        <v>1252</v>
      </c>
      <c r="F324" s="2">
        <v>11.4033335367838</v>
      </c>
      <c r="G324" s="2">
        <v>30</v>
      </c>
      <c r="H324" s="2">
        <v>3500</v>
      </c>
      <c r="I324" s="2" t="s">
        <v>747</v>
      </c>
      <c r="J324" s="2" t="s">
        <v>748</v>
      </c>
      <c r="K324" s="2" t="s">
        <v>302</v>
      </c>
    </row>
    <row r="325" spans="1:13" x14ac:dyDescent="0.25">
      <c r="A325" s="2" t="s">
        <v>1253</v>
      </c>
      <c r="B325" s="2" t="s">
        <v>3</v>
      </c>
      <c r="C325" s="2" t="s">
        <v>224</v>
      </c>
      <c r="D325" s="2" t="str">
        <f t="shared" si="5"/>
        <v>Trey Burke</v>
      </c>
      <c r="E325" s="2" t="s">
        <v>1254</v>
      </c>
      <c r="F325" s="2">
        <v>8.3081633898676603</v>
      </c>
      <c r="G325" s="2">
        <v>49</v>
      </c>
      <c r="H325" s="2">
        <v>3500</v>
      </c>
      <c r="I325" s="2" t="s">
        <v>744</v>
      </c>
      <c r="J325" s="2" t="s">
        <v>745</v>
      </c>
      <c r="K325" s="2" t="s">
        <v>4</v>
      </c>
    </row>
    <row r="326" spans="1:13" x14ac:dyDescent="0.25">
      <c r="A326" s="2" t="s">
        <v>1255</v>
      </c>
      <c r="B326" s="2" t="s">
        <v>5</v>
      </c>
      <c r="C326" s="2" t="s">
        <v>269</v>
      </c>
      <c r="D326" s="2" t="str">
        <f t="shared" si="5"/>
        <v>Mike Muscala</v>
      </c>
      <c r="E326" s="2" t="s">
        <v>1256</v>
      </c>
      <c r="F326" s="2">
        <v>15.189582824706999</v>
      </c>
      <c r="G326" s="2">
        <v>48</v>
      </c>
      <c r="H326" s="2">
        <v>3500</v>
      </c>
      <c r="I326" s="2" t="s">
        <v>777</v>
      </c>
      <c r="J326" s="2" t="s">
        <v>778</v>
      </c>
      <c r="K326" s="2" t="s">
        <v>50</v>
      </c>
    </row>
    <row r="327" spans="1:13" x14ac:dyDescent="0.25">
      <c r="A327" s="2" t="s">
        <v>1257</v>
      </c>
      <c r="B327" s="2" t="s">
        <v>8</v>
      </c>
      <c r="C327" s="2" t="s">
        <v>1258</v>
      </c>
      <c r="D327" s="2" t="str">
        <f t="shared" si="5"/>
        <v>Manu Ginobili</v>
      </c>
      <c r="E327" s="2" t="s">
        <v>1259</v>
      </c>
      <c r="F327" s="2">
        <v>16.0787236639793</v>
      </c>
      <c r="G327" s="2">
        <v>47</v>
      </c>
      <c r="H327" s="2">
        <v>3500</v>
      </c>
      <c r="I327" s="2" t="s">
        <v>766</v>
      </c>
      <c r="J327" s="2" t="s">
        <v>767</v>
      </c>
      <c r="K327" s="2" t="s">
        <v>303</v>
      </c>
    </row>
    <row r="328" spans="1:13" x14ac:dyDescent="0.25">
      <c r="A328" s="2" t="s">
        <v>1260</v>
      </c>
      <c r="B328" s="2" t="s">
        <v>8</v>
      </c>
      <c r="C328" s="2" t="s">
        <v>173</v>
      </c>
      <c r="D328" s="2" t="str">
        <f t="shared" si="5"/>
        <v>Joe Harris</v>
      </c>
      <c r="E328" s="2" t="s">
        <v>167</v>
      </c>
      <c r="F328" s="2">
        <v>13.945652173913</v>
      </c>
      <c r="G328" s="2">
        <v>46</v>
      </c>
      <c r="H328" s="2">
        <v>3500</v>
      </c>
      <c r="I328" s="2" t="s">
        <v>782</v>
      </c>
      <c r="J328" s="2" t="s">
        <v>784</v>
      </c>
      <c r="K328" s="2" t="s">
        <v>783</v>
      </c>
    </row>
    <row r="329" spans="1:13" x14ac:dyDescent="0.25">
      <c r="A329" s="2" t="s">
        <v>1261</v>
      </c>
      <c r="B329" s="2" t="s">
        <v>6</v>
      </c>
      <c r="C329" s="2" t="s">
        <v>1262</v>
      </c>
      <c r="D329" s="2" t="str">
        <f t="shared" si="5"/>
        <v>Stanley Johnson</v>
      </c>
      <c r="E329" s="2" t="s">
        <v>174</v>
      </c>
      <c r="F329" s="2">
        <v>10.345097560508499</v>
      </c>
      <c r="G329" s="2">
        <v>51</v>
      </c>
      <c r="H329" s="2">
        <v>3500</v>
      </c>
      <c r="I329" s="2" t="s">
        <v>747</v>
      </c>
      <c r="J329" s="2" t="s">
        <v>748</v>
      </c>
      <c r="K329" s="2" t="s">
        <v>302</v>
      </c>
    </row>
    <row r="330" spans="1:13" x14ac:dyDescent="0.25">
      <c r="A330" s="2" t="s">
        <v>1263</v>
      </c>
      <c r="B330" s="2" t="s">
        <v>6</v>
      </c>
      <c r="C330" s="2" t="s">
        <v>269</v>
      </c>
      <c r="D330" s="2" t="str">
        <f t="shared" si="5"/>
        <v>Mike Scott</v>
      </c>
      <c r="E330" s="2" t="s">
        <v>1264</v>
      </c>
      <c r="F330" s="2">
        <v>6.9647059721105196</v>
      </c>
      <c r="G330" s="2">
        <v>17</v>
      </c>
      <c r="H330" s="2">
        <v>3500</v>
      </c>
      <c r="I330" s="2" t="s">
        <v>777</v>
      </c>
      <c r="J330" s="2" t="s">
        <v>778</v>
      </c>
      <c r="K330" s="2" t="s">
        <v>50</v>
      </c>
    </row>
    <row r="331" spans="1:13" x14ac:dyDescent="0.25">
      <c r="A331" s="2" t="s">
        <v>1265</v>
      </c>
      <c r="B331" s="2" t="s">
        <v>6</v>
      </c>
      <c r="C331" s="2" t="s">
        <v>289</v>
      </c>
      <c r="D331" s="2" t="str">
        <f t="shared" si="5"/>
        <v>Dorian Finney-Smith</v>
      </c>
      <c r="E331" s="2" t="s">
        <v>290</v>
      </c>
      <c r="F331" s="2">
        <v>10.435848595961</v>
      </c>
      <c r="G331" s="2">
        <v>53</v>
      </c>
      <c r="H331" s="2">
        <v>3500</v>
      </c>
      <c r="I331" s="2" t="s">
        <v>755</v>
      </c>
      <c r="J331" s="2" t="s">
        <v>65</v>
      </c>
      <c r="K331" s="2" t="s">
        <v>49</v>
      </c>
    </row>
    <row r="332" spans="1:13" x14ac:dyDescent="0.25">
      <c r="A332" s="2" t="s">
        <v>1266</v>
      </c>
      <c r="B332" s="2" t="s">
        <v>3</v>
      </c>
      <c r="C332" s="2" t="s">
        <v>382</v>
      </c>
      <c r="D332" s="2" t="str">
        <f t="shared" si="5"/>
        <v>Ronnie Price</v>
      </c>
      <c r="E332" s="2" t="s">
        <v>383</v>
      </c>
      <c r="F332" s="2">
        <v>2</v>
      </c>
      <c r="G332" s="2">
        <v>2</v>
      </c>
      <c r="H332" s="2">
        <v>3500</v>
      </c>
      <c r="I332" s="2" t="s">
        <v>750</v>
      </c>
      <c r="J332" s="2" t="s">
        <v>299</v>
      </c>
      <c r="K332" s="2" t="s">
        <v>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H17" sqref="H17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2" t="s">
        <v>22</v>
      </c>
      <c r="E2" s="42"/>
      <c r="F2" s="42"/>
      <c r="G2" s="42"/>
      <c r="H2" s="42"/>
      <c r="I2" s="42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3" t="s">
        <v>24</v>
      </c>
      <c r="E3" s="43"/>
      <c r="F3" s="43"/>
      <c r="G3" s="43"/>
      <c r="H3" s="43"/>
      <c r="I3" s="43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11</v>
      </c>
      <c r="C15" s="15"/>
      <c r="D15" s="38">
        <f>'DraftKings Basketball  Solver'!O11</f>
        <v>0</v>
      </c>
      <c r="E15" s="36"/>
      <c r="F15" s="41" t="e">
        <f>'DraftKings Basketball  Solver'!O17</f>
        <v>#N/A</v>
      </c>
      <c r="G15" s="40" t="e">
        <f>'DraftKings Basketball  Solver'!O18</f>
        <v>#N/A</v>
      </c>
      <c r="H15" s="41" t="e">
        <f>'DraftKings Basketball  Solver'!O19</f>
        <v>#N/A</v>
      </c>
      <c r="I15" s="40" t="e">
        <f>'DraftKings Basketball  Solver'!O20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12</v>
      </c>
      <c r="C16" s="15"/>
      <c r="D16" s="39">
        <f>'DraftKings Basketball  Solver'!O8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Solver'!O21</f>
        <v>#N/A</v>
      </c>
      <c r="G17" s="41" t="e">
        <f>'DraftKings Basketball  Solver'!O22</f>
        <v>#N/A</v>
      </c>
      <c r="H17" s="40" t="e">
        <f>'DraftKings Basketball  Solver'!O23</f>
        <v>#N/A</v>
      </c>
      <c r="I17" s="41" t="e">
        <f>'DraftKings Basketball  Solver'!O24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workbookViewId="0">
      <selection sqref="A1:C8"/>
    </sheetView>
  </sheetViews>
  <sheetFormatPr defaultRowHeight="15" x14ac:dyDescent="0.25"/>
  <cols>
    <col min="2" max="2" width="10.7109375" bestFit="1" customWidth="1"/>
  </cols>
  <sheetData>
    <row r="1" spans="1:2" x14ac:dyDescent="0.25">
      <c r="A1" s="2"/>
      <c r="B1" s="2"/>
    </row>
    <row r="2" spans="1:2" x14ac:dyDescent="0.25">
      <c r="A2" s="2"/>
      <c r="B2" s="2"/>
    </row>
    <row r="3" spans="1:2" x14ac:dyDescent="0.25">
      <c r="A3" s="2"/>
      <c r="B3" s="2"/>
    </row>
    <row r="4" spans="1:2" x14ac:dyDescent="0.25">
      <c r="A4" s="2"/>
      <c r="B4" s="2"/>
    </row>
    <row r="5" spans="1:2" x14ac:dyDescent="0.25">
      <c r="A5" s="2"/>
      <c r="B5" s="2"/>
    </row>
    <row r="6" spans="1:2" x14ac:dyDescent="0.25">
      <c r="A6" s="2"/>
      <c r="B6" s="2"/>
    </row>
    <row r="7" spans="1:2" x14ac:dyDescent="0.25">
      <c r="A7" s="2"/>
      <c r="B7" s="2"/>
    </row>
    <row r="8" spans="1:2" x14ac:dyDescent="0.25">
      <c r="A8" s="2"/>
      <c r="B8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08"/>
  <sheetViews>
    <sheetView workbookViewId="0">
      <selection activeCell="E7" sqref="E7"/>
    </sheetView>
  </sheetViews>
  <sheetFormatPr defaultRowHeight="15" x14ac:dyDescent="0.25"/>
  <cols>
    <col min="1" max="1" width="24.7109375" style="2" bestFit="1" customWidth="1"/>
  </cols>
  <sheetData>
    <row r="1" spans="1:2" x14ac:dyDescent="0.25">
      <c r="B1">
        <v>42779</v>
      </c>
    </row>
    <row r="2" spans="1:2" x14ac:dyDescent="0.25">
      <c r="A2" s="2" t="s">
        <v>436</v>
      </c>
      <c r="B2">
        <v>22.1</v>
      </c>
    </row>
    <row r="3" spans="1:2" x14ac:dyDescent="0.25">
      <c r="A3" s="2" t="s">
        <v>437</v>
      </c>
      <c r="B3">
        <v>8.8000000000000007</v>
      </c>
    </row>
    <row r="4" spans="1:2" x14ac:dyDescent="0.25">
      <c r="A4" s="2" t="s">
        <v>438</v>
      </c>
      <c r="B4">
        <v>15.9</v>
      </c>
    </row>
    <row r="5" spans="1:2" x14ac:dyDescent="0.25">
      <c r="A5" s="2" t="s">
        <v>439</v>
      </c>
      <c r="B5" t="e">
        <v>#N/A</v>
      </c>
    </row>
    <row r="6" spans="1:2" x14ac:dyDescent="0.25">
      <c r="A6" s="2" t="s">
        <v>440</v>
      </c>
      <c r="B6">
        <v>9.6</v>
      </c>
    </row>
    <row r="7" spans="1:2" x14ac:dyDescent="0.25">
      <c r="A7" s="2" t="s">
        <v>441</v>
      </c>
      <c r="B7">
        <v>14.6</v>
      </c>
    </row>
    <row r="8" spans="1:2" x14ac:dyDescent="0.25">
      <c r="A8" s="2" t="s">
        <v>442</v>
      </c>
      <c r="B8">
        <v>13.6</v>
      </c>
    </row>
    <row r="9" spans="1:2" x14ac:dyDescent="0.25">
      <c r="A9" s="2" t="s">
        <v>443</v>
      </c>
      <c r="B9">
        <v>28.1</v>
      </c>
    </row>
    <row r="10" spans="1:2" x14ac:dyDescent="0.25">
      <c r="A10" s="2" t="s">
        <v>444</v>
      </c>
      <c r="B10">
        <v>8.1</v>
      </c>
    </row>
    <row r="11" spans="1:2" x14ac:dyDescent="0.25">
      <c r="A11" s="2" t="s">
        <v>445</v>
      </c>
      <c r="B11">
        <v>30.1</v>
      </c>
    </row>
    <row r="12" spans="1:2" x14ac:dyDescent="0.25">
      <c r="A12" s="2" t="s">
        <v>446</v>
      </c>
      <c r="B12" t="e">
        <v>#N/A</v>
      </c>
    </row>
    <row r="13" spans="1:2" x14ac:dyDescent="0.25">
      <c r="A13" s="2" t="s">
        <v>447</v>
      </c>
      <c r="B13" t="e">
        <v>#N/A</v>
      </c>
    </row>
    <row r="14" spans="1:2" x14ac:dyDescent="0.25">
      <c r="A14" s="2" t="s">
        <v>448</v>
      </c>
      <c r="B14">
        <v>25.4</v>
      </c>
    </row>
    <row r="15" spans="1:2" x14ac:dyDescent="0.25">
      <c r="A15" s="2" t="s">
        <v>449</v>
      </c>
      <c r="B15">
        <v>12</v>
      </c>
    </row>
    <row r="16" spans="1:2" x14ac:dyDescent="0.25">
      <c r="A16" s="2" t="s">
        <v>450</v>
      </c>
      <c r="B16">
        <v>31.5</v>
      </c>
    </row>
    <row r="17" spans="1:2" x14ac:dyDescent="0.25">
      <c r="A17" s="2" t="s">
        <v>451</v>
      </c>
      <c r="B17" t="e">
        <v>#N/A</v>
      </c>
    </row>
    <row r="18" spans="1:2" x14ac:dyDescent="0.25">
      <c r="A18" s="2" t="s">
        <v>452</v>
      </c>
      <c r="B18" t="e">
        <v>#N/A</v>
      </c>
    </row>
    <row r="19" spans="1:2" x14ac:dyDescent="0.25">
      <c r="A19" s="2" t="s">
        <v>453</v>
      </c>
      <c r="B19">
        <v>18.399999999999999</v>
      </c>
    </row>
    <row r="20" spans="1:2" x14ac:dyDescent="0.25">
      <c r="A20" s="2" t="s">
        <v>454</v>
      </c>
      <c r="B20">
        <v>7.4</v>
      </c>
    </row>
    <row r="21" spans="1:2" x14ac:dyDescent="0.25">
      <c r="A21" s="2" t="s">
        <v>455</v>
      </c>
      <c r="B21">
        <v>33.1</v>
      </c>
    </row>
    <row r="22" spans="1:2" x14ac:dyDescent="0.25">
      <c r="A22" s="2" t="s">
        <v>456</v>
      </c>
      <c r="B22">
        <v>10.1</v>
      </c>
    </row>
    <row r="23" spans="1:2" x14ac:dyDescent="0.25">
      <c r="A23" s="2" t="s">
        <v>457</v>
      </c>
      <c r="B23" t="e">
        <v>#N/A</v>
      </c>
    </row>
    <row r="24" spans="1:2" x14ac:dyDescent="0.25">
      <c r="A24" s="2" t="s">
        <v>458</v>
      </c>
      <c r="B24">
        <v>20.399999999999999</v>
      </c>
    </row>
    <row r="25" spans="1:2" x14ac:dyDescent="0.25">
      <c r="A25" s="2" t="s">
        <v>459</v>
      </c>
      <c r="B25">
        <v>33.200000000000003</v>
      </c>
    </row>
    <row r="26" spans="1:2" x14ac:dyDescent="0.25">
      <c r="A26" s="2" t="s">
        <v>460</v>
      </c>
      <c r="B26">
        <v>28.2</v>
      </c>
    </row>
    <row r="27" spans="1:2" x14ac:dyDescent="0.25">
      <c r="A27" s="2" t="s">
        <v>461</v>
      </c>
      <c r="B27" t="e">
        <v>#N/A</v>
      </c>
    </row>
    <row r="28" spans="1:2" x14ac:dyDescent="0.25">
      <c r="A28" s="2" t="s">
        <v>462</v>
      </c>
      <c r="B28">
        <v>18.899999999999999</v>
      </c>
    </row>
    <row r="29" spans="1:2" x14ac:dyDescent="0.25">
      <c r="A29" s="2" t="s">
        <v>463</v>
      </c>
      <c r="B29">
        <v>47.9</v>
      </c>
    </row>
    <row r="30" spans="1:2" x14ac:dyDescent="0.25">
      <c r="A30" s="2" t="s">
        <v>464</v>
      </c>
      <c r="B30">
        <v>34.700000000000003</v>
      </c>
    </row>
    <row r="31" spans="1:2" x14ac:dyDescent="0.25">
      <c r="A31" s="2" t="s">
        <v>465</v>
      </c>
      <c r="B31" t="e">
        <v>#N/A</v>
      </c>
    </row>
    <row r="32" spans="1:2" x14ac:dyDescent="0.25">
      <c r="A32" s="2" t="s">
        <v>466</v>
      </c>
      <c r="B32">
        <v>18.899999999999999</v>
      </c>
    </row>
    <row r="33" spans="1:2" x14ac:dyDescent="0.25">
      <c r="A33" s="2" t="s">
        <v>467</v>
      </c>
      <c r="B33">
        <v>29</v>
      </c>
    </row>
    <row r="34" spans="1:2" x14ac:dyDescent="0.25">
      <c r="A34" s="2" t="s">
        <v>468</v>
      </c>
      <c r="B34" t="e">
        <v>#N/A</v>
      </c>
    </row>
    <row r="35" spans="1:2" x14ac:dyDescent="0.25">
      <c r="A35" s="2" t="s">
        <v>469</v>
      </c>
      <c r="B35">
        <v>29.3</v>
      </c>
    </row>
    <row r="36" spans="1:2" x14ac:dyDescent="0.25">
      <c r="A36" s="2" t="s">
        <v>470</v>
      </c>
      <c r="B36">
        <v>48.6</v>
      </c>
    </row>
    <row r="37" spans="1:2" x14ac:dyDescent="0.25">
      <c r="A37" s="2" t="s">
        <v>471</v>
      </c>
      <c r="B37">
        <v>15.4</v>
      </c>
    </row>
    <row r="38" spans="1:2" x14ac:dyDescent="0.25">
      <c r="A38" s="2" t="s">
        <v>472</v>
      </c>
      <c r="B38">
        <v>32.4</v>
      </c>
    </row>
    <row r="39" spans="1:2" x14ac:dyDescent="0.25">
      <c r="A39" s="2" t="s">
        <v>473</v>
      </c>
      <c r="B39">
        <v>24.4</v>
      </c>
    </row>
    <row r="40" spans="1:2" x14ac:dyDescent="0.25">
      <c r="A40" s="2" t="s">
        <v>474</v>
      </c>
      <c r="B40" t="e">
        <v>#N/A</v>
      </c>
    </row>
    <row r="41" spans="1:2" x14ac:dyDescent="0.25">
      <c r="A41" s="2" t="s">
        <v>475</v>
      </c>
      <c r="B41">
        <v>29.8</v>
      </c>
    </row>
    <row r="42" spans="1:2" x14ac:dyDescent="0.25">
      <c r="A42" s="2" t="s">
        <v>476</v>
      </c>
      <c r="B42" t="e">
        <v>#N/A</v>
      </c>
    </row>
    <row r="43" spans="1:2" x14ac:dyDescent="0.25">
      <c r="A43" s="2" t="s">
        <v>477</v>
      </c>
      <c r="B43">
        <v>8.8000000000000007</v>
      </c>
    </row>
    <row r="44" spans="1:2" x14ac:dyDescent="0.25">
      <c r="A44" s="2" t="s">
        <v>478</v>
      </c>
      <c r="B44">
        <v>20.9</v>
      </c>
    </row>
    <row r="45" spans="1:2" x14ac:dyDescent="0.25">
      <c r="A45" s="2" t="s">
        <v>479</v>
      </c>
      <c r="B45">
        <v>16.399999999999999</v>
      </c>
    </row>
    <row r="46" spans="1:2" x14ac:dyDescent="0.25">
      <c r="A46" s="2" t="s">
        <v>480</v>
      </c>
      <c r="B46" t="e">
        <v>#N/A</v>
      </c>
    </row>
    <row r="47" spans="1:2" x14ac:dyDescent="0.25">
      <c r="A47" s="2" t="s">
        <v>481</v>
      </c>
      <c r="B47">
        <v>3.2</v>
      </c>
    </row>
    <row r="48" spans="1:2" x14ac:dyDescent="0.25">
      <c r="A48" s="2" t="s">
        <v>482</v>
      </c>
      <c r="B48" t="e">
        <v>#N/A</v>
      </c>
    </row>
    <row r="49" spans="1:2" x14ac:dyDescent="0.25">
      <c r="A49" s="2" t="s">
        <v>483</v>
      </c>
      <c r="B49">
        <v>41.3</v>
      </c>
    </row>
    <row r="50" spans="1:2" x14ac:dyDescent="0.25">
      <c r="A50" s="2" t="s">
        <v>484</v>
      </c>
      <c r="B50">
        <v>43.9</v>
      </c>
    </row>
    <row r="51" spans="1:2" x14ac:dyDescent="0.25">
      <c r="A51" s="2" t="s">
        <v>485</v>
      </c>
      <c r="B51" t="e">
        <v>#N/A</v>
      </c>
    </row>
    <row r="52" spans="1:2" x14ac:dyDescent="0.25">
      <c r="A52" s="2" t="s">
        <v>486</v>
      </c>
      <c r="B52">
        <v>21.4</v>
      </c>
    </row>
    <row r="53" spans="1:2" x14ac:dyDescent="0.25">
      <c r="A53" s="2" t="s">
        <v>487</v>
      </c>
      <c r="B53">
        <v>17.399999999999999</v>
      </c>
    </row>
    <row r="54" spans="1:2" x14ac:dyDescent="0.25">
      <c r="A54" s="2" t="s">
        <v>488</v>
      </c>
      <c r="B54">
        <v>2.6</v>
      </c>
    </row>
    <row r="55" spans="1:2" x14ac:dyDescent="0.25">
      <c r="A55" s="2" t="s">
        <v>489</v>
      </c>
      <c r="B55" t="e">
        <v>#N/A</v>
      </c>
    </row>
    <row r="56" spans="1:2" x14ac:dyDescent="0.25">
      <c r="A56" s="2" t="s">
        <v>490</v>
      </c>
      <c r="B56" t="e">
        <v>#N/A</v>
      </c>
    </row>
    <row r="57" spans="1:2" x14ac:dyDescent="0.25">
      <c r="A57" s="2" t="s">
        <v>491</v>
      </c>
      <c r="B57">
        <v>30.9</v>
      </c>
    </row>
    <row r="58" spans="1:2" x14ac:dyDescent="0.25">
      <c r="A58" s="2" t="s">
        <v>492</v>
      </c>
      <c r="B58">
        <v>14.1</v>
      </c>
    </row>
    <row r="59" spans="1:2" x14ac:dyDescent="0.25">
      <c r="A59" s="2" t="s">
        <v>493</v>
      </c>
      <c r="B59" t="e">
        <v>#N/A</v>
      </c>
    </row>
    <row r="60" spans="1:2" x14ac:dyDescent="0.25">
      <c r="A60" s="2" t="s">
        <v>494</v>
      </c>
      <c r="B60">
        <v>24.8</v>
      </c>
    </row>
    <row r="61" spans="1:2" x14ac:dyDescent="0.25">
      <c r="A61" s="2" t="s">
        <v>495</v>
      </c>
      <c r="B61">
        <v>9.6999999999999993</v>
      </c>
    </row>
    <row r="62" spans="1:2" x14ac:dyDescent="0.25">
      <c r="A62" s="2" t="s">
        <v>496</v>
      </c>
      <c r="B62">
        <v>17.8</v>
      </c>
    </row>
    <row r="63" spans="1:2" x14ac:dyDescent="0.25">
      <c r="A63" s="2" t="s">
        <v>497</v>
      </c>
      <c r="B63">
        <v>25.9</v>
      </c>
    </row>
    <row r="64" spans="1:2" x14ac:dyDescent="0.25">
      <c r="A64" s="2" t="s">
        <v>498</v>
      </c>
      <c r="B64" t="e">
        <v>#N/A</v>
      </c>
    </row>
    <row r="65" spans="1:2" x14ac:dyDescent="0.25">
      <c r="A65" s="2" t="s">
        <v>499</v>
      </c>
      <c r="B65">
        <v>45.5</v>
      </c>
    </row>
    <row r="66" spans="1:2" x14ac:dyDescent="0.25">
      <c r="A66" s="2" t="s">
        <v>500</v>
      </c>
      <c r="B66" t="e">
        <v>#N/A</v>
      </c>
    </row>
    <row r="67" spans="1:2" x14ac:dyDescent="0.25">
      <c r="A67" s="2" t="s">
        <v>501</v>
      </c>
      <c r="B67">
        <v>12</v>
      </c>
    </row>
    <row r="68" spans="1:2" x14ac:dyDescent="0.25">
      <c r="A68" s="2" t="s">
        <v>502</v>
      </c>
      <c r="B68">
        <v>43.8</v>
      </c>
    </row>
    <row r="69" spans="1:2" x14ac:dyDescent="0.25">
      <c r="A69" s="2" t="s">
        <v>503</v>
      </c>
      <c r="B69" t="e">
        <v>#N/A</v>
      </c>
    </row>
    <row r="70" spans="1:2" x14ac:dyDescent="0.25">
      <c r="A70" s="2" t="s">
        <v>504</v>
      </c>
      <c r="B70" t="e">
        <v>#N/A</v>
      </c>
    </row>
    <row r="71" spans="1:2" x14ac:dyDescent="0.25">
      <c r="A71" s="2" t="s">
        <v>505</v>
      </c>
      <c r="B71" t="e">
        <v>#N/A</v>
      </c>
    </row>
    <row r="72" spans="1:2" x14ac:dyDescent="0.25">
      <c r="A72" s="2" t="s">
        <v>506</v>
      </c>
      <c r="B72">
        <v>13</v>
      </c>
    </row>
    <row r="73" spans="1:2" x14ac:dyDescent="0.25">
      <c r="A73" s="2" t="s">
        <v>507</v>
      </c>
      <c r="B73">
        <v>20.100000000000001</v>
      </c>
    </row>
    <row r="74" spans="1:2" x14ac:dyDescent="0.25">
      <c r="A74" s="2" t="s">
        <v>508</v>
      </c>
      <c r="B74">
        <v>15.1</v>
      </c>
    </row>
    <row r="75" spans="1:2" x14ac:dyDescent="0.25">
      <c r="A75" s="2" t="s">
        <v>509</v>
      </c>
      <c r="B75">
        <v>11.8</v>
      </c>
    </row>
    <row r="76" spans="1:2" x14ac:dyDescent="0.25">
      <c r="A76" s="2" t="s">
        <v>510</v>
      </c>
      <c r="B76">
        <v>25.6</v>
      </c>
    </row>
    <row r="77" spans="1:2" x14ac:dyDescent="0.25">
      <c r="A77" s="2" t="s">
        <v>511</v>
      </c>
      <c r="B77" t="e">
        <v>#N/A</v>
      </c>
    </row>
    <row r="78" spans="1:2" x14ac:dyDescent="0.25">
      <c r="A78" s="2" t="s">
        <v>512</v>
      </c>
      <c r="B78">
        <v>23.2</v>
      </c>
    </row>
    <row r="79" spans="1:2" x14ac:dyDescent="0.25">
      <c r="A79" s="2" t="s">
        <v>513</v>
      </c>
      <c r="B79">
        <v>13.7</v>
      </c>
    </row>
    <row r="80" spans="1:2" x14ac:dyDescent="0.25">
      <c r="A80" s="2" t="s">
        <v>514</v>
      </c>
      <c r="B80">
        <v>18.2</v>
      </c>
    </row>
    <row r="81" spans="1:2" x14ac:dyDescent="0.25">
      <c r="A81" s="2" t="s">
        <v>515</v>
      </c>
      <c r="B81" t="e">
        <v>#N/A</v>
      </c>
    </row>
    <row r="82" spans="1:2" x14ac:dyDescent="0.25">
      <c r="A82" s="2" t="s">
        <v>516</v>
      </c>
      <c r="B82">
        <v>38.299999999999997</v>
      </c>
    </row>
    <row r="83" spans="1:2" x14ac:dyDescent="0.25">
      <c r="A83" s="2" t="s">
        <v>517</v>
      </c>
      <c r="B83">
        <v>11.7</v>
      </c>
    </row>
    <row r="84" spans="1:2" x14ac:dyDescent="0.25">
      <c r="A84" s="2" t="s">
        <v>518</v>
      </c>
      <c r="B84">
        <v>18</v>
      </c>
    </row>
    <row r="85" spans="1:2" x14ac:dyDescent="0.25">
      <c r="A85" s="2" t="s">
        <v>519</v>
      </c>
      <c r="B85">
        <v>29.9</v>
      </c>
    </row>
    <row r="86" spans="1:2" x14ac:dyDescent="0.25">
      <c r="A86" s="2" t="s">
        <v>520</v>
      </c>
      <c r="B86">
        <v>5.2</v>
      </c>
    </row>
    <row r="87" spans="1:2" x14ac:dyDescent="0.25">
      <c r="A87" s="2" t="s">
        <v>521</v>
      </c>
      <c r="B87">
        <v>11.1</v>
      </c>
    </row>
    <row r="88" spans="1:2" x14ac:dyDescent="0.25">
      <c r="A88" s="2" t="s">
        <v>522</v>
      </c>
      <c r="B88" t="e">
        <v>#N/A</v>
      </c>
    </row>
    <row r="89" spans="1:2" x14ac:dyDescent="0.25">
      <c r="A89" s="2" t="s">
        <v>523</v>
      </c>
      <c r="B89">
        <v>9</v>
      </c>
    </row>
    <row r="90" spans="1:2" x14ac:dyDescent="0.25">
      <c r="A90" s="2" t="s">
        <v>524</v>
      </c>
      <c r="B90">
        <v>28.5</v>
      </c>
    </row>
    <row r="91" spans="1:2" x14ac:dyDescent="0.25">
      <c r="A91" s="2" t="s">
        <v>525</v>
      </c>
      <c r="B91" t="e">
        <v>#N/A</v>
      </c>
    </row>
    <row r="92" spans="1:2" x14ac:dyDescent="0.25">
      <c r="A92" s="2" t="s">
        <v>526</v>
      </c>
      <c r="B92">
        <v>20.7</v>
      </c>
    </row>
    <row r="93" spans="1:2" x14ac:dyDescent="0.25">
      <c r="A93" s="2" t="s">
        <v>527</v>
      </c>
      <c r="B93">
        <v>20.100000000000001</v>
      </c>
    </row>
    <row r="94" spans="1:2" x14ac:dyDescent="0.25">
      <c r="A94" s="2" t="s">
        <v>528</v>
      </c>
      <c r="B94" t="e">
        <v>#N/A</v>
      </c>
    </row>
    <row r="95" spans="1:2" x14ac:dyDescent="0.25">
      <c r="A95" s="2" t="s">
        <v>529</v>
      </c>
      <c r="B95" t="e">
        <v>#N/A</v>
      </c>
    </row>
    <row r="96" spans="1:2" x14ac:dyDescent="0.25">
      <c r="A96" s="2" t="s">
        <v>530</v>
      </c>
      <c r="B96">
        <v>20.8</v>
      </c>
    </row>
    <row r="97" spans="1:2" x14ac:dyDescent="0.25">
      <c r="A97" s="2" t="s">
        <v>531</v>
      </c>
      <c r="B97">
        <v>8.6999999999999993</v>
      </c>
    </row>
    <row r="98" spans="1:2" x14ac:dyDescent="0.25">
      <c r="A98" s="2" t="s">
        <v>532</v>
      </c>
      <c r="B98" t="e">
        <v>#N/A</v>
      </c>
    </row>
    <row r="99" spans="1:2" x14ac:dyDescent="0.25">
      <c r="A99" s="2" t="s">
        <v>533</v>
      </c>
      <c r="B99" t="e">
        <v>#N/A</v>
      </c>
    </row>
    <row r="100" spans="1:2" x14ac:dyDescent="0.25">
      <c r="A100" s="2" t="s">
        <v>534</v>
      </c>
      <c r="B100">
        <v>18.600000000000001</v>
      </c>
    </row>
    <row r="101" spans="1:2" x14ac:dyDescent="0.25">
      <c r="A101" s="2" t="s">
        <v>535</v>
      </c>
      <c r="B101">
        <v>30.8</v>
      </c>
    </row>
    <row r="102" spans="1:2" x14ac:dyDescent="0.25">
      <c r="A102" s="2" t="s">
        <v>536</v>
      </c>
      <c r="B102" t="e">
        <v>#N/A</v>
      </c>
    </row>
    <row r="103" spans="1:2" x14ac:dyDescent="0.25">
      <c r="A103" s="2" t="s">
        <v>537</v>
      </c>
      <c r="B103">
        <v>12.1</v>
      </c>
    </row>
    <row r="104" spans="1:2" x14ac:dyDescent="0.25">
      <c r="A104" s="2" t="s">
        <v>538</v>
      </c>
      <c r="B104">
        <v>32.6</v>
      </c>
    </row>
    <row r="105" spans="1:2" x14ac:dyDescent="0.25">
      <c r="A105" s="2" t="s">
        <v>539</v>
      </c>
      <c r="B105">
        <v>24.5</v>
      </c>
    </row>
    <row r="106" spans="1:2" x14ac:dyDescent="0.25">
      <c r="A106" s="2" t="s">
        <v>540</v>
      </c>
      <c r="B106">
        <v>24.7</v>
      </c>
    </row>
    <row r="107" spans="1:2" x14ac:dyDescent="0.25">
      <c r="A107" s="2" t="s">
        <v>541</v>
      </c>
      <c r="B107" t="e">
        <v>#N/A</v>
      </c>
    </row>
    <row r="108" spans="1:2" x14ac:dyDescent="0.25">
      <c r="A108" s="2" t="s">
        <v>542</v>
      </c>
      <c r="B108" t="e">
        <v>#N/A</v>
      </c>
    </row>
    <row r="109" spans="1:2" x14ac:dyDescent="0.25">
      <c r="A109" s="2" t="s">
        <v>543</v>
      </c>
      <c r="B109">
        <v>34.799999999999997</v>
      </c>
    </row>
    <row r="110" spans="1:2" x14ac:dyDescent="0.25">
      <c r="A110" s="2" t="s">
        <v>544</v>
      </c>
      <c r="B110" t="e">
        <v>#N/A</v>
      </c>
    </row>
    <row r="111" spans="1:2" x14ac:dyDescent="0.25">
      <c r="A111" s="2" t="s">
        <v>545</v>
      </c>
      <c r="B111">
        <v>25.7</v>
      </c>
    </row>
    <row r="112" spans="1:2" x14ac:dyDescent="0.25">
      <c r="A112" s="2" t="s">
        <v>546</v>
      </c>
      <c r="B112" t="e">
        <v>#N/A</v>
      </c>
    </row>
    <row r="113" spans="1:2" x14ac:dyDescent="0.25">
      <c r="A113" s="2" t="s">
        <v>547</v>
      </c>
      <c r="B113">
        <v>24.8</v>
      </c>
    </row>
    <row r="114" spans="1:2" x14ac:dyDescent="0.25">
      <c r="A114" s="2" t="s">
        <v>548</v>
      </c>
      <c r="B114">
        <v>22.6</v>
      </c>
    </row>
    <row r="115" spans="1:2" x14ac:dyDescent="0.25">
      <c r="A115" s="2" t="s">
        <v>549</v>
      </c>
      <c r="B115">
        <v>35.5</v>
      </c>
    </row>
    <row r="116" spans="1:2" x14ac:dyDescent="0.25">
      <c r="A116" s="2" t="s">
        <v>550</v>
      </c>
      <c r="B116" t="e">
        <v>#N/A</v>
      </c>
    </row>
    <row r="117" spans="1:2" x14ac:dyDescent="0.25">
      <c r="A117" s="2" t="s">
        <v>551</v>
      </c>
      <c r="B117">
        <v>2.7</v>
      </c>
    </row>
    <row r="118" spans="1:2" x14ac:dyDescent="0.25">
      <c r="A118" s="2" t="s">
        <v>552</v>
      </c>
      <c r="B118">
        <v>59.2</v>
      </c>
    </row>
    <row r="119" spans="1:2" x14ac:dyDescent="0.25">
      <c r="A119" s="2" t="s">
        <v>553</v>
      </c>
      <c r="B119" t="e">
        <v>#N/A</v>
      </c>
    </row>
    <row r="120" spans="1:2" x14ac:dyDescent="0.25">
      <c r="A120" s="2" t="s">
        <v>554</v>
      </c>
      <c r="B120">
        <v>14.7</v>
      </c>
    </row>
    <row r="121" spans="1:2" x14ac:dyDescent="0.25">
      <c r="A121" s="2" t="s">
        <v>555</v>
      </c>
      <c r="B121">
        <v>12.9</v>
      </c>
    </row>
    <row r="122" spans="1:2" x14ac:dyDescent="0.25">
      <c r="A122" s="2" t="s">
        <v>556</v>
      </c>
      <c r="B122">
        <v>21.2</v>
      </c>
    </row>
    <row r="123" spans="1:2" x14ac:dyDescent="0.25">
      <c r="A123" s="2" t="s">
        <v>557</v>
      </c>
      <c r="B123">
        <v>14.6</v>
      </c>
    </row>
    <row r="124" spans="1:2" x14ac:dyDescent="0.25">
      <c r="A124" s="2" t="s">
        <v>558</v>
      </c>
      <c r="B124" t="e">
        <v>#N/A</v>
      </c>
    </row>
    <row r="125" spans="1:2" x14ac:dyDescent="0.25">
      <c r="A125" s="2" t="s">
        <v>559</v>
      </c>
      <c r="B125">
        <v>30.3</v>
      </c>
    </row>
    <row r="126" spans="1:2" x14ac:dyDescent="0.25">
      <c r="A126" s="2" t="s">
        <v>560</v>
      </c>
      <c r="B126">
        <v>8.1</v>
      </c>
    </row>
    <row r="127" spans="1:2" x14ac:dyDescent="0.25">
      <c r="A127" s="2" t="s">
        <v>561</v>
      </c>
      <c r="B127">
        <v>16.2</v>
      </c>
    </row>
    <row r="128" spans="1:2" x14ac:dyDescent="0.25">
      <c r="A128" s="2" t="s">
        <v>562</v>
      </c>
      <c r="B128">
        <v>51</v>
      </c>
    </row>
    <row r="129" spans="1:2" x14ac:dyDescent="0.25">
      <c r="A129" s="2" t="s">
        <v>563</v>
      </c>
      <c r="B129" t="e">
        <v>#N/A</v>
      </c>
    </row>
    <row r="130" spans="1:2" x14ac:dyDescent="0.25">
      <c r="A130" s="2" t="s">
        <v>564</v>
      </c>
      <c r="B130" t="e">
        <v>#N/A</v>
      </c>
    </row>
    <row r="131" spans="1:2" x14ac:dyDescent="0.25">
      <c r="A131" s="2" t="s">
        <v>565</v>
      </c>
      <c r="B131">
        <v>13.7</v>
      </c>
    </row>
    <row r="132" spans="1:2" x14ac:dyDescent="0.25">
      <c r="A132" s="2" t="s">
        <v>566</v>
      </c>
      <c r="B132">
        <v>32.700000000000003</v>
      </c>
    </row>
    <row r="133" spans="1:2" x14ac:dyDescent="0.25">
      <c r="A133" s="2" t="s">
        <v>567</v>
      </c>
      <c r="B133">
        <v>16.899999999999999</v>
      </c>
    </row>
    <row r="134" spans="1:2" x14ac:dyDescent="0.25">
      <c r="A134" s="2" t="s">
        <v>568</v>
      </c>
      <c r="B134">
        <v>35.1</v>
      </c>
    </row>
    <row r="135" spans="1:2" x14ac:dyDescent="0.25">
      <c r="A135" s="2" t="s">
        <v>569</v>
      </c>
      <c r="B135">
        <v>49.7</v>
      </c>
    </row>
    <row r="136" spans="1:2" x14ac:dyDescent="0.25">
      <c r="A136" s="2" t="s">
        <v>570</v>
      </c>
      <c r="B136">
        <v>41.2</v>
      </c>
    </row>
    <row r="137" spans="1:2" x14ac:dyDescent="0.25">
      <c r="A137" s="2" t="s">
        <v>571</v>
      </c>
      <c r="B137">
        <v>5.2</v>
      </c>
    </row>
    <row r="138" spans="1:2" x14ac:dyDescent="0.25">
      <c r="A138" s="2" t="s">
        <v>572</v>
      </c>
      <c r="B138">
        <v>14.4</v>
      </c>
    </row>
    <row r="139" spans="1:2" x14ac:dyDescent="0.25">
      <c r="A139" s="2" t="s">
        <v>573</v>
      </c>
      <c r="B139">
        <v>29.1</v>
      </c>
    </row>
    <row r="140" spans="1:2" x14ac:dyDescent="0.25">
      <c r="A140" s="2" t="s">
        <v>574</v>
      </c>
      <c r="B140">
        <v>23.2</v>
      </c>
    </row>
    <row r="141" spans="1:2" x14ac:dyDescent="0.25">
      <c r="A141" s="2" t="s">
        <v>575</v>
      </c>
      <c r="B141">
        <v>21.9</v>
      </c>
    </row>
    <row r="142" spans="1:2" x14ac:dyDescent="0.25">
      <c r="A142" s="2" t="s">
        <v>576</v>
      </c>
      <c r="B142">
        <v>31.4</v>
      </c>
    </row>
    <row r="143" spans="1:2" x14ac:dyDescent="0.25">
      <c r="A143" s="2" t="s">
        <v>577</v>
      </c>
      <c r="B143">
        <v>9.1999999999999993</v>
      </c>
    </row>
    <row r="144" spans="1:2" x14ac:dyDescent="0.25">
      <c r="A144" s="2" t="s">
        <v>578</v>
      </c>
      <c r="B144" t="e">
        <v>#N/A</v>
      </c>
    </row>
    <row r="145" spans="1:2" x14ac:dyDescent="0.25">
      <c r="A145" s="2" t="s">
        <v>579</v>
      </c>
      <c r="B145">
        <v>42.9</v>
      </c>
    </row>
    <row r="146" spans="1:2" x14ac:dyDescent="0.25">
      <c r="A146" s="2" t="s">
        <v>580</v>
      </c>
      <c r="B146">
        <v>9.9</v>
      </c>
    </row>
    <row r="147" spans="1:2" x14ac:dyDescent="0.25">
      <c r="A147" s="2" t="s">
        <v>581</v>
      </c>
      <c r="B147" t="e">
        <v>#N/A</v>
      </c>
    </row>
    <row r="148" spans="1:2" x14ac:dyDescent="0.25">
      <c r="A148" s="2" t="s">
        <v>582</v>
      </c>
      <c r="B148">
        <v>29.1</v>
      </c>
    </row>
    <row r="149" spans="1:2" x14ac:dyDescent="0.25">
      <c r="A149" s="2" t="s">
        <v>583</v>
      </c>
      <c r="B149">
        <v>3.4</v>
      </c>
    </row>
    <row r="150" spans="1:2" x14ac:dyDescent="0.25">
      <c r="A150" s="2" t="s">
        <v>584</v>
      </c>
      <c r="B150" t="e">
        <v>#N/A</v>
      </c>
    </row>
    <row r="151" spans="1:2" x14ac:dyDescent="0.25">
      <c r="A151" s="2" t="s">
        <v>585</v>
      </c>
      <c r="B151">
        <v>33.200000000000003</v>
      </c>
    </row>
    <row r="152" spans="1:2" x14ac:dyDescent="0.25">
      <c r="A152" s="2" t="s">
        <v>586</v>
      </c>
      <c r="B152">
        <v>29.2</v>
      </c>
    </row>
    <row r="153" spans="1:2" x14ac:dyDescent="0.25">
      <c r="A153" s="2" t="s">
        <v>587</v>
      </c>
      <c r="B153" t="e">
        <v>#N/A</v>
      </c>
    </row>
    <row r="154" spans="1:2" x14ac:dyDescent="0.25">
      <c r="A154" s="2" t="s">
        <v>588</v>
      </c>
      <c r="B154" t="e">
        <v>#N/A</v>
      </c>
    </row>
    <row r="155" spans="1:2" x14ac:dyDescent="0.25">
      <c r="A155" s="2" t="s">
        <v>589</v>
      </c>
      <c r="B155">
        <v>23.1</v>
      </c>
    </row>
    <row r="156" spans="1:2" x14ac:dyDescent="0.25">
      <c r="A156" s="2" t="s">
        <v>590</v>
      </c>
      <c r="B156">
        <v>12.9</v>
      </c>
    </row>
    <row r="157" spans="1:2" x14ac:dyDescent="0.25">
      <c r="A157" s="2" t="s">
        <v>591</v>
      </c>
      <c r="B157" t="e">
        <v>#N/A</v>
      </c>
    </row>
    <row r="158" spans="1:2" x14ac:dyDescent="0.25">
      <c r="A158" s="2" t="s">
        <v>592</v>
      </c>
      <c r="B158">
        <v>49.7</v>
      </c>
    </row>
    <row r="159" spans="1:2" x14ac:dyDescent="0.25">
      <c r="A159" s="2" t="s">
        <v>593</v>
      </c>
      <c r="B159" t="e">
        <v>#N/A</v>
      </c>
    </row>
    <row r="160" spans="1:2" x14ac:dyDescent="0.25">
      <c r="A160" s="2" t="s">
        <v>594</v>
      </c>
      <c r="B160" t="e">
        <v>#N/A</v>
      </c>
    </row>
    <row r="161" spans="1:2" x14ac:dyDescent="0.25">
      <c r="A161" s="2" t="s">
        <v>595</v>
      </c>
      <c r="B161">
        <v>13.9</v>
      </c>
    </row>
    <row r="162" spans="1:2" x14ac:dyDescent="0.25">
      <c r="A162" s="2" t="s">
        <v>596</v>
      </c>
      <c r="B162" t="e">
        <v>#N/A</v>
      </c>
    </row>
    <row r="163" spans="1:2" x14ac:dyDescent="0.25">
      <c r="A163" s="2" t="s">
        <v>597</v>
      </c>
      <c r="B163">
        <v>27.9</v>
      </c>
    </row>
    <row r="164" spans="1:2" x14ac:dyDescent="0.25">
      <c r="A164" s="2" t="s">
        <v>598</v>
      </c>
      <c r="B164">
        <v>4.2</v>
      </c>
    </row>
    <row r="165" spans="1:2" x14ac:dyDescent="0.25">
      <c r="A165" s="2" t="s">
        <v>599</v>
      </c>
      <c r="B165" t="e">
        <v>#N/A</v>
      </c>
    </row>
    <row r="166" spans="1:2" x14ac:dyDescent="0.25">
      <c r="A166" s="2" t="s">
        <v>600</v>
      </c>
      <c r="B166">
        <v>16.3</v>
      </c>
    </row>
    <row r="167" spans="1:2" x14ac:dyDescent="0.25">
      <c r="A167" s="2" t="s">
        <v>601</v>
      </c>
      <c r="B167" t="e">
        <v>#N/A</v>
      </c>
    </row>
    <row r="168" spans="1:2" x14ac:dyDescent="0.25">
      <c r="A168" s="2" t="s">
        <v>602</v>
      </c>
      <c r="B168" t="e">
        <v>#N/A</v>
      </c>
    </row>
    <row r="169" spans="1:2" x14ac:dyDescent="0.25">
      <c r="A169" s="2" t="s">
        <v>603</v>
      </c>
      <c r="B169">
        <v>8.6</v>
      </c>
    </row>
    <row r="170" spans="1:2" x14ac:dyDescent="0.25">
      <c r="A170" s="2" t="s">
        <v>604</v>
      </c>
      <c r="B170">
        <v>21.2</v>
      </c>
    </row>
    <row r="171" spans="1:2" x14ac:dyDescent="0.25">
      <c r="A171" s="2" t="s">
        <v>605</v>
      </c>
      <c r="B171">
        <v>32.1</v>
      </c>
    </row>
    <row r="172" spans="1:2" x14ac:dyDescent="0.25">
      <c r="A172" s="2" t="s">
        <v>606</v>
      </c>
      <c r="B172">
        <v>30.9</v>
      </c>
    </row>
    <row r="173" spans="1:2" x14ac:dyDescent="0.25">
      <c r="A173" s="2" t="s">
        <v>607</v>
      </c>
      <c r="B173">
        <v>17</v>
      </c>
    </row>
    <row r="174" spans="1:2" x14ac:dyDescent="0.25">
      <c r="A174" s="2" t="s">
        <v>608</v>
      </c>
      <c r="B174" t="e">
        <v>#N/A</v>
      </c>
    </row>
    <row r="175" spans="1:2" x14ac:dyDescent="0.25">
      <c r="A175" s="2" t="s">
        <v>609</v>
      </c>
      <c r="B175">
        <v>28.1</v>
      </c>
    </row>
    <row r="176" spans="1:2" x14ac:dyDescent="0.25">
      <c r="A176" s="2" t="s">
        <v>610</v>
      </c>
      <c r="B176">
        <v>23</v>
      </c>
    </row>
    <row r="177" spans="1:2" x14ac:dyDescent="0.25">
      <c r="A177" s="2" t="s">
        <v>611</v>
      </c>
      <c r="B177" t="e">
        <v>#N/A</v>
      </c>
    </row>
    <row r="178" spans="1:2" x14ac:dyDescent="0.25">
      <c r="A178" s="2" t="s">
        <v>612</v>
      </c>
      <c r="B178">
        <v>2</v>
      </c>
    </row>
    <row r="179" spans="1:2" x14ac:dyDescent="0.25">
      <c r="A179" s="2" t="s">
        <v>613</v>
      </c>
      <c r="B179">
        <v>43.2</v>
      </c>
    </row>
    <row r="180" spans="1:2" x14ac:dyDescent="0.25">
      <c r="A180" s="2" t="s">
        <v>614</v>
      </c>
      <c r="B180">
        <v>21.5</v>
      </c>
    </row>
    <row r="181" spans="1:2" x14ac:dyDescent="0.25">
      <c r="A181" s="2" t="s">
        <v>615</v>
      </c>
      <c r="B181" t="e">
        <v>#N/A</v>
      </c>
    </row>
    <row r="182" spans="1:2" x14ac:dyDescent="0.25">
      <c r="A182" s="2" t="s">
        <v>616</v>
      </c>
      <c r="B182">
        <v>17.7</v>
      </c>
    </row>
    <row r="183" spans="1:2" x14ac:dyDescent="0.25">
      <c r="A183" s="2" t="s">
        <v>617</v>
      </c>
      <c r="B183">
        <v>26.2</v>
      </c>
    </row>
    <row r="184" spans="1:2" x14ac:dyDescent="0.25">
      <c r="A184" s="2" t="s">
        <v>618</v>
      </c>
      <c r="B184" t="e">
        <v>#N/A</v>
      </c>
    </row>
    <row r="185" spans="1:2" x14ac:dyDescent="0.25">
      <c r="A185" s="2" t="s">
        <v>619</v>
      </c>
      <c r="B185">
        <v>44</v>
      </c>
    </row>
    <row r="186" spans="1:2" x14ac:dyDescent="0.25">
      <c r="A186" s="2" t="s">
        <v>620</v>
      </c>
      <c r="B186">
        <v>22.7</v>
      </c>
    </row>
    <row r="187" spans="1:2" x14ac:dyDescent="0.25">
      <c r="A187" s="2" t="s">
        <v>621</v>
      </c>
      <c r="B187" t="e">
        <v>#N/A</v>
      </c>
    </row>
    <row r="188" spans="1:2" x14ac:dyDescent="0.25">
      <c r="A188" s="2" t="s">
        <v>622</v>
      </c>
      <c r="B188">
        <v>36.700000000000003</v>
      </c>
    </row>
    <row r="189" spans="1:2" x14ac:dyDescent="0.25">
      <c r="A189" s="2" t="s">
        <v>623</v>
      </c>
      <c r="B189">
        <v>9</v>
      </c>
    </row>
    <row r="190" spans="1:2" x14ac:dyDescent="0.25">
      <c r="A190" s="2" t="s">
        <v>624</v>
      </c>
      <c r="B190" t="e">
        <v>#N/A</v>
      </c>
    </row>
    <row r="191" spans="1:2" x14ac:dyDescent="0.25">
      <c r="A191" s="2" t="s">
        <v>625</v>
      </c>
      <c r="B191" t="e">
        <v>#N/A</v>
      </c>
    </row>
    <row r="192" spans="1:2" x14ac:dyDescent="0.25">
      <c r="A192" s="2" t="s">
        <v>626</v>
      </c>
      <c r="B192">
        <v>8.6999999999999993</v>
      </c>
    </row>
    <row r="193" spans="1:2" x14ac:dyDescent="0.25">
      <c r="A193" s="2" t="s">
        <v>627</v>
      </c>
      <c r="B193">
        <v>37.4</v>
      </c>
    </row>
    <row r="194" spans="1:2" x14ac:dyDescent="0.25">
      <c r="A194" s="2" t="s">
        <v>628</v>
      </c>
      <c r="B194">
        <v>40.4</v>
      </c>
    </row>
    <row r="195" spans="1:2" x14ac:dyDescent="0.25">
      <c r="A195" s="2" t="s">
        <v>629</v>
      </c>
      <c r="B195" t="e">
        <v>#N/A</v>
      </c>
    </row>
    <row r="196" spans="1:2" x14ac:dyDescent="0.25">
      <c r="A196" s="2" t="s">
        <v>630</v>
      </c>
      <c r="B196" t="e">
        <v>#N/A</v>
      </c>
    </row>
    <row r="197" spans="1:2" x14ac:dyDescent="0.25">
      <c r="A197" s="2" t="s">
        <v>631</v>
      </c>
      <c r="B197">
        <v>4</v>
      </c>
    </row>
    <row r="198" spans="1:2" x14ac:dyDescent="0.25">
      <c r="A198" s="2" t="s">
        <v>632</v>
      </c>
      <c r="B198" t="e">
        <v>#N/A</v>
      </c>
    </row>
    <row r="199" spans="1:2" x14ac:dyDescent="0.25">
      <c r="A199" s="2" t="s">
        <v>633</v>
      </c>
      <c r="B199">
        <v>26.1</v>
      </c>
    </row>
    <row r="200" spans="1:2" x14ac:dyDescent="0.25">
      <c r="A200" s="2" t="s">
        <v>634</v>
      </c>
      <c r="B200">
        <v>26.7</v>
      </c>
    </row>
    <row r="201" spans="1:2" x14ac:dyDescent="0.25">
      <c r="A201" s="2" t="s">
        <v>635</v>
      </c>
      <c r="B201" t="e">
        <v>#N/A</v>
      </c>
    </row>
    <row r="202" spans="1:2" x14ac:dyDescent="0.25">
      <c r="A202" s="2" t="s">
        <v>636</v>
      </c>
      <c r="B202" t="e">
        <v>#N/A</v>
      </c>
    </row>
    <row r="203" spans="1:2" x14ac:dyDescent="0.25">
      <c r="A203" s="2" t="s">
        <v>637</v>
      </c>
      <c r="B203" t="e">
        <v>#N/A</v>
      </c>
    </row>
    <row r="204" spans="1:2" x14ac:dyDescent="0.25">
      <c r="A204" s="2" t="s">
        <v>638</v>
      </c>
      <c r="B204" t="e">
        <v>#N/A</v>
      </c>
    </row>
    <row r="205" spans="1:2" x14ac:dyDescent="0.25">
      <c r="A205" s="2" t="s">
        <v>639</v>
      </c>
      <c r="B205" t="e">
        <v>#N/A</v>
      </c>
    </row>
    <row r="206" spans="1:2" x14ac:dyDescent="0.25">
      <c r="A206" s="2" t="s">
        <v>640</v>
      </c>
      <c r="B206" t="e">
        <v>#N/A</v>
      </c>
    </row>
    <row r="207" spans="1:2" x14ac:dyDescent="0.25">
      <c r="A207" s="2" t="s">
        <v>641</v>
      </c>
      <c r="B207" t="e">
        <v>#N/A</v>
      </c>
    </row>
    <row r="208" spans="1:2" x14ac:dyDescent="0.25">
      <c r="A208" s="2" t="s">
        <v>642</v>
      </c>
      <c r="B208" t="e">
        <v>#N/A</v>
      </c>
    </row>
    <row r="209" spans="1:2" x14ac:dyDescent="0.25">
      <c r="A209" s="2" t="s">
        <v>643</v>
      </c>
      <c r="B209" t="e">
        <v>#N/A</v>
      </c>
    </row>
    <row r="210" spans="1:2" x14ac:dyDescent="0.25">
      <c r="A210" s="2" t="s">
        <v>644</v>
      </c>
      <c r="B210" t="e">
        <v>#N/A</v>
      </c>
    </row>
    <row r="211" spans="1:2" x14ac:dyDescent="0.25">
      <c r="A211" s="2" t="s">
        <v>645</v>
      </c>
      <c r="B211" t="e">
        <v>#N/A</v>
      </c>
    </row>
    <row r="212" spans="1:2" x14ac:dyDescent="0.25">
      <c r="A212" s="2" t="s">
        <v>646</v>
      </c>
      <c r="B212" t="e">
        <v>#N/A</v>
      </c>
    </row>
    <row r="213" spans="1:2" x14ac:dyDescent="0.25">
      <c r="A213" s="2" t="s">
        <v>647</v>
      </c>
      <c r="B213" t="e">
        <v>#N/A</v>
      </c>
    </row>
    <row r="214" spans="1:2" x14ac:dyDescent="0.25">
      <c r="A214" s="2" t="s">
        <v>648</v>
      </c>
      <c r="B214" t="e">
        <v>#N/A</v>
      </c>
    </row>
    <row r="215" spans="1:2" x14ac:dyDescent="0.25">
      <c r="A215" s="2" t="s">
        <v>649</v>
      </c>
      <c r="B215" t="e">
        <v>#N/A</v>
      </c>
    </row>
    <row r="216" spans="1:2" x14ac:dyDescent="0.25">
      <c r="A216" s="2" t="s">
        <v>650</v>
      </c>
      <c r="B216" t="e">
        <v>#N/A</v>
      </c>
    </row>
    <row r="217" spans="1:2" x14ac:dyDescent="0.25">
      <c r="A217" s="2" t="s">
        <v>651</v>
      </c>
      <c r="B217" t="e">
        <v>#N/A</v>
      </c>
    </row>
    <row r="218" spans="1:2" x14ac:dyDescent="0.25">
      <c r="A218" s="2" t="s">
        <v>652</v>
      </c>
      <c r="B218" t="e">
        <v>#N/A</v>
      </c>
    </row>
    <row r="219" spans="1:2" x14ac:dyDescent="0.25">
      <c r="A219" s="2" t="s">
        <v>653</v>
      </c>
      <c r="B219" t="e">
        <v>#N/A</v>
      </c>
    </row>
    <row r="220" spans="1:2" x14ac:dyDescent="0.25">
      <c r="A220" s="2" t="s">
        <v>654</v>
      </c>
      <c r="B220" t="e">
        <v>#N/A</v>
      </c>
    </row>
    <row r="221" spans="1:2" x14ac:dyDescent="0.25">
      <c r="A221" s="2" t="s">
        <v>655</v>
      </c>
      <c r="B221" t="e">
        <v>#N/A</v>
      </c>
    </row>
    <row r="222" spans="1:2" x14ac:dyDescent="0.25">
      <c r="A222" s="2" t="s">
        <v>656</v>
      </c>
      <c r="B222" t="e">
        <v>#N/A</v>
      </c>
    </row>
    <row r="223" spans="1:2" x14ac:dyDescent="0.25">
      <c r="A223" s="2" t="s">
        <v>657</v>
      </c>
      <c r="B223">
        <v>27.7</v>
      </c>
    </row>
    <row r="224" spans="1:2" x14ac:dyDescent="0.25">
      <c r="A224" s="2" t="s">
        <v>658</v>
      </c>
      <c r="B224">
        <v>24.3</v>
      </c>
    </row>
    <row r="225" spans="1:2" x14ac:dyDescent="0.25">
      <c r="A225" s="2" t="s">
        <v>659</v>
      </c>
      <c r="B225">
        <v>23.9</v>
      </c>
    </row>
    <row r="226" spans="1:2" x14ac:dyDescent="0.25">
      <c r="A226" s="2" t="s">
        <v>660</v>
      </c>
      <c r="B226">
        <v>23.2</v>
      </c>
    </row>
    <row r="227" spans="1:2" x14ac:dyDescent="0.25">
      <c r="A227" s="2" t="s">
        <v>661</v>
      </c>
      <c r="B227">
        <v>23.1</v>
      </c>
    </row>
    <row r="228" spans="1:2" x14ac:dyDescent="0.25">
      <c r="A228" s="2" t="s">
        <v>662</v>
      </c>
      <c r="B228">
        <v>31.7</v>
      </c>
    </row>
    <row r="229" spans="1:2" x14ac:dyDescent="0.25">
      <c r="A229" s="2" t="s">
        <v>663</v>
      </c>
      <c r="B229">
        <v>50.3</v>
      </c>
    </row>
    <row r="230" spans="1:2" x14ac:dyDescent="0.25">
      <c r="A230" s="2" t="s">
        <v>664</v>
      </c>
      <c r="B230">
        <v>34</v>
      </c>
    </row>
    <row r="231" spans="1:2" x14ac:dyDescent="0.25">
      <c r="A231" s="2" t="s">
        <v>665</v>
      </c>
      <c r="B231">
        <v>29.2</v>
      </c>
    </row>
    <row r="232" spans="1:2" x14ac:dyDescent="0.25">
      <c r="A232" s="2" t="s">
        <v>666</v>
      </c>
      <c r="B232">
        <v>36.4</v>
      </c>
    </row>
    <row r="233" spans="1:2" x14ac:dyDescent="0.25">
      <c r="A233" s="2" t="s">
        <v>667</v>
      </c>
      <c r="B233">
        <v>32</v>
      </c>
    </row>
    <row r="234" spans="1:2" x14ac:dyDescent="0.25">
      <c r="A234" s="2" t="s">
        <v>668</v>
      </c>
      <c r="B234">
        <v>20.5</v>
      </c>
    </row>
    <row r="235" spans="1:2" x14ac:dyDescent="0.25">
      <c r="A235" s="2" t="s">
        <v>669</v>
      </c>
      <c r="B235">
        <v>18.8</v>
      </c>
    </row>
    <row r="236" spans="1:2" x14ac:dyDescent="0.25">
      <c r="A236" s="2" t="s">
        <v>670</v>
      </c>
      <c r="B236">
        <v>18.600000000000001</v>
      </c>
    </row>
    <row r="237" spans="1:2" x14ac:dyDescent="0.25">
      <c r="A237" s="2" t="s">
        <v>671</v>
      </c>
      <c r="B237">
        <v>40.9</v>
      </c>
    </row>
    <row r="238" spans="1:2" x14ac:dyDescent="0.25">
      <c r="A238" s="2" t="s">
        <v>672</v>
      </c>
      <c r="B238">
        <v>30.6</v>
      </c>
    </row>
    <row r="239" spans="1:2" x14ac:dyDescent="0.25">
      <c r="A239" s="2" t="s">
        <v>673</v>
      </c>
      <c r="B239">
        <v>18.3</v>
      </c>
    </row>
    <row r="240" spans="1:2" x14ac:dyDescent="0.25">
      <c r="A240" s="2" t="s">
        <v>674</v>
      </c>
      <c r="B240">
        <v>18</v>
      </c>
    </row>
    <row r="241" spans="1:2" x14ac:dyDescent="0.25">
      <c r="A241" s="2" t="s">
        <v>675</v>
      </c>
      <c r="B241">
        <v>18.8</v>
      </c>
    </row>
    <row r="242" spans="1:2" x14ac:dyDescent="0.25">
      <c r="A242" s="2" t="s">
        <v>676</v>
      </c>
      <c r="B242">
        <v>16.7</v>
      </c>
    </row>
    <row r="243" spans="1:2" x14ac:dyDescent="0.25">
      <c r="A243" s="2" t="s">
        <v>677</v>
      </c>
      <c r="B243">
        <v>31.7</v>
      </c>
    </row>
    <row r="244" spans="1:2" x14ac:dyDescent="0.25">
      <c r="A244" s="2" t="s">
        <v>678</v>
      </c>
      <c r="B244">
        <v>17</v>
      </c>
    </row>
    <row r="245" spans="1:2" x14ac:dyDescent="0.25">
      <c r="A245" s="2" t="s">
        <v>679</v>
      </c>
      <c r="B245">
        <v>16.5</v>
      </c>
    </row>
    <row r="246" spans="1:2" x14ac:dyDescent="0.25">
      <c r="A246" s="2" t="s">
        <v>680</v>
      </c>
      <c r="B246">
        <v>15.1</v>
      </c>
    </row>
    <row r="247" spans="1:2" x14ac:dyDescent="0.25">
      <c r="A247" s="2" t="s">
        <v>681</v>
      </c>
      <c r="B247">
        <v>43</v>
      </c>
    </row>
    <row r="248" spans="1:2" x14ac:dyDescent="0.25">
      <c r="A248" s="2" t="s">
        <v>682</v>
      </c>
      <c r="B248">
        <v>22.5</v>
      </c>
    </row>
    <row r="249" spans="1:2" x14ac:dyDescent="0.25">
      <c r="A249" s="2" t="s">
        <v>683</v>
      </c>
      <c r="B249">
        <v>14.2</v>
      </c>
    </row>
    <row r="250" spans="1:2" x14ac:dyDescent="0.25">
      <c r="A250" s="2" t="s">
        <v>684</v>
      </c>
      <c r="B250">
        <v>15.4</v>
      </c>
    </row>
    <row r="251" spans="1:2" x14ac:dyDescent="0.25">
      <c r="A251" s="2" t="s">
        <v>685</v>
      </c>
      <c r="B251">
        <v>13.6</v>
      </c>
    </row>
    <row r="252" spans="1:2" x14ac:dyDescent="0.25">
      <c r="A252" s="2" t="s">
        <v>686</v>
      </c>
      <c r="B252">
        <v>27</v>
      </c>
    </row>
    <row r="253" spans="1:2" x14ac:dyDescent="0.25">
      <c r="A253" s="2" t="s">
        <v>687</v>
      </c>
      <c r="B253">
        <v>13.6</v>
      </c>
    </row>
    <row r="254" spans="1:2" x14ac:dyDescent="0.25">
      <c r="A254" s="2" t="s">
        <v>688</v>
      </c>
      <c r="B254">
        <v>13</v>
      </c>
    </row>
    <row r="255" spans="1:2" x14ac:dyDescent="0.25">
      <c r="A255" s="2" t="s">
        <v>689</v>
      </c>
      <c r="B255">
        <v>12.4</v>
      </c>
    </row>
    <row r="256" spans="1:2" x14ac:dyDescent="0.25">
      <c r="A256" s="2" t="s">
        <v>690</v>
      </c>
      <c r="B256">
        <v>12.4</v>
      </c>
    </row>
    <row r="257" spans="1:2" x14ac:dyDescent="0.25">
      <c r="A257" s="2" t="s">
        <v>691</v>
      </c>
      <c r="B257">
        <v>14</v>
      </c>
    </row>
    <row r="258" spans="1:2" x14ac:dyDescent="0.25">
      <c r="A258" s="2" t="s">
        <v>692</v>
      </c>
      <c r="B258">
        <v>26.4</v>
      </c>
    </row>
    <row r="259" spans="1:2" x14ac:dyDescent="0.25">
      <c r="A259" s="2" t="s">
        <v>693</v>
      </c>
      <c r="B259">
        <v>10.8</v>
      </c>
    </row>
    <row r="260" spans="1:2" x14ac:dyDescent="0.25">
      <c r="A260" s="2" t="s">
        <v>694</v>
      </c>
      <c r="B260">
        <v>10.8</v>
      </c>
    </row>
    <row r="261" spans="1:2" x14ac:dyDescent="0.25">
      <c r="A261" s="2" t="s">
        <v>695</v>
      </c>
      <c r="B261">
        <v>23.5</v>
      </c>
    </row>
    <row r="262" spans="1:2" x14ac:dyDescent="0.25">
      <c r="A262" s="2" t="s">
        <v>696</v>
      </c>
      <c r="B262">
        <v>10.4</v>
      </c>
    </row>
    <row r="263" spans="1:2" x14ac:dyDescent="0.25">
      <c r="A263" s="2" t="s">
        <v>697</v>
      </c>
      <c r="B263">
        <v>10.199999999999999</v>
      </c>
    </row>
    <row r="264" spans="1:2" x14ac:dyDescent="0.25">
      <c r="A264" s="2" t="s">
        <v>698</v>
      </c>
      <c r="B264">
        <v>9.8000000000000007</v>
      </c>
    </row>
    <row r="265" spans="1:2" x14ac:dyDescent="0.25">
      <c r="A265" s="2" t="s">
        <v>699</v>
      </c>
      <c r="B265">
        <v>9</v>
      </c>
    </row>
    <row r="266" spans="1:2" x14ac:dyDescent="0.25">
      <c r="A266" s="2" t="s">
        <v>700</v>
      </c>
      <c r="B266">
        <v>8.8000000000000007</v>
      </c>
    </row>
    <row r="267" spans="1:2" x14ac:dyDescent="0.25">
      <c r="A267" s="2" t="s">
        <v>701</v>
      </c>
      <c r="B267">
        <v>8.4</v>
      </c>
    </row>
    <row r="268" spans="1:2" x14ac:dyDescent="0.25">
      <c r="A268" s="2" t="s">
        <v>702</v>
      </c>
      <c r="B268">
        <v>9.8000000000000007</v>
      </c>
    </row>
    <row r="269" spans="1:2" x14ac:dyDescent="0.25">
      <c r="A269" s="2" t="s">
        <v>703</v>
      </c>
      <c r="B269">
        <v>8.1999999999999993</v>
      </c>
    </row>
    <row r="270" spans="1:2" x14ac:dyDescent="0.25">
      <c r="A270" s="2" t="s">
        <v>704</v>
      </c>
      <c r="B270">
        <v>6.8</v>
      </c>
    </row>
    <row r="271" spans="1:2" x14ac:dyDescent="0.25">
      <c r="A271" s="2" t="s">
        <v>705</v>
      </c>
      <c r="B271">
        <v>6.8</v>
      </c>
    </row>
    <row r="272" spans="1:2" x14ac:dyDescent="0.25">
      <c r="A272" s="2" t="s">
        <v>706</v>
      </c>
      <c r="B272">
        <v>6.2</v>
      </c>
    </row>
    <row r="273" spans="1:2" x14ac:dyDescent="0.25">
      <c r="A273" s="2" t="s">
        <v>707</v>
      </c>
      <c r="B273">
        <v>6</v>
      </c>
    </row>
    <row r="274" spans="1:2" x14ac:dyDescent="0.25">
      <c r="A274" s="2" t="s">
        <v>708</v>
      </c>
      <c r="B274">
        <v>6</v>
      </c>
    </row>
    <row r="275" spans="1:2" x14ac:dyDescent="0.25">
      <c r="A275" s="2" t="s">
        <v>709</v>
      </c>
      <c r="B275">
        <v>6</v>
      </c>
    </row>
    <row r="276" spans="1:2" x14ac:dyDescent="0.25">
      <c r="A276" s="2" t="s">
        <v>710</v>
      </c>
      <c r="B276">
        <v>5.4</v>
      </c>
    </row>
    <row r="277" spans="1:2" x14ac:dyDescent="0.25">
      <c r="A277" s="2" t="s">
        <v>711</v>
      </c>
      <c r="B277">
        <v>6.4</v>
      </c>
    </row>
    <row r="278" spans="1:2" x14ac:dyDescent="0.25">
      <c r="A278" s="2" t="s">
        <v>712</v>
      </c>
      <c r="B278">
        <v>5.2</v>
      </c>
    </row>
    <row r="279" spans="1:2" x14ac:dyDescent="0.25">
      <c r="A279" s="2" t="s">
        <v>713</v>
      </c>
      <c r="B279">
        <v>5.0999999999999996</v>
      </c>
    </row>
    <row r="280" spans="1:2" x14ac:dyDescent="0.25">
      <c r="A280" s="2" t="s">
        <v>714</v>
      </c>
      <c r="B280">
        <v>4.7</v>
      </c>
    </row>
    <row r="281" spans="1:2" x14ac:dyDescent="0.25">
      <c r="A281" s="2" t="s">
        <v>715</v>
      </c>
      <c r="B281">
        <v>4.7</v>
      </c>
    </row>
    <row r="282" spans="1:2" x14ac:dyDescent="0.25">
      <c r="A282" s="2" t="s">
        <v>716</v>
      </c>
      <c r="B282">
        <v>4.5</v>
      </c>
    </row>
    <row r="283" spans="1:2" x14ac:dyDescent="0.25">
      <c r="A283" s="2" t="s">
        <v>717</v>
      </c>
      <c r="B283">
        <v>2.2000000000000002</v>
      </c>
    </row>
    <row r="284" spans="1:2" x14ac:dyDescent="0.25">
      <c r="A284" s="2" t="s">
        <v>718</v>
      </c>
      <c r="B284">
        <v>2</v>
      </c>
    </row>
    <row r="285" spans="1:2" x14ac:dyDescent="0.25">
      <c r="A285" s="2" t="s">
        <v>719</v>
      </c>
      <c r="B285" t="e">
        <v>#N/A</v>
      </c>
    </row>
    <row r="286" spans="1:2" x14ac:dyDescent="0.25">
      <c r="A286" s="2" t="s">
        <v>720</v>
      </c>
      <c r="B286" t="e">
        <v>#N/A</v>
      </c>
    </row>
    <row r="287" spans="1:2" x14ac:dyDescent="0.25">
      <c r="A287" s="2" t="s">
        <v>721</v>
      </c>
      <c r="B287" t="e">
        <v>#N/A</v>
      </c>
    </row>
    <row r="288" spans="1:2" x14ac:dyDescent="0.25">
      <c r="A288" s="2" t="s">
        <v>722</v>
      </c>
      <c r="B288" t="e">
        <v>#N/A</v>
      </c>
    </row>
    <row r="289" spans="1:2" x14ac:dyDescent="0.25">
      <c r="A289" s="2" t="s">
        <v>723</v>
      </c>
      <c r="B289" t="e">
        <v>#N/A</v>
      </c>
    </row>
    <row r="290" spans="1:2" x14ac:dyDescent="0.25">
      <c r="A290" s="2" t="s">
        <v>724</v>
      </c>
      <c r="B290" t="e">
        <v>#N/A</v>
      </c>
    </row>
    <row r="291" spans="1:2" x14ac:dyDescent="0.25">
      <c r="A291" s="2" t="s">
        <v>725</v>
      </c>
      <c r="B291" t="e">
        <v>#N/A</v>
      </c>
    </row>
    <row r="292" spans="1:2" x14ac:dyDescent="0.25">
      <c r="A292" s="2" t="s">
        <v>726</v>
      </c>
      <c r="B292" t="e">
        <v>#N/A</v>
      </c>
    </row>
    <row r="293" spans="1:2" x14ac:dyDescent="0.25">
      <c r="A293" s="2" t="s">
        <v>727</v>
      </c>
      <c r="B293" t="e">
        <v>#N/A</v>
      </c>
    </row>
    <row r="294" spans="1:2" x14ac:dyDescent="0.25">
      <c r="A294" s="2" t="s">
        <v>728</v>
      </c>
      <c r="B294" t="e">
        <v>#N/A</v>
      </c>
    </row>
    <row r="295" spans="1:2" x14ac:dyDescent="0.25">
      <c r="A295" s="2" t="s">
        <v>729</v>
      </c>
      <c r="B295" t="e">
        <v>#N/A</v>
      </c>
    </row>
    <row r="296" spans="1:2" x14ac:dyDescent="0.25">
      <c r="A296" s="2" t="s">
        <v>730</v>
      </c>
      <c r="B296" t="e">
        <v>#N/A</v>
      </c>
    </row>
    <row r="297" spans="1:2" x14ac:dyDescent="0.25">
      <c r="A297" s="2" t="s">
        <v>731</v>
      </c>
      <c r="B297" t="e">
        <v>#N/A</v>
      </c>
    </row>
    <row r="298" spans="1:2" x14ac:dyDescent="0.25">
      <c r="A298" s="2" t="s">
        <v>732</v>
      </c>
      <c r="B298" t="e">
        <v>#N/A</v>
      </c>
    </row>
    <row r="299" spans="1:2" x14ac:dyDescent="0.25">
      <c r="A299" s="2" t="s">
        <v>733</v>
      </c>
      <c r="B299" t="e">
        <v>#N/A</v>
      </c>
    </row>
    <row r="300" spans="1:2" x14ac:dyDescent="0.25">
      <c r="A300" s="2" t="s">
        <v>734</v>
      </c>
      <c r="B300" t="e">
        <v>#N/A</v>
      </c>
    </row>
    <row r="301" spans="1:2" x14ac:dyDescent="0.25">
      <c r="A301" s="2" t="s">
        <v>735</v>
      </c>
      <c r="B301" t="e">
        <v>#N/A</v>
      </c>
    </row>
    <row r="302" spans="1:2" x14ac:dyDescent="0.25">
      <c r="A302" s="2" t="s">
        <v>736</v>
      </c>
      <c r="B302" t="e">
        <v>#N/A</v>
      </c>
    </row>
    <row r="303" spans="1:2" x14ac:dyDescent="0.25">
      <c r="A303" s="2" t="s">
        <v>737</v>
      </c>
      <c r="B303" t="e">
        <v>#N/A</v>
      </c>
    </row>
    <row r="304" spans="1:2" x14ac:dyDescent="0.25">
      <c r="A304" s="2" t="s">
        <v>738</v>
      </c>
      <c r="B304" t="e">
        <v>#N/A</v>
      </c>
    </row>
    <row r="305" spans="1:2" x14ac:dyDescent="0.25">
      <c r="A305" s="2" t="s">
        <v>739</v>
      </c>
      <c r="B305" t="e">
        <v>#N/A</v>
      </c>
    </row>
    <row r="306" spans="1:2" x14ac:dyDescent="0.25">
      <c r="A306" s="2" t="s">
        <v>740</v>
      </c>
      <c r="B306" t="e">
        <v>#N/A</v>
      </c>
    </row>
    <row r="307" spans="1:2" x14ac:dyDescent="0.25">
      <c r="A307" s="2" t="s">
        <v>741</v>
      </c>
      <c r="B307" t="e">
        <v>#N/A</v>
      </c>
    </row>
    <row r="308" spans="1:2" x14ac:dyDescent="0.25">
      <c r="A308" s="2" t="s">
        <v>742</v>
      </c>
      <c r="B308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DraftKings Basketball  Solver</vt:lpstr>
      <vt:lpstr>RawData</vt:lpstr>
      <vt:lpstr>Sheet1</vt:lpstr>
      <vt:lpstr>Check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2017-10-23T01:56:30Z</dcterms:modified>
</cp:coreProperties>
</file>