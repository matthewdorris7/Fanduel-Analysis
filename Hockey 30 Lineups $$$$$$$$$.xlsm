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9210" windowHeight="4125" activeTab="3"/>
  </bookViews>
  <sheets>
    <sheet name="Fanduel Basketball Solver" sheetId="2" r:id="rId1"/>
    <sheet name="Fanduel" sheetId="10" r:id="rId2"/>
    <sheet name="Optimizer" sheetId="4" r:id="rId3"/>
    <sheet name="Sheet1" sheetId="11" r:id="rId4"/>
  </sheets>
  <definedNames>
    <definedName name="solver_adj" localSheetId="0" hidden="1">'Fanduel Basketball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0" localSheetId="0" hidden="1">'Fanduel Basketball Solver'!$P$4</definedName>
    <definedName name="solver_lhs1" localSheetId="0" hidden="1">'Fanduel Basketball Solver'!$C$2:$C$150</definedName>
    <definedName name="solver_lhs10" localSheetId="0" hidden="1">'Fanduel Basketball Solver'!$P$4</definedName>
    <definedName name="solver_lhs11" localSheetId="0" hidden="1">'Fanduel Basketball Solver'!$P$7</definedName>
    <definedName name="solver_lhs12" localSheetId="0" hidden="1">'Fanduel Basketball Solver'!$P$6</definedName>
    <definedName name="solver_lhs13" localSheetId="0" hidden="1">'Fanduel Basketball Solver'!$P$7</definedName>
    <definedName name="solver_lhs14" localSheetId="0" hidden="1">'Fanduel Basketball Solver'!#REF!</definedName>
    <definedName name="solver_lhs15" localSheetId="0" hidden="1">'Fanduel Basketball Solver'!$P$7</definedName>
    <definedName name="solver_lhs16" localSheetId="0" hidden="1">'Fanduel Basketball Solver'!$P$5</definedName>
    <definedName name="solver_lhs17" localSheetId="0" hidden="1">'Fanduel Basketball Solver'!#REF!</definedName>
    <definedName name="solver_lhs2" localSheetId="0" hidden="1">'Fanduel Basketball Solver'!$O$11</definedName>
    <definedName name="solver_lhs3" localSheetId="0" hidden="1">'Fanduel Basketball Solver'!$O$14</definedName>
    <definedName name="solver_lhs4" localSheetId="0" hidden="1">'Fanduel Basketball Solver'!$O$6</definedName>
    <definedName name="solver_lhs5" localSheetId="0" hidden="1">'Fanduel Basketball Solver'!$O$8</definedName>
    <definedName name="solver_lhs6" localSheetId="0" hidden="1">'Fanduel Basketball Solver'!$P$2</definedName>
    <definedName name="solver_lhs7" localSheetId="0" hidden="1">'Fanduel Basketball Solver'!$P$3</definedName>
    <definedName name="solver_lhs8" localSheetId="0" hidden="1">'Fanduel Basketball Solver'!$P$4</definedName>
    <definedName name="solver_lhs9" localSheetId="0" hidden="1">'Fanduel Basketball Solver'!$P$5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9</definedName>
    <definedName name="solver_num" localSheetId="2" hidden="1">0</definedName>
    <definedName name="solver_nwt" localSheetId="0" hidden="1">1</definedName>
    <definedName name="solver_opt" localSheetId="0" hidden="1">'Fanduel Basketball Solver'!$O$11</definedName>
    <definedName name="solver_opt" localSheetId="2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1</definedName>
    <definedName name="solver_rel3" localSheetId="0" hidden="1">2</definedName>
    <definedName name="solver_rel4" localSheetId="0" hidden="1">2</definedName>
    <definedName name="solver_rel5" localSheetId="0" hidden="1">1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0" localSheetId="0" hidden="1">'Fanduel Basketball Solver'!$O$4</definedName>
    <definedName name="solver_rhs1" localSheetId="0" hidden="1">binary</definedName>
    <definedName name="solver_rhs10" localSheetId="0" hidden="1">'Fanduel Basketball Solver'!$O$4</definedName>
    <definedName name="solver_rhs11" localSheetId="0" hidden="1">'Fanduel Basketball Solver'!$O$7</definedName>
    <definedName name="solver_rhs12" localSheetId="0" hidden="1">'Fanduel Basketball Solver'!$O$6</definedName>
    <definedName name="solver_rhs13" localSheetId="0" hidden="1">'Fanduel Basketball Solver'!#REF!</definedName>
    <definedName name="solver_rhs14" localSheetId="0" hidden="1">'Fanduel Basketball Solver'!#REF!</definedName>
    <definedName name="solver_rhs15" localSheetId="0" hidden="1">'Fanduel Basketball Solver'!#REF!</definedName>
    <definedName name="solver_rhs16" localSheetId="0" hidden="1">'Fanduel Basketball Solver'!$O$5</definedName>
    <definedName name="solver_rhs17" localSheetId="0" hidden="1">'Fanduel Basketball Solver'!#REF!</definedName>
    <definedName name="solver_rhs2" localSheetId="0" hidden="1">'Fanduel Basketball Solver'!$O$12</definedName>
    <definedName name="solver_rhs3" localSheetId="0" hidden="1">'Fanduel Basketball Solver'!$O$13</definedName>
    <definedName name="solver_rhs4" localSheetId="0" hidden="1">'Fanduel Basketball Solver'!$P$6</definedName>
    <definedName name="solver_rhs5" localSheetId="0" hidden="1">'Fanduel Basketball Solver'!$O$9</definedName>
    <definedName name="solver_rhs6" localSheetId="0" hidden="1">'Fanduel Basketball Solver'!$O$2</definedName>
    <definedName name="solver_rhs7" localSheetId="0" hidden="1">'Fanduel Basketball Solver'!$O$3</definedName>
    <definedName name="solver_rhs8" localSheetId="0" hidden="1">'Fanduel Basketball Solver'!$O$4</definedName>
    <definedName name="solver_rhs9" localSheetId="0" hidden="1">'Fanduel Basketball Solver'!$O$5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1027"/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2" i="2"/>
  <c r="A102" i="2"/>
  <c r="A103" i="2"/>
  <c r="A104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50" i="2"/>
  <c r="D102" i="2"/>
  <c r="H102" i="2" s="1"/>
  <c r="E102" i="2"/>
  <c r="G102" i="2"/>
  <c r="D51" i="2"/>
  <c r="E51" i="2"/>
  <c r="G51" i="2"/>
  <c r="D52" i="2"/>
  <c r="E52" i="2"/>
  <c r="G52" i="2"/>
  <c r="D53" i="2"/>
  <c r="E53" i="2"/>
  <c r="G53" i="2"/>
  <c r="D54" i="2"/>
  <c r="E54" i="2"/>
  <c r="G54" i="2"/>
  <c r="D55" i="2"/>
  <c r="E55" i="2"/>
  <c r="G55" i="2"/>
  <c r="D56" i="2"/>
  <c r="E56" i="2"/>
  <c r="G56" i="2"/>
  <c r="D57" i="2"/>
  <c r="E57" i="2"/>
  <c r="G57" i="2"/>
  <c r="D58" i="2"/>
  <c r="E58" i="2"/>
  <c r="G58" i="2"/>
  <c r="D59" i="2"/>
  <c r="E59" i="2"/>
  <c r="G59" i="2"/>
  <c r="D60" i="2"/>
  <c r="E60" i="2"/>
  <c r="G60" i="2"/>
  <c r="D61" i="2"/>
  <c r="E61" i="2"/>
  <c r="G61" i="2"/>
  <c r="D62" i="2"/>
  <c r="E62" i="2"/>
  <c r="G62" i="2"/>
  <c r="D63" i="2"/>
  <c r="E63" i="2"/>
  <c r="G63" i="2"/>
  <c r="D64" i="2"/>
  <c r="E64" i="2"/>
  <c r="G64" i="2"/>
  <c r="D65" i="2"/>
  <c r="E65" i="2"/>
  <c r="G65" i="2"/>
  <c r="D66" i="2"/>
  <c r="E66" i="2"/>
  <c r="G66" i="2"/>
  <c r="D67" i="2"/>
  <c r="E67" i="2"/>
  <c r="G67" i="2"/>
  <c r="D68" i="2"/>
  <c r="E68" i="2"/>
  <c r="G68" i="2"/>
  <c r="D69" i="2"/>
  <c r="E69" i="2"/>
  <c r="G69" i="2"/>
  <c r="D70" i="2"/>
  <c r="E70" i="2"/>
  <c r="G70" i="2"/>
  <c r="D71" i="2"/>
  <c r="E71" i="2"/>
  <c r="G71" i="2"/>
  <c r="D72" i="2"/>
  <c r="E72" i="2"/>
  <c r="G72" i="2"/>
  <c r="D73" i="2"/>
  <c r="E73" i="2"/>
  <c r="G73" i="2"/>
  <c r="D74" i="2"/>
  <c r="E74" i="2"/>
  <c r="G74" i="2"/>
  <c r="D75" i="2"/>
  <c r="E75" i="2"/>
  <c r="G75" i="2"/>
  <c r="D76" i="2"/>
  <c r="E76" i="2"/>
  <c r="G76" i="2"/>
  <c r="D77" i="2"/>
  <c r="E77" i="2"/>
  <c r="G77" i="2"/>
  <c r="D78" i="2"/>
  <c r="E78" i="2"/>
  <c r="G78" i="2"/>
  <c r="D79" i="2"/>
  <c r="E79" i="2"/>
  <c r="G79" i="2"/>
  <c r="D80" i="2"/>
  <c r="E80" i="2"/>
  <c r="G80" i="2"/>
  <c r="D81" i="2"/>
  <c r="E81" i="2"/>
  <c r="G81" i="2"/>
  <c r="D82" i="2"/>
  <c r="E82" i="2"/>
  <c r="G82" i="2"/>
  <c r="D83" i="2"/>
  <c r="E83" i="2"/>
  <c r="G83" i="2"/>
  <c r="D84" i="2"/>
  <c r="E84" i="2"/>
  <c r="G84" i="2"/>
  <c r="D85" i="2"/>
  <c r="E85" i="2"/>
  <c r="G85" i="2"/>
  <c r="D86" i="2"/>
  <c r="E86" i="2"/>
  <c r="G86" i="2"/>
  <c r="D87" i="2"/>
  <c r="E87" i="2"/>
  <c r="G87" i="2"/>
  <c r="D88" i="2"/>
  <c r="E88" i="2"/>
  <c r="G88" i="2"/>
  <c r="D89" i="2"/>
  <c r="E89" i="2"/>
  <c r="G89" i="2"/>
  <c r="D90" i="2"/>
  <c r="E90" i="2"/>
  <c r="G90" i="2"/>
  <c r="D91" i="2"/>
  <c r="E91" i="2"/>
  <c r="G91" i="2"/>
  <c r="D92" i="2"/>
  <c r="E92" i="2"/>
  <c r="G92" i="2"/>
  <c r="D93" i="2"/>
  <c r="E93" i="2"/>
  <c r="G93" i="2"/>
  <c r="D94" i="2"/>
  <c r="E94" i="2"/>
  <c r="G94" i="2"/>
  <c r="D95" i="2"/>
  <c r="E95" i="2"/>
  <c r="G95" i="2"/>
  <c r="D96" i="2"/>
  <c r="E96" i="2"/>
  <c r="G96" i="2"/>
  <c r="D97" i="2"/>
  <c r="E97" i="2"/>
  <c r="G97" i="2"/>
  <c r="D98" i="2"/>
  <c r="E98" i="2"/>
  <c r="G98" i="2"/>
  <c r="D99" i="2"/>
  <c r="E99" i="2"/>
  <c r="G99" i="2"/>
  <c r="D100" i="2"/>
  <c r="E100" i="2"/>
  <c r="G100" i="2"/>
  <c r="D101" i="2"/>
  <c r="E101" i="2"/>
  <c r="G101" i="2"/>
  <c r="D103" i="2"/>
  <c r="K103" i="2" s="1"/>
  <c r="E103" i="2"/>
  <c r="G103" i="2"/>
  <c r="D104" i="2"/>
  <c r="J104" i="2" s="1"/>
  <c r="E104" i="2"/>
  <c r="G104" i="2"/>
  <c r="D105" i="2"/>
  <c r="I105" i="2" s="1"/>
  <c r="E105" i="2"/>
  <c r="G105" i="2"/>
  <c r="D106" i="2"/>
  <c r="H106" i="2" s="1"/>
  <c r="E106" i="2"/>
  <c r="G106" i="2"/>
  <c r="D107" i="2"/>
  <c r="K107" i="2" s="1"/>
  <c r="E107" i="2"/>
  <c r="G107" i="2"/>
  <c r="D108" i="2"/>
  <c r="J108" i="2" s="1"/>
  <c r="E108" i="2"/>
  <c r="G108" i="2"/>
  <c r="D109" i="2"/>
  <c r="I109" i="2" s="1"/>
  <c r="E109" i="2"/>
  <c r="G109" i="2"/>
  <c r="D110" i="2"/>
  <c r="H110" i="2" s="1"/>
  <c r="E110" i="2"/>
  <c r="G110" i="2"/>
  <c r="D111" i="2"/>
  <c r="K111" i="2" s="1"/>
  <c r="E111" i="2"/>
  <c r="G111" i="2"/>
  <c r="D112" i="2"/>
  <c r="J112" i="2" s="1"/>
  <c r="E112" i="2"/>
  <c r="G112" i="2"/>
  <c r="D113" i="2"/>
  <c r="I113" i="2" s="1"/>
  <c r="E113" i="2"/>
  <c r="G113" i="2"/>
  <c r="D114" i="2"/>
  <c r="H114" i="2" s="1"/>
  <c r="E114" i="2"/>
  <c r="G114" i="2"/>
  <c r="D115" i="2"/>
  <c r="K115" i="2" s="1"/>
  <c r="E115" i="2"/>
  <c r="G115" i="2"/>
  <c r="D116" i="2"/>
  <c r="J116" i="2" s="1"/>
  <c r="E116" i="2"/>
  <c r="G116" i="2"/>
  <c r="D117" i="2"/>
  <c r="I117" i="2" s="1"/>
  <c r="E117" i="2"/>
  <c r="G117" i="2"/>
  <c r="D118" i="2"/>
  <c r="H118" i="2" s="1"/>
  <c r="E118" i="2"/>
  <c r="G118" i="2"/>
  <c r="D119" i="2"/>
  <c r="K119" i="2" s="1"/>
  <c r="E119" i="2"/>
  <c r="G119" i="2"/>
  <c r="D120" i="2"/>
  <c r="J120" i="2" s="1"/>
  <c r="E120" i="2"/>
  <c r="G120" i="2"/>
  <c r="D121" i="2"/>
  <c r="I121" i="2" s="1"/>
  <c r="E121" i="2"/>
  <c r="G121" i="2"/>
  <c r="D122" i="2"/>
  <c r="H122" i="2" s="1"/>
  <c r="E122" i="2"/>
  <c r="G122" i="2"/>
  <c r="D123" i="2"/>
  <c r="K123" i="2" s="1"/>
  <c r="E123" i="2"/>
  <c r="G123" i="2"/>
  <c r="D124" i="2"/>
  <c r="J124" i="2" s="1"/>
  <c r="E124" i="2"/>
  <c r="G124" i="2"/>
  <c r="D125" i="2"/>
  <c r="I125" i="2" s="1"/>
  <c r="E125" i="2"/>
  <c r="G125" i="2"/>
  <c r="D126" i="2"/>
  <c r="H126" i="2" s="1"/>
  <c r="E126" i="2"/>
  <c r="G126" i="2"/>
  <c r="D127" i="2"/>
  <c r="K127" i="2" s="1"/>
  <c r="E127" i="2"/>
  <c r="G127" i="2"/>
  <c r="D128" i="2"/>
  <c r="J128" i="2" s="1"/>
  <c r="E128" i="2"/>
  <c r="G128" i="2"/>
  <c r="D129" i="2"/>
  <c r="I129" i="2" s="1"/>
  <c r="E129" i="2"/>
  <c r="G129" i="2"/>
  <c r="D130" i="2"/>
  <c r="H130" i="2" s="1"/>
  <c r="E130" i="2"/>
  <c r="G130" i="2"/>
  <c r="D131" i="2"/>
  <c r="K131" i="2" s="1"/>
  <c r="E131" i="2"/>
  <c r="G131" i="2"/>
  <c r="D132" i="2"/>
  <c r="J132" i="2" s="1"/>
  <c r="E132" i="2"/>
  <c r="G132" i="2"/>
  <c r="D133" i="2"/>
  <c r="I133" i="2" s="1"/>
  <c r="E133" i="2"/>
  <c r="G133" i="2"/>
  <c r="D134" i="2"/>
  <c r="H134" i="2" s="1"/>
  <c r="E134" i="2"/>
  <c r="G134" i="2"/>
  <c r="D135" i="2"/>
  <c r="K135" i="2" s="1"/>
  <c r="E135" i="2"/>
  <c r="G135" i="2"/>
  <c r="D136" i="2"/>
  <c r="J136" i="2" s="1"/>
  <c r="E136" i="2"/>
  <c r="G136" i="2"/>
  <c r="D137" i="2"/>
  <c r="I137" i="2" s="1"/>
  <c r="E137" i="2"/>
  <c r="G137" i="2"/>
  <c r="D138" i="2"/>
  <c r="H138" i="2" s="1"/>
  <c r="E138" i="2"/>
  <c r="G138" i="2"/>
  <c r="D139" i="2"/>
  <c r="K139" i="2" s="1"/>
  <c r="E139" i="2"/>
  <c r="G139" i="2"/>
  <c r="D140" i="2"/>
  <c r="J140" i="2" s="1"/>
  <c r="E140" i="2"/>
  <c r="G140" i="2"/>
  <c r="D141" i="2"/>
  <c r="I141" i="2" s="1"/>
  <c r="E141" i="2"/>
  <c r="G141" i="2"/>
  <c r="D142" i="2"/>
  <c r="H142" i="2" s="1"/>
  <c r="E142" i="2"/>
  <c r="G142" i="2"/>
  <c r="D143" i="2"/>
  <c r="K143" i="2" s="1"/>
  <c r="E143" i="2"/>
  <c r="G143" i="2"/>
  <c r="D144" i="2"/>
  <c r="J144" i="2" s="1"/>
  <c r="E144" i="2"/>
  <c r="G144" i="2"/>
  <c r="D145" i="2"/>
  <c r="I145" i="2" s="1"/>
  <c r="E145" i="2"/>
  <c r="G145" i="2"/>
  <c r="D146" i="2"/>
  <c r="H146" i="2" s="1"/>
  <c r="E146" i="2"/>
  <c r="G146" i="2"/>
  <c r="D147" i="2"/>
  <c r="K147" i="2" s="1"/>
  <c r="E147" i="2"/>
  <c r="G147" i="2"/>
  <c r="D148" i="2"/>
  <c r="J148" i="2" s="1"/>
  <c r="E148" i="2"/>
  <c r="G148" i="2"/>
  <c r="D149" i="2"/>
  <c r="I149" i="2" s="1"/>
  <c r="E149" i="2"/>
  <c r="G149" i="2"/>
  <c r="D150" i="2"/>
  <c r="H150" i="2" s="1"/>
  <c r="E150" i="2"/>
  <c r="G150" i="2"/>
  <c r="D3" i="2"/>
  <c r="E3" i="2"/>
  <c r="G3" i="2"/>
  <c r="D4" i="2"/>
  <c r="E4" i="2"/>
  <c r="G4" i="2"/>
  <c r="D5" i="2"/>
  <c r="E5" i="2"/>
  <c r="G5" i="2"/>
  <c r="D6" i="2"/>
  <c r="E6" i="2"/>
  <c r="G6" i="2"/>
  <c r="D7" i="2"/>
  <c r="E7" i="2"/>
  <c r="G7" i="2"/>
  <c r="D8" i="2"/>
  <c r="E8" i="2"/>
  <c r="G8" i="2"/>
  <c r="D9" i="2"/>
  <c r="E9" i="2"/>
  <c r="G9" i="2"/>
  <c r="D10" i="2"/>
  <c r="E10" i="2"/>
  <c r="G10" i="2"/>
  <c r="D11" i="2"/>
  <c r="E11" i="2"/>
  <c r="G11" i="2"/>
  <c r="D12" i="2"/>
  <c r="E12" i="2"/>
  <c r="G12" i="2"/>
  <c r="D13" i="2"/>
  <c r="E13" i="2"/>
  <c r="G13" i="2"/>
  <c r="D14" i="2"/>
  <c r="E14" i="2"/>
  <c r="G14" i="2"/>
  <c r="D15" i="2"/>
  <c r="E15" i="2"/>
  <c r="G15" i="2"/>
  <c r="D16" i="2"/>
  <c r="E16" i="2"/>
  <c r="G16" i="2"/>
  <c r="D17" i="2"/>
  <c r="E17" i="2"/>
  <c r="G17" i="2"/>
  <c r="D18" i="2"/>
  <c r="E18" i="2"/>
  <c r="G18" i="2"/>
  <c r="D19" i="2"/>
  <c r="E19" i="2"/>
  <c r="G19" i="2"/>
  <c r="D20" i="2"/>
  <c r="E20" i="2"/>
  <c r="G20" i="2"/>
  <c r="D21" i="2"/>
  <c r="E21" i="2"/>
  <c r="G21" i="2"/>
  <c r="D22" i="2"/>
  <c r="E22" i="2"/>
  <c r="G22" i="2"/>
  <c r="D23" i="2"/>
  <c r="E23" i="2"/>
  <c r="G23" i="2"/>
  <c r="D24" i="2"/>
  <c r="E24" i="2"/>
  <c r="G24" i="2"/>
  <c r="D25" i="2"/>
  <c r="E25" i="2"/>
  <c r="G25" i="2"/>
  <c r="D26" i="2"/>
  <c r="E26" i="2"/>
  <c r="G26" i="2"/>
  <c r="D27" i="2"/>
  <c r="E27" i="2"/>
  <c r="G27" i="2"/>
  <c r="D28" i="2"/>
  <c r="E28" i="2"/>
  <c r="G28" i="2"/>
  <c r="D29" i="2"/>
  <c r="E29" i="2"/>
  <c r="G29" i="2"/>
  <c r="D30" i="2"/>
  <c r="E30" i="2"/>
  <c r="G30" i="2"/>
  <c r="D31" i="2"/>
  <c r="E31" i="2"/>
  <c r="G31" i="2"/>
  <c r="D32" i="2"/>
  <c r="E32" i="2"/>
  <c r="G32" i="2"/>
  <c r="D33" i="2"/>
  <c r="E33" i="2"/>
  <c r="G33" i="2"/>
  <c r="D34" i="2"/>
  <c r="E34" i="2"/>
  <c r="G34" i="2"/>
  <c r="D35" i="2"/>
  <c r="E35" i="2"/>
  <c r="G35" i="2"/>
  <c r="D36" i="2"/>
  <c r="E36" i="2"/>
  <c r="G36" i="2"/>
  <c r="D37" i="2"/>
  <c r="E37" i="2"/>
  <c r="G37" i="2"/>
  <c r="D38" i="2"/>
  <c r="E38" i="2"/>
  <c r="G38" i="2"/>
  <c r="D39" i="2"/>
  <c r="E39" i="2"/>
  <c r="G39" i="2"/>
  <c r="D40" i="2"/>
  <c r="E40" i="2"/>
  <c r="G40" i="2"/>
  <c r="D41" i="2"/>
  <c r="E41" i="2"/>
  <c r="G41" i="2"/>
  <c r="D42" i="2"/>
  <c r="E42" i="2"/>
  <c r="G42" i="2"/>
  <c r="D43" i="2"/>
  <c r="E43" i="2"/>
  <c r="G43" i="2"/>
  <c r="D44" i="2"/>
  <c r="E44" i="2"/>
  <c r="G44" i="2"/>
  <c r="D45" i="2"/>
  <c r="E45" i="2"/>
  <c r="G45" i="2"/>
  <c r="D46" i="2"/>
  <c r="E46" i="2"/>
  <c r="G46" i="2"/>
  <c r="D47" i="2"/>
  <c r="E47" i="2"/>
  <c r="G47" i="2"/>
  <c r="D48" i="2"/>
  <c r="E48" i="2"/>
  <c r="G48" i="2"/>
  <c r="D49" i="2"/>
  <c r="E49" i="2"/>
  <c r="G49" i="2"/>
  <c r="D50" i="2"/>
  <c r="E50" i="2"/>
  <c r="G50" i="2"/>
  <c r="G2" i="2"/>
  <c r="D2" i="2"/>
  <c r="E2" i="2"/>
  <c r="A149" i="2" l="1"/>
  <c r="A105" i="2"/>
  <c r="O11" i="2"/>
  <c r="P11" i="2" s="1"/>
  <c r="I140" i="2"/>
  <c r="H137" i="2"/>
  <c r="J143" i="2"/>
  <c r="H149" i="2"/>
  <c r="K142" i="2"/>
  <c r="J139" i="2"/>
  <c r="I136" i="2"/>
  <c r="H133" i="2"/>
  <c r="K146" i="2"/>
  <c r="I148" i="2"/>
  <c r="H145" i="2"/>
  <c r="K138" i="2"/>
  <c r="J135" i="2"/>
  <c r="I132" i="2"/>
  <c r="K150" i="2"/>
  <c r="J147" i="2"/>
  <c r="I144" i="2"/>
  <c r="H141" i="2"/>
  <c r="K134" i="2"/>
  <c r="H129" i="2"/>
  <c r="K118" i="2"/>
  <c r="K106" i="2"/>
  <c r="J115" i="2"/>
  <c r="J103" i="2"/>
  <c r="K122" i="2"/>
  <c r="H113" i="2"/>
  <c r="K102" i="2"/>
  <c r="J131" i="2"/>
  <c r="J119" i="2"/>
  <c r="I128" i="2"/>
  <c r="H125" i="2"/>
  <c r="I112" i="2"/>
  <c r="H109" i="2"/>
  <c r="K130" i="2"/>
  <c r="J127" i="2"/>
  <c r="I124" i="2"/>
  <c r="H121" i="2"/>
  <c r="K114" i="2"/>
  <c r="J111" i="2"/>
  <c r="I108" i="2"/>
  <c r="H105" i="2"/>
  <c r="I116" i="2"/>
  <c r="K126" i="2"/>
  <c r="J123" i="2"/>
  <c r="I120" i="2"/>
  <c r="H117" i="2"/>
  <c r="K110" i="2"/>
  <c r="J107" i="2"/>
  <c r="I104" i="2"/>
  <c r="J150" i="2"/>
  <c r="K149" i="2"/>
  <c r="H148" i="2"/>
  <c r="I147" i="2"/>
  <c r="J146" i="2"/>
  <c r="K145" i="2"/>
  <c r="H144" i="2"/>
  <c r="I143" i="2"/>
  <c r="J142" i="2"/>
  <c r="K141" i="2"/>
  <c r="H140" i="2"/>
  <c r="I139" i="2"/>
  <c r="J138" i="2"/>
  <c r="K137" i="2"/>
  <c r="H136" i="2"/>
  <c r="I135" i="2"/>
  <c r="J134" i="2"/>
  <c r="K133" i="2"/>
  <c r="H132" i="2"/>
  <c r="I131" i="2"/>
  <c r="J130" i="2"/>
  <c r="K129" i="2"/>
  <c r="H128" i="2"/>
  <c r="I127" i="2"/>
  <c r="J126" i="2"/>
  <c r="K125" i="2"/>
  <c r="H124" i="2"/>
  <c r="I123" i="2"/>
  <c r="J122" i="2"/>
  <c r="K121" i="2"/>
  <c r="H120" i="2"/>
  <c r="I119" i="2"/>
  <c r="J118" i="2"/>
  <c r="K117" i="2"/>
  <c r="H116" i="2"/>
  <c r="I115" i="2"/>
  <c r="J114" i="2"/>
  <c r="K113" i="2"/>
  <c r="H112" i="2"/>
  <c r="I111" i="2"/>
  <c r="J110" i="2"/>
  <c r="K109" i="2"/>
  <c r="H108" i="2"/>
  <c r="I107" i="2"/>
  <c r="J106" i="2"/>
  <c r="K105" i="2"/>
  <c r="H104" i="2"/>
  <c r="I103" i="2"/>
  <c r="J102" i="2"/>
  <c r="I150" i="2"/>
  <c r="J149" i="2"/>
  <c r="K148" i="2"/>
  <c r="H147" i="2"/>
  <c r="I146" i="2"/>
  <c r="J145" i="2"/>
  <c r="K144" i="2"/>
  <c r="H143" i="2"/>
  <c r="I142" i="2"/>
  <c r="J141" i="2"/>
  <c r="K140" i="2"/>
  <c r="H139" i="2"/>
  <c r="I138" i="2"/>
  <c r="J137" i="2"/>
  <c r="K136" i="2"/>
  <c r="H135" i="2"/>
  <c r="I134" i="2"/>
  <c r="J133" i="2"/>
  <c r="K132" i="2"/>
  <c r="H131" i="2"/>
  <c r="I130" i="2"/>
  <c r="J129" i="2"/>
  <c r="K128" i="2"/>
  <c r="H127" i="2"/>
  <c r="I126" i="2"/>
  <c r="J125" i="2"/>
  <c r="K124" i="2"/>
  <c r="H123" i="2"/>
  <c r="I122" i="2"/>
  <c r="J121" i="2"/>
  <c r="K120" i="2"/>
  <c r="H119" i="2"/>
  <c r="I118" i="2"/>
  <c r="J117" i="2"/>
  <c r="K116" i="2"/>
  <c r="H115" i="2"/>
  <c r="I114" i="2"/>
  <c r="J113" i="2"/>
  <c r="K112" i="2"/>
  <c r="H111" i="2"/>
  <c r="I110" i="2"/>
  <c r="J109" i="2"/>
  <c r="K108" i="2"/>
  <c r="H107" i="2"/>
  <c r="I106" i="2"/>
  <c r="J105" i="2"/>
  <c r="K104" i="2"/>
  <c r="H103" i="2"/>
  <c r="I102" i="2"/>
  <c r="O14" i="2"/>
  <c r="I94" i="2" l="1"/>
  <c r="J94" i="2"/>
  <c r="K94" i="2"/>
  <c r="H94" i="2"/>
  <c r="I90" i="2"/>
  <c r="J90" i="2"/>
  <c r="K90" i="2"/>
  <c r="H90" i="2"/>
  <c r="I82" i="2"/>
  <c r="J82" i="2"/>
  <c r="K82" i="2"/>
  <c r="H82" i="2"/>
  <c r="I74" i="2"/>
  <c r="J74" i="2"/>
  <c r="K74" i="2"/>
  <c r="H74" i="2"/>
  <c r="I66" i="2"/>
  <c r="K66" i="2"/>
  <c r="J66" i="2"/>
  <c r="H66" i="2"/>
  <c r="I54" i="2"/>
  <c r="K54" i="2"/>
  <c r="J54" i="2"/>
  <c r="H54" i="2"/>
  <c r="I50" i="2"/>
  <c r="K50" i="2"/>
  <c r="J50" i="2"/>
  <c r="H50" i="2"/>
  <c r="I42" i="2"/>
  <c r="K42" i="2"/>
  <c r="J42" i="2"/>
  <c r="H42" i="2"/>
  <c r="I34" i="2"/>
  <c r="K34" i="2"/>
  <c r="J34" i="2"/>
  <c r="H34" i="2"/>
  <c r="I26" i="2"/>
  <c r="K26" i="2"/>
  <c r="J26" i="2"/>
  <c r="H26" i="2"/>
  <c r="J18" i="2"/>
  <c r="I18" i="2"/>
  <c r="K18" i="2"/>
  <c r="H18" i="2"/>
  <c r="I97" i="2"/>
  <c r="H97" i="2"/>
  <c r="J97" i="2"/>
  <c r="K97" i="2"/>
  <c r="I89" i="2"/>
  <c r="H89" i="2"/>
  <c r="J89" i="2"/>
  <c r="K89" i="2"/>
  <c r="I81" i="2"/>
  <c r="H81" i="2"/>
  <c r="J81" i="2"/>
  <c r="K81" i="2"/>
  <c r="I69" i="2"/>
  <c r="H69" i="2"/>
  <c r="J69" i="2"/>
  <c r="K69" i="2"/>
  <c r="I65" i="2"/>
  <c r="J65" i="2"/>
  <c r="H65" i="2"/>
  <c r="K65" i="2"/>
  <c r="I57" i="2"/>
  <c r="J57" i="2"/>
  <c r="H57" i="2"/>
  <c r="K57" i="2"/>
  <c r="I49" i="2"/>
  <c r="J49" i="2"/>
  <c r="H49" i="2"/>
  <c r="K49" i="2"/>
  <c r="I41" i="2"/>
  <c r="J41" i="2"/>
  <c r="H41" i="2"/>
  <c r="K41" i="2"/>
  <c r="I33" i="2"/>
  <c r="J33" i="2"/>
  <c r="H33" i="2"/>
  <c r="K33" i="2"/>
  <c r="I25" i="2"/>
  <c r="J25" i="2"/>
  <c r="H25" i="2"/>
  <c r="K25" i="2"/>
  <c r="J17" i="2"/>
  <c r="I17" i="2"/>
  <c r="K17" i="2"/>
  <c r="H17" i="2"/>
  <c r="I100" i="2"/>
  <c r="H100" i="2"/>
  <c r="K100" i="2"/>
  <c r="J100" i="2"/>
  <c r="I96" i="2"/>
  <c r="H96" i="2"/>
  <c r="K96" i="2"/>
  <c r="J96" i="2"/>
  <c r="I92" i="2"/>
  <c r="H92" i="2"/>
  <c r="K92" i="2"/>
  <c r="J92" i="2"/>
  <c r="I88" i="2"/>
  <c r="H88" i="2"/>
  <c r="K88" i="2"/>
  <c r="J88" i="2"/>
  <c r="I84" i="2"/>
  <c r="H84" i="2"/>
  <c r="K84" i="2"/>
  <c r="J84" i="2"/>
  <c r="I80" i="2"/>
  <c r="H80" i="2"/>
  <c r="K80" i="2"/>
  <c r="J80" i="2"/>
  <c r="I76" i="2"/>
  <c r="H76" i="2"/>
  <c r="K76" i="2"/>
  <c r="J76" i="2"/>
  <c r="I72" i="2"/>
  <c r="H72" i="2"/>
  <c r="K72" i="2"/>
  <c r="J72" i="2"/>
  <c r="I68" i="2"/>
  <c r="H68" i="2"/>
  <c r="K68" i="2"/>
  <c r="J68" i="2"/>
  <c r="I64" i="2"/>
  <c r="H64" i="2"/>
  <c r="K64" i="2"/>
  <c r="J64" i="2"/>
  <c r="I60" i="2"/>
  <c r="H60" i="2"/>
  <c r="K60" i="2"/>
  <c r="J60" i="2"/>
  <c r="I56" i="2"/>
  <c r="H56" i="2"/>
  <c r="K56" i="2"/>
  <c r="J56" i="2"/>
  <c r="I52" i="2"/>
  <c r="H52" i="2"/>
  <c r="K52" i="2"/>
  <c r="J52" i="2"/>
  <c r="I48" i="2"/>
  <c r="H48" i="2"/>
  <c r="K48" i="2"/>
  <c r="J48" i="2"/>
  <c r="I44" i="2"/>
  <c r="H44" i="2"/>
  <c r="K44" i="2"/>
  <c r="J44" i="2"/>
  <c r="I40" i="2"/>
  <c r="H40" i="2"/>
  <c r="K40" i="2"/>
  <c r="J40" i="2"/>
  <c r="I36" i="2"/>
  <c r="H36" i="2"/>
  <c r="K36" i="2"/>
  <c r="J36" i="2"/>
  <c r="I32" i="2"/>
  <c r="H32" i="2"/>
  <c r="K32" i="2"/>
  <c r="J32" i="2"/>
  <c r="I28" i="2"/>
  <c r="H28" i="2"/>
  <c r="K28" i="2"/>
  <c r="J28" i="2"/>
  <c r="I24" i="2"/>
  <c r="H24" i="2"/>
  <c r="K24" i="2"/>
  <c r="J24" i="2"/>
  <c r="H20" i="2"/>
  <c r="I20" i="2"/>
  <c r="K20" i="2"/>
  <c r="J20" i="2"/>
  <c r="J16" i="2"/>
  <c r="I16" i="2"/>
  <c r="K16" i="2"/>
  <c r="H16" i="2"/>
  <c r="K12" i="2"/>
  <c r="J12" i="2"/>
  <c r="I12" i="2"/>
  <c r="H12" i="2"/>
  <c r="I98" i="2"/>
  <c r="J98" i="2"/>
  <c r="K98" i="2"/>
  <c r="H98" i="2"/>
  <c r="I86" i="2"/>
  <c r="J86" i="2"/>
  <c r="K86" i="2"/>
  <c r="H86" i="2"/>
  <c r="I78" i="2"/>
  <c r="J78" i="2"/>
  <c r="K78" i="2"/>
  <c r="H78" i="2"/>
  <c r="I70" i="2"/>
  <c r="J70" i="2"/>
  <c r="K70" i="2"/>
  <c r="H70" i="2"/>
  <c r="I62" i="2"/>
  <c r="K62" i="2"/>
  <c r="J62" i="2"/>
  <c r="H62" i="2"/>
  <c r="I58" i="2"/>
  <c r="K58" i="2"/>
  <c r="J58" i="2"/>
  <c r="H58" i="2"/>
  <c r="I46" i="2"/>
  <c r="K46" i="2"/>
  <c r="J46" i="2"/>
  <c r="H46" i="2"/>
  <c r="I38" i="2"/>
  <c r="K38" i="2"/>
  <c r="J38" i="2"/>
  <c r="H38" i="2"/>
  <c r="I30" i="2"/>
  <c r="K30" i="2"/>
  <c r="J30" i="2"/>
  <c r="H30" i="2"/>
  <c r="H22" i="2"/>
  <c r="I22" i="2"/>
  <c r="J22" i="2"/>
  <c r="K22" i="2"/>
  <c r="K14" i="2"/>
  <c r="J14" i="2"/>
  <c r="I14" i="2"/>
  <c r="H14" i="2"/>
  <c r="I101" i="2"/>
  <c r="H101" i="2"/>
  <c r="J101" i="2"/>
  <c r="K101" i="2"/>
  <c r="I93" i="2"/>
  <c r="H93" i="2"/>
  <c r="J93" i="2"/>
  <c r="K93" i="2"/>
  <c r="I85" i="2"/>
  <c r="H85" i="2"/>
  <c r="J85" i="2"/>
  <c r="K85" i="2"/>
  <c r="I77" i="2"/>
  <c r="H77" i="2"/>
  <c r="J77" i="2"/>
  <c r="K77" i="2"/>
  <c r="I73" i="2"/>
  <c r="H73" i="2"/>
  <c r="J73" i="2"/>
  <c r="K73" i="2"/>
  <c r="I61" i="2"/>
  <c r="J61" i="2"/>
  <c r="H61" i="2"/>
  <c r="K61" i="2"/>
  <c r="I53" i="2"/>
  <c r="J53" i="2"/>
  <c r="H53" i="2"/>
  <c r="K53" i="2"/>
  <c r="I45" i="2"/>
  <c r="J45" i="2"/>
  <c r="H45" i="2"/>
  <c r="K45" i="2"/>
  <c r="I37" i="2"/>
  <c r="J37" i="2"/>
  <c r="H37" i="2"/>
  <c r="K37" i="2"/>
  <c r="I29" i="2"/>
  <c r="J29" i="2"/>
  <c r="H29" i="2"/>
  <c r="K29" i="2"/>
  <c r="H21" i="2"/>
  <c r="K21" i="2"/>
  <c r="J21" i="2"/>
  <c r="I21" i="2"/>
  <c r="K13" i="2"/>
  <c r="J13" i="2"/>
  <c r="I13" i="2"/>
  <c r="H13" i="2"/>
  <c r="I99" i="2"/>
  <c r="K99" i="2"/>
  <c r="H99" i="2"/>
  <c r="J99" i="2"/>
  <c r="I95" i="2"/>
  <c r="K95" i="2"/>
  <c r="H95" i="2"/>
  <c r="J95" i="2"/>
  <c r="I91" i="2"/>
  <c r="K91" i="2"/>
  <c r="H91" i="2"/>
  <c r="J91" i="2"/>
  <c r="I87" i="2"/>
  <c r="K87" i="2"/>
  <c r="H87" i="2"/>
  <c r="J87" i="2"/>
  <c r="I83" i="2"/>
  <c r="K83" i="2"/>
  <c r="H83" i="2"/>
  <c r="J83" i="2"/>
  <c r="I79" i="2"/>
  <c r="K79" i="2"/>
  <c r="H79" i="2"/>
  <c r="J79" i="2"/>
  <c r="I75" i="2"/>
  <c r="K75" i="2"/>
  <c r="H75" i="2"/>
  <c r="J75" i="2"/>
  <c r="I71" i="2"/>
  <c r="K71" i="2"/>
  <c r="H71" i="2"/>
  <c r="J71" i="2"/>
  <c r="I67" i="2"/>
  <c r="K67" i="2"/>
  <c r="H67" i="2"/>
  <c r="J67" i="2"/>
  <c r="I63" i="2"/>
  <c r="H63" i="2"/>
  <c r="K63" i="2"/>
  <c r="J63" i="2"/>
  <c r="I59" i="2"/>
  <c r="H59" i="2"/>
  <c r="K59" i="2"/>
  <c r="J59" i="2"/>
  <c r="I55" i="2"/>
  <c r="H55" i="2"/>
  <c r="K55" i="2"/>
  <c r="J55" i="2"/>
  <c r="I51" i="2"/>
  <c r="H51" i="2"/>
  <c r="K51" i="2"/>
  <c r="J51" i="2"/>
  <c r="I47" i="2"/>
  <c r="H47" i="2"/>
  <c r="K47" i="2"/>
  <c r="J47" i="2"/>
  <c r="I43" i="2"/>
  <c r="H43" i="2"/>
  <c r="K43" i="2"/>
  <c r="J43" i="2"/>
  <c r="I39" i="2"/>
  <c r="H39" i="2"/>
  <c r="K39" i="2"/>
  <c r="J39" i="2"/>
  <c r="I35" i="2"/>
  <c r="H35" i="2"/>
  <c r="K35" i="2"/>
  <c r="J35" i="2"/>
  <c r="I31" i="2"/>
  <c r="H31" i="2"/>
  <c r="K31" i="2"/>
  <c r="J31" i="2"/>
  <c r="I27" i="2"/>
  <c r="H27" i="2"/>
  <c r="K27" i="2"/>
  <c r="J27" i="2"/>
  <c r="I23" i="2"/>
  <c r="H23" i="2"/>
  <c r="K23" i="2"/>
  <c r="J23" i="2"/>
  <c r="H19" i="2"/>
  <c r="K19" i="2"/>
  <c r="J19" i="2"/>
  <c r="I19" i="2"/>
  <c r="J15" i="2"/>
  <c r="I15" i="2"/>
  <c r="K15" i="2"/>
  <c r="H15" i="2"/>
  <c r="A2" i="2"/>
  <c r="D15" i="4" l="1"/>
  <c r="O8" i="2"/>
  <c r="D16" i="4" s="1"/>
  <c r="T2" i="2" l="1"/>
  <c r="I2" i="2"/>
  <c r="J2" i="2"/>
  <c r="K2" i="2"/>
  <c r="I3" i="2"/>
  <c r="J3" i="2"/>
  <c r="K3" i="2"/>
  <c r="I4" i="2"/>
  <c r="J4" i="2"/>
  <c r="K4" i="2"/>
  <c r="I5" i="2"/>
  <c r="J5" i="2"/>
  <c r="K5" i="2"/>
  <c r="I6" i="2"/>
  <c r="J6" i="2"/>
  <c r="K6" i="2"/>
  <c r="I7" i="2"/>
  <c r="J7" i="2"/>
  <c r="K7" i="2"/>
  <c r="I8" i="2"/>
  <c r="J8" i="2"/>
  <c r="K8" i="2"/>
  <c r="I9" i="2"/>
  <c r="J9" i="2"/>
  <c r="K9" i="2"/>
  <c r="I10" i="2"/>
  <c r="J10" i="2"/>
  <c r="K10" i="2"/>
  <c r="I11" i="2"/>
  <c r="J11" i="2"/>
  <c r="K11" i="2"/>
  <c r="H3" i="2"/>
  <c r="H4" i="2"/>
  <c r="H5" i="2"/>
  <c r="H6" i="2"/>
  <c r="H7" i="2"/>
  <c r="H8" i="2"/>
  <c r="H9" i="2"/>
  <c r="H10" i="2"/>
  <c r="H1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B109" i="2" l="1"/>
  <c r="B145" i="2"/>
  <c r="B139" i="2"/>
  <c r="B125" i="2"/>
  <c r="B111" i="2"/>
  <c r="B102" i="2"/>
  <c r="B118" i="2"/>
  <c r="B134" i="2"/>
  <c r="B150" i="2"/>
  <c r="B143" i="2"/>
  <c r="B132" i="2"/>
  <c r="B104" i="2"/>
  <c r="B112" i="2"/>
  <c r="B116" i="2"/>
  <c r="B137" i="2"/>
  <c r="B131" i="2"/>
  <c r="B117" i="2"/>
  <c r="B149" i="2"/>
  <c r="B147" i="2"/>
  <c r="B114" i="2"/>
  <c r="B130" i="2"/>
  <c r="B146" i="2"/>
  <c r="B127" i="2"/>
  <c r="B148" i="2"/>
  <c r="B108" i="2"/>
  <c r="B124" i="2"/>
  <c r="B121" i="2"/>
  <c r="B103" i="2"/>
  <c r="B105" i="2"/>
  <c r="B133" i="2"/>
  <c r="B123" i="2"/>
  <c r="B106" i="2"/>
  <c r="B122" i="2"/>
  <c r="B138" i="2"/>
  <c r="B107" i="2"/>
  <c r="B140" i="2"/>
  <c r="B128" i="2"/>
  <c r="B129" i="2"/>
  <c r="B119" i="2"/>
  <c r="B113" i="2"/>
  <c r="B141" i="2"/>
  <c r="B135" i="2"/>
  <c r="B110" i="2"/>
  <c r="B126" i="2"/>
  <c r="B142" i="2"/>
  <c r="B115" i="2"/>
  <c r="B144" i="2"/>
  <c r="B136" i="2"/>
  <c r="B120" i="2"/>
  <c r="P5" i="2"/>
  <c r="B5" i="2"/>
  <c r="B2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17" i="2" l="1"/>
  <c r="P17" i="2" s="1"/>
  <c r="A1" i="11" s="1"/>
  <c r="O25" i="2"/>
  <c r="O21" i="2"/>
  <c r="O22" i="2"/>
  <c r="O24" i="2"/>
  <c r="O20" i="2"/>
  <c r="O23" i="2"/>
  <c r="O19" i="2"/>
  <c r="O18" i="2"/>
  <c r="G17" i="4" l="1"/>
  <c r="P22" i="2"/>
  <c r="F1" i="11" s="1"/>
  <c r="H17" i="4"/>
  <c r="P23" i="2"/>
  <c r="G1" i="11" s="1"/>
  <c r="F17" i="4"/>
  <c r="P21" i="2"/>
  <c r="E1" i="11" s="1"/>
  <c r="I15" i="4"/>
  <c r="P20" i="2"/>
  <c r="D1" i="11" s="1"/>
  <c r="J15" i="4"/>
  <c r="P25" i="2"/>
  <c r="I1" i="11" s="1"/>
  <c r="H15" i="4"/>
  <c r="P19" i="2"/>
  <c r="C1" i="11" s="1"/>
  <c r="G15" i="4"/>
  <c r="P18" i="2"/>
  <c r="B1" i="11" s="1"/>
  <c r="I17" i="4"/>
  <c r="P24" i="2"/>
  <c r="H1" i="11" s="1"/>
  <c r="F15" i="4"/>
</calcChain>
</file>

<file path=xl/sharedStrings.xml><?xml version="1.0" encoding="utf-8"?>
<sst xmlns="http://schemas.openxmlformats.org/spreadsheetml/2006/main" count="1383" uniqueCount="678">
  <si>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</si>
  <si>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</si>
  <si>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</si>
  <si>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</si>
  <si>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</si>
  <si>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</si>
  <si>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</si>
  <si>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</si>
  <si>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</si>
  <si>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</si>
  <si>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</si>
  <si>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</si>
  <si>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</si>
  <si>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</si>
  <si>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</si>
  <si>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</si>
  <si>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</si>
  <si>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</si>
  <si>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O</t>
  </si>
  <si>
    <t>Knee</t>
  </si>
  <si>
    <t>Patrick</t>
  </si>
  <si>
    <t>Smith</t>
  </si>
  <si>
    <t>Jordan</t>
  </si>
  <si>
    <t>C 1</t>
  </si>
  <si>
    <t>Paul</t>
  </si>
  <si>
    <t>Brandon</t>
  </si>
  <si>
    <t>Game</t>
  </si>
  <si>
    <t>Salary</t>
  </si>
  <si>
    <t>Team</t>
  </si>
  <si>
    <t>Id</t>
  </si>
  <si>
    <t>First Name</t>
  </si>
  <si>
    <t>Nickname</t>
  </si>
  <si>
    <t>Last Name</t>
  </si>
  <si>
    <t>FPPG</t>
  </si>
  <si>
    <t>Played</t>
  </si>
  <si>
    <t>Opponent</t>
  </si>
  <si>
    <t>Injury Indicator</t>
  </si>
  <si>
    <t>Injury Details</t>
  </si>
  <si>
    <t>Chris</t>
  </si>
  <si>
    <t>Will</t>
  </si>
  <si>
    <t>Michael</t>
  </si>
  <si>
    <t>Eric</t>
  </si>
  <si>
    <t>Matt</t>
  </si>
  <si>
    <t>Kyle</t>
  </si>
  <si>
    <t>Ben</t>
  </si>
  <si>
    <t>Mike</t>
  </si>
  <si>
    <t>Tyler</t>
  </si>
  <si>
    <t>John</t>
  </si>
  <si>
    <t>Joel</t>
  </si>
  <si>
    <t>Alex</t>
  </si>
  <si>
    <t>Martin</t>
  </si>
  <si>
    <t>Jason</t>
  </si>
  <si>
    <t>Scott</t>
  </si>
  <si>
    <t>Lower body</t>
  </si>
  <si>
    <t>Tomas</t>
  </si>
  <si>
    <t>Andrew</t>
  </si>
  <si>
    <t>Taylor</t>
  </si>
  <si>
    <t>Jacob</t>
  </si>
  <si>
    <t>Thumb</t>
  </si>
  <si>
    <t>Joe</t>
  </si>
  <si>
    <t>Victor</t>
  </si>
  <si>
    <t>Mitchell</t>
  </si>
  <si>
    <t>Daniel</t>
  </si>
  <si>
    <t>Jake</t>
  </si>
  <si>
    <t>Sam</t>
  </si>
  <si>
    <t>&lt;-set to 350</t>
  </si>
  <si>
    <t>G</t>
  </si>
  <si>
    <t>Connor</t>
  </si>
  <si>
    <t>Curtis</t>
  </si>
  <si>
    <t>Ryan</t>
  </si>
  <si>
    <t>DTD</t>
  </si>
  <si>
    <t>W</t>
  </si>
  <si>
    <t>Mark</t>
  </si>
  <si>
    <t>D</t>
  </si>
  <si>
    <t>Sean</t>
  </si>
  <si>
    <t>IR</t>
  </si>
  <si>
    <t>Patrik</t>
  </si>
  <si>
    <t>Antti</t>
  </si>
  <si>
    <t>Charlie</t>
  </si>
  <si>
    <t>Leg</t>
  </si>
  <si>
    <t>Mattias</t>
  </si>
  <si>
    <t>Upper body</t>
  </si>
  <si>
    <t>Brian</t>
  </si>
  <si>
    <t>Cam</t>
  </si>
  <si>
    <t>Granlund</t>
  </si>
  <si>
    <t>Derek</t>
  </si>
  <si>
    <t>Nikita</t>
  </si>
  <si>
    <t>David</t>
  </si>
  <si>
    <t>Adam</t>
  </si>
  <si>
    <t>Alexander</t>
  </si>
  <si>
    <t>Kris</t>
  </si>
  <si>
    <t>Brendan</t>
  </si>
  <si>
    <t>Antoine</t>
  </si>
  <si>
    <t>Pouliot</t>
  </si>
  <si>
    <t>Jakub</t>
  </si>
  <si>
    <t>Concussion</t>
  </si>
  <si>
    <t>Colton</t>
  </si>
  <si>
    <t>Ritchie</t>
  </si>
  <si>
    <t>Markus</t>
  </si>
  <si>
    <t>Undisclosed</t>
  </si>
  <si>
    <t>Brad</t>
  </si>
  <si>
    <t>Shaw</t>
  </si>
  <si>
    <t>Tanev</t>
  </si>
  <si>
    <t>Zack</t>
  </si>
  <si>
    <t>Travis</t>
  </si>
  <si>
    <t>Gaunce</t>
  </si>
  <si>
    <t>Suspension</t>
  </si>
  <si>
    <t>Schenn</t>
  </si>
  <si>
    <t>Jay</t>
  </si>
  <si>
    <t>Brett</t>
  </si>
  <si>
    <t>Bennett</t>
  </si>
  <si>
    <t>Larsson</t>
  </si>
  <si>
    <t>Troy</t>
  </si>
  <si>
    <t>Weber</t>
  </si>
  <si>
    <t>Strome</t>
  </si>
  <si>
    <t>Nolan</t>
  </si>
  <si>
    <t>C 2</t>
  </si>
  <si>
    <t>W 1</t>
  </si>
  <si>
    <t>W 2</t>
  </si>
  <si>
    <t>W 3</t>
  </si>
  <si>
    <t>W 4</t>
  </si>
  <si>
    <t>D 1</t>
  </si>
  <si>
    <t>D 2</t>
  </si>
  <si>
    <t>G 1</t>
  </si>
  <si>
    <t>22087-64102</t>
  </si>
  <si>
    <t>Connor McDavid</t>
  </si>
  <si>
    <t>McDavid</t>
  </si>
  <si>
    <t>EDM@STL</t>
  </si>
  <si>
    <t>EDM</t>
  </si>
  <si>
    <t>STL</t>
  </si>
  <si>
    <t>22087-9112</t>
  </si>
  <si>
    <t>Jake Allen</t>
  </si>
  <si>
    <t>Allen</t>
  </si>
  <si>
    <t>22087-8883</t>
  </si>
  <si>
    <t>Ben Bishop</t>
  </si>
  <si>
    <t>Bishop</t>
  </si>
  <si>
    <t>MON@DAL</t>
  </si>
  <si>
    <t>DAL</t>
  </si>
  <si>
    <t>MON</t>
  </si>
  <si>
    <t>22087-8452</t>
  </si>
  <si>
    <t>Carey</t>
  </si>
  <si>
    <t>Carey Price</t>
  </si>
  <si>
    <t>Price</t>
  </si>
  <si>
    <t>22087-11133</t>
  </si>
  <si>
    <t>Carter</t>
  </si>
  <si>
    <t>Carter Hutton</t>
  </si>
  <si>
    <t>Hutton</t>
  </si>
  <si>
    <t>22087-23071</t>
  </si>
  <si>
    <t>Vladimir</t>
  </si>
  <si>
    <t>Vladimir Tarasenko</t>
  </si>
  <si>
    <t>Tarasenko</t>
  </si>
  <si>
    <t>22087-11301</t>
  </si>
  <si>
    <t>Cam Talbot</t>
  </si>
  <si>
    <t>Talbot</t>
  </si>
  <si>
    <t>22087-8986</t>
  </si>
  <si>
    <t>Jamie</t>
  </si>
  <si>
    <t>Jamie Benn</t>
  </si>
  <si>
    <t>Benn</t>
  </si>
  <si>
    <t>22087-68647</t>
  </si>
  <si>
    <t>Charlie Lindgren</t>
  </si>
  <si>
    <t>Lindgren</t>
  </si>
  <si>
    <t>22087-12417</t>
  </si>
  <si>
    <t>Tyler Seguin</t>
  </si>
  <si>
    <t>Seguin</t>
  </si>
  <si>
    <t>22087-14468</t>
  </si>
  <si>
    <t>Anders</t>
  </si>
  <si>
    <t>Anders Nilsson</t>
  </si>
  <si>
    <t>Nilsson</t>
  </si>
  <si>
    <t>VAN@PHI</t>
  </si>
  <si>
    <t>VAN</t>
  </si>
  <si>
    <t>PHI</t>
  </si>
  <si>
    <t>22087-8553</t>
  </si>
  <si>
    <t>Brian Elliott</t>
  </si>
  <si>
    <t>Elliott</t>
  </si>
  <si>
    <t>22087-8303</t>
  </si>
  <si>
    <t>Jakub Voracek</t>
  </si>
  <si>
    <t>Voracek</t>
  </si>
  <si>
    <t>22087-12283</t>
  </si>
  <si>
    <t>Jacob Markstrom</t>
  </si>
  <si>
    <t>Markstrom</t>
  </si>
  <si>
    <t>22087-9302</t>
  </si>
  <si>
    <t>Michal</t>
  </si>
  <si>
    <t>Michal Neuvirth</t>
  </si>
  <si>
    <t>Neuvirth</t>
  </si>
  <si>
    <t>22087-8593</t>
  </si>
  <si>
    <t>Al</t>
  </si>
  <si>
    <t>Al Montoya</t>
  </si>
  <si>
    <t>Montoya</t>
  </si>
  <si>
    <t>22087-15271</t>
  </si>
  <si>
    <t>Laurent</t>
  </si>
  <si>
    <t>Laurent Brossoit</t>
  </si>
  <si>
    <t>Brossoit</t>
  </si>
  <si>
    <t>22087-8172</t>
  </si>
  <si>
    <t>Kari</t>
  </si>
  <si>
    <t>Kari Lehtonen</t>
  </si>
  <si>
    <t>Lehtonen</t>
  </si>
  <si>
    <t>Personal</t>
  </si>
  <si>
    <t>22087-9288</t>
  </si>
  <si>
    <t>Antti Niemi</t>
  </si>
  <si>
    <t>Niemi</t>
  </si>
  <si>
    <t>22087-8556</t>
  </si>
  <si>
    <t>Claude</t>
  </si>
  <si>
    <t>Claude Giroux</t>
  </si>
  <si>
    <t>Giroux</t>
  </si>
  <si>
    <t>22087-58331</t>
  </si>
  <si>
    <t>Leon</t>
  </si>
  <si>
    <t>Leon Draisaitl</t>
  </si>
  <si>
    <t>Draisaitl</t>
  </si>
  <si>
    <t>22087-9266</t>
  </si>
  <si>
    <t>Brayden</t>
  </si>
  <si>
    <t>Brayden Schenn</t>
  </si>
  <si>
    <t>22087-11217</t>
  </si>
  <si>
    <t>Mike McKenna</t>
  </si>
  <si>
    <t>McKenna</t>
  </si>
  <si>
    <t>22087-8441</t>
  </si>
  <si>
    <t>Max Pacioretty</t>
  </si>
  <si>
    <t>Pacioretty</t>
  </si>
  <si>
    <t>22087-21122</t>
  </si>
  <si>
    <t>Jaden</t>
  </si>
  <si>
    <t>Jaden Schwartz</t>
  </si>
  <si>
    <t>Schwartz</t>
  </si>
  <si>
    <t>22087-15308</t>
  </si>
  <si>
    <t>Sean Couturier</t>
  </si>
  <si>
    <t>Couturier</t>
  </si>
  <si>
    <t>22087-21546</t>
  </si>
  <si>
    <t>Alexander Radulov</t>
  </si>
  <si>
    <t>Radulov</t>
  </si>
  <si>
    <t>22087-8651</t>
  </si>
  <si>
    <t>Alex Pietrangelo</t>
  </si>
  <si>
    <t>Pietrangelo</t>
  </si>
  <si>
    <t>22087-14457</t>
  </si>
  <si>
    <t>John Klingberg</t>
  </si>
  <si>
    <t>Klingberg</t>
  </si>
  <si>
    <t>22087-42478</t>
  </si>
  <si>
    <t>Bo</t>
  </si>
  <si>
    <t>Bo Horvat</t>
  </si>
  <si>
    <t>Horvat</t>
  </si>
  <si>
    <t>22087-9354</t>
  </si>
  <si>
    <t>Patrick Maroon</t>
  </si>
  <si>
    <t>Maroon</t>
  </si>
  <si>
    <t>22087-15306</t>
  </si>
  <si>
    <t>Brendan Gallagher</t>
  </si>
  <si>
    <t>Gallagher</t>
  </si>
  <si>
    <t>22087-54521</t>
  </si>
  <si>
    <t>Shayne</t>
  </si>
  <si>
    <t>Shayne Gostisbehere</t>
  </si>
  <si>
    <t>Gostisbehere</t>
  </si>
  <si>
    <t>22087-42417</t>
  </si>
  <si>
    <t>Jonathan</t>
  </si>
  <si>
    <t>Jonathan Drouin</t>
  </si>
  <si>
    <t>Drouin</t>
  </si>
  <si>
    <t>22087-8641</t>
  </si>
  <si>
    <t>Alexander Steen</t>
  </si>
  <si>
    <t>Steen</t>
  </si>
  <si>
    <t>22087-42912</t>
  </si>
  <si>
    <t>Oscar</t>
  </si>
  <si>
    <t>Oscar Klefbom</t>
  </si>
  <si>
    <t>Klefbom</t>
  </si>
  <si>
    <t>22087-79857</t>
  </si>
  <si>
    <t>Brock</t>
  </si>
  <si>
    <t>Brock Boeser</t>
  </si>
  <si>
    <t>Boeser</t>
  </si>
  <si>
    <t>22087-8274</t>
  </si>
  <si>
    <t>Paul Stastny</t>
  </si>
  <si>
    <t>Stastny</t>
  </si>
  <si>
    <t>22087-8467</t>
  </si>
  <si>
    <t>Shea</t>
  </si>
  <si>
    <t>Shea Weber</t>
  </si>
  <si>
    <t>22087-14563</t>
  </si>
  <si>
    <t>Ryan Nugent-Hopkins</t>
  </si>
  <si>
    <t>Nugent-Hopkins</t>
  </si>
  <si>
    <t>22087-8534</t>
  </si>
  <si>
    <t>Jason Spezza</t>
  </si>
  <si>
    <t>Spezza</t>
  </si>
  <si>
    <t>22087-8698</t>
  </si>
  <si>
    <t>Daniel Sedin</t>
  </si>
  <si>
    <t>Sedin</t>
  </si>
  <si>
    <t>22087-8404</t>
  </si>
  <si>
    <t>Wayne</t>
  </si>
  <si>
    <t>Wayne Simmonds</t>
  </si>
  <si>
    <t>Simmonds</t>
  </si>
  <si>
    <t>22087-8178</t>
  </si>
  <si>
    <t>Milan</t>
  </si>
  <si>
    <t>Milan Lucic</t>
  </si>
  <si>
    <t>Lucic</t>
  </si>
  <si>
    <t>22087-8694</t>
  </si>
  <si>
    <t>Henrik</t>
  </si>
  <si>
    <t>Henrik Sedin</t>
  </si>
  <si>
    <t>22087-8198</t>
  </si>
  <si>
    <t>Thomas</t>
  </si>
  <si>
    <t>Thomas Vanek</t>
  </si>
  <si>
    <t>Vanek</t>
  </si>
  <si>
    <t>22087-61246</t>
  </si>
  <si>
    <t>Colton Parayko</t>
  </si>
  <si>
    <t>Parayko</t>
  </si>
  <si>
    <t>22087-23233</t>
  </si>
  <si>
    <t>Alex Galchenyuk</t>
  </si>
  <si>
    <t>Galchenyuk</t>
  </si>
  <si>
    <t>22087-15277</t>
  </si>
  <si>
    <t>Phillip</t>
  </si>
  <si>
    <t>Phillip Danault</t>
  </si>
  <si>
    <t>Danault</t>
  </si>
  <si>
    <t>22087-66511</t>
  </si>
  <si>
    <t>Ivan</t>
  </si>
  <si>
    <t>Ivan Provorov</t>
  </si>
  <si>
    <t>Provorov</t>
  </si>
  <si>
    <t>22087-8709</t>
  </si>
  <si>
    <t>Alexander Edler</t>
  </si>
  <si>
    <t>Edler</t>
  </si>
  <si>
    <t>22087-15270</t>
  </si>
  <si>
    <t>Sven</t>
  </si>
  <si>
    <t>Sven Baertschi</t>
  </si>
  <si>
    <t>Baertschi</t>
  </si>
  <si>
    <t>22087-8745</t>
  </si>
  <si>
    <t>Vladimir Sobotka</t>
  </si>
  <si>
    <t>Sobotka</t>
  </si>
  <si>
    <t>22087-54575</t>
  </si>
  <si>
    <t>Esa</t>
  </si>
  <si>
    <t>Esa Lindell</t>
  </si>
  <si>
    <t>Lindell</t>
  </si>
  <si>
    <t>22087-80992</t>
  </si>
  <si>
    <t>Nolan Patrick</t>
  </si>
  <si>
    <t>22087-8322</t>
  </si>
  <si>
    <t>Loui</t>
  </si>
  <si>
    <t>Loui Eriksson</t>
  </si>
  <si>
    <t>Eriksson</t>
  </si>
  <si>
    <t>22087-15340</t>
  </si>
  <si>
    <t>Joel Edmundson</t>
  </si>
  <si>
    <t>Edmundson</t>
  </si>
  <si>
    <t>22087-8436</t>
  </si>
  <si>
    <t>Tomas Plekanec</t>
  </si>
  <si>
    <t>Plekanec</t>
  </si>
  <si>
    <t>22087-70169</t>
  </si>
  <si>
    <t>Troy Stecher</t>
  </si>
  <si>
    <t>Stecher</t>
  </si>
  <si>
    <t>22087-11148</t>
  </si>
  <si>
    <t>Paul Byron</t>
  </si>
  <si>
    <t>Byron</t>
  </si>
  <si>
    <t>22087-42910</t>
  </si>
  <si>
    <t>Darnell</t>
  </si>
  <si>
    <t>Darnell Nurse</t>
  </si>
  <si>
    <t>Nurse</t>
  </si>
  <si>
    <t>22087-60686</t>
  </si>
  <si>
    <t>Mattias Janmark</t>
  </si>
  <si>
    <t>Janmark</t>
  </si>
  <si>
    <t>22087-8575</t>
  </si>
  <si>
    <t>Martin Hanzal</t>
  </si>
  <si>
    <t>Hanzal</t>
  </si>
  <si>
    <t>Hand</t>
  </si>
  <si>
    <t>22087-74127</t>
  </si>
  <si>
    <t>Matt Benning</t>
  </si>
  <si>
    <t>Benning</t>
  </si>
  <si>
    <t>22087-15386</t>
  </si>
  <si>
    <t>Ryan Strome</t>
  </si>
  <si>
    <t>22087-9011</t>
  </si>
  <si>
    <t>Andrej</t>
  </si>
  <si>
    <t>Andrej Sekera</t>
  </si>
  <si>
    <t>Sekera</t>
  </si>
  <si>
    <t>22087-61245</t>
  </si>
  <si>
    <t>Devin</t>
  </si>
  <si>
    <t>Devin Shore</t>
  </si>
  <si>
    <t>Shore</t>
  </si>
  <si>
    <t>22087-8336</t>
  </si>
  <si>
    <t>Valtteri</t>
  </si>
  <si>
    <t>Valtteri Filppula</t>
  </si>
  <si>
    <t>Filppula</t>
  </si>
  <si>
    <t>22087-11201</t>
  </si>
  <si>
    <t>Jeff</t>
  </si>
  <si>
    <t>Jeff Petry</t>
  </si>
  <si>
    <t>Petry</t>
  </si>
  <si>
    <t>22087-66508</t>
  </si>
  <si>
    <t>Travis Konecny</t>
  </si>
  <si>
    <t>Konecny</t>
  </si>
  <si>
    <t>22087-54482</t>
  </si>
  <si>
    <t>Stephen</t>
  </si>
  <si>
    <t>Stephen Johns</t>
  </si>
  <si>
    <t>Johns</t>
  </si>
  <si>
    <t>22087-8468</t>
  </si>
  <si>
    <t>Dan</t>
  </si>
  <si>
    <t>Dan Hamhuis</t>
  </si>
  <si>
    <t>Hamhuis</t>
  </si>
  <si>
    <t>22087-15380</t>
  </si>
  <si>
    <t>Jordie</t>
  </si>
  <si>
    <t>Jordie Benn</t>
  </si>
  <si>
    <t>22087-8226</t>
  </si>
  <si>
    <t>Jay Bouwmeester</t>
  </si>
  <si>
    <t>Bouwmeester</t>
  </si>
  <si>
    <t>22087-70472</t>
  </si>
  <si>
    <t>Drake</t>
  </si>
  <si>
    <t>Drake Caggiula</t>
  </si>
  <si>
    <t>Caggiula</t>
  </si>
  <si>
    <t>22087-8531</t>
  </si>
  <si>
    <t>Michael Del Zotto</t>
  </si>
  <si>
    <t>Del Zotto</t>
  </si>
  <si>
    <t>22087-8310</t>
  </si>
  <si>
    <t>Kris Russell</t>
  </si>
  <si>
    <t>Russell</t>
  </si>
  <si>
    <t>22087-23928</t>
  </si>
  <si>
    <t>Radek</t>
  </si>
  <si>
    <t>Radek Faksa</t>
  </si>
  <si>
    <t>Faksa</t>
  </si>
  <si>
    <t>22087-8356</t>
  </si>
  <si>
    <t>Sam Gagner</t>
  </si>
  <si>
    <t>Gagner</t>
  </si>
  <si>
    <t>22087-15281</t>
  </si>
  <si>
    <t>Andrew Shaw</t>
  </si>
  <si>
    <t>22087-8636</t>
  </si>
  <si>
    <t>Patrik Berglund</t>
  </si>
  <si>
    <t>Berglund</t>
  </si>
  <si>
    <t>Shoulder</t>
  </si>
  <si>
    <t>22087-66515</t>
  </si>
  <si>
    <t>Vince</t>
  </si>
  <si>
    <t>Vince Dunn</t>
  </si>
  <si>
    <t>Dunn</t>
  </si>
  <si>
    <t>22087-12291</t>
  </si>
  <si>
    <t>Christopher</t>
  </si>
  <si>
    <t>Christopher Tanev</t>
  </si>
  <si>
    <t>22087-8210</t>
  </si>
  <si>
    <t>Chris Butler</t>
  </si>
  <si>
    <t>Butler</t>
  </si>
  <si>
    <t>22087-8731</t>
  </si>
  <si>
    <t>Karl</t>
  </si>
  <si>
    <t>Karl Alzner</t>
  </si>
  <si>
    <t>Alzner</t>
  </si>
  <si>
    <t>22087-11302</t>
  </si>
  <si>
    <t>Eric Gryba</t>
  </si>
  <si>
    <t>Gryba</t>
  </si>
  <si>
    <t>22087-15398</t>
  </si>
  <si>
    <t>Brandon Manning</t>
  </si>
  <si>
    <t>Manning</t>
  </si>
  <si>
    <t>22087-11303</t>
  </si>
  <si>
    <t>Patrick Wiercioch</t>
  </si>
  <si>
    <t>Wiercioch</t>
  </si>
  <si>
    <t>22087-8506</t>
  </si>
  <si>
    <t>Mark Streit</t>
  </si>
  <si>
    <t>Streit</t>
  </si>
  <si>
    <t>22087-8764</t>
  </si>
  <si>
    <t>Carl</t>
  </si>
  <si>
    <t>Carl Gunnarsson</t>
  </si>
  <si>
    <t>Gunnarsson</t>
  </si>
  <si>
    <t>22087-12613</t>
  </si>
  <si>
    <t>Radko</t>
  </si>
  <si>
    <t>Radko Gudas</t>
  </si>
  <si>
    <t>Gudas</t>
  </si>
  <si>
    <t>22087-80456</t>
  </si>
  <si>
    <t>Philip</t>
  </si>
  <si>
    <t>Philip Holm</t>
  </si>
  <si>
    <t>Holm</t>
  </si>
  <si>
    <t>22087-70483</t>
  </si>
  <si>
    <t>Artturi</t>
  </si>
  <si>
    <t>Artturi Lehkonen</t>
  </si>
  <si>
    <t>Lehkonen</t>
  </si>
  <si>
    <t>22087-58974</t>
  </si>
  <si>
    <t>Julius</t>
  </si>
  <si>
    <t>Julius Honka</t>
  </si>
  <si>
    <t>Honka</t>
  </si>
  <si>
    <t>22087-39270</t>
  </si>
  <si>
    <t>Mark Alt</t>
  </si>
  <si>
    <t>Alt</t>
  </si>
  <si>
    <t>22087-62825</t>
  </si>
  <si>
    <t>Jordan Schmaltz</t>
  </si>
  <si>
    <t>Schmaltz</t>
  </si>
  <si>
    <t>22087-11119</t>
  </si>
  <si>
    <t>Nate</t>
  </si>
  <si>
    <t>Nate Prosser</t>
  </si>
  <si>
    <t>Prosser</t>
  </si>
  <si>
    <t>22087-42863</t>
  </si>
  <si>
    <t>Derrick</t>
  </si>
  <si>
    <t>Derrick Pouliot</t>
  </si>
  <si>
    <t>22087-9074</t>
  </si>
  <si>
    <t>David Schlemko</t>
  </si>
  <si>
    <t>Schlemko</t>
  </si>
  <si>
    <t>22087-8311</t>
  </si>
  <si>
    <t>Marc</t>
  </si>
  <si>
    <t>Marc Methot</t>
  </si>
  <si>
    <t>Methot</t>
  </si>
  <si>
    <t>22087-8827</t>
  </si>
  <si>
    <t>Andrew MacDonald</t>
  </si>
  <si>
    <t>MacDonald</t>
  </si>
  <si>
    <t>22087-59269</t>
  </si>
  <si>
    <t>Robert</t>
  </si>
  <si>
    <t>Robert Hagg</t>
  </si>
  <si>
    <t>Hagg</t>
  </si>
  <si>
    <t>22087-59271</t>
  </si>
  <si>
    <t>Travis Sanheim</t>
  </si>
  <si>
    <t>Sanheim</t>
  </si>
  <si>
    <t>22087-8847</t>
  </si>
  <si>
    <t>Robert Bortuzzo</t>
  </si>
  <si>
    <t>Bortuzzo</t>
  </si>
  <si>
    <t>22087-12447</t>
  </si>
  <si>
    <t>Erik</t>
  </si>
  <si>
    <t>Erik Gudbranson</t>
  </si>
  <si>
    <t>Gudbranson</t>
  </si>
  <si>
    <t>22087-61860</t>
  </si>
  <si>
    <t>Ben Hutton</t>
  </si>
  <si>
    <t>22087-21684</t>
  </si>
  <si>
    <t>Will O'Neill</t>
  </si>
  <si>
    <t>O'Neill</t>
  </si>
  <si>
    <t>22087-21687</t>
  </si>
  <si>
    <t>Greg</t>
  </si>
  <si>
    <t>Greg Pateryn</t>
  </si>
  <si>
    <t>Pateryn</t>
  </si>
  <si>
    <t>22087-15293</t>
  </si>
  <si>
    <t>Jamie Oleksiak</t>
  </si>
  <si>
    <t>Oleksiak</t>
  </si>
  <si>
    <t>22087-70588</t>
  </si>
  <si>
    <t>Yohann</t>
  </si>
  <si>
    <t>Yohann Auvitu</t>
  </si>
  <si>
    <t>Auvitu</t>
  </si>
  <si>
    <t>22087-12249</t>
  </si>
  <si>
    <t>Alex Biega</t>
  </si>
  <si>
    <t>Biega</t>
  </si>
  <si>
    <t>22087-15328</t>
  </si>
  <si>
    <t>Brandon Davidson</t>
  </si>
  <si>
    <t>Davidson</t>
  </si>
  <si>
    <t>22087-14564</t>
  </si>
  <si>
    <t>Adam Larsson</t>
  </si>
  <si>
    <t>22087-15349</t>
  </si>
  <si>
    <t>Joe Morrow</t>
  </si>
  <si>
    <t>Morrow</t>
  </si>
  <si>
    <t>22087-79860</t>
  </si>
  <si>
    <t>Victor Mete</t>
  </si>
  <si>
    <t>Mete</t>
  </si>
  <si>
    <t>22087-8438</t>
  </si>
  <si>
    <t>Michael Cammalleri</t>
  </si>
  <si>
    <t>Cammalleri</t>
  </si>
  <si>
    <t>22087-43000</t>
  </si>
  <si>
    <t>Samuel</t>
  </si>
  <si>
    <t>Samuel Morin</t>
  </si>
  <si>
    <t>Morin</t>
  </si>
  <si>
    <t>22087-39714</t>
  </si>
  <si>
    <t>Charles</t>
  </si>
  <si>
    <t>Charles Hudon</t>
  </si>
  <si>
    <t>Hudon</t>
  </si>
  <si>
    <t>22087-10797</t>
  </si>
  <si>
    <t>Mark Letestu</t>
  </si>
  <si>
    <t>Letestu</t>
  </si>
  <si>
    <t>22087-54850</t>
  </si>
  <si>
    <t>Gemel</t>
  </si>
  <si>
    <t>Gemel Smith</t>
  </si>
  <si>
    <t>22087-70902</t>
  </si>
  <si>
    <t>Jesse</t>
  </si>
  <si>
    <t>Jesse Puljujarvi</t>
  </si>
  <si>
    <t>Puljujarvi</t>
  </si>
  <si>
    <t>22087-59413</t>
  </si>
  <si>
    <t>Jake Virtanen</t>
  </si>
  <si>
    <t>Virtanen</t>
  </si>
  <si>
    <t>22087-8237</t>
  </si>
  <si>
    <t>Brandon Sutter</t>
  </si>
  <si>
    <t>Sutter</t>
  </si>
  <si>
    <t>22087-39248</t>
  </si>
  <si>
    <t>Dmitrij</t>
  </si>
  <si>
    <t>Dmitrij Jaskin</t>
  </si>
  <si>
    <t>Jaskin</t>
  </si>
  <si>
    <t>22087-58972</t>
  </si>
  <si>
    <t>Remi</t>
  </si>
  <si>
    <t>Remi Elie</t>
  </si>
  <si>
    <t>Elie</t>
  </si>
  <si>
    <t>22087-62816</t>
  </si>
  <si>
    <t>Anton</t>
  </si>
  <si>
    <t>Anton Slepyshev</t>
  </si>
  <si>
    <t>Slepyshev</t>
  </si>
  <si>
    <t>22087-8305</t>
  </si>
  <si>
    <t>Derek Dorsett</t>
  </si>
  <si>
    <t>Dorsett</t>
  </si>
  <si>
    <t>22087-11152</t>
  </si>
  <si>
    <t>Zack Kassian</t>
  </si>
  <si>
    <t>Kassian</t>
  </si>
  <si>
    <t>22087-8616</t>
  </si>
  <si>
    <t>Torrey</t>
  </si>
  <si>
    <t>Torrey Mitchell</t>
  </si>
  <si>
    <t>22087-39356</t>
  </si>
  <si>
    <t>Markus Granlund</t>
  </si>
  <si>
    <t>22087-11225</t>
  </si>
  <si>
    <t>Dale</t>
  </si>
  <si>
    <t>Dale Weise</t>
  </si>
  <si>
    <t>Weise</t>
  </si>
  <si>
    <t>22087-15333</t>
  </si>
  <si>
    <t>Antoine Roussel</t>
  </si>
  <si>
    <t>Roussel</t>
  </si>
  <si>
    <t>22087-42998</t>
  </si>
  <si>
    <t>Taylor Leier</t>
  </si>
  <si>
    <t>Leier</t>
  </si>
  <si>
    <t>22087-12289</t>
  </si>
  <si>
    <t>Jori</t>
  </si>
  <si>
    <t>Jori Lehtera</t>
  </si>
  <si>
    <t>Lehtera</t>
  </si>
  <si>
    <t>22087-15395</t>
  </si>
  <si>
    <t>Brett Ritchie</t>
  </si>
  <si>
    <t>22087-12625</t>
  </si>
  <si>
    <t>Jordan Weal</t>
  </si>
  <si>
    <t>Weal</t>
  </si>
  <si>
    <t>22087-12646</t>
  </si>
  <si>
    <t>Alex Burmistrov</t>
  </si>
  <si>
    <t>Burmistrov</t>
  </si>
  <si>
    <t>22087-42906</t>
  </si>
  <si>
    <t>Jujhar</t>
  </si>
  <si>
    <t>Jujhar Khaira</t>
  </si>
  <si>
    <t>Khaira</t>
  </si>
  <si>
    <t>22087-8362</t>
  </si>
  <si>
    <t>Ales</t>
  </si>
  <si>
    <t>Ales Hemsky</t>
  </si>
  <si>
    <t>Hemsky</t>
  </si>
  <si>
    <t>22087-12718</t>
  </si>
  <si>
    <t>Tyler Pitlick</t>
  </si>
  <si>
    <t>Pitlick</t>
  </si>
  <si>
    <t>22087-12280</t>
  </si>
  <si>
    <t>Magnus</t>
  </si>
  <si>
    <t>Magnus Paajarvi</t>
  </si>
  <si>
    <t>Paajarvi</t>
  </si>
  <si>
    <t>22087-37880</t>
  </si>
  <si>
    <t>Scott Laughton</t>
  </si>
  <si>
    <t>Laughton</t>
  </si>
  <si>
    <t>22087-58878</t>
  </si>
  <si>
    <t>Oskar</t>
  </si>
  <si>
    <t>Oskar Sundqvist</t>
  </si>
  <si>
    <t>Sundqvist</t>
  </si>
  <si>
    <t>22087-58880</t>
  </si>
  <si>
    <t>Ivan Barbashev</t>
  </si>
  <si>
    <t>Barbashev</t>
  </si>
  <si>
    <t>22087-15369</t>
  </si>
  <si>
    <t>Reid</t>
  </si>
  <si>
    <t>Reid Boucher</t>
  </si>
  <si>
    <t>Boucher</t>
  </si>
  <si>
    <t>22087-43039</t>
  </si>
  <si>
    <t>Wade</t>
  </si>
  <si>
    <t>Wade Megan</t>
  </si>
  <si>
    <t>Megan</t>
  </si>
  <si>
    <t>22087-54822</t>
  </si>
  <si>
    <t>Jason Dickinson</t>
  </si>
  <si>
    <t>Dickinson</t>
  </si>
  <si>
    <t>22087-58919</t>
  </si>
  <si>
    <t>Nikita Scherbak</t>
  </si>
  <si>
    <t>Scherbak</t>
  </si>
  <si>
    <t>22087-42795</t>
  </si>
  <si>
    <t>Michael McCarron</t>
  </si>
  <si>
    <t>McCarron</t>
  </si>
  <si>
    <t>22087-14177</t>
  </si>
  <si>
    <t>Brad Malone</t>
  </si>
  <si>
    <t>Malone</t>
  </si>
  <si>
    <t>22087-40039</t>
  </si>
  <si>
    <t>Michael Raffl</t>
  </si>
  <si>
    <t>Raffl</t>
  </si>
  <si>
    <t>22087-13932</t>
  </si>
  <si>
    <t>Matt Read</t>
  </si>
  <si>
    <t>Read</t>
  </si>
  <si>
    <t>22087-39296</t>
  </si>
  <si>
    <t>Curtis McKenzie</t>
  </si>
  <si>
    <t>McKenzie</t>
  </si>
  <si>
    <t>22087-8579</t>
  </si>
  <si>
    <t>Scottie</t>
  </si>
  <si>
    <t>Scottie Upshall</t>
  </si>
  <si>
    <t>Upshall</t>
  </si>
  <si>
    <t>22087-59018</t>
  </si>
  <si>
    <t>Iiro</t>
  </si>
  <si>
    <t>Iiro Pakarinen</t>
  </si>
  <si>
    <t>Pakarinen</t>
  </si>
  <si>
    <t>22087-14477</t>
  </si>
  <si>
    <t>Byron Froese</t>
  </si>
  <si>
    <t>Froese</t>
  </si>
  <si>
    <t>22087-14480</t>
  </si>
  <si>
    <t>Nicolas</t>
  </si>
  <si>
    <t>Nicolas Deslauriers</t>
  </si>
  <si>
    <t>Deslauriers</t>
  </si>
  <si>
    <t>22087-21932</t>
  </si>
  <si>
    <t>Beau</t>
  </si>
  <si>
    <t>Beau Bennett</t>
  </si>
  <si>
    <t>22087-8417</t>
  </si>
  <si>
    <t>Kyle Brodziak</t>
  </si>
  <si>
    <t>Brodziak</t>
  </si>
  <si>
    <t>22087-8164</t>
  </si>
  <si>
    <t>Chris Thorburn</t>
  </si>
  <si>
    <t>Thorburn</t>
  </si>
  <si>
    <t>22087-54517</t>
  </si>
  <si>
    <t>Jacob De La Rose</t>
  </si>
  <si>
    <t>De La Rose</t>
  </si>
  <si>
    <t>22087-39677</t>
  </si>
  <si>
    <t>Brendan Gaunce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</si>
</sst>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2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5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6" fontId="0" fillId="0" borderId="0" xfId="0" applyNumberFormat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8</xdr:col>
      <xdr:colOff>1495425</xdr:colOff>
      <xdr:row>11</xdr:row>
      <xdr:rowOff>142875</xdr:rowOff>
    </xdr:to>
    <xdr:pic>
      <xdr:nvPicPr>
        <xdr:cNvPr id="16" name="Picture 15" descr="Image result for fanduel log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7</xdr:row>
          <xdr:rowOff>95250</xdr:rowOff>
        </xdr:from>
        <xdr:to>
          <xdr:col>7</xdr:col>
          <xdr:colOff>1066800</xdr:colOff>
          <xdr:row>9</xdr:row>
          <xdr:rowOff>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2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2</xdr:row>
          <xdr:rowOff>28575</xdr:rowOff>
        </xdr:from>
        <xdr:to>
          <xdr:col>5</xdr:col>
          <xdr:colOff>638175</xdr:colOff>
          <xdr:row>8</xdr:row>
          <xdr:rowOff>161925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30 Lineups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zoomScale="90" zoomScaleNormal="90" workbookViewId="0">
      <selection activeCell="R9" sqref="R9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6</v>
      </c>
      <c r="C1" t="s">
        <v>7</v>
      </c>
      <c r="D1" t="s">
        <v>2</v>
      </c>
      <c r="E1" t="s">
        <v>3</v>
      </c>
      <c r="F1" t="s">
        <v>4</v>
      </c>
      <c r="G1" t="s">
        <v>5</v>
      </c>
      <c r="H1" s="2" t="s">
        <v>1</v>
      </c>
      <c r="I1" s="2" t="s">
        <v>71</v>
      </c>
      <c r="J1" s="2" t="s">
        <v>73</v>
      </c>
      <c r="K1" s="2" t="s">
        <v>66</v>
      </c>
      <c r="N1" t="s">
        <v>0</v>
      </c>
      <c r="O1" t="s">
        <v>8</v>
      </c>
      <c r="P1" t="s">
        <v>9</v>
      </c>
      <c r="T1">
        <v>8</v>
      </c>
    </row>
    <row r="2" spans="1:20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tr">
        <f>Fanduel!B2</f>
        <v>C</v>
      </c>
      <c r="E2" t="str">
        <f>Fanduel!D2</f>
        <v>Connor McDavid</v>
      </c>
      <c r="F2">
        <f>(Fanduel!F2)*(IF(Fanduel!L2=0,1,0))</f>
        <v>18.194999694824201</v>
      </c>
      <c r="G2" s="35">
        <f>Fanduel!H2</f>
        <v>9100</v>
      </c>
      <c r="H2">
        <f>IF($D2=H$1,$C2*1,0)</f>
        <v>0</v>
      </c>
      <c r="I2">
        <f t="shared" ref="I2:K2" si="0">IF($D2=I$1,$C2*1,0)</f>
        <v>0</v>
      </c>
      <c r="J2">
        <f t="shared" si="0"/>
        <v>0</v>
      </c>
      <c r="K2">
        <f t="shared" si="0"/>
        <v>0</v>
      </c>
      <c r="N2" s="2" t="s">
        <v>1</v>
      </c>
      <c r="O2" s="2">
        <v>2</v>
      </c>
      <c r="P2">
        <f>SUM(H2:H339)</f>
        <v>0</v>
      </c>
      <c r="T2">
        <f>SUM(C:C)</f>
        <v>9</v>
      </c>
    </row>
    <row r="3" spans="1:20" x14ac:dyDescent="0.25">
      <c r="A3">
        <f t="shared" ref="A3:A65" si="1">IF(C3=1,D3,0)</f>
        <v>0</v>
      </c>
      <c r="B3">
        <f>IF(C3=0,0,A3&amp;" "&amp;COUNTIF($A$1:$A3,A3))</f>
        <v>0</v>
      </c>
      <c r="C3" s="1">
        <v>0</v>
      </c>
      <c r="D3" s="42" t="str">
        <f>Fanduel!B3</f>
        <v>G</v>
      </c>
      <c r="E3" s="2" t="str">
        <f>Fanduel!D3</f>
        <v>Jake Allen</v>
      </c>
      <c r="F3" s="2">
        <f>(Fanduel!F3)*(IF(Fanduel!L3=0,1,0))</f>
        <v>18.494117288028399</v>
      </c>
      <c r="G3" s="35">
        <f>Fanduel!H3</f>
        <v>8800</v>
      </c>
      <c r="H3">
        <f t="shared" ref="H3:K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M3" s="2"/>
      <c r="N3" s="2" t="s">
        <v>71</v>
      </c>
      <c r="O3" s="2">
        <v>4</v>
      </c>
      <c r="P3">
        <f>SUM(I2:I339)</f>
        <v>4</v>
      </c>
    </row>
    <row r="4" spans="1:20" x14ac:dyDescent="0.25">
      <c r="A4">
        <f t="shared" si="1"/>
        <v>0</v>
      </c>
      <c r="B4">
        <f>IF(C4=0,0,A4&amp;" "&amp;COUNTIF($A$1:$A4,A4))</f>
        <v>0</v>
      </c>
      <c r="C4" s="1">
        <v>0</v>
      </c>
      <c r="D4" s="42" t="str">
        <f>Fanduel!B4</f>
        <v>G</v>
      </c>
      <c r="E4" s="2" t="str">
        <f>Fanduel!D4</f>
        <v>Ben Bishop</v>
      </c>
      <c r="F4" s="2">
        <f>(Fanduel!F4)*(IF(Fanduel!L4=0,1,0))</f>
        <v>15.449999809265099</v>
      </c>
      <c r="G4" s="35">
        <f>Fanduel!H4</f>
        <v>8600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M4" s="2"/>
      <c r="N4" s="2" t="s">
        <v>73</v>
      </c>
      <c r="O4" s="2">
        <v>2</v>
      </c>
      <c r="P4">
        <f>SUM(J2:J339)</f>
        <v>2</v>
      </c>
    </row>
    <row r="5" spans="1:20" x14ac:dyDescent="0.25">
      <c r="A5">
        <f t="shared" si="1"/>
        <v>0</v>
      </c>
      <c r="B5">
        <f>IF(C5=0,0,A5&amp;" "&amp;COUNTIF($A$1:$A5,A5))</f>
        <v>0</v>
      </c>
      <c r="C5" s="1">
        <v>0</v>
      </c>
      <c r="D5" s="42" t="str">
        <f>Fanduel!B5</f>
        <v>G</v>
      </c>
      <c r="E5" s="2" t="str">
        <f>Fanduel!D5</f>
        <v>Carey Price</v>
      </c>
      <c r="F5" s="2">
        <f>(Fanduel!F5)*(IF(Fanduel!L5=0,1,0))</f>
        <v>0</v>
      </c>
      <c r="G5" s="35">
        <f>Fanduel!H5</f>
        <v>8400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M5" s="2"/>
      <c r="N5" s="2" t="s">
        <v>66</v>
      </c>
      <c r="O5" s="2">
        <v>1</v>
      </c>
      <c r="P5">
        <f>SUM(K2:K339)</f>
        <v>3</v>
      </c>
    </row>
    <row r="6" spans="1:20" x14ac:dyDescent="0.25">
      <c r="A6">
        <f t="shared" si="1"/>
        <v>0</v>
      </c>
      <c r="B6">
        <f>IF(C6=0,0,A6&amp;" "&amp;COUNTIF($A$1:$A6,A6))</f>
        <v>0</v>
      </c>
      <c r="C6" s="1">
        <v>0</v>
      </c>
      <c r="D6" s="42" t="str">
        <f>Fanduel!B6</f>
        <v>G</v>
      </c>
      <c r="E6" s="2" t="str">
        <f>Fanduel!D6</f>
        <v>Carter Hutton</v>
      </c>
      <c r="F6" s="2">
        <f>(Fanduel!F6)*(IF(Fanduel!L6=0,1,0))</f>
        <v>24.4800003051757</v>
      </c>
      <c r="G6" s="35">
        <f>Fanduel!H6</f>
        <v>8400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M6" s="2"/>
      <c r="O6">
        <v>0</v>
      </c>
      <c r="P6">
        <v>0</v>
      </c>
    </row>
    <row r="7" spans="1:20" x14ac:dyDescent="0.25">
      <c r="A7">
        <f t="shared" si="1"/>
        <v>0</v>
      </c>
      <c r="B7">
        <f>IF(C7=0,0,A7&amp;" "&amp;COUNTIF($A$1:$A7,A7))</f>
        <v>0</v>
      </c>
      <c r="C7" s="1">
        <v>0</v>
      </c>
      <c r="D7" s="42" t="str">
        <f>Fanduel!B7</f>
        <v>W</v>
      </c>
      <c r="E7" s="2" t="str">
        <f>Fanduel!D7</f>
        <v>Vladimir Tarasenko</v>
      </c>
      <c r="F7" s="2">
        <f>(Fanduel!F7)*(IF(Fanduel!L7=0,1,0))</f>
        <v>18.1238098144531</v>
      </c>
      <c r="G7" s="35">
        <f>Fanduel!H7</f>
        <v>8300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M7" s="2"/>
    </row>
    <row r="8" spans="1:20" x14ac:dyDescent="0.25">
      <c r="A8">
        <f t="shared" si="1"/>
        <v>0</v>
      </c>
      <c r="B8">
        <f>IF(C8=0,0,A8&amp;" "&amp;COUNTIF($A$1:$A8,A8))</f>
        <v>0</v>
      </c>
      <c r="C8" s="1">
        <v>0</v>
      </c>
      <c r="D8" s="42" t="str">
        <f>Fanduel!B8</f>
        <v>G</v>
      </c>
      <c r="E8" s="2" t="str">
        <f>Fanduel!D8</f>
        <v>Cam Talbot</v>
      </c>
      <c r="F8" s="2">
        <f>(Fanduel!F8)*(IF(Fanduel!L8=0,1,0))</f>
        <v>15.3333333333333</v>
      </c>
      <c r="G8" s="35">
        <f>Fanduel!H8</f>
        <v>8300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M8" s="2"/>
      <c r="N8" t="s">
        <v>10</v>
      </c>
      <c r="O8">
        <f>SUMPRODUCT(C2:C239,G2:G239)</f>
        <v>54100</v>
      </c>
    </row>
    <row r="9" spans="1:20" x14ac:dyDescent="0.25">
      <c r="A9">
        <f t="shared" si="1"/>
        <v>0</v>
      </c>
      <c r="B9">
        <f>IF(C9=0,0,A9&amp;" "&amp;COUNTIF($A$1:$A9,A9))</f>
        <v>0</v>
      </c>
      <c r="C9" s="1">
        <v>0</v>
      </c>
      <c r="D9" s="42" t="str">
        <f>Fanduel!B9</f>
        <v>W</v>
      </c>
      <c r="E9" s="2" t="str">
        <f>Fanduel!D9</f>
        <v>Jamie Benn</v>
      </c>
      <c r="F9" s="2">
        <f>(Fanduel!F9)*(IF(Fanduel!L9=0,1,0))</f>
        <v>16.8</v>
      </c>
      <c r="G9" s="35">
        <f>Fanduel!H9</f>
        <v>8200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M9" s="2"/>
      <c r="N9" t="s">
        <v>11</v>
      </c>
      <c r="O9">
        <v>55000</v>
      </c>
    </row>
    <row r="10" spans="1:20" x14ac:dyDescent="0.25">
      <c r="A10">
        <f t="shared" si="1"/>
        <v>0</v>
      </c>
      <c r="B10">
        <f>IF(C10=0,0,A10&amp;" "&amp;COUNTIF($A$1:$A10,A10))</f>
        <v>0</v>
      </c>
      <c r="C10" s="1">
        <v>0</v>
      </c>
      <c r="D10" s="42" t="str">
        <f>Fanduel!B10</f>
        <v>G</v>
      </c>
      <c r="E10" s="2" t="str">
        <f>Fanduel!D10</f>
        <v>Charlie Lindgren</v>
      </c>
      <c r="F10" s="2">
        <f>(Fanduel!F10)*(IF(Fanduel!L10=0,1,0))</f>
        <v>20</v>
      </c>
      <c r="G10" s="35">
        <f>Fanduel!H10</f>
        <v>8000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M10" s="2"/>
    </row>
    <row r="11" spans="1:20" x14ac:dyDescent="0.25">
      <c r="A11">
        <f t="shared" si="1"/>
        <v>0</v>
      </c>
      <c r="B11">
        <f>IF(C11=0,0,A11&amp;" "&amp;COUNTIF($A$1:$A11,A11))</f>
        <v>0</v>
      </c>
      <c r="C11" s="1">
        <v>0</v>
      </c>
      <c r="D11" s="42" t="str">
        <f>Fanduel!B11</f>
        <v>C</v>
      </c>
      <c r="E11" s="2" t="str">
        <f>Fanduel!D11</f>
        <v>Tyler Seguin</v>
      </c>
      <c r="F11" s="2">
        <f>(Fanduel!F11)*(IF(Fanduel!L11=0,1,0))</f>
        <v>15.6149993896484</v>
      </c>
      <c r="G11" s="35">
        <f>Fanduel!H11</f>
        <v>8000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M11" s="2"/>
      <c r="N11" t="s">
        <v>12</v>
      </c>
      <c r="O11">
        <f>SUMPRODUCT(C2:C339,F2:F339)</f>
        <v>67.792143449329018</v>
      </c>
      <c r="P11">
        <f>O11-0.1</f>
        <v>67.692143449329023</v>
      </c>
    </row>
    <row r="12" spans="1:20" x14ac:dyDescent="0.25">
      <c r="A12">
        <f t="shared" si="1"/>
        <v>0</v>
      </c>
      <c r="B12">
        <f>IF(C12=0,0,A12&amp;" "&amp;COUNTIF($A$1:$A12,A12))</f>
        <v>0</v>
      </c>
      <c r="C12" s="1">
        <v>0</v>
      </c>
      <c r="D12" s="42" t="str">
        <f>Fanduel!B12</f>
        <v>G</v>
      </c>
      <c r="E12" s="2" t="str">
        <f>Fanduel!D12</f>
        <v>Anders Nilsson</v>
      </c>
      <c r="F12" s="2">
        <f>(Fanduel!F12)*(IF(Fanduel!L12=0,1,0))</f>
        <v>23.466667175292901</v>
      </c>
      <c r="G12" s="35">
        <f>Fanduel!H12</f>
        <v>7800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M12" s="2"/>
      <c r="O12">
        <v>129.84813349697214</v>
      </c>
      <c r="P12" t="s">
        <v>65</v>
      </c>
    </row>
    <row r="13" spans="1:20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42" t="str">
        <f>Fanduel!B13</f>
        <v>G</v>
      </c>
      <c r="E13" s="2" t="str">
        <f>Fanduel!D13</f>
        <v>Brian Elliott</v>
      </c>
      <c r="F13" s="2">
        <f>(Fanduel!F13)*(IF(Fanduel!L13=0,1,0))</f>
        <v>15.3714283534458</v>
      </c>
      <c r="G13" s="35">
        <f>Fanduel!H13</f>
        <v>7700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M13" s="2"/>
      <c r="N13" t="s">
        <v>13</v>
      </c>
      <c r="O13">
        <v>9</v>
      </c>
    </row>
    <row r="14" spans="1:20" x14ac:dyDescent="0.25">
      <c r="A14" t="str">
        <f t="shared" si="1"/>
        <v>W</v>
      </c>
      <c r="B14" t="str">
        <f>IF(C14=0,0,A14&amp;" "&amp;COUNTIF($A$1:$A14,A14))</f>
        <v>W 1</v>
      </c>
      <c r="C14" s="1">
        <v>1</v>
      </c>
      <c r="D14" s="42" t="str">
        <f>Fanduel!B14</f>
        <v>W</v>
      </c>
      <c r="E14" s="2" t="str">
        <f>Fanduel!D14</f>
        <v>Jakub Voracek</v>
      </c>
      <c r="F14" s="2">
        <f>(Fanduel!F14)*(IF(Fanduel!L14=0,1,0))</f>
        <v>17.2</v>
      </c>
      <c r="G14" s="35">
        <f>Fanduel!H14</f>
        <v>7700</v>
      </c>
      <c r="H14">
        <f t="shared" si="2"/>
        <v>0</v>
      </c>
      <c r="I14">
        <f t="shared" si="2"/>
        <v>1</v>
      </c>
      <c r="J14">
        <f t="shared" si="2"/>
        <v>0</v>
      </c>
      <c r="K14">
        <f t="shared" si="2"/>
        <v>0</v>
      </c>
      <c r="M14" s="2"/>
      <c r="N14" t="s">
        <v>14</v>
      </c>
      <c r="O14">
        <f>SUM(C:C)</f>
        <v>9</v>
      </c>
    </row>
    <row r="15" spans="1:20" x14ac:dyDescent="0.25">
      <c r="A15">
        <f t="shared" si="1"/>
        <v>0</v>
      </c>
      <c r="B15">
        <f>IF(C15=0,0,A15&amp;" "&amp;COUNTIF($A$1:$A15,A15))</f>
        <v>0</v>
      </c>
      <c r="C15" s="1">
        <v>0</v>
      </c>
      <c r="D15" s="42" t="str">
        <f>Fanduel!B15</f>
        <v>G</v>
      </c>
      <c r="E15" s="2" t="str">
        <f>Fanduel!D15</f>
        <v>Jacob Markstrom</v>
      </c>
      <c r="F15" s="2">
        <f>(Fanduel!F15)*(IF(Fanduel!L15=0,1,0))</f>
        <v>14.5066670735677</v>
      </c>
      <c r="G15" s="35">
        <f>Fanduel!H15</f>
        <v>7600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M15" s="2"/>
    </row>
    <row r="16" spans="1:20" x14ac:dyDescent="0.25">
      <c r="A16" t="str">
        <f t="shared" si="1"/>
        <v>G</v>
      </c>
      <c r="B16" t="str">
        <f>IF(C16=0,0,A16&amp;" "&amp;COUNTIF($A$1:$A16,A16))</f>
        <v>G 1</v>
      </c>
      <c r="C16" s="1">
        <v>1</v>
      </c>
      <c r="D16" s="42" t="str">
        <f>Fanduel!B16</f>
        <v>G</v>
      </c>
      <c r="E16" s="2" t="str">
        <f>Fanduel!D16</f>
        <v>Michal Neuvirth</v>
      </c>
      <c r="F16" s="2">
        <f>(Fanduel!F16)*(IF(Fanduel!L16=0,1,0))</f>
        <v>18.933333079020102</v>
      </c>
      <c r="G16" s="35">
        <f>Fanduel!H16</f>
        <v>7500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1</v>
      </c>
      <c r="M16" s="2"/>
      <c r="N16" t="s">
        <v>16</v>
      </c>
    </row>
    <row r="17" spans="1:16" x14ac:dyDescent="0.25">
      <c r="A17">
        <f t="shared" si="1"/>
        <v>0</v>
      </c>
      <c r="B17">
        <f>IF(C17=0,0,A17&amp;" "&amp;COUNTIF($A$1:$A17,A17))</f>
        <v>0</v>
      </c>
      <c r="C17" s="1">
        <v>0</v>
      </c>
      <c r="D17" s="42" t="str">
        <f>Fanduel!B17</f>
        <v>G</v>
      </c>
      <c r="E17" s="2" t="str">
        <f>Fanduel!D17</f>
        <v>Al Montoya</v>
      </c>
      <c r="F17" s="2">
        <f>(Fanduel!F17)*(IF(Fanduel!L17=0,1,0))</f>
        <v>0</v>
      </c>
      <c r="G17" s="35">
        <f>Fanduel!H17</f>
        <v>7400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M17" s="2"/>
      <c r="N17" s="2" t="s">
        <v>23</v>
      </c>
      <c r="O17" t="e">
        <f>VLOOKUP(N17,$B$2:$F$201,4,FALSE)</f>
        <v>#N/A</v>
      </c>
      <c r="P17" t="e">
        <f>VLOOKUP(O17,Fanduel!$D$2:$N$383,11,FALSE)</f>
        <v>#N/A</v>
      </c>
    </row>
    <row r="18" spans="1:16" x14ac:dyDescent="0.25">
      <c r="A18">
        <f t="shared" si="1"/>
        <v>0</v>
      </c>
      <c r="B18">
        <f>IF(C18=0,0,A18&amp;" "&amp;COUNTIF($A$1:$A18,A18))</f>
        <v>0</v>
      </c>
      <c r="C18" s="1">
        <v>0</v>
      </c>
      <c r="D18" s="42" t="str">
        <f>Fanduel!B18</f>
        <v>G</v>
      </c>
      <c r="E18" s="2" t="str">
        <f>Fanduel!D18</f>
        <v>Laurent Brossoit</v>
      </c>
      <c r="F18" s="2">
        <f>(Fanduel!F18)*(IF(Fanduel!L18=0,1,0))</f>
        <v>3.7999999523162802</v>
      </c>
      <c r="G18" s="35">
        <f>Fanduel!H18</f>
        <v>7400</v>
      </c>
      <c r="H18">
        <f t="shared" si="2"/>
        <v>0</v>
      </c>
      <c r="I18">
        <f t="shared" si="2"/>
        <v>0</v>
      </c>
      <c r="J18">
        <f t="shared" si="2"/>
        <v>0</v>
      </c>
      <c r="K18">
        <f t="shared" si="2"/>
        <v>0</v>
      </c>
      <c r="M18" s="2"/>
      <c r="N18" s="2" t="s">
        <v>116</v>
      </c>
      <c r="O18" s="2" t="e">
        <f>VLOOKUP(N18,$B$2:$F$200,4,FALSE)</f>
        <v>#N/A</v>
      </c>
      <c r="P18" s="2" t="e">
        <f>VLOOKUP(O18,Fanduel!$D$2:$N$383,11,FALSE)</f>
        <v>#N/A</v>
      </c>
    </row>
    <row r="19" spans="1:16" x14ac:dyDescent="0.25">
      <c r="A19" t="str">
        <f t="shared" si="1"/>
        <v>G</v>
      </c>
      <c r="B19" t="str">
        <f>IF(C19=0,0,A19&amp;" "&amp;COUNTIF($A$1:$A19,A19))</f>
        <v>G 2</v>
      </c>
      <c r="C19" s="1">
        <v>1</v>
      </c>
      <c r="D19" s="42" t="str">
        <f>Fanduel!B19</f>
        <v>G</v>
      </c>
      <c r="E19" s="2" t="str">
        <f>Fanduel!D19</f>
        <v>Kari Lehtonen</v>
      </c>
      <c r="F19" s="2">
        <f>(Fanduel!F19)*(IF(Fanduel!L19=0,1,0))</f>
        <v>0</v>
      </c>
      <c r="G19" s="35">
        <f>Fanduel!H19</f>
        <v>7300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1</v>
      </c>
      <c r="M19" s="2"/>
      <c r="N19" s="2" t="s">
        <v>117</v>
      </c>
      <c r="O19" s="2" t="str">
        <f>VLOOKUP(N19,$B$2:$F$200,4,FALSE)</f>
        <v>Jakub Voracek</v>
      </c>
      <c r="P19" s="2">
        <f>VLOOKUP(O19,Fanduel!$D$2:$N$383,11,FALSE)</f>
        <v>0</v>
      </c>
    </row>
    <row r="20" spans="1:16" x14ac:dyDescent="0.25">
      <c r="A20" t="str">
        <f t="shared" si="1"/>
        <v>G</v>
      </c>
      <c r="B20" t="str">
        <f>IF(C20=0,0,A20&amp;" "&amp;COUNTIF($A$1:$A20,A20))</f>
        <v>G 3</v>
      </c>
      <c r="C20" s="1">
        <v>1</v>
      </c>
      <c r="D20" s="42" t="str">
        <f>Fanduel!B20</f>
        <v>G</v>
      </c>
      <c r="E20" s="2" t="str">
        <f>Fanduel!D20</f>
        <v>Antti Niemi</v>
      </c>
      <c r="F20" s="2">
        <f>(Fanduel!F20)*(IF(Fanduel!L20=0,1,0))</f>
        <v>-1.3333333333333299</v>
      </c>
      <c r="G20" s="35">
        <f>Fanduel!H20</f>
        <v>7200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1</v>
      </c>
      <c r="M20" s="2"/>
      <c r="N20" s="2" t="s">
        <v>118</v>
      </c>
      <c r="O20" s="2" t="str">
        <f>VLOOKUP(N20,$B$2:$F$204,4,FALSE)</f>
        <v>Claude Giroux</v>
      </c>
      <c r="P20" s="2">
        <f>VLOOKUP(O20,Fanduel!$D$2:$N$383,11,FALSE)</f>
        <v>0</v>
      </c>
    </row>
    <row r="21" spans="1:16" x14ac:dyDescent="0.25">
      <c r="A21" t="str">
        <f t="shared" si="1"/>
        <v>W</v>
      </c>
      <c r="B21" t="str">
        <f>IF(C21=0,0,A21&amp;" "&amp;COUNTIF($A$1:$A21,A21))</f>
        <v>W 2</v>
      </c>
      <c r="C21" s="1">
        <v>1</v>
      </c>
      <c r="D21" s="42" t="str">
        <f>Fanduel!B21</f>
        <v>W</v>
      </c>
      <c r="E21" s="2" t="str">
        <f>Fanduel!D21</f>
        <v>Claude Giroux</v>
      </c>
      <c r="F21" s="2">
        <f>(Fanduel!F21)*(IF(Fanduel!L21=0,1,0))</f>
        <v>14.0850006103515</v>
      </c>
      <c r="G21" s="35">
        <f>Fanduel!H21</f>
        <v>7200</v>
      </c>
      <c r="H21">
        <f t="shared" si="2"/>
        <v>0</v>
      </c>
      <c r="I21">
        <f t="shared" si="2"/>
        <v>1</v>
      </c>
      <c r="J21">
        <f t="shared" si="2"/>
        <v>0</v>
      </c>
      <c r="K21">
        <f t="shared" si="2"/>
        <v>0</v>
      </c>
      <c r="M21" s="2"/>
      <c r="N21" s="2" t="s">
        <v>119</v>
      </c>
      <c r="O21" s="2" t="str">
        <f>VLOOKUP(N21,$B$2:$F$205,4,FALSE)</f>
        <v>Leon Draisaitl</v>
      </c>
      <c r="P21" s="2">
        <f>VLOOKUP(O21,Fanduel!$D$2:$N$383,11,FALSE)</f>
        <v>0</v>
      </c>
    </row>
    <row r="22" spans="1:16" x14ac:dyDescent="0.25">
      <c r="A22" t="str">
        <f t="shared" si="1"/>
        <v>W</v>
      </c>
      <c r="B22" t="str">
        <f>IF(C22=0,0,A22&amp;" "&amp;COUNTIF($A$1:$A22,A22))</f>
        <v>W 3</v>
      </c>
      <c r="C22" s="1">
        <v>1</v>
      </c>
      <c r="D22" s="42" t="str">
        <f>Fanduel!B22</f>
        <v>W</v>
      </c>
      <c r="E22" s="2" t="str">
        <f>Fanduel!D22</f>
        <v>Leon Draisaitl</v>
      </c>
      <c r="F22" s="2">
        <f>(Fanduel!F22)*(IF(Fanduel!L22=0,1,0))</f>
        <v>12.8500003814697</v>
      </c>
      <c r="G22" s="35">
        <f>Fanduel!H22</f>
        <v>7200</v>
      </c>
      <c r="H22">
        <f t="shared" si="2"/>
        <v>0</v>
      </c>
      <c r="I22">
        <f t="shared" si="2"/>
        <v>1</v>
      </c>
      <c r="J22">
        <f t="shared" si="2"/>
        <v>0</v>
      </c>
      <c r="K22">
        <f t="shared" si="2"/>
        <v>0</v>
      </c>
      <c r="M22" s="2"/>
      <c r="N22" s="2" t="s">
        <v>120</v>
      </c>
      <c r="O22" s="2" t="str">
        <f>VLOOKUP(N22,$B$2:$F$206,4,FALSE)</f>
        <v>Nikita Scherbak</v>
      </c>
      <c r="P22" s="2">
        <f>VLOOKUP(O22,Fanduel!$D$2:$N$383,11,FALSE)</f>
        <v>0</v>
      </c>
    </row>
    <row r="23" spans="1:16" x14ac:dyDescent="0.25">
      <c r="A23">
        <f t="shared" si="1"/>
        <v>0</v>
      </c>
      <c r="B23">
        <f>IF(C23=0,0,A23&amp;" "&amp;COUNTIF($A$1:$A23,A23))</f>
        <v>0</v>
      </c>
      <c r="C23" s="1">
        <v>0</v>
      </c>
      <c r="D23" s="42" t="str">
        <f>Fanduel!B23</f>
        <v>C</v>
      </c>
      <c r="E23" s="2" t="str">
        <f>Fanduel!D23</f>
        <v>Brayden Schenn</v>
      </c>
      <c r="F23" s="2">
        <f>(Fanduel!F23)*(IF(Fanduel!L23=0,1,0))</f>
        <v>16.547619047619001</v>
      </c>
      <c r="G23" s="35">
        <f>Fanduel!H23</f>
        <v>7100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M23" s="2"/>
      <c r="N23" s="2" t="s">
        <v>121</v>
      </c>
      <c r="O23" s="2" t="str">
        <f>VLOOKUP(N23,$B$2:$F$207,4,FALSE)</f>
        <v>David Schlemko</v>
      </c>
      <c r="P23" s="2">
        <f>VLOOKUP(O23,Fanduel!$D$2:$N$383,11,FALSE)</f>
        <v>0</v>
      </c>
    </row>
    <row r="24" spans="1:16" x14ac:dyDescent="0.25">
      <c r="A24">
        <f t="shared" si="1"/>
        <v>0</v>
      </c>
      <c r="B24">
        <f>IF(C24=0,0,A24&amp;" "&amp;COUNTIF($A$1:$A24,A24))</f>
        <v>0</v>
      </c>
      <c r="C24" s="1">
        <v>0</v>
      </c>
      <c r="D24" s="42" t="str">
        <f>Fanduel!B24</f>
        <v>G</v>
      </c>
      <c r="E24" s="2" t="str">
        <f>Fanduel!D24</f>
        <v>Mike McKenna</v>
      </c>
      <c r="F24" s="2">
        <f>(Fanduel!F24)*(IF(Fanduel!L24=0,1,0))</f>
        <v>0</v>
      </c>
      <c r="G24" s="35">
        <f>Fanduel!H24</f>
        <v>7100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M24" s="2"/>
      <c r="N24" s="2" t="s">
        <v>122</v>
      </c>
      <c r="O24" s="2" t="str">
        <f>VLOOKUP(N24,$B$2:$F$208,4,FALSE)</f>
        <v>Robert Bortuzzo</v>
      </c>
      <c r="P24" s="2">
        <f>VLOOKUP(O24,Fanduel!$D$2:$N$383,11,FALSE)</f>
        <v>0</v>
      </c>
    </row>
    <row r="25" spans="1:16" x14ac:dyDescent="0.25">
      <c r="A25">
        <f t="shared" si="1"/>
        <v>0</v>
      </c>
      <c r="B25">
        <f>IF(C25=0,0,A25&amp;" "&amp;COUNTIF($A$1:$A25,A25))</f>
        <v>0</v>
      </c>
      <c r="C25" s="1">
        <v>0</v>
      </c>
      <c r="D25" s="42" t="str">
        <f>Fanduel!B25</f>
        <v>W</v>
      </c>
      <c r="E25" s="2" t="str">
        <f>Fanduel!D25</f>
        <v>Max Pacioretty</v>
      </c>
      <c r="F25" s="2">
        <f>(Fanduel!F25)*(IF(Fanduel!L25=0,1,0))</f>
        <v>14.095238095238001</v>
      </c>
      <c r="G25" s="35">
        <f>Fanduel!H25</f>
        <v>6900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M25" s="2"/>
      <c r="N25" s="2" t="s">
        <v>123</v>
      </c>
      <c r="O25" s="2" t="str">
        <f>VLOOKUP(N25,$B$2:$F$209,4,FALSE)</f>
        <v>Michal Neuvirth</v>
      </c>
      <c r="P25" s="2">
        <f>VLOOKUP(O25,Fanduel!$D$2:$N$383,11,FALSE)</f>
        <v>0</v>
      </c>
    </row>
    <row r="26" spans="1:16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42" t="str">
        <f>Fanduel!B26</f>
        <v>W</v>
      </c>
      <c r="E26" s="2" t="str">
        <f>Fanduel!D26</f>
        <v>Jaden Schwartz</v>
      </c>
      <c r="F26" s="2">
        <f>(Fanduel!F26)*(IF(Fanduel!L26=0,1,0))</f>
        <v>16.019047328404</v>
      </c>
      <c r="G26" s="35">
        <f>Fanduel!H26</f>
        <v>6800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M26" s="2"/>
    </row>
    <row r="27" spans="1:16" x14ac:dyDescent="0.25">
      <c r="A27">
        <f t="shared" si="1"/>
        <v>0</v>
      </c>
      <c r="B27">
        <f>IF(C27=0,0,A27&amp;" "&amp;COUNTIF($A$1:$A27,A27))</f>
        <v>0</v>
      </c>
      <c r="C27" s="1">
        <v>0</v>
      </c>
      <c r="D27" s="42" t="str">
        <f>Fanduel!B27</f>
        <v>C</v>
      </c>
      <c r="E27" s="2" t="str">
        <f>Fanduel!D27</f>
        <v>Sean Couturier</v>
      </c>
      <c r="F27" s="2">
        <f>(Fanduel!F27)*(IF(Fanduel!L27=0,1,0))</f>
        <v>17.435000610351501</v>
      </c>
      <c r="G27" s="35">
        <f>Fanduel!H27</f>
        <v>6700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0</v>
      </c>
      <c r="M27" s="2"/>
    </row>
    <row r="28" spans="1:16" x14ac:dyDescent="0.25">
      <c r="A28">
        <f t="shared" si="1"/>
        <v>0</v>
      </c>
      <c r="B28">
        <f>IF(C28=0,0,A28&amp;" "&amp;COUNTIF($A$1:$A28,A28))</f>
        <v>0</v>
      </c>
      <c r="C28" s="1">
        <v>0</v>
      </c>
      <c r="D28" s="42" t="str">
        <f>Fanduel!B28</f>
        <v>W</v>
      </c>
      <c r="E28" s="2" t="str">
        <f>Fanduel!D28</f>
        <v>Alexander Radulov</v>
      </c>
      <c r="F28" s="2">
        <f>(Fanduel!F28)*(IF(Fanduel!L28=0,1,0))</f>
        <v>14.2399993896484</v>
      </c>
      <c r="G28" s="35">
        <f>Fanduel!H28</f>
        <v>6600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M28" s="2"/>
    </row>
    <row r="29" spans="1:16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42" t="str">
        <f>Fanduel!B29</f>
        <v>D</v>
      </c>
      <c r="E29" s="2" t="str">
        <f>Fanduel!D29</f>
        <v>Alex Pietrangelo</v>
      </c>
      <c r="F29" s="2">
        <f>(Fanduel!F29)*(IF(Fanduel!L29=0,1,0))</f>
        <v>16.733333042689701</v>
      </c>
      <c r="G29" s="35">
        <f>Fanduel!H29</f>
        <v>6200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M29" s="2"/>
    </row>
    <row r="30" spans="1:16" x14ac:dyDescent="0.25">
      <c r="A30">
        <f t="shared" si="1"/>
        <v>0</v>
      </c>
      <c r="B30">
        <f>IF(C30=0,0,A30&amp;" "&amp;COUNTIF($A$1:$A30,A30))</f>
        <v>0</v>
      </c>
      <c r="C30" s="1">
        <v>0</v>
      </c>
      <c r="D30" s="42" t="str">
        <f>Fanduel!B30</f>
        <v>D</v>
      </c>
      <c r="E30" s="2" t="str">
        <f>Fanduel!D30</f>
        <v>John Klingberg</v>
      </c>
      <c r="F30" s="2">
        <f>(Fanduel!F30)*(IF(Fanduel!L30=0,1,0))</f>
        <v>15.160000610351499</v>
      </c>
      <c r="G30" s="35">
        <f>Fanduel!H30</f>
        <v>6000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M30" s="2"/>
    </row>
    <row r="31" spans="1:16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42" t="str">
        <f>Fanduel!B31</f>
        <v>C</v>
      </c>
      <c r="E31" s="2" t="str">
        <f>Fanduel!D31</f>
        <v>Bo Horvat</v>
      </c>
      <c r="F31" s="2">
        <f>(Fanduel!F31)*(IF(Fanduel!L31=0,1,0))</f>
        <v>12.444999694824199</v>
      </c>
      <c r="G31" s="35">
        <f>Fanduel!H31</f>
        <v>6000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M31" s="2"/>
    </row>
    <row r="32" spans="1:16" x14ac:dyDescent="0.25">
      <c r="A32">
        <f t="shared" si="1"/>
        <v>0</v>
      </c>
      <c r="B32">
        <f>IF(C32=0,0,A32&amp;" "&amp;COUNTIF($A$1:$A32,A32))</f>
        <v>0</v>
      </c>
      <c r="C32" s="1">
        <v>0</v>
      </c>
      <c r="D32" s="42" t="str">
        <f>Fanduel!B32</f>
        <v>W</v>
      </c>
      <c r="E32" s="2" t="str">
        <f>Fanduel!D32</f>
        <v>Patrick Maroon</v>
      </c>
      <c r="F32" s="2">
        <f>(Fanduel!F32)*(IF(Fanduel!L32=0,1,0))</f>
        <v>10.5949996948242</v>
      </c>
      <c r="G32" s="35">
        <f>Fanduel!H32</f>
        <v>5600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M32" s="2"/>
    </row>
    <row r="33" spans="1:13" x14ac:dyDescent="0.25">
      <c r="A33">
        <f t="shared" si="1"/>
        <v>0</v>
      </c>
      <c r="B33">
        <f>IF(C33=0,0,A33&amp;" "&amp;COUNTIF($A$1:$A33,A33))</f>
        <v>0</v>
      </c>
      <c r="C33" s="1">
        <v>0</v>
      </c>
      <c r="D33" s="42" t="str">
        <f>Fanduel!B33</f>
        <v>W</v>
      </c>
      <c r="E33" s="2" t="str">
        <f>Fanduel!D33</f>
        <v>Brendan Gallagher</v>
      </c>
      <c r="F33" s="2">
        <f>(Fanduel!F33)*(IF(Fanduel!L33=0,1,0))</f>
        <v>12.128571283249601</v>
      </c>
      <c r="G33" s="35">
        <f>Fanduel!H33</f>
        <v>5600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M33" s="2"/>
    </row>
    <row r="34" spans="1:13" x14ac:dyDescent="0.25">
      <c r="A34">
        <f t="shared" si="1"/>
        <v>0</v>
      </c>
      <c r="B34">
        <f>IF(C34=0,0,A34&amp;" "&amp;COUNTIF($A$1:$A34,A34))</f>
        <v>0</v>
      </c>
      <c r="C34" s="1">
        <v>0</v>
      </c>
      <c r="D34" s="42" t="str">
        <f>Fanduel!B34</f>
        <v>D</v>
      </c>
      <c r="E34" s="2" t="str">
        <f>Fanduel!D34</f>
        <v>Shayne Gostisbehere</v>
      </c>
      <c r="F34" s="2">
        <f>(Fanduel!F34)*(IF(Fanduel!L34=0,1,0))</f>
        <v>13.8941174675436</v>
      </c>
      <c r="G34" s="35">
        <f>Fanduel!H34</f>
        <v>5600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M34" s="2"/>
    </row>
    <row r="35" spans="1:13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42" t="str">
        <f>Fanduel!B35</f>
        <v>C</v>
      </c>
      <c r="E35" s="2" t="str">
        <f>Fanduel!D35</f>
        <v>Jonathan Drouin</v>
      </c>
      <c r="F35" s="2">
        <f>(Fanduel!F35)*(IF(Fanduel!L35=0,1,0))</f>
        <v>10.9650001525878</v>
      </c>
      <c r="G35" s="35">
        <f>Fanduel!H35</f>
        <v>5500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M35" s="2"/>
    </row>
    <row r="36" spans="1:13" x14ac:dyDescent="0.25">
      <c r="A36">
        <f t="shared" si="1"/>
        <v>0</v>
      </c>
      <c r="B36">
        <f>IF(C36=0,0,A36&amp;" "&amp;COUNTIF($A$1:$A36,A36))</f>
        <v>0</v>
      </c>
      <c r="C36" s="1">
        <v>0</v>
      </c>
      <c r="D36" s="42" t="str">
        <f>Fanduel!B36</f>
        <v>W</v>
      </c>
      <c r="E36" s="2" t="str">
        <f>Fanduel!D36</f>
        <v>Alexander Steen</v>
      </c>
      <c r="F36" s="2">
        <f>(Fanduel!F36)*(IF(Fanduel!L36=0,1,0))</f>
        <v>11.066666666666601</v>
      </c>
      <c r="G36" s="35">
        <f>Fanduel!H36</f>
        <v>5500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M36" s="2"/>
    </row>
    <row r="37" spans="1:13" x14ac:dyDescent="0.25">
      <c r="A37">
        <f t="shared" si="1"/>
        <v>0</v>
      </c>
      <c r="B37">
        <f>IF(C37=0,0,A37&amp;" "&amp;COUNTIF($A$1:$A37,A37))</f>
        <v>0</v>
      </c>
      <c r="C37" s="1">
        <v>0</v>
      </c>
      <c r="D37" s="42" t="str">
        <f>Fanduel!B37</f>
        <v>D</v>
      </c>
      <c r="E37" s="2" t="str">
        <f>Fanduel!D37</f>
        <v>Oscar Klefbom</v>
      </c>
      <c r="F37" s="2">
        <f>(Fanduel!F37)*(IF(Fanduel!L37=0,1,0))</f>
        <v>11.2699996948242</v>
      </c>
      <c r="G37" s="35">
        <f>Fanduel!H37</f>
        <v>5400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M37" s="2"/>
    </row>
    <row r="38" spans="1:13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42" t="str">
        <f>Fanduel!B38</f>
        <v>W</v>
      </c>
      <c r="E38" s="2" t="str">
        <f>Fanduel!D38</f>
        <v>Brock Boeser</v>
      </c>
      <c r="F38" s="2">
        <f>(Fanduel!F38)*(IF(Fanduel!L38=0,1,0))</f>
        <v>14.558823529411701</v>
      </c>
      <c r="G38" s="35">
        <f>Fanduel!H38</f>
        <v>5400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M38" s="2"/>
    </row>
    <row r="39" spans="1:13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42" t="str">
        <f>Fanduel!B39</f>
        <v>C</v>
      </c>
      <c r="E39" s="2" t="str">
        <f>Fanduel!D39</f>
        <v>Paul Stastny</v>
      </c>
      <c r="F39" s="2">
        <f>(Fanduel!F39)*(IF(Fanduel!L39=0,1,0))</f>
        <v>12.028571719215</v>
      </c>
      <c r="G39" s="35">
        <f>Fanduel!H39</f>
        <v>5300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M39" s="2"/>
    </row>
    <row r="40" spans="1:13" x14ac:dyDescent="0.25">
      <c r="A40">
        <f t="shared" si="1"/>
        <v>0</v>
      </c>
      <c r="B40">
        <f>IF(C40=0,0,A40&amp;" "&amp;COUNTIF($A$1:$A40,A40))</f>
        <v>0</v>
      </c>
      <c r="C40" s="1">
        <v>0</v>
      </c>
      <c r="D40" s="42" t="str">
        <f>Fanduel!B40</f>
        <v>D</v>
      </c>
      <c r="E40" s="2" t="str">
        <f>Fanduel!D40</f>
        <v>Shea Weber</v>
      </c>
      <c r="F40" s="2">
        <f>(Fanduel!F40)*(IF(Fanduel!L40=0,1,0))</f>
        <v>0</v>
      </c>
      <c r="G40" s="35">
        <f>Fanduel!H40</f>
        <v>5200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M40" s="2"/>
    </row>
    <row r="41" spans="1:13" x14ac:dyDescent="0.25">
      <c r="A41">
        <f t="shared" si="1"/>
        <v>0</v>
      </c>
      <c r="B41">
        <f>IF(C41=0,0,A41&amp;" "&amp;COUNTIF($A$1:$A41,A41))</f>
        <v>0</v>
      </c>
      <c r="C41" s="1">
        <v>0</v>
      </c>
      <c r="D41" s="42" t="str">
        <f>Fanduel!B41</f>
        <v>C</v>
      </c>
      <c r="E41" s="2" t="str">
        <f>Fanduel!D41</f>
        <v>Ryan Nugent-Hopkins</v>
      </c>
      <c r="F41" s="2">
        <f>(Fanduel!F41)*(IF(Fanduel!L41=0,1,0))</f>
        <v>12.0199996948242</v>
      </c>
      <c r="G41" s="35">
        <f>Fanduel!H41</f>
        <v>5200</v>
      </c>
      <c r="H41">
        <f t="shared" si="2"/>
        <v>0</v>
      </c>
      <c r="I41">
        <f t="shared" si="2"/>
        <v>0</v>
      </c>
      <c r="J41">
        <f t="shared" ref="I41:K56" si="3">IF($D41=J$1,$C41*1,0)</f>
        <v>0</v>
      </c>
      <c r="K41">
        <f t="shared" si="3"/>
        <v>0</v>
      </c>
      <c r="M41" s="2"/>
    </row>
    <row r="42" spans="1:13" x14ac:dyDescent="0.25">
      <c r="A42">
        <f t="shared" si="1"/>
        <v>0</v>
      </c>
      <c r="B42">
        <f>IF(C42=0,0,A42&amp;" "&amp;COUNTIF($A$1:$A42,A42))</f>
        <v>0</v>
      </c>
      <c r="C42" s="1">
        <v>0</v>
      </c>
      <c r="D42" s="42" t="str">
        <f>Fanduel!B42</f>
        <v>C</v>
      </c>
      <c r="E42" s="2" t="str">
        <f>Fanduel!D42</f>
        <v>Jason Spezza</v>
      </c>
      <c r="F42" s="2">
        <f>(Fanduel!F42)*(IF(Fanduel!L42=0,1,0))</f>
        <v>7.8849998474121001</v>
      </c>
      <c r="G42" s="35">
        <f>Fanduel!H42</f>
        <v>5100</v>
      </c>
      <c r="H42">
        <f t="shared" si="2"/>
        <v>0</v>
      </c>
      <c r="I42">
        <f t="shared" si="3"/>
        <v>0</v>
      </c>
      <c r="J42">
        <f t="shared" si="3"/>
        <v>0</v>
      </c>
      <c r="K42">
        <f t="shared" si="3"/>
        <v>0</v>
      </c>
      <c r="M42" s="2"/>
    </row>
    <row r="43" spans="1:13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42" t="str">
        <f>Fanduel!B43</f>
        <v>W</v>
      </c>
      <c r="E43" s="2" t="str">
        <f>Fanduel!D43</f>
        <v>Daniel Sedin</v>
      </c>
      <c r="F43" s="2">
        <f>(Fanduel!F43)*(IF(Fanduel!L43=0,1,0))</f>
        <v>6.9949996948242097</v>
      </c>
      <c r="G43" s="35">
        <f>Fanduel!H43</f>
        <v>5100</v>
      </c>
      <c r="H43">
        <f t="shared" si="2"/>
        <v>0</v>
      </c>
      <c r="I43">
        <f t="shared" si="3"/>
        <v>0</v>
      </c>
      <c r="J43">
        <f t="shared" si="3"/>
        <v>0</v>
      </c>
      <c r="K43">
        <f t="shared" si="3"/>
        <v>0</v>
      </c>
      <c r="M43" s="2"/>
    </row>
    <row r="44" spans="1:13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42" t="str">
        <f>Fanduel!B44</f>
        <v>W</v>
      </c>
      <c r="E44" s="2" t="str">
        <f>Fanduel!D44</f>
        <v>Wayne Simmonds</v>
      </c>
      <c r="F44" s="2">
        <f>(Fanduel!F44)*(IF(Fanduel!L44=0,1,0))</f>
        <v>10.925000000000001</v>
      </c>
      <c r="G44" s="35">
        <f>Fanduel!H44</f>
        <v>5000</v>
      </c>
      <c r="H44">
        <f t="shared" si="2"/>
        <v>0</v>
      </c>
      <c r="I44">
        <f t="shared" si="3"/>
        <v>0</v>
      </c>
      <c r="J44">
        <f t="shared" si="3"/>
        <v>0</v>
      </c>
      <c r="K44">
        <f t="shared" si="3"/>
        <v>0</v>
      </c>
      <c r="M44" s="2"/>
    </row>
    <row r="45" spans="1:13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42" t="str">
        <f>Fanduel!B45</f>
        <v>W</v>
      </c>
      <c r="E45" s="2" t="str">
        <f>Fanduel!D45</f>
        <v>Milan Lucic</v>
      </c>
      <c r="F45" s="2">
        <f>(Fanduel!F45)*(IF(Fanduel!L45=0,1,0))</f>
        <v>8.8099998474121097</v>
      </c>
      <c r="G45" s="35">
        <f>Fanduel!H45</f>
        <v>4900</v>
      </c>
      <c r="H45">
        <f t="shared" si="2"/>
        <v>0</v>
      </c>
      <c r="I45">
        <f t="shared" si="3"/>
        <v>0</v>
      </c>
      <c r="J45">
        <f t="shared" si="3"/>
        <v>0</v>
      </c>
      <c r="K45">
        <f t="shared" si="3"/>
        <v>0</v>
      </c>
      <c r="M45" s="2"/>
    </row>
    <row r="46" spans="1:13" x14ac:dyDescent="0.25">
      <c r="A46">
        <f t="shared" si="1"/>
        <v>0</v>
      </c>
      <c r="B46">
        <f>IF(C46=0,0,A46&amp;" "&amp;COUNTIF($A$1:$A46,A46))</f>
        <v>0</v>
      </c>
      <c r="C46" s="1">
        <v>0</v>
      </c>
      <c r="D46" s="42" t="str">
        <f>Fanduel!B46</f>
        <v>C</v>
      </c>
      <c r="E46" s="2" t="str">
        <f>Fanduel!D46</f>
        <v>Henrik Sedin</v>
      </c>
      <c r="F46" s="2">
        <f>(Fanduel!F46)*(IF(Fanduel!L46=0,1,0))</f>
        <v>4.4249999999999998</v>
      </c>
      <c r="G46" s="35">
        <f>Fanduel!H46</f>
        <v>4800</v>
      </c>
      <c r="H46">
        <f t="shared" si="2"/>
        <v>0</v>
      </c>
      <c r="I46">
        <f t="shared" si="3"/>
        <v>0</v>
      </c>
      <c r="J46">
        <f t="shared" si="3"/>
        <v>0</v>
      </c>
      <c r="K46">
        <f t="shared" si="3"/>
        <v>0</v>
      </c>
      <c r="M46" s="2"/>
    </row>
    <row r="47" spans="1:13" x14ac:dyDescent="0.25">
      <c r="A47">
        <f t="shared" si="1"/>
        <v>0</v>
      </c>
      <c r="B47">
        <f>IF(C47=0,0,A47&amp;" "&amp;COUNTIF($A$1:$A47,A47))</f>
        <v>0</v>
      </c>
      <c r="C47" s="1">
        <v>0</v>
      </c>
      <c r="D47" s="42" t="str">
        <f>Fanduel!B47</f>
        <v>W</v>
      </c>
      <c r="E47" s="2" t="str">
        <f>Fanduel!D47</f>
        <v>Thomas Vanek</v>
      </c>
      <c r="F47" s="2">
        <f>(Fanduel!F47)*(IF(Fanduel!L47=0,1,0))</f>
        <v>9.3099998474121097</v>
      </c>
      <c r="G47" s="35">
        <f>Fanduel!H47</f>
        <v>4700</v>
      </c>
      <c r="H47">
        <f t="shared" si="2"/>
        <v>0</v>
      </c>
      <c r="I47">
        <f t="shared" si="3"/>
        <v>0</v>
      </c>
      <c r="J47">
        <f t="shared" si="3"/>
        <v>0</v>
      </c>
      <c r="K47">
        <f t="shared" si="3"/>
        <v>0</v>
      </c>
      <c r="M47" s="2"/>
    </row>
    <row r="48" spans="1:13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42" t="str">
        <f>Fanduel!B48</f>
        <v>D</v>
      </c>
      <c r="E48" s="2" t="str">
        <f>Fanduel!D48</f>
        <v>Colton Parayko</v>
      </c>
      <c r="F48" s="2">
        <f>(Fanduel!F48)*(IF(Fanduel!L48=0,1,0))</f>
        <v>9.5476190476190403</v>
      </c>
      <c r="G48" s="35">
        <f>Fanduel!H48</f>
        <v>4600</v>
      </c>
      <c r="H48">
        <f t="shared" si="2"/>
        <v>0</v>
      </c>
      <c r="I48">
        <f t="shared" si="3"/>
        <v>0</v>
      </c>
      <c r="J48">
        <f t="shared" si="3"/>
        <v>0</v>
      </c>
      <c r="K48">
        <f t="shared" si="3"/>
        <v>0</v>
      </c>
      <c r="M48" s="2"/>
    </row>
    <row r="49" spans="1:13" x14ac:dyDescent="0.25">
      <c r="A49">
        <f t="shared" si="1"/>
        <v>0</v>
      </c>
      <c r="B49">
        <f>IF(C49=0,0,A49&amp;" "&amp;COUNTIF($A$1:$A49,A49))</f>
        <v>0</v>
      </c>
      <c r="C49" s="1">
        <v>0</v>
      </c>
      <c r="D49" s="42" t="str">
        <f>Fanduel!B49</f>
        <v>W</v>
      </c>
      <c r="E49" s="2" t="str">
        <f>Fanduel!D49</f>
        <v>Alex Galchenyuk</v>
      </c>
      <c r="F49" s="2">
        <f>(Fanduel!F49)*(IF(Fanduel!L49=0,1,0))</f>
        <v>8.6285712832496202</v>
      </c>
      <c r="G49" s="35">
        <f>Fanduel!H49</f>
        <v>4600</v>
      </c>
      <c r="H49">
        <f t="shared" si="2"/>
        <v>0</v>
      </c>
      <c r="I49">
        <f t="shared" si="3"/>
        <v>0</v>
      </c>
      <c r="J49">
        <f t="shared" si="3"/>
        <v>0</v>
      </c>
      <c r="K49">
        <f t="shared" si="3"/>
        <v>0</v>
      </c>
      <c r="M49" s="2"/>
    </row>
    <row r="50" spans="1:13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42" t="str">
        <f>Fanduel!B50</f>
        <v>C</v>
      </c>
      <c r="E50" s="2" t="str">
        <f>Fanduel!D50</f>
        <v>Phillip Danault</v>
      </c>
      <c r="F50" s="2">
        <f>(Fanduel!F50)*(IF(Fanduel!L50=0,1,0))</f>
        <v>9.3761901855468697</v>
      </c>
      <c r="G50" s="35">
        <f>Fanduel!H50</f>
        <v>4500</v>
      </c>
      <c r="H50">
        <f t="shared" si="2"/>
        <v>0</v>
      </c>
      <c r="I50">
        <f t="shared" si="3"/>
        <v>0</v>
      </c>
      <c r="J50">
        <f t="shared" si="3"/>
        <v>0</v>
      </c>
      <c r="K50">
        <f t="shared" si="3"/>
        <v>0</v>
      </c>
      <c r="M50" s="2"/>
    </row>
    <row r="51" spans="1:13" x14ac:dyDescent="0.25">
      <c r="A51">
        <f t="shared" si="1"/>
        <v>0</v>
      </c>
      <c r="B51">
        <f>IF(C51=0,0,A51&amp;" "&amp;COUNTIF($A$1:$A51,A51))</f>
        <v>0</v>
      </c>
      <c r="C51" s="1">
        <v>0</v>
      </c>
      <c r="D51" s="42" t="str">
        <f>Fanduel!B51</f>
        <v>D</v>
      </c>
      <c r="E51" s="2" t="str">
        <f>Fanduel!D51</f>
        <v>Ivan Provorov</v>
      </c>
      <c r="F51" s="2">
        <f>(Fanduel!F51)*(IF(Fanduel!L51=0,1,0))</f>
        <v>13.1850006103515</v>
      </c>
      <c r="G51" s="35">
        <f>Fanduel!H51</f>
        <v>4500</v>
      </c>
      <c r="H51">
        <f t="shared" si="2"/>
        <v>0</v>
      </c>
      <c r="I51">
        <f t="shared" si="3"/>
        <v>0</v>
      </c>
      <c r="J51">
        <f t="shared" si="3"/>
        <v>0</v>
      </c>
      <c r="K51">
        <f t="shared" si="3"/>
        <v>0</v>
      </c>
      <c r="M51" s="2"/>
    </row>
    <row r="52" spans="1:13" x14ac:dyDescent="0.25">
      <c r="A52">
        <f t="shared" si="1"/>
        <v>0</v>
      </c>
      <c r="B52">
        <f>IF(C52=0,0,A52&amp;" "&amp;COUNTIF($A$1:$A52,A52))</f>
        <v>0</v>
      </c>
      <c r="C52" s="1">
        <v>0</v>
      </c>
      <c r="D52" s="42" t="str">
        <f>Fanduel!B52</f>
        <v>D</v>
      </c>
      <c r="E52" s="2" t="str">
        <f>Fanduel!D52</f>
        <v>Alexander Edler</v>
      </c>
      <c r="F52" s="2">
        <f>(Fanduel!F52)*(IF(Fanduel!L52=0,1,0))</f>
        <v>7.5999999046325604</v>
      </c>
      <c r="G52" s="35">
        <f>Fanduel!H52</f>
        <v>4400</v>
      </c>
      <c r="H52">
        <f t="shared" si="2"/>
        <v>0</v>
      </c>
      <c r="I52">
        <f t="shared" si="3"/>
        <v>0</v>
      </c>
      <c r="J52">
        <f t="shared" si="3"/>
        <v>0</v>
      </c>
      <c r="K52">
        <f t="shared" si="3"/>
        <v>0</v>
      </c>
      <c r="M52" s="2"/>
    </row>
    <row r="53" spans="1:13" x14ac:dyDescent="0.25">
      <c r="A53">
        <f t="shared" si="1"/>
        <v>0</v>
      </c>
      <c r="B53">
        <f>IF(C53=0,0,A53&amp;" "&amp;COUNTIF($A$1:$A53,A53))</f>
        <v>0</v>
      </c>
      <c r="C53" s="1">
        <v>0</v>
      </c>
      <c r="D53" s="42" t="str">
        <f>Fanduel!B53</f>
        <v>W</v>
      </c>
      <c r="E53" s="2" t="str">
        <f>Fanduel!D53</f>
        <v>Sven Baertschi</v>
      </c>
      <c r="F53" s="2">
        <f>(Fanduel!F53)*(IF(Fanduel!L53=0,1,0))</f>
        <v>10.725</v>
      </c>
      <c r="G53" s="35">
        <f>Fanduel!H53</f>
        <v>4400</v>
      </c>
      <c r="H53">
        <f t="shared" si="2"/>
        <v>0</v>
      </c>
      <c r="I53">
        <f t="shared" si="3"/>
        <v>0</v>
      </c>
      <c r="J53">
        <f t="shared" si="3"/>
        <v>0</v>
      </c>
      <c r="K53">
        <f t="shared" si="3"/>
        <v>0</v>
      </c>
      <c r="M53" s="2"/>
    </row>
    <row r="54" spans="1:13" x14ac:dyDescent="0.25">
      <c r="A54">
        <f t="shared" si="1"/>
        <v>0</v>
      </c>
      <c r="B54">
        <f>IF(C54=0,0,A54&amp;" "&amp;COUNTIF($A$1:$A54,A54))</f>
        <v>0</v>
      </c>
      <c r="C54" s="1">
        <v>0</v>
      </c>
      <c r="D54" s="42" t="str">
        <f>Fanduel!B54</f>
        <v>W</v>
      </c>
      <c r="E54" s="2" t="str">
        <f>Fanduel!D54</f>
        <v>Vladimir Sobotka</v>
      </c>
      <c r="F54" s="2">
        <f>(Fanduel!F54)*(IF(Fanduel!L54=0,1,0))</f>
        <v>9.1238098144531197</v>
      </c>
      <c r="G54" s="35">
        <f>Fanduel!H54</f>
        <v>4300</v>
      </c>
      <c r="H54">
        <f t="shared" si="2"/>
        <v>0</v>
      </c>
      <c r="I54">
        <f t="shared" si="3"/>
        <v>0</v>
      </c>
      <c r="J54">
        <f t="shared" si="3"/>
        <v>0</v>
      </c>
      <c r="K54">
        <f t="shared" si="3"/>
        <v>0</v>
      </c>
      <c r="M54" s="2"/>
    </row>
    <row r="55" spans="1:13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42" t="str">
        <f>Fanduel!B55</f>
        <v>D</v>
      </c>
      <c r="E55" s="2" t="str">
        <f>Fanduel!D55</f>
        <v>Esa Lindell</v>
      </c>
      <c r="F55" s="2">
        <f>(Fanduel!F55)*(IF(Fanduel!L55=0,1,0))</f>
        <v>9.4349998474121097</v>
      </c>
      <c r="G55" s="35">
        <f>Fanduel!H55</f>
        <v>4300</v>
      </c>
      <c r="H55">
        <f t="shared" si="2"/>
        <v>0</v>
      </c>
      <c r="I55">
        <f t="shared" si="3"/>
        <v>0</v>
      </c>
      <c r="J55">
        <f t="shared" si="3"/>
        <v>0</v>
      </c>
      <c r="K55">
        <f t="shared" si="3"/>
        <v>0</v>
      </c>
      <c r="M55" s="2"/>
    </row>
    <row r="56" spans="1:13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42" t="str">
        <f>Fanduel!B56</f>
        <v>C</v>
      </c>
      <c r="E56" s="2" t="str">
        <f>Fanduel!D56</f>
        <v>Nolan Patrick</v>
      </c>
      <c r="F56" s="2">
        <f>(Fanduel!F56)*(IF(Fanduel!L56=0,1,0))</f>
        <v>6.8363633589311004</v>
      </c>
      <c r="G56" s="35">
        <f>Fanduel!H56</f>
        <v>4300</v>
      </c>
      <c r="H56">
        <f t="shared" si="2"/>
        <v>0</v>
      </c>
      <c r="I56">
        <f t="shared" si="3"/>
        <v>0</v>
      </c>
      <c r="J56">
        <f t="shared" si="3"/>
        <v>0</v>
      </c>
      <c r="K56">
        <f t="shared" si="3"/>
        <v>0</v>
      </c>
      <c r="M56" s="2"/>
    </row>
    <row r="57" spans="1:13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42" t="str">
        <f>Fanduel!B57</f>
        <v>W</v>
      </c>
      <c r="E57" s="2" t="str">
        <f>Fanduel!D57</f>
        <v>Loui Eriksson</v>
      </c>
      <c r="F57" s="2">
        <f>(Fanduel!F57)*(IF(Fanduel!L57=0,1,0))</f>
        <v>7.7125000953674299</v>
      </c>
      <c r="G57" s="35">
        <f>Fanduel!H57</f>
        <v>4300</v>
      </c>
      <c r="H57">
        <f t="shared" si="2"/>
        <v>0</v>
      </c>
      <c r="I57">
        <f t="shared" ref="I57:K66" si="4">IF($D57=I$1,$C57*1,0)</f>
        <v>0</v>
      </c>
      <c r="J57">
        <f t="shared" si="4"/>
        <v>0</v>
      </c>
      <c r="K57">
        <f t="shared" si="4"/>
        <v>0</v>
      </c>
      <c r="M57" s="2"/>
    </row>
    <row r="58" spans="1:13" x14ac:dyDescent="0.25">
      <c r="A58">
        <f t="shared" si="1"/>
        <v>0</v>
      </c>
      <c r="B58">
        <f>IF(C58=0,0,A58&amp;" "&amp;COUNTIF($A$1:$A58,A58))</f>
        <v>0</v>
      </c>
      <c r="C58" s="1">
        <v>0</v>
      </c>
      <c r="D58" s="42" t="str">
        <f>Fanduel!B58</f>
        <v>D</v>
      </c>
      <c r="E58" s="2" t="str">
        <f>Fanduel!D58</f>
        <v>Joel Edmundson</v>
      </c>
      <c r="F58" s="2">
        <f>(Fanduel!F58)*(IF(Fanduel!L58=0,1,0))</f>
        <v>11.504762195405499</v>
      </c>
      <c r="G58" s="35">
        <f>Fanduel!H58</f>
        <v>4200</v>
      </c>
      <c r="H58">
        <f t="shared" si="2"/>
        <v>0</v>
      </c>
      <c r="I58">
        <f t="shared" si="4"/>
        <v>0</v>
      </c>
      <c r="J58">
        <f t="shared" si="4"/>
        <v>0</v>
      </c>
      <c r="K58">
        <f t="shared" si="4"/>
        <v>0</v>
      </c>
      <c r="M58" s="2"/>
    </row>
    <row r="59" spans="1:13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42" t="str">
        <f>Fanduel!B59</f>
        <v>C</v>
      </c>
      <c r="E59" s="2" t="str">
        <f>Fanduel!D59</f>
        <v>Tomas Plekanec</v>
      </c>
      <c r="F59" s="2">
        <f>(Fanduel!F59)*(IF(Fanduel!L59=0,1,0))</f>
        <v>7.73333304268973</v>
      </c>
      <c r="G59" s="35">
        <f>Fanduel!H59</f>
        <v>4100</v>
      </c>
      <c r="H59">
        <f t="shared" si="2"/>
        <v>0</v>
      </c>
      <c r="I59">
        <f t="shared" si="4"/>
        <v>0</v>
      </c>
      <c r="J59">
        <f t="shared" si="4"/>
        <v>0</v>
      </c>
      <c r="K59">
        <f t="shared" si="4"/>
        <v>0</v>
      </c>
      <c r="M59" s="2"/>
    </row>
    <row r="60" spans="1:13" x14ac:dyDescent="0.25">
      <c r="A60">
        <f t="shared" si="1"/>
        <v>0</v>
      </c>
      <c r="B60">
        <f>IF(C60=0,0,A60&amp;" "&amp;COUNTIF($A$1:$A60,A60))</f>
        <v>0</v>
      </c>
      <c r="C60" s="1">
        <v>0</v>
      </c>
      <c r="D60" s="42" t="str">
        <f>Fanduel!B60</f>
        <v>D</v>
      </c>
      <c r="E60" s="2" t="str">
        <f>Fanduel!D60</f>
        <v>Troy Stecher</v>
      </c>
      <c r="F60" s="2">
        <f>(Fanduel!F60)*(IF(Fanduel!L60=0,1,0))</f>
        <v>0</v>
      </c>
      <c r="G60" s="35">
        <f>Fanduel!H60</f>
        <v>4000</v>
      </c>
      <c r="H60">
        <f t="shared" si="2"/>
        <v>0</v>
      </c>
      <c r="I60">
        <f t="shared" si="4"/>
        <v>0</v>
      </c>
      <c r="J60">
        <f t="shared" si="4"/>
        <v>0</v>
      </c>
      <c r="K60">
        <f t="shared" si="4"/>
        <v>0</v>
      </c>
      <c r="M60" s="2"/>
    </row>
    <row r="61" spans="1:13" x14ac:dyDescent="0.25">
      <c r="A61">
        <f t="shared" si="1"/>
        <v>0</v>
      </c>
      <c r="B61">
        <f>IF(C61=0,0,A61&amp;" "&amp;COUNTIF($A$1:$A61,A61))</f>
        <v>0</v>
      </c>
      <c r="C61" s="1">
        <v>0</v>
      </c>
      <c r="D61" s="42" t="str">
        <f>Fanduel!B61</f>
        <v>W</v>
      </c>
      <c r="E61" s="2" t="str">
        <f>Fanduel!D61</f>
        <v>Paul Byron</v>
      </c>
      <c r="F61" s="2">
        <f>(Fanduel!F61)*(IF(Fanduel!L61=0,1,0))</f>
        <v>7.0666663760230604</v>
      </c>
      <c r="G61" s="35">
        <f>Fanduel!H61</f>
        <v>3900</v>
      </c>
      <c r="H61">
        <f t="shared" si="2"/>
        <v>0</v>
      </c>
      <c r="I61">
        <f t="shared" si="4"/>
        <v>0</v>
      </c>
      <c r="J61">
        <f t="shared" si="4"/>
        <v>0</v>
      </c>
      <c r="K61">
        <f t="shared" si="4"/>
        <v>0</v>
      </c>
      <c r="M61" s="2"/>
    </row>
    <row r="62" spans="1:13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42" t="str">
        <f>Fanduel!B62</f>
        <v>D</v>
      </c>
      <c r="E62" s="2" t="str">
        <f>Fanduel!D62</f>
        <v>Darnell Nurse</v>
      </c>
      <c r="F62" s="2">
        <f>(Fanduel!F62)*(IF(Fanduel!L62=0,1,0))</f>
        <v>8.8000000000000007</v>
      </c>
      <c r="G62" s="35">
        <f>Fanduel!H62</f>
        <v>3900</v>
      </c>
      <c r="H62">
        <f t="shared" si="2"/>
        <v>0</v>
      </c>
      <c r="I62">
        <f t="shared" si="4"/>
        <v>0</v>
      </c>
      <c r="J62">
        <f t="shared" si="4"/>
        <v>0</v>
      </c>
      <c r="K62">
        <f t="shared" si="4"/>
        <v>0</v>
      </c>
      <c r="M62" s="2"/>
    </row>
    <row r="63" spans="1:13" x14ac:dyDescent="0.25">
      <c r="A63">
        <f t="shared" si="1"/>
        <v>0</v>
      </c>
      <c r="B63">
        <f>IF(C63=0,0,A63&amp;" "&amp;COUNTIF($A$1:$A63,A63))</f>
        <v>0</v>
      </c>
      <c r="C63" s="1">
        <v>0</v>
      </c>
      <c r="D63" s="42" t="str">
        <f>Fanduel!B63</f>
        <v>W</v>
      </c>
      <c r="E63" s="2" t="str">
        <f>Fanduel!D63</f>
        <v>Mattias Janmark</v>
      </c>
      <c r="F63" s="2">
        <f>(Fanduel!F63)*(IF(Fanduel!L63=0,1,0))</f>
        <v>8.2050003051757798</v>
      </c>
      <c r="G63" s="35">
        <f>Fanduel!H63</f>
        <v>3800</v>
      </c>
      <c r="H63">
        <f t="shared" si="2"/>
        <v>0</v>
      </c>
      <c r="I63">
        <f t="shared" si="4"/>
        <v>0</v>
      </c>
      <c r="J63">
        <f t="shared" si="4"/>
        <v>0</v>
      </c>
      <c r="K63">
        <f t="shared" si="4"/>
        <v>0</v>
      </c>
      <c r="M63" s="2"/>
    </row>
    <row r="64" spans="1:13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42" t="str">
        <f>Fanduel!B64</f>
        <v>C</v>
      </c>
      <c r="E64" s="2" t="str">
        <f>Fanduel!D64</f>
        <v>Martin Hanzal</v>
      </c>
      <c r="F64" s="2">
        <f>(Fanduel!F64)*(IF(Fanduel!L64=0,1,0))</f>
        <v>0</v>
      </c>
      <c r="G64" s="35">
        <f>Fanduel!H64</f>
        <v>3800</v>
      </c>
      <c r="H64">
        <f t="shared" si="2"/>
        <v>0</v>
      </c>
      <c r="I64">
        <f t="shared" si="4"/>
        <v>0</v>
      </c>
      <c r="J64">
        <f t="shared" si="4"/>
        <v>0</v>
      </c>
      <c r="K64">
        <f t="shared" si="4"/>
        <v>0</v>
      </c>
      <c r="M64" s="2"/>
    </row>
    <row r="65" spans="1:13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42" t="str">
        <f>Fanduel!B65</f>
        <v>D</v>
      </c>
      <c r="E65" s="2" t="str">
        <f>Fanduel!D65</f>
        <v>Matt Benning</v>
      </c>
      <c r="F65" s="2">
        <f>(Fanduel!F65)*(IF(Fanduel!L65=0,1,0))</f>
        <v>6.9000001795151604</v>
      </c>
      <c r="G65" s="35">
        <f>Fanduel!H65</f>
        <v>3800</v>
      </c>
      <c r="H65">
        <f t="shared" si="2"/>
        <v>0</v>
      </c>
      <c r="I65">
        <f t="shared" si="4"/>
        <v>0</v>
      </c>
      <c r="J65">
        <f t="shared" si="4"/>
        <v>0</v>
      </c>
      <c r="K65">
        <f t="shared" si="4"/>
        <v>0</v>
      </c>
      <c r="M65" s="2"/>
    </row>
    <row r="66" spans="1:13" x14ac:dyDescent="0.25">
      <c r="A66">
        <f t="shared" ref="A66:A129" si="5">IF(C66=1,D66,0)</f>
        <v>0</v>
      </c>
      <c r="B66">
        <f>IF(C66=0,0,A66&amp;" "&amp;COUNTIF($A$1:$A66,A66))</f>
        <v>0</v>
      </c>
      <c r="C66" s="1">
        <v>0</v>
      </c>
      <c r="D66" s="42" t="str">
        <f>Fanduel!B66</f>
        <v>W</v>
      </c>
      <c r="E66" s="2" t="str">
        <f>Fanduel!D66</f>
        <v>Ryan Strome</v>
      </c>
      <c r="F66" s="2">
        <f>(Fanduel!F66)*(IF(Fanduel!L66=0,1,0))</f>
        <v>6.9150001525878899</v>
      </c>
      <c r="G66" s="35">
        <f>Fanduel!H66</f>
        <v>3700</v>
      </c>
      <c r="H66">
        <f t="shared" si="2"/>
        <v>0</v>
      </c>
      <c r="I66">
        <f t="shared" si="4"/>
        <v>0</v>
      </c>
      <c r="J66">
        <f t="shared" si="4"/>
        <v>0</v>
      </c>
      <c r="K66">
        <f t="shared" si="4"/>
        <v>0</v>
      </c>
      <c r="M66" s="2"/>
    </row>
    <row r="67" spans="1:13" x14ac:dyDescent="0.25">
      <c r="A67">
        <f t="shared" si="5"/>
        <v>0</v>
      </c>
      <c r="B67">
        <f>IF(C67=0,0,A67&amp;" "&amp;COUNTIF($A$1:$A67,A67))</f>
        <v>0</v>
      </c>
      <c r="C67" s="1">
        <v>0</v>
      </c>
      <c r="D67" s="42" t="str">
        <f>Fanduel!B67</f>
        <v>D</v>
      </c>
      <c r="E67" s="2" t="str">
        <f>Fanduel!D67</f>
        <v>Andrej Sekera</v>
      </c>
      <c r="F67" s="2">
        <f>(Fanduel!F67)*(IF(Fanduel!L67=0,1,0))</f>
        <v>0</v>
      </c>
      <c r="G67" s="35">
        <f>Fanduel!H67</f>
        <v>3700</v>
      </c>
      <c r="H67">
        <f t="shared" ref="H67:K102" si="6">IF($D67=H$1,$C67*1,0)</f>
        <v>0</v>
      </c>
      <c r="I67">
        <f t="shared" si="6"/>
        <v>0</v>
      </c>
      <c r="J67">
        <f t="shared" si="6"/>
        <v>0</v>
      </c>
      <c r="K67">
        <f t="shared" si="6"/>
        <v>0</v>
      </c>
      <c r="M67" s="2"/>
    </row>
    <row r="68" spans="1:13" x14ac:dyDescent="0.25">
      <c r="A68">
        <f t="shared" si="5"/>
        <v>0</v>
      </c>
      <c r="B68">
        <f>IF(C68=0,0,A68&amp;" "&amp;COUNTIF($A$1:$A68,A68))</f>
        <v>0</v>
      </c>
      <c r="C68" s="1">
        <v>0</v>
      </c>
      <c r="D68" s="42" t="str">
        <f>Fanduel!B68</f>
        <v>W</v>
      </c>
      <c r="E68" s="2" t="str">
        <f>Fanduel!D68</f>
        <v>Devin Shore</v>
      </c>
      <c r="F68" s="2">
        <f>(Fanduel!F68)*(IF(Fanduel!L68=0,1,0))</f>
        <v>7.9249999999999998</v>
      </c>
      <c r="G68" s="35">
        <f>Fanduel!H68</f>
        <v>3700</v>
      </c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M68" s="2"/>
    </row>
    <row r="69" spans="1:13" x14ac:dyDescent="0.25">
      <c r="A69">
        <f t="shared" si="5"/>
        <v>0</v>
      </c>
      <c r="B69">
        <f>IF(C69=0,0,A69&amp;" "&amp;COUNTIF($A$1:$A69,A69))</f>
        <v>0</v>
      </c>
      <c r="C69" s="1">
        <v>0</v>
      </c>
      <c r="D69" s="42" t="str">
        <f>Fanduel!B69</f>
        <v>C</v>
      </c>
      <c r="E69" s="2" t="str">
        <f>Fanduel!D69</f>
        <v>Valtteri Filppula</v>
      </c>
      <c r="F69" s="2">
        <f>(Fanduel!F69)*(IF(Fanduel!L69=0,1,0))</f>
        <v>8.8199996948242099</v>
      </c>
      <c r="G69" s="35">
        <f>Fanduel!H69</f>
        <v>3700</v>
      </c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M69" s="2"/>
    </row>
    <row r="70" spans="1:13" x14ac:dyDescent="0.25">
      <c r="A70">
        <f t="shared" si="5"/>
        <v>0</v>
      </c>
      <c r="B70">
        <f>IF(C70=0,0,A70&amp;" "&amp;COUNTIF($A$1:$A70,A70))</f>
        <v>0</v>
      </c>
      <c r="C70" s="1">
        <v>0</v>
      </c>
      <c r="D70" s="42" t="str">
        <f>Fanduel!B70</f>
        <v>D</v>
      </c>
      <c r="E70" s="2" t="str">
        <f>Fanduel!D70</f>
        <v>Jeff Petry</v>
      </c>
      <c r="F70" s="2">
        <f>(Fanduel!F70)*(IF(Fanduel!L70=0,1,0))</f>
        <v>7.5904758998325796</v>
      </c>
      <c r="G70" s="35">
        <f>Fanduel!H70</f>
        <v>3700</v>
      </c>
      <c r="H70">
        <f t="shared" si="6"/>
        <v>0</v>
      </c>
      <c r="I70">
        <f t="shared" si="6"/>
        <v>0</v>
      </c>
      <c r="J70">
        <f t="shared" si="6"/>
        <v>0</v>
      </c>
      <c r="K70">
        <f t="shared" si="6"/>
        <v>0</v>
      </c>
      <c r="M70" s="2"/>
    </row>
    <row r="71" spans="1:13" x14ac:dyDescent="0.25">
      <c r="A71">
        <f t="shared" si="5"/>
        <v>0</v>
      </c>
      <c r="B71">
        <f>IF(C71=0,0,A71&amp;" "&amp;COUNTIF($A$1:$A71,A71))</f>
        <v>0</v>
      </c>
      <c r="C71" s="1">
        <v>0</v>
      </c>
      <c r="D71" s="42" t="str">
        <f>Fanduel!B71</f>
        <v>W</v>
      </c>
      <c r="E71" s="2" t="str">
        <f>Fanduel!D71</f>
        <v>Travis Konecny</v>
      </c>
      <c r="F71" s="2">
        <f>(Fanduel!F71)*(IF(Fanduel!L71=0,1,0))</f>
        <v>7.0099998474121001</v>
      </c>
      <c r="G71" s="35">
        <f>Fanduel!H71</f>
        <v>3700</v>
      </c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M71" s="2"/>
    </row>
    <row r="72" spans="1:13" x14ac:dyDescent="0.25">
      <c r="A72">
        <f t="shared" si="5"/>
        <v>0</v>
      </c>
      <c r="B72">
        <f>IF(C72=0,0,A72&amp;" "&amp;COUNTIF($A$1:$A72,A72))</f>
        <v>0</v>
      </c>
      <c r="C72" s="1">
        <v>0</v>
      </c>
      <c r="D72" s="42" t="str">
        <f>Fanduel!B72</f>
        <v>D</v>
      </c>
      <c r="E72" s="2" t="str">
        <f>Fanduel!D72</f>
        <v>Stephen Johns</v>
      </c>
      <c r="F72" s="2">
        <f>(Fanduel!F72)*(IF(Fanduel!L72=0,1,0))</f>
        <v>8.4705882352941106</v>
      </c>
      <c r="G72" s="35">
        <f>Fanduel!H72</f>
        <v>3700</v>
      </c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M72" s="2"/>
    </row>
    <row r="73" spans="1:13" x14ac:dyDescent="0.25">
      <c r="A73">
        <f t="shared" si="5"/>
        <v>0</v>
      </c>
      <c r="B73">
        <f>IF(C73=0,0,A73&amp;" "&amp;COUNTIF($A$1:$A73,A73))</f>
        <v>0</v>
      </c>
      <c r="C73" s="1">
        <v>0</v>
      </c>
      <c r="D73" s="42" t="str">
        <f>Fanduel!B73</f>
        <v>D</v>
      </c>
      <c r="E73" s="2" t="str">
        <f>Fanduel!D73</f>
        <v>Dan Hamhuis</v>
      </c>
      <c r="F73" s="2">
        <f>(Fanduel!F73)*(IF(Fanduel!L73=0,1,0))</f>
        <v>6.05555555555555</v>
      </c>
      <c r="G73" s="35">
        <f>Fanduel!H73</f>
        <v>3600</v>
      </c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M73" s="2"/>
    </row>
    <row r="74" spans="1:13" x14ac:dyDescent="0.25">
      <c r="A74">
        <f t="shared" si="5"/>
        <v>0</v>
      </c>
      <c r="B74">
        <f>IF(C74=0,0,A74&amp;" "&amp;COUNTIF($A$1:$A74,A74))</f>
        <v>0</v>
      </c>
      <c r="C74" s="1">
        <v>0</v>
      </c>
      <c r="D74" s="42" t="str">
        <f>Fanduel!B74</f>
        <v>D</v>
      </c>
      <c r="E74" s="2" t="str">
        <f>Fanduel!D74</f>
        <v>Jordie Benn</v>
      </c>
      <c r="F74" s="2">
        <f>(Fanduel!F74)*(IF(Fanduel!L74=0,1,0))</f>
        <v>7.6400001525878896</v>
      </c>
      <c r="G74" s="35">
        <f>Fanduel!H74</f>
        <v>3600</v>
      </c>
      <c r="H74">
        <f t="shared" si="6"/>
        <v>0</v>
      </c>
      <c r="I74">
        <f t="shared" si="6"/>
        <v>0</v>
      </c>
      <c r="J74">
        <f t="shared" si="6"/>
        <v>0</v>
      </c>
      <c r="K74">
        <f t="shared" si="6"/>
        <v>0</v>
      </c>
      <c r="M74" s="2"/>
    </row>
    <row r="75" spans="1:13" x14ac:dyDescent="0.25">
      <c r="A75">
        <f t="shared" si="5"/>
        <v>0</v>
      </c>
      <c r="B75">
        <f>IF(C75=0,0,A75&amp;" "&amp;COUNTIF($A$1:$A75,A75))</f>
        <v>0</v>
      </c>
      <c r="C75" s="1">
        <v>0</v>
      </c>
      <c r="D75" s="42" t="str">
        <f>Fanduel!B75</f>
        <v>D</v>
      </c>
      <c r="E75" s="2" t="str">
        <f>Fanduel!D75</f>
        <v>Jay Bouwmeester</v>
      </c>
      <c r="F75" s="2">
        <f>(Fanduel!F75)*(IF(Fanduel!L75=0,1,0))</f>
        <v>5.8234569408275396</v>
      </c>
      <c r="G75" s="35">
        <f>Fanduel!H75</f>
        <v>3600</v>
      </c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M75" s="2"/>
    </row>
    <row r="76" spans="1:13" x14ac:dyDescent="0.25">
      <c r="A76">
        <f t="shared" si="5"/>
        <v>0</v>
      </c>
      <c r="B76">
        <f>IF(C76=0,0,A76&amp;" "&amp;COUNTIF($A$1:$A76,A76))</f>
        <v>0</v>
      </c>
      <c r="C76" s="1">
        <v>0</v>
      </c>
      <c r="D76" s="42" t="str">
        <f>Fanduel!B76</f>
        <v>W</v>
      </c>
      <c r="E76" s="2" t="str">
        <f>Fanduel!D76</f>
        <v>Drake Caggiula</v>
      </c>
      <c r="F76" s="2">
        <f>(Fanduel!F76)*(IF(Fanduel!L76=0,1,0))</f>
        <v>7.4749997456868398</v>
      </c>
      <c r="G76" s="35">
        <f>Fanduel!H76</f>
        <v>3600</v>
      </c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M76" s="2"/>
    </row>
    <row r="77" spans="1:13" x14ac:dyDescent="0.25">
      <c r="A77">
        <f t="shared" si="5"/>
        <v>0</v>
      </c>
      <c r="B77">
        <f>IF(C77=0,0,A77&amp;" "&amp;COUNTIF($A$1:$A77,A77))</f>
        <v>0</v>
      </c>
      <c r="C77" s="1">
        <v>0</v>
      </c>
      <c r="D77" s="42" t="str">
        <f>Fanduel!B77</f>
        <v>D</v>
      </c>
      <c r="E77" s="2" t="str">
        <f>Fanduel!D77</f>
        <v>Michael Del Zotto</v>
      </c>
      <c r="F77" s="2">
        <f>(Fanduel!F77)*(IF(Fanduel!L77=0,1,0))</f>
        <v>9.0500000000000007</v>
      </c>
      <c r="G77" s="35">
        <f>Fanduel!H77</f>
        <v>3600</v>
      </c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M77" s="2"/>
    </row>
    <row r="78" spans="1:13" x14ac:dyDescent="0.25">
      <c r="A78">
        <f t="shared" si="5"/>
        <v>0</v>
      </c>
      <c r="B78">
        <f>IF(C78=0,0,A78&amp;" "&amp;COUNTIF($A$1:$A78,A78))</f>
        <v>0</v>
      </c>
      <c r="C78" s="1">
        <v>0</v>
      </c>
      <c r="D78" s="42" t="str">
        <f>Fanduel!B78</f>
        <v>D</v>
      </c>
      <c r="E78" s="2" t="str">
        <f>Fanduel!D78</f>
        <v>Kris Russell</v>
      </c>
      <c r="F78" s="2">
        <f>(Fanduel!F78)*(IF(Fanduel!L78=0,1,0))</f>
        <v>8.3300003051757798</v>
      </c>
      <c r="G78" s="35">
        <f>Fanduel!H78</f>
        <v>3600</v>
      </c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M78" s="2"/>
    </row>
    <row r="79" spans="1:13" x14ac:dyDescent="0.25">
      <c r="A79">
        <f t="shared" si="5"/>
        <v>0</v>
      </c>
      <c r="B79">
        <f>IF(C79=0,0,A79&amp;" "&amp;COUNTIF($A$1:$A79,A79))</f>
        <v>0</v>
      </c>
      <c r="C79" s="1">
        <v>0</v>
      </c>
      <c r="D79" s="42" t="str">
        <f>Fanduel!B79</f>
        <v>C</v>
      </c>
      <c r="E79" s="2" t="str">
        <f>Fanduel!D79</f>
        <v>Radek Faksa</v>
      </c>
      <c r="F79" s="2">
        <f>(Fanduel!F79)*(IF(Fanduel!L79=0,1,0))</f>
        <v>8.1263154682360206</v>
      </c>
      <c r="G79" s="35">
        <f>Fanduel!H79</f>
        <v>3600</v>
      </c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M79" s="2"/>
    </row>
    <row r="80" spans="1:13" x14ac:dyDescent="0.25">
      <c r="A80">
        <f t="shared" si="5"/>
        <v>0</v>
      </c>
      <c r="B80">
        <f>IF(C80=0,0,A80&amp;" "&amp;COUNTIF($A$1:$A80,A80))</f>
        <v>0</v>
      </c>
      <c r="C80" s="1">
        <v>0</v>
      </c>
      <c r="D80" s="42" t="str">
        <f>Fanduel!B80</f>
        <v>W</v>
      </c>
      <c r="E80" s="2" t="str">
        <f>Fanduel!D80</f>
        <v>Sam Gagner</v>
      </c>
      <c r="F80" s="2">
        <f>(Fanduel!F80)*(IF(Fanduel!L80=0,1,0))</f>
        <v>7.1949996948242099</v>
      </c>
      <c r="G80" s="35">
        <f>Fanduel!H80</f>
        <v>3600</v>
      </c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M80" s="2"/>
    </row>
    <row r="81" spans="1:13" x14ac:dyDescent="0.25">
      <c r="A81">
        <f t="shared" si="5"/>
        <v>0</v>
      </c>
      <c r="B81">
        <f>IF(C81=0,0,A81&amp;" "&amp;COUNTIF($A$1:$A81,A81))</f>
        <v>0</v>
      </c>
      <c r="C81" s="1">
        <v>0</v>
      </c>
      <c r="D81" s="42" t="str">
        <f>Fanduel!B81</f>
        <v>W</v>
      </c>
      <c r="E81" s="2" t="str">
        <f>Fanduel!D81</f>
        <v>Andrew Shaw</v>
      </c>
      <c r="F81" s="2">
        <f>(Fanduel!F81)*(IF(Fanduel!L81=0,1,0))</f>
        <v>8.3999997093563898</v>
      </c>
      <c r="G81" s="35">
        <f>Fanduel!H81</f>
        <v>3600</v>
      </c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0</v>
      </c>
      <c r="M81" s="2"/>
    </row>
    <row r="82" spans="1:13" x14ac:dyDescent="0.25">
      <c r="A82">
        <f t="shared" si="5"/>
        <v>0</v>
      </c>
      <c r="B82">
        <f>IF(C82=0,0,A82&amp;" "&amp;COUNTIF($A$1:$A82,A82))</f>
        <v>0</v>
      </c>
      <c r="C82" s="1">
        <v>0</v>
      </c>
      <c r="D82" s="42" t="str">
        <f>Fanduel!B82</f>
        <v>C</v>
      </c>
      <c r="E82" s="2" t="str">
        <f>Fanduel!D82</f>
        <v>Patrik Berglund</v>
      </c>
      <c r="F82" s="2">
        <f>(Fanduel!F82)*(IF(Fanduel!L82=0,1,0))</f>
        <v>0</v>
      </c>
      <c r="G82" s="35">
        <f>Fanduel!H82</f>
        <v>3600</v>
      </c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M82" s="2"/>
    </row>
    <row r="83" spans="1:13" x14ac:dyDescent="0.25">
      <c r="A83">
        <f t="shared" si="5"/>
        <v>0</v>
      </c>
      <c r="B83">
        <f>IF(C83=0,0,A83&amp;" "&amp;COUNTIF($A$1:$A83,A83))</f>
        <v>0</v>
      </c>
      <c r="C83" s="1">
        <v>0</v>
      </c>
      <c r="D83" s="42" t="str">
        <f>Fanduel!B83</f>
        <v>D</v>
      </c>
      <c r="E83" s="2" t="str">
        <f>Fanduel!D83</f>
        <v>Vince Dunn</v>
      </c>
      <c r="F83" s="2">
        <f>(Fanduel!F83)*(IF(Fanduel!L83=0,1,0))</f>
        <v>6.1714288620721698</v>
      </c>
      <c r="G83" s="35">
        <f>Fanduel!H83</f>
        <v>3600</v>
      </c>
      <c r="H83">
        <f t="shared" si="6"/>
        <v>0</v>
      </c>
      <c r="I83">
        <f t="shared" si="6"/>
        <v>0</v>
      </c>
      <c r="J83">
        <f t="shared" si="6"/>
        <v>0</v>
      </c>
      <c r="K83">
        <f t="shared" si="6"/>
        <v>0</v>
      </c>
      <c r="M83" s="2"/>
    </row>
    <row r="84" spans="1:13" x14ac:dyDescent="0.25">
      <c r="A84">
        <f t="shared" si="5"/>
        <v>0</v>
      </c>
      <c r="B84">
        <f>IF(C84=0,0,A84&amp;" "&amp;COUNTIF($A$1:$A84,A84))</f>
        <v>0</v>
      </c>
      <c r="C84" s="1">
        <v>0</v>
      </c>
      <c r="D84" s="42" t="str">
        <f>Fanduel!B84</f>
        <v>D</v>
      </c>
      <c r="E84" s="2" t="str">
        <f>Fanduel!D84</f>
        <v>Christopher Tanev</v>
      </c>
      <c r="F84" s="2">
        <f>(Fanduel!F84)*(IF(Fanduel!L84=0,1,0))</f>
        <v>0</v>
      </c>
      <c r="G84" s="35">
        <f>Fanduel!H84</f>
        <v>3500</v>
      </c>
      <c r="H84">
        <f t="shared" si="6"/>
        <v>0</v>
      </c>
      <c r="I84">
        <f t="shared" si="6"/>
        <v>0</v>
      </c>
      <c r="J84">
        <f t="shared" si="6"/>
        <v>0</v>
      </c>
      <c r="K84">
        <f t="shared" si="6"/>
        <v>0</v>
      </c>
      <c r="M84" s="2"/>
    </row>
    <row r="85" spans="1:13" x14ac:dyDescent="0.25">
      <c r="A85">
        <f t="shared" si="5"/>
        <v>0</v>
      </c>
      <c r="B85">
        <f>IF(C85=0,0,A85&amp;" "&amp;COUNTIF($A$1:$A85,A85))</f>
        <v>0</v>
      </c>
      <c r="C85" s="1">
        <v>0</v>
      </c>
      <c r="D85" s="42" t="str">
        <f>Fanduel!B85</f>
        <v>D</v>
      </c>
      <c r="E85" s="2" t="str">
        <f>Fanduel!D85</f>
        <v>Chris Butler</v>
      </c>
      <c r="F85" s="2">
        <f>(Fanduel!F85)*(IF(Fanduel!L85=0,1,0))</f>
        <v>4.8000001907348597</v>
      </c>
      <c r="G85" s="35">
        <f>Fanduel!H85</f>
        <v>3500</v>
      </c>
      <c r="H85">
        <f t="shared" si="6"/>
        <v>0</v>
      </c>
      <c r="I85">
        <f t="shared" si="6"/>
        <v>0</v>
      </c>
      <c r="J85">
        <f t="shared" si="6"/>
        <v>0</v>
      </c>
      <c r="K85">
        <f t="shared" si="6"/>
        <v>0</v>
      </c>
      <c r="M85" s="2"/>
    </row>
    <row r="86" spans="1:13" x14ac:dyDescent="0.25">
      <c r="A86">
        <f t="shared" si="5"/>
        <v>0</v>
      </c>
      <c r="B86">
        <f>IF(C86=0,0,A86&amp;" "&amp;COUNTIF($A$1:$A86,A86))</f>
        <v>0</v>
      </c>
      <c r="C86" s="1">
        <v>0</v>
      </c>
      <c r="D86" s="42" t="str">
        <f>Fanduel!B86</f>
        <v>D</v>
      </c>
      <c r="E86" s="2" t="str">
        <f>Fanduel!D86</f>
        <v>Karl Alzner</v>
      </c>
      <c r="F86" s="2">
        <f>(Fanduel!F86)*(IF(Fanduel!L86=0,1,0))</f>
        <v>5.5809522356305798</v>
      </c>
      <c r="G86" s="35">
        <f>Fanduel!H86</f>
        <v>3500</v>
      </c>
      <c r="H86">
        <f t="shared" si="6"/>
        <v>0</v>
      </c>
      <c r="I86">
        <f t="shared" si="6"/>
        <v>0</v>
      </c>
      <c r="J86">
        <f t="shared" si="6"/>
        <v>0</v>
      </c>
      <c r="K86">
        <f t="shared" si="6"/>
        <v>0</v>
      </c>
      <c r="M86" s="2"/>
    </row>
    <row r="87" spans="1:13" x14ac:dyDescent="0.25">
      <c r="A87">
        <f t="shared" si="5"/>
        <v>0</v>
      </c>
      <c r="B87">
        <f>IF(C87=0,0,A87&amp;" "&amp;COUNTIF($A$1:$A87,A87))</f>
        <v>0</v>
      </c>
      <c r="C87" s="1">
        <v>0</v>
      </c>
      <c r="D87" s="42" t="str">
        <f>Fanduel!B87</f>
        <v>D</v>
      </c>
      <c r="E87" s="2" t="str">
        <f>Fanduel!D87</f>
        <v>Eric Gryba</v>
      </c>
      <c r="F87" s="2">
        <f>(Fanduel!F87)*(IF(Fanduel!L87=0,1,0))</f>
        <v>3</v>
      </c>
      <c r="G87" s="35">
        <f>Fanduel!H87</f>
        <v>3500</v>
      </c>
      <c r="H87">
        <f t="shared" si="6"/>
        <v>0</v>
      </c>
      <c r="I87">
        <f t="shared" si="6"/>
        <v>0</v>
      </c>
      <c r="J87">
        <f t="shared" si="6"/>
        <v>0</v>
      </c>
      <c r="K87">
        <f t="shared" si="6"/>
        <v>0</v>
      </c>
      <c r="M87" s="2"/>
    </row>
    <row r="88" spans="1:13" x14ac:dyDescent="0.25">
      <c r="A88">
        <f t="shared" si="5"/>
        <v>0</v>
      </c>
      <c r="B88">
        <f>IF(C88=0,0,A88&amp;" "&amp;COUNTIF($A$1:$A88,A88))</f>
        <v>0</v>
      </c>
      <c r="C88" s="1">
        <v>0</v>
      </c>
      <c r="D88" s="42" t="str">
        <f>Fanduel!B88</f>
        <v>D</v>
      </c>
      <c r="E88" s="2" t="str">
        <f>Fanduel!D88</f>
        <v>Brandon Manning</v>
      </c>
      <c r="F88" s="2">
        <f>(Fanduel!F88)*(IF(Fanduel!L88=0,1,0))</f>
        <v>8.47999979654948</v>
      </c>
      <c r="G88" s="35">
        <f>Fanduel!H88</f>
        <v>3500</v>
      </c>
      <c r="H88">
        <f t="shared" si="6"/>
        <v>0</v>
      </c>
      <c r="I88">
        <f t="shared" si="6"/>
        <v>0</v>
      </c>
      <c r="J88">
        <f t="shared" si="6"/>
        <v>0</v>
      </c>
      <c r="K88">
        <f t="shared" si="6"/>
        <v>0</v>
      </c>
      <c r="M88" s="2"/>
    </row>
    <row r="89" spans="1:13" x14ac:dyDescent="0.25">
      <c r="A89">
        <f t="shared" si="5"/>
        <v>0</v>
      </c>
      <c r="B89">
        <f>IF(C89=0,0,A89&amp;" "&amp;COUNTIF($A$1:$A89,A89))</f>
        <v>0</v>
      </c>
      <c r="C89" s="1">
        <v>0</v>
      </c>
      <c r="D89" s="42" t="str">
        <f>Fanduel!B89</f>
        <v>D</v>
      </c>
      <c r="E89" s="2" t="str">
        <f>Fanduel!D89</f>
        <v>Patrick Wiercioch</v>
      </c>
      <c r="F89" s="2">
        <f>(Fanduel!F89)*(IF(Fanduel!L89=0,1,0))</f>
        <v>5.3333333333333304</v>
      </c>
      <c r="G89" s="35">
        <f>Fanduel!H89</f>
        <v>3500</v>
      </c>
      <c r="H89">
        <f t="shared" si="6"/>
        <v>0</v>
      </c>
      <c r="I89">
        <f t="shared" si="6"/>
        <v>0</v>
      </c>
      <c r="J89">
        <f t="shared" si="6"/>
        <v>0</v>
      </c>
      <c r="K89">
        <f t="shared" si="6"/>
        <v>0</v>
      </c>
      <c r="M89" s="2"/>
    </row>
    <row r="90" spans="1:13" x14ac:dyDescent="0.25">
      <c r="A90">
        <f t="shared" si="5"/>
        <v>0</v>
      </c>
      <c r="B90">
        <f>IF(C90=0,0,A90&amp;" "&amp;COUNTIF($A$1:$A90,A90))</f>
        <v>0</v>
      </c>
      <c r="C90" s="1">
        <v>0</v>
      </c>
      <c r="D90" s="42" t="str">
        <f>Fanduel!B90</f>
        <v>D</v>
      </c>
      <c r="E90" s="2" t="str">
        <f>Fanduel!D90</f>
        <v>Mark Streit</v>
      </c>
      <c r="F90" s="2">
        <f>(Fanduel!F90)*(IF(Fanduel!L90=0,1,0))</f>
        <v>2.4000000953674299</v>
      </c>
      <c r="G90" s="35">
        <f>Fanduel!H90</f>
        <v>3500</v>
      </c>
      <c r="H90">
        <f t="shared" si="6"/>
        <v>0</v>
      </c>
      <c r="I90">
        <f t="shared" si="6"/>
        <v>0</v>
      </c>
      <c r="J90">
        <f t="shared" si="6"/>
        <v>0</v>
      </c>
      <c r="K90">
        <f t="shared" si="6"/>
        <v>0</v>
      </c>
      <c r="M90" s="2"/>
    </row>
    <row r="91" spans="1:13" x14ac:dyDescent="0.25">
      <c r="A91">
        <f t="shared" si="5"/>
        <v>0</v>
      </c>
      <c r="B91">
        <f>IF(C91=0,0,A91&amp;" "&amp;COUNTIF($A$1:$A91,A91))</f>
        <v>0</v>
      </c>
      <c r="C91" s="1">
        <v>0</v>
      </c>
      <c r="D91" s="42" t="str">
        <f>Fanduel!B91</f>
        <v>D</v>
      </c>
      <c r="E91" s="2" t="str">
        <f>Fanduel!D91</f>
        <v>Carl Gunnarsson</v>
      </c>
      <c r="F91" s="2">
        <f>(Fanduel!F91)*(IF(Fanduel!L91=0,1,0))</f>
        <v>6.6</v>
      </c>
      <c r="G91" s="35">
        <f>Fanduel!H91</f>
        <v>3500</v>
      </c>
      <c r="H91">
        <f t="shared" si="6"/>
        <v>0</v>
      </c>
      <c r="I91">
        <f t="shared" si="6"/>
        <v>0</v>
      </c>
      <c r="J91">
        <f t="shared" si="6"/>
        <v>0</v>
      </c>
      <c r="K91">
        <f t="shared" si="6"/>
        <v>0</v>
      </c>
      <c r="M91" s="2"/>
    </row>
    <row r="92" spans="1:13" x14ac:dyDescent="0.25">
      <c r="A92">
        <f t="shared" si="5"/>
        <v>0</v>
      </c>
      <c r="B92">
        <f>IF(C92=0,0,A92&amp;" "&amp;COUNTIF($A$1:$A92,A92))</f>
        <v>0</v>
      </c>
      <c r="C92" s="1">
        <v>0</v>
      </c>
      <c r="D92" s="42" t="str">
        <f>Fanduel!B92</f>
        <v>D</v>
      </c>
      <c r="E92" s="2" t="str">
        <f>Fanduel!D92</f>
        <v>Radko Gudas</v>
      </c>
      <c r="F92" s="2">
        <f>(Fanduel!F92)*(IF(Fanduel!L92=0,1,0))</f>
        <v>0</v>
      </c>
      <c r="G92" s="35">
        <f>Fanduel!H92</f>
        <v>3500</v>
      </c>
      <c r="H92">
        <f t="shared" si="6"/>
        <v>0</v>
      </c>
      <c r="I92">
        <f t="shared" si="6"/>
        <v>0</v>
      </c>
      <c r="J92">
        <f t="shared" si="6"/>
        <v>0</v>
      </c>
      <c r="K92">
        <f t="shared" si="6"/>
        <v>0</v>
      </c>
      <c r="M92" s="2"/>
    </row>
    <row r="93" spans="1:13" x14ac:dyDescent="0.25">
      <c r="A93">
        <f t="shared" si="5"/>
        <v>0</v>
      </c>
      <c r="B93">
        <f>IF(C93=0,0,A93&amp;" "&amp;COUNTIF($A$1:$A93,A93))</f>
        <v>0</v>
      </c>
      <c r="C93" s="1">
        <v>0</v>
      </c>
      <c r="D93" s="42" t="str">
        <f>Fanduel!B93</f>
        <v>D</v>
      </c>
      <c r="E93" s="2" t="str">
        <f>Fanduel!D93</f>
        <v>Philip Holm</v>
      </c>
      <c r="F93" s="2">
        <f>(Fanduel!F93)*(IF(Fanduel!L93=0,1,0))</f>
        <v>0</v>
      </c>
      <c r="G93" s="35">
        <f>Fanduel!H93</f>
        <v>3500</v>
      </c>
      <c r="H93">
        <f t="shared" si="6"/>
        <v>0</v>
      </c>
      <c r="I93">
        <f t="shared" si="6"/>
        <v>0</v>
      </c>
      <c r="J93">
        <f t="shared" si="6"/>
        <v>0</v>
      </c>
      <c r="K93">
        <f t="shared" si="6"/>
        <v>0</v>
      </c>
      <c r="M93" s="2"/>
    </row>
    <row r="94" spans="1:13" x14ac:dyDescent="0.25">
      <c r="A94">
        <f t="shared" si="5"/>
        <v>0</v>
      </c>
      <c r="B94">
        <f>IF(C94=0,0,A94&amp;" "&amp;COUNTIF($A$1:$A94,A94))</f>
        <v>0</v>
      </c>
      <c r="C94" s="1">
        <v>0</v>
      </c>
      <c r="D94" s="42" t="str">
        <f>Fanduel!B94</f>
        <v>W</v>
      </c>
      <c r="E94" s="2" t="str">
        <f>Fanduel!D94</f>
        <v>Artturi Lehkonen</v>
      </c>
      <c r="F94" s="2">
        <f>(Fanduel!F94)*(IF(Fanduel!L94=0,1,0))</f>
        <v>0</v>
      </c>
      <c r="G94" s="35">
        <f>Fanduel!H94</f>
        <v>3500</v>
      </c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M94" s="2"/>
    </row>
    <row r="95" spans="1:13" x14ac:dyDescent="0.25">
      <c r="A95">
        <f t="shared" si="5"/>
        <v>0</v>
      </c>
      <c r="B95">
        <f>IF(C95=0,0,A95&amp;" "&amp;COUNTIF($A$1:$A95,A95))</f>
        <v>0</v>
      </c>
      <c r="C95" s="1">
        <v>0</v>
      </c>
      <c r="D95" s="42" t="str">
        <f>Fanduel!B95</f>
        <v>D</v>
      </c>
      <c r="E95" s="2" t="str">
        <f>Fanduel!D95</f>
        <v>Julius Honka</v>
      </c>
      <c r="F95" s="2">
        <f>(Fanduel!F95)*(IF(Fanduel!L95=0,1,0))</f>
        <v>2.9333333969116202</v>
      </c>
      <c r="G95" s="35">
        <f>Fanduel!H95</f>
        <v>3500</v>
      </c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M95" s="2"/>
    </row>
    <row r="96" spans="1:13" x14ac:dyDescent="0.25">
      <c r="A96">
        <f t="shared" si="5"/>
        <v>0</v>
      </c>
      <c r="B96">
        <f>IF(C96=0,0,A96&amp;" "&amp;COUNTIF($A$1:$A96,A96))</f>
        <v>0</v>
      </c>
      <c r="C96" s="1">
        <v>0</v>
      </c>
      <c r="D96" s="42" t="str">
        <f>Fanduel!B96</f>
        <v>D</v>
      </c>
      <c r="E96" s="2" t="str">
        <f>Fanduel!D96</f>
        <v>Mark Alt</v>
      </c>
      <c r="F96" s="2">
        <f>(Fanduel!F96)*(IF(Fanduel!L96=0,1,0))</f>
        <v>2.5600000381469701</v>
      </c>
      <c r="G96" s="35">
        <f>Fanduel!H96</f>
        <v>3500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M96" s="2"/>
    </row>
    <row r="97" spans="1:13" x14ac:dyDescent="0.25">
      <c r="A97">
        <f t="shared" si="5"/>
        <v>0</v>
      </c>
      <c r="B97">
        <f>IF(C97=0,0,A97&amp;" "&amp;COUNTIF($A$1:$A97,A97))</f>
        <v>0</v>
      </c>
      <c r="C97" s="1">
        <v>0</v>
      </c>
      <c r="D97" s="42" t="str">
        <f>Fanduel!B97</f>
        <v>D</v>
      </c>
      <c r="E97" s="2" t="str">
        <f>Fanduel!D97</f>
        <v>Jordan Schmaltz</v>
      </c>
      <c r="F97" s="2">
        <f>(Fanduel!F97)*(IF(Fanduel!L97=0,1,0))</f>
        <v>4.5</v>
      </c>
      <c r="G97" s="35">
        <f>Fanduel!H97</f>
        <v>3500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M97" s="2"/>
    </row>
    <row r="98" spans="1:13" x14ac:dyDescent="0.25">
      <c r="A98">
        <f t="shared" si="5"/>
        <v>0</v>
      </c>
      <c r="B98">
        <f>IF(C98=0,0,A98&amp;" "&amp;COUNTIF($A$1:$A98,A98))</f>
        <v>0</v>
      </c>
      <c r="C98" s="1">
        <v>0</v>
      </c>
      <c r="D98" s="42" t="str">
        <f>Fanduel!B98</f>
        <v>D</v>
      </c>
      <c r="E98" s="2" t="str">
        <f>Fanduel!D98</f>
        <v>Nate Prosser</v>
      </c>
      <c r="F98" s="2">
        <f>(Fanduel!F98)*(IF(Fanduel!L98=0,1,0))</f>
        <v>1.6000000238418499</v>
      </c>
      <c r="G98" s="35">
        <f>Fanduel!H98</f>
        <v>3500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M98" s="2"/>
    </row>
    <row r="99" spans="1:13" x14ac:dyDescent="0.25">
      <c r="A99">
        <f t="shared" si="5"/>
        <v>0</v>
      </c>
      <c r="B99">
        <f>IF(C99=0,0,A99&amp;" "&amp;COUNTIF($A$1:$A99,A99))</f>
        <v>0</v>
      </c>
      <c r="C99" s="1">
        <v>0</v>
      </c>
      <c r="D99" s="42" t="str">
        <f>Fanduel!B99</f>
        <v>D</v>
      </c>
      <c r="E99" s="2" t="str">
        <f>Fanduel!D99</f>
        <v>Derrick Pouliot</v>
      </c>
      <c r="F99" s="2">
        <f>(Fanduel!F99)*(IF(Fanduel!L99=0,1,0))</f>
        <v>6.2705881455365304</v>
      </c>
      <c r="G99" s="35">
        <f>Fanduel!H99</f>
        <v>3500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M99" s="2"/>
    </row>
    <row r="100" spans="1:13" x14ac:dyDescent="0.25">
      <c r="A100" t="str">
        <f t="shared" si="5"/>
        <v>D</v>
      </c>
      <c r="B100" t="str">
        <f>IF(C100=0,0,A100&amp;" "&amp;COUNTIF($A$1:$A100,A100))</f>
        <v>D 1</v>
      </c>
      <c r="C100" s="1">
        <v>1</v>
      </c>
      <c r="D100" s="42" t="str">
        <f>Fanduel!B100</f>
        <v>D</v>
      </c>
      <c r="E100" s="2" t="str">
        <f>Fanduel!D100</f>
        <v>David Schlemko</v>
      </c>
      <c r="F100" s="2">
        <f>(Fanduel!F100)*(IF(Fanduel!L100=0,1,0))</f>
        <v>0</v>
      </c>
      <c r="G100" s="35">
        <f>Fanduel!H100</f>
        <v>3500</v>
      </c>
      <c r="H100">
        <f t="shared" si="6"/>
        <v>0</v>
      </c>
      <c r="I100">
        <f t="shared" si="6"/>
        <v>0</v>
      </c>
      <c r="J100">
        <f t="shared" si="6"/>
        <v>1</v>
      </c>
      <c r="K100">
        <f t="shared" si="6"/>
        <v>0</v>
      </c>
      <c r="M100" s="2"/>
    </row>
    <row r="101" spans="1:13" x14ac:dyDescent="0.25">
      <c r="A101">
        <f t="shared" si="5"/>
        <v>0</v>
      </c>
      <c r="B101">
        <f>IF(C101=0,0,A101&amp;" "&amp;COUNTIF($A$1:$A101,A101))</f>
        <v>0</v>
      </c>
      <c r="C101" s="1">
        <v>0</v>
      </c>
      <c r="D101" s="42" t="str">
        <f>Fanduel!B101</f>
        <v>D</v>
      </c>
      <c r="E101" s="2" t="str">
        <f>Fanduel!D101</f>
        <v>Marc Methot</v>
      </c>
      <c r="F101" s="2">
        <f>(Fanduel!F101)*(IF(Fanduel!L101=0,1,0))</f>
        <v>0</v>
      </c>
      <c r="G101" s="35">
        <f>Fanduel!H101</f>
        <v>3500</v>
      </c>
      <c r="H101">
        <f t="shared" si="6"/>
        <v>0</v>
      </c>
      <c r="I101">
        <f t="shared" si="6"/>
        <v>0</v>
      </c>
      <c r="J101">
        <f t="shared" si="6"/>
        <v>0</v>
      </c>
      <c r="K101">
        <f t="shared" si="6"/>
        <v>0</v>
      </c>
      <c r="M101" s="2"/>
    </row>
    <row r="102" spans="1:13" x14ac:dyDescent="0.25">
      <c r="A102" s="2">
        <f t="shared" si="5"/>
        <v>0</v>
      </c>
      <c r="B102" s="2">
        <f>IF(C102=0,0,A102&amp;" "&amp;COUNTIF($A$1:$A102,A102))</f>
        <v>0</v>
      </c>
      <c r="C102" s="1">
        <v>0</v>
      </c>
      <c r="D102" s="42" t="str">
        <f>Fanduel!B102</f>
        <v>D</v>
      </c>
      <c r="E102" s="2" t="str">
        <f>Fanduel!D102</f>
        <v>Andrew MacDonald</v>
      </c>
      <c r="F102" s="2">
        <f>(Fanduel!F102)*(IF(Fanduel!L102=0,1,0))</f>
        <v>0</v>
      </c>
      <c r="G102" s="35">
        <f>Fanduel!H102</f>
        <v>3500</v>
      </c>
      <c r="H102" s="2">
        <f t="shared" si="6"/>
        <v>0</v>
      </c>
      <c r="I102" s="2">
        <f t="shared" si="6"/>
        <v>0</v>
      </c>
      <c r="J102" s="2">
        <f t="shared" si="6"/>
        <v>0</v>
      </c>
      <c r="K102" s="2">
        <f t="shared" si="6"/>
        <v>0</v>
      </c>
      <c r="L102" s="2"/>
      <c r="M102" s="2"/>
    </row>
    <row r="103" spans="1:13" x14ac:dyDescent="0.25">
      <c r="A103" s="2">
        <f t="shared" si="5"/>
        <v>0</v>
      </c>
      <c r="B103" s="2">
        <f>IF(C103=0,0,A103&amp;" "&amp;COUNTIF($A$1:$A103,A103))</f>
        <v>0</v>
      </c>
      <c r="C103" s="1">
        <v>0</v>
      </c>
      <c r="D103" s="42" t="str">
        <f>Fanduel!B103</f>
        <v>D</v>
      </c>
      <c r="E103" s="2" t="str">
        <f>Fanduel!D103</f>
        <v>Robert Hagg</v>
      </c>
      <c r="F103" s="2">
        <f>(Fanduel!F103)*(IF(Fanduel!L103=0,1,0))</f>
        <v>5.4400001525878903</v>
      </c>
      <c r="G103" s="35">
        <f>Fanduel!H103</f>
        <v>3500</v>
      </c>
      <c r="H103" s="2">
        <f t="shared" ref="H103:K150" si="7">IF($D103=H$1,$C103*1,0)</f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/>
      <c r="M103" s="2"/>
    </row>
    <row r="104" spans="1:13" x14ac:dyDescent="0.25">
      <c r="A104" s="2">
        <f t="shared" si="5"/>
        <v>0</v>
      </c>
      <c r="B104" s="2">
        <f>IF(C104=0,0,A104&amp;" "&amp;COUNTIF($A$1:$A104,A104))</f>
        <v>0</v>
      </c>
      <c r="C104" s="1">
        <v>0</v>
      </c>
      <c r="D104" s="42" t="str">
        <f>Fanduel!B104</f>
        <v>D</v>
      </c>
      <c r="E104" s="2" t="str">
        <f>Fanduel!D104</f>
        <v>Travis Sanheim</v>
      </c>
      <c r="F104" s="2">
        <f>(Fanduel!F104)*(IF(Fanduel!L104=0,1,0))</f>
        <v>4.9882354736328098</v>
      </c>
      <c r="G104" s="35">
        <f>Fanduel!H104</f>
        <v>3500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/>
      <c r="M104" s="2"/>
    </row>
    <row r="105" spans="1:13" x14ac:dyDescent="0.25">
      <c r="A105" s="2" t="str">
        <f t="shared" si="5"/>
        <v>D</v>
      </c>
      <c r="B105" s="2" t="str">
        <f>IF(C105=0,0,A105&amp;" "&amp;COUNTIF($A$1:$A105,A105))</f>
        <v>D 2</v>
      </c>
      <c r="C105" s="1">
        <v>1</v>
      </c>
      <c r="D105" s="42" t="str">
        <f>Fanduel!B105</f>
        <v>D</v>
      </c>
      <c r="E105" s="2" t="str">
        <f>Fanduel!D105</f>
        <v>Robert Bortuzzo</v>
      </c>
      <c r="F105" s="2">
        <f>(Fanduel!F105)*(IF(Fanduel!L105=0,1,0))</f>
        <v>6.0571427118210499</v>
      </c>
      <c r="G105" s="35">
        <f>Fanduel!H105</f>
        <v>3500</v>
      </c>
      <c r="H105" s="2">
        <f t="shared" si="7"/>
        <v>0</v>
      </c>
      <c r="I105" s="2">
        <f t="shared" si="7"/>
        <v>0</v>
      </c>
      <c r="J105" s="2">
        <f t="shared" si="7"/>
        <v>1</v>
      </c>
      <c r="K105" s="2">
        <f t="shared" si="7"/>
        <v>0</v>
      </c>
      <c r="L105" s="2"/>
      <c r="M105" s="2"/>
    </row>
    <row r="106" spans="1:13" x14ac:dyDescent="0.25">
      <c r="A106" s="2">
        <f t="shared" si="5"/>
        <v>0</v>
      </c>
      <c r="B106" s="2">
        <f>IF(C106=0,0,A106&amp;" "&amp;COUNTIF($A$1:$A106,A106))</f>
        <v>0</v>
      </c>
      <c r="C106" s="1">
        <v>0</v>
      </c>
      <c r="D106" s="42" t="str">
        <f>Fanduel!B106</f>
        <v>D</v>
      </c>
      <c r="E106" s="2" t="str">
        <f>Fanduel!D106</f>
        <v>Erik Gudbranson</v>
      </c>
      <c r="F106" s="2">
        <f>(Fanduel!F106)*(IF(Fanduel!L106=0,1,0))</f>
        <v>3.7894736842105199</v>
      </c>
      <c r="G106" s="35">
        <f>Fanduel!H106</f>
        <v>3500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/>
      <c r="M106" s="2"/>
    </row>
    <row r="107" spans="1:13" x14ac:dyDescent="0.25">
      <c r="A107" s="2">
        <f t="shared" si="5"/>
        <v>0</v>
      </c>
      <c r="B107" s="2">
        <f>IF(C107=0,0,A107&amp;" "&amp;COUNTIF($A$1:$A107,A107))</f>
        <v>0</v>
      </c>
      <c r="C107" s="1">
        <v>0</v>
      </c>
      <c r="D107" s="42" t="str">
        <f>Fanduel!B107</f>
        <v>D</v>
      </c>
      <c r="E107" s="2" t="str">
        <f>Fanduel!D107</f>
        <v>Ben Hutton</v>
      </c>
      <c r="F107" s="2">
        <f>(Fanduel!F107)*(IF(Fanduel!L107=0,1,0))</f>
        <v>6.3099998474121097</v>
      </c>
      <c r="G107" s="35">
        <f>Fanduel!H107</f>
        <v>3500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/>
      <c r="M107" s="2"/>
    </row>
    <row r="108" spans="1:13" x14ac:dyDescent="0.25">
      <c r="A108" s="2">
        <f t="shared" si="5"/>
        <v>0</v>
      </c>
      <c r="B108" s="2">
        <f>IF(C108=0,0,A108&amp;" "&amp;COUNTIF($A$1:$A108,A108))</f>
        <v>0</v>
      </c>
      <c r="C108" s="1">
        <v>0</v>
      </c>
      <c r="D108" s="42" t="str">
        <f>Fanduel!B108</f>
        <v>D</v>
      </c>
      <c r="E108" s="2" t="str">
        <f>Fanduel!D108</f>
        <v>Will O'Neill</v>
      </c>
      <c r="F108" s="2">
        <f>(Fanduel!F108)*(IF(Fanduel!L108=0,1,0))</f>
        <v>4.8000001907348597</v>
      </c>
      <c r="G108" s="35">
        <f>Fanduel!H108</f>
        <v>3500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/>
      <c r="M108" s="2"/>
    </row>
    <row r="109" spans="1:13" x14ac:dyDescent="0.25">
      <c r="A109" s="2">
        <f t="shared" si="5"/>
        <v>0</v>
      </c>
      <c r="B109" s="2">
        <f>IF(C109=0,0,A109&amp;" "&amp;COUNTIF($A$1:$A109,A109))</f>
        <v>0</v>
      </c>
      <c r="C109" s="1">
        <v>0</v>
      </c>
      <c r="D109" s="42" t="str">
        <f>Fanduel!B109</f>
        <v>D</v>
      </c>
      <c r="E109" s="2" t="str">
        <f>Fanduel!D109</f>
        <v>Greg Pateryn</v>
      </c>
      <c r="F109" s="2">
        <f>(Fanduel!F109)*(IF(Fanduel!L109=0,1,0))</f>
        <v>4.6545455239035798</v>
      </c>
      <c r="G109" s="35">
        <f>Fanduel!H109</f>
        <v>3500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/>
      <c r="M109" s="2"/>
    </row>
    <row r="110" spans="1:13" x14ac:dyDescent="0.25">
      <c r="A110" s="2">
        <f t="shared" si="5"/>
        <v>0</v>
      </c>
      <c r="B110" s="2">
        <f>IF(C110=0,0,A110&amp;" "&amp;COUNTIF($A$1:$A110,A110))</f>
        <v>0</v>
      </c>
      <c r="C110" s="1">
        <v>0</v>
      </c>
      <c r="D110" s="42" t="str">
        <f>Fanduel!B110</f>
        <v>D</v>
      </c>
      <c r="E110" s="2" t="str">
        <f>Fanduel!D110</f>
        <v>Jamie Oleksiak</v>
      </c>
      <c r="F110" s="2">
        <f>(Fanduel!F110)*(IF(Fanduel!L110=0,1,0))</f>
        <v>3.1999999455043202</v>
      </c>
      <c r="G110" s="35">
        <f>Fanduel!H110</f>
        <v>3500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/>
      <c r="M110" s="2"/>
    </row>
    <row r="111" spans="1:13" x14ac:dyDescent="0.25">
      <c r="A111" s="2">
        <f t="shared" si="5"/>
        <v>0</v>
      </c>
      <c r="B111" s="2">
        <f>IF(C111=0,0,A111&amp;" "&amp;COUNTIF($A$1:$A111,A111))</f>
        <v>0</v>
      </c>
      <c r="C111" s="1">
        <v>0</v>
      </c>
      <c r="D111" s="42" t="str">
        <f>Fanduel!B111</f>
        <v>D</v>
      </c>
      <c r="E111" s="2" t="str">
        <f>Fanduel!D111</f>
        <v>Yohann Auvitu</v>
      </c>
      <c r="F111" s="2">
        <f>(Fanduel!F111)*(IF(Fanduel!L111=0,1,0))</f>
        <v>5.71428571428571</v>
      </c>
      <c r="G111" s="35">
        <f>Fanduel!H111</f>
        <v>3500</v>
      </c>
      <c r="H111" s="2">
        <f t="shared" si="7"/>
        <v>0</v>
      </c>
      <c r="I111" s="2">
        <f t="shared" si="7"/>
        <v>0</v>
      </c>
      <c r="J111" s="2">
        <f t="shared" si="7"/>
        <v>0</v>
      </c>
      <c r="K111" s="2">
        <f t="shared" si="7"/>
        <v>0</v>
      </c>
      <c r="L111" s="2"/>
      <c r="M111" s="2"/>
    </row>
    <row r="112" spans="1:13" x14ac:dyDescent="0.25">
      <c r="A112" s="2">
        <f t="shared" si="5"/>
        <v>0</v>
      </c>
      <c r="B112" s="2">
        <f>IF(C112=0,0,A112&amp;" "&amp;COUNTIF($A$1:$A112,A112))</f>
        <v>0</v>
      </c>
      <c r="C112" s="1">
        <v>0</v>
      </c>
      <c r="D112" s="42" t="str">
        <f>Fanduel!B112</f>
        <v>D</v>
      </c>
      <c r="E112" s="2" t="str">
        <f>Fanduel!D112</f>
        <v>Alex Biega</v>
      </c>
      <c r="F112" s="2">
        <f>(Fanduel!F112)*(IF(Fanduel!L112=0,1,0))</f>
        <v>5.6923076923076898</v>
      </c>
      <c r="G112" s="35">
        <f>Fanduel!H112</f>
        <v>3500</v>
      </c>
      <c r="H112" s="2">
        <f t="shared" si="7"/>
        <v>0</v>
      </c>
      <c r="I112" s="2">
        <f t="shared" si="7"/>
        <v>0</v>
      </c>
      <c r="J112" s="2">
        <f t="shared" si="7"/>
        <v>0</v>
      </c>
      <c r="K112" s="2">
        <f t="shared" si="7"/>
        <v>0</v>
      </c>
      <c r="L112" s="2"/>
      <c r="M112" s="2"/>
    </row>
    <row r="113" spans="1:13" x14ac:dyDescent="0.25">
      <c r="A113" s="2">
        <f t="shared" si="5"/>
        <v>0</v>
      </c>
      <c r="B113" s="2">
        <f>IF(C113=0,0,A113&amp;" "&amp;COUNTIF($A$1:$A113,A113))</f>
        <v>0</v>
      </c>
      <c r="C113" s="1">
        <v>0</v>
      </c>
      <c r="D113" s="42" t="str">
        <f>Fanduel!B113</f>
        <v>D</v>
      </c>
      <c r="E113" s="2" t="str">
        <f>Fanduel!D113</f>
        <v>Brandon Davidson</v>
      </c>
      <c r="F113" s="2">
        <f>(Fanduel!F113)*(IF(Fanduel!L113=0,1,0))</f>
        <v>4.6545455239035798</v>
      </c>
      <c r="G113" s="35">
        <f>Fanduel!H113</f>
        <v>3500</v>
      </c>
      <c r="H113" s="2">
        <f t="shared" si="7"/>
        <v>0</v>
      </c>
      <c r="I113" s="2">
        <f t="shared" si="7"/>
        <v>0</v>
      </c>
      <c r="J113" s="2">
        <f t="shared" si="7"/>
        <v>0</v>
      </c>
      <c r="K113" s="2">
        <f t="shared" si="7"/>
        <v>0</v>
      </c>
      <c r="L113" s="2"/>
      <c r="M113" s="2"/>
    </row>
    <row r="114" spans="1:13" x14ac:dyDescent="0.25">
      <c r="A114" s="2">
        <f t="shared" si="5"/>
        <v>0</v>
      </c>
      <c r="B114" s="2">
        <f>IF(C114=0,0,A114&amp;" "&amp;COUNTIF($A$1:$A114,A114))</f>
        <v>0</v>
      </c>
      <c r="C114" s="1">
        <v>0</v>
      </c>
      <c r="D114" s="42" t="str">
        <f>Fanduel!B114</f>
        <v>D</v>
      </c>
      <c r="E114" s="2" t="str">
        <f>Fanduel!D114</f>
        <v>Adam Larsson</v>
      </c>
      <c r="F114" s="2">
        <f>(Fanduel!F114)*(IF(Fanduel!L114=0,1,0))</f>
        <v>7.6</v>
      </c>
      <c r="G114" s="35">
        <f>Fanduel!H114</f>
        <v>3500</v>
      </c>
      <c r="H114" s="2">
        <f t="shared" si="7"/>
        <v>0</v>
      </c>
      <c r="I114" s="2">
        <f t="shared" si="7"/>
        <v>0</v>
      </c>
      <c r="J114" s="2">
        <f t="shared" si="7"/>
        <v>0</v>
      </c>
      <c r="K114" s="2">
        <f t="shared" si="7"/>
        <v>0</v>
      </c>
      <c r="L114" s="2"/>
      <c r="M114" s="2"/>
    </row>
    <row r="115" spans="1:13" x14ac:dyDescent="0.25">
      <c r="A115" s="2">
        <f t="shared" si="5"/>
        <v>0</v>
      </c>
      <c r="B115" s="2">
        <f>IF(C115=0,0,A115&amp;" "&amp;COUNTIF($A$1:$A115,A115))</f>
        <v>0</v>
      </c>
      <c r="C115" s="1">
        <v>0</v>
      </c>
      <c r="D115" s="42" t="str">
        <f>Fanduel!B115</f>
        <v>D</v>
      </c>
      <c r="E115" s="2" t="str">
        <f>Fanduel!D115</f>
        <v>Joe Morrow</v>
      </c>
      <c r="F115" s="2">
        <f>(Fanduel!F115)*(IF(Fanduel!L115=0,1,0))</f>
        <v>6.5454545454545396</v>
      </c>
      <c r="G115" s="35">
        <f>Fanduel!H115</f>
        <v>3500</v>
      </c>
      <c r="H115" s="2">
        <f t="shared" si="7"/>
        <v>0</v>
      </c>
      <c r="I115" s="2">
        <f t="shared" si="7"/>
        <v>0</v>
      </c>
      <c r="J115" s="2">
        <f t="shared" si="7"/>
        <v>0</v>
      </c>
      <c r="K115" s="2">
        <f t="shared" si="7"/>
        <v>0</v>
      </c>
      <c r="L115" s="2"/>
      <c r="M115" s="2"/>
    </row>
    <row r="116" spans="1:13" x14ac:dyDescent="0.25">
      <c r="A116" s="2">
        <f t="shared" si="5"/>
        <v>0</v>
      </c>
      <c r="B116" s="2">
        <f>IF(C116=0,0,A116&amp;" "&amp;COUNTIF($A$1:$A116,A116))</f>
        <v>0</v>
      </c>
      <c r="C116" s="1">
        <v>0</v>
      </c>
      <c r="D116" s="42" t="str">
        <f>Fanduel!B116</f>
        <v>D</v>
      </c>
      <c r="E116" s="2" t="str">
        <f>Fanduel!D116</f>
        <v>Victor Mete</v>
      </c>
      <c r="F116" s="2">
        <f>(Fanduel!F116)*(IF(Fanduel!L116=0,1,0))</f>
        <v>4.4666668119884596</v>
      </c>
      <c r="G116" s="35">
        <f>Fanduel!H116</f>
        <v>3500</v>
      </c>
      <c r="H116" s="2">
        <f t="shared" si="7"/>
        <v>0</v>
      </c>
      <c r="I116" s="2">
        <f t="shared" si="7"/>
        <v>0</v>
      </c>
      <c r="J116" s="2">
        <f t="shared" si="7"/>
        <v>0</v>
      </c>
      <c r="K116" s="2">
        <f t="shared" si="7"/>
        <v>0</v>
      </c>
      <c r="L116" s="2"/>
      <c r="M116" s="2"/>
    </row>
    <row r="117" spans="1:13" x14ac:dyDescent="0.25">
      <c r="A117" s="2">
        <f t="shared" si="5"/>
        <v>0</v>
      </c>
      <c r="B117" s="2">
        <f>IF(C117=0,0,A117&amp;" "&amp;COUNTIF($A$1:$A117,A117))</f>
        <v>0</v>
      </c>
      <c r="C117" s="1">
        <v>0</v>
      </c>
      <c r="D117" s="42" t="str">
        <f>Fanduel!B117</f>
        <v>W</v>
      </c>
      <c r="E117" s="2" t="str">
        <f>Fanduel!D117</f>
        <v>Michael Cammalleri</v>
      </c>
      <c r="F117" s="2">
        <f>(Fanduel!F117)*(IF(Fanduel!L117=0,1,0))</f>
        <v>7.1647060618680998</v>
      </c>
      <c r="G117" s="35">
        <f>Fanduel!H117</f>
        <v>3500</v>
      </c>
      <c r="H117" s="2">
        <f t="shared" si="7"/>
        <v>0</v>
      </c>
      <c r="I117" s="2">
        <f t="shared" si="7"/>
        <v>0</v>
      </c>
      <c r="J117" s="2">
        <f t="shared" si="7"/>
        <v>0</v>
      </c>
      <c r="K117" s="2">
        <f t="shared" si="7"/>
        <v>0</v>
      </c>
      <c r="L117" s="2"/>
      <c r="M117" s="2"/>
    </row>
    <row r="118" spans="1:13" x14ac:dyDescent="0.25">
      <c r="A118" s="2">
        <f t="shared" si="5"/>
        <v>0</v>
      </c>
      <c r="B118" s="2">
        <f>IF(C118=0,0,A118&amp;" "&amp;COUNTIF($A$1:$A118,A118))</f>
        <v>0</v>
      </c>
      <c r="C118" s="1">
        <v>0</v>
      </c>
      <c r="D118" s="42" t="str">
        <f>Fanduel!B118</f>
        <v>D</v>
      </c>
      <c r="E118" s="2" t="str">
        <f>Fanduel!D118</f>
        <v>Samuel Morin</v>
      </c>
      <c r="F118" s="2">
        <f>(Fanduel!F118)*(IF(Fanduel!L118=0,1,0))</f>
        <v>3.20000004768371</v>
      </c>
      <c r="G118" s="35">
        <f>Fanduel!H118</f>
        <v>3500</v>
      </c>
      <c r="H118" s="2">
        <f t="shared" si="7"/>
        <v>0</v>
      </c>
      <c r="I118" s="2">
        <f t="shared" si="7"/>
        <v>0</v>
      </c>
      <c r="J118" s="2">
        <f t="shared" si="7"/>
        <v>0</v>
      </c>
      <c r="K118" s="2">
        <f t="shared" si="7"/>
        <v>0</v>
      </c>
      <c r="L118" s="2"/>
      <c r="M118" s="2"/>
    </row>
    <row r="119" spans="1:13" x14ac:dyDescent="0.25">
      <c r="A119" s="2">
        <f t="shared" si="5"/>
        <v>0</v>
      </c>
      <c r="B119" s="2">
        <f>IF(C119=0,0,A119&amp;" "&amp;COUNTIF($A$1:$A119,A119))</f>
        <v>0</v>
      </c>
      <c r="C119" s="1">
        <v>0</v>
      </c>
      <c r="D119" s="42" t="str">
        <f>Fanduel!B119</f>
        <v>W</v>
      </c>
      <c r="E119" s="2" t="str">
        <f>Fanduel!D119</f>
        <v>Charles Hudon</v>
      </c>
      <c r="F119" s="2">
        <f>(Fanduel!F119)*(IF(Fanduel!L119=0,1,0))</f>
        <v>8.6099998474120998</v>
      </c>
      <c r="G119" s="35">
        <f>Fanduel!H119</f>
        <v>3400</v>
      </c>
      <c r="H119" s="2">
        <f t="shared" si="7"/>
        <v>0</v>
      </c>
      <c r="I119" s="2">
        <f t="shared" si="7"/>
        <v>0</v>
      </c>
      <c r="J119" s="2">
        <f t="shared" si="7"/>
        <v>0</v>
      </c>
      <c r="K119" s="2">
        <f t="shared" si="7"/>
        <v>0</v>
      </c>
      <c r="L119" s="2"/>
      <c r="M119" s="2"/>
    </row>
    <row r="120" spans="1:13" x14ac:dyDescent="0.25">
      <c r="A120" s="2">
        <f t="shared" si="5"/>
        <v>0</v>
      </c>
      <c r="B120" s="2">
        <f>IF(C120=0,0,A120&amp;" "&amp;COUNTIF($A$1:$A120,A120))</f>
        <v>0</v>
      </c>
      <c r="C120" s="1">
        <v>0</v>
      </c>
      <c r="D120" s="42" t="str">
        <f>Fanduel!B120</f>
        <v>W</v>
      </c>
      <c r="E120" s="2" t="str">
        <f>Fanduel!D120</f>
        <v>Mark Letestu</v>
      </c>
      <c r="F120" s="2">
        <f>(Fanduel!F120)*(IF(Fanduel!L120=0,1,0))</f>
        <v>6.4249999999999998</v>
      </c>
      <c r="G120" s="35">
        <f>Fanduel!H120</f>
        <v>3400</v>
      </c>
      <c r="H120" s="2">
        <f t="shared" si="7"/>
        <v>0</v>
      </c>
      <c r="I120" s="2">
        <f t="shared" si="7"/>
        <v>0</v>
      </c>
      <c r="J120" s="2">
        <f t="shared" si="7"/>
        <v>0</v>
      </c>
      <c r="K120" s="2">
        <f t="shared" si="7"/>
        <v>0</v>
      </c>
      <c r="L120" s="2"/>
      <c r="M120" s="2"/>
    </row>
    <row r="121" spans="1:13" x14ac:dyDescent="0.25">
      <c r="A121" s="2">
        <f t="shared" si="5"/>
        <v>0</v>
      </c>
      <c r="B121" s="2">
        <f>IF(C121=0,0,A121&amp;" "&amp;COUNTIF($A$1:$A121,A121))</f>
        <v>0</v>
      </c>
      <c r="C121" s="1">
        <v>0</v>
      </c>
      <c r="D121" s="42" t="str">
        <f>Fanduel!B121</f>
        <v>W</v>
      </c>
      <c r="E121" s="2" t="str">
        <f>Fanduel!D121</f>
        <v>Gemel Smith</v>
      </c>
      <c r="F121" s="2">
        <f>(Fanduel!F121)*(IF(Fanduel!L121=0,1,0))</f>
        <v>5.7777777777777697</v>
      </c>
      <c r="G121" s="35">
        <f>Fanduel!H121</f>
        <v>3300</v>
      </c>
      <c r="H121" s="2">
        <f t="shared" si="7"/>
        <v>0</v>
      </c>
      <c r="I121" s="2">
        <f t="shared" si="7"/>
        <v>0</v>
      </c>
      <c r="J121" s="2">
        <f t="shared" si="7"/>
        <v>0</v>
      </c>
      <c r="K121" s="2">
        <f t="shared" si="7"/>
        <v>0</v>
      </c>
      <c r="L121" s="2"/>
      <c r="M121" s="2"/>
    </row>
    <row r="122" spans="1:13" x14ac:dyDescent="0.25">
      <c r="A122" s="2">
        <f t="shared" si="5"/>
        <v>0</v>
      </c>
      <c r="B122" s="2">
        <f>IF(C122=0,0,A122&amp;" "&amp;COUNTIF($A$1:$A122,A122))</f>
        <v>0</v>
      </c>
      <c r="C122" s="1">
        <v>0</v>
      </c>
      <c r="D122" s="42" t="str">
        <f>Fanduel!B122</f>
        <v>W</v>
      </c>
      <c r="E122" s="2" t="str">
        <f>Fanduel!D122</f>
        <v>Jesse Puljujarvi</v>
      </c>
      <c r="F122" s="2">
        <f>(Fanduel!F122)*(IF(Fanduel!L122=0,1,0))</f>
        <v>6.8800003051757797</v>
      </c>
      <c r="G122" s="35">
        <f>Fanduel!H122</f>
        <v>3300</v>
      </c>
      <c r="H122" s="2">
        <f t="shared" si="7"/>
        <v>0</v>
      </c>
      <c r="I122" s="2">
        <f t="shared" si="7"/>
        <v>0</v>
      </c>
      <c r="J122" s="2">
        <f t="shared" si="7"/>
        <v>0</v>
      </c>
      <c r="K122" s="2">
        <f t="shared" si="7"/>
        <v>0</v>
      </c>
      <c r="L122" s="2"/>
      <c r="M122" s="2"/>
    </row>
    <row r="123" spans="1:13" x14ac:dyDescent="0.25">
      <c r="A123" s="2">
        <f t="shared" si="5"/>
        <v>0</v>
      </c>
      <c r="B123" s="2">
        <f>IF(C123=0,0,A123&amp;" "&amp;COUNTIF($A$1:$A123,A123))</f>
        <v>0</v>
      </c>
      <c r="C123" s="1">
        <v>0</v>
      </c>
      <c r="D123" s="42" t="str">
        <f>Fanduel!B123</f>
        <v>W</v>
      </c>
      <c r="E123" s="2" t="str">
        <f>Fanduel!D123</f>
        <v>Jake Virtanen</v>
      </c>
      <c r="F123" s="2">
        <f>(Fanduel!F123)*(IF(Fanduel!L123=0,1,0))</f>
        <v>5.8000001907348597</v>
      </c>
      <c r="G123" s="35">
        <f>Fanduel!H123</f>
        <v>3200</v>
      </c>
      <c r="H123" s="2">
        <f t="shared" si="7"/>
        <v>0</v>
      </c>
      <c r="I123" s="2">
        <f t="shared" si="7"/>
        <v>0</v>
      </c>
      <c r="J123" s="2">
        <f t="shared" si="7"/>
        <v>0</v>
      </c>
      <c r="K123" s="2">
        <f t="shared" si="7"/>
        <v>0</v>
      </c>
      <c r="L123" s="2"/>
      <c r="M123" s="2"/>
    </row>
    <row r="124" spans="1:13" x14ac:dyDescent="0.25">
      <c r="A124" s="2">
        <f t="shared" si="5"/>
        <v>0</v>
      </c>
      <c r="B124" s="2">
        <f>IF(C124=0,0,A124&amp;" "&amp;COUNTIF($A$1:$A124,A124))</f>
        <v>0</v>
      </c>
      <c r="C124" s="1">
        <v>0</v>
      </c>
      <c r="D124" s="42" t="str">
        <f>Fanduel!B124</f>
        <v>C</v>
      </c>
      <c r="E124" s="2" t="str">
        <f>Fanduel!D124</f>
        <v>Brandon Sutter</v>
      </c>
      <c r="F124" s="2">
        <f>(Fanduel!F124)*(IF(Fanduel!L124=0,1,0))</f>
        <v>6</v>
      </c>
      <c r="G124" s="35">
        <f>Fanduel!H124</f>
        <v>3200</v>
      </c>
      <c r="H124" s="2">
        <f t="shared" si="7"/>
        <v>0</v>
      </c>
      <c r="I124" s="2">
        <f t="shared" si="7"/>
        <v>0</v>
      </c>
      <c r="J124" s="2">
        <f t="shared" si="7"/>
        <v>0</v>
      </c>
      <c r="K124" s="2">
        <f t="shared" si="7"/>
        <v>0</v>
      </c>
      <c r="L124" s="2"/>
      <c r="M124" s="2"/>
    </row>
    <row r="125" spans="1:13" x14ac:dyDescent="0.25">
      <c r="A125" s="2">
        <f t="shared" si="5"/>
        <v>0</v>
      </c>
      <c r="B125" s="2">
        <f>IF(C125=0,0,A125&amp;" "&amp;COUNTIF($A$1:$A125,A125))</f>
        <v>0</v>
      </c>
      <c r="C125" s="1">
        <v>0</v>
      </c>
      <c r="D125" s="42" t="str">
        <f>Fanduel!B125</f>
        <v>W</v>
      </c>
      <c r="E125" s="2" t="str">
        <f>Fanduel!D125</f>
        <v>Dmitrij Jaskin</v>
      </c>
      <c r="F125" s="2">
        <f>(Fanduel!F125)*(IF(Fanduel!L125=0,1,0))</f>
        <v>5.6444443596733898</v>
      </c>
      <c r="G125" s="35">
        <f>Fanduel!H125</f>
        <v>3200</v>
      </c>
      <c r="H125" s="2">
        <f t="shared" si="7"/>
        <v>0</v>
      </c>
      <c r="I125" s="2">
        <f t="shared" si="7"/>
        <v>0</v>
      </c>
      <c r="J125" s="2">
        <f t="shared" si="7"/>
        <v>0</v>
      </c>
      <c r="K125" s="2">
        <f t="shared" si="7"/>
        <v>0</v>
      </c>
      <c r="L125" s="2"/>
      <c r="M125" s="2"/>
    </row>
    <row r="126" spans="1:13" x14ac:dyDescent="0.25">
      <c r="A126" s="2">
        <f t="shared" si="5"/>
        <v>0</v>
      </c>
      <c r="B126" s="2">
        <f>IF(C126=0,0,A126&amp;" "&amp;COUNTIF($A$1:$A126,A126))</f>
        <v>0</v>
      </c>
      <c r="C126" s="1">
        <v>0</v>
      </c>
      <c r="D126" s="42" t="str">
        <f>Fanduel!B126</f>
        <v>W</v>
      </c>
      <c r="E126" s="2" t="str">
        <f>Fanduel!D126</f>
        <v>Remi Elie</v>
      </c>
      <c r="F126" s="2">
        <f>(Fanduel!F126)*(IF(Fanduel!L126=0,1,0))</f>
        <v>3.70000004768371</v>
      </c>
      <c r="G126" s="35">
        <f>Fanduel!H126</f>
        <v>3200</v>
      </c>
      <c r="H126" s="2">
        <f t="shared" si="7"/>
        <v>0</v>
      </c>
      <c r="I126" s="2">
        <f t="shared" si="7"/>
        <v>0</v>
      </c>
      <c r="J126" s="2">
        <f t="shared" si="7"/>
        <v>0</v>
      </c>
      <c r="K126" s="2">
        <f t="shared" si="7"/>
        <v>0</v>
      </c>
      <c r="L126" s="2"/>
      <c r="M126" s="2"/>
    </row>
    <row r="127" spans="1:13" x14ac:dyDescent="0.25">
      <c r="A127" s="2">
        <f t="shared" si="5"/>
        <v>0</v>
      </c>
      <c r="B127" s="2">
        <f>IF(C127=0,0,A127&amp;" "&amp;COUNTIF($A$1:$A127,A127))</f>
        <v>0</v>
      </c>
      <c r="C127" s="1">
        <v>0</v>
      </c>
      <c r="D127" s="42" t="str">
        <f>Fanduel!B127</f>
        <v>W</v>
      </c>
      <c r="E127" s="2" t="str">
        <f>Fanduel!D127</f>
        <v>Anton Slepyshev</v>
      </c>
      <c r="F127" s="2">
        <f>(Fanduel!F127)*(IF(Fanduel!L127=0,1,0))</f>
        <v>0</v>
      </c>
      <c r="G127" s="35">
        <f>Fanduel!H127</f>
        <v>3200</v>
      </c>
      <c r="H127" s="2">
        <f t="shared" si="7"/>
        <v>0</v>
      </c>
      <c r="I127" s="2">
        <f t="shared" si="7"/>
        <v>0</v>
      </c>
      <c r="J127" s="2">
        <f t="shared" si="7"/>
        <v>0</v>
      </c>
      <c r="K127" s="2">
        <f t="shared" si="7"/>
        <v>0</v>
      </c>
      <c r="L127" s="2"/>
      <c r="M127" s="2"/>
    </row>
    <row r="128" spans="1:13" x14ac:dyDescent="0.25">
      <c r="A128" s="2">
        <f t="shared" si="5"/>
        <v>0</v>
      </c>
      <c r="B128" s="2">
        <f>IF(C128=0,0,A128&amp;" "&amp;COUNTIF($A$1:$A128,A128))</f>
        <v>0</v>
      </c>
      <c r="C128" s="1">
        <v>0</v>
      </c>
      <c r="D128" s="42" t="str">
        <f>Fanduel!B128</f>
        <v>W</v>
      </c>
      <c r="E128" s="2" t="str">
        <f>Fanduel!D128</f>
        <v>Derek Dorsett</v>
      </c>
      <c r="F128" s="2">
        <f>(Fanduel!F128)*(IF(Fanduel!L128=0,1,0))</f>
        <v>8.4</v>
      </c>
      <c r="G128" s="35">
        <f>Fanduel!H128</f>
        <v>3200</v>
      </c>
      <c r="H128" s="2">
        <f t="shared" si="7"/>
        <v>0</v>
      </c>
      <c r="I128" s="2">
        <f t="shared" si="7"/>
        <v>0</v>
      </c>
      <c r="J128" s="2">
        <f t="shared" si="7"/>
        <v>0</v>
      </c>
      <c r="K128" s="2">
        <f t="shared" si="7"/>
        <v>0</v>
      </c>
      <c r="L128" s="2"/>
      <c r="M128" s="2"/>
    </row>
    <row r="129" spans="1:13" x14ac:dyDescent="0.25">
      <c r="A129" s="2">
        <f t="shared" si="5"/>
        <v>0</v>
      </c>
      <c r="B129" s="2">
        <f>IF(C129=0,0,A129&amp;" "&amp;COUNTIF($A$1:$A129,A129))</f>
        <v>0</v>
      </c>
      <c r="C129" s="1">
        <v>0</v>
      </c>
      <c r="D129" s="42" t="str">
        <f>Fanduel!B129</f>
        <v>W</v>
      </c>
      <c r="E129" s="2" t="str">
        <f>Fanduel!D129</f>
        <v>Zack Kassian</v>
      </c>
      <c r="F129" s="2">
        <f>(Fanduel!F129)*(IF(Fanduel!L129=0,1,0))</f>
        <v>3.3849998474121001</v>
      </c>
      <c r="G129" s="35">
        <f>Fanduel!H129</f>
        <v>3200</v>
      </c>
      <c r="H129" s="2">
        <f t="shared" si="7"/>
        <v>0</v>
      </c>
      <c r="I129" s="2">
        <f t="shared" si="7"/>
        <v>0</v>
      </c>
      <c r="J129" s="2">
        <f t="shared" si="7"/>
        <v>0</v>
      </c>
      <c r="K129" s="2">
        <f t="shared" si="7"/>
        <v>0</v>
      </c>
      <c r="L129" s="2"/>
      <c r="M129" s="2"/>
    </row>
    <row r="130" spans="1:13" x14ac:dyDescent="0.25">
      <c r="A130" s="2">
        <f t="shared" ref="A130:A150" si="8">IF(C130=1,D130,0)</f>
        <v>0</v>
      </c>
      <c r="B130" s="2">
        <f>IF(C130=0,0,A130&amp;" "&amp;COUNTIF($A$1:$A130,A130))</f>
        <v>0</v>
      </c>
      <c r="C130" s="1">
        <v>0</v>
      </c>
      <c r="D130" s="42" t="str">
        <f>Fanduel!B130</f>
        <v>C</v>
      </c>
      <c r="E130" s="2" t="str">
        <f>Fanduel!D130</f>
        <v>Torrey Mitchell</v>
      </c>
      <c r="F130" s="2">
        <f>(Fanduel!F130)*(IF(Fanduel!L130=0,1,0))</f>
        <v>2.23999996185302</v>
      </c>
      <c r="G130" s="35">
        <f>Fanduel!H130</f>
        <v>3200</v>
      </c>
      <c r="H130" s="2">
        <f t="shared" si="7"/>
        <v>0</v>
      </c>
      <c r="I130" s="2">
        <f t="shared" si="7"/>
        <v>0</v>
      </c>
      <c r="J130" s="2">
        <f t="shared" si="7"/>
        <v>0</v>
      </c>
      <c r="K130" s="2">
        <f t="shared" si="7"/>
        <v>0</v>
      </c>
      <c r="L130" s="2"/>
      <c r="M130" s="2"/>
    </row>
    <row r="131" spans="1:13" x14ac:dyDescent="0.25">
      <c r="A131" s="2">
        <f t="shared" si="8"/>
        <v>0</v>
      </c>
      <c r="B131" s="2">
        <f>IF(C131=0,0,A131&amp;" "&amp;COUNTIF($A$1:$A131,A131))</f>
        <v>0</v>
      </c>
      <c r="C131" s="1">
        <v>0</v>
      </c>
      <c r="D131" s="42" t="str">
        <f>Fanduel!B131</f>
        <v>W</v>
      </c>
      <c r="E131" s="2" t="str">
        <f>Fanduel!D131</f>
        <v>Markus Granlund</v>
      </c>
      <c r="F131" s="2">
        <f>(Fanduel!F131)*(IF(Fanduel!L131=0,1,0))</f>
        <v>5.1157893130653704</v>
      </c>
      <c r="G131" s="35">
        <f>Fanduel!H131</f>
        <v>3200</v>
      </c>
      <c r="H131" s="2">
        <f t="shared" si="7"/>
        <v>0</v>
      </c>
      <c r="I131" s="2">
        <f t="shared" si="7"/>
        <v>0</v>
      </c>
      <c r="J131" s="2">
        <f t="shared" si="7"/>
        <v>0</v>
      </c>
      <c r="K131" s="2">
        <f t="shared" si="7"/>
        <v>0</v>
      </c>
      <c r="L131" s="2"/>
      <c r="M131" s="2"/>
    </row>
    <row r="132" spans="1:13" x14ac:dyDescent="0.25">
      <c r="A132" s="2">
        <f t="shared" si="8"/>
        <v>0</v>
      </c>
      <c r="B132" s="2">
        <f>IF(C132=0,0,A132&amp;" "&amp;COUNTIF($A$1:$A132,A132))</f>
        <v>0</v>
      </c>
      <c r="C132" s="1">
        <v>0</v>
      </c>
      <c r="D132" s="42" t="str">
        <f>Fanduel!B132</f>
        <v>W</v>
      </c>
      <c r="E132" s="2" t="str">
        <f>Fanduel!D132</f>
        <v>Dale Weise</v>
      </c>
      <c r="F132" s="2">
        <f>(Fanduel!F132)*(IF(Fanduel!L132=0,1,0))</f>
        <v>4.1411765603458104</v>
      </c>
      <c r="G132" s="35">
        <f>Fanduel!H132</f>
        <v>3200</v>
      </c>
      <c r="H132" s="2">
        <f t="shared" si="7"/>
        <v>0</v>
      </c>
      <c r="I132" s="2">
        <f t="shared" si="7"/>
        <v>0</v>
      </c>
      <c r="J132" s="2">
        <f t="shared" si="7"/>
        <v>0</v>
      </c>
      <c r="K132" s="2">
        <f t="shared" si="7"/>
        <v>0</v>
      </c>
      <c r="L132" s="2"/>
      <c r="M132" s="2"/>
    </row>
    <row r="133" spans="1:13" x14ac:dyDescent="0.25">
      <c r="A133" s="2">
        <f t="shared" si="8"/>
        <v>0</v>
      </c>
      <c r="B133" s="2">
        <f>IF(C133=0,0,A133&amp;" "&amp;COUNTIF($A$1:$A133,A133))</f>
        <v>0</v>
      </c>
      <c r="C133" s="1">
        <v>0</v>
      </c>
      <c r="D133" s="42" t="str">
        <f>Fanduel!B133</f>
        <v>W</v>
      </c>
      <c r="E133" s="2" t="str">
        <f>Fanduel!D133</f>
        <v>Antoine Roussel</v>
      </c>
      <c r="F133" s="2">
        <f>(Fanduel!F133)*(IF(Fanduel!L133=0,1,0))</f>
        <v>4.8799999237060501</v>
      </c>
      <c r="G133" s="35">
        <f>Fanduel!H133</f>
        <v>3200</v>
      </c>
      <c r="H133" s="2">
        <f t="shared" si="7"/>
        <v>0</v>
      </c>
      <c r="I133" s="2">
        <f t="shared" si="7"/>
        <v>0</v>
      </c>
      <c r="J133" s="2">
        <f t="shared" si="7"/>
        <v>0</v>
      </c>
      <c r="K133" s="2">
        <f t="shared" si="7"/>
        <v>0</v>
      </c>
      <c r="L133" s="2"/>
      <c r="M133" s="2"/>
    </row>
    <row r="134" spans="1:13" x14ac:dyDescent="0.25">
      <c r="A134" s="2">
        <f t="shared" si="8"/>
        <v>0</v>
      </c>
      <c r="B134" s="2">
        <f>IF(C134=0,0,A134&amp;" "&amp;COUNTIF($A$1:$A134,A134))</f>
        <v>0</v>
      </c>
      <c r="C134" s="1">
        <v>0</v>
      </c>
      <c r="D134" s="42" t="str">
        <f>Fanduel!B134</f>
        <v>W</v>
      </c>
      <c r="E134" s="2" t="str">
        <f>Fanduel!D134</f>
        <v>Taylor Leier</v>
      </c>
      <c r="F134" s="2">
        <f>(Fanduel!F134)*(IF(Fanduel!L134=0,1,0))</f>
        <v>3.9111111958821598</v>
      </c>
      <c r="G134" s="35">
        <f>Fanduel!H134</f>
        <v>3200</v>
      </c>
      <c r="H134" s="2">
        <f t="shared" si="7"/>
        <v>0</v>
      </c>
      <c r="I134" s="2">
        <f t="shared" si="7"/>
        <v>0</v>
      </c>
      <c r="J134" s="2">
        <f t="shared" si="7"/>
        <v>0</v>
      </c>
      <c r="K134" s="2">
        <f t="shared" si="7"/>
        <v>0</v>
      </c>
      <c r="L134" s="2"/>
      <c r="M134" s="2"/>
    </row>
    <row r="135" spans="1:13" x14ac:dyDescent="0.25">
      <c r="A135" s="2">
        <f t="shared" si="8"/>
        <v>0</v>
      </c>
      <c r="B135" s="2">
        <f>IF(C135=0,0,A135&amp;" "&amp;COUNTIF($A$1:$A135,A135))</f>
        <v>0</v>
      </c>
      <c r="C135" s="1">
        <v>0</v>
      </c>
      <c r="D135" s="42" t="str">
        <f>Fanduel!B135</f>
        <v>C</v>
      </c>
      <c r="E135" s="2" t="str">
        <f>Fanduel!D135</f>
        <v>Jori Lehtera</v>
      </c>
      <c r="F135" s="2">
        <f>(Fanduel!F135)*(IF(Fanduel!L135=0,1,0))</f>
        <v>2.4615384615384599</v>
      </c>
      <c r="G135" s="35">
        <f>Fanduel!H135</f>
        <v>3100</v>
      </c>
      <c r="H135" s="2">
        <f t="shared" si="7"/>
        <v>0</v>
      </c>
      <c r="I135" s="2">
        <f t="shared" si="7"/>
        <v>0</v>
      </c>
      <c r="J135" s="2">
        <f t="shared" si="7"/>
        <v>0</v>
      </c>
      <c r="K135" s="2">
        <f t="shared" si="7"/>
        <v>0</v>
      </c>
      <c r="L135" s="2"/>
      <c r="M135" s="2"/>
    </row>
    <row r="136" spans="1:13" x14ac:dyDescent="0.25">
      <c r="A136" s="2">
        <f t="shared" si="8"/>
        <v>0</v>
      </c>
      <c r="B136" s="2">
        <f>IF(C136=0,0,A136&amp;" "&amp;COUNTIF($A$1:$A136,A136))</f>
        <v>0</v>
      </c>
      <c r="C136" s="1">
        <v>0</v>
      </c>
      <c r="D136" s="42" t="str">
        <f>Fanduel!B136</f>
        <v>W</v>
      </c>
      <c r="E136" s="2" t="str">
        <f>Fanduel!D136</f>
        <v>Brett Ritchie</v>
      </c>
      <c r="F136" s="2">
        <f>(Fanduel!F136)*(IF(Fanduel!L136=0,1,0))</f>
        <v>3.4666666666666601</v>
      </c>
      <c r="G136" s="35">
        <f>Fanduel!H136</f>
        <v>3100</v>
      </c>
      <c r="H136" s="2">
        <f t="shared" si="7"/>
        <v>0</v>
      </c>
      <c r="I136" s="2">
        <f t="shared" si="7"/>
        <v>0</v>
      </c>
      <c r="J136" s="2">
        <f t="shared" si="7"/>
        <v>0</v>
      </c>
      <c r="K136" s="2">
        <f t="shared" si="7"/>
        <v>0</v>
      </c>
      <c r="L136" s="2"/>
      <c r="M136" s="2"/>
    </row>
    <row r="137" spans="1:13" x14ac:dyDescent="0.25">
      <c r="A137" s="2">
        <f t="shared" si="8"/>
        <v>0</v>
      </c>
      <c r="B137" s="2">
        <f>IF(C137=0,0,A137&amp;" "&amp;COUNTIF($A$1:$A137,A137))</f>
        <v>0</v>
      </c>
      <c r="C137" s="1">
        <v>0</v>
      </c>
      <c r="D137" s="42" t="str">
        <f>Fanduel!B137</f>
        <v>W</v>
      </c>
      <c r="E137" s="2" t="str">
        <f>Fanduel!D137</f>
        <v>Jordan Weal</v>
      </c>
      <c r="F137" s="2">
        <f>(Fanduel!F137)*(IF(Fanduel!L137=0,1,0))</f>
        <v>0</v>
      </c>
      <c r="G137" s="35">
        <f>Fanduel!H137</f>
        <v>3100</v>
      </c>
      <c r="H137" s="2">
        <f t="shared" si="7"/>
        <v>0</v>
      </c>
      <c r="I137" s="2">
        <f t="shared" si="7"/>
        <v>0</v>
      </c>
      <c r="J137" s="2">
        <f t="shared" si="7"/>
        <v>0</v>
      </c>
      <c r="K137" s="2">
        <f t="shared" si="7"/>
        <v>0</v>
      </c>
      <c r="L137" s="2"/>
      <c r="M137" s="2"/>
    </row>
    <row r="138" spans="1:13" x14ac:dyDescent="0.25">
      <c r="A138" s="2">
        <f t="shared" si="8"/>
        <v>0</v>
      </c>
      <c r="B138" s="2">
        <f>IF(C138=0,0,A138&amp;" "&amp;COUNTIF($A$1:$A138,A138))</f>
        <v>0</v>
      </c>
      <c r="C138" s="1">
        <v>0</v>
      </c>
      <c r="D138" s="42" t="str">
        <f>Fanduel!B138</f>
        <v>C</v>
      </c>
      <c r="E138" s="2" t="str">
        <f>Fanduel!D138</f>
        <v>Alex Burmistrov</v>
      </c>
      <c r="F138" s="2">
        <f>(Fanduel!F138)*(IF(Fanduel!L138=0,1,0))</f>
        <v>4.67333323160807</v>
      </c>
      <c r="G138" s="35">
        <f>Fanduel!H138</f>
        <v>3100</v>
      </c>
      <c r="H138" s="2">
        <f t="shared" si="7"/>
        <v>0</v>
      </c>
      <c r="I138" s="2">
        <f t="shared" si="7"/>
        <v>0</v>
      </c>
      <c r="J138" s="2">
        <f t="shared" si="7"/>
        <v>0</v>
      </c>
      <c r="K138" s="2">
        <f t="shared" si="7"/>
        <v>0</v>
      </c>
      <c r="L138" s="2"/>
      <c r="M138" s="2"/>
    </row>
    <row r="139" spans="1:13" x14ac:dyDescent="0.25">
      <c r="A139" s="2">
        <f t="shared" si="8"/>
        <v>0</v>
      </c>
      <c r="B139" s="2">
        <f>IF(C139=0,0,A139&amp;" "&amp;COUNTIF($A$1:$A139,A139))</f>
        <v>0</v>
      </c>
      <c r="C139" s="1">
        <v>0</v>
      </c>
      <c r="D139" s="42" t="str">
        <f>Fanduel!B139</f>
        <v>W</v>
      </c>
      <c r="E139" s="2" t="str">
        <f>Fanduel!D139</f>
        <v>Jujhar Khaira</v>
      </c>
      <c r="F139" s="2">
        <f>(Fanduel!F139)*(IF(Fanduel!L139=0,1,0))</f>
        <v>5.6999999152289398</v>
      </c>
      <c r="G139" s="35">
        <f>Fanduel!H139</f>
        <v>3100</v>
      </c>
      <c r="H139" s="2">
        <f t="shared" si="7"/>
        <v>0</v>
      </c>
      <c r="I139" s="2">
        <f t="shared" si="7"/>
        <v>0</v>
      </c>
      <c r="J139" s="2">
        <f t="shared" si="7"/>
        <v>0</v>
      </c>
      <c r="K139" s="2">
        <f t="shared" si="7"/>
        <v>0</v>
      </c>
      <c r="L139" s="2"/>
      <c r="M139" s="2"/>
    </row>
    <row r="140" spans="1:13" x14ac:dyDescent="0.25">
      <c r="A140" s="2">
        <f t="shared" si="8"/>
        <v>0</v>
      </c>
      <c r="B140" s="2">
        <f>IF(C140=0,0,A140&amp;" "&amp;COUNTIF($A$1:$A140,A140))</f>
        <v>0</v>
      </c>
      <c r="C140" s="1">
        <v>0</v>
      </c>
      <c r="D140" s="42" t="str">
        <f>Fanduel!B140</f>
        <v>W</v>
      </c>
      <c r="E140" s="2" t="str">
        <f>Fanduel!D140</f>
        <v>Ales Hemsky</v>
      </c>
      <c r="F140" s="2">
        <f>(Fanduel!F140)*(IF(Fanduel!L140=0,1,0))</f>
        <v>0</v>
      </c>
      <c r="G140" s="35">
        <f>Fanduel!H140</f>
        <v>3100</v>
      </c>
      <c r="H140" s="2">
        <f t="shared" si="7"/>
        <v>0</v>
      </c>
      <c r="I140" s="2">
        <f t="shared" si="7"/>
        <v>0</v>
      </c>
      <c r="J140" s="2">
        <f t="shared" si="7"/>
        <v>0</v>
      </c>
      <c r="K140" s="2">
        <f t="shared" si="7"/>
        <v>0</v>
      </c>
      <c r="L140" s="2"/>
      <c r="M140" s="2"/>
    </row>
    <row r="141" spans="1:13" x14ac:dyDescent="0.25">
      <c r="A141" s="2">
        <f t="shared" si="8"/>
        <v>0</v>
      </c>
      <c r="B141" s="2">
        <f>IF(C141=0,0,A141&amp;" "&amp;COUNTIF($A$1:$A141,A141))</f>
        <v>0</v>
      </c>
      <c r="C141" s="1">
        <v>0</v>
      </c>
      <c r="D141" s="42" t="str">
        <f>Fanduel!B141</f>
        <v>W</v>
      </c>
      <c r="E141" s="2" t="str">
        <f>Fanduel!D141</f>
        <v>Tyler Pitlick</v>
      </c>
      <c r="F141" s="2">
        <f>(Fanduel!F141)*(IF(Fanduel!L141=0,1,0))</f>
        <v>5.3333333333333304</v>
      </c>
      <c r="G141" s="35">
        <f>Fanduel!H141</f>
        <v>3100</v>
      </c>
      <c r="H141" s="2">
        <f t="shared" si="7"/>
        <v>0</v>
      </c>
      <c r="I141" s="2">
        <f t="shared" si="7"/>
        <v>0</v>
      </c>
      <c r="J141" s="2">
        <f t="shared" si="7"/>
        <v>0</v>
      </c>
      <c r="K141" s="2">
        <f t="shared" si="7"/>
        <v>0</v>
      </c>
      <c r="L141" s="2"/>
      <c r="M141" s="2"/>
    </row>
    <row r="142" spans="1:13" x14ac:dyDescent="0.25">
      <c r="A142" s="2">
        <f t="shared" si="8"/>
        <v>0</v>
      </c>
      <c r="B142" s="2">
        <f>IF(C142=0,0,A142&amp;" "&amp;COUNTIF($A$1:$A142,A142))</f>
        <v>0</v>
      </c>
      <c r="C142" s="1">
        <v>0</v>
      </c>
      <c r="D142" s="42" t="str">
        <f>Fanduel!B142</f>
        <v>W</v>
      </c>
      <c r="E142" s="2" t="str">
        <f>Fanduel!D142</f>
        <v>Magnus Paajarvi</v>
      </c>
      <c r="F142" s="2">
        <f>(Fanduel!F142)*(IF(Fanduel!L142=0,1,0))</f>
        <v>4.0799999237060502</v>
      </c>
      <c r="G142" s="35">
        <f>Fanduel!H142</f>
        <v>3100</v>
      </c>
      <c r="H142" s="2">
        <f t="shared" si="7"/>
        <v>0</v>
      </c>
      <c r="I142" s="2">
        <f t="shared" si="7"/>
        <v>0</v>
      </c>
      <c r="J142" s="2">
        <f t="shared" si="7"/>
        <v>0</v>
      </c>
      <c r="K142" s="2">
        <f t="shared" si="7"/>
        <v>0</v>
      </c>
      <c r="L142" s="2"/>
      <c r="M142" s="2"/>
    </row>
    <row r="143" spans="1:13" x14ac:dyDescent="0.25">
      <c r="A143" s="2">
        <f t="shared" si="8"/>
        <v>0</v>
      </c>
      <c r="B143" s="2">
        <f>IF(C143=0,0,A143&amp;" "&amp;COUNTIF($A$1:$A143,A143))</f>
        <v>0</v>
      </c>
      <c r="C143" s="1">
        <v>0</v>
      </c>
      <c r="D143" s="42" t="str">
        <f>Fanduel!B143</f>
        <v>C</v>
      </c>
      <c r="E143" s="2" t="str">
        <f>Fanduel!D143</f>
        <v>Scott Laughton</v>
      </c>
      <c r="F143" s="2">
        <f>(Fanduel!F143)*(IF(Fanduel!L143=0,1,0))</f>
        <v>5.7</v>
      </c>
      <c r="G143" s="35">
        <f>Fanduel!H143</f>
        <v>3100</v>
      </c>
      <c r="H143" s="2">
        <f t="shared" si="7"/>
        <v>0</v>
      </c>
      <c r="I143" s="2">
        <f t="shared" si="7"/>
        <v>0</v>
      </c>
      <c r="J143" s="2">
        <f t="shared" si="7"/>
        <v>0</v>
      </c>
      <c r="K143" s="2">
        <f t="shared" si="7"/>
        <v>0</v>
      </c>
      <c r="L143" s="2"/>
      <c r="M143" s="2"/>
    </row>
    <row r="144" spans="1:13" x14ac:dyDescent="0.25">
      <c r="A144" s="2">
        <f t="shared" si="8"/>
        <v>0</v>
      </c>
      <c r="B144" s="2">
        <f>IF(C144=0,0,A144&amp;" "&amp;COUNTIF($A$1:$A144,A144))</f>
        <v>0</v>
      </c>
      <c r="C144" s="1">
        <v>0</v>
      </c>
      <c r="D144" s="42" t="str">
        <f>Fanduel!B144</f>
        <v>C</v>
      </c>
      <c r="E144" s="2" t="str">
        <f>Fanduel!D144</f>
        <v>Oskar Sundqvist</v>
      </c>
      <c r="F144" s="2">
        <f>(Fanduel!F144)*(IF(Fanduel!L144=0,1,0))</f>
        <v>3.7052632382041502</v>
      </c>
      <c r="G144" s="35">
        <f>Fanduel!H144</f>
        <v>3100</v>
      </c>
      <c r="H144" s="2">
        <f t="shared" si="7"/>
        <v>0</v>
      </c>
      <c r="I144" s="2">
        <f t="shared" si="7"/>
        <v>0</v>
      </c>
      <c r="J144" s="2">
        <f t="shared" si="7"/>
        <v>0</v>
      </c>
      <c r="K144" s="2">
        <f t="shared" si="7"/>
        <v>0</v>
      </c>
      <c r="L144" s="2"/>
      <c r="M144" s="2"/>
    </row>
    <row r="145" spans="1:13" x14ac:dyDescent="0.25">
      <c r="A145" s="2">
        <f t="shared" si="8"/>
        <v>0</v>
      </c>
      <c r="B145" s="2">
        <f>IF(C145=0,0,A145&amp;" "&amp;COUNTIF($A$1:$A145,A145))</f>
        <v>0</v>
      </c>
      <c r="C145" s="1">
        <v>0</v>
      </c>
      <c r="D145" s="42" t="str">
        <f>Fanduel!B145</f>
        <v>W</v>
      </c>
      <c r="E145" s="2" t="str">
        <f>Fanduel!D145</f>
        <v>Ivan Barbashev</v>
      </c>
      <c r="F145" s="2">
        <f>(Fanduel!F145)*(IF(Fanduel!L145=0,1,0))</f>
        <v>1.6000000635782801</v>
      </c>
      <c r="G145" s="35">
        <f>Fanduel!H145</f>
        <v>3000</v>
      </c>
      <c r="H145" s="2">
        <f t="shared" si="7"/>
        <v>0</v>
      </c>
      <c r="I145" s="2">
        <f t="shared" si="7"/>
        <v>0</v>
      </c>
      <c r="J145" s="2">
        <f t="shared" si="7"/>
        <v>0</v>
      </c>
      <c r="K145" s="2">
        <f t="shared" si="7"/>
        <v>0</v>
      </c>
      <c r="L145" s="2"/>
      <c r="M145" s="2"/>
    </row>
    <row r="146" spans="1:13" x14ac:dyDescent="0.25">
      <c r="A146" s="2">
        <f t="shared" si="8"/>
        <v>0</v>
      </c>
      <c r="B146" s="2">
        <f>IF(C146=0,0,A146&amp;" "&amp;COUNTIF($A$1:$A146,A146))</f>
        <v>0</v>
      </c>
      <c r="C146" s="1">
        <v>0</v>
      </c>
      <c r="D146" s="42" t="str">
        <f>Fanduel!B146</f>
        <v>W</v>
      </c>
      <c r="E146" s="2" t="str">
        <f>Fanduel!D146</f>
        <v>Reid Boucher</v>
      </c>
      <c r="F146" s="2">
        <f>(Fanduel!F146)*(IF(Fanduel!L146=0,1,0))</f>
        <v>6.1256408691406197</v>
      </c>
      <c r="G146" s="35">
        <f>Fanduel!H146</f>
        <v>3000</v>
      </c>
      <c r="H146" s="2">
        <f t="shared" si="7"/>
        <v>0</v>
      </c>
      <c r="I146" s="2">
        <f t="shared" si="7"/>
        <v>0</v>
      </c>
      <c r="J146" s="2">
        <f t="shared" si="7"/>
        <v>0</v>
      </c>
      <c r="K146" s="2">
        <f t="shared" si="7"/>
        <v>0</v>
      </c>
      <c r="L146" s="2"/>
      <c r="M146" s="2"/>
    </row>
    <row r="147" spans="1:13" x14ac:dyDescent="0.25">
      <c r="A147" s="2">
        <f t="shared" si="8"/>
        <v>0</v>
      </c>
      <c r="B147" s="2">
        <f>IF(C147=0,0,A147&amp;" "&amp;COUNTIF($A$1:$A147,A147))</f>
        <v>0</v>
      </c>
      <c r="C147" s="1">
        <v>0</v>
      </c>
      <c r="D147" s="42" t="str">
        <f>Fanduel!B147</f>
        <v>C</v>
      </c>
      <c r="E147" s="2" t="str">
        <f>Fanduel!D147</f>
        <v>Wade Megan</v>
      </c>
      <c r="F147" s="2">
        <f>(Fanduel!F147)*(IF(Fanduel!L147=0,1,0))</f>
        <v>1.6000000238418499</v>
      </c>
      <c r="G147" s="35">
        <f>Fanduel!H147</f>
        <v>3000</v>
      </c>
      <c r="H147" s="2">
        <f t="shared" si="7"/>
        <v>0</v>
      </c>
      <c r="I147" s="2">
        <f t="shared" si="7"/>
        <v>0</v>
      </c>
      <c r="J147" s="2">
        <f t="shared" si="7"/>
        <v>0</v>
      </c>
      <c r="K147" s="2">
        <f t="shared" si="7"/>
        <v>0</v>
      </c>
      <c r="L147" s="2"/>
      <c r="M147" s="2"/>
    </row>
    <row r="148" spans="1:13" x14ac:dyDescent="0.25">
      <c r="A148" s="2">
        <f t="shared" si="8"/>
        <v>0</v>
      </c>
      <c r="B148" s="2">
        <f>IF(C148=0,0,A148&amp;" "&amp;COUNTIF($A$1:$A148,A148))</f>
        <v>0</v>
      </c>
      <c r="C148" s="1">
        <v>0</v>
      </c>
      <c r="D148" s="42" t="str">
        <f>Fanduel!B148</f>
        <v>W</v>
      </c>
      <c r="E148" s="2" t="str">
        <f>Fanduel!D148</f>
        <v>Jason Dickinson</v>
      </c>
      <c r="F148" s="2">
        <f>(Fanduel!F148)*(IF(Fanduel!L148=0,1,0))</f>
        <v>0.80000001192092896</v>
      </c>
      <c r="G148" s="35">
        <f>Fanduel!H148</f>
        <v>3000</v>
      </c>
      <c r="H148" s="2">
        <f t="shared" si="7"/>
        <v>0</v>
      </c>
      <c r="I148" s="2">
        <f t="shared" si="7"/>
        <v>0</v>
      </c>
      <c r="J148" s="2">
        <f t="shared" si="7"/>
        <v>0</v>
      </c>
      <c r="K148" s="2">
        <f t="shared" si="7"/>
        <v>0</v>
      </c>
      <c r="L148" s="2"/>
      <c r="M148" s="2"/>
    </row>
    <row r="149" spans="1:13" x14ac:dyDescent="0.25">
      <c r="A149" s="2" t="str">
        <f t="shared" si="8"/>
        <v>W</v>
      </c>
      <c r="B149" s="2" t="str">
        <f>IF(C149=0,0,A149&amp;" "&amp;COUNTIF($A$1:$A149,A149))</f>
        <v>W 4</v>
      </c>
      <c r="C149" s="1">
        <v>1</v>
      </c>
      <c r="D149" s="42" t="str">
        <f>Fanduel!B149</f>
        <v>W</v>
      </c>
      <c r="E149" s="2" t="str">
        <f>Fanduel!D149</f>
        <v>Nikita Scherbak</v>
      </c>
      <c r="F149" s="2">
        <f>(Fanduel!F149)*(IF(Fanduel!L149=0,1,0))</f>
        <v>0</v>
      </c>
      <c r="G149" s="35">
        <f>Fanduel!H149</f>
        <v>3000</v>
      </c>
      <c r="H149" s="2">
        <f t="shared" si="7"/>
        <v>0</v>
      </c>
      <c r="I149" s="2">
        <f t="shared" si="7"/>
        <v>1</v>
      </c>
      <c r="J149" s="2">
        <f t="shared" si="7"/>
        <v>0</v>
      </c>
      <c r="K149" s="2">
        <f t="shared" si="7"/>
        <v>0</v>
      </c>
      <c r="L149" s="2"/>
      <c r="M149" s="2"/>
    </row>
    <row r="150" spans="1:13" x14ac:dyDescent="0.25">
      <c r="A150" s="2">
        <f t="shared" si="8"/>
        <v>0</v>
      </c>
      <c r="B150" s="2">
        <f>IF(C150=0,0,A150&amp;" "&amp;COUNTIF($A$1:$A150,A150))</f>
        <v>0</v>
      </c>
      <c r="C150" s="1">
        <v>0</v>
      </c>
      <c r="D150" s="42" t="str">
        <f>Fanduel!B150</f>
        <v>W</v>
      </c>
      <c r="E150" s="2" t="str">
        <f>Fanduel!D150</f>
        <v>Michael McCarron</v>
      </c>
      <c r="F150" s="2">
        <f>(Fanduel!F150)*(IF(Fanduel!L150=0,1,0))</f>
        <v>2.4000000953674299</v>
      </c>
      <c r="G150" s="35">
        <f>Fanduel!H150</f>
        <v>3000</v>
      </c>
      <c r="H150" s="2">
        <f t="shared" si="7"/>
        <v>0</v>
      </c>
      <c r="I150" s="2">
        <f t="shared" si="7"/>
        <v>0</v>
      </c>
      <c r="J150" s="2">
        <f t="shared" si="7"/>
        <v>0</v>
      </c>
      <c r="K150" s="2">
        <f t="shared" si="7"/>
        <v>0</v>
      </c>
      <c r="L150" s="2"/>
      <c r="M150" s="2"/>
    </row>
    <row r="151" spans="1:13" x14ac:dyDescent="0.25">
      <c r="C151" s="1"/>
      <c r="E151" s="2"/>
    </row>
    <row r="152" spans="1:13" x14ac:dyDescent="0.25">
      <c r="C152" s="1"/>
      <c r="E152" s="2"/>
    </row>
    <row r="153" spans="1:13" x14ac:dyDescent="0.25">
      <c r="C153" s="1"/>
      <c r="E153" s="2"/>
    </row>
    <row r="154" spans="1:13" x14ac:dyDescent="0.25">
      <c r="C154" s="1"/>
      <c r="E154" s="2"/>
    </row>
    <row r="155" spans="1:13" x14ac:dyDescent="0.25">
      <c r="C155" s="1"/>
      <c r="E155" s="2"/>
    </row>
    <row r="156" spans="1:13" x14ac:dyDescent="0.25">
      <c r="C156" s="1"/>
      <c r="E156" s="2"/>
    </row>
    <row r="157" spans="1:13" x14ac:dyDescent="0.25">
      <c r="C157" s="1"/>
      <c r="E157" s="2"/>
    </row>
    <row r="158" spans="1:13" x14ac:dyDescent="0.25">
      <c r="C158" s="1"/>
      <c r="E158" s="2"/>
    </row>
    <row r="159" spans="1:13" x14ac:dyDescent="0.25">
      <c r="C159" s="1"/>
      <c r="E159" s="2"/>
    </row>
    <row r="160" spans="1:13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63"/>
  <sheetViews>
    <sheetView workbookViewId="0">
      <selection activeCell="G9" sqref="G9"/>
    </sheetView>
  </sheetViews>
  <sheetFormatPr defaultRowHeight="15" x14ac:dyDescent="0.25"/>
  <cols>
    <col min="1" max="1" width="11.7109375" style="2" customWidth="1"/>
    <col min="2" max="11" width="9.140625" style="2"/>
    <col min="12" max="12" width="14.5703125" style="2" customWidth="1"/>
    <col min="13" max="13" width="12.7109375" style="2" customWidth="1"/>
    <col min="14" max="14" width="11.7109375" style="2" customWidth="1"/>
    <col min="15" max="16384" width="9.140625" style="2"/>
  </cols>
  <sheetData>
    <row r="1" spans="1:13" x14ac:dyDescent="0.25">
      <c r="A1" s="2" t="s">
        <v>29</v>
      </c>
      <c r="B1" s="2" t="s">
        <v>0</v>
      </c>
      <c r="C1" s="2" t="s">
        <v>30</v>
      </c>
      <c r="D1" s="2" t="s">
        <v>31</v>
      </c>
      <c r="E1" s="2" t="s">
        <v>32</v>
      </c>
      <c r="F1" s="2" t="s">
        <v>33</v>
      </c>
      <c r="G1" s="2" t="s">
        <v>34</v>
      </c>
      <c r="H1" s="2" t="s">
        <v>27</v>
      </c>
      <c r="I1" s="2" t="s">
        <v>26</v>
      </c>
      <c r="J1" s="2" t="s">
        <v>28</v>
      </c>
      <c r="K1" s="2" t="s">
        <v>35</v>
      </c>
      <c r="L1" s="2" t="s">
        <v>36</v>
      </c>
      <c r="M1" s="2" t="s">
        <v>37</v>
      </c>
    </row>
    <row r="2" spans="1:13" x14ac:dyDescent="0.25">
      <c r="A2" s="2" t="s">
        <v>124</v>
      </c>
      <c r="B2" s="2" t="s">
        <v>1</v>
      </c>
      <c r="C2" s="2" t="s">
        <v>67</v>
      </c>
      <c r="D2" s="2" t="s">
        <v>125</v>
      </c>
      <c r="E2" s="2" t="s">
        <v>126</v>
      </c>
      <c r="F2" s="2">
        <v>18.194999694824201</v>
      </c>
      <c r="G2" s="2">
        <v>20</v>
      </c>
      <c r="H2" s="2">
        <v>9100</v>
      </c>
      <c r="I2" s="2" t="s">
        <v>127</v>
      </c>
      <c r="J2" s="2" t="s">
        <v>128</v>
      </c>
      <c r="K2" s="2" t="s">
        <v>129</v>
      </c>
    </row>
    <row r="3" spans="1:13" x14ac:dyDescent="0.25">
      <c r="A3" s="2" t="s">
        <v>130</v>
      </c>
      <c r="B3" s="2" t="s">
        <v>66</v>
      </c>
      <c r="C3" s="2" t="s">
        <v>63</v>
      </c>
      <c r="D3" s="2" t="s">
        <v>131</v>
      </c>
      <c r="E3" s="2" t="s">
        <v>132</v>
      </c>
      <c r="F3" s="2">
        <v>18.494117288028399</v>
      </c>
      <c r="G3" s="2">
        <v>17</v>
      </c>
      <c r="H3" s="2">
        <v>8800</v>
      </c>
      <c r="I3" s="2" t="s">
        <v>127</v>
      </c>
      <c r="J3" s="2" t="s">
        <v>129</v>
      </c>
      <c r="K3" s="2" t="s">
        <v>128</v>
      </c>
    </row>
    <row r="4" spans="1:13" x14ac:dyDescent="0.25">
      <c r="A4" s="2" t="s">
        <v>133</v>
      </c>
      <c r="B4" s="2" t="s">
        <v>66</v>
      </c>
      <c r="C4" s="2" t="s">
        <v>44</v>
      </c>
      <c r="D4" s="2" t="s">
        <v>134</v>
      </c>
      <c r="E4" s="2" t="s">
        <v>135</v>
      </c>
      <c r="F4" s="2">
        <v>15.449999809265099</v>
      </c>
      <c r="G4" s="2">
        <v>16</v>
      </c>
      <c r="H4" s="2">
        <v>8600</v>
      </c>
      <c r="I4" s="2" t="s">
        <v>136</v>
      </c>
      <c r="J4" s="2" t="s">
        <v>137</v>
      </c>
      <c r="K4" s="2" t="s">
        <v>138</v>
      </c>
    </row>
    <row r="5" spans="1:13" x14ac:dyDescent="0.25">
      <c r="A5" s="2" t="s">
        <v>139</v>
      </c>
      <c r="B5" s="2" t="s">
        <v>66</v>
      </c>
      <c r="C5" s="2" t="s">
        <v>140</v>
      </c>
      <c r="D5" s="2" t="s">
        <v>141</v>
      </c>
      <c r="E5" s="2" t="s">
        <v>142</v>
      </c>
      <c r="F5" s="2">
        <v>9.3090910478071702</v>
      </c>
      <c r="G5" s="2">
        <v>11</v>
      </c>
      <c r="H5" s="2">
        <v>8400</v>
      </c>
      <c r="I5" s="2" t="s">
        <v>136</v>
      </c>
      <c r="J5" s="2" t="s">
        <v>138</v>
      </c>
      <c r="K5" s="2" t="s">
        <v>137</v>
      </c>
      <c r="L5" s="2" t="s">
        <v>75</v>
      </c>
      <c r="M5" s="2" t="s">
        <v>53</v>
      </c>
    </row>
    <row r="6" spans="1:13" x14ac:dyDescent="0.25">
      <c r="A6" s="2" t="s">
        <v>143</v>
      </c>
      <c r="B6" s="2" t="s">
        <v>66</v>
      </c>
      <c r="C6" s="2" t="s">
        <v>144</v>
      </c>
      <c r="D6" s="2" t="s">
        <v>145</v>
      </c>
      <c r="E6" s="2" t="s">
        <v>146</v>
      </c>
      <c r="F6" s="2">
        <v>24.4800003051757</v>
      </c>
      <c r="G6" s="2">
        <v>5</v>
      </c>
      <c r="H6" s="2">
        <v>8400</v>
      </c>
      <c r="I6" s="2" t="s">
        <v>127</v>
      </c>
      <c r="J6" s="2" t="s">
        <v>129</v>
      </c>
      <c r="K6" s="2" t="s">
        <v>128</v>
      </c>
    </row>
    <row r="7" spans="1:13" x14ac:dyDescent="0.25">
      <c r="A7" s="2" t="s">
        <v>147</v>
      </c>
      <c r="B7" s="2" t="s">
        <v>71</v>
      </c>
      <c r="C7" s="2" t="s">
        <v>148</v>
      </c>
      <c r="D7" s="2" t="s">
        <v>149</v>
      </c>
      <c r="E7" s="2" t="s">
        <v>150</v>
      </c>
      <c r="F7" s="2">
        <v>18.1238098144531</v>
      </c>
      <c r="G7" s="2">
        <v>21</v>
      </c>
      <c r="H7" s="2">
        <v>8300</v>
      </c>
      <c r="I7" s="2" t="s">
        <v>127</v>
      </c>
      <c r="J7" s="2" t="s">
        <v>129</v>
      </c>
      <c r="K7" s="2" t="s">
        <v>128</v>
      </c>
    </row>
    <row r="8" spans="1:13" x14ac:dyDescent="0.25">
      <c r="A8" s="2" t="s">
        <v>151</v>
      </c>
      <c r="B8" s="2" t="s">
        <v>66</v>
      </c>
      <c r="C8" s="2" t="s">
        <v>83</v>
      </c>
      <c r="D8" s="2" t="s">
        <v>152</v>
      </c>
      <c r="E8" s="2" t="s">
        <v>153</v>
      </c>
      <c r="F8" s="2">
        <v>15.3333333333333</v>
      </c>
      <c r="G8" s="2">
        <v>18</v>
      </c>
      <c r="H8" s="2">
        <v>8300</v>
      </c>
      <c r="I8" s="2" t="s">
        <v>127</v>
      </c>
      <c r="J8" s="2" t="s">
        <v>128</v>
      </c>
      <c r="K8" s="2" t="s">
        <v>129</v>
      </c>
    </row>
    <row r="9" spans="1:13" x14ac:dyDescent="0.25">
      <c r="A9" s="2" t="s">
        <v>154</v>
      </c>
      <c r="B9" s="2" t="s">
        <v>71</v>
      </c>
      <c r="C9" s="2" t="s">
        <v>155</v>
      </c>
      <c r="D9" s="2" t="s">
        <v>156</v>
      </c>
      <c r="E9" s="2" t="s">
        <v>157</v>
      </c>
      <c r="F9" s="2">
        <v>16.8</v>
      </c>
      <c r="G9" s="2">
        <v>20</v>
      </c>
      <c r="H9" s="2">
        <v>8200</v>
      </c>
      <c r="I9" s="2" t="s">
        <v>136</v>
      </c>
      <c r="J9" s="2" t="s">
        <v>137</v>
      </c>
      <c r="K9" s="2" t="s">
        <v>138</v>
      </c>
    </row>
    <row r="10" spans="1:13" x14ac:dyDescent="0.25">
      <c r="A10" s="2" t="s">
        <v>158</v>
      </c>
      <c r="B10" s="2" t="s">
        <v>66</v>
      </c>
      <c r="C10" s="2" t="s">
        <v>78</v>
      </c>
      <c r="D10" s="2" t="s">
        <v>159</v>
      </c>
      <c r="E10" s="2" t="s">
        <v>160</v>
      </c>
      <c r="F10" s="2">
        <v>20</v>
      </c>
      <c r="G10" s="2">
        <v>7</v>
      </c>
      <c r="H10" s="2">
        <v>8000</v>
      </c>
      <c r="I10" s="2" t="s">
        <v>136</v>
      </c>
      <c r="J10" s="2" t="s">
        <v>138</v>
      </c>
      <c r="K10" s="2" t="s">
        <v>137</v>
      </c>
    </row>
    <row r="11" spans="1:13" x14ac:dyDescent="0.25">
      <c r="A11" s="2" t="s">
        <v>161</v>
      </c>
      <c r="B11" s="2" t="s">
        <v>1</v>
      </c>
      <c r="C11" s="2" t="s">
        <v>46</v>
      </c>
      <c r="D11" s="2" t="s">
        <v>162</v>
      </c>
      <c r="E11" s="2" t="s">
        <v>163</v>
      </c>
      <c r="F11" s="2">
        <v>15.6149993896484</v>
      </c>
      <c r="G11" s="2">
        <v>20</v>
      </c>
      <c r="H11" s="2">
        <v>8000</v>
      </c>
      <c r="I11" s="2" t="s">
        <v>136</v>
      </c>
      <c r="J11" s="2" t="s">
        <v>137</v>
      </c>
      <c r="K11" s="2" t="s">
        <v>138</v>
      </c>
    </row>
    <row r="12" spans="1:13" x14ac:dyDescent="0.25">
      <c r="A12" s="2" t="s">
        <v>164</v>
      </c>
      <c r="B12" s="2" t="s">
        <v>66</v>
      </c>
      <c r="C12" s="2" t="s">
        <v>165</v>
      </c>
      <c r="D12" s="2" t="s">
        <v>166</v>
      </c>
      <c r="E12" s="2" t="s">
        <v>167</v>
      </c>
      <c r="F12" s="2">
        <v>23.466667175292901</v>
      </c>
      <c r="G12" s="2">
        <v>6</v>
      </c>
      <c r="H12" s="2">
        <v>7800</v>
      </c>
      <c r="I12" s="2" t="s">
        <v>168</v>
      </c>
      <c r="J12" s="2" t="s">
        <v>169</v>
      </c>
      <c r="K12" s="2" t="s">
        <v>170</v>
      </c>
    </row>
    <row r="13" spans="1:13" x14ac:dyDescent="0.25">
      <c r="A13" s="2" t="s">
        <v>171</v>
      </c>
      <c r="B13" s="2" t="s">
        <v>66</v>
      </c>
      <c r="C13" s="2" t="s">
        <v>82</v>
      </c>
      <c r="D13" s="2" t="s">
        <v>172</v>
      </c>
      <c r="E13" s="2" t="s">
        <v>173</v>
      </c>
      <c r="F13" s="2">
        <v>15.3714283534458</v>
      </c>
      <c r="G13" s="2">
        <v>14</v>
      </c>
      <c r="H13" s="2">
        <v>7700</v>
      </c>
      <c r="I13" s="2" t="s">
        <v>168</v>
      </c>
      <c r="J13" s="2" t="s">
        <v>170</v>
      </c>
      <c r="K13" s="2" t="s">
        <v>169</v>
      </c>
    </row>
    <row r="14" spans="1:13" x14ac:dyDescent="0.25">
      <c r="A14" s="2" t="s">
        <v>174</v>
      </c>
      <c r="B14" s="2" t="s">
        <v>71</v>
      </c>
      <c r="C14" s="2" t="s">
        <v>94</v>
      </c>
      <c r="D14" s="2" t="s">
        <v>175</v>
      </c>
      <c r="E14" s="2" t="s">
        <v>176</v>
      </c>
      <c r="F14" s="2">
        <v>17.2</v>
      </c>
      <c r="G14" s="2">
        <v>20</v>
      </c>
      <c r="H14" s="2">
        <v>7700</v>
      </c>
      <c r="I14" s="2" t="s">
        <v>168</v>
      </c>
      <c r="J14" s="2" t="s">
        <v>170</v>
      </c>
      <c r="K14" s="2" t="s">
        <v>169</v>
      </c>
    </row>
    <row r="15" spans="1:13" x14ac:dyDescent="0.25">
      <c r="A15" s="2" t="s">
        <v>177</v>
      </c>
      <c r="B15" s="2" t="s">
        <v>66</v>
      </c>
      <c r="C15" s="2" t="s">
        <v>57</v>
      </c>
      <c r="D15" s="2" t="s">
        <v>178</v>
      </c>
      <c r="E15" s="2" t="s">
        <v>179</v>
      </c>
      <c r="F15" s="2">
        <v>14.5066670735677</v>
      </c>
      <c r="G15" s="2">
        <v>15</v>
      </c>
      <c r="H15" s="2">
        <v>7600</v>
      </c>
      <c r="I15" s="2" t="s">
        <v>168</v>
      </c>
      <c r="J15" s="2" t="s">
        <v>169</v>
      </c>
      <c r="K15" s="2" t="s">
        <v>170</v>
      </c>
    </row>
    <row r="16" spans="1:13" x14ac:dyDescent="0.25">
      <c r="A16" s="2" t="s">
        <v>180</v>
      </c>
      <c r="B16" s="2" t="s">
        <v>66</v>
      </c>
      <c r="C16" s="2" t="s">
        <v>181</v>
      </c>
      <c r="D16" s="2" t="s">
        <v>182</v>
      </c>
      <c r="E16" s="2" t="s">
        <v>183</v>
      </c>
      <c r="F16" s="2">
        <v>18.933333079020102</v>
      </c>
      <c r="G16" s="2">
        <v>6</v>
      </c>
      <c r="H16" s="2">
        <v>7500</v>
      </c>
      <c r="I16" s="2" t="s">
        <v>168</v>
      </c>
      <c r="J16" s="2" t="s">
        <v>170</v>
      </c>
      <c r="K16" s="2" t="s">
        <v>169</v>
      </c>
    </row>
    <row r="17" spans="1:13" x14ac:dyDescent="0.25">
      <c r="A17" s="2" t="s">
        <v>184</v>
      </c>
      <c r="B17" s="2" t="s">
        <v>66</v>
      </c>
      <c r="C17" s="2" t="s">
        <v>185</v>
      </c>
      <c r="D17" s="2" t="s">
        <v>186</v>
      </c>
      <c r="E17" s="2" t="s">
        <v>187</v>
      </c>
      <c r="F17" s="2">
        <v>9.6000003814697195</v>
      </c>
      <c r="G17" s="2">
        <v>4</v>
      </c>
      <c r="H17" s="2">
        <v>7400</v>
      </c>
      <c r="I17" s="2" t="s">
        <v>136</v>
      </c>
      <c r="J17" s="2" t="s">
        <v>138</v>
      </c>
      <c r="K17" s="2" t="s">
        <v>137</v>
      </c>
      <c r="L17" s="2" t="s">
        <v>75</v>
      </c>
      <c r="M17" s="2" t="s">
        <v>95</v>
      </c>
    </row>
    <row r="18" spans="1:13" x14ac:dyDescent="0.25">
      <c r="A18" s="2" t="s">
        <v>188</v>
      </c>
      <c r="B18" s="2" t="s">
        <v>66</v>
      </c>
      <c r="C18" s="2" t="s">
        <v>189</v>
      </c>
      <c r="D18" s="2" t="s">
        <v>190</v>
      </c>
      <c r="E18" s="2" t="s">
        <v>191</v>
      </c>
      <c r="F18" s="2">
        <v>3.7999999523162802</v>
      </c>
      <c r="G18" s="2">
        <v>4</v>
      </c>
      <c r="H18" s="2">
        <v>7400</v>
      </c>
      <c r="I18" s="2" t="s">
        <v>127</v>
      </c>
      <c r="J18" s="2" t="s">
        <v>128</v>
      </c>
      <c r="K18" s="2" t="s">
        <v>129</v>
      </c>
    </row>
    <row r="19" spans="1:13" x14ac:dyDescent="0.25">
      <c r="A19" s="2" t="s">
        <v>192</v>
      </c>
      <c r="B19" s="2" t="s">
        <v>66</v>
      </c>
      <c r="C19" s="2" t="s">
        <v>193</v>
      </c>
      <c r="D19" s="2" t="s">
        <v>194</v>
      </c>
      <c r="E19" s="2" t="s">
        <v>195</v>
      </c>
      <c r="F19" s="2">
        <v>9.8285718645368298</v>
      </c>
      <c r="G19" s="2">
        <v>7</v>
      </c>
      <c r="H19" s="2">
        <v>7300</v>
      </c>
      <c r="I19" s="2" t="s">
        <v>136</v>
      </c>
      <c r="J19" s="2" t="s">
        <v>137</v>
      </c>
      <c r="K19" s="2" t="s">
        <v>138</v>
      </c>
      <c r="L19" s="2" t="s">
        <v>70</v>
      </c>
      <c r="M19" s="2" t="s">
        <v>196</v>
      </c>
    </row>
    <row r="20" spans="1:13" x14ac:dyDescent="0.25">
      <c r="A20" s="2" t="s">
        <v>197</v>
      </c>
      <c r="B20" s="2" t="s">
        <v>66</v>
      </c>
      <c r="C20" s="2" t="s">
        <v>77</v>
      </c>
      <c r="D20" s="2" t="s">
        <v>198</v>
      </c>
      <c r="E20" s="2" t="s">
        <v>199</v>
      </c>
      <c r="F20" s="2">
        <v>-1.3333333333333299</v>
      </c>
      <c r="G20" s="2">
        <v>6</v>
      </c>
      <c r="H20" s="2">
        <v>7200</v>
      </c>
      <c r="I20" s="2" t="s">
        <v>136</v>
      </c>
      <c r="J20" s="2" t="s">
        <v>138</v>
      </c>
      <c r="K20" s="2" t="s">
        <v>137</v>
      </c>
    </row>
    <row r="21" spans="1:13" x14ac:dyDescent="0.25">
      <c r="A21" s="2" t="s">
        <v>200</v>
      </c>
      <c r="B21" s="2" t="s">
        <v>71</v>
      </c>
      <c r="C21" s="2" t="s">
        <v>201</v>
      </c>
      <c r="D21" s="2" t="s">
        <v>202</v>
      </c>
      <c r="E21" s="2" t="s">
        <v>203</v>
      </c>
      <c r="F21" s="2">
        <v>14.0850006103515</v>
      </c>
      <c r="G21" s="2">
        <v>20</v>
      </c>
      <c r="H21" s="2">
        <v>7200</v>
      </c>
      <c r="I21" s="2" t="s">
        <v>168</v>
      </c>
      <c r="J21" s="2" t="s">
        <v>170</v>
      </c>
      <c r="K21" s="2" t="s">
        <v>169</v>
      </c>
    </row>
    <row r="22" spans="1:13" x14ac:dyDescent="0.25">
      <c r="A22" s="2" t="s">
        <v>204</v>
      </c>
      <c r="B22" s="2" t="s">
        <v>71</v>
      </c>
      <c r="C22" s="2" t="s">
        <v>205</v>
      </c>
      <c r="D22" s="2" t="s">
        <v>206</v>
      </c>
      <c r="E22" s="2" t="s">
        <v>207</v>
      </c>
      <c r="F22" s="2">
        <v>12.8500003814697</v>
      </c>
      <c r="G22" s="2">
        <v>16</v>
      </c>
      <c r="H22" s="2">
        <v>7200</v>
      </c>
      <c r="I22" s="2" t="s">
        <v>127</v>
      </c>
      <c r="J22" s="2" t="s">
        <v>128</v>
      </c>
      <c r="K22" s="2" t="s">
        <v>129</v>
      </c>
    </row>
    <row r="23" spans="1:13" x14ac:dyDescent="0.25">
      <c r="A23" s="2" t="s">
        <v>208</v>
      </c>
      <c r="B23" s="2" t="s">
        <v>1</v>
      </c>
      <c r="C23" s="2" t="s">
        <v>209</v>
      </c>
      <c r="D23" s="2" t="s">
        <v>210</v>
      </c>
      <c r="E23" s="2" t="s">
        <v>107</v>
      </c>
      <c r="F23" s="2">
        <v>16.547619047619001</v>
      </c>
      <c r="G23" s="2">
        <v>21</v>
      </c>
      <c r="H23" s="2">
        <v>7100</v>
      </c>
      <c r="I23" s="2" t="s">
        <v>127</v>
      </c>
      <c r="J23" s="2" t="s">
        <v>129</v>
      </c>
      <c r="K23" s="2" t="s">
        <v>128</v>
      </c>
    </row>
    <row r="24" spans="1:13" x14ac:dyDescent="0.25">
      <c r="A24" s="2" t="s">
        <v>211</v>
      </c>
      <c r="B24" s="2" t="s">
        <v>66</v>
      </c>
      <c r="C24" s="2" t="s">
        <v>45</v>
      </c>
      <c r="D24" s="2" t="s">
        <v>212</v>
      </c>
      <c r="E24" s="2" t="s">
        <v>213</v>
      </c>
      <c r="F24" s="2">
        <v>0</v>
      </c>
      <c r="G24" s="2">
        <v>0</v>
      </c>
      <c r="H24" s="2">
        <v>7100</v>
      </c>
      <c r="I24" s="2" t="s">
        <v>136</v>
      </c>
      <c r="J24" s="2" t="s">
        <v>137</v>
      </c>
      <c r="K24" s="2" t="s">
        <v>138</v>
      </c>
    </row>
    <row r="25" spans="1:13" x14ac:dyDescent="0.25">
      <c r="A25" s="2" t="s">
        <v>214</v>
      </c>
      <c r="B25" s="2" t="s">
        <v>71</v>
      </c>
      <c r="C25" s="2" t="s">
        <v>8</v>
      </c>
      <c r="D25" s="2" t="s">
        <v>215</v>
      </c>
      <c r="E25" s="2" t="s">
        <v>216</v>
      </c>
      <c r="F25" s="2">
        <v>14.095238095238001</v>
      </c>
      <c r="G25" s="2">
        <v>21</v>
      </c>
      <c r="H25" s="2">
        <v>6900</v>
      </c>
      <c r="I25" s="2" t="s">
        <v>136</v>
      </c>
      <c r="J25" s="2" t="s">
        <v>138</v>
      </c>
      <c r="K25" s="2" t="s">
        <v>137</v>
      </c>
    </row>
    <row r="26" spans="1:13" x14ac:dyDescent="0.25">
      <c r="A26" s="2" t="s">
        <v>217</v>
      </c>
      <c r="B26" s="2" t="s">
        <v>71</v>
      </c>
      <c r="C26" s="2" t="s">
        <v>218</v>
      </c>
      <c r="D26" s="2" t="s">
        <v>219</v>
      </c>
      <c r="E26" s="2" t="s">
        <v>220</v>
      </c>
      <c r="F26" s="2">
        <v>16.019047328404</v>
      </c>
      <c r="G26" s="2">
        <v>21</v>
      </c>
      <c r="H26" s="2">
        <v>6800</v>
      </c>
      <c r="I26" s="2" t="s">
        <v>127</v>
      </c>
      <c r="J26" s="2" t="s">
        <v>129</v>
      </c>
      <c r="K26" s="2" t="s">
        <v>128</v>
      </c>
    </row>
    <row r="27" spans="1:13" x14ac:dyDescent="0.25">
      <c r="A27" s="2" t="s">
        <v>221</v>
      </c>
      <c r="B27" s="2" t="s">
        <v>1</v>
      </c>
      <c r="C27" s="2" t="s">
        <v>74</v>
      </c>
      <c r="D27" s="2" t="s">
        <v>222</v>
      </c>
      <c r="E27" s="2" t="s">
        <v>223</v>
      </c>
      <c r="F27" s="2">
        <v>17.435000610351501</v>
      </c>
      <c r="G27" s="2">
        <v>20</v>
      </c>
      <c r="H27" s="2">
        <v>6700</v>
      </c>
      <c r="I27" s="2" t="s">
        <v>168</v>
      </c>
      <c r="J27" s="2" t="s">
        <v>170</v>
      </c>
      <c r="K27" s="2" t="s">
        <v>169</v>
      </c>
    </row>
    <row r="28" spans="1:13" x14ac:dyDescent="0.25">
      <c r="A28" s="2" t="s">
        <v>224</v>
      </c>
      <c r="B28" s="2" t="s">
        <v>71</v>
      </c>
      <c r="C28" s="2" t="s">
        <v>89</v>
      </c>
      <c r="D28" s="2" t="s">
        <v>225</v>
      </c>
      <c r="E28" s="2" t="s">
        <v>226</v>
      </c>
      <c r="F28" s="2">
        <v>14.2399993896484</v>
      </c>
      <c r="G28" s="2">
        <v>20</v>
      </c>
      <c r="H28" s="2">
        <v>6600</v>
      </c>
      <c r="I28" s="2" t="s">
        <v>136</v>
      </c>
      <c r="J28" s="2" t="s">
        <v>137</v>
      </c>
      <c r="K28" s="2" t="s">
        <v>138</v>
      </c>
    </row>
    <row r="29" spans="1:13" x14ac:dyDescent="0.25">
      <c r="A29" s="2" t="s">
        <v>227</v>
      </c>
      <c r="B29" s="2" t="s">
        <v>73</v>
      </c>
      <c r="C29" s="2" t="s">
        <v>49</v>
      </c>
      <c r="D29" s="2" t="s">
        <v>228</v>
      </c>
      <c r="E29" s="2" t="s">
        <v>229</v>
      </c>
      <c r="F29" s="2">
        <v>16.733333042689701</v>
      </c>
      <c r="G29" s="2">
        <v>21</v>
      </c>
      <c r="H29" s="2">
        <v>6200</v>
      </c>
      <c r="I29" s="2" t="s">
        <v>127</v>
      </c>
      <c r="J29" s="2" t="s">
        <v>129</v>
      </c>
      <c r="K29" s="2" t="s">
        <v>128</v>
      </c>
    </row>
    <row r="30" spans="1:13" x14ac:dyDescent="0.25">
      <c r="A30" s="2" t="s">
        <v>230</v>
      </c>
      <c r="B30" s="2" t="s">
        <v>73</v>
      </c>
      <c r="C30" s="2" t="s">
        <v>47</v>
      </c>
      <c r="D30" s="2" t="s">
        <v>231</v>
      </c>
      <c r="E30" s="2" t="s">
        <v>232</v>
      </c>
      <c r="F30" s="2">
        <v>15.160000610351499</v>
      </c>
      <c r="G30" s="2">
        <v>20</v>
      </c>
      <c r="H30" s="2">
        <v>6000</v>
      </c>
      <c r="I30" s="2" t="s">
        <v>136</v>
      </c>
      <c r="J30" s="2" t="s">
        <v>137</v>
      </c>
      <c r="K30" s="2" t="s">
        <v>138</v>
      </c>
    </row>
    <row r="31" spans="1:13" x14ac:dyDescent="0.25">
      <c r="A31" s="2" t="s">
        <v>233</v>
      </c>
      <c r="B31" s="2" t="s">
        <v>1</v>
      </c>
      <c r="C31" s="2" t="s">
        <v>234</v>
      </c>
      <c r="D31" s="2" t="s">
        <v>235</v>
      </c>
      <c r="E31" s="2" t="s">
        <v>236</v>
      </c>
      <c r="F31" s="2">
        <v>12.444999694824199</v>
      </c>
      <c r="G31" s="2">
        <v>20</v>
      </c>
      <c r="H31" s="2">
        <v>6000</v>
      </c>
      <c r="I31" s="2" t="s">
        <v>168</v>
      </c>
      <c r="J31" s="2" t="s">
        <v>169</v>
      </c>
      <c r="K31" s="2" t="s">
        <v>170</v>
      </c>
    </row>
    <row r="32" spans="1:13" x14ac:dyDescent="0.25">
      <c r="A32" s="2" t="s">
        <v>237</v>
      </c>
      <c r="B32" s="2" t="s">
        <v>71</v>
      </c>
      <c r="C32" s="2" t="s">
        <v>20</v>
      </c>
      <c r="D32" s="2" t="s">
        <v>238</v>
      </c>
      <c r="E32" s="2" t="s">
        <v>239</v>
      </c>
      <c r="F32" s="2">
        <v>10.5949996948242</v>
      </c>
      <c r="G32" s="2">
        <v>20</v>
      </c>
      <c r="H32" s="2">
        <v>5600</v>
      </c>
      <c r="I32" s="2" t="s">
        <v>127</v>
      </c>
      <c r="J32" s="2" t="s">
        <v>128</v>
      </c>
      <c r="K32" s="2" t="s">
        <v>129</v>
      </c>
    </row>
    <row r="33" spans="1:13" x14ac:dyDescent="0.25">
      <c r="A33" s="2" t="s">
        <v>240</v>
      </c>
      <c r="B33" s="2" t="s">
        <v>71</v>
      </c>
      <c r="C33" s="2" t="s">
        <v>91</v>
      </c>
      <c r="D33" s="2" t="s">
        <v>241</v>
      </c>
      <c r="E33" s="2" t="s">
        <v>242</v>
      </c>
      <c r="F33" s="2">
        <v>12.128571283249601</v>
      </c>
      <c r="G33" s="2">
        <v>21</v>
      </c>
      <c r="H33" s="2">
        <v>5600</v>
      </c>
      <c r="I33" s="2" t="s">
        <v>136</v>
      </c>
      <c r="J33" s="2" t="s">
        <v>138</v>
      </c>
      <c r="K33" s="2" t="s">
        <v>137</v>
      </c>
    </row>
    <row r="34" spans="1:13" x14ac:dyDescent="0.25">
      <c r="A34" s="2" t="s">
        <v>243</v>
      </c>
      <c r="B34" s="2" t="s">
        <v>73</v>
      </c>
      <c r="C34" s="2" t="s">
        <v>244</v>
      </c>
      <c r="D34" s="2" t="s">
        <v>245</v>
      </c>
      <c r="E34" s="2" t="s">
        <v>246</v>
      </c>
      <c r="F34" s="2">
        <v>13.8941174675436</v>
      </c>
      <c r="G34" s="2">
        <v>17</v>
      </c>
      <c r="H34" s="2">
        <v>5600</v>
      </c>
      <c r="I34" s="2" t="s">
        <v>168</v>
      </c>
      <c r="J34" s="2" t="s">
        <v>170</v>
      </c>
      <c r="K34" s="2" t="s">
        <v>169</v>
      </c>
    </row>
    <row r="35" spans="1:13" x14ac:dyDescent="0.25">
      <c r="A35" s="2" t="s">
        <v>247</v>
      </c>
      <c r="B35" s="2" t="s">
        <v>1</v>
      </c>
      <c r="C35" s="2" t="s">
        <v>248</v>
      </c>
      <c r="D35" s="2" t="s">
        <v>249</v>
      </c>
      <c r="E35" s="2" t="s">
        <v>250</v>
      </c>
      <c r="F35" s="2">
        <v>10.9650001525878</v>
      </c>
      <c r="G35" s="2">
        <v>20</v>
      </c>
      <c r="H35" s="2">
        <v>5500</v>
      </c>
      <c r="I35" s="2" t="s">
        <v>136</v>
      </c>
      <c r="J35" s="2" t="s">
        <v>138</v>
      </c>
      <c r="K35" s="2" t="s">
        <v>137</v>
      </c>
    </row>
    <row r="36" spans="1:13" x14ac:dyDescent="0.25">
      <c r="A36" s="2" t="s">
        <v>251</v>
      </c>
      <c r="B36" s="2" t="s">
        <v>71</v>
      </c>
      <c r="C36" s="2" t="s">
        <v>89</v>
      </c>
      <c r="D36" s="2" t="s">
        <v>252</v>
      </c>
      <c r="E36" s="2" t="s">
        <v>253</v>
      </c>
      <c r="F36" s="2">
        <v>11.066666666666601</v>
      </c>
      <c r="G36" s="2">
        <v>15</v>
      </c>
      <c r="H36" s="2">
        <v>5500</v>
      </c>
      <c r="I36" s="2" t="s">
        <v>127</v>
      </c>
      <c r="J36" s="2" t="s">
        <v>129</v>
      </c>
      <c r="K36" s="2" t="s">
        <v>128</v>
      </c>
    </row>
    <row r="37" spans="1:13" x14ac:dyDescent="0.25">
      <c r="A37" s="2" t="s">
        <v>254</v>
      </c>
      <c r="B37" s="2" t="s">
        <v>73</v>
      </c>
      <c r="C37" s="2" t="s">
        <v>255</v>
      </c>
      <c r="D37" s="2" t="s">
        <v>256</v>
      </c>
      <c r="E37" s="2" t="s">
        <v>257</v>
      </c>
      <c r="F37" s="2">
        <v>11.2699996948242</v>
      </c>
      <c r="G37" s="2">
        <v>20</v>
      </c>
      <c r="H37" s="2">
        <v>5400</v>
      </c>
      <c r="I37" s="2" t="s">
        <v>127</v>
      </c>
      <c r="J37" s="2" t="s">
        <v>128</v>
      </c>
      <c r="K37" s="2" t="s">
        <v>129</v>
      </c>
    </row>
    <row r="38" spans="1:13" x14ac:dyDescent="0.25">
      <c r="A38" s="2" t="s">
        <v>258</v>
      </c>
      <c r="B38" s="2" t="s">
        <v>71</v>
      </c>
      <c r="C38" s="2" t="s">
        <v>259</v>
      </c>
      <c r="D38" s="2" t="s">
        <v>260</v>
      </c>
      <c r="E38" s="2" t="s">
        <v>261</v>
      </c>
      <c r="F38" s="2">
        <v>14.558823529411701</v>
      </c>
      <c r="G38" s="2">
        <v>17</v>
      </c>
      <c r="H38" s="2">
        <v>5400</v>
      </c>
      <c r="I38" s="2" t="s">
        <v>168</v>
      </c>
      <c r="J38" s="2" t="s">
        <v>169</v>
      </c>
      <c r="K38" s="2" t="s">
        <v>170</v>
      </c>
    </row>
    <row r="39" spans="1:13" x14ac:dyDescent="0.25">
      <c r="A39" s="2" t="s">
        <v>262</v>
      </c>
      <c r="B39" s="2" t="s">
        <v>1</v>
      </c>
      <c r="C39" s="2" t="s">
        <v>24</v>
      </c>
      <c r="D39" s="2" t="s">
        <v>263</v>
      </c>
      <c r="E39" s="2" t="s">
        <v>264</v>
      </c>
      <c r="F39" s="2">
        <v>12.028571719215</v>
      </c>
      <c r="G39" s="2">
        <v>21</v>
      </c>
      <c r="H39" s="2">
        <v>5300</v>
      </c>
      <c r="I39" s="2" t="s">
        <v>127</v>
      </c>
      <c r="J39" s="2" t="s">
        <v>129</v>
      </c>
      <c r="K39" s="2" t="s">
        <v>128</v>
      </c>
    </row>
    <row r="40" spans="1:13" x14ac:dyDescent="0.25">
      <c r="A40" s="2" t="s">
        <v>265</v>
      </c>
      <c r="B40" s="2" t="s">
        <v>73</v>
      </c>
      <c r="C40" s="2" t="s">
        <v>266</v>
      </c>
      <c r="D40" s="2" t="s">
        <v>267</v>
      </c>
      <c r="E40" s="2" t="s">
        <v>113</v>
      </c>
      <c r="F40" s="2">
        <v>14.760000610351501</v>
      </c>
      <c r="G40" s="2">
        <v>20</v>
      </c>
      <c r="H40" s="2">
        <v>5200</v>
      </c>
      <c r="I40" s="2" t="s">
        <v>136</v>
      </c>
      <c r="J40" s="2" t="s">
        <v>138</v>
      </c>
      <c r="K40" s="2" t="s">
        <v>137</v>
      </c>
      <c r="L40" s="2" t="s">
        <v>70</v>
      </c>
      <c r="M40" s="2" t="s">
        <v>99</v>
      </c>
    </row>
    <row r="41" spans="1:13" x14ac:dyDescent="0.25">
      <c r="A41" s="2" t="s">
        <v>268</v>
      </c>
      <c r="B41" s="2" t="s">
        <v>1</v>
      </c>
      <c r="C41" s="2" t="s">
        <v>69</v>
      </c>
      <c r="D41" s="2" t="s">
        <v>269</v>
      </c>
      <c r="E41" s="2" t="s">
        <v>270</v>
      </c>
      <c r="F41" s="2">
        <v>12.0199996948242</v>
      </c>
      <c r="G41" s="2">
        <v>20</v>
      </c>
      <c r="H41" s="2">
        <v>5200</v>
      </c>
      <c r="I41" s="2" t="s">
        <v>127</v>
      </c>
      <c r="J41" s="2" t="s">
        <v>128</v>
      </c>
      <c r="K41" s="2" t="s">
        <v>129</v>
      </c>
    </row>
    <row r="42" spans="1:13" x14ac:dyDescent="0.25">
      <c r="A42" s="2" t="s">
        <v>271</v>
      </c>
      <c r="B42" s="2" t="s">
        <v>1</v>
      </c>
      <c r="C42" s="2" t="s">
        <v>51</v>
      </c>
      <c r="D42" s="2" t="s">
        <v>272</v>
      </c>
      <c r="E42" s="2" t="s">
        <v>273</v>
      </c>
      <c r="F42" s="2">
        <v>7.8849998474121001</v>
      </c>
      <c r="G42" s="2">
        <v>20</v>
      </c>
      <c r="H42" s="2">
        <v>5100</v>
      </c>
      <c r="I42" s="2" t="s">
        <v>136</v>
      </c>
      <c r="J42" s="2" t="s">
        <v>137</v>
      </c>
      <c r="K42" s="2" t="s">
        <v>138</v>
      </c>
    </row>
    <row r="43" spans="1:13" x14ac:dyDescent="0.25">
      <c r="A43" s="2" t="s">
        <v>274</v>
      </c>
      <c r="B43" s="2" t="s">
        <v>71</v>
      </c>
      <c r="C43" s="2" t="s">
        <v>62</v>
      </c>
      <c r="D43" s="2" t="s">
        <v>275</v>
      </c>
      <c r="E43" s="2" t="s">
        <v>276</v>
      </c>
      <c r="F43" s="2">
        <v>6.9949996948242097</v>
      </c>
      <c r="G43" s="2">
        <v>20</v>
      </c>
      <c r="H43" s="2">
        <v>5100</v>
      </c>
      <c r="I43" s="2" t="s">
        <v>168</v>
      </c>
      <c r="J43" s="2" t="s">
        <v>169</v>
      </c>
      <c r="K43" s="2" t="s">
        <v>170</v>
      </c>
    </row>
    <row r="44" spans="1:13" x14ac:dyDescent="0.25">
      <c r="A44" s="2" t="s">
        <v>277</v>
      </c>
      <c r="B44" s="2" t="s">
        <v>71</v>
      </c>
      <c r="C44" s="2" t="s">
        <v>278</v>
      </c>
      <c r="D44" s="2" t="s">
        <v>279</v>
      </c>
      <c r="E44" s="2" t="s">
        <v>280</v>
      </c>
      <c r="F44" s="2">
        <v>10.925000000000001</v>
      </c>
      <c r="G44" s="2">
        <v>20</v>
      </c>
      <c r="H44" s="2">
        <v>5000</v>
      </c>
      <c r="I44" s="2" t="s">
        <v>168</v>
      </c>
      <c r="J44" s="2" t="s">
        <v>170</v>
      </c>
      <c r="K44" s="2" t="s">
        <v>169</v>
      </c>
    </row>
    <row r="45" spans="1:13" x14ac:dyDescent="0.25">
      <c r="A45" s="2" t="s">
        <v>281</v>
      </c>
      <c r="B45" s="2" t="s">
        <v>71</v>
      </c>
      <c r="C45" s="2" t="s">
        <v>282</v>
      </c>
      <c r="D45" s="2" t="s">
        <v>283</v>
      </c>
      <c r="E45" s="2" t="s">
        <v>284</v>
      </c>
      <c r="F45" s="2">
        <v>8.8099998474121097</v>
      </c>
      <c r="G45" s="2">
        <v>20</v>
      </c>
      <c r="H45" s="2">
        <v>4900</v>
      </c>
      <c r="I45" s="2" t="s">
        <v>127</v>
      </c>
      <c r="J45" s="2" t="s">
        <v>128</v>
      </c>
      <c r="K45" s="2" t="s">
        <v>129</v>
      </c>
    </row>
    <row r="46" spans="1:13" x14ac:dyDescent="0.25">
      <c r="A46" s="2" t="s">
        <v>285</v>
      </c>
      <c r="B46" s="2" t="s">
        <v>1</v>
      </c>
      <c r="C46" s="2" t="s">
        <v>286</v>
      </c>
      <c r="D46" s="2" t="s">
        <v>287</v>
      </c>
      <c r="E46" s="2" t="s">
        <v>276</v>
      </c>
      <c r="F46" s="2">
        <v>4.4249999999999998</v>
      </c>
      <c r="G46" s="2">
        <v>20</v>
      </c>
      <c r="H46" s="2">
        <v>4800</v>
      </c>
      <c r="I46" s="2" t="s">
        <v>168</v>
      </c>
      <c r="J46" s="2" t="s">
        <v>169</v>
      </c>
      <c r="K46" s="2" t="s">
        <v>170</v>
      </c>
    </row>
    <row r="47" spans="1:13" x14ac:dyDescent="0.25">
      <c r="A47" s="2" t="s">
        <v>288</v>
      </c>
      <c r="B47" s="2" t="s">
        <v>71</v>
      </c>
      <c r="C47" s="2" t="s">
        <v>289</v>
      </c>
      <c r="D47" s="2" t="s">
        <v>290</v>
      </c>
      <c r="E47" s="2" t="s">
        <v>291</v>
      </c>
      <c r="F47" s="2">
        <v>9.3099998474121097</v>
      </c>
      <c r="G47" s="2">
        <v>20</v>
      </c>
      <c r="H47" s="2">
        <v>4700</v>
      </c>
      <c r="I47" s="2" t="s">
        <v>168</v>
      </c>
      <c r="J47" s="2" t="s">
        <v>169</v>
      </c>
      <c r="K47" s="2" t="s">
        <v>170</v>
      </c>
    </row>
    <row r="48" spans="1:13" x14ac:dyDescent="0.25">
      <c r="A48" s="2" t="s">
        <v>292</v>
      </c>
      <c r="B48" s="2" t="s">
        <v>73</v>
      </c>
      <c r="C48" s="2" t="s">
        <v>96</v>
      </c>
      <c r="D48" s="2" t="s">
        <v>293</v>
      </c>
      <c r="E48" s="2" t="s">
        <v>294</v>
      </c>
      <c r="F48" s="2">
        <v>9.5476190476190403</v>
      </c>
      <c r="G48" s="2">
        <v>21</v>
      </c>
      <c r="H48" s="2">
        <v>4600</v>
      </c>
      <c r="I48" s="2" t="s">
        <v>127</v>
      </c>
      <c r="J48" s="2" t="s">
        <v>129</v>
      </c>
      <c r="K48" s="2" t="s">
        <v>128</v>
      </c>
    </row>
    <row r="49" spans="1:13" x14ac:dyDescent="0.25">
      <c r="A49" s="2" t="s">
        <v>295</v>
      </c>
      <c r="B49" s="2" t="s">
        <v>71</v>
      </c>
      <c r="C49" s="2" t="s">
        <v>49</v>
      </c>
      <c r="D49" s="2" t="s">
        <v>296</v>
      </c>
      <c r="E49" s="2" t="s">
        <v>297</v>
      </c>
      <c r="F49" s="2">
        <v>8.6285712832496202</v>
      </c>
      <c r="G49" s="2">
        <v>21</v>
      </c>
      <c r="H49" s="2">
        <v>4600</v>
      </c>
      <c r="I49" s="2" t="s">
        <v>136</v>
      </c>
      <c r="J49" s="2" t="s">
        <v>138</v>
      </c>
      <c r="K49" s="2" t="s">
        <v>137</v>
      </c>
    </row>
    <row r="50" spans="1:13" x14ac:dyDescent="0.25">
      <c r="A50" s="2" t="s">
        <v>298</v>
      </c>
      <c r="B50" s="2" t="s">
        <v>1</v>
      </c>
      <c r="C50" s="2" t="s">
        <v>299</v>
      </c>
      <c r="D50" s="2" t="s">
        <v>300</v>
      </c>
      <c r="E50" s="2" t="s">
        <v>301</v>
      </c>
      <c r="F50" s="2">
        <v>9.3761901855468697</v>
      </c>
      <c r="G50" s="2">
        <v>21</v>
      </c>
      <c r="H50" s="2">
        <v>4500</v>
      </c>
      <c r="I50" s="2" t="s">
        <v>136</v>
      </c>
      <c r="J50" s="2" t="s">
        <v>138</v>
      </c>
      <c r="K50" s="2" t="s">
        <v>137</v>
      </c>
    </row>
    <row r="51" spans="1:13" x14ac:dyDescent="0.25">
      <c r="A51" s="2" t="s">
        <v>302</v>
      </c>
      <c r="B51" s="2" t="s">
        <v>73</v>
      </c>
      <c r="C51" s="2" t="s">
        <v>303</v>
      </c>
      <c r="D51" s="2" t="s">
        <v>304</v>
      </c>
      <c r="E51" s="2" t="s">
        <v>305</v>
      </c>
      <c r="F51" s="2">
        <v>13.1850006103515</v>
      </c>
      <c r="G51" s="2">
        <v>20</v>
      </c>
      <c r="H51" s="2">
        <v>4500</v>
      </c>
      <c r="I51" s="2" t="s">
        <v>168</v>
      </c>
      <c r="J51" s="2" t="s">
        <v>170</v>
      </c>
      <c r="K51" s="2" t="s">
        <v>169</v>
      </c>
    </row>
    <row r="52" spans="1:13" x14ac:dyDescent="0.25">
      <c r="A52" s="2" t="s">
        <v>306</v>
      </c>
      <c r="B52" s="2" t="s">
        <v>73</v>
      </c>
      <c r="C52" s="2" t="s">
        <v>89</v>
      </c>
      <c r="D52" s="2" t="s">
        <v>307</v>
      </c>
      <c r="E52" s="2" t="s">
        <v>308</v>
      </c>
      <c r="F52" s="2">
        <v>7.5999999046325604</v>
      </c>
      <c r="G52" s="2">
        <v>8</v>
      </c>
      <c r="H52" s="2">
        <v>4400</v>
      </c>
      <c r="I52" s="2" t="s">
        <v>168</v>
      </c>
      <c r="J52" s="2" t="s">
        <v>169</v>
      </c>
      <c r="K52" s="2" t="s">
        <v>170</v>
      </c>
    </row>
    <row r="53" spans="1:13" x14ac:dyDescent="0.25">
      <c r="A53" s="2" t="s">
        <v>309</v>
      </c>
      <c r="B53" s="2" t="s">
        <v>71</v>
      </c>
      <c r="C53" s="2" t="s">
        <v>310</v>
      </c>
      <c r="D53" s="2" t="s">
        <v>311</v>
      </c>
      <c r="E53" s="2" t="s">
        <v>312</v>
      </c>
      <c r="F53" s="2">
        <v>10.725</v>
      </c>
      <c r="G53" s="2">
        <v>20</v>
      </c>
      <c r="H53" s="2">
        <v>4400</v>
      </c>
      <c r="I53" s="2" t="s">
        <v>168</v>
      </c>
      <c r="J53" s="2" t="s">
        <v>169</v>
      </c>
      <c r="K53" s="2" t="s">
        <v>170</v>
      </c>
    </row>
    <row r="54" spans="1:13" x14ac:dyDescent="0.25">
      <c r="A54" s="2" t="s">
        <v>313</v>
      </c>
      <c r="B54" s="2" t="s">
        <v>71</v>
      </c>
      <c r="C54" s="2" t="s">
        <v>148</v>
      </c>
      <c r="D54" s="2" t="s">
        <v>314</v>
      </c>
      <c r="E54" s="2" t="s">
        <v>315</v>
      </c>
      <c r="F54" s="2">
        <v>9.1238098144531197</v>
      </c>
      <c r="G54" s="2">
        <v>21</v>
      </c>
      <c r="H54" s="2">
        <v>4300</v>
      </c>
      <c r="I54" s="2" t="s">
        <v>127</v>
      </c>
      <c r="J54" s="2" t="s">
        <v>129</v>
      </c>
      <c r="K54" s="2" t="s">
        <v>128</v>
      </c>
    </row>
    <row r="55" spans="1:13" x14ac:dyDescent="0.25">
      <c r="A55" s="2" t="s">
        <v>316</v>
      </c>
      <c r="B55" s="2" t="s">
        <v>73</v>
      </c>
      <c r="C55" s="2" t="s">
        <v>317</v>
      </c>
      <c r="D55" s="2" t="s">
        <v>318</v>
      </c>
      <c r="E55" s="2" t="s">
        <v>319</v>
      </c>
      <c r="F55" s="2">
        <v>9.4349998474121097</v>
      </c>
      <c r="G55" s="2">
        <v>20</v>
      </c>
      <c r="H55" s="2">
        <v>4300</v>
      </c>
      <c r="I55" s="2" t="s">
        <v>136</v>
      </c>
      <c r="J55" s="2" t="s">
        <v>137</v>
      </c>
      <c r="K55" s="2" t="s">
        <v>138</v>
      </c>
    </row>
    <row r="56" spans="1:13" x14ac:dyDescent="0.25">
      <c r="A56" s="2" t="s">
        <v>320</v>
      </c>
      <c r="B56" s="2" t="s">
        <v>1</v>
      </c>
      <c r="C56" s="2" t="s">
        <v>115</v>
      </c>
      <c r="D56" s="2" t="s">
        <v>321</v>
      </c>
      <c r="E56" s="2" t="s">
        <v>20</v>
      </c>
      <c r="F56" s="2">
        <v>6.8363633589311004</v>
      </c>
      <c r="G56" s="2">
        <v>11</v>
      </c>
      <c r="H56" s="2">
        <v>4300</v>
      </c>
      <c r="I56" s="2" t="s">
        <v>168</v>
      </c>
      <c r="J56" s="2" t="s">
        <v>170</v>
      </c>
      <c r="K56" s="2" t="s">
        <v>169</v>
      </c>
    </row>
    <row r="57" spans="1:13" x14ac:dyDescent="0.25">
      <c r="A57" s="2" t="s">
        <v>322</v>
      </c>
      <c r="B57" s="2" t="s">
        <v>71</v>
      </c>
      <c r="C57" s="2" t="s">
        <v>323</v>
      </c>
      <c r="D57" s="2" t="s">
        <v>324</v>
      </c>
      <c r="E57" s="2" t="s">
        <v>325</v>
      </c>
      <c r="F57" s="2">
        <v>7.7125000953674299</v>
      </c>
      <c r="G57" s="2">
        <v>8</v>
      </c>
      <c r="H57" s="2">
        <v>4300</v>
      </c>
      <c r="I57" s="2" t="s">
        <v>168</v>
      </c>
      <c r="J57" s="2" t="s">
        <v>169</v>
      </c>
      <c r="K57" s="2" t="s">
        <v>170</v>
      </c>
    </row>
    <row r="58" spans="1:13" x14ac:dyDescent="0.25">
      <c r="A58" s="2" t="s">
        <v>326</v>
      </c>
      <c r="B58" s="2" t="s">
        <v>73</v>
      </c>
      <c r="C58" s="2" t="s">
        <v>48</v>
      </c>
      <c r="D58" s="2" t="s">
        <v>327</v>
      </c>
      <c r="E58" s="2" t="s">
        <v>328</v>
      </c>
      <c r="F58" s="2">
        <v>11.504762195405499</v>
      </c>
      <c r="G58" s="2">
        <v>21</v>
      </c>
      <c r="H58" s="2">
        <v>4200</v>
      </c>
      <c r="I58" s="2" t="s">
        <v>127</v>
      </c>
      <c r="J58" s="2" t="s">
        <v>129</v>
      </c>
      <c r="K58" s="2" t="s">
        <v>128</v>
      </c>
    </row>
    <row r="59" spans="1:13" x14ac:dyDescent="0.25">
      <c r="A59" s="2" t="s">
        <v>329</v>
      </c>
      <c r="B59" s="2" t="s">
        <v>1</v>
      </c>
      <c r="C59" s="2" t="s">
        <v>54</v>
      </c>
      <c r="D59" s="2" t="s">
        <v>330</v>
      </c>
      <c r="E59" s="2" t="s">
        <v>331</v>
      </c>
      <c r="F59" s="2">
        <v>7.73333304268973</v>
      </c>
      <c r="G59" s="2">
        <v>21</v>
      </c>
      <c r="H59" s="2">
        <v>4100</v>
      </c>
      <c r="I59" s="2" t="s">
        <v>136</v>
      </c>
      <c r="J59" s="2" t="s">
        <v>138</v>
      </c>
      <c r="K59" s="2" t="s">
        <v>137</v>
      </c>
    </row>
    <row r="60" spans="1:13" x14ac:dyDescent="0.25">
      <c r="A60" s="2" t="s">
        <v>332</v>
      </c>
      <c r="B60" s="2" t="s">
        <v>73</v>
      </c>
      <c r="C60" s="2" t="s">
        <v>112</v>
      </c>
      <c r="D60" s="2" t="s">
        <v>333</v>
      </c>
      <c r="E60" s="2" t="s">
        <v>334</v>
      </c>
      <c r="F60" s="2">
        <v>3.20000004768371</v>
      </c>
      <c r="G60" s="2">
        <v>8</v>
      </c>
      <c r="H60" s="2">
        <v>4000</v>
      </c>
      <c r="I60" s="2" t="s">
        <v>168</v>
      </c>
      <c r="J60" s="2" t="s">
        <v>169</v>
      </c>
      <c r="K60" s="2" t="s">
        <v>170</v>
      </c>
      <c r="L60" s="2" t="s">
        <v>75</v>
      </c>
      <c r="M60" s="2" t="s">
        <v>19</v>
      </c>
    </row>
    <row r="61" spans="1:13" x14ac:dyDescent="0.25">
      <c r="A61" s="2" t="s">
        <v>335</v>
      </c>
      <c r="B61" s="2" t="s">
        <v>71</v>
      </c>
      <c r="C61" s="2" t="s">
        <v>24</v>
      </c>
      <c r="D61" s="2" t="s">
        <v>336</v>
      </c>
      <c r="E61" s="2" t="s">
        <v>337</v>
      </c>
      <c r="F61" s="2">
        <v>7.0666663760230604</v>
      </c>
      <c r="G61" s="2">
        <v>21</v>
      </c>
      <c r="H61" s="2">
        <v>3900</v>
      </c>
      <c r="I61" s="2" t="s">
        <v>136</v>
      </c>
      <c r="J61" s="2" t="s">
        <v>138</v>
      </c>
      <c r="K61" s="2" t="s">
        <v>137</v>
      </c>
    </row>
    <row r="62" spans="1:13" x14ac:dyDescent="0.25">
      <c r="A62" s="2" t="s">
        <v>338</v>
      </c>
      <c r="B62" s="2" t="s">
        <v>73</v>
      </c>
      <c r="C62" s="2" t="s">
        <v>339</v>
      </c>
      <c r="D62" s="2" t="s">
        <v>340</v>
      </c>
      <c r="E62" s="2" t="s">
        <v>341</v>
      </c>
      <c r="F62" s="2">
        <v>8.8000000000000007</v>
      </c>
      <c r="G62" s="2">
        <v>20</v>
      </c>
      <c r="H62" s="2">
        <v>3900</v>
      </c>
      <c r="I62" s="2" t="s">
        <v>127</v>
      </c>
      <c r="J62" s="2" t="s">
        <v>128</v>
      </c>
      <c r="K62" s="2" t="s">
        <v>129</v>
      </c>
    </row>
    <row r="63" spans="1:13" x14ac:dyDescent="0.25">
      <c r="A63" s="2" t="s">
        <v>342</v>
      </c>
      <c r="B63" s="2" t="s">
        <v>71</v>
      </c>
      <c r="C63" s="2" t="s">
        <v>80</v>
      </c>
      <c r="D63" s="2" t="s">
        <v>343</v>
      </c>
      <c r="E63" s="2" t="s">
        <v>344</v>
      </c>
      <c r="F63" s="2">
        <v>8.2050003051757798</v>
      </c>
      <c r="G63" s="2">
        <v>20</v>
      </c>
      <c r="H63" s="2">
        <v>3800</v>
      </c>
      <c r="I63" s="2" t="s">
        <v>136</v>
      </c>
      <c r="J63" s="2" t="s">
        <v>137</v>
      </c>
      <c r="K63" s="2" t="s">
        <v>138</v>
      </c>
    </row>
    <row r="64" spans="1:13" x14ac:dyDescent="0.25">
      <c r="A64" s="2" t="s">
        <v>345</v>
      </c>
      <c r="B64" s="2" t="s">
        <v>1</v>
      </c>
      <c r="C64" s="2" t="s">
        <v>50</v>
      </c>
      <c r="D64" s="2" t="s">
        <v>346</v>
      </c>
      <c r="E64" s="2" t="s">
        <v>347</v>
      </c>
      <c r="F64" s="2">
        <v>5.7882353838752296</v>
      </c>
      <c r="G64" s="2">
        <v>17</v>
      </c>
      <c r="H64" s="2">
        <v>3800</v>
      </c>
      <c r="I64" s="2" t="s">
        <v>136</v>
      </c>
      <c r="J64" s="2" t="s">
        <v>137</v>
      </c>
      <c r="K64" s="2" t="s">
        <v>138</v>
      </c>
      <c r="L64" s="2" t="s">
        <v>70</v>
      </c>
      <c r="M64" s="2" t="s">
        <v>348</v>
      </c>
    </row>
    <row r="65" spans="1:13" x14ac:dyDescent="0.25">
      <c r="A65" s="2" t="s">
        <v>349</v>
      </c>
      <c r="B65" s="2" t="s">
        <v>73</v>
      </c>
      <c r="C65" s="2" t="s">
        <v>42</v>
      </c>
      <c r="D65" s="2" t="s">
        <v>350</v>
      </c>
      <c r="E65" s="2" t="s">
        <v>351</v>
      </c>
      <c r="F65" s="2">
        <v>6.9000001795151604</v>
      </c>
      <c r="G65" s="2">
        <v>17</v>
      </c>
      <c r="H65" s="2">
        <v>3800</v>
      </c>
      <c r="I65" s="2" t="s">
        <v>127</v>
      </c>
      <c r="J65" s="2" t="s">
        <v>128</v>
      </c>
      <c r="K65" s="2" t="s">
        <v>129</v>
      </c>
    </row>
    <row r="66" spans="1:13" x14ac:dyDescent="0.25">
      <c r="A66" s="2" t="s">
        <v>352</v>
      </c>
      <c r="B66" s="2" t="s">
        <v>71</v>
      </c>
      <c r="C66" s="2" t="s">
        <v>69</v>
      </c>
      <c r="D66" s="2" t="s">
        <v>353</v>
      </c>
      <c r="E66" s="2" t="s">
        <v>114</v>
      </c>
      <c r="F66" s="2">
        <v>6.9150001525878899</v>
      </c>
      <c r="G66" s="2">
        <v>20</v>
      </c>
      <c r="H66" s="2">
        <v>3700</v>
      </c>
      <c r="I66" s="2" t="s">
        <v>127</v>
      </c>
      <c r="J66" s="2" t="s">
        <v>128</v>
      </c>
      <c r="K66" s="2" t="s">
        <v>129</v>
      </c>
    </row>
    <row r="67" spans="1:13" x14ac:dyDescent="0.25">
      <c r="A67" s="2" t="s">
        <v>354</v>
      </c>
      <c r="B67" s="2" t="s">
        <v>73</v>
      </c>
      <c r="C67" s="2" t="s">
        <v>355</v>
      </c>
      <c r="D67" s="2" t="s">
        <v>356</v>
      </c>
      <c r="E67" s="2" t="s">
        <v>357</v>
      </c>
      <c r="F67" s="2">
        <v>9.8737503051757791</v>
      </c>
      <c r="G67" s="2">
        <v>80</v>
      </c>
      <c r="H67" s="2">
        <v>3700</v>
      </c>
      <c r="I67" s="2" t="s">
        <v>127</v>
      </c>
      <c r="J67" s="2" t="s">
        <v>128</v>
      </c>
      <c r="K67" s="2" t="s">
        <v>129</v>
      </c>
      <c r="L67" s="2" t="s">
        <v>75</v>
      </c>
      <c r="M67" s="2" t="s">
        <v>19</v>
      </c>
    </row>
    <row r="68" spans="1:13" x14ac:dyDescent="0.25">
      <c r="A68" s="2" t="s">
        <v>358</v>
      </c>
      <c r="B68" s="2" t="s">
        <v>71</v>
      </c>
      <c r="C68" s="2" t="s">
        <v>359</v>
      </c>
      <c r="D68" s="2" t="s">
        <v>360</v>
      </c>
      <c r="E68" s="2" t="s">
        <v>361</v>
      </c>
      <c r="F68" s="2">
        <v>7.9249999999999998</v>
      </c>
      <c r="G68" s="2">
        <v>20</v>
      </c>
      <c r="H68" s="2">
        <v>3700</v>
      </c>
      <c r="I68" s="2" t="s">
        <v>136</v>
      </c>
      <c r="J68" s="2" t="s">
        <v>137</v>
      </c>
      <c r="K68" s="2" t="s">
        <v>138</v>
      </c>
    </row>
    <row r="69" spans="1:13" x14ac:dyDescent="0.25">
      <c r="A69" s="2" t="s">
        <v>362</v>
      </c>
      <c r="B69" s="2" t="s">
        <v>1</v>
      </c>
      <c r="C69" s="2" t="s">
        <v>363</v>
      </c>
      <c r="D69" s="2" t="s">
        <v>364</v>
      </c>
      <c r="E69" s="2" t="s">
        <v>365</v>
      </c>
      <c r="F69" s="2">
        <v>8.8199996948242099</v>
      </c>
      <c r="G69" s="2">
        <v>20</v>
      </c>
      <c r="H69" s="2">
        <v>3700</v>
      </c>
      <c r="I69" s="2" t="s">
        <v>168</v>
      </c>
      <c r="J69" s="2" t="s">
        <v>170</v>
      </c>
      <c r="K69" s="2" t="s">
        <v>169</v>
      </c>
    </row>
    <row r="70" spans="1:13" x14ac:dyDescent="0.25">
      <c r="A70" s="2" t="s">
        <v>366</v>
      </c>
      <c r="B70" s="2" t="s">
        <v>73</v>
      </c>
      <c r="C70" s="2" t="s">
        <v>367</v>
      </c>
      <c r="D70" s="2" t="s">
        <v>368</v>
      </c>
      <c r="E70" s="2" t="s">
        <v>369</v>
      </c>
      <c r="F70" s="2">
        <v>7.5904758998325796</v>
      </c>
      <c r="G70" s="2">
        <v>21</v>
      </c>
      <c r="H70" s="2">
        <v>3700</v>
      </c>
      <c r="I70" s="2" t="s">
        <v>136</v>
      </c>
      <c r="J70" s="2" t="s">
        <v>138</v>
      </c>
      <c r="K70" s="2" t="s">
        <v>137</v>
      </c>
    </row>
    <row r="71" spans="1:13" x14ac:dyDescent="0.25">
      <c r="A71" s="2" t="s">
        <v>370</v>
      </c>
      <c r="B71" s="2" t="s">
        <v>71</v>
      </c>
      <c r="C71" s="2" t="s">
        <v>104</v>
      </c>
      <c r="D71" s="2" t="s">
        <v>371</v>
      </c>
      <c r="E71" s="2" t="s">
        <v>372</v>
      </c>
      <c r="F71" s="2">
        <v>7.0099998474121001</v>
      </c>
      <c r="G71" s="2">
        <v>20</v>
      </c>
      <c r="H71" s="2">
        <v>3700</v>
      </c>
      <c r="I71" s="2" t="s">
        <v>168</v>
      </c>
      <c r="J71" s="2" t="s">
        <v>170</v>
      </c>
      <c r="K71" s="2" t="s">
        <v>169</v>
      </c>
    </row>
    <row r="72" spans="1:13" x14ac:dyDescent="0.25">
      <c r="A72" s="2" t="s">
        <v>373</v>
      </c>
      <c r="B72" s="2" t="s">
        <v>73</v>
      </c>
      <c r="C72" s="2" t="s">
        <v>374</v>
      </c>
      <c r="D72" s="2" t="s">
        <v>375</v>
      </c>
      <c r="E72" s="2" t="s">
        <v>376</v>
      </c>
      <c r="F72" s="2">
        <v>8.4705882352941106</v>
      </c>
      <c r="G72" s="2">
        <v>17</v>
      </c>
      <c r="H72" s="2">
        <v>3700</v>
      </c>
      <c r="I72" s="2" t="s">
        <v>136</v>
      </c>
      <c r="J72" s="2" t="s">
        <v>137</v>
      </c>
      <c r="K72" s="2" t="s">
        <v>138</v>
      </c>
    </row>
    <row r="73" spans="1:13" x14ac:dyDescent="0.25">
      <c r="A73" s="2" t="s">
        <v>377</v>
      </c>
      <c r="B73" s="2" t="s">
        <v>73</v>
      </c>
      <c r="C73" s="2" t="s">
        <v>378</v>
      </c>
      <c r="D73" s="2" t="s">
        <v>379</v>
      </c>
      <c r="E73" s="2" t="s">
        <v>380</v>
      </c>
      <c r="F73" s="2">
        <v>6.05555555555555</v>
      </c>
      <c r="G73" s="2">
        <v>18</v>
      </c>
      <c r="H73" s="2">
        <v>3600</v>
      </c>
      <c r="I73" s="2" t="s">
        <v>136</v>
      </c>
      <c r="J73" s="2" t="s">
        <v>137</v>
      </c>
      <c r="K73" s="2" t="s">
        <v>138</v>
      </c>
    </row>
    <row r="74" spans="1:13" x14ac:dyDescent="0.25">
      <c r="A74" s="2" t="s">
        <v>381</v>
      </c>
      <c r="B74" s="2" t="s">
        <v>73</v>
      </c>
      <c r="C74" s="2" t="s">
        <v>382</v>
      </c>
      <c r="D74" s="2" t="s">
        <v>383</v>
      </c>
      <c r="E74" s="2" t="s">
        <v>157</v>
      </c>
      <c r="F74" s="2">
        <v>7.6400001525878896</v>
      </c>
      <c r="G74" s="2">
        <v>20</v>
      </c>
      <c r="H74" s="2">
        <v>3600</v>
      </c>
      <c r="I74" s="2" t="s">
        <v>136</v>
      </c>
      <c r="J74" s="2" t="s">
        <v>138</v>
      </c>
      <c r="K74" s="2" t="s">
        <v>137</v>
      </c>
    </row>
    <row r="75" spans="1:13" x14ac:dyDescent="0.25">
      <c r="A75" s="2" t="s">
        <v>384</v>
      </c>
      <c r="B75" s="2" t="s">
        <v>73</v>
      </c>
      <c r="C75" s="2" t="s">
        <v>108</v>
      </c>
      <c r="D75" s="2" t="s">
        <v>385</v>
      </c>
      <c r="E75" s="2" t="s">
        <v>386</v>
      </c>
      <c r="F75" s="2">
        <v>5.8234569408275396</v>
      </c>
      <c r="G75" s="2">
        <v>81</v>
      </c>
      <c r="H75" s="2">
        <v>3600</v>
      </c>
      <c r="I75" s="2" t="s">
        <v>127</v>
      </c>
      <c r="J75" s="2" t="s">
        <v>129</v>
      </c>
      <c r="K75" s="2" t="s">
        <v>128</v>
      </c>
    </row>
    <row r="76" spans="1:13" x14ac:dyDescent="0.25">
      <c r="A76" s="2" t="s">
        <v>387</v>
      </c>
      <c r="B76" s="2" t="s">
        <v>71</v>
      </c>
      <c r="C76" s="2" t="s">
        <v>388</v>
      </c>
      <c r="D76" s="2" t="s">
        <v>389</v>
      </c>
      <c r="E76" s="2" t="s">
        <v>390</v>
      </c>
      <c r="F76" s="2">
        <v>7.4749997456868398</v>
      </c>
      <c r="G76" s="2">
        <v>12</v>
      </c>
      <c r="H76" s="2">
        <v>3600</v>
      </c>
      <c r="I76" s="2" t="s">
        <v>127</v>
      </c>
      <c r="J76" s="2" t="s">
        <v>128</v>
      </c>
      <c r="K76" s="2" t="s">
        <v>129</v>
      </c>
    </row>
    <row r="77" spans="1:13" x14ac:dyDescent="0.25">
      <c r="A77" s="2" t="s">
        <v>391</v>
      </c>
      <c r="B77" s="2" t="s">
        <v>73</v>
      </c>
      <c r="C77" s="2" t="s">
        <v>40</v>
      </c>
      <c r="D77" s="2" t="s">
        <v>392</v>
      </c>
      <c r="E77" s="2" t="s">
        <v>393</v>
      </c>
      <c r="F77" s="2">
        <v>9.0500000000000007</v>
      </c>
      <c r="G77" s="2">
        <v>20</v>
      </c>
      <c r="H77" s="2">
        <v>3600</v>
      </c>
      <c r="I77" s="2" t="s">
        <v>168</v>
      </c>
      <c r="J77" s="2" t="s">
        <v>169</v>
      </c>
      <c r="K77" s="2" t="s">
        <v>170</v>
      </c>
    </row>
    <row r="78" spans="1:13" x14ac:dyDescent="0.25">
      <c r="A78" s="2" t="s">
        <v>394</v>
      </c>
      <c r="B78" s="2" t="s">
        <v>73</v>
      </c>
      <c r="C78" s="2" t="s">
        <v>90</v>
      </c>
      <c r="D78" s="2" t="s">
        <v>395</v>
      </c>
      <c r="E78" s="2" t="s">
        <v>396</v>
      </c>
      <c r="F78" s="2">
        <v>8.3300003051757798</v>
      </c>
      <c r="G78" s="2">
        <v>20</v>
      </c>
      <c r="H78" s="2">
        <v>3600</v>
      </c>
      <c r="I78" s="2" t="s">
        <v>127</v>
      </c>
      <c r="J78" s="2" t="s">
        <v>128</v>
      </c>
      <c r="K78" s="2" t="s">
        <v>129</v>
      </c>
    </row>
    <row r="79" spans="1:13" x14ac:dyDescent="0.25">
      <c r="A79" s="2" t="s">
        <v>397</v>
      </c>
      <c r="B79" s="2" t="s">
        <v>1</v>
      </c>
      <c r="C79" s="2" t="s">
        <v>398</v>
      </c>
      <c r="D79" s="2" t="s">
        <v>399</v>
      </c>
      <c r="E79" s="2" t="s">
        <v>400</v>
      </c>
      <c r="F79" s="2">
        <v>8.1263154682360206</v>
      </c>
      <c r="G79" s="2">
        <v>19</v>
      </c>
      <c r="H79" s="2">
        <v>3600</v>
      </c>
      <c r="I79" s="2" t="s">
        <v>136</v>
      </c>
      <c r="J79" s="2" t="s">
        <v>137</v>
      </c>
      <c r="K79" s="2" t="s">
        <v>138</v>
      </c>
    </row>
    <row r="80" spans="1:13" x14ac:dyDescent="0.25">
      <c r="A80" s="2" t="s">
        <v>401</v>
      </c>
      <c r="B80" s="2" t="s">
        <v>71</v>
      </c>
      <c r="C80" s="2" t="s">
        <v>64</v>
      </c>
      <c r="D80" s="2" t="s">
        <v>402</v>
      </c>
      <c r="E80" s="2" t="s">
        <v>403</v>
      </c>
      <c r="F80" s="2">
        <v>7.1949996948242099</v>
      </c>
      <c r="G80" s="2">
        <v>20</v>
      </c>
      <c r="H80" s="2">
        <v>3600</v>
      </c>
      <c r="I80" s="2" t="s">
        <v>168</v>
      </c>
      <c r="J80" s="2" t="s">
        <v>169</v>
      </c>
      <c r="K80" s="2" t="s">
        <v>170</v>
      </c>
    </row>
    <row r="81" spans="1:13" x14ac:dyDescent="0.25">
      <c r="A81" s="2" t="s">
        <v>404</v>
      </c>
      <c r="B81" s="2" t="s">
        <v>71</v>
      </c>
      <c r="C81" s="2" t="s">
        <v>55</v>
      </c>
      <c r="D81" s="2" t="s">
        <v>405</v>
      </c>
      <c r="E81" s="2" t="s">
        <v>101</v>
      </c>
      <c r="F81" s="2">
        <v>8.3999997093563898</v>
      </c>
      <c r="G81" s="2">
        <v>21</v>
      </c>
      <c r="H81" s="2">
        <v>3600</v>
      </c>
      <c r="I81" s="2" t="s">
        <v>136</v>
      </c>
      <c r="J81" s="2" t="s">
        <v>138</v>
      </c>
      <c r="K81" s="2" t="s">
        <v>137</v>
      </c>
    </row>
    <row r="82" spans="1:13" x14ac:dyDescent="0.25">
      <c r="A82" s="2" t="s">
        <v>406</v>
      </c>
      <c r="B82" s="2" t="s">
        <v>1</v>
      </c>
      <c r="C82" s="2" t="s">
        <v>76</v>
      </c>
      <c r="D82" s="2" t="s">
        <v>407</v>
      </c>
      <c r="E82" s="2" t="s">
        <v>408</v>
      </c>
      <c r="F82" s="2">
        <v>8.2926829268292597</v>
      </c>
      <c r="G82" s="2">
        <v>82</v>
      </c>
      <c r="H82" s="2">
        <v>3600</v>
      </c>
      <c r="I82" s="2" t="s">
        <v>127</v>
      </c>
      <c r="J82" s="2" t="s">
        <v>129</v>
      </c>
      <c r="K82" s="2" t="s">
        <v>128</v>
      </c>
      <c r="L82" s="2" t="s">
        <v>75</v>
      </c>
      <c r="M82" s="2" t="s">
        <v>409</v>
      </c>
    </row>
    <row r="83" spans="1:13" x14ac:dyDescent="0.25">
      <c r="A83" s="2" t="s">
        <v>410</v>
      </c>
      <c r="B83" s="2" t="s">
        <v>73</v>
      </c>
      <c r="C83" s="2" t="s">
        <v>411</v>
      </c>
      <c r="D83" s="2" t="s">
        <v>412</v>
      </c>
      <c r="E83" s="2" t="s">
        <v>413</v>
      </c>
      <c r="F83" s="2">
        <v>6.1714288620721698</v>
      </c>
      <c r="G83" s="2">
        <v>21</v>
      </c>
      <c r="H83" s="2">
        <v>3600</v>
      </c>
      <c r="I83" s="2" t="s">
        <v>127</v>
      </c>
      <c r="J83" s="2" t="s">
        <v>129</v>
      </c>
      <c r="K83" s="2" t="s">
        <v>128</v>
      </c>
    </row>
    <row r="84" spans="1:13" x14ac:dyDescent="0.25">
      <c r="A84" s="2" t="s">
        <v>414</v>
      </c>
      <c r="B84" s="2" t="s">
        <v>73</v>
      </c>
      <c r="C84" s="2" t="s">
        <v>415</v>
      </c>
      <c r="D84" s="2" t="s">
        <v>416</v>
      </c>
      <c r="E84" s="2" t="s">
        <v>102</v>
      </c>
      <c r="F84" s="2">
        <v>6.6399998982747297</v>
      </c>
      <c r="G84" s="2">
        <v>15</v>
      </c>
      <c r="H84" s="2">
        <v>3500</v>
      </c>
      <c r="I84" s="2" t="s">
        <v>168</v>
      </c>
      <c r="J84" s="2" t="s">
        <v>169</v>
      </c>
      <c r="K84" s="2" t="s">
        <v>170</v>
      </c>
      <c r="L84" s="2" t="s">
        <v>75</v>
      </c>
      <c r="M84" s="2" t="s">
        <v>58</v>
      </c>
    </row>
    <row r="85" spans="1:13" x14ac:dyDescent="0.25">
      <c r="A85" s="2" t="s">
        <v>417</v>
      </c>
      <c r="B85" s="2" t="s">
        <v>73</v>
      </c>
      <c r="C85" s="2" t="s">
        <v>38</v>
      </c>
      <c r="D85" s="2" t="s">
        <v>418</v>
      </c>
      <c r="E85" s="2" t="s">
        <v>419</v>
      </c>
      <c r="F85" s="2">
        <v>4.8000001907348597</v>
      </c>
      <c r="G85" s="2">
        <v>1</v>
      </c>
      <c r="H85" s="2">
        <v>3500</v>
      </c>
      <c r="I85" s="2" t="s">
        <v>127</v>
      </c>
      <c r="J85" s="2" t="s">
        <v>129</v>
      </c>
      <c r="K85" s="2" t="s">
        <v>128</v>
      </c>
    </row>
    <row r="86" spans="1:13" x14ac:dyDescent="0.25">
      <c r="A86" s="2" t="s">
        <v>420</v>
      </c>
      <c r="B86" s="2" t="s">
        <v>73</v>
      </c>
      <c r="C86" s="2" t="s">
        <v>421</v>
      </c>
      <c r="D86" s="2" t="s">
        <v>422</v>
      </c>
      <c r="E86" s="2" t="s">
        <v>423</v>
      </c>
      <c r="F86" s="2">
        <v>5.5809522356305798</v>
      </c>
      <c r="G86" s="2">
        <v>21</v>
      </c>
      <c r="H86" s="2">
        <v>3500</v>
      </c>
      <c r="I86" s="2" t="s">
        <v>136</v>
      </c>
      <c r="J86" s="2" t="s">
        <v>138</v>
      </c>
      <c r="K86" s="2" t="s">
        <v>137</v>
      </c>
    </row>
    <row r="87" spans="1:13" x14ac:dyDescent="0.25">
      <c r="A87" s="2" t="s">
        <v>424</v>
      </c>
      <c r="B87" s="2" t="s">
        <v>73</v>
      </c>
      <c r="C87" s="2" t="s">
        <v>41</v>
      </c>
      <c r="D87" s="2" t="s">
        <v>425</v>
      </c>
      <c r="E87" s="2" t="s">
        <v>426</v>
      </c>
      <c r="F87" s="2">
        <v>3</v>
      </c>
      <c r="G87" s="2">
        <v>16</v>
      </c>
      <c r="H87" s="2">
        <v>3500</v>
      </c>
      <c r="I87" s="2" t="s">
        <v>127</v>
      </c>
      <c r="J87" s="2" t="s">
        <v>128</v>
      </c>
      <c r="K87" s="2" t="s">
        <v>129</v>
      </c>
    </row>
    <row r="88" spans="1:13" x14ac:dyDescent="0.25">
      <c r="A88" s="2" t="s">
        <v>427</v>
      </c>
      <c r="B88" s="2" t="s">
        <v>73</v>
      </c>
      <c r="C88" s="2" t="s">
        <v>25</v>
      </c>
      <c r="D88" s="2" t="s">
        <v>428</v>
      </c>
      <c r="E88" s="2" t="s">
        <v>429</v>
      </c>
      <c r="F88" s="2">
        <v>8.47999979654948</v>
      </c>
      <c r="G88" s="2">
        <v>15</v>
      </c>
      <c r="H88" s="2">
        <v>3500</v>
      </c>
      <c r="I88" s="2" t="s">
        <v>168</v>
      </c>
      <c r="J88" s="2" t="s">
        <v>170</v>
      </c>
      <c r="K88" s="2" t="s">
        <v>169</v>
      </c>
    </row>
    <row r="89" spans="1:13" x14ac:dyDescent="0.25">
      <c r="A89" s="2" t="s">
        <v>430</v>
      </c>
      <c r="B89" s="2" t="s">
        <v>73</v>
      </c>
      <c r="C89" s="2" t="s">
        <v>20</v>
      </c>
      <c r="D89" s="2" t="s">
        <v>431</v>
      </c>
      <c r="E89" s="2" t="s">
        <v>432</v>
      </c>
      <c r="F89" s="2">
        <v>5.3333333333333304</v>
      </c>
      <c r="G89" s="2">
        <v>57</v>
      </c>
      <c r="H89" s="2">
        <v>3500</v>
      </c>
      <c r="I89" s="2" t="s">
        <v>168</v>
      </c>
      <c r="J89" s="2" t="s">
        <v>169</v>
      </c>
      <c r="K89" s="2" t="s">
        <v>170</v>
      </c>
    </row>
    <row r="90" spans="1:13" x14ac:dyDescent="0.25">
      <c r="A90" s="2" t="s">
        <v>433</v>
      </c>
      <c r="B90" s="2" t="s">
        <v>73</v>
      </c>
      <c r="C90" s="2" t="s">
        <v>72</v>
      </c>
      <c r="D90" s="2" t="s">
        <v>434</v>
      </c>
      <c r="E90" s="2" t="s">
        <v>435</v>
      </c>
      <c r="F90" s="2">
        <v>2.4000000953674299</v>
      </c>
      <c r="G90" s="2">
        <v>2</v>
      </c>
      <c r="H90" s="2">
        <v>3500</v>
      </c>
      <c r="I90" s="2" t="s">
        <v>136</v>
      </c>
      <c r="J90" s="2" t="s">
        <v>138</v>
      </c>
      <c r="K90" s="2" t="s">
        <v>137</v>
      </c>
    </row>
    <row r="91" spans="1:13" x14ac:dyDescent="0.25">
      <c r="A91" s="2" t="s">
        <v>436</v>
      </c>
      <c r="B91" s="2" t="s">
        <v>73</v>
      </c>
      <c r="C91" s="2" t="s">
        <v>437</v>
      </c>
      <c r="D91" s="2" t="s">
        <v>438</v>
      </c>
      <c r="E91" s="2" t="s">
        <v>439</v>
      </c>
      <c r="F91" s="2">
        <v>6.6</v>
      </c>
      <c r="G91" s="2">
        <v>20</v>
      </c>
      <c r="H91" s="2">
        <v>3500</v>
      </c>
      <c r="I91" s="2" t="s">
        <v>127</v>
      </c>
      <c r="J91" s="2" t="s">
        <v>129</v>
      </c>
      <c r="K91" s="2" t="s">
        <v>128</v>
      </c>
    </row>
    <row r="92" spans="1:13" x14ac:dyDescent="0.25">
      <c r="A92" s="2" t="s">
        <v>440</v>
      </c>
      <c r="B92" s="2" t="s">
        <v>73</v>
      </c>
      <c r="C92" s="2" t="s">
        <v>441</v>
      </c>
      <c r="D92" s="2" t="s">
        <v>442</v>
      </c>
      <c r="E92" s="2" t="s">
        <v>443</v>
      </c>
      <c r="F92" s="2">
        <v>6.2117646161247704</v>
      </c>
      <c r="G92" s="2">
        <v>17</v>
      </c>
      <c r="H92" s="2">
        <v>3500</v>
      </c>
      <c r="I92" s="2" t="s">
        <v>168</v>
      </c>
      <c r="J92" s="2" t="s">
        <v>170</v>
      </c>
      <c r="K92" s="2" t="s">
        <v>169</v>
      </c>
      <c r="L92" s="2" t="s">
        <v>18</v>
      </c>
      <c r="M92" s="2" t="s">
        <v>106</v>
      </c>
    </row>
    <row r="93" spans="1:13" x14ac:dyDescent="0.25">
      <c r="A93" s="2" t="s">
        <v>444</v>
      </c>
      <c r="B93" s="2" t="s">
        <v>73</v>
      </c>
      <c r="C93" s="2" t="s">
        <v>445</v>
      </c>
      <c r="D93" s="2" t="s">
        <v>446</v>
      </c>
      <c r="E93" s="2" t="s">
        <v>447</v>
      </c>
      <c r="F93" s="2">
        <v>0</v>
      </c>
      <c r="G93" s="2">
        <v>0</v>
      </c>
      <c r="H93" s="2">
        <v>3500</v>
      </c>
      <c r="I93" s="2" t="s">
        <v>168</v>
      </c>
      <c r="J93" s="2" t="s">
        <v>169</v>
      </c>
      <c r="K93" s="2" t="s">
        <v>170</v>
      </c>
    </row>
    <row r="94" spans="1:13" x14ac:dyDescent="0.25">
      <c r="A94" s="2" t="s">
        <v>448</v>
      </c>
      <c r="B94" s="2" t="s">
        <v>71</v>
      </c>
      <c r="C94" s="2" t="s">
        <v>449</v>
      </c>
      <c r="D94" s="2" t="s">
        <v>450</v>
      </c>
      <c r="E94" s="2" t="s">
        <v>451</v>
      </c>
      <c r="F94" s="2">
        <v>7.2000003390842</v>
      </c>
      <c r="G94" s="2">
        <v>18</v>
      </c>
      <c r="H94" s="2">
        <v>3500</v>
      </c>
      <c r="I94" s="2" t="s">
        <v>136</v>
      </c>
      <c r="J94" s="2" t="s">
        <v>138</v>
      </c>
      <c r="K94" s="2" t="s">
        <v>137</v>
      </c>
      <c r="L94" s="2" t="s">
        <v>75</v>
      </c>
      <c r="M94" s="2" t="s">
        <v>53</v>
      </c>
    </row>
    <row r="95" spans="1:13" x14ac:dyDescent="0.25">
      <c r="A95" s="2" t="s">
        <v>452</v>
      </c>
      <c r="B95" s="2" t="s">
        <v>73</v>
      </c>
      <c r="C95" s="2" t="s">
        <v>453</v>
      </c>
      <c r="D95" s="2" t="s">
        <v>454</v>
      </c>
      <c r="E95" s="2" t="s">
        <v>455</v>
      </c>
      <c r="F95" s="2">
        <v>2.9333333969116202</v>
      </c>
      <c r="G95" s="2">
        <v>6</v>
      </c>
      <c r="H95" s="2">
        <v>3500</v>
      </c>
      <c r="I95" s="2" t="s">
        <v>136</v>
      </c>
      <c r="J95" s="2" t="s">
        <v>137</v>
      </c>
      <c r="K95" s="2" t="s">
        <v>138</v>
      </c>
    </row>
    <row r="96" spans="1:13" x14ac:dyDescent="0.25">
      <c r="A96" s="2" t="s">
        <v>456</v>
      </c>
      <c r="B96" s="2" t="s">
        <v>73</v>
      </c>
      <c r="C96" s="2" t="s">
        <v>72</v>
      </c>
      <c r="D96" s="2" t="s">
        <v>457</v>
      </c>
      <c r="E96" s="2" t="s">
        <v>458</v>
      </c>
      <c r="F96" s="2">
        <v>2.5600000381469701</v>
      </c>
      <c r="G96" s="2">
        <v>5</v>
      </c>
      <c r="H96" s="2">
        <v>3500</v>
      </c>
      <c r="I96" s="2" t="s">
        <v>168</v>
      </c>
      <c r="J96" s="2" t="s">
        <v>170</v>
      </c>
      <c r="K96" s="2" t="s">
        <v>169</v>
      </c>
    </row>
    <row r="97" spans="1:13" x14ac:dyDescent="0.25">
      <c r="A97" s="2" t="s">
        <v>459</v>
      </c>
      <c r="B97" s="2" t="s">
        <v>73</v>
      </c>
      <c r="C97" s="2" t="s">
        <v>22</v>
      </c>
      <c r="D97" s="2" t="s">
        <v>460</v>
      </c>
      <c r="E97" s="2" t="s">
        <v>461</v>
      </c>
      <c r="F97" s="2">
        <v>4.5</v>
      </c>
      <c r="G97" s="2">
        <v>9</v>
      </c>
      <c r="H97" s="2">
        <v>3500</v>
      </c>
      <c r="I97" s="2" t="s">
        <v>127</v>
      </c>
      <c r="J97" s="2" t="s">
        <v>129</v>
      </c>
      <c r="K97" s="2" t="s">
        <v>128</v>
      </c>
    </row>
    <row r="98" spans="1:13" x14ac:dyDescent="0.25">
      <c r="A98" s="2" t="s">
        <v>462</v>
      </c>
      <c r="B98" s="2" t="s">
        <v>73</v>
      </c>
      <c r="C98" s="2" t="s">
        <v>463</v>
      </c>
      <c r="D98" s="2" t="s">
        <v>464</v>
      </c>
      <c r="E98" s="2" t="s">
        <v>465</v>
      </c>
      <c r="F98" s="2">
        <v>1.6000000238418499</v>
      </c>
      <c r="G98" s="2">
        <v>1</v>
      </c>
      <c r="H98" s="2">
        <v>3500</v>
      </c>
      <c r="I98" s="2" t="s">
        <v>127</v>
      </c>
      <c r="J98" s="2" t="s">
        <v>129</v>
      </c>
      <c r="K98" s="2" t="s">
        <v>128</v>
      </c>
    </row>
    <row r="99" spans="1:13" x14ac:dyDescent="0.25">
      <c r="A99" s="2" t="s">
        <v>466</v>
      </c>
      <c r="B99" s="2" t="s">
        <v>73</v>
      </c>
      <c r="C99" s="2" t="s">
        <v>467</v>
      </c>
      <c r="D99" s="2" t="s">
        <v>468</v>
      </c>
      <c r="E99" s="2" t="s">
        <v>93</v>
      </c>
      <c r="F99" s="2">
        <v>6.2705881455365304</v>
      </c>
      <c r="G99" s="2">
        <v>17</v>
      </c>
      <c r="H99" s="2">
        <v>3500</v>
      </c>
      <c r="I99" s="2" t="s">
        <v>168</v>
      </c>
      <c r="J99" s="2" t="s">
        <v>169</v>
      </c>
      <c r="K99" s="2" t="s">
        <v>170</v>
      </c>
    </row>
    <row r="100" spans="1:13" x14ac:dyDescent="0.25">
      <c r="A100" s="2" t="s">
        <v>469</v>
      </c>
      <c r="B100" s="2" t="s">
        <v>73</v>
      </c>
      <c r="C100" s="2" t="s">
        <v>87</v>
      </c>
      <c r="D100" s="2" t="s">
        <v>470</v>
      </c>
      <c r="E100" s="2" t="s">
        <v>471</v>
      </c>
      <c r="F100" s="2">
        <v>8.4112903225806406</v>
      </c>
      <c r="G100" s="2">
        <v>62</v>
      </c>
      <c r="H100" s="2">
        <v>3500</v>
      </c>
      <c r="I100" s="2" t="s">
        <v>136</v>
      </c>
      <c r="J100" s="2" t="s">
        <v>138</v>
      </c>
      <c r="K100" s="2" t="s">
        <v>137</v>
      </c>
      <c r="L100" s="2" t="s">
        <v>75</v>
      </c>
      <c r="M100" s="2" t="s">
        <v>348</v>
      </c>
    </row>
    <row r="101" spans="1:13" x14ac:dyDescent="0.25">
      <c r="A101" s="2" t="s">
        <v>472</v>
      </c>
      <c r="B101" s="2" t="s">
        <v>73</v>
      </c>
      <c r="C101" s="2" t="s">
        <v>473</v>
      </c>
      <c r="D101" s="2" t="s">
        <v>474</v>
      </c>
      <c r="E101" s="2" t="s">
        <v>475</v>
      </c>
      <c r="F101" s="2">
        <v>3.7333333333333298</v>
      </c>
      <c r="G101" s="2">
        <v>15</v>
      </c>
      <c r="H101" s="2">
        <v>3500</v>
      </c>
      <c r="I101" s="2" t="s">
        <v>136</v>
      </c>
      <c r="J101" s="2" t="s">
        <v>137</v>
      </c>
      <c r="K101" s="2" t="s">
        <v>138</v>
      </c>
      <c r="L101" s="2" t="s">
        <v>75</v>
      </c>
      <c r="M101" s="2" t="s">
        <v>53</v>
      </c>
    </row>
    <row r="102" spans="1:13" x14ac:dyDescent="0.25">
      <c r="A102" s="2" t="s">
        <v>476</v>
      </c>
      <c r="B102" s="2" t="s">
        <v>73</v>
      </c>
      <c r="C102" s="2" t="s">
        <v>55</v>
      </c>
      <c r="D102" s="2" t="s">
        <v>477</v>
      </c>
      <c r="E102" s="2" t="s">
        <v>478</v>
      </c>
      <c r="F102" s="2">
        <v>8.1000003814697195</v>
      </c>
      <c r="G102" s="2">
        <v>8</v>
      </c>
      <c r="H102" s="2">
        <v>3500</v>
      </c>
      <c r="I102" s="2" t="s">
        <v>168</v>
      </c>
      <c r="J102" s="2" t="s">
        <v>170</v>
      </c>
      <c r="K102" s="2" t="s">
        <v>169</v>
      </c>
      <c r="L102" s="2" t="s">
        <v>75</v>
      </c>
      <c r="M102" s="2" t="s">
        <v>79</v>
      </c>
    </row>
    <row r="103" spans="1:13" x14ac:dyDescent="0.25">
      <c r="A103" s="2" t="s">
        <v>479</v>
      </c>
      <c r="B103" s="2" t="s">
        <v>73</v>
      </c>
      <c r="C103" s="2" t="s">
        <v>480</v>
      </c>
      <c r="D103" s="2" t="s">
        <v>481</v>
      </c>
      <c r="E103" s="2" t="s">
        <v>482</v>
      </c>
      <c r="F103" s="2">
        <v>5.4400001525878903</v>
      </c>
      <c r="G103" s="2">
        <v>20</v>
      </c>
      <c r="H103" s="2">
        <v>3500</v>
      </c>
      <c r="I103" s="2" t="s">
        <v>168</v>
      </c>
      <c r="J103" s="2" t="s">
        <v>170</v>
      </c>
      <c r="K103" s="2" t="s">
        <v>169</v>
      </c>
    </row>
    <row r="104" spans="1:13" x14ac:dyDescent="0.25">
      <c r="A104" s="2" t="s">
        <v>483</v>
      </c>
      <c r="B104" s="2" t="s">
        <v>73</v>
      </c>
      <c r="C104" s="2" t="s">
        <v>104</v>
      </c>
      <c r="D104" s="2" t="s">
        <v>484</v>
      </c>
      <c r="E104" s="2" t="s">
        <v>485</v>
      </c>
      <c r="F104" s="2">
        <v>4.9882354736328098</v>
      </c>
      <c r="G104" s="2">
        <v>17</v>
      </c>
      <c r="H104" s="2">
        <v>3500</v>
      </c>
      <c r="I104" s="2" t="s">
        <v>168</v>
      </c>
      <c r="J104" s="2" t="s">
        <v>170</v>
      </c>
      <c r="K104" s="2" t="s">
        <v>169</v>
      </c>
    </row>
    <row r="105" spans="1:13" x14ac:dyDescent="0.25">
      <c r="A105" s="2" t="s">
        <v>486</v>
      </c>
      <c r="B105" s="2" t="s">
        <v>73</v>
      </c>
      <c r="C105" s="2" t="s">
        <v>480</v>
      </c>
      <c r="D105" s="2" t="s">
        <v>487</v>
      </c>
      <c r="E105" s="2" t="s">
        <v>488</v>
      </c>
      <c r="F105" s="2">
        <v>6.0571427118210499</v>
      </c>
      <c r="G105" s="2">
        <v>21</v>
      </c>
      <c r="H105" s="2">
        <v>3500</v>
      </c>
      <c r="I105" s="2" t="s">
        <v>127</v>
      </c>
      <c r="J105" s="2" t="s">
        <v>129</v>
      </c>
      <c r="K105" s="2" t="s">
        <v>128</v>
      </c>
    </row>
    <row r="106" spans="1:13" x14ac:dyDescent="0.25">
      <c r="A106" s="2" t="s">
        <v>489</v>
      </c>
      <c r="B106" s="2" t="s">
        <v>73</v>
      </c>
      <c r="C106" s="2" t="s">
        <v>490</v>
      </c>
      <c r="D106" s="2" t="s">
        <v>491</v>
      </c>
      <c r="E106" s="2" t="s">
        <v>492</v>
      </c>
      <c r="F106" s="2">
        <v>3.7894736842105199</v>
      </c>
      <c r="G106" s="2">
        <v>19</v>
      </c>
      <c r="H106" s="2">
        <v>3500</v>
      </c>
      <c r="I106" s="2" t="s">
        <v>168</v>
      </c>
      <c r="J106" s="2" t="s">
        <v>169</v>
      </c>
      <c r="K106" s="2" t="s">
        <v>170</v>
      </c>
    </row>
    <row r="107" spans="1:13" x14ac:dyDescent="0.25">
      <c r="A107" s="2" t="s">
        <v>493</v>
      </c>
      <c r="B107" s="2" t="s">
        <v>73</v>
      </c>
      <c r="C107" s="2" t="s">
        <v>44</v>
      </c>
      <c r="D107" s="2" t="s">
        <v>494</v>
      </c>
      <c r="E107" s="2" t="s">
        <v>146</v>
      </c>
      <c r="F107" s="2">
        <v>6.3099998474121097</v>
      </c>
      <c r="G107" s="2">
        <v>20</v>
      </c>
      <c r="H107" s="2">
        <v>3500</v>
      </c>
      <c r="I107" s="2" t="s">
        <v>168</v>
      </c>
      <c r="J107" s="2" t="s">
        <v>169</v>
      </c>
      <c r="K107" s="2" t="s">
        <v>170</v>
      </c>
    </row>
    <row r="108" spans="1:13" x14ac:dyDescent="0.25">
      <c r="A108" s="2" t="s">
        <v>495</v>
      </c>
      <c r="B108" s="2" t="s">
        <v>73</v>
      </c>
      <c r="C108" s="2" t="s">
        <v>39</v>
      </c>
      <c r="D108" s="2" t="s">
        <v>496</v>
      </c>
      <c r="E108" s="2" t="s">
        <v>497</v>
      </c>
      <c r="F108" s="2">
        <v>4.8000001907348597</v>
      </c>
      <c r="G108" s="2">
        <v>1</v>
      </c>
      <c r="H108" s="2">
        <v>3500</v>
      </c>
      <c r="I108" s="2" t="s">
        <v>168</v>
      </c>
      <c r="J108" s="2" t="s">
        <v>170</v>
      </c>
      <c r="K108" s="2" t="s">
        <v>169</v>
      </c>
    </row>
    <row r="109" spans="1:13" x14ac:dyDescent="0.25">
      <c r="A109" s="2" t="s">
        <v>498</v>
      </c>
      <c r="B109" s="2" t="s">
        <v>73</v>
      </c>
      <c r="C109" s="2" t="s">
        <v>499</v>
      </c>
      <c r="D109" s="2" t="s">
        <v>500</v>
      </c>
      <c r="E109" s="2" t="s">
        <v>501</v>
      </c>
      <c r="F109" s="2">
        <v>4.6545455239035798</v>
      </c>
      <c r="G109" s="2">
        <v>11</v>
      </c>
      <c r="H109" s="2">
        <v>3500</v>
      </c>
      <c r="I109" s="2" t="s">
        <v>136</v>
      </c>
      <c r="J109" s="2" t="s">
        <v>137</v>
      </c>
      <c r="K109" s="2" t="s">
        <v>138</v>
      </c>
    </row>
    <row r="110" spans="1:13" x14ac:dyDescent="0.25">
      <c r="A110" s="2" t="s">
        <v>502</v>
      </c>
      <c r="B110" s="2" t="s">
        <v>73</v>
      </c>
      <c r="C110" s="2" t="s">
        <v>155</v>
      </c>
      <c r="D110" s="2" t="s">
        <v>503</v>
      </c>
      <c r="E110" s="2" t="s">
        <v>504</v>
      </c>
      <c r="F110" s="2">
        <v>3.1999999455043202</v>
      </c>
      <c r="G110" s="2">
        <v>14</v>
      </c>
      <c r="H110" s="2">
        <v>3500</v>
      </c>
      <c r="I110" s="2" t="s">
        <v>136</v>
      </c>
      <c r="J110" s="2" t="s">
        <v>137</v>
      </c>
      <c r="K110" s="2" t="s">
        <v>138</v>
      </c>
    </row>
    <row r="111" spans="1:13" x14ac:dyDescent="0.25">
      <c r="A111" s="2" t="s">
        <v>505</v>
      </c>
      <c r="B111" s="2" t="s">
        <v>73</v>
      </c>
      <c r="C111" s="2" t="s">
        <v>506</v>
      </c>
      <c r="D111" s="2" t="s">
        <v>507</v>
      </c>
      <c r="E111" s="2" t="s">
        <v>508</v>
      </c>
      <c r="F111" s="2">
        <v>5.71428571428571</v>
      </c>
      <c r="G111" s="2">
        <v>7</v>
      </c>
      <c r="H111" s="2">
        <v>3500</v>
      </c>
      <c r="I111" s="2" t="s">
        <v>127</v>
      </c>
      <c r="J111" s="2" t="s">
        <v>128</v>
      </c>
      <c r="K111" s="2" t="s">
        <v>129</v>
      </c>
    </row>
    <row r="112" spans="1:13" x14ac:dyDescent="0.25">
      <c r="A112" s="2" t="s">
        <v>509</v>
      </c>
      <c r="B112" s="2" t="s">
        <v>73</v>
      </c>
      <c r="C112" s="2" t="s">
        <v>49</v>
      </c>
      <c r="D112" s="2" t="s">
        <v>510</v>
      </c>
      <c r="E112" s="2" t="s">
        <v>511</v>
      </c>
      <c r="F112" s="2">
        <v>5.6923076923076898</v>
      </c>
      <c r="G112" s="2">
        <v>13</v>
      </c>
      <c r="H112" s="2">
        <v>3500</v>
      </c>
      <c r="I112" s="2" t="s">
        <v>168</v>
      </c>
      <c r="J112" s="2" t="s">
        <v>169</v>
      </c>
      <c r="K112" s="2" t="s">
        <v>170</v>
      </c>
    </row>
    <row r="113" spans="1:13" x14ac:dyDescent="0.25">
      <c r="A113" s="2" t="s">
        <v>512</v>
      </c>
      <c r="B113" s="2" t="s">
        <v>73</v>
      </c>
      <c r="C113" s="2" t="s">
        <v>25</v>
      </c>
      <c r="D113" s="2" t="s">
        <v>513</v>
      </c>
      <c r="E113" s="2" t="s">
        <v>514</v>
      </c>
      <c r="F113" s="2">
        <v>4.6545455239035798</v>
      </c>
      <c r="G113" s="2">
        <v>11</v>
      </c>
      <c r="H113" s="2">
        <v>3500</v>
      </c>
      <c r="I113" s="2" t="s">
        <v>136</v>
      </c>
      <c r="J113" s="2" t="s">
        <v>138</v>
      </c>
      <c r="K113" s="2" t="s">
        <v>137</v>
      </c>
    </row>
    <row r="114" spans="1:13" x14ac:dyDescent="0.25">
      <c r="A114" s="2" t="s">
        <v>515</v>
      </c>
      <c r="B114" s="2" t="s">
        <v>73</v>
      </c>
      <c r="C114" s="2" t="s">
        <v>88</v>
      </c>
      <c r="D114" s="2" t="s">
        <v>516</v>
      </c>
      <c r="E114" s="2" t="s">
        <v>111</v>
      </c>
      <c r="F114" s="2">
        <v>7.6</v>
      </c>
      <c r="G114" s="2">
        <v>20</v>
      </c>
      <c r="H114" s="2">
        <v>3500</v>
      </c>
      <c r="I114" s="2" t="s">
        <v>127</v>
      </c>
      <c r="J114" s="2" t="s">
        <v>128</v>
      </c>
      <c r="K114" s="2" t="s">
        <v>129</v>
      </c>
    </row>
    <row r="115" spans="1:13" x14ac:dyDescent="0.25">
      <c r="A115" s="2" t="s">
        <v>517</v>
      </c>
      <c r="B115" s="2" t="s">
        <v>73</v>
      </c>
      <c r="C115" s="2" t="s">
        <v>59</v>
      </c>
      <c r="D115" s="2" t="s">
        <v>518</v>
      </c>
      <c r="E115" s="2" t="s">
        <v>519</v>
      </c>
      <c r="F115" s="2">
        <v>6.5454545454545396</v>
      </c>
      <c r="G115" s="2">
        <v>11</v>
      </c>
      <c r="H115" s="2">
        <v>3500</v>
      </c>
      <c r="I115" s="2" t="s">
        <v>136</v>
      </c>
      <c r="J115" s="2" t="s">
        <v>138</v>
      </c>
      <c r="K115" s="2" t="s">
        <v>137</v>
      </c>
    </row>
    <row r="116" spans="1:13" x14ac:dyDescent="0.25">
      <c r="A116" s="2" t="s">
        <v>520</v>
      </c>
      <c r="B116" s="2" t="s">
        <v>73</v>
      </c>
      <c r="C116" s="2" t="s">
        <v>60</v>
      </c>
      <c r="D116" s="2" t="s">
        <v>521</v>
      </c>
      <c r="E116" s="2" t="s">
        <v>522</v>
      </c>
      <c r="F116" s="2">
        <v>4.4666668119884596</v>
      </c>
      <c r="G116" s="2">
        <v>21</v>
      </c>
      <c r="H116" s="2">
        <v>3500</v>
      </c>
      <c r="I116" s="2" t="s">
        <v>136</v>
      </c>
      <c r="J116" s="2" t="s">
        <v>138</v>
      </c>
      <c r="K116" s="2" t="s">
        <v>137</v>
      </c>
    </row>
    <row r="117" spans="1:13" x14ac:dyDescent="0.25">
      <c r="A117" s="2" t="s">
        <v>523</v>
      </c>
      <c r="B117" s="2" t="s">
        <v>71</v>
      </c>
      <c r="C117" s="2" t="s">
        <v>40</v>
      </c>
      <c r="D117" s="2" t="s">
        <v>524</v>
      </c>
      <c r="E117" s="2" t="s">
        <v>525</v>
      </c>
      <c r="F117" s="2">
        <v>7.1647060618680998</v>
      </c>
      <c r="G117" s="2">
        <v>17</v>
      </c>
      <c r="H117" s="2">
        <v>3500</v>
      </c>
      <c r="I117" s="2" t="s">
        <v>127</v>
      </c>
      <c r="J117" s="2" t="s">
        <v>128</v>
      </c>
      <c r="K117" s="2" t="s">
        <v>129</v>
      </c>
    </row>
    <row r="118" spans="1:13" x14ac:dyDescent="0.25">
      <c r="A118" s="2" t="s">
        <v>526</v>
      </c>
      <c r="B118" s="2" t="s">
        <v>73</v>
      </c>
      <c r="C118" s="2" t="s">
        <v>527</v>
      </c>
      <c r="D118" s="2" t="s">
        <v>528</v>
      </c>
      <c r="E118" s="2" t="s">
        <v>529</v>
      </c>
      <c r="F118" s="2">
        <v>3.20000004768371</v>
      </c>
      <c r="G118" s="2">
        <v>1</v>
      </c>
      <c r="H118" s="2">
        <v>3500</v>
      </c>
      <c r="I118" s="2" t="s">
        <v>168</v>
      </c>
      <c r="J118" s="2" t="s">
        <v>170</v>
      </c>
      <c r="K118" s="2" t="s">
        <v>169</v>
      </c>
    </row>
    <row r="119" spans="1:13" x14ac:dyDescent="0.25">
      <c r="A119" s="2" t="s">
        <v>530</v>
      </c>
      <c r="B119" s="2" t="s">
        <v>71</v>
      </c>
      <c r="C119" s="2" t="s">
        <v>531</v>
      </c>
      <c r="D119" s="2" t="s">
        <v>532</v>
      </c>
      <c r="E119" s="2" t="s">
        <v>533</v>
      </c>
      <c r="F119" s="2">
        <v>8.6099998474120998</v>
      </c>
      <c r="G119" s="2">
        <v>20</v>
      </c>
      <c r="H119" s="2">
        <v>3400</v>
      </c>
      <c r="I119" s="2" t="s">
        <v>136</v>
      </c>
      <c r="J119" s="2" t="s">
        <v>138</v>
      </c>
      <c r="K119" s="2" t="s">
        <v>137</v>
      </c>
    </row>
    <row r="120" spans="1:13" x14ac:dyDescent="0.25">
      <c r="A120" s="2" t="s">
        <v>534</v>
      </c>
      <c r="B120" s="2" t="s">
        <v>71</v>
      </c>
      <c r="C120" s="2" t="s">
        <v>72</v>
      </c>
      <c r="D120" s="2" t="s">
        <v>535</v>
      </c>
      <c r="E120" s="2" t="s">
        <v>536</v>
      </c>
      <c r="F120" s="2">
        <v>6.4249999999999998</v>
      </c>
      <c r="G120" s="2">
        <v>20</v>
      </c>
      <c r="H120" s="2">
        <v>3400</v>
      </c>
      <c r="I120" s="2" t="s">
        <v>127</v>
      </c>
      <c r="J120" s="2" t="s">
        <v>128</v>
      </c>
      <c r="K120" s="2" t="s">
        <v>129</v>
      </c>
    </row>
    <row r="121" spans="1:13" x14ac:dyDescent="0.25">
      <c r="A121" s="2" t="s">
        <v>537</v>
      </c>
      <c r="B121" s="2" t="s">
        <v>71</v>
      </c>
      <c r="C121" s="2" t="s">
        <v>538</v>
      </c>
      <c r="D121" s="2" t="s">
        <v>539</v>
      </c>
      <c r="E121" s="2" t="s">
        <v>21</v>
      </c>
      <c r="F121" s="2">
        <v>5.7777777777777697</v>
      </c>
      <c r="G121" s="2">
        <v>9</v>
      </c>
      <c r="H121" s="2">
        <v>3300</v>
      </c>
      <c r="I121" s="2" t="s">
        <v>136</v>
      </c>
      <c r="J121" s="2" t="s">
        <v>137</v>
      </c>
      <c r="K121" s="2" t="s">
        <v>138</v>
      </c>
    </row>
    <row r="122" spans="1:13" x14ac:dyDescent="0.25">
      <c r="A122" s="2" t="s">
        <v>540</v>
      </c>
      <c r="B122" s="2" t="s">
        <v>71</v>
      </c>
      <c r="C122" s="2" t="s">
        <v>541</v>
      </c>
      <c r="D122" s="2" t="s">
        <v>542</v>
      </c>
      <c r="E122" s="2" t="s">
        <v>543</v>
      </c>
      <c r="F122" s="2">
        <v>6.8800003051757797</v>
      </c>
      <c r="G122" s="2">
        <v>5</v>
      </c>
      <c r="H122" s="2">
        <v>3300</v>
      </c>
      <c r="I122" s="2" t="s">
        <v>127</v>
      </c>
      <c r="J122" s="2" t="s">
        <v>128</v>
      </c>
      <c r="K122" s="2" t="s">
        <v>129</v>
      </c>
    </row>
    <row r="123" spans="1:13" x14ac:dyDescent="0.25">
      <c r="A123" s="2" t="s">
        <v>544</v>
      </c>
      <c r="B123" s="2" t="s">
        <v>71</v>
      </c>
      <c r="C123" s="2" t="s">
        <v>63</v>
      </c>
      <c r="D123" s="2" t="s">
        <v>545</v>
      </c>
      <c r="E123" s="2" t="s">
        <v>546</v>
      </c>
      <c r="F123" s="2">
        <v>5.8000001907348597</v>
      </c>
      <c r="G123" s="2">
        <v>16</v>
      </c>
      <c r="H123" s="2">
        <v>3200</v>
      </c>
      <c r="I123" s="2" t="s">
        <v>168</v>
      </c>
      <c r="J123" s="2" t="s">
        <v>169</v>
      </c>
      <c r="K123" s="2" t="s">
        <v>170</v>
      </c>
    </row>
    <row r="124" spans="1:13" x14ac:dyDescent="0.25">
      <c r="A124" s="2" t="s">
        <v>547</v>
      </c>
      <c r="B124" s="2" t="s">
        <v>1</v>
      </c>
      <c r="C124" s="2" t="s">
        <v>25</v>
      </c>
      <c r="D124" s="2" t="s">
        <v>548</v>
      </c>
      <c r="E124" s="2" t="s">
        <v>549</v>
      </c>
      <c r="F124" s="2">
        <v>6</v>
      </c>
      <c r="G124" s="2">
        <v>20</v>
      </c>
      <c r="H124" s="2">
        <v>3200</v>
      </c>
      <c r="I124" s="2" t="s">
        <v>168</v>
      </c>
      <c r="J124" s="2" t="s">
        <v>169</v>
      </c>
      <c r="K124" s="2" t="s">
        <v>170</v>
      </c>
    </row>
    <row r="125" spans="1:13" x14ac:dyDescent="0.25">
      <c r="A125" s="2" t="s">
        <v>550</v>
      </c>
      <c r="B125" s="2" t="s">
        <v>71</v>
      </c>
      <c r="C125" s="2" t="s">
        <v>551</v>
      </c>
      <c r="D125" s="2" t="s">
        <v>552</v>
      </c>
      <c r="E125" s="2" t="s">
        <v>553</v>
      </c>
      <c r="F125" s="2">
        <v>5.6444443596733898</v>
      </c>
      <c r="G125" s="2">
        <v>18</v>
      </c>
      <c r="H125" s="2">
        <v>3200</v>
      </c>
      <c r="I125" s="2" t="s">
        <v>127</v>
      </c>
      <c r="J125" s="2" t="s">
        <v>129</v>
      </c>
      <c r="K125" s="2" t="s">
        <v>128</v>
      </c>
    </row>
    <row r="126" spans="1:13" x14ac:dyDescent="0.25">
      <c r="A126" s="2" t="s">
        <v>554</v>
      </c>
      <c r="B126" s="2" t="s">
        <v>71</v>
      </c>
      <c r="C126" s="2" t="s">
        <v>555</v>
      </c>
      <c r="D126" s="2" t="s">
        <v>556</v>
      </c>
      <c r="E126" s="2" t="s">
        <v>557</v>
      </c>
      <c r="F126" s="2">
        <v>3.70000004768371</v>
      </c>
      <c r="G126" s="2">
        <v>16</v>
      </c>
      <c r="H126" s="2">
        <v>3200</v>
      </c>
      <c r="I126" s="2" t="s">
        <v>136</v>
      </c>
      <c r="J126" s="2" t="s">
        <v>137</v>
      </c>
      <c r="K126" s="2" t="s">
        <v>138</v>
      </c>
    </row>
    <row r="127" spans="1:13" x14ac:dyDescent="0.25">
      <c r="A127" s="2" t="s">
        <v>558</v>
      </c>
      <c r="B127" s="2" t="s">
        <v>71</v>
      </c>
      <c r="C127" s="2" t="s">
        <v>559</v>
      </c>
      <c r="D127" s="2" t="s">
        <v>560</v>
      </c>
      <c r="E127" s="2" t="s">
        <v>561</v>
      </c>
      <c r="F127" s="2">
        <v>4.4000000000000004</v>
      </c>
      <c r="G127" s="2">
        <v>10</v>
      </c>
      <c r="H127" s="2">
        <v>3200</v>
      </c>
      <c r="I127" s="2" t="s">
        <v>127</v>
      </c>
      <c r="J127" s="2" t="s">
        <v>128</v>
      </c>
      <c r="K127" s="2" t="s">
        <v>129</v>
      </c>
      <c r="L127" s="2" t="s">
        <v>75</v>
      </c>
      <c r="M127" s="2" t="s">
        <v>53</v>
      </c>
    </row>
    <row r="128" spans="1:13" x14ac:dyDescent="0.25">
      <c r="A128" s="2" t="s">
        <v>562</v>
      </c>
      <c r="B128" s="2" t="s">
        <v>71</v>
      </c>
      <c r="C128" s="2" t="s">
        <v>85</v>
      </c>
      <c r="D128" s="2" t="s">
        <v>563</v>
      </c>
      <c r="E128" s="2" t="s">
        <v>564</v>
      </c>
      <c r="F128" s="2">
        <v>8.4</v>
      </c>
      <c r="G128" s="2">
        <v>20</v>
      </c>
      <c r="H128" s="2">
        <v>3200</v>
      </c>
      <c r="I128" s="2" t="s">
        <v>168</v>
      </c>
      <c r="J128" s="2" t="s">
        <v>169</v>
      </c>
      <c r="K128" s="2" t="s">
        <v>170</v>
      </c>
    </row>
    <row r="129" spans="1:13" x14ac:dyDescent="0.25">
      <c r="A129" s="2" t="s">
        <v>565</v>
      </c>
      <c r="B129" s="2" t="s">
        <v>71</v>
      </c>
      <c r="C129" s="2" t="s">
        <v>103</v>
      </c>
      <c r="D129" s="2" t="s">
        <v>566</v>
      </c>
      <c r="E129" s="2" t="s">
        <v>567</v>
      </c>
      <c r="F129" s="2">
        <v>3.3849998474121001</v>
      </c>
      <c r="G129" s="2">
        <v>20</v>
      </c>
      <c r="H129" s="2">
        <v>3200</v>
      </c>
      <c r="I129" s="2" t="s">
        <v>127</v>
      </c>
      <c r="J129" s="2" t="s">
        <v>128</v>
      </c>
      <c r="K129" s="2" t="s">
        <v>129</v>
      </c>
    </row>
    <row r="130" spans="1:13" x14ac:dyDescent="0.25">
      <c r="A130" s="2" t="s">
        <v>568</v>
      </c>
      <c r="B130" s="2" t="s">
        <v>1</v>
      </c>
      <c r="C130" s="2" t="s">
        <v>569</v>
      </c>
      <c r="D130" s="2" t="s">
        <v>570</v>
      </c>
      <c r="E130" s="2" t="s">
        <v>61</v>
      </c>
      <c r="F130" s="2">
        <v>2.23999996185302</v>
      </c>
      <c r="G130" s="2">
        <v>10</v>
      </c>
      <c r="H130" s="2">
        <v>3200</v>
      </c>
      <c r="I130" s="2" t="s">
        <v>136</v>
      </c>
      <c r="J130" s="2" t="s">
        <v>138</v>
      </c>
      <c r="K130" s="2" t="s">
        <v>137</v>
      </c>
    </row>
    <row r="131" spans="1:13" x14ac:dyDescent="0.25">
      <c r="A131" s="2" t="s">
        <v>571</v>
      </c>
      <c r="B131" s="2" t="s">
        <v>71</v>
      </c>
      <c r="C131" s="2" t="s">
        <v>98</v>
      </c>
      <c r="D131" s="2" t="s">
        <v>572</v>
      </c>
      <c r="E131" s="2" t="s">
        <v>84</v>
      </c>
      <c r="F131" s="2">
        <v>5.1157893130653704</v>
      </c>
      <c r="G131" s="2">
        <v>19</v>
      </c>
      <c r="H131" s="2">
        <v>3200</v>
      </c>
      <c r="I131" s="2" t="s">
        <v>168</v>
      </c>
      <c r="J131" s="2" t="s">
        <v>169</v>
      </c>
      <c r="K131" s="2" t="s">
        <v>170</v>
      </c>
    </row>
    <row r="132" spans="1:13" x14ac:dyDescent="0.25">
      <c r="A132" s="2" t="s">
        <v>573</v>
      </c>
      <c r="B132" s="2" t="s">
        <v>71</v>
      </c>
      <c r="C132" s="2" t="s">
        <v>574</v>
      </c>
      <c r="D132" s="2" t="s">
        <v>575</v>
      </c>
      <c r="E132" s="2" t="s">
        <v>576</v>
      </c>
      <c r="F132" s="2">
        <v>4.1411765603458104</v>
      </c>
      <c r="G132" s="2">
        <v>17</v>
      </c>
      <c r="H132" s="2">
        <v>3200</v>
      </c>
      <c r="I132" s="2" t="s">
        <v>168</v>
      </c>
      <c r="J132" s="2" t="s">
        <v>170</v>
      </c>
      <c r="K132" s="2" t="s">
        <v>169</v>
      </c>
    </row>
    <row r="133" spans="1:13" x14ac:dyDescent="0.25">
      <c r="A133" s="2" t="s">
        <v>577</v>
      </c>
      <c r="B133" s="2" t="s">
        <v>71</v>
      </c>
      <c r="C133" s="2" t="s">
        <v>92</v>
      </c>
      <c r="D133" s="2" t="s">
        <v>578</v>
      </c>
      <c r="E133" s="2" t="s">
        <v>579</v>
      </c>
      <c r="F133" s="2">
        <v>4.8799999237060501</v>
      </c>
      <c r="G133" s="2">
        <v>20</v>
      </c>
      <c r="H133" s="2">
        <v>3200</v>
      </c>
      <c r="I133" s="2" t="s">
        <v>136</v>
      </c>
      <c r="J133" s="2" t="s">
        <v>137</v>
      </c>
      <c r="K133" s="2" t="s">
        <v>138</v>
      </c>
    </row>
    <row r="134" spans="1:13" x14ac:dyDescent="0.25">
      <c r="A134" s="2" t="s">
        <v>580</v>
      </c>
      <c r="B134" s="2" t="s">
        <v>71</v>
      </c>
      <c r="C134" s="2" t="s">
        <v>56</v>
      </c>
      <c r="D134" s="2" t="s">
        <v>581</v>
      </c>
      <c r="E134" s="2" t="s">
        <v>582</v>
      </c>
      <c r="F134" s="2">
        <v>3.9111111958821598</v>
      </c>
      <c r="G134" s="2">
        <v>18</v>
      </c>
      <c r="H134" s="2">
        <v>3200</v>
      </c>
      <c r="I134" s="2" t="s">
        <v>168</v>
      </c>
      <c r="J134" s="2" t="s">
        <v>170</v>
      </c>
      <c r="K134" s="2" t="s">
        <v>169</v>
      </c>
    </row>
    <row r="135" spans="1:13" x14ac:dyDescent="0.25">
      <c r="A135" s="2" t="s">
        <v>583</v>
      </c>
      <c r="B135" s="2" t="s">
        <v>1</v>
      </c>
      <c r="C135" s="2" t="s">
        <v>584</v>
      </c>
      <c r="D135" s="2" t="s">
        <v>585</v>
      </c>
      <c r="E135" s="2" t="s">
        <v>586</v>
      </c>
      <c r="F135" s="2">
        <v>2.4615384615384599</v>
      </c>
      <c r="G135" s="2">
        <v>13</v>
      </c>
      <c r="H135" s="2">
        <v>3100</v>
      </c>
      <c r="I135" s="2" t="s">
        <v>168</v>
      </c>
      <c r="J135" s="2" t="s">
        <v>170</v>
      </c>
      <c r="K135" s="2" t="s">
        <v>169</v>
      </c>
    </row>
    <row r="136" spans="1:13" x14ac:dyDescent="0.25">
      <c r="A136" s="2" t="s">
        <v>587</v>
      </c>
      <c r="B136" s="2" t="s">
        <v>71</v>
      </c>
      <c r="C136" s="2" t="s">
        <v>109</v>
      </c>
      <c r="D136" s="2" t="s">
        <v>588</v>
      </c>
      <c r="E136" s="2" t="s">
        <v>97</v>
      </c>
      <c r="F136" s="2">
        <v>3.4666666666666601</v>
      </c>
      <c r="G136" s="2">
        <v>15</v>
      </c>
      <c r="H136" s="2">
        <v>3100</v>
      </c>
      <c r="I136" s="2" t="s">
        <v>136</v>
      </c>
      <c r="J136" s="2" t="s">
        <v>137</v>
      </c>
      <c r="K136" s="2" t="s">
        <v>138</v>
      </c>
    </row>
    <row r="137" spans="1:13" x14ac:dyDescent="0.25">
      <c r="A137" s="2" t="s">
        <v>589</v>
      </c>
      <c r="B137" s="2" t="s">
        <v>71</v>
      </c>
      <c r="C137" s="2" t="s">
        <v>22</v>
      </c>
      <c r="D137" s="2" t="s">
        <v>590</v>
      </c>
      <c r="E137" s="2" t="s">
        <v>591</v>
      </c>
      <c r="F137" s="2">
        <v>6.0529412662281699</v>
      </c>
      <c r="G137" s="2">
        <v>17</v>
      </c>
      <c r="H137" s="2">
        <v>3100</v>
      </c>
      <c r="I137" s="2" t="s">
        <v>168</v>
      </c>
      <c r="J137" s="2" t="s">
        <v>170</v>
      </c>
      <c r="K137" s="2" t="s">
        <v>169</v>
      </c>
      <c r="L137" s="2" t="s">
        <v>70</v>
      </c>
      <c r="M137" s="2" t="s">
        <v>81</v>
      </c>
    </row>
    <row r="138" spans="1:13" x14ac:dyDescent="0.25">
      <c r="A138" s="2" t="s">
        <v>592</v>
      </c>
      <c r="B138" s="2" t="s">
        <v>1</v>
      </c>
      <c r="C138" s="2" t="s">
        <v>49</v>
      </c>
      <c r="D138" s="2" t="s">
        <v>593</v>
      </c>
      <c r="E138" s="2" t="s">
        <v>594</v>
      </c>
      <c r="F138" s="2">
        <v>4.67333323160807</v>
      </c>
      <c r="G138" s="2">
        <v>15</v>
      </c>
      <c r="H138" s="2">
        <v>3100</v>
      </c>
      <c r="I138" s="2" t="s">
        <v>168</v>
      </c>
      <c r="J138" s="2" t="s">
        <v>169</v>
      </c>
      <c r="K138" s="2" t="s">
        <v>170</v>
      </c>
    </row>
    <row r="139" spans="1:13" x14ac:dyDescent="0.25">
      <c r="A139" s="2" t="s">
        <v>595</v>
      </c>
      <c r="B139" s="2" t="s">
        <v>71</v>
      </c>
      <c r="C139" s="2" t="s">
        <v>596</v>
      </c>
      <c r="D139" s="2" t="s">
        <v>597</v>
      </c>
      <c r="E139" s="2" t="s">
        <v>598</v>
      </c>
      <c r="F139" s="2">
        <v>5.6999999152289398</v>
      </c>
      <c r="G139" s="2">
        <v>9</v>
      </c>
      <c r="H139" s="2">
        <v>3100</v>
      </c>
      <c r="I139" s="2" t="s">
        <v>127</v>
      </c>
      <c r="J139" s="2" t="s">
        <v>128</v>
      </c>
      <c r="K139" s="2" t="s">
        <v>129</v>
      </c>
    </row>
    <row r="140" spans="1:13" x14ac:dyDescent="0.25">
      <c r="A140" s="2" t="s">
        <v>599</v>
      </c>
      <c r="B140" s="2" t="s">
        <v>71</v>
      </c>
      <c r="C140" s="2" t="s">
        <v>600</v>
      </c>
      <c r="D140" s="2" t="s">
        <v>601</v>
      </c>
      <c r="E140" s="2" t="s">
        <v>602</v>
      </c>
      <c r="F140" s="2">
        <v>1.5999999727521601</v>
      </c>
      <c r="G140" s="2">
        <v>7</v>
      </c>
      <c r="H140" s="2">
        <v>3100</v>
      </c>
      <c r="I140" s="2" t="s">
        <v>136</v>
      </c>
      <c r="J140" s="2" t="s">
        <v>138</v>
      </c>
      <c r="K140" s="2" t="s">
        <v>137</v>
      </c>
      <c r="L140" s="2" t="s">
        <v>75</v>
      </c>
      <c r="M140" s="2" t="s">
        <v>95</v>
      </c>
    </row>
    <row r="141" spans="1:13" x14ac:dyDescent="0.25">
      <c r="A141" s="2" t="s">
        <v>603</v>
      </c>
      <c r="B141" s="2" t="s">
        <v>71</v>
      </c>
      <c r="C141" s="2" t="s">
        <v>46</v>
      </c>
      <c r="D141" s="2" t="s">
        <v>604</v>
      </c>
      <c r="E141" s="2" t="s">
        <v>605</v>
      </c>
      <c r="F141" s="2">
        <v>5.3333333333333304</v>
      </c>
      <c r="G141" s="2">
        <v>18</v>
      </c>
      <c r="H141" s="2">
        <v>3100</v>
      </c>
      <c r="I141" s="2" t="s">
        <v>136</v>
      </c>
      <c r="J141" s="2" t="s">
        <v>137</v>
      </c>
      <c r="K141" s="2" t="s">
        <v>138</v>
      </c>
    </row>
    <row r="142" spans="1:13" x14ac:dyDescent="0.25">
      <c r="A142" s="2" t="s">
        <v>606</v>
      </c>
      <c r="B142" s="2" t="s">
        <v>71</v>
      </c>
      <c r="C142" s="2" t="s">
        <v>607</v>
      </c>
      <c r="D142" s="2" t="s">
        <v>608</v>
      </c>
      <c r="E142" s="2" t="s">
        <v>609</v>
      </c>
      <c r="F142" s="2">
        <v>4.0799999237060502</v>
      </c>
      <c r="G142" s="2">
        <v>20</v>
      </c>
      <c r="H142" s="2">
        <v>3100</v>
      </c>
      <c r="I142" s="2" t="s">
        <v>127</v>
      </c>
      <c r="J142" s="2" t="s">
        <v>129</v>
      </c>
      <c r="K142" s="2" t="s">
        <v>128</v>
      </c>
    </row>
    <row r="143" spans="1:13" x14ac:dyDescent="0.25">
      <c r="A143" s="2" t="s">
        <v>610</v>
      </c>
      <c r="B143" s="2" t="s">
        <v>1</v>
      </c>
      <c r="C143" s="2" t="s">
        <v>52</v>
      </c>
      <c r="D143" s="2" t="s">
        <v>611</v>
      </c>
      <c r="E143" s="2" t="s">
        <v>612</v>
      </c>
      <c r="F143" s="2">
        <v>5.7</v>
      </c>
      <c r="G143" s="2">
        <v>20</v>
      </c>
      <c r="H143" s="2">
        <v>3100</v>
      </c>
      <c r="I143" s="2" t="s">
        <v>168</v>
      </c>
      <c r="J143" s="2" t="s">
        <v>170</v>
      </c>
      <c r="K143" s="2" t="s">
        <v>169</v>
      </c>
    </row>
    <row r="144" spans="1:13" x14ac:dyDescent="0.25">
      <c r="A144" s="2" t="s">
        <v>613</v>
      </c>
      <c r="B144" s="2" t="s">
        <v>1</v>
      </c>
      <c r="C144" s="2" t="s">
        <v>614</v>
      </c>
      <c r="D144" s="2" t="s">
        <v>615</v>
      </c>
      <c r="E144" s="2" t="s">
        <v>616</v>
      </c>
      <c r="F144" s="2">
        <v>3.7052632382041502</v>
      </c>
      <c r="G144" s="2">
        <v>19</v>
      </c>
      <c r="H144" s="2">
        <v>3100</v>
      </c>
      <c r="I144" s="2" t="s">
        <v>127</v>
      </c>
      <c r="J144" s="2" t="s">
        <v>129</v>
      </c>
      <c r="K144" s="2" t="s">
        <v>128</v>
      </c>
    </row>
    <row r="145" spans="1:13" x14ac:dyDescent="0.25">
      <c r="A145" s="2" t="s">
        <v>617</v>
      </c>
      <c r="B145" s="2" t="s">
        <v>71</v>
      </c>
      <c r="C145" s="2" t="s">
        <v>303</v>
      </c>
      <c r="D145" s="2" t="s">
        <v>618</v>
      </c>
      <c r="E145" s="2" t="s">
        <v>619</v>
      </c>
      <c r="F145" s="2">
        <v>1.6000000635782801</v>
      </c>
      <c r="G145" s="2">
        <v>6</v>
      </c>
      <c r="H145" s="2">
        <v>3000</v>
      </c>
      <c r="I145" s="2" t="s">
        <v>127</v>
      </c>
      <c r="J145" s="2" t="s">
        <v>129</v>
      </c>
      <c r="K145" s="2" t="s">
        <v>128</v>
      </c>
    </row>
    <row r="146" spans="1:13" x14ac:dyDescent="0.25">
      <c r="A146" s="2" t="s">
        <v>620</v>
      </c>
      <c r="B146" s="2" t="s">
        <v>71</v>
      </c>
      <c r="C146" s="2" t="s">
        <v>621</v>
      </c>
      <c r="D146" s="2" t="s">
        <v>622</v>
      </c>
      <c r="E146" s="2" t="s">
        <v>623</v>
      </c>
      <c r="F146" s="2">
        <v>6.1256408691406197</v>
      </c>
      <c r="G146" s="2">
        <v>39</v>
      </c>
      <c r="H146" s="2">
        <v>3000</v>
      </c>
      <c r="I146" s="2" t="s">
        <v>168</v>
      </c>
      <c r="J146" s="2" t="s">
        <v>169</v>
      </c>
      <c r="K146" s="2" t="s">
        <v>170</v>
      </c>
    </row>
    <row r="147" spans="1:13" x14ac:dyDescent="0.25">
      <c r="A147" s="2" t="s">
        <v>624</v>
      </c>
      <c r="B147" s="2" t="s">
        <v>1</v>
      </c>
      <c r="C147" s="2" t="s">
        <v>625</v>
      </c>
      <c r="D147" s="2" t="s">
        <v>626</v>
      </c>
      <c r="E147" s="2" t="s">
        <v>627</v>
      </c>
      <c r="F147" s="2">
        <v>1.6000000238418499</v>
      </c>
      <c r="G147" s="2">
        <v>1</v>
      </c>
      <c r="H147" s="2">
        <v>3000</v>
      </c>
      <c r="I147" s="2" t="s">
        <v>127</v>
      </c>
      <c r="J147" s="2" t="s">
        <v>129</v>
      </c>
      <c r="K147" s="2" t="s">
        <v>128</v>
      </c>
    </row>
    <row r="148" spans="1:13" x14ac:dyDescent="0.25">
      <c r="A148" s="2" t="s">
        <v>628</v>
      </c>
      <c r="B148" s="2" t="s">
        <v>71</v>
      </c>
      <c r="C148" s="2" t="s">
        <v>51</v>
      </c>
      <c r="D148" s="2" t="s">
        <v>629</v>
      </c>
      <c r="E148" s="2" t="s">
        <v>630</v>
      </c>
      <c r="F148" s="2">
        <v>0.80000001192092896</v>
      </c>
      <c r="G148" s="2">
        <v>4</v>
      </c>
      <c r="H148" s="2">
        <v>3000</v>
      </c>
      <c r="I148" s="2" t="s">
        <v>136</v>
      </c>
      <c r="J148" s="2" t="s">
        <v>137</v>
      </c>
      <c r="K148" s="2" t="s">
        <v>138</v>
      </c>
    </row>
    <row r="149" spans="1:13" x14ac:dyDescent="0.25">
      <c r="A149" s="2" t="s">
        <v>631</v>
      </c>
      <c r="B149" s="2" t="s">
        <v>71</v>
      </c>
      <c r="C149" s="2" t="s">
        <v>86</v>
      </c>
      <c r="D149" s="2" t="s">
        <v>632</v>
      </c>
      <c r="E149" s="2" t="s">
        <v>633</v>
      </c>
      <c r="F149" s="2">
        <v>0.80000001192092896</v>
      </c>
      <c r="G149" s="2">
        <v>2</v>
      </c>
      <c r="H149" s="2">
        <v>3000</v>
      </c>
      <c r="I149" s="2" t="s">
        <v>136</v>
      </c>
      <c r="J149" s="2" t="s">
        <v>138</v>
      </c>
      <c r="K149" s="2" t="s">
        <v>137</v>
      </c>
      <c r="L149" s="2" t="s">
        <v>75</v>
      </c>
      <c r="M149" s="2" t="s">
        <v>19</v>
      </c>
    </row>
    <row r="150" spans="1:13" x14ac:dyDescent="0.25">
      <c r="A150" s="2" t="s">
        <v>634</v>
      </c>
      <c r="B150" s="2" t="s">
        <v>71</v>
      </c>
      <c r="C150" s="2" t="s">
        <v>40</v>
      </c>
      <c r="D150" s="2" t="s">
        <v>635</v>
      </c>
      <c r="E150" s="2" t="s">
        <v>636</v>
      </c>
      <c r="F150" s="2">
        <v>2.4000000953674299</v>
      </c>
      <c r="G150" s="2">
        <v>8</v>
      </c>
      <c r="H150" s="2">
        <v>3000</v>
      </c>
      <c r="I150" s="2" t="s">
        <v>136</v>
      </c>
      <c r="J150" s="2" t="s">
        <v>138</v>
      </c>
      <c r="K150" s="2" t="s">
        <v>137</v>
      </c>
    </row>
    <row r="151" spans="1:13" x14ac:dyDescent="0.25">
      <c r="A151" s="2" t="s">
        <v>637</v>
      </c>
      <c r="B151" s="2" t="s">
        <v>71</v>
      </c>
      <c r="C151" s="2" t="s">
        <v>100</v>
      </c>
      <c r="D151" s="2" t="s">
        <v>638</v>
      </c>
      <c r="E151" s="2" t="s">
        <v>639</v>
      </c>
      <c r="F151" s="2">
        <v>2.7428572518484899</v>
      </c>
      <c r="G151" s="2">
        <v>7</v>
      </c>
      <c r="H151" s="2">
        <v>3000</v>
      </c>
      <c r="I151" s="2" t="s">
        <v>127</v>
      </c>
      <c r="J151" s="2" t="s">
        <v>128</v>
      </c>
      <c r="K151" s="2" t="s">
        <v>129</v>
      </c>
    </row>
    <row r="152" spans="1:13" x14ac:dyDescent="0.25">
      <c r="A152" s="2" t="s">
        <v>640</v>
      </c>
      <c r="B152" s="2" t="s">
        <v>71</v>
      </c>
      <c r="C152" s="2" t="s">
        <v>40</v>
      </c>
      <c r="D152" s="2" t="s">
        <v>641</v>
      </c>
      <c r="E152" s="2" t="s">
        <v>642</v>
      </c>
      <c r="F152" s="2">
        <v>1.6799999237060499</v>
      </c>
      <c r="G152" s="2">
        <v>20</v>
      </c>
      <c r="H152" s="2">
        <v>3000</v>
      </c>
      <c r="I152" s="2" t="s">
        <v>168</v>
      </c>
      <c r="J152" s="2" t="s">
        <v>170</v>
      </c>
      <c r="K152" s="2" t="s">
        <v>169</v>
      </c>
    </row>
    <row r="153" spans="1:13" x14ac:dyDescent="0.25">
      <c r="A153" s="2" t="s">
        <v>643</v>
      </c>
      <c r="B153" s="2" t="s">
        <v>71</v>
      </c>
      <c r="C153" s="2" t="s">
        <v>42</v>
      </c>
      <c r="D153" s="2" t="s">
        <v>644</v>
      </c>
      <c r="E153" s="2" t="s">
        <v>645</v>
      </c>
      <c r="F153" s="2">
        <v>1.20000004768371</v>
      </c>
      <c r="G153" s="2">
        <v>4</v>
      </c>
      <c r="H153" s="2">
        <v>3000</v>
      </c>
      <c r="I153" s="2" t="s">
        <v>168</v>
      </c>
      <c r="J153" s="2" t="s">
        <v>170</v>
      </c>
      <c r="K153" s="2" t="s">
        <v>169</v>
      </c>
    </row>
    <row r="154" spans="1:13" x14ac:dyDescent="0.25">
      <c r="A154" s="2" t="s">
        <v>646</v>
      </c>
      <c r="B154" s="2" t="s">
        <v>71</v>
      </c>
      <c r="C154" s="2" t="s">
        <v>68</v>
      </c>
      <c r="D154" s="2" t="s">
        <v>647</v>
      </c>
      <c r="E154" s="2" t="s">
        <v>648</v>
      </c>
      <c r="F154" s="2">
        <v>5.7962266454156799</v>
      </c>
      <c r="G154" s="2">
        <v>53</v>
      </c>
      <c r="H154" s="2">
        <v>3000</v>
      </c>
      <c r="I154" s="2" t="s">
        <v>136</v>
      </c>
      <c r="J154" s="2" t="s">
        <v>137</v>
      </c>
      <c r="K154" s="2" t="s">
        <v>138</v>
      </c>
    </row>
    <row r="155" spans="1:13" x14ac:dyDescent="0.25">
      <c r="A155" s="2" t="s">
        <v>649</v>
      </c>
      <c r="B155" s="2" t="s">
        <v>71</v>
      </c>
      <c r="C155" s="2" t="s">
        <v>650</v>
      </c>
      <c r="D155" s="2" t="s">
        <v>651</v>
      </c>
      <c r="E155" s="2" t="s">
        <v>652</v>
      </c>
      <c r="F155" s="2">
        <v>5.71428571428571</v>
      </c>
      <c r="G155" s="2">
        <v>21</v>
      </c>
      <c r="H155" s="2">
        <v>3000</v>
      </c>
      <c r="I155" s="2" t="s">
        <v>127</v>
      </c>
      <c r="J155" s="2" t="s">
        <v>129</v>
      </c>
      <c r="K155" s="2" t="s">
        <v>128</v>
      </c>
    </row>
    <row r="156" spans="1:13" x14ac:dyDescent="0.25">
      <c r="A156" s="2" t="s">
        <v>653</v>
      </c>
      <c r="B156" s="2" t="s">
        <v>71</v>
      </c>
      <c r="C156" s="2" t="s">
        <v>654</v>
      </c>
      <c r="D156" s="2" t="s">
        <v>655</v>
      </c>
      <c r="E156" s="2" t="s">
        <v>656</v>
      </c>
      <c r="F156" s="2">
        <v>2.70000004768371</v>
      </c>
      <c r="G156" s="2">
        <v>16</v>
      </c>
      <c r="H156" s="2">
        <v>3000</v>
      </c>
      <c r="I156" s="2" t="s">
        <v>127</v>
      </c>
      <c r="J156" s="2" t="s">
        <v>128</v>
      </c>
      <c r="K156" s="2" t="s">
        <v>129</v>
      </c>
    </row>
    <row r="157" spans="1:13" x14ac:dyDescent="0.25">
      <c r="A157" s="2" t="s">
        <v>657</v>
      </c>
      <c r="B157" s="2" t="s">
        <v>71</v>
      </c>
      <c r="C157" s="2" t="s">
        <v>337</v>
      </c>
      <c r="D157" s="2" t="s">
        <v>658</v>
      </c>
      <c r="E157" s="2" t="s">
        <v>659</v>
      </c>
      <c r="F157" s="2">
        <v>1.6</v>
      </c>
      <c r="G157" s="2">
        <v>5</v>
      </c>
      <c r="H157" s="2">
        <v>3000</v>
      </c>
      <c r="I157" s="2" t="s">
        <v>136</v>
      </c>
      <c r="J157" s="2" t="s">
        <v>138</v>
      </c>
      <c r="K157" s="2" t="s">
        <v>137</v>
      </c>
    </row>
    <row r="158" spans="1:13" x14ac:dyDescent="0.25">
      <c r="A158" s="2" t="s">
        <v>660</v>
      </c>
      <c r="B158" s="2" t="s">
        <v>71</v>
      </c>
      <c r="C158" s="2" t="s">
        <v>661</v>
      </c>
      <c r="D158" s="2" t="s">
        <v>662</v>
      </c>
      <c r="E158" s="2" t="s">
        <v>663</v>
      </c>
      <c r="F158" s="2">
        <v>0</v>
      </c>
      <c r="G158" s="2">
        <v>2</v>
      </c>
      <c r="H158" s="2">
        <v>3000</v>
      </c>
      <c r="I158" s="2" t="s">
        <v>136</v>
      </c>
      <c r="J158" s="2" t="s">
        <v>138</v>
      </c>
      <c r="K158" s="2" t="s">
        <v>137</v>
      </c>
    </row>
    <row r="159" spans="1:13" x14ac:dyDescent="0.25">
      <c r="A159" s="2" t="s">
        <v>664</v>
      </c>
      <c r="B159" s="2" t="s">
        <v>71</v>
      </c>
      <c r="C159" s="2" t="s">
        <v>665</v>
      </c>
      <c r="D159" s="2" t="s">
        <v>666</v>
      </c>
      <c r="E159" s="2" t="s">
        <v>110</v>
      </c>
      <c r="F159" s="2">
        <v>1.86666663487752</v>
      </c>
      <c r="G159" s="2">
        <v>6</v>
      </c>
      <c r="H159" s="2">
        <v>3000</v>
      </c>
      <c r="I159" s="2" t="s">
        <v>127</v>
      </c>
      <c r="J159" s="2" t="s">
        <v>129</v>
      </c>
      <c r="K159" s="2" t="s">
        <v>128</v>
      </c>
    </row>
    <row r="160" spans="1:13" x14ac:dyDescent="0.25">
      <c r="A160" s="2" t="s">
        <v>667</v>
      </c>
      <c r="B160" s="2" t="s">
        <v>1</v>
      </c>
      <c r="C160" s="2" t="s">
        <v>43</v>
      </c>
      <c r="D160" s="2" t="s">
        <v>668</v>
      </c>
      <c r="E160" s="2" t="s">
        <v>669</v>
      </c>
      <c r="F160" s="2">
        <v>5.4095237368628997</v>
      </c>
      <c r="G160" s="2">
        <v>21</v>
      </c>
      <c r="H160" s="2">
        <v>3000</v>
      </c>
      <c r="I160" s="2" t="s">
        <v>127</v>
      </c>
      <c r="J160" s="2" t="s">
        <v>129</v>
      </c>
      <c r="K160" s="2" t="s">
        <v>128</v>
      </c>
    </row>
    <row r="161" spans="1:11" x14ac:dyDescent="0.25">
      <c r="A161" s="2" t="s">
        <v>670</v>
      </c>
      <c r="B161" s="2" t="s">
        <v>71</v>
      </c>
      <c r="C161" s="2" t="s">
        <v>38</v>
      </c>
      <c r="D161" s="2" t="s">
        <v>671</v>
      </c>
      <c r="E161" s="2" t="s">
        <v>672</v>
      </c>
      <c r="F161" s="2">
        <v>2.6666666666666599</v>
      </c>
      <c r="G161" s="2">
        <v>12</v>
      </c>
      <c r="H161" s="2">
        <v>3000</v>
      </c>
      <c r="I161" s="2" t="s">
        <v>127</v>
      </c>
      <c r="J161" s="2" t="s">
        <v>129</v>
      </c>
      <c r="K161" s="2" t="s">
        <v>128</v>
      </c>
    </row>
    <row r="162" spans="1:11" x14ac:dyDescent="0.25">
      <c r="A162" s="2" t="s">
        <v>673</v>
      </c>
      <c r="B162" s="2" t="s">
        <v>71</v>
      </c>
      <c r="C162" s="2" t="s">
        <v>57</v>
      </c>
      <c r="D162" s="2" t="s">
        <v>674</v>
      </c>
      <c r="E162" s="2" t="s">
        <v>675</v>
      </c>
      <c r="F162" s="2">
        <v>1.6000000635782801</v>
      </c>
      <c r="G162" s="2">
        <v>12</v>
      </c>
      <c r="H162" s="2">
        <v>3000</v>
      </c>
      <c r="I162" s="2" t="s">
        <v>136</v>
      </c>
      <c r="J162" s="2" t="s">
        <v>138</v>
      </c>
      <c r="K162" s="2" t="s">
        <v>137</v>
      </c>
    </row>
    <row r="163" spans="1:11" x14ac:dyDescent="0.25">
      <c r="A163" s="2" t="s">
        <v>676</v>
      </c>
      <c r="B163" s="2" t="s">
        <v>1</v>
      </c>
      <c r="C163" s="2" t="s">
        <v>91</v>
      </c>
      <c r="D163" s="2" t="s">
        <v>677</v>
      </c>
      <c r="E163" s="2" t="s">
        <v>105</v>
      </c>
      <c r="F163" s="2">
        <v>2</v>
      </c>
      <c r="G163" s="2">
        <v>4</v>
      </c>
      <c r="H163" s="2">
        <v>3000</v>
      </c>
      <c r="I163" s="2" t="s">
        <v>168</v>
      </c>
      <c r="J163" s="2" t="s">
        <v>169</v>
      </c>
      <c r="K163" s="2" t="s">
        <v>170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E11" sqref="E11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32.8554687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3" t="s">
        <v>15</v>
      </c>
      <c r="E2" s="43"/>
      <c r="F2" s="43"/>
      <c r="G2" s="43"/>
      <c r="H2" s="43"/>
      <c r="I2" s="43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4" t="s">
        <v>17</v>
      </c>
      <c r="E3" s="44"/>
      <c r="F3" s="44"/>
      <c r="G3" s="44"/>
      <c r="H3" s="44"/>
      <c r="I3" s="44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'Fanduel Basketball Solver'!O11</f>
        <v>67.792143449329018</v>
      </c>
      <c r="E15" s="36"/>
      <c r="F15" s="41" t="e">
        <f>'Fanduel Basketball Solver'!O17</f>
        <v>#N/A</v>
      </c>
      <c r="G15" s="40" t="e">
        <f>'Fanduel Basketball Solver'!O18</f>
        <v>#N/A</v>
      </c>
      <c r="H15" s="41" t="str">
        <f>'Fanduel Basketball Solver'!O19</f>
        <v>Jakub Voracek</v>
      </c>
      <c r="I15" s="40" t="str">
        <f>'Fanduel Basketball Solver'!O20</f>
        <v>Claude Giroux</v>
      </c>
      <c r="J15" s="41" t="str">
        <f>'Fanduel Basketball Solver'!O25</f>
        <v>Michal Neuvirth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'Fanduel Basketball Solver'!O8</f>
        <v>54100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str">
        <f>'Fanduel Basketball Solver'!O21</f>
        <v>Leon Draisaitl</v>
      </c>
      <c r="G17" s="41" t="str">
        <f>'Fanduel Basketball Solver'!O22</f>
        <v>Nikita Scherbak</v>
      </c>
      <c r="H17" s="40" t="str">
        <f>'Fanduel Basketball Solver'!O23</f>
        <v>David Schlemko</v>
      </c>
      <c r="I17" s="41" t="str">
        <f>'Fanduel Basketball Solver'!O24</f>
        <v>Robert Bortuzzo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print="0" autoFill="0" autoPict="0" macro="[0]!NextSet">
                <anchor moveWithCells="1" sizeWithCells="1">
                  <from>
                    <xdr:col>7</xdr:col>
                    <xdr:colOff>28575</xdr:colOff>
                    <xdr:row>7</xdr:row>
                    <xdr:rowOff>95250</xdr:rowOff>
                  </from>
                  <to>
                    <xdr:col>7</xdr:col>
                    <xdr:colOff>1066800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2"/>
  <sheetViews>
    <sheetView tabSelected="1" zoomScale="80" zoomScaleNormal="80" workbookViewId="0">
      <selection activeCell="J7" sqref="J7"/>
    </sheetView>
  </sheetViews>
  <sheetFormatPr defaultRowHeight="15" x14ac:dyDescent="0.25"/>
  <cols>
    <col min="1" max="2" width="14.140625" bestFit="1" customWidth="1"/>
    <col min="3" max="4" width="13.7109375" bestFit="1" customWidth="1"/>
    <col min="5" max="9" width="14.140625" bestFit="1" customWidth="1"/>
  </cols>
  <sheetData>
    <row r="1" spans="1:9" x14ac:dyDescent="0.25">
      <c r="A1" t="e">
        <f>'Fanduel Basketball Solver'!P17</f>
        <v>#N/A</v>
      </c>
      <c r="B1" t="e">
        <f>'Fanduel Basketball Solver'!P18</f>
        <v>#N/A</v>
      </c>
      <c r="C1">
        <f>'Fanduel Basketball Solver'!P19</f>
        <v>0</v>
      </c>
      <c r="D1">
        <f>'Fanduel Basketball Solver'!P20</f>
        <v>0</v>
      </c>
      <c r="E1">
        <f>'Fanduel Basketball Solver'!P21</f>
        <v>0</v>
      </c>
      <c r="F1">
        <f>'Fanduel Basketball Solver'!P22</f>
        <v>0</v>
      </c>
      <c r="G1">
        <f>'Fanduel Basketball Solver'!P23</f>
        <v>0</v>
      </c>
      <c r="H1">
        <f>'Fanduel Basketball Solver'!P24</f>
        <v>0</v>
      </c>
      <c r="I1">
        <f>'Fanduel Basketball Solver'!P25</f>
        <v>0</v>
      </c>
    </row>
    <row r="11" spans="1:9" x14ac:dyDescent="0.25">
      <c r="A11" s="2"/>
      <c r="B11" s="2"/>
      <c r="C11" s="2"/>
      <c r="D11" s="2"/>
      <c r="E11" s="2"/>
      <c r="F11" s="2"/>
      <c r="G11" s="2"/>
      <c r="H11" s="2"/>
      <c r="I11" s="2"/>
    </row>
    <row r="12" spans="1:9" x14ac:dyDescent="0.25">
      <c r="A12" s="2"/>
      <c r="B12" s="2"/>
      <c r="C12" s="2"/>
      <c r="D12" s="2"/>
      <c r="E12" s="2"/>
      <c r="F12" s="2"/>
      <c r="G12" s="2"/>
      <c r="H12" s="2"/>
      <c r="I12" s="2"/>
    </row>
  </sheetData>
  <pageMargins left="0.7" right="0.7" top="0.75" bottom="0.75" header="0.3" footer="0.3"/>
  <pageSetup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Hi">
                <anchor moveWithCells="1" sizeWithCells="1">
                  <from>
                    <xdr:col>1</xdr:col>
                    <xdr:colOff>361950</xdr:colOff>
                    <xdr:row>2</xdr:row>
                    <xdr:rowOff>28575</xdr:rowOff>
                  </from>
                  <to>
                    <xdr:col>5</xdr:col>
                    <xdr:colOff>638175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Fanduel Basketball Solver</vt:lpstr>
      <vt:lpstr>Fanduel</vt:lpstr>
      <vt:lpstr>Optimizer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dcterms:created xsi:type="dcterms:W3CDTF">2017-02-02T03:49:20Z</dcterms:created>
  <dcterms:modified xsi:type="dcterms:W3CDTF">2017-11-21T21:16:47Z</dcterms:modified>
</cp:coreProperties>
</file>