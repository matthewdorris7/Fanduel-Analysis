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College\Algorithms\"/>
    </mc:Choice>
  </mc:AlternateContent>
  <bookViews>
    <workbookView xWindow="0" yWindow="0" windowWidth="8550" windowHeight="7275" activeTab="1"/>
  </bookViews>
  <sheets>
    <sheet name="DraftKings Basketball  Solver" sheetId="2" r:id="rId1"/>
    <sheet name="Sheet1" sheetId="4" r:id="rId2"/>
    <sheet name="RawData" sheetId="5" r:id="rId3"/>
    <sheet name="Sheet2" sheetId="6" r:id="rId4"/>
    <sheet name="Sheet3" sheetId="7" r:id="rId5"/>
  </sheets>
  <definedNames>
    <definedName name="solver_adj" localSheetId="0" hidden="1">'DraftKings Basketball  Solver'!$C$2:$C$150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0" localSheetId="0" hidden="1">'DraftKings Basketball  Solver'!$P$4</definedName>
    <definedName name="solver_lhs1" localSheetId="0" hidden="1">'DraftKings Basketball  Solver'!$C$2:$C$150</definedName>
    <definedName name="solver_lhs10" localSheetId="0" hidden="1">'DraftKings Basketball  Solver'!$P$4</definedName>
    <definedName name="solver_lhs11" localSheetId="0" hidden="1">'DraftKings Basketball  Solver'!$P$7</definedName>
    <definedName name="solver_lhs12" localSheetId="0" hidden="1">'DraftKings Basketball  Solver'!$P$6</definedName>
    <definedName name="solver_lhs13" localSheetId="0" hidden="1">'DraftKings Basketball  Solver'!$P$7</definedName>
    <definedName name="solver_lhs14" localSheetId="0" hidden="1">'DraftKings Basketball  Solver'!#REF!</definedName>
    <definedName name="solver_lhs15" localSheetId="0" hidden="1">'DraftKings Basketball  Solver'!$P$7</definedName>
    <definedName name="solver_lhs16" localSheetId="0" hidden="1">'DraftKings Basketball  Solver'!$P$5</definedName>
    <definedName name="solver_lhs17" localSheetId="0" hidden="1">'DraftKings Basketball  Solver'!#REF!</definedName>
    <definedName name="solver_lhs2" localSheetId="0" hidden="1">'DraftKings Basketball  Solver'!$O$14</definedName>
    <definedName name="solver_lhs3" localSheetId="0" hidden="1">'DraftKings Basketball  Solver'!$O$6</definedName>
    <definedName name="solver_lhs4" localSheetId="0" hidden="1">'DraftKings Basketball  Solver'!$O$8</definedName>
    <definedName name="solver_lhs5" localSheetId="0" hidden="1">'DraftKings Basketball  Solver'!$P$2</definedName>
    <definedName name="solver_lhs6" localSheetId="0" hidden="1">'DraftKings Basketball  Solver'!$P$3</definedName>
    <definedName name="solver_lhs7" localSheetId="0" hidden="1">'DraftKings Basketball  Solver'!$P$4</definedName>
    <definedName name="solver_lhs8" localSheetId="0" hidden="1">'DraftKings Basketball  Solver'!$P$5</definedName>
    <definedName name="solver_lhs9" localSheetId="0" hidden="1">'DraftKings Basketball  Solver'!$P$4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0" hidden="1">8</definedName>
    <definedName name="solver_num" localSheetId="1" hidden="1">0</definedName>
    <definedName name="solver_nwt" localSheetId="0" hidden="1">1</definedName>
    <definedName name="solver_opt" localSheetId="0" hidden="1">'DraftKings Basketball  Solver'!$O$11</definedName>
    <definedName name="solver_opt" localSheetId="1" hidden="1">Sheet1!$D$15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5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1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1</definedName>
    <definedName name="solver_rhs0" localSheetId="0" hidden="1">'DraftKings Basketball  Solver'!$O$4</definedName>
    <definedName name="solver_rhs1" localSheetId="0" hidden="1">binary</definedName>
    <definedName name="solver_rhs10" localSheetId="0" hidden="1">'DraftKings Basketball  Solver'!$O$4</definedName>
    <definedName name="solver_rhs11" localSheetId="0" hidden="1">'DraftKings Basketball  Solver'!$O$7</definedName>
    <definedName name="solver_rhs12" localSheetId="0" hidden="1">'DraftKings Basketball  Solver'!$O$6</definedName>
    <definedName name="solver_rhs13" localSheetId="0" hidden="1">'DraftKings Basketball  Solver'!#REF!</definedName>
    <definedName name="solver_rhs14" localSheetId="0" hidden="1">'DraftKings Basketball  Solver'!#REF!</definedName>
    <definedName name="solver_rhs15" localSheetId="0" hidden="1">'DraftKings Basketball  Solver'!#REF!</definedName>
    <definedName name="solver_rhs16" localSheetId="0" hidden="1">'DraftKings Basketball  Solver'!$O$5</definedName>
    <definedName name="solver_rhs17" localSheetId="0" hidden="1">'DraftKings Basketball  Solver'!#REF!</definedName>
    <definedName name="solver_rhs2" localSheetId="0" hidden="1">'DraftKings Basketball  Solver'!$O$13</definedName>
    <definedName name="solver_rhs3" localSheetId="0" hidden="1">'DraftKings Basketball  Solver'!$P$6</definedName>
    <definedName name="solver_rhs4" localSheetId="0" hidden="1">'DraftKings Basketball  Solver'!$O$9</definedName>
    <definedName name="solver_rhs5" localSheetId="0" hidden="1">'DraftKings Basketball  Solver'!$O$2</definedName>
    <definedName name="solver_rhs6" localSheetId="0" hidden="1">'DraftKings Basketball  Solver'!$O$3</definedName>
    <definedName name="solver_rhs7" localSheetId="0" hidden="1">'DraftKings Basketball  Solver'!$O$4</definedName>
    <definedName name="solver_rhs8" localSheetId="0" hidden="1">'DraftKings Basketball  Solver'!$O$5</definedName>
    <definedName name="solver_rhs9" localSheetId="0" hidden="1">'DraftKings Basketball  Solver'!$O$4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71027"/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2" i="2"/>
  <c r="N3" i="5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2" i="5"/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2" i="2"/>
  <c r="M101" i="2" l="1"/>
  <c r="G101" i="2"/>
  <c r="M100" i="2"/>
  <c r="G100" i="2"/>
  <c r="M99" i="2"/>
  <c r="G99" i="2"/>
  <c r="M98" i="2"/>
  <c r="G98" i="2"/>
  <c r="M97" i="2"/>
  <c r="G97" i="2"/>
  <c r="M96" i="2"/>
  <c r="G96" i="2"/>
  <c r="M95" i="2"/>
  <c r="G95" i="2"/>
  <c r="M94" i="2"/>
  <c r="G94" i="2"/>
  <c r="M93" i="2"/>
  <c r="G93" i="2"/>
  <c r="M92" i="2"/>
  <c r="G92" i="2"/>
  <c r="M91" i="2"/>
  <c r="G91" i="2"/>
  <c r="M90" i="2"/>
  <c r="G90" i="2"/>
  <c r="M89" i="2"/>
  <c r="G89" i="2"/>
  <c r="M88" i="2"/>
  <c r="G88" i="2"/>
  <c r="M87" i="2"/>
  <c r="G87" i="2"/>
  <c r="M86" i="2"/>
  <c r="G86" i="2"/>
  <c r="M85" i="2"/>
  <c r="G85" i="2"/>
  <c r="M84" i="2"/>
  <c r="G84" i="2"/>
  <c r="M83" i="2"/>
  <c r="G83" i="2"/>
  <c r="M82" i="2"/>
  <c r="G82" i="2"/>
  <c r="M81" i="2"/>
  <c r="G81" i="2"/>
  <c r="M80" i="2"/>
  <c r="G80" i="2"/>
  <c r="M79" i="2"/>
  <c r="G79" i="2"/>
  <c r="M78" i="2"/>
  <c r="G78" i="2"/>
  <c r="M77" i="2"/>
  <c r="G77" i="2"/>
  <c r="M76" i="2"/>
  <c r="G76" i="2"/>
  <c r="M75" i="2"/>
  <c r="G75" i="2"/>
  <c r="M74" i="2"/>
  <c r="G74" i="2"/>
  <c r="M73" i="2"/>
  <c r="G73" i="2"/>
  <c r="M72" i="2"/>
  <c r="G72" i="2"/>
  <c r="M71" i="2"/>
  <c r="G71" i="2"/>
  <c r="M70" i="2"/>
  <c r="G70" i="2"/>
  <c r="M69" i="2"/>
  <c r="G69" i="2"/>
  <c r="M68" i="2"/>
  <c r="G68" i="2"/>
  <c r="M67" i="2"/>
  <c r="G67" i="2"/>
  <c r="M66" i="2"/>
  <c r="G66" i="2"/>
  <c r="M65" i="2"/>
  <c r="G65" i="2"/>
  <c r="M64" i="2"/>
  <c r="G64" i="2"/>
  <c r="M63" i="2"/>
  <c r="G63" i="2"/>
  <c r="M62" i="2"/>
  <c r="G62" i="2"/>
  <c r="M61" i="2"/>
  <c r="G61" i="2"/>
  <c r="M60" i="2"/>
  <c r="G60" i="2"/>
  <c r="M59" i="2"/>
  <c r="G59" i="2"/>
  <c r="M58" i="2"/>
  <c r="G58" i="2"/>
  <c r="M57" i="2"/>
  <c r="G57" i="2"/>
  <c r="M56" i="2"/>
  <c r="G56" i="2"/>
  <c r="M55" i="2"/>
  <c r="G55" i="2"/>
  <c r="M54" i="2"/>
  <c r="G54" i="2"/>
  <c r="M53" i="2"/>
  <c r="G53" i="2"/>
  <c r="M52" i="2"/>
  <c r="G52" i="2"/>
  <c r="M51" i="2"/>
  <c r="G51" i="2"/>
  <c r="M50" i="2"/>
  <c r="G50" i="2"/>
  <c r="M49" i="2"/>
  <c r="G49" i="2"/>
  <c r="M48" i="2"/>
  <c r="G48" i="2"/>
  <c r="M47" i="2"/>
  <c r="G47" i="2"/>
  <c r="M46" i="2"/>
  <c r="G46" i="2"/>
  <c r="M45" i="2"/>
  <c r="G45" i="2"/>
  <c r="M44" i="2"/>
  <c r="G44" i="2"/>
  <c r="M43" i="2"/>
  <c r="G43" i="2"/>
  <c r="M42" i="2"/>
  <c r="G42" i="2"/>
  <c r="M41" i="2"/>
  <c r="G41" i="2"/>
  <c r="M40" i="2"/>
  <c r="G40" i="2"/>
  <c r="M39" i="2"/>
  <c r="G39" i="2"/>
  <c r="M38" i="2"/>
  <c r="G38" i="2"/>
  <c r="M37" i="2"/>
  <c r="G37" i="2"/>
  <c r="M36" i="2"/>
  <c r="G36" i="2"/>
  <c r="M35" i="2"/>
  <c r="G35" i="2"/>
  <c r="M34" i="2"/>
  <c r="G34" i="2"/>
  <c r="M33" i="2"/>
  <c r="G33" i="2"/>
  <c r="M32" i="2"/>
  <c r="G32" i="2"/>
  <c r="M31" i="2"/>
  <c r="G31" i="2"/>
  <c r="M30" i="2"/>
  <c r="G30" i="2"/>
  <c r="M29" i="2"/>
  <c r="G29" i="2"/>
  <c r="M28" i="2"/>
  <c r="G28" i="2"/>
  <c r="M27" i="2"/>
  <c r="G27" i="2"/>
  <c r="M26" i="2"/>
  <c r="G26" i="2"/>
  <c r="M25" i="2"/>
  <c r="G25" i="2"/>
  <c r="M24" i="2"/>
  <c r="G24" i="2"/>
  <c r="M23" i="2"/>
  <c r="G23" i="2"/>
  <c r="M22" i="2"/>
  <c r="G22" i="2"/>
  <c r="M21" i="2"/>
  <c r="G21" i="2"/>
  <c r="M20" i="2"/>
  <c r="G20" i="2"/>
  <c r="M19" i="2"/>
  <c r="G19" i="2"/>
  <c r="M18" i="2"/>
  <c r="G18" i="2"/>
  <c r="M17" i="2"/>
  <c r="G17" i="2"/>
  <c r="M16" i="2"/>
  <c r="G16" i="2"/>
  <c r="M15" i="2"/>
  <c r="G15" i="2"/>
  <c r="O14" i="2"/>
  <c r="M14" i="2"/>
  <c r="G14" i="2"/>
  <c r="M13" i="2"/>
  <c r="G13" i="2"/>
  <c r="M12" i="2"/>
  <c r="G12" i="2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2" i="2"/>
  <c r="M3" i="2"/>
  <c r="M4" i="2"/>
  <c r="M5" i="2"/>
  <c r="M6" i="2"/>
  <c r="M7" i="2"/>
  <c r="M8" i="2"/>
  <c r="M9" i="2"/>
  <c r="M10" i="2"/>
  <c r="M11" i="2"/>
  <c r="M2" i="2"/>
  <c r="G3" i="2"/>
  <c r="G4" i="2"/>
  <c r="G5" i="2"/>
  <c r="G6" i="2"/>
  <c r="G7" i="2"/>
  <c r="G8" i="2"/>
  <c r="G9" i="2"/>
  <c r="G10" i="2"/>
  <c r="G11" i="2"/>
  <c r="G2" i="2"/>
  <c r="I94" i="2" l="1"/>
  <c r="J94" i="2"/>
  <c r="K94" i="2"/>
  <c r="L94" i="2"/>
  <c r="H94" i="2"/>
  <c r="I90" i="2"/>
  <c r="J90" i="2"/>
  <c r="K90" i="2"/>
  <c r="L90" i="2"/>
  <c r="H90" i="2"/>
  <c r="I82" i="2"/>
  <c r="J82" i="2"/>
  <c r="K82" i="2"/>
  <c r="L82" i="2"/>
  <c r="H82" i="2"/>
  <c r="I74" i="2"/>
  <c r="J74" i="2"/>
  <c r="K74" i="2"/>
  <c r="L74" i="2"/>
  <c r="H74" i="2"/>
  <c r="I66" i="2"/>
  <c r="K66" i="2"/>
  <c r="L66" i="2"/>
  <c r="J66" i="2"/>
  <c r="H66" i="2"/>
  <c r="I54" i="2"/>
  <c r="K54" i="2"/>
  <c r="L54" i="2"/>
  <c r="J54" i="2"/>
  <c r="H54" i="2"/>
  <c r="I50" i="2"/>
  <c r="K50" i="2"/>
  <c r="L50" i="2"/>
  <c r="J50" i="2"/>
  <c r="H50" i="2"/>
  <c r="I42" i="2"/>
  <c r="K42" i="2"/>
  <c r="L42" i="2"/>
  <c r="J42" i="2"/>
  <c r="H42" i="2"/>
  <c r="I34" i="2"/>
  <c r="K34" i="2"/>
  <c r="L34" i="2"/>
  <c r="J34" i="2"/>
  <c r="H34" i="2"/>
  <c r="I26" i="2"/>
  <c r="K26" i="2"/>
  <c r="L26" i="2"/>
  <c r="J26" i="2"/>
  <c r="H26" i="2"/>
  <c r="J18" i="2"/>
  <c r="I18" i="2"/>
  <c r="L18" i="2"/>
  <c r="K18" i="2"/>
  <c r="H18" i="2"/>
  <c r="I97" i="2"/>
  <c r="H97" i="2"/>
  <c r="J97" i="2"/>
  <c r="K97" i="2"/>
  <c r="L97" i="2"/>
  <c r="I89" i="2"/>
  <c r="H89" i="2"/>
  <c r="J89" i="2"/>
  <c r="K89" i="2"/>
  <c r="L89" i="2"/>
  <c r="I81" i="2"/>
  <c r="H81" i="2"/>
  <c r="J81" i="2"/>
  <c r="K81" i="2"/>
  <c r="L81" i="2"/>
  <c r="I69" i="2"/>
  <c r="H69" i="2"/>
  <c r="J69" i="2"/>
  <c r="L69" i="2"/>
  <c r="K69" i="2"/>
  <c r="I65" i="2"/>
  <c r="J65" i="2"/>
  <c r="H65" i="2"/>
  <c r="L65" i="2"/>
  <c r="K65" i="2"/>
  <c r="I57" i="2"/>
  <c r="J57" i="2"/>
  <c r="H57" i="2"/>
  <c r="L57" i="2"/>
  <c r="K57" i="2"/>
  <c r="I49" i="2"/>
  <c r="J49" i="2"/>
  <c r="H49" i="2"/>
  <c r="L49" i="2"/>
  <c r="K49" i="2"/>
  <c r="I41" i="2"/>
  <c r="J41" i="2"/>
  <c r="H41" i="2"/>
  <c r="L41" i="2"/>
  <c r="K41" i="2"/>
  <c r="I33" i="2"/>
  <c r="J33" i="2"/>
  <c r="H33" i="2"/>
  <c r="L33" i="2"/>
  <c r="K33" i="2"/>
  <c r="I25" i="2"/>
  <c r="J25" i="2"/>
  <c r="H25" i="2"/>
  <c r="L25" i="2"/>
  <c r="K25" i="2"/>
  <c r="J17" i="2"/>
  <c r="I17" i="2"/>
  <c r="K17" i="2"/>
  <c r="H17" i="2"/>
  <c r="L17" i="2"/>
  <c r="I100" i="2"/>
  <c r="L100" i="2"/>
  <c r="H100" i="2"/>
  <c r="K100" i="2"/>
  <c r="J100" i="2"/>
  <c r="I96" i="2"/>
  <c r="L96" i="2"/>
  <c r="H96" i="2"/>
  <c r="K96" i="2"/>
  <c r="J96" i="2"/>
  <c r="I92" i="2"/>
  <c r="L92" i="2"/>
  <c r="H92" i="2"/>
  <c r="K92" i="2"/>
  <c r="J92" i="2"/>
  <c r="I88" i="2"/>
  <c r="L88" i="2"/>
  <c r="H88" i="2"/>
  <c r="K88" i="2"/>
  <c r="J88" i="2"/>
  <c r="I84" i="2"/>
  <c r="L84" i="2"/>
  <c r="H84" i="2"/>
  <c r="K84" i="2"/>
  <c r="J84" i="2"/>
  <c r="I80" i="2"/>
  <c r="L80" i="2"/>
  <c r="H80" i="2"/>
  <c r="K80" i="2"/>
  <c r="J80" i="2"/>
  <c r="I76" i="2"/>
  <c r="L76" i="2"/>
  <c r="H76" i="2"/>
  <c r="K76" i="2"/>
  <c r="J76" i="2"/>
  <c r="I72" i="2"/>
  <c r="L72" i="2"/>
  <c r="H72" i="2"/>
  <c r="K72" i="2"/>
  <c r="J72" i="2"/>
  <c r="I68" i="2"/>
  <c r="L68" i="2"/>
  <c r="H68" i="2"/>
  <c r="K68" i="2"/>
  <c r="J68" i="2"/>
  <c r="I64" i="2"/>
  <c r="H64" i="2"/>
  <c r="L64" i="2"/>
  <c r="K64" i="2"/>
  <c r="J64" i="2"/>
  <c r="I60" i="2"/>
  <c r="H60" i="2"/>
  <c r="L60" i="2"/>
  <c r="K60" i="2"/>
  <c r="J60" i="2"/>
  <c r="I56" i="2"/>
  <c r="H56" i="2"/>
  <c r="L56" i="2"/>
  <c r="K56" i="2"/>
  <c r="J56" i="2"/>
  <c r="I52" i="2"/>
  <c r="H52" i="2"/>
  <c r="L52" i="2"/>
  <c r="K52" i="2"/>
  <c r="J52" i="2"/>
  <c r="I48" i="2"/>
  <c r="H48" i="2"/>
  <c r="L48" i="2"/>
  <c r="K48" i="2"/>
  <c r="J48" i="2"/>
  <c r="I44" i="2"/>
  <c r="H44" i="2"/>
  <c r="L44" i="2"/>
  <c r="K44" i="2"/>
  <c r="J44" i="2"/>
  <c r="I40" i="2"/>
  <c r="H40" i="2"/>
  <c r="L40" i="2"/>
  <c r="K40" i="2"/>
  <c r="J40" i="2"/>
  <c r="I36" i="2"/>
  <c r="H36" i="2"/>
  <c r="L36" i="2"/>
  <c r="K36" i="2"/>
  <c r="J36" i="2"/>
  <c r="I32" i="2"/>
  <c r="H32" i="2"/>
  <c r="L32" i="2"/>
  <c r="K32" i="2"/>
  <c r="J32" i="2"/>
  <c r="I28" i="2"/>
  <c r="H28" i="2"/>
  <c r="L28" i="2"/>
  <c r="K28" i="2"/>
  <c r="J28" i="2"/>
  <c r="I24" i="2"/>
  <c r="H24" i="2"/>
  <c r="L24" i="2"/>
  <c r="K24" i="2"/>
  <c r="J24" i="2"/>
  <c r="L20" i="2"/>
  <c r="H20" i="2"/>
  <c r="I20" i="2"/>
  <c r="K20" i="2"/>
  <c r="J20" i="2"/>
  <c r="J16" i="2"/>
  <c r="I16" i="2"/>
  <c r="L16" i="2"/>
  <c r="K16" i="2"/>
  <c r="H16" i="2"/>
  <c r="K12" i="2"/>
  <c r="J12" i="2"/>
  <c r="L12" i="2"/>
  <c r="I12" i="2"/>
  <c r="H12" i="2"/>
  <c r="I98" i="2"/>
  <c r="J98" i="2"/>
  <c r="K98" i="2"/>
  <c r="L98" i="2"/>
  <c r="H98" i="2"/>
  <c r="I86" i="2"/>
  <c r="J86" i="2"/>
  <c r="K86" i="2"/>
  <c r="L86" i="2"/>
  <c r="H86" i="2"/>
  <c r="I78" i="2"/>
  <c r="J78" i="2"/>
  <c r="K78" i="2"/>
  <c r="L78" i="2"/>
  <c r="H78" i="2"/>
  <c r="I70" i="2"/>
  <c r="J70" i="2"/>
  <c r="K70" i="2"/>
  <c r="L70" i="2"/>
  <c r="H70" i="2"/>
  <c r="I62" i="2"/>
  <c r="K62" i="2"/>
  <c r="L62" i="2"/>
  <c r="J62" i="2"/>
  <c r="H62" i="2"/>
  <c r="I58" i="2"/>
  <c r="K58" i="2"/>
  <c r="L58" i="2"/>
  <c r="J58" i="2"/>
  <c r="H58" i="2"/>
  <c r="I46" i="2"/>
  <c r="K46" i="2"/>
  <c r="L46" i="2"/>
  <c r="J46" i="2"/>
  <c r="H46" i="2"/>
  <c r="I38" i="2"/>
  <c r="K38" i="2"/>
  <c r="L38" i="2"/>
  <c r="J38" i="2"/>
  <c r="H38" i="2"/>
  <c r="I30" i="2"/>
  <c r="K30" i="2"/>
  <c r="L30" i="2"/>
  <c r="J30" i="2"/>
  <c r="H30" i="2"/>
  <c r="L22" i="2"/>
  <c r="H22" i="2"/>
  <c r="I22" i="2"/>
  <c r="J22" i="2"/>
  <c r="K22" i="2"/>
  <c r="K14" i="2"/>
  <c r="J14" i="2"/>
  <c r="I14" i="2"/>
  <c r="H14" i="2"/>
  <c r="L14" i="2"/>
  <c r="I101" i="2"/>
  <c r="H101" i="2"/>
  <c r="J101" i="2"/>
  <c r="K101" i="2"/>
  <c r="L101" i="2"/>
  <c r="I93" i="2"/>
  <c r="H93" i="2"/>
  <c r="J93" i="2"/>
  <c r="K93" i="2"/>
  <c r="L93" i="2"/>
  <c r="I85" i="2"/>
  <c r="H85" i="2"/>
  <c r="J85" i="2"/>
  <c r="K85" i="2"/>
  <c r="L85" i="2"/>
  <c r="I77" i="2"/>
  <c r="H77" i="2"/>
  <c r="J77" i="2"/>
  <c r="L77" i="2"/>
  <c r="K77" i="2"/>
  <c r="I73" i="2"/>
  <c r="H73" i="2"/>
  <c r="J73" i="2"/>
  <c r="L73" i="2"/>
  <c r="K73" i="2"/>
  <c r="I61" i="2"/>
  <c r="J61" i="2"/>
  <c r="H61" i="2"/>
  <c r="L61" i="2"/>
  <c r="K61" i="2"/>
  <c r="I53" i="2"/>
  <c r="J53" i="2"/>
  <c r="H53" i="2"/>
  <c r="L53" i="2"/>
  <c r="K53" i="2"/>
  <c r="I45" i="2"/>
  <c r="J45" i="2"/>
  <c r="H45" i="2"/>
  <c r="L45" i="2"/>
  <c r="K45" i="2"/>
  <c r="I37" i="2"/>
  <c r="J37" i="2"/>
  <c r="H37" i="2"/>
  <c r="L37" i="2"/>
  <c r="K37" i="2"/>
  <c r="I29" i="2"/>
  <c r="J29" i="2"/>
  <c r="H29" i="2"/>
  <c r="L29" i="2"/>
  <c r="K29" i="2"/>
  <c r="L21" i="2"/>
  <c r="H21" i="2"/>
  <c r="K21" i="2"/>
  <c r="J21" i="2"/>
  <c r="I21" i="2"/>
  <c r="K13" i="2"/>
  <c r="J13" i="2"/>
  <c r="L13" i="2"/>
  <c r="I13" i="2"/>
  <c r="H13" i="2"/>
  <c r="I99" i="2"/>
  <c r="K99" i="2"/>
  <c r="L99" i="2"/>
  <c r="H99" i="2"/>
  <c r="J99" i="2"/>
  <c r="I95" i="2"/>
  <c r="K95" i="2"/>
  <c r="L95" i="2"/>
  <c r="H95" i="2"/>
  <c r="J95" i="2"/>
  <c r="I91" i="2"/>
  <c r="K91" i="2"/>
  <c r="L91" i="2"/>
  <c r="H91" i="2"/>
  <c r="J91" i="2"/>
  <c r="I87" i="2"/>
  <c r="K87" i="2"/>
  <c r="L87" i="2"/>
  <c r="H87" i="2"/>
  <c r="J87" i="2"/>
  <c r="I83" i="2"/>
  <c r="K83" i="2"/>
  <c r="L83" i="2"/>
  <c r="H83" i="2"/>
  <c r="J83" i="2"/>
  <c r="I79" i="2"/>
  <c r="K79" i="2"/>
  <c r="L79" i="2"/>
  <c r="H79" i="2"/>
  <c r="J79" i="2"/>
  <c r="I75" i="2"/>
  <c r="K75" i="2"/>
  <c r="L75" i="2"/>
  <c r="H75" i="2"/>
  <c r="J75" i="2"/>
  <c r="I71" i="2"/>
  <c r="K71" i="2"/>
  <c r="L71" i="2"/>
  <c r="H71" i="2"/>
  <c r="J71" i="2"/>
  <c r="I67" i="2"/>
  <c r="K67" i="2"/>
  <c r="L67" i="2"/>
  <c r="H67" i="2"/>
  <c r="J67" i="2"/>
  <c r="I63" i="2"/>
  <c r="L63" i="2"/>
  <c r="H63" i="2"/>
  <c r="K63" i="2"/>
  <c r="J63" i="2"/>
  <c r="I59" i="2"/>
  <c r="L59" i="2"/>
  <c r="H59" i="2"/>
  <c r="K59" i="2"/>
  <c r="J59" i="2"/>
  <c r="I55" i="2"/>
  <c r="L55" i="2"/>
  <c r="H55" i="2"/>
  <c r="K55" i="2"/>
  <c r="J55" i="2"/>
  <c r="I51" i="2"/>
  <c r="L51" i="2"/>
  <c r="H51" i="2"/>
  <c r="K51" i="2"/>
  <c r="J51" i="2"/>
  <c r="I47" i="2"/>
  <c r="L47" i="2"/>
  <c r="H47" i="2"/>
  <c r="K47" i="2"/>
  <c r="J47" i="2"/>
  <c r="I43" i="2"/>
  <c r="L43" i="2"/>
  <c r="H43" i="2"/>
  <c r="K43" i="2"/>
  <c r="J43" i="2"/>
  <c r="I39" i="2"/>
  <c r="L39" i="2"/>
  <c r="H39" i="2"/>
  <c r="K39" i="2"/>
  <c r="J39" i="2"/>
  <c r="I35" i="2"/>
  <c r="L35" i="2"/>
  <c r="H35" i="2"/>
  <c r="K35" i="2"/>
  <c r="J35" i="2"/>
  <c r="I31" i="2"/>
  <c r="L31" i="2"/>
  <c r="H31" i="2"/>
  <c r="K31" i="2"/>
  <c r="J31" i="2"/>
  <c r="I27" i="2"/>
  <c r="L27" i="2"/>
  <c r="H27" i="2"/>
  <c r="K27" i="2"/>
  <c r="J27" i="2"/>
  <c r="I23" i="2"/>
  <c r="L23" i="2"/>
  <c r="H23" i="2"/>
  <c r="K23" i="2"/>
  <c r="J23" i="2"/>
  <c r="L19" i="2"/>
  <c r="H19" i="2"/>
  <c r="K19" i="2"/>
  <c r="J19" i="2"/>
  <c r="I19" i="2"/>
  <c r="J15" i="2"/>
  <c r="I15" i="2"/>
  <c r="L15" i="2"/>
  <c r="K15" i="2"/>
  <c r="H15" i="2"/>
  <c r="A2" i="2"/>
  <c r="B2" i="2" s="1"/>
  <c r="O11" i="2" l="1"/>
  <c r="D15" i="4" s="1"/>
  <c r="O8" i="2"/>
  <c r="D16" i="4" s="1"/>
  <c r="O9" i="2"/>
  <c r="T2" i="2" l="1"/>
  <c r="I2" i="2"/>
  <c r="J2" i="2"/>
  <c r="K2" i="2"/>
  <c r="L2" i="2"/>
  <c r="I3" i="2"/>
  <c r="J3" i="2"/>
  <c r="K3" i="2"/>
  <c r="L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H3" i="2"/>
  <c r="H4" i="2"/>
  <c r="H5" i="2"/>
  <c r="H6" i="2"/>
  <c r="H7" i="2"/>
  <c r="H8" i="2"/>
  <c r="H9" i="2"/>
  <c r="H10" i="2"/>
  <c r="H11" i="2"/>
  <c r="H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P5" i="2" l="1"/>
  <c r="P6" i="2"/>
  <c r="B5" i="2"/>
  <c r="B101" i="2"/>
  <c r="B93" i="2"/>
  <c r="B85" i="2"/>
  <c r="B77" i="2"/>
  <c r="B69" i="2"/>
  <c r="B65" i="2"/>
  <c r="B61" i="2"/>
  <c r="B57" i="2"/>
  <c r="B53" i="2"/>
  <c r="B41" i="2"/>
  <c r="B37" i="2"/>
  <c r="B33" i="2"/>
  <c r="B29" i="2"/>
  <c r="B25" i="2"/>
  <c r="B21" i="2"/>
  <c r="B17" i="2"/>
  <c r="B13" i="2"/>
  <c r="B97" i="2"/>
  <c r="B89" i="2"/>
  <c r="B81" i="2"/>
  <c r="B73" i="2"/>
  <c r="B49" i="2"/>
  <c r="B45" i="2"/>
  <c r="P2" i="2"/>
  <c r="P4" i="2"/>
  <c r="P3" i="2"/>
  <c r="B9" i="2"/>
  <c r="B4" i="2"/>
  <c r="B66" i="2"/>
  <c r="B50" i="2"/>
  <c r="B94" i="2"/>
  <c r="B90" i="2"/>
  <c r="B86" i="2"/>
  <c r="B78" i="2"/>
  <c r="B74" i="2"/>
  <c r="B70" i="2"/>
  <c r="B62" i="2"/>
  <c r="B58" i="2"/>
  <c r="B54" i="2"/>
  <c r="B46" i="2"/>
  <c r="B42" i="2"/>
  <c r="B38" i="2"/>
  <c r="B30" i="2"/>
  <c r="B26" i="2"/>
  <c r="B22" i="2"/>
  <c r="B14" i="2"/>
  <c r="B10" i="2"/>
  <c r="B6" i="2"/>
  <c r="B98" i="2"/>
  <c r="B34" i="2"/>
  <c r="B82" i="2"/>
  <c r="B18" i="2"/>
  <c r="B100" i="2"/>
  <c r="B96" i="2"/>
  <c r="B92" i="2"/>
  <c r="B88" i="2"/>
  <c r="B84" i="2"/>
  <c r="B80" i="2"/>
  <c r="B76" i="2"/>
  <c r="B72" i="2"/>
  <c r="B68" i="2"/>
  <c r="B64" i="2"/>
  <c r="B60" i="2"/>
  <c r="B56" i="2"/>
  <c r="B52" i="2"/>
  <c r="B48" i="2"/>
  <c r="B44" i="2"/>
  <c r="B40" i="2"/>
  <c r="B36" i="2"/>
  <c r="B32" i="2"/>
  <c r="B28" i="2"/>
  <c r="B24" i="2"/>
  <c r="B20" i="2"/>
  <c r="B16" i="2"/>
  <c r="B12" i="2"/>
  <c r="B8" i="2"/>
  <c r="B99" i="2"/>
  <c r="B95" i="2"/>
  <c r="B87" i="2"/>
  <c r="B83" i="2"/>
  <c r="B79" i="2"/>
  <c r="B75" i="2"/>
  <c r="B71" i="2"/>
  <c r="B67" i="2"/>
  <c r="B63" i="2"/>
  <c r="B59" i="2"/>
  <c r="B55" i="2"/>
  <c r="B51" i="2"/>
  <c r="B47" i="2"/>
  <c r="B43" i="2"/>
  <c r="B39" i="2"/>
  <c r="B35" i="2"/>
  <c r="B31" i="2"/>
  <c r="B27" i="2"/>
  <c r="B23" i="2"/>
  <c r="B19" i="2"/>
  <c r="B15" i="2"/>
  <c r="B11" i="2"/>
  <c r="B7" i="2"/>
  <c r="B3" i="2"/>
  <c r="B91" i="2"/>
  <c r="O25" i="2" l="1"/>
  <c r="J15" i="4" s="1"/>
  <c r="O20" i="2"/>
  <c r="I15" i="4" s="1"/>
  <c r="O19" i="2"/>
  <c r="H15" i="4" s="1"/>
  <c r="O24" i="2"/>
  <c r="I17" i="4" s="1"/>
  <c r="O18" i="2"/>
  <c r="G15" i="4" s="1"/>
  <c r="O23" i="2"/>
  <c r="H17" i="4" s="1"/>
  <c r="O22" i="2"/>
  <c r="G17" i="4" s="1"/>
  <c r="O17" i="2"/>
  <c r="F15" i="4" s="1"/>
  <c r="O21" i="2"/>
  <c r="F17" i="4" s="1"/>
</calcChain>
</file>

<file path=xl/sharedStrings.xml><?xml version="1.0" encoding="utf-8"?>
<sst xmlns="http://schemas.openxmlformats.org/spreadsheetml/2006/main" count="719" uniqueCount="290">
  <si>
    <t>Position</t>
  </si>
  <si>
    <t>Game</t>
  </si>
  <si>
    <t>Team</t>
  </si>
  <si>
    <t>PG</t>
  </si>
  <si>
    <t>PF</t>
  </si>
  <si>
    <t>SF</t>
  </si>
  <si>
    <t>C</t>
  </si>
  <si>
    <t>SG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</si>
  <si>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</si>
  <si>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</si>
  <si>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</si>
  <si>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</si>
  <si>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</si>
  <si>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</si>
  <si>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</si>
  <si>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</si>
  <si>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</si>
  <si>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</si>
  <si>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</si>
  <si>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</si>
  <si>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</si>
  <si>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</si>
  <si>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</si>
  <si>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</si>
  <si>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PG 1</t>
  </si>
  <si>
    <t>PG 2</t>
  </si>
  <si>
    <t>SG 1</t>
  </si>
  <si>
    <t>SG 2</t>
  </si>
  <si>
    <t>SF 1</t>
  </si>
  <si>
    <t>SF 2</t>
  </si>
  <si>
    <t>PF 1</t>
  </si>
  <si>
    <t>PF 2</t>
  </si>
  <si>
    <t>Id</t>
  </si>
  <si>
    <t>First Name</t>
  </si>
  <si>
    <t>Nickname</t>
  </si>
  <si>
    <t>Last Name</t>
  </si>
  <si>
    <t>FPPG</t>
  </si>
  <si>
    <t>Played</t>
  </si>
  <si>
    <t>Salary</t>
  </si>
  <si>
    <t>Opponent</t>
  </si>
  <si>
    <t>Injury Indicator</t>
  </si>
  <si>
    <t>Injury Details</t>
  </si>
  <si>
    <t>James</t>
  </si>
  <si>
    <t>CLE</t>
  </si>
  <si>
    <t>Kevin</t>
  </si>
  <si>
    <t>O</t>
  </si>
  <si>
    <t>Knee</t>
  </si>
  <si>
    <t>Williams</t>
  </si>
  <si>
    <t>Patrick</t>
  </si>
  <si>
    <t>Iman</t>
  </si>
  <si>
    <t>Shumpert</t>
  </si>
  <si>
    <t>Kyle</t>
  </si>
  <si>
    <t>Smith</t>
  </si>
  <si>
    <t>Anthony</t>
  </si>
  <si>
    <t>Jones</t>
  </si>
  <si>
    <t>Jordan</t>
  </si>
  <si>
    <t>McRae</t>
  </si>
  <si>
    <t>Young</t>
  </si>
  <si>
    <t>Richard</t>
  </si>
  <si>
    <t>Jefferson</t>
  </si>
  <si>
    <t>Jonas</t>
  </si>
  <si>
    <t>Injury?</t>
  </si>
  <si>
    <t>C 1</t>
  </si>
  <si>
    <t>Kawhi Leonard</t>
  </si>
  <si>
    <t>Richard Jefferson</t>
  </si>
  <si>
    <t>LaMarcus Aldridge</t>
  </si>
  <si>
    <t>David Lee</t>
  </si>
  <si>
    <t>Davis</t>
  </si>
  <si>
    <t>SA</t>
  </si>
  <si>
    <t>Kawhi</t>
  </si>
  <si>
    <t>Leonard</t>
  </si>
  <si>
    <t>Gasol</t>
  </si>
  <si>
    <t>LaMarcus</t>
  </si>
  <si>
    <t>Aldridge</t>
  </si>
  <si>
    <t>Pau</t>
  </si>
  <si>
    <t>Pau Gasol</t>
  </si>
  <si>
    <t>Al</t>
  </si>
  <si>
    <t>Lee</t>
  </si>
  <si>
    <t>David</t>
  </si>
  <si>
    <t>Dewayne</t>
  </si>
  <si>
    <t>Dewayne Dedmon</t>
  </si>
  <si>
    <t>Dedmon</t>
  </si>
  <si>
    <t>Green</t>
  </si>
  <si>
    <t>Danny</t>
  </si>
  <si>
    <t>Danny Green</t>
  </si>
  <si>
    <t>Patty</t>
  </si>
  <si>
    <t>Patty Mills</t>
  </si>
  <si>
    <t>Mills</t>
  </si>
  <si>
    <t>Joel</t>
  </si>
  <si>
    <t>Joel Anthony</t>
  </si>
  <si>
    <t>Dejounte</t>
  </si>
  <si>
    <t>Dejounte Murray</t>
  </si>
  <si>
    <t>Murray</t>
  </si>
  <si>
    <t>Anderson</t>
  </si>
  <si>
    <t>Kyle Anderson</t>
  </si>
  <si>
    <t>Iman Shumpert</t>
  </si>
  <si>
    <t>Terry</t>
  </si>
  <si>
    <t>Davis Bertans</t>
  </si>
  <si>
    <t>Bertans</t>
  </si>
  <si>
    <t>Bryn</t>
  </si>
  <si>
    <t>Bryn Forbes</t>
  </si>
  <si>
    <t>Forbes</t>
  </si>
  <si>
    <t>Nicolas</t>
  </si>
  <si>
    <t>Jordan McRae</t>
  </si>
  <si>
    <t>Jonathon</t>
  </si>
  <si>
    <t>Jonathon Simmons</t>
  </si>
  <si>
    <t>Simmons</t>
  </si>
  <si>
    <t>Nicolas Laprovittola</t>
  </si>
  <si>
    <t>Laprovittola</t>
  </si>
  <si>
    <t>Manu</t>
  </si>
  <si>
    <t>Manu Ginobili</t>
  </si>
  <si>
    <t>Ginobili</t>
  </si>
  <si>
    <t>Dahntay</t>
  </si>
  <si>
    <t>Dahntay Jones</t>
  </si>
  <si>
    <t>BOS</t>
  </si>
  <si>
    <t>Isaiah</t>
  </si>
  <si>
    <t>Isaiah Thomas</t>
  </si>
  <si>
    <t>Thomas</t>
  </si>
  <si>
    <t>Al Horford</t>
  </si>
  <si>
    <t>Horford</t>
  </si>
  <si>
    <t>Bradley</t>
  </si>
  <si>
    <t>Jae</t>
  </si>
  <si>
    <t>Jae Crowder</t>
  </si>
  <si>
    <t>Crowder</t>
  </si>
  <si>
    <t>Avery</t>
  </si>
  <si>
    <t>Avery Bradley</t>
  </si>
  <si>
    <t>Marcus</t>
  </si>
  <si>
    <t>Marcus Smart</t>
  </si>
  <si>
    <t>Smart</t>
  </si>
  <si>
    <t>Kelly</t>
  </si>
  <si>
    <t>Kelly Olynyk</t>
  </si>
  <si>
    <t>Olynyk</t>
  </si>
  <si>
    <t>Amir</t>
  </si>
  <si>
    <t>Amir Johnson</t>
  </si>
  <si>
    <t>Johnson</t>
  </si>
  <si>
    <t>Terry Rozier</t>
  </si>
  <si>
    <t>Rozier</t>
  </si>
  <si>
    <t>Ian</t>
  </si>
  <si>
    <t>Jaylen</t>
  </si>
  <si>
    <t>Jaylen Brown</t>
  </si>
  <si>
    <t>Brown</t>
  </si>
  <si>
    <t>Gerald</t>
  </si>
  <si>
    <t>Gerald Green</t>
  </si>
  <si>
    <t>James Young</t>
  </si>
  <si>
    <t>Demetrius</t>
  </si>
  <si>
    <t>Demetrius Jackson</t>
  </si>
  <si>
    <t>Jackson</t>
  </si>
  <si>
    <t>Tyler</t>
  </si>
  <si>
    <t>Tyler Zeller</t>
  </si>
  <si>
    <t>Zeller</t>
  </si>
  <si>
    <t>Jordan Mickey</t>
  </si>
  <si>
    <t>Mickey</t>
  </si>
  <si>
    <t>Jonas Jerebko</t>
  </si>
  <si>
    <t>Jerebko</t>
  </si>
  <si>
    <t>SAS</t>
  </si>
  <si>
    <t>GSW</t>
  </si>
  <si>
    <t>Zaza Pachulia</t>
  </si>
  <si>
    <t>Andre Iguodala</t>
  </si>
  <si>
    <t>Draymond Green</t>
  </si>
  <si>
    <t>Klay Thompson</t>
  </si>
  <si>
    <t>Matt Barnes</t>
  </si>
  <si>
    <t>Ian Clark</t>
  </si>
  <si>
    <t>Patrick McCaw</t>
  </si>
  <si>
    <t>Shaun Livingston</t>
  </si>
  <si>
    <t>David West</t>
  </si>
  <si>
    <t>JaVale McGee</t>
  </si>
  <si>
    <t>Kevin Durant</t>
  </si>
  <si>
    <t>J.R. Smith</t>
  </si>
  <si>
    <t>Deron Williams</t>
  </si>
  <si>
    <t>Channing Frye</t>
  </si>
  <si>
    <t>Tristan Thompson</t>
  </si>
  <si>
    <t>Stephen Curry</t>
  </si>
  <si>
    <t>LeBron James</t>
  </si>
  <si>
    <t>Kevin Love</t>
  </si>
  <si>
    <t>Kyle Korver</t>
  </si>
  <si>
    <t>Kyrie Irving</t>
  </si>
  <si>
    <t>19354-9488</t>
  </si>
  <si>
    <t>LeBron</t>
  </si>
  <si>
    <t>CLE@BOS</t>
  </si>
  <si>
    <t>19354-14513</t>
  </si>
  <si>
    <t>GS@SA</t>
  </si>
  <si>
    <t>GS</t>
  </si>
  <si>
    <t>GTD</t>
  </si>
  <si>
    <t>Ankle</t>
  </si>
  <si>
    <t>19354-9646</t>
  </si>
  <si>
    <t>Durant</t>
  </si>
  <si>
    <t>19354-9524</t>
  </si>
  <si>
    <t>Stephen</t>
  </si>
  <si>
    <t>Curry</t>
  </si>
  <si>
    <t>19354-14559</t>
  </si>
  <si>
    <t>19354-14498</t>
  </si>
  <si>
    <t>Kyrie</t>
  </si>
  <si>
    <t>Irving</t>
  </si>
  <si>
    <t>19354-15860</t>
  </si>
  <si>
    <t>Draymond</t>
  </si>
  <si>
    <t>19354-9688</t>
  </si>
  <si>
    <t>19354-9453</t>
  </si>
  <si>
    <t>19354-9874</t>
  </si>
  <si>
    <t>Love</t>
  </si>
  <si>
    <t>19354-14509</t>
  </si>
  <si>
    <t>Klay</t>
  </si>
  <si>
    <t>Thompson</t>
  </si>
  <si>
    <t>19354-12334</t>
  </si>
  <si>
    <t>19354-15800</t>
  </si>
  <si>
    <t>19354-9570</t>
  </si>
  <si>
    <t>19354-9939</t>
  </si>
  <si>
    <t>19354-14501</t>
  </si>
  <si>
    <t>Tristan</t>
  </si>
  <si>
    <t>19354-23670</t>
  </si>
  <si>
    <t>19354-22541</t>
  </si>
  <si>
    <t>19354-9664</t>
  </si>
  <si>
    <t>Andre</t>
  </si>
  <si>
    <t>Iguodala</t>
  </si>
  <si>
    <t>19354-18821</t>
  </si>
  <si>
    <t>19354-9758</t>
  </si>
  <si>
    <t>19354-9739</t>
  </si>
  <si>
    <t>JaVale</t>
  </si>
  <si>
    <t>McGee</t>
  </si>
  <si>
    <t>19354-9454</t>
  </si>
  <si>
    <t>Zaza</t>
  </si>
  <si>
    <t>Pachulia</t>
  </si>
  <si>
    <t>Heel</t>
  </si>
  <si>
    <t>19354-9870</t>
  </si>
  <si>
    <t>Korver</t>
  </si>
  <si>
    <t>19354-58658</t>
  </si>
  <si>
    <t>McCaw</t>
  </si>
  <si>
    <t>19354-9783</t>
  </si>
  <si>
    <t>19354-9678</t>
  </si>
  <si>
    <t>Channing</t>
  </si>
  <si>
    <t>Frye</t>
  </si>
  <si>
    <t>19354-9506</t>
  </si>
  <si>
    <t>J.R.</t>
  </si>
  <si>
    <t>19354-9629</t>
  </si>
  <si>
    <t>West</t>
  </si>
  <si>
    <t>19354-14515</t>
  </si>
  <si>
    <t>19354-9638</t>
  </si>
  <si>
    <t>19354-17747</t>
  </si>
  <si>
    <t>Clark</t>
  </si>
  <si>
    <t>19354-9704</t>
  </si>
  <si>
    <t>19354-9706</t>
  </si>
  <si>
    <t>19354-67708</t>
  </si>
  <si>
    <t>19354-9862</t>
  </si>
  <si>
    <t>19354-23716</t>
  </si>
  <si>
    <t>19354-9722</t>
  </si>
  <si>
    <t>Deron</t>
  </si>
  <si>
    <t>19354-42677</t>
  </si>
  <si>
    <t>19354-67026</t>
  </si>
  <si>
    <t>19354-9849</t>
  </si>
  <si>
    <t>19354-16301</t>
  </si>
  <si>
    <t>19354-15955</t>
  </si>
  <si>
    <t>James Michael</t>
  </si>
  <si>
    <t>James Michael McAdoo</t>
  </si>
  <si>
    <t>McAdoo</t>
  </si>
  <si>
    <t>19354-14500</t>
  </si>
  <si>
    <t>Derrick</t>
  </si>
  <si>
    <t>Derrick Williams</t>
  </si>
  <si>
    <t>19354-42671</t>
  </si>
  <si>
    <t>19354-9490</t>
  </si>
  <si>
    <t>Anderson Varejao</t>
  </si>
  <si>
    <t>Varejao</t>
  </si>
  <si>
    <t>19354-55063</t>
  </si>
  <si>
    <t>Edy</t>
  </si>
  <si>
    <t>Edy Tavares</t>
  </si>
  <si>
    <t>Tavares</t>
  </si>
  <si>
    <t>Hand</t>
  </si>
  <si>
    <t>19354-9643</t>
  </si>
  <si>
    <t>Shaun</t>
  </si>
  <si>
    <t>Livingston</t>
  </si>
  <si>
    <t>19354-41269</t>
  </si>
  <si>
    <t>19354-74164</t>
  </si>
  <si>
    <t>19354-9657</t>
  </si>
  <si>
    <t>Matt</t>
  </si>
  <si>
    <t>Barnes</t>
  </si>
  <si>
    <t>19354-9785</t>
  </si>
  <si>
    <t>James Jones</t>
  </si>
  <si>
    <t>19354-58576</t>
  </si>
  <si>
    <t>Kevon</t>
  </si>
  <si>
    <t>Kevon Looney</t>
  </si>
  <si>
    <t>Looney</t>
  </si>
  <si>
    <t>Hip</t>
  </si>
  <si>
    <t>19354-15961</t>
  </si>
  <si>
    <t>19354-16230</t>
  </si>
  <si>
    <t>19354-41063</t>
  </si>
  <si>
    <t>19354-9962</t>
  </si>
  <si>
    <t>19354-23788</t>
  </si>
  <si>
    <t>19354-41082</t>
  </si>
  <si>
    <t>Damian</t>
  </si>
  <si>
    <t>Damian Jones</t>
  </si>
  <si>
    <t>19354-9546</t>
  </si>
  <si>
    <t>19354-14543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</si>
</sst>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4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</xdr:colOff>
      <xdr:row>4</xdr:row>
      <xdr:rowOff>38101</xdr:rowOff>
    </xdr:from>
    <xdr:to>
      <xdr:col>5</xdr:col>
      <xdr:colOff>1495425</xdr:colOff>
      <xdr:row>11</xdr:row>
      <xdr:rowOff>151619</xdr:rowOff>
    </xdr:to>
    <xdr:pic>
      <xdr:nvPicPr>
        <xdr:cNvPr id="9" name="Picture 8" descr="Image result for nba logo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1" y="952501"/>
          <a:ext cx="1495424" cy="1456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57151</xdr:colOff>
      <xdr:row>4</xdr:row>
      <xdr:rowOff>47626</xdr:rowOff>
    </xdr:from>
    <xdr:to>
      <xdr:col>8</xdr:col>
      <xdr:colOff>1495425</xdr:colOff>
      <xdr:row>11</xdr:row>
      <xdr:rowOff>142875</xdr:rowOff>
    </xdr:to>
    <xdr:pic>
      <xdr:nvPicPr>
        <xdr:cNvPr id="16" name="Picture 15" descr="Image result for fanduel log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3951" y="962026"/>
          <a:ext cx="1438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40"/>
  <sheetViews>
    <sheetView zoomScale="106" zoomScaleNormal="106" workbookViewId="0">
      <selection activeCell="C2" sqref="C2:C150"/>
    </sheetView>
  </sheetViews>
  <sheetFormatPr defaultRowHeight="15" x14ac:dyDescent="0.25"/>
  <cols>
    <col min="2" max="2" width="10.5703125" bestFit="1" customWidth="1"/>
    <col min="5" max="5" width="23.5703125" bestFit="1" customWidth="1"/>
    <col min="14" max="14" width="11.42578125" bestFit="1" customWidth="1"/>
    <col min="15" max="15" width="17.28515625" bestFit="1" customWidth="1"/>
    <col min="16" max="16" width="12.140625" bestFit="1" customWidth="1"/>
  </cols>
  <sheetData>
    <row r="1" spans="1:20" x14ac:dyDescent="0.25">
      <c r="A1" t="s">
        <v>0</v>
      </c>
      <c r="B1" t="s">
        <v>12</v>
      </c>
      <c r="C1" t="s">
        <v>13</v>
      </c>
      <c r="D1" t="s">
        <v>8</v>
      </c>
      <c r="E1" t="s">
        <v>9</v>
      </c>
      <c r="F1" t="s">
        <v>10</v>
      </c>
      <c r="G1" t="s">
        <v>11</v>
      </c>
      <c r="H1" t="s">
        <v>3</v>
      </c>
      <c r="I1" t="s">
        <v>7</v>
      </c>
      <c r="J1" t="s">
        <v>5</v>
      </c>
      <c r="K1" t="s">
        <v>4</v>
      </c>
      <c r="L1" t="s">
        <v>6</v>
      </c>
      <c r="M1" t="s">
        <v>61</v>
      </c>
      <c r="N1" t="s">
        <v>0</v>
      </c>
      <c r="O1" t="s">
        <v>14</v>
      </c>
      <c r="P1" t="s">
        <v>15</v>
      </c>
      <c r="T1">
        <v>8</v>
      </c>
    </row>
    <row r="2" spans="1:20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t="str">
        <f>RawData!B2</f>
        <v>SF</v>
      </c>
      <c r="E2" t="str">
        <f>RawData!C2&amp; " "&amp;RawData!E2</f>
        <v>LeBron James</v>
      </c>
      <c r="F2">
        <f>(RawData!O2)*M2</f>
        <v>55.87</v>
      </c>
      <c r="G2" s="35">
        <f>RawData!H2</f>
        <v>12500</v>
      </c>
      <c r="H2">
        <f>IF($D2=H$1,$C2*1,0)</f>
        <v>0</v>
      </c>
      <c r="I2">
        <f t="shared" ref="I2:L2" si="0">IF($D2=I$1,$C2*1,0)</f>
        <v>0</v>
      </c>
      <c r="J2">
        <f t="shared" si="0"/>
        <v>0</v>
      </c>
      <c r="K2">
        <f t="shared" si="0"/>
        <v>0</v>
      </c>
      <c r="L2">
        <f t="shared" si="0"/>
        <v>0</v>
      </c>
      <c r="M2">
        <f>IF(RawData!L2=0,1,0)</f>
        <v>1</v>
      </c>
      <c r="N2" t="s">
        <v>3</v>
      </c>
      <c r="O2">
        <v>2</v>
      </c>
      <c r="P2">
        <f>SUM(H2:H339)</f>
        <v>0</v>
      </c>
      <c r="T2">
        <f>SUM(C:C)</f>
        <v>0</v>
      </c>
    </row>
    <row r="3" spans="1:20" x14ac:dyDescent="0.25">
      <c r="A3">
        <f t="shared" ref="A3:A65" si="1">IF(C3=1,D3,0)</f>
        <v>0</v>
      </c>
      <c r="B3">
        <f>IF(C3=0,0,A3&amp;" "&amp;COUNTIF($A$1:$A3,A3))</f>
        <v>0</v>
      </c>
      <c r="C3" s="1">
        <v>0</v>
      </c>
      <c r="D3" s="2" t="str">
        <f>RawData!B3</f>
        <v>SF</v>
      </c>
      <c r="E3" s="2" t="str">
        <f>RawData!C3&amp; " "&amp;RawData!E3</f>
        <v>Kawhi Leonard</v>
      </c>
      <c r="F3" s="2">
        <f>(RawData!O3)*M3</f>
        <v>0</v>
      </c>
      <c r="G3" s="35">
        <f>RawData!H3</f>
        <v>11000</v>
      </c>
      <c r="H3">
        <f t="shared" ref="H3:L66" si="2">IF($D3=H$1,$C3*1,0)</f>
        <v>0</v>
      </c>
      <c r="I3">
        <f t="shared" si="2"/>
        <v>0</v>
      </c>
      <c r="J3">
        <f t="shared" si="2"/>
        <v>0</v>
      </c>
      <c r="K3">
        <f t="shared" si="2"/>
        <v>0</v>
      </c>
      <c r="L3">
        <f t="shared" si="2"/>
        <v>0</v>
      </c>
      <c r="M3" s="2">
        <f>IF(RawData!L3=0,1,0)</f>
        <v>0</v>
      </c>
      <c r="N3" t="s">
        <v>7</v>
      </c>
      <c r="O3">
        <v>2</v>
      </c>
      <c r="P3">
        <f>SUM(I2:I339)</f>
        <v>0</v>
      </c>
    </row>
    <row r="4" spans="1:20" x14ac:dyDescent="0.25">
      <c r="A4">
        <f t="shared" si="1"/>
        <v>0</v>
      </c>
      <c r="B4">
        <f>IF(C4=0,0,A4&amp;" "&amp;COUNTIF($A$1:$A4,A4))</f>
        <v>0</v>
      </c>
      <c r="C4" s="1">
        <v>0</v>
      </c>
      <c r="D4" s="2" t="str">
        <f>RawData!B4</f>
        <v>SF</v>
      </c>
      <c r="E4" s="2" t="str">
        <f>RawData!C4&amp; " "&amp;RawData!E4</f>
        <v>Kevin Durant</v>
      </c>
      <c r="F4" s="2">
        <f>(RawData!O4)*M4</f>
        <v>46.81</v>
      </c>
      <c r="G4" s="35">
        <f>RawData!H4</f>
        <v>10000</v>
      </c>
      <c r="H4">
        <f t="shared" si="2"/>
        <v>0</v>
      </c>
      <c r="I4">
        <f t="shared" si="2"/>
        <v>0</v>
      </c>
      <c r="J4">
        <f t="shared" si="2"/>
        <v>0</v>
      </c>
      <c r="K4">
        <f t="shared" si="2"/>
        <v>0</v>
      </c>
      <c r="L4">
        <f t="shared" si="2"/>
        <v>0</v>
      </c>
      <c r="M4" s="2">
        <f>IF(RawData!L4=0,1,0)</f>
        <v>1</v>
      </c>
      <c r="N4" t="s">
        <v>5</v>
      </c>
      <c r="O4">
        <v>2</v>
      </c>
      <c r="P4">
        <f>SUM(J2:J339)</f>
        <v>0</v>
      </c>
    </row>
    <row r="5" spans="1:20" x14ac:dyDescent="0.25">
      <c r="A5">
        <f t="shared" si="1"/>
        <v>0</v>
      </c>
      <c r="B5">
        <f>IF(C5=0,0,A5&amp;" "&amp;COUNTIF($A$1:$A5,A5))</f>
        <v>0</v>
      </c>
      <c r="C5" s="1">
        <v>0</v>
      </c>
      <c r="D5" s="2" t="str">
        <f>RawData!B5</f>
        <v>PG</v>
      </c>
      <c r="E5" s="2" t="str">
        <f>RawData!C5&amp; " "&amp;RawData!E5</f>
        <v>Stephen Curry</v>
      </c>
      <c r="F5" s="2">
        <f>(RawData!O5)*M5</f>
        <v>46.2</v>
      </c>
      <c r="G5" s="35">
        <f>RawData!H5</f>
        <v>10000</v>
      </c>
      <c r="H5">
        <f t="shared" si="2"/>
        <v>0</v>
      </c>
      <c r="I5">
        <f t="shared" si="2"/>
        <v>0</v>
      </c>
      <c r="J5">
        <f t="shared" si="2"/>
        <v>0</v>
      </c>
      <c r="K5">
        <f t="shared" si="2"/>
        <v>0</v>
      </c>
      <c r="L5">
        <f t="shared" si="2"/>
        <v>0</v>
      </c>
      <c r="M5" s="2">
        <f>IF(RawData!L5=0,1,0)</f>
        <v>1</v>
      </c>
      <c r="N5" t="s">
        <v>4</v>
      </c>
      <c r="O5">
        <v>2</v>
      </c>
      <c r="P5">
        <f>SUM(K2:K339)</f>
        <v>0</v>
      </c>
    </row>
    <row r="6" spans="1:20" x14ac:dyDescent="0.25">
      <c r="A6">
        <f t="shared" si="1"/>
        <v>0</v>
      </c>
      <c r="B6">
        <f>IF(C6=0,0,A6&amp;" "&amp;COUNTIF($A$1:$A6,A6))</f>
        <v>0</v>
      </c>
      <c r="C6" s="1">
        <v>0</v>
      </c>
      <c r="D6" s="2" t="str">
        <f>RawData!B6</f>
        <v>PG</v>
      </c>
      <c r="E6" s="2" t="str">
        <f>RawData!C6&amp; " "&amp;RawData!E6</f>
        <v>Isaiah Thomas</v>
      </c>
      <c r="F6" s="2">
        <f>(RawData!O6)*M6</f>
        <v>44.63</v>
      </c>
      <c r="G6" s="35">
        <f>RawData!H6</f>
        <v>9200</v>
      </c>
      <c r="H6">
        <f t="shared" si="2"/>
        <v>0</v>
      </c>
      <c r="I6">
        <f t="shared" si="2"/>
        <v>0</v>
      </c>
      <c r="J6">
        <f t="shared" si="2"/>
        <v>0</v>
      </c>
      <c r="K6">
        <f t="shared" si="2"/>
        <v>0</v>
      </c>
      <c r="L6">
        <f t="shared" si="2"/>
        <v>0</v>
      </c>
      <c r="M6" s="2">
        <f>IF(RawData!L6=0,1,0)</f>
        <v>1</v>
      </c>
      <c r="N6" t="s">
        <v>6</v>
      </c>
      <c r="O6">
        <v>1</v>
      </c>
      <c r="P6">
        <f>SUM(L2:L339)</f>
        <v>0</v>
      </c>
    </row>
    <row r="7" spans="1:20" x14ac:dyDescent="0.25">
      <c r="A7">
        <f t="shared" si="1"/>
        <v>0</v>
      </c>
      <c r="B7">
        <f>IF(C7=0,0,A7&amp;" "&amp;COUNTIF($A$1:$A7,A7))</f>
        <v>0</v>
      </c>
      <c r="C7" s="1">
        <v>0</v>
      </c>
      <c r="D7" s="2" t="str">
        <f>RawData!B7</f>
        <v>PG</v>
      </c>
      <c r="E7" s="2" t="str">
        <f>RawData!C7&amp; " "&amp;RawData!E7</f>
        <v>Kyrie Irving</v>
      </c>
      <c r="F7" s="2">
        <f>(RawData!O7)*M7</f>
        <v>38.35</v>
      </c>
      <c r="G7" s="35">
        <f>RawData!H7</f>
        <v>8800</v>
      </c>
      <c r="H7">
        <f t="shared" si="2"/>
        <v>0</v>
      </c>
      <c r="I7">
        <f t="shared" si="2"/>
        <v>0</v>
      </c>
      <c r="J7">
        <f t="shared" si="2"/>
        <v>0</v>
      </c>
      <c r="K7">
        <f t="shared" si="2"/>
        <v>0</v>
      </c>
      <c r="L7">
        <f t="shared" si="2"/>
        <v>0</v>
      </c>
      <c r="M7" s="2">
        <f>IF(RawData!L7=0,1,0)</f>
        <v>1</v>
      </c>
    </row>
    <row r="8" spans="1:20" x14ac:dyDescent="0.25">
      <c r="A8">
        <f t="shared" si="1"/>
        <v>0</v>
      </c>
      <c r="B8">
        <f>IF(C8=0,0,A8&amp;" "&amp;COUNTIF($A$1:$A8,A8))</f>
        <v>0</v>
      </c>
      <c r="C8" s="1">
        <v>0</v>
      </c>
      <c r="D8" s="2" t="str">
        <f>RawData!B8</f>
        <v>PF</v>
      </c>
      <c r="E8" s="2" t="str">
        <f>RawData!C8&amp; " "&amp;RawData!E8</f>
        <v>Draymond Green</v>
      </c>
      <c r="F8" s="2">
        <f>(RawData!O8)*M8</f>
        <v>38.770000000000003</v>
      </c>
      <c r="G8" s="35">
        <f>RawData!H8</f>
        <v>8600</v>
      </c>
      <c r="H8">
        <f t="shared" si="2"/>
        <v>0</v>
      </c>
      <c r="I8">
        <f t="shared" si="2"/>
        <v>0</v>
      </c>
      <c r="J8">
        <f t="shared" si="2"/>
        <v>0</v>
      </c>
      <c r="K8">
        <f t="shared" si="2"/>
        <v>0</v>
      </c>
      <c r="L8">
        <f t="shared" si="2"/>
        <v>0</v>
      </c>
      <c r="M8" s="2">
        <f>IF(RawData!L8=0,1,0)</f>
        <v>1</v>
      </c>
      <c r="N8" t="s">
        <v>16</v>
      </c>
      <c r="O8">
        <f>SUMPRODUCT(C2:C239,G2:G239)</f>
        <v>0</v>
      </c>
    </row>
    <row r="9" spans="1:20" x14ac:dyDescent="0.25">
      <c r="A9">
        <f t="shared" si="1"/>
        <v>0</v>
      </c>
      <c r="B9">
        <f>IF(C9=0,0,A9&amp;" "&amp;COUNTIF($A$1:$A9,A9))</f>
        <v>0</v>
      </c>
      <c r="C9" s="1">
        <v>0</v>
      </c>
      <c r="D9" s="2" t="str">
        <f>RawData!B9</f>
        <v>PF</v>
      </c>
      <c r="E9" s="2" t="str">
        <f>RawData!C9&amp; " "&amp;RawData!E9</f>
        <v>LaMarcus Aldridge</v>
      </c>
      <c r="F9" s="2">
        <f>(RawData!O9)*M9</f>
        <v>36.409999999999997</v>
      </c>
      <c r="G9" s="35">
        <f>RawData!H9</f>
        <v>8000</v>
      </c>
      <c r="H9">
        <f t="shared" si="2"/>
        <v>0</v>
      </c>
      <c r="I9">
        <f t="shared" si="2"/>
        <v>0</v>
      </c>
      <c r="J9">
        <f t="shared" si="2"/>
        <v>0</v>
      </c>
      <c r="K9">
        <f t="shared" si="2"/>
        <v>0</v>
      </c>
      <c r="L9">
        <f t="shared" si="2"/>
        <v>0</v>
      </c>
      <c r="M9" s="2">
        <f>IF(RawData!L9=0,1,0)</f>
        <v>1</v>
      </c>
      <c r="N9" t="s">
        <v>17</v>
      </c>
      <c r="O9">
        <f>60000</f>
        <v>60000</v>
      </c>
    </row>
    <row r="10" spans="1:20" x14ac:dyDescent="0.25">
      <c r="A10">
        <f t="shared" si="1"/>
        <v>0</v>
      </c>
      <c r="B10">
        <f>IF(C10=0,0,A10&amp;" "&amp;COUNTIF($A$1:$A10,A10))</f>
        <v>0</v>
      </c>
      <c r="C10" s="1">
        <v>0</v>
      </c>
      <c r="D10" s="2" t="str">
        <f>RawData!B10</f>
        <v>C</v>
      </c>
      <c r="E10" s="2" t="str">
        <f>RawData!C10&amp; " "&amp;RawData!E10</f>
        <v>Al Horford</v>
      </c>
      <c r="F10" s="2">
        <f>(RawData!O10)*M10</f>
        <v>36.31</v>
      </c>
      <c r="G10" s="35">
        <f>RawData!H10</f>
        <v>8000</v>
      </c>
      <c r="H10">
        <f t="shared" si="2"/>
        <v>0</v>
      </c>
      <c r="I10">
        <f t="shared" si="2"/>
        <v>0</v>
      </c>
      <c r="J10">
        <f t="shared" si="2"/>
        <v>0</v>
      </c>
      <c r="K10">
        <f t="shared" si="2"/>
        <v>0</v>
      </c>
      <c r="L10">
        <f t="shared" si="2"/>
        <v>0</v>
      </c>
      <c r="M10" s="2">
        <f>IF(RawData!L10=0,1,0)</f>
        <v>1</v>
      </c>
    </row>
    <row r="11" spans="1:20" x14ac:dyDescent="0.25">
      <c r="A11">
        <f t="shared" si="1"/>
        <v>0</v>
      </c>
      <c r="B11">
        <f>IF(C11=0,0,A11&amp;" "&amp;COUNTIF($A$1:$A11,A11))</f>
        <v>0</v>
      </c>
      <c r="C11" s="1">
        <v>0</v>
      </c>
      <c r="D11" s="2" t="str">
        <f>RawData!B11</f>
        <v>PF</v>
      </c>
      <c r="E11" s="2" t="str">
        <f>RawData!C11&amp; " "&amp;RawData!E11</f>
        <v>Kevin Love</v>
      </c>
      <c r="F11" s="2">
        <f>(RawData!O11)*M11</f>
        <v>36.36</v>
      </c>
      <c r="G11" s="35">
        <f>RawData!H11</f>
        <v>7500</v>
      </c>
      <c r="H11">
        <f t="shared" si="2"/>
        <v>0</v>
      </c>
      <c r="I11">
        <f t="shared" si="2"/>
        <v>0</v>
      </c>
      <c r="J11">
        <f t="shared" si="2"/>
        <v>0</v>
      </c>
      <c r="K11">
        <f t="shared" si="2"/>
        <v>0</v>
      </c>
      <c r="L11">
        <f t="shared" si="2"/>
        <v>0</v>
      </c>
      <c r="M11" s="2">
        <f>IF(RawData!L11=0,1,0)</f>
        <v>1</v>
      </c>
      <c r="N11" t="s">
        <v>18</v>
      </c>
      <c r="O11">
        <f>SUMPRODUCT(C2:C339,F2:F339)</f>
        <v>0</v>
      </c>
    </row>
    <row r="12" spans="1:20" x14ac:dyDescent="0.25">
      <c r="A12">
        <f t="shared" si="1"/>
        <v>0</v>
      </c>
      <c r="B12">
        <f>IF(C12=0,0,A12&amp;" "&amp;COUNTIF($A$1:$A12,A12))</f>
        <v>0</v>
      </c>
      <c r="C12" s="1">
        <v>0</v>
      </c>
      <c r="D12" s="2" t="str">
        <f>RawData!B12</f>
        <v>SG</v>
      </c>
      <c r="E12" s="2" t="str">
        <f>RawData!C12&amp; " "&amp;RawData!E12</f>
        <v>Klay Thompson</v>
      </c>
      <c r="F12" s="2">
        <f>(RawData!O12)*M12</f>
        <v>29.33</v>
      </c>
      <c r="G12" s="35">
        <f>RawData!H12</f>
        <v>7100</v>
      </c>
      <c r="H12">
        <f t="shared" si="2"/>
        <v>0</v>
      </c>
      <c r="I12">
        <f t="shared" si="2"/>
        <v>0</v>
      </c>
      <c r="J12">
        <f t="shared" si="2"/>
        <v>0</v>
      </c>
      <c r="K12">
        <f t="shared" si="2"/>
        <v>0</v>
      </c>
      <c r="L12">
        <f t="shared" si="2"/>
        <v>0</v>
      </c>
      <c r="M12" s="2">
        <f>IF(RawData!L12=0,1,0)</f>
        <v>1</v>
      </c>
    </row>
    <row r="13" spans="1:20" x14ac:dyDescent="0.25">
      <c r="A13">
        <f t="shared" si="1"/>
        <v>0</v>
      </c>
      <c r="B13">
        <f>IF(C13=0,0,A13&amp;" "&amp;COUNTIF($A$1:$A13,A13))</f>
        <v>0</v>
      </c>
      <c r="C13" s="1">
        <v>0</v>
      </c>
      <c r="D13" s="2" t="str">
        <f>RawData!B13</f>
        <v>SG</v>
      </c>
      <c r="E13" s="2" t="str">
        <f>RawData!C13&amp; " "&amp;RawData!E13</f>
        <v>Avery Bradley</v>
      </c>
      <c r="F13" s="2">
        <f>(RawData!O13)*M13</f>
        <v>29.81</v>
      </c>
      <c r="G13" s="35">
        <f>RawData!H13</f>
        <v>6500</v>
      </c>
      <c r="H13">
        <f t="shared" si="2"/>
        <v>0</v>
      </c>
      <c r="I13">
        <f t="shared" si="2"/>
        <v>0</v>
      </c>
      <c r="J13">
        <f t="shared" si="2"/>
        <v>0</v>
      </c>
      <c r="K13">
        <f t="shared" si="2"/>
        <v>0</v>
      </c>
      <c r="L13">
        <f t="shared" si="2"/>
        <v>0</v>
      </c>
      <c r="M13" s="2">
        <f>IF(RawData!L13=0,1,0)</f>
        <v>1</v>
      </c>
      <c r="N13" t="s">
        <v>19</v>
      </c>
      <c r="O13">
        <v>9</v>
      </c>
    </row>
    <row r="14" spans="1:20" x14ac:dyDescent="0.25">
      <c r="A14">
        <f t="shared" si="1"/>
        <v>0</v>
      </c>
      <c r="B14">
        <f>IF(C14=0,0,A14&amp;" "&amp;COUNTIF($A$1:$A14,A14))</f>
        <v>0</v>
      </c>
      <c r="C14" s="1">
        <v>0</v>
      </c>
      <c r="D14" s="2" t="str">
        <f>RawData!B14</f>
        <v>SF</v>
      </c>
      <c r="E14" s="2" t="str">
        <f>RawData!C14&amp; " "&amp;RawData!E14</f>
        <v>Jae Crowder</v>
      </c>
      <c r="F14" s="2">
        <f>(RawData!O14)*M14</f>
        <v>28.98</v>
      </c>
      <c r="G14" s="35">
        <f>RawData!H14</f>
        <v>6300</v>
      </c>
      <c r="H14">
        <f t="shared" si="2"/>
        <v>0</v>
      </c>
      <c r="I14">
        <f t="shared" si="2"/>
        <v>0</v>
      </c>
      <c r="J14">
        <f t="shared" si="2"/>
        <v>0</v>
      </c>
      <c r="K14">
        <f t="shared" si="2"/>
        <v>0</v>
      </c>
      <c r="L14">
        <f t="shared" si="2"/>
        <v>0</v>
      </c>
      <c r="M14" s="2">
        <f>IF(RawData!L14=0,1,0)</f>
        <v>1</v>
      </c>
      <c r="N14" t="s">
        <v>20</v>
      </c>
      <c r="O14">
        <f>SUM(C:C)</f>
        <v>0</v>
      </c>
    </row>
    <row r="15" spans="1:20" x14ac:dyDescent="0.25">
      <c r="A15">
        <f t="shared" si="1"/>
        <v>0</v>
      </c>
      <c r="B15">
        <f>IF(C15=0,0,A15&amp;" "&amp;COUNTIF($A$1:$A15,A15))</f>
        <v>0</v>
      </c>
      <c r="C15" s="1">
        <v>0</v>
      </c>
      <c r="D15" s="2" t="str">
        <f>RawData!B15</f>
        <v>C</v>
      </c>
      <c r="E15" s="2" t="str">
        <f>RawData!C15&amp; " "&amp;RawData!E15</f>
        <v>Pau Gasol</v>
      </c>
      <c r="F15" s="2">
        <f>(RawData!O15)*M15</f>
        <v>20.079999999999998</v>
      </c>
      <c r="G15" s="35">
        <f>RawData!H15</f>
        <v>6100</v>
      </c>
      <c r="H15">
        <f t="shared" si="2"/>
        <v>0</v>
      </c>
      <c r="I15">
        <f t="shared" si="2"/>
        <v>0</v>
      </c>
      <c r="J15">
        <f t="shared" si="2"/>
        <v>0</v>
      </c>
      <c r="K15">
        <f t="shared" si="2"/>
        <v>0</v>
      </c>
      <c r="L15">
        <f t="shared" si="2"/>
        <v>0</v>
      </c>
      <c r="M15" s="2">
        <f>IF(RawData!L15=0,1,0)</f>
        <v>1</v>
      </c>
    </row>
    <row r="16" spans="1:20" x14ac:dyDescent="0.25">
      <c r="A16">
        <f t="shared" si="1"/>
        <v>0</v>
      </c>
      <c r="B16">
        <f>IF(C16=0,0,A16&amp;" "&amp;COUNTIF($A$1:$A16,A16))</f>
        <v>0</v>
      </c>
      <c r="C16" s="1">
        <v>0</v>
      </c>
      <c r="D16" s="2" t="str">
        <f>RawData!B16</f>
        <v>PG</v>
      </c>
      <c r="E16" s="2" t="str">
        <f>RawData!C16&amp; " "&amp;RawData!E16</f>
        <v>Patty Mills</v>
      </c>
      <c r="F16" s="2">
        <f>(RawData!O16)*M16</f>
        <v>23.97</v>
      </c>
      <c r="G16" s="35">
        <f>RawData!H16</f>
        <v>5200</v>
      </c>
      <c r="H16">
        <f t="shared" si="2"/>
        <v>0</v>
      </c>
      <c r="I16">
        <f t="shared" si="2"/>
        <v>0</v>
      </c>
      <c r="J16">
        <f t="shared" si="2"/>
        <v>0</v>
      </c>
      <c r="K16">
        <f t="shared" si="2"/>
        <v>0</v>
      </c>
      <c r="L16">
        <f t="shared" si="2"/>
        <v>0</v>
      </c>
      <c r="M16" s="2">
        <f>IF(RawData!L16=0,1,0)</f>
        <v>1</v>
      </c>
      <c r="N16" t="s">
        <v>22</v>
      </c>
    </row>
    <row r="17" spans="1:15" x14ac:dyDescent="0.25">
      <c r="A17">
        <f t="shared" si="1"/>
        <v>0</v>
      </c>
      <c r="B17">
        <f>IF(C17=0,0,A17&amp;" "&amp;COUNTIF($A$1:$A17,A17))</f>
        <v>0</v>
      </c>
      <c r="C17" s="1">
        <v>0</v>
      </c>
      <c r="D17" s="2" t="str">
        <f>RawData!B17</f>
        <v>C</v>
      </c>
      <c r="E17" s="2" t="str">
        <f>RawData!C17&amp; " "&amp;RawData!E17</f>
        <v>Tristan Thompson</v>
      </c>
      <c r="F17" s="2">
        <f>(RawData!O17)*M17</f>
        <v>27.5</v>
      </c>
      <c r="G17" s="35">
        <f>RawData!H17</f>
        <v>5100</v>
      </c>
      <c r="H17">
        <f t="shared" si="2"/>
        <v>0</v>
      </c>
      <c r="I17">
        <f t="shared" si="2"/>
        <v>0</v>
      </c>
      <c r="J17">
        <f t="shared" si="2"/>
        <v>0</v>
      </c>
      <c r="K17">
        <f t="shared" si="2"/>
        <v>0</v>
      </c>
      <c r="L17">
        <f t="shared" si="2"/>
        <v>0</v>
      </c>
      <c r="M17" s="2">
        <f>IF(RawData!L17=0,1,0)</f>
        <v>1</v>
      </c>
      <c r="N17" t="s">
        <v>24</v>
      </c>
      <c r="O17" t="e">
        <f>VLOOKUP(N17,B2:F101,4,FALSE)</f>
        <v>#N/A</v>
      </c>
    </row>
    <row r="18" spans="1:15" x14ac:dyDescent="0.25">
      <c r="A18">
        <f t="shared" si="1"/>
        <v>0</v>
      </c>
      <c r="B18">
        <f>IF(C18=0,0,A18&amp;" "&amp;COUNTIF($A$1:$A18,A18))</f>
        <v>0</v>
      </c>
      <c r="C18" s="1">
        <v>0</v>
      </c>
      <c r="D18" s="2" t="str">
        <f>RawData!B18</f>
        <v>SG</v>
      </c>
      <c r="E18" s="2" t="str">
        <f>RawData!C18&amp; " "&amp;RawData!E18</f>
        <v>Marcus Smart</v>
      </c>
      <c r="F18" s="2">
        <f>(RawData!O18)*M18</f>
        <v>23.68</v>
      </c>
      <c r="G18" s="35">
        <f>RawData!H18</f>
        <v>5100</v>
      </c>
      <c r="H18">
        <f t="shared" si="2"/>
        <v>0</v>
      </c>
      <c r="I18">
        <f t="shared" si="2"/>
        <v>0</v>
      </c>
      <c r="J18">
        <f t="shared" si="2"/>
        <v>0</v>
      </c>
      <c r="K18">
        <f t="shared" si="2"/>
        <v>0</v>
      </c>
      <c r="L18">
        <f t="shared" si="2"/>
        <v>0</v>
      </c>
      <c r="M18" s="2">
        <f>IF(RawData!L18=0,1,0)</f>
        <v>1</v>
      </c>
      <c r="N18" t="s">
        <v>25</v>
      </c>
      <c r="O18" s="2" t="e">
        <f>VLOOKUP(N18,B2:F102,4,FALSE)</f>
        <v>#N/A</v>
      </c>
    </row>
    <row r="19" spans="1:15" x14ac:dyDescent="0.25">
      <c r="A19">
        <f t="shared" si="1"/>
        <v>0</v>
      </c>
      <c r="B19">
        <f>IF(C19=0,0,A19&amp;" "&amp;COUNTIF($A$1:$A19,A19))</f>
        <v>0</v>
      </c>
      <c r="C19" s="1">
        <v>0</v>
      </c>
      <c r="D19" s="2" t="str">
        <f>RawData!B19</f>
        <v>C</v>
      </c>
      <c r="E19" s="2" t="str">
        <f>RawData!C19&amp; " "&amp;RawData!E19</f>
        <v>Kelly Olynyk</v>
      </c>
      <c r="F19" s="2">
        <f>(RawData!O19)*M19</f>
        <v>19.899999999999999</v>
      </c>
      <c r="G19" s="35">
        <f>RawData!H19</f>
        <v>4800</v>
      </c>
      <c r="H19">
        <f t="shared" si="2"/>
        <v>0</v>
      </c>
      <c r="I19">
        <f t="shared" si="2"/>
        <v>0</v>
      </c>
      <c r="J19">
        <f t="shared" si="2"/>
        <v>0</v>
      </c>
      <c r="K19">
        <f t="shared" si="2"/>
        <v>0</v>
      </c>
      <c r="L19">
        <f t="shared" si="2"/>
        <v>0</v>
      </c>
      <c r="M19" s="2">
        <f>IF(RawData!L19=0,1,0)</f>
        <v>1</v>
      </c>
      <c r="N19" t="s">
        <v>26</v>
      </c>
      <c r="O19" s="2" t="e">
        <f>VLOOKUP(N19,B2:F103,4,FALSE)</f>
        <v>#N/A</v>
      </c>
    </row>
    <row r="20" spans="1:15" x14ac:dyDescent="0.25">
      <c r="A20">
        <f t="shared" si="1"/>
        <v>0</v>
      </c>
      <c r="B20">
        <f>IF(C20=0,0,A20&amp;" "&amp;COUNTIF($A$1:$A20,A20))</f>
        <v>0</v>
      </c>
      <c r="C20" s="1">
        <v>0</v>
      </c>
      <c r="D20" s="2" t="str">
        <f>RawData!B20</f>
        <v>SF</v>
      </c>
      <c r="E20" s="2" t="str">
        <f>RawData!C20&amp; " "&amp;RawData!E20</f>
        <v>Andre Iguodala</v>
      </c>
      <c r="F20" s="2">
        <f>(RawData!O20)*M20</f>
        <v>0</v>
      </c>
      <c r="G20" s="35">
        <f>RawData!H20</f>
        <v>4700</v>
      </c>
      <c r="H20">
        <f t="shared" si="2"/>
        <v>0</v>
      </c>
      <c r="I20">
        <f t="shared" si="2"/>
        <v>0</v>
      </c>
      <c r="J20">
        <f t="shared" si="2"/>
        <v>0</v>
      </c>
      <c r="K20">
        <f t="shared" si="2"/>
        <v>0</v>
      </c>
      <c r="L20">
        <f t="shared" si="2"/>
        <v>0</v>
      </c>
      <c r="M20" s="2">
        <f>IF(RawData!L20=0,1,0)</f>
        <v>0</v>
      </c>
      <c r="N20" t="s">
        <v>27</v>
      </c>
      <c r="O20" s="2" t="e">
        <f>VLOOKUP(N20,B2:F104,4,FALSE)</f>
        <v>#N/A</v>
      </c>
    </row>
    <row r="21" spans="1:15" x14ac:dyDescent="0.25">
      <c r="A21">
        <f t="shared" si="1"/>
        <v>0</v>
      </c>
      <c r="B21">
        <f>IF(C21=0,0,A21&amp;" "&amp;COUNTIF($A$1:$A21,A21))</f>
        <v>0</v>
      </c>
      <c r="C21" s="1">
        <v>0</v>
      </c>
      <c r="D21" s="2" t="str">
        <f>RawData!B21</f>
        <v>SF</v>
      </c>
      <c r="E21" s="2" t="str">
        <f>RawData!C21&amp; " "&amp;RawData!E21</f>
        <v>Jonathon Simmons</v>
      </c>
      <c r="F21" s="2">
        <f>(RawData!O21)*M21</f>
        <v>17.809999999999999</v>
      </c>
      <c r="G21" s="35">
        <f>RawData!H21</f>
        <v>4300</v>
      </c>
      <c r="H21">
        <f t="shared" si="2"/>
        <v>0</v>
      </c>
      <c r="I21">
        <f t="shared" si="2"/>
        <v>0</v>
      </c>
      <c r="J21">
        <f t="shared" si="2"/>
        <v>0</v>
      </c>
      <c r="K21">
        <f t="shared" si="2"/>
        <v>0</v>
      </c>
      <c r="L21">
        <f t="shared" si="2"/>
        <v>0</v>
      </c>
      <c r="M21" s="2">
        <f>IF(RawData!L21=0,1,0)</f>
        <v>1</v>
      </c>
      <c r="N21" t="s">
        <v>28</v>
      </c>
      <c r="O21" s="2" t="e">
        <f>VLOOKUP(N21,B2:F105,4,FALSE)</f>
        <v>#N/A</v>
      </c>
    </row>
    <row r="22" spans="1:15" x14ac:dyDescent="0.25">
      <c r="A22">
        <f t="shared" si="1"/>
        <v>0</v>
      </c>
      <c r="B22">
        <f>IF(C22=0,0,A22&amp;" "&amp;COUNTIF($A$1:$A22,A22))</f>
        <v>0</v>
      </c>
      <c r="C22" s="1">
        <v>0</v>
      </c>
      <c r="D22" s="2" t="str">
        <f>RawData!B22</f>
        <v>SG</v>
      </c>
      <c r="E22" s="2" t="str">
        <f>RawData!C22&amp; " "&amp;RawData!E22</f>
        <v>Danny Green</v>
      </c>
      <c r="F22" s="2">
        <f>(RawData!O22)*M22</f>
        <v>18.670000000000002</v>
      </c>
      <c r="G22" s="35">
        <f>RawData!H22</f>
        <v>4200</v>
      </c>
      <c r="H22">
        <f t="shared" si="2"/>
        <v>0</v>
      </c>
      <c r="I22">
        <f t="shared" si="2"/>
        <v>0</v>
      </c>
      <c r="J22">
        <f t="shared" si="2"/>
        <v>0</v>
      </c>
      <c r="K22">
        <f t="shared" si="2"/>
        <v>0</v>
      </c>
      <c r="L22">
        <f t="shared" si="2"/>
        <v>0</v>
      </c>
      <c r="M22" s="2">
        <f>IF(RawData!L22=0,1,0)</f>
        <v>1</v>
      </c>
      <c r="N22" t="s">
        <v>29</v>
      </c>
      <c r="O22" s="2" t="e">
        <f>VLOOKUP(N22,B2:F106,4,FALSE)</f>
        <v>#N/A</v>
      </c>
    </row>
    <row r="23" spans="1:15" x14ac:dyDescent="0.25">
      <c r="A23">
        <f t="shared" si="1"/>
        <v>0</v>
      </c>
      <c r="B23">
        <f>IF(C23=0,0,A23&amp;" "&amp;COUNTIF($A$1:$A23,A23))</f>
        <v>0</v>
      </c>
      <c r="C23" s="1">
        <v>0</v>
      </c>
      <c r="D23" s="2" t="str">
        <f>RawData!B23</f>
        <v>C</v>
      </c>
      <c r="E23" s="2" t="str">
        <f>RawData!C23&amp; " "&amp;RawData!E23</f>
        <v>JaVale McGee</v>
      </c>
      <c r="F23" s="2">
        <f>(RawData!O23)*M23</f>
        <v>9.67</v>
      </c>
      <c r="G23" s="35">
        <f>RawData!H23</f>
        <v>4000</v>
      </c>
      <c r="H23">
        <f t="shared" si="2"/>
        <v>0</v>
      </c>
      <c r="I23">
        <f t="shared" si="2"/>
        <v>0</v>
      </c>
      <c r="J23">
        <f t="shared" si="2"/>
        <v>0</v>
      </c>
      <c r="K23">
        <f t="shared" si="2"/>
        <v>0</v>
      </c>
      <c r="L23">
        <f t="shared" si="2"/>
        <v>0</v>
      </c>
      <c r="M23" s="2">
        <f>IF(RawData!L23=0,1,0)</f>
        <v>1</v>
      </c>
      <c r="N23" t="s">
        <v>30</v>
      </c>
      <c r="O23" s="2" t="e">
        <f>VLOOKUP(N23,B2:F107,4,FALSE)</f>
        <v>#N/A</v>
      </c>
    </row>
    <row r="24" spans="1:15" x14ac:dyDescent="0.25">
      <c r="A24">
        <f t="shared" si="1"/>
        <v>0</v>
      </c>
      <c r="B24">
        <f>IF(C24=0,0,A24&amp;" "&amp;COUNTIF($A$1:$A24,A24))</f>
        <v>0</v>
      </c>
      <c r="C24" s="1">
        <v>0</v>
      </c>
      <c r="D24" s="2" t="str">
        <f>RawData!B24</f>
        <v>C</v>
      </c>
      <c r="E24" s="2" t="str">
        <f>RawData!C24&amp; " "&amp;RawData!E24</f>
        <v>Zaza Pachulia</v>
      </c>
      <c r="F24" s="2">
        <f>(RawData!O24)*M24</f>
        <v>0</v>
      </c>
      <c r="G24" s="35">
        <f>RawData!H24</f>
        <v>4000</v>
      </c>
      <c r="H24">
        <f t="shared" si="2"/>
        <v>0</v>
      </c>
      <c r="I24">
        <f t="shared" si="2"/>
        <v>0</v>
      </c>
      <c r="J24">
        <f t="shared" si="2"/>
        <v>0</v>
      </c>
      <c r="K24">
        <f t="shared" si="2"/>
        <v>0</v>
      </c>
      <c r="L24">
        <f t="shared" si="2"/>
        <v>0</v>
      </c>
      <c r="M24" s="2">
        <f>IF(RawData!L24=0,1,0)</f>
        <v>0</v>
      </c>
      <c r="N24" t="s">
        <v>31</v>
      </c>
      <c r="O24" s="2" t="e">
        <f>VLOOKUP(N24,B2:F108,4,FALSE)</f>
        <v>#N/A</v>
      </c>
    </row>
    <row r="25" spans="1:15" x14ac:dyDescent="0.25">
      <c r="A25">
        <f t="shared" si="1"/>
        <v>0</v>
      </c>
      <c r="B25">
        <f>IF(C25=0,0,A25&amp;" "&amp;COUNTIF($A$1:$A25,A25))</f>
        <v>0</v>
      </c>
      <c r="C25" s="1">
        <v>0</v>
      </c>
      <c r="D25" s="2" t="str">
        <f>RawData!B25</f>
        <v>SG</v>
      </c>
      <c r="E25" s="2" t="str">
        <f>RawData!C25&amp; " "&amp;RawData!E25</f>
        <v>Kyle Korver</v>
      </c>
      <c r="F25" s="2">
        <f>(RawData!O25)*M25</f>
        <v>12.53</v>
      </c>
      <c r="G25" s="35">
        <f>RawData!H25</f>
        <v>3500</v>
      </c>
      <c r="H25">
        <f t="shared" si="2"/>
        <v>0</v>
      </c>
      <c r="I25">
        <f t="shared" si="2"/>
        <v>0</v>
      </c>
      <c r="J25">
        <f t="shared" si="2"/>
        <v>0</v>
      </c>
      <c r="K25">
        <f t="shared" si="2"/>
        <v>0</v>
      </c>
      <c r="L25">
        <f t="shared" si="2"/>
        <v>0</v>
      </c>
      <c r="M25" s="2">
        <f>IF(RawData!L25=0,1,0)</f>
        <v>1</v>
      </c>
      <c r="N25" t="s">
        <v>62</v>
      </c>
      <c r="O25" s="2" t="e">
        <f>VLOOKUP(N25,B3:F109,4,FALSE)</f>
        <v>#N/A</v>
      </c>
    </row>
    <row r="26" spans="1:15" x14ac:dyDescent="0.25">
      <c r="A26">
        <f t="shared" si="1"/>
        <v>0</v>
      </c>
      <c r="B26">
        <f>IF(C26=0,0,A26&amp;" "&amp;COUNTIF($A$1:$A26,A26))</f>
        <v>0</v>
      </c>
      <c r="C26" s="1">
        <v>0</v>
      </c>
      <c r="D26" s="2" t="str">
        <f>RawData!B26</f>
        <v>SG</v>
      </c>
      <c r="E26" s="2" t="str">
        <f>RawData!C26&amp; " "&amp;RawData!E26</f>
        <v>Patrick McCaw</v>
      </c>
      <c r="F26" s="2">
        <f>(RawData!O26)*M26</f>
        <v>7.02</v>
      </c>
      <c r="G26" s="35">
        <f>RawData!H26</f>
        <v>3500</v>
      </c>
      <c r="H26">
        <f t="shared" si="2"/>
        <v>0</v>
      </c>
      <c r="I26">
        <f t="shared" si="2"/>
        <v>0</v>
      </c>
      <c r="J26">
        <f t="shared" si="2"/>
        <v>0</v>
      </c>
      <c r="K26">
        <f t="shared" si="2"/>
        <v>0</v>
      </c>
      <c r="L26">
        <f t="shared" si="2"/>
        <v>0</v>
      </c>
      <c r="M26" s="2">
        <f>IF(RawData!L26=0,1,0)</f>
        <v>1</v>
      </c>
    </row>
    <row r="27" spans="1:15" x14ac:dyDescent="0.25">
      <c r="A27">
        <f t="shared" si="1"/>
        <v>0</v>
      </c>
      <c r="B27">
        <f>IF(C27=0,0,A27&amp;" "&amp;COUNTIF($A$1:$A27,A27))</f>
        <v>0</v>
      </c>
      <c r="C27" s="1">
        <v>0</v>
      </c>
      <c r="D27" s="2" t="str">
        <f>RawData!B27</f>
        <v>C</v>
      </c>
      <c r="E27" s="2" t="str">
        <f>RawData!C27&amp; " "&amp;RawData!E27</f>
        <v>Joel Anthony</v>
      </c>
      <c r="F27" s="2">
        <f>(RawData!O27)*M27</f>
        <v>0</v>
      </c>
      <c r="G27" s="35">
        <f>RawData!H27</f>
        <v>3500</v>
      </c>
      <c r="H27">
        <f t="shared" si="2"/>
        <v>0</v>
      </c>
      <c r="I27">
        <f t="shared" si="2"/>
        <v>0</v>
      </c>
      <c r="J27">
        <f t="shared" si="2"/>
        <v>0</v>
      </c>
      <c r="K27">
        <f t="shared" si="2"/>
        <v>0</v>
      </c>
      <c r="L27">
        <f t="shared" si="2"/>
        <v>0</v>
      </c>
      <c r="M27" s="2">
        <f>IF(RawData!L27=0,1,0)</f>
        <v>1</v>
      </c>
    </row>
    <row r="28" spans="1:15" x14ac:dyDescent="0.25">
      <c r="A28">
        <f t="shared" si="1"/>
        <v>0</v>
      </c>
      <c r="B28">
        <f>IF(C28=0,0,A28&amp;" "&amp;COUNTIF($A$1:$A28,A28))</f>
        <v>0</v>
      </c>
      <c r="C28" s="1">
        <v>0</v>
      </c>
      <c r="D28" s="2" t="str">
        <f>RawData!B28</f>
        <v>PF</v>
      </c>
      <c r="E28" s="2" t="str">
        <f>RawData!C28&amp; " "&amp;RawData!E28</f>
        <v>Channing Frye</v>
      </c>
      <c r="F28" s="2">
        <f>(RawData!O28)*M28</f>
        <v>10.15</v>
      </c>
      <c r="G28" s="35">
        <f>RawData!H28</f>
        <v>3500</v>
      </c>
      <c r="H28">
        <f t="shared" si="2"/>
        <v>0</v>
      </c>
      <c r="I28">
        <f t="shared" si="2"/>
        <v>0</v>
      </c>
      <c r="J28">
        <f t="shared" si="2"/>
        <v>0</v>
      </c>
      <c r="K28">
        <f t="shared" si="2"/>
        <v>0</v>
      </c>
      <c r="L28">
        <f t="shared" si="2"/>
        <v>0</v>
      </c>
      <c r="M28" s="2">
        <f>IF(RawData!L28=0,1,0)</f>
        <v>1</v>
      </c>
    </row>
    <row r="29" spans="1:15" x14ac:dyDescent="0.25">
      <c r="A29">
        <f t="shared" si="1"/>
        <v>0</v>
      </c>
      <c r="B29">
        <f>IF(C29=0,0,A29&amp;" "&amp;COUNTIF($A$1:$A29,A29))</f>
        <v>0</v>
      </c>
      <c r="C29" s="1">
        <v>0</v>
      </c>
      <c r="D29" s="2" t="str">
        <f>RawData!B29</f>
        <v>SG</v>
      </c>
      <c r="E29" s="2" t="str">
        <f>RawData!C29&amp; " "&amp;RawData!E29</f>
        <v>J.R. Smith</v>
      </c>
      <c r="F29" s="2">
        <f>(RawData!O29)*M29</f>
        <v>14.71</v>
      </c>
      <c r="G29" s="35">
        <f>RawData!H29</f>
        <v>3300</v>
      </c>
      <c r="H29">
        <f t="shared" si="2"/>
        <v>0</v>
      </c>
      <c r="I29">
        <f t="shared" si="2"/>
        <v>0</v>
      </c>
      <c r="J29">
        <f t="shared" si="2"/>
        <v>0</v>
      </c>
      <c r="K29">
        <f t="shared" si="2"/>
        <v>0</v>
      </c>
      <c r="L29">
        <f t="shared" si="2"/>
        <v>0</v>
      </c>
      <c r="M29" s="2">
        <f>IF(RawData!L29=0,1,0)</f>
        <v>1</v>
      </c>
    </row>
    <row r="30" spans="1:15" x14ac:dyDescent="0.25">
      <c r="A30">
        <f t="shared" si="1"/>
        <v>0</v>
      </c>
      <c r="B30">
        <f>IF(C30=0,0,A30&amp;" "&amp;COUNTIF($A$1:$A30,A30))</f>
        <v>0</v>
      </c>
      <c r="C30" s="1">
        <v>0</v>
      </c>
      <c r="D30" s="2" t="str">
        <f>RawData!B30</f>
        <v>PF</v>
      </c>
      <c r="E30" s="2" t="str">
        <f>RawData!C30&amp; " "&amp;RawData!E30</f>
        <v>David West</v>
      </c>
      <c r="F30" s="2">
        <f>(RawData!O30)*M30</f>
        <v>11.73</v>
      </c>
      <c r="G30" s="35">
        <f>RawData!H30</f>
        <v>3200</v>
      </c>
      <c r="H30">
        <f t="shared" si="2"/>
        <v>0</v>
      </c>
      <c r="I30">
        <f t="shared" si="2"/>
        <v>0</v>
      </c>
      <c r="J30">
        <f t="shared" si="2"/>
        <v>0</v>
      </c>
      <c r="K30">
        <f t="shared" si="2"/>
        <v>0</v>
      </c>
      <c r="L30">
        <f t="shared" si="2"/>
        <v>0</v>
      </c>
      <c r="M30" s="2">
        <f>IF(RawData!L30=0,1,0)</f>
        <v>1</v>
      </c>
    </row>
    <row r="31" spans="1:15" x14ac:dyDescent="0.25">
      <c r="A31">
        <f t="shared" si="1"/>
        <v>0</v>
      </c>
      <c r="B31">
        <f>IF(C31=0,0,A31&amp;" "&amp;COUNTIF($A$1:$A31,A31))</f>
        <v>0</v>
      </c>
      <c r="C31" s="1">
        <v>0</v>
      </c>
      <c r="D31" s="2" t="str">
        <f>RawData!B31</f>
        <v>SG</v>
      </c>
      <c r="E31" s="2" t="str">
        <f>RawData!C31&amp; " "&amp;RawData!E31</f>
        <v>Iman Shumpert</v>
      </c>
      <c r="F31" s="2">
        <f>(RawData!O31)*M31</f>
        <v>11.58</v>
      </c>
      <c r="G31" s="35">
        <f>RawData!H31</f>
        <v>3100</v>
      </c>
      <c r="H31">
        <f t="shared" si="2"/>
        <v>0</v>
      </c>
      <c r="I31">
        <f t="shared" si="2"/>
        <v>0</v>
      </c>
      <c r="J31">
        <f t="shared" si="2"/>
        <v>0</v>
      </c>
      <c r="K31">
        <f t="shared" si="2"/>
        <v>0</v>
      </c>
      <c r="L31">
        <f t="shared" si="2"/>
        <v>0</v>
      </c>
      <c r="M31" s="2">
        <f>IF(RawData!L31=0,1,0)</f>
        <v>1</v>
      </c>
    </row>
    <row r="32" spans="1:15" x14ac:dyDescent="0.25">
      <c r="A32">
        <f t="shared" si="1"/>
        <v>0</v>
      </c>
      <c r="B32">
        <f>IF(C32=0,0,A32&amp;" "&amp;COUNTIF($A$1:$A32,A32))</f>
        <v>0</v>
      </c>
      <c r="C32" s="1">
        <v>0</v>
      </c>
      <c r="D32" s="2" t="str">
        <f>RawData!B32</f>
        <v>PF</v>
      </c>
      <c r="E32" s="2" t="str">
        <f>RawData!C32&amp; " "&amp;RawData!E32</f>
        <v>David Lee</v>
      </c>
      <c r="F32" s="2">
        <f>(RawData!O32)*M32</f>
        <v>5.31</v>
      </c>
      <c r="G32" s="35">
        <f>RawData!H32</f>
        <v>3000</v>
      </c>
      <c r="H32">
        <f t="shared" si="2"/>
        <v>0</v>
      </c>
      <c r="I32">
        <f t="shared" si="2"/>
        <v>0</v>
      </c>
      <c r="J32">
        <f t="shared" si="2"/>
        <v>0</v>
      </c>
      <c r="K32">
        <f t="shared" si="2"/>
        <v>0</v>
      </c>
      <c r="L32">
        <f t="shared" si="2"/>
        <v>0</v>
      </c>
      <c r="M32" s="2">
        <f>IF(RawData!L32=0,1,0)</f>
        <v>1</v>
      </c>
    </row>
    <row r="33" spans="1:13" x14ac:dyDescent="0.25">
      <c r="A33">
        <f t="shared" si="1"/>
        <v>0</v>
      </c>
      <c r="B33">
        <f>IF(C33=0,0,A33&amp;" "&amp;COUNTIF($A$1:$A33,A33))</f>
        <v>0</v>
      </c>
      <c r="C33" s="1">
        <v>0</v>
      </c>
      <c r="D33" s="2" t="str">
        <f>RawData!B33</f>
        <v>SG</v>
      </c>
      <c r="E33" s="2" t="str">
        <f>RawData!C33&amp; " "&amp;RawData!E33</f>
        <v>Ian Clark</v>
      </c>
      <c r="F33" s="2">
        <f>(RawData!O33)*M33</f>
        <v>6.09</v>
      </c>
      <c r="G33" s="35">
        <f>RawData!H33</f>
        <v>3000</v>
      </c>
      <c r="H33">
        <f t="shared" si="2"/>
        <v>0</v>
      </c>
      <c r="I33">
        <f t="shared" si="2"/>
        <v>0</v>
      </c>
      <c r="J33">
        <f t="shared" si="2"/>
        <v>0</v>
      </c>
      <c r="K33">
        <f t="shared" si="2"/>
        <v>0</v>
      </c>
      <c r="L33">
        <f t="shared" si="2"/>
        <v>0</v>
      </c>
      <c r="M33" s="2">
        <f>IF(RawData!L33=0,1,0)</f>
        <v>1</v>
      </c>
    </row>
    <row r="34" spans="1:13" x14ac:dyDescent="0.25">
      <c r="A34">
        <f t="shared" si="1"/>
        <v>0</v>
      </c>
      <c r="B34">
        <f>IF(C34=0,0,A34&amp;" "&amp;COUNTIF($A$1:$A34,A34))</f>
        <v>0</v>
      </c>
      <c r="C34" s="1">
        <v>0</v>
      </c>
      <c r="D34" s="2" t="str">
        <f>RawData!B34</f>
        <v>SG</v>
      </c>
      <c r="E34" s="2" t="str">
        <f>RawData!C34&amp; " "&amp;RawData!E34</f>
        <v>Manu Ginobili</v>
      </c>
      <c r="F34" s="2">
        <f>(RawData!O34)*M34</f>
        <v>19.02</v>
      </c>
      <c r="G34" s="35">
        <f>RawData!H34</f>
        <v>3000</v>
      </c>
      <c r="H34">
        <f t="shared" si="2"/>
        <v>0</v>
      </c>
      <c r="I34">
        <f t="shared" si="2"/>
        <v>0</v>
      </c>
      <c r="J34">
        <f t="shared" si="2"/>
        <v>0</v>
      </c>
      <c r="K34">
        <f t="shared" si="2"/>
        <v>0</v>
      </c>
      <c r="L34">
        <f t="shared" si="2"/>
        <v>0</v>
      </c>
      <c r="M34" s="2">
        <f>IF(RawData!L34=0,1,0)</f>
        <v>1</v>
      </c>
    </row>
    <row r="35" spans="1:13" x14ac:dyDescent="0.25">
      <c r="A35">
        <f t="shared" si="1"/>
        <v>0</v>
      </c>
      <c r="B35">
        <f>IF(C35=0,0,A35&amp;" "&amp;COUNTIF($A$1:$A35,A35))</f>
        <v>0</v>
      </c>
      <c r="C35" s="1">
        <v>0</v>
      </c>
      <c r="D35" s="2" t="str">
        <f>RawData!B35</f>
        <v>SF</v>
      </c>
      <c r="E35" s="2" t="str">
        <f>RawData!C35&amp; " "&amp;RawData!E35</f>
        <v>Richard Jefferson</v>
      </c>
      <c r="F35" s="2">
        <f>(RawData!O35)*M35</f>
        <v>0</v>
      </c>
      <c r="G35" s="35">
        <f>RawData!H35</f>
        <v>2900</v>
      </c>
      <c r="H35">
        <f t="shared" si="2"/>
        <v>0</v>
      </c>
      <c r="I35">
        <f t="shared" si="2"/>
        <v>0</v>
      </c>
      <c r="J35">
        <f t="shared" si="2"/>
        <v>0</v>
      </c>
      <c r="K35">
        <f t="shared" si="2"/>
        <v>0</v>
      </c>
      <c r="L35">
        <f t="shared" si="2"/>
        <v>0</v>
      </c>
      <c r="M35" s="2">
        <f>IF(RawData!L35=0,1,0)</f>
        <v>1</v>
      </c>
    </row>
    <row r="36" spans="1:13" x14ac:dyDescent="0.25">
      <c r="A36">
        <f t="shared" si="1"/>
        <v>0</v>
      </c>
      <c r="B36">
        <f>IF(C36=0,0,A36&amp;" "&amp;COUNTIF($A$1:$A36,A36))</f>
        <v>0</v>
      </c>
      <c r="C36" s="1">
        <v>0</v>
      </c>
      <c r="D36" s="2" t="str">
        <f>RawData!B36</f>
        <v>PG</v>
      </c>
      <c r="E36" s="2" t="str">
        <f>RawData!C36&amp; " "&amp;RawData!E36</f>
        <v>Dejounte Murray</v>
      </c>
      <c r="F36" s="2">
        <f>(RawData!O36)*M36</f>
        <v>10.029999999999999</v>
      </c>
      <c r="G36" s="35">
        <f>RawData!H36</f>
        <v>2600</v>
      </c>
      <c r="H36">
        <f t="shared" si="2"/>
        <v>0</v>
      </c>
      <c r="I36">
        <f t="shared" si="2"/>
        <v>0</v>
      </c>
      <c r="J36">
        <f t="shared" si="2"/>
        <v>0</v>
      </c>
      <c r="K36">
        <f t="shared" si="2"/>
        <v>0</v>
      </c>
      <c r="L36">
        <f t="shared" si="2"/>
        <v>0</v>
      </c>
      <c r="M36" s="2">
        <f>IF(RawData!L36=0,1,0)</f>
        <v>1</v>
      </c>
    </row>
    <row r="37" spans="1:13" x14ac:dyDescent="0.25">
      <c r="A37">
        <f t="shared" si="1"/>
        <v>0</v>
      </c>
      <c r="B37">
        <f>IF(C37=0,0,A37&amp;" "&amp;COUNTIF($A$1:$A37,A37))</f>
        <v>0</v>
      </c>
      <c r="C37" s="1">
        <v>0</v>
      </c>
      <c r="D37" s="2" t="str">
        <f>RawData!B37</f>
        <v>PF</v>
      </c>
      <c r="E37" s="2" t="str">
        <f>RawData!C37&amp; " "&amp;RawData!E37</f>
        <v>Amir Johnson</v>
      </c>
      <c r="F37" s="2">
        <f>(RawData!O37)*M37</f>
        <v>6.8</v>
      </c>
      <c r="G37" s="35">
        <f>RawData!H37</f>
        <v>2500</v>
      </c>
      <c r="H37">
        <f t="shared" si="2"/>
        <v>0</v>
      </c>
      <c r="I37">
        <f t="shared" si="2"/>
        <v>0</v>
      </c>
      <c r="J37">
        <f t="shared" si="2"/>
        <v>0</v>
      </c>
      <c r="K37">
        <f t="shared" si="2"/>
        <v>0</v>
      </c>
      <c r="L37">
        <f t="shared" si="2"/>
        <v>0</v>
      </c>
      <c r="M37" s="2">
        <f>IF(RawData!L37=0,1,0)</f>
        <v>1</v>
      </c>
    </row>
    <row r="38" spans="1:13" x14ac:dyDescent="0.25">
      <c r="A38">
        <f t="shared" si="1"/>
        <v>0</v>
      </c>
      <c r="B38">
        <f>IF(C38=0,0,A38&amp;" "&amp;COUNTIF($A$1:$A38,A38))</f>
        <v>0</v>
      </c>
      <c r="C38" s="1">
        <v>0</v>
      </c>
      <c r="D38" s="2" t="str">
        <f>RawData!B38</f>
        <v>SF</v>
      </c>
      <c r="E38" s="2" t="str">
        <f>RawData!C38&amp; " "&amp;RawData!E38</f>
        <v>Kyle Anderson</v>
      </c>
      <c r="F38" s="2">
        <f>(RawData!O38)*M38</f>
        <v>6.32</v>
      </c>
      <c r="G38" s="35">
        <f>RawData!H38</f>
        <v>2500</v>
      </c>
      <c r="H38">
        <f t="shared" si="2"/>
        <v>0</v>
      </c>
      <c r="I38">
        <f t="shared" si="2"/>
        <v>0</v>
      </c>
      <c r="J38">
        <f t="shared" si="2"/>
        <v>0</v>
      </c>
      <c r="K38">
        <f t="shared" si="2"/>
        <v>0</v>
      </c>
      <c r="L38">
        <f t="shared" si="2"/>
        <v>0</v>
      </c>
      <c r="M38" s="2">
        <f>IF(RawData!L38=0,1,0)</f>
        <v>1</v>
      </c>
    </row>
    <row r="39" spans="1:13" x14ac:dyDescent="0.25">
      <c r="A39">
        <f t="shared" si="1"/>
        <v>0</v>
      </c>
      <c r="B39">
        <f>IF(C39=0,0,A39&amp;" "&amp;COUNTIF($A$1:$A39,A39))</f>
        <v>0</v>
      </c>
      <c r="C39" s="1">
        <v>0</v>
      </c>
      <c r="D39" s="2" t="str">
        <f>RawData!B39</f>
        <v>PG</v>
      </c>
      <c r="E39" s="2" t="str">
        <f>RawData!C39&amp; " "&amp;RawData!E39</f>
        <v>Deron Williams</v>
      </c>
      <c r="F39" s="2">
        <f>(RawData!O39)*M39</f>
        <v>9.1199999999999992</v>
      </c>
      <c r="G39" s="35">
        <f>RawData!H39</f>
        <v>2500</v>
      </c>
      <c r="H39">
        <f t="shared" si="2"/>
        <v>0</v>
      </c>
      <c r="I39">
        <f t="shared" si="2"/>
        <v>0</v>
      </c>
      <c r="J39">
        <f t="shared" si="2"/>
        <v>0</v>
      </c>
      <c r="K39">
        <f t="shared" si="2"/>
        <v>0</v>
      </c>
      <c r="L39">
        <f t="shared" si="2"/>
        <v>0</v>
      </c>
      <c r="M39" s="2">
        <f>IF(RawData!L39=0,1,0)</f>
        <v>1</v>
      </c>
    </row>
    <row r="40" spans="1:13" x14ac:dyDescent="0.25">
      <c r="A40">
        <f t="shared" si="1"/>
        <v>0</v>
      </c>
      <c r="B40">
        <f>IF(C40=0,0,A40&amp;" "&amp;COUNTIF($A$1:$A40,A40))</f>
        <v>0</v>
      </c>
      <c r="C40" s="1">
        <v>0</v>
      </c>
      <c r="D40" s="2" t="str">
        <f>RawData!B40</f>
        <v>PG</v>
      </c>
      <c r="E40" s="2" t="str">
        <f>RawData!C40&amp; " "&amp;RawData!E40</f>
        <v>Terry Rozier</v>
      </c>
      <c r="F40" s="2">
        <f>(RawData!O40)*M40</f>
        <v>5.77</v>
      </c>
      <c r="G40" s="35">
        <f>RawData!H40</f>
        <v>2300</v>
      </c>
      <c r="H40">
        <f t="shared" si="2"/>
        <v>0</v>
      </c>
      <c r="I40">
        <f t="shared" si="2"/>
        <v>0</v>
      </c>
      <c r="J40">
        <f t="shared" si="2"/>
        <v>0</v>
      </c>
      <c r="K40">
        <f t="shared" si="2"/>
        <v>0</v>
      </c>
      <c r="L40">
        <f t="shared" si="2"/>
        <v>0</v>
      </c>
      <c r="M40" s="2">
        <f>IF(RawData!L40=0,1,0)</f>
        <v>1</v>
      </c>
    </row>
    <row r="41" spans="1:13" x14ac:dyDescent="0.25">
      <c r="A41">
        <f t="shared" si="1"/>
        <v>0</v>
      </c>
      <c r="B41">
        <f>IF(C41=0,0,A41&amp;" "&amp;COUNTIF($A$1:$A41,A41))</f>
        <v>0</v>
      </c>
      <c r="C41" s="1">
        <v>0</v>
      </c>
      <c r="D41" s="2" t="str">
        <f>RawData!B41</f>
        <v>SF</v>
      </c>
      <c r="E41" s="2" t="str">
        <f>RawData!C41&amp; " "&amp;RawData!E41</f>
        <v>Jaylen Brown</v>
      </c>
      <c r="F41" s="2">
        <f>(RawData!O41)*M41</f>
        <v>13.08</v>
      </c>
      <c r="G41" s="35">
        <f>RawData!H41</f>
        <v>2100</v>
      </c>
      <c r="H41">
        <f t="shared" si="2"/>
        <v>0</v>
      </c>
      <c r="I41">
        <f t="shared" si="2"/>
        <v>0</v>
      </c>
      <c r="J41">
        <f t="shared" ref="I41:L56" si="3">IF($D41=J$1,$C41*1,0)</f>
        <v>0</v>
      </c>
      <c r="K41">
        <f t="shared" si="3"/>
        <v>0</v>
      </c>
      <c r="L41">
        <f t="shared" si="3"/>
        <v>0</v>
      </c>
      <c r="M41" s="2">
        <f>IF(RawData!L41=0,1,0)</f>
        <v>1</v>
      </c>
    </row>
    <row r="42" spans="1:13" x14ac:dyDescent="0.25">
      <c r="A42">
        <f t="shared" si="1"/>
        <v>0</v>
      </c>
      <c r="B42">
        <f>IF(C42=0,0,A42&amp;" "&amp;COUNTIF($A$1:$A42,A42))</f>
        <v>0</v>
      </c>
      <c r="C42" s="1">
        <v>0</v>
      </c>
      <c r="D42" s="2" t="str">
        <f>RawData!B42</f>
        <v>SG</v>
      </c>
      <c r="E42" s="2" t="str">
        <f>RawData!C42&amp; " "&amp;RawData!E42</f>
        <v>Gerald Green</v>
      </c>
      <c r="F42" s="2">
        <f>(RawData!O42)*M42</f>
        <v>4.6900000000000004</v>
      </c>
      <c r="G42" s="35">
        <f>RawData!H42</f>
        <v>2100</v>
      </c>
      <c r="H42">
        <f t="shared" si="2"/>
        <v>0</v>
      </c>
      <c r="I42">
        <f t="shared" si="3"/>
        <v>0</v>
      </c>
      <c r="J42">
        <f t="shared" si="3"/>
        <v>0</v>
      </c>
      <c r="K42">
        <f t="shared" si="3"/>
        <v>0</v>
      </c>
      <c r="L42">
        <f t="shared" si="3"/>
        <v>0</v>
      </c>
      <c r="M42" s="2">
        <f>IF(RawData!L42=0,1,0)</f>
        <v>1</v>
      </c>
    </row>
    <row r="43" spans="1:13" x14ac:dyDescent="0.25">
      <c r="A43">
        <f t="shared" si="1"/>
        <v>0</v>
      </c>
      <c r="B43">
        <f>IF(C43=0,0,A43&amp;" "&amp;COUNTIF($A$1:$A43,A43))</f>
        <v>0</v>
      </c>
      <c r="C43" s="1">
        <v>0</v>
      </c>
      <c r="D43" s="2" t="str">
        <f>RawData!B43</f>
        <v>C</v>
      </c>
      <c r="E43" s="2" t="str">
        <f>RawData!C43&amp; " "&amp;RawData!E43</f>
        <v>Dewayne Dedmon</v>
      </c>
      <c r="F43" s="2">
        <f>(RawData!O43)*M43</f>
        <v>5.49</v>
      </c>
      <c r="G43" s="35">
        <f>RawData!H43</f>
        <v>2000</v>
      </c>
      <c r="H43">
        <f t="shared" si="2"/>
        <v>0</v>
      </c>
      <c r="I43">
        <f t="shared" si="3"/>
        <v>0</v>
      </c>
      <c r="J43">
        <f t="shared" si="3"/>
        <v>0</v>
      </c>
      <c r="K43">
        <f t="shared" si="3"/>
        <v>0</v>
      </c>
      <c r="L43">
        <f t="shared" si="3"/>
        <v>0</v>
      </c>
      <c r="M43" s="2">
        <f>IF(RawData!L43=0,1,0)</f>
        <v>1</v>
      </c>
    </row>
    <row r="44" spans="1:13" x14ac:dyDescent="0.25">
      <c r="A44">
        <f t="shared" si="1"/>
        <v>0</v>
      </c>
      <c r="B44">
        <f>IF(C44=0,0,A44&amp;" "&amp;COUNTIF($A$1:$A44,A44))</f>
        <v>0</v>
      </c>
      <c r="C44" s="1">
        <v>0</v>
      </c>
      <c r="D44" s="2" t="str">
        <f>RawData!B44</f>
        <v>PF</v>
      </c>
      <c r="E44" s="2" t="str">
        <f>RawData!C44&amp; " "&amp;RawData!E44</f>
        <v>James Michael McAdoo</v>
      </c>
      <c r="F44" s="2">
        <f>(RawData!O44)*M44</f>
        <v>0</v>
      </c>
      <c r="G44" s="35">
        <f>RawData!H44</f>
        <v>1900</v>
      </c>
      <c r="H44">
        <f t="shared" si="2"/>
        <v>0</v>
      </c>
      <c r="I44">
        <f t="shared" si="3"/>
        <v>0</v>
      </c>
      <c r="J44">
        <f t="shared" si="3"/>
        <v>0</v>
      </c>
      <c r="K44">
        <f t="shared" si="3"/>
        <v>0</v>
      </c>
      <c r="L44">
        <f t="shared" si="3"/>
        <v>0</v>
      </c>
      <c r="M44" s="2">
        <f>IF(RawData!L44=0,1,0)</f>
        <v>1</v>
      </c>
    </row>
    <row r="45" spans="1:13" x14ac:dyDescent="0.25">
      <c r="A45">
        <f t="shared" si="1"/>
        <v>0</v>
      </c>
      <c r="B45">
        <f>IF(C45=0,0,A45&amp;" "&amp;COUNTIF($A$1:$A45,A45))</f>
        <v>0</v>
      </c>
      <c r="C45" s="1">
        <v>0</v>
      </c>
      <c r="D45" s="2" t="str">
        <f>RawData!B45</f>
        <v>PF</v>
      </c>
      <c r="E45" s="2" t="str">
        <f>RawData!C45&amp; " "&amp;RawData!E45</f>
        <v>Derrick Williams</v>
      </c>
      <c r="F45" s="2">
        <f>(RawData!O45)*M45</f>
        <v>0</v>
      </c>
      <c r="G45" s="35">
        <f>RawData!H45</f>
        <v>1800</v>
      </c>
      <c r="H45">
        <f t="shared" si="2"/>
        <v>0</v>
      </c>
      <c r="I45">
        <f t="shared" si="3"/>
        <v>0</v>
      </c>
      <c r="J45">
        <f t="shared" si="3"/>
        <v>0</v>
      </c>
      <c r="K45">
        <f t="shared" si="3"/>
        <v>0</v>
      </c>
      <c r="L45">
        <f t="shared" si="3"/>
        <v>0</v>
      </c>
      <c r="M45" s="2">
        <f>IF(RawData!L45=0,1,0)</f>
        <v>1</v>
      </c>
    </row>
    <row r="46" spans="1:13" x14ac:dyDescent="0.25">
      <c r="A46">
        <f t="shared" si="1"/>
        <v>0</v>
      </c>
      <c r="B46">
        <f>IF(C46=0,0,A46&amp;" "&amp;COUNTIF($A$1:$A46,A46))</f>
        <v>0</v>
      </c>
      <c r="C46" s="1">
        <v>0</v>
      </c>
      <c r="D46" s="2" t="str">
        <f>RawData!B46</f>
        <v>SF</v>
      </c>
      <c r="E46" s="2" t="str">
        <f>RawData!C46&amp; " "&amp;RawData!E46</f>
        <v>James Young</v>
      </c>
      <c r="F46" s="2">
        <f>(RawData!O46)*M46</f>
        <v>0</v>
      </c>
      <c r="G46" s="35">
        <f>RawData!H46</f>
        <v>1700</v>
      </c>
      <c r="H46">
        <f t="shared" si="2"/>
        <v>0</v>
      </c>
      <c r="I46">
        <f t="shared" si="3"/>
        <v>0</v>
      </c>
      <c r="J46">
        <f t="shared" si="3"/>
        <v>0</v>
      </c>
      <c r="K46">
        <f t="shared" si="3"/>
        <v>0</v>
      </c>
      <c r="L46">
        <f t="shared" si="3"/>
        <v>0</v>
      </c>
      <c r="M46" s="2">
        <f>IF(RawData!L46=0,1,0)</f>
        <v>1</v>
      </c>
    </row>
    <row r="47" spans="1:13" x14ac:dyDescent="0.25">
      <c r="A47">
        <f t="shared" si="1"/>
        <v>0</v>
      </c>
      <c r="B47">
        <f>IF(C47=0,0,A47&amp;" "&amp;COUNTIF($A$1:$A47,A47))</f>
        <v>0</v>
      </c>
      <c r="C47" s="1">
        <v>0</v>
      </c>
      <c r="D47" s="2" t="str">
        <f>RawData!B47</f>
        <v>C</v>
      </c>
      <c r="E47" s="2" t="str">
        <f>RawData!C47&amp; " "&amp;RawData!E47</f>
        <v>Anderson Varejao</v>
      </c>
      <c r="F47" s="2">
        <f>(RawData!O47)*M47</f>
        <v>0</v>
      </c>
      <c r="G47" s="35">
        <f>RawData!H47</f>
        <v>1500</v>
      </c>
      <c r="H47">
        <f t="shared" si="2"/>
        <v>0</v>
      </c>
      <c r="I47">
        <f t="shared" si="3"/>
        <v>0</v>
      </c>
      <c r="J47">
        <f t="shared" si="3"/>
        <v>0</v>
      </c>
      <c r="K47">
        <f t="shared" si="3"/>
        <v>0</v>
      </c>
      <c r="L47">
        <f t="shared" si="3"/>
        <v>0</v>
      </c>
      <c r="M47" s="2">
        <f>IF(RawData!L47=0,1,0)</f>
        <v>1</v>
      </c>
    </row>
    <row r="48" spans="1:13" x14ac:dyDescent="0.25">
      <c r="A48">
        <f t="shared" si="1"/>
        <v>0</v>
      </c>
      <c r="B48">
        <f>IF(C48=0,0,A48&amp;" "&amp;COUNTIF($A$1:$A48,A48))</f>
        <v>0</v>
      </c>
      <c r="C48" s="1">
        <v>0</v>
      </c>
      <c r="D48" s="2" t="str">
        <f>RawData!B48</f>
        <v>C</v>
      </c>
      <c r="E48" s="2" t="str">
        <f>RawData!C48&amp; " "&amp;RawData!E48</f>
        <v>Edy Tavares</v>
      </c>
      <c r="F48" s="2">
        <f>(RawData!O48)*M48</f>
        <v>0</v>
      </c>
      <c r="G48" s="35">
        <f>RawData!H48</f>
        <v>1500</v>
      </c>
      <c r="H48">
        <f t="shared" si="2"/>
        <v>0</v>
      </c>
      <c r="I48">
        <f t="shared" si="3"/>
        <v>0</v>
      </c>
      <c r="J48">
        <f t="shared" si="3"/>
        <v>0</v>
      </c>
      <c r="K48">
        <f t="shared" si="3"/>
        <v>0</v>
      </c>
      <c r="L48">
        <f t="shared" si="3"/>
        <v>0</v>
      </c>
      <c r="M48" s="2">
        <f>IF(RawData!L48=0,1,0)</f>
        <v>0</v>
      </c>
    </row>
    <row r="49" spans="1:13" x14ac:dyDescent="0.25">
      <c r="A49">
        <f t="shared" si="1"/>
        <v>0</v>
      </c>
      <c r="B49">
        <f>IF(C49=0,0,A49&amp;" "&amp;COUNTIF($A$1:$A49,A49))</f>
        <v>0</v>
      </c>
      <c r="C49" s="1">
        <v>0</v>
      </c>
      <c r="D49" s="2" t="str">
        <f>RawData!B49</f>
        <v>PG</v>
      </c>
      <c r="E49" s="2" t="str">
        <f>RawData!C49&amp; " "&amp;RawData!E49</f>
        <v>Shaun Livingston</v>
      </c>
      <c r="F49" s="2">
        <f>(RawData!O49)*M49</f>
        <v>10.06</v>
      </c>
      <c r="G49" s="35">
        <f>RawData!H49</f>
        <v>1500</v>
      </c>
      <c r="H49">
        <f t="shared" si="2"/>
        <v>0</v>
      </c>
      <c r="I49">
        <f t="shared" si="3"/>
        <v>0</v>
      </c>
      <c r="J49">
        <f t="shared" si="3"/>
        <v>0</v>
      </c>
      <c r="K49">
        <f t="shared" si="3"/>
        <v>0</v>
      </c>
      <c r="L49">
        <f t="shared" si="3"/>
        <v>0</v>
      </c>
      <c r="M49" s="2">
        <f>IF(RawData!L49=0,1,0)</f>
        <v>1</v>
      </c>
    </row>
    <row r="50" spans="1:13" x14ac:dyDescent="0.25">
      <c r="A50">
        <f t="shared" si="1"/>
        <v>0</v>
      </c>
      <c r="B50">
        <f>IF(C50=0,0,A50&amp;" "&amp;COUNTIF($A$1:$A50,A50))</f>
        <v>0</v>
      </c>
      <c r="C50" s="1">
        <v>0</v>
      </c>
      <c r="D50" s="2" t="str">
        <f>RawData!B50</f>
        <v>PG</v>
      </c>
      <c r="E50" s="2" t="str">
        <f>RawData!C50&amp; " "&amp;RawData!E50</f>
        <v>Demetrius Jackson</v>
      </c>
      <c r="F50" s="2">
        <f>(RawData!O50)*M50</f>
        <v>0</v>
      </c>
      <c r="G50" s="35">
        <f>RawData!H50</f>
        <v>1500</v>
      </c>
      <c r="H50">
        <f t="shared" si="2"/>
        <v>0</v>
      </c>
      <c r="I50">
        <f t="shared" si="3"/>
        <v>0</v>
      </c>
      <c r="J50">
        <f t="shared" si="3"/>
        <v>0</v>
      </c>
      <c r="K50">
        <f t="shared" si="3"/>
        <v>0</v>
      </c>
      <c r="L50">
        <f t="shared" si="3"/>
        <v>0</v>
      </c>
      <c r="M50" s="2">
        <f>IF(RawData!L50=0,1,0)</f>
        <v>1</v>
      </c>
    </row>
    <row r="51" spans="1:13" x14ac:dyDescent="0.25">
      <c r="A51">
        <f t="shared" si="1"/>
        <v>0</v>
      </c>
      <c r="B51">
        <f>IF(C51=0,0,A51&amp;" "&amp;COUNTIF($A$1:$A51,A51))</f>
        <v>0</v>
      </c>
      <c r="C51" s="1">
        <v>0</v>
      </c>
      <c r="D51" s="2" t="str">
        <f>RawData!B51</f>
        <v>PG</v>
      </c>
      <c r="E51" s="2" t="str">
        <f>RawData!C51&amp; " "&amp;RawData!E51</f>
        <v>Nicolas Laprovittola</v>
      </c>
      <c r="F51" s="2">
        <f>(RawData!O51)*M51</f>
        <v>0</v>
      </c>
      <c r="G51" s="35">
        <f>RawData!H51</f>
        <v>1500</v>
      </c>
      <c r="H51">
        <f t="shared" si="2"/>
        <v>0</v>
      </c>
      <c r="I51">
        <f t="shared" si="3"/>
        <v>0</v>
      </c>
      <c r="J51">
        <f t="shared" si="3"/>
        <v>0</v>
      </c>
      <c r="K51">
        <f t="shared" si="3"/>
        <v>0</v>
      </c>
      <c r="L51">
        <f t="shared" si="3"/>
        <v>0</v>
      </c>
      <c r="M51" s="2">
        <f>IF(RawData!L51=0,1,0)</f>
        <v>1</v>
      </c>
    </row>
    <row r="52" spans="1:13" x14ac:dyDescent="0.25">
      <c r="A52">
        <f t="shared" si="1"/>
        <v>0</v>
      </c>
      <c r="B52">
        <f>IF(C52=0,0,A52&amp;" "&amp;COUNTIF($A$1:$A52,A52))</f>
        <v>0</v>
      </c>
      <c r="C52" s="1">
        <v>0</v>
      </c>
      <c r="D52" s="2" t="str">
        <f>RawData!B52</f>
        <v>SF</v>
      </c>
      <c r="E52" s="2" t="str">
        <f>RawData!C52&amp; " "&amp;RawData!E52</f>
        <v>Matt Barnes</v>
      </c>
      <c r="F52" s="2">
        <f>(RawData!O52)*M52</f>
        <v>6.42</v>
      </c>
      <c r="G52" s="35">
        <f>RawData!H52</f>
        <v>1500</v>
      </c>
      <c r="H52">
        <f t="shared" si="2"/>
        <v>0</v>
      </c>
      <c r="I52">
        <f t="shared" si="3"/>
        <v>0</v>
      </c>
      <c r="J52">
        <f t="shared" si="3"/>
        <v>0</v>
      </c>
      <c r="K52">
        <f t="shared" si="3"/>
        <v>0</v>
      </c>
      <c r="L52">
        <f t="shared" si="3"/>
        <v>0</v>
      </c>
      <c r="M52" s="2">
        <f>IF(RawData!L52=0,1,0)</f>
        <v>1</v>
      </c>
    </row>
    <row r="53" spans="1:13" x14ac:dyDescent="0.25">
      <c r="A53">
        <f t="shared" si="1"/>
        <v>0</v>
      </c>
      <c r="B53">
        <f>IF(C53=0,0,A53&amp;" "&amp;COUNTIF($A$1:$A53,A53))</f>
        <v>0</v>
      </c>
      <c r="C53" s="1">
        <v>0</v>
      </c>
      <c r="D53" s="2" t="str">
        <f>RawData!B53</f>
        <v>SG</v>
      </c>
      <c r="E53" s="2" t="str">
        <f>RawData!C53&amp; " "&amp;RawData!E53</f>
        <v>James Jones</v>
      </c>
      <c r="F53" s="2">
        <f>(RawData!O53)*M53</f>
        <v>0</v>
      </c>
      <c r="G53" s="35">
        <f>RawData!H53</f>
        <v>1500</v>
      </c>
      <c r="H53">
        <f t="shared" si="2"/>
        <v>0</v>
      </c>
      <c r="I53">
        <f t="shared" si="3"/>
        <v>0</v>
      </c>
      <c r="J53">
        <f t="shared" si="3"/>
        <v>0</v>
      </c>
      <c r="K53">
        <f t="shared" si="3"/>
        <v>0</v>
      </c>
      <c r="L53">
        <f t="shared" si="3"/>
        <v>0</v>
      </c>
      <c r="M53" s="2">
        <f>IF(RawData!L53=0,1,0)</f>
        <v>1</v>
      </c>
    </row>
    <row r="54" spans="1:13" x14ac:dyDescent="0.25">
      <c r="A54">
        <f t="shared" si="1"/>
        <v>0</v>
      </c>
      <c r="B54">
        <f>IF(C54=0,0,A54&amp;" "&amp;COUNTIF($A$1:$A54,A54))</f>
        <v>0</v>
      </c>
      <c r="C54" s="1">
        <v>0</v>
      </c>
      <c r="D54" s="2" t="str">
        <f>RawData!B54</f>
        <v>PF</v>
      </c>
      <c r="E54" s="2" t="str">
        <f>RawData!C54&amp; " "&amp;RawData!E54</f>
        <v>Kevon Looney</v>
      </c>
      <c r="F54" s="2">
        <f>(RawData!O54)*M54</f>
        <v>0</v>
      </c>
      <c r="G54" s="35">
        <f>RawData!H54</f>
        <v>1500</v>
      </c>
      <c r="H54">
        <f t="shared" si="2"/>
        <v>0</v>
      </c>
      <c r="I54">
        <f t="shared" si="3"/>
        <v>0</v>
      </c>
      <c r="J54">
        <f t="shared" si="3"/>
        <v>0</v>
      </c>
      <c r="K54">
        <f t="shared" si="3"/>
        <v>0</v>
      </c>
      <c r="L54">
        <f t="shared" si="3"/>
        <v>0</v>
      </c>
      <c r="M54" s="2">
        <f>IF(RawData!L54=0,1,0)</f>
        <v>0</v>
      </c>
    </row>
    <row r="55" spans="1:13" x14ac:dyDescent="0.25">
      <c r="A55">
        <f t="shared" si="1"/>
        <v>0</v>
      </c>
      <c r="B55">
        <f>IF(C55=0,0,A55&amp;" "&amp;COUNTIF($A$1:$A55,A55))</f>
        <v>0</v>
      </c>
      <c r="C55" s="1">
        <v>0</v>
      </c>
      <c r="D55" s="2" t="str">
        <f>RawData!B55</f>
        <v>C</v>
      </c>
      <c r="E55" s="2" t="str">
        <f>RawData!C55&amp; " "&amp;RawData!E55</f>
        <v>Tyler Zeller</v>
      </c>
      <c r="F55" s="2">
        <f>(RawData!O55)*M55</f>
        <v>0</v>
      </c>
      <c r="G55" s="35">
        <f>RawData!H55</f>
        <v>1500</v>
      </c>
      <c r="H55">
        <f t="shared" si="2"/>
        <v>0</v>
      </c>
      <c r="I55">
        <f t="shared" si="3"/>
        <v>0</v>
      </c>
      <c r="J55">
        <f t="shared" si="3"/>
        <v>0</v>
      </c>
      <c r="K55">
        <f t="shared" si="3"/>
        <v>0</v>
      </c>
      <c r="L55">
        <f t="shared" si="3"/>
        <v>0</v>
      </c>
      <c r="M55" s="2">
        <f>IF(RawData!L55=0,1,0)</f>
        <v>1</v>
      </c>
    </row>
    <row r="56" spans="1:13" x14ac:dyDescent="0.25">
      <c r="A56">
        <f t="shared" si="1"/>
        <v>0</v>
      </c>
      <c r="B56">
        <f>IF(C56=0,0,A56&amp;" "&amp;COUNTIF($A$1:$A56,A56))</f>
        <v>0</v>
      </c>
      <c r="C56" s="1">
        <v>0</v>
      </c>
      <c r="D56" s="2" t="str">
        <f>RawData!B56</f>
        <v>SG</v>
      </c>
      <c r="E56" s="2" t="str">
        <f>RawData!C56&amp; " "&amp;RawData!E56</f>
        <v>Jordan McRae</v>
      </c>
      <c r="F56" s="2">
        <f>(RawData!O56)*M56</f>
        <v>0</v>
      </c>
      <c r="G56" s="35">
        <f>RawData!H56</f>
        <v>1500</v>
      </c>
      <c r="H56">
        <f t="shared" si="2"/>
        <v>0</v>
      </c>
      <c r="I56">
        <f t="shared" si="3"/>
        <v>0</v>
      </c>
      <c r="J56">
        <f t="shared" si="3"/>
        <v>0</v>
      </c>
      <c r="K56">
        <f t="shared" si="3"/>
        <v>0</v>
      </c>
      <c r="L56">
        <f t="shared" si="3"/>
        <v>0</v>
      </c>
      <c r="M56" s="2">
        <f>IF(RawData!L56=0,1,0)</f>
        <v>1</v>
      </c>
    </row>
    <row r="57" spans="1:13" x14ac:dyDescent="0.25">
      <c r="A57">
        <f t="shared" si="1"/>
        <v>0</v>
      </c>
      <c r="B57">
        <f>IF(C57=0,0,A57&amp;" "&amp;COUNTIF($A$1:$A57,A57))</f>
        <v>0</v>
      </c>
      <c r="C57" s="1">
        <v>0</v>
      </c>
      <c r="D57" s="2" t="str">
        <f>RawData!B57</f>
        <v>PF</v>
      </c>
      <c r="E57" s="2" t="str">
        <f>RawData!C57&amp; " "&amp;RawData!E57</f>
        <v>Jordan Mickey</v>
      </c>
      <c r="F57" s="2">
        <f>(RawData!O57)*M57</f>
        <v>0</v>
      </c>
      <c r="G57" s="35">
        <f>RawData!H57</f>
        <v>1500</v>
      </c>
      <c r="H57">
        <f t="shared" si="2"/>
        <v>0</v>
      </c>
      <c r="I57">
        <f t="shared" ref="I57:L66" si="4">IF($D57=I$1,$C57*1,0)</f>
        <v>0</v>
      </c>
      <c r="J57">
        <f t="shared" si="4"/>
        <v>0</v>
      </c>
      <c r="K57">
        <f t="shared" si="4"/>
        <v>0</v>
      </c>
      <c r="L57">
        <f t="shared" si="4"/>
        <v>0</v>
      </c>
      <c r="M57" s="2">
        <f>IF(RawData!L57=0,1,0)</f>
        <v>1</v>
      </c>
    </row>
    <row r="58" spans="1:13" x14ac:dyDescent="0.25">
      <c r="A58">
        <f t="shared" si="1"/>
        <v>0</v>
      </c>
      <c r="B58">
        <f>IF(C58=0,0,A58&amp;" "&amp;COUNTIF($A$1:$A58,A58))</f>
        <v>0</v>
      </c>
      <c r="C58" s="1">
        <v>0</v>
      </c>
      <c r="D58" s="2" t="str">
        <f>RawData!B58</f>
        <v>PF</v>
      </c>
      <c r="E58" s="2" t="str">
        <f>RawData!C58&amp; " "&amp;RawData!E58</f>
        <v>Jonas Jerebko</v>
      </c>
      <c r="F58" s="2">
        <f>(RawData!O58)*M58</f>
        <v>0</v>
      </c>
      <c r="G58" s="35">
        <f>RawData!H58</f>
        <v>1500</v>
      </c>
      <c r="H58">
        <f t="shared" si="2"/>
        <v>0</v>
      </c>
      <c r="I58">
        <f t="shared" si="4"/>
        <v>0</v>
      </c>
      <c r="J58">
        <f t="shared" si="4"/>
        <v>0</v>
      </c>
      <c r="K58">
        <f t="shared" si="4"/>
        <v>0</v>
      </c>
      <c r="L58">
        <f t="shared" si="4"/>
        <v>0</v>
      </c>
      <c r="M58" s="2">
        <f>IF(RawData!L58=0,1,0)</f>
        <v>1</v>
      </c>
    </row>
    <row r="59" spans="1:13" x14ac:dyDescent="0.25">
      <c r="A59">
        <f t="shared" si="1"/>
        <v>0</v>
      </c>
      <c r="B59">
        <f>IF(C59=0,0,A59&amp;" "&amp;COUNTIF($A$1:$A59,A59))</f>
        <v>0</v>
      </c>
      <c r="C59" s="1">
        <v>0</v>
      </c>
      <c r="D59" s="2" t="str">
        <f>RawData!B59</f>
        <v>SG</v>
      </c>
      <c r="E59" s="2" t="str">
        <f>RawData!C59&amp; " "&amp;RawData!E59</f>
        <v>Bryn Forbes</v>
      </c>
      <c r="F59" s="2">
        <f>(RawData!O59)*M59</f>
        <v>0</v>
      </c>
      <c r="G59" s="35">
        <f>RawData!H59</f>
        <v>1500</v>
      </c>
      <c r="H59">
        <f t="shared" si="2"/>
        <v>0</v>
      </c>
      <c r="I59">
        <f t="shared" si="4"/>
        <v>0</v>
      </c>
      <c r="J59">
        <f t="shared" si="4"/>
        <v>0</v>
      </c>
      <c r="K59">
        <f t="shared" si="4"/>
        <v>0</v>
      </c>
      <c r="L59">
        <f t="shared" si="4"/>
        <v>0</v>
      </c>
      <c r="M59" s="2">
        <f>IF(RawData!L59=0,1,0)</f>
        <v>1</v>
      </c>
    </row>
    <row r="60" spans="1:13" x14ac:dyDescent="0.25">
      <c r="A60">
        <f t="shared" si="1"/>
        <v>0</v>
      </c>
      <c r="B60">
        <f>IF(C60=0,0,A60&amp;" "&amp;COUNTIF($A$1:$A60,A60))</f>
        <v>0</v>
      </c>
      <c r="C60" s="1">
        <v>0</v>
      </c>
      <c r="D60" s="2" t="str">
        <f>RawData!B60</f>
        <v>C</v>
      </c>
      <c r="E60" s="2" t="str">
        <f>RawData!C60&amp; " "&amp;RawData!E60</f>
        <v>Damian Jones</v>
      </c>
      <c r="F60" s="2">
        <f>(RawData!O60)*M60</f>
        <v>0</v>
      </c>
      <c r="G60" s="35">
        <f>RawData!H60</f>
        <v>1500</v>
      </c>
      <c r="H60">
        <f t="shared" si="2"/>
        <v>0</v>
      </c>
      <c r="I60">
        <f t="shared" si="4"/>
        <v>0</v>
      </c>
      <c r="J60">
        <f t="shared" si="4"/>
        <v>0</v>
      </c>
      <c r="K60">
        <f t="shared" si="4"/>
        <v>0</v>
      </c>
      <c r="L60">
        <f t="shared" si="4"/>
        <v>0</v>
      </c>
      <c r="M60" s="2">
        <f>IF(RawData!L60=0,1,0)</f>
        <v>1</v>
      </c>
    </row>
    <row r="61" spans="1:13" x14ac:dyDescent="0.25">
      <c r="A61">
        <f t="shared" si="1"/>
        <v>0</v>
      </c>
      <c r="B61">
        <f>IF(C61=0,0,A61&amp;" "&amp;COUNTIF($A$1:$A61,A61))</f>
        <v>0</v>
      </c>
      <c r="C61" s="1">
        <v>0</v>
      </c>
      <c r="D61" s="2" t="str">
        <f>RawData!B61</f>
        <v>SG</v>
      </c>
      <c r="E61" s="2" t="str">
        <f>RawData!C61&amp; " "&amp;RawData!E61</f>
        <v>Dahntay Jones</v>
      </c>
      <c r="F61" s="2">
        <f>(RawData!O61)*M61</f>
        <v>0</v>
      </c>
      <c r="G61" s="35">
        <f>RawData!H61</f>
        <v>1400</v>
      </c>
      <c r="H61">
        <f t="shared" si="2"/>
        <v>0</v>
      </c>
      <c r="I61">
        <f t="shared" si="4"/>
        <v>0</v>
      </c>
      <c r="J61">
        <f t="shared" si="4"/>
        <v>0</v>
      </c>
      <c r="K61">
        <f t="shared" si="4"/>
        <v>0</v>
      </c>
      <c r="L61">
        <f t="shared" si="4"/>
        <v>0</v>
      </c>
      <c r="M61" s="2">
        <f>IF(RawData!L61=0,1,0)</f>
        <v>1</v>
      </c>
    </row>
    <row r="62" spans="1:13" x14ac:dyDescent="0.25">
      <c r="A62">
        <f t="shared" si="1"/>
        <v>0</v>
      </c>
      <c r="B62">
        <f>IF(C62=0,0,A62&amp;" "&amp;COUNTIF($A$1:$A62,A62))</f>
        <v>0</v>
      </c>
      <c r="C62" s="1">
        <v>0</v>
      </c>
      <c r="D62" s="2" t="str">
        <f>RawData!B62</f>
        <v>SF</v>
      </c>
      <c r="E62" s="2" t="str">
        <f>RawData!C62&amp; " "&amp;RawData!E62</f>
        <v>Davis Bertans</v>
      </c>
      <c r="F62" s="2">
        <f>(RawData!O62)*M62</f>
        <v>0</v>
      </c>
      <c r="G62" s="35">
        <f>RawData!H62</f>
        <v>1300</v>
      </c>
      <c r="H62">
        <f t="shared" si="2"/>
        <v>0</v>
      </c>
      <c r="I62">
        <f t="shared" si="4"/>
        <v>0</v>
      </c>
      <c r="J62">
        <f t="shared" si="4"/>
        <v>0</v>
      </c>
      <c r="K62">
        <f t="shared" si="4"/>
        <v>0</v>
      </c>
      <c r="L62">
        <f t="shared" si="4"/>
        <v>0</v>
      </c>
      <c r="M62" s="2">
        <f>IF(RawData!L62=0,1,0)</f>
        <v>1</v>
      </c>
    </row>
    <row r="63" spans="1:13" x14ac:dyDescent="0.25">
      <c r="A63">
        <f t="shared" si="1"/>
        <v>0</v>
      </c>
      <c r="B63">
        <f>IF(C63=0,0,A63&amp;" "&amp;COUNTIF($A$1:$A63,A63))</f>
        <v>0</v>
      </c>
      <c r="C63" s="1">
        <v>0</v>
      </c>
      <c r="D63" s="2">
        <f>RawData!B63</f>
        <v>0</v>
      </c>
      <c r="E63" s="2" t="str">
        <f>RawData!C63&amp; " "&amp;RawData!E63</f>
        <v xml:space="preserve"> </v>
      </c>
      <c r="F63" s="2">
        <f>(RawData!O63)*M63</f>
        <v>0</v>
      </c>
      <c r="G63" s="35">
        <f>RawData!H63</f>
        <v>0</v>
      </c>
      <c r="H63">
        <f t="shared" si="2"/>
        <v>0</v>
      </c>
      <c r="I63">
        <f t="shared" si="4"/>
        <v>0</v>
      </c>
      <c r="J63">
        <f t="shared" si="4"/>
        <v>0</v>
      </c>
      <c r="K63">
        <f t="shared" si="4"/>
        <v>0</v>
      </c>
      <c r="L63">
        <f t="shared" si="4"/>
        <v>0</v>
      </c>
      <c r="M63" s="2">
        <f>IF(RawData!L63=0,1,0)</f>
        <v>1</v>
      </c>
    </row>
    <row r="64" spans="1:13" x14ac:dyDescent="0.25">
      <c r="A64">
        <f t="shared" si="1"/>
        <v>0</v>
      </c>
      <c r="B64">
        <f>IF(C64=0,0,A64&amp;" "&amp;COUNTIF($A$1:$A64,A64))</f>
        <v>0</v>
      </c>
      <c r="C64" s="1">
        <v>0</v>
      </c>
      <c r="D64" s="2">
        <f>RawData!B64</f>
        <v>0</v>
      </c>
      <c r="E64" s="2" t="str">
        <f>RawData!C64&amp; " "&amp;RawData!E64</f>
        <v xml:space="preserve"> </v>
      </c>
      <c r="F64" s="2">
        <f>(RawData!O64)*M64</f>
        <v>0</v>
      </c>
      <c r="G64" s="35">
        <f>RawData!H64</f>
        <v>0</v>
      </c>
      <c r="H64">
        <f t="shared" si="2"/>
        <v>0</v>
      </c>
      <c r="I64">
        <f t="shared" si="4"/>
        <v>0</v>
      </c>
      <c r="J64">
        <f t="shared" si="4"/>
        <v>0</v>
      </c>
      <c r="K64">
        <f t="shared" si="4"/>
        <v>0</v>
      </c>
      <c r="L64">
        <f t="shared" si="4"/>
        <v>0</v>
      </c>
      <c r="M64" s="2">
        <f>IF(RawData!L64=0,1,0)</f>
        <v>1</v>
      </c>
    </row>
    <row r="65" spans="1:13" x14ac:dyDescent="0.25">
      <c r="A65">
        <f t="shared" si="1"/>
        <v>0</v>
      </c>
      <c r="B65">
        <f>IF(C65=0,0,A65&amp;" "&amp;COUNTIF($A$1:$A65,A65))</f>
        <v>0</v>
      </c>
      <c r="C65" s="1">
        <v>0</v>
      </c>
      <c r="D65" s="2">
        <f>RawData!B65</f>
        <v>0</v>
      </c>
      <c r="E65" s="2" t="str">
        <f>RawData!C65&amp; " "&amp;RawData!E65</f>
        <v xml:space="preserve"> </v>
      </c>
      <c r="F65" s="2">
        <f>(RawData!O65)*M65</f>
        <v>0</v>
      </c>
      <c r="G65" s="35">
        <f>RawData!H65</f>
        <v>0</v>
      </c>
      <c r="H65">
        <f t="shared" si="2"/>
        <v>0</v>
      </c>
      <c r="I65">
        <f t="shared" si="4"/>
        <v>0</v>
      </c>
      <c r="J65">
        <f t="shared" si="4"/>
        <v>0</v>
      </c>
      <c r="K65">
        <f t="shared" si="4"/>
        <v>0</v>
      </c>
      <c r="L65">
        <f t="shared" si="4"/>
        <v>0</v>
      </c>
      <c r="M65" s="2">
        <f>IF(RawData!L65=0,1,0)</f>
        <v>1</v>
      </c>
    </row>
    <row r="66" spans="1:13" x14ac:dyDescent="0.25">
      <c r="A66">
        <f t="shared" ref="A66:A101" si="5">IF(C66=1,D66,0)</f>
        <v>0</v>
      </c>
      <c r="B66">
        <f>IF(C66=0,0,A66&amp;" "&amp;COUNTIF($A$1:$A66,A66))</f>
        <v>0</v>
      </c>
      <c r="C66" s="1">
        <v>0</v>
      </c>
      <c r="D66" s="2">
        <f>RawData!B66</f>
        <v>0</v>
      </c>
      <c r="E66" s="2" t="str">
        <f>RawData!C66&amp; " "&amp;RawData!E66</f>
        <v xml:space="preserve"> </v>
      </c>
      <c r="F66" s="2">
        <f>(RawData!O66)*M66</f>
        <v>0</v>
      </c>
      <c r="G66" s="35">
        <f>RawData!H66</f>
        <v>0</v>
      </c>
      <c r="H66">
        <f t="shared" si="2"/>
        <v>0</v>
      </c>
      <c r="I66">
        <f t="shared" si="4"/>
        <v>0</v>
      </c>
      <c r="J66">
        <f t="shared" si="4"/>
        <v>0</v>
      </c>
      <c r="K66">
        <f t="shared" si="4"/>
        <v>0</v>
      </c>
      <c r="L66">
        <f t="shared" si="4"/>
        <v>0</v>
      </c>
      <c r="M66" s="2">
        <f>IF(RawData!L66=0,1,0)</f>
        <v>1</v>
      </c>
    </row>
    <row r="67" spans="1:13" x14ac:dyDescent="0.25">
      <c r="A67">
        <f t="shared" si="5"/>
        <v>0</v>
      </c>
      <c r="B67">
        <f>IF(C67=0,0,A67&amp;" "&amp;COUNTIF($A$1:$A67,A67))</f>
        <v>0</v>
      </c>
      <c r="C67" s="1">
        <v>0</v>
      </c>
      <c r="D67" s="2">
        <f>RawData!B67</f>
        <v>0</v>
      </c>
      <c r="E67" s="2" t="str">
        <f>RawData!C67&amp; " "&amp;RawData!E67</f>
        <v xml:space="preserve"> </v>
      </c>
      <c r="F67" s="2">
        <f>(RawData!O67)*M67</f>
        <v>0</v>
      </c>
      <c r="G67" s="35">
        <f>RawData!H67</f>
        <v>0</v>
      </c>
      <c r="H67">
        <f t="shared" ref="H67:L101" si="6">IF($D67=H$1,$C67*1,0)</f>
        <v>0</v>
      </c>
      <c r="I67">
        <f t="shared" si="6"/>
        <v>0</v>
      </c>
      <c r="J67">
        <f t="shared" si="6"/>
        <v>0</v>
      </c>
      <c r="K67">
        <f t="shared" si="6"/>
        <v>0</v>
      </c>
      <c r="L67">
        <f t="shared" si="6"/>
        <v>0</v>
      </c>
      <c r="M67" s="2">
        <f>IF(RawData!L67=0,1,0)</f>
        <v>1</v>
      </c>
    </row>
    <row r="68" spans="1:13" x14ac:dyDescent="0.25">
      <c r="A68">
        <f t="shared" si="5"/>
        <v>0</v>
      </c>
      <c r="B68">
        <f>IF(C68=0,0,A68&amp;" "&amp;COUNTIF($A$1:$A68,A68))</f>
        <v>0</v>
      </c>
      <c r="C68" s="1">
        <v>0</v>
      </c>
      <c r="D68" s="2">
        <f>RawData!B68</f>
        <v>0</v>
      </c>
      <c r="E68" s="2" t="str">
        <f>RawData!C68&amp; " "&amp;RawData!E68</f>
        <v xml:space="preserve"> </v>
      </c>
      <c r="F68" s="2">
        <f>(RawData!O68)*M68</f>
        <v>0</v>
      </c>
      <c r="G68" s="35">
        <f>RawData!H68</f>
        <v>0</v>
      </c>
      <c r="H68">
        <f t="shared" si="6"/>
        <v>0</v>
      </c>
      <c r="I68">
        <f t="shared" si="6"/>
        <v>0</v>
      </c>
      <c r="J68">
        <f t="shared" si="6"/>
        <v>0</v>
      </c>
      <c r="K68">
        <f t="shared" si="6"/>
        <v>0</v>
      </c>
      <c r="L68">
        <f t="shared" si="6"/>
        <v>0</v>
      </c>
      <c r="M68" s="2">
        <f>IF(RawData!L68=0,1,0)</f>
        <v>1</v>
      </c>
    </row>
    <row r="69" spans="1:13" x14ac:dyDescent="0.25">
      <c r="A69">
        <f t="shared" si="5"/>
        <v>0</v>
      </c>
      <c r="B69">
        <f>IF(C69=0,0,A69&amp;" "&amp;COUNTIF($A$1:$A69,A69))</f>
        <v>0</v>
      </c>
      <c r="C69" s="1">
        <v>0</v>
      </c>
      <c r="D69" s="2">
        <f>RawData!B69</f>
        <v>0</v>
      </c>
      <c r="E69" s="2" t="str">
        <f>RawData!C69&amp; " "&amp;RawData!E69</f>
        <v xml:space="preserve"> </v>
      </c>
      <c r="F69" s="2">
        <f>(RawData!O69)*M69</f>
        <v>0</v>
      </c>
      <c r="G69" s="35">
        <f>RawData!H69</f>
        <v>0</v>
      </c>
      <c r="H69">
        <f t="shared" si="6"/>
        <v>0</v>
      </c>
      <c r="I69">
        <f t="shared" si="6"/>
        <v>0</v>
      </c>
      <c r="J69">
        <f t="shared" si="6"/>
        <v>0</v>
      </c>
      <c r="K69">
        <f t="shared" si="6"/>
        <v>0</v>
      </c>
      <c r="L69">
        <f t="shared" si="6"/>
        <v>0</v>
      </c>
      <c r="M69" s="2">
        <f>IF(RawData!L69=0,1,0)</f>
        <v>1</v>
      </c>
    </row>
    <row r="70" spans="1:13" x14ac:dyDescent="0.25">
      <c r="A70">
        <f t="shared" si="5"/>
        <v>0</v>
      </c>
      <c r="B70">
        <f>IF(C70=0,0,A70&amp;" "&amp;COUNTIF($A$1:$A70,A70))</f>
        <v>0</v>
      </c>
      <c r="C70" s="1">
        <v>0</v>
      </c>
      <c r="D70" s="2">
        <f>RawData!B70</f>
        <v>0</v>
      </c>
      <c r="E70" s="2" t="str">
        <f>RawData!C70&amp; " "&amp;RawData!E70</f>
        <v xml:space="preserve"> </v>
      </c>
      <c r="F70" s="2">
        <f>(RawData!O70)*M70</f>
        <v>0</v>
      </c>
      <c r="G70" s="35">
        <f>RawData!H70</f>
        <v>0</v>
      </c>
      <c r="H70">
        <f t="shared" si="6"/>
        <v>0</v>
      </c>
      <c r="I70">
        <f t="shared" si="6"/>
        <v>0</v>
      </c>
      <c r="J70">
        <f t="shared" si="6"/>
        <v>0</v>
      </c>
      <c r="K70">
        <f t="shared" si="6"/>
        <v>0</v>
      </c>
      <c r="L70">
        <f t="shared" si="6"/>
        <v>0</v>
      </c>
      <c r="M70" s="2">
        <f>IF(RawData!L70=0,1,0)</f>
        <v>1</v>
      </c>
    </row>
    <row r="71" spans="1:13" x14ac:dyDescent="0.25">
      <c r="A71">
        <f t="shared" si="5"/>
        <v>0</v>
      </c>
      <c r="B71">
        <f>IF(C71=0,0,A71&amp;" "&amp;COUNTIF($A$1:$A71,A71))</f>
        <v>0</v>
      </c>
      <c r="C71" s="1">
        <v>0</v>
      </c>
      <c r="D71" s="2">
        <f>RawData!B71</f>
        <v>0</v>
      </c>
      <c r="E71" s="2" t="str">
        <f>RawData!C71&amp; " "&amp;RawData!E71</f>
        <v xml:space="preserve"> </v>
      </c>
      <c r="F71" s="2">
        <f>(RawData!O71)*M71</f>
        <v>0</v>
      </c>
      <c r="G71" s="35">
        <f>RawData!H71</f>
        <v>0</v>
      </c>
      <c r="H71">
        <f t="shared" si="6"/>
        <v>0</v>
      </c>
      <c r="I71">
        <f t="shared" si="6"/>
        <v>0</v>
      </c>
      <c r="J71">
        <f t="shared" si="6"/>
        <v>0</v>
      </c>
      <c r="K71">
        <f t="shared" si="6"/>
        <v>0</v>
      </c>
      <c r="L71">
        <f t="shared" si="6"/>
        <v>0</v>
      </c>
      <c r="M71" s="2">
        <f>IF(RawData!L71=0,1,0)</f>
        <v>1</v>
      </c>
    </row>
    <row r="72" spans="1:13" x14ac:dyDescent="0.25">
      <c r="A72">
        <f t="shared" si="5"/>
        <v>0</v>
      </c>
      <c r="B72">
        <f>IF(C72=0,0,A72&amp;" "&amp;COUNTIF($A$1:$A72,A72))</f>
        <v>0</v>
      </c>
      <c r="C72" s="1">
        <v>0</v>
      </c>
      <c r="D72" s="2">
        <f>RawData!B72</f>
        <v>0</v>
      </c>
      <c r="E72" s="2" t="str">
        <f>RawData!C72&amp; " "&amp;RawData!E72</f>
        <v xml:space="preserve"> </v>
      </c>
      <c r="F72" s="2">
        <f>(RawData!O72)*M72</f>
        <v>0</v>
      </c>
      <c r="G72" s="35">
        <f>RawData!H72</f>
        <v>0</v>
      </c>
      <c r="H72">
        <f t="shared" si="6"/>
        <v>0</v>
      </c>
      <c r="I72">
        <f t="shared" si="6"/>
        <v>0</v>
      </c>
      <c r="J72">
        <f t="shared" si="6"/>
        <v>0</v>
      </c>
      <c r="K72">
        <f t="shared" si="6"/>
        <v>0</v>
      </c>
      <c r="L72">
        <f t="shared" si="6"/>
        <v>0</v>
      </c>
      <c r="M72" s="2">
        <f>IF(RawData!L72=0,1,0)</f>
        <v>1</v>
      </c>
    </row>
    <row r="73" spans="1:13" x14ac:dyDescent="0.25">
      <c r="A73">
        <f t="shared" si="5"/>
        <v>0</v>
      </c>
      <c r="B73">
        <f>IF(C73=0,0,A73&amp;" "&amp;COUNTIF($A$1:$A73,A73))</f>
        <v>0</v>
      </c>
      <c r="C73" s="1">
        <v>0</v>
      </c>
      <c r="D73" s="2">
        <f>RawData!B73</f>
        <v>0</v>
      </c>
      <c r="E73" s="2" t="str">
        <f>RawData!C73&amp; " "&amp;RawData!E73</f>
        <v xml:space="preserve"> </v>
      </c>
      <c r="F73" s="2">
        <f>(RawData!O73)*M73</f>
        <v>0</v>
      </c>
      <c r="G73" s="35">
        <f>RawData!H73</f>
        <v>0</v>
      </c>
      <c r="H73">
        <f t="shared" si="6"/>
        <v>0</v>
      </c>
      <c r="I73">
        <f t="shared" si="6"/>
        <v>0</v>
      </c>
      <c r="J73">
        <f t="shared" si="6"/>
        <v>0</v>
      </c>
      <c r="K73">
        <f t="shared" si="6"/>
        <v>0</v>
      </c>
      <c r="L73">
        <f t="shared" si="6"/>
        <v>0</v>
      </c>
      <c r="M73" s="2">
        <f>IF(RawData!L73=0,1,0)</f>
        <v>1</v>
      </c>
    </row>
    <row r="74" spans="1:13" x14ac:dyDescent="0.25">
      <c r="A74">
        <f t="shared" si="5"/>
        <v>0</v>
      </c>
      <c r="B74">
        <f>IF(C74=0,0,A74&amp;" "&amp;COUNTIF($A$1:$A74,A74))</f>
        <v>0</v>
      </c>
      <c r="C74" s="1">
        <v>0</v>
      </c>
      <c r="D74" s="2">
        <f>RawData!B74</f>
        <v>0</v>
      </c>
      <c r="E74" s="2" t="str">
        <f>RawData!C74&amp; " "&amp;RawData!E74</f>
        <v xml:space="preserve"> </v>
      </c>
      <c r="F74" s="2">
        <f>(RawData!O74)*M74</f>
        <v>0</v>
      </c>
      <c r="G74" s="35">
        <f>RawData!H74</f>
        <v>0</v>
      </c>
      <c r="H74">
        <f t="shared" si="6"/>
        <v>0</v>
      </c>
      <c r="I74">
        <f t="shared" si="6"/>
        <v>0</v>
      </c>
      <c r="J74">
        <f t="shared" si="6"/>
        <v>0</v>
      </c>
      <c r="K74">
        <f t="shared" si="6"/>
        <v>0</v>
      </c>
      <c r="L74">
        <f t="shared" si="6"/>
        <v>0</v>
      </c>
      <c r="M74" s="2">
        <f>IF(RawData!L74=0,1,0)</f>
        <v>1</v>
      </c>
    </row>
    <row r="75" spans="1:13" x14ac:dyDescent="0.25">
      <c r="A75">
        <f t="shared" si="5"/>
        <v>0</v>
      </c>
      <c r="B75">
        <f>IF(C75=0,0,A75&amp;" "&amp;COUNTIF($A$1:$A75,A75))</f>
        <v>0</v>
      </c>
      <c r="C75" s="1">
        <v>0</v>
      </c>
      <c r="D75" s="2">
        <f>RawData!B75</f>
        <v>0</v>
      </c>
      <c r="E75" s="2" t="str">
        <f>RawData!C75&amp; " "&amp;RawData!E75</f>
        <v xml:space="preserve"> </v>
      </c>
      <c r="F75" s="2">
        <f>(RawData!O75)*M75</f>
        <v>0</v>
      </c>
      <c r="G75" s="35">
        <f>RawData!H75</f>
        <v>0</v>
      </c>
      <c r="H75">
        <f t="shared" si="6"/>
        <v>0</v>
      </c>
      <c r="I75">
        <f t="shared" si="6"/>
        <v>0</v>
      </c>
      <c r="J75">
        <f t="shared" si="6"/>
        <v>0</v>
      </c>
      <c r="K75">
        <f t="shared" si="6"/>
        <v>0</v>
      </c>
      <c r="L75">
        <f t="shared" si="6"/>
        <v>0</v>
      </c>
      <c r="M75" s="2">
        <f>IF(RawData!L75=0,1,0)</f>
        <v>1</v>
      </c>
    </row>
    <row r="76" spans="1:13" x14ac:dyDescent="0.25">
      <c r="A76">
        <f t="shared" si="5"/>
        <v>0</v>
      </c>
      <c r="B76">
        <f>IF(C76=0,0,A76&amp;" "&amp;COUNTIF($A$1:$A76,A76))</f>
        <v>0</v>
      </c>
      <c r="C76" s="1">
        <v>0</v>
      </c>
      <c r="D76" s="2">
        <f>RawData!B76</f>
        <v>0</v>
      </c>
      <c r="E76" s="2" t="str">
        <f>RawData!C76&amp; " "&amp;RawData!E76</f>
        <v xml:space="preserve"> </v>
      </c>
      <c r="F76" s="2">
        <f>(RawData!O76)*M76</f>
        <v>0</v>
      </c>
      <c r="G76" s="35">
        <f>RawData!H76</f>
        <v>0</v>
      </c>
      <c r="H76">
        <f t="shared" si="6"/>
        <v>0</v>
      </c>
      <c r="I76">
        <f t="shared" si="6"/>
        <v>0</v>
      </c>
      <c r="J76">
        <f t="shared" si="6"/>
        <v>0</v>
      </c>
      <c r="K76">
        <f t="shared" si="6"/>
        <v>0</v>
      </c>
      <c r="L76">
        <f t="shared" si="6"/>
        <v>0</v>
      </c>
      <c r="M76" s="2">
        <f>IF(RawData!L76=0,1,0)</f>
        <v>1</v>
      </c>
    </row>
    <row r="77" spans="1:13" x14ac:dyDescent="0.25">
      <c r="A77">
        <f t="shared" si="5"/>
        <v>0</v>
      </c>
      <c r="B77">
        <f>IF(C77=0,0,A77&amp;" "&amp;COUNTIF($A$1:$A77,A77))</f>
        <v>0</v>
      </c>
      <c r="C77" s="1">
        <v>0</v>
      </c>
      <c r="D77" s="2">
        <f>RawData!B77</f>
        <v>0</v>
      </c>
      <c r="E77" s="2" t="str">
        <f>RawData!C77&amp; " "&amp;RawData!E77</f>
        <v xml:space="preserve"> </v>
      </c>
      <c r="F77" s="2">
        <f>(RawData!O77)*M77</f>
        <v>0</v>
      </c>
      <c r="G77" s="35">
        <f>RawData!H77</f>
        <v>0</v>
      </c>
      <c r="H77">
        <f t="shared" si="6"/>
        <v>0</v>
      </c>
      <c r="I77">
        <f t="shared" si="6"/>
        <v>0</v>
      </c>
      <c r="J77">
        <f t="shared" si="6"/>
        <v>0</v>
      </c>
      <c r="K77">
        <f t="shared" si="6"/>
        <v>0</v>
      </c>
      <c r="L77">
        <f t="shared" si="6"/>
        <v>0</v>
      </c>
      <c r="M77" s="2">
        <f>IF(RawData!L77=0,1,0)</f>
        <v>1</v>
      </c>
    </row>
    <row r="78" spans="1:13" x14ac:dyDescent="0.25">
      <c r="A78">
        <f t="shared" si="5"/>
        <v>0</v>
      </c>
      <c r="B78">
        <f>IF(C78=0,0,A78&amp;" "&amp;COUNTIF($A$1:$A78,A78))</f>
        <v>0</v>
      </c>
      <c r="C78" s="1">
        <v>0</v>
      </c>
      <c r="D78" s="2">
        <f>RawData!B78</f>
        <v>0</v>
      </c>
      <c r="E78" s="2" t="str">
        <f>RawData!C78&amp; " "&amp;RawData!E78</f>
        <v xml:space="preserve"> </v>
      </c>
      <c r="F78" s="2">
        <f>(RawData!O78)*M78</f>
        <v>0</v>
      </c>
      <c r="G78" s="35">
        <f>RawData!H78</f>
        <v>0</v>
      </c>
      <c r="H78">
        <f t="shared" si="6"/>
        <v>0</v>
      </c>
      <c r="I78">
        <f t="shared" si="6"/>
        <v>0</v>
      </c>
      <c r="J78">
        <f t="shared" si="6"/>
        <v>0</v>
      </c>
      <c r="K78">
        <f t="shared" si="6"/>
        <v>0</v>
      </c>
      <c r="L78">
        <f t="shared" si="6"/>
        <v>0</v>
      </c>
      <c r="M78" s="2">
        <f>IF(RawData!L78=0,1,0)</f>
        <v>1</v>
      </c>
    </row>
    <row r="79" spans="1:13" x14ac:dyDescent="0.25">
      <c r="A79">
        <f t="shared" si="5"/>
        <v>0</v>
      </c>
      <c r="B79">
        <f>IF(C79=0,0,A79&amp;" "&amp;COUNTIF($A$1:$A79,A79))</f>
        <v>0</v>
      </c>
      <c r="C79" s="1">
        <v>0</v>
      </c>
      <c r="D79" s="2">
        <f>RawData!B79</f>
        <v>0</v>
      </c>
      <c r="E79" s="2" t="str">
        <f>RawData!C79&amp; " "&amp;RawData!E79</f>
        <v xml:space="preserve"> </v>
      </c>
      <c r="F79" s="2">
        <f>(RawData!O79)*M79</f>
        <v>0</v>
      </c>
      <c r="G79" s="35">
        <f>RawData!H79</f>
        <v>0</v>
      </c>
      <c r="H79">
        <f t="shared" si="6"/>
        <v>0</v>
      </c>
      <c r="I79">
        <f t="shared" si="6"/>
        <v>0</v>
      </c>
      <c r="J79">
        <f t="shared" si="6"/>
        <v>0</v>
      </c>
      <c r="K79">
        <f t="shared" si="6"/>
        <v>0</v>
      </c>
      <c r="L79">
        <f t="shared" si="6"/>
        <v>0</v>
      </c>
      <c r="M79" s="2">
        <f>IF(RawData!L79=0,1,0)</f>
        <v>1</v>
      </c>
    </row>
    <row r="80" spans="1:13" x14ac:dyDescent="0.25">
      <c r="A80">
        <f t="shared" si="5"/>
        <v>0</v>
      </c>
      <c r="B80">
        <f>IF(C80=0,0,A80&amp;" "&amp;COUNTIF($A$1:$A80,A80))</f>
        <v>0</v>
      </c>
      <c r="C80" s="1">
        <v>0</v>
      </c>
      <c r="D80" s="2">
        <f>RawData!B80</f>
        <v>0</v>
      </c>
      <c r="E80" s="2" t="str">
        <f>RawData!C80&amp; " "&amp;RawData!E80</f>
        <v xml:space="preserve"> </v>
      </c>
      <c r="F80" s="2">
        <f>(RawData!O80)*M80</f>
        <v>0</v>
      </c>
      <c r="G80" s="35">
        <f>RawData!H80</f>
        <v>0</v>
      </c>
      <c r="H80">
        <f t="shared" si="6"/>
        <v>0</v>
      </c>
      <c r="I80">
        <f t="shared" si="6"/>
        <v>0</v>
      </c>
      <c r="J80">
        <f t="shared" si="6"/>
        <v>0</v>
      </c>
      <c r="K80">
        <f t="shared" si="6"/>
        <v>0</v>
      </c>
      <c r="L80">
        <f t="shared" si="6"/>
        <v>0</v>
      </c>
      <c r="M80" s="2">
        <f>IF(RawData!L80=0,1,0)</f>
        <v>1</v>
      </c>
    </row>
    <row r="81" spans="1:13" x14ac:dyDescent="0.25">
      <c r="A81">
        <f t="shared" si="5"/>
        <v>0</v>
      </c>
      <c r="B81">
        <f>IF(C81=0,0,A81&amp;" "&amp;COUNTIF($A$1:$A81,A81))</f>
        <v>0</v>
      </c>
      <c r="C81" s="1">
        <v>0</v>
      </c>
      <c r="D81" s="2">
        <f>RawData!B81</f>
        <v>0</v>
      </c>
      <c r="E81" s="2" t="str">
        <f>RawData!C81&amp; " "&amp;RawData!E81</f>
        <v xml:space="preserve"> </v>
      </c>
      <c r="F81" s="2">
        <f>(RawData!O81)*M81</f>
        <v>0</v>
      </c>
      <c r="G81" s="35">
        <f>RawData!H81</f>
        <v>0</v>
      </c>
      <c r="H81">
        <f t="shared" si="6"/>
        <v>0</v>
      </c>
      <c r="I81">
        <f t="shared" si="6"/>
        <v>0</v>
      </c>
      <c r="J81">
        <f t="shared" si="6"/>
        <v>0</v>
      </c>
      <c r="K81">
        <f t="shared" si="6"/>
        <v>0</v>
      </c>
      <c r="L81">
        <f t="shared" si="6"/>
        <v>0</v>
      </c>
      <c r="M81" s="2">
        <f>IF(RawData!L81=0,1,0)</f>
        <v>1</v>
      </c>
    </row>
    <row r="82" spans="1:13" x14ac:dyDescent="0.25">
      <c r="A82">
        <f t="shared" si="5"/>
        <v>0</v>
      </c>
      <c r="B82">
        <f>IF(C82=0,0,A82&amp;" "&amp;COUNTIF($A$1:$A82,A82))</f>
        <v>0</v>
      </c>
      <c r="C82" s="1">
        <v>0</v>
      </c>
      <c r="D82" s="2">
        <f>RawData!B82</f>
        <v>0</v>
      </c>
      <c r="E82" s="2" t="str">
        <f>RawData!C82&amp; " "&amp;RawData!E82</f>
        <v xml:space="preserve"> </v>
      </c>
      <c r="F82" s="2">
        <f>(RawData!O82)*M82</f>
        <v>0</v>
      </c>
      <c r="G82" s="35">
        <f>RawData!H82</f>
        <v>0</v>
      </c>
      <c r="H82">
        <f t="shared" si="6"/>
        <v>0</v>
      </c>
      <c r="I82">
        <f t="shared" si="6"/>
        <v>0</v>
      </c>
      <c r="J82">
        <f t="shared" si="6"/>
        <v>0</v>
      </c>
      <c r="K82">
        <f t="shared" si="6"/>
        <v>0</v>
      </c>
      <c r="L82">
        <f t="shared" si="6"/>
        <v>0</v>
      </c>
      <c r="M82" s="2">
        <f>IF(RawData!L82=0,1,0)</f>
        <v>1</v>
      </c>
    </row>
    <row r="83" spans="1:13" x14ac:dyDescent="0.25">
      <c r="A83">
        <f t="shared" si="5"/>
        <v>0</v>
      </c>
      <c r="B83">
        <f>IF(C83=0,0,A83&amp;" "&amp;COUNTIF($A$1:$A83,A83))</f>
        <v>0</v>
      </c>
      <c r="C83" s="1">
        <v>0</v>
      </c>
      <c r="D83" s="2">
        <f>RawData!B83</f>
        <v>0</v>
      </c>
      <c r="E83" s="2" t="str">
        <f>RawData!C83&amp; " "&amp;RawData!E83</f>
        <v xml:space="preserve"> </v>
      </c>
      <c r="F83" s="2">
        <f>(RawData!O83)*M83</f>
        <v>0</v>
      </c>
      <c r="G83" s="35">
        <f>RawData!H83</f>
        <v>0</v>
      </c>
      <c r="H83">
        <f t="shared" si="6"/>
        <v>0</v>
      </c>
      <c r="I83">
        <f t="shared" si="6"/>
        <v>0</v>
      </c>
      <c r="J83">
        <f t="shared" si="6"/>
        <v>0</v>
      </c>
      <c r="K83">
        <f t="shared" si="6"/>
        <v>0</v>
      </c>
      <c r="L83">
        <f t="shared" si="6"/>
        <v>0</v>
      </c>
      <c r="M83" s="2">
        <f>IF(RawData!L83=0,1,0)</f>
        <v>1</v>
      </c>
    </row>
    <row r="84" spans="1:13" x14ac:dyDescent="0.25">
      <c r="A84">
        <f t="shared" si="5"/>
        <v>0</v>
      </c>
      <c r="B84">
        <f>IF(C84=0,0,A84&amp;" "&amp;COUNTIF($A$1:$A84,A84))</f>
        <v>0</v>
      </c>
      <c r="C84" s="1">
        <v>0</v>
      </c>
      <c r="D84" s="2">
        <f>RawData!B84</f>
        <v>0</v>
      </c>
      <c r="E84" s="2" t="str">
        <f>RawData!C84&amp; " "&amp;RawData!E84</f>
        <v xml:space="preserve"> </v>
      </c>
      <c r="F84" s="2">
        <f>(RawData!O84)*M84</f>
        <v>0</v>
      </c>
      <c r="G84" s="35">
        <f>RawData!H84</f>
        <v>0</v>
      </c>
      <c r="H84">
        <f t="shared" si="6"/>
        <v>0</v>
      </c>
      <c r="I84">
        <f t="shared" si="6"/>
        <v>0</v>
      </c>
      <c r="J84">
        <f t="shared" si="6"/>
        <v>0</v>
      </c>
      <c r="K84">
        <f t="shared" si="6"/>
        <v>0</v>
      </c>
      <c r="L84">
        <f t="shared" si="6"/>
        <v>0</v>
      </c>
      <c r="M84" s="2">
        <f>IF(RawData!L84=0,1,0)</f>
        <v>1</v>
      </c>
    </row>
    <row r="85" spans="1:13" x14ac:dyDescent="0.25">
      <c r="A85">
        <f t="shared" si="5"/>
        <v>0</v>
      </c>
      <c r="B85">
        <f>IF(C85=0,0,A85&amp;" "&amp;COUNTIF($A$1:$A85,A85))</f>
        <v>0</v>
      </c>
      <c r="C85" s="1">
        <v>0</v>
      </c>
      <c r="D85" s="2">
        <f>RawData!B85</f>
        <v>0</v>
      </c>
      <c r="E85" s="2" t="str">
        <f>RawData!C85&amp; " "&amp;RawData!E85</f>
        <v xml:space="preserve"> </v>
      </c>
      <c r="F85" s="2">
        <f>(RawData!O85)*M85</f>
        <v>0</v>
      </c>
      <c r="G85" s="35">
        <f>RawData!H85</f>
        <v>0</v>
      </c>
      <c r="H85">
        <f t="shared" si="6"/>
        <v>0</v>
      </c>
      <c r="I85">
        <f t="shared" si="6"/>
        <v>0</v>
      </c>
      <c r="J85">
        <f t="shared" si="6"/>
        <v>0</v>
      </c>
      <c r="K85">
        <f t="shared" si="6"/>
        <v>0</v>
      </c>
      <c r="L85">
        <f t="shared" si="6"/>
        <v>0</v>
      </c>
      <c r="M85" s="2">
        <f>IF(RawData!L85=0,1,0)</f>
        <v>1</v>
      </c>
    </row>
    <row r="86" spans="1:13" x14ac:dyDescent="0.25">
      <c r="A86">
        <f t="shared" si="5"/>
        <v>0</v>
      </c>
      <c r="B86">
        <f>IF(C86=0,0,A86&amp;" "&amp;COUNTIF($A$1:$A86,A86))</f>
        <v>0</v>
      </c>
      <c r="C86" s="1">
        <v>0</v>
      </c>
      <c r="D86" s="2">
        <f>RawData!B86</f>
        <v>0</v>
      </c>
      <c r="E86" s="2" t="str">
        <f>RawData!C86&amp; " "&amp;RawData!E86</f>
        <v xml:space="preserve"> </v>
      </c>
      <c r="F86" s="2">
        <f>(RawData!O86)*M86</f>
        <v>0</v>
      </c>
      <c r="G86" s="35">
        <f>RawData!H86</f>
        <v>0</v>
      </c>
      <c r="H86">
        <f t="shared" si="6"/>
        <v>0</v>
      </c>
      <c r="I86">
        <f t="shared" si="6"/>
        <v>0</v>
      </c>
      <c r="J86">
        <f t="shared" si="6"/>
        <v>0</v>
      </c>
      <c r="K86">
        <f t="shared" si="6"/>
        <v>0</v>
      </c>
      <c r="L86">
        <f t="shared" si="6"/>
        <v>0</v>
      </c>
      <c r="M86" s="2">
        <f>IF(RawData!L86=0,1,0)</f>
        <v>1</v>
      </c>
    </row>
    <row r="87" spans="1:13" x14ac:dyDescent="0.25">
      <c r="A87">
        <f t="shared" si="5"/>
        <v>0</v>
      </c>
      <c r="B87">
        <f>IF(C87=0,0,A87&amp;" "&amp;COUNTIF($A$1:$A87,A87))</f>
        <v>0</v>
      </c>
      <c r="C87" s="1">
        <v>0</v>
      </c>
      <c r="D87" s="2">
        <f>RawData!B87</f>
        <v>0</v>
      </c>
      <c r="E87" s="2" t="str">
        <f>RawData!C87&amp; " "&amp;RawData!E87</f>
        <v xml:space="preserve"> </v>
      </c>
      <c r="F87" s="2">
        <f>(RawData!O87)*M87</f>
        <v>0</v>
      </c>
      <c r="G87" s="35">
        <f>RawData!H87</f>
        <v>0</v>
      </c>
      <c r="H87">
        <f t="shared" si="6"/>
        <v>0</v>
      </c>
      <c r="I87">
        <f t="shared" si="6"/>
        <v>0</v>
      </c>
      <c r="J87">
        <f t="shared" si="6"/>
        <v>0</v>
      </c>
      <c r="K87">
        <f t="shared" si="6"/>
        <v>0</v>
      </c>
      <c r="L87">
        <f t="shared" si="6"/>
        <v>0</v>
      </c>
      <c r="M87" s="2">
        <f>IF(RawData!L87=0,1,0)</f>
        <v>1</v>
      </c>
    </row>
    <row r="88" spans="1:13" x14ac:dyDescent="0.25">
      <c r="A88">
        <f t="shared" si="5"/>
        <v>0</v>
      </c>
      <c r="B88">
        <f>IF(C88=0,0,A88&amp;" "&amp;COUNTIF($A$1:$A88,A88))</f>
        <v>0</v>
      </c>
      <c r="C88" s="1">
        <v>0</v>
      </c>
      <c r="D88" s="2">
        <f>RawData!B88</f>
        <v>0</v>
      </c>
      <c r="E88" s="2" t="str">
        <f>RawData!C88&amp; " "&amp;RawData!E88</f>
        <v xml:space="preserve"> </v>
      </c>
      <c r="F88" s="2">
        <f>(RawData!O88)*M88</f>
        <v>0</v>
      </c>
      <c r="G88" s="35">
        <f>RawData!H88</f>
        <v>0</v>
      </c>
      <c r="H88">
        <f t="shared" si="6"/>
        <v>0</v>
      </c>
      <c r="I88">
        <f t="shared" si="6"/>
        <v>0</v>
      </c>
      <c r="J88">
        <f t="shared" si="6"/>
        <v>0</v>
      </c>
      <c r="K88">
        <f t="shared" si="6"/>
        <v>0</v>
      </c>
      <c r="L88">
        <f t="shared" si="6"/>
        <v>0</v>
      </c>
      <c r="M88" s="2">
        <f>IF(RawData!L88=0,1,0)</f>
        <v>1</v>
      </c>
    </row>
    <row r="89" spans="1:13" x14ac:dyDescent="0.25">
      <c r="A89">
        <f t="shared" si="5"/>
        <v>0</v>
      </c>
      <c r="B89">
        <f>IF(C89=0,0,A89&amp;" "&amp;COUNTIF($A$1:$A89,A89))</f>
        <v>0</v>
      </c>
      <c r="C89" s="1">
        <v>0</v>
      </c>
      <c r="D89" s="2">
        <f>RawData!B89</f>
        <v>0</v>
      </c>
      <c r="E89" s="2" t="str">
        <f>RawData!C89&amp; " "&amp;RawData!E89</f>
        <v xml:space="preserve"> </v>
      </c>
      <c r="F89" s="2">
        <f>(RawData!O89)*M89</f>
        <v>0</v>
      </c>
      <c r="G89" s="35">
        <f>RawData!H89</f>
        <v>0</v>
      </c>
      <c r="H89">
        <f t="shared" si="6"/>
        <v>0</v>
      </c>
      <c r="I89">
        <f t="shared" si="6"/>
        <v>0</v>
      </c>
      <c r="J89">
        <f t="shared" si="6"/>
        <v>0</v>
      </c>
      <c r="K89">
        <f t="shared" si="6"/>
        <v>0</v>
      </c>
      <c r="L89">
        <f t="shared" si="6"/>
        <v>0</v>
      </c>
      <c r="M89" s="2">
        <f>IF(RawData!L89=0,1,0)</f>
        <v>1</v>
      </c>
    </row>
    <row r="90" spans="1:13" x14ac:dyDescent="0.25">
      <c r="A90">
        <f t="shared" si="5"/>
        <v>0</v>
      </c>
      <c r="B90">
        <f>IF(C90=0,0,A90&amp;" "&amp;COUNTIF($A$1:$A90,A90))</f>
        <v>0</v>
      </c>
      <c r="C90" s="1">
        <v>0</v>
      </c>
      <c r="D90" s="2">
        <f>RawData!B90</f>
        <v>0</v>
      </c>
      <c r="E90" s="2" t="str">
        <f>RawData!C90&amp; " "&amp;RawData!E90</f>
        <v xml:space="preserve"> </v>
      </c>
      <c r="F90" s="2">
        <f>(RawData!O90)*M90</f>
        <v>0</v>
      </c>
      <c r="G90" s="35">
        <f>RawData!H90</f>
        <v>0</v>
      </c>
      <c r="H90">
        <f t="shared" si="6"/>
        <v>0</v>
      </c>
      <c r="I90">
        <f t="shared" si="6"/>
        <v>0</v>
      </c>
      <c r="J90">
        <f t="shared" si="6"/>
        <v>0</v>
      </c>
      <c r="K90">
        <f t="shared" si="6"/>
        <v>0</v>
      </c>
      <c r="L90">
        <f t="shared" si="6"/>
        <v>0</v>
      </c>
      <c r="M90" s="2">
        <f>IF(RawData!L90=0,1,0)</f>
        <v>1</v>
      </c>
    </row>
    <row r="91" spans="1:13" x14ac:dyDescent="0.25">
      <c r="A91">
        <f t="shared" si="5"/>
        <v>0</v>
      </c>
      <c r="B91">
        <f>IF(C91=0,0,A91&amp;" "&amp;COUNTIF($A$1:$A91,A91))</f>
        <v>0</v>
      </c>
      <c r="C91" s="1">
        <v>0</v>
      </c>
      <c r="D91" s="2">
        <f>RawData!B91</f>
        <v>0</v>
      </c>
      <c r="E91" s="2" t="str">
        <f>RawData!C91&amp; " "&amp;RawData!E91</f>
        <v xml:space="preserve"> </v>
      </c>
      <c r="F91" s="2">
        <f>(RawData!O91)*M91</f>
        <v>0</v>
      </c>
      <c r="G91" s="35">
        <f>RawData!H91</f>
        <v>0</v>
      </c>
      <c r="H91">
        <f t="shared" si="6"/>
        <v>0</v>
      </c>
      <c r="I91">
        <f t="shared" si="6"/>
        <v>0</v>
      </c>
      <c r="J91">
        <f t="shared" si="6"/>
        <v>0</v>
      </c>
      <c r="K91">
        <f t="shared" si="6"/>
        <v>0</v>
      </c>
      <c r="L91">
        <f t="shared" si="6"/>
        <v>0</v>
      </c>
      <c r="M91" s="2">
        <f>IF(RawData!L91=0,1,0)</f>
        <v>1</v>
      </c>
    </row>
    <row r="92" spans="1:13" x14ac:dyDescent="0.25">
      <c r="A92">
        <f t="shared" si="5"/>
        <v>0</v>
      </c>
      <c r="B92">
        <f>IF(C92=0,0,A92&amp;" "&amp;COUNTIF($A$1:$A92,A92))</f>
        <v>0</v>
      </c>
      <c r="C92" s="1">
        <v>0</v>
      </c>
      <c r="D92" s="2">
        <f>RawData!B92</f>
        <v>0</v>
      </c>
      <c r="E92" s="2" t="str">
        <f>RawData!C92&amp; " "&amp;RawData!E92</f>
        <v xml:space="preserve"> </v>
      </c>
      <c r="F92" s="2">
        <f>(RawData!O92)*M92</f>
        <v>0</v>
      </c>
      <c r="G92" s="35">
        <f>RawData!H92</f>
        <v>0</v>
      </c>
      <c r="H92">
        <f t="shared" si="6"/>
        <v>0</v>
      </c>
      <c r="I92">
        <f t="shared" si="6"/>
        <v>0</v>
      </c>
      <c r="J92">
        <f t="shared" si="6"/>
        <v>0</v>
      </c>
      <c r="K92">
        <f t="shared" si="6"/>
        <v>0</v>
      </c>
      <c r="L92">
        <f t="shared" si="6"/>
        <v>0</v>
      </c>
      <c r="M92" s="2">
        <f>IF(RawData!L92=0,1,0)</f>
        <v>1</v>
      </c>
    </row>
    <row r="93" spans="1:13" x14ac:dyDescent="0.25">
      <c r="A93">
        <f t="shared" si="5"/>
        <v>0</v>
      </c>
      <c r="B93">
        <f>IF(C93=0,0,A93&amp;" "&amp;COUNTIF($A$1:$A93,A93))</f>
        <v>0</v>
      </c>
      <c r="C93" s="1">
        <v>0</v>
      </c>
      <c r="D93" s="2">
        <f>RawData!B93</f>
        <v>0</v>
      </c>
      <c r="E93" s="2" t="str">
        <f>RawData!C93&amp; " "&amp;RawData!E93</f>
        <v xml:space="preserve"> </v>
      </c>
      <c r="F93" s="2">
        <f>(RawData!O93)*M93</f>
        <v>0</v>
      </c>
      <c r="G93" s="35">
        <f>RawData!H93</f>
        <v>0</v>
      </c>
      <c r="H93">
        <f t="shared" si="6"/>
        <v>0</v>
      </c>
      <c r="I93">
        <f t="shared" si="6"/>
        <v>0</v>
      </c>
      <c r="J93">
        <f t="shared" si="6"/>
        <v>0</v>
      </c>
      <c r="K93">
        <f t="shared" si="6"/>
        <v>0</v>
      </c>
      <c r="L93">
        <f t="shared" si="6"/>
        <v>0</v>
      </c>
      <c r="M93" s="2">
        <f>IF(RawData!L93=0,1,0)</f>
        <v>1</v>
      </c>
    </row>
    <row r="94" spans="1:13" x14ac:dyDescent="0.25">
      <c r="A94">
        <f t="shared" si="5"/>
        <v>0</v>
      </c>
      <c r="B94">
        <f>IF(C94=0,0,A94&amp;" "&amp;COUNTIF($A$1:$A94,A94))</f>
        <v>0</v>
      </c>
      <c r="C94" s="1">
        <v>0</v>
      </c>
      <c r="D94" s="2">
        <f>RawData!B94</f>
        <v>0</v>
      </c>
      <c r="E94" s="2" t="str">
        <f>RawData!C94&amp; " "&amp;RawData!E94</f>
        <v xml:space="preserve"> </v>
      </c>
      <c r="F94" s="2">
        <f>(RawData!O94)*M94</f>
        <v>0</v>
      </c>
      <c r="G94" s="35">
        <f>RawData!H94</f>
        <v>0</v>
      </c>
      <c r="H94">
        <f t="shared" si="6"/>
        <v>0</v>
      </c>
      <c r="I94">
        <f t="shared" si="6"/>
        <v>0</v>
      </c>
      <c r="J94">
        <f t="shared" si="6"/>
        <v>0</v>
      </c>
      <c r="K94">
        <f t="shared" si="6"/>
        <v>0</v>
      </c>
      <c r="L94">
        <f t="shared" si="6"/>
        <v>0</v>
      </c>
      <c r="M94" s="2">
        <f>IF(RawData!L94=0,1,0)</f>
        <v>1</v>
      </c>
    </row>
    <row r="95" spans="1:13" x14ac:dyDescent="0.25">
      <c r="A95">
        <f t="shared" si="5"/>
        <v>0</v>
      </c>
      <c r="B95">
        <f>IF(C95=0,0,A95&amp;" "&amp;COUNTIF($A$1:$A95,A95))</f>
        <v>0</v>
      </c>
      <c r="C95" s="1">
        <v>0</v>
      </c>
      <c r="D95" s="2">
        <f>RawData!B95</f>
        <v>0</v>
      </c>
      <c r="E95" s="2" t="str">
        <f>RawData!C95&amp; " "&amp;RawData!E95</f>
        <v xml:space="preserve"> </v>
      </c>
      <c r="F95" s="2">
        <f>(RawData!O95)*M95</f>
        <v>0</v>
      </c>
      <c r="G95" s="35">
        <f>RawData!H95</f>
        <v>0</v>
      </c>
      <c r="H95">
        <f t="shared" si="6"/>
        <v>0</v>
      </c>
      <c r="I95">
        <f t="shared" si="6"/>
        <v>0</v>
      </c>
      <c r="J95">
        <f t="shared" si="6"/>
        <v>0</v>
      </c>
      <c r="K95">
        <f t="shared" si="6"/>
        <v>0</v>
      </c>
      <c r="L95">
        <f t="shared" si="6"/>
        <v>0</v>
      </c>
      <c r="M95" s="2">
        <f>IF(RawData!L95=0,1,0)</f>
        <v>1</v>
      </c>
    </row>
    <row r="96" spans="1:13" x14ac:dyDescent="0.25">
      <c r="A96">
        <f t="shared" si="5"/>
        <v>0</v>
      </c>
      <c r="B96">
        <f>IF(C96=0,0,A96&amp;" "&amp;COUNTIF($A$1:$A96,A96))</f>
        <v>0</v>
      </c>
      <c r="C96" s="1">
        <v>0</v>
      </c>
      <c r="D96" s="2">
        <f>RawData!B96</f>
        <v>0</v>
      </c>
      <c r="E96" s="2" t="str">
        <f>RawData!C96&amp; " "&amp;RawData!E96</f>
        <v xml:space="preserve"> </v>
      </c>
      <c r="F96" s="2">
        <f>(RawData!O96)*M96</f>
        <v>0</v>
      </c>
      <c r="G96" s="35">
        <f>RawData!H96</f>
        <v>0</v>
      </c>
      <c r="H96">
        <f t="shared" si="6"/>
        <v>0</v>
      </c>
      <c r="I96">
        <f t="shared" si="6"/>
        <v>0</v>
      </c>
      <c r="J96">
        <f t="shared" si="6"/>
        <v>0</v>
      </c>
      <c r="K96">
        <f t="shared" si="6"/>
        <v>0</v>
      </c>
      <c r="L96">
        <f t="shared" si="6"/>
        <v>0</v>
      </c>
      <c r="M96" s="2">
        <f>IF(RawData!L96=0,1,0)</f>
        <v>1</v>
      </c>
    </row>
    <row r="97" spans="1:13" x14ac:dyDescent="0.25">
      <c r="A97">
        <f t="shared" si="5"/>
        <v>0</v>
      </c>
      <c r="B97">
        <f>IF(C97=0,0,A97&amp;" "&amp;COUNTIF($A$1:$A97,A97))</f>
        <v>0</v>
      </c>
      <c r="C97" s="1">
        <v>0</v>
      </c>
      <c r="D97" s="2">
        <f>RawData!B97</f>
        <v>0</v>
      </c>
      <c r="E97" s="2" t="str">
        <f>RawData!C97&amp; " "&amp;RawData!E97</f>
        <v xml:space="preserve"> </v>
      </c>
      <c r="F97" s="2">
        <f>(RawData!O97)*M97</f>
        <v>0</v>
      </c>
      <c r="G97" s="35">
        <f>RawData!H97</f>
        <v>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 s="2">
        <f>IF(RawData!L97=0,1,0)</f>
        <v>1</v>
      </c>
    </row>
    <row r="98" spans="1:13" x14ac:dyDescent="0.25">
      <c r="A98">
        <f t="shared" si="5"/>
        <v>0</v>
      </c>
      <c r="B98">
        <f>IF(C98=0,0,A98&amp;" "&amp;COUNTIF($A$1:$A98,A98))</f>
        <v>0</v>
      </c>
      <c r="C98" s="1">
        <v>0</v>
      </c>
      <c r="D98" s="2">
        <f>RawData!B98</f>
        <v>0</v>
      </c>
      <c r="E98" s="2" t="str">
        <f>RawData!C98&amp; " "&amp;RawData!E98</f>
        <v xml:space="preserve"> </v>
      </c>
      <c r="F98" s="2">
        <f>(RawData!O98)*M98</f>
        <v>0</v>
      </c>
      <c r="G98" s="35">
        <f>RawData!H98</f>
        <v>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 s="2">
        <f>IF(RawData!L98=0,1,0)</f>
        <v>1</v>
      </c>
    </row>
    <row r="99" spans="1:13" x14ac:dyDescent="0.25">
      <c r="A99">
        <f t="shared" si="5"/>
        <v>0</v>
      </c>
      <c r="B99">
        <f>IF(C99=0,0,A99&amp;" "&amp;COUNTIF($A$1:$A99,A99))</f>
        <v>0</v>
      </c>
      <c r="C99" s="1">
        <v>0</v>
      </c>
      <c r="D99" s="2">
        <f>RawData!B99</f>
        <v>0</v>
      </c>
      <c r="E99" s="2" t="str">
        <f>RawData!C99&amp; " "&amp;RawData!E99</f>
        <v xml:space="preserve"> </v>
      </c>
      <c r="F99" s="2">
        <f>(RawData!O99)*M99</f>
        <v>0</v>
      </c>
      <c r="G99" s="35">
        <f>RawData!H99</f>
        <v>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 s="2">
        <f>IF(RawData!L99=0,1,0)</f>
        <v>1</v>
      </c>
    </row>
    <row r="100" spans="1:13" x14ac:dyDescent="0.25">
      <c r="A100">
        <f t="shared" si="5"/>
        <v>0</v>
      </c>
      <c r="B100">
        <f>IF(C100=0,0,A100&amp;" "&amp;COUNTIF($A$1:$A100,A100))</f>
        <v>0</v>
      </c>
      <c r="C100" s="1">
        <v>0</v>
      </c>
      <c r="D100" s="2">
        <f>RawData!B100</f>
        <v>0</v>
      </c>
      <c r="E100" s="2" t="str">
        <f>RawData!C100&amp; " "&amp;RawData!E100</f>
        <v xml:space="preserve"> </v>
      </c>
      <c r="F100" s="2">
        <f>(RawData!O100)*M100</f>
        <v>0</v>
      </c>
      <c r="G100" s="35">
        <f>RawData!H100</f>
        <v>0</v>
      </c>
      <c r="H100">
        <f t="shared" si="6"/>
        <v>0</v>
      </c>
      <c r="I100">
        <f t="shared" si="6"/>
        <v>0</v>
      </c>
      <c r="J100">
        <f t="shared" si="6"/>
        <v>0</v>
      </c>
      <c r="K100">
        <f t="shared" si="6"/>
        <v>0</v>
      </c>
      <c r="L100">
        <f t="shared" si="6"/>
        <v>0</v>
      </c>
      <c r="M100" s="2">
        <f>IF(RawData!L100=0,1,0)</f>
        <v>1</v>
      </c>
    </row>
    <row r="101" spans="1:13" x14ac:dyDescent="0.25">
      <c r="A101">
        <f t="shared" si="5"/>
        <v>0</v>
      </c>
      <c r="B101">
        <f>IF(C101=0,0,A101&amp;" "&amp;COUNTIF($A$1:$A101,A101))</f>
        <v>0</v>
      </c>
      <c r="C101" s="1">
        <v>0</v>
      </c>
      <c r="D101" s="2">
        <f>RawData!B101</f>
        <v>0</v>
      </c>
      <c r="E101" s="2" t="str">
        <f>RawData!C101&amp; " "&amp;RawData!E101</f>
        <v xml:space="preserve"> </v>
      </c>
      <c r="F101" s="2">
        <f>(RawData!O101)*M101</f>
        <v>0</v>
      </c>
      <c r="G101" s="35">
        <f>RawData!H101</f>
        <v>0</v>
      </c>
      <c r="H101">
        <f t="shared" si="6"/>
        <v>0</v>
      </c>
      <c r="I101">
        <f t="shared" si="6"/>
        <v>0</v>
      </c>
      <c r="J101">
        <f t="shared" si="6"/>
        <v>0</v>
      </c>
      <c r="K101">
        <f t="shared" si="6"/>
        <v>0</v>
      </c>
      <c r="L101">
        <f t="shared" si="6"/>
        <v>0</v>
      </c>
      <c r="M101" s="2">
        <f>IF(RawData!L101=0,1,0)</f>
        <v>1</v>
      </c>
    </row>
    <row r="102" spans="1:13" x14ac:dyDescent="0.25">
      <c r="C102" s="1">
        <v>0</v>
      </c>
      <c r="E102" s="2"/>
      <c r="M102" s="2"/>
    </row>
    <row r="103" spans="1:13" x14ac:dyDescent="0.25">
      <c r="C103" s="1">
        <v>0</v>
      </c>
      <c r="E103" s="2"/>
      <c r="M103" s="2"/>
    </row>
    <row r="104" spans="1:13" x14ac:dyDescent="0.25">
      <c r="C104" s="1">
        <v>0</v>
      </c>
      <c r="E104" s="2"/>
      <c r="M104" s="2"/>
    </row>
    <row r="105" spans="1:13" x14ac:dyDescent="0.25">
      <c r="C105" s="1">
        <v>0</v>
      </c>
      <c r="E105" s="2"/>
      <c r="M105" s="2"/>
    </row>
    <row r="106" spans="1:13" x14ac:dyDescent="0.25">
      <c r="C106" s="1">
        <v>0</v>
      </c>
      <c r="E106" s="2"/>
      <c r="M106" s="2"/>
    </row>
    <row r="107" spans="1:13" x14ac:dyDescent="0.25">
      <c r="C107" s="1">
        <v>0</v>
      </c>
      <c r="E107" s="2"/>
      <c r="M107" s="2"/>
    </row>
    <row r="108" spans="1:13" x14ac:dyDescent="0.25">
      <c r="C108" s="1">
        <v>0</v>
      </c>
      <c r="E108" s="2"/>
      <c r="M108" s="2"/>
    </row>
    <row r="109" spans="1:13" x14ac:dyDescent="0.25">
      <c r="C109" s="1">
        <v>0</v>
      </c>
      <c r="E109" s="2"/>
      <c r="M109" s="2"/>
    </row>
    <row r="110" spans="1:13" x14ac:dyDescent="0.25">
      <c r="C110" s="1">
        <v>0</v>
      </c>
      <c r="E110" s="2"/>
      <c r="M110" s="2"/>
    </row>
    <row r="111" spans="1:13" x14ac:dyDescent="0.25">
      <c r="C111" s="1">
        <v>0</v>
      </c>
      <c r="E111" s="2"/>
      <c r="M111" s="2"/>
    </row>
    <row r="112" spans="1:13" x14ac:dyDescent="0.25">
      <c r="C112" s="1">
        <v>0</v>
      </c>
      <c r="E112" s="2"/>
      <c r="M112" s="2"/>
    </row>
    <row r="113" spans="3:13" x14ac:dyDescent="0.25">
      <c r="C113" s="1">
        <v>0</v>
      </c>
      <c r="E113" s="2"/>
      <c r="M113" s="2"/>
    </row>
    <row r="114" spans="3:13" x14ac:dyDescent="0.25">
      <c r="C114" s="1">
        <v>0</v>
      </c>
      <c r="E114" s="2"/>
      <c r="M114" s="2"/>
    </row>
    <row r="115" spans="3:13" x14ac:dyDescent="0.25">
      <c r="C115" s="1">
        <v>0</v>
      </c>
      <c r="E115" s="2"/>
      <c r="M115" s="2"/>
    </row>
    <row r="116" spans="3:13" x14ac:dyDescent="0.25">
      <c r="C116" s="1">
        <v>0</v>
      </c>
      <c r="E116" s="2"/>
      <c r="M116" s="2"/>
    </row>
    <row r="117" spans="3:13" x14ac:dyDescent="0.25">
      <c r="C117" s="1">
        <v>0</v>
      </c>
      <c r="E117" s="2"/>
      <c r="M117" s="2"/>
    </row>
    <row r="118" spans="3:13" x14ac:dyDescent="0.25">
      <c r="C118" s="1">
        <v>0</v>
      </c>
      <c r="E118" s="2"/>
      <c r="M118" s="2"/>
    </row>
    <row r="119" spans="3:13" x14ac:dyDescent="0.25">
      <c r="C119" s="1">
        <v>0</v>
      </c>
      <c r="E119" s="2"/>
      <c r="M119" s="2"/>
    </row>
    <row r="120" spans="3:13" x14ac:dyDescent="0.25">
      <c r="C120" s="1">
        <v>0</v>
      </c>
      <c r="E120" s="2"/>
      <c r="M120" s="2"/>
    </row>
    <row r="121" spans="3:13" x14ac:dyDescent="0.25">
      <c r="C121" s="1">
        <v>0</v>
      </c>
      <c r="E121" s="2"/>
      <c r="M121" s="2"/>
    </row>
    <row r="122" spans="3:13" x14ac:dyDescent="0.25">
      <c r="C122" s="1">
        <v>0</v>
      </c>
      <c r="E122" s="2"/>
      <c r="M122" s="2"/>
    </row>
    <row r="123" spans="3:13" x14ac:dyDescent="0.25">
      <c r="C123" s="1">
        <v>0</v>
      </c>
      <c r="E123" s="2"/>
      <c r="M123" s="2"/>
    </row>
    <row r="124" spans="3:13" x14ac:dyDescent="0.25">
      <c r="C124" s="1">
        <v>0</v>
      </c>
      <c r="E124" s="2"/>
      <c r="M124" s="2"/>
    </row>
    <row r="125" spans="3:13" x14ac:dyDescent="0.25">
      <c r="C125" s="1">
        <v>0</v>
      </c>
      <c r="E125" s="2"/>
      <c r="M125" s="2"/>
    </row>
    <row r="126" spans="3:13" x14ac:dyDescent="0.25">
      <c r="C126" s="1">
        <v>0</v>
      </c>
      <c r="E126" s="2"/>
      <c r="M126" s="2"/>
    </row>
    <row r="127" spans="3:13" x14ac:dyDescent="0.25">
      <c r="C127" s="1">
        <v>0</v>
      </c>
      <c r="E127" s="2"/>
      <c r="M127" s="2"/>
    </row>
    <row r="128" spans="3:13" x14ac:dyDescent="0.25">
      <c r="C128" s="1">
        <v>0</v>
      </c>
      <c r="E128" s="2"/>
      <c r="M128" s="2"/>
    </row>
    <row r="129" spans="3:13" x14ac:dyDescent="0.25">
      <c r="C129" s="1">
        <v>0</v>
      </c>
      <c r="E129" s="2"/>
      <c r="M129" s="2"/>
    </row>
    <row r="130" spans="3:13" x14ac:dyDescent="0.25">
      <c r="C130" s="1">
        <v>0</v>
      </c>
      <c r="E130" s="2"/>
      <c r="M130" s="2"/>
    </row>
    <row r="131" spans="3:13" x14ac:dyDescent="0.25">
      <c r="C131" s="1">
        <v>0</v>
      </c>
      <c r="E131" s="2"/>
      <c r="M131" s="2"/>
    </row>
    <row r="132" spans="3:13" x14ac:dyDescent="0.25">
      <c r="C132" s="1">
        <v>0</v>
      </c>
      <c r="E132" s="2"/>
      <c r="M132" s="2"/>
    </row>
    <row r="133" spans="3:13" x14ac:dyDescent="0.25">
      <c r="C133" s="1">
        <v>0</v>
      </c>
      <c r="E133" s="2"/>
      <c r="M133" s="2"/>
    </row>
    <row r="134" spans="3:13" x14ac:dyDescent="0.25">
      <c r="C134" s="1">
        <v>0</v>
      </c>
      <c r="E134" s="2"/>
      <c r="M134" s="2"/>
    </row>
    <row r="135" spans="3:13" x14ac:dyDescent="0.25">
      <c r="C135" s="1">
        <v>0</v>
      </c>
      <c r="E135" s="2"/>
      <c r="M135" s="2"/>
    </row>
    <row r="136" spans="3:13" x14ac:dyDescent="0.25">
      <c r="C136" s="1">
        <v>0</v>
      </c>
      <c r="E136" s="2"/>
      <c r="M136" s="2"/>
    </row>
    <row r="137" spans="3:13" x14ac:dyDescent="0.25">
      <c r="C137" s="1">
        <v>0</v>
      </c>
      <c r="E137" s="2"/>
      <c r="M137" s="2"/>
    </row>
    <row r="138" spans="3:13" x14ac:dyDescent="0.25">
      <c r="C138" s="1">
        <v>0</v>
      </c>
      <c r="E138" s="2"/>
      <c r="M138" s="2"/>
    </row>
    <row r="139" spans="3:13" x14ac:dyDescent="0.25">
      <c r="C139" s="1">
        <v>0</v>
      </c>
      <c r="E139" s="2"/>
      <c r="M139" s="2"/>
    </row>
    <row r="140" spans="3:13" x14ac:dyDescent="0.25">
      <c r="C140" s="1">
        <v>0</v>
      </c>
      <c r="E140" s="2"/>
      <c r="M140" s="2"/>
    </row>
    <row r="141" spans="3:13" x14ac:dyDescent="0.25">
      <c r="C141" s="1">
        <v>0</v>
      </c>
      <c r="E141" s="2"/>
      <c r="M141" s="2"/>
    </row>
    <row r="142" spans="3:13" x14ac:dyDescent="0.25">
      <c r="C142" s="1">
        <v>0</v>
      </c>
      <c r="E142" s="2"/>
      <c r="M142" s="2"/>
    </row>
    <row r="143" spans="3:13" x14ac:dyDescent="0.25">
      <c r="C143" s="1">
        <v>0</v>
      </c>
      <c r="E143" s="2"/>
      <c r="M143" s="2"/>
    </row>
    <row r="144" spans="3:13" x14ac:dyDescent="0.25">
      <c r="C144" s="1">
        <v>0</v>
      </c>
      <c r="E144" s="2"/>
      <c r="M144" s="2"/>
    </row>
    <row r="145" spans="3:13" x14ac:dyDescent="0.25">
      <c r="C145" s="1">
        <v>0</v>
      </c>
      <c r="E145" s="2"/>
      <c r="M145" s="2"/>
    </row>
    <row r="146" spans="3:13" x14ac:dyDescent="0.25">
      <c r="C146" s="1">
        <v>0</v>
      </c>
      <c r="E146" s="2"/>
      <c r="M146" s="2"/>
    </row>
    <row r="147" spans="3:13" x14ac:dyDescent="0.25">
      <c r="C147" s="1">
        <v>0</v>
      </c>
      <c r="E147" s="2"/>
      <c r="M147" s="2"/>
    </row>
    <row r="148" spans="3:13" x14ac:dyDescent="0.25">
      <c r="C148" s="1">
        <v>0</v>
      </c>
      <c r="E148" s="2"/>
      <c r="M148" s="2"/>
    </row>
    <row r="149" spans="3:13" x14ac:dyDescent="0.25">
      <c r="C149" s="1">
        <v>0</v>
      </c>
      <c r="E149" s="2"/>
      <c r="M149" s="2"/>
    </row>
    <row r="150" spans="3:13" x14ac:dyDescent="0.25">
      <c r="C150" s="1">
        <v>0</v>
      </c>
      <c r="E150" s="2"/>
      <c r="M150" s="2"/>
    </row>
    <row r="151" spans="3:13" x14ac:dyDescent="0.25">
      <c r="C151" s="1"/>
      <c r="E151" s="2"/>
    </row>
    <row r="152" spans="3:13" x14ac:dyDescent="0.25">
      <c r="C152" s="1"/>
      <c r="E152" s="2"/>
    </row>
    <row r="153" spans="3:13" x14ac:dyDescent="0.25">
      <c r="C153" s="1"/>
      <c r="E153" s="2"/>
    </row>
    <row r="154" spans="3:13" x14ac:dyDescent="0.25">
      <c r="C154" s="1"/>
      <c r="E154" s="2"/>
    </row>
    <row r="155" spans="3:13" x14ac:dyDescent="0.25">
      <c r="C155" s="1"/>
      <c r="E155" s="2"/>
    </row>
    <row r="156" spans="3:13" x14ac:dyDescent="0.25">
      <c r="C156" s="1"/>
      <c r="E156" s="2"/>
    </row>
    <row r="157" spans="3:13" x14ac:dyDescent="0.25">
      <c r="C157" s="1"/>
      <c r="E157" s="2"/>
    </row>
    <row r="158" spans="3:13" x14ac:dyDescent="0.25">
      <c r="C158" s="1"/>
      <c r="E158" s="2"/>
    </row>
    <row r="159" spans="3:13" x14ac:dyDescent="0.25">
      <c r="C159" s="1"/>
      <c r="E159" s="2"/>
    </row>
    <row r="160" spans="3:13" x14ac:dyDescent="0.25">
      <c r="C160" s="1"/>
      <c r="E160" s="2"/>
    </row>
    <row r="161" spans="3:5" x14ac:dyDescent="0.25">
      <c r="C161" s="1"/>
      <c r="E161" s="2"/>
    </row>
    <row r="162" spans="3:5" x14ac:dyDescent="0.25">
      <c r="C162" s="1"/>
      <c r="E162" s="2"/>
    </row>
    <row r="163" spans="3:5" x14ac:dyDescent="0.25">
      <c r="C163" s="1"/>
      <c r="E163" s="2"/>
    </row>
    <row r="164" spans="3:5" x14ac:dyDescent="0.25">
      <c r="C164" s="1"/>
      <c r="E164" s="2"/>
    </row>
    <row r="165" spans="3:5" x14ac:dyDescent="0.25">
      <c r="C165" s="1"/>
      <c r="E165" s="2"/>
    </row>
    <row r="166" spans="3:5" x14ac:dyDescent="0.25">
      <c r="C166" s="1"/>
      <c r="E166" s="2"/>
    </row>
    <row r="167" spans="3:5" x14ac:dyDescent="0.25">
      <c r="C167" s="1"/>
      <c r="E167" s="2"/>
    </row>
    <row r="168" spans="3:5" x14ac:dyDescent="0.25">
      <c r="C168" s="1"/>
      <c r="E168" s="2"/>
    </row>
    <row r="169" spans="3:5" x14ac:dyDescent="0.25">
      <c r="C169" s="1"/>
      <c r="E169" s="2"/>
    </row>
    <row r="170" spans="3:5" x14ac:dyDescent="0.25">
      <c r="C170" s="1"/>
      <c r="E170" s="2"/>
    </row>
    <row r="171" spans="3:5" x14ac:dyDescent="0.25">
      <c r="C171" s="1"/>
      <c r="E171" s="2"/>
    </row>
    <row r="172" spans="3:5" x14ac:dyDescent="0.25">
      <c r="C172" s="1"/>
      <c r="E172" s="2"/>
    </row>
    <row r="173" spans="3:5" x14ac:dyDescent="0.25">
      <c r="C173" s="1"/>
      <c r="E173" s="2"/>
    </row>
    <row r="174" spans="3:5" x14ac:dyDescent="0.25">
      <c r="C174" s="1"/>
      <c r="E174" s="2"/>
    </row>
    <row r="175" spans="3:5" x14ac:dyDescent="0.25">
      <c r="C175" s="1"/>
      <c r="E175" s="2"/>
    </row>
    <row r="176" spans="3:5" x14ac:dyDescent="0.25">
      <c r="C176" s="1"/>
      <c r="E176" s="2"/>
    </row>
    <row r="177" spans="3:5" x14ac:dyDescent="0.25">
      <c r="C177" s="1"/>
      <c r="E177" s="2"/>
    </row>
    <row r="178" spans="3:5" x14ac:dyDescent="0.25">
      <c r="C178" s="1"/>
      <c r="E178" s="2"/>
    </row>
    <row r="179" spans="3:5" x14ac:dyDescent="0.25">
      <c r="C179" s="1"/>
      <c r="E179" s="2"/>
    </row>
    <row r="180" spans="3:5" x14ac:dyDescent="0.25">
      <c r="C180" s="1"/>
      <c r="E180" s="2"/>
    </row>
    <row r="181" spans="3:5" x14ac:dyDescent="0.25">
      <c r="C181" s="1"/>
      <c r="E181" s="2"/>
    </row>
    <row r="182" spans="3:5" x14ac:dyDescent="0.25">
      <c r="C182" s="1"/>
      <c r="E182" s="2"/>
    </row>
    <row r="183" spans="3:5" x14ac:dyDescent="0.25">
      <c r="C183" s="1"/>
      <c r="E183" s="2"/>
    </row>
    <row r="184" spans="3:5" x14ac:dyDescent="0.25">
      <c r="C184" s="1"/>
      <c r="E184" s="2"/>
    </row>
    <row r="185" spans="3:5" x14ac:dyDescent="0.25">
      <c r="C185" s="1"/>
      <c r="E185" s="2"/>
    </row>
    <row r="186" spans="3:5" x14ac:dyDescent="0.25">
      <c r="C186" s="1"/>
      <c r="E186" s="2"/>
    </row>
    <row r="187" spans="3:5" x14ac:dyDescent="0.25">
      <c r="C187" s="1"/>
      <c r="E187" s="2"/>
    </row>
    <row r="188" spans="3:5" x14ac:dyDescent="0.25">
      <c r="C188" s="1"/>
      <c r="E188" s="2"/>
    </row>
    <row r="189" spans="3:5" x14ac:dyDescent="0.25">
      <c r="C189" s="1"/>
      <c r="E189" s="2"/>
    </row>
    <row r="190" spans="3:5" x14ac:dyDescent="0.25">
      <c r="C190" s="1"/>
      <c r="E190" s="2"/>
    </row>
    <row r="191" spans="3:5" x14ac:dyDescent="0.25">
      <c r="C191" s="1"/>
      <c r="E191" s="2"/>
    </row>
    <row r="192" spans="3:5" x14ac:dyDescent="0.25">
      <c r="C192" s="1"/>
      <c r="E192" s="2"/>
    </row>
    <row r="193" spans="3:5" x14ac:dyDescent="0.25">
      <c r="C193" s="1"/>
      <c r="E193" s="2"/>
    </row>
    <row r="194" spans="3:5" x14ac:dyDescent="0.25">
      <c r="C194" s="1"/>
      <c r="E194" s="2"/>
    </row>
    <row r="195" spans="3:5" x14ac:dyDescent="0.25">
      <c r="C195" s="1"/>
      <c r="E195" s="2"/>
    </row>
    <row r="196" spans="3:5" x14ac:dyDescent="0.25">
      <c r="C196" s="1"/>
      <c r="E196" s="2"/>
    </row>
    <row r="197" spans="3:5" x14ac:dyDescent="0.25">
      <c r="C197" s="1"/>
      <c r="E197" s="2"/>
    </row>
    <row r="198" spans="3:5" x14ac:dyDescent="0.25">
      <c r="C198" s="1"/>
      <c r="E198" s="2"/>
    </row>
    <row r="199" spans="3:5" x14ac:dyDescent="0.25">
      <c r="C199" s="1"/>
      <c r="E199" s="2"/>
    </row>
    <row r="200" spans="3:5" x14ac:dyDescent="0.25">
      <c r="C200" s="1"/>
      <c r="E200" s="2"/>
    </row>
    <row r="201" spans="3:5" x14ac:dyDescent="0.25">
      <c r="C201" s="1"/>
      <c r="E201" s="2"/>
    </row>
    <row r="202" spans="3:5" x14ac:dyDescent="0.25">
      <c r="C202" s="1"/>
      <c r="E202" s="2"/>
    </row>
    <row r="203" spans="3:5" x14ac:dyDescent="0.25">
      <c r="C203" s="1"/>
      <c r="E203" s="2"/>
    </row>
    <row r="204" spans="3:5" x14ac:dyDescent="0.25">
      <c r="C204" s="1"/>
      <c r="E204" s="2"/>
    </row>
    <row r="205" spans="3:5" x14ac:dyDescent="0.25">
      <c r="C205" s="1"/>
      <c r="E205" s="2"/>
    </row>
    <row r="206" spans="3:5" x14ac:dyDescent="0.25">
      <c r="C206" s="1"/>
      <c r="E206" s="2"/>
    </row>
    <row r="207" spans="3:5" x14ac:dyDescent="0.25">
      <c r="C207" s="1"/>
      <c r="E207" s="2"/>
    </row>
    <row r="208" spans="3:5" x14ac:dyDescent="0.25">
      <c r="C208" s="1"/>
      <c r="E208" s="2"/>
    </row>
    <row r="209" spans="3:5" x14ac:dyDescent="0.25">
      <c r="C209" s="1"/>
      <c r="E209" s="2"/>
    </row>
    <row r="210" spans="3:5" x14ac:dyDescent="0.25">
      <c r="C210" s="1"/>
      <c r="E210" s="2"/>
    </row>
    <row r="211" spans="3:5" x14ac:dyDescent="0.25">
      <c r="C211" s="1"/>
      <c r="E211" s="2"/>
    </row>
    <row r="212" spans="3:5" x14ac:dyDescent="0.25">
      <c r="C212" s="1"/>
      <c r="E212" s="2"/>
    </row>
    <row r="213" spans="3:5" x14ac:dyDescent="0.25">
      <c r="C213" s="1"/>
      <c r="E213" s="2"/>
    </row>
    <row r="214" spans="3:5" x14ac:dyDescent="0.25">
      <c r="C214" s="1"/>
      <c r="E214" s="2"/>
    </row>
    <row r="215" spans="3:5" x14ac:dyDescent="0.25">
      <c r="C215" s="1"/>
      <c r="E215" s="2"/>
    </row>
    <row r="216" spans="3:5" x14ac:dyDescent="0.25">
      <c r="C216" s="1"/>
      <c r="E216" s="2"/>
    </row>
    <row r="217" spans="3:5" x14ac:dyDescent="0.25">
      <c r="C217" s="1"/>
      <c r="E217" s="2"/>
    </row>
    <row r="218" spans="3:5" x14ac:dyDescent="0.25">
      <c r="C218" s="1"/>
      <c r="E218" s="2"/>
    </row>
    <row r="219" spans="3:5" x14ac:dyDescent="0.25">
      <c r="C219" s="1"/>
      <c r="E219" s="2"/>
    </row>
    <row r="220" spans="3:5" x14ac:dyDescent="0.25">
      <c r="C220" s="1"/>
      <c r="E220" s="2"/>
    </row>
    <row r="221" spans="3:5" x14ac:dyDescent="0.25">
      <c r="C221" s="1"/>
      <c r="E221" s="2"/>
    </row>
    <row r="222" spans="3:5" x14ac:dyDescent="0.25">
      <c r="C222" s="1"/>
      <c r="E222" s="2"/>
    </row>
    <row r="223" spans="3:5" x14ac:dyDescent="0.25">
      <c r="C223" s="1"/>
      <c r="E223" s="2"/>
    </row>
    <row r="224" spans="3:5" x14ac:dyDescent="0.25">
      <c r="C224" s="1"/>
      <c r="E224" s="2"/>
    </row>
    <row r="225" spans="3:5" x14ac:dyDescent="0.25">
      <c r="C225" s="1"/>
      <c r="E225" s="2"/>
    </row>
    <row r="226" spans="3:5" x14ac:dyDescent="0.25">
      <c r="C226" s="1"/>
      <c r="E226" s="2"/>
    </row>
    <row r="227" spans="3:5" x14ac:dyDescent="0.25">
      <c r="C227" s="1"/>
      <c r="E227" s="2"/>
    </row>
    <row r="228" spans="3:5" x14ac:dyDescent="0.25">
      <c r="C228" s="1"/>
      <c r="E228" s="2"/>
    </row>
    <row r="229" spans="3:5" x14ac:dyDescent="0.25">
      <c r="C229" s="1"/>
      <c r="E229" s="2"/>
    </row>
    <row r="230" spans="3:5" x14ac:dyDescent="0.25">
      <c r="C230" s="1"/>
      <c r="E230" s="2"/>
    </row>
    <row r="231" spans="3:5" x14ac:dyDescent="0.25">
      <c r="C231" s="1"/>
      <c r="E231" s="2"/>
    </row>
    <row r="232" spans="3:5" x14ac:dyDescent="0.25">
      <c r="C232" s="1"/>
      <c r="E232" s="2"/>
    </row>
    <row r="233" spans="3:5" x14ac:dyDescent="0.25">
      <c r="C233" s="1"/>
      <c r="E233" s="2"/>
    </row>
    <row r="234" spans="3:5" x14ac:dyDescent="0.25">
      <c r="C234" s="1"/>
      <c r="E234" s="2"/>
    </row>
    <row r="235" spans="3:5" x14ac:dyDescent="0.25">
      <c r="C235" s="1"/>
      <c r="E235" s="2"/>
    </row>
    <row r="236" spans="3:5" x14ac:dyDescent="0.25">
      <c r="C236" s="1"/>
      <c r="E236" s="2"/>
    </row>
    <row r="237" spans="3:5" x14ac:dyDescent="0.25">
      <c r="C237" s="1"/>
      <c r="E237" s="2"/>
    </row>
    <row r="238" spans="3:5" x14ac:dyDescent="0.25">
      <c r="C238" s="1"/>
      <c r="E238" s="2"/>
    </row>
    <row r="239" spans="3:5" x14ac:dyDescent="0.25">
      <c r="C239" s="1"/>
      <c r="E239" s="2"/>
    </row>
    <row r="240" spans="3:5" x14ac:dyDescent="0.25">
      <c r="C240" s="1"/>
      <c r="E240" s="2"/>
    </row>
    <row r="241" spans="3:5" x14ac:dyDescent="0.25">
      <c r="C241" s="1"/>
      <c r="E241" s="2"/>
    </row>
    <row r="242" spans="3:5" x14ac:dyDescent="0.25">
      <c r="C242" s="1"/>
      <c r="E242" s="2"/>
    </row>
    <row r="243" spans="3:5" x14ac:dyDescent="0.25">
      <c r="C243" s="1"/>
      <c r="E243" s="2"/>
    </row>
    <row r="244" spans="3:5" x14ac:dyDescent="0.25">
      <c r="C244" s="1"/>
      <c r="E244" s="2"/>
    </row>
    <row r="245" spans="3:5" x14ac:dyDescent="0.25">
      <c r="C245" s="1"/>
      <c r="E245" s="2"/>
    </row>
    <row r="246" spans="3:5" x14ac:dyDescent="0.25">
      <c r="C246" s="1"/>
      <c r="E246" s="2"/>
    </row>
    <row r="247" spans="3:5" x14ac:dyDescent="0.25">
      <c r="C247" s="1"/>
      <c r="E247" s="2"/>
    </row>
    <row r="248" spans="3:5" x14ac:dyDescent="0.25">
      <c r="C248" s="1"/>
      <c r="E248" s="2"/>
    </row>
    <row r="249" spans="3:5" x14ac:dyDescent="0.25">
      <c r="C249" s="1"/>
      <c r="E249" s="2"/>
    </row>
    <row r="250" spans="3:5" x14ac:dyDescent="0.25">
      <c r="C250" s="1"/>
      <c r="E250" s="2"/>
    </row>
    <row r="251" spans="3:5" x14ac:dyDescent="0.25">
      <c r="C251" s="1"/>
      <c r="E251" s="2"/>
    </row>
    <row r="252" spans="3:5" x14ac:dyDescent="0.25">
      <c r="C252" s="1"/>
      <c r="E252" s="2"/>
    </row>
    <row r="253" spans="3:5" x14ac:dyDescent="0.25">
      <c r="C253" s="1"/>
      <c r="E253" s="2"/>
    </row>
    <row r="254" spans="3:5" x14ac:dyDescent="0.25">
      <c r="C254" s="1"/>
      <c r="E254" s="2"/>
    </row>
    <row r="255" spans="3:5" x14ac:dyDescent="0.25">
      <c r="C255" s="1"/>
      <c r="E255" s="2"/>
    </row>
    <row r="256" spans="3:5" x14ac:dyDescent="0.25">
      <c r="C256" s="1"/>
      <c r="E256" s="2"/>
    </row>
    <row r="257" spans="3:5" x14ac:dyDescent="0.25">
      <c r="C257" s="1"/>
      <c r="E257" s="2"/>
    </row>
    <row r="258" spans="3:5" x14ac:dyDescent="0.25">
      <c r="C258" s="1"/>
      <c r="E258" s="2"/>
    </row>
    <row r="259" spans="3:5" x14ac:dyDescent="0.25">
      <c r="C259" s="1"/>
      <c r="E259" s="2"/>
    </row>
    <row r="260" spans="3:5" x14ac:dyDescent="0.25">
      <c r="C260" s="1"/>
      <c r="E260" s="2"/>
    </row>
    <row r="261" spans="3:5" x14ac:dyDescent="0.25">
      <c r="C261" s="1"/>
      <c r="E261" s="2"/>
    </row>
    <row r="262" spans="3:5" x14ac:dyDescent="0.25">
      <c r="C262" s="1"/>
      <c r="E262" s="2"/>
    </row>
    <row r="263" spans="3:5" x14ac:dyDescent="0.25">
      <c r="C263" s="1"/>
      <c r="E263" s="2"/>
    </row>
    <row r="264" spans="3:5" x14ac:dyDescent="0.25">
      <c r="C264" s="1"/>
      <c r="E264" s="2"/>
    </row>
    <row r="265" spans="3:5" x14ac:dyDescent="0.25">
      <c r="C265" s="1"/>
      <c r="E265" s="2"/>
    </row>
    <row r="266" spans="3:5" x14ac:dyDescent="0.25">
      <c r="C266" s="1"/>
      <c r="E266" s="2"/>
    </row>
    <row r="267" spans="3:5" x14ac:dyDescent="0.25">
      <c r="C267" s="1"/>
      <c r="E267" s="2"/>
    </row>
    <row r="268" spans="3:5" x14ac:dyDescent="0.25">
      <c r="C268" s="1"/>
      <c r="E268" s="2"/>
    </row>
    <row r="269" spans="3:5" x14ac:dyDescent="0.25">
      <c r="C269" s="1"/>
      <c r="E269" s="2"/>
    </row>
    <row r="270" spans="3:5" x14ac:dyDescent="0.25">
      <c r="C270" s="1"/>
      <c r="E270" s="2"/>
    </row>
    <row r="271" spans="3:5" x14ac:dyDescent="0.25">
      <c r="C271" s="1"/>
      <c r="E271" s="2"/>
    </row>
    <row r="272" spans="3:5" x14ac:dyDescent="0.25">
      <c r="C272" s="1"/>
      <c r="E272" s="2"/>
    </row>
    <row r="273" spans="3:5" x14ac:dyDescent="0.25">
      <c r="C273" s="1"/>
      <c r="E273" s="2"/>
    </row>
    <row r="274" spans="3:5" x14ac:dyDescent="0.25">
      <c r="C274" s="1"/>
      <c r="E274" s="2"/>
    </row>
    <row r="275" spans="3:5" x14ac:dyDescent="0.25">
      <c r="C275" s="1"/>
      <c r="E275" s="2"/>
    </row>
    <row r="276" spans="3:5" x14ac:dyDescent="0.25">
      <c r="C276" s="1"/>
      <c r="E276" s="2"/>
    </row>
    <row r="277" spans="3:5" x14ac:dyDescent="0.25">
      <c r="C277" s="1"/>
      <c r="E277" s="2"/>
    </row>
    <row r="278" spans="3:5" x14ac:dyDescent="0.25">
      <c r="C278" s="1"/>
      <c r="E278" s="2"/>
    </row>
    <row r="279" spans="3:5" x14ac:dyDescent="0.25">
      <c r="C279" s="1"/>
      <c r="E279" s="2"/>
    </row>
    <row r="280" spans="3:5" x14ac:dyDescent="0.25">
      <c r="C280" s="1"/>
      <c r="E280" s="2"/>
    </row>
    <row r="281" spans="3:5" x14ac:dyDescent="0.25">
      <c r="C281" s="1"/>
      <c r="E281" s="2"/>
    </row>
    <row r="282" spans="3:5" x14ac:dyDescent="0.25">
      <c r="C282" s="1"/>
      <c r="E282" s="2"/>
    </row>
    <row r="283" spans="3:5" x14ac:dyDescent="0.25">
      <c r="C283" s="1"/>
      <c r="E283" s="2"/>
    </row>
    <row r="284" spans="3:5" x14ac:dyDescent="0.25">
      <c r="C284" s="1"/>
      <c r="E284" s="2"/>
    </row>
    <row r="285" spans="3:5" x14ac:dyDescent="0.25">
      <c r="C285" s="1"/>
      <c r="E285" s="2"/>
    </row>
    <row r="286" spans="3:5" x14ac:dyDescent="0.25">
      <c r="C286" s="1"/>
      <c r="E286" s="2"/>
    </row>
    <row r="287" spans="3:5" x14ac:dyDescent="0.25">
      <c r="C287" s="1"/>
      <c r="E287" s="2"/>
    </row>
    <row r="288" spans="3:5" x14ac:dyDescent="0.25">
      <c r="C288" s="1"/>
      <c r="E288" s="2"/>
    </row>
    <row r="289" spans="3:5" x14ac:dyDescent="0.25">
      <c r="C289" s="1"/>
      <c r="E289" s="2"/>
    </row>
    <row r="290" spans="3:5" x14ac:dyDescent="0.25">
      <c r="C290" s="1"/>
      <c r="E290" s="2"/>
    </row>
    <row r="291" spans="3:5" x14ac:dyDescent="0.25">
      <c r="C291" s="1"/>
      <c r="E291" s="2"/>
    </row>
    <row r="292" spans="3:5" x14ac:dyDescent="0.25">
      <c r="C292" s="1"/>
      <c r="E292" s="2"/>
    </row>
    <row r="293" spans="3:5" x14ac:dyDescent="0.25">
      <c r="C293" s="1"/>
      <c r="E293" s="2"/>
    </row>
    <row r="294" spans="3:5" x14ac:dyDescent="0.25">
      <c r="C294" s="1"/>
      <c r="E294" s="2"/>
    </row>
    <row r="295" spans="3:5" x14ac:dyDescent="0.25">
      <c r="C295" s="1"/>
      <c r="E295" s="2"/>
    </row>
    <row r="296" spans="3:5" x14ac:dyDescent="0.25">
      <c r="C296" s="1"/>
      <c r="E296" s="2"/>
    </row>
    <row r="297" spans="3:5" x14ac:dyDescent="0.25">
      <c r="C297" s="1"/>
      <c r="E297" s="2"/>
    </row>
    <row r="298" spans="3:5" x14ac:dyDescent="0.25">
      <c r="C298" s="1"/>
      <c r="E298" s="2"/>
    </row>
    <row r="299" spans="3:5" x14ac:dyDescent="0.25">
      <c r="C299" s="1"/>
      <c r="E299" s="2"/>
    </row>
    <row r="300" spans="3:5" x14ac:dyDescent="0.25">
      <c r="C300" s="1"/>
      <c r="E300" s="2"/>
    </row>
    <row r="301" spans="3:5" x14ac:dyDescent="0.25">
      <c r="C301" s="1"/>
      <c r="E301" s="2"/>
    </row>
    <row r="302" spans="3:5" x14ac:dyDescent="0.25">
      <c r="C302" s="1"/>
      <c r="E302" s="2"/>
    </row>
    <row r="303" spans="3:5" x14ac:dyDescent="0.25">
      <c r="C303" s="1"/>
      <c r="E303" s="2"/>
    </row>
    <row r="304" spans="3:5" x14ac:dyDescent="0.25">
      <c r="C304" s="1"/>
      <c r="E304" s="2"/>
    </row>
    <row r="305" spans="3:5" x14ac:dyDescent="0.25">
      <c r="C305" s="1"/>
      <c r="E305" s="2"/>
    </row>
    <row r="306" spans="3:5" x14ac:dyDescent="0.25">
      <c r="C306" s="1"/>
      <c r="E306" s="2"/>
    </row>
    <row r="307" spans="3:5" x14ac:dyDescent="0.25">
      <c r="C307" s="1"/>
      <c r="E307" s="2"/>
    </row>
    <row r="308" spans="3:5" x14ac:dyDescent="0.25">
      <c r="C308" s="1"/>
      <c r="E308" s="2"/>
    </row>
    <row r="309" spans="3:5" x14ac:dyDescent="0.25">
      <c r="C309" s="1"/>
      <c r="E309" s="2"/>
    </row>
    <row r="310" spans="3:5" x14ac:dyDescent="0.25">
      <c r="C310" s="1"/>
      <c r="E310" s="2"/>
    </row>
    <row r="311" spans="3:5" x14ac:dyDescent="0.25">
      <c r="C311" s="1"/>
      <c r="E311" s="2"/>
    </row>
    <row r="312" spans="3:5" x14ac:dyDescent="0.25">
      <c r="C312" s="1"/>
      <c r="E312" s="2"/>
    </row>
    <row r="313" spans="3:5" x14ac:dyDescent="0.25">
      <c r="C313" s="1"/>
      <c r="E313" s="2"/>
    </row>
    <row r="314" spans="3:5" x14ac:dyDescent="0.25">
      <c r="C314" s="1"/>
      <c r="E314" s="2"/>
    </row>
    <row r="315" spans="3:5" x14ac:dyDescent="0.25">
      <c r="C315" s="1"/>
      <c r="E315" s="2"/>
    </row>
    <row r="316" spans="3:5" x14ac:dyDescent="0.25">
      <c r="C316" s="1"/>
      <c r="E316" s="2"/>
    </row>
    <row r="317" spans="3:5" x14ac:dyDescent="0.25">
      <c r="C317" s="1"/>
      <c r="E317" s="2"/>
    </row>
    <row r="318" spans="3:5" x14ac:dyDescent="0.25">
      <c r="C318" s="1"/>
      <c r="E318" s="2"/>
    </row>
    <row r="319" spans="3:5" x14ac:dyDescent="0.25">
      <c r="C319" s="1"/>
      <c r="E319" s="2"/>
    </row>
    <row r="320" spans="3:5" x14ac:dyDescent="0.25">
      <c r="C320" s="1"/>
      <c r="E320" s="2"/>
    </row>
    <row r="321" spans="3:5" x14ac:dyDescent="0.25">
      <c r="C321" s="1"/>
      <c r="E321" s="2"/>
    </row>
    <row r="322" spans="3:5" x14ac:dyDescent="0.25">
      <c r="C322" s="1"/>
      <c r="E322" s="2"/>
    </row>
    <row r="323" spans="3:5" x14ac:dyDescent="0.25">
      <c r="C323" s="1"/>
      <c r="E323" s="2"/>
    </row>
    <row r="324" spans="3:5" x14ac:dyDescent="0.25">
      <c r="C324" s="1"/>
      <c r="E324" s="2"/>
    </row>
    <row r="325" spans="3:5" x14ac:dyDescent="0.25">
      <c r="C325" s="1"/>
      <c r="E325" s="2"/>
    </row>
    <row r="326" spans="3:5" x14ac:dyDescent="0.25">
      <c r="C326" s="1"/>
      <c r="E326" s="2"/>
    </row>
    <row r="327" spans="3:5" x14ac:dyDescent="0.25">
      <c r="C327" s="1"/>
      <c r="E327" s="2"/>
    </row>
    <row r="328" spans="3:5" x14ac:dyDescent="0.25">
      <c r="C328" s="1"/>
      <c r="E328" s="2"/>
    </row>
    <row r="329" spans="3:5" x14ac:dyDescent="0.25">
      <c r="C329" s="1"/>
      <c r="E329" s="2"/>
    </row>
    <row r="330" spans="3:5" x14ac:dyDescent="0.25">
      <c r="C330" s="1"/>
      <c r="E330" s="2"/>
    </row>
    <row r="331" spans="3:5" x14ac:dyDescent="0.25">
      <c r="C331" s="1"/>
      <c r="E331" s="2"/>
    </row>
    <row r="332" spans="3:5" x14ac:dyDescent="0.25">
      <c r="C332" s="1"/>
      <c r="E332" s="2"/>
    </row>
    <row r="333" spans="3:5" x14ac:dyDescent="0.25">
      <c r="C333" s="1"/>
      <c r="E333" s="2"/>
    </row>
    <row r="334" spans="3:5" x14ac:dyDescent="0.25">
      <c r="C334" s="1"/>
      <c r="E334" s="2"/>
    </row>
    <row r="335" spans="3:5" x14ac:dyDescent="0.25">
      <c r="C335" s="1"/>
      <c r="E335" s="2"/>
    </row>
    <row r="336" spans="3:5" x14ac:dyDescent="0.25">
      <c r="C336" s="1"/>
      <c r="E336" s="2"/>
    </row>
    <row r="337" spans="3:5" x14ac:dyDescent="0.25">
      <c r="C337" s="1"/>
      <c r="E337" s="2"/>
    </row>
    <row r="338" spans="3:5" x14ac:dyDescent="0.25">
      <c r="C338" s="1"/>
      <c r="E338" s="2"/>
    </row>
    <row r="339" spans="3:5" x14ac:dyDescent="0.25">
      <c r="C339" s="1"/>
      <c r="E339" s="2"/>
    </row>
    <row r="340" spans="3:5" x14ac:dyDescent="0.25">
      <c r="C340" s="1"/>
      <c r="E340" s="2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tabSelected="1" workbookViewId="0">
      <selection activeCell="F15" sqref="F15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5.5703125" customWidth="1"/>
    <col min="9" max="9" width="28.57031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2" t="s">
        <v>21</v>
      </c>
      <c r="E2" s="42"/>
      <c r="F2" s="42"/>
      <c r="G2" s="42"/>
      <c r="H2" s="42"/>
      <c r="I2" s="42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3" t="s">
        <v>23</v>
      </c>
      <c r="E3" s="43"/>
      <c r="F3" s="43"/>
      <c r="G3" s="43"/>
      <c r="H3" s="43"/>
      <c r="I3" s="43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H7" s="27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F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10</v>
      </c>
      <c r="C15" s="15"/>
      <c r="D15" s="38">
        <f>'DraftKings Basketball  Solver'!O11</f>
        <v>0</v>
      </c>
      <c r="E15" s="36"/>
      <c r="F15" s="41" t="e">
        <f>'DraftKings Basketball  Solver'!O17</f>
        <v>#N/A</v>
      </c>
      <c r="G15" s="40" t="e">
        <f>'DraftKings Basketball  Solver'!O18</f>
        <v>#N/A</v>
      </c>
      <c r="H15" s="41" t="e">
        <f>'DraftKings Basketball  Solver'!O19</f>
        <v>#N/A</v>
      </c>
      <c r="I15" s="40" t="e">
        <f>'DraftKings Basketball  Solver'!O20</f>
        <v>#N/A</v>
      </c>
      <c r="J15" s="41" t="e">
        <f>'DraftKings Basketball  Solver'!O25</f>
        <v>#N/A</v>
      </c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11</v>
      </c>
      <c r="C16" s="15"/>
      <c r="D16" s="39">
        <f>'DraftKings Basketball  Solver'!O8</f>
        <v>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e">
        <f>'DraftKings Basketball  Solver'!O21</f>
        <v>#N/A</v>
      </c>
      <c r="G17" s="41" t="e">
        <f>'DraftKings Basketball  Solver'!O22</f>
        <v>#N/A</v>
      </c>
      <c r="H17" s="40" t="e">
        <f>'DraftKings Basketball  Solver'!O23</f>
        <v>#N/A</v>
      </c>
      <c r="I17" s="41" t="e">
        <f>'DraftKings Basketball  Solver'!O24</f>
        <v>#N/A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Macro3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62"/>
  <sheetViews>
    <sheetView workbookViewId="0">
      <selection activeCell="O27" sqref="O27"/>
    </sheetView>
  </sheetViews>
  <sheetFormatPr defaultRowHeight="15" x14ac:dyDescent="0.25"/>
  <cols>
    <col min="1" max="16384" width="9.140625" style="2"/>
  </cols>
  <sheetData>
    <row r="1" spans="1:15" x14ac:dyDescent="0.25">
      <c r="A1" s="2" t="s">
        <v>32</v>
      </c>
      <c r="B1" s="2" t="s">
        <v>0</v>
      </c>
      <c r="C1" s="2" t="s">
        <v>33</v>
      </c>
      <c r="D1" s="2" t="s">
        <v>34</v>
      </c>
      <c r="E1" s="2" t="s">
        <v>35</v>
      </c>
      <c r="F1" s="2" t="s">
        <v>36</v>
      </c>
      <c r="G1" s="2" t="s">
        <v>37</v>
      </c>
      <c r="H1" s="2" t="s">
        <v>38</v>
      </c>
      <c r="I1" s="2" t="s">
        <v>1</v>
      </c>
      <c r="J1" s="2" t="s">
        <v>2</v>
      </c>
      <c r="K1" s="2" t="s">
        <v>39</v>
      </c>
      <c r="L1" s="2" t="s">
        <v>40</v>
      </c>
      <c r="M1" s="2" t="s">
        <v>41</v>
      </c>
    </row>
    <row r="2" spans="1:15" x14ac:dyDescent="0.25">
      <c r="A2" s="2" t="s">
        <v>176</v>
      </c>
      <c r="B2" s="2" t="s">
        <v>5</v>
      </c>
      <c r="C2" s="2" t="s">
        <v>177</v>
      </c>
      <c r="D2" s="2" t="s">
        <v>172</v>
      </c>
      <c r="E2" s="2" t="s">
        <v>42</v>
      </c>
      <c r="F2" s="2">
        <v>49.443243903082703</v>
      </c>
      <c r="G2" s="2">
        <v>74</v>
      </c>
      <c r="H2" s="2">
        <v>12500</v>
      </c>
      <c r="I2" s="2" t="s">
        <v>178</v>
      </c>
      <c r="J2" s="2" t="s">
        <v>43</v>
      </c>
      <c r="K2" s="2" t="s">
        <v>114</v>
      </c>
      <c r="N2" s="2">
        <f>VLOOKUP(D2,Sheet2!$A$1:$H$42,8, FALSE)</f>
        <v>55.87</v>
      </c>
      <c r="O2" s="2">
        <v>55.87</v>
      </c>
    </row>
    <row r="3" spans="1:15" x14ac:dyDescent="0.25">
      <c r="A3" s="2" t="s">
        <v>179</v>
      </c>
      <c r="B3" s="2" t="s">
        <v>5</v>
      </c>
      <c r="C3" s="2" t="s">
        <v>69</v>
      </c>
      <c r="D3" s="2" t="s">
        <v>63</v>
      </c>
      <c r="E3" s="2" t="s">
        <v>70</v>
      </c>
      <c r="F3" s="2">
        <v>40.756756756756701</v>
      </c>
      <c r="G3" s="2">
        <v>74</v>
      </c>
      <c r="H3" s="2">
        <v>11000</v>
      </c>
      <c r="I3" s="2" t="s">
        <v>180</v>
      </c>
      <c r="J3" s="2" t="s">
        <v>68</v>
      </c>
      <c r="K3" s="2" t="s">
        <v>181</v>
      </c>
      <c r="L3" s="2" t="s">
        <v>182</v>
      </c>
      <c r="M3" s="2" t="s">
        <v>183</v>
      </c>
      <c r="N3" s="2">
        <f>VLOOKUP(D3,Sheet2!$A$1:$H$42,8, FALSE)</f>
        <v>46.06</v>
      </c>
      <c r="O3" s="2">
        <v>46.06</v>
      </c>
    </row>
    <row r="4" spans="1:15" x14ac:dyDescent="0.25">
      <c r="A4" s="2" t="s">
        <v>184</v>
      </c>
      <c r="B4" s="2" t="s">
        <v>5</v>
      </c>
      <c r="C4" s="2" t="s">
        <v>44</v>
      </c>
      <c r="D4" s="2" t="s">
        <v>166</v>
      </c>
      <c r="E4" s="2" t="s">
        <v>185</v>
      </c>
      <c r="F4" s="2">
        <v>45.364517704133</v>
      </c>
      <c r="G4" s="2">
        <v>62</v>
      </c>
      <c r="H4" s="2">
        <v>10000</v>
      </c>
      <c r="I4" s="2" t="s">
        <v>180</v>
      </c>
      <c r="J4" s="2" t="s">
        <v>181</v>
      </c>
      <c r="K4" s="2" t="s">
        <v>68</v>
      </c>
      <c r="N4" s="2">
        <f>VLOOKUP(D4,Sheet2!$A$1:$H$42,8, FALSE)</f>
        <v>46.81</v>
      </c>
      <c r="O4" s="2">
        <v>46.81</v>
      </c>
    </row>
    <row r="5" spans="1:15" x14ac:dyDescent="0.25">
      <c r="A5" s="2" t="s">
        <v>186</v>
      </c>
      <c r="B5" s="2" t="s">
        <v>3</v>
      </c>
      <c r="C5" s="2" t="s">
        <v>187</v>
      </c>
      <c r="D5" s="2" t="s">
        <v>171</v>
      </c>
      <c r="E5" s="2" t="s">
        <v>188</v>
      </c>
      <c r="F5" s="2">
        <v>41.615191109572699</v>
      </c>
      <c r="G5" s="2">
        <v>79</v>
      </c>
      <c r="H5" s="2">
        <v>10000</v>
      </c>
      <c r="I5" s="2" t="s">
        <v>180</v>
      </c>
      <c r="J5" s="2" t="s">
        <v>181</v>
      </c>
      <c r="K5" s="2" t="s">
        <v>68</v>
      </c>
      <c r="N5" s="2">
        <f>VLOOKUP(D5,Sheet2!$A$1:$H$42,8, FALSE)</f>
        <v>46.2</v>
      </c>
      <c r="O5" s="2">
        <v>46.2</v>
      </c>
    </row>
    <row r="6" spans="1:15" x14ac:dyDescent="0.25">
      <c r="A6" s="2" t="s">
        <v>189</v>
      </c>
      <c r="B6" s="2" t="s">
        <v>3</v>
      </c>
      <c r="C6" s="2" t="s">
        <v>115</v>
      </c>
      <c r="D6" s="2" t="s">
        <v>116</v>
      </c>
      <c r="E6" s="2" t="s">
        <v>117</v>
      </c>
      <c r="F6" s="2">
        <v>40.434210526315702</v>
      </c>
      <c r="G6" s="2">
        <v>76</v>
      </c>
      <c r="H6" s="2">
        <v>9200</v>
      </c>
      <c r="I6" s="2" t="s">
        <v>178</v>
      </c>
      <c r="J6" s="2" t="s">
        <v>114</v>
      </c>
      <c r="K6" s="2" t="s">
        <v>43</v>
      </c>
      <c r="N6" s="2">
        <f>VLOOKUP(D6,Sheet2!$A$1:$H$42,8, FALSE)</f>
        <v>44.63</v>
      </c>
      <c r="O6" s="2">
        <v>44.63</v>
      </c>
    </row>
    <row r="7" spans="1:15" x14ac:dyDescent="0.25">
      <c r="A7" s="2" t="s">
        <v>190</v>
      </c>
      <c r="B7" s="2" t="s">
        <v>3</v>
      </c>
      <c r="C7" s="2" t="s">
        <v>191</v>
      </c>
      <c r="D7" s="2" t="s">
        <v>175</v>
      </c>
      <c r="E7" s="2" t="s">
        <v>192</v>
      </c>
      <c r="F7" s="2">
        <v>38.2361111111111</v>
      </c>
      <c r="G7" s="2">
        <v>72</v>
      </c>
      <c r="H7" s="2">
        <v>8800</v>
      </c>
      <c r="I7" s="2" t="s">
        <v>178</v>
      </c>
      <c r="J7" s="2" t="s">
        <v>43</v>
      </c>
      <c r="K7" s="2" t="s">
        <v>114</v>
      </c>
      <c r="N7" s="2">
        <f>VLOOKUP(D7,Sheet2!$A$1:$H$42,8, FALSE)</f>
        <v>38.35</v>
      </c>
      <c r="O7" s="2">
        <v>38.35</v>
      </c>
    </row>
    <row r="8" spans="1:15" x14ac:dyDescent="0.25">
      <c r="A8" s="2" t="s">
        <v>193</v>
      </c>
      <c r="B8" s="2" t="s">
        <v>4</v>
      </c>
      <c r="C8" s="2" t="s">
        <v>194</v>
      </c>
      <c r="D8" s="2" t="s">
        <v>158</v>
      </c>
      <c r="E8" s="2" t="s">
        <v>82</v>
      </c>
      <c r="F8" s="2">
        <v>34.609211168791099</v>
      </c>
      <c r="G8" s="2">
        <v>76</v>
      </c>
      <c r="H8" s="2">
        <v>8600</v>
      </c>
      <c r="I8" s="2" t="s">
        <v>180</v>
      </c>
      <c r="J8" s="2" t="s">
        <v>181</v>
      </c>
      <c r="K8" s="2" t="s">
        <v>68</v>
      </c>
      <c r="N8" s="2">
        <f>VLOOKUP(D8,Sheet2!$A$1:$H$42,8, FALSE)</f>
        <v>38.770000000000003</v>
      </c>
      <c r="O8" s="2">
        <v>38.770000000000003</v>
      </c>
    </row>
    <row r="9" spans="1:15" x14ac:dyDescent="0.25">
      <c r="A9" s="2" t="s">
        <v>195</v>
      </c>
      <c r="B9" s="2" t="s">
        <v>4</v>
      </c>
      <c r="C9" s="2" t="s">
        <v>72</v>
      </c>
      <c r="D9" s="2" t="s">
        <v>65</v>
      </c>
      <c r="E9" s="2" t="s">
        <v>73</v>
      </c>
      <c r="F9" s="2">
        <v>31.2375013563368</v>
      </c>
      <c r="G9" s="2">
        <v>72</v>
      </c>
      <c r="H9" s="2">
        <v>8000</v>
      </c>
      <c r="I9" s="2" t="s">
        <v>180</v>
      </c>
      <c r="J9" s="2" t="s">
        <v>68</v>
      </c>
      <c r="K9" s="2" t="s">
        <v>181</v>
      </c>
      <c r="N9" s="2">
        <f>VLOOKUP(D9,Sheet2!$A$1:$H$42,8, FALSE)</f>
        <v>36.409999999999997</v>
      </c>
      <c r="O9" s="2">
        <v>36.409999999999997</v>
      </c>
    </row>
    <row r="10" spans="1:15" x14ac:dyDescent="0.25">
      <c r="A10" s="2" t="s">
        <v>196</v>
      </c>
      <c r="B10" s="2" t="s">
        <v>6</v>
      </c>
      <c r="C10" s="2" t="s">
        <v>76</v>
      </c>
      <c r="D10" s="2" t="s">
        <v>118</v>
      </c>
      <c r="E10" s="2" t="s">
        <v>119</v>
      </c>
      <c r="F10" s="2">
        <v>32.0073529411764</v>
      </c>
      <c r="G10" s="2">
        <v>68</v>
      </c>
      <c r="H10" s="2">
        <v>8000</v>
      </c>
      <c r="I10" s="2" t="s">
        <v>178</v>
      </c>
      <c r="J10" s="2" t="s">
        <v>114</v>
      </c>
      <c r="K10" s="2" t="s">
        <v>43</v>
      </c>
      <c r="N10" s="2">
        <f>VLOOKUP(D10,Sheet2!$A$1:$H$42,8, FALSE)</f>
        <v>36.31</v>
      </c>
      <c r="O10" s="2">
        <v>36.31</v>
      </c>
    </row>
    <row r="11" spans="1:15" x14ac:dyDescent="0.25">
      <c r="A11" s="2" t="s">
        <v>197</v>
      </c>
      <c r="B11" s="2" t="s">
        <v>4</v>
      </c>
      <c r="C11" s="2" t="s">
        <v>44</v>
      </c>
      <c r="D11" s="2" t="s">
        <v>173</v>
      </c>
      <c r="E11" s="2" t="s">
        <v>198</v>
      </c>
      <c r="F11" s="2">
        <v>35.6866658528645</v>
      </c>
      <c r="G11" s="2">
        <v>60</v>
      </c>
      <c r="H11" s="2">
        <v>7500</v>
      </c>
      <c r="I11" s="2" t="s">
        <v>178</v>
      </c>
      <c r="J11" s="2" t="s">
        <v>43</v>
      </c>
      <c r="K11" s="2" t="s">
        <v>114</v>
      </c>
      <c r="N11" s="2">
        <f>VLOOKUP(D11,Sheet2!$A$1:$H$42,8, FALSE)</f>
        <v>36.36</v>
      </c>
      <c r="O11" s="2">
        <v>36.36</v>
      </c>
    </row>
    <row r="12" spans="1:15" x14ac:dyDescent="0.25">
      <c r="A12" s="2" t="s">
        <v>199</v>
      </c>
      <c r="B12" s="2" t="s">
        <v>7</v>
      </c>
      <c r="C12" s="2" t="s">
        <v>200</v>
      </c>
      <c r="D12" s="2" t="s">
        <v>159</v>
      </c>
      <c r="E12" s="2" t="s">
        <v>201</v>
      </c>
      <c r="F12" s="2">
        <v>30.871794871794801</v>
      </c>
      <c r="G12" s="2">
        <v>78</v>
      </c>
      <c r="H12" s="2">
        <v>7100</v>
      </c>
      <c r="I12" s="2" t="s">
        <v>180</v>
      </c>
      <c r="J12" s="2" t="s">
        <v>181</v>
      </c>
      <c r="K12" s="2" t="s">
        <v>68</v>
      </c>
      <c r="N12" s="2">
        <f>VLOOKUP(D12,Sheet2!$A$1:$H$42,8, FALSE)</f>
        <v>29.33</v>
      </c>
      <c r="O12" s="2">
        <v>29.33</v>
      </c>
    </row>
    <row r="13" spans="1:15" x14ac:dyDescent="0.25">
      <c r="A13" s="2" t="s">
        <v>202</v>
      </c>
      <c r="B13" s="2" t="s">
        <v>7</v>
      </c>
      <c r="C13" s="2" t="s">
        <v>124</v>
      </c>
      <c r="D13" s="2" t="s">
        <v>125</v>
      </c>
      <c r="E13" s="2" t="s">
        <v>120</v>
      </c>
      <c r="F13" s="2">
        <v>28.141819069602199</v>
      </c>
      <c r="G13" s="2">
        <v>55</v>
      </c>
      <c r="H13" s="2">
        <v>6500</v>
      </c>
      <c r="I13" s="2" t="s">
        <v>178</v>
      </c>
      <c r="J13" s="2" t="s">
        <v>114</v>
      </c>
      <c r="K13" s="2" t="s">
        <v>43</v>
      </c>
      <c r="N13" s="2">
        <f>VLOOKUP(D13,Sheet2!$A$1:$H$42,8, FALSE)</f>
        <v>29.81</v>
      </c>
      <c r="O13" s="2">
        <v>29.81</v>
      </c>
    </row>
    <row r="14" spans="1:15" x14ac:dyDescent="0.25">
      <c r="A14" s="2" t="s">
        <v>203</v>
      </c>
      <c r="B14" s="2" t="s">
        <v>5</v>
      </c>
      <c r="C14" s="2" t="s">
        <v>121</v>
      </c>
      <c r="D14" s="2" t="s">
        <v>122</v>
      </c>
      <c r="E14" s="2" t="s">
        <v>123</v>
      </c>
      <c r="F14" s="2">
        <v>25.5763888888888</v>
      </c>
      <c r="G14" s="2">
        <v>72</v>
      </c>
      <c r="H14" s="2">
        <v>6300</v>
      </c>
      <c r="I14" s="2" t="s">
        <v>178</v>
      </c>
      <c r="J14" s="2" t="s">
        <v>114</v>
      </c>
      <c r="K14" s="2" t="s">
        <v>43</v>
      </c>
      <c r="N14" s="2">
        <f>VLOOKUP(D14,Sheet2!$A$1:$H$42,8, FALSE)</f>
        <v>28.98</v>
      </c>
      <c r="O14" s="2">
        <v>28.98</v>
      </c>
    </row>
    <row r="15" spans="1:15" x14ac:dyDescent="0.25">
      <c r="A15" s="2" t="s">
        <v>204</v>
      </c>
      <c r="B15" s="2" t="s">
        <v>6</v>
      </c>
      <c r="C15" s="2" t="s">
        <v>74</v>
      </c>
      <c r="D15" s="2" t="s">
        <v>75</v>
      </c>
      <c r="E15" s="2" t="s">
        <v>71</v>
      </c>
      <c r="F15" s="2">
        <v>26.956249237060501</v>
      </c>
      <c r="G15" s="2">
        <v>64</v>
      </c>
      <c r="H15" s="2">
        <v>6100</v>
      </c>
      <c r="I15" s="2" t="s">
        <v>180</v>
      </c>
      <c r="J15" s="2" t="s">
        <v>68</v>
      </c>
      <c r="K15" s="2" t="s">
        <v>181</v>
      </c>
      <c r="N15" s="2">
        <f>VLOOKUP(D15,Sheet2!$A$1:$H$42,8, FALSE)</f>
        <v>20.079999999999998</v>
      </c>
      <c r="O15" s="2">
        <v>20.079999999999998</v>
      </c>
    </row>
    <row r="16" spans="1:15" x14ac:dyDescent="0.25">
      <c r="A16" s="2" t="s">
        <v>205</v>
      </c>
      <c r="B16" s="2" t="s">
        <v>3</v>
      </c>
      <c r="C16" s="2" t="s">
        <v>85</v>
      </c>
      <c r="D16" s="2" t="s">
        <v>86</v>
      </c>
      <c r="E16" s="2" t="s">
        <v>87</v>
      </c>
      <c r="F16" s="2">
        <v>17.289999389648401</v>
      </c>
      <c r="G16" s="2">
        <v>80</v>
      </c>
      <c r="H16" s="2">
        <v>5200</v>
      </c>
      <c r="I16" s="2" t="s">
        <v>180</v>
      </c>
      <c r="J16" s="2" t="s">
        <v>68</v>
      </c>
      <c r="K16" s="2" t="s">
        <v>181</v>
      </c>
      <c r="N16" s="2">
        <f>VLOOKUP(D16,Sheet2!$A$1:$H$42,8, FALSE)</f>
        <v>23.97</v>
      </c>
      <c r="O16" s="2">
        <v>23.97</v>
      </c>
    </row>
    <row r="17" spans="1:15" x14ac:dyDescent="0.25">
      <c r="A17" s="2" t="s">
        <v>206</v>
      </c>
      <c r="B17" s="2" t="s">
        <v>6</v>
      </c>
      <c r="C17" s="2" t="s">
        <v>207</v>
      </c>
      <c r="D17" s="2" t="s">
        <v>170</v>
      </c>
      <c r="E17" s="2" t="s">
        <v>201</v>
      </c>
      <c r="F17" s="2">
        <v>22.8910256410256</v>
      </c>
      <c r="G17" s="2">
        <v>78</v>
      </c>
      <c r="H17" s="2">
        <v>5100</v>
      </c>
      <c r="I17" s="2" t="s">
        <v>178</v>
      </c>
      <c r="J17" s="2" t="s">
        <v>43</v>
      </c>
      <c r="K17" s="2" t="s">
        <v>114</v>
      </c>
      <c r="N17" s="2">
        <f>VLOOKUP(D17,Sheet2!$A$1:$H$42,8, FALSE)</f>
        <v>27.5</v>
      </c>
      <c r="O17" s="2">
        <v>27.5</v>
      </c>
    </row>
    <row r="18" spans="1:15" x14ac:dyDescent="0.25">
      <c r="A18" s="2" t="s">
        <v>208</v>
      </c>
      <c r="B18" s="2" t="s">
        <v>7</v>
      </c>
      <c r="C18" s="2" t="s">
        <v>126</v>
      </c>
      <c r="D18" s="2" t="s">
        <v>127</v>
      </c>
      <c r="E18" s="2" t="s">
        <v>128</v>
      </c>
      <c r="F18" s="2">
        <v>24.126582278480999</v>
      </c>
      <c r="G18" s="2">
        <v>79</v>
      </c>
      <c r="H18" s="2">
        <v>5100</v>
      </c>
      <c r="I18" s="2" t="s">
        <v>178</v>
      </c>
      <c r="J18" s="2" t="s">
        <v>114</v>
      </c>
      <c r="K18" s="2" t="s">
        <v>43</v>
      </c>
      <c r="N18" s="2">
        <f>VLOOKUP(D18,Sheet2!$A$1:$H$42,8, FALSE)</f>
        <v>23.68</v>
      </c>
      <c r="O18" s="2">
        <v>23.68</v>
      </c>
    </row>
    <row r="19" spans="1:15" x14ac:dyDescent="0.25">
      <c r="A19" s="2" t="s">
        <v>209</v>
      </c>
      <c r="B19" s="2" t="s">
        <v>6</v>
      </c>
      <c r="C19" s="2" t="s">
        <v>129</v>
      </c>
      <c r="D19" s="2" t="s">
        <v>130</v>
      </c>
      <c r="E19" s="2" t="s">
        <v>131</v>
      </c>
      <c r="F19" s="2">
        <v>18.415999348958302</v>
      </c>
      <c r="G19" s="2">
        <v>75</v>
      </c>
      <c r="H19" s="2">
        <v>4800</v>
      </c>
      <c r="I19" s="2" t="s">
        <v>178</v>
      </c>
      <c r="J19" s="2" t="s">
        <v>114</v>
      </c>
      <c r="K19" s="2" t="s">
        <v>43</v>
      </c>
      <c r="N19" s="2">
        <f>VLOOKUP(D19,Sheet2!$A$1:$H$42,8, FALSE)</f>
        <v>19.899999999999999</v>
      </c>
      <c r="O19" s="2">
        <v>19.899999999999999</v>
      </c>
    </row>
    <row r="20" spans="1:15" x14ac:dyDescent="0.25">
      <c r="A20" s="2" t="s">
        <v>210</v>
      </c>
      <c r="B20" s="2" t="s">
        <v>5</v>
      </c>
      <c r="C20" s="2" t="s">
        <v>211</v>
      </c>
      <c r="D20" s="2" t="s">
        <v>157</v>
      </c>
      <c r="E20" s="2" t="s">
        <v>212</v>
      </c>
      <c r="F20" s="2">
        <v>19.767105905633201</v>
      </c>
      <c r="G20" s="2">
        <v>76</v>
      </c>
      <c r="H20" s="2">
        <v>4700</v>
      </c>
      <c r="I20" s="2" t="s">
        <v>180</v>
      </c>
      <c r="J20" s="2" t="s">
        <v>181</v>
      </c>
      <c r="K20" s="2" t="s">
        <v>68</v>
      </c>
      <c r="L20" s="2" t="s">
        <v>182</v>
      </c>
      <c r="M20" s="2" t="s">
        <v>46</v>
      </c>
      <c r="N20" s="2">
        <f>VLOOKUP(D20,Sheet2!$A$1:$H$42,8, FALSE)</f>
        <v>20.8</v>
      </c>
      <c r="O20" s="2">
        <v>20.8</v>
      </c>
    </row>
    <row r="21" spans="1:15" x14ac:dyDescent="0.25">
      <c r="A21" s="2" t="s">
        <v>213</v>
      </c>
      <c r="B21" s="2" t="s">
        <v>5</v>
      </c>
      <c r="C21" s="2" t="s">
        <v>104</v>
      </c>
      <c r="D21" s="2" t="s">
        <v>105</v>
      </c>
      <c r="E21" s="2" t="s">
        <v>106</v>
      </c>
      <c r="F21" s="2">
        <v>11.948717948717899</v>
      </c>
      <c r="G21" s="2">
        <v>78</v>
      </c>
      <c r="H21" s="2">
        <v>4300</v>
      </c>
      <c r="I21" s="2" t="s">
        <v>180</v>
      </c>
      <c r="J21" s="2" t="s">
        <v>68</v>
      </c>
      <c r="K21" s="2" t="s">
        <v>181</v>
      </c>
      <c r="N21" s="2">
        <f>VLOOKUP(D21,Sheet2!$A$1:$H$42,8, FALSE)</f>
        <v>17.809999999999999</v>
      </c>
      <c r="O21" s="2">
        <v>17.809999999999999</v>
      </c>
    </row>
    <row r="22" spans="1:15" x14ac:dyDescent="0.25">
      <c r="A22" s="2" t="s">
        <v>214</v>
      </c>
      <c r="B22" s="2" t="s">
        <v>7</v>
      </c>
      <c r="C22" s="2" t="s">
        <v>83</v>
      </c>
      <c r="D22" s="2" t="s">
        <v>84</v>
      </c>
      <c r="E22" s="2" t="s">
        <v>82</v>
      </c>
      <c r="F22" s="2">
        <v>16.614706600413601</v>
      </c>
      <c r="G22" s="2">
        <v>68</v>
      </c>
      <c r="H22" s="2">
        <v>4200</v>
      </c>
      <c r="I22" s="2" t="s">
        <v>180</v>
      </c>
      <c r="J22" s="2" t="s">
        <v>68</v>
      </c>
      <c r="K22" s="2" t="s">
        <v>181</v>
      </c>
      <c r="N22" s="2">
        <f>VLOOKUP(D22,Sheet2!$A$1:$H$42,8, FALSE)</f>
        <v>18.670000000000002</v>
      </c>
      <c r="O22" s="2">
        <v>18.670000000000002</v>
      </c>
    </row>
    <row r="23" spans="1:15" x14ac:dyDescent="0.25">
      <c r="A23" s="2" t="s">
        <v>215</v>
      </c>
      <c r="B23" s="2" t="s">
        <v>6</v>
      </c>
      <c r="C23" s="2" t="s">
        <v>216</v>
      </c>
      <c r="D23" s="2" t="s">
        <v>165</v>
      </c>
      <c r="E23" s="2" t="s">
        <v>217</v>
      </c>
      <c r="F23" s="2">
        <v>11.9779219193892</v>
      </c>
      <c r="G23" s="2">
        <v>77</v>
      </c>
      <c r="H23" s="2">
        <v>4000</v>
      </c>
      <c r="I23" s="2" t="s">
        <v>180</v>
      </c>
      <c r="J23" s="2" t="s">
        <v>181</v>
      </c>
      <c r="K23" s="2" t="s">
        <v>68</v>
      </c>
      <c r="N23" s="2">
        <f>VLOOKUP(D23,Sheet2!$A$1:$H$42,8, FALSE)</f>
        <v>9.67</v>
      </c>
      <c r="O23" s="2">
        <v>9.67</v>
      </c>
    </row>
    <row r="24" spans="1:15" x14ac:dyDescent="0.25">
      <c r="A24" s="2" t="s">
        <v>218</v>
      </c>
      <c r="B24" s="2" t="s">
        <v>6</v>
      </c>
      <c r="C24" s="2" t="s">
        <v>219</v>
      </c>
      <c r="D24" s="2" t="s">
        <v>156</v>
      </c>
      <c r="E24" s="2" t="s">
        <v>220</v>
      </c>
      <c r="F24" s="2">
        <v>17.328571428571401</v>
      </c>
      <c r="G24" s="2">
        <v>70</v>
      </c>
      <c r="H24" s="2">
        <v>4000</v>
      </c>
      <c r="I24" s="2" t="s">
        <v>180</v>
      </c>
      <c r="J24" s="2" t="s">
        <v>181</v>
      </c>
      <c r="K24" s="2" t="s">
        <v>68</v>
      </c>
      <c r="L24" s="2" t="s">
        <v>182</v>
      </c>
      <c r="M24" s="2" t="s">
        <v>221</v>
      </c>
      <c r="N24" s="2">
        <f>VLOOKUP(D24,Sheet2!$A$1:$H$42,8, FALSE)</f>
        <v>16.39</v>
      </c>
      <c r="O24" s="2">
        <v>16.39</v>
      </c>
    </row>
    <row r="25" spans="1:15" x14ac:dyDescent="0.25">
      <c r="A25" s="2" t="s">
        <v>222</v>
      </c>
      <c r="B25" s="2" t="s">
        <v>7</v>
      </c>
      <c r="C25" s="2" t="s">
        <v>51</v>
      </c>
      <c r="D25" s="2" t="s">
        <v>174</v>
      </c>
      <c r="E25" s="2" t="s">
        <v>223</v>
      </c>
      <c r="F25" s="2">
        <v>16.5253724055503</v>
      </c>
      <c r="G25" s="2">
        <v>67</v>
      </c>
      <c r="H25" s="2">
        <v>3500</v>
      </c>
      <c r="I25" s="2" t="s">
        <v>178</v>
      </c>
      <c r="J25" s="2" t="s">
        <v>43</v>
      </c>
      <c r="K25" s="2" t="s">
        <v>114</v>
      </c>
      <c r="N25" s="2">
        <f>VLOOKUP(D25,Sheet2!$A$1:$H$42,8, FALSE)</f>
        <v>12.53</v>
      </c>
      <c r="O25" s="2">
        <v>12.53</v>
      </c>
    </row>
    <row r="26" spans="1:15" x14ac:dyDescent="0.25">
      <c r="A26" s="2" t="s">
        <v>224</v>
      </c>
      <c r="B26" s="2" t="s">
        <v>7</v>
      </c>
      <c r="C26" s="2" t="s">
        <v>48</v>
      </c>
      <c r="D26" s="2" t="s">
        <v>162</v>
      </c>
      <c r="E26" s="2" t="s">
        <v>225</v>
      </c>
      <c r="F26" s="2">
        <v>8.1056338028169002</v>
      </c>
      <c r="G26" s="2">
        <v>71</v>
      </c>
      <c r="H26" s="2">
        <v>3500</v>
      </c>
      <c r="I26" s="2" t="s">
        <v>180</v>
      </c>
      <c r="J26" s="2" t="s">
        <v>181</v>
      </c>
      <c r="K26" s="2" t="s">
        <v>68</v>
      </c>
      <c r="N26" s="2">
        <f>VLOOKUP(D26,Sheet2!$A$1:$H$42,8, FALSE)</f>
        <v>7.02</v>
      </c>
      <c r="O26" s="2">
        <v>7.02</v>
      </c>
    </row>
    <row r="27" spans="1:15" x14ac:dyDescent="0.25">
      <c r="A27" s="2" t="s">
        <v>226</v>
      </c>
      <c r="B27" s="2" t="s">
        <v>6</v>
      </c>
      <c r="C27" s="2" t="s">
        <v>88</v>
      </c>
      <c r="D27" s="2" t="s">
        <v>89</v>
      </c>
      <c r="E27" s="2" t="s">
        <v>53</v>
      </c>
      <c r="F27" s="2">
        <v>4.1421051025390598</v>
      </c>
      <c r="G27" s="2">
        <v>19</v>
      </c>
      <c r="H27" s="2">
        <v>3500</v>
      </c>
      <c r="I27" s="2" t="s">
        <v>180</v>
      </c>
      <c r="J27" s="2" t="s">
        <v>68</v>
      </c>
      <c r="K27" s="2" t="s">
        <v>181</v>
      </c>
      <c r="N27" s="2" t="e">
        <f>VLOOKUP(D27,Sheet2!$A$1:$H$42,8, FALSE)</f>
        <v>#N/A</v>
      </c>
      <c r="O27" s="2">
        <v>0</v>
      </c>
    </row>
    <row r="28" spans="1:15" x14ac:dyDescent="0.25">
      <c r="A28" s="2" t="s">
        <v>227</v>
      </c>
      <c r="B28" s="2" t="s">
        <v>4</v>
      </c>
      <c r="C28" s="2" t="s">
        <v>228</v>
      </c>
      <c r="D28" s="2" t="s">
        <v>169</v>
      </c>
      <c r="E28" s="2" t="s">
        <v>229</v>
      </c>
      <c r="F28" s="2">
        <v>15.925675675675601</v>
      </c>
      <c r="G28" s="2">
        <v>74</v>
      </c>
      <c r="H28" s="2">
        <v>3500</v>
      </c>
      <c r="I28" s="2" t="s">
        <v>178</v>
      </c>
      <c r="J28" s="2" t="s">
        <v>43</v>
      </c>
      <c r="K28" s="2" t="s">
        <v>114</v>
      </c>
      <c r="N28" s="2">
        <f>VLOOKUP(D28,Sheet2!$A$1:$H$42,8, FALSE)</f>
        <v>10.15</v>
      </c>
      <c r="O28" s="2">
        <v>10.15</v>
      </c>
    </row>
    <row r="29" spans="1:15" x14ac:dyDescent="0.25">
      <c r="A29" s="2" t="s">
        <v>230</v>
      </c>
      <c r="B29" s="2" t="s">
        <v>7</v>
      </c>
      <c r="C29" s="2" t="s">
        <v>231</v>
      </c>
      <c r="D29" s="2" t="s">
        <v>167</v>
      </c>
      <c r="E29" s="2" t="s">
        <v>52</v>
      </c>
      <c r="F29" s="2">
        <v>15.990243306974</v>
      </c>
      <c r="G29" s="2">
        <v>41</v>
      </c>
      <c r="H29" s="2">
        <v>3300</v>
      </c>
      <c r="I29" s="2" t="s">
        <v>178</v>
      </c>
      <c r="J29" s="2" t="s">
        <v>43</v>
      </c>
      <c r="K29" s="2" t="s">
        <v>114</v>
      </c>
      <c r="N29" s="2">
        <f>VLOOKUP(D29,Sheet2!$A$1:$H$42,8, FALSE)</f>
        <v>14.71</v>
      </c>
      <c r="O29" s="2">
        <v>14.71</v>
      </c>
    </row>
    <row r="30" spans="1:15" x14ac:dyDescent="0.25">
      <c r="A30" s="2" t="s">
        <v>232</v>
      </c>
      <c r="B30" s="2" t="s">
        <v>4</v>
      </c>
      <c r="C30" s="2" t="s">
        <v>78</v>
      </c>
      <c r="D30" s="2" t="s">
        <v>164</v>
      </c>
      <c r="E30" s="2" t="s">
        <v>233</v>
      </c>
      <c r="F30" s="2">
        <v>13.0602937586167</v>
      </c>
      <c r="G30" s="2">
        <v>68</v>
      </c>
      <c r="H30" s="2">
        <v>3200</v>
      </c>
      <c r="I30" s="2" t="s">
        <v>180</v>
      </c>
      <c r="J30" s="2" t="s">
        <v>181</v>
      </c>
      <c r="K30" s="2" t="s">
        <v>68</v>
      </c>
      <c r="N30" s="2">
        <f>VLOOKUP(D30,Sheet2!$A$1:$H$42,8, FALSE)</f>
        <v>11.73</v>
      </c>
      <c r="O30" s="2">
        <v>11.73</v>
      </c>
    </row>
    <row r="31" spans="1:15" x14ac:dyDescent="0.25">
      <c r="A31" s="2" t="s">
        <v>234</v>
      </c>
      <c r="B31" s="2" t="s">
        <v>7</v>
      </c>
      <c r="C31" s="2" t="s">
        <v>49</v>
      </c>
      <c r="D31" s="2" t="s">
        <v>95</v>
      </c>
      <c r="E31" s="2" t="s">
        <v>50</v>
      </c>
      <c r="F31" s="2">
        <v>14.369736520867599</v>
      </c>
      <c r="G31" s="2">
        <v>76</v>
      </c>
      <c r="H31" s="2">
        <v>3100</v>
      </c>
      <c r="I31" s="2" t="s">
        <v>178</v>
      </c>
      <c r="J31" s="2" t="s">
        <v>43</v>
      </c>
      <c r="K31" s="2" t="s">
        <v>114</v>
      </c>
      <c r="N31" s="2">
        <f>VLOOKUP(D31,Sheet2!$A$1:$H$42,8, FALSE)</f>
        <v>11.58</v>
      </c>
      <c r="O31" s="2">
        <v>11.58</v>
      </c>
    </row>
    <row r="32" spans="1:15" x14ac:dyDescent="0.25">
      <c r="A32" s="2" t="s">
        <v>235</v>
      </c>
      <c r="B32" s="2" t="s">
        <v>4</v>
      </c>
      <c r="C32" s="2" t="s">
        <v>78</v>
      </c>
      <c r="D32" s="2" t="s">
        <v>66</v>
      </c>
      <c r="E32" s="2" t="s">
        <v>77</v>
      </c>
      <c r="F32" s="2">
        <v>17.084809508504701</v>
      </c>
      <c r="G32" s="2">
        <v>79</v>
      </c>
      <c r="H32" s="2">
        <v>3000</v>
      </c>
      <c r="I32" s="2" t="s">
        <v>180</v>
      </c>
      <c r="J32" s="2" t="s">
        <v>68</v>
      </c>
      <c r="K32" s="2" t="s">
        <v>181</v>
      </c>
      <c r="N32" s="2">
        <f>VLOOKUP(D32,Sheet2!$A$1:$H$42,8, FALSE)</f>
        <v>5.31</v>
      </c>
      <c r="O32" s="2">
        <v>5.31</v>
      </c>
    </row>
    <row r="33" spans="1:15" x14ac:dyDescent="0.25">
      <c r="A33" s="2" t="s">
        <v>236</v>
      </c>
      <c r="B33" s="2" t="s">
        <v>7</v>
      </c>
      <c r="C33" s="2" t="s">
        <v>137</v>
      </c>
      <c r="D33" s="2" t="s">
        <v>161</v>
      </c>
      <c r="E33" s="2" t="s">
        <v>237</v>
      </c>
      <c r="F33" s="2">
        <v>10.989610548143199</v>
      </c>
      <c r="G33" s="2">
        <v>77</v>
      </c>
      <c r="H33" s="2">
        <v>3000</v>
      </c>
      <c r="I33" s="2" t="s">
        <v>180</v>
      </c>
      <c r="J33" s="2" t="s">
        <v>181</v>
      </c>
      <c r="K33" s="2" t="s">
        <v>68</v>
      </c>
      <c r="N33" s="2">
        <f>VLOOKUP(D33,Sheet2!$A$1:$H$42,8, FALSE)</f>
        <v>6.09</v>
      </c>
      <c r="O33" s="2">
        <v>6.09</v>
      </c>
    </row>
    <row r="34" spans="1:15" x14ac:dyDescent="0.25">
      <c r="A34" s="2" t="s">
        <v>238</v>
      </c>
      <c r="B34" s="2" t="s">
        <v>7</v>
      </c>
      <c r="C34" s="2" t="s">
        <v>109</v>
      </c>
      <c r="D34" s="2" t="s">
        <v>110</v>
      </c>
      <c r="E34" s="2" t="s">
        <v>111</v>
      </c>
      <c r="F34" s="2">
        <v>15.650724991508101</v>
      </c>
      <c r="G34" s="2">
        <v>69</v>
      </c>
      <c r="H34" s="2">
        <v>3000</v>
      </c>
      <c r="I34" s="2" t="s">
        <v>180</v>
      </c>
      <c r="J34" s="2" t="s">
        <v>68</v>
      </c>
      <c r="K34" s="2" t="s">
        <v>181</v>
      </c>
      <c r="N34" s="2">
        <f>VLOOKUP(D34,Sheet2!$A$1:$H$42,8, FALSE)</f>
        <v>19.02</v>
      </c>
      <c r="O34" s="2">
        <v>19.02</v>
      </c>
    </row>
    <row r="35" spans="1:15" x14ac:dyDescent="0.25">
      <c r="A35" s="2" t="s">
        <v>239</v>
      </c>
      <c r="B35" s="2" t="s">
        <v>5</v>
      </c>
      <c r="C35" s="2" t="s">
        <v>58</v>
      </c>
      <c r="D35" s="2" t="s">
        <v>64</v>
      </c>
      <c r="E35" s="2" t="s">
        <v>59</v>
      </c>
      <c r="F35" s="2">
        <v>10.488607285897899</v>
      </c>
      <c r="G35" s="2">
        <v>79</v>
      </c>
      <c r="H35" s="2">
        <v>2900</v>
      </c>
      <c r="I35" s="2" t="s">
        <v>178</v>
      </c>
      <c r="J35" s="2" t="s">
        <v>43</v>
      </c>
      <c r="K35" s="2" t="s">
        <v>114</v>
      </c>
      <c r="N35" s="2" t="e">
        <f>VLOOKUP(D35,Sheet2!$A$1:$H$42,8, FALSE)</f>
        <v>#N/A</v>
      </c>
      <c r="O35" s="2">
        <v>0</v>
      </c>
    </row>
    <row r="36" spans="1:15" x14ac:dyDescent="0.25">
      <c r="A36" s="2" t="s">
        <v>240</v>
      </c>
      <c r="B36" s="2" t="s">
        <v>3</v>
      </c>
      <c r="C36" s="2" t="s">
        <v>90</v>
      </c>
      <c r="D36" s="2" t="s">
        <v>91</v>
      </c>
      <c r="E36" s="2" t="s">
        <v>92</v>
      </c>
      <c r="F36" s="2">
        <v>6.37894720780222</v>
      </c>
      <c r="G36" s="2">
        <v>38</v>
      </c>
      <c r="H36" s="2">
        <v>2600</v>
      </c>
      <c r="I36" s="2" t="s">
        <v>180</v>
      </c>
      <c r="J36" s="2" t="s">
        <v>68</v>
      </c>
      <c r="K36" s="2" t="s">
        <v>181</v>
      </c>
      <c r="N36" s="2">
        <f>VLOOKUP(D36,Sheet2!$A$1:$H$42,8, FALSE)</f>
        <v>10.029999999999999</v>
      </c>
      <c r="O36" s="2">
        <v>10.029999999999999</v>
      </c>
    </row>
    <row r="37" spans="1:15" x14ac:dyDescent="0.25">
      <c r="A37" s="2" t="s">
        <v>241</v>
      </c>
      <c r="B37" s="2" t="s">
        <v>4</v>
      </c>
      <c r="C37" s="2" t="s">
        <v>132</v>
      </c>
      <c r="D37" s="2" t="s">
        <v>133</v>
      </c>
      <c r="E37" s="2" t="s">
        <v>134</v>
      </c>
      <c r="F37" s="2">
        <v>16.477499389648401</v>
      </c>
      <c r="G37" s="2">
        <v>80</v>
      </c>
      <c r="H37" s="2">
        <v>2500</v>
      </c>
      <c r="I37" s="2" t="s">
        <v>178</v>
      </c>
      <c r="J37" s="2" t="s">
        <v>114</v>
      </c>
      <c r="K37" s="2" t="s">
        <v>43</v>
      </c>
      <c r="N37" s="2">
        <f>VLOOKUP(D37,Sheet2!$A$1:$H$42,8, FALSE)</f>
        <v>6.8</v>
      </c>
      <c r="O37" s="2">
        <v>6.8</v>
      </c>
    </row>
    <row r="38" spans="1:15" x14ac:dyDescent="0.25">
      <c r="A38" s="2" t="s">
        <v>242</v>
      </c>
      <c r="B38" s="2" t="s">
        <v>5</v>
      </c>
      <c r="C38" s="2" t="s">
        <v>51</v>
      </c>
      <c r="D38" s="2" t="s">
        <v>94</v>
      </c>
      <c r="E38" s="2" t="s">
        <v>93</v>
      </c>
      <c r="F38" s="2">
        <v>10.3763885498046</v>
      </c>
      <c r="G38" s="2">
        <v>72</v>
      </c>
      <c r="H38" s="2">
        <v>2500</v>
      </c>
      <c r="I38" s="2" t="s">
        <v>180</v>
      </c>
      <c r="J38" s="2" t="s">
        <v>68</v>
      </c>
      <c r="K38" s="2" t="s">
        <v>181</v>
      </c>
      <c r="N38" s="2">
        <f>VLOOKUP(D38,Sheet2!$A$1:$H$42,8, FALSE)</f>
        <v>6.32</v>
      </c>
      <c r="O38" s="2">
        <v>6.32</v>
      </c>
    </row>
    <row r="39" spans="1:15" x14ac:dyDescent="0.25">
      <c r="A39" s="2" t="s">
        <v>243</v>
      </c>
      <c r="B39" s="2" t="s">
        <v>3</v>
      </c>
      <c r="C39" s="2" t="s">
        <v>244</v>
      </c>
      <c r="D39" s="2" t="s">
        <v>168</v>
      </c>
      <c r="E39" s="2" t="s">
        <v>47</v>
      </c>
      <c r="F39" s="2">
        <v>21.209375381469702</v>
      </c>
      <c r="G39" s="2">
        <v>64</v>
      </c>
      <c r="H39" s="2">
        <v>2500</v>
      </c>
      <c r="I39" s="2" t="s">
        <v>178</v>
      </c>
      <c r="J39" s="2" t="s">
        <v>43</v>
      </c>
      <c r="K39" s="2" t="s">
        <v>114</v>
      </c>
      <c r="N39" s="2">
        <f>VLOOKUP(D39,Sheet2!$A$1:$H$42,8, FALSE)</f>
        <v>9.1199999999999992</v>
      </c>
      <c r="O39" s="2">
        <v>9.1199999999999992</v>
      </c>
    </row>
    <row r="40" spans="1:15" x14ac:dyDescent="0.25">
      <c r="A40" s="2" t="s">
        <v>245</v>
      </c>
      <c r="B40" s="2" t="s">
        <v>3</v>
      </c>
      <c r="C40" s="2" t="s">
        <v>96</v>
      </c>
      <c r="D40" s="2" t="s">
        <v>135</v>
      </c>
      <c r="E40" s="2" t="s">
        <v>136</v>
      </c>
      <c r="F40" s="2">
        <v>12.7824327623521</v>
      </c>
      <c r="G40" s="2">
        <v>74</v>
      </c>
      <c r="H40" s="2">
        <v>2300</v>
      </c>
      <c r="I40" s="2" t="s">
        <v>178</v>
      </c>
      <c r="J40" s="2" t="s">
        <v>114</v>
      </c>
      <c r="K40" s="2" t="s">
        <v>43</v>
      </c>
      <c r="N40" s="2">
        <f>VLOOKUP(D40,Sheet2!$A$1:$H$42,8, FALSE)</f>
        <v>5.77</v>
      </c>
      <c r="O40" s="2">
        <v>5.77</v>
      </c>
    </row>
    <row r="41" spans="1:15" x14ac:dyDescent="0.25">
      <c r="A41" s="2" t="s">
        <v>246</v>
      </c>
      <c r="B41" s="2" t="s">
        <v>5</v>
      </c>
      <c r="C41" s="2" t="s">
        <v>138</v>
      </c>
      <c r="D41" s="2" t="s">
        <v>139</v>
      </c>
      <c r="E41" s="2" t="s">
        <v>140</v>
      </c>
      <c r="F41" s="2">
        <v>11.705128205128201</v>
      </c>
      <c r="G41" s="2">
        <v>78</v>
      </c>
      <c r="H41" s="2">
        <v>2100</v>
      </c>
      <c r="I41" s="2" t="s">
        <v>178</v>
      </c>
      <c r="J41" s="2" t="s">
        <v>114</v>
      </c>
      <c r="K41" s="2" t="s">
        <v>43</v>
      </c>
      <c r="N41" s="2">
        <f>VLOOKUP(D41,Sheet2!$A$1:$H$42,8, FALSE)</f>
        <v>13.08</v>
      </c>
      <c r="O41" s="2">
        <v>13.08</v>
      </c>
    </row>
    <row r="42" spans="1:15" x14ac:dyDescent="0.25">
      <c r="A42" s="2" t="s">
        <v>247</v>
      </c>
      <c r="B42" s="2" t="s">
        <v>7</v>
      </c>
      <c r="C42" s="2" t="s">
        <v>141</v>
      </c>
      <c r="D42" s="2" t="s">
        <v>142</v>
      </c>
      <c r="E42" s="2" t="s">
        <v>82</v>
      </c>
      <c r="F42" s="2">
        <v>8.9212763360206093</v>
      </c>
      <c r="G42" s="2">
        <v>47</v>
      </c>
      <c r="H42" s="2">
        <v>2100</v>
      </c>
      <c r="I42" s="2" t="s">
        <v>178</v>
      </c>
      <c r="J42" s="2" t="s">
        <v>114</v>
      </c>
      <c r="K42" s="2" t="s">
        <v>43</v>
      </c>
      <c r="N42" s="2">
        <f>VLOOKUP(D42,Sheet2!$A$1:$H$42,8, FALSE)</f>
        <v>4.6900000000000004</v>
      </c>
      <c r="O42" s="2">
        <v>4.6900000000000004</v>
      </c>
    </row>
    <row r="43" spans="1:15" x14ac:dyDescent="0.25">
      <c r="A43" s="2" t="s">
        <v>248</v>
      </c>
      <c r="B43" s="2" t="s">
        <v>6</v>
      </c>
      <c r="C43" s="2" t="s">
        <v>79</v>
      </c>
      <c r="D43" s="2" t="s">
        <v>80</v>
      </c>
      <c r="E43" s="2" t="s">
        <v>81</v>
      </c>
      <c r="F43" s="2">
        <v>15.5684204101562</v>
      </c>
      <c r="G43" s="2">
        <v>76</v>
      </c>
      <c r="H43" s="2">
        <v>2000</v>
      </c>
      <c r="I43" s="2" t="s">
        <v>180</v>
      </c>
      <c r="J43" s="2" t="s">
        <v>68</v>
      </c>
      <c r="K43" s="2" t="s">
        <v>181</v>
      </c>
      <c r="N43" s="2">
        <f>VLOOKUP(D43,Sheet2!$A$1:$H$42,8, FALSE)</f>
        <v>5.49</v>
      </c>
      <c r="O43" s="2">
        <v>5.49</v>
      </c>
    </row>
    <row r="44" spans="1:15" x14ac:dyDescent="0.25">
      <c r="A44" s="2" t="s">
        <v>249</v>
      </c>
      <c r="B44" s="2" t="s">
        <v>4</v>
      </c>
      <c r="C44" s="2" t="s">
        <v>250</v>
      </c>
      <c r="D44" s="2" t="s">
        <v>251</v>
      </c>
      <c r="E44" s="2" t="s">
        <v>252</v>
      </c>
      <c r="F44" s="2">
        <v>6.8884617732121303</v>
      </c>
      <c r="G44" s="2">
        <v>52</v>
      </c>
      <c r="H44" s="2">
        <v>1900</v>
      </c>
      <c r="I44" s="2" t="s">
        <v>180</v>
      </c>
      <c r="J44" s="2" t="s">
        <v>181</v>
      </c>
      <c r="K44" s="2" t="s">
        <v>68</v>
      </c>
      <c r="N44" s="2" t="e">
        <f>VLOOKUP(D44,Sheet2!$A$1:$H$42,8, FALSE)</f>
        <v>#N/A</v>
      </c>
      <c r="O44" s="2">
        <v>0</v>
      </c>
    </row>
    <row r="45" spans="1:15" x14ac:dyDescent="0.25">
      <c r="A45" s="2" t="s">
        <v>253</v>
      </c>
      <c r="B45" s="2" t="s">
        <v>4</v>
      </c>
      <c r="C45" s="2" t="s">
        <v>254</v>
      </c>
      <c r="D45" s="2" t="s">
        <v>255</v>
      </c>
      <c r="E45" s="2" t="s">
        <v>47</v>
      </c>
      <c r="F45" s="2">
        <v>10.32</v>
      </c>
      <c r="G45" s="2">
        <v>50</v>
      </c>
      <c r="H45" s="2">
        <v>1800</v>
      </c>
      <c r="I45" s="2" t="s">
        <v>178</v>
      </c>
      <c r="J45" s="2" t="s">
        <v>43</v>
      </c>
      <c r="K45" s="2" t="s">
        <v>114</v>
      </c>
      <c r="N45" s="2" t="e">
        <f>VLOOKUP(D45,Sheet2!$A$1:$H$42,8, FALSE)</f>
        <v>#N/A</v>
      </c>
      <c r="O45" s="2">
        <v>0</v>
      </c>
    </row>
    <row r="46" spans="1:15" x14ac:dyDescent="0.25">
      <c r="A46" s="2" t="s">
        <v>256</v>
      </c>
      <c r="B46" s="2" t="s">
        <v>5</v>
      </c>
      <c r="C46" s="2" t="s">
        <v>42</v>
      </c>
      <c r="D46" s="2" t="s">
        <v>143</v>
      </c>
      <c r="E46" s="2" t="s">
        <v>57</v>
      </c>
      <c r="F46" s="2">
        <v>4.3172412740773103</v>
      </c>
      <c r="G46" s="2">
        <v>29</v>
      </c>
      <c r="H46" s="2">
        <v>1700</v>
      </c>
      <c r="I46" s="2" t="s">
        <v>178</v>
      </c>
      <c r="J46" s="2" t="s">
        <v>114</v>
      </c>
      <c r="K46" s="2" t="s">
        <v>43</v>
      </c>
      <c r="N46" s="2" t="e">
        <f>VLOOKUP(D46,Sheet2!$A$1:$H$42,8, FALSE)</f>
        <v>#N/A</v>
      </c>
      <c r="O46" s="2">
        <v>0</v>
      </c>
    </row>
    <row r="47" spans="1:15" x14ac:dyDescent="0.25">
      <c r="A47" s="2" t="s">
        <v>257</v>
      </c>
      <c r="B47" s="2" t="s">
        <v>6</v>
      </c>
      <c r="C47" s="2" t="s">
        <v>93</v>
      </c>
      <c r="D47" s="2" t="s">
        <v>258</v>
      </c>
      <c r="E47" s="2" t="s">
        <v>259</v>
      </c>
      <c r="F47" s="2">
        <v>4.9571429661342004</v>
      </c>
      <c r="G47" s="2">
        <v>14</v>
      </c>
      <c r="H47" s="2">
        <v>1500</v>
      </c>
      <c r="I47" s="2" t="s">
        <v>180</v>
      </c>
      <c r="J47" s="2" t="s">
        <v>181</v>
      </c>
      <c r="K47" s="2" t="s">
        <v>68</v>
      </c>
      <c r="N47" s="2" t="e">
        <f>VLOOKUP(D47,Sheet2!$A$1:$H$42,8, FALSE)</f>
        <v>#N/A</v>
      </c>
      <c r="O47" s="2">
        <v>0</v>
      </c>
    </row>
    <row r="48" spans="1:15" x14ac:dyDescent="0.25">
      <c r="A48" s="2" t="s">
        <v>260</v>
      </c>
      <c r="B48" s="2" t="s">
        <v>6</v>
      </c>
      <c r="C48" s="2" t="s">
        <v>261</v>
      </c>
      <c r="D48" s="2" t="s">
        <v>262</v>
      </c>
      <c r="E48" s="2" t="s">
        <v>263</v>
      </c>
      <c r="F48" s="2">
        <v>16.350000381469702</v>
      </c>
      <c r="G48" s="2">
        <v>2</v>
      </c>
      <c r="H48" s="2">
        <v>1500</v>
      </c>
      <c r="I48" s="2" t="s">
        <v>178</v>
      </c>
      <c r="J48" s="2" t="s">
        <v>43</v>
      </c>
      <c r="K48" s="2" t="s">
        <v>114</v>
      </c>
      <c r="L48" s="2" t="s">
        <v>45</v>
      </c>
      <c r="M48" s="2" t="s">
        <v>264</v>
      </c>
      <c r="N48" s="2" t="e">
        <f>VLOOKUP(D48,Sheet2!$A$1:$H$42,8, FALSE)</f>
        <v>#N/A</v>
      </c>
      <c r="O48" s="2">
        <v>0</v>
      </c>
    </row>
    <row r="49" spans="1:15" x14ac:dyDescent="0.25">
      <c r="A49" s="2" t="s">
        <v>265</v>
      </c>
      <c r="B49" s="2" t="s">
        <v>3</v>
      </c>
      <c r="C49" s="2" t="s">
        <v>266</v>
      </c>
      <c r="D49" s="2" t="s">
        <v>163</v>
      </c>
      <c r="E49" s="2" t="s">
        <v>267</v>
      </c>
      <c r="F49" s="2">
        <v>10.956579107987199</v>
      </c>
      <c r="G49" s="2">
        <v>76</v>
      </c>
      <c r="H49" s="2">
        <v>1500</v>
      </c>
      <c r="I49" s="2" t="s">
        <v>180</v>
      </c>
      <c r="J49" s="2" t="s">
        <v>181</v>
      </c>
      <c r="K49" s="2" t="s">
        <v>68</v>
      </c>
      <c r="N49" s="2">
        <f>VLOOKUP(D49,Sheet2!$A$1:$H$42,8, FALSE)</f>
        <v>10.06</v>
      </c>
      <c r="O49" s="2">
        <v>10.06</v>
      </c>
    </row>
    <row r="50" spans="1:15" x14ac:dyDescent="0.25">
      <c r="A50" s="2" t="s">
        <v>268</v>
      </c>
      <c r="B50" s="2" t="s">
        <v>3</v>
      </c>
      <c r="C50" s="2" t="s">
        <v>144</v>
      </c>
      <c r="D50" s="2" t="s">
        <v>145</v>
      </c>
      <c r="E50" s="2" t="s">
        <v>146</v>
      </c>
      <c r="F50" s="2">
        <v>3.8599998474120998</v>
      </c>
      <c r="G50" s="2">
        <v>5</v>
      </c>
      <c r="H50" s="2">
        <v>1500</v>
      </c>
      <c r="I50" s="2" t="s">
        <v>178</v>
      </c>
      <c r="J50" s="2" t="s">
        <v>114</v>
      </c>
      <c r="K50" s="2" t="s">
        <v>43</v>
      </c>
      <c r="N50" s="2" t="e">
        <f>VLOOKUP(D50,Sheet2!$A$1:$H$42,8, FALSE)</f>
        <v>#N/A</v>
      </c>
      <c r="O50" s="2">
        <v>0</v>
      </c>
    </row>
    <row r="51" spans="1:15" x14ac:dyDescent="0.25">
      <c r="A51" s="2" t="s">
        <v>269</v>
      </c>
      <c r="B51" s="2" t="s">
        <v>3</v>
      </c>
      <c r="C51" s="2" t="s">
        <v>102</v>
      </c>
      <c r="D51" s="2" t="s">
        <v>107</v>
      </c>
      <c r="E51" s="2" t="s">
        <v>108</v>
      </c>
      <c r="F51" s="2">
        <v>5.7777777777777697</v>
      </c>
      <c r="G51" s="2">
        <v>18</v>
      </c>
      <c r="H51" s="2">
        <v>1500</v>
      </c>
      <c r="I51" s="2" t="s">
        <v>180</v>
      </c>
      <c r="J51" s="2" t="s">
        <v>68</v>
      </c>
      <c r="K51" s="2" t="s">
        <v>181</v>
      </c>
      <c r="N51" s="2" t="e">
        <f>VLOOKUP(D51,Sheet2!$A$1:$H$42,8, FALSE)</f>
        <v>#N/A</v>
      </c>
      <c r="O51" s="2">
        <v>0</v>
      </c>
    </row>
    <row r="52" spans="1:15" x14ac:dyDescent="0.25">
      <c r="A52" s="2" t="s">
        <v>270</v>
      </c>
      <c r="B52" s="2" t="s">
        <v>5</v>
      </c>
      <c r="C52" s="2" t="s">
        <v>271</v>
      </c>
      <c r="D52" s="2" t="s">
        <v>160</v>
      </c>
      <c r="E52" s="2" t="s">
        <v>272</v>
      </c>
      <c r="F52" s="2">
        <v>17.8554060652449</v>
      </c>
      <c r="G52" s="2">
        <v>74</v>
      </c>
      <c r="H52" s="2">
        <v>1500</v>
      </c>
      <c r="I52" s="2" t="s">
        <v>180</v>
      </c>
      <c r="J52" s="2" t="s">
        <v>181</v>
      </c>
      <c r="K52" s="2" t="s">
        <v>68</v>
      </c>
      <c r="N52" s="2">
        <f>VLOOKUP(D52,Sheet2!$A$1:$H$42,8, FALSE)</f>
        <v>6.42</v>
      </c>
      <c r="O52" s="2">
        <v>6.42</v>
      </c>
    </row>
    <row r="53" spans="1:15" x14ac:dyDescent="0.25">
      <c r="A53" s="2" t="s">
        <v>273</v>
      </c>
      <c r="B53" s="2" t="s">
        <v>7</v>
      </c>
      <c r="C53" s="2" t="s">
        <v>42</v>
      </c>
      <c r="D53" s="2" t="s">
        <v>274</v>
      </c>
      <c r="E53" s="2" t="s">
        <v>54</v>
      </c>
      <c r="F53" s="2">
        <v>4.5708332061767498</v>
      </c>
      <c r="G53" s="2">
        <v>48</v>
      </c>
      <c r="H53" s="2">
        <v>1500</v>
      </c>
      <c r="I53" s="2" t="s">
        <v>178</v>
      </c>
      <c r="J53" s="2" t="s">
        <v>43</v>
      </c>
      <c r="K53" s="2" t="s">
        <v>114</v>
      </c>
      <c r="N53" s="2" t="e">
        <f>VLOOKUP(D53,Sheet2!$A$1:$H$42,8, FALSE)</f>
        <v>#N/A</v>
      </c>
      <c r="O53" s="2">
        <v>0</v>
      </c>
    </row>
    <row r="54" spans="1:15" x14ac:dyDescent="0.25">
      <c r="A54" s="2" t="s">
        <v>275</v>
      </c>
      <c r="B54" s="2" t="s">
        <v>4</v>
      </c>
      <c r="C54" s="2" t="s">
        <v>276</v>
      </c>
      <c r="D54" s="2" t="s">
        <v>277</v>
      </c>
      <c r="E54" s="2" t="s">
        <v>278</v>
      </c>
      <c r="F54" s="2">
        <v>7.0622639206220503</v>
      </c>
      <c r="G54" s="2">
        <v>53</v>
      </c>
      <c r="H54" s="2">
        <v>1500</v>
      </c>
      <c r="I54" s="2" t="s">
        <v>180</v>
      </c>
      <c r="J54" s="2" t="s">
        <v>181</v>
      </c>
      <c r="K54" s="2" t="s">
        <v>68</v>
      </c>
      <c r="L54" s="2" t="s">
        <v>182</v>
      </c>
      <c r="M54" s="2" t="s">
        <v>279</v>
      </c>
      <c r="N54" s="2" t="e">
        <f>VLOOKUP(D54,Sheet2!$A$1:$H$42,8, FALSE)</f>
        <v>#N/A</v>
      </c>
      <c r="O54" s="2">
        <v>0</v>
      </c>
    </row>
    <row r="55" spans="1:15" x14ac:dyDescent="0.25">
      <c r="A55" s="2" t="s">
        <v>280</v>
      </c>
      <c r="B55" s="2" t="s">
        <v>6</v>
      </c>
      <c r="C55" s="2" t="s">
        <v>147</v>
      </c>
      <c r="D55" s="2" t="s">
        <v>148</v>
      </c>
      <c r="E55" s="2" t="s">
        <v>149</v>
      </c>
      <c r="F55" s="2">
        <v>8.3490193684895804</v>
      </c>
      <c r="G55" s="2">
        <v>51</v>
      </c>
      <c r="H55" s="2">
        <v>1500</v>
      </c>
      <c r="I55" s="2" t="s">
        <v>178</v>
      </c>
      <c r="J55" s="2" t="s">
        <v>114</v>
      </c>
      <c r="K55" s="2" t="s">
        <v>43</v>
      </c>
      <c r="N55" s="2" t="e">
        <f>VLOOKUP(D55,Sheet2!$A$1:$H$42,8, FALSE)</f>
        <v>#N/A</v>
      </c>
      <c r="O55" s="2">
        <v>0</v>
      </c>
    </row>
    <row r="56" spans="1:15" x14ac:dyDescent="0.25">
      <c r="A56" s="2" t="s">
        <v>281</v>
      </c>
      <c r="B56" s="2" t="s">
        <v>7</v>
      </c>
      <c r="C56" s="2" t="s">
        <v>55</v>
      </c>
      <c r="D56" s="2" t="s">
        <v>103</v>
      </c>
      <c r="E56" s="2" t="s">
        <v>56</v>
      </c>
      <c r="F56" s="2">
        <v>6.8297296472497804</v>
      </c>
      <c r="G56" s="2">
        <v>37</v>
      </c>
      <c r="H56" s="2">
        <v>1500</v>
      </c>
      <c r="I56" s="2" t="s">
        <v>178</v>
      </c>
      <c r="J56" s="2" t="s">
        <v>43</v>
      </c>
      <c r="K56" s="2" t="s">
        <v>114</v>
      </c>
      <c r="N56" s="2" t="e">
        <f>VLOOKUP(D56,Sheet2!$A$1:$H$42,8, FALSE)</f>
        <v>#N/A</v>
      </c>
      <c r="O56" s="2">
        <v>0</v>
      </c>
    </row>
    <row r="57" spans="1:15" x14ac:dyDescent="0.25">
      <c r="A57" s="2" t="s">
        <v>282</v>
      </c>
      <c r="B57" s="2" t="s">
        <v>4</v>
      </c>
      <c r="C57" s="2" t="s">
        <v>55</v>
      </c>
      <c r="D57" s="2" t="s">
        <v>150</v>
      </c>
      <c r="E57" s="2" t="s">
        <v>151</v>
      </c>
      <c r="F57" s="2">
        <v>3.9320001220703098</v>
      </c>
      <c r="G57" s="2">
        <v>25</v>
      </c>
      <c r="H57" s="2">
        <v>1500</v>
      </c>
      <c r="I57" s="2" t="s">
        <v>178</v>
      </c>
      <c r="J57" s="2" t="s">
        <v>114</v>
      </c>
      <c r="K57" s="2" t="s">
        <v>43</v>
      </c>
      <c r="N57" s="2" t="e">
        <f>VLOOKUP(D57,Sheet2!$A$1:$H$42,8, FALSE)</f>
        <v>#N/A</v>
      </c>
      <c r="O57" s="2">
        <v>0</v>
      </c>
    </row>
    <row r="58" spans="1:15" x14ac:dyDescent="0.25">
      <c r="A58" s="2" t="s">
        <v>283</v>
      </c>
      <c r="B58" s="2" t="s">
        <v>4</v>
      </c>
      <c r="C58" s="2" t="s">
        <v>60</v>
      </c>
      <c r="D58" s="2" t="s">
        <v>152</v>
      </c>
      <c r="E58" s="2" t="s">
        <v>153</v>
      </c>
      <c r="F58" s="2">
        <v>9.9602567232572099</v>
      </c>
      <c r="G58" s="2">
        <v>78</v>
      </c>
      <c r="H58" s="2">
        <v>1500</v>
      </c>
      <c r="I58" s="2" t="s">
        <v>178</v>
      </c>
      <c r="J58" s="2" t="s">
        <v>114</v>
      </c>
      <c r="K58" s="2" t="s">
        <v>43</v>
      </c>
      <c r="N58" s="2" t="e">
        <f>VLOOKUP(D58,Sheet2!$A$1:$H$42,8, FALSE)</f>
        <v>#N/A</v>
      </c>
      <c r="O58" s="2">
        <v>0</v>
      </c>
    </row>
    <row r="59" spans="1:15" x14ac:dyDescent="0.25">
      <c r="A59" s="2" t="s">
        <v>284</v>
      </c>
      <c r="B59" s="2" t="s">
        <v>7</v>
      </c>
      <c r="C59" s="2" t="s">
        <v>99</v>
      </c>
      <c r="D59" s="2" t="s">
        <v>100</v>
      </c>
      <c r="E59" s="2" t="s">
        <v>101</v>
      </c>
      <c r="F59" s="2">
        <v>4.1277779473198697</v>
      </c>
      <c r="G59" s="2">
        <v>36</v>
      </c>
      <c r="H59" s="2">
        <v>1500</v>
      </c>
      <c r="I59" s="2" t="s">
        <v>180</v>
      </c>
      <c r="J59" s="2" t="s">
        <v>68</v>
      </c>
      <c r="K59" s="2" t="s">
        <v>181</v>
      </c>
      <c r="N59" s="2" t="e">
        <f>VLOOKUP(D59,Sheet2!$A$1:$H$42,8, FALSE)</f>
        <v>#N/A</v>
      </c>
      <c r="O59" s="2">
        <v>0</v>
      </c>
    </row>
    <row r="60" spans="1:15" x14ac:dyDescent="0.25">
      <c r="A60" s="2" t="s">
        <v>285</v>
      </c>
      <c r="B60" s="2" t="s">
        <v>6</v>
      </c>
      <c r="C60" s="2" t="s">
        <v>286</v>
      </c>
      <c r="D60" s="2" t="s">
        <v>287</v>
      </c>
      <c r="E60" s="2" t="s">
        <v>54</v>
      </c>
      <c r="F60" s="2">
        <v>5.0599998474121097</v>
      </c>
      <c r="G60" s="2">
        <v>10</v>
      </c>
      <c r="H60" s="2">
        <v>1500</v>
      </c>
      <c r="I60" s="2" t="s">
        <v>180</v>
      </c>
      <c r="J60" s="2" t="s">
        <v>181</v>
      </c>
      <c r="K60" s="2" t="s">
        <v>68</v>
      </c>
      <c r="N60" s="2" t="e">
        <f>VLOOKUP(D60,Sheet2!$A$1:$H$42,8, FALSE)</f>
        <v>#N/A</v>
      </c>
      <c r="O60" s="2">
        <v>0</v>
      </c>
    </row>
    <row r="61" spans="1:15" x14ac:dyDescent="0.25">
      <c r="A61" s="2" t="s">
        <v>288</v>
      </c>
      <c r="B61" s="2" t="s">
        <v>7</v>
      </c>
      <c r="C61" s="2" t="s">
        <v>112</v>
      </c>
      <c r="D61" s="2" t="s">
        <v>113</v>
      </c>
      <c r="E61" s="2" t="s">
        <v>54</v>
      </c>
      <c r="F61" s="2">
        <v>11.899999618530201</v>
      </c>
      <c r="G61" s="2">
        <v>1</v>
      </c>
      <c r="H61" s="2">
        <v>1400</v>
      </c>
      <c r="I61" s="2" t="s">
        <v>178</v>
      </c>
      <c r="J61" s="2" t="s">
        <v>43</v>
      </c>
      <c r="K61" s="2" t="s">
        <v>114</v>
      </c>
      <c r="N61" s="2" t="e">
        <f>VLOOKUP(D61,Sheet2!$A$1:$H$42,8, FALSE)</f>
        <v>#N/A</v>
      </c>
      <c r="O61" s="2">
        <v>0</v>
      </c>
    </row>
    <row r="62" spans="1:15" x14ac:dyDescent="0.25">
      <c r="A62" s="2" t="s">
        <v>289</v>
      </c>
      <c r="B62" s="2" t="s">
        <v>5</v>
      </c>
      <c r="C62" s="2" t="s">
        <v>67</v>
      </c>
      <c r="D62" s="2" t="s">
        <v>97</v>
      </c>
      <c r="E62" s="2" t="s">
        <v>98</v>
      </c>
      <c r="F62" s="2">
        <v>8.2626862027751802</v>
      </c>
      <c r="G62" s="2">
        <v>67</v>
      </c>
      <c r="H62" s="2">
        <v>1300</v>
      </c>
      <c r="I62" s="2" t="s">
        <v>180</v>
      </c>
      <c r="J62" s="2" t="s">
        <v>68</v>
      </c>
      <c r="K62" s="2" t="s">
        <v>181</v>
      </c>
      <c r="N62" s="2" t="e">
        <f>VLOOKUP(D62,Sheet2!$A$1:$H$42,8, FALSE)</f>
        <v>#N/A</v>
      </c>
      <c r="O62" s="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2"/>
  <sheetViews>
    <sheetView topLeftCell="A24" workbookViewId="0">
      <selection activeCell="H1" sqref="H1"/>
    </sheetView>
  </sheetViews>
  <sheetFormatPr defaultRowHeight="15" x14ac:dyDescent="0.25"/>
  <cols>
    <col min="1" max="1" width="18" style="2" bestFit="1" customWidth="1"/>
    <col min="2" max="16384" width="9.140625" style="2"/>
  </cols>
  <sheetData>
    <row r="1" spans="1:8" x14ac:dyDescent="0.25">
      <c r="A1" s="2" t="s">
        <v>75</v>
      </c>
      <c r="B1" s="2">
        <v>6100</v>
      </c>
      <c r="C1" s="2" t="s">
        <v>154</v>
      </c>
      <c r="D1" s="2" t="s">
        <v>6</v>
      </c>
      <c r="E1" s="2" t="s">
        <v>155</v>
      </c>
      <c r="F1" s="2">
        <v>26.9072</v>
      </c>
      <c r="G1" s="2">
        <v>13.252800000000001</v>
      </c>
      <c r="H1" s="2">
        <v>20.079999999999998</v>
      </c>
    </row>
    <row r="2" spans="1:8" x14ac:dyDescent="0.25">
      <c r="A2" s="2" t="s">
        <v>84</v>
      </c>
      <c r="B2" s="2">
        <v>4200</v>
      </c>
      <c r="C2" s="2" t="s">
        <v>154</v>
      </c>
      <c r="D2" s="2" t="s">
        <v>7</v>
      </c>
      <c r="E2" s="2" t="s">
        <v>155</v>
      </c>
      <c r="F2" s="2">
        <v>26.884799999999998</v>
      </c>
      <c r="G2" s="2">
        <v>10.4552</v>
      </c>
      <c r="H2" s="2">
        <v>18.670000000000002</v>
      </c>
    </row>
    <row r="3" spans="1:8" x14ac:dyDescent="0.25">
      <c r="A3" s="2" t="s">
        <v>156</v>
      </c>
      <c r="B3" s="2">
        <v>4000</v>
      </c>
      <c r="C3" s="2" t="s">
        <v>155</v>
      </c>
      <c r="D3" s="2" t="s">
        <v>6</v>
      </c>
      <c r="E3" s="2" t="s">
        <v>154</v>
      </c>
      <c r="F3" s="2">
        <v>25.732299999999999</v>
      </c>
      <c r="G3" s="2">
        <v>7.0476999999999999</v>
      </c>
      <c r="H3" s="2">
        <v>16.39</v>
      </c>
    </row>
    <row r="4" spans="1:8" x14ac:dyDescent="0.25">
      <c r="A4" s="2" t="s">
        <v>110</v>
      </c>
      <c r="B4" s="2">
        <v>3000</v>
      </c>
      <c r="C4" s="2" t="s">
        <v>154</v>
      </c>
      <c r="D4" s="2" t="s">
        <v>7</v>
      </c>
      <c r="E4" s="2" t="s">
        <v>155</v>
      </c>
      <c r="F4" s="2">
        <v>25.8672</v>
      </c>
      <c r="G4" s="2">
        <v>12.172800000000001</v>
      </c>
      <c r="H4" s="2">
        <v>19.02</v>
      </c>
    </row>
    <row r="5" spans="1:8" x14ac:dyDescent="0.25">
      <c r="A5" s="2" t="s">
        <v>157</v>
      </c>
      <c r="B5" s="2">
        <v>4700</v>
      </c>
      <c r="C5" s="2" t="s">
        <v>155</v>
      </c>
      <c r="D5" s="2" t="s">
        <v>5</v>
      </c>
      <c r="E5" s="2" t="s">
        <v>154</v>
      </c>
      <c r="F5" s="2">
        <v>27.872</v>
      </c>
      <c r="G5" s="2">
        <v>13.728</v>
      </c>
      <c r="H5" s="2">
        <v>20.8</v>
      </c>
    </row>
    <row r="6" spans="1:8" x14ac:dyDescent="0.25">
      <c r="A6" s="2" t="s">
        <v>86</v>
      </c>
      <c r="B6" s="2">
        <v>5200</v>
      </c>
      <c r="C6" s="2" t="s">
        <v>154</v>
      </c>
      <c r="D6" s="2" t="s">
        <v>3</v>
      </c>
      <c r="E6" s="2" t="s">
        <v>155</v>
      </c>
      <c r="F6" s="2">
        <v>33.558</v>
      </c>
      <c r="G6" s="2">
        <v>14.382</v>
      </c>
      <c r="H6" s="2">
        <v>23.97</v>
      </c>
    </row>
    <row r="7" spans="1:8" x14ac:dyDescent="0.25">
      <c r="A7" s="2" t="s">
        <v>158</v>
      </c>
      <c r="B7" s="2">
        <v>8600</v>
      </c>
      <c r="C7" s="2" t="s">
        <v>155</v>
      </c>
      <c r="D7" s="2" t="s">
        <v>4</v>
      </c>
      <c r="E7" s="2" t="s">
        <v>154</v>
      </c>
      <c r="F7" s="2">
        <v>52.339500000000001</v>
      </c>
      <c r="G7" s="2">
        <v>25.200500000000002</v>
      </c>
      <c r="H7" s="2">
        <v>38.770000000000003</v>
      </c>
    </row>
    <row r="8" spans="1:8" x14ac:dyDescent="0.25">
      <c r="A8" s="2" t="s">
        <v>65</v>
      </c>
      <c r="B8" s="2">
        <v>8000</v>
      </c>
      <c r="C8" s="2" t="s">
        <v>154</v>
      </c>
      <c r="D8" s="2" t="s">
        <v>4</v>
      </c>
      <c r="E8" s="2" t="s">
        <v>155</v>
      </c>
      <c r="F8" s="2">
        <v>46.604799999999997</v>
      </c>
      <c r="G8" s="2">
        <v>26.215199999999999</v>
      </c>
      <c r="H8" s="2">
        <v>36.409999999999997</v>
      </c>
    </row>
    <row r="9" spans="1:8" x14ac:dyDescent="0.25">
      <c r="A9" s="2" t="s">
        <v>159</v>
      </c>
      <c r="B9" s="2">
        <v>7100</v>
      </c>
      <c r="C9" s="2" t="s">
        <v>155</v>
      </c>
      <c r="D9" s="2" t="s">
        <v>7</v>
      </c>
      <c r="E9" s="2" t="s">
        <v>154</v>
      </c>
      <c r="F9" s="2">
        <v>38.715600000000002</v>
      </c>
      <c r="G9" s="2">
        <v>19.944400000000002</v>
      </c>
      <c r="H9" s="2">
        <v>29.33</v>
      </c>
    </row>
    <row r="10" spans="1:8" x14ac:dyDescent="0.25">
      <c r="A10" s="2" t="s">
        <v>105</v>
      </c>
      <c r="B10" s="2">
        <v>4300</v>
      </c>
      <c r="C10" s="2" t="s">
        <v>154</v>
      </c>
      <c r="D10" s="2" t="s">
        <v>5</v>
      </c>
      <c r="E10" s="2" t="s">
        <v>155</v>
      </c>
      <c r="F10" s="2">
        <v>24.221599999999999</v>
      </c>
      <c r="G10" s="2">
        <v>11.398400000000001</v>
      </c>
      <c r="H10" s="2">
        <v>17.809999999999999</v>
      </c>
    </row>
    <row r="11" spans="1:8" x14ac:dyDescent="0.25">
      <c r="A11" s="2" t="s">
        <v>94</v>
      </c>
      <c r="B11" s="2">
        <v>2500</v>
      </c>
      <c r="C11" s="2" t="s">
        <v>154</v>
      </c>
      <c r="D11" s="2" t="s">
        <v>5</v>
      </c>
      <c r="E11" s="2" t="s">
        <v>155</v>
      </c>
      <c r="F11" s="2">
        <v>8.7216000000000005</v>
      </c>
      <c r="G11" s="2">
        <v>3.9184000000000001</v>
      </c>
      <c r="H11" s="2">
        <v>6.32</v>
      </c>
    </row>
    <row r="12" spans="1:8" x14ac:dyDescent="0.25">
      <c r="A12" s="2" t="s">
        <v>160</v>
      </c>
      <c r="B12" s="2">
        <v>1500</v>
      </c>
      <c r="C12" s="2" t="s">
        <v>155</v>
      </c>
      <c r="D12" s="2" t="s">
        <v>5</v>
      </c>
      <c r="E12" s="2" t="s">
        <v>154</v>
      </c>
      <c r="F12" s="2">
        <v>9.3089999999999993</v>
      </c>
      <c r="G12" s="2">
        <v>3.5310000000000001</v>
      </c>
      <c r="H12" s="2">
        <v>6.42</v>
      </c>
    </row>
    <row r="13" spans="1:8" x14ac:dyDescent="0.25">
      <c r="A13" s="2" t="s">
        <v>161</v>
      </c>
      <c r="B13" s="2">
        <v>3000</v>
      </c>
      <c r="C13" s="2" t="s">
        <v>155</v>
      </c>
      <c r="D13" s="2" t="s">
        <v>7</v>
      </c>
      <c r="E13" s="2" t="s">
        <v>154</v>
      </c>
      <c r="F13" s="2">
        <v>9.1959</v>
      </c>
      <c r="G13" s="2">
        <v>2.9841000000000002</v>
      </c>
      <c r="H13" s="2">
        <v>6.09</v>
      </c>
    </row>
    <row r="14" spans="1:8" x14ac:dyDescent="0.25">
      <c r="A14" s="2" t="s">
        <v>66</v>
      </c>
      <c r="B14" s="2">
        <v>3000</v>
      </c>
      <c r="C14" s="2" t="s">
        <v>154</v>
      </c>
      <c r="D14" s="2" t="s">
        <v>4</v>
      </c>
      <c r="E14" s="2" t="s">
        <v>155</v>
      </c>
      <c r="F14" s="2">
        <v>7.6994999999999996</v>
      </c>
      <c r="G14" s="2">
        <v>2.9205000000000001</v>
      </c>
      <c r="H14" s="2">
        <v>5.31</v>
      </c>
    </row>
    <row r="15" spans="1:8" x14ac:dyDescent="0.25">
      <c r="A15" s="2" t="s">
        <v>80</v>
      </c>
      <c r="B15" s="2">
        <v>2000</v>
      </c>
      <c r="C15" s="2" t="s">
        <v>154</v>
      </c>
      <c r="D15" s="2" t="s">
        <v>6</v>
      </c>
      <c r="E15" s="2" t="s">
        <v>155</v>
      </c>
      <c r="F15" s="2">
        <v>7.6311</v>
      </c>
      <c r="G15" s="2">
        <v>3.3489</v>
      </c>
      <c r="H15" s="2">
        <v>5.49</v>
      </c>
    </row>
    <row r="16" spans="1:8" x14ac:dyDescent="0.25">
      <c r="A16" s="2" t="s">
        <v>162</v>
      </c>
      <c r="B16" s="2">
        <v>3500</v>
      </c>
      <c r="C16" s="2" t="s">
        <v>155</v>
      </c>
      <c r="D16" s="2" t="s">
        <v>7</v>
      </c>
      <c r="E16" s="2" t="s">
        <v>154</v>
      </c>
      <c r="F16" s="2">
        <v>9.9684000000000008</v>
      </c>
      <c r="G16" s="2">
        <v>4.0716000000000001</v>
      </c>
      <c r="H16" s="2">
        <v>7.02</v>
      </c>
    </row>
    <row r="17" spans="1:8" x14ac:dyDescent="0.25">
      <c r="A17" s="2" t="s">
        <v>163</v>
      </c>
      <c r="B17" s="2">
        <v>1500</v>
      </c>
      <c r="C17" s="2" t="s">
        <v>155</v>
      </c>
      <c r="D17" s="2" t="s">
        <v>3</v>
      </c>
      <c r="E17" s="2" t="s">
        <v>154</v>
      </c>
      <c r="F17" s="2">
        <v>13.7822</v>
      </c>
      <c r="G17" s="2">
        <v>6.3377999999999997</v>
      </c>
      <c r="H17" s="2">
        <v>10.06</v>
      </c>
    </row>
    <row r="18" spans="1:8" x14ac:dyDescent="0.25">
      <c r="A18" s="2" t="s">
        <v>164</v>
      </c>
      <c r="B18" s="2">
        <v>3200</v>
      </c>
      <c r="C18" s="2" t="s">
        <v>155</v>
      </c>
      <c r="D18" s="2" t="s">
        <v>4</v>
      </c>
      <c r="E18" s="2" t="s">
        <v>154</v>
      </c>
      <c r="F18" s="2">
        <v>17.125800000000002</v>
      </c>
      <c r="G18" s="2">
        <v>6.3342000000000001</v>
      </c>
      <c r="H18" s="2">
        <v>11.73</v>
      </c>
    </row>
    <row r="19" spans="1:8" x14ac:dyDescent="0.25">
      <c r="A19" s="2" t="s">
        <v>165</v>
      </c>
      <c r="B19" s="2">
        <v>4000</v>
      </c>
      <c r="C19" s="2" t="s">
        <v>155</v>
      </c>
      <c r="D19" s="2" t="s">
        <v>6</v>
      </c>
      <c r="E19" s="2" t="s">
        <v>154</v>
      </c>
      <c r="F19" s="2">
        <v>14.601699999999999</v>
      </c>
      <c r="G19" s="2">
        <v>4.7382999999999997</v>
      </c>
      <c r="H19" s="2">
        <v>9.67</v>
      </c>
    </row>
    <row r="20" spans="1:8" x14ac:dyDescent="0.25">
      <c r="A20" s="2" t="s">
        <v>91</v>
      </c>
      <c r="B20" s="2">
        <v>2600</v>
      </c>
      <c r="C20" s="2" t="s">
        <v>154</v>
      </c>
      <c r="D20" s="2" t="s">
        <v>3</v>
      </c>
      <c r="E20" s="2" t="s">
        <v>155</v>
      </c>
      <c r="F20" s="2">
        <v>14.242599999999999</v>
      </c>
      <c r="G20" s="2">
        <v>5.8174000000000001</v>
      </c>
      <c r="H20" s="2">
        <v>10.029999999999999</v>
      </c>
    </row>
    <row r="21" spans="1:8" x14ac:dyDescent="0.25">
      <c r="A21" s="2" t="s">
        <v>63</v>
      </c>
      <c r="B21" s="2">
        <v>11000</v>
      </c>
      <c r="C21" s="2" t="s">
        <v>154</v>
      </c>
      <c r="D21" s="2" t="s">
        <v>5</v>
      </c>
      <c r="E21" s="2" t="s">
        <v>155</v>
      </c>
      <c r="F21" s="2">
        <v>60.3386</v>
      </c>
      <c r="G21" s="2">
        <v>31.781400000000001</v>
      </c>
      <c r="H21" s="2">
        <v>46.06</v>
      </c>
    </row>
    <row r="22" spans="1:8" x14ac:dyDescent="0.25">
      <c r="A22" s="2" t="s">
        <v>166</v>
      </c>
      <c r="B22" s="2">
        <v>10000</v>
      </c>
      <c r="C22" s="2" t="s">
        <v>155</v>
      </c>
      <c r="D22" s="2" t="s">
        <v>5</v>
      </c>
      <c r="E22" s="2" t="s">
        <v>154</v>
      </c>
      <c r="F22" s="2">
        <v>62.7254</v>
      </c>
      <c r="G22" s="2">
        <v>30.894600000000001</v>
      </c>
      <c r="H22" s="2">
        <v>46.81</v>
      </c>
    </row>
    <row r="23" spans="1:8" x14ac:dyDescent="0.25">
      <c r="A23" s="2" t="s">
        <v>95</v>
      </c>
      <c r="B23" s="2">
        <v>3100</v>
      </c>
      <c r="C23" s="2" t="s">
        <v>43</v>
      </c>
      <c r="D23" s="2" t="s">
        <v>7</v>
      </c>
      <c r="E23" s="2" t="s">
        <v>114</v>
      </c>
      <c r="F23" s="2">
        <v>16.5594</v>
      </c>
      <c r="G23" s="2">
        <v>6.6006</v>
      </c>
      <c r="H23" s="2">
        <v>11.58</v>
      </c>
    </row>
    <row r="24" spans="1:8" x14ac:dyDescent="0.25">
      <c r="A24" s="2" t="s">
        <v>116</v>
      </c>
      <c r="B24" s="2">
        <v>9200</v>
      </c>
      <c r="C24" s="2" t="s">
        <v>114</v>
      </c>
      <c r="D24" s="2" t="s">
        <v>3</v>
      </c>
      <c r="E24" s="2" t="s">
        <v>43</v>
      </c>
      <c r="F24" s="2">
        <v>56.233800000000002</v>
      </c>
      <c r="G24" s="2">
        <v>33.026200000000003</v>
      </c>
      <c r="H24" s="2">
        <v>44.63</v>
      </c>
    </row>
    <row r="25" spans="1:8" x14ac:dyDescent="0.25">
      <c r="A25" s="2" t="s">
        <v>167</v>
      </c>
      <c r="B25" s="2">
        <v>3300</v>
      </c>
      <c r="C25" s="2" t="s">
        <v>43</v>
      </c>
      <c r="D25" s="2" t="s">
        <v>7</v>
      </c>
      <c r="E25" s="2" t="s">
        <v>114</v>
      </c>
      <c r="F25" s="2">
        <v>20.741099999999999</v>
      </c>
      <c r="G25" s="2">
        <v>8.6789000000000005</v>
      </c>
      <c r="H25" s="2">
        <v>14.71</v>
      </c>
    </row>
    <row r="26" spans="1:8" x14ac:dyDescent="0.25">
      <c r="A26" s="2" t="s">
        <v>122</v>
      </c>
      <c r="B26" s="2">
        <v>6300</v>
      </c>
      <c r="C26" s="2" t="s">
        <v>114</v>
      </c>
      <c r="D26" s="2" t="s">
        <v>5</v>
      </c>
      <c r="E26" s="2" t="s">
        <v>43</v>
      </c>
      <c r="F26" s="2">
        <v>37.673999999999999</v>
      </c>
      <c r="G26" s="2">
        <v>20.286000000000001</v>
      </c>
      <c r="H26" s="2">
        <v>28.98</v>
      </c>
    </row>
    <row r="27" spans="1:8" x14ac:dyDescent="0.25">
      <c r="A27" s="2" t="s">
        <v>142</v>
      </c>
      <c r="B27" s="2">
        <v>2100</v>
      </c>
      <c r="C27" s="2" t="s">
        <v>114</v>
      </c>
      <c r="D27" s="2" t="s">
        <v>7</v>
      </c>
      <c r="E27" s="2" t="s">
        <v>43</v>
      </c>
      <c r="F27" s="2">
        <v>7.1288</v>
      </c>
      <c r="G27" s="2">
        <v>2.2511999999999999</v>
      </c>
      <c r="H27" s="2">
        <v>4.6900000000000004</v>
      </c>
    </row>
    <row r="28" spans="1:8" x14ac:dyDescent="0.25">
      <c r="A28" s="2" t="s">
        <v>168</v>
      </c>
      <c r="B28" s="2">
        <v>2500</v>
      </c>
      <c r="C28" s="2" t="s">
        <v>43</v>
      </c>
      <c r="D28" s="2" t="s">
        <v>3</v>
      </c>
      <c r="E28" s="2" t="s">
        <v>114</v>
      </c>
      <c r="F28" s="2">
        <v>14.956799999999999</v>
      </c>
      <c r="G28" s="2">
        <v>3.2831999999999999</v>
      </c>
      <c r="H28" s="2">
        <v>9.1199999999999992</v>
      </c>
    </row>
    <row r="29" spans="1:8" x14ac:dyDescent="0.25">
      <c r="A29" s="2" t="s">
        <v>133</v>
      </c>
      <c r="B29" s="2">
        <v>2500</v>
      </c>
      <c r="C29" s="2" t="s">
        <v>114</v>
      </c>
      <c r="D29" s="2" t="s">
        <v>4</v>
      </c>
      <c r="E29" s="2" t="s">
        <v>43</v>
      </c>
      <c r="F29" s="2">
        <v>9.2479999999999993</v>
      </c>
      <c r="G29" s="2">
        <v>4.3520000000000003</v>
      </c>
      <c r="H29" s="2">
        <v>6.8</v>
      </c>
    </row>
    <row r="30" spans="1:8" x14ac:dyDescent="0.25">
      <c r="A30" s="2" t="s">
        <v>125</v>
      </c>
      <c r="B30" s="2">
        <v>6500</v>
      </c>
      <c r="C30" s="2" t="s">
        <v>114</v>
      </c>
      <c r="D30" s="2" t="s">
        <v>7</v>
      </c>
      <c r="E30" s="2" t="s">
        <v>43</v>
      </c>
      <c r="F30" s="2">
        <v>38.156799999999997</v>
      </c>
      <c r="G30" s="2">
        <v>21.463200000000001</v>
      </c>
      <c r="H30" s="2">
        <v>29.81</v>
      </c>
    </row>
    <row r="31" spans="1:8" x14ac:dyDescent="0.25">
      <c r="A31" s="2" t="s">
        <v>169</v>
      </c>
      <c r="B31" s="2">
        <v>3500</v>
      </c>
      <c r="C31" s="2" t="s">
        <v>43</v>
      </c>
      <c r="D31" s="2" t="s">
        <v>4</v>
      </c>
      <c r="E31" s="2" t="s">
        <v>114</v>
      </c>
      <c r="F31" s="2">
        <v>15.428000000000001</v>
      </c>
      <c r="G31" s="2">
        <v>4.8719999999999999</v>
      </c>
      <c r="H31" s="2">
        <v>10.15</v>
      </c>
    </row>
    <row r="32" spans="1:8" x14ac:dyDescent="0.25">
      <c r="A32" s="2" t="s">
        <v>139</v>
      </c>
      <c r="B32" s="2">
        <v>2100</v>
      </c>
      <c r="C32" s="2" t="s">
        <v>114</v>
      </c>
      <c r="D32" s="2" t="s">
        <v>5</v>
      </c>
      <c r="E32" s="2" t="s">
        <v>43</v>
      </c>
      <c r="F32" s="2">
        <v>17.265599999999999</v>
      </c>
      <c r="G32" s="2">
        <v>8.8943999999999992</v>
      </c>
      <c r="H32" s="2">
        <v>13.08</v>
      </c>
    </row>
    <row r="33" spans="1:8" x14ac:dyDescent="0.25">
      <c r="A33" s="2" t="s">
        <v>130</v>
      </c>
      <c r="B33" s="2">
        <v>4800</v>
      </c>
      <c r="C33" s="2" t="s">
        <v>114</v>
      </c>
      <c r="D33" s="2" t="s">
        <v>6</v>
      </c>
      <c r="E33" s="2" t="s">
        <v>43</v>
      </c>
      <c r="F33" s="2">
        <v>27.86</v>
      </c>
      <c r="G33" s="2">
        <v>11.94</v>
      </c>
      <c r="H33" s="2">
        <v>19.899999999999999</v>
      </c>
    </row>
    <row r="34" spans="1:8" x14ac:dyDescent="0.25">
      <c r="A34" s="2" t="s">
        <v>135</v>
      </c>
      <c r="B34" s="2">
        <v>2300</v>
      </c>
      <c r="C34" s="2" t="s">
        <v>114</v>
      </c>
      <c r="D34" s="2" t="s">
        <v>3</v>
      </c>
      <c r="E34" s="2" t="s">
        <v>43</v>
      </c>
      <c r="F34" s="2">
        <v>8.8857999999999997</v>
      </c>
      <c r="G34" s="2">
        <v>2.6541999999999999</v>
      </c>
      <c r="H34" s="2">
        <v>5.77</v>
      </c>
    </row>
    <row r="35" spans="1:8" x14ac:dyDescent="0.25">
      <c r="A35" s="2" t="s">
        <v>170</v>
      </c>
      <c r="B35" s="2">
        <v>5100</v>
      </c>
      <c r="C35" s="2" t="s">
        <v>43</v>
      </c>
      <c r="D35" s="2" t="s">
        <v>6</v>
      </c>
      <c r="E35" s="2" t="s">
        <v>114</v>
      </c>
      <c r="F35" s="2">
        <v>36.575000000000003</v>
      </c>
      <c r="G35" s="2">
        <v>18.425000000000001</v>
      </c>
      <c r="H35" s="2">
        <v>27.5</v>
      </c>
    </row>
    <row r="36" spans="1:8" x14ac:dyDescent="0.25">
      <c r="A36" s="2" t="s">
        <v>171</v>
      </c>
      <c r="B36" s="2">
        <v>10000</v>
      </c>
      <c r="C36" s="2" t="s">
        <v>155</v>
      </c>
      <c r="D36" s="2" t="s">
        <v>3</v>
      </c>
      <c r="E36" s="2" t="s">
        <v>154</v>
      </c>
      <c r="F36" s="2">
        <v>63.756</v>
      </c>
      <c r="G36" s="2">
        <v>28.643999999999998</v>
      </c>
      <c r="H36" s="2">
        <v>46.2</v>
      </c>
    </row>
    <row r="37" spans="1:8" x14ac:dyDescent="0.25">
      <c r="A37" s="2" t="s">
        <v>127</v>
      </c>
      <c r="B37" s="2">
        <v>5100</v>
      </c>
      <c r="C37" s="2" t="s">
        <v>114</v>
      </c>
      <c r="D37" s="2" t="s">
        <v>7</v>
      </c>
      <c r="E37" s="2" t="s">
        <v>43</v>
      </c>
      <c r="F37" s="2">
        <v>30.783999999999999</v>
      </c>
      <c r="G37" s="2">
        <v>16.576000000000001</v>
      </c>
      <c r="H37" s="2">
        <v>23.68</v>
      </c>
    </row>
    <row r="38" spans="1:8" x14ac:dyDescent="0.25">
      <c r="A38" s="2" t="s">
        <v>172</v>
      </c>
      <c r="B38" s="2">
        <v>12500</v>
      </c>
      <c r="C38" s="2" t="s">
        <v>43</v>
      </c>
      <c r="D38" s="2" t="s">
        <v>5</v>
      </c>
      <c r="E38" s="2" t="s">
        <v>114</v>
      </c>
      <c r="F38" s="2">
        <v>69.837500000000006</v>
      </c>
      <c r="G38" s="2">
        <v>41.902500000000003</v>
      </c>
      <c r="H38" s="2">
        <v>55.87</v>
      </c>
    </row>
    <row r="39" spans="1:8" x14ac:dyDescent="0.25">
      <c r="A39" s="2" t="s">
        <v>173</v>
      </c>
      <c r="B39" s="2">
        <v>7500</v>
      </c>
      <c r="C39" s="2" t="s">
        <v>43</v>
      </c>
      <c r="D39" s="2" t="s">
        <v>4</v>
      </c>
      <c r="E39" s="2" t="s">
        <v>114</v>
      </c>
      <c r="F39" s="2">
        <v>45.813600000000001</v>
      </c>
      <c r="G39" s="2">
        <v>26.906400000000001</v>
      </c>
      <c r="H39" s="2">
        <v>36.36</v>
      </c>
    </row>
    <row r="40" spans="1:8" x14ac:dyDescent="0.25">
      <c r="A40" s="2" t="s">
        <v>174</v>
      </c>
      <c r="B40" s="2">
        <v>3500</v>
      </c>
      <c r="C40" s="2" t="s">
        <v>43</v>
      </c>
      <c r="D40" s="2" t="s">
        <v>7</v>
      </c>
      <c r="E40" s="2" t="s">
        <v>114</v>
      </c>
      <c r="F40" s="2">
        <v>20.9251</v>
      </c>
      <c r="G40" s="2">
        <v>4.1349</v>
      </c>
      <c r="H40" s="2">
        <v>12.53</v>
      </c>
    </row>
    <row r="41" spans="1:8" x14ac:dyDescent="0.25">
      <c r="A41" s="2" t="s">
        <v>175</v>
      </c>
      <c r="B41" s="2">
        <v>8800</v>
      </c>
      <c r="C41" s="2" t="s">
        <v>43</v>
      </c>
      <c r="D41" s="2" t="s">
        <v>3</v>
      </c>
      <c r="E41" s="2" t="s">
        <v>114</v>
      </c>
      <c r="F41" s="2">
        <v>52.539499999999997</v>
      </c>
      <c r="G41" s="2">
        <v>24.160499999999999</v>
      </c>
      <c r="H41" s="2">
        <v>38.35</v>
      </c>
    </row>
    <row r="42" spans="1:8" x14ac:dyDescent="0.25">
      <c r="A42" s="2" t="s">
        <v>118</v>
      </c>
      <c r="B42" s="2">
        <v>8000</v>
      </c>
      <c r="C42" s="2" t="s">
        <v>114</v>
      </c>
      <c r="D42" s="2" t="s">
        <v>6</v>
      </c>
      <c r="E42" s="2" t="s">
        <v>43</v>
      </c>
      <c r="F42" s="2">
        <v>45.750599999999999</v>
      </c>
      <c r="G42" s="2">
        <v>26.869399999999999</v>
      </c>
      <c r="H42" s="2">
        <v>36.31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DraftKings Basketball  Solver</vt:lpstr>
      <vt:lpstr>Sheet1</vt:lpstr>
      <vt:lpstr>RawData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dcterms:created xsi:type="dcterms:W3CDTF">2017-02-02T03:49:20Z</dcterms:created>
  <dcterms:modified xsi:type="dcterms:W3CDTF">2017-05-19T19:36:10Z</dcterms:modified>
</cp:coreProperties>
</file>