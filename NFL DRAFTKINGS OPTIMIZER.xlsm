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1"/>
  </bookViews>
  <sheets>
    <sheet name="Sheet1" sheetId="4" r:id="rId1"/>
    <sheet name="DraftKings Basketball  Solver" sheetId="2" r:id="rId2"/>
    <sheet name="RawData" sheetId="5" r:id="rId3"/>
    <sheet name="Sheet2" sheetId="8" r:id="rId4"/>
  </sheets>
  <definedNames>
    <definedName name="solver_adj" localSheetId="1" hidden="1">'DraftKings Basketball  Solver'!$C$2:$C$200</definedName>
    <definedName name="solver_cvg" localSheetId="1" hidden="1">0.0001</definedName>
    <definedName name="solver_drv" localSheetId="1" hidden="1">2</definedName>
    <definedName name="solver_eng" localSheetId="1" hidden="1">2</definedName>
    <definedName name="solver_eng" localSheetId="0" hidden="1">1</definedName>
    <definedName name="solver_est" localSheetId="1" hidden="1">1</definedName>
    <definedName name="solver_itr" localSheetId="1" hidden="1">2147483647</definedName>
    <definedName name="solver_lhs0" localSheetId="1" hidden="1">'DraftKings Basketball  Solver'!$P$4</definedName>
    <definedName name="solver_lhs1" localSheetId="1" hidden="1">'DraftKings Basketball  Solver'!$C$2:$C$150</definedName>
    <definedName name="solver_lhs10" localSheetId="1" hidden="1">'DraftKings Basketball  Solver'!$P$5</definedName>
    <definedName name="solver_lhs11" localSheetId="1" hidden="1">'DraftKings Basketball  Solver'!$P$5</definedName>
    <definedName name="solver_lhs12" localSheetId="1" hidden="1">'DraftKings Basketball  Solver'!$P$6</definedName>
    <definedName name="solver_lhs13" localSheetId="1" hidden="1">'DraftKings Basketball  Solver'!$P$7</definedName>
    <definedName name="solver_lhs14" localSheetId="1" hidden="1">'DraftKings Basketball  Solver'!#REF!</definedName>
    <definedName name="solver_lhs15" localSheetId="1" hidden="1">'DraftKings Basketball  Solver'!$P$7</definedName>
    <definedName name="solver_lhs16" localSheetId="1" hidden="1">'DraftKings Basketball  Solver'!$P$5</definedName>
    <definedName name="solver_lhs17" localSheetId="1" hidden="1">'DraftKings Basketball  Solver'!#REF!</definedName>
    <definedName name="solver_lhs2" localSheetId="1" hidden="1">'DraftKings Basketball  Solver'!$O$14</definedName>
    <definedName name="solver_lhs3" localSheetId="1" hidden="1">'DraftKings Basketball  Solver'!$O$6</definedName>
    <definedName name="solver_lhs4" localSheetId="1" hidden="1">'DraftKings Basketball  Solver'!$O$8</definedName>
    <definedName name="solver_lhs5" localSheetId="1" hidden="1">'DraftKings Basketball  Solver'!$P$2</definedName>
    <definedName name="solver_lhs6" localSheetId="1" hidden="1">'DraftKings Basketball  Solver'!$P$3</definedName>
    <definedName name="solver_lhs7" localSheetId="1" hidden="1">'DraftKings Basketball  Solver'!$P$3</definedName>
    <definedName name="solver_lhs8" localSheetId="1" hidden="1">'DraftKings Basketball  Solver'!$P$4</definedName>
    <definedName name="solver_lhs9" localSheetId="1" hidden="1">'DraftKings Basketball  Solver'!$P$4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11</definedName>
    <definedName name="solver_num" localSheetId="0" hidden="1">0</definedName>
    <definedName name="solver_nwt" localSheetId="1" hidden="1">1</definedName>
    <definedName name="solver_opt" localSheetId="1" hidden="1">'DraftKings Basketball  Solver'!$O$11</definedName>
    <definedName name="solver_opt" localSheetId="0" hidden="1">Sheet1!$D$15</definedName>
    <definedName name="solver_pre" localSheetId="1" hidden="1">0.000001</definedName>
    <definedName name="solver_rbv" localSheetId="1" hidden="1">2</definedName>
    <definedName name="solver_rel0" localSheetId="1" hidden="1">1</definedName>
    <definedName name="solver_rel1" localSheetId="1" hidden="1">5</definedName>
    <definedName name="solver_rel10" localSheetId="1" hidden="1">3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2" localSheetId="1" hidden="1">2</definedName>
    <definedName name="solver_rel3" localSheetId="1" hidden="1">2</definedName>
    <definedName name="solver_rel4" localSheetId="1" hidden="1">1</definedName>
    <definedName name="solver_rel5" localSheetId="1" hidden="1">2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0" localSheetId="1" hidden="1">'DraftKings Basketball  Solver'!$O$4</definedName>
    <definedName name="solver_rhs1" localSheetId="1" hidden="1">binary</definedName>
    <definedName name="solver_rhs10" localSheetId="1" hidden="1">'DraftKings Basketball  Solver'!$O$5</definedName>
    <definedName name="solver_rhs11" localSheetId="1" hidden="1">'DraftKings Basketball  Solver'!$Q$5</definedName>
    <definedName name="solver_rhs12" localSheetId="1" hidden="1">'DraftKings Basketball  Solver'!$O$6</definedName>
    <definedName name="solver_rhs13" localSheetId="1" hidden="1">'DraftKings Basketball  Solver'!#REF!</definedName>
    <definedName name="solver_rhs14" localSheetId="1" hidden="1">'DraftKings Basketball  Solver'!#REF!</definedName>
    <definedName name="solver_rhs15" localSheetId="1" hidden="1">'DraftKings Basketball  Solver'!#REF!</definedName>
    <definedName name="solver_rhs16" localSheetId="1" hidden="1">'DraftKings Basketball  Solver'!$O$5</definedName>
    <definedName name="solver_rhs17" localSheetId="1" hidden="1">'DraftKings Basketball  Solver'!#REF!</definedName>
    <definedName name="solver_rhs2" localSheetId="1" hidden="1">'DraftKings Basketball  Solver'!$O$13</definedName>
    <definedName name="solver_rhs3" localSheetId="1" hidden="1">'DraftKings Basketball  Solver'!$P$6</definedName>
    <definedName name="solver_rhs4" localSheetId="1" hidden="1">'DraftKings Basketball  Solver'!$O$9</definedName>
    <definedName name="solver_rhs5" localSheetId="1" hidden="1">'DraftKings Basketball  Solver'!$O$2</definedName>
    <definedName name="solver_rhs6" localSheetId="1" hidden="1">'DraftKings Basketball  Solver'!$O$3</definedName>
    <definedName name="solver_rhs7" localSheetId="1" hidden="1">'DraftKings Basketball  Solver'!$Q$3</definedName>
    <definedName name="solver_rhs8" localSheetId="1" hidden="1">'DraftKings Basketball  Solver'!$O$4</definedName>
    <definedName name="solver_rhs9" localSheetId="1" hidden="1">'DraftKings Basketball  Solver'!$Q$4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71027"/>
</workbook>
</file>

<file path=xl/calcChain.xml><?xml version="1.0" encoding="utf-8"?>
<calcChain xmlns="http://schemas.openxmlformats.org/spreadsheetml/2006/main">
  <c r="H102" i="2" l="1"/>
  <c r="I102" i="2"/>
  <c r="J102" i="2"/>
  <c r="K102" i="2"/>
  <c r="L102" i="2"/>
  <c r="H103" i="2"/>
  <c r="I103" i="2"/>
  <c r="J103" i="2"/>
  <c r="K103" i="2"/>
  <c r="L103" i="2"/>
  <c r="H104" i="2"/>
  <c r="I104" i="2"/>
  <c r="J104" i="2"/>
  <c r="K104" i="2"/>
  <c r="L104" i="2"/>
  <c r="H105" i="2"/>
  <c r="I105" i="2"/>
  <c r="J105" i="2"/>
  <c r="K105" i="2"/>
  <c r="L105" i="2"/>
  <c r="H106" i="2"/>
  <c r="I106" i="2"/>
  <c r="J106" i="2"/>
  <c r="K106" i="2"/>
  <c r="L106" i="2"/>
  <c r="H107" i="2"/>
  <c r="I107" i="2"/>
  <c r="J107" i="2"/>
  <c r="K107" i="2"/>
  <c r="L107" i="2"/>
  <c r="H108" i="2"/>
  <c r="I108" i="2"/>
  <c r="J108" i="2"/>
  <c r="K108" i="2"/>
  <c r="L108" i="2"/>
  <c r="H109" i="2"/>
  <c r="I109" i="2"/>
  <c r="J109" i="2"/>
  <c r="K109" i="2"/>
  <c r="L109" i="2"/>
  <c r="H110" i="2"/>
  <c r="I110" i="2"/>
  <c r="J110" i="2"/>
  <c r="K110" i="2"/>
  <c r="L110" i="2"/>
  <c r="H111" i="2"/>
  <c r="I111" i="2"/>
  <c r="J111" i="2"/>
  <c r="K111" i="2"/>
  <c r="L111" i="2"/>
  <c r="H112" i="2"/>
  <c r="I112" i="2"/>
  <c r="J112" i="2"/>
  <c r="K112" i="2"/>
  <c r="L112" i="2"/>
  <c r="H113" i="2"/>
  <c r="I113" i="2"/>
  <c r="J113" i="2"/>
  <c r="K113" i="2"/>
  <c r="L113" i="2"/>
  <c r="H114" i="2"/>
  <c r="I114" i="2"/>
  <c r="J114" i="2"/>
  <c r="K114" i="2"/>
  <c r="L114" i="2"/>
  <c r="H115" i="2"/>
  <c r="I115" i="2"/>
  <c r="J115" i="2"/>
  <c r="K115" i="2"/>
  <c r="L115" i="2"/>
  <c r="H116" i="2"/>
  <c r="I116" i="2"/>
  <c r="J116" i="2"/>
  <c r="K116" i="2"/>
  <c r="L116" i="2"/>
  <c r="H117" i="2"/>
  <c r="I117" i="2"/>
  <c r="J117" i="2"/>
  <c r="K117" i="2"/>
  <c r="L117" i="2"/>
  <c r="H118" i="2"/>
  <c r="I118" i="2"/>
  <c r="J118" i="2"/>
  <c r="K118" i="2"/>
  <c r="L118" i="2"/>
  <c r="H119" i="2"/>
  <c r="I119" i="2"/>
  <c r="J119" i="2"/>
  <c r="K119" i="2"/>
  <c r="L119" i="2"/>
  <c r="H120" i="2"/>
  <c r="I120" i="2"/>
  <c r="J120" i="2"/>
  <c r="K120" i="2"/>
  <c r="L120" i="2"/>
  <c r="H121" i="2"/>
  <c r="I121" i="2"/>
  <c r="J121" i="2"/>
  <c r="K121" i="2"/>
  <c r="L121" i="2"/>
  <c r="H122" i="2"/>
  <c r="I122" i="2"/>
  <c r="J122" i="2"/>
  <c r="K122" i="2"/>
  <c r="L122" i="2"/>
  <c r="H123" i="2"/>
  <c r="I123" i="2"/>
  <c r="J123" i="2"/>
  <c r="K123" i="2"/>
  <c r="L123" i="2"/>
  <c r="H124" i="2"/>
  <c r="I124" i="2"/>
  <c r="J124" i="2"/>
  <c r="K124" i="2"/>
  <c r="L124" i="2"/>
  <c r="H125" i="2"/>
  <c r="I125" i="2"/>
  <c r="J125" i="2"/>
  <c r="K125" i="2"/>
  <c r="L125" i="2"/>
  <c r="H126" i="2"/>
  <c r="I126" i="2"/>
  <c r="J126" i="2"/>
  <c r="K126" i="2"/>
  <c r="L126" i="2"/>
  <c r="H127" i="2"/>
  <c r="I127" i="2"/>
  <c r="J127" i="2"/>
  <c r="K127" i="2"/>
  <c r="L127" i="2"/>
  <c r="H128" i="2"/>
  <c r="I128" i="2"/>
  <c r="J128" i="2"/>
  <c r="K128" i="2"/>
  <c r="L128" i="2"/>
  <c r="H129" i="2"/>
  <c r="I129" i="2"/>
  <c r="J129" i="2"/>
  <c r="K129" i="2"/>
  <c r="L129" i="2"/>
  <c r="H130" i="2"/>
  <c r="I130" i="2"/>
  <c r="J130" i="2"/>
  <c r="K130" i="2"/>
  <c r="L130" i="2"/>
  <c r="H131" i="2"/>
  <c r="I131" i="2"/>
  <c r="J131" i="2"/>
  <c r="K131" i="2"/>
  <c r="L131" i="2"/>
  <c r="H132" i="2"/>
  <c r="I132" i="2"/>
  <c r="J132" i="2"/>
  <c r="K132" i="2"/>
  <c r="L132" i="2"/>
  <c r="H133" i="2"/>
  <c r="I133" i="2"/>
  <c r="J133" i="2"/>
  <c r="K133" i="2"/>
  <c r="L133" i="2"/>
  <c r="H134" i="2"/>
  <c r="I134" i="2"/>
  <c r="J134" i="2"/>
  <c r="K134" i="2"/>
  <c r="L134" i="2"/>
  <c r="H135" i="2"/>
  <c r="I135" i="2"/>
  <c r="J135" i="2"/>
  <c r="K135" i="2"/>
  <c r="L135" i="2"/>
  <c r="H136" i="2"/>
  <c r="I136" i="2"/>
  <c r="J136" i="2"/>
  <c r="K136" i="2"/>
  <c r="L136" i="2"/>
  <c r="H137" i="2"/>
  <c r="I137" i="2"/>
  <c r="J137" i="2"/>
  <c r="K137" i="2"/>
  <c r="L137" i="2"/>
  <c r="H138" i="2"/>
  <c r="I138" i="2"/>
  <c r="J138" i="2"/>
  <c r="K138" i="2"/>
  <c r="L138" i="2"/>
  <c r="H139" i="2"/>
  <c r="I139" i="2"/>
  <c r="J139" i="2"/>
  <c r="K139" i="2"/>
  <c r="L139" i="2"/>
  <c r="H140" i="2"/>
  <c r="I140" i="2"/>
  <c r="J140" i="2"/>
  <c r="K140" i="2"/>
  <c r="L140" i="2"/>
  <c r="H141" i="2"/>
  <c r="I141" i="2"/>
  <c r="J141" i="2"/>
  <c r="K141" i="2"/>
  <c r="L141" i="2"/>
  <c r="H142" i="2"/>
  <c r="I142" i="2"/>
  <c r="J142" i="2"/>
  <c r="K142" i="2"/>
  <c r="L142" i="2"/>
  <c r="H143" i="2"/>
  <c r="I143" i="2"/>
  <c r="J143" i="2"/>
  <c r="K143" i="2"/>
  <c r="L143" i="2"/>
  <c r="H144" i="2"/>
  <c r="I144" i="2"/>
  <c r="J144" i="2"/>
  <c r="K144" i="2"/>
  <c r="L144" i="2"/>
  <c r="H145" i="2"/>
  <c r="I145" i="2"/>
  <c r="J145" i="2"/>
  <c r="K145" i="2"/>
  <c r="L145" i="2"/>
  <c r="H146" i="2"/>
  <c r="I146" i="2"/>
  <c r="J146" i="2"/>
  <c r="K146" i="2"/>
  <c r="L146" i="2"/>
  <c r="H147" i="2"/>
  <c r="I147" i="2"/>
  <c r="J147" i="2"/>
  <c r="K147" i="2"/>
  <c r="L147" i="2"/>
  <c r="H148" i="2"/>
  <c r="I148" i="2"/>
  <c r="J148" i="2"/>
  <c r="K148" i="2"/>
  <c r="L148" i="2"/>
  <c r="H149" i="2"/>
  <c r="I149" i="2"/>
  <c r="J149" i="2"/>
  <c r="K149" i="2"/>
  <c r="L149" i="2"/>
  <c r="H150" i="2"/>
  <c r="I150" i="2"/>
  <c r="J150" i="2"/>
  <c r="K150" i="2"/>
  <c r="L150" i="2"/>
  <c r="H151" i="2"/>
  <c r="I151" i="2"/>
  <c r="J151" i="2"/>
  <c r="K151" i="2"/>
  <c r="L151" i="2"/>
  <c r="H152" i="2"/>
  <c r="I152" i="2"/>
  <c r="J152" i="2"/>
  <c r="K152" i="2"/>
  <c r="L152" i="2"/>
  <c r="H153" i="2"/>
  <c r="I153" i="2"/>
  <c r="J153" i="2"/>
  <c r="K153" i="2"/>
  <c r="L153" i="2"/>
  <c r="H154" i="2"/>
  <c r="I154" i="2"/>
  <c r="J154" i="2"/>
  <c r="K154" i="2"/>
  <c r="L154" i="2"/>
  <c r="H155" i="2"/>
  <c r="I155" i="2"/>
  <c r="J155" i="2"/>
  <c r="K155" i="2"/>
  <c r="L155" i="2"/>
  <c r="H156" i="2"/>
  <c r="I156" i="2"/>
  <c r="J156" i="2"/>
  <c r="K156" i="2"/>
  <c r="L156" i="2"/>
  <c r="H157" i="2"/>
  <c r="I157" i="2"/>
  <c r="J157" i="2"/>
  <c r="K157" i="2"/>
  <c r="L157" i="2"/>
  <c r="H158" i="2"/>
  <c r="I158" i="2"/>
  <c r="J158" i="2"/>
  <c r="K158" i="2"/>
  <c r="L158" i="2"/>
  <c r="H159" i="2"/>
  <c r="I159" i="2"/>
  <c r="J159" i="2"/>
  <c r="K159" i="2"/>
  <c r="L159" i="2"/>
  <c r="H160" i="2"/>
  <c r="I160" i="2"/>
  <c r="J160" i="2"/>
  <c r="K160" i="2"/>
  <c r="L160" i="2"/>
  <c r="H161" i="2"/>
  <c r="I161" i="2"/>
  <c r="J161" i="2"/>
  <c r="K161" i="2"/>
  <c r="L161" i="2"/>
  <c r="H162" i="2"/>
  <c r="I162" i="2"/>
  <c r="J162" i="2"/>
  <c r="K162" i="2"/>
  <c r="L162" i="2"/>
  <c r="H163" i="2"/>
  <c r="I163" i="2"/>
  <c r="J163" i="2"/>
  <c r="K163" i="2"/>
  <c r="L163" i="2"/>
  <c r="H164" i="2"/>
  <c r="I164" i="2"/>
  <c r="J164" i="2"/>
  <c r="K164" i="2"/>
  <c r="L164" i="2"/>
  <c r="H165" i="2"/>
  <c r="I165" i="2"/>
  <c r="J165" i="2"/>
  <c r="K165" i="2"/>
  <c r="L165" i="2"/>
  <c r="H166" i="2"/>
  <c r="I166" i="2"/>
  <c r="J166" i="2"/>
  <c r="K166" i="2"/>
  <c r="L166" i="2"/>
  <c r="H167" i="2"/>
  <c r="I167" i="2"/>
  <c r="J167" i="2"/>
  <c r="K167" i="2"/>
  <c r="L167" i="2"/>
  <c r="H168" i="2"/>
  <c r="I168" i="2"/>
  <c r="J168" i="2"/>
  <c r="K168" i="2"/>
  <c r="L168" i="2"/>
  <c r="H169" i="2"/>
  <c r="I169" i="2"/>
  <c r="J169" i="2"/>
  <c r="K169" i="2"/>
  <c r="L169" i="2"/>
  <c r="H170" i="2"/>
  <c r="I170" i="2"/>
  <c r="J170" i="2"/>
  <c r="K170" i="2"/>
  <c r="L170" i="2"/>
  <c r="H171" i="2"/>
  <c r="I171" i="2"/>
  <c r="J171" i="2"/>
  <c r="K171" i="2"/>
  <c r="L171" i="2"/>
  <c r="H172" i="2"/>
  <c r="I172" i="2"/>
  <c r="J172" i="2"/>
  <c r="K172" i="2"/>
  <c r="L172" i="2"/>
  <c r="H173" i="2"/>
  <c r="I173" i="2"/>
  <c r="J173" i="2"/>
  <c r="K173" i="2"/>
  <c r="L173" i="2"/>
  <c r="H174" i="2"/>
  <c r="I174" i="2"/>
  <c r="J174" i="2"/>
  <c r="K174" i="2"/>
  <c r="L174" i="2"/>
  <c r="H175" i="2"/>
  <c r="I175" i="2"/>
  <c r="J175" i="2"/>
  <c r="K175" i="2"/>
  <c r="L175" i="2"/>
  <c r="H176" i="2"/>
  <c r="I176" i="2"/>
  <c r="J176" i="2"/>
  <c r="K176" i="2"/>
  <c r="L176" i="2"/>
  <c r="H177" i="2"/>
  <c r="I177" i="2"/>
  <c r="J177" i="2"/>
  <c r="K177" i="2"/>
  <c r="L177" i="2"/>
  <c r="H178" i="2"/>
  <c r="I178" i="2"/>
  <c r="J178" i="2"/>
  <c r="K178" i="2"/>
  <c r="L178" i="2"/>
  <c r="H179" i="2"/>
  <c r="I179" i="2"/>
  <c r="J179" i="2"/>
  <c r="K179" i="2"/>
  <c r="L179" i="2"/>
  <c r="H180" i="2"/>
  <c r="I180" i="2"/>
  <c r="J180" i="2"/>
  <c r="K180" i="2"/>
  <c r="L180" i="2"/>
  <c r="H181" i="2"/>
  <c r="I181" i="2"/>
  <c r="J181" i="2"/>
  <c r="K181" i="2"/>
  <c r="L181" i="2"/>
  <c r="H182" i="2"/>
  <c r="I182" i="2"/>
  <c r="J182" i="2"/>
  <c r="K182" i="2"/>
  <c r="L182" i="2"/>
  <c r="H183" i="2"/>
  <c r="I183" i="2"/>
  <c r="J183" i="2"/>
  <c r="K183" i="2"/>
  <c r="L183" i="2"/>
  <c r="H184" i="2"/>
  <c r="I184" i="2"/>
  <c r="J184" i="2"/>
  <c r="K184" i="2"/>
  <c r="L184" i="2"/>
  <c r="H185" i="2"/>
  <c r="I185" i="2"/>
  <c r="J185" i="2"/>
  <c r="K185" i="2"/>
  <c r="L185" i="2"/>
  <c r="H186" i="2"/>
  <c r="I186" i="2"/>
  <c r="J186" i="2"/>
  <c r="K186" i="2"/>
  <c r="L186" i="2"/>
  <c r="H187" i="2"/>
  <c r="I187" i="2"/>
  <c r="J187" i="2"/>
  <c r="K187" i="2"/>
  <c r="L187" i="2"/>
  <c r="H188" i="2"/>
  <c r="I188" i="2"/>
  <c r="J188" i="2"/>
  <c r="K188" i="2"/>
  <c r="L188" i="2"/>
  <c r="H189" i="2"/>
  <c r="I189" i="2"/>
  <c r="J189" i="2"/>
  <c r="K189" i="2"/>
  <c r="L189" i="2"/>
  <c r="H190" i="2"/>
  <c r="I190" i="2"/>
  <c r="J190" i="2"/>
  <c r="K190" i="2"/>
  <c r="L190" i="2"/>
  <c r="H191" i="2"/>
  <c r="I191" i="2"/>
  <c r="J191" i="2"/>
  <c r="K191" i="2"/>
  <c r="L191" i="2"/>
  <c r="H192" i="2"/>
  <c r="I192" i="2"/>
  <c r="J192" i="2"/>
  <c r="K192" i="2"/>
  <c r="L192" i="2"/>
  <c r="H193" i="2"/>
  <c r="I193" i="2"/>
  <c r="J193" i="2"/>
  <c r="K193" i="2"/>
  <c r="L193" i="2"/>
  <c r="H194" i="2"/>
  <c r="I194" i="2"/>
  <c r="J194" i="2"/>
  <c r="K194" i="2"/>
  <c r="L194" i="2"/>
  <c r="H195" i="2"/>
  <c r="I195" i="2"/>
  <c r="J195" i="2"/>
  <c r="K195" i="2"/>
  <c r="L195" i="2"/>
  <c r="H196" i="2"/>
  <c r="I196" i="2"/>
  <c r="J196" i="2"/>
  <c r="K196" i="2"/>
  <c r="L196" i="2"/>
  <c r="H197" i="2"/>
  <c r="I197" i="2"/>
  <c r="J197" i="2"/>
  <c r="K197" i="2"/>
  <c r="L197" i="2"/>
  <c r="H198" i="2"/>
  <c r="I198" i="2"/>
  <c r="J198" i="2"/>
  <c r="K198" i="2"/>
  <c r="L198" i="2"/>
  <c r="H199" i="2"/>
  <c r="I199" i="2"/>
  <c r="J199" i="2"/>
  <c r="K199" i="2"/>
  <c r="L199" i="2"/>
  <c r="H200" i="2"/>
  <c r="I200" i="2"/>
  <c r="J200" i="2"/>
  <c r="K200" i="2"/>
  <c r="L200" i="2"/>
  <c r="A102" i="2"/>
  <c r="B102" i="2" s="1"/>
  <c r="A103" i="2"/>
  <c r="B103" i="2"/>
  <c r="A104" i="2"/>
  <c r="B104" i="2" s="1"/>
  <c r="A105" i="2"/>
  <c r="B105" i="2"/>
  <c r="A106" i="2"/>
  <c r="B106" i="2" s="1"/>
  <c r="A107" i="2"/>
  <c r="B107" i="2"/>
  <c r="A108" i="2"/>
  <c r="B108" i="2" s="1"/>
  <c r="A109" i="2"/>
  <c r="B109" i="2"/>
  <c r="A110" i="2"/>
  <c r="B110" i="2" s="1"/>
  <c r="A111" i="2"/>
  <c r="B111" i="2"/>
  <c r="A112" i="2"/>
  <c r="B112" i="2" s="1"/>
  <c r="A113" i="2"/>
  <c r="B113" i="2"/>
  <c r="A114" i="2"/>
  <c r="B114" i="2" s="1"/>
  <c r="A115" i="2"/>
  <c r="B115" i="2"/>
  <c r="A116" i="2"/>
  <c r="B116" i="2" s="1"/>
  <c r="A117" i="2"/>
  <c r="B117" i="2"/>
  <c r="A118" i="2"/>
  <c r="B118" i="2" s="1"/>
  <c r="A119" i="2"/>
  <c r="B119" i="2"/>
  <c r="A120" i="2"/>
  <c r="B120" i="2" s="1"/>
  <c r="A121" i="2"/>
  <c r="B121" i="2"/>
  <c r="A122" i="2"/>
  <c r="B122" i="2" s="1"/>
  <c r="A123" i="2"/>
  <c r="B123" i="2"/>
  <c r="A124" i="2"/>
  <c r="B124" i="2" s="1"/>
  <c r="A125" i="2"/>
  <c r="B125" i="2"/>
  <c r="A126" i="2"/>
  <c r="B126" i="2" s="1"/>
  <c r="A127" i="2"/>
  <c r="B127" i="2"/>
  <c r="A128" i="2"/>
  <c r="B128" i="2" s="1"/>
  <c r="A129" i="2"/>
  <c r="B129" i="2"/>
  <c r="A130" i="2"/>
  <c r="B130" i="2" s="1"/>
  <c r="A131" i="2"/>
  <c r="B131" i="2"/>
  <c r="A132" i="2"/>
  <c r="B132" i="2" s="1"/>
  <c r="A133" i="2"/>
  <c r="B133" i="2"/>
  <c r="A134" i="2"/>
  <c r="B134" i="2" s="1"/>
  <c r="A135" i="2"/>
  <c r="B135" i="2"/>
  <c r="A136" i="2"/>
  <c r="B136" i="2" s="1"/>
  <c r="A137" i="2"/>
  <c r="B137" i="2"/>
  <c r="A138" i="2"/>
  <c r="B138" i="2" s="1"/>
  <c r="A139" i="2"/>
  <c r="B139" i="2"/>
  <c r="A140" i="2"/>
  <c r="B140" i="2" s="1"/>
  <c r="A141" i="2"/>
  <c r="B141" i="2"/>
  <c r="A142" i="2"/>
  <c r="B142" i="2" s="1"/>
  <c r="A143" i="2"/>
  <c r="B143" i="2"/>
  <c r="A144" i="2"/>
  <c r="B144" i="2" s="1"/>
  <c r="A145" i="2"/>
  <c r="B145" i="2"/>
  <c r="A146" i="2"/>
  <c r="B146" i="2" s="1"/>
  <c r="A147" i="2"/>
  <c r="B147" i="2"/>
  <c r="A148" i="2"/>
  <c r="B148" i="2" s="1"/>
  <c r="A149" i="2"/>
  <c r="B149" i="2"/>
  <c r="A150" i="2"/>
  <c r="B150" i="2" s="1"/>
  <c r="A151" i="2"/>
  <c r="B151" i="2"/>
  <c r="A152" i="2"/>
  <c r="B152" i="2" s="1"/>
  <c r="A153" i="2"/>
  <c r="B153" i="2"/>
  <c r="A154" i="2"/>
  <c r="B154" i="2" s="1"/>
  <c r="A155" i="2"/>
  <c r="B155" i="2"/>
  <c r="A156" i="2"/>
  <c r="B156" i="2" s="1"/>
  <c r="A157" i="2"/>
  <c r="B157" i="2"/>
  <c r="A158" i="2"/>
  <c r="B158" i="2" s="1"/>
  <c r="A159" i="2"/>
  <c r="B159" i="2"/>
  <c r="A160" i="2"/>
  <c r="B160" i="2" s="1"/>
  <c r="A161" i="2"/>
  <c r="B161" i="2"/>
  <c r="A162" i="2"/>
  <c r="B162" i="2" s="1"/>
  <c r="A163" i="2"/>
  <c r="B163" i="2"/>
  <c r="A164" i="2"/>
  <c r="B164" i="2" s="1"/>
  <c r="A165" i="2"/>
  <c r="B165" i="2"/>
  <c r="A166" i="2"/>
  <c r="B166" i="2" s="1"/>
  <c r="A167" i="2"/>
  <c r="B167" i="2"/>
  <c r="A168" i="2"/>
  <c r="B168" i="2" s="1"/>
  <c r="A169" i="2"/>
  <c r="B169" i="2"/>
  <c r="A170" i="2"/>
  <c r="B170" i="2" s="1"/>
  <c r="A171" i="2"/>
  <c r="B171" i="2"/>
  <c r="A172" i="2"/>
  <c r="B172" i="2"/>
  <c r="A173" i="2"/>
  <c r="B173" i="2"/>
  <c r="A174" i="2"/>
  <c r="B174" i="2"/>
  <c r="A175" i="2"/>
  <c r="B175" i="2"/>
  <c r="A176" i="2"/>
  <c r="B176" i="2"/>
  <c r="A177" i="2"/>
  <c r="B177" i="2"/>
  <c r="A178" i="2"/>
  <c r="B178" i="2"/>
  <c r="A179" i="2"/>
  <c r="B179" i="2"/>
  <c r="A180" i="2"/>
  <c r="B180" i="2"/>
  <c r="A181" i="2"/>
  <c r="B181" i="2"/>
  <c r="A182" i="2"/>
  <c r="B182" i="2"/>
  <c r="A183" i="2"/>
  <c r="B183" i="2"/>
  <c r="A184" i="2"/>
  <c r="B184" i="2"/>
  <c r="A185" i="2"/>
  <c r="B185" i="2"/>
  <c r="A186" i="2"/>
  <c r="B186" i="2"/>
  <c r="A187" i="2"/>
  <c r="B187" i="2"/>
  <c r="A188" i="2"/>
  <c r="B188" i="2"/>
  <c r="A189" i="2"/>
  <c r="B189" i="2"/>
  <c r="A190" i="2"/>
  <c r="B190" i="2"/>
  <c r="A191" i="2"/>
  <c r="B191" i="2"/>
  <c r="A192" i="2"/>
  <c r="B192" i="2"/>
  <c r="A193" i="2"/>
  <c r="B193" i="2"/>
  <c r="A194" i="2"/>
  <c r="B194" i="2"/>
  <c r="A195" i="2"/>
  <c r="B195" i="2"/>
  <c r="A196" i="2"/>
  <c r="B196" i="2"/>
  <c r="A197" i="2"/>
  <c r="B197" i="2"/>
  <c r="A198" i="2"/>
  <c r="B198" i="2"/>
  <c r="A199" i="2"/>
  <c r="B199" i="2"/>
  <c r="A200" i="2"/>
  <c r="B200" i="2"/>
  <c r="O9" i="2"/>
  <c r="A3" i="2"/>
  <c r="B3" i="2"/>
  <c r="A4" i="2"/>
  <c r="B4" i="2"/>
  <c r="A5" i="2"/>
  <c r="B5" i="2"/>
  <c r="A6" i="2"/>
  <c r="B6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A78" i="2"/>
  <c r="B78" i="2"/>
  <c r="A79" i="2"/>
  <c r="B79" i="2"/>
  <c r="A80" i="2"/>
  <c r="B80" i="2"/>
  <c r="A81" i="2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A91" i="2"/>
  <c r="B91" i="2"/>
  <c r="A92" i="2"/>
  <c r="B92" i="2"/>
  <c r="A93" i="2"/>
  <c r="B93" i="2"/>
  <c r="A94" i="2"/>
  <c r="B94" i="2"/>
  <c r="A95" i="2"/>
  <c r="B95" i="2"/>
  <c r="A96" i="2"/>
  <c r="B96" i="2"/>
  <c r="A97" i="2"/>
  <c r="B97" i="2"/>
  <c r="A98" i="2"/>
  <c r="B98" i="2"/>
  <c r="A99" i="2"/>
  <c r="B99" i="2"/>
  <c r="A100" i="2"/>
  <c r="B100" i="2"/>
  <c r="A101" i="2"/>
  <c r="B101" i="2"/>
  <c r="D3" i="2"/>
  <c r="E3" i="2"/>
  <c r="F3" i="2"/>
  <c r="G3" i="2"/>
  <c r="D4" i="2"/>
  <c r="E4" i="2"/>
  <c r="F4" i="2"/>
  <c r="G4" i="2"/>
  <c r="D5" i="2"/>
  <c r="E5" i="2"/>
  <c r="F5" i="2"/>
  <c r="G5" i="2"/>
  <c r="D6" i="2"/>
  <c r="E6" i="2"/>
  <c r="F6" i="2"/>
  <c r="G6" i="2"/>
  <c r="D7" i="2"/>
  <c r="E7" i="2"/>
  <c r="F7" i="2"/>
  <c r="G7" i="2"/>
  <c r="D8" i="2"/>
  <c r="E8" i="2"/>
  <c r="F8" i="2"/>
  <c r="G8" i="2"/>
  <c r="D9" i="2"/>
  <c r="E9" i="2"/>
  <c r="F9" i="2"/>
  <c r="G9" i="2"/>
  <c r="D10" i="2"/>
  <c r="E10" i="2"/>
  <c r="F10" i="2"/>
  <c r="G10" i="2"/>
  <c r="D11" i="2"/>
  <c r="E11" i="2"/>
  <c r="F11" i="2"/>
  <c r="G11" i="2"/>
  <c r="D12" i="2"/>
  <c r="E12" i="2"/>
  <c r="F12" i="2"/>
  <c r="G12" i="2"/>
  <c r="D13" i="2"/>
  <c r="E13" i="2"/>
  <c r="F13" i="2"/>
  <c r="G13" i="2"/>
  <c r="D14" i="2"/>
  <c r="E14" i="2"/>
  <c r="F14" i="2"/>
  <c r="G14" i="2"/>
  <c r="D15" i="2"/>
  <c r="E15" i="2"/>
  <c r="F15" i="2"/>
  <c r="G15" i="2"/>
  <c r="D16" i="2"/>
  <c r="E16" i="2"/>
  <c r="F16" i="2"/>
  <c r="G16" i="2"/>
  <c r="D17" i="2"/>
  <c r="E17" i="2"/>
  <c r="F17" i="2"/>
  <c r="G17" i="2"/>
  <c r="D18" i="2"/>
  <c r="E18" i="2"/>
  <c r="F18" i="2"/>
  <c r="G18" i="2"/>
  <c r="D19" i="2"/>
  <c r="E19" i="2"/>
  <c r="F19" i="2"/>
  <c r="G19" i="2"/>
  <c r="D20" i="2"/>
  <c r="E20" i="2"/>
  <c r="F20" i="2"/>
  <c r="G20" i="2"/>
  <c r="D21" i="2"/>
  <c r="E21" i="2"/>
  <c r="F21" i="2"/>
  <c r="G21" i="2"/>
  <c r="D22" i="2"/>
  <c r="E22" i="2"/>
  <c r="F22" i="2"/>
  <c r="G22" i="2"/>
  <c r="D23" i="2"/>
  <c r="E23" i="2"/>
  <c r="F23" i="2"/>
  <c r="G23" i="2"/>
  <c r="D24" i="2"/>
  <c r="E24" i="2"/>
  <c r="F24" i="2"/>
  <c r="G24" i="2"/>
  <c r="D25" i="2"/>
  <c r="E25" i="2"/>
  <c r="F25" i="2"/>
  <c r="G25" i="2"/>
  <c r="D26" i="2"/>
  <c r="E26" i="2"/>
  <c r="F26" i="2"/>
  <c r="G26" i="2"/>
  <c r="D27" i="2"/>
  <c r="E27" i="2"/>
  <c r="F27" i="2"/>
  <c r="G27" i="2"/>
  <c r="D28" i="2"/>
  <c r="E28" i="2"/>
  <c r="F28" i="2"/>
  <c r="G28" i="2"/>
  <c r="D29" i="2"/>
  <c r="E29" i="2"/>
  <c r="F29" i="2"/>
  <c r="G29" i="2"/>
  <c r="D30" i="2"/>
  <c r="E30" i="2"/>
  <c r="F30" i="2"/>
  <c r="G30" i="2"/>
  <c r="D31" i="2"/>
  <c r="E31" i="2"/>
  <c r="F31" i="2"/>
  <c r="G31" i="2"/>
  <c r="D32" i="2"/>
  <c r="E32" i="2"/>
  <c r="F32" i="2"/>
  <c r="G32" i="2"/>
  <c r="D33" i="2"/>
  <c r="E33" i="2"/>
  <c r="F33" i="2"/>
  <c r="G33" i="2"/>
  <c r="D34" i="2"/>
  <c r="E34" i="2"/>
  <c r="F34" i="2"/>
  <c r="G34" i="2"/>
  <c r="D35" i="2"/>
  <c r="E35" i="2"/>
  <c r="F35" i="2"/>
  <c r="G35" i="2"/>
  <c r="D36" i="2"/>
  <c r="E36" i="2"/>
  <c r="F36" i="2"/>
  <c r="G36" i="2"/>
  <c r="D37" i="2"/>
  <c r="E37" i="2"/>
  <c r="F37" i="2"/>
  <c r="G37" i="2"/>
  <c r="D38" i="2"/>
  <c r="E38" i="2"/>
  <c r="F38" i="2"/>
  <c r="G38" i="2"/>
  <c r="D39" i="2"/>
  <c r="E39" i="2"/>
  <c r="F39" i="2"/>
  <c r="G39" i="2"/>
  <c r="D40" i="2"/>
  <c r="E40" i="2"/>
  <c r="F40" i="2"/>
  <c r="G40" i="2"/>
  <c r="D41" i="2"/>
  <c r="E41" i="2"/>
  <c r="F41" i="2"/>
  <c r="G41" i="2"/>
  <c r="D42" i="2"/>
  <c r="E42" i="2"/>
  <c r="F42" i="2"/>
  <c r="G42" i="2"/>
  <c r="D43" i="2"/>
  <c r="E43" i="2"/>
  <c r="F43" i="2"/>
  <c r="G43" i="2"/>
  <c r="D44" i="2"/>
  <c r="E44" i="2"/>
  <c r="F44" i="2"/>
  <c r="G44" i="2"/>
  <c r="D45" i="2"/>
  <c r="E45" i="2"/>
  <c r="F45" i="2"/>
  <c r="G45" i="2"/>
  <c r="D46" i="2"/>
  <c r="E46" i="2"/>
  <c r="F46" i="2"/>
  <c r="G46" i="2"/>
  <c r="D47" i="2"/>
  <c r="E47" i="2"/>
  <c r="F47" i="2"/>
  <c r="G47" i="2"/>
  <c r="D48" i="2"/>
  <c r="E48" i="2"/>
  <c r="F48" i="2"/>
  <c r="G48" i="2"/>
  <c r="D49" i="2"/>
  <c r="E49" i="2"/>
  <c r="F49" i="2"/>
  <c r="G49" i="2"/>
  <c r="D50" i="2"/>
  <c r="E50" i="2"/>
  <c r="F50" i="2"/>
  <c r="G50" i="2"/>
  <c r="D51" i="2"/>
  <c r="E51" i="2"/>
  <c r="F51" i="2"/>
  <c r="G51" i="2"/>
  <c r="D52" i="2"/>
  <c r="E52" i="2"/>
  <c r="F52" i="2"/>
  <c r="G52" i="2"/>
  <c r="D53" i="2"/>
  <c r="E53" i="2"/>
  <c r="F53" i="2"/>
  <c r="G53" i="2"/>
  <c r="D54" i="2"/>
  <c r="E54" i="2"/>
  <c r="F54" i="2"/>
  <c r="G54" i="2"/>
  <c r="D55" i="2"/>
  <c r="E55" i="2"/>
  <c r="F55" i="2"/>
  <c r="G55" i="2"/>
  <c r="D56" i="2"/>
  <c r="E56" i="2"/>
  <c r="F56" i="2"/>
  <c r="G56" i="2"/>
  <c r="D57" i="2"/>
  <c r="E57" i="2"/>
  <c r="F57" i="2"/>
  <c r="G57" i="2"/>
  <c r="D58" i="2"/>
  <c r="E58" i="2"/>
  <c r="F58" i="2"/>
  <c r="G58" i="2"/>
  <c r="D59" i="2"/>
  <c r="E59" i="2"/>
  <c r="F59" i="2"/>
  <c r="G59" i="2"/>
  <c r="D60" i="2"/>
  <c r="E60" i="2"/>
  <c r="F60" i="2"/>
  <c r="G60" i="2"/>
  <c r="D61" i="2"/>
  <c r="E61" i="2"/>
  <c r="F61" i="2"/>
  <c r="G61" i="2"/>
  <c r="D62" i="2"/>
  <c r="E62" i="2"/>
  <c r="F62" i="2"/>
  <c r="G62" i="2"/>
  <c r="D63" i="2"/>
  <c r="E63" i="2"/>
  <c r="F63" i="2"/>
  <c r="G63" i="2"/>
  <c r="D64" i="2"/>
  <c r="E64" i="2"/>
  <c r="F64" i="2"/>
  <c r="G64" i="2"/>
  <c r="D65" i="2"/>
  <c r="E65" i="2"/>
  <c r="F65" i="2"/>
  <c r="G65" i="2"/>
  <c r="D66" i="2"/>
  <c r="E66" i="2"/>
  <c r="F66" i="2"/>
  <c r="G66" i="2"/>
  <c r="D67" i="2"/>
  <c r="E67" i="2"/>
  <c r="F67" i="2"/>
  <c r="G67" i="2"/>
  <c r="D68" i="2"/>
  <c r="E68" i="2"/>
  <c r="F68" i="2"/>
  <c r="G68" i="2"/>
  <c r="D69" i="2"/>
  <c r="E69" i="2"/>
  <c r="F69" i="2"/>
  <c r="G69" i="2"/>
  <c r="D70" i="2"/>
  <c r="E70" i="2"/>
  <c r="F70" i="2"/>
  <c r="G70" i="2"/>
  <c r="D71" i="2"/>
  <c r="E71" i="2"/>
  <c r="F71" i="2"/>
  <c r="G71" i="2"/>
  <c r="D72" i="2"/>
  <c r="E72" i="2"/>
  <c r="F72" i="2"/>
  <c r="G72" i="2"/>
  <c r="D73" i="2"/>
  <c r="E73" i="2"/>
  <c r="F73" i="2"/>
  <c r="G73" i="2"/>
  <c r="D74" i="2"/>
  <c r="E74" i="2"/>
  <c r="F74" i="2"/>
  <c r="G74" i="2"/>
  <c r="D75" i="2"/>
  <c r="E75" i="2"/>
  <c r="F75" i="2"/>
  <c r="G75" i="2"/>
  <c r="D76" i="2"/>
  <c r="E76" i="2"/>
  <c r="F76" i="2"/>
  <c r="G76" i="2"/>
  <c r="D77" i="2"/>
  <c r="E77" i="2"/>
  <c r="F77" i="2"/>
  <c r="G77" i="2"/>
  <c r="D78" i="2"/>
  <c r="E78" i="2"/>
  <c r="F78" i="2"/>
  <c r="G78" i="2"/>
  <c r="D79" i="2"/>
  <c r="E79" i="2"/>
  <c r="F79" i="2"/>
  <c r="G79" i="2"/>
  <c r="D80" i="2"/>
  <c r="E80" i="2"/>
  <c r="F80" i="2"/>
  <c r="G80" i="2"/>
  <c r="D81" i="2"/>
  <c r="E81" i="2"/>
  <c r="F81" i="2"/>
  <c r="G81" i="2"/>
  <c r="D82" i="2"/>
  <c r="E82" i="2"/>
  <c r="F82" i="2"/>
  <c r="G82" i="2"/>
  <c r="D83" i="2"/>
  <c r="E83" i="2"/>
  <c r="F83" i="2"/>
  <c r="G83" i="2"/>
  <c r="D84" i="2"/>
  <c r="E84" i="2"/>
  <c r="F84" i="2"/>
  <c r="G84" i="2"/>
  <c r="D85" i="2"/>
  <c r="E85" i="2"/>
  <c r="F85" i="2"/>
  <c r="G85" i="2"/>
  <c r="D86" i="2"/>
  <c r="E86" i="2"/>
  <c r="F86" i="2"/>
  <c r="G86" i="2"/>
  <c r="D87" i="2"/>
  <c r="E87" i="2"/>
  <c r="F87" i="2"/>
  <c r="G87" i="2"/>
  <c r="D88" i="2"/>
  <c r="E88" i="2"/>
  <c r="F88" i="2"/>
  <c r="G88" i="2"/>
  <c r="D89" i="2"/>
  <c r="E89" i="2"/>
  <c r="F89" i="2"/>
  <c r="G89" i="2"/>
  <c r="D90" i="2"/>
  <c r="E90" i="2"/>
  <c r="F90" i="2"/>
  <c r="G90" i="2"/>
  <c r="D91" i="2"/>
  <c r="E91" i="2"/>
  <c r="F91" i="2"/>
  <c r="G91" i="2"/>
  <c r="D92" i="2"/>
  <c r="E92" i="2"/>
  <c r="F92" i="2"/>
  <c r="G92" i="2"/>
  <c r="D93" i="2"/>
  <c r="E93" i="2"/>
  <c r="F93" i="2"/>
  <c r="G93" i="2"/>
  <c r="D94" i="2"/>
  <c r="E94" i="2"/>
  <c r="F94" i="2"/>
  <c r="G94" i="2"/>
  <c r="D95" i="2"/>
  <c r="E95" i="2"/>
  <c r="F95" i="2"/>
  <c r="G95" i="2"/>
  <c r="D96" i="2"/>
  <c r="E96" i="2"/>
  <c r="F96" i="2"/>
  <c r="G96" i="2"/>
  <c r="D97" i="2"/>
  <c r="E97" i="2"/>
  <c r="F97" i="2"/>
  <c r="G97" i="2"/>
  <c r="D98" i="2"/>
  <c r="E98" i="2"/>
  <c r="F98" i="2"/>
  <c r="G98" i="2"/>
  <c r="D99" i="2"/>
  <c r="E99" i="2"/>
  <c r="F99" i="2"/>
  <c r="G99" i="2"/>
  <c r="D100" i="2"/>
  <c r="E100" i="2"/>
  <c r="F100" i="2"/>
  <c r="G100" i="2"/>
  <c r="D101" i="2"/>
  <c r="E101" i="2"/>
  <c r="F101" i="2"/>
  <c r="G101" i="2"/>
  <c r="D102" i="2"/>
  <c r="E102" i="2"/>
  <c r="F102" i="2"/>
  <c r="G102" i="2"/>
  <c r="D103" i="2"/>
  <c r="E103" i="2"/>
  <c r="F103" i="2"/>
  <c r="G103" i="2"/>
  <c r="D104" i="2"/>
  <c r="E104" i="2"/>
  <c r="F104" i="2"/>
  <c r="G104" i="2"/>
  <c r="D105" i="2"/>
  <c r="E105" i="2"/>
  <c r="F105" i="2"/>
  <c r="G105" i="2"/>
  <c r="D106" i="2"/>
  <c r="E106" i="2"/>
  <c r="F106" i="2"/>
  <c r="G106" i="2"/>
  <c r="D107" i="2"/>
  <c r="E107" i="2"/>
  <c r="F107" i="2"/>
  <c r="G107" i="2"/>
  <c r="D108" i="2"/>
  <c r="E108" i="2"/>
  <c r="F108" i="2"/>
  <c r="G108" i="2"/>
  <c r="D109" i="2"/>
  <c r="E109" i="2"/>
  <c r="F109" i="2"/>
  <c r="G109" i="2"/>
  <c r="D110" i="2"/>
  <c r="E110" i="2"/>
  <c r="F110" i="2"/>
  <c r="G110" i="2"/>
  <c r="D111" i="2"/>
  <c r="E111" i="2"/>
  <c r="F111" i="2"/>
  <c r="G111" i="2"/>
  <c r="D112" i="2"/>
  <c r="E112" i="2"/>
  <c r="F112" i="2"/>
  <c r="G112" i="2"/>
  <c r="D113" i="2"/>
  <c r="E113" i="2"/>
  <c r="F113" i="2"/>
  <c r="G113" i="2"/>
  <c r="D114" i="2"/>
  <c r="E114" i="2"/>
  <c r="F114" i="2"/>
  <c r="G114" i="2"/>
  <c r="D115" i="2"/>
  <c r="E115" i="2"/>
  <c r="F115" i="2"/>
  <c r="G115" i="2"/>
  <c r="D116" i="2"/>
  <c r="E116" i="2"/>
  <c r="F116" i="2"/>
  <c r="G116" i="2"/>
  <c r="D117" i="2"/>
  <c r="E117" i="2"/>
  <c r="F117" i="2"/>
  <c r="G117" i="2"/>
  <c r="D118" i="2"/>
  <c r="E118" i="2"/>
  <c r="F118" i="2"/>
  <c r="G118" i="2"/>
  <c r="D119" i="2"/>
  <c r="E119" i="2"/>
  <c r="F119" i="2"/>
  <c r="G119" i="2"/>
  <c r="D120" i="2"/>
  <c r="E120" i="2"/>
  <c r="F120" i="2"/>
  <c r="G120" i="2"/>
  <c r="D121" i="2"/>
  <c r="E121" i="2"/>
  <c r="F121" i="2"/>
  <c r="G121" i="2"/>
  <c r="D122" i="2"/>
  <c r="E122" i="2"/>
  <c r="F122" i="2"/>
  <c r="G122" i="2"/>
  <c r="D123" i="2"/>
  <c r="E123" i="2"/>
  <c r="F123" i="2"/>
  <c r="G123" i="2"/>
  <c r="D124" i="2"/>
  <c r="E124" i="2"/>
  <c r="F124" i="2"/>
  <c r="G124" i="2"/>
  <c r="D125" i="2"/>
  <c r="E125" i="2"/>
  <c r="F125" i="2"/>
  <c r="G125" i="2"/>
  <c r="D126" i="2"/>
  <c r="E126" i="2"/>
  <c r="F126" i="2"/>
  <c r="G126" i="2"/>
  <c r="D127" i="2"/>
  <c r="E127" i="2"/>
  <c r="F127" i="2"/>
  <c r="G127" i="2"/>
  <c r="D128" i="2"/>
  <c r="E128" i="2"/>
  <c r="F128" i="2"/>
  <c r="G128" i="2"/>
  <c r="D129" i="2"/>
  <c r="E129" i="2"/>
  <c r="F129" i="2"/>
  <c r="G129" i="2"/>
  <c r="D130" i="2"/>
  <c r="E130" i="2"/>
  <c r="F130" i="2"/>
  <c r="G130" i="2"/>
  <c r="D131" i="2"/>
  <c r="E131" i="2"/>
  <c r="F131" i="2"/>
  <c r="G131" i="2"/>
  <c r="D132" i="2"/>
  <c r="E132" i="2"/>
  <c r="F132" i="2"/>
  <c r="G132" i="2"/>
  <c r="D133" i="2"/>
  <c r="E133" i="2"/>
  <c r="F133" i="2"/>
  <c r="G133" i="2"/>
  <c r="D134" i="2"/>
  <c r="E134" i="2"/>
  <c r="F134" i="2"/>
  <c r="G134" i="2"/>
  <c r="D135" i="2"/>
  <c r="E135" i="2"/>
  <c r="F135" i="2"/>
  <c r="G135" i="2"/>
  <c r="D136" i="2"/>
  <c r="E136" i="2"/>
  <c r="F136" i="2"/>
  <c r="G136" i="2"/>
  <c r="D137" i="2"/>
  <c r="E137" i="2"/>
  <c r="F137" i="2"/>
  <c r="G137" i="2"/>
  <c r="D138" i="2"/>
  <c r="E138" i="2"/>
  <c r="F138" i="2"/>
  <c r="G138" i="2"/>
  <c r="D139" i="2"/>
  <c r="E139" i="2"/>
  <c r="F139" i="2"/>
  <c r="G139" i="2"/>
  <c r="D140" i="2"/>
  <c r="E140" i="2"/>
  <c r="F140" i="2"/>
  <c r="G140" i="2"/>
  <c r="D141" i="2"/>
  <c r="E141" i="2"/>
  <c r="F141" i="2"/>
  <c r="G141" i="2"/>
  <c r="D142" i="2"/>
  <c r="E142" i="2"/>
  <c r="F142" i="2"/>
  <c r="G142" i="2"/>
  <c r="D143" i="2"/>
  <c r="E143" i="2"/>
  <c r="F143" i="2"/>
  <c r="G143" i="2"/>
  <c r="D144" i="2"/>
  <c r="E144" i="2"/>
  <c r="F144" i="2"/>
  <c r="G144" i="2"/>
  <c r="D145" i="2"/>
  <c r="E145" i="2"/>
  <c r="F145" i="2"/>
  <c r="G145" i="2"/>
  <c r="D146" i="2"/>
  <c r="E146" i="2"/>
  <c r="F146" i="2"/>
  <c r="G146" i="2"/>
  <c r="D147" i="2"/>
  <c r="E147" i="2"/>
  <c r="F147" i="2"/>
  <c r="G147" i="2"/>
  <c r="D148" i="2"/>
  <c r="E148" i="2"/>
  <c r="F148" i="2"/>
  <c r="G148" i="2"/>
  <c r="D149" i="2"/>
  <c r="E149" i="2"/>
  <c r="F149" i="2"/>
  <c r="G149" i="2"/>
  <c r="D150" i="2"/>
  <c r="E150" i="2"/>
  <c r="F150" i="2"/>
  <c r="G150" i="2"/>
  <c r="D151" i="2"/>
  <c r="E151" i="2"/>
  <c r="F151" i="2"/>
  <c r="G151" i="2"/>
  <c r="D152" i="2"/>
  <c r="E152" i="2"/>
  <c r="F152" i="2"/>
  <c r="G152" i="2"/>
  <c r="D153" i="2"/>
  <c r="E153" i="2"/>
  <c r="F153" i="2"/>
  <c r="G153" i="2"/>
  <c r="D154" i="2"/>
  <c r="E154" i="2"/>
  <c r="F154" i="2"/>
  <c r="G154" i="2"/>
  <c r="D155" i="2"/>
  <c r="E155" i="2"/>
  <c r="F155" i="2"/>
  <c r="G155" i="2"/>
  <c r="D156" i="2"/>
  <c r="E156" i="2"/>
  <c r="F156" i="2"/>
  <c r="G156" i="2"/>
  <c r="D157" i="2"/>
  <c r="E157" i="2"/>
  <c r="F157" i="2"/>
  <c r="G157" i="2"/>
  <c r="D158" i="2"/>
  <c r="E158" i="2"/>
  <c r="F158" i="2"/>
  <c r="G158" i="2"/>
  <c r="D159" i="2"/>
  <c r="E159" i="2"/>
  <c r="F159" i="2"/>
  <c r="G159" i="2"/>
  <c r="D160" i="2"/>
  <c r="E160" i="2"/>
  <c r="F160" i="2"/>
  <c r="G160" i="2"/>
  <c r="D161" i="2"/>
  <c r="E161" i="2"/>
  <c r="F161" i="2"/>
  <c r="G161" i="2"/>
  <c r="D162" i="2"/>
  <c r="E162" i="2"/>
  <c r="F162" i="2"/>
  <c r="G162" i="2"/>
  <c r="D163" i="2"/>
  <c r="E163" i="2"/>
  <c r="F163" i="2"/>
  <c r="G163" i="2"/>
  <c r="D164" i="2"/>
  <c r="E164" i="2"/>
  <c r="F164" i="2"/>
  <c r="G164" i="2"/>
  <c r="D165" i="2"/>
  <c r="E165" i="2"/>
  <c r="F165" i="2"/>
  <c r="G165" i="2"/>
  <c r="D166" i="2"/>
  <c r="E166" i="2"/>
  <c r="F166" i="2"/>
  <c r="G166" i="2"/>
  <c r="D167" i="2"/>
  <c r="E167" i="2"/>
  <c r="F167" i="2"/>
  <c r="G167" i="2"/>
  <c r="D168" i="2"/>
  <c r="E168" i="2"/>
  <c r="F168" i="2"/>
  <c r="G168" i="2"/>
  <c r="D169" i="2"/>
  <c r="E169" i="2"/>
  <c r="F169" i="2"/>
  <c r="G169" i="2"/>
  <c r="D170" i="2"/>
  <c r="E170" i="2"/>
  <c r="F170" i="2"/>
  <c r="G170" i="2"/>
  <c r="D171" i="2"/>
  <c r="E171" i="2"/>
  <c r="F171" i="2"/>
  <c r="G171" i="2"/>
  <c r="D172" i="2"/>
  <c r="E172" i="2"/>
  <c r="F172" i="2"/>
  <c r="G172" i="2"/>
  <c r="D173" i="2"/>
  <c r="E173" i="2"/>
  <c r="F173" i="2"/>
  <c r="G173" i="2"/>
  <c r="D174" i="2"/>
  <c r="E174" i="2"/>
  <c r="F174" i="2"/>
  <c r="G174" i="2"/>
  <c r="D175" i="2"/>
  <c r="E175" i="2"/>
  <c r="F175" i="2"/>
  <c r="G175" i="2"/>
  <c r="D176" i="2"/>
  <c r="E176" i="2"/>
  <c r="F176" i="2"/>
  <c r="G176" i="2"/>
  <c r="D177" i="2"/>
  <c r="E177" i="2"/>
  <c r="F177" i="2"/>
  <c r="G177" i="2"/>
  <c r="D178" i="2"/>
  <c r="E178" i="2"/>
  <c r="F178" i="2"/>
  <c r="G178" i="2"/>
  <c r="D179" i="2"/>
  <c r="E179" i="2"/>
  <c r="F179" i="2"/>
  <c r="G179" i="2"/>
  <c r="D180" i="2"/>
  <c r="E180" i="2"/>
  <c r="F180" i="2"/>
  <c r="G180" i="2"/>
  <c r="D181" i="2"/>
  <c r="E181" i="2"/>
  <c r="F181" i="2"/>
  <c r="G181" i="2"/>
  <c r="D182" i="2"/>
  <c r="E182" i="2"/>
  <c r="F182" i="2"/>
  <c r="G182" i="2"/>
  <c r="D183" i="2"/>
  <c r="E183" i="2"/>
  <c r="F183" i="2"/>
  <c r="G183" i="2"/>
  <c r="D184" i="2"/>
  <c r="E184" i="2"/>
  <c r="F184" i="2"/>
  <c r="G184" i="2"/>
  <c r="D185" i="2"/>
  <c r="E185" i="2"/>
  <c r="F185" i="2"/>
  <c r="G185" i="2"/>
  <c r="D186" i="2"/>
  <c r="E186" i="2"/>
  <c r="F186" i="2"/>
  <c r="G186" i="2"/>
  <c r="D187" i="2"/>
  <c r="E187" i="2"/>
  <c r="F187" i="2"/>
  <c r="G187" i="2"/>
  <c r="D188" i="2"/>
  <c r="E188" i="2"/>
  <c r="F188" i="2"/>
  <c r="G188" i="2"/>
  <c r="D189" i="2"/>
  <c r="E189" i="2"/>
  <c r="F189" i="2"/>
  <c r="G189" i="2"/>
  <c r="D190" i="2"/>
  <c r="E190" i="2"/>
  <c r="F190" i="2"/>
  <c r="G190" i="2"/>
  <c r="D191" i="2"/>
  <c r="E191" i="2"/>
  <c r="F191" i="2"/>
  <c r="G191" i="2"/>
  <c r="D192" i="2"/>
  <c r="E192" i="2"/>
  <c r="F192" i="2"/>
  <c r="G192" i="2"/>
  <c r="D193" i="2"/>
  <c r="E193" i="2"/>
  <c r="F193" i="2"/>
  <c r="G193" i="2"/>
  <c r="D194" i="2"/>
  <c r="E194" i="2"/>
  <c r="F194" i="2"/>
  <c r="G194" i="2"/>
  <c r="D195" i="2"/>
  <c r="E195" i="2"/>
  <c r="F195" i="2"/>
  <c r="G195" i="2"/>
  <c r="D196" i="2"/>
  <c r="E196" i="2"/>
  <c r="F196" i="2"/>
  <c r="G196" i="2"/>
  <c r="D197" i="2"/>
  <c r="E197" i="2"/>
  <c r="F197" i="2"/>
  <c r="G197" i="2"/>
  <c r="D198" i="2"/>
  <c r="E198" i="2"/>
  <c r="F198" i="2"/>
  <c r="G198" i="2"/>
  <c r="D199" i="2"/>
  <c r="E199" i="2"/>
  <c r="F199" i="2"/>
  <c r="G199" i="2"/>
  <c r="D200" i="2"/>
  <c r="E200" i="2"/>
  <c r="F200" i="2"/>
  <c r="G200" i="2"/>
  <c r="G2" i="2"/>
  <c r="F2" i="2"/>
  <c r="E2" i="2"/>
  <c r="D2" i="2"/>
  <c r="O14" i="2" l="1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B2" i="2" s="1"/>
  <c r="O26" i="2" l="1"/>
  <c r="O20" i="2"/>
  <c r="O24" i="2"/>
  <c r="O19" i="2"/>
  <c r="O27" i="2"/>
  <c r="O21" i="2"/>
  <c r="O25" i="2"/>
  <c r="O23" i="2"/>
  <c r="O18" i="2"/>
  <c r="O22" i="2"/>
  <c r="O17" i="2"/>
  <c r="O11" i="2"/>
  <c r="D15" i="4" s="1"/>
  <c r="O8" i="2"/>
  <c r="D16" i="4" s="1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P5" i="2" l="1"/>
  <c r="P6" i="2"/>
  <c r="P2" i="2"/>
  <c r="P4" i="2"/>
  <c r="P3" i="2"/>
  <c r="J15" i="4" l="1"/>
  <c r="I15" i="4"/>
  <c r="H15" i="4"/>
  <c r="I17" i="4"/>
  <c r="G15" i="4"/>
  <c r="H17" i="4"/>
  <c r="G17" i="4"/>
  <c r="F15" i="4"/>
  <c r="F17" i="4"/>
</calcChain>
</file>

<file path=xl/sharedStrings.xml><?xml version="1.0" encoding="utf-8"?>
<sst xmlns="http://schemas.openxmlformats.org/spreadsheetml/2006/main" count="6430" uniqueCount="872">
  <si>
    <t>Position</t>
  </si>
  <si>
    <t>SF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</si>
  <si>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</si>
  <si>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</si>
  <si>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</si>
  <si>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</si>
  <si>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</si>
  <si>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</si>
  <si>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</si>
  <si>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</si>
  <si>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</si>
  <si>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</si>
  <si>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</si>
  <si>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</si>
  <si>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</si>
  <si>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</si>
  <si>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</si>
  <si>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</si>
  <si>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Salary</t>
  </si>
  <si>
    <t>HOU</t>
  </si>
  <si>
    <t>CLE</t>
  </si>
  <si>
    <t>PHI</t>
  </si>
  <si>
    <t>DAL</t>
  </si>
  <si>
    <t>ATL</t>
  </si>
  <si>
    <t>WAS</t>
  </si>
  <si>
    <t>IND</t>
  </si>
  <si>
    <t>DET</t>
  </si>
  <si>
    <t>CHI</t>
  </si>
  <si>
    <t>MIA</t>
  </si>
  <si>
    <t>Name</t>
  </si>
  <si>
    <t>GameInfo</t>
  </si>
  <si>
    <t>AvgPointsPerGame</t>
  </si>
  <si>
    <t>teamAbbrev</t>
  </si>
  <si>
    <t>RB</t>
  </si>
  <si>
    <t>Le'Veon Bell</t>
  </si>
  <si>
    <t>PIT@CLE 01:00PM ET</t>
  </si>
  <si>
    <t>PIT</t>
  </si>
  <si>
    <t>David Johnson</t>
  </si>
  <si>
    <t>ARI@DET 01:00PM ET</t>
  </si>
  <si>
    <t>ARI</t>
  </si>
  <si>
    <t>WR</t>
  </si>
  <si>
    <t>Antonio Brown</t>
  </si>
  <si>
    <t>Julio Jones</t>
  </si>
  <si>
    <t>ATL@CHI 01:00PM ET</t>
  </si>
  <si>
    <t>Odell Beckham Jr.</t>
  </si>
  <si>
    <t>NYG@DAL 08:30PM ET</t>
  </si>
  <si>
    <t>NYG</t>
  </si>
  <si>
    <t>LeSean McCoy</t>
  </si>
  <si>
    <t>NYJ@BUF 01:00PM ET</t>
  </si>
  <si>
    <t>BUF</t>
  </si>
  <si>
    <t>Ezekiel Elliott</t>
  </si>
  <si>
    <t>A.J. Green</t>
  </si>
  <si>
    <t>BAL@CIN 01:00PM ET</t>
  </si>
  <si>
    <t>CIN</t>
  </si>
  <si>
    <t>Mike Evans</t>
  </si>
  <si>
    <t>TB@MIA 01:00PM ET</t>
  </si>
  <si>
    <t>TB</t>
  </si>
  <si>
    <t>Jordy Nelson</t>
  </si>
  <si>
    <t>SEA@GB 04:25PM ET</t>
  </si>
  <si>
    <t>GB</t>
  </si>
  <si>
    <t>Dez Bryant</t>
  </si>
  <si>
    <t>DeMarco Murray</t>
  </si>
  <si>
    <t>OAK@TEN 01:00PM ET</t>
  </si>
  <si>
    <t>TEN</t>
  </si>
  <si>
    <t>QB</t>
  </si>
  <si>
    <t>Ben Roethlisberger</t>
  </si>
  <si>
    <t>Amari Cooper</t>
  </si>
  <si>
    <t>OAK</t>
  </si>
  <si>
    <t>Cam Newton</t>
  </si>
  <si>
    <t>CAR@SF 04:25PM ET</t>
  </si>
  <si>
    <t>CAR</t>
  </si>
  <si>
    <t>Devonta Freeman</t>
  </si>
  <si>
    <t>Aaron Rodgers</t>
  </si>
  <si>
    <t>Matt Ryan</t>
  </si>
  <si>
    <t>T.Y. Hilton</t>
  </si>
  <si>
    <t>IND@LAR 04:05PM ET</t>
  </si>
  <si>
    <t>Russell Wilson</t>
  </si>
  <si>
    <t>SEA</t>
  </si>
  <si>
    <t>Marcus Mariota</t>
  </si>
  <si>
    <t>Derek Carr</t>
  </si>
  <si>
    <t>Doug Baldwin</t>
  </si>
  <si>
    <t>Jameis Winston</t>
  </si>
  <si>
    <t>Golden Tate</t>
  </si>
  <si>
    <t>Jay Ajayi</t>
  </si>
  <si>
    <t>Andrew Luck</t>
  </si>
  <si>
    <t>Kirk Cousins</t>
  </si>
  <si>
    <t>PHI@WAS 01:00PM ET</t>
  </si>
  <si>
    <t>Jordan Howard</t>
  </si>
  <si>
    <t>Dak Prescott</t>
  </si>
  <si>
    <t>Tyrod Taylor</t>
  </si>
  <si>
    <t>Sammy Watkins</t>
  </si>
  <si>
    <t>LAR</t>
  </si>
  <si>
    <t>TE</t>
  </si>
  <si>
    <t>Greg Olsen</t>
  </si>
  <si>
    <t>Matthew Stafford</t>
  </si>
  <si>
    <t>Terrelle Pryor Sr.</t>
  </si>
  <si>
    <t>Darren McFadden</t>
  </si>
  <si>
    <t>Martavis Bryant</t>
  </si>
  <si>
    <t>Carson Palmer</t>
  </si>
  <si>
    <t>Michael Crabtree</t>
  </si>
  <si>
    <t>Todd Gurley</t>
  </si>
  <si>
    <t>Larry Fitzgerald</t>
  </si>
  <si>
    <t>DeAndre Hopkins</t>
  </si>
  <si>
    <t>JAX@HOU 01:00PM ET</t>
  </si>
  <si>
    <t>Jordan Reed</t>
  </si>
  <si>
    <t>Kelvin Benjamin</t>
  </si>
  <si>
    <t>Alshon Jeffery</t>
  </si>
  <si>
    <t>Ty Montgomery</t>
  </si>
  <si>
    <t>Andy Dalton</t>
  </si>
  <si>
    <t>Leonard Fournette</t>
  </si>
  <si>
    <t>JAX</t>
  </si>
  <si>
    <t>Jamison Crowder</t>
  </si>
  <si>
    <t>Eli Manning</t>
  </si>
  <si>
    <t>Joe Mixon</t>
  </si>
  <si>
    <t>Joe Flacco</t>
  </si>
  <si>
    <t>BAL</t>
  </si>
  <si>
    <t>Derrick Henry</t>
  </si>
  <si>
    <t>Derek Anderson</t>
  </si>
  <si>
    <t>Tevin Coleman</t>
  </si>
  <si>
    <t>Jay Cutler</t>
  </si>
  <si>
    <t>Jarvis Landry</t>
  </si>
  <si>
    <t>Christian McCaffrey</t>
  </si>
  <si>
    <t>Isaiah Crowell</t>
  </si>
  <si>
    <t>DeVante Parker</t>
  </si>
  <si>
    <t>Marshawn Lynch</t>
  </si>
  <si>
    <t>Carson Wentz</t>
  </si>
  <si>
    <t>Randall Cobb</t>
  </si>
  <si>
    <t>Pierre Garcon</t>
  </si>
  <si>
    <t>Danny Woodhead</t>
  </si>
  <si>
    <t>Allen Robinson</t>
  </si>
  <si>
    <t>Colt McCoy</t>
  </si>
  <si>
    <t>Davante Adams</t>
  </si>
  <si>
    <t>Lamar Miller</t>
  </si>
  <si>
    <t>Jimmy Graham</t>
  </si>
  <si>
    <t>Brian Hoyer</t>
  </si>
  <si>
    <t>Brandon Marshall</t>
  </si>
  <si>
    <t>Cameron Meredith</t>
  </si>
  <si>
    <t>Jeremy Maclin</t>
  </si>
  <si>
    <t>Ryan Tannehill</t>
  </si>
  <si>
    <t>Eric Decker</t>
  </si>
  <si>
    <t>Donte Moncrief</t>
  </si>
  <si>
    <t>Eddie Lacy</t>
  </si>
  <si>
    <t>Jonathan Stewart</t>
  </si>
  <si>
    <t>Bilal Powell</t>
  </si>
  <si>
    <t>NYJ</t>
  </si>
  <si>
    <t>Mike Glennon</t>
  </si>
  <si>
    <t>Matt Moore</t>
  </si>
  <si>
    <t>Jacquizz Rodgers</t>
  </si>
  <si>
    <t>DeSean Jackson</t>
  </si>
  <si>
    <t>Matt Forte</t>
  </si>
  <si>
    <t>DeShone Kizer</t>
  </si>
  <si>
    <t>Cody Kessler</t>
  </si>
  <si>
    <t>Kenny Britt</t>
  </si>
  <si>
    <t>John Brown</t>
  </si>
  <si>
    <t>Tom Savage</t>
  </si>
  <si>
    <t>Deshaun Watson</t>
  </si>
  <si>
    <t>Blake Bortles</t>
  </si>
  <si>
    <t>Ryan Fitzpatrick</t>
  </si>
  <si>
    <t>Doug Martin</t>
  </si>
  <si>
    <t>Jared Goff</t>
  </si>
  <si>
    <t>Thomas Rawls</t>
  </si>
  <si>
    <t>Geno Smith</t>
  </si>
  <si>
    <t>AJ McCarron</t>
  </si>
  <si>
    <t>Terrance West</t>
  </si>
  <si>
    <t>Landry Jones</t>
  </si>
  <si>
    <t>Theo Riddick</t>
  </si>
  <si>
    <t>Brett Hundley</t>
  </si>
  <si>
    <t>Colin Kaepernick</t>
  </si>
  <si>
    <t>Cole Beasley</t>
  </si>
  <si>
    <t>Josh McCown</t>
  </si>
  <si>
    <t>Mitchell Trubisky</t>
  </si>
  <si>
    <t>Tyler Eifert</t>
  </si>
  <si>
    <t>Duke Johnson Jr.</t>
  </si>
  <si>
    <t>Nick Foles</t>
  </si>
  <si>
    <t>Carlos Hyde</t>
  </si>
  <si>
    <t>Matt Schaub</t>
  </si>
  <si>
    <t>Giovani Bernard</t>
  </si>
  <si>
    <t>Ryan Mallett</t>
  </si>
  <si>
    <t>Mike Wallace</t>
  </si>
  <si>
    <t>Brock Osweiler</t>
  </si>
  <si>
    <t>James Conner</t>
  </si>
  <si>
    <t>Blaine Gabbert</t>
  </si>
  <si>
    <t>Matt Cassel</t>
  </si>
  <si>
    <t>Connor Cook</t>
  </si>
  <si>
    <t>LeGarrette Blount</t>
  </si>
  <si>
    <t>Scott Tolzien</t>
  </si>
  <si>
    <t>Trevone Boykin</t>
  </si>
  <si>
    <t>Christian Hackenberg</t>
  </si>
  <si>
    <t>Jordan Matthews</t>
  </si>
  <si>
    <t>Jeremy Hill</t>
  </si>
  <si>
    <t>Corey Coleman</t>
  </si>
  <si>
    <t>Tyler Lockett</t>
  </si>
  <si>
    <t>Kellen Moore</t>
  </si>
  <si>
    <t>Alfred Morris</t>
  </si>
  <si>
    <t>Mark Sanchez</t>
  </si>
  <si>
    <t>Ameer Abdullah</t>
  </si>
  <si>
    <t>Chad Henne</t>
  </si>
  <si>
    <t>Delanie Walker</t>
  </si>
  <si>
    <t>Rob Kelley</t>
  </si>
  <si>
    <t>Frank Gore</t>
  </si>
  <si>
    <t>Sean Mannion</t>
  </si>
  <si>
    <t>Devin Funchess</t>
  </si>
  <si>
    <t>Paul Perkins</t>
  </si>
  <si>
    <t>T.J. Yates</t>
  </si>
  <si>
    <t>Mohamed Sanu</t>
  </si>
  <si>
    <t>Kevin White</t>
  </si>
  <si>
    <t>Alfred Blue</t>
  </si>
  <si>
    <t>Rishard Matthews</t>
  </si>
  <si>
    <t>Samaje Perine</t>
  </si>
  <si>
    <t>Marvin Jones Jr.</t>
  </si>
  <si>
    <t>Drew Stanton</t>
  </si>
  <si>
    <t>D'Onta Foreman</t>
  </si>
  <si>
    <t>Kenyan Drake</t>
  </si>
  <si>
    <t>DeAndre Washington</t>
  </si>
  <si>
    <t>Martellus Bennett</t>
  </si>
  <si>
    <t>C.J. Prosise</t>
  </si>
  <si>
    <t>Tim Hightower</t>
  </si>
  <si>
    <t>Sterling Shepard</t>
  </si>
  <si>
    <t>Nathan Peterman</t>
  </si>
  <si>
    <t>Bryce Petty</t>
  </si>
  <si>
    <t>Matt Simms</t>
  </si>
  <si>
    <t>Alek Torgersen</t>
  </si>
  <si>
    <t>Taylor Gabriel</t>
  </si>
  <si>
    <t>Connor Shaw</t>
  </si>
  <si>
    <t>Jeff Driskel</t>
  </si>
  <si>
    <t>Dustin Vaughan</t>
  </si>
  <si>
    <t>Josh Woodrum</t>
  </si>
  <si>
    <t>Robert Griffin III</t>
  </si>
  <si>
    <t>Kevin Hogan</t>
  </si>
  <si>
    <t>Josh Gordon</t>
  </si>
  <si>
    <t>Joshua Dobbs</t>
  </si>
  <si>
    <t>Bart Houston</t>
  </si>
  <si>
    <t>Fitzgerald Toussaint</t>
  </si>
  <si>
    <t>Justin Hunter</t>
  </si>
  <si>
    <t>Jake Rudock</t>
  </si>
  <si>
    <t>Brad Kaaya</t>
  </si>
  <si>
    <t>Trevor Knight</t>
  </si>
  <si>
    <t>Brandon Weeden</t>
  </si>
  <si>
    <t>Brandon Allen</t>
  </si>
  <si>
    <t>Brandon Doughty</t>
  </si>
  <si>
    <t>David Fales</t>
  </si>
  <si>
    <t>Sefo Liufau</t>
  </si>
  <si>
    <t>Ryan Griffin</t>
  </si>
  <si>
    <t>Alex Tanney</t>
  </si>
  <si>
    <t>Tyler Ferguson</t>
  </si>
  <si>
    <t>Corey Davis</t>
  </si>
  <si>
    <t>EJ Manuel</t>
  </si>
  <si>
    <t>Dane Evans</t>
  </si>
  <si>
    <t>Matt McGloin</t>
  </si>
  <si>
    <t>Nate Sudfeld</t>
  </si>
  <si>
    <t>Phillip Walker</t>
  </si>
  <si>
    <t>Stephen Morris</t>
  </si>
  <si>
    <t>Robert Turbin</t>
  </si>
  <si>
    <t>Dan Orlovsky</t>
  </si>
  <si>
    <t>Robert Woods</t>
  </si>
  <si>
    <t>Joe Callahan</t>
  </si>
  <si>
    <t>Taysom Hill</t>
  </si>
  <si>
    <t>Austin Davis</t>
  </si>
  <si>
    <t>Nick Mullens</t>
  </si>
  <si>
    <t>C.J. Beathard</t>
  </si>
  <si>
    <t>Matt Barkley</t>
  </si>
  <si>
    <t>Joe Williams</t>
  </si>
  <si>
    <t>Garrett Gilbert</t>
  </si>
  <si>
    <t>Joe Webb</t>
  </si>
  <si>
    <t>Luke McCown</t>
  </si>
  <si>
    <t>Cooper Rush</t>
  </si>
  <si>
    <t>Davis Webb</t>
  </si>
  <si>
    <t>Josh Johnson</t>
  </si>
  <si>
    <t>Jonathan Williams</t>
  </si>
  <si>
    <t>DST</t>
  </si>
  <si>
    <t xml:space="preserve">Bills </t>
  </si>
  <si>
    <t>Jeremy Langford</t>
  </si>
  <si>
    <t>Eli Rogers</t>
  </si>
  <si>
    <t>Chris Johnson</t>
  </si>
  <si>
    <t>Braxton Miller</t>
  </si>
  <si>
    <t>T.J. Yeldon</t>
  </si>
  <si>
    <t>Charles Sims</t>
  </si>
  <si>
    <t>Jalen Richard</t>
  </si>
  <si>
    <t>Darren Sproles</t>
  </si>
  <si>
    <t>Malcolm Brown</t>
  </si>
  <si>
    <t>Jamaal Williams</t>
  </si>
  <si>
    <t>Rod Smith</t>
  </si>
  <si>
    <t>Jason Witten</t>
  </si>
  <si>
    <t>Robby Anderson</t>
  </si>
  <si>
    <t>Sammie Coates</t>
  </si>
  <si>
    <t>Zach Zenner</t>
  </si>
  <si>
    <t>Kerwynn Williams</t>
  </si>
  <si>
    <t>Will Fuller V</t>
  </si>
  <si>
    <t xml:space="preserve">Texans </t>
  </si>
  <si>
    <t>Marqise Lee</t>
  </si>
  <si>
    <t>Damien Williams</t>
  </si>
  <si>
    <t>Kenny Stills</t>
  </si>
  <si>
    <t>Wendell Smallwood</t>
  </si>
  <si>
    <t>Nelson Agholor</t>
  </si>
  <si>
    <t>Tavon Austin</t>
  </si>
  <si>
    <t>Jeremy Kerley</t>
  </si>
  <si>
    <t>Terrance Williams</t>
  </si>
  <si>
    <t>Shane Vereen</t>
  </si>
  <si>
    <t>ArDarius Stewart</t>
  </si>
  <si>
    <t>Brandon LaFell</t>
  </si>
  <si>
    <t>J.J. Nelson</t>
  </si>
  <si>
    <t xml:space="preserve">Jaguars </t>
  </si>
  <si>
    <t>Jeremy McNichols</t>
  </si>
  <si>
    <t>Torrey Smith</t>
  </si>
  <si>
    <t>Chris Thompson</t>
  </si>
  <si>
    <t>Jack Doyle</t>
  </si>
  <si>
    <t>Cooper Kupp</t>
  </si>
  <si>
    <t>Aaron Jones</t>
  </si>
  <si>
    <t>Paul Richardson</t>
  </si>
  <si>
    <t>Fozzy Whittaker</t>
  </si>
  <si>
    <t>Benny Cunningham</t>
  </si>
  <si>
    <t>Tyler Boyd</t>
  </si>
  <si>
    <t>JuJu Smith-Schuster</t>
  </si>
  <si>
    <t xml:space="preserve">Steelers </t>
  </si>
  <si>
    <t>Kenny Golladay</t>
  </si>
  <si>
    <t>Eric Ebron</t>
  </si>
  <si>
    <t>Chris Ivory</t>
  </si>
  <si>
    <t>Adam Humphries</t>
  </si>
  <si>
    <t>Taywan Taylor</t>
  </si>
  <si>
    <t>Jeff Janis</t>
  </si>
  <si>
    <t>Curtis Samuel</t>
  </si>
  <si>
    <t>Zay Jones</t>
  </si>
  <si>
    <t>Anquan Boldin</t>
  </si>
  <si>
    <t>Elijah McGuire</t>
  </si>
  <si>
    <t>Charone Peake</t>
  </si>
  <si>
    <t>Markus Wheaton</t>
  </si>
  <si>
    <t>Breshad Perriman</t>
  </si>
  <si>
    <t>Jaelen Strong</t>
  </si>
  <si>
    <t>Allen Hurns</t>
  </si>
  <si>
    <t>Donnel Pumphrey</t>
  </si>
  <si>
    <t>Zach Ertz</t>
  </si>
  <si>
    <t>Josh Doctson</t>
  </si>
  <si>
    <t>Kamar Aiken</t>
  </si>
  <si>
    <t>Devante Mays</t>
  </si>
  <si>
    <t xml:space="preserve">Panthers </t>
  </si>
  <si>
    <t>Wayne Gallman</t>
  </si>
  <si>
    <t>Andre Ellington</t>
  </si>
  <si>
    <t xml:space="preserve">Buccaneers </t>
  </si>
  <si>
    <t>Ryan Grant</t>
  </si>
  <si>
    <t>Marlon Mack</t>
  </si>
  <si>
    <t>Jermaine Kearse</t>
  </si>
  <si>
    <t xml:space="preserve">Falcons </t>
  </si>
  <si>
    <t>Victor Cruz</t>
  </si>
  <si>
    <t>John Ross</t>
  </si>
  <si>
    <t>Dwayne Washington</t>
  </si>
  <si>
    <t>Jaron Brown</t>
  </si>
  <si>
    <t>Seth Roberts</t>
  </si>
  <si>
    <t>Jared Cook</t>
  </si>
  <si>
    <t>Phillip Dorsett</t>
  </si>
  <si>
    <t>Aldrick Robinson</t>
  </si>
  <si>
    <t>Russell Shepard</t>
  </si>
  <si>
    <t>Roger Lewis</t>
  </si>
  <si>
    <t>Charles Clay</t>
  </si>
  <si>
    <t>Kendall Wright</t>
  </si>
  <si>
    <t>Ryan Mathews</t>
  </si>
  <si>
    <t xml:space="preserve">Rams </t>
  </si>
  <si>
    <t>Marquise Goodwin</t>
  </si>
  <si>
    <t>Tavarres King</t>
  </si>
  <si>
    <t xml:space="preserve">Bengals </t>
  </si>
  <si>
    <t>C.J. Fiedorowicz</t>
  </si>
  <si>
    <t>Cameron Brate</t>
  </si>
  <si>
    <t>Tajae Sharpe</t>
  </si>
  <si>
    <t>Elijah Hood</t>
  </si>
  <si>
    <t>Brian Quick</t>
  </si>
  <si>
    <t>Pharoh Cooper</t>
  </si>
  <si>
    <t>Orleans Darkwa</t>
  </si>
  <si>
    <t>Mike Tolbert</t>
  </si>
  <si>
    <t>Joe Banyard</t>
  </si>
  <si>
    <t>Patrick DiMarco</t>
  </si>
  <si>
    <t>Taiwan Jones</t>
  </si>
  <si>
    <t>Cedric O'Neal</t>
  </si>
  <si>
    <t>Jordan Johnson</t>
  </si>
  <si>
    <t>Daikiel Shorts</t>
  </si>
  <si>
    <t>Andre Holmes</t>
  </si>
  <si>
    <t>Philly Brown</t>
  </si>
  <si>
    <t>Walter Powell</t>
  </si>
  <si>
    <t>Rod Streater</t>
  </si>
  <si>
    <t>Brandon Reilly</t>
  </si>
  <si>
    <t>Jeremy Butler</t>
  </si>
  <si>
    <t>Rashad Ross</t>
  </si>
  <si>
    <t>Dezmin Lewis</t>
  </si>
  <si>
    <t>Brandon Tate</t>
  </si>
  <si>
    <t>Julian Howsare</t>
  </si>
  <si>
    <t>Anthony Firkser</t>
  </si>
  <si>
    <t>Marcus Murphy</t>
  </si>
  <si>
    <t>Jordan Todman</t>
  </si>
  <si>
    <t>Algernon Brown</t>
  </si>
  <si>
    <t>Romar Morris</t>
  </si>
  <si>
    <t>Deshon Foxx</t>
  </si>
  <si>
    <t>Chris Harper</t>
  </si>
  <si>
    <t>Gabe Marks</t>
  </si>
  <si>
    <t>Myles White</t>
  </si>
  <si>
    <t>Frankie Hammond Jr.</t>
  </si>
  <si>
    <t>Quincy Enunwa</t>
  </si>
  <si>
    <t>Chad Hansen</t>
  </si>
  <si>
    <t>Marquess Wilson</t>
  </si>
  <si>
    <t>Jalin Marshall</t>
  </si>
  <si>
    <t>Lucky Whitehead</t>
  </si>
  <si>
    <t>Kelvin Taylor</t>
  </si>
  <si>
    <t>Derrick Coleman</t>
  </si>
  <si>
    <t>Terron Ward</t>
  </si>
  <si>
    <t>Brian Hill</t>
  </si>
  <si>
    <t>Tyler Renew</t>
  </si>
  <si>
    <t>Marvin Hall</t>
  </si>
  <si>
    <t>Nick Williams</t>
  </si>
  <si>
    <t>Justin Hardy</t>
  </si>
  <si>
    <t>B.J. Daniels</t>
  </si>
  <si>
    <t>Andre Roberts</t>
  </si>
  <si>
    <t>Bra'Lon Cherry</t>
  </si>
  <si>
    <t>Reggie Davis</t>
  </si>
  <si>
    <t>Josh Magee</t>
  </si>
  <si>
    <t>Deante Burton</t>
  </si>
  <si>
    <t>Reginald Davis III</t>
  </si>
  <si>
    <t>Anthony Dable</t>
  </si>
  <si>
    <t>Austin Hooper</t>
  </si>
  <si>
    <t>Ka'Deem Carey</t>
  </si>
  <si>
    <t>Michael Burton</t>
  </si>
  <si>
    <t>Josh Rounds</t>
  </si>
  <si>
    <t>Tarik Cohen</t>
  </si>
  <si>
    <t>Freddie Stevenson</t>
  </si>
  <si>
    <t>Tanner Gentry</t>
  </si>
  <si>
    <t>Josh Bellamy</t>
  </si>
  <si>
    <t>Titus Davis</t>
  </si>
  <si>
    <t>Deonte Thompson</t>
  </si>
  <si>
    <t>Rueben Randle</t>
  </si>
  <si>
    <t>Alton Howard</t>
  </si>
  <si>
    <t>Daniel Braverman</t>
  </si>
  <si>
    <t>Tra Carson</t>
  </si>
  <si>
    <t>Darrin Laufasa</t>
  </si>
  <si>
    <t>Jarveon Williams</t>
  </si>
  <si>
    <t>Stanley Williams</t>
  </si>
  <si>
    <t>Cedric Peerman</t>
  </si>
  <si>
    <t>Jake Kumerow</t>
  </si>
  <si>
    <t>Josh Malone</t>
  </si>
  <si>
    <t>Kermit Whitfield</t>
  </si>
  <si>
    <t>Alonzo Russell</t>
  </si>
  <si>
    <t>Chris Brown</t>
  </si>
  <si>
    <t>Karel Hamilton</t>
  </si>
  <si>
    <t>Cody Core</t>
  </si>
  <si>
    <t>Alex Erickson</t>
  </si>
  <si>
    <t>Bobby Rainey</t>
  </si>
  <si>
    <t>Javorius Allen</t>
  </si>
  <si>
    <t>Kenneth Dixon</t>
  </si>
  <si>
    <t>Ricky Ortiz</t>
  </si>
  <si>
    <t>Taquan Mizzell</t>
  </si>
  <si>
    <t>Lorenzo Taliaferro</t>
  </si>
  <si>
    <t>Chris Moore</t>
  </si>
  <si>
    <t>Vince Mayle</t>
  </si>
  <si>
    <t>Quincy Adeboyejo</t>
  </si>
  <si>
    <t>Tim White</t>
  </si>
  <si>
    <t>Chris Matthews</t>
  </si>
  <si>
    <t>Kenny Bell</t>
  </si>
  <si>
    <t>Michael Campanaro</t>
  </si>
  <si>
    <t>Griff Whalen</t>
  </si>
  <si>
    <t>Keenan Reynolds</t>
  </si>
  <si>
    <t>C.J. Board</t>
  </si>
  <si>
    <t>Matthew Dayes</t>
  </si>
  <si>
    <t>Danny Vitale</t>
  </si>
  <si>
    <t>Brandon Wilds</t>
  </si>
  <si>
    <t>Terrence Magee</t>
  </si>
  <si>
    <t>Rannell Hall</t>
  </si>
  <si>
    <t>Jordan Payton</t>
  </si>
  <si>
    <t>Richard Mullaney</t>
  </si>
  <si>
    <t>Rashard Higgins</t>
  </si>
  <si>
    <t>Mario Alford</t>
  </si>
  <si>
    <t>Ricardo Louis</t>
  </si>
  <si>
    <t>Rasheed Bailey</t>
  </si>
  <si>
    <t>Jordan Leslie</t>
  </si>
  <si>
    <t>Josh Boyce</t>
  </si>
  <si>
    <t>Terrell Watson</t>
  </si>
  <si>
    <t>Trey Williams</t>
  </si>
  <si>
    <t>Brandon Brown-Dukes</t>
  </si>
  <si>
    <t>DeAngelo Williams</t>
  </si>
  <si>
    <t>Roosevelt Nix</t>
  </si>
  <si>
    <t>Knile Davis</t>
  </si>
  <si>
    <t>Darrius Heyward-Bey</t>
  </si>
  <si>
    <t>Marcus Tucker</t>
  </si>
  <si>
    <t>Demarcus Ayers</t>
  </si>
  <si>
    <t>Cobi Hamilton</t>
  </si>
  <si>
    <t>Canaan Severin</t>
  </si>
  <si>
    <t>Jesse James</t>
  </si>
  <si>
    <t>Tion Green</t>
  </si>
  <si>
    <t>Mike James</t>
  </si>
  <si>
    <t>Matt Asiata</t>
  </si>
  <si>
    <t>Keshawn Martin</t>
  </si>
  <si>
    <t>Ryan Spadola</t>
  </si>
  <si>
    <t>TJ Jones</t>
  </si>
  <si>
    <t>Jared Abbrederis</t>
  </si>
  <si>
    <t>Jace Billingsley</t>
  </si>
  <si>
    <t>Michael Rector</t>
  </si>
  <si>
    <t>Dontez Ford</t>
  </si>
  <si>
    <t>Noel Thomas</t>
  </si>
  <si>
    <t>T.J. Logan</t>
  </si>
  <si>
    <t>James Summers</t>
  </si>
  <si>
    <t>Elijhaa Penny</t>
  </si>
  <si>
    <t>Chris Hubert</t>
  </si>
  <si>
    <t>Carlton Agudosi</t>
  </si>
  <si>
    <t>Krishawn Hogan</t>
  </si>
  <si>
    <t>Jeremy Ross</t>
  </si>
  <si>
    <t>Marquis Bundy</t>
  </si>
  <si>
    <t>Aaron Dobson</t>
  </si>
  <si>
    <t>Brittan Golden</t>
  </si>
  <si>
    <t>Chad Williams</t>
  </si>
  <si>
    <t>Dare Ogunbowale</t>
  </si>
  <si>
    <t>Akeem Hunt</t>
  </si>
  <si>
    <t>Tyler Ervin</t>
  </si>
  <si>
    <t>Jay Prosch</t>
  </si>
  <si>
    <t>Dres Anderson</t>
  </si>
  <si>
    <t>DeAndrew White</t>
  </si>
  <si>
    <t>Devin Street</t>
  </si>
  <si>
    <t>Justin Hardee</t>
  </si>
  <si>
    <t>Riley McCarron</t>
  </si>
  <si>
    <t>Wendall Williams</t>
  </si>
  <si>
    <t>Marcus Leak</t>
  </si>
  <si>
    <t>Tyler Gaffney</t>
  </si>
  <si>
    <t>Tommy Bohanon</t>
  </si>
  <si>
    <t>Tim Cook</t>
  </si>
  <si>
    <t>Marquez Williams</t>
  </si>
  <si>
    <t>Corey Grant</t>
  </si>
  <si>
    <t>I'Tavius Mathers</t>
  </si>
  <si>
    <t>Keelan Cole</t>
  </si>
  <si>
    <t>Dede Westbrook</t>
  </si>
  <si>
    <t>Arrelious Benn</t>
  </si>
  <si>
    <t>Kenneth Walker III</t>
  </si>
  <si>
    <t>Amba Etta-Tawo</t>
  </si>
  <si>
    <t>Larry Pinkard</t>
  </si>
  <si>
    <t>Rashad Greene Sr.</t>
  </si>
  <si>
    <t>Jamal Robinson</t>
  </si>
  <si>
    <t>Shane Wynn</t>
  </si>
  <si>
    <t>Senorise Perry</t>
  </si>
  <si>
    <t>De'Veon Smith</t>
  </si>
  <si>
    <t>Storm Johnson</t>
  </si>
  <si>
    <t>Isaiah Ford</t>
  </si>
  <si>
    <t>Rashawn Scott</t>
  </si>
  <si>
    <t>Jakeem Grant</t>
  </si>
  <si>
    <t>Francis Owusu</t>
  </si>
  <si>
    <t>Drew Morgan</t>
  </si>
  <si>
    <t>Damore'ea Stringfellow</t>
  </si>
  <si>
    <t>Leonte Carroo</t>
  </si>
  <si>
    <t>Jordan Westerkamp</t>
  </si>
  <si>
    <t>Malcolm Lewis</t>
  </si>
  <si>
    <t>Mitch Mathews</t>
  </si>
  <si>
    <t>Austin Johnson</t>
  </si>
  <si>
    <t>Peyton Barber</t>
  </si>
  <si>
    <t>Russell Hansbrough</t>
  </si>
  <si>
    <t>Quayvon Hicks</t>
  </si>
  <si>
    <t>Blake Sims</t>
  </si>
  <si>
    <t>Donteea Dye</t>
  </si>
  <si>
    <t>Vincent Jackson</t>
  </si>
  <si>
    <t>Chris Godwin</t>
  </si>
  <si>
    <t>Bernard Reedy</t>
  </si>
  <si>
    <t>Freddie Martino</t>
  </si>
  <si>
    <t>Shaq Hill</t>
  </si>
  <si>
    <t>Josh Huff</t>
  </si>
  <si>
    <t>Bobo Wilson</t>
  </si>
  <si>
    <t>Derel Walker</t>
  </si>
  <si>
    <t>O.J. Howard</t>
  </si>
  <si>
    <t>Akeem Judd</t>
  </si>
  <si>
    <t>Khalfani Muhammad</t>
  </si>
  <si>
    <t>Brandon Radcliff</t>
  </si>
  <si>
    <t>Joe Bacci</t>
  </si>
  <si>
    <t>Jalston Fowler</t>
  </si>
  <si>
    <t>David Fluellen</t>
  </si>
  <si>
    <t>Harry Douglas</t>
  </si>
  <si>
    <t>Eric Weems</t>
  </si>
  <si>
    <t>Darius Jennings</t>
  </si>
  <si>
    <t>Mekale McKay</t>
  </si>
  <si>
    <t>Tre McBride</t>
  </si>
  <si>
    <t>KeVonn Mabon</t>
  </si>
  <si>
    <t>Jonathan Krause</t>
  </si>
  <si>
    <t>Giovanni Pascascio</t>
  </si>
  <si>
    <t>Jamize Olawale</t>
  </si>
  <si>
    <t>George Atkinson III</t>
  </si>
  <si>
    <t>John Crockett</t>
  </si>
  <si>
    <t>Cordarrelle Patterson</t>
  </si>
  <si>
    <t>Ishmael Zamora</t>
  </si>
  <si>
    <t>Isaac Whitney</t>
  </si>
  <si>
    <t>Johnny Holton</t>
  </si>
  <si>
    <t>K.J. Brent</t>
  </si>
  <si>
    <t>Keon Hatcher</t>
  </si>
  <si>
    <t>Jaydon Mickens</t>
  </si>
  <si>
    <t>Corey Clement</t>
  </si>
  <si>
    <t>Byron Marshall</t>
  </si>
  <si>
    <t>Marcus Johnson</t>
  </si>
  <si>
    <t>David Watford</t>
  </si>
  <si>
    <t>Paul Turner</t>
  </si>
  <si>
    <t>Bryce Treggs</t>
  </si>
  <si>
    <t>Mack Hollins</t>
  </si>
  <si>
    <t>Shelton Gibson</t>
  </si>
  <si>
    <t>Greg Ward Jr.</t>
  </si>
  <si>
    <t>Matt Jones</t>
  </si>
  <si>
    <t>Kenny Hilliard</t>
  </si>
  <si>
    <t>Mack Brown</t>
  </si>
  <si>
    <t>Maurice Harris</t>
  </si>
  <si>
    <t>Kendal Thompson</t>
  </si>
  <si>
    <t>Matt Hazel</t>
  </si>
  <si>
    <t>Zach Pascal</t>
  </si>
  <si>
    <t>Levern Jacobs</t>
  </si>
  <si>
    <t>James Quick</t>
  </si>
  <si>
    <t>Robert Davis</t>
  </si>
  <si>
    <t>Vernon Davis</t>
  </si>
  <si>
    <t xml:space="preserve">Redskins </t>
  </si>
  <si>
    <t>Troymaine Pope</t>
  </si>
  <si>
    <t>Dalton Crossan</t>
  </si>
  <si>
    <t>Christine Michael</t>
  </si>
  <si>
    <t>Josh Ferguson</t>
  </si>
  <si>
    <t>Chester Rogers</t>
  </si>
  <si>
    <t>Harvey Binford</t>
  </si>
  <si>
    <t>Quan Bray</t>
  </si>
  <si>
    <t>Chris Briggs</t>
  </si>
  <si>
    <t>Bug Howard</t>
  </si>
  <si>
    <t>JoJo Natson Jr.</t>
  </si>
  <si>
    <t>Tevaun Smith</t>
  </si>
  <si>
    <t>Fred Brown</t>
  </si>
  <si>
    <t>Aaron Green</t>
  </si>
  <si>
    <t>Lance Dunbar</t>
  </si>
  <si>
    <t>Justin Davis</t>
  </si>
  <si>
    <t>De'Mard Llorens</t>
  </si>
  <si>
    <t>Sam Rogers</t>
  </si>
  <si>
    <t>Lenard Tillery</t>
  </si>
  <si>
    <t>Justin Thomas</t>
  </si>
  <si>
    <t>Paul McRoberts</t>
  </si>
  <si>
    <t>Brandon Shippen</t>
  </si>
  <si>
    <t>Nelson Spruce</t>
  </si>
  <si>
    <t>Shakeir Ryan</t>
  </si>
  <si>
    <t>C.J. Germany</t>
  </si>
  <si>
    <t>Josh Reynolds</t>
  </si>
  <si>
    <t>K.D. Cannon</t>
  </si>
  <si>
    <t>Mike Thomas</t>
  </si>
  <si>
    <t>Kalif Phillips</t>
  </si>
  <si>
    <t>Joe Kerridge</t>
  </si>
  <si>
    <t>Aaron Ripkowski</t>
  </si>
  <si>
    <t>William Stanback</t>
  </si>
  <si>
    <t>DeAngelo Yancey</t>
  </si>
  <si>
    <t>Michael Clark</t>
  </si>
  <si>
    <t>Montay Crockett</t>
  </si>
  <si>
    <t>Trevor Davis</t>
  </si>
  <si>
    <t>Max McCaffrey</t>
  </si>
  <si>
    <t>Colby Pearson</t>
  </si>
  <si>
    <t>Geronimo Allison</t>
  </si>
  <si>
    <t>Malachi Dupre</t>
  </si>
  <si>
    <t>J.D. McKissic</t>
  </si>
  <si>
    <t>Mike Davis</t>
  </si>
  <si>
    <t>Alex Collins</t>
  </si>
  <si>
    <t>Kyle Coleman</t>
  </si>
  <si>
    <t>Chris Carson</t>
  </si>
  <si>
    <t>Tre Madden</t>
  </si>
  <si>
    <t>Marcel Reece</t>
  </si>
  <si>
    <t>Jamel Johnson</t>
  </si>
  <si>
    <t>Tanner McEvoy</t>
  </si>
  <si>
    <t>Amara Darboh</t>
  </si>
  <si>
    <t>Cyril Grayson</t>
  </si>
  <si>
    <t>David Moore</t>
  </si>
  <si>
    <t>Kenny Lawler</t>
  </si>
  <si>
    <t>Darreus Rogers</t>
  </si>
  <si>
    <t>Kasen Williams</t>
  </si>
  <si>
    <t>Matt Breida</t>
  </si>
  <si>
    <t>Tyler McCloskey</t>
  </si>
  <si>
    <t>Kyle Juszczyk</t>
  </si>
  <si>
    <t>Raheem Mostert</t>
  </si>
  <si>
    <t>Kapri Bibbs</t>
  </si>
  <si>
    <t>DeAndre Carter</t>
  </si>
  <si>
    <t>Trent Taylor</t>
  </si>
  <si>
    <t>Louis Murphy</t>
  </si>
  <si>
    <t>Tim Patrick</t>
  </si>
  <si>
    <t>Victor Bolden Jr.</t>
  </si>
  <si>
    <t>Aaron Burbridge</t>
  </si>
  <si>
    <t>Kendrick Bourne</t>
  </si>
  <si>
    <t>DeAndre Smelter</t>
  </si>
  <si>
    <t>Cameron Artis-Payne</t>
  </si>
  <si>
    <t>Darrel Young</t>
  </si>
  <si>
    <t>Alex Armah</t>
  </si>
  <si>
    <t>Jalen Simmons</t>
  </si>
  <si>
    <t>Fred Ross</t>
  </si>
  <si>
    <t>Keyarris Garrett</t>
  </si>
  <si>
    <t>Mose Frazier</t>
  </si>
  <si>
    <t>Austin Duke</t>
  </si>
  <si>
    <t>Damiere Byrd</t>
  </si>
  <si>
    <t>Kaelin Clay</t>
  </si>
  <si>
    <t>Trevor Graham</t>
  </si>
  <si>
    <t>Brenton Bersin</t>
  </si>
  <si>
    <t>Keith Smith</t>
  </si>
  <si>
    <t>Ronnie Hillman</t>
  </si>
  <si>
    <t>Brice Butler</t>
  </si>
  <si>
    <t>Ryan Switzer</t>
  </si>
  <si>
    <t>Noah Brown</t>
  </si>
  <si>
    <t>Brian Brown</t>
  </si>
  <si>
    <t>Uzoma Nwachukwu</t>
  </si>
  <si>
    <t>Andy Jones</t>
  </si>
  <si>
    <t>Javontee Herndon</t>
  </si>
  <si>
    <t>Lance Lenoir</t>
  </si>
  <si>
    <t>Shaun Draughn</t>
  </si>
  <si>
    <t>Rashad Jennings</t>
  </si>
  <si>
    <t>Shane Smith</t>
  </si>
  <si>
    <t>Jacob Huesman</t>
  </si>
  <si>
    <t>Khalid Abdullah</t>
  </si>
  <si>
    <t>Jerome Lane</t>
  </si>
  <si>
    <t>Travis Rudolph</t>
  </si>
  <si>
    <t>Kevin Snead</t>
  </si>
  <si>
    <t>Keeon Johnson</t>
  </si>
  <si>
    <t>Darius Powe</t>
  </si>
  <si>
    <t>Kevin Norwood</t>
  </si>
  <si>
    <t>Dwayne Harris</t>
  </si>
  <si>
    <t>Julius Thomas</t>
  </si>
  <si>
    <t xml:space="preserve">Seahawks </t>
  </si>
  <si>
    <t xml:space="preserve">Cowboys </t>
  </si>
  <si>
    <t>Evan Engram</t>
  </si>
  <si>
    <t>Zach Miller</t>
  </si>
  <si>
    <t>Benjamin Watson</t>
  </si>
  <si>
    <t xml:space="preserve">Ravens </t>
  </si>
  <si>
    <t xml:space="preserve">Cardinals </t>
  </si>
  <si>
    <t xml:space="preserve">Dolphins </t>
  </si>
  <si>
    <t>Vance McDonald</t>
  </si>
  <si>
    <t>Austin Seferian-Jenkins</t>
  </si>
  <si>
    <t>David Njoku</t>
  </si>
  <si>
    <t>Jermaine Gresham</t>
  </si>
  <si>
    <t xml:space="preserve">Eagles </t>
  </si>
  <si>
    <t>Erik Swoope</t>
  </si>
  <si>
    <t xml:space="preserve">Colts </t>
  </si>
  <si>
    <t>Richard Rodgers</t>
  </si>
  <si>
    <t>Maxx Williams</t>
  </si>
  <si>
    <t xml:space="preserve">Lions </t>
  </si>
  <si>
    <t xml:space="preserve">Titans </t>
  </si>
  <si>
    <t>Tyler Higbee</t>
  </si>
  <si>
    <t>Garrett Celek</t>
  </si>
  <si>
    <t>Will Tye</t>
  </si>
  <si>
    <t xml:space="preserve">Giants </t>
  </si>
  <si>
    <t>Nick O'Leary</t>
  </si>
  <si>
    <t>Wes Saxton</t>
  </si>
  <si>
    <t>Jason Croom</t>
  </si>
  <si>
    <t>Logan Thomas</t>
  </si>
  <si>
    <t>Eric Tomlinson</t>
  </si>
  <si>
    <t>Chris Gragg</t>
  </si>
  <si>
    <t>Jordan Leggett</t>
  </si>
  <si>
    <t>Jason Vander Laan</t>
  </si>
  <si>
    <t>Eric Saubert</t>
  </si>
  <si>
    <t>Levine Toilolo</t>
  </si>
  <si>
    <t>Alex Gray</t>
  </si>
  <si>
    <t>Jacob Tamme</t>
  </si>
  <si>
    <t>Joshua Perkins</t>
  </si>
  <si>
    <t>Darion Griswold</t>
  </si>
  <si>
    <t>Patrick Scales</t>
  </si>
  <si>
    <t>Daniel Brown</t>
  </si>
  <si>
    <t>Dion Sims</t>
  </si>
  <si>
    <t>MyCole Pruitt</t>
  </si>
  <si>
    <t>Ben Braunecker</t>
  </si>
  <si>
    <t>Adam Shaheen</t>
  </si>
  <si>
    <t>Tyler Kroft</t>
  </si>
  <si>
    <t>C.J. Uzomah</t>
  </si>
  <si>
    <t>Cethan Carter</t>
  </si>
  <si>
    <t>Mason Schreck</t>
  </si>
  <si>
    <t>Ryan Hewitt</t>
  </si>
  <si>
    <t>Clark Harris</t>
  </si>
  <si>
    <t>Larry Donnell</t>
  </si>
  <si>
    <t>Ryan Malleck</t>
  </si>
  <si>
    <t>Nick Boyle</t>
  </si>
  <si>
    <t>Randall Telfer</t>
  </si>
  <si>
    <t>Gary Barnidge</t>
  </si>
  <si>
    <t>J.P. Holtz</t>
  </si>
  <si>
    <t>Seth DeValve</t>
  </si>
  <si>
    <t>Taylor McNamara</t>
  </si>
  <si>
    <t>Nate Iese</t>
  </si>
  <si>
    <t>Jake McGee</t>
  </si>
  <si>
    <t>Ladarius Green</t>
  </si>
  <si>
    <t>Xavier Grimble</t>
  </si>
  <si>
    <t>Phazahn Odom</t>
  </si>
  <si>
    <t>Robert Tonyan</t>
  </si>
  <si>
    <t>Darren Fells</t>
  </si>
  <si>
    <t>Cole Wick</t>
  </si>
  <si>
    <t>Khari Lee</t>
  </si>
  <si>
    <t>Michael Roberts</t>
  </si>
  <si>
    <t>Brandon Barnes</t>
  </si>
  <si>
    <t>Hakeem Valles</t>
  </si>
  <si>
    <t>Ricky Seals-Jones</t>
  </si>
  <si>
    <t>Troy Niklas</t>
  </si>
  <si>
    <t>Gerald Christian</t>
  </si>
  <si>
    <t>Ifeanyi Momah</t>
  </si>
  <si>
    <t>Evan Baylis</t>
  </si>
  <si>
    <t>RaShaun Allen</t>
  </si>
  <si>
    <t>Stephen Anderson</t>
  </si>
  <si>
    <t>Marcedes Lewis</t>
  </si>
  <si>
    <t>Ben Koyack</t>
  </si>
  <si>
    <t>Alex Ellis</t>
  </si>
  <si>
    <t>Neal Sterling</t>
  </si>
  <si>
    <t>Caleb Bluiett</t>
  </si>
  <si>
    <t>Mychal Rivera</t>
  </si>
  <si>
    <t>MarQueis Gray</t>
  </si>
  <si>
    <t>Chris Pantale</t>
  </si>
  <si>
    <t>Anthony Fasano</t>
  </si>
  <si>
    <t>Thomas Duarte</t>
  </si>
  <si>
    <t>Antony Auclair</t>
  </si>
  <si>
    <t>Luke Stocker</t>
  </si>
  <si>
    <t>Alan Cross</t>
  </si>
  <si>
    <t>Tevin Westbrook</t>
  </si>
  <si>
    <t>Jonnu Smith</t>
  </si>
  <si>
    <t>Tim Semisch</t>
  </si>
  <si>
    <t>Jace Amaro</t>
  </si>
  <si>
    <t>Jerome Cunningham</t>
  </si>
  <si>
    <t>Phillip Supernaw</t>
  </si>
  <si>
    <t>Beau Brinkley</t>
  </si>
  <si>
    <t>Lee Smith</t>
  </si>
  <si>
    <t>Cooper Helfet</t>
  </si>
  <si>
    <t>Gabe Holmes</t>
  </si>
  <si>
    <t>Clive Walford</t>
  </si>
  <si>
    <t>Ryan O'Malley</t>
  </si>
  <si>
    <t>Pharaoh Brown</t>
  </si>
  <si>
    <t xml:space="preserve">Raiders </t>
  </si>
  <si>
    <t>Brent Celek</t>
  </si>
  <si>
    <t>Trey Burton</t>
  </si>
  <si>
    <t>Anthony Denham</t>
  </si>
  <si>
    <t>Adam Zaruba</t>
  </si>
  <si>
    <t>Billy Brown</t>
  </si>
  <si>
    <t>E.J. Bibbs</t>
  </si>
  <si>
    <t>Derek Carrier</t>
  </si>
  <si>
    <t>Jeremy Sprinkle</t>
  </si>
  <si>
    <t>Manasseh Garner</t>
  </si>
  <si>
    <t>Niles Paul</t>
  </si>
  <si>
    <t>Brandon Williams</t>
  </si>
  <si>
    <t>Steven Wroblewski</t>
  </si>
  <si>
    <t>Darrell Daniels</t>
  </si>
  <si>
    <t>Henry Krieger-Coble</t>
  </si>
  <si>
    <t>Johnny Mundt</t>
  </si>
  <si>
    <t>Gerald Everett</t>
  </si>
  <si>
    <t>Temarrick Hemingway</t>
  </si>
  <si>
    <t>Cory Harkey</t>
  </si>
  <si>
    <t>Travis Wilson</t>
  </si>
  <si>
    <t>Emanuel Byrd</t>
  </si>
  <si>
    <t>Lance Kendricks</t>
  </si>
  <si>
    <t>Beau Sandland</t>
  </si>
  <si>
    <t>Aaron Peck</t>
  </si>
  <si>
    <t xml:space="preserve">Packers </t>
  </si>
  <si>
    <t>Luke Willson</t>
  </si>
  <si>
    <t>Tyler Ott</t>
  </si>
  <si>
    <t>Marcus Lucas</t>
  </si>
  <si>
    <t>Stevie Donatell</t>
  </si>
  <si>
    <t>Nick Vannett</t>
  </si>
  <si>
    <t>Tyrone Swoopes</t>
  </si>
  <si>
    <t>George Kittle</t>
  </si>
  <si>
    <t>Cole Hikutini</t>
  </si>
  <si>
    <t>Kyle Nelson</t>
  </si>
  <si>
    <t>Logan Paulsen</t>
  </si>
  <si>
    <t>Blake Bell</t>
  </si>
  <si>
    <t>Eric Wallace</t>
  </si>
  <si>
    <t>Ed Dickson</t>
  </si>
  <si>
    <t>Scott Simonson</t>
  </si>
  <si>
    <t>Chris Manhertz</t>
  </si>
  <si>
    <t>Bryce Williams</t>
  </si>
  <si>
    <t>Rico Gathers</t>
  </si>
  <si>
    <t>Connor Hamlett</t>
  </si>
  <si>
    <t>Blake Jarwin</t>
  </si>
  <si>
    <t>Geoff Swaim</t>
  </si>
  <si>
    <t>James Hanna</t>
  </si>
  <si>
    <t>Rhett Ellison</t>
  </si>
  <si>
    <t>Matt LaCosse</t>
  </si>
  <si>
    <t>Jerell Adams</t>
  </si>
  <si>
    <t>Colin Thompson</t>
  </si>
  <si>
    <t xml:space="preserve">Jets </t>
  </si>
  <si>
    <t xml:space="preserve">Bears </t>
  </si>
  <si>
    <t xml:space="preserve">49ers </t>
  </si>
  <si>
    <t xml:space="preserve">Browns </t>
  </si>
  <si>
    <t>QB 1</t>
  </si>
  <si>
    <t>RB 1</t>
  </si>
  <si>
    <t>RB 2</t>
  </si>
  <si>
    <t>RB 3</t>
  </si>
  <si>
    <t>WR 1</t>
  </si>
  <si>
    <t>WR 2</t>
  </si>
  <si>
    <t>WR 3</t>
  </si>
  <si>
    <t>WR 4</t>
  </si>
  <si>
    <t>TE 1</t>
  </si>
  <si>
    <t>TE 2</t>
  </si>
  <si>
    <t>DST 1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</si>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</sst>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4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F15" sqref="F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2" t="s">
        <v>15</v>
      </c>
      <c r="E2" s="42"/>
      <c r="F2" s="42"/>
      <c r="G2" s="42"/>
      <c r="H2" s="42"/>
      <c r="I2" s="42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3" t="s">
        <v>17</v>
      </c>
      <c r="E3" s="43"/>
      <c r="F3" s="43"/>
      <c r="G3" s="43"/>
      <c r="H3" s="43"/>
      <c r="I3" s="43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Solver'!O11</f>
        <v>0</v>
      </c>
      <c r="E15" s="36"/>
      <c r="F15" s="41" t="e">
        <f>'DraftKings Basketball  Solver'!O17</f>
        <v>#N/A</v>
      </c>
      <c r="G15" s="40" t="e">
        <f>'DraftKings Basketball  Solver'!O18</f>
        <v>#N/A</v>
      </c>
      <c r="H15" s="41" t="e">
        <f>'DraftKings Basketball  Solver'!O19</f>
        <v>#N/A</v>
      </c>
      <c r="I15" s="40" t="e">
        <f>'DraftKings Basketball  Solver'!O20</f>
        <v>#N/A</v>
      </c>
      <c r="J15" s="41" t="e">
        <f>'DraftKings Basketball  Solver'!O25</f>
        <v>#N/A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Solver'!O8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Solver'!O21</f>
        <v>#N/A</v>
      </c>
      <c r="G17" s="41" t="e">
        <f>'DraftKings Basketball  Solver'!O22</f>
        <v>#N/A</v>
      </c>
      <c r="H17" s="40" t="e">
        <f>'DraftKings Basketball  Solver'!O23</f>
        <v>#N/A</v>
      </c>
      <c r="I17" s="41" t="e">
        <f>'DraftKings Basketball  Solver'!O24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topLeftCell="C1" zoomScale="106" zoomScaleNormal="106" workbookViewId="0">
      <selection activeCell="Q6" sqref="Q6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6</v>
      </c>
      <c r="C1" t="s">
        <v>7</v>
      </c>
      <c r="D1" t="s">
        <v>2</v>
      </c>
      <c r="E1" t="s">
        <v>3</v>
      </c>
      <c r="F1" t="s">
        <v>4</v>
      </c>
      <c r="G1" t="s">
        <v>5</v>
      </c>
      <c r="H1" t="s">
        <v>64</v>
      </c>
      <c r="I1" t="s">
        <v>33</v>
      </c>
      <c r="J1" t="s">
        <v>40</v>
      </c>
      <c r="K1" t="s">
        <v>92</v>
      </c>
      <c r="L1" t="s">
        <v>269</v>
      </c>
      <c r="N1" t="s">
        <v>0</v>
      </c>
      <c r="O1" t="s">
        <v>8</v>
      </c>
      <c r="P1" t="s">
        <v>9</v>
      </c>
      <c r="Q1" t="s">
        <v>871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t="str">
        <f>RawData!A2</f>
        <v>RB</v>
      </c>
      <c r="E2" t="str">
        <f>RawData!B2</f>
        <v>David Johnson</v>
      </c>
      <c r="F2">
        <f>(RawData!E2)</f>
        <v>26.613</v>
      </c>
      <c r="G2" s="35">
        <f>RawData!C2</f>
        <v>9400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N2" t="s">
        <v>64</v>
      </c>
      <c r="O2">
        <v>1</v>
      </c>
      <c r="P2">
        <f>SUM(H2:H339)</f>
        <v>0</v>
      </c>
      <c r="Q2">
        <v>1</v>
      </c>
      <c r="T2">
        <f>SUM(C:C)</f>
        <v>0</v>
      </c>
    </row>
    <row r="3" spans="1:20" x14ac:dyDescent="0.25">
      <c r="A3" s="1">
        <f t="shared" ref="A3:A66" si="1">IF(C3=1,D3,0)</f>
        <v>0</v>
      </c>
      <c r="B3" s="1">
        <f>IF(C3=0,0,A3&amp;" "&amp;COUNTIF($A$1:$A3,A3))</f>
        <v>0</v>
      </c>
      <c r="C3" s="1">
        <v>0</v>
      </c>
      <c r="D3" s="2" t="str">
        <f>RawData!A3</f>
        <v>RB</v>
      </c>
      <c r="E3" s="2" t="str">
        <f>RawData!B3</f>
        <v>Le'Veon Bell</v>
      </c>
      <c r="F3" s="2">
        <f>(RawData!E3)</f>
        <v>26.292999999999999</v>
      </c>
      <c r="G3" s="35">
        <f>RawData!C3</f>
        <v>9800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33</v>
      </c>
      <c r="O3">
        <v>3</v>
      </c>
      <c r="P3">
        <f>SUM(I2:I339)</f>
        <v>0</v>
      </c>
      <c r="Q3">
        <v>2</v>
      </c>
    </row>
    <row r="4" spans="1:20" x14ac:dyDescent="0.25">
      <c r="A4" s="1">
        <f t="shared" si="1"/>
        <v>0</v>
      </c>
      <c r="B4" s="1">
        <f>IF(C4=0,0,A4&amp;" "&amp;COUNTIF($A$1:$A4,A4))</f>
        <v>0</v>
      </c>
      <c r="C4" s="1">
        <v>0</v>
      </c>
      <c r="D4" s="2" t="str">
        <f>RawData!A4</f>
        <v>QB</v>
      </c>
      <c r="E4" s="2" t="str">
        <f>RawData!B4</f>
        <v>Aaron Rodgers</v>
      </c>
      <c r="F4" s="2">
        <f>(RawData!E4)</f>
        <v>26.073</v>
      </c>
      <c r="G4" s="35">
        <f>RawData!C4</f>
        <v>7000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40</v>
      </c>
      <c r="O4">
        <v>4</v>
      </c>
      <c r="P4">
        <f>SUM(J2:J339)</f>
        <v>0</v>
      </c>
      <c r="Q4">
        <v>3</v>
      </c>
    </row>
    <row r="5" spans="1:20" x14ac:dyDescent="0.25">
      <c r="A5" s="1">
        <f t="shared" si="1"/>
        <v>0</v>
      </c>
      <c r="B5" s="1">
        <f>IF(C5=0,0,A5&amp;" "&amp;COUNTIF($A$1:$A5,A5))</f>
        <v>0</v>
      </c>
      <c r="C5" s="1">
        <v>0</v>
      </c>
      <c r="D5" s="2" t="str">
        <f>RawData!A5</f>
        <v>QB</v>
      </c>
      <c r="E5" s="2" t="str">
        <f>RawData!B5</f>
        <v>Matt Ryan</v>
      </c>
      <c r="F5" s="2">
        <f>(RawData!E5)</f>
        <v>24.759</v>
      </c>
      <c r="G5" s="35">
        <f>RawData!C5</f>
        <v>6900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92</v>
      </c>
      <c r="O5">
        <v>2</v>
      </c>
      <c r="P5">
        <f>SUM(K2:K339)</f>
        <v>0</v>
      </c>
      <c r="Q5">
        <v>1</v>
      </c>
    </row>
    <row r="6" spans="1:20" x14ac:dyDescent="0.25">
      <c r="A6" s="1">
        <f t="shared" si="1"/>
        <v>0</v>
      </c>
      <c r="B6" s="1">
        <f>IF(C6=0,0,A6&amp;" "&amp;COUNTIF($A$1:$A6,A6))</f>
        <v>0</v>
      </c>
      <c r="C6" s="1">
        <v>0</v>
      </c>
      <c r="D6" s="2" t="str">
        <f>RawData!A6</f>
        <v>RB</v>
      </c>
      <c r="E6" s="2" t="str">
        <f>RawData!B6</f>
        <v>Ezekiel Elliott</v>
      </c>
      <c r="F6" s="2">
        <f>(RawData!E6)</f>
        <v>22.731000000000002</v>
      </c>
      <c r="G6" s="35">
        <f>RawData!C6</f>
        <v>8100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269</v>
      </c>
      <c r="O6">
        <v>1</v>
      </c>
      <c r="P6">
        <f>SUM(L2:L339)</f>
        <v>0</v>
      </c>
      <c r="Q6">
        <v>1</v>
      </c>
    </row>
    <row r="7" spans="1:20" x14ac:dyDescent="0.25">
      <c r="A7" s="1">
        <f t="shared" si="1"/>
        <v>0</v>
      </c>
      <c r="B7" s="1">
        <f>IF(C7=0,0,A7&amp;" "&amp;COUNTIF($A$1:$A7,A7))</f>
        <v>0</v>
      </c>
      <c r="C7" s="1">
        <v>0</v>
      </c>
      <c r="D7" s="2" t="str">
        <f>RawData!A7</f>
        <v>QB</v>
      </c>
      <c r="E7" s="2" t="str">
        <f>RawData!B7</f>
        <v>Andrew Luck</v>
      </c>
      <c r="F7" s="2">
        <f>(RawData!E7)</f>
        <v>22.713000000000001</v>
      </c>
      <c r="G7" s="35">
        <f>RawData!C7</f>
        <v>6500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 s="1">
        <f t="shared" si="1"/>
        <v>0</v>
      </c>
      <c r="B8" s="1">
        <f>IF(C8=0,0,A8&amp;" "&amp;COUNTIF($A$1:$A8,A8))</f>
        <v>0</v>
      </c>
      <c r="C8" s="1">
        <v>0</v>
      </c>
      <c r="D8" s="2" t="str">
        <f>RawData!A8</f>
        <v>WR</v>
      </c>
      <c r="E8" s="2" t="str">
        <f>RawData!B8</f>
        <v>Antonio Brown</v>
      </c>
      <c r="F8" s="2">
        <f>(RawData!E8)</f>
        <v>21.456</v>
      </c>
      <c r="G8" s="35">
        <f>RawData!C8</f>
        <v>8800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10</v>
      </c>
      <c r="O8">
        <f>SUMPRODUCT(C2:C239,G2:G239)</f>
        <v>0</v>
      </c>
    </row>
    <row r="9" spans="1:20" x14ac:dyDescent="0.25">
      <c r="A9" s="1">
        <f t="shared" si="1"/>
        <v>0</v>
      </c>
      <c r="B9" s="1">
        <f>IF(C9=0,0,A9&amp;" "&amp;COUNTIF($A$1:$A9,A9))</f>
        <v>0</v>
      </c>
      <c r="C9" s="1">
        <v>0</v>
      </c>
      <c r="D9" s="2" t="str">
        <f>RawData!A9</f>
        <v>RB</v>
      </c>
      <c r="E9" s="2" t="str">
        <f>RawData!B9</f>
        <v>LeSean McCoy</v>
      </c>
      <c r="F9" s="2">
        <f>(RawData!E9)</f>
        <v>21.286999999999999</v>
      </c>
      <c r="G9" s="35">
        <f>RawData!C9</f>
        <v>8200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11</v>
      </c>
      <c r="O9">
        <f>50000</f>
        <v>50000</v>
      </c>
    </row>
    <row r="10" spans="1:20" x14ac:dyDescent="0.25">
      <c r="A10" s="1">
        <f t="shared" si="1"/>
        <v>0</v>
      </c>
      <c r="B10" s="1">
        <f>IF(C10=0,0,A10&amp;" "&amp;COUNTIF($A$1:$A10,A10))</f>
        <v>0</v>
      </c>
      <c r="C10" s="1">
        <v>0</v>
      </c>
      <c r="D10" s="2" t="str">
        <f>RawData!A10</f>
        <v>QB</v>
      </c>
      <c r="E10" s="2" t="str">
        <f>RawData!B10</f>
        <v>Kirk Cousins</v>
      </c>
      <c r="F10" s="2">
        <f>(RawData!E10)</f>
        <v>21.018000000000001</v>
      </c>
      <c r="G10" s="35">
        <f>RawData!C10</f>
        <v>6400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 s="1">
        <f t="shared" si="1"/>
        <v>0</v>
      </c>
      <c r="B11" s="1">
        <f>IF(C11=0,0,A11&amp;" "&amp;COUNTIF($A$1:$A11,A11))</f>
        <v>0</v>
      </c>
      <c r="C11" s="1">
        <v>0</v>
      </c>
      <c r="D11" s="2" t="str">
        <f>RawData!A11</f>
        <v>WR</v>
      </c>
      <c r="E11" s="2" t="str">
        <f>RawData!B11</f>
        <v>Julio Jones</v>
      </c>
      <c r="F11" s="2">
        <f>(RawData!E11)</f>
        <v>20.094000000000001</v>
      </c>
      <c r="G11" s="35">
        <f>RawData!C11</f>
        <v>8500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12</v>
      </c>
      <c r="O11">
        <f>SUMPRODUCT(C2:C339,F2:F339)</f>
        <v>0</v>
      </c>
    </row>
    <row r="12" spans="1:20" x14ac:dyDescent="0.25">
      <c r="A12" s="1">
        <f t="shared" si="1"/>
        <v>0</v>
      </c>
      <c r="B12" s="1">
        <f>IF(C12=0,0,A12&amp;" "&amp;COUNTIF($A$1:$A12,A12))</f>
        <v>0</v>
      </c>
      <c r="C12" s="1">
        <v>0</v>
      </c>
      <c r="D12" s="2" t="str">
        <f>RawData!A12</f>
        <v>WR</v>
      </c>
      <c r="E12" s="2" t="str">
        <f>RawData!B12</f>
        <v>A.J. Green</v>
      </c>
      <c r="F12" s="2">
        <f>(RawData!E12)</f>
        <v>19.84</v>
      </c>
      <c r="G12" s="35">
        <f>RawData!C12</f>
        <v>8000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/>
    </row>
    <row r="13" spans="1:20" x14ac:dyDescent="0.25">
      <c r="A13" s="1">
        <f t="shared" si="1"/>
        <v>0</v>
      </c>
      <c r="B13" s="1">
        <f>IF(C13=0,0,A13&amp;" "&amp;COUNTIF($A$1:$A13,A13))</f>
        <v>0</v>
      </c>
      <c r="C13" s="1">
        <v>0</v>
      </c>
      <c r="D13" s="2" t="str">
        <f>RawData!A13</f>
        <v>WR</v>
      </c>
      <c r="E13" s="2" t="str">
        <f>RawData!B13</f>
        <v>Mike Evans</v>
      </c>
      <c r="F13" s="2">
        <f>(RawData!E13)</f>
        <v>19.756</v>
      </c>
      <c r="G13" s="35">
        <f>RawData!C13</f>
        <v>7800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13</v>
      </c>
      <c r="O13">
        <v>9</v>
      </c>
    </row>
    <row r="14" spans="1:20" x14ac:dyDescent="0.25">
      <c r="A14" s="1">
        <f t="shared" si="1"/>
        <v>0</v>
      </c>
      <c r="B14" s="1">
        <f>IF(C14=0,0,A14&amp;" "&amp;COUNTIF($A$1:$A14,A14))</f>
        <v>0</v>
      </c>
      <c r="C14" s="1">
        <v>0</v>
      </c>
      <c r="D14" s="2" t="str">
        <f>RawData!A14</f>
        <v>QB</v>
      </c>
      <c r="E14" s="2" t="str">
        <f>RawData!B14</f>
        <v>Dak Prescott</v>
      </c>
      <c r="F14" s="2">
        <f>(RawData!E14)</f>
        <v>19.427</v>
      </c>
      <c r="G14" s="35">
        <f>RawData!C14</f>
        <v>6300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14</v>
      </c>
      <c r="O14">
        <f>SUM(C:C)</f>
        <v>0</v>
      </c>
    </row>
    <row r="15" spans="1:20" x14ac:dyDescent="0.25">
      <c r="A15" s="1">
        <f t="shared" si="1"/>
        <v>0</v>
      </c>
      <c r="B15" s="1">
        <f>IF(C15=0,0,A15&amp;" "&amp;COUNTIF($A$1:$A15,A15))</f>
        <v>0</v>
      </c>
      <c r="C15" s="1">
        <v>0</v>
      </c>
      <c r="D15" s="2" t="str">
        <f>RawData!A15</f>
        <v>RB</v>
      </c>
      <c r="E15" s="2" t="str">
        <f>RawData!B15</f>
        <v>DeMarco Murray</v>
      </c>
      <c r="F15" s="2">
        <f>(RawData!E15)</f>
        <v>19.363</v>
      </c>
      <c r="G15" s="35">
        <f>RawData!C15</f>
        <v>7400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 s="1">
        <f t="shared" si="1"/>
        <v>0</v>
      </c>
      <c r="B16" s="1">
        <f>IF(C16=0,0,A16&amp;" "&amp;COUNTIF($A$1:$A16,A16))</f>
        <v>0</v>
      </c>
      <c r="C16" s="1">
        <v>0</v>
      </c>
      <c r="D16" s="2" t="str">
        <f>RawData!A16</f>
        <v>QB</v>
      </c>
      <c r="E16" s="2" t="str">
        <f>RawData!B16</f>
        <v>Derek Carr</v>
      </c>
      <c r="F16" s="2">
        <f>(RawData!E16)</f>
        <v>19.298999999999999</v>
      </c>
      <c r="G16" s="35">
        <f>RawData!C16</f>
        <v>6700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16</v>
      </c>
    </row>
    <row r="17" spans="1:15" x14ac:dyDescent="0.25">
      <c r="A17" s="1">
        <f t="shared" si="1"/>
        <v>0</v>
      </c>
      <c r="B17" s="1">
        <f>IF(C17=0,0,A17&amp;" "&amp;COUNTIF($A$1:$A17,A17))</f>
        <v>0</v>
      </c>
      <c r="C17" s="1">
        <v>0</v>
      </c>
      <c r="D17" s="2" t="str">
        <f>RawData!A17</f>
        <v>QB</v>
      </c>
      <c r="E17" s="2" t="str">
        <f>RawData!B17</f>
        <v>Blake Bortles</v>
      </c>
      <c r="F17" s="2">
        <f>(RawData!E17)</f>
        <v>19.256</v>
      </c>
      <c r="G17" s="35">
        <f>RawData!C17</f>
        <v>4800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860</v>
      </c>
      <c r="O17" t="e">
        <f>VLOOKUP(N17,$B$2:$F$201,4,FALSE)</f>
        <v>#N/A</v>
      </c>
    </row>
    <row r="18" spans="1:15" x14ac:dyDescent="0.25">
      <c r="A18" s="1">
        <f t="shared" si="1"/>
        <v>0</v>
      </c>
      <c r="B18" s="1">
        <f>IF(C18=0,0,A18&amp;" "&amp;COUNTIF($A$1:$A18,A18))</f>
        <v>0</v>
      </c>
      <c r="C18" s="1">
        <v>0</v>
      </c>
      <c r="D18" s="2" t="str">
        <f>RawData!A18</f>
        <v>WR</v>
      </c>
      <c r="E18" s="2" t="str">
        <f>RawData!B18</f>
        <v>Jordy Nelson</v>
      </c>
      <c r="F18" s="2">
        <f>(RawData!E18)</f>
        <v>18.983000000000001</v>
      </c>
      <c r="G18" s="35">
        <f>RawData!C18</f>
        <v>7600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/>
      <c r="N18" t="s">
        <v>861</v>
      </c>
      <c r="O18" s="2" t="e">
        <f t="shared" ref="O18:O27" si="3">VLOOKUP(N18,$B$2:$F$201,4,FALSE)</f>
        <v>#N/A</v>
      </c>
    </row>
    <row r="19" spans="1:15" x14ac:dyDescent="0.25">
      <c r="A19" s="1">
        <f t="shared" si="1"/>
        <v>0</v>
      </c>
      <c r="B19" s="1">
        <f>IF(C19=0,0,A19&amp;" "&amp;COUNTIF($A$1:$A19,A19))</f>
        <v>0</v>
      </c>
      <c r="C19" s="1">
        <v>0</v>
      </c>
      <c r="D19" s="2" t="str">
        <f>RawData!A19</f>
        <v>QB</v>
      </c>
      <c r="E19" s="2" t="str">
        <f>RawData!B19</f>
        <v>Ben Roethlisberger</v>
      </c>
      <c r="F19" s="2">
        <f>(RawData!E19)</f>
        <v>18.98</v>
      </c>
      <c r="G19" s="35">
        <f>RawData!C19</f>
        <v>7300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s="2" t="s">
        <v>862</v>
      </c>
      <c r="O19" s="2" t="e">
        <f t="shared" si="3"/>
        <v>#N/A</v>
      </c>
    </row>
    <row r="20" spans="1:15" x14ac:dyDescent="0.25">
      <c r="A20" s="1">
        <f t="shared" si="1"/>
        <v>0</v>
      </c>
      <c r="B20" s="1">
        <f>IF(C20=0,0,A20&amp;" "&amp;COUNTIF($A$1:$A20,A20))</f>
        <v>0</v>
      </c>
      <c r="C20" s="1">
        <v>0</v>
      </c>
      <c r="D20" s="2" t="str">
        <f>RawData!A20</f>
        <v>QB</v>
      </c>
      <c r="E20" s="2" t="str">
        <f>RawData!B20</f>
        <v>Tyrod Taylor</v>
      </c>
      <c r="F20" s="2">
        <f>(RawData!E20)</f>
        <v>18.795000000000002</v>
      </c>
      <c r="G20" s="35">
        <f>RawData!C20</f>
        <v>6200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s="2" t="s">
        <v>863</v>
      </c>
      <c r="O20" s="2" t="e">
        <f t="shared" si="3"/>
        <v>#N/A</v>
      </c>
    </row>
    <row r="21" spans="1:15" x14ac:dyDescent="0.25">
      <c r="A21" s="1">
        <f t="shared" si="1"/>
        <v>0</v>
      </c>
      <c r="B21" s="1">
        <f>IF(C21=0,0,A21&amp;" "&amp;COUNTIF($A$1:$A21,A21))</f>
        <v>0</v>
      </c>
      <c r="C21" s="1">
        <v>0</v>
      </c>
      <c r="D21" s="2" t="str">
        <f>RawData!A21</f>
        <v>QB</v>
      </c>
      <c r="E21" s="2" t="str">
        <f>RawData!B21</f>
        <v>Cam Newton</v>
      </c>
      <c r="F21" s="2">
        <f>(RawData!E21)</f>
        <v>18.617000000000001</v>
      </c>
      <c r="G21" s="35">
        <f>RawData!C21</f>
        <v>7100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864</v>
      </c>
      <c r="O21" s="2" t="e">
        <f t="shared" si="3"/>
        <v>#N/A</v>
      </c>
    </row>
    <row r="22" spans="1:15" x14ac:dyDescent="0.25">
      <c r="A22" s="1">
        <f t="shared" si="1"/>
        <v>0</v>
      </c>
      <c r="B22" s="1">
        <f>IF(C22=0,0,A22&amp;" "&amp;COUNTIF($A$1:$A22,A22))</f>
        <v>0</v>
      </c>
      <c r="C22" s="1">
        <v>0</v>
      </c>
      <c r="D22" s="2" t="str">
        <f>RawData!A22</f>
        <v>WR</v>
      </c>
      <c r="E22" s="2" t="str">
        <f>RawData!B22</f>
        <v>Odell Beckham Jr.</v>
      </c>
      <c r="F22" s="2">
        <f>(RawData!E22)</f>
        <v>18.611999999999998</v>
      </c>
      <c r="G22" s="35">
        <f>RawData!C22</f>
        <v>8300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/>
      <c r="N22" s="2" t="s">
        <v>865</v>
      </c>
      <c r="O22" s="2" t="e">
        <f t="shared" si="3"/>
        <v>#N/A</v>
      </c>
    </row>
    <row r="23" spans="1:15" x14ac:dyDescent="0.25">
      <c r="A23" s="1">
        <f t="shared" si="1"/>
        <v>0</v>
      </c>
      <c r="B23" s="1">
        <f>IF(C23=0,0,A23&amp;" "&amp;COUNTIF($A$1:$A23,A23))</f>
        <v>0</v>
      </c>
      <c r="C23" s="1">
        <v>0</v>
      </c>
      <c r="D23" s="2" t="str">
        <f>RawData!A23</f>
        <v>QB</v>
      </c>
      <c r="E23" s="2" t="str">
        <f>RawData!B23</f>
        <v>Carson Palmer</v>
      </c>
      <c r="F23" s="2">
        <f>(RawData!E23)</f>
        <v>18.608000000000001</v>
      </c>
      <c r="G23" s="35">
        <f>RawData!C23</f>
        <v>6000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/>
      <c r="N23" s="2" t="s">
        <v>866</v>
      </c>
      <c r="O23" s="2" t="e">
        <f t="shared" si="3"/>
        <v>#N/A</v>
      </c>
    </row>
    <row r="24" spans="1:15" x14ac:dyDescent="0.25">
      <c r="A24" s="1">
        <f t="shared" si="1"/>
        <v>0</v>
      </c>
      <c r="B24" s="1">
        <f>IF(C24=0,0,A24&amp;" "&amp;COUNTIF($A$1:$A24,A24))</f>
        <v>0</v>
      </c>
      <c r="C24" s="1">
        <v>0</v>
      </c>
      <c r="D24" s="2" t="str">
        <f>RawData!A24</f>
        <v>QB</v>
      </c>
      <c r="E24" s="2" t="str">
        <f>RawData!B24</f>
        <v>Marcus Mariota</v>
      </c>
      <c r="F24" s="2">
        <f>(RawData!E24)</f>
        <v>18.463000000000001</v>
      </c>
      <c r="G24" s="35">
        <f>RawData!C24</f>
        <v>6800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s="2" t="s">
        <v>867</v>
      </c>
      <c r="O24" s="2" t="e">
        <f t="shared" si="3"/>
        <v>#N/A</v>
      </c>
    </row>
    <row r="25" spans="1:15" x14ac:dyDescent="0.25">
      <c r="A25" s="1">
        <f t="shared" si="1"/>
        <v>0</v>
      </c>
      <c r="B25" s="1">
        <f>IF(C25=0,0,A25&amp;" "&amp;COUNTIF($A$1:$A25,A25))</f>
        <v>0</v>
      </c>
      <c r="C25" s="1">
        <v>0</v>
      </c>
      <c r="D25" s="2" t="str">
        <f>RawData!A25</f>
        <v>RB</v>
      </c>
      <c r="E25" s="2" t="str">
        <f>RawData!B25</f>
        <v>Devonta Freeman</v>
      </c>
      <c r="F25" s="2">
        <f>(RawData!E25)</f>
        <v>18.443999999999999</v>
      </c>
      <c r="G25" s="35">
        <f>RawData!C25</f>
        <v>7000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/>
      <c r="N25" t="s">
        <v>868</v>
      </c>
      <c r="O25" s="2" t="e">
        <f t="shared" si="3"/>
        <v>#N/A</v>
      </c>
    </row>
    <row r="26" spans="1:15" x14ac:dyDescent="0.25">
      <c r="A26" s="1">
        <f t="shared" si="1"/>
        <v>0</v>
      </c>
      <c r="B26" s="1">
        <f>IF(C26=0,0,A26&amp;" "&amp;COUNTIF($A$1:$A26,A26))</f>
        <v>0</v>
      </c>
      <c r="C26" s="1">
        <v>0</v>
      </c>
      <c r="D26" s="2" t="str">
        <f>RawData!A26</f>
        <v>QB</v>
      </c>
      <c r="E26" s="2" t="str">
        <f>RawData!B26</f>
        <v>Matthew Stafford</v>
      </c>
      <c r="F26" s="2">
        <f>(RawData!E26)</f>
        <v>18.440000000000001</v>
      </c>
      <c r="G26" s="35">
        <f>RawData!C26</f>
        <v>6100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  <c r="N26" s="2" t="s">
        <v>869</v>
      </c>
      <c r="O26" s="2" t="e">
        <f t="shared" si="3"/>
        <v>#N/A</v>
      </c>
    </row>
    <row r="27" spans="1:15" x14ac:dyDescent="0.25">
      <c r="A27" s="1">
        <f t="shared" si="1"/>
        <v>0</v>
      </c>
      <c r="B27" s="1">
        <f>IF(C27=0,0,A27&amp;" "&amp;COUNTIF($A$1:$A27,A27))</f>
        <v>0</v>
      </c>
      <c r="C27" s="1">
        <v>0</v>
      </c>
      <c r="D27" s="2" t="str">
        <f>RawData!A27</f>
        <v>QB</v>
      </c>
      <c r="E27" s="2" t="str">
        <f>RawData!B27</f>
        <v>Russell Wilson</v>
      </c>
      <c r="F27" s="2">
        <f>(RawData!E27)</f>
        <v>18.257000000000001</v>
      </c>
      <c r="G27" s="35">
        <f>RawData!C27</f>
        <v>6900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  <c r="N27" t="s">
        <v>870</v>
      </c>
      <c r="O27" s="2" t="e">
        <f t="shared" si="3"/>
        <v>#N/A</v>
      </c>
    </row>
    <row r="28" spans="1:15" x14ac:dyDescent="0.25">
      <c r="A28" s="1">
        <f t="shared" si="1"/>
        <v>0</v>
      </c>
      <c r="B28" s="1">
        <f>IF(C28=0,0,A28&amp;" "&amp;COUNTIF($A$1:$A28,A28))</f>
        <v>0</v>
      </c>
      <c r="C28" s="1">
        <v>0</v>
      </c>
      <c r="D28" s="2" t="str">
        <f>RawData!A28</f>
        <v>WR</v>
      </c>
      <c r="E28" s="2" t="str">
        <f>RawData!B28</f>
        <v>T.Y. Hilton</v>
      </c>
      <c r="F28" s="2">
        <f>(RawData!E28)</f>
        <v>18.238</v>
      </c>
      <c r="G28" s="35">
        <f>RawData!C28</f>
        <v>6900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5" x14ac:dyDescent="0.25">
      <c r="A29" s="1">
        <f t="shared" si="1"/>
        <v>0</v>
      </c>
      <c r="B29" s="1">
        <f>IF(C29=0,0,A29&amp;" "&amp;COUNTIF($A$1:$A29,A29))</f>
        <v>0</v>
      </c>
      <c r="C29" s="1">
        <v>0</v>
      </c>
      <c r="D29" s="2" t="str">
        <f>RawData!A29</f>
        <v>QB</v>
      </c>
      <c r="E29" s="2" t="str">
        <f>RawData!B29</f>
        <v>Jameis Winston</v>
      </c>
      <c r="F29" s="2">
        <f>(RawData!E29)</f>
        <v>18.068999999999999</v>
      </c>
      <c r="G29" s="35">
        <f>RawData!C29</f>
        <v>6600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5" x14ac:dyDescent="0.25">
      <c r="A30" s="1">
        <f t="shared" si="1"/>
        <v>0</v>
      </c>
      <c r="B30" s="1">
        <f>IF(C30=0,0,A30&amp;" "&amp;COUNTIF($A$1:$A30,A30))</f>
        <v>0</v>
      </c>
      <c r="C30" s="1">
        <v>0</v>
      </c>
      <c r="D30" s="2" t="str">
        <f>RawData!A30</f>
        <v>QB</v>
      </c>
      <c r="E30" s="2" t="str">
        <f>RawData!B30</f>
        <v>Colin Kaepernick</v>
      </c>
      <c r="F30" s="2">
        <f>(RawData!E30)</f>
        <v>17.786999999999999</v>
      </c>
      <c r="G30" s="35">
        <f>RawData!C30</f>
        <v>4700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5" x14ac:dyDescent="0.25">
      <c r="A31" s="1">
        <f t="shared" si="1"/>
        <v>0</v>
      </c>
      <c r="B31" s="1">
        <f>IF(C31=0,0,A31&amp;" "&amp;COUNTIF($A$1:$A31,A31))</f>
        <v>0</v>
      </c>
      <c r="C31" s="1">
        <v>0</v>
      </c>
      <c r="D31" s="2" t="str">
        <f>RawData!A31</f>
        <v>QB</v>
      </c>
      <c r="E31" s="2" t="str">
        <f>RawData!B31</f>
        <v>Andy Dalton</v>
      </c>
      <c r="F31" s="2">
        <f>(RawData!E31)</f>
        <v>17.728000000000002</v>
      </c>
      <c r="G31" s="35">
        <f>RawData!C31</f>
        <v>5700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5" x14ac:dyDescent="0.25">
      <c r="A32" s="1">
        <f t="shared" si="1"/>
        <v>0</v>
      </c>
      <c r="B32" s="1">
        <f>IF(C32=0,0,A32&amp;" "&amp;COUNTIF($A$1:$A32,A32))</f>
        <v>0</v>
      </c>
      <c r="C32" s="1">
        <v>0</v>
      </c>
      <c r="D32" s="2" t="str">
        <f>RawData!A32</f>
        <v>WR</v>
      </c>
      <c r="E32" s="2" t="str">
        <f>RawData!B32</f>
        <v>Doug Baldwin</v>
      </c>
      <c r="F32" s="2">
        <f>(RawData!E32)</f>
        <v>17.372</v>
      </c>
      <c r="G32" s="35">
        <f>RawData!C32</f>
        <v>6700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 s="1">
        <f t="shared" si="1"/>
        <v>0</v>
      </c>
      <c r="B33" s="1">
        <f>IF(C33=0,0,A33&amp;" "&amp;COUNTIF($A$1:$A33,A33))</f>
        <v>0</v>
      </c>
      <c r="C33" s="1">
        <v>0</v>
      </c>
      <c r="D33" s="2" t="str">
        <f>RawData!A33</f>
        <v>QB</v>
      </c>
      <c r="E33" s="2" t="str">
        <f>RawData!B33</f>
        <v>Joe Flacco</v>
      </c>
      <c r="F33" s="2">
        <f>(RawData!E33)</f>
        <v>17.03</v>
      </c>
      <c r="G33" s="35">
        <f>RawData!C33</f>
        <v>5500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 s="1">
        <f t="shared" si="1"/>
        <v>0</v>
      </c>
      <c r="B34" s="1">
        <f>IF(C34=0,0,A34&amp;" "&amp;COUNTIF($A$1:$A34,A34))</f>
        <v>0</v>
      </c>
      <c r="C34" s="1">
        <v>0</v>
      </c>
      <c r="D34" s="2" t="str">
        <f>RawData!A34</f>
        <v>RB</v>
      </c>
      <c r="E34" s="2" t="str">
        <f>RawData!B34</f>
        <v>Jordan Howard</v>
      </c>
      <c r="F34" s="2">
        <f>(RawData!E34)</f>
        <v>16.806999999999999</v>
      </c>
      <c r="G34" s="35">
        <f>RawData!C34</f>
        <v>6300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/>
    </row>
    <row r="35" spans="1:13" x14ac:dyDescent="0.25">
      <c r="A35" s="1">
        <f t="shared" si="1"/>
        <v>0</v>
      </c>
      <c r="B35" s="1">
        <f>IF(C35=0,0,A35&amp;" "&amp;COUNTIF($A$1:$A35,A35))</f>
        <v>0</v>
      </c>
      <c r="C35" s="1">
        <v>0</v>
      </c>
      <c r="D35" s="2" t="str">
        <f>RawData!A35</f>
        <v>WR</v>
      </c>
      <c r="E35" s="2" t="str">
        <f>RawData!B35</f>
        <v>Davante Adams</v>
      </c>
      <c r="F35" s="2">
        <f>(RawData!E35)</f>
        <v>16.442</v>
      </c>
      <c r="G35" s="35">
        <f>RawData!C35</f>
        <v>5200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 s="1">
        <f t="shared" si="1"/>
        <v>0</v>
      </c>
      <c r="B36" s="1">
        <f>IF(C36=0,0,A36&amp;" "&amp;COUNTIF($A$1:$A36,A36))</f>
        <v>0</v>
      </c>
      <c r="C36" s="1">
        <v>0</v>
      </c>
      <c r="D36" s="2" t="str">
        <f>RawData!A36</f>
        <v>QB</v>
      </c>
      <c r="E36" s="2" t="str">
        <f>RawData!B36</f>
        <v>Ryan Tannehill</v>
      </c>
      <c r="F36" s="2">
        <f>(RawData!E36)</f>
        <v>16.245999999999999</v>
      </c>
      <c r="G36" s="35">
        <f>RawData!C36</f>
        <v>5000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 s="1">
        <f t="shared" si="1"/>
        <v>0</v>
      </c>
      <c r="B37" s="1">
        <f>IF(C37=0,0,A37&amp;" "&amp;COUNTIF($A$1:$A37,A37))</f>
        <v>0</v>
      </c>
      <c r="C37" s="1">
        <v>0</v>
      </c>
      <c r="D37" s="2" t="str">
        <f>RawData!A37</f>
        <v>WR</v>
      </c>
      <c r="E37" s="2" t="str">
        <f>RawData!B37</f>
        <v>Dez Bryant</v>
      </c>
      <c r="F37" s="2">
        <f>(RawData!E37)</f>
        <v>16.228999999999999</v>
      </c>
      <c r="G37" s="35">
        <f>RawData!C37</f>
        <v>7500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 s="1">
        <f t="shared" si="1"/>
        <v>0</v>
      </c>
      <c r="B38" s="1">
        <f>IF(C38=0,0,A38&amp;" "&amp;COUNTIF($A$1:$A38,A38))</f>
        <v>0</v>
      </c>
      <c r="C38" s="1">
        <v>0</v>
      </c>
      <c r="D38" s="2" t="str">
        <f>RawData!A38</f>
        <v>RB</v>
      </c>
      <c r="E38" s="2" t="str">
        <f>RawData!B38</f>
        <v>Theo Riddick</v>
      </c>
      <c r="F38" s="2">
        <f>(RawData!E38)</f>
        <v>16.18</v>
      </c>
      <c r="G38" s="35">
        <f>RawData!C38</f>
        <v>4700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 s="1">
        <f t="shared" si="1"/>
        <v>0</v>
      </c>
      <c r="B39" s="1">
        <f>IF(C39=0,0,A39&amp;" "&amp;COUNTIF($A$1:$A39,A39))</f>
        <v>0</v>
      </c>
      <c r="C39" s="1">
        <v>0</v>
      </c>
      <c r="D39" s="2" t="str">
        <f>RawData!A39</f>
        <v>QB</v>
      </c>
      <c r="E39" s="2" t="str">
        <f>RawData!B39</f>
        <v>Eli Manning</v>
      </c>
      <c r="F39" s="2">
        <f>(RawData!E39)</f>
        <v>15.955</v>
      </c>
      <c r="G39" s="35">
        <f>RawData!C39</f>
        <v>5600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 s="1">
        <f t="shared" si="1"/>
        <v>0</v>
      </c>
      <c r="B40" s="1">
        <f>IF(C40=0,0,A40&amp;" "&amp;COUNTIF($A$1:$A40,A40))</f>
        <v>0</v>
      </c>
      <c r="C40" s="1">
        <v>0</v>
      </c>
      <c r="D40" s="2" t="str">
        <f>RawData!A40</f>
        <v>WR</v>
      </c>
      <c r="E40" s="2" t="str">
        <f>RawData!B40</f>
        <v>Jarvis Landry</v>
      </c>
      <c r="F40" s="2">
        <f>(RawData!E40)</f>
        <v>15.853</v>
      </c>
      <c r="G40" s="35">
        <f>RawData!C40</f>
        <v>5400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 s="1">
        <f t="shared" si="1"/>
        <v>0</v>
      </c>
      <c r="B41" s="1">
        <f>IF(C41=0,0,A41&amp;" "&amp;COUNTIF($A$1:$A41,A41))</f>
        <v>0</v>
      </c>
      <c r="C41" s="1">
        <v>0</v>
      </c>
      <c r="D41" s="2" t="str">
        <f>RawData!A41</f>
        <v>WR</v>
      </c>
      <c r="E41" s="2" t="str">
        <f>RawData!B41</f>
        <v>Larry Fitzgerald</v>
      </c>
      <c r="F41" s="2">
        <f>(RawData!E41)</f>
        <v>15.488</v>
      </c>
      <c r="G41" s="35">
        <f>RawData!C41</f>
        <v>5900</v>
      </c>
      <c r="H41">
        <f t="shared" si="2"/>
        <v>0</v>
      </c>
      <c r="I41">
        <f t="shared" si="2"/>
        <v>0</v>
      </c>
      <c r="J41">
        <f t="shared" ref="I41:L56" si="4">IF($D41=J$1,$C41*1,0)</f>
        <v>0</v>
      </c>
      <c r="K41">
        <f t="shared" si="4"/>
        <v>0</v>
      </c>
      <c r="L41">
        <f t="shared" si="4"/>
        <v>0</v>
      </c>
      <c r="M41" s="2"/>
    </row>
    <row r="42" spans="1:13" x14ac:dyDescent="0.25">
      <c r="A42" s="1">
        <f t="shared" si="1"/>
        <v>0</v>
      </c>
      <c r="B42" s="1">
        <f>IF(C42=0,0,A42&amp;" "&amp;COUNTIF($A$1:$A42,A42))</f>
        <v>0</v>
      </c>
      <c r="C42" s="1">
        <v>0</v>
      </c>
      <c r="D42" s="2" t="str">
        <f>RawData!A42</f>
        <v>RB</v>
      </c>
      <c r="E42" s="2" t="str">
        <f>RawData!B42</f>
        <v>Carlos Hyde</v>
      </c>
      <c r="F42" s="2">
        <f>(RawData!E42)</f>
        <v>15.468999999999999</v>
      </c>
      <c r="G42" s="35">
        <f>RawData!C42</f>
        <v>4600</v>
      </c>
      <c r="H42">
        <f t="shared" si="2"/>
        <v>0</v>
      </c>
      <c r="I42">
        <f t="shared" si="4"/>
        <v>0</v>
      </c>
      <c r="J42">
        <f t="shared" si="4"/>
        <v>0</v>
      </c>
      <c r="K42">
        <f t="shared" si="4"/>
        <v>0</v>
      </c>
      <c r="L42">
        <f t="shared" si="4"/>
        <v>0</v>
      </c>
      <c r="M42" s="2"/>
    </row>
    <row r="43" spans="1:13" x14ac:dyDescent="0.25">
      <c r="A43" s="1">
        <f t="shared" si="1"/>
        <v>0</v>
      </c>
      <c r="B43" s="1">
        <f>IF(C43=0,0,A43&amp;" "&amp;COUNTIF($A$1:$A43,A43))</f>
        <v>0</v>
      </c>
      <c r="C43" s="1">
        <v>0</v>
      </c>
      <c r="D43" s="2" t="str">
        <f>RawData!A43</f>
        <v>QB</v>
      </c>
      <c r="E43" s="2" t="str">
        <f>RawData!B43</f>
        <v>Brian Hoyer</v>
      </c>
      <c r="F43" s="2">
        <f>(RawData!E43)</f>
        <v>15.433</v>
      </c>
      <c r="G43" s="35">
        <f>RawData!C43</f>
        <v>5100</v>
      </c>
      <c r="H43">
        <f t="shared" si="2"/>
        <v>0</v>
      </c>
      <c r="I43">
        <f t="shared" si="4"/>
        <v>0</v>
      </c>
      <c r="J43">
        <f t="shared" si="4"/>
        <v>0</v>
      </c>
      <c r="K43">
        <f t="shared" si="4"/>
        <v>0</v>
      </c>
      <c r="L43">
        <f t="shared" si="4"/>
        <v>0</v>
      </c>
      <c r="M43" s="2"/>
    </row>
    <row r="44" spans="1:13" x14ac:dyDescent="0.25">
      <c r="A44" s="1">
        <f t="shared" si="1"/>
        <v>0</v>
      </c>
      <c r="B44" s="1">
        <f>IF(C44=0,0,A44&amp;" "&amp;COUNTIF($A$1:$A44,A44))</f>
        <v>0</v>
      </c>
      <c r="C44" s="1">
        <v>0</v>
      </c>
      <c r="D44" s="2" t="str">
        <f>RawData!A44</f>
        <v>QB</v>
      </c>
      <c r="E44" s="2" t="str">
        <f>RawData!B44</f>
        <v>Carson Wentz</v>
      </c>
      <c r="F44" s="2">
        <f>(RawData!E44)</f>
        <v>15.186</v>
      </c>
      <c r="G44" s="35">
        <f>RawData!C44</f>
        <v>5300</v>
      </c>
      <c r="H44">
        <f t="shared" si="2"/>
        <v>0</v>
      </c>
      <c r="I44">
        <f t="shared" si="4"/>
        <v>0</v>
      </c>
      <c r="J44">
        <f t="shared" si="4"/>
        <v>0</v>
      </c>
      <c r="K44">
        <f t="shared" si="4"/>
        <v>0</v>
      </c>
      <c r="L44">
        <f t="shared" si="4"/>
        <v>0</v>
      </c>
      <c r="M44" s="2"/>
    </row>
    <row r="45" spans="1:13" x14ac:dyDescent="0.25">
      <c r="A45" s="1">
        <f t="shared" si="1"/>
        <v>0</v>
      </c>
      <c r="B45" s="1">
        <f>IF(C45=0,0,A45&amp;" "&amp;COUNTIF($A$1:$A45,A45))</f>
        <v>0</v>
      </c>
      <c r="C45" s="1">
        <v>0</v>
      </c>
      <c r="D45" s="2" t="str">
        <f>RawData!A45</f>
        <v>RB</v>
      </c>
      <c r="E45" s="2" t="str">
        <f>RawData!B45</f>
        <v>Tevin Coleman</v>
      </c>
      <c r="F45" s="2">
        <f>(RawData!E45)</f>
        <v>15.093</v>
      </c>
      <c r="G45" s="35">
        <f>RawData!C45</f>
        <v>5400</v>
      </c>
      <c r="H45">
        <f t="shared" si="2"/>
        <v>0</v>
      </c>
      <c r="I45">
        <f t="shared" si="4"/>
        <v>0</v>
      </c>
      <c r="J45">
        <f t="shared" si="4"/>
        <v>0</v>
      </c>
      <c r="K45">
        <f t="shared" si="4"/>
        <v>0</v>
      </c>
      <c r="L45">
        <f t="shared" si="4"/>
        <v>0</v>
      </c>
      <c r="M45" s="2"/>
    </row>
    <row r="46" spans="1:13" x14ac:dyDescent="0.25">
      <c r="A46" s="1">
        <f t="shared" si="1"/>
        <v>0</v>
      </c>
      <c r="B46" s="1">
        <f>IF(C46=0,0,A46&amp;" "&amp;COUNTIF($A$1:$A46,A46))</f>
        <v>0</v>
      </c>
      <c r="C46" s="1">
        <v>0</v>
      </c>
      <c r="D46" s="2" t="str">
        <f>RawData!A46</f>
        <v>WR</v>
      </c>
      <c r="E46" s="2" t="str">
        <f>RawData!B46</f>
        <v>Michael Crabtree</v>
      </c>
      <c r="F46" s="2">
        <f>(RawData!E46)</f>
        <v>14.917999999999999</v>
      </c>
      <c r="G46" s="35">
        <f>RawData!C46</f>
        <v>6000</v>
      </c>
      <c r="H46">
        <f t="shared" si="2"/>
        <v>0</v>
      </c>
      <c r="I46">
        <f t="shared" si="4"/>
        <v>0</v>
      </c>
      <c r="J46">
        <f t="shared" si="4"/>
        <v>0</v>
      </c>
      <c r="K46">
        <f t="shared" si="4"/>
        <v>0</v>
      </c>
      <c r="L46">
        <f t="shared" si="4"/>
        <v>0</v>
      </c>
      <c r="M46" s="2"/>
    </row>
    <row r="47" spans="1:13" x14ac:dyDescent="0.25">
      <c r="A47" s="1">
        <f t="shared" si="1"/>
        <v>0</v>
      </c>
      <c r="B47" s="1">
        <f>IF(C47=0,0,A47&amp;" "&amp;COUNTIF($A$1:$A47,A47))</f>
        <v>0</v>
      </c>
      <c r="C47" s="1">
        <v>0</v>
      </c>
      <c r="D47" s="2" t="str">
        <f>RawData!A47</f>
        <v>RB</v>
      </c>
      <c r="E47" s="2" t="str">
        <f>RawData!B47</f>
        <v>Jay Ajayi</v>
      </c>
      <c r="F47" s="2">
        <f>(RawData!E47)</f>
        <v>14.738</v>
      </c>
      <c r="G47" s="35">
        <f>RawData!C47</f>
        <v>6500</v>
      </c>
      <c r="H47">
        <f t="shared" si="2"/>
        <v>0</v>
      </c>
      <c r="I47">
        <f t="shared" si="4"/>
        <v>0</v>
      </c>
      <c r="J47">
        <f t="shared" si="4"/>
        <v>0</v>
      </c>
      <c r="K47">
        <f t="shared" si="4"/>
        <v>0</v>
      </c>
      <c r="L47">
        <f t="shared" si="4"/>
        <v>0</v>
      </c>
      <c r="M47" s="2"/>
    </row>
    <row r="48" spans="1:13" x14ac:dyDescent="0.25">
      <c r="A48" s="1">
        <f t="shared" si="1"/>
        <v>0</v>
      </c>
      <c r="B48" s="1">
        <f>IF(C48=0,0,A48&amp;" "&amp;COUNTIF($A$1:$A48,A48))</f>
        <v>0</v>
      </c>
      <c r="C48" s="1">
        <v>0</v>
      </c>
      <c r="D48" s="2" t="str">
        <f>RawData!A48</f>
        <v>WR</v>
      </c>
      <c r="E48" s="2" t="str">
        <f>RawData!B48</f>
        <v>Amari Cooper</v>
      </c>
      <c r="F48" s="2">
        <f>(RawData!E48)</f>
        <v>14.547000000000001</v>
      </c>
      <c r="G48" s="35">
        <f>RawData!C48</f>
        <v>7200</v>
      </c>
      <c r="H48">
        <f t="shared" si="2"/>
        <v>0</v>
      </c>
      <c r="I48">
        <f t="shared" si="4"/>
        <v>0</v>
      </c>
      <c r="J48">
        <f t="shared" si="4"/>
        <v>0</v>
      </c>
      <c r="K48">
        <f t="shared" si="4"/>
        <v>0</v>
      </c>
      <c r="L48">
        <f t="shared" si="4"/>
        <v>0</v>
      </c>
      <c r="M48" s="2"/>
    </row>
    <row r="49" spans="1:13" x14ac:dyDescent="0.25">
      <c r="A49" s="1">
        <f t="shared" si="1"/>
        <v>0</v>
      </c>
      <c r="B49" s="1">
        <f>IF(C49=0,0,A49&amp;" "&amp;COUNTIF($A$1:$A49,A49))</f>
        <v>0</v>
      </c>
      <c r="C49" s="1">
        <v>0</v>
      </c>
      <c r="D49" s="2" t="str">
        <f>RawData!A49</f>
        <v>RB</v>
      </c>
      <c r="E49" s="2" t="str">
        <f>RawData!B49</f>
        <v>LeGarrette Blount</v>
      </c>
      <c r="F49" s="2">
        <f>(RawData!E49)</f>
        <v>14.528</v>
      </c>
      <c r="G49" s="35">
        <f>RawData!C49</f>
        <v>4500</v>
      </c>
      <c r="H49">
        <f t="shared" si="2"/>
        <v>0</v>
      </c>
      <c r="I49">
        <f t="shared" si="4"/>
        <v>0</v>
      </c>
      <c r="J49">
        <f t="shared" si="4"/>
        <v>0</v>
      </c>
      <c r="K49">
        <f t="shared" si="4"/>
        <v>0</v>
      </c>
      <c r="L49">
        <f t="shared" si="4"/>
        <v>0</v>
      </c>
      <c r="M49" s="2"/>
    </row>
    <row r="50" spans="1:13" x14ac:dyDescent="0.25">
      <c r="A50" s="1">
        <f t="shared" si="1"/>
        <v>0</v>
      </c>
      <c r="B50" s="1">
        <f>IF(C50=0,0,A50&amp;" "&amp;COUNTIF($A$1:$A50,A50))</f>
        <v>0</v>
      </c>
      <c r="C50" s="1">
        <v>0</v>
      </c>
      <c r="D50" s="2" t="str">
        <f>RawData!A50</f>
        <v>WR</v>
      </c>
      <c r="E50" s="2" t="str">
        <f>RawData!B50</f>
        <v>Eric Decker</v>
      </c>
      <c r="F50" s="2">
        <f>(RawData!E50)</f>
        <v>14.467000000000001</v>
      </c>
      <c r="G50" s="35">
        <f>RawData!C50</f>
        <v>5000</v>
      </c>
      <c r="H50">
        <f t="shared" si="2"/>
        <v>0</v>
      </c>
      <c r="I50">
        <f t="shared" si="4"/>
        <v>0</v>
      </c>
      <c r="J50">
        <f t="shared" si="4"/>
        <v>0</v>
      </c>
      <c r="K50">
        <f t="shared" si="4"/>
        <v>0</v>
      </c>
      <c r="L50">
        <f t="shared" si="4"/>
        <v>0</v>
      </c>
      <c r="M50" s="2"/>
    </row>
    <row r="51" spans="1:13" x14ac:dyDescent="0.25">
      <c r="A51" s="1">
        <f t="shared" si="1"/>
        <v>0</v>
      </c>
      <c r="B51" s="1">
        <f>IF(C51=0,0,A51&amp;" "&amp;COUNTIF($A$1:$A51,A51))</f>
        <v>0</v>
      </c>
      <c r="C51" s="1">
        <v>0</v>
      </c>
      <c r="D51" s="2" t="str">
        <f>RawData!A51</f>
        <v>RB</v>
      </c>
      <c r="E51" s="2" t="str">
        <f>RawData!B51</f>
        <v>Lamar Miller</v>
      </c>
      <c r="F51" s="2">
        <f>(RawData!E51)</f>
        <v>14.394</v>
      </c>
      <c r="G51" s="35">
        <f>RawData!C51</f>
        <v>5100</v>
      </c>
      <c r="H51">
        <f t="shared" si="2"/>
        <v>0</v>
      </c>
      <c r="I51">
        <f t="shared" si="4"/>
        <v>0</v>
      </c>
      <c r="J51">
        <f t="shared" si="4"/>
        <v>0</v>
      </c>
      <c r="K51">
        <f t="shared" si="4"/>
        <v>0</v>
      </c>
      <c r="L51">
        <f t="shared" si="4"/>
        <v>0</v>
      </c>
      <c r="M51" s="2"/>
    </row>
    <row r="52" spans="1:13" x14ac:dyDescent="0.25">
      <c r="A52" s="1">
        <f t="shared" si="1"/>
        <v>0</v>
      </c>
      <c r="B52" s="1">
        <f>IF(C52=0,0,A52&amp;" "&amp;COUNTIF($A$1:$A52,A52))</f>
        <v>0</v>
      </c>
      <c r="C52" s="1">
        <v>0</v>
      </c>
      <c r="D52" s="2" t="str">
        <f>RawData!A52</f>
        <v>QB</v>
      </c>
      <c r="E52" s="2" t="str">
        <f>RawData!B52</f>
        <v>Robert Griffin III</v>
      </c>
      <c r="F52" s="2">
        <f>(RawData!E52)</f>
        <v>14.087999999999999</v>
      </c>
      <c r="G52" s="35">
        <f>RawData!C52</f>
        <v>4000</v>
      </c>
      <c r="H52">
        <f t="shared" si="2"/>
        <v>0</v>
      </c>
      <c r="I52">
        <f t="shared" si="4"/>
        <v>0</v>
      </c>
      <c r="J52">
        <f t="shared" si="4"/>
        <v>0</v>
      </c>
      <c r="K52">
        <f t="shared" si="4"/>
        <v>0</v>
      </c>
      <c r="L52">
        <f t="shared" si="4"/>
        <v>0</v>
      </c>
      <c r="M52" s="2"/>
    </row>
    <row r="53" spans="1:13" x14ac:dyDescent="0.25">
      <c r="A53" s="1">
        <f t="shared" si="1"/>
        <v>0</v>
      </c>
      <c r="B53" s="1">
        <f>IF(C53=0,0,A53&amp;" "&amp;COUNTIF($A$1:$A53,A53))</f>
        <v>0</v>
      </c>
      <c r="C53" s="1">
        <v>0</v>
      </c>
      <c r="D53" s="2" t="str">
        <f>RawData!A53</f>
        <v>WR</v>
      </c>
      <c r="E53" s="2" t="str">
        <f>RawData!B53</f>
        <v>Golden Tate</v>
      </c>
      <c r="F53" s="2">
        <f>(RawData!E53)</f>
        <v>14.035</v>
      </c>
      <c r="G53" s="35">
        <f>RawData!C53</f>
        <v>6500</v>
      </c>
      <c r="H53">
        <f t="shared" si="2"/>
        <v>0</v>
      </c>
      <c r="I53">
        <f t="shared" si="4"/>
        <v>0</v>
      </c>
      <c r="J53">
        <f t="shared" si="4"/>
        <v>0</v>
      </c>
      <c r="K53">
        <f t="shared" si="4"/>
        <v>0</v>
      </c>
      <c r="L53">
        <f t="shared" si="4"/>
        <v>0</v>
      </c>
      <c r="M53" s="2"/>
    </row>
    <row r="54" spans="1:13" x14ac:dyDescent="0.25">
      <c r="A54" s="1">
        <f t="shared" si="1"/>
        <v>0</v>
      </c>
      <c r="B54" s="1">
        <f>IF(C54=0,0,A54&amp;" "&amp;COUNTIF($A$1:$A54,A54))</f>
        <v>0</v>
      </c>
      <c r="C54" s="1">
        <v>0</v>
      </c>
      <c r="D54" s="2" t="str">
        <f>RawData!A54</f>
        <v>WR</v>
      </c>
      <c r="E54" s="2" t="str">
        <f>RawData!B54</f>
        <v>Terrelle Pryor Sr.</v>
      </c>
      <c r="F54" s="2">
        <f>(RawData!E54)</f>
        <v>13.903</v>
      </c>
      <c r="G54" s="35">
        <f>RawData!C54</f>
        <v>6100</v>
      </c>
      <c r="H54">
        <f t="shared" si="2"/>
        <v>0</v>
      </c>
      <c r="I54">
        <f t="shared" si="4"/>
        <v>0</v>
      </c>
      <c r="J54">
        <f t="shared" si="4"/>
        <v>0</v>
      </c>
      <c r="K54">
        <f t="shared" si="4"/>
        <v>0</v>
      </c>
      <c r="L54">
        <f t="shared" si="4"/>
        <v>0</v>
      </c>
      <c r="M54" s="2"/>
    </row>
    <row r="55" spans="1:13" x14ac:dyDescent="0.25">
      <c r="A55" s="1">
        <f t="shared" si="1"/>
        <v>0</v>
      </c>
      <c r="B55" s="1">
        <f>IF(C55=0,0,A55&amp;" "&amp;COUNTIF($A$1:$A55,A55))</f>
        <v>0</v>
      </c>
      <c r="C55" s="1">
        <v>0</v>
      </c>
      <c r="D55" s="2" t="str">
        <f>RawData!A55</f>
        <v>WR</v>
      </c>
      <c r="E55" s="2" t="str">
        <f>RawData!B55</f>
        <v>Rishard Matthews</v>
      </c>
      <c r="F55" s="2">
        <f>(RawData!E55)</f>
        <v>13.843999999999999</v>
      </c>
      <c r="G55" s="35">
        <f>RawData!C55</f>
        <v>4200</v>
      </c>
      <c r="H55">
        <f t="shared" si="2"/>
        <v>0</v>
      </c>
      <c r="I55">
        <f t="shared" si="4"/>
        <v>0</v>
      </c>
      <c r="J55">
        <f t="shared" si="4"/>
        <v>0</v>
      </c>
      <c r="K55">
        <f t="shared" si="4"/>
        <v>0</v>
      </c>
      <c r="L55">
        <f t="shared" si="4"/>
        <v>0</v>
      </c>
      <c r="M55" s="2"/>
    </row>
    <row r="56" spans="1:13" x14ac:dyDescent="0.25">
      <c r="A56" s="1">
        <f t="shared" si="1"/>
        <v>0</v>
      </c>
      <c r="B56" s="1">
        <f>IF(C56=0,0,A56&amp;" "&amp;COUNTIF($A$1:$A56,A56))</f>
        <v>0</v>
      </c>
      <c r="C56" s="1">
        <v>0</v>
      </c>
      <c r="D56" s="2" t="str">
        <f>RawData!A56</f>
        <v>QB</v>
      </c>
      <c r="E56" s="2" t="str">
        <f>RawData!B56</f>
        <v>Matt Barkley</v>
      </c>
      <c r="F56" s="2">
        <f>(RawData!E56)</f>
        <v>13.834</v>
      </c>
      <c r="G56" s="35">
        <f>RawData!C56</f>
        <v>4000</v>
      </c>
      <c r="H56">
        <f t="shared" si="2"/>
        <v>0</v>
      </c>
      <c r="I56">
        <f t="shared" si="4"/>
        <v>0</v>
      </c>
      <c r="J56">
        <f t="shared" si="4"/>
        <v>0</v>
      </c>
      <c r="K56">
        <f t="shared" si="4"/>
        <v>0</v>
      </c>
      <c r="L56">
        <f t="shared" si="4"/>
        <v>0</v>
      </c>
      <c r="M56" s="2"/>
    </row>
    <row r="57" spans="1:13" x14ac:dyDescent="0.25">
      <c r="A57" s="1">
        <f t="shared" si="1"/>
        <v>0</v>
      </c>
      <c r="B57" s="1">
        <f>IF(C57=0,0,A57&amp;" "&amp;COUNTIF($A$1:$A57,A57))</f>
        <v>0</v>
      </c>
      <c r="C57" s="1">
        <v>0</v>
      </c>
      <c r="D57" s="2" t="str">
        <f>RawData!A57</f>
        <v>RB</v>
      </c>
      <c r="E57" s="2" t="str">
        <f>RawData!B57</f>
        <v>Frank Gore</v>
      </c>
      <c r="F57" s="2">
        <f>(RawData!E57)</f>
        <v>13.824999999999999</v>
      </c>
      <c r="G57" s="35">
        <f>RawData!C57</f>
        <v>4300</v>
      </c>
      <c r="H57">
        <f t="shared" si="2"/>
        <v>0</v>
      </c>
      <c r="I57">
        <f t="shared" ref="I57:L66" si="5">IF($D57=I$1,$C57*1,0)</f>
        <v>0</v>
      </c>
      <c r="J57">
        <f t="shared" si="5"/>
        <v>0</v>
      </c>
      <c r="K57">
        <f t="shared" si="5"/>
        <v>0</v>
      </c>
      <c r="L57">
        <f t="shared" si="5"/>
        <v>0</v>
      </c>
      <c r="M57" s="2"/>
    </row>
    <row r="58" spans="1:13" x14ac:dyDescent="0.25">
      <c r="A58" s="1">
        <f t="shared" si="1"/>
        <v>0</v>
      </c>
      <c r="B58" s="1">
        <f>IF(C58=0,0,A58&amp;" "&amp;COUNTIF($A$1:$A58,A58))</f>
        <v>0</v>
      </c>
      <c r="C58" s="1">
        <v>0</v>
      </c>
      <c r="D58" s="2" t="str">
        <f>RawData!A58</f>
        <v>WR</v>
      </c>
      <c r="E58" s="2" t="str">
        <f>RawData!B58</f>
        <v>Cameron Meredith</v>
      </c>
      <c r="F58" s="2">
        <f>(RawData!E58)</f>
        <v>13.82</v>
      </c>
      <c r="G58" s="35">
        <f>RawData!C58</f>
        <v>5000</v>
      </c>
      <c r="H58">
        <f t="shared" si="2"/>
        <v>0</v>
      </c>
      <c r="I58">
        <f t="shared" si="5"/>
        <v>0</v>
      </c>
      <c r="J58">
        <f t="shared" si="5"/>
        <v>0</v>
      </c>
      <c r="K58">
        <f t="shared" si="5"/>
        <v>0</v>
      </c>
      <c r="L58">
        <f t="shared" si="5"/>
        <v>0</v>
      </c>
      <c r="M58" s="2"/>
    </row>
    <row r="59" spans="1:13" x14ac:dyDescent="0.25">
      <c r="A59" s="1">
        <f t="shared" si="1"/>
        <v>0</v>
      </c>
      <c r="B59" s="1">
        <f>IF(C59=0,0,A59&amp;" "&amp;COUNTIF($A$1:$A59,A59))</f>
        <v>0</v>
      </c>
      <c r="C59" s="1">
        <v>0</v>
      </c>
      <c r="D59" s="2" t="str">
        <f>RawData!A59</f>
        <v>RB</v>
      </c>
      <c r="E59" s="2" t="str">
        <f>RawData!B59</f>
        <v>Isaiah Crowell</v>
      </c>
      <c r="F59" s="2">
        <f>(RawData!E59)</f>
        <v>13.694000000000001</v>
      </c>
      <c r="G59" s="35">
        <f>RawData!C59</f>
        <v>5300</v>
      </c>
      <c r="H59">
        <f t="shared" si="2"/>
        <v>0</v>
      </c>
      <c r="I59">
        <f t="shared" si="5"/>
        <v>0</v>
      </c>
      <c r="J59">
        <f t="shared" si="5"/>
        <v>0</v>
      </c>
      <c r="K59">
        <f t="shared" si="5"/>
        <v>0</v>
      </c>
      <c r="L59">
        <f t="shared" si="5"/>
        <v>0</v>
      </c>
      <c r="M59" s="2"/>
    </row>
    <row r="60" spans="1:13" x14ac:dyDescent="0.25">
      <c r="A60" s="1">
        <f t="shared" si="1"/>
        <v>0</v>
      </c>
      <c r="B60" s="1">
        <f>IF(C60=0,0,A60&amp;" "&amp;COUNTIF($A$1:$A60,A60))</f>
        <v>0</v>
      </c>
      <c r="C60" s="1">
        <v>0</v>
      </c>
      <c r="D60" s="2" t="str">
        <f>RawData!A60</f>
        <v>QB</v>
      </c>
      <c r="E60" s="2" t="str">
        <f>RawData!B60</f>
        <v>Josh McCown</v>
      </c>
      <c r="F60" s="2">
        <f>(RawData!E60)</f>
        <v>13.62</v>
      </c>
      <c r="G60" s="35">
        <f>RawData!C60</f>
        <v>4600</v>
      </c>
      <c r="H60">
        <f t="shared" si="2"/>
        <v>0</v>
      </c>
      <c r="I60">
        <f t="shared" si="5"/>
        <v>0</v>
      </c>
      <c r="J60">
        <f t="shared" si="5"/>
        <v>0</v>
      </c>
      <c r="K60">
        <f t="shared" si="5"/>
        <v>0</v>
      </c>
      <c r="L60">
        <f t="shared" si="5"/>
        <v>0</v>
      </c>
      <c r="M60" s="2"/>
    </row>
    <row r="61" spans="1:13" x14ac:dyDescent="0.25">
      <c r="A61" s="1">
        <f t="shared" si="1"/>
        <v>0</v>
      </c>
      <c r="B61" s="1">
        <f>IF(C61=0,0,A61&amp;" "&amp;COUNTIF($A$1:$A61,A61))</f>
        <v>0</v>
      </c>
      <c r="C61" s="1">
        <v>0</v>
      </c>
      <c r="D61" s="2" t="str">
        <f>RawData!A61</f>
        <v>RB</v>
      </c>
      <c r="E61" s="2" t="str">
        <f>RawData!B61</f>
        <v>Matt Forte</v>
      </c>
      <c r="F61" s="2">
        <f>(RawData!E61)</f>
        <v>13.614000000000001</v>
      </c>
      <c r="G61" s="35">
        <f>RawData!C61</f>
        <v>4800</v>
      </c>
      <c r="H61">
        <f t="shared" si="2"/>
        <v>0</v>
      </c>
      <c r="I61">
        <f t="shared" si="5"/>
        <v>0</v>
      </c>
      <c r="J61">
        <f t="shared" si="5"/>
        <v>0</v>
      </c>
      <c r="K61">
        <f t="shared" si="5"/>
        <v>0</v>
      </c>
      <c r="L61">
        <f t="shared" si="5"/>
        <v>0</v>
      </c>
      <c r="M61" s="2"/>
    </row>
    <row r="62" spans="1:13" x14ac:dyDescent="0.25">
      <c r="A62" s="1">
        <f t="shared" si="1"/>
        <v>0</v>
      </c>
      <c r="B62" s="1">
        <f>IF(C62=0,0,A62&amp;" "&amp;COUNTIF($A$1:$A62,A62))</f>
        <v>0</v>
      </c>
      <c r="C62" s="1">
        <v>0</v>
      </c>
      <c r="D62" s="2" t="str">
        <f>RawData!A62</f>
        <v>RB</v>
      </c>
      <c r="E62" s="2" t="str">
        <f>RawData!B62</f>
        <v>Danny Woodhead</v>
      </c>
      <c r="F62" s="2">
        <f>(RawData!E62)</f>
        <v>13.55</v>
      </c>
      <c r="G62" s="35">
        <f>RawData!C62</f>
        <v>5200</v>
      </c>
      <c r="H62">
        <f t="shared" si="2"/>
        <v>0</v>
      </c>
      <c r="I62">
        <f t="shared" si="5"/>
        <v>0</v>
      </c>
      <c r="J62">
        <f t="shared" si="5"/>
        <v>0</v>
      </c>
      <c r="K62">
        <f t="shared" si="5"/>
        <v>0</v>
      </c>
      <c r="L62">
        <f t="shared" si="5"/>
        <v>0</v>
      </c>
      <c r="M62" s="2"/>
    </row>
    <row r="63" spans="1:13" x14ac:dyDescent="0.25">
      <c r="A63" s="1">
        <f t="shared" si="1"/>
        <v>0</v>
      </c>
      <c r="B63" s="1">
        <f>IF(C63=0,0,A63&amp;" "&amp;COUNTIF($A$1:$A63,A63))</f>
        <v>0</v>
      </c>
      <c r="C63" s="1">
        <v>0</v>
      </c>
      <c r="D63" s="2" t="str">
        <f>RawData!A63</f>
        <v>WR</v>
      </c>
      <c r="E63" s="2" t="str">
        <f>RawData!B63</f>
        <v>Kenny Britt</v>
      </c>
      <c r="F63" s="2">
        <f>(RawData!E63)</f>
        <v>13.547000000000001</v>
      </c>
      <c r="G63" s="35">
        <f>RawData!C63</f>
        <v>4800</v>
      </c>
      <c r="H63">
        <f t="shared" si="2"/>
        <v>0</v>
      </c>
      <c r="I63">
        <f t="shared" si="5"/>
        <v>0</v>
      </c>
      <c r="J63">
        <f t="shared" si="5"/>
        <v>0</v>
      </c>
      <c r="K63">
        <f t="shared" si="5"/>
        <v>0</v>
      </c>
      <c r="L63">
        <f t="shared" si="5"/>
        <v>0</v>
      </c>
      <c r="M63" s="2"/>
    </row>
    <row r="64" spans="1:13" x14ac:dyDescent="0.25">
      <c r="A64" s="1">
        <f t="shared" si="1"/>
        <v>0</v>
      </c>
      <c r="B64" s="1">
        <f>IF(C64=0,0,A64&amp;" "&amp;COUNTIF($A$1:$A64,A64))</f>
        <v>0</v>
      </c>
      <c r="C64" s="1">
        <v>0</v>
      </c>
      <c r="D64" s="2" t="str">
        <f>RawData!A64</f>
        <v>TE</v>
      </c>
      <c r="E64" s="2" t="str">
        <f>RawData!B64</f>
        <v>Zach Ertz</v>
      </c>
      <c r="F64" s="2">
        <f>(RawData!E64)</f>
        <v>13.542999999999999</v>
      </c>
      <c r="G64" s="35">
        <f>RawData!C64</f>
        <v>3500</v>
      </c>
      <c r="H64">
        <f t="shared" si="2"/>
        <v>0</v>
      </c>
      <c r="I64">
        <f t="shared" si="5"/>
        <v>0</v>
      </c>
      <c r="J64">
        <f t="shared" si="5"/>
        <v>0</v>
      </c>
      <c r="K64">
        <f t="shared" si="5"/>
        <v>0</v>
      </c>
      <c r="L64">
        <f t="shared" si="5"/>
        <v>0</v>
      </c>
      <c r="M64" s="2"/>
    </row>
    <row r="65" spans="1:13" x14ac:dyDescent="0.25">
      <c r="A65" s="1">
        <f t="shared" si="1"/>
        <v>0</v>
      </c>
      <c r="B65" s="1">
        <f>IF(C65=0,0,A65&amp;" "&amp;COUNTIF($A$1:$A65,A65))</f>
        <v>0</v>
      </c>
      <c r="C65" s="1">
        <v>0</v>
      </c>
      <c r="D65" s="2" t="str">
        <f>RawData!A65</f>
        <v>WR</v>
      </c>
      <c r="E65" s="2" t="str">
        <f>RawData!B65</f>
        <v>Randall Cobb</v>
      </c>
      <c r="F65" s="2">
        <f>(RawData!E65)</f>
        <v>13.519</v>
      </c>
      <c r="G65" s="35">
        <f>RawData!C65</f>
        <v>5300</v>
      </c>
      <c r="H65">
        <f t="shared" si="2"/>
        <v>0</v>
      </c>
      <c r="I65">
        <f t="shared" si="5"/>
        <v>0</v>
      </c>
      <c r="J65">
        <f t="shared" si="5"/>
        <v>0</v>
      </c>
      <c r="K65">
        <f t="shared" si="5"/>
        <v>0</v>
      </c>
      <c r="L65">
        <f t="shared" si="5"/>
        <v>0</v>
      </c>
      <c r="M65" s="2"/>
    </row>
    <row r="66" spans="1:13" x14ac:dyDescent="0.25">
      <c r="A66" s="1">
        <f t="shared" si="1"/>
        <v>0</v>
      </c>
      <c r="B66" s="1">
        <f>IF(C66=0,0,A66&amp;" "&amp;COUNTIF($A$1:$A66,A66))</f>
        <v>0</v>
      </c>
      <c r="C66" s="1">
        <v>0</v>
      </c>
      <c r="D66" s="2" t="str">
        <f>RawData!A66</f>
        <v>RB</v>
      </c>
      <c r="E66" s="2" t="str">
        <f>RawData!B66</f>
        <v>Ameer Abdullah</v>
      </c>
      <c r="F66" s="2">
        <f>(RawData!E66)</f>
        <v>13.4</v>
      </c>
      <c r="G66" s="35">
        <f>RawData!C66</f>
        <v>4300</v>
      </c>
      <c r="H66">
        <f t="shared" si="2"/>
        <v>0</v>
      </c>
      <c r="I66">
        <f t="shared" si="5"/>
        <v>0</v>
      </c>
      <c r="J66">
        <f t="shared" si="5"/>
        <v>0</v>
      </c>
      <c r="K66">
        <f t="shared" si="5"/>
        <v>0</v>
      </c>
      <c r="L66">
        <f t="shared" si="5"/>
        <v>0</v>
      </c>
      <c r="M66" s="2"/>
    </row>
    <row r="67" spans="1:13" x14ac:dyDescent="0.25">
      <c r="A67" s="1">
        <f t="shared" ref="A67:A101" si="6">IF(C67=1,D67,0)</f>
        <v>0</v>
      </c>
      <c r="B67" s="1">
        <f>IF(C67=0,0,A67&amp;" "&amp;COUNTIF($A$1:$A67,A67))</f>
        <v>0</v>
      </c>
      <c r="C67" s="1">
        <v>0</v>
      </c>
      <c r="D67" s="2" t="str">
        <f>RawData!A67</f>
        <v>TE</v>
      </c>
      <c r="E67" s="2" t="str">
        <f>RawData!B67</f>
        <v>Greg Olsen</v>
      </c>
      <c r="F67" s="2">
        <f>(RawData!E67)</f>
        <v>13.331</v>
      </c>
      <c r="G67" s="35">
        <f>RawData!C67</f>
        <v>6200</v>
      </c>
      <c r="H67">
        <f t="shared" ref="H67:L102" si="7">IF($D67=H$1,$C67*1,0)</f>
        <v>0</v>
      </c>
      <c r="I67">
        <f t="shared" si="7"/>
        <v>0</v>
      </c>
      <c r="J67">
        <f t="shared" si="7"/>
        <v>0</v>
      </c>
      <c r="K67">
        <f t="shared" si="7"/>
        <v>0</v>
      </c>
      <c r="L67">
        <f t="shared" si="7"/>
        <v>0</v>
      </c>
      <c r="M67" s="2"/>
    </row>
    <row r="68" spans="1:13" x14ac:dyDescent="0.25">
      <c r="A68" s="1">
        <f t="shared" si="6"/>
        <v>0</v>
      </c>
      <c r="B68" s="1">
        <f>IF(C68=0,0,A68&amp;" "&amp;COUNTIF($A$1:$A68,A68))</f>
        <v>0</v>
      </c>
      <c r="C68" s="1">
        <v>0</v>
      </c>
      <c r="D68" s="2" t="str">
        <f>RawData!A68</f>
        <v>QB</v>
      </c>
      <c r="E68" s="2" t="str">
        <f>RawData!B68</f>
        <v>Blaine Gabbert</v>
      </c>
      <c r="F68" s="2">
        <f>(RawData!E68)</f>
        <v>13.282999999999999</v>
      </c>
      <c r="G68" s="35">
        <f>RawData!C68</f>
        <v>4500</v>
      </c>
      <c r="H68">
        <f t="shared" si="7"/>
        <v>0</v>
      </c>
      <c r="I68">
        <f t="shared" si="7"/>
        <v>0</v>
      </c>
      <c r="J68">
        <f t="shared" si="7"/>
        <v>0</v>
      </c>
      <c r="K68">
        <f t="shared" si="7"/>
        <v>0</v>
      </c>
      <c r="L68">
        <f t="shared" si="7"/>
        <v>0</v>
      </c>
      <c r="M68" s="2"/>
    </row>
    <row r="69" spans="1:13" x14ac:dyDescent="0.25">
      <c r="A69" s="1">
        <f t="shared" si="6"/>
        <v>0</v>
      </c>
      <c r="B69" s="1">
        <f>IF(C69=0,0,A69&amp;" "&amp;COUNTIF($A$1:$A69,A69))</f>
        <v>0</v>
      </c>
      <c r="C69" s="1">
        <v>0</v>
      </c>
      <c r="D69" s="2" t="str">
        <f>RawData!A69</f>
        <v>WR</v>
      </c>
      <c r="E69" s="2" t="str">
        <f>RawData!B69</f>
        <v>Mike Wallace</v>
      </c>
      <c r="F69" s="2">
        <f>(RawData!E69)</f>
        <v>13.05</v>
      </c>
      <c r="G69" s="35">
        <f>RawData!C69</f>
        <v>4500</v>
      </c>
      <c r="H69">
        <f t="shared" si="7"/>
        <v>0</v>
      </c>
      <c r="I69">
        <f t="shared" si="7"/>
        <v>0</v>
      </c>
      <c r="J69">
        <f t="shared" si="7"/>
        <v>0</v>
      </c>
      <c r="K69">
        <f t="shared" si="7"/>
        <v>0</v>
      </c>
      <c r="L69">
        <f t="shared" si="7"/>
        <v>0</v>
      </c>
      <c r="M69" s="2"/>
    </row>
    <row r="70" spans="1:13" x14ac:dyDescent="0.25">
      <c r="A70" s="1">
        <f t="shared" si="6"/>
        <v>0</v>
      </c>
      <c r="B70" s="1">
        <f>IF(C70=0,0,A70&amp;" "&amp;COUNTIF($A$1:$A70,A70))</f>
        <v>0</v>
      </c>
      <c r="C70" s="1">
        <v>0</v>
      </c>
      <c r="D70" s="2" t="str">
        <f>RawData!A70</f>
        <v>TE</v>
      </c>
      <c r="E70" s="2" t="str">
        <f>RawData!B70</f>
        <v>Jordan Reed</v>
      </c>
      <c r="F70" s="2">
        <f>(RawData!E70)</f>
        <v>13.045999999999999</v>
      </c>
      <c r="G70" s="35">
        <f>RawData!C70</f>
        <v>5900</v>
      </c>
      <c r="H70">
        <f t="shared" si="7"/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  <c r="M70" s="2"/>
    </row>
    <row r="71" spans="1:13" x14ac:dyDescent="0.25">
      <c r="A71" s="1">
        <f t="shared" si="6"/>
        <v>0</v>
      </c>
      <c r="B71" s="1">
        <f>IF(C71=0,0,A71&amp;" "&amp;COUNTIF($A$1:$A71,A71))</f>
        <v>0</v>
      </c>
      <c r="C71" s="1">
        <v>0</v>
      </c>
      <c r="D71" s="2" t="str">
        <f>RawData!A71</f>
        <v>WR</v>
      </c>
      <c r="E71" s="2" t="str">
        <f>RawData!B71</f>
        <v>DeAndre Hopkins</v>
      </c>
      <c r="F71" s="2">
        <f>(RawData!E71)</f>
        <v>12.978</v>
      </c>
      <c r="G71" s="35">
        <f>RawData!C71</f>
        <v>5900</v>
      </c>
      <c r="H71">
        <f t="shared" si="7"/>
        <v>0</v>
      </c>
      <c r="I71">
        <f t="shared" si="7"/>
        <v>0</v>
      </c>
      <c r="J71">
        <f t="shared" si="7"/>
        <v>0</v>
      </c>
      <c r="K71">
        <f t="shared" si="7"/>
        <v>0</v>
      </c>
      <c r="L71">
        <f t="shared" si="7"/>
        <v>0</v>
      </c>
      <c r="M71" s="2"/>
    </row>
    <row r="72" spans="1:13" x14ac:dyDescent="0.25">
      <c r="A72" s="1">
        <f t="shared" si="6"/>
        <v>0</v>
      </c>
      <c r="B72" s="1">
        <f>IF(C72=0,0,A72&amp;" "&amp;COUNTIF($A$1:$A72,A72))</f>
        <v>0</v>
      </c>
      <c r="C72" s="1">
        <v>0</v>
      </c>
      <c r="D72" s="2" t="str">
        <f>RawData!A72</f>
        <v>WR</v>
      </c>
      <c r="E72" s="2" t="str">
        <f>RawData!B72</f>
        <v>Jamison Crowder</v>
      </c>
      <c r="F72" s="2">
        <f>(RawData!E72)</f>
        <v>12.968999999999999</v>
      </c>
      <c r="G72" s="35">
        <f>RawData!C72</f>
        <v>5600</v>
      </c>
      <c r="H72">
        <f t="shared" si="7"/>
        <v>0</v>
      </c>
      <c r="I72">
        <f t="shared" si="7"/>
        <v>0</v>
      </c>
      <c r="J72">
        <f t="shared" si="7"/>
        <v>0</v>
      </c>
      <c r="K72">
        <f t="shared" si="7"/>
        <v>0</v>
      </c>
      <c r="L72">
        <f t="shared" si="7"/>
        <v>0</v>
      </c>
      <c r="M72" s="2"/>
    </row>
    <row r="73" spans="1:13" x14ac:dyDescent="0.25">
      <c r="A73" s="1">
        <f t="shared" si="6"/>
        <v>0</v>
      </c>
      <c r="B73" s="1">
        <f>IF(C73=0,0,A73&amp;" "&amp;COUNTIF($A$1:$A73,A73))</f>
        <v>0</v>
      </c>
      <c r="C73" s="1">
        <v>0</v>
      </c>
      <c r="D73" s="2" t="str">
        <f>RawData!A73</f>
        <v>WR</v>
      </c>
      <c r="E73" s="2" t="str">
        <f>RawData!B73</f>
        <v>Allen Robinson</v>
      </c>
      <c r="F73" s="2">
        <f>(RawData!E73)</f>
        <v>12.831</v>
      </c>
      <c r="G73" s="35">
        <f>RawData!C73</f>
        <v>5200</v>
      </c>
      <c r="H73">
        <f t="shared" si="7"/>
        <v>0</v>
      </c>
      <c r="I73">
        <f t="shared" si="7"/>
        <v>0</v>
      </c>
      <c r="J73">
        <f t="shared" si="7"/>
        <v>0</v>
      </c>
      <c r="K73">
        <f t="shared" si="7"/>
        <v>0</v>
      </c>
      <c r="L73">
        <f t="shared" si="7"/>
        <v>0</v>
      </c>
      <c r="M73" s="2"/>
    </row>
    <row r="74" spans="1:13" x14ac:dyDescent="0.25">
      <c r="A74" s="1">
        <f t="shared" si="6"/>
        <v>0</v>
      </c>
      <c r="B74" s="1">
        <f>IF(C74=0,0,A74&amp;" "&amp;COUNTIF($A$1:$A74,A74))</f>
        <v>0</v>
      </c>
      <c r="C74" s="1">
        <v>0</v>
      </c>
      <c r="D74" s="2" t="str">
        <f>RawData!A74</f>
        <v>WR</v>
      </c>
      <c r="E74" s="2" t="str">
        <f>RawData!B74</f>
        <v>Pierre Garcon</v>
      </c>
      <c r="F74" s="2">
        <f>(RawData!E74)</f>
        <v>12.756</v>
      </c>
      <c r="G74" s="35">
        <f>RawData!C74</f>
        <v>5300</v>
      </c>
      <c r="H74">
        <f t="shared" si="7"/>
        <v>0</v>
      </c>
      <c r="I74">
        <f t="shared" si="7"/>
        <v>0</v>
      </c>
      <c r="J74">
        <f t="shared" si="7"/>
        <v>0</v>
      </c>
      <c r="K74">
        <f t="shared" si="7"/>
        <v>0</v>
      </c>
      <c r="L74">
        <f t="shared" si="7"/>
        <v>0</v>
      </c>
      <c r="M74" s="2"/>
    </row>
    <row r="75" spans="1:13" x14ac:dyDescent="0.25">
      <c r="A75" s="1">
        <f t="shared" si="6"/>
        <v>0</v>
      </c>
      <c r="B75" s="1">
        <f>IF(C75=0,0,A75&amp;" "&amp;COUNTIF($A$1:$A75,A75))</f>
        <v>0</v>
      </c>
      <c r="C75" s="1">
        <v>0</v>
      </c>
      <c r="D75" s="2" t="str">
        <f>RawData!A75</f>
        <v>RB</v>
      </c>
      <c r="E75" s="2" t="str">
        <f>RawData!B75</f>
        <v>Bilal Powell</v>
      </c>
      <c r="F75" s="2">
        <f>(RawData!E75)</f>
        <v>12.75</v>
      </c>
      <c r="G75" s="35">
        <f>RawData!C75</f>
        <v>4900</v>
      </c>
      <c r="H75">
        <f t="shared" si="7"/>
        <v>0</v>
      </c>
      <c r="I75">
        <f t="shared" si="7"/>
        <v>0</v>
      </c>
      <c r="J75">
        <f t="shared" si="7"/>
        <v>0</v>
      </c>
      <c r="K75">
        <f t="shared" si="7"/>
        <v>0</v>
      </c>
      <c r="L75">
        <f t="shared" si="7"/>
        <v>0</v>
      </c>
      <c r="M75" s="2"/>
    </row>
    <row r="76" spans="1:13" x14ac:dyDescent="0.25">
      <c r="A76" s="1">
        <f t="shared" si="6"/>
        <v>0</v>
      </c>
      <c r="B76" s="1">
        <f>IF(C76=0,0,A76&amp;" "&amp;COUNTIF($A$1:$A76,A76))</f>
        <v>0</v>
      </c>
      <c r="C76" s="1">
        <v>0</v>
      </c>
      <c r="D76" s="2" t="str">
        <f>RawData!A76</f>
        <v>TE</v>
      </c>
      <c r="E76" s="2" t="str">
        <f>RawData!B76</f>
        <v>Delanie Walker</v>
      </c>
      <c r="F76" s="2">
        <f>(RawData!E76)</f>
        <v>12.74</v>
      </c>
      <c r="G76" s="35">
        <f>RawData!C76</f>
        <v>4300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L76">
        <f t="shared" si="7"/>
        <v>0</v>
      </c>
      <c r="M76" s="2"/>
    </row>
    <row r="77" spans="1:13" x14ac:dyDescent="0.25">
      <c r="A77" s="1">
        <f t="shared" si="6"/>
        <v>0</v>
      </c>
      <c r="B77" s="1">
        <f>IF(C77=0,0,A77&amp;" "&amp;COUNTIF($A$1:$A77,A77))</f>
        <v>0</v>
      </c>
      <c r="C77" s="1">
        <v>0</v>
      </c>
      <c r="D77" s="2" t="str">
        <f>RawData!A77</f>
        <v>TE</v>
      </c>
      <c r="E77" s="2" t="str">
        <f>RawData!B77</f>
        <v>Tyler Eifert</v>
      </c>
      <c r="F77" s="2">
        <f>(RawData!E77)</f>
        <v>12.675000000000001</v>
      </c>
      <c r="G77" s="35">
        <f>RawData!C77</f>
        <v>4600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L77">
        <f t="shared" si="7"/>
        <v>0</v>
      </c>
      <c r="M77" s="2"/>
    </row>
    <row r="78" spans="1:13" x14ac:dyDescent="0.25">
      <c r="A78" s="1">
        <f t="shared" si="6"/>
        <v>0</v>
      </c>
      <c r="B78" s="1">
        <f>IF(C78=0,0,A78&amp;" "&amp;COUNTIF($A$1:$A78,A78))</f>
        <v>0</v>
      </c>
      <c r="C78" s="1">
        <v>0</v>
      </c>
      <c r="D78" s="2" t="str">
        <f>RawData!A78</f>
        <v>QB</v>
      </c>
      <c r="E78" s="2" t="str">
        <f>RawData!B78</f>
        <v>Brock Osweiler</v>
      </c>
      <c r="F78" s="2">
        <f>(RawData!E78)</f>
        <v>12.64</v>
      </c>
      <c r="G78" s="35">
        <f>RawData!C78</f>
        <v>4500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L78">
        <f t="shared" si="7"/>
        <v>0</v>
      </c>
      <c r="M78" s="2"/>
    </row>
    <row r="79" spans="1:13" x14ac:dyDescent="0.25">
      <c r="A79" s="1">
        <f t="shared" si="6"/>
        <v>0</v>
      </c>
      <c r="B79" s="1">
        <f>IF(C79=0,0,A79&amp;" "&amp;COUNTIF($A$1:$A79,A79))</f>
        <v>0</v>
      </c>
      <c r="C79" s="1">
        <v>0</v>
      </c>
      <c r="D79" s="2" t="str">
        <f>RawData!A79</f>
        <v>RB</v>
      </c>
      <c r="E79" s="2" t="str">
        <f>RawData!B79</f>
        <v>Giovani Bernard</v>
      </c>
      <c r="F79" s="2">
        <f>(RawData!E79)</f>
        <v>12.63</v>
      </c>
      <c r="G79" s="35">
        <f>RawData!C79</f>
        <v>4500</v>
      </c>
      <c r="H79">
        <f t="shared" si="7"/>
        <v>0</v>
      </c>
      <c r="I79">
        <f t="shared" si="7"/>
        <v>0</v>
      </c>
      <c r="J79">
        <f t="shared" si="7"/>
        <v>0</v>
      </c>
      <c r="K79">
        <f t="shared" si="7"/>
        <v>0</v>
      </c>
      <c r="L79">
        <f t="shared" si="7"/>
        <v>0</v>
      </c>
      <c r="M79" s="2"/>
    </row>
    <row r="80" spans="1:13" x14ac:dyDescent="0.25">
      <c r="A80" s="1">
        <f t="shared" si="6"/>
        <v>0</v>
      </c>
      <c r="B80" s="1">
        <f>IF(C80=0,0,A80&amp;" "&amp;COUNTIF($A$1:$A80,A80))</f>
        <v>0</v>
      </c>
      <c r="C80" s="1">
        <v>0</v>
      </c>
      <c r="D80" s="2" t="str">
        <f>RawData!A80</f>
        <v>WR</v>
      </c>
      <c r="E80" s="2" t="str">
        <f>RawData!B80</f>
        <v>Kelvin Benjamin</v>
      </c>
      <c r="F80" s="2">
        <f>(RawData!E80)</f>
        <v>12.569000000000001</v>
      </c>
      <c r="G80" s="35">
        <f>RawData!C80</f>
        <v>5900</v>
      </c>
      <c r="H80">
        <f t="shared" si="7"/>
        <v>0</v>
      </c>
      <c r="I80">
        <f t="shared" si="7"/>
        <v>0</v>
      </c>
      <c r="J80">
        <f t="shared" si="7"/>
        <v>0</v>
      </c>
      <c r="K80">
        <f t="shared" si="7"/>
        <v>0</v>
      </c>
      <c r="L80">
        <f t="shared" si="7"/>
        <v>0</v>
      </c>
      <c r="M80" s="2"/>
    </row>
    <row r="81" spans="1:13" x14ac:dyDescent="0.25">
      <c r="A81" s="1">
        <f t="shared" si="6"/>
        <v>0</v>
      </c>
      <c r="B81" s="1">
        <f>IF(C81=0,0,A81&amp;" "&amp;COUNTIF($A$1:$A81,A81))</f>
        <v>0</v>
      </c>
      <c r="C81" s="1">
        <v>0</v>
      </c>
      <c r="D81" s="2" t="str">
        <f>RawData!A81</f>
        <v>WR</v>
      </c>
      <c r="E81" s="2" t="str">
        <f>RawData!B81</f>
        <v>Jordan Matthews</v>
      </c>
      <c r="F81" s="2">
        <f>(RawData!E81)</f>
        <v>12.457000000000001</v>
      </c>
      <c r="G81" s="35">
        <f>RawData!C81</f>
        <v>4400</v>
      </c>
      <c r="H81">
        <f t="shared" si="7"/>
        <v>0</v>
      </c>
      <c r="I81">
        <f t="shared" si="7"/>
        <v>0</v>
      </c>
      <c r="J81">
        <f t="shared" si="7"/>
        <v>0</v>
      </c>
      <c r="K81">
        <f t="shared" si="7"/>
        <v>0</v>
      </c>
      <c r="L81">
        <f t="shared" si="7"/>
        <v>0</v>
      </c>
      <c r="M81" s="2"/>
    </row>
    <row r="82" spans="1:13" x14ac:dyDescent="0.25">
      <c r="A82" s="1">
        <f t="shared" si="6"/>
        <v>0</v>
      </c>
      <c r="B82" s="1">
        <f>IF(C82=0,0,A82&amp;" "&amp;COUNTIF($A$1:$A82,A82))</f>
        <v>0</v>
      </c>
      <c r="C82" s="1">
        <v>0</v>
      </c>
      <c r="D82" s="2" t="str">
        <f>RawData!A82</f>
        <v>RB</v>
      </c>
      <c r="E82" s="2" t="str">
        <f>RawData!B82</f>
        <v>Todd Gurley</v>
      </c>
      <c r="F82" s="2">
        <f>(RawData!E82)</f>
        <v>12.45</v>
      </c>
      <c r="G82" s="35">
        <f>RawData!C82</f>
        <v>6000</v>
      </c>
      <c r="H82">
        <f t="shared" si="7"/>
        <v>0</v>
      </c>
      <c r="I82">
        <f t="shared" si="7"/>
        <v>0</v>
      </c>
      <c r="J82">
        <f t="shared" si="7"/>
        <v>0</v>
      </c>
      <c r="K82">
        <f t="shared" si="7"/>
        <v>0</v>
      </c>
      <c r="L82">
        <f t="shared" si="7"/>
        <v>0</v>
      </c>
      <c r="M82" s="2"/>
    </row>
    <row r="83" spans="1:13" x14ac:dyDescent="0.25">
      <c r="A83" s="1">
        <f t="shared" si="6"/>
        <v>0</v>
      </c>
      <c r="B83" s="1">
        <f>IF(C83=0,0,A83&amp;" "&amp;COUNTIF($A$1:$A83,A83))</f>
        <v>0</v>
      </c>
      <c r="C83" s="1">
        <v>0</v>
      </c>
      <c r="D83" s="2" t="str">
        <f>RawData!A83</f>
        <v>WR</v>
      </c>
      <c r="E83" s="2" t="str">
        <f>RawData!B83</f>
        <v>Alshon Jeffery</v>
      </c>
      <c r="F83" s="2">
        <f>(RawData!E83)</f>
        <v>12.425000000000001</v>
      </c>
      <c r="G83" s="35">
        <f>RawData!C83</f>
        <v>5800</v>
      </c>
      <c r="H83">
        <f t="shared" si="7"/>
        <v>0</v>
      </c>
      <c r="I83">
        <f t="shared" si="7"/>
        <v>0</v>
      </c>
      <c r="J83">
        <f t="shared" si="7"/>
        <v>0</v>
      </c>
      <c r="K83">
        <f t="shared" si="7"/>
        <v>0</v>
      </c>
      <c r="L83">
        <f t="shared" si="7"/>
        <v>0</v>
      </c>
      <c r="M83" s="2"/>
    </row>
    <row r="84" spans="1:13" x14ac:dyDescent="0.25">
      <c r="A84" s="1">
        <f t="shared" si="6"/>
        <v>0</v>
      </c>
      <c r="B84" s="1">
        <f>IF(C84=0,0,A84&amp;" "&amp;COUNTIF($A$1:$A84,A84))</f>
        <v>0</v>
      </c>
      <c r="C84" s="1">
        <v>0</v>
      </c>
      <c r="D84" s="2" t="str">
        <f>RawData!A84</f>
        <v>WR</v>
      </c>
      <c r="E84" s="2" t="str">
        <f>RawData!B84</f>
        <v>DeSean Jackson</v>
      </c>
      <c r="F84" s="2">
        <f>(RawData!E84)</f>
        <v>12.218999999999999</v>
      </c>
      <c r="G84" s="35">
        <f>RawData!C84</f>
        <v>4900</v>
      </c>
      <c r="H84">
        <f t="shared" si="7"/>
        <v>0</v>
      </c>
      <c r="I84">
        <f t="shared" si="7"/>
        <v>0</v>
      </c>
      <c r="J84">
        <f t="shared" si="7"/>
        <v>0</v>
      </c>
      <c r="K84">
        <f t="shared" si="7"/>
        <v>0</v>
      </c>
      <c r="L84">
        <f t="shared" si="7"/>
        <v>0</v>
      </c>
      <c r="M84" s="2"/>
    </row>
    <row r="85" spans="1:13" x14ac:dyDescent="0.25">
      <c r="A85" s="1">
        <f t="shared" si="6"/>
        <v>0</v>
      </c>
      <c r="B85" s="1">
        <f>IF(C85=0,0,A85&amp;" "&amp;COUNTIF($A$1:$A85,A85))</f>
        <v>0</v>
      </c>
      <c r="C85" s="1">
        <v>0</v>
      </c>
      <c r="D85" s="2" t="str">
        <f>RawData!A85</f>
        <v>RB</v>
      </c>
      <c r="E85" s="2" t="str">
        <f>RawData!B85</f>
        <v>Jeremy Hill</v>
      </c>
      <c r="F85" s="2">
        <f>(RawData!E85)</f>
        <v>12.153</v>
      </c>
      <c r="G85" s="35">
        <f>RawData!C85</f>
        <v>4400</v>
      </c>
      <c r="H85">
        <f t="shared" si="7"/>
        <v>0</v>
      </c>
      <c r="I85">
        <f t="shared" si="7"/>
        <v>0</v>
      </c>
      <c r="J85">
        <f t="shared" si="7"/>
        <v>0</v>
      </c>
      <c r="K85">
        <f t="shared" si="7"/>
        <v>0</v>
      </c>
      <c r="L85">
        <f t="shared" si="7"/>
        <v>0</v>
      </c>
      <c r="M85" s="2"/>
    </row>
    <row r="86" spans="1:13" x14ac:dyDescent="0.25">
      <c r="A86" s="1">
        <f t="shared" si="6"/>
        <v>0</v>
      </c>
      <c r="B86" s="1">
        <f>IF(C86=0,0,A86&amp;" "&amp;COUNTIF($A$1:$A86,A86))</f>
        <v>0</v>
      </c>
      <c r="C86" s="1">
        <v>0</v>
      </c>
      <c r="D86" s="2" t="str">
        <f>RawData!A86</f>
        <v>TE</v>
      </c>
      <c r="E86" s="2" t="str">
        <f>RawData!B86</f>
        <v>Jimmy Graham</v>
      </c>
      <c r="F86" s="2">
        <f>(RawData!E86)</f>
        <v>12.122</v>
      </c>
      <c r="G86" s="35">
        <f>RawData!C86</f>
        <v>5100</v>
      </c>
      <c r="H86">
        <f t="shared" si="7"/>
        <v>0</v>
      </c>
      <c r="I86">
        <f t="shared" si="7"/>
        <v>0</v>
      </c>
      <c r="J86">
        <f t="shared" si="7"/>
        <v>0</v>
      </c>
      <c r="K86">
        <f t="shared" si="7"/>
        <v>0</v>
      </c>
      <c r="L86">
        <f t="shared" si="7"/>
        <v>0</v>
      </c>
      <c r="M86" s="2"/>
    </row>
    <row r="87" spans="1:13" x14ac:dyDescent="0.25">
      <c r="A87" s="1">
        <f t="shared" si="6"/>
        <v>0</v>
      </c>
      <c r="B87" s="1">
        <f>IF(C87=0,0,A87&amp;" "&amp;COUNTIF($A$1:$A87,A87))</f>
        <v>0</v>
      </c>
      <c r="C87" s="1">
        <v>0</v>
      </c>
      <c r="D87" s="2" t="str">
        <f>RawData!A87</f>
        <v>TE</v>
      </c>
      <c r="E87" s="2" t="str">
        <f>RawData!B87</f>
        <v>Zach Miller</v>
      </c>
      <c r="F87" s="2">
        <f>(RawData!E87)</f>
        <v>11.96</v>
      </c>
      <c r="G87" s="35">
        <f>RawData!C87</f>
        <v>2800</v>
      </c>
      <c r="H87">
        <f t="shared" si="7"/>
        <v>0</v>
      </c>
      <c r="I87">
        <f t="shared" si="7"/>
        <v>0</v>
      </c>
      <c r="J87">
        <f t="shared" si="7"/>
        <v>0</v>
      </c>
      <c r="K87">
        <f t="shared" si="7"/>
        <v>0</v>
      </c>
      <c r="L87">
        <f t="shared" si="7"/>
        <v>0</v>
      </c>
      <c r="M87" s="2"/>
    </row>
    <row r="88" spans="1:13" x14ac:dyDescent="0.25">
      <c r="A88" s="1">
        <f t="shared" si="6"/>
        <v>0</v>
      </c>
      <c r="B88" s="1">
        <f>IF(C88=0,0,A88&amp;" "&amp;COUNTIF($A$1:$A88,A88))</f>
        <v>0</v>
      </c>
      <c r="C88" s="1">
        <v>0</v>
      </c>
      <c r="D88" s="2" t="str">
        <f>RawData!A88</f>
        <v>WR</v>
      </c>
      <c r="E88" s="2" t="str">
        <f>RawData!B88</f>
        <v>Marvin Jones Jr.</v>
      </c>
      <c r="F88" s="2">
        <f>(RawData!E88)</f>
        <v>11.9</v>
      </c>
      <c r="G88" s="35">
        <f>RawData!C88</f>
        <v>4100</v>
      </c>
      <c r="H88">
        <f t="shared" si="7"/>
        <v>0</v>
      </c>
      <c r="I88">
        <f t="shared" si="7"/>
        <v>0</v>
      </c>
      <c r="J88">
        <f t="shared" si="7"/>
        <v>0</v>
      </c>
      <c r="K88">
        <f t="shared" si="7"/>
        <v>0</v>
      </c>
      <c r="L88">
        <f t="shared" si="7"/>
        <v>0</v>
      </c>
      <c r="M88" s="2"/>
    </row>
    <row r="89" spans="1:13" x14ac:dyDescent="0.25">
      <c r="A89" s="1">
        <f t="shared" si="6"/>
        <v>0</v>
      </c>
      <c r="B89" s="1">
        <f>IF(C89=0,0,A89&amp;" "&amp;COUNTIF($A$1:$A89,A89))</f>
        <v>0</v>
      </c>
      <c r="C89" s="1">
        <v>0</v>
      </c>
      <c r="D89" s="2" t="str">
        <f>RawData!A89</f>
        <v>WR</v>
      </c>
      <c r="E89" s="2" t="str">
        <f>RawData!B89</f>
        <v>Brandon LaFell</v>
      </c>
      <c r="F89" s="2">
        <f>(RawData!E89)</f>
        <v>11.813000000000001</v>
      </c>
      <c r="G89" s="35">
        <f>RawData!C89</f>
        <v>3700</v>
      </c>
      <c r="H89">
        <f t="shared" si="7"/>
        <v>0</v>
      </c>
      <c r="I89">
        <f t="shared" si="7"/>
        <v>0</v>
      </c>
      <c r="J89">
        <f t="shared" si="7"/>
        <v>0</v>
      </c>
      <c r="K89">
        <f t="shared" si="7"/>
        <v>0</v>
      </c>
      <c r="L89">
        <f t="shared" si="7"/>
        <v>0</v>
      </c>
      <c r="M89" s="2"/>
    </row>
    <row r="90" spans="1:13" x14ac:dyDescent="0.25">
      <c r="A90" s="1">
        <f t="shared" si="6"/>
        <v>0</v>
      </c>
      <c r="B90" s="1">
        <f>IF(C90=0,0,A90&amp;" "&amp;COUNTIF($A$1:$A90,A90))</f>
        <v>0</v>
      </c>
      <c r="C90" s="1">
        <v>0</v>
      </c>
      <c r="D90" s="2" t="str">
        <f>RawData!A90</f>
        <v>RB</v>
      </c>
      <c r="E90" s="2" t="str">
        <f>RawData!B90</f>
        <v>Ryan Mathews</v>
      </c>
      <c r="F90" s="2">
        <f>(RawData!E90)</f>
        <v>11.738</v>
      </c>
      <c r="G90" s="35">
        <f>RawData!C90</f>
        <v>3200</v>
      </c>
      <c r="H90">
        <f t="shared" si="7"/>
        <v>0</v>
      </c>
      <c r="I90">
        <f t="shared" si="7"/>
        <v>0</v>
      </c>
      <c r="J90">
        <f t="shared" si="7"/>
        <v>0</v>
      </c>
      <c r="K90">
        <f t="shared" si="7"/>
        <v>0</v>
      </c>
      <c r="L90">
        <f t="shared" si="7"/>
        <v>0</v>
      </c>
      <c r="M90" s="2"/>
    </row>
    <row r="91" spans="1:13" x14ac:dyDescent="0.25">
      <c r="A91" s="1">
        <f t="shared" si="6"/>
        <v>0</v>
      </c>
      <c r="B91" s="1">
        <f>IF(C91=0,0,A91&amp;" "&amp;COUNTIF($A$1:$A91,A91))</f>
        <v>0</v>
      </c>
      <c r="C91" s="1">
        <v>0</v>
      </c>
      <c r="D91" s="2" t="str">
        <f>RawData!A91</f>
        <v>RB</v>
      </c>
      <c r="E91" s="2" t="str">
        <f>RawData!B91</f>
        <v>Jonathan Stewart</v>
      </c>
      <c r="F91" s="2">
        <f>(RawData!E91)</f>
        <v>11.646000000000001</v>
      </c>
      <c r="G91" s="35">
        <f>RawData!C91</f>
        <v>5000</v>
      </c>
      <c r="H91">
        <f t="shared" si="7"/>
        <v>0</v>
      </c>
      <c r="I91">
        <f t="shared" si="7"/>
        <v>0</v>
      </c>
      <c r="J91">
        <f t="shared" si="7"/>
        <v>0</v>
      </c>
      <c r="K91">
        <f t="shared" si="7"/>
        <v>0</v>
      </c>
      <c r="L91">
        <f t="shared" si="7"/>
        <v>0</v>
      </c>
      <c r="M91" s="2"/>
    </row>
    <row r="92" spans="1:13" x14ac:dyDescent="0.25">
      <c r="A92" s="1">
        <f t="shared" si="6"/>
        <v>0</v>
      </c>
      <c r="B92" s="1">
        <f>IF(C92=0,0,A92&amp;" "&amp;COUNTIF($A$1:$A92,A92))</f>
        <v>0</v>
      </c>
      <c r="C92" s="1">
        <v>0</v>
      </c>
      <c r="D92" s="2" t="str">
        <f>RawData!A92</f>
        <v>WR</v>
      </c>
      <c r="E92" s="2" t="str">
        <f>RawData!B92</f>
        <v>Sterling Shepard</v>
      </c>
      <c r="F92" s="2">
        <f>(RawData!E92)</f>
        <v>11.629</v>
      </c>
      <c r="G92" s="35">
        <f>RawData!C92</f>
        <v>4100</v>
      </c>
      <c r="H92">
        <f t="shared" si="7"/>
        <v>0</v>
      </c>
      <c r="I92">
        <f t="shared" si="7"/>
        <v>0</v>
      </c>
      <c r="J92">
        <f t="shared" si="7"/>
        <v>0</v>
      </c>
      <c r="K92">
        <f t="shared" si="7"/>
        <v>0</v>
      </c>
      <c r="L92">
        <f t="shared" si="7"/>
        <v>0</v>
      </c>
      <c r="M92" s="2"/>
    </row>
    <row r="93" spans="1:13" x14ac:dyDescent="0.25">
      <c r="A93" s="1">
        <f t="shared" si="6"/>
        <v>0</v>
      </c>
      <c r="B93" s="1">
        <f>IF(C93=0,0,A93&amp;" "&amp;COUNTIF($A$1:$A93,A93))</f>
        <v>0</v>
      </c>
      <c r="C93" s="1">
        <v>0</v>
      </c>
      <c r="D93" s="2" t="str">
        <f>RawData!A93</f>
        <v>WR</v>
      </c>
      <c r="E93" s="2" t="str">
        <f>RawData!B93</f>
        <v>Cole Beasley</v>
      </c>
      <c r="F93" s="2">
        <f>(RawData!E93)</f>
        <v>11.618</v>
      </c>
      <c r="G93" s="35">
        <f>RawData!C93</f>
        <v>4700</v>
      </c>
      <c r="H93">
        <f t="shared" si="7"/>
        <v>0</v>
      </c>
      <c r="I93">
        <f t="shared" si="7"/>
        <v>0</v>
      </c>
      <c r="J93">
        <f t="shared" si="7"/>
        <v>0</v>
      </c>
      <c r="K93">
        <f t="shared" si="7"/>
        <v>0</v>
      </c>
      <c r="L93">
        <f t="shared" si="7"/>
        <v>0</v>
      </c>
      <c r="M93" s="2"/>
    </row>
    <row r="94" spans="1:13" x14ac:dyDescent="0.25">
      <c r="A94" s="1">
        <f t="shared" si="6"/>
        <v>0</v>
      </c>
      <c r="B94" s="1">
        <f>IF(C94=0,0,A94&amp;" "&amp;COUNTIF($A$1:$A94,A94))</f>
        <v>0</v>
      </c>
      <c r="C94" s="1">
        <v>0</v>
      </c>
      <c r="D94" s="2" t="str">
        <f>RawData!A94</f>
        <v>WR</v>
      </c>
      <c r="E94" s="2" t="str">
        <f>RawData!B94</f>
        <v>Marqise Lee</v>
      </c>
      <c r="F94" s="2">
        <f>(RawData!E94)</f>
        <v>11.587999999999999</v>
      </c>
      <c r="G94" s="35">
        <f>RawData!C94</f>
        <v>3800</v>
      </c>
      <c r="H94">
        <f t="shared" si="7"/>
        <v>0</v>
      </c>
      <c r="I94">
        <f t="shared" si="7"/>
        <v>0</v>
      </c>
      <c r="J94">
        <f t="shared" si="7"/>
        <v>0</v>
      </c>
      <c r="K94">
        <f t="shared" si="7"/>
        <v>0</v>
      </c>
      <c r="L94">
        <f t="shared" si="7"/>
        <v>0</v>
      </c>
      <c r="M94" s="2"/>
    </row>
    <row r="95" spans="1:13" x14ac:dyDescent="0.25">
      <c r="A95" s="1">
        <f t="shared" si="6"/>
        <v>0</v>
      </c>
      <c r="B95" s="1">
        <f>IF(C95=0,0,A95&amp;" "&amp;COUNTIF($A$1:$A95,A95))</f>
        <v>0</v>
      </c>
      <c r="C95" s="1">
        <v>0</v>
      </c>
      <c r="D95" s="2" t="str">
        <f>RawData!A95</f>
        <v>WR</v>
      </c>
      <c r="E95" s="2" t="str">
        <f>RawData!B95</f>
        <v>Donte Moncrief</v>
      </c>
      <c r="F95" s="2">
        <f>(RawData!E95)</f>
        <v>11.4</v>
      </c>
      <c r="G95" s="35">
        <f>RawData!C95</f>
        <v>5000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  <c r="M95" s="2"/>
    </row>
    <row r="96" spans="1:13" x14ac:dyDescent="0.25">
      <c r="A96" s="1">
        <f t="shared" si="6"/>
        <v>0</v>
      </c>
      <c r="B96" s="1">
        <f>IF(C96=0,0,A96&amp;" "&amp;COUNTIF($A$1:$A96,A96))</f>
        <v>0</v>
      </c>
      <c r="C96" s="1">
        <v>0</v>
      </c>
      <c r="D96" s="2" t="str">
        <f>RawData!A96</f>
        <v>TE</v>
      </c>
      <c r="E96" s="2" t="str">
        <f>RawData!B96</f>
        <v>Cameron Brate</v>
      </c>
      <c r="F96" s="2">
        <f>(RawData!E96)</f>
        <v>11.4</v>
      </c>
      <c r="G96" s="35">
        <f>RawData!C96</f>
        <v>3100</v>
      </c>
      <c r="H96">
        <f t="shared" si="7"/>
        <v>0</v>
      </c>
      <c r="I96">
        <f t="shared" si="7"/>
        <v>0</v>
      </c>
      <c r="J96">
        <f t="shared" si="7"/>
        <v>0</v>
      </c>
      <c r="K96">
        <f t="shared" si="7"/>
        <v>0</v>
      </c>
      <c r="L96">
        <f t="shared" si="7"/>
        <v>0</v>
      </c>
      <c r="M96" s="2"/>
    </row>
    <row r="97" spans="1:13" x14ac:dyDescent="0.25">
      <c r="A97" s="1">
        <f t="shared" si="6"/>
        <v>0</v>
      </c>
      <c r="B97" s="1">
        <f>IF(C97=0,0,A97&amp;" "&amp;COUNTIF($A$1:$A97,A97))</f>
        <v>0</v>
      </c>
      <c r="C97" s="1">
        <v>0</v>
      </c>
      <c r="D97" s="2" t="str">
        <f>RawData!A97</f>
        <v>WR</v>
      </c>
      <c r="E97" s="2" t="str">
        <f>RawData!B97</f>
        <v>Marquess Wilson</v>
      </c>
      <c r="F97" s="2">
        <f>(RawData!E97)</f>
        <v>11.333</v>
      </c>
      <c r="G97" s="35">
        <f>RawData!C97</f>
        <v>3000</v>
      </c>
      <c r="H97">
        <f t="shared" si="7"/>
        <v>0</v>
      </c>
      <c r="I97">
        <f t="shared" si="7"/>
        <v>0</v>
      </c>
      <c r="J97">
        <f t="shared" si="7"/>
        <v>0</v>
      </c>
      <c r="K97">
        <f t="shared" si="7"/>
        <v>0</v>
      </c>
      <c r="L97">
        <f t="shared" si="7"/>
        <v>0</v>
      </c>
      <c r="M97" s="2"/>
    </row>
    <row r="98" spans="1:13" x14ac:dyDescent="0.25">
      <c r="A98" s="1">
        <f t="shared" si="6"/>
        <v>0</v>
      </c>
      <c r="B98" s="1">
        <f>IF(C98=0,0,A98&amp;" "&amp;COUNTIF($A$1:$A98,A98))</f>
        <v>0</v>
      </c>
      <c r="C98" s="1">
        <v>0</v>
      </c>
      <c r="D98" s="2" t="str">
        <f>RawData!A98</f>
        <v>RB</v>
      </c>
      <c r="E98" s="2" t="str">
        <f>RawData!B98</f>
        <v>Darren Sproles</v>
      </c>
      <c r="F98" s="2">
        <f>(RawData!E98)</f>
        <v>11.032999999999999</v>
      </c>
      <c r="G98" s="35">
        <f>RawData!C98</f>
        <v>3900</v>
      </c>
      <c r="H98">
        <f t="shared" si="7"/>
        <v>0</v>
      </c>
      <c r="I98">
        <f t="shared" si="7"/>
        <v>0</v>
      </c>
      <c r="J98">
        <f t="shared" si="7"/>
        <v>0</v>
      </c>
      <c r="K98">
        <f t="shared" si="7"/>
        <v>0</v>
      </c>
      <c r="L98">
        <f t="shared" si="7"/>
        <v>0</v>
      </c>
      <c r="M98" s="2"/>
    </row>
    <row r="99" spans="1:13" x14ac:dyDescent="0.25">
      <c r="A99" s="1">
        <f t="shared" si="6"/>
        <v>0</v>
      </c>
      <c r="B99" s="1">
        <f>IF(C99=0,0,A99&amp;" "&amp;COUNTIF($A$1:$A99,A99))</f>
        <v>0</v>
      </c>
      <c r="C99" s="1">
        <v>0</v>
      </c>
      <c r="D99" s="2" t="str">
        <f>RawData!A99</f>
        <v>QB</v>
      </c>
      <c r="E99" s="2" t="str">
        <f>RawData!B99</f>
        <v>Ryan Fitzpatrick</v>
      </c>
      <c r="F99" s="2">
        <f>(RawData!E99)</f>
        <v>11.029</v>
      </c>
      <c r="G99" s="35">
        <f>RawData!C99</f>
        <v>4800</v>
      </c>
      <c r="H99">
        <f t="shared" si="7"/>
        <v>0</v>
      </c>
      <c r="I99">
        <f t="shared" si="7"/>
        <v>0</v>
      </c>
      <c r="J99">
        <f t="shared" si="7"/>
        <v>0</v>
      </c>
      <c r="K99">
        <f t="shared" si="7"/>
        <v>0</v>
      </c>
      <c r="L99">
        <f t="shared" si="7"/>
        <v>0</v>
      </c>
      <c r="M99" s="2"/>
    </row>
    <row r="100" spans="1:13" x14ac:dyDescent="0.25">
      <c r="A100" s="1">
        <f t="shared" si="6"/>
        <v>0</v>
      </c>
      <c r="B100" s="1">
        <f>IF(C100=0,0,A100&amp;" "&amp;COUNTIF($A$1:$A100,A100))</f>
        <v>0</v>
      </c>
      <c r="C100" s="1">
        <v>0</v>
      </c>
      <c r="D100" s="2" t="str">
        <f>RawData!A100</f>
        <v>RB</v>
      </c>
      <c r="E100" s="2" t="str">
        <f>RawData!B100</f>
        <v>Terrance West</v>
      </c>
      <c r="F100" s="2">
        <f>(RawData!E100)</f>
        <v>10.875</v>
      </c>
      <c r="G100" s="35">
        <f>RawData!C100</f>
        <v>4700</v>
      </c>
      <c r="H100">
        <f t="shared" si="7"/>
        <v>0</v>
      </c>
      <c r="I100">
        <f t="shared" si="7"/>
        <v>0</v>
      </c>
      <c r="J100">
        <f t="shared" si="7"/>
        <v>0</v>
      </c>
      <c r="K100">
        <f t="shared" si="7"/>
        <v>0</v>
      </c>
      <c r="L100">
        <f t="shared" si="7"/>
        <v>0</v>
      </c>
      <c r="M100" s="2"/>
    </row>
    <row r="101" spans="1:13" x14ac:dyDescent="0.25">
      <c r="A101" s="1">
        <f t="shared" si="6"/>
        <v>0</v>
      </c>
      <c r="B101" s="1">
        <f>IF(C101=0,0,A101&amp;" "&amp;COUNTIF($A$1:$A101,A101))</f>
        <v>0</v>
      </c>
      <c r="C101" s="1">
        <v>0</v>
      </c>
      <c r="D101" s="2" t="str">
        <f>RawData!A101</f>
        <v>WR</v>
      </c>
      <c r="E101" s="2" t="str">
        <f>RawData!B101</f>
        <v>Kenny Stills</v>
      </c>
      <c r="F101" s="2">
        <f>(RawData!E101)</f>
        <v>10.871</v>
      </c>
      <c r="G101" s="35">
        <f>RawData!C101</f>
        <v>3800</v>
      </c>
      <c r="H101">
        <f t="shared" si="7"/>
        <v>0</v>
      </c>
      <c r="I101">
        <f t="shared" si="7"/>
        <v>0</v>
      </c>
      <c r="J101">
        <f t="shared" si="7"/>
        <v>0</v>
      </c>
      <c r="K101">
        <f t="shared" si="7"/>
        <v>0</v>
      </c>
      <c r="L101">
        <f t="shared" si="7"/>
        <v>0</v>
      </c>
      <c r="M101" s="2"/>
    </row>
    <row r="102" spans="1:13" x14ac:dyDescent="0.25">
      <c r="A102" s="1">
        <f t="shared" ref="A102:A165" si="8">IF(C102=1,D102,0)</f>
        <v>0</v>
      </c>
      <c r="B102" s="1">
        <f>IF(C102=0,0,A102&amp;" "&amp;COUNTIF($A$1:$A102,A102))</f>
        <v>0</v>
      </c>
      <c r="C102" s="1">
        <v>0</v>
      </c>
      <c r="D102" s="2" t="str">
        <f>RawData!A102</f>
        <v>RB</v>
      </c>
      <c r="E102" s="2" t="str">
        <f>RawData!B102</f>
        <v>Doug Martin</v>
      </c>
      <c r="F102" s="2">
        <f>(RawData!E102)</f>
        <v>10.813000000000001</v>
      </c>
      <c r="G102" s="35">
        <f>RawData!C102</f>
        <v>4800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/>
    </row>
    <row r="103" spans="1:13" x14ac:dyDescent="0.25">
      <c r="A103" s="1">
        <f t="shared" si="8"/>
        <v>0</v>
      </c>
      <c r="B103" s="1">
        <f>IF(C103=0,0,A103&amp;" "&amp;COUNTIF($A$1:$A103,A103))</f>
        <v>0</v>
      </c>
      <c r="C103" s="1">
        <v>0</v>
      </c>
      <c r="D103" s="2" t="str">
        <f>RawData!A103</f>
        <v>WR</v>
      </c>
      <c r="E103" s="2" t="str">
        <f>RawData!B103</f>
        <v>Brandon Marshall</v>
      </c>
      <c r="F103" s="2">
        <f>(RawData!E103)</f>
        <v>10.787000000000001</v>
      </c>
      <c r="G103" s="35">
        <f>RawData!C103</f>
        <v>5100</v>
      </c>
      <c r="H103" s="2">
        <f t="shared" ref="H103:L153" si="9">IF($D103=H$1,$C103*1,0)</f>
        <v>0</v>
      </c>
      <c r="I103" s="2">
        <f t="shared" si="9"/>
        <v>0</v>
      </c>
      <c r="J103" s="2">
        <f t="shared" si="9"/>
        <v>0</v>
      </c>
      <c r="K103" s="2">
        <f t="shared" si="9"/>
        <v>0</v>
      </c>
      <c r="L103" s="2">
        <f t="shared" si="9"/>
        <v>0</v>
      </c>
      <c r="M103" s="2"/>
    </row>
    <row r="104" spans="1:13" x14ac:dyDescent="0.25">
      <c r="A104" s="1">
        <f t="shared" si="8"/>
        <v>0</v>
      </c>
      <c r="B104" s="1">
        <f>IF(C104=0,0,A104&amp;" "&amp;COUNTIF($A$1:$A104,A104))</f>
        <v>0</v>
      </c>
      <c r="C104" s="1">
        <v>0</v>
      </c>
      <c r="D104" s="2" t="str">
        <f>RawData!A104</f>
        <v>QB</v>
      </c>
      <c r="E104" s="2" t="str">
        <f>RawData!B104</f>
        <v>Jay Cutler</v>
      </c>
      <c r="F104" s="2">
        <f>(RawData!E104)</f>
        <v>10.752000000000001</v>
      </c>
      <c r="G104" s="35">
        <f>RawData!C104</f>
        <v>5400</v>
      </c>
      <c r="H104" s="2">
        <f t="shared" si="9"/>
        <v>0</v>
      </c>
      <c r="I104" s="2">
        <f t="shared" si="9"/>
        <v>0</v>
      </c>
      <c r="J104" s="2">
        <f t="shared" si="9"/>
        <v>0</v>
      </c>
      <c r="K104" s="2">
        <f t="shared" si="9"/>
        <v>0</v>
      </c>
      <c r="L104" s="2">
        <f t="shared" si="9"/>
        <v>0</v>
      </c>
      <c r="M104" s="2"/>
    </row>
    <row r="105" spans="1:13" x14ac:dyDescent="0.25">
      <c r="A105" s="1">
        <f t="shared" si="8"/>
        <v>0</v>
      </c>
      <c r="B105" s="1">
        <f>IF(C105=0,0,A105&amp;" "&amp;COUNTIF($A$1:$A105,A105))</f>
        <v>0</v>
      </c>
      <c r="C105" s="1">
        <v>0</v>
      </c>
      <c r="D105" s="2" t="str">
        <f>RawData!A105</f>
        <v>WR</v>
      </c>
      <c r="E105" s="2" t="str">
        <f>RawData!B105</f>
        <v>Sammy Watkins</v>
      </c>
      <c r="F105" s="2">
        <f>(RawData!E105)</f>
        <v>10.75</v>
      </c>
      <c r="G105" s="35">
        <f>RawData!C105</f>
        <v>6200</v>
      </c>
      <c r="H105" s="2">
        <f t="shared" si="9"/>
        <v>0</v>
      </c>
      <c r="I105" s="2">
        <f t="shared" si="9"/>
        <v>0</v>
      </c>
      <c r="J105" s="2">
        <f t="shared" si="9"/>
        <v>0</v>
      </c>
      <c r="K105" s="2">
        <f t="shared" si="9"/>
        <v>0</v>
      </c>
      <c r="L105" s="2">
        <f t="shared" si="9"/>
        <v>0</v>
      </c>
      <c r="M105" s="2"/>
    </row>
    <row r="106" spans="1:13" x14ac:dyDescent="0.25">
      <c r="A106" s="1">
        <f t="shared" si="8"/>
        <v>0</v>
      </c>
      <c r="B106" s="1">
        <f>IF(C106=0,0,A106&amp;" "&amp;COUNTIF($A$1:$A106,A106))</f>
        <v>0</v>
      </c>
      <c r="C106" s="1">
        <v>0</v>
      </c>
      <c r="D106" s="2" t="str">
        <f>RawData!A106</f>
        <v>WR</v>
      </c>
      <c r="E106" s="2" t="str">
        <f>RawData!B106</f>
        <v>Quincy Enunwa</v>
      </c>
      <c r="F106" s="2">
        <f>(RawData!E106)</f>
        <v>10.744</v>
      </c>
      <c r="G106" s="35">
        <f>RawData!C106</f>
        <v>3000</v>
      </c>
      <c r="H106" s="2">
        <f t="shared" si="9"/>
        <v>0</v>
      </c>
      <c r="I106" s="2">
        <f t="shared" si="9"/>
        <v>0</v>
      </c>
      <c r="J106" s="2">
        <f t="shared" si="9"/>
        <v>0</v>
      </c>
      <c r="K106" s="2">
        <f t="shared" si="9"/>
        <v>0</v>
      </c>
      <c r="L106" s="2">
        <f t="shared" si="9"/>
        <v>0</v>
      </c>
      <c r="M106" s="2"/>
    </row>
    <row r="107" spans="1:13" x14ac:dyDescent="0.25">
      <c r="A107" s="1">
        <f t="shared" si="8"/>
        <v>0</v>
      </c>
      <c r="B107" s="1">
        <f>IF(C107=0,0,A107&amp;" "&amp;COUNTIF($A$1:$A107,A107))</f>
        <v>0</v>
      </c>
      <c r="C107" s="1">
        <v>0</v>
      </c>
      <c r="D107" s="2" t="str">
        <f>RawData!A107</f>
        <v>WR</v>
      </c>
      <c r="E107" s="2" t="str">
        <f>RawData!B107</f>
        <v>DeVante Parker</v>
      </c>
      <c r="F107" s="2">
        <f>(RawData!E107)</f>
        <v>10.619</v>
      </c>
      <c r="G107" s="35">
        <f>RawData!C107</f>
        <v>5300</v>
      </c>
      <c r="H107" s="2">
        <f t="shared" si="9"/>
        <v>0</v>
      </c>
      <c r="I107" s="2">
        <f t="shared" si="9"/>
        <v>0</v>
      </c>
      <c r="J107" s="2">
        <f t="shared" si="9"/>
        <v>0</v>
      </c>
      <c r="K107" s="2">
        <f t="shared" si="9"/>
        <v>0</v>
      </c>
      <c r="L107" s="2">
        <f t="shared" si="9"/>
        <v>0</v>
      </c>
      <c r="M107" s="2"/>
    </row>
    <row r="108" spans="1:13" x14ac:dyDescent="0.25">
      <c r="A108" s="1">
        <f t="shared" si="8"/>
        <v>0</v>
      </c>
      <c r="B108" s="1">
        <f>IF(C108=0,0,A108&amp;" "&amp;COUNTIF($A$1:$A108,A108))</f>
        <v>0</v>
      </c>
      <c r="C108" s="1">
        <v>0</v>
      </c>
      <c r="D108" s="2" t="str">
        <f>RawData!A108</f>
        <v>TE</v>
      </c>
      <c r="E108" s="2" t="str">
        <f>RawData!B108</f>
        <v>Eric Ebron</v>
      </c>
      <c r="F108" s="2">
        <f>(RawData!E108)</f>
        <v>10.606999999999999</v>
      </c>
      <c r="G108" s="35">
        <f>RawData!C108</f>
        <v>3600</v>
      </c>
      <c r="H108" s="2">
        <f t="shared" si="9"/>
        <v>0</v>
      </c>
      <c r="I108" s="2">
        <f t="shared" si="9"/>
        <v>0</v>
      </c>
      <c r="J108" s="2">
        <f t="shared" si="9"/>
        <v>0</v>
      </c>
      <c r="K108" s="2">
        <f t="shared" si="9"/>
        <v>0</v>
      </c>
      <c r="L108" s="2">
        <f t="shared" si="9"/>
        <v>0</v>
      </c>
      <c r="M108" s="2"/>
    </row>
    <row r="109" spans="1:13" x14ac:dyDescent="0.25">
      <c r="A109" s="1">
        <f t="shared" si="8"/>
        <v>0</v>
      </c>
      <c r="B109" s="1">
        <f>IF(C109=0,0,A109&amp;" "&amp;COUNTIF($A$1:$A109,A109))</f>
        <v>0</v>
      </c>
      <c r="C109" s="1">
        <v>0</v>
      </c>
      <c r="D109" s="2" t="str">
        <f>RawData!A109</f>
        <v>WR</v>
      </c>
      <c r="E109" s="2" t="str">
        <f>RawData!B109</f>
        <v>Anquan Boldin</v>
      </c>
      <c r="F109" s="2">
        <f>(RawData!E109)</f>
        <v>10.459</v>
      </c>
      <c r="G109" s="35">
        <f>RawData!C109</f>
        <v>3500</v>
      </c>
      <c r="H109" s="2">
        <f t="shared" si="9"/>
        <v>0</v>
      </c>
      <c r="I109" s="2">
        <f t="shared" si="9"/>
        <v>0</v>
      </c>
      <c r="J109" s="2">
        <f t="shared" si="9"/>
        <v>0</v>
      </c>
      <c r="K109" s="2">
        <f t="shared" si="9"/>
        <v>0</v>
      </c>
      <c r="L109" s="2">
        <f t="shared" si="9"/>
        <v>0</v>
      </c>
      <c r="M109" s="2"/>
    </row>
    <row r="110" spans="1:13" x14ac:dyDescent="0.25">
      <c r="A110" s="1">
        <f t="shared" si="8"/>
        <v>0</v>
      </c>
      <c r="B110" s="1">
        <f>IF(C110=0,0,A110&amp;" "&amp;COUNTIF($A$1:$A110,A110))</f>
        <v>0</v>
      </c>
      <c r="C110" s="1">
        <v>0</v>
      </c>
      <c r="D110" s="2" t="str">
        <f>RawData!A110</f>
        <v>TE</v>
      </c>
      <c r="E110" s="2" t="str">
        <f>RawData!B110</f>
        <v>Martellus Bennett</v>
      </c>
      <c r="F110" s="2">
        <f>(RawData!E110)</f>
        <v>10.372</v>
      </c>
      <c r="G110" s="35">
        <f>RawData!C110</f>
        <v>4100</v>
      </c>
      <c r="H110" s="2">
        <f t="shared" si="9"/>
        <v>0</v>
      </c>
      <c r="I110" s="2">
        <f t="shared" si="9"/>
        <v>0</v>
      </c>
      <c r="J110" s="2">
        <f t="shared" si="9"/>
        <v>0</v>
      </c>
      <c r="K110" s="2">
        <f t="shared" si="9"/>
        <v>0</v>
      </c>
      <c r="L110" s="2">
        <f t="shared" si="9"/>
        <v>0</v>
      </c>
      <c r="M110" s="2"/>
    </row>
    <row r="111" spans="1:13" x14ac:dyDescent="0.25">
      <c r="A111" s="1">
        <f t="shared" si="8"/>
        <v>0</v>
      </c>
      <c r="B111" s="1">
        <f>IF(C111=0,0,A111&amp;" "&amp;COUNTIF($A$1:$A111,A111))</f>
        <v>0</v>
      </c>
      <c r="C111" s="1">
        <v>0</v>
      </c>
      <c r="D111" s="2" t="str">
        <f>RawData!A111</f>
        <v>WR</v>
      </c>
      <c r="E111" s="2" t="str">
        <f>RawData!B111</f>
        <v>Taylor Gabriel</v>
      </c>
      <c r="F111" s="2">
        <f>(RawData!E111)</f>
        <v>10.367000000000001</v>
      </c>
      <c r="G111" s="35">
        <f>RawData!C111</f>
        <v>4000</v>
      </c>
      <c r="H111" s="2">
        <f t="shared" si="9"/>
        <v>0</v>
      </c>
      <c r="I111" s="2">
        <f t="shared" si="9"/>
        <v>0</v>
      </c>
      <c r="J111" s="2">
        <f t="shared" si="9"/>
        <v>0</v>
      </c>
      <c r="K111" s="2">
        <f t="shared" si="9"/>
        <v>0</v>
      </c>
      <c r="L111" s="2">
        <f t="shared" si="9"/>
        <v>0</v>
      </c>
      <c r="M111" s="2"/>
    </row>
    <row r="112" spans="1:13" x14ac:dyDescent="0.25">
      <c r="A112" s="1">
        <f t="shared" si="8"/>
        <v>0</v>
      </c>
      <c r="B112" s="1">
        <f>IF(C112=0,0,A112&amp;" "&amp;COUNTIF($A$1:$A112,A112))</f>
        <v>0</v>
      </c>
      <c r="C112" s="1">
        <v>0</v>
      </c>
      <c r="D112" s="2" t="str">
        <f>RawData!A112</f>
        <v>RB</v>
      </c>
      <c r="E112" s="2" t="str">
        <f>RawData!B112</f>
        <v>Terrell Watson</v>
      </c>
      <c r="F112" s="2">
        <f>(RawData!E112)</f>
        <v>10.3</v>
      </c>
      <c r="G112" s="35">
        <f>RawData!C112</f>
        <v>3000</v>
      </c>
      <c r="H112" s="2">
        <f t="shared" si="9"/>
        <v>0</v>
      </c>
      <c r="I112" s="2">
        <f t="shared" si="9"/>
        <v>0</v>
      </c>
      <c r="J112" s="2">
        <f t="shared" si="9"/>
        <v>0</v>
      </c>
      <c r="K112" s="2">
        <f t="shared" si="9"/>
        <v>0</v>
      </c>
      <c r="L112" s="2">
        <f t="shared" si="9"/>
        <v>0</v>
      </c>
      <c r="M112" s="2"/>
    </row>
    <row r="113" spans="1:13" x14ac:dyDescent="0.25">
      <c r="A113" s="1">
        <f t="shared" si="8"/>
        <v>0</v>
      </c>
      <c r="B113" s="1">
        <f>IF(C113=0,0,A113&amp;" "&amp;COUNTIF($A$1:$A113,A113))</f>
        <v>0</v>
      </c>
      <c r="C113" s="1">
        <v>0</v>
      </c>
      <c r="D113" s="2" t="str">
        <f>RawData!A113</f>
        <v>TE</v>
      </c>
      <c r="E113" s="2" t="str">
        <f>RawData!B113</f>
        <v>Jason Witten</v>
      </c>
      <c r="F113" s="2">
        <f>(RawData!E113)</f>
        <v>10.247</v>
      </c>
      <c r="G113" s="35">
        <f>RawData!C113</f>
        <v>3900</v>
      </c>
      <c r="H113" s="2">
        <f t="shared" si="9"/>
        <v>0</v>
      </c>
      <c r="I113" s="2">
        <f t="shared" si="9"/>
        <v>0</v>
      </c>
      <c r="J113" s="2">
        <f t="shared" si="9"/>
        <v>0</v>
      </c>
      <c r="K113" s="2">
        <f t="shared" si="9"/>
        <v>0</v>
      </c>
      <c r="L113" s="2">
        <f t="shared" si="9"/>
        <v>0</v>
      </c>
      <c r="M113" s="2"/>
    </row>
    <row r="114" spans="1:13" x14ac:dyDescent="0.25">
      <c r="A114" s="1">
        <f t="shared" si="8"/>
        <v>0</v>
      </c>
      <c r="B114" s="1">
        <f>IF(C114=0,0,A114&amp;" "&amp;COUNTIF($A$1:$A114,A114))</f>
        <v>0</v>
      </c>
      <c r="C114" s="1">
        <v>0</v>
      </c>
      <c r="D114" s="2" t="str">
        <f>RawData!A114</f>
        <v>RB</v>
      </c>
      <c r="E114" s="2" t="str">
        <f>RawData!B114</f>
        <v>Rashad Jennings</v>
      </c>
      <c r="F114" s="2">
        <f>(RawData!E114)</f>
        <v>10.193</v>
      </c>
      <c r="G114" s="35">
        <f>RawData!C114</f>
        <v>3000</v>
      </c>
      <c r="H114" s="2">
        <f t="shared" si="9"/>
        <v>0</v>
      </c>
      <c r="I114" s="2">
        <f t="shared" si="9"/>
        <v>0</v>
      </c>
      <c r="J114" s="2">
        <f t="shared" si="9"/>
        <v>0</v>
      </c>
      <c r="K114" s="2">
        <f t="shared" si="9"/>
        <v>0</v>
      </c>
      <c r="L114" s="2">
        <f t="shared" si="9"/>
        <v>0</v>
      </c>
      <c r="M114" s="2"/>
    </row>
    <row r="115" spans="1:13" x14ac:dyDescent="0.25">
      <c r="A115" s="1">
        <f t="shared" si="8"/>
        <v>0</v>
      </c>
      <c r="B115" s="1">
        <f>IF(C115=0,0,A115&amp;" "&amp;COUNTIF($A$1:$A115,A115))</f>
        <v>0</v>
      </c>
      <c r="C115" s="1">
        <v>0</v>
      </c>
      <c r="D115" s="2" t="str">
        <f>RawData!A115</f>
        <v>RB</v>
      </c>
      <c r="E115" s="2" t="str">
        <f>RawData!B115</f>
        <v>Ty Montgomery</v>
      </c>
      <c r="F115" s="2">
        <f>(RawData!E115)</f>
        <v>10.183</v>
      </c>
      <c r="G115" s="35">
        <f>RawData!C115</f>
        <v>5800</v>
      </c>
      <c r="H115" s="2">
        <f t="shared" si="9"/>
        <v>0</v>
      </c>
      <c r="I115" s="2">
        <f t="shared" si="9"/>
        <v>0</v>
      </c>
      <c r="J115" s="2">
        <f t="shared" si="9"/>
        <v>0</v>
      </c>
      <c r="K115" s="2">
        <f t="shared" si="9"/>
        <v>0</v>
      </c>
      <c r="L115" s="2">
        <f t="shared" si="9"/>
        <v>0</v>
      </c>
      <c r="M115" s="2"/>
    </row>
    <row r="116" spans="1:13" x14ac:dyDescent="0.25">
      <c r="A116" s="1">
        <f t="shared" si="8"/>
        <v>0</v>
      </c>
      <c r="B116" s="1">
        <f>IF(C116=0,0,A116&amp;" "&amp;COUNTIF($A$1:$A116,A116))</f>
        <v>0</v>
      </c>
      <c r="C116" s="1">
        <v>0</v>
      </c>
      <c r="D116" s="2" t="str">
        <f>RawData!A116</f>
        <v>RB</v>
      </c>
      <c r="E116" s="2" t="str">
        <f>RawData!B116</f>
        <v>C.J. Prosise</v>
      </c>
      <c r="F116" s="2">
        <f>(RawData!E116)</f>
        <v>10.167</v>
      </c>
      <c r="G116" s="35">
        <f>RawData!C116</f>
        <v>4100</v>
      </c>
      <c r="H116" s="2">
        <f t="shared" si="9"/>
        <v>0</v>
      </c>
      <c r="I116" s="2">
        <f t="shared" si="9"/>
        <v>0</v>
      </c>
      <c r="J116" s="2">
        <f t="shared" si="9"/>
        <v>0</v>
      </c>
      <c r="K116" s="2">
        <f t="shared" si="9"/>
        <v>0</v>
      </c>
      <c r="L116" s="2">
        <f t="shared" si="9"/>
        <v>0</v>
      </c>
      <c r="M116" s="2"/>
    </row>
    <row r="117" spans="1:13" x14ac:dyDescent="0.25">
      <c r="A117" s="1">
        <f t="shared" si="8"/>
        <v>0</v>
      </c>
      <c r="B117" s="1">
        <f>IF(C117=0,0,A117&amp;" "&amp;COUNTIF($A$1:$A117,A117))</f>
        <v>0</v>
      </c>
      <c r="C117" s="1">
        <v>0</v>
      </c>
      <c r="D117" s="2" t="str">
        <f>RawData!A117</f>
        <v>TE</v>
      </c>
      <c r="E117" s="2" t="str">
        <f>RawData!B117</f>
        <v>Jared Cook</v>
      </c>
      <c r="F117" s="2">
        <f>(RawData!E117)</f>
        <v>10.122999999999999</v>
      </c>
      <c r="G117" s="35">
        <f>RawData!C117</f>
        <v>3300</v>
      </c>
      <c r="H117" s="2">
        <f t="shared" si="9"/>
        <v>0</v>
      </c>
      <c r="I117" s="2">
        <f t="shared" si="9"/>
        <v>0</v>
      </c>
      <c r="J117" s="2">
        <f t="shared" si="9"/>
        <v>0</v>
      </c>
      <c r="K117" s="2">
        <f t="shared" si="9"/>
        <v>0</v>
      </c>
      <c r="L117" s="2">
        <f t="shared" si="9"/>
        <v>0</v>
      </c>
      <c r="M117" s="2"/>
    </row>
    <row r="118" spans="1:13" x14ac:dyDescent="0.25">
      <c r="A118" s="1">
        <f t="shared" si="8"/>
        <v>0</v>
      </c>
      <c r="B118" s="1">
        <f>IF(C118=0,0,A118&amp;" "&amp;COUNTIF($A$1:$A118,A118))</f>
        <v>0</v>
      </c>
      <c r="C118" s="1">
        <v>0</v>
      </c>
      <c r="D118" s="2" t="str">
        <f>RawData!A118</f>
        <v>QB</v>
      </c>
      <c r="E118" s="2" t="str">
        <f>RawData!B118</f>
        <v>Matt Moore</v>
      </c>
      <c r="F118" s="2">
        <f>(RawData!E118)</f>
        <v>10.071</v>
      </c>
      <c r="G118" s="35">
        <f>RawData!C118</f>
        <v>4900</v>
      </c>
      <c r="H118" s="2">
        <f t="shared" si="9"/>
        <v>0</v>
      </c>
      <c r="I118" s="2">
        <f t="shared" si="9"/>
        <v>0</v>
      </c>
      <c r="J118" s="2">
        <f t="shared" si="9"/>
        <v>0</v>
      </c>
      <c r="K118" s="2">
        <f t="shared" si="9"/>
        <v>0</v>
      </c>
      <c r="L118" s="2">
        <f t="shared" si="9"/>
        <v>0</v>
      </c>
      <c r="M118" s="2"/>
    </row>
    <row r="119" spans="1:13" x14ac:dyDescent="0.25">
      <c r="A119" s="1">
        <f t="shared" si="8"/>
        <v>0</v>
      </c>
      <c r="B119" s="1">
        <f>IF(C119=0,0,A119&amp;" "&amp;COUNTIF($A$1:$A119,A119))</f>
        <v>0</v>
      </c>
      <c r="C119" s="1">
        <v>0</v>
      </c>
      <c r="D119" s="2" t="str">
        <f>RawData!A119</f>
        <v>WR</v>
      </c>
      <c r="E119" s="2" t="str">
        <f>RawData!B119</f>
        <v>Mohamed Sanu</v>
      </c>
      <c r="F119" s="2">
        <f>(RawData!E119)</f>
        <v>10.061</v>
      </c>
      <c r="G119" s="35">
        <f>RawData!C119</f>
        <v>4200</v>
      </c>
      <c r="H119" s="2">
        <f t="shared" si="9"/>
        <v>0</v>
      </c>
      <c r="I119" s="2">
        <f t="shared" si="9"/>
        <v>0</v>
      </c>
      <c r="J119" s="2">
        <f t="shared" si="9"/>
        <v>0</v>
      </c>
      <c r="K119" s="2">
        <f t="shared" si="9"/>
        <v>0</v>
      </c>
      <c r="L119" s="2">
        <f t="shared" si="9"/>
        <v>0</v>
      </c>
      <c r="M119" s="2"/>
    </row>
    <row r="120" spans="1:13" x14ac:dyDescent="0.25">
      <c r="A120" s="1">
        <f t="shared" si="8"/>
        <v>0</v>
      </c>
      <c r="B120" s="1">
        <f>IF(C120=0,0,A120&amp;" "&amp;COUNTIF($A$1:$A120,A120))</f>
        <v>0</v>
      </c>
      <c r="C120" s="1">
        <v>0</v>
      </c>
      <c r="D120" s="2" t="str">
        <f>RawData!A120</f>
        <v>WR</v>
      </c>
      <c r="E120" s="2" t="str">
        <f>RawData!B120</f>
        <v>Tavon Austin</v>
      </c>
      <c r="F120" s="2">
        <f>(RawData!E120)</f>
        <v>9.8529999999999998</v>
      </c>
      <c r="G120" s="35">
        <f>RawData!C120</f>
        <v>3800</v>
      </c>
      <c r="H120" s="2">
        <f t="shared" si="9"/>
        <v>0</v>
      </c>
      <c r="I120" s="2">
        <f t="shared" si="9"/>
        <v>0</v>
      </c>
      <c r="J120" s="2">
        <f t="shared" si="9"/>
        <v>0</v>
      </c>
      <c r="K120" s="2">
        <f t="shared" si="9"/>
        <v>0</v>
      </c>
      <c r="L120" s="2">
        <f t="shared" si="9"/>
        <v>0</v>
      </c>
      <c r="M120" s="2"/>
    </row>
    <row r="121" spans="1:13" x14ac:dyDescent="0.25">
      <c r="A121" s="1">
        <f t="shared" si="8"/>
        <v>0</v>
      </c>
      <c r="B121" s="1">
        <f>IF(C121=0,0,A121&amp;" "&amp;COUNTIF($A$1:$A121,A121))</f>
        <v>0</v>
      </c>
      <c r="C121" s="1">
        <v>0</v>
      </c>
      <c r="D121" s="2" t="str">
        <f>RawData!A121</f>
        <v>RB</v>
      </c>
      <c r="E121" s="2" t="str">
        <f>RawData!B121</f>
        <v>Charles Sims</v>
      </c>
      <c r="F121" s="2">
        <f>(RawData!E121)</f>
        <v>9.843</v>
      </c>
      <c r="G121" s="35">
        <f>RawData!C121</f>
        <v>3900</v>
      </c>
      <c r="H121" s="2">
        <f t="shared" si="9"/>
        <v>0</v>
      </c>
      <c r="I121" s="2">
        <f t="shared" si="9"/>
        <v>0</v>
      </c>
      <c r="J121" s="2">
        <f t="shared" si="9"/>
        <v>0</v>
      </c>
      <c r="K121" s="2">
        <f t="shared" si="9"/>
        <v>0</v>
      </c>
      <c r="L121" s="2">
        <f t="shared" si="9"/>
        <v>0</v>
      </c>
      <c r="M121" s="2"/>
    </row>
    <row r="122" spans="1:13" x14ac:dyDescent="0.25">
      <c r="A122" s="1">
        <f t="shared" si="8"/>
        <v>0</v>
      </c>
      <c r="B122" s="1">
        <f>IF(C122=0,0,A122&amp;" "&amp;COUNTIF($A$1:$A122,A122))</f>
        <v>0</v>
      </c>
      <c r="C122" s="1">
        <v>0</v>
      </c>
      <c r="D122" s="2" t="str">
        <f>RawData!A122</f>
        <v>RB</v>
      </c>
      <c r="E122" s="2" t="str">
        <f>RawData!B122</f>
        <v>Thomas Rawls</v>
      </c>
      <c r="F122" s="2">
        <f>(RawData!E122)</f>
        <v>9.827</v>
      </c>
      <c r="G122" s="35">
        <f>RawData!C122</f>
        <v>4800</v>
      </c>
      <c r="H122" s="2">
        <f t="shared" si="9"/>
        <v>0</v>
      </c>
      <c r="I122" s="2">
        <f t="shared" si="9"/>
        <v>0</v>
      </c>
      <c r="J122" s="2">
        <f t="shared" si="9"/>
        <v>0</v>
      </c>
      <c r="K122" s="2">
        <f t="shared" si="9"/>
        <v>0</v>
      </c>
      <c r="L122" s="2">
        <f t="shared" si="9"/>
        <v>0</v>
      </c>
      <c r="M122" s="2"/>
    </row>
    <row r="123" spans="1:13" x14ac:dyDescent="0.25">
      <c r="A123" s="1">
        <f t="shared" si="8"/>
        <v>0</v>
      </c>
      <c r="B123" s="1">
        <f>IF(C123=0,0,A123&amp;" "&amp;COUNTIF($A$1:$A123,A123))</f>
        <v>0</v>
      </c>
      <c r="C123" s="1">
        <v>0</v>
      </c>
      <c r="D123" s="2" t="str">
        <f>RawData!A123</f>
        <v>RB</v>
      </c>
      <c r="E123" s="2" t="str">
        <f>RawData!B123</f>
        <v>DeAngelo Williams</v>
      </c>
      <c r="F123" s="2">
        <f>(RawData!E123)</f>
        <v>9.7539999999999996</v>
      </c>
      <c r="G123" s="35">
        <f>RawData!C123</f>
        <v>3000</v>
      </c>
      <c r="H123" s="2">
        <f t="shared" si="9"/>
        <v>0</v>
      </c>
      <c r="I123" s="2">
        <f t="shared" si="9"/>
        <v>0</v>
      </c>
      <c r="J123" s="2">
        <f t="shared" si="9"/>
        <v>0</v>
      </c>
      <c r="K123" s="2">
        <f t="shared" si="9"/>
        <v>0</v>
      </c>
      <c r="L123" s="2">
        <f t="shared" si="9"/>
        <v>0</v>
      </c>
      <c r="M123" s="2"/>
    </row>
    <row r="124" spans="1:13" x14ac:dyDescent="0.25">
      <c r="A124" s="1">
        <f t="shared" si="8"/>
        <v>0</v>
      </c>
      <c r="B124" s="1">
        <f>IF(C124=0,0,A124&amp;" "&amp;COUNTIF($A$1:$A124,A124))</f>
        <v>0</v>
      </c>
      <c r="C124" s="1">
        <v>0</v>
      </c>
      <c r="D124" s="2" t="str">
        <f>RawData!A124</f>
        <v>RB</v>
      </c>
      <c r="E124" s="2" t="str">
        <f>RawData!B124</f>
        <v>Jacquizz Rodgers</v>
      </c>
      <c r="F124" s="2">
        <f>(RawData!E124)</f>
        <v>9.68</v>
      </c>
      <c r="G124" s="35">
        <f>RawData!C124</f>
        <v>4900</v>
      </c>
      <c r="H124" s="2">
        <f t="shared" si="9"/>
        <v>0</v>
      </c>
      <c r="I124" s="2">
        <f t="shared" si="9"/>
        <v>0</v>
      </c>
      <c r="J124" s="2">
        <f t="shared" si="9"/>
        <v>0</v>
      </c>
      <c r="K124" s="2">
        <f t="shared" si="9"/>
        <v>0</v>
      </c>
      <c r="L124" s="2">
        <f t="shared" si="9"/>
        <v>0</v>
      </c>
      <c r="M124" s="2"/>
    </row>
    <row r="125" spans="1:13" x14ac:dyDescent="0.25">
      <c r="A125" s="1">
        <f t="shared" si="8"/>
        <v>0</v>
      </c>
      <c r="B125" s="1">
        <f>IF(C125=0,0,A125&amp;" "&amp;COUNTIF($A$1:$A125,A125))</f>
        <v>0</v>
      </c>
      <c r="C125" s="1">
        <v>0</v>
      </c>
      <c r="D125" s="2" t="str">
        <f>RawData!A125</f>
        <v>WR</v>
      </c>
      <c r="E125" s="2" t="str">
        <f>RawData!B125</f>
        <v>Kevin White</v>
      </c>
      <c r="F125" s="2">
        <f>(RawData!E125)</f>
        <v>9.65</v>
      </c>
      <c r="G125" s="35">
        <f>RawData!C125</f>
        <v>4200</v>
      </c>
      <c r="H125" s="2">
        <f t="shared" si="9"/>
        <v>0</v>
      </c>
      <c r="I125" s="2">
        <f t="shared" si="9"/>
        <v>0</v>
      </c>
      <c r="J125" s="2">
        <f t="shared" si="9"/>
        <v>0</v>
      </c>
      <c r="K125" s="2">
        <f t="shared" si="9"/>
        <v>0</v>
      </c>
      <c r="L125" s="2">
        <f t="shared" si="9"/>
        <v>0</v>
      </c>
      <c r="M125" s="2"/>
    </row>
    <row r="126" spans="1:13" x14ac:dyDescent="0.25">
      <c r="A126" s="1">
        <f t="shared" si="8"/>
        <v>0</v>
      </c>
      <c r="B126" s="1">
        <f>IF(C126=0,0,A126&amp;" "&amp;COUNTIF($A$1:$A126,A126))</f>
        <v>0</v>
      </c>
      <c r="C126" s="1">
        <v>0</v>
      </c>
      <c r="D126" s="2" t="str">
        <f>RawData!A126</f>
        <v>WR</v>
      </c>
      <c r="E126" s="2" t="str">
        <f>RawData!B126</f>
        <v>Corey Coleman</v>
      </c>
      <c r="F126" s="2">
        <f>(RawData!E126)</f>
        <v>9.6300000000000008</v>
      </c>
      <c r="G126" s="35">
        <f>RawData!C126</f>
        <v>4400</v>
      </c>
      <c r="H126" s="2">
        <f t="shared" si="9"/>
        <v>0</v>
      </c>
      <c r="I126" s="2">
        <f t="shared" si="9"/>
        <v>0</v>
      </c>
      <c r="J126" s="2">
        <f t="shared" si="9"/>
        <v>0</v>
      </c>
      <c r="K126" s="2">
        <f t="shared" si="9"/>
        <v>0</v>
      </c>
      <c r="L126" s="2">
        <f t="shared" si="9"/>
        <v>0</v>
      </c>
      <c r="M126" s="2"/>
    </row>
    <row r="127" spans="1:13" x14ac:dyDescent="0.25">
      <c r="A127" s="1">
        <f t="shared" si="8"/>
        <v>0</v>
      </c>
      <c r="B127" s="1">
        <f>IF(C127=0,0,A127&amp;" "&amp;COUNTIF($A$1:$A127,A127))</f>
        <v>0</v>
      </c>
      <c r="C127" s="1">
        <v>0</v>
      </c>
      <c r="D127" s="2" t="str">
        <f>RawData!A127</f>
        <v>TE</v>
      </c>
      <c r="E127" s="2" t="str">
        <f>RawData!B127</f>
        <v>Ladarius Green</v>
      </c>
      <c r="F127" s="2">
        <f>(RawData!E127)</f>
        <v>9.5670000000000002</v>
      </c>
      <c r="G127" s="35">
        <f>RawData!C127</f>
        <v>2500</v>
      </c>
      <c r="H127" s="2">
        <f t="shared" si="9"/>
        <v>0</v>
      </c>
      <c r="I127" s="2">
        <f t="shared" si="9"/>
        <v>0</v>
      </c>
      <c r="J127" s="2">
        <f t="shared" si="9"/>
        <v>0</v>
      </c>
      <c r="K127" s="2">
        <f t="shared" si="9"/>
        <v>0</v>
      </c>
      <c r="L127" s="2">
        <f t="shared" si="9"/>
        <v>0</v>
      </c>
      <c r="M127" s="2"/>
    </row>
    <row r="128" spans="1:13" x14ac:dyDescent="0.25">
      <c r="A128" s="1">
        <f t="shared" si="8"/>
        <v>0</v>
      </c>
      <c r="B128" s="1">
        <f>IF(C128=0,0,A128&amp;" "&amp;COUNTIF($A$1:$A128,A128))</f>
        <v>0</v>
      </c>
      <c r="C128" s="1">
        <v>0</v>
      </c>
      <c r="D128" s="2" t="str">
        <f>RawData!A128</f>
        <v>WR</v>
      </c>
      <c r="E128" s="2" t="str">
        <f>RawData!B128</f>
        <v>J.J. Nelson</v>
      </c>
      <c r="F128" s="2">
        <f>(RawData!E128)</f>
        <v>9.5399999999999991</v>
      </c>
      <c r="G128" s="35">
        <f>RawData!C128</f>
        <v>3700</v>
      </c>
      <c r="H128" s="2">
        <f t="shared" si="9"/>
        <v>0</v>
      </c>
      <c r="I128" s="2">
        <f t="shared" si="9"/>
        <v>0</v>
      </c>
      <c r="J128" s="2">
        <f t="shared" si="9"/>
        <v>0</v>
      </c>
      <c r="K128" s="2">
        <f t="shared" si="9"/>
        <v>0</v>
      </c>
      <c r="L128" s="2">
        <f t="shared" si="9"/>
        <v>0</v>
      </c>
      <c r="M128" s="2"/>
    </row>
    <row r="129" spans="1:13" x14ac:dyDescent="0.25">
      <c r="A129" s="1">
        <f t="shared" si="8"/>
        <v>0</v>
      </c>
      <c r="B129" s="1">
        <f>IF(C129=0,0,A129&amp;" "&amp;COUNTIF($A$1:$A129,A129))</f>
        <v>0</v>
      </c>
      <c r="C129" s="1">
        <v>0</v>
      </c>
      <c r="D129" s="2" t="str">
        <f>RawData!A129</f>
        <v>WR</v>
      </c>
      <c r="E129" s="2" t="str">
        <f>RawData!B129</f>
        <v>Eli Rogers</v>
      </c>
      <c r="F129" s="2">
        <f>(RawData!E129)</f>
        <v>9.5129999999999999</v>
      </c>
      <c r="G129" s="35">
        <f>RawData!C129</f>
        <v>3900</v>
      </c>
      <c r="H129" s="2">
        <f t="shared" si="9"/>
        <v>0</v>
      </c>
      <c r="I129" s="2">
        <f t="shared" si="9"/>
        <v>0</v>
      </c>
      <c r="J129" s="2">
        <f t="shared" si="9"/>
        <v>0</v>
      </c>
      <c r="K129" s="2">
        <f t="shared" si="9"/>
        <v>0</v>
      </c>
      <c r="L129" s="2">
        <f t="shared" si="9"/>
        <v>0</v>
      </c>
      <c r="M129" s="2"/>
    </row>
    <row r="130" spans="1:13" x14ac:dyDescent="0.25">
      <c r="A130" s="1">
        <f t="shared" si="8"/>
        <v>0</v>
      </c>
      <c r="B130" s="1">
        <f>IF(C130=0,0,A130&amp;" "&amp;COUNTIF($A$1:$A130,A130))</f>
        <v>0</v>
      </c>
      <c r="C130" s="1">
        <v>0</v>
      </c>
      <c r="D130" s="2" t="str">
        <f>RawData!A130</f>
        <v>RB</v>
      </c>
      <c r="E130" s="2" t="str">
        <f>RawData!B130</f>
        <v>Cameron Artis-Payne</v>
      </c>
      <c r="F130" s="2">
        <f>(RawData!E130)</f>
        <v>9.5</v>
      </c>
      <c r="G130" s="35">
        <f>RawData!C130</f>
        <v>3000</v>
      </c>
      <c r="H130" s="2">
        <f t="shared" si="9"/>
        <v>0</v>
      </c>
      <c r="I130" s="2">
        <f t="shared" si="9"/>
        <v>0</v>
      </c>
      <c r="J130" s="2">
        <f t="shared" si="9"/>
        <v>0</v>
      </c>
      <c r="K130" s="2">
        <f t="shared" si="9"/>
        <v>0</v>
      </c>
      <c r="L130" s="2">
        <f t="shared" si="9"/>
        <v>0</v>
      </c>
      <c r="M130" s="2"/>
    </row>
    <row r="131" spans="1:13" x14ac:dyDescent="0.25">
      <c r="A131" s="1">
        <f t="shared" si="8"/>
        <v>0</v>
      </c>
      <c r="B131" s="1">
        <f>IF(C131=0,0,A131&amp;" "&amp;COUNTIF($A$1:$A131,A131))</f>
        <v>0</v>
      </c>
      <c r="C131" s="1">
        <v>0</v>
      </c>
      <c r="D131" s="2" t="str">
        <f>RawData!A131</f>
        <v>WR</v>
      </c>
      <c r="E131" s="2" t="str">
        <f>RawData!B131</f>
        <v>Jeremy Kerley</v>
      </c>
      <c r="F131" s="2">
        <f>(RawData!E131)</f>
        <v>9.4190000000000005</v>
      </c>
      <c r="G131" s="35">
        <f>RawData!C131</f>
        <v>3800</v>
      </c>
      <c r="H131" s="2">
        <f t="shared" si="9"/>
        <v>0</v>
      </c>
      <c r="I131" s="2">
        <f t="shared" si="9"/>
        <v>0</v>
      </c>
      <c r="J131" s="2">
        <f t="shared" si="9"/>
        <v>0</v>
      </c>
      <c r="K131" s="2">
        <f t="shared" si="9"/>
        <v>0</v>
      </c>
      <c r="L131" s="2">
        <f t="shared" si="9"/>
        <v>0</v>
      </c>
      <c r="M131" s="2"/>
    </row>
    <row r="132" spans="1:13" x14ac:dyDescent="0.25">
      <c r="A132" s="1">
        <f t="shared" si="8"/>
        <v>0</v>
      </c>
      <c r="B132" s="1">
        <f>IF(C132=0,0,A132&amp;" "&amp;COUNTIF($A$1:$A132,A132))</f>
        <v>0</v>
      </c>
      <c r="C132" s="1">
        <v>0</v>
      </c>
      <c r="D132" s="2" t="str">
        <f>RawData!A132</f>
        <v>WR</v>
      </c>
      <c r="E132" s="2" t="str">
        <f>RawData!B132</f>
        <v>Robert Woods</v>
      </c>
      <c r="F132" s="2">
        <f>(RawData!E132)</f>
        <v>9.3770000000000007</v>
      </c>
      <c r="G132" s="35">
        <f>RawData!C132</f>
        <v>4000</v>
      </c>
      <c r="H132" s="2">
        <f t="shared" si="9"/>
        <v>0</v>
      </c>
      <c r="I132" s="2">
        <f t="shared" si="9"/>
        <v>0</v>
      </c>
      <c r="J132" s="2">
        <f t="shared" si="9"/>
        <v>0</v>
      </c>
      <c r="K132" s="2">
        <f t="shared" si="9"/>
        <v>0</v>
      </c>
      <c r="L132" s="2">
        <f t="shared" si="9"/>
        <v>0</v>
      </c>
      <c r="M132" s="2"/>
    </row>
    <row r="133" spans="1:13" x14ac:dyDescent="0.25">
      <c r="A133" s="1">
        <f t="shared" si="8"/>
        <v>0</v>
      </c>
      <c r="B133" s="1">
        <f>IF(C133=0,0,A133&amp;" "&amp;COUNTIF($A$1:$A133,A133))</f>
        <v>0</v>
      </c>
      <c r="C133" s="1">
        <v>0</v>
      </c>
      <c r="D133" s="2" t="str">
        <f>RawData!A133</f>
        <v>QB</v>
      </c>
      <c r="E133" s="2" t="str">
        <f>RawData!B133</f>
        <v>Nick Foles</v>
      </c>
      <c r="F133" s="2">
        <f>(RawData!E133)</f>
        <v>9.3330000000000002</v>
      </c>
      <c r="G133" s="35">
        <f>RawData!C133</f>
        <v>4600</v>
      </c>
      <c r="H133" s="2">
        <f t="shared" si="9"/>
        <v>0</v>
      </c>
      <c r="I133" s="2">
        <f t="shared" si="9"/>
        <v>0</v>
      </c>
      <c r="J133" s="2">
        <f t="shared" si="9"/>
        <v>0</v>
      </c>
      <c r="K133" s="2">
        <f t="shared" si="9"/>
        <v>0</v>
      </c>
      <c r="L133" s="2">
        <f t="shared" si="9"/>
        <v>0</v>
      </c>
      <c r="M133" s="2"/>
    </row>
    <row r="134" spans="1:13" x14ac:dyDescent="0.25">
      <c r="A134" s="1">
        <f t="shared" si="8"/>
        <v>0</v>
      </c>
      <c r="B134" s="1">
        <f>IF(C134=0,0,A134&amp;" "&amp;COUNTIF($A$1:$A134,A134))</f>
        <v>0</v>
      </c>
      <c r="C134" s="1">
        <v>0</v>
      </c>
      <c r="D134" s="2" t="str">
        <f>RawData!A134</f>
        <v>RB</v>
      </c>
      <c r="E134" s="2" t="str">
        <f>RawData!B134</f>
        <v>Chris Thompson</v>
      </c>
      <c r="F134" s="2">
        <f>(RawData!E134)</f>
        <v>9.2810000000000006</v>
      </c>
      <c r="G134" s="35">
        <f>RawData!C134</f>
        <v>3700</v>
      </c>
      <c r="H134" s="2">
        <f t="shared" si="9"/>
        <v>0</v>
      </c>
      <c r="I134" s="2">
        <f t="shared" si="9"/>
        <v>0</v>
      </c>
      <c r="J134" s="2">
        <f t="shared" si="9"/>
        <v>0</v>
      </c>
      <c r="K134" s="2">
        <f t="shared" si="9"/>
        <v>0</v>
      </c>
      <c r="L134" s="2">
        <f t="shared" si="9"/>
        <v>0</v>
      </c>
      <c r="M134" s="2"/>
    </row>
    <row r="135" spans="1:13" x14ac:dyDescent="0.25">
      <c r="A135" s="1">
        <f t="shared" si="8"/>
        <v>0</v>
      </c>
      <c r="B135" s="1">
        <f>IF(C135=0,0,A135&amp;" "&amp;COUNTIF($A$1:$A135,A135))</f>
        <v>0</v>
      </c>
      <c r="C135" s="1">
        <v>0</v>
      </c>
      <c r="D135" s="2" t="str">
        <f>RawData!A135</f>
        <v>RB</v>
      </c>
      <c r="E135" s="2" t="str">
        <f>RawData!B135</f>
        <v>Matt Jones</v>
      </c>
      <c r="F135" s="2">
        <f>(RawData!E135)</f>
        <v>9.2560000000000002</v>
      </c>
      <c r="G135" s="35">
        <f>RawData!C135</f>
        <v>3000</v>
      </c>
      <c r="H135" s="2">
        <f t="shared" si="9"/>
        <v>0</v>
      </c>
      <c r="I135" s="2">
        <f t="shared" si="9"/>
        <v>0</v>
      </c>
      <c r="J135" s="2">
        <f t="shared" si="9"/>
        <v>0</v>
      </c>
      <c r="K135" s="2">
        <f t="shared" si="9"/>
        <v>0</v>
      </c>
      <c r="L135" s="2">
        <f t="shared" si="9"/>
        <v>0</v>
      </c>
      <c r="M135" s="2"/>
    </row>
    <row r="136" spans="1:13" x14ac:dyDescent="0.25">
      <c r="A136" s="1">
        <f t="shared" si="8"/>
        <v>0</v>
      </c>
      <c r="B136" s="1">
        <f>IF(C136=0,0,A136&amp;" "&amp;COUNTIF($A$1:$A136,A136))</f>
        <v>0</v>
      </c>
      <c r="C136" s="1">
        <v>0</v>
      </c>
      <c r="D136" s="2" t="str">
        <f>RawData!A136</f>
        <v>RB</v>
      </c>
      <c r="E136" s="2" t="str">
        <f>RawData!B136</f>
        <v>T.J. Yeldon</v>
      </c>
      <c r="F136" s="2">
        <f>(RawData!E136)</f>
        <v>9.2469999999999999</v>
      </c>
      <c r="G136" s="35">
        <f>RawData!C136</f>
        <v>3900</v>
      </c>
      <c r="H136" s="2">
        <f t="shared" si="9"/>
        <v>0</v>
      </c>
      <c r="I136" s="2">
        <f t="shared" si="9"/>
        <v>0</v>
      </c>
      <c r="J136" s="2">
        <f t="shared" si="9"/>
        <v>0</v>
      </c>
      <c r="K136" s="2">
        <f t="shared" si="9"/>
        <v>0</v>
      </c>
      <c r="L136" s="2">
        <f t="shared" si="9"/>
        <v>0</v>
      </c>
      <c r="M136" s="2"/>
    </row>
    <row r="137" spans="1:13" x14ac:dyDescent="0.25">
      <c r="A137" s="1">
        <f t="shared" si="8"/>
        <v>0</v>
      </c>
      <c r="B137" s="1">
        <f>IF(C137=0,0,A137&amp;" "&amp;COUNTIF($A$1:$A137,A137))</f>
        <v>0</v>
      </c>
      <c r="C137" s="1">
        <v>0</v>
      </c>
      <c r="D137" s="2" t="str">
        <f>RawData!A137</f>
        <v>QB</v>
      </c>
      <c r="E137" s="2" t="str">
        <f>RawData!B137</f>
        <v>Cody Kessler</v>
      </c>
      <c r="F137" s="2">
        <f>(RawData!E137)</f>
        <v>9.2219999999999995</v>
      </c>
      <c r="G137" s="35">
        <f>RawData!C137</f>
        <v>4800</v>
      </c>
      <c r="H137" s="2">
        <f t="shared" si="9"/>
        <v>0</v>
      </c>
      <c r="I137" s="2">
        <f t="shared" si="9"/>
        <v>0</v>
      </c>
      <c r="J137" s="2">
        <f t="shared" si="9"/>
        <v>0</v>
      </c>
      <c r="K137" s="2">
        <f t="shared" si="9"/>
        <v>0</v>
      </c>
      <c r="L137" s="2">
        <f t="shared" si="9"/>
        <v>0</v>
      </c>
      <c r="M137" s="2"/>
    </row>
    <row r="138" spans="1:13" x14ac:dyDescent="0.25">
      <c r="A138" s="1">
        <f t="shared" si="8"/>
        <v>0</v>
      </c>
      <c r="B138" s="1">
        <f>IF(C138=0,0,A138&amp;" "&amp;COUNTIF($A$1:$A138,A138))</f>
        <v>0</v>
      </c>
      <c r="C138" s="1">
        <v>0</v>
      </c>
      <c r="D138" s="2" t="str">
        <f>RawData!A138</f>
        <v>DST</v>
      </c>
      <c r="E138" s="2" t="str">
        <f>RawData!B138</f>
        <v xml:space="preserve">Cardinals </v>
      </c>
      <c r="F138" s="2">
        <f>(RawData!E138)</f>
        <v>9.1880000000000006</v>
      </c>
      <c r="G138" s="35">
        <f>RawData!C138</f>
        <v>2800</v>
      </c>
      <c r="H138" s="2">
        <f t="shared" si="9"/>
        <v>0</v>
      </c>
      <c r="I138" s="2">
        <f t="shared" si="9"/>
        <v>0</v>
      </c>
      <c r="J138" s="2">
        <f t="shared" si="9"/>
        <v>0</v>
      </c>
      <c r="K138" s="2">
        <f t="shared" si="9"/>
        <v>0</v>
      </c>
      <c r="L138" s="2">
        <f t="shared" si="9"/>
        <v>0</v>
      </c>
      <c r="M138" s="2"/>
    </row>
    <row r="139" spans="1:13" x14ac:dyDescent="0.25">
      <c r="A139" s="1">
        <f t="shared" si="8"/>
        <v>0</v>
      </c>
      <c r="B139" s="1">
        <f>IF(C139=0,0,A139&amp;" "&amp;COUNTIF($A$1:$A139,A139))</f>
        <v>0</v>
      </c>
      <c r="C139" s="1">
        <v>0</v>
      </c>
      <c r="D139" s="2" t="str">
        <f>RawData!A139</f>
        <v>RB</v>
      </c>
      <c r="E139" s="2" t="str">
        <f>RawData!B139</f>
        <v>Eddie Lacy</v>
      </c>
      <c r="F139" s="2">
        <f>(RawData!E139)</f>
        <v>9.16</v>
      </c>
      <c r="G139" s="35">
        <f>RawData!C139</f>
        <v>5000</v>
      </c>
      <c r="H139" s="2">
        <f t="shared" si="9"/>
        <v>0</v>
      </c>
      <c r="I139" s="2">
        <f t="shared" si="9"/>
        <v>0</v>
      </c>
      <c r="J139" s="2">
        <f t="shared" si="9"/>
        <v>0</v>
      </c>
      <c r="K139" s="2">
        <f t="shared" si="9"/>
        <v>0</v>
      </c>
      <c r="L139" s="2">
        <f t="shared" si="9"/>
        <v>0</v>
      </c>
      <c r="M139" s="2"/>
    </row>
    <row r="140" spans="1:13" x14ac:dyDescent="0.25">
      <c r="A140" s="1">
        <f t="shared" si="8"/>
        <v>0</v>
      </c>
      <c r="B140" s="1">
        <f>IF(C140=0,0,A140&amp;" "&amp;COUNTIF($A$1:$A140,A140))</f>
        <v>0</v>
      </c>
      <c r="C140" s="1">
        <v>0</v>
      </c>
      <c r="D140" s="2" t="str">
        <f>RawData!A140</f>
        <v>WR</v>
      </c>
      <c r="E140" s="2" t="str">
        <f>RawData!B140</f>
        <v>Will Fuller V</v>
      </c>
      <c r="F140" s="2">
        <f>(RawData!E140)</f>
        <v>9.1560000000000006</v>
      </c>
      <c r="G140" s="35">
        <f>RawData!C140</f>
        <v>3800</v>
      </c>
      <c r="H140" s="2">
        <f t="shared" si="9"/>
        <v>0</v>
      </c>
      <c r="I140" s="2">
        <f t="shared" si="9"/>
        <v>0</v>
      </c>
      <c r="J140" s="2">
        <f t="shared" si="9"/>
        <v>0</v>
      </c>
      <c r="K140" s="2">
        <f t="shared" si="9"/>
        <v>0</v>
      </c>
      <c r="L140" s="2">
        <f t="shared" si="9"/>
        <v>0</v>
      </c>
      <c r="M140" s="2"/>
    </row>
    <row r="141" spans="1:13" x14ac:dyDescent="0.25">
      <c r="A141" s="1">
        <f t="shared" si="8"/>
        <v>0</v>
      </c>
      <c r="B141" s="1">
        <f>IF(C141=0,0,A141&amp;" "&amp;COUNTIF($A$1:$A141,A141))</f>
        <v>0</v>
      </c>
      <c r="C141" s="1">
        <v>0</v>
      </c>
      <c r="D141" s="2" t="str">
        <f>RawData!A141</f>
        <v>WR</v>
      </c>
      <c r="E141" s="2" t="str">
        <f>RawData!B141</f>
        <v>Allen Hurns</v>
      </c>
      <c r="F141" s="2">
        <f>(RawData!E141)</f>
        <v>9.1549999999999994</v>
      </c>
      <c r="G141" s="35">
        <f>RawData!C141</f>
        <v>3500</v>
      </c>
      <c r="H141" s="2">
        <f t="shared" si="9"/>
        <v>0</v>
      </c>
      <c r="I141" s="2">
        <f t="shared" si="9"/>
        <v>0</v>
      </c>
      <c r="J141" s="2">
        <f t="shared" si="9"/>
        <v>0</v>
      </c>
      <c r="K141" s="2">
        <f t="shared" si="9"/>
        <v>0</v>
      </c>
      <c r="L141" s="2">
        <f t="shared" si="9"/>
        <v>0</v>
      </c>
      <c r="M141" s="2"/>
    </row>
    <row r="142" spans="1:13" x14ac:dyDescent="0.25">
      <c r="A142" s="1">
        <f t="shared" si="8"/>
        <v>0</v>
      </c>
      <c r="B142" s="1">
        <f>IF(C142=0,0,A142&amp;" "&amp;COUNTIF($A$1:$A142,A142))</f>
        <v>0</v>
      </c>
      <c r="C142" s="1">
        <v>0</v>
      </c>
      <c r="D142" s="2" t="str">
        <f>RawData!A142</f>
        <v>TE</v>
      </c>
      <c r="E142" s="2" t="str">
        <f>RawData!B142</f>
        <v>Jack Doyle</v>
      </c>
      <c r="F142" s="2">
        <f>(RawData!E142)</f>
        <v>9.15</v>
      </c>
      <c r="G142" s="35">
        <f>RawData!C142</f>
        <v>3700</v>
      </c>
      <c r="H142" s="2">
        <f t="shared" si="9"/>
        <v>0</v>
      </c>
      <c r="I142" s="2">
        <f t="shared" si="9"/>
        <v>0</v>
      </c>
      <c r="J142" s="2">
        <f t="shared" si="9"/>
        <v>0</v>
      </c>
      <c r="K142" s="2">
        <f t="shared" si="9"/>
        <v>0</v>
      </c>
      <c r="L142" s="2">
        <f t="shared" si="9"/>
        <v>0</v>
      </c>
      <c r="M142" s="2"/>
    </row>
    <row r="143" spans="1:13" x14ac:dyDescent="0.25">
      <c r="A143" s="1">
        <f t="shared" si="8"/>
        <v>0</v>
      </c>
      <c r="B143" s="1">
        <f>IF(C143=0,0,A143&amp;" "&amp;COUNTIF($A$1:$A143,A143))</f>
        <v>0</v>
      </c>
      <c r="C143" s="1">
        <v>0</v>
      </c>
      <c r="D143" s="2" t="str">
        <f>RawData!A143</f>
        <v>RB</v>
      </c>
      <c r="E143" s="2" t="str">
        <f>RawData!B143</f>
        <v>Chris Ivory</v>
      </c>
      <c r="F143" s="2">
        <f>(RawData!E143)</f>
        <v>9.1359999999999992</v>
      </c>
      <c r="G143" s="35">
        <f>RawData!C143</f>
        <v>3600</v>
      </c>
      <c r="H143" s="2">
        <f t="shared" si="9"/>
        <v>0</v>
      </c>
      <c r="I143" s="2">
        <f t="shared" si="9"/>
        <v>0</v>
      </c>
      <c r="J143" s="2">
        <f t="shared" si="9"/>
        <v>0</v>
      </c>
      <c r="K143" s="2">
        <f t="shared" si="9"/>
        <v>0</v>
      </c>
      <c r="L143" s="2">
        <f t="shared" si="9"/>
        <v>0</v>
      </c>
      <c r="M143" s="2"/>
    </row>
    <row r="144" spans="1:13" x14ac:dyDescent="0.25">
      <c r="A144" s="1">
        <f t="shared" si="8"/>
        <v>0</v>
      </c>
      <c r="B144" s="1">
        <f>IF(C144=0,0,A144&amp;" "&amp;COUNTIF($A$1:$A144,A144))</f>
        <v>0</v>
      </c>
      <c r="C144" s="1">
        <v>0</v>
      </c>
      <c r="D144" s="2" t="str">
        <f>RawData!A144</f>
        <v>TE</v>
      </c>
      <c r="E144" s="2" t="str">
        <f>RawData!B144</f>
        <v>Julius Thomas</v>
      </c>
      <c r="F144" s="2">
        <f>(RawData!E144)</f>
        <v>9.1219999999999999</v>
      </c>
      <c r="G144" s="35">
        <f>RawData!C144</f>
        <v>2900</v>
      </c>
      <c r="H144" s="2">
        <f t="shared" si="9"/>
        <v>0</v>
      </c>
      <c r="I144" s="2">
        <f t="shared" si="9"/>
        <v>0</v>
      </c>
      <c r="J144" s="2">
        <f t="shared" si="9"/>
        <v>0</v>
      </c>
      <c r="K144" s="2">
        <f t="shared" si="9"/>
        <v>0</v>
      </c>
      <c r="L144" s="2">
        <f t="shared" si="9"/>
        <v>0</v>
      </c>
      <c r="M144" s="2"/>
    </row>
    <row r="145" spans="1:13" x14ac:dyDescent="0.25">
      <c r="A145" s="1">
        <f t="shared" si="8"/>
        <v>0</v>
      </c>
      <c r="B145" s="1">
        <f>IF(C145=0,0,A145&amp;" "&amp;COUNTIF($A$1:$A145,A145))</f>
        <v>0</v>
      </c>
      <c r="C145" s="1">
        <v>0</v>
      </c>
      <c r="D145" s="2" t="str">
        <f>RawData!A145</f>
        <v>TE</v>
      </c>
      <c r="E145" s="2" t="str">
        <f>RawData!B145</f>
        <v>Charles Clay</v>
      </c>
      <c r="F145" s="2">
        <f>(RawData!E145)</f>
        <v>9.08</v>
      </c>
      <c r="G145" s="35">
        <f>RawData!C145</f>
        <v>3200</v>
      </c>
      <c r="H145" s="2">
        <f t="shared" si="9"/>
        <v>0</v>
      </c>
      <c r="I145" s="2">
        <f t="shared" si="9"/>
        <v>0</v>
      </c>
      <c r="J145" s="2">
        <f t="shared" si="9"/>
        <v>0</v>
      </c>
      <c r="K145" s="2">
        <f t="shared" si="9"/>
        <v>0</v>
      </c>
      <c r="L145" s="2">
        <f t="shared" si="9"/>
        <v>0</v>
      </c>
      <c r="M145" s="2"/>
    </row>
    <row r="146" spans="1:13" x14ac:dyDescent="0.25">
      <c r="A146" s="1">
        <f t="shared" si="8"/>
        <v>0</v>
      </c>
      <c r="B146" s="1">
        <f>IF(C146=0,0,A146&amp;" "&amp;COUNTIF($A$1:$A146,A146))</f>
        <v>0</v>
      </c>
      <c r="C146" s="1">
        <v>0</v>
      </c>
      <c r="D146" s="2" t="str">
        <f>RawData!A146</f>
        <v>RB</v>
      </c>
      <c r="E146" s="2" t="str">
        <f>RawData!B146</f>
        <v>Duke Johnson Jr.</v>
      </c>
      <c r="F146" s="2">
        <f>(RawData!E146)</f>
        <v>9.0749999999999993</v>
      </c>
      <c r="G146" s="35">
        <f>RawData!C146</f>
        <v>4600</v>
      </c>
      <c r="H146" s="2">
        <f t="shared" si="9"/>
        <v>0</v>
      </c>
      <c r="I146" s="2">
        <f t="shared" si="9"/>
        <v>0</v>
      </c>
      <c r="J146" s="2">
        <f t="shared" si="9"/>
        <v>0</v>
      </c>
      <c r="K146" s="2">
        <f t="shared" si="9"/>
        <v>0</v>
      </c>
      <c r="L146" s="2">
        <f t="shared" si="9"/>
        <v>0</v>
      </c>
      <c r="M146" s="2"/>
    </row>
    <row r="147" spans="1:13" x14ac:dyDescent="0.25">
      <c r="A147" s="1">
        <f t="shared" si="8"/>
        <v>0</v>
      </c>
      <c r="B147" s="1">
        <f>IF(C147=0,0,A147&amp;" "&amp;COUNTIF($A$1:$A147,A147))</f>
        <v>0</v>
      </c>
      <c r="C147" s="1">
        <v>0</v>
      </c>
      <c r="D147" s="2" t="str">
        <f>RawData!A147</f>
        <v>WR</v>
      </c>
      <c r="E147" s="2" t="str">
        <f>RawData!B147</f>
        <v>Adam Humphries</v>
      </c>
      <c r="F147" s="2">
        <f>(RawData!E147)</f>
        <v>9.0670000000000002</v>
      </c>
      <c r="G147" s="35">
        <f>RawData!C147</f>
        <v>3600</v>
      </c>
      <c r="H147" s="2">
        <f t="shared" si="9"/>
        <v>0</v>
      </c>
      <c r="I147" s="2">
        <f t="shared" si="9"/>
        <v>0</v>
      </c>
      <c r="J147" s="2">
        <f t="shared" si="9"/>
        <v>0</v>
      </c>
      <c r="K147" s="2">
        <f t="shared" si="9"/>
        <v>0</v>
      </c>
      <c r="L147" s="2">
        <f t="shared" si="9"/>
        <v>0</v>
      </c>
      <c r="M147" s="2"/>
    </row>
    <row r="148" spans="1:13" x14ac:dyDescent="0.25">
      <c r="A148" s="1">
        <f t="shared" si="8"/>
        <v>0</v>
      </c>
      <c r="B148" s="1">
        <f>IF(C148=0,0,A148&amp;" "&amp;COUNTIF($A$1:$A148,A148))</f>
        <v>0</v>
      </c>
      <c r="C148" s="1">
        <v>0</v>
      </c>
      <c r="D148" s="2" t="str">
        <f>RawData!A148</f>
        <v>RB</v>
      </c>
      <c r="E148" s="2" t="str">
        <f>RawData!B148</f>
        <v>Rob Kelley</v>
      </c>
      <c r="F148" s="2">
        <f>(RawData!E148)</f>
        <v>9.0399999999999991</v>
      </c>
      <c r="G148" s="35">
        <f>RawData!C148</f>
        <v>4300</v>
      </c>
      <c r="H148" s="2">
        <f t="shared" si="9"/>
        <v>0</v>
      </c>
      <c r="I148" s="2">
        <f t="shared" si="9"/>
        <v>0</v>
      </c>
      <c r="J148" s="2">
        <f t="shared" si="9"/>
        <v>0</v>
      </c>
      <c r="K148" s="2">
        <f t="shared" si="9"/>
        <v>0</v>
      </c>
      <c r="L148" s="2">
        <f t="shared" si="9"/>
        <v>0</v>
      </c>
      <c r="M148" s="2"/>
    </row>
    <row r="149" spans="1:13" x14ac:dyDescent="0.25">
      <c r="A149" s="1">
        <f t="shared" si="8"/>
        <v>0</v>
      </c>
      <c r="B149" s="1">
        <f>IF(C149=0,0,A149&amp;" "&amp;COUNTIF($A$1:$A149,A149))</f>
        <v>0</v>
      </c>
      <c r="C149" s="1">
        <v>0</v>
      </c>
      <c r="D149" s="2" t="str">
        <f>RawData!A149</f>
        <v>TE</v>
      </c>
      <c r="E149" s="2" t="str">
        <f>RawData!B149</f>
        <v>C.J. Fiedorowicz</v>
      </c>
      <c r="F149" s="2">
        <f>(RawData!E149)</f>
        <v>8.9410000000000007</v>
      </c>
      <c r="G149" s="35">
        <f>RawData!C149</f>
        <v>3100</v>
      </c>
      <c r="H149" s="2">
        <f t="shared" si="9"/>
        <v>0</v>
      </c>
      <c r="I149" s="2">
        <f t="shared" si="9"/>
        <v>0</v>
      </c>
      <c r="J149" s="2">
        <f t="shared" si="9"/>
        <v>0</v>
      </c>
      <c r="K149" s="2">
        <f t="shared" si="9"/>
        <v>0</v>
      </c>
      <c r="L149" s="2">
        <f t="shared" si="9"/>
        <v>0</v>
      </c>
      <c r="M149" s="2"/>
    </row>
    <row r="150" spans="1:13" x14ac:dyDescent="0.25">
      <c r="A150" s="1">
        <f t="shared" si="8"/>
        <v>0</v>
      </c>
      <c r="B150" s="1">
        <f>IF(C150=0,0,A150&amp;" "&amp;COUNTIF($A$1:$A150,A150))</f>
        <v>0</v>
      </c>
      <c r="C150" s="1">
        <v>0</v>
      </c>
      <c r="D150" s="2" t="str">
        <f>RawData!A150</f>
        <v>DST</v>
      </c>
      <c r="E150" s="2" t="str">
        <f>RawData!B150</f>
        <v xml:space="preserve">Eagles </v>
      </c>
      <c r="F150" s="2">
        <f>(RawData!E150)</f>
        <v>8.9380000000000006</v>
      </c>
      <c r="G150" s="35">
        <f>RawData!C150</f>
        <v>2700</v>
      </c>
      <c r="H150" s="2">
        <f t="shared" si="9"/>
        <v>0</v>
      </c>
      <c r="I150" s="2">
        <f t="shared" si="9"/>
        <v>0</v>
      </c>
      <c r="J150" s="2">
        <f t="shared" si="9"/>
        <v>0</v>
      </c>
      <c r="K150" s="2">
        <f t="shared" si="9"/>
        <v>0</v>
      </c>
      <c r="L150" s="2">
        <f t="shared" si="9"/>
        <v>0</v>
      </c>
      <c r="M150" s="2"/>
    </row>
    <row r="151" spans="1:13" x14ac:dyDescent="0.25">
      <c r="A151" s="1">
        <f t="shared" si="8"/>
        <v>0</v>
      </c>
      <c r="B151" s="1">
        <f>IF(C151=0,0,A151&amp;" "&amp;COUNTIF($A$1:$A151,A151))</f>
        <v>0</v>
      </c>
      <c r="C151" s="1">
        <v>0</v>
      </c>
      <c r="D151" s="2" t="str">
        <f>RawData!A151</f>
        <v>WR</v>
      </c>
      <c r="E151" s="2" t="str">
        <f>RawData!B151</f>
        <v>Jeremy Maclin</v>
      </c>
      <c r="F151" s="2">
        <f>(RawData!E151)</f>
        <v>8.7919999999999998</v>
      </c>
      <c r="G151" s="35">
        <f>RawData!C151</f>
        <v>5000</v>
      </c>
      <c r="H151" s="2">
        <f t="shared" si="9"/>
        <v>0</v>
      </c>
      <c r="I151" s="2">
        <f t="shared" si="9"/>
        <v>0</v>
      </c>
      <c r="J151" s="2">
        <f t="shared" si="9"/>
        <v>0</v>
      </c>
      <c r="K151" s="2">
        <f t="shared" si="9"/>
        <v>0</v>
      </c>
      <c r="L151" s="2">
        <f t="shared" si="9"/>
        <v>0</v>
      </c>
    </row>
    <row r="152" spans="1:13" x14ac:dyDescent="0.25">
      <c r="A152" s="1">
        <f t="shared" si="8"/>
        <v>0</v>
      </c>
      <c r="B152" s="1">
        <f>IF(C152=0,0,A152&amp;" "&amp;COUNTIF($A$1:$A152,A152))</f>
        <v>0</v>
      </c>
      <c r="C152" s="1">
        <v>0</v>
      </c>
      <c r="D152" s="2" t="str">
        <f>RawData!A152</f>
        <v>RB</v>
      </c>
      <c r="E152" s="2" t="str">
        <f>RawData!B152</f>
        <v>Kenneth Dixon</v>
      </c>
      <c r="F152" s="2">
        <f>(RawData!E152)</f>
        <v>8.5329999999999995</v>
      </c>
      <c r="G152" s="35">
        <f>RawData!C152</f>
        <v>3000</v>
      </c>
      <c r="H152" s="2">
        <f t="shared" si="9"/>
        <v>0</v>
      </c>
      <c r="I152" s="2">
        <f t="shared" si="9"/>
        <v>0</v>
      </c>
      <c r="J152" s="2">
        <f t="shared" si="9"/>
        <v>0</v>
      </c>
      <c r="K152" s="2">
        <f t="shared" si="9"/>
        <v>0</v>
      </c>
      <c r="L152" s="2">
        <f t="shared" si="9"/>
        <v>0</v>
      </c>
    </row>
    <row r="153" spans="1:13" x14ac:dyDescent="0.25">
      <c r="A153" s="1">
        <f t="shared" si="8"/>
        <v>0</v>
      </c>
      <c r="B153" s="1">
        <f>IF(C153=0,0,A153&amp;" "&amp;COUNTIF($A$1:$A153,A153))</f>
        <v>0</v>
      </c>
      <c r="C153" s="1">
        <v>0</v>
      </c>
      <c r="D153" s="2" t="str">
        <f>RawData!A153</f>
        <v>WR</v>
      </c>
      <c r="E153" s="2" t="str">
        <f>RawData!B153</f>
        <v>Tyler Lockett</v>
      </c>
      <c r="F153" s="2">
        <f>(RawData!E153)</f>
        <v>8.4730000000000008</v>
      </c>
      <c r="G153" s="35">
        <f>RawData!C153</f>
        <v>4400</v>
      </c>
      <c r="H153" s="2">
        <f t="shared" si="9"/>
        <v>0</v>
      </c>
      <c r="I153" s="2">
        <f t="shared" si="9"/>
        <v>0</v>
      </c>
      <c r="J153" s="2">
        <f t="shared" si="9"/>
        <v>0</v>
      </c>
      <c r="K153" s="2">
        <f t="shared" si="9"/>
        <v>0</v>
      </c>
      <c r="L153" s="2">
        <f t="shared" si="9"/>
        <v>0</v>
      </c>
    </row>
    <row r="154" spans="1:13" x14ac:dyDescent="0.25">
      <c r="A154" s="1">
        <f t="shared" si="8"/>
        <v>0</v>
      </c>
      <c r="B154" s="1">
        <f>IF(C154=0,0,A154&amp;" "&amp;COUNTIF($A$1:$A154,A154))</f>
        <v>0</v>
      </c>
      <c r="C154" s="1">
        <v>0</v>
      </c>
      <c r="D154" s="2" t="str">
        <f>RawData!A154</f>
        <v>DST</v>
      </c>
      <c r="E154" s="2" t="str">
        <f>RawData!B154</f>
        <v xml:space="preserve">Giants </v>
      </c>
      <c r="F154" s="2">
        <f>(RawData!E154)</f>
        <v>8.4710000000000001</v>
      </c>
      <c r="G154" s="35">
        <f>RawData!C154</f>
        <v>2600</v>
      </c>
      <c r="H154" s="2">
        <f t="shared" ref="H154:L200" si="10">IF($D154=H$1,$C154*1,0)</f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</row>
    <row r="155" spans="1:13" x14ac:dyDescent="0.25">
      <c r="A155" s="1">
        <f t="shared" si="8"/>
        <v>0</v>
      </c>
      <c r="B155" s="1">
        <f>IF(C155=0,0,A155&amp;" "&amp;COUNTIF($A$1:$A155,A155))</f>
        <v>0</v>
      </c>
      <c r="C155" s="1">
        <v>0</v>
      </c>
      <c r="D155" s="2" t="str">
        <f>RawData!A155</f>
        <v>WR</v>
      </c>
      <c r="E155" s="2" t="str">
        <f>RawData!B155</f>
        <v>Kendall Wright</v>
      </c>
      <c r="F155" s="2">
        <f>(RawData!E155)</f>
        <v>8.4640000000000004</v>
      </c>
      <c r="G155" s="35">
        <f>RawData!C155</f>
        <v>3200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</row>
    <row r="156" spans="1:13" x14ac:dyDescent="0.25">
      <c r="A156" s="1">
        <f t="shared" si="8"/>
        <v>0</v>
      </c>
      <c r="B156" s="1">
        <f>IF(C156=0,0,A156&amp;" "&amp;COUNTIF($A$1:$A156,A156))</f>
        <v>0</v>
      </c>
      <c r="C156" s="1">
        <v>0</v>
      </c>
      <c r="D156" s="2" t="str">
        <f>RawData!A156</f>
        <v>RB</v>
      </c>
      <c r="E156" s="2" t="str">
        <f>RawData!B156</f>
        <v>Matt Asiata</v>
      </c>
      <c r="F156" s="2">
        <f>(RawData!E156)</f>
        <v>8.3439999999999994</v>
      </c>
      <c r="G156" s="35">
        <f>RawData!C156</f>
        <v>3000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</row>
    <row r="157" spans="1:13" x14ac:dyDescent="0.25">
      <c r="A157" s="1">
        <f t="shared" si="8"/>
        <v>0</v>
      </c>
      <c r="B157" s="1">
        <f>IF(C157=0,0,A157&amp;" "&amp;COUNTIF($A$1:$A157,A157))</f>
        <v>0</v>
      </c>
      <c r="C157" s="1">
        <v>0</v>
      </c>
      <c r="D157" s="2" t="str">
        <f>RawData!A157</f>
        <v>DST</v>
      </c>
      <c r="E157" s="2" t="str">
        <f>RawData!B157</f>
        <v xml:space="preserve">Buccaneers </v>
      </c>
      <c r="F157" s="2">
        <f>(RawData!E157)</f>
        <v>8.3130000000000006</v>
      </c>
      <c r="G157" s="35">
        <f>RawData!C157</f>
        <v>3400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</row>
    <row r="158" spans="1:13" x14ac:dyDescent="0.25">
      <c r="A158" s="1">
        <f t="shared" si="8"/>
        <v>0</v>
      </c>
      <c r="B158" s="1">
        <f>IF(C158=0,0,A158&amp;" "&amp;COUNTIF($A$1:$A158,A158))</f>
        <v>0</v>
      </c>
      <c r="C158" s="1">
        <v>0</v>
      </c>
      <c r="D158" s="2" t="str">
        <f>RawData!A158</f>
        <v>RB</v>
      </c>
      <c r="E158" s="2" t="str">
        <f>RawData!B158</f>
        <v>Christine Michael</v>
      </c>
      <c r="F158" s="2">
        <f>(RawData!E158)</f>
        <v>8.2279999999999998</v>
      </c>
      <c r="G158" s="35">
        <f>RawData!C158</f>
        <v>3000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</row>
    <row r="159" spans="1:13" x14ac:dyDescent="0.25">
      <c r="A159" s="1">
        <f t="shared" si="8"/>
        <v>0</v>
      </c>
      <c r="B159" s="1">
        <f>IF(C159=0,0,A159&amp;" "&amp;COUNTIF($A$1:$A159,A159))</f>
        <v>0</v>
      </c>
      <c r="C159" s="1">
        <v>0</v>
      </c>
      <c r="D159" s="2" t="str">
        <f>RawData!A159</f>
        <v>TE</v>
      </c>
      <c r="E159" s="2" t="str">
        <f>RawData!B159</f>
        <v>Gary Barnidge</v>
      </c>
      <c r="F159" s="2">
        <f>(RawData!E159)</f>
        <v>8.1379999999999999</v>
      </c>
      <c r="G159" s="35">
        <f>RawData!C159</f>
        <v>2500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</row>
    <row r="160" spans="1:13" x14ac:dyDescent="0.25">
      <c r="A160" s="1">
        <f t="shared" si="8"/>
        <v>0</v>
      </c>
      <c r="B160" s="1">
        <f>IF(C160=0,0,A160&amp;" "&amp;COUNTIF($A$1:$A160,A160))</f>
        <v>0</v>
      </c>
      <c r="C160" s="1">
        <v>0</v>
      </c>
      <c r="D160" s="2" t="str">
        <f>RawData!A160</f>
        <v>RB</v>
      </c>
      <c r="E160" s="2" t="str">
        <f>RawData!B160</f>
        <v>Tim Hightower</v>
      </c>
      <c r="F160" s="2">
        <f>(RawData!E160)</f>
        <v>8.1129999999999995</v>
      </c>
      <c r="G160" s="35">
        <f>RawData!C160</f>
        <v>4100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</row>
    <row r="161" spans="1:12" x14ac:dyDescent="0.25">
      <c r="A161" s="1">
        <f t="shared" si="8"/>
        <v>0</v>
      </c>
      <c r="B161" s="1">
        <f>IF(C161=0,0,A161&amp;" "&amp;COUNTIF($A$1:$A161,A161))</f>
        <v>0</v>
      </c>
      <c r="C161" s="1">
        <v>0</v>
      </c>
      <c r="D161" s="2" t="str">
        <f>RawData!A161</f>
        <v>WR</v>
      </c>
      <c r="E161" s="2" t="str">
        <f>RawData!B161</f>
        <v>Terrance Williams</v>
      </c>
      <c r="F161" s="2">
        <f>(RawData!E161)</f>
        <v>8.0709999999999997</v>
      </c>
      <c r="G161" s="35">
        <f>RawData!C161</f>
        <v>3800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</row>
    <row r="162" spans="1:12" x14ac:dyDescent="0.25">
      <c r="A162" s="1">
        <f t="shared" si="8"/>
        <v>0</v>
      </c>
      <c r="B162" s="1">
        <f>IF(C162=0,0,A162&amp;" "&amp;COUNTIF($A$1:$A162,A162))</f>
        <v>0</v>
      </c>
      <c r="C162" s="1">
        <v>0</v>
      </c>
      <c r="D162" s="2" t="str">
        <f>RawData!A162</f>
        <v>RB</v>
      </c>
      <c r="E162" s="2" t="str">
        <f>RawData!B162</f>
        <v>Shane Vereen</v>
      </c>
      <c r="F162" s="2">
        <f>(RawData!E162)</f>
        <v>8.0399999999999991</v>
      </c>
      <c r="G162" s="35">
        <f>RawData!C162</f>
        <v>3800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</row>
    <row r="163" spans="1:12" x14ac:dyDescent="0.25">
      <c r="A163" s="1">
        <f t="shared" si="8"/>
        <v>0</v>
      </c>
      <c r="B163" s="1">
        <f>IF(C163=0,0,A163&amp;" "&amp;COUNTIF($A$1:$A163,A163))</f>
        <v>0</v>
      </c>
      <c r="C163" s="1">
        <v>0</v>
      </c>
      <c r="D163" s="2" t="str">
        <f>RawData!A163</f>
        <v>DST</v>
      </c>
      <c r="E163" s="2" t="str">
        <f>RawData!B163</f>
        <v xml:space="preserve">Panthers </v>
      </c>
      <c r="F163" s="2">
        <f>(RawData!E163)</f>
        <v>8</v>
      </c>
      <c r="G163" s="35">
        <f>RawData!C163</f>
        <v>3500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</row>
    <row r="164" spans="1:12" x14ac:dyDescent="0.25">
      <c r="A164" s="1">
        <f t="shared" si="8"/>
        <v>0</v>
      </c>
      <c r="B164" s="1">
        <f>IF(C164=0,0,A164&amp;" "&amp;COUNTIF($A$1:$A164,A164))</f>
        <v>0</v>
      </c>
      <c r="C164" s="1">
        <v>0</v>
      </c>
      <c r="D164" s="2" t="str">
        <f>RawData!A164</f>
        <v>TE</v>
      </c>
      <c r="E164" s="2" t="str">
        <f>RawData!B164</f>
        <v>Vance McDonald</v>
      </c>
      <c r="F164" s="2">
        <f>(RawData!E164)</f>
        <v>7.9180000000000001</v>
      </c>
      <c r="G164" s="35">
        <f>RawData!C164</f>
        <v>2800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</row>
    <row r="165" spans="1:12" x14ac:dyDescent="0.25">
      <c r="A165" s="1">
        <f t="shared" si="8"/>
        <v>0</v>
      </c>
      <c r="B165" s="1">
        <f>IF(C165=0,0,A165&amp;" "&amp;COUNTIF($A$1:$A165,A165))</f>
        <v>0</v>
      </c>
      <c r="C165" s="1">
        <v>0</v>
      </c>
      <c r="D165" s="2" t="str">
        <f>RawData!A165</f>
        <v>DST</v>
      </c>
      <c r="E165" s="2" t="str">
        <f>RawData!B165</f>
        <v xml:space="preserve">Ravens </v>
      </c>
      <c r="F165" s="2">
        <f>(RawData!E165)</f>
        <v>7.875</v>
      </c>
      <c r="G165" s="35">
        <f>RawData!C165</f>
        <v>2800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</row>
    <row r="166" spans="1:12" x14ac:dyDescent="0.25">
      <c r="A166" s="1">
        <f t="shared" ref="A166:A200" si="11">IF(C166=1,D166,0)</f>
        <v>0</v>
      </c>
      <c r="B166" s="1">
        <f>IF(C166=0,0,A166&amp;" "&amp;COUNTIF($A$1:$A166,A166))</f>
        <v>0</v>
      </c>
      <c r="C166" s="1">
        <v>0</v>
      </c>
      <c r="D166" s="2" t="str">
        <f>RawData!A166</f>
        <v>WR</v>
      </c>
      <c r="E166" s="2" t="str">
        <f>RawData!B166</f>
        <v>Tyler Boyd</v>
      </c>
      <c r="F166" s="2">
        <f>(RawData!E166)</f>
        <v>7.819</v>
      </c>
      <c r="G166" s="35">
        <f>RawData!C166</f>
        <v>3600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</row>
    <row r="167" spans="1:12" x14ac:dyDescent="0.25">
      <c r="A167" s="1">
        <f t="shared" si="11"/>
        <v>0</v>
      </c>
      <c r="B167" s="1">
        <f>IF(C167=0,0,A167&amp;" "&amp;COUNTIF($A$1:$A167,A167))</f>
        <v>0</v>
      </c>
      <c r="C167" s="1">
        <v>0</v>
      </c>
      <c r="D167" s="2" t="str">
        <f>RawData!A167</f>
        <v>QB</v>
      </c>
      <c r="E167" s="2" t="str">
        <f>RawData!B167</f>
        <v>Jared Goff</v>
      </c>
      <c r="F167" s="2">
        <f>(RawData!E167)</f>
        <v>7.77</v>
      </c>
      <c r="G167" s="35">
        <f>RawData!C167</f>
        <v>4800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</row>
    <row r="168" spans="1:12" x14ac:dyDescent="0.25">
      <c r="A168" s="1">
        <f t="shared" si="11"/>
        <v>0</v>
      </c>
      <c r="B168" s="1">
        <f>IF(C168=0,0,A168&amp;" "&amp;COUNTIF($A$1:$A168,A168))</f>
        <v>0</v>
      </c>
      <c r="C168" s="1">
        <v>0</v>
      </c>
      <c r="D168" s="2" t="str">
        <f>RawData!A168</f>
        <v>TE</v>
      </c>
      <c r="E168" s="2" t="str">
        <f>RawData!B168</f>
        <v>Jacob Tamme</v>
      </c>
      <c r="F168" s="2">
        <f>(RawData!E168)</f>
        <v>7.625</v>
      </c>
      <c r="G168" s="35">
        <f>RawData!C168</f>
        <v>2500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</row>
    <row r="169" spans="1:12" x14ac:dyDescent="0.25">
      <c r="A169" s="1">
        <f t="shared" si="11"/>
        <v>0</v>
      </c>
      <c r="B169" s="1">
        <f>IF(C169=0,0,A169&amp;" "&amp;COUNTIF($A$1:$A169,A169))</f>
        <v>0</v>
      </c>
      <c r="C169" s="1">
        <v>0</v>
      </c>
      <c r="D169" s="2" t="str">
        <f>RawData!A169</f>
        <v>WR</v>
      </c>
      <c r="E169" s="2" t="str">
        <f>RawData!B169</f>
        <v>Cordarrelle Patterson</v>
      </c>
      <c r="F169" s="2">
        <f>(RawData!E169)</f>
        <v>7.4749999999999996</v>
      </c>
      <c r="G169" s="35">
        <f>RawData!C169</f>
        <v>3000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</row>
    <row r="170" spans="1:12" x14ac:dyDescent="0.25">
      <c r="A170" s="1">
        <f t="shared" si="11"/>
        <v>0</v>
      </c>
      <c r="B170" s="1">
        <f>IF(C170=0,0,A170&amp;" "&amp;COUNTIF($A$1:$A170,A170))</f>
        <v>0</v>
      </c>
      <c r="C170" s="1">
        <v>0</v>
      </c>
      <c r="D170" s="2" t="str">
        <f>RawData!A170</f>
        <v>DST</v>
      </c>
      <c r="E170" s="2" t="str">
        <f>RawData!B170</f>
        <v xml:space="preserve">Dolphins </v>
      </c>
      <c r="F170" s="2">
        <f>(RawData!E170)</f>
        <v>7.2939999999999996</v>
      </c>
      <c r="G170" s="35">
        <f>RawData!C170</f>
        <v>2800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</row>
    <row r="171" spans="1:12" x14ac:dyDescent="0.25">
      <c r="A171" s="1">
        <f t="shared" si="11"/>
        <v>0</v>
      </c>
      <c r="B171" s="1">
        <f>IF(C171=0,0,A171&amp;" "&amp;COUNTIF($A$1:$A171,A171))</f>
        <v>0</v>
      </c>
      <c r="C171" s="1">
        <v>0</v>
      </c>
      <c r="D171" s="2" t="str">
        <f>RawData!A171</f>
        <v>DST</v>
      </c>
      <c r="E171" s="2" t="str">
        <f>RawData!B171</f>
        <v xml:space="preserve">Seahawks </v>
      </c>
      <c r="F171" s="2">
        <f>(RawData!E171)</f>
        <v>7.2779999999999996</v>
      </c>
      <c r="G171" s="35">
        <f>RawData!C171</f>
        <v>2900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</row>
    <row r="172" spans="1:12" x14ac:dyDescent="0.25">
      <c r="A172" s="1">
        <f t="shared" si="11"/>
        <v>0</v>
      </c>
      <c r="B172" s="1">
        <f>IF(C172=0,0,A172&amp;" "&amp;COUNTIF($A$1:$A172,A172))</f>
        <v>0</v>
      </c>
      <c r="C172" s="1">
        <v>0</v>
      </c>
      <c r="D172" s="2" t="str">
        <f>RawData!A172</f>
        <v>RB</v>
      </c>
      <c r="E172" s="2" t="str">
        <f>RawData!B172</f>
        <v>Zach Zenner</v>
      </c>
      <c r="F172" s="2">
        <f>(RawData!E172)</f>
        <v>7.2530000000000001</v>
      </c>
      <c r="G172" s="35">
        <f>RawData!C172</f>
        <v>3800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</row>
    <row r="173" spans="1:12" x14ac:dyDescent="0.25">
      <c r="A173" s="1">
        <f t="shared" si="11"/>
        <v>0</v>
      </c>
      <c r="B173" s="1">
        <f>IF(C173=0,0,A173&amp;" "&amp;COUNTIF($A$1:$A173,A173))</f>
        <v>0</v>
      </c>
      <c r="C173" s="1">
        <v>0</v>
      </c>
      <c r="D173" s="2" t="str">
        <f>RawData!A173</f>
        <v>WR</v>
      </c>
      <c r="E173" s="2" t="str">
        <f>RawData!B173</f>
        <v>Robby Anderson</v>
      </c>
      <c r="F173" s="2">
        <f>(RawData!E173)</f>
        <v>7.2439999999999998</v>
      </c>
      <c r="G173" s="35">
        <f>RawData!C173</f>
        <v>3800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</row>
    <row r="174" spans="1:12" x14ac:dyDescent="0.25">
      <c r="A174" s="1">
        <f t="shared" si="11"/>
        <v>0</v>
      </c>
      <c r="B174" s="1">
        <f>IF(C174=0,0,A174&amp;" "&amp;COUNTIF($A$1:$A174,A174))</f>
        <v>0</v>
      </c>
      <c r="C174" s="1">
        <v>0</v>
      </c>
      <c r="D174" s="2" t="str">
        <f>RawData!A174</f>
        <v>RB</v>
      </c>
      <c r="E174" s="2" t="str">
        <f>RawData!B174</f>
        <v>Robert Turbin</v>
      </c>
      <c r="F174" s="2">
        <f>(RawData!E174)</f>
        <v>7.22</v>
      </c>
      <c r="G174" s="35">
        <f>RawData!C174</f>
        <v>4000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</row>
    <row r="175" spans="1:12" x14ac:dyDescent="0.25">
      <c r="A175" s="1">
        <f t="shared" si="11"/>
        <v>0</v>
      </c>
      <c r="B175" s="1">
        <f>IF(C175=0,0,A175&amp;" "&amp;COUNTIF($A$1:$A175,A175))</f>
        <v>0</v>
      </c>
      <c r="C175" s="1">
        <v>0</v>
      </c>
      <c r="D175" s="2" t="str">
        <f>RawData!A175</f>
        <v>WR</v>
      </c>
      <c r="E175" s="2" t="str">
        <f>RawData!B175</f>
        <v>Brian Quick</v>
      </c>
      <c r="F175" s="2">
        <f>(RawData!E175)</f>
        <v>7.2130000000000001</v>
      </c>
      <c r="G175" s="35">
        <f>RawData!C175</f>
        <v>3100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</row>
    <row r="176" spans="1:12" x14ac:dyDescent="0.25">
      <c r="A176" s="1">
        <f t="shared" si="11"/>
        <v>0</v>
      </c>
      <c r="B176" s="1">
        <f>IF(C176=0,0,A176&amp;" "&amp;COUNTIF($A$1:$A176,A176))</f>
        <v>0</v>
      </c>
      <c r="C176" s="1">
        <v>0</v>
      </c>
      <c r="D176" s="2" t="str">
        <f>RawData!A176</f>
        <v>DST</v>
      </c>
      <c r="E176" s="2" t="str">
        <f>RawData!B176</f>
        <v xml:space="preserve">Falcons </v>
      </c>
      <c r="F176" s="2">
        <f>(RawData!E176)</f>
        <v>7.1669999999999998</v>
      </c>
      <c r="G176" s="35">
        <f>RawData!C176</f>
        <v>3300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</row>
    <row r="177" spans="1:12" x14ac:dyDescent="0.25">
      <c r="A177" s="1">
        <f t="shared" si="11"/>
        <v>0</v>
      </c>
      <c r="B177" s="1">
        <f>IF(C177=0,0,A177&amp;" "&amp;COUNTIF($A$1:$A177,A177))</f>
        <v>0</v>
      </c>
      <c r="C177" s="1">
        <v>0</v>
      </c>
      <c r="D177" s="2" t="str">
        <f>RawData!A177</f>
        <v>TE</v>
      </c>
      <c r="E177" s="2" t="str">
        <f>RawData!B177</f>
        <v>Vernon Davis</v>
      </c>
      <c r="F177" s="2">
        <f>(RawData!E177)</f>
        <v>7.1440000000000001</v>
      </c>
      <c r="G177" s="35">
        <f>RawData!C177</f>
        <v>3000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</row>
    <row r="178" spans="1:12" x14ac:dyDescent="0.25">
      <c r="A178" s="1">
        <f t="shared" si="11"/>
        <v>0</v>
      </c>
      <c r="B178" s="1">
        <f>IF(C178=0,0,A178&amp;" "&amp;COUNTIF($A$1:$A178,A178))</f>
        <v>0</v>
      </c>
      <c r="C178" s="1">
        <v>0</v>
      </c>
      <c r="D178" s="2" t="str">
        <f>RawData!A178</f>
        <v>WR</v>
      </c>
      <c r="E178" s="2" t="str">
        <f>RawData!B178</f>
        <v>John Brown</v>
      </c>
      <c r="F178" s="2">
        <f>(RawData!E178)</f>
        <v>7.1130000000000004</v>
      </c>
      <c r="G178" s="35">
        <f>RawData!C178</f>
        <v>4800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</row>
    <row r="179" spans="1:12" x14ac:dyDescent="0.25">
      <c r="A179" s="1">
        <f t="shared" si="11"/>
        <v>0</v>
      </c>
      <c r="B179" s="1">
        <f>IF(C179=0,0,A179&amp;" "&amp;COUNTIF($A$1:$A179,A179))</f>
        <v>0</v>
      </c>
      <c r="C179" s="1">
        <v>0</v>
      </c>
      <c r="D179" s="2" t="str">
        <f>RawData!A179</f>
        <v>RB</v>
      </c>
      <c r="E179" s="2" t="str">
        <f>RawData!B179</f>
        <v>Jalen Richard</v>
      </c>
      <c r="F179" s="2">
        <f>(RawData!E179)</f>
        <v>6.976</v>
      </c>
      <c r="G179" s="35">
        <f>RawData!C179</f>
        <v>3900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</row>
    <row r="180" spans="1:12" x14ac:dyDescent="0.25">
      <c r="A180" s="1">
        <f t="shared" si="11"/>
        <v>0</v>
      </c>
      <c r="B180" s="1">
        <f>IF(C180=0,0,A180&amp;" "&amp;COUNTIF($A$1:$A180,A180))</f>
        <v>0</v>
      </c>
      <c r="C180" s="1">
        <v>0</v>
      </c>
      <c r="D180" s="2" t="str">
        <f>RawData!A180</f>
        <v>TE</v>
      </c>
      <c r="E180" s="2" t="str">
        <f>RawData!B180</f>
        <v>Lance Kendricks</v>
      </c>
      <c r="F180" s="2">
        <f>(RawData!E180)</f>
        <v>6.931</v>
      </c>
      <c r="G180" s="35">
        <f>RawData!C180</f>
        <v>2500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</row>
    <row r="181" spans="1:12" x14ac:dyDescent="0.25">
      <c r="A181" s="1">
        <f t="shared" si="11"/>
        <v>0</v>
      </c>
      <c r="B181" s="1">
        <f>IF(C181=0,0,A181&amp;" "&amp;COUNTIF($A$1:$A181,A181))</f>
        <v>0</v>
      </c>
      <c r="C181" s="1">
        <v>0</v>
      </c>
      <c r="D181" s="2" t="str">
        <f>RawData!A181</f>
        <v>RB</v>
      </c>
      <c r="E181" s="2" t="str">
        <f>RawData!B181</f>
        <v>Shaun Draughn</v>
      </c>
      <c r="F181" s="2">
        <f>(RawData!E181)</f>
        <v>6.8689999999999998</v>
      </c>
      <c r="G181" s="35">
        <f>RawData!C181</f>
        <v>3000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</row>
    <row r="182" spans="1:12" x14ac:dyDescent="0.25">
      <c r="A182" s="1">
        <f t="shared" si="11"/>
        <v>0</v>
      </c>
      <c r="B182" s="1">
        <f>IF(C182=0,0,A182&amp;" "&amp;COUNTIF($A$1:$A182,A182))</f>
        <v>0</v>
      </c>
      <c r="C182" s="1">
        <v>0</v>
      </c>
      <c r="D182" s="2" t="str">
        <f>RawData!A182</f>
        <v>WR</v>
      </c>
      <c r="E182" s="2" t="str">
        <f>RawData!B182</f>
        <v>Victor Cruz</v>
      </c>
      <c r="F182" s="2">
        <f>(RawData!E182)</f>
        <v>6.7880000000000003</v>
      </c>
      <c r="G182" s="35">
        <f>RawData!C182</f>
        <v>3300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</row>
    <row r="183" spans="1:12" x14ac:dyDescent="0.25">
      <c r="A183" s="1">
        <f t="shared" si="11"/>
        <v>0</v>
      </c>
      <c r="B183" s="1">
        <f>IF(C183=0,0,A183&amp;" "&amp;COUNTIF($A$1:$A183,A183))</f>
        <v>0</v>
      </c>
      <c r="C183" s="1">
        <v>0</v>
      </c>
      <c r="D183" s="2" t="str">
        <f>RawData!A183</f>
        <v>QB</v>
      </c>
      <c r="E183" s="2" t="str">
        <f>RawData!B183</f>
        <v>Bryce Petty</v>
      </c>
      <c r="F183" s="2">
        <f>(RawData!E183)</f>
        <v>6.71</v>
      </c>
      <c r="G183" s="35">
        <f>RawData!C183</f>
        <v>4000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</row>
    <row r="184" spans="1:12" x14ac:dyDescent="0.25">
      <c r="A184" s="1">
        <f t="shared" si="11"/>
        <v>0</v>
      </c>
      <c r="B184" s="1">
        <f>IF(C184=0,0,A184&amp;" "&amp;COUNTIF($A$1:$A184,A184))</f>
        <v>0</v>
      </c>
      <c r="C184" s="1">
        <v>0</v>
      </c>
      <c r="D184" s="2" t="str">
        <f>RawData!A184</f>
        <v>WR</v>
      </c>
      <c r="E184" s="2" t="str">
        <f>RawData!B184</f>
        <v>Seth Roberts</v>
      </c>
      <c r="F184" s="2">
        <f>(RawData!E184)</f>
        <v>6.6349999999999998</v>
      </c>
      <c r="G184" s="35">
        <f>RawData!C184</f>
        <v>3300</v>
      </c>
      <c r="H184" s="2">
        <f t="shared" si="10"/>
        <v>0</v>
      </c>
      <c r="I184" s="2">
        <f t="shared" si="10"/>
        <v>0</v>
      </c>
      <c r="J184" s="2">
        <f t="shared" si="10"/>
        <v>0</v>
      </c>
      <c r="K184" s="2">
        <f t="shared" si="10"/>
        <v>0</v>
      </c>
      <c r="L184" s="2">
        <f t="shared" si="10"/>
        <v>0</v>
      </c>
    </row>
    <row r="185" spans="1:12" x14ac:dyDescent="0.25">
      <c r="A185" s="1">
        <f t="shared" si="11"/>
        <v>0</v>
      </c>
      <c r="B185" s="1">
        <f>IF(C185=0,0,A185&amp;" "&amp;COUNTIF($A$1:$A185,A185))</f>
        <v>0</v>
      </c>
      <c r="C185" s="1">
        <v>0</v>
      </c>
      <c r="D185" s="2" t="str">
        <f>RawData!A185</f>
        <v>RB</v>
      </c>
      <c r="E185" s="2" t="str">
        <f>RawData!B185</f>
        <v>Derrick Henry</v>
      </c>
      <c r="F185" s="2">
        <f>(RawData!E185)</f>
        <v>6.6059999999999999</v>
      </c>
      <c r="G185" s="35">
        <f>RawData!C185</f>
        <v>5500</v>
      </c>
      <c r="H185" s="2">
        <f t="shared" si="10"/>
        <v>0</v>
      </c>
      <c r="I185" s="2">
        <f t="shared" si="10"/>
        <v>0</v>
      </c>
      <c r="J185" s="2">
        <f t="shared" si="10"/>
        <v>0</v>
      </c>
      <c r="K185" s="2">
        <f t="shared" si="10"/>
        <v>0</v>
      </c>
      <c r="L185" s="2">
        <f t="shared" si="10"/>
        <v>0</v>
      </c>
    </row>
    <row r="186" spans="1:12" x14ac:dyDescent="0.25">
      <c r="A186" s="1">
        <f t="shared" si="11"/>
        <v>0</v>
      </c>
      <c r="B186" s="1">
        <f>IF(C186=0,0,A186&amp;" "&amp;COUNTIF($A$1:$A186,A186))</f>
        <v>0</v>
      </c>
      <c r="C186" s="1">
        <v>0</v>
      </c>
      <c r="D186" s="2" t="str">
        <f>RawData!A186</f>
        <v>WR</v>
      </c>
      <c r="E186" s="2" t="str">
        <f>RawData!B186</f>
        <v>Phillip Dorsett</v>
      </c>
      <c r="F186" s="2">
        <f>(RawData!E186)</f>
        <v>6.5869999999999997</v>
      </c>
      <c r="G186" s="35">
        <f>RawData!C186</f>
        <v>3300</v>
      </c>
      <c r="H186" s="2">
        <f t="shared" si="10"/>
        <v>0</v>
      </c>
      <c r="I186" s="2">
        <f t="shared" si="10"/>
        <v>0</v>
      </c>
      <c r="J186" s="2">
        <f t="shared" si="10"/>
        <v>0</v>
      </c>
      <c r="K186" s="2">
        <f t="shared" si="10"/>
        <v>0</v>
      </c>
      <c r="L186" s="2">
        <f t="shared" si="10"/>
        <v>0</v>
      </c>
    </row>
    <row r="187" spans="1:12" x14ac:dyDescent="0.25">
      <c r="A187" s="1">
        <f t="shared" si="11"/>
        <v>0</v>
      </c>
      <c r="B187" s="1">
        <f>IF(C187=0,0,A187&amp;" "&amp;COUNTIF($A$1:$A187,A187))</f>
        <v>0</v>
      </c>
      <c r="C187" s="1">
        <v>0</v>
      </c>
      <c r="D187" s="2" t="str">
        <f>RawData!A187</f>
        <v>WR</v>
      </c>
      <c r="E187" s="2" t="str">
        <f>RawData!B187</f>
        <v>Tajae Sharpe</v>
      </c>
      <c r="F187" s="2">
        <f>(RawData!E187)</f>
        <v>6.5810000000000004</v>
      </c>
      <c r="G187" s="35">
        <f>RawData!C187</f>
        <v>3100</v>
      </c>
      <c r="H187" s="2">
        <f t="shared" si="10"/>
        <v>0</v>
      </c>
      <c r="I187" s="2">
        <f t="shared" si="10"/>
        <v>0</v>
      </c>
      <c r="J187" s="2">
        <f t="shared" si="10"/>
        <v>0</v>
      </c>
      <c r="K187" s="2">
        <f t="shared" si="10"/>
        <v>0</v>
      </c>
      <c r="L187" s="2">
        <f t="shared" si="10"/>
        <v>0</v>
      </c>
    </row>
    <row r="188" spans="1:12" x14ac:dyDescent="0.25">
      <c r="A188" s="1">
        <f t="shared" si="11"/>
        <v>0</v>
      </c>
      <c r="B188" s="1">
        <f>IF(C188=0,0,A188&amp;" "&amp;COUNTIF($A$1:$A188,A188))</f>
        <v>0</v>
      </c>
      <c r="C188" s="1">
        <v>0</v>
      </c>
      <c r="D188" s="2" t="str">
        <f>RawData!A188</f>
        <v>DST</v>
      </c>
      <c r="E188" s="2" t="str">
        <f>RawData!B188</f>
        <v xml:space="preserve">Steelers </v>
      </c>
      <c r="F188" s="2">
        <f>(RawData!E188)</f>
        <v>6.5789999999999997</v>
      </c>
      <c r="G188" s="35">
        <f>RawData!C188</f>
        <v>3600</v>
      </c>
      <c r="H188" s="2">
        <f t="shared" si="10"/>
        <v>0</v>
      </c>
      <c r="I188" s="2">
        <f t="shared" si="10"/>
        <v>0</v>
      </c>
      <c r="J188" s="2">
        <f t="shared" si="10"/>
        <v>0</v>
      </c>
      <c r="K188" s="2">
        <f t="shared" si="10"/>
        <v>0</v>
      </c>
      <c r="L188" s="2">
        <f t="shared" si="10"/>
        <v>0</v>
      </c>
    </row>
    <row r="189" spans="1:12" x14ac:dyDescent="0.25">
      <c r="A189" s="1">
        <f t="shared" si="11"/>
        <v>0</v>
      </c>
      <c r="B189" s="1">
        <f>IF(C189=0,0,A189&amp;" "&amp;COUNTIF($A$1:$A189,A189))</f>
        <v>0</v>
      </c>
      <c r="C189" s="1">
        <v>0</v>
      </c>
      <c r="D189" s="2" t="str">
        <f>RawData!A189</f>
        <v>DST</v>
      </c>
      <c r="E189" s="2" t="str">
        <f>RawData!B189</f>
        <v xml:space="preserve">Bills </v>
      </c>
      <c r="F189" s="2">
        <f>(RawData!E189)</f>
        <v>6.5</v>
      </c>
      <c r="G189" s="35">
        <f>RawData!C189</f>
        <v>3900</v>
      </c>
      <c r="H189" s="2">
        <f t="shared" si="10"/>
        <v>0</v>
      </c>
      <c r="I189" s="2">
        <f t="shared" si="10"/>
        <v>0</v>
      </c>
      <c r="J189" s="2">
        <f t="shared" si="10"/>
        <v>0</v>
      </c>
      <c r="K189" s="2">
        <f t="shared" si="10"/>
        <v>0</v>
      </c>
      <c r="L189" s="2">
        <f t="shared" si="10"/>
        <v>0</v>
      </c>
    </row>
    <row r="190" spans="1:12" x14ac:dyDescent="0.25">
      <c r="A190" s="1">
        <f t="shared" si="11"/>
        <v>0</v>
      </c>
      <c r="B190" s="1">
        <f>IF(C190=0,0,A190&amp;" "&amp;COUNTIF($A$1:$A190,A190))</f>
        <v>0</v>
      </c>
      <c r="C190" s="1">
        <v>0</v>
      </c>
      <c r="D190" s="2" t="str">
        <f>RawData!A190</f>
        <v>WR</v>
      </c>
      <c r="E190" s="2" t="str">
        <f>RawData!B190</f>
        <v>Vincent Jackson</v>
      </c>
      <c r="F190" s="2">
        <f>(RawData!E190)</f>
        <v>6.46</v>
      </c>
      <c r="G190" s="35">
        <f>RawData!C190</f>
        <v>3000</v>
      </c>
      <c r="H190" s="2">
        <f t="shared" si="10"/>
        <v>0</v>
      </c>
      <c r="I190" s="2">
        <f t="shared" si="10"/>
        <v>0</v>
      </c>
      <c r="J190" s="2">
        <f t="shared" si="10"/>
        <v>0</v>
      </c>
      <c r="K190" s="2">
        <f t="shared" si="10"/>
        <v>0</v>
      </c>
      <c r="L190" s="2">
        <f t="shared" si="10"/>
        <v>0</v>
      </c>
    </row>
    <row r="191" spans="1:12" x14ac:dyDescent="0.25">
      <c r="A191" s="1">
        <f t="shared" si="11"/>
        <v>0</v>
      </c>
      <c r="B191" s="1">
        <f>IF(C191=0,0,A191&amp;" "&amp;COUNTIF($A$1:$A191,A191))</f>
        <v>0</v>
      </c>
      <c r="C191" s="1">
        <v>0</v>
      </c>
      <c r="D191" s="2" t="str">
        <f>RawData!A191</f>
        <v>RB</v>
      </c>
      <c r="E191" s="2" t="str">
        <f>RawData!B191</f>
        <v>Damien Williams</v>
      </c>
      <c r="F191" s="2">
        <f>(RawData!E191)</f>
        <v>6.45</v>
      </c>
      <c r="G191" s="35">
        <f>RawData!C191</f>
        <v>3800</v>
      </c>
      <c r="H191" s="2">
        <f t="shared" si="10"/>
        <v>0</v>
      </c>
      <c r="I191" s="2">
        <f t="shared" si="10"/>
        <v>0</v>
      </c>
      <c r="J191" s="2">
        <f t="shared" si="10"/>
        <v>0</v>
      </c>
      <c r="K191" s="2">
        <f t="shared" si="10"/>
        <v>0</v>
      </c>
      <c r="L191" s="2">
        <f t="shared" si="10"/>
        <v>0</v>
      </c>
    </row>
    <row r="192" spans="1:12" x14ac:dyDescent="0.25">
      <c r="A192" s="1">
        <f t="shared" si="11"/>
        <v>0</v>
      </c>
      <c r="B192" s="1">
        <f>IF(C192=0,0,A192&amp;" "&amp;COUNTIF($A$1:$A192,A192))</f>
        <v>0</v>
      </c>
      <c r="C192" s="1">
        <v>0</v>
      </c>
      <c r="D192" s="2" t="str">
        <f>RawData!A192</f>
        <v>WR</v>
      </c>
      <c r="E192" s="2" t="str">
        <f>RawData!B192</f>
        <v>Breshad Perriman</v>
      </c>
      <c r="F192" s="2">
        <f>(RawData!E192)</f>
        <v>6.319</v>
      </c>
      <c r="G192" s="35">
        <f>RawData!C192</f>
        <v>3500</v>
      </c>
      <c r="H192" s="2">
        <f t="shared" si="10"/>
        <v>0</v>
      </c>
      <c r="I192" s="2">
        <f t="shared" si="10"/>
        <v>0</v>
      </c>
      <c r="J192" s="2">
        <f t="shared" si="10"/>
        <v>0</v>
      </c>
      <c r="K192" s="2">
        <f t="shared" si="10"/>
        <v>0</v>
      </c>
      <c r="L192" s="2">
        <f t="shared" si="10"/>
        <v>0</v>
      </c>
    </row>
    <row r="193" spans="1:12" x14ac:dyDescent="0.25">
      <c r="A193" s="1">
        <f t="shared" si="11"/>
        <v>0</v>
      </c>
      <c r="B193" s="1">
        <f>IF(C193=0,0,A193&amp;" "&amp;COUNTIF($A$1:$A193,A193))</f>
        <v>0</v>
      </c>
      <c r="C193" s="1">
        <v>0</v>
      </c>
      <c r="D193" s="2" t="str">
        <f>RawData!A193</f>
        <v>RB</v>
      </c>
      <c r="E193" s="2" t="str">
        <f>RawData!B193</f>
        <v>Jeremy Langford</v>
      </c>
      <c r="F193" s="2">
        <f>(RawData!E193)</f>
        <v>6.2670000000000003</v>
      </c>
      <c r="G193" s="35">
        <f>RawData!C193</f>
        <v>3900</v>
      </c>
      <c r="H193" s="2">
        <f t="shared" si="10"/>
        <v>0</v>
      </c>
      <c r="I193" s="2">
        <f t="shared" si="10"/>
        <v>0</v>
      </c>
      <c r="J193" s="2">
        <f t="shared" si="10"/>
        <v>0</v>
      </c>
      <c r="K193" s="2">
        <f t="shared" si="10"/>
        <v>0</v>
      </c>
      <c r="L193" s="2">
        <f t="shared" si="10"/>
        <v>0</v>
      </c>
    </row>
    <row r="194" spans="1:12" x14ac:dyDescent="0.25">
      <c r="A194" s="1">
        <f t="shared" si="11"/>
        <v>0</v>
      </c>
      <c r="B194" s="1">
        <f>IF(C194=0,0,A194&amp;" "&amp;COUNTIF($A$1:$A194,A194))</f>
        <v>0</v>
      </c>
      <c r="C194" s="1">
        <v>0</v>
      </c>
      <c r="D194" s="2" t="str">
        <f>RawData!A194</f>
        <v>DST</v>
      </c>
      <c r="E194" s="2" t="str">
        <f>RawData!B194</f>
        <v xml:space="preserve">Texans </v>
      </c>
      <c r="F194" s="2">
        <f>(RawData!E194)</f>
        <v>6.2220000000000004</v>
      </c>
      <c r="G194" s="35">
        <f>RawData!C194</f>
        <v>3800</v>
      </c>
      <c r="H194" s="2">
        <f t="shared" si="10"/>
        <v>0</v>
      </c>
      <c r="I194" s="2">
        <f t="shared" si="10"/>
        <v>0</v>
      </c>
      <c r="J194" s="2">
        <f t="shared" si="10"/>
        <v>0</v>
      </c>
      <c r="K194" s="2">
        <f t="shared" si="10"/>
        <v>0</v>
      </c>
      <c r="L194" s="2">
        <f t="shared" si="10"/>
        <v>0</v>
      </c>
    </row>
    <row r="195" spans="1:12" x14ac:dyDescent="0.25">
      <c r="A195" s="1">
        <f t="shared" si="11"/>
        <v>0</v>
      </c>
      <c r="B195" s="1">
        <f>IF(C195=0,0,A195&amp;" "&amp;COUNTIF($A$1:$A195,A195))</f>
        <v>0</v>
      </c>
      <c r="C195" s="1">
        <v>0</v>
      </c>
      <c r="D195" s="2" t="str">
        <f>RawData!A195</f>
        <v>QB</v>
      </c>
      <c r="E195" s="2" t="str">
        <f>RawData!B195</f>
        <v>Tom Savage</v>
      </c>
      <c r="F195" s="2">
        <f>(RawData!E195)</f>
        <v>6.2130000000000001</v>
      </c>
      <c r="G195" s="35">
        <f>RawData!C195</f>
        <v>4800</v>
      </c>
      <c r="H195" s="2">
        <f t="shared" si="10"/>
        <v>0</v>
      </c>
      <c r="I195" s="2">
        <f t="shared" si="10"/>
        <v>0</v>
      </c>
      <c r="J195" s="2">
        <f t="shared" si="10"/>
        <v>0</v>
      </c>
      <c r="K195" s="2">
        <f t="shared" si="10"/>
        <v>0</v>
      </c>
      <c r="L195" s="2">
        <f t="shared" si="10"/>
        <v>0</v>
      </c>
    </row>
    <row r="196" spans="1:12" x14ac:dyDescent="0.25">
      <c r="A196" s="1">
        <f t="shared" si="11"/>
        <v>0</v>
      </c>
      <c r="B196" s="1">
        <f>IF(C196=0,0,A196&amp;" "&amp;COUNTIF($A$1:$A196,A196))</f>
        <v>0</v>
      </c>
      <c r="C196" s="1">
        <v>0</v>
      </c>
      <c r="D196" s="2" t="str">
        <f>RawData!A196</f>
        <v>WR</v>
      </c>
      <c r="E196" s="2" t="str">
        <f>RawData!B196</f>
        <v>Marquise Goodwin</v>
      </c>
      <c r="F196" s="2">
        <f>(RawData!E196)</f>
        <v>6.2069999999999999</v>
      </c>
      <c r="G196" s="35">
        <f>RawData!C196</f>
        <v>3200</v>
      </c>
      <c r="H196" s="2">
        <f t="shared" si="10"/>
        <v>0</v>
      </c>
      <c r="I196" s="2">
        <f t="shared" si="10"/>
        <v>0</v>
      </c>
      <c r="J196" s="2">
        <f t="shared" si="10"/>
        <v>0</v>
      </c>
      <c r="K196" s="2">
        <f t="shared" si="10"/>
        <v>0</v>
      </c>
      <c r="L196" s="2">
        <f t="shared" si="10"/>
        <v>0</v>
      </c>
    </row>
    <row r="197" spans="1:12" x14ac:dyDescent="0.25">
      <c r="A197" s="1">
        <f t="shared" si="11"/>
        <v>0</v>
      </c>
      <c r="B197" s="1">
        <f>IF(C197=0,0,A197&amp;" "&amp;COUNTIF($A$1:$A197,A197))</f>
        <v>0</v>
      </c>
      <c r="C197" s="1">
        <v>0</v>
      </c>
      <c r="D197" s="2" t="str">
        <f>RawData!A197</f>
        <v>TE</v>
      </c>
      <c r="E197" s="2" t="str">
        <f>RawData!B197</f>
        <v>Ryan Griffin</v>
      </c>
      <c r="F197" s="2">
        <f>(RawData!E197)</f>
        <v>6.1719999999999997</v>
      </c>
      <c r="G197" s="35">
        <f>RawData!C197</f>
        <v>2700</v>
      </c>
      <c r="H197" s="2">
        <f t="shared" si="10"/>
        <v>0</v>
      </c>
      <c r="I197" s="2">
        <f t="shared" si="10"/>
        <v>0</v>
      </c>
      <c r="J197" s="2">
        <f t="shared" si="10"/>
        <v>0</v>
      </c>
      <c r="K197" s="2">
        <f t="shared" si="10"/>
        <v>0</v>
      </c>
      <c r="L197" s="2">
        <f t="shared" si="10"/>
        <v>0</v>
      </c>
    </row>
    <row r="198" spans="1:12" x14ac:dyDescent="0.25">
      <c r="A198" s="1">
        <f t="shared" si="11"/>
        <v>0</v>
      </c>
      <c r="B198" s="1">
        <f>IF(C198=0,0,A198&amp;" "&amp;COUNTIF($A$1:$A198,A198))</f>
        <v>0</v>
      </c>
      <c r="C198" s="1">
        <v>0</v>
      </c>
      <c r="D198" s="2" t="str">
        <f>RawData!A198</f>
        <v>DST</v>
      </c>
      <c r="E198" s="2" t="str">
        <f>RawData!B198</f>
        <v xml:space="preserve">Bengals </v>
      </c>
      <c r="F198" s="2">
        <f>(RawData!E198)</f>
        <v>6.125</v>
      </c>
      <c r="G198" s="35">
        <f>RawData!C198</f>
        <v>3100</v>
      </c>
      <c r="H198" s="2">
        <f t="shared" si="10"/>
        <v>0</v>
      </c>
      <c r="I198" s="2">
        <f t="shared" si="10"/>
        <v>0</v>
      </c>
      <c r="J198" s="2">
        <f t="shared" si="10"/>
        <v>0</v>
      </c>
      <c r="K198" s="2">
        <f t="shared" si="10"/>
        <v>0</v>
      </c>
      <c r="L198" s="2">
        <f t="shared" si="10"/>
        <v>0</v>
      </c>
    </row>
    <row r="199" spans="1:12" x14ac:dyDescent="0.25">
      <c r="A199" s="1">
        <f t="shared" si="11"/>
        <v>0</v>
      </c>
      <c r="B199" s="1">
        <f>IF(C199=0,0,A199&amp;" "&amp;COUNTIF($A$1:$A199,A199))</f>
        <v>0</v>
      </c>
      <c r="C199" s="1">
        <v>0</v>
      </c>
      <c r="D199" s="2" t="str">
        <f>RawData!A199</f>
        <v>TE</v>
      </c>
      <c r="E199" s="2" t="str">
        <f>RawData!B199</f>
        <v>Will Tye</v>
      </c>
      <c r="F199" s="2">
        <f>(RawData!E199)</f>
        <v>6.1239999999999997</v>
      </c>
      <c r="G199" s="35">
        <f>RawData!C199</f>
        <v>2600</v>
      </c>
      <c r="H199" s="2">
        <f t="shared" si="10"/>
        <v>0</v>
      </c>
      <c r="I199" s="2">
        <f t="shared" si="10"/>
        <v>0</v>
      </c>
      <c r="J199" s="2">
        <f t="shared" si="10"/>
        <v>0</v>
      </c>
      <c r="K199" s="2">
        <f t="shared" si="10"/>
        <v>0</v>
      </c>
      <c r="L199" s="2">
        <f t="shared" si="10"/>
        <v>0</v>
      </c>
    </row>
    <row r="200" spans="1:12" x14ac:dyDescent="0.25">
      <c r="A200" s="1">
        <f t="shared" si="11"/>
        <v>0</v>
      </c>
      <c r="B200" s="1">
        <f>IF(C200=0,0,A200&amp;" "&amp;COUNTIF($A$1:$A200,A200))</f>
        <v>0</v>
      </c>
      <c r="C200" s="1">
        <v>0</v>
      </c>
      <c r="D200" s="2" t="str">
        <f>RawData!A200</f>
        <v>TE</v>
      </c>
      <c r="E200" s="2" t="str">
        <f>RawData!B200</f>
        <v>Jesse James</v>
      </c>
      <c r="F200" s="2">
        <f>(RawData!E200)</f>
        <v>6.0789999999999997</v>
      </c>
      <c r="G200" s="35">
        <f>RawData!C200</f>
        <v>3000</v>
      </c>
      <c r="H200" s="2">
        <f t="shared" si="10"/>
        <v>0</v>
      </c>
      <c r="I200" s="2">
        <f t="shared" si="10"/>
        <v>0</v>
      </c>
      <c r="J200" s="2">
        <f t="shared" si="10"/>
        <v>0</v>
      </c>
      <c r="K200" s="2">
        <f t="shared" si="10"/>
        <v>0</v>
      </c>
      <c r="L200" s="2">
        <f t="shared" si="10"/>
        <v>0</v>
      </c>
    </row>
    <row r="201" spans="1:12" x14ac:dyDescent="0.25">
      <c r="C201" s="1"/>
      <c r="E201" s="2"/>
    </row>
    <row r="202" spans="1:12" x14ac:dyDescent="0.25">
      <c r="C202" s="1"/>
      <c r="E202" s="2"/>
    </row>
    <row r="203" spans="1:12" x14ac:dyDescent="0.25">
      <c r="C203" s="1"/>
      <c r="E203" s="2"/>
    </row>
    <row r="204" spans="1:12" x14ac:dyDescent="0.25">
      <c r="C204" s="1"/>
      <c r="E204" s="2"/>
    </row>
    <row r="205" spans="1:12" x14ac:dyDescent="0.25">
      <c r="C205" s="1"/>
      <c r="E205" s="2"/>
    </row>
    <row r="206" spans="1:12" x14ac:dyDescent="0.25">
      <c r="C206" s="1"/>
      <c r="E206" s="2"/>
    </row>
    <row r="207" spans="1:12" x14ac:dyDescent="0.25">
      <c r="C207" s="1"/>
      <c r="E207" s="2"/>
    </row>
    <row r="208" spans="1:12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98"/>
  <sheetViews>
    <sheetView workbookViewId="0">
      <selection activeCell="H10" sqref="H10"/>
    </sheetView>
  </sheetViews>
  <sheetFormatPr defaultRowHeight="15" x14ac:dyDescent="0.25"/>
  <cols>
    <col min="1" max="1" width="9.140625" style="2"/>
    <col min="2" max="2" width="22.28515625" style="2" bestFit="1" customWidth="1"/>
    <col min="3" max="3" width="6.28515625" style="2" bestFit="1" customWidth="1"/>
    <col min="4" max="4" width="20.7109375" style="2" bestFit="1" customWidth="1"/>
    <col min="5" max="5" width="18.28515625" style="2" bestFit="1" customWidth="1"/>
    <col min="6" max="6" width="12" style="2" bestFit="1" customWidth="1"/>
    <col min="7" max="16384" width="9.140625" style="2"/>
  </cols>
  <sheetData>
    <row r="1" spans="1:6" x14ac:dyDescent="0.25">
      <c r="A1" s="2" t="s">
        <v>0</v>
      </c>
      <c r="B1" s="2" t="s">
        <v>29</v>
      </c>
      <c r="C1" s="2" t="s">
        <v>18</v>
      </c>
      <c r="D1" s="2" t="s">
        <v>30</v>
      </c>
      <c r="E1" s="2" t="s">
        <v>31</v>
      </c>
      <c r="F1" s="2" t="s">
        <v>32</v>
      </c>
    </row>
    <row r="2" spans="1:6" x14ac:dyDescent="0.25">
      <c r="A2" s="2" t="s">
        <v>33</v>
      </c>
      <c r="B2" s="2" t="s">
        <v>37</v>
      </c>
      <c r="C2" s="2">
        <v>9400</v>
      </c>
      <c r="D2" s="2" t="s">
        <v>38</v>
      </c>
      <c r="E2" s="2">
        <v>26.613</v>
      </c>
      <c r="F2" s="2" t="s">
        <v>39</v>
      </c>
    </row>
    <row r="3" spans="1:6" x14ac:dyDescent="0.25">
      <c r="A3" s="2" t="s">
        <v>33</v>
      </c>
      <c r="B3" s="2" t="s">
        <v>34</v>
      </c>
      <c r="C3" s="2">
        <v>9800</v>
      </c>
      <c r="D3" s="2" t="s">
        <v>35</v>
      </c>
      <c r="E3" s="2">
        <v>26.292999999999999</v>
      </c>
      <c r="F3" s="2" t="s">
        <v>36</v>
      </c>
    </row>
    <row r="4" spans="1:6" x14ac:dyDescent="0.25">
      <c r="A4" s="2" t="s">
        <v>64</v>
      </c>
      <c r="B4" s="2" t="s">
        <v>72</v>
      </c>
      <c r="C4" s="2">
        <v>7000</v>
      </c>
      <c r="D4" s="2" t="s">
        <v>58</v>
      </c>
      <c r="E4" s="2">
        <v>26.073</v>
      </c>
      <c r="F4" s="2" t="s">
        <v>59</v>
      </c>
    </row>
    <row r="5" spans="1:6" x14ac:dyDescent="0.25">
      <c r="A5" s="2" t="s">
        <v>64</v>
      </c>
      <c r="B5" s="2" t="s">
        <v>73</v>
      </c>
      <c r="C5" s="2">
        <v>6900</v>
      </c>
      <c r="D5" s="2" t="s">
        <v>43</v>
      </c>
      <c r="E5" s="2">
        <v>24.759</v>
      </c>
      <c r="F5" s="2" t="s">
        <v>23</v>
      </c>
    </row>
    <row r="6" spans="1:6" x14ac:dyDescent="0.25">
      <c r="A6" s="2" t="s">
        <v>33</v>
      </c>
      <c r="B6" s="2" t="s">
        <v>50</v>
      </c>
      <c r="C6" s="2">
        <v>8100</v>
      </c>
      <c r="D6" s="2" t="s">
        <v>45</v>
      </c>
      <c r="E6" s="2">
        <v>22.731000000000002</v>
      </c>
      <c r="F6" s="2" t="s">
        <v>22</v>
      </c>
    </row>
    <row r="7" spans="1:6" x14ac:dyDescent="0.25">
      <c r="A7" s="2" t="s">
        <v>64</v>
      </c>
      <c r="B7" s="2" t="s">
        <v>84</v>
      </c>
      <c r="C7" s="2">
        <v>6500</v>
      </c>
      <c r="D7" s="2" t="s">
        <v>75</v>
      </c>
      <c r="E7" s="2">
        <v>22.713000000000001</v>
      </c>
      <c r="F7" s="2" t="s">
        <v>25</v>
      </c>
    </row>
    <row r="8" spans="1:6" x14ac:dyDescent="0.25">
      <c r="A8" s="2" t="s">
        <v>40</v>
      </c>
      <c r="B8" s="2" t="s">
        <v>41</v>
      </c>
      <c r="C8" s="2">
        <v>8800</v>
      </c>
      <c r="D8" s="2" t="s">
        <v>35</v>
      </c>
      <c r="E8" s="2">
        <v>21.456</v>
      </c>
      <c r="F8" s="2" t="s">
        <v>36</v>
      </c>
    </row>
    <row r="9" spans="1:6" x14ac:dyDescent="0.25">
      <c r="A9" s="2" t="s">
        <v>33</v>
      </c>
      <c r="B9" s="2" t="s">
        <v>47</v>
      </c>
      <c r="C9" s="2">
        <v>8200</v>
      </c>
      <c r="D9" s="2" t="s">
        <v>48</v>
      </c>
      <c r="E9" s="2">
        <v>21.286999999999999</v>
      </c>
      <c r="F9" s="2" t="s">
        <v>49</v>
      </c>
    </row>
    <row r="10" spans="1:6" x14ac:dyDescent="0.25">
      <c r="A10" s="2" t="s">
        <v>64</v>
      </c>
      <c r="B10" s="2" t="s">
        <v>85</v>
      </c>
      <c r="C10" s="2">
        <v>6400</v>
      </c>
      <c r="D10" s="2" t="s">
        <v>86</v>
      </c>
      <c r="E10" s="2">
        <v>21.018000000000001</v>
      </c>
      <c r="F10" s="2" t="s">
        <v>24</v>
      </c>
    </row>
    <row r="11" spans="1:6" x14ac:dyDescent="0.25">
      <c r="A11" s="2" t="s">
        <v>40</v>
      </c>
      <c r="B11" s="2" t="s">
        <v>42</v>
      </c>
      <c r="C11" s="2">
        <v>8500</v>
      </c>
      <c r="D11" s="2" t="s">
        <v>43</v>
      </c>
      <c r="E11" s="2">
        <v>20.094000000000001</v>
      </c>
      <c r="F11" s="2" t="s">
        <v>23</v>
      </c>
    </row>
    <row r="12" spans="1:6" x14ac:dyDescent="0.25">
      <c r="A12" s="2" t="s">
        <v>40</v>
      </c>
      <c r="B12" s="2" t="s">
        <v>51</v>
      </c>
      <c r="C12" s="2">
        <v>8000</v>
      </c>
      <c r="D12" s="2" t="s">
        <v>52</v>
      </c>
      <c r="E12" s="2">
        <v>19.84</v>
      </c>
      <c r="F12" s="2" t="s">
        <v>53</v>
      </c>
    </row>
    <row r="13" spans="1:6" x14ac:dyDescent="0.25">
      <c r="A13" s="2" t="s">
        <v>40</v>
      </c>
      <c r="B13" s="2" t="s">
        <v>54</v>
      </c>
      <c r="C13" s="2">
        <v>7800</v>
      </c>
      <c r="D13" s="2" t="s">
        <v>55</v>
      </c>
      <c r="E13" s="2">
        <v>19.756</v>
      </c>
      <c r="F13" s="2" t="s">
        <v>56</v>
      </c>
    </row>
    <row r="14" spans="1:6" x14ac:dyDescent="0.25">
      <c r="A14" s="2" t="s">
        <v>64</v>
      </c>
      <c r="B14" s="2" t="s">
        <v>88</v>
      </c>
      <c r="C14" s="2">
        <v>6300</v>
      </c>
      <c r="D14" s="2" t="s">
        <v>45</v>
      </c>
      <c r="E14" s="2">
        <v>19.427</v>
      </c>
      <c r="F14" s="2" t="s">
        <v>22</v>
      </c>
    </row>
    <row r="15" spans="1:6" x14ac:dyDescent="0.25">
      <c r="A15" s="2" t="s">
        <v>33</v>
      </c>
      <c r="B15" s="2" t="s">
        <v>61</v>
      </c>
      <c r="C15" s="2">
        <v>7400</v>
      </c>
      <c r="D15" s="2" t="s">
        <v>62</v>
      </c>
      <c r="E15" s="2">
        <v>19.363</v>
      </c>
      <c r="F15" s="2" t="s">
        <v>63</v>
      </c>
    </row>
    <row r="16" spans="1:6" x14ac:dyDescent="0.25">
      <c r="A16" s="2" t="s">
        <v>64</v>
      </c>
      <c r="B16" s="2" t="s">
        <v>79</v>
      </c>
      <c r="C16" s="2">
        <v>6700</v>
      </c>
      <c r="D16" s="2" t="s">
        <v>62</v>
      </c>
      <c r="E16" s="2">
        <v>19.298999999999999</v>
      </c>
      <c r="F16" s="2" t="s">
        <v>67</v>
      </c>
    </row>
    <row r="17" spans="1:6" x14ac:dyDescent="0.25">
      <c r="A17" s="2" t="s">
        <v>64</v>
      </c>
      <c r="B17" s="2" t="s">
        <v>156</v>
      </c>
      <c r="C17" s="2">
        <v>4800</v>
      </c>
      <c r="D17" s="2" t="s">
        <v>103</v>
      </c>
      <c r="E17" s="2">
        <v>19.256</v>
      </c>
      <c r="F17" s="2" t="s">
        <v>110</v>
      </c>
    </row>
    <row r="18" spans="1:6" x14ac:dyDescent="0.25">
      <c r="A18" s="2" t="s">
        <v>40</v>
      </c>
      <c r="B18" s="2" t="s">
        <v>57</v>
      </c>
      <c r="C18" s="2">
        <v>7600</v>
      </c>
      <c r="D18" s="2" t="s">
        <v>58</v>
      </c>
      <c r="E18" s="2">
        <v>18.983000000000001</v>
      </c>
      <c r="F18" s="2" t="s">
        <v>59</v>
      </c>
    </row>
    <row r="19" spans="1:6" x14ac:dyDescent="0.25">
      <c r="A19" s="2" t="s">
        <v>64</v>
      </c>
      <c r="B19" s="2" t="s">
        <v>65</v>
      </c>
      <c r="C19" s="2">
        <v>7300</v>
      </c>
      <c r="D19" s="2" t="s">
        <v>35</v>
      </c>
      <c r="E19" s="2">
        <v>18.98</v>
      </c>
      <c r="F19" s="2" t="s">
        <v>36</v>
      </c>
    </row>
    <row r="20" spans="1:6" x14ac:dyDescent="0.25">
      <c r="A20" s="2" t="s">
        <v>64</v>
      </c>
      <c r="B20" s="2" t="s">
        <v>89</v>
      </c>
      <c r="C20" s="2">
        <v>6200</v>
      </c>
      <c r="D20" s="2" t="s">
        <v>48</v>
      </c>
      <c r="E20" s="2">
        <v>18.795000000000002</v>
      </c>
      <c r="F20" s="2" t="s">
        <v>49</v>
      </c>
    </row>
    <row r="21" spans="1:6" x14ac:dyDescent="0.25">
      <c r="A21" s="2" t="s">
        <v>64</v>
      </c>
      <c r="B21" s="2" t="s">
        <v>68</v>
      </c>
      <c r="C21" s="2">
        <v>7100</v>
      </c>
      <c r="D21" s="2" t="s">
        <v>69</v>
      </c>
      <c r="E21" s="2">
        <v>18.617000000000001</v>
      </c>
      <c r="F21" s="2" t="s">
        <v>70</v>
      </c>
    </row>
    <row r="22" spans="1:6" x14ac:dyDescent="0.25">
      <c r="A22" s="2" t="s">
        <v>40</v>
      </c>
      <c r="B22" s="2" t="s">
        <v>44</v>
      </c>
      <c r="C22" s="2">
        <v>8300</v>
      </c>
      <c r="D22" s="2" t="s">
        <v>45</v>
      </c>
      <c r="E22" s="2">
        <v>18.611999999999998</v>
      </c>
      <c r="F22" s="2" t="s">
        <v>46</v>
      </c>
    </row>
    <row r="23" spans="1:6" x14ac:dyDescent="0.25">
      <c r="A23" s="2" t="s">
        <v>64</v>
      </c>
      <c r="B23" s="2" t="s">
        <v>98</v>
      </c>
      <c r="C23" s="2">
        <v>6000</v>
      </c>
      <c r="D23" s="2" t="s">
        <v>38</v>
      </c>
      <c r="E23" s="2">
        <v>18.608000000000001</v>
      </c>
      <c r="F23" s="2" t="s">
        <v>39</v>
      </c>
    </row>
    <row r="24" spans="1:6" x14ac:dyDescent="0.25">
      <c r="A24" s="2" t="s">
        <v>64</v>
      </c>
      <c r="B24" s="2" t="s">
        <v>78</v>
      </c>
      <c r="C24" s="2">
        <v>6800</v>
      </c>
      <c r="D24" s="2" t="s">
        <v>62</v>
      </c>
      <c r="E24" s="2">
        <v>18.463000000000001</v>
      </c>
      <c r="F24" s="2" t="s">
        <v>63</v>
      </c>
    </row>
    <row r="25" spans="1:6" x14ac:dyDescent="0.25">
      <c r="A25" s="2" t="s">
        <v>33</v>
      </c>
      <c r="B25" s="2" t="s">
        <v>71</v>
      </c>
      <c r="C25" s="2">
        <v>7000</v>
      </c>
      <c r="D25" s="2" t="s">
        <v>43</v>
      </c>
      <c r="E25" s="2">
        <v>18.443999999999999</v>
      </c>
      <c r="F25" s="2" t="s">
        <v>23</v>
      </c>
    </row>
    <row r="26" spans="1:6" x14ac:dyDescent="0.25">
      <c r="A26" s="2" t="s">
        <v>64</v>
      </c>
      <c r="B26" s="2" t="s">
        <v>94</v>
      </c>
      <c r="C26" s="2">
        <v>6100</v>
      </c>
      <c r="D26" s="2" t="s">
        <v>38</v>
      </c>
      <c r="E26" s="2">
        <v>18.440000000000001</v>
      </c>
      <c r="F26" s="2" t="s">
        <v>26</v>
      </c>
    </row>
    <row r="27" spans="1:6" x14ac:dyDescent="0.25">
      <c r="A27" s="2" t="s">
        <v>64</v>
      </c>
      <c r="B27" s="2" t="s">
        <v>76</v>
      </c>
      <c r="C27" s="2">
        <v>6900</v>
      </c>
      <c r="D27" s="2" t="s">
        <v>58</v>
      </c>
      <c r="E27" s="2">
        <v>18.257000000000001</v>
      </c>
      <c r="F27" s="2" t="s">
        <v>77</v>
      </c>
    </row>
    <row r="28" spans="1:6" x14ac:dyDescent="0.25">
      <c r="A28" s="2" t="s">
        <v>40</v>
      </c>
      <c r="B28" s="2" t="s">
        <v>74</v>
      </c>
      <c r="C28" s="2">
        <v>6900</v>
      </c>
      <c r="D28" s="2" t="s">
        <v>75</v>
      </c>
      <c r="E28" s="2">
        <v>18.238</v>
      </c>
      <c r="F28" s="2" t="s">
        <v>25</v>
      </c>
    </row>
    <row r="29" spans="1:6" x14ac:dyDescent="0.25">
      <c r="A29" s="2" t="s">
        <v>64</v>
      </c>
      <c r="B29" s="2" t="s">
        <v>81</v>
      </c>
      <c r="C29" s="2">
        <v>6600</v>
      </c>
      <c r="D29" s="2" t="s">
        <v>55</v>
      </c>
      <c r="E29" s="2">
        <v>18.068999999999999</v>
      </c>
      <c r="F29" s="2" t="s">
        <v>56</v>
      </c>
    </row>
    <row r="30" spans="1:6" x14ac:dyDescent="0.25">
      <c r="A30" s="2" t="s">
        <v>64</v>
      </c>
      <c r="B30" s="2" t="s">
        <v>167</v>
      </c>
      <c r="C30" s="2">
        <v>4700</v>
      </c>
      <c r="D30" s="2" t="s">
        <v>69</v>
      </c>
      <c r="E30" s="2">
        <v>17.786999999999999</v>
      </c>
      <c r="F30" s="2" t="s">
        <v>1</v>
      </c>
    </row>
    <row r="31" spans="1:6" x14ac:dyDescent="0.25">
      <c r="A31" s="2" t="s">
        <v>64</v>
      </c>
      <c r="B31" s="2" t="s">
        <v>108</v>
      </c>
      <c r="C31" s="2">
        <v>5700</v>
      </c>
      <c r="D31" s="2" t="s">
        <v>52</v>
      </c>
      <c r="E31" s="2">
        <v>17.728000000000002</v>
      </c>
      <c r="F31" s="2" t="s">
        <v>53</v>
      </c>
    </row>
    <row r="32" spans="1:6" x14ac:dyDescent="0.25">
      <c r="A32" s="2" t="s">
        <v>40</v>
      </c>
      <c r="B32" s="2" t="s">
        <v>80</v>
      </c>
      <c r="C32" s="2">
        <v>6700</v>
      </c>
      <c r="D32" s="2" t="s">
        <v>58</v>
      </c>
      <c r="E32" s="2">
        <v>17.372</v>
      </c>
      <c r="F32" s="2" t="s">
        <v>77</v>
      </c>
    </row>
    <row r="33" spans="1:6" x14ac:dyDescent="0.25">
      <c r="A33" s="2" t="s">
        <v>64</v>
      </c>
      <c r="B33" s="2" t="s">
        <v>114</v>
      </c>
      <c r="C33" s="2">
        <v>5500</v>
      </c>
      <c r="D33" s="2" t="s">
        <v>52</v>
      </c>
      <c r="E33" s="2">
        <v>17.03</v>
      </c>
      <c r="F33" s="2" t="s">
        <v>115</v>
      </c>
    </row>
    <row r="34" spans="1:6" x14ac:dyDescent="0.25">
      <c r="A34" s="2" t="s">
        <v>33</v>
      </c>
      <c r="B34" s="2" t="s">
        <v>87</v>
      </c>
      <c r="C34" s="2">
        <v>6300</v>
      </c>
      <c r="D34" s="2" t="s">
        <v>43</v>
      </c>
      <c r="E34" s="2">
        <v>16.806999999999999</v>
      </c>
      <c r="F34" s="2" t="s">
        <v>27</v>
      </c>
    </row>
    <row r="35" spans="1:6" x14ac:dyDescent="0.25">
      <c r="A35" s="2" t="s">
        <v>40</v>
      </c>
      <c r="B35" s="2" t="s">
        <v>131</v>
      </c>
      <c r="C35" s="2">
        <v>5200</v>
      </c>
      <c r="D35" s="2" t="s">
        <v>58</v>
      </c>
      <c r="E35" s="2">
        <v>16.442</v>
      </c>
      <c r="F35" s="2" t="s">
        <v>59</v>
      </c>
    </row>
    <row r="36" spans="1:6" x14ac:dyDescent="0.25">
      <c r="A36" s="2" t="s">
        <v>64</v>
      </c>
      <c r="B36" s="2" t="s">
        <v>138</v>
      </c>
      <c r="C36" s="2">
        <v>5000</v>
      </c>
      <c r="D36" s="2" t="s">
        <v>55</v>
      </c>
      <c r="E36" s="2">
        <v>16.245999999999999</v>
      </c>
      <c r="F36" s="2" t="s">
        <v>28</v>
      </c>
    </row>
    <row r="37" spans="1:6" x14ac:dyDescent="0.25">
      <c r="A37" s="2" t="s">
        <v>40</v>
      </c>
      <c r="B37" s="2" t="s">
        <v>60</v>
      </c>
      <c r="C37" s="2">
        <v>7500</v>
      </c>
      <c r="D37" s="2" t="s">
        <v>45</v>
      </c>
      <c r="E37" s="2">
        <v>16.228999999999999</v>
      </c>
      <c r="F37" s="2" t="s">
        <v>22</v>
      </c>
    </row>
    <row r="38" spans="1:6" x14ac:dyDescent="0.25">
      <c r="A38" s="2" t="s">
        <v>33</v>
      </c>
      <c r="B38" s="2" t="s">
        <v>165</v>
      </c>
      <c r="C38" s="2">
        <v>4700</v>
      </c>
      <c r="D38" s="2" t="s">
        <v>38</v>
      </c>
      <c r="E38" s="2">
        <v>16.18</v>
      </c>
      <c r="F38" s="2" t="s">
        <v>26</v>
      </c>
    </row>
    <row r="39" spans="1:6" x14ac:dyDescent="0.25">
      <c r="A39" s="2" t="s">
        <v>64</v>
      </c>
      <c r="B39" s="2" t="s">
        <v>112</v>
      </c>
      <c r="C39" s="2">
        <v>5600</v>
      </c>
      <c r="D39" s="2" t="s">
        <v>45</v>
      </c>
      <c r="E39" s="2">
        <v>15.955</v>
      </c>
      <c r="F39" s="2" t="s">
        <v>46</v>
      </c>
    </row>
    <row r="40" spans="1:6" x14ac:dyDescent="0.25">
      <c r="A40" s="2" t="s">
        <v>40</v>
      </c>
      <c r="B40" s="2" t="s">
        <v>120</v>
      </c>
      <c r="C40" s="2">
        <v>5400</v>
      </c>
      <c r="D40" s="2" t="s">
        <v>55</v>
      </c>
      <c r="E40" s="2">
        <v>15.853</v>
      </c>
      <c r="F40" s="2" t="s">
        <v>28</v>
      </c>
    </row>
    <row r="41" spans="1:6" x14ac:dyDescent="0.25">
      <c r="A41" s="2" t="s">
        <v>40</v>
      </c>
      <c r="B41" s="2" t="s">
        <v>101</v>
      </c>
      <c r="C41" s="2">
        <v>5900</v>
      </c>
      <c r="D41" s="2" t="s">
        <v>38</v>
      </c>
      <c r="E41" s="2">
        <v>15.488</v>
      </c>
      <c r="F41" s="2" t="s">
        <v>39</v>
      </c>
    </row>
    <row r="42" spans="1:6" x14ac:dyDescent="0.25">
      <c r="A42" s="2" t="s">
        <v>33</v>
      </c>
      <c r="B42" s="2" t="s">
        <v>174</v>
      </c>
      <c r="C42" s="2">
        <v>4600</v>
      </c>
      <c r="D42" s="2" t="s">
        <v>69</v>
      </c>
      <c r="E42" s="2">
        <v>15.468999999999999</v>
      </c>
      <c r="F42" s="2" t="s">
        <v>1</v>
      </c>
    </row>
    <row r="43" spans="1:6" x14ac:dyDescent="0.25">
      <c r="A43" s="2" t="s">
        <v>64</v>
      </c>
      <c r="B43" s="2" t="s">
        <v>134</v>
      </c>
      <c r="C43" s="2">
        <v>5100</v>
      </c>
      <c r="D43" s="2" t="s">
        <v>69</v>
      </c>
      <c r="E43" s="2">
        <v>15.433</v>
      </c>
      <c r="F43" s="2" t="s">
        <v>1</v>
      </c>
    </row>
    <row r="44" spans="1:6" x14ac:dyDescent="0.25">
      <c r="A44" s="2" t="s">
        <v>64</v>
      </c>
      <c r="B44" s="2" t="s">
        <v>125</v>
      </c>
      <c r="C44" s="2">
        <v>5300</v>
      </c>
      <c r="D44" s="2" t="s">
        <v>86</v>
      </c>
      <c r="E44" s="2">
        <v>15.186</v>
      </c>
      <c r="F44" s="2" t="s">
        <v>21</v>
      </c>
    </row>
    <row r="45" spans="1:6" x14ac:dyDescent="0.25">
      <c r="A45" s="2" t="s">
        <v>33</v>
      </c>
      <c r="B45" s="2" t="s">
        <v>118</v>
      </c>
      <c r="C45" s="2">
        <v>5400</v>
      </c>
      <c r="D45" s="2" t="s">
        <v>43</v>
      </c>
      <c r="E45" s="2">
        <v>15.093</v>
      </c>
      <c r="F45" s="2" t="s">
        <v>23</v>
      </c>
    </row>
    <row r="46" spans="1:6" x14ac:dyDescent="0.25">
      <c r="A46" s="2" t="s">
        <v>40</v>
      </c>
      <c r="B46" s="2" t="s">
        <v>99</v>
      </c>
      <c r="C46" s="2">
        <v>6000</v>
      </c>
      <c r="D46" s="2" t="s">
        <v>62</v>
      </c>
      <c r="E46" s="2">
        <v>14.917999999999999</v>
      </c>
      <c r="F46" s="2" t="s">
        <v>67</v>
      </c>
    </row>
    <row r="47" spans="1:6" x14ac:dyDescent="0.25">
      <c r="A47" s="2" t="s">
        <v>33</v>
      </c>
      <c r="B47" s="2" t="s">
        <v>83</v>
      </c>
      <c r="C47" s="2">
        <v>6500</v>
      </c>
      <c r="D47" s="2" t="s">
        <v>55</v>
      </c>
      <c r="E47" s="2">
        <v>14.738</v>
      </c>
      <c r="F47" s="2" t="s">
        <v>28</v>
      </c>
    </row>
    <row r="48" spans="1:6" x14ac:dyDescent="0.25">
      <c r="A48" s="2" t="s">
        <v>40</v>
      </c>
      <c r="B48" s="2" t="s">
        <v>66</v>
      </c>
      <c r="C48" s="2">
        <v>7200</v>
      </c>
      <c r="D48" s="2" t="s">
        <v>62</v>
      </c>
      <c r="E48" s="2">
        <v>14.547000000000001</v>
      </c>
      <c r="F48" s="2" t="s">
        <v>67</v>
      </c>
    </row>
    <row r="49" spans="1:6" x14ac:dyDescent="0.25">
      <c r="A49" s="2" t="s">
        <v>33</v>
      </c>
      <c r="B49" s="2" t="s">
        <v>184</v>
      </c>
      <c r="C49" s="2">
        <v>4500</v>
      </c>
      <c r="D49" s="2" t="s">
        <v>86</v>
      </c>
      <c r="E49" s="2">
        <v>14.528</v>
      </c>
      <c r="F49" s="2" t="s">
        <v>21</v>
      </c>
    </row>
    <row r="50" spans="1:6" x14ac:dyDescent="0.25">
      <c r="A50" s="2" t="s">
        <v>40</v>
      </c>
      <c r="B50" s="2" t="s">
        <v>139</v>
      </c>
      <c r="C50" s="2">
        <v>5000</v>
      </c>
      <c r="D50" s="2" t="s">
        <v>62</v>
      </c>
      <c r="E50" s="2">
        <v>14.467000000000001</v>
      </c>
      <c r="F50" s="2" t="s">
        <v>63</v>
      </c>
    </row>
    <row r="51" spans="1:6" x14ac:dyDescent="0.25">
      <c r="A51" s="2" t="s">
        <v>33</v>
      </c>
      <c r="B51" s="2" t="s">
        <v>132</v>
      </c>
      <c r="C51" s="2">
        <v>5100</v>
      </c>
      <c r="D51" s="2" t="s">
        <v>103</v>
      </c>
      <c r="E51" s="2">
        <v>14.394</v>
      </c>
      <c r="F51" s="2" t="s">
        <v>19</v>
      </c>
    </row>
    <row r="52" spans="1:6" x14ac:dyDescent="0.25">
      <c r="A52" s="2" t="s">
        <v>64</v>
      </c>
      <c r="B52" s="2" t="s">
        <v>227</v>
      </c>
      <c r="C52" s="2">
        <v>4000</v>
      </c>
      <c r="D52" s="2" t="s">
        <v>35</v>
      </c>
      <c r="E52" s="2">
        <v>14.087999999999999</v>
      </c>
      <c r="F52" s="2" t="s">
        <v>20</v>
      </c>
    </row>
    <row r="53" spans="1:6" x14ac:dyDescent="0.25">
      <c r="A53" s="2" t="s">
        <v>40</v>
      </c>
      <c r="B53" s="2" t="s">
        <v>82</v>
      </c>
      <c r="C53" s="2">
        <v>6500</v>
      </c>
      <c r="D53" s="2" t="s">
        <v>38</v>
      </c>
      <c r="E53" s="2">
        <v>14.035</v>
      </c>
      <c r="F53" s="2" t="s">
        <v>26</v>
      </c>
    </row>
    <row r="54" spans="1:6" x14ac:dyDescent="0.25">
      <c r="A54" s="2" t="s">
        <v>40</v>
      </c>
      <c r="B54" s="2" t="s">
        <v>95</v>
      </c>
      <c r="C54" s="2">
        <v>6100</v>
      </c>
      <c r="D54" s="2" t="s">
        <v>86</v>
      </c>
      <c r="E54" s="2">
        <v>13.903</v>
      </c>
      <c r="F54" s="2" t="s">
        <v>24</v>
      </c>
    </row>
    <row r="55" spans="1:6" x14ac:dyDescent="0.25">
      <c r="A55" s="2" t="s">
        <v>40</v>
      </c>
      <c r="B55" s="2" t="s">
        <v>207</v>
      </c>
      <c r="C55" s="2">
        <v>4200</v>
      </c>
      <c r="D55" s="2" t="s">
        <v>62</v>
      </c>
      <c r="E55" s="2">
        <v>13.843999999999999</v>
      </c>
      <c r="F55" s="2" t="s">
        <v>63</v>
      </c>
    </row>
    <row r="56" spans="1:6" x14ac:dyDescent="0.25">
      <c r="A56" s="2" t="s">
        <v>64</v>
      </c>
      <c r="B56" s="2" t="s">
        <v>260</v>
      </c>
      <c r="C56" s="2">
        <v>4000</v>
      </c>
      <c r="D56" s="2" t="s">
        <v>69</v>
      </c>
      <c r="E56" s="2">
        <v>13.834</v>
      </c>
      <c r="F56" s="2" t="s">
        <v>1</v>
      </c>
    </row>
    <row r="57" spans="1:6" x14ac:dyDescent="0.25">
      <c r="A57" s="2" t="s">
        <v>33</v>
      </c>
      <c r="B57" s="2" t="s">
        <v>199</v>
      </c>
      <c r="C57" s="2">
        <v>4300</v>
      </c>
      <c r="D57" s="2" t="s">
        <v>75</v>
      </c>
      <c r="E57" s="2">
        <v>13.824999999999999</v>
      </c>
      <c r="F57" s="2" t="s">
        <v>25</v>
      </c>
    </row>
    <row r="58" spans="1:6" x14ac:dyDescent="0.25">
      <c r="A58" s="2" t="s">
        <v>40</v>
      </c>
      <c r="B58" s="2" t="s">
        <v>136</v>
      </c>
      <c r="C58" s="2">
        <v>5000</v>
      </c>
      <c r="D58" s="2" t="s">
        <v>43</v>
      </c>
      <c r="E58" s="2">
        <v>13.82</v>
      </c>
      <c r="F58" s="2" t="s">
        <v>27</v>
      </c>
    </row>
    <row r="59" spans="1:6" x14ac:dyDescent="0.25">
      <c r="A59" s="2" t="s">
        <v>33</v>
      </c>
      <c r="B59" s="2" t="s">
        <v>122</v>
      </c>
      <c r="C59" s="2">
        <v>5300</v>
      </c>
      <c r="D59" s="2" t="s">
        <v>35</v>
      </c>
      <c r="E59" s="2">
        <v>13.694000000000001</v>
      </c>
      <c r="F59" s="2" t="s">
        <v>20</v>
      </c>
    </row>
    <row r="60" spans="1:6" x14ac:dyDescent="0.25">
      <c r="A60" s="2" t="s">
        <v>64</v>
      </c>
      <c r="B60" s="2" t="s">
        <v>169</v>
      </c>
      <c r="C60" s="2">
        <v>4600</v>
      </c>
      <c r="D60" s="2" t="s">
        <v>48</v>
      </c>
      <c r="E60" s="2">
        <v>13.62</v>
      </c>
      <c r="F60" s="2" t="s">
        <v>144</v>
      </c>
    </row>
    <row r="61" spans="1:6" x14ac:dyDescent="0.25">
      <c r="A61" s="2" t="s">
        <v>33</v>
      </c>
      <c r="B61" s="2" t="s">
        <v>149</v>
      </c>
      <c r="C61" s="2">
        <v>4800</v>
      </c>
      <c r="D61" s="2" t="s">
        <v>48</v>
      </c>
      <c r="E61" s="2">
        <v>13.614000000000001</v>
      </c>
      <c r="F61" s="2" t="s">
        <v>144</v>
      </c>
    </row>
    <row r="62" spans="1:6" x14ac:dyDescent="0.25">
      <c r="A62" s="2" t="s">
        <v>33</v>
      </c>
      <c r="B62" s="2" t="s">
        <v>128</v>
      </c>
      <c r="C62" s="2">
        <v>5200</v>
      </c>
      <c r="D62" s="2" t="s">
        <v>52</v>
      </c>
      <c r="E62" s="2">
        <v>13.55</v>
      </c>
      <c r="F62" s="2" t="s">
        <v>115</v>
      </c>
    </row>
    <row r="63" spans="1:6" x14ac:dyDescent="0.25">
      <c r="A63" s="2" t="s">
        <v>40</v>
      </c>
      <c r="B63" s="2" t="s">
        <v>152</v>
      </c>
      <c r="C63" s="2">
        <v>4800</v>
      </c>
      <c r="D63" s="2" t="s">
        <v>35</v>
      </c>
      <c r="E63" s="2">
        <v>13.547000000000001</v>
      </c>
      <c r="F63" s="2" t="s">
        <v>20</v>
      </c>
    </row>
    <row r="64" spans="1:6" x14ac:dyDescent="0.25">
      <c r="A64" s="2" t="s">
        <v>92</v>
      </c>
      <c r="B64" s="2" t="s">
        <v>330</v>
      </c>
      <c r="C64" s="2">
        <v>3500</v>
      </c>
      <c r="D64" s="2" t="s">
        <v>86</v>
      </c>
      <c r="E64" s="2">
        <v>13.542999999999999</v>
      </c>
      <c r="F64" s="2" t="s">
        <v>21</v>
      </c>
    </row>
    <row r="65" spans="1:6" x14ac:dyDescent="0.25">
      <c r="A65" s="2" t="s">
        <v>40</v>
      </c>
      <c r="B65" s="2" t="s">
        <v>126</v>
      </c>
      <c r="C65" s="2">
        <v>5300</v>
      </c>
      <c r="D65" s="2" t="s">
        <v>58</v>
      </c>
      <c r="E65" s="2">
        <v>13.519</v>
      </c>
      <c r="F65" s="2" t="s">
        <v>59</v>
      </c>
    </row>
    <row r="66" spans="1:6" x14ac:dyDescent="0.25">
      <c r="A66" s="2" t="s">
        <v>33</v>
      </c>
      <c r="B66" s="2" t="s">
        <v>195</v>
      </c>
      <c r="C66" s="2">
        <v>4300</v>
      </c>
      <c r="D66" s="2" t="s">
        <v>38</v>
      </c>
      <c r="E66" s="2">
        <v>13.4</v>
      </c>
      <c r="F66" s="2" t="s">
        <v>26</v>
      </c>
    </row>
    <row r="67" spans="1:6" x14ac:dyDescent="0.25">
      <c r="A67" s="2" t="s">
        <v>92</v>
      </c>
      <c r="B67" s="2" t="s">
        <v>93</v>
      </c>
      <c r="C67" s="2">
        <v>6200</v>
      </c>
      <c r="D67" s="2" t="s">
        <v>69</v>
      </c>
      <c r="E67" s="2">
        <v>13.331</v>
      </c>
      <c r="F67" s="2" t="s">
        <v>70</v>
      </c>
    </row>
    <row r="68" spans="1:6" x14ac:dyDescent="0.25">
      <c r="A68" s="2" t="s">
        <v>64</v>
      </c>
      <c r="B68" s="2" t="s">
        <v>181</v>
      </c>
      <c r="C68" s="2">
        <v>4500</v>
      </c>
      <c r="D68" s="2" t="s">
        <v>38</v>
      </c>
      <c r="E68" s="2">
        <v>13.282999999999999</v>
      </c>
      <c r="F68" s="2" t="s">
        <v>39</v>
      </c>
    </row>
    <row r="69" spans="1:6" x14ac:dyDescent="0.25">
      <c r="A69" s="2" t="s">
        <v>40</v>
      </c>
      <c r="B69" s="2" t="s">
        <v>178</v>
      </c>
      <c r="C69" s="2">
        <v>4500</v>
      </c>
      <c r="D69" s="2" t="s">
        <v>52</v>
      </c>
      <c r="E69" s="2">
        <v>13.05</v>
      </c>
      <c r="F69" s="2" t="s">
        <v>115</v>
      </c>
    </row>
    <row r="70" spans="1:6" x14ac:dyDescent="0.25">
      <c r="A70" s="2" t="s">
        <v>92</v>
      </c>
      <c r="B70" s="2" t="s">
        <v>104</v>
      </c>
      <c r="C70" s="2">
        <v>5900</v>
      </c>
      <c r="D70" s="2" t="s">
        <v>86</v>
      </c>
      <c r="E70" s="2">
        <v>13.045999999999999</v>
      </c>
      <c r="F70" s="2" t="s">
        <v>24</v>
      </c>
    </row>
    <row r="71" spans="1:6" x14ac:dyDescent="0.25">
      <c r="A71" s="2" t="s">
        <v>40</v>
      </c>
      <c r="B71" s="2" t="s">
        <v>102</v>
      </c>
      <c r="C71" s="2">
        <v>5900</v>
      </c>
      <c r="D71" s="2" t="s">
        <v>103</v>
      </c>
      <c r="E71" s="2">
        <v>12.978</v>
      </c>
      <c r="F71" s="2" t="s">
        <v>19</v>
      </c>
    </row>
    <row r="72" spans="1:6" x14ac:dyDescent="0.25">
      <c r="A72" s="2" t="s">
        <v>40</v>
      </c>
      <c r="B72" s="2" t="s">
        <v>111</v>
      </c>
      <c r="C72" s="2">
        <v>5600</v>
      </c>
      <c r="D72" s="2" t="s">
        <v>86</v>
      </c>
      <c r="E72" s="2">
        <v>12.968999999999999</v>
      </c>
      <c r="F72" s="2" t="s">
        <v>24</v>
      </c>
    </row>
    <row r="73" spans="1:6" x14ac:dyDescent="0.25">
      <c r="A73" s="2" t="s">
        <v>40</v>
      </c>
      <c r="B73" s="2" t="s">
        <v>129</v>
      </c>
      <c r="C73" s="2">
        <v>5200</v>
      </c>
      <c r="D73" s="2" t="s">
        <v>103</v>
      </c>
      <c r="E73" s="2">
        <v>12.831</v>
      </c>
      <c r="F73" s="2" t="s">
        <v>110</v>
      </c>
    </row>
    <row r="74" spans="1:6" x14ac:dyDescent="0.25">
      <c r="A74" s="2" t="s">
        <v>40</v>
      </c>
      <c r="B74" s="2" t="s">
        <v>127</v>
      </c>
      <c r="C74" s="2">
        <v>5300</v>
      </c>
      <c r="D74" s="2" t="s">
        <v>69</v>
      </c>
      <c r="E74" s="2">
        <v>12.756</v>
      </c>
      <c r="F74" s="2" t="s">
        <v>1</v>
      </c>
    </row>
    <row r="75" spans="1:6" x14ac:dyDescent="0.25">
      <c r="A75" s="2" t="s">
        <v>33</v>
      </c>
      <c r="B75" s="2" t="s">
        <v>143</v>
      </c>
      <c r="C75" s="2">
        <v>4900</v>
      </c>
      <c r="D75" s="2" t="s">
        <v>48</v>
      </c>
      <c r="E75" s="2">
        <v>12.75</v>
      </c>
      <c r="F75" s="2" t="s">
        <v>144</v>
      </c>
    </row>
    <row r="76" spans="1:6" x14ac:dyDescent="0.25">
      <c r="A76" s="2" t="s">
        <v>92</v>
      </c>
      <c r="B76" s="2" t="s">
        <v>197</v>
      </c>
      <c r="C76" s="2">
        <v>4300</v>
      </c>
      <c r="D76" s="2" t="s">
        <v>62</v>
      </c>
      <c r="E76" s="2">
        <v>12.74</v>
      </c>
      <c r="F76" s="2" t="s">
        <v>63</v>
      </c>
    </row>
    <row r="77" spans="1:6" x14ac:dyDescent="0.25">
      <c r="A77" s="2" t="s">
        <v>92</v>
      </c>
      <c r="B77" s="2" t="s">
        <v>171</v>
      </c>
      <c r="C77" s="2">
        <v>4600</v>
      </c>
      <c r="D77" s="2" t="s">
        <v>52</v>
      </c>
      <c r="E77" s="2">
        <v>12.675000000000001</v>
      </c>
      <c r="F77" s="2" t="s">
        <v>53</v>
      </c>
    </row>
    <row r="78" spans="1:6" x14ac:dyDescent="0.25">
      <c r="A78" s="2" t="s">
        <v>64</v>
      </c>
      <c r="B78" s="2" t="s">
        <v>179</v>
      </c>
      <c r="C78" s="2">
        <v>4500</v>
      </c>
      <c r="D78" s="2" t="s">
        <v>35</v>
      </c>
      <c r="E78" s="2">
        <v>12.64</v>
      </c>
      <c r="F78" s="2" t="s">
        <v>20</v>
      </c>
    </row>
    <row r="79" spans="1:6" x14ac:dyDescent="0.25">
      <c r="A79" s="2" t="s">
        <v>33</v>
      </c>
      <c r="B79" s="2" t="s">
        <v>176</v>
      </c>
      <c r="C79" s="2">
        <v>4500</v>
      </c>
      <c r="D79" s="2" t="s">
        <v>52</v>
      </c>
      <c r="E79" s="2">
        <v>12.63</v>
      </c>
      <c r="F79" s="2" t="s">
        <v>53</v>
      </c>
    </row>
    <row r="80" spans="1:6" x14ac:dyDescent="0.25">
      <c r="A80" s="2" t="s">
        <v>40</v>
      </c>
      <c r="B80" s="2" t="s">
        <v>105</v>
      </c>
      <c r="C80" s="2">
        <v>5900</v>
      </c>
      <c r="D80" s="2" t="s">
        <v>69</v>
      </c>
      <c r="E80" s="2">
        <v>12.569000000000001</v>
      </c>
      <c r="F80" s="2" t="s">
        <v>70</v>
      </c>
    </row>
    <row r="81" spans="1:6" x14ac:dyDescent="0.25">
      <c r="A81" s="2" t="s">
        <v>40</v>
      </c>
      <c r="B81" s="2" t="s">
        <v>188</v>
      </c>
      <c r="C81" s="2">
        <v>4400</v>
      </c>
      <c r="D81" s="2" t="s">
        <v>48</v>
      </c>
      <c r="E81" s="2">
        <v>12.457000000000001</v>
      </c>
      <c r="F81" s="2" t="s">
        <v>49</v>
      </c>
    </row>
    <row r="82" spans="1:6" x14ac:dyDescent="0.25">
      <c r="A82" s="2" t="s">
        <v>33</v>
      </c>
      <c r="B82" s="2" t="s">
        <v>100</v>
      </c>
      <c r="C82" s="2">
        <v>6000</v>
      </c>
      <c r="D82" s="2" t="s">
        <v>75</v>
      </c>
      <c r="E82" s="2">
        <v>12.45</v>
      </c>
      <c r="F82" s="2" t="s">
        <v>91</v>
      </c>
    </row>
    <row r="83" spans="1:6" x14ac:dyDescent="0.25">
      <c r="A83" s="2" t="s">
        <v>40</v>
      </c>
      <c r="B83" s="2" t="s">
        <v>106</v>
      </c>
      <c r="C83" s="2">
        <v>5800</v>
      </c>
      <c r="D83" s="2" t="s">
        <v>86</v>
      </c>
      <c r="E83" s="2">
        <v>12.425000000000001</v>
      </c>
      <c r="F83" s="2" t="s">
        <v>21</v>
      </c>
    </row>
    <row r="84" spans="1:6" x14ac:dyDescent="0.25">
      <c r="A84" s="2" t="s">
        <v>40</v>
      </c>
      <c r="B84" s="2" t="s">
        <v>148</v>
      </c>
      <c r="C84" s="2">
        <v>4900</v>
      </c>
      <c r="D84" s="2" t="s">
        <v>55</v>
      </c>
      <c r="E84" s="2">
        <v>12.218999999999999</v>
      </c>
      <c r="F84" s="2" t="s">
        <v>56</v>
      </c>
    </row>
    <row r="85" spans="1:6" x14ac:dyDescent="0.25">
      <c r="A85" s="2" t="s">
        <v>33</v>
      </c>
      <c r="B85" s="2" t="s">
        <v>189</v>
      </c>
      <c r="C85" s="2">
        <v>4400</v>
      </c>
      <c r="D85" s="2" t="s">
        <v>52</v>
      </c>
      <c r="E85" s="2">
        <v>12.153</v>
      </c>
      <c r="F85" s="2" t="s">
        <v>53</v>
      </c>
    </row>
    <row r="86" spans="1:6" x14ac:dyDescent="0.25">
      <c r="A86" s="2" t="s">
        <v>92</v>
      </c>
      <c r="B86" s="2" t="s">
        <v>133</v>
      </c>
      <c r="C86" s="2">
        <v>5100</v>
      </c>
      <c r="D86" s="2" t="s">
        <v>58</v>
      </c>
      <c r="E86" s="2">
        <v>12.122</v>
      </c>
      <c r="F86" s="2" t="s">
        <v>77</v>
      </c>
    </row>
    <row r="87" spans="1:6" x14ac:dyDescent="0.25">
      <c r="A87" s="2" t="s">
        <v>92</v>
      </c>
      <c r="B87" s="2" t="s">
        <v>707</v>
      </c>
      <c r="C87" s="2">
        <v>2800</v>
      </c>
      <c r="D87" s="2" t="s">
        <v>43</v>
      </c>
      <c r="E87" s="2">
        <v>11.96</v>
      </c>
      <c r="F87" s="2" t="s">
        <v>27</v>
      </c>
    </row>
    <row r="88" spans="1:6" x14ac:dyDescent="0.25">
      <c r="A88" s="2" t="s">
        <v>40</v>
      </c>
      <c r="B88" s="2" t="s">
        <v>209</v>
      </c>
      <c r="C88" s="2">
        <v>4100</v>
      </c>
      <c r="D88" s="2" t="s">
        <v>38</v>
      </c>
      <c r="E88" s="2">
        <v>11.9</v>
      </c>
      <c r="F88" s="2" t="s">
        <v>26</v>
      </c>
    </row>
    <row r="89" spans="1:6" x14ac:dyDescent="0.25">
      <c r="A89" s="2" t="s">
        <v>40</v>
      </c>
      <c r="B89" s="2" t="s">
        <v>299</v>
      </c>
      <c r="C89" s="2">
        <v>3700</v>
      </c>
      <c r="D89" s="2" t="s">
        <v>52</v>
      </c>
      <c r="E89" s="2">
        <v>11.813000000000001</v>
      </c>
      <c r="F89" s="2" t="s">
        <v>53</v>
      </c>
    </row>
    <row r="90" spans="1:6" x14ac:dyDescent="0.25">
      <c r="A90" s="2" t="s">
        <v>33</v>
      </c>
      <c r="B90" s="2" t="s">
        <v>354</v>
      </c>
      <c r="C90" s="2">
        <v>3200</v>
      </c>
      <c r="D90" s="2" t="s">
        <v>86</v>
      </c>
      <c r="E90" s="2">
        <v>11.738</v>
      </c>
      <c r="F90" s="2" t="s">
        <v>21</v>
      </c>
    </row>
    <row r="91" spans="1:6" x14ac:dyDescent="0.25">
      <c r="A91" s="2" t="s">
        <v>33</v>
      </c>
      <c r="B91" s="2" t="s">
        <v>142</v>
      </c>
      <c r="C91" s="2">
        <v>5000</v>
      </c>
      <c r="D91" s="2" t="s">
        <v>69</v>
      </c>
      <c r="E91" s="2">
        <v>11.646000000000001</v>
      </c>
      <c r="F91" s="2" t="s">
        <v>70</v>
      </c>
    </row>
    <row r="92" spans="1:6" x14ac:dyDescent="0.25">
      <c r="A92" s="2" t="s">
        <v>40</v>
      </c>
      <c r="B92" s="2" t="s">
        <v>217</v>
      </c>
      <c r="C92" s="2">
        <v>4100</v>
      </c>
      <c r="D92" s="2" t="s">
        <v>45</v>
      </c>
      <c r="E92" s="2">
        <v>11.629</v>
      </c>
      <c r="F92" s="2" t="s">
        <v>46</v>
      </c>
    </row>
    <row r="93" spans="1:6" x14ac:dyDescent="0.25">
      <c r="A93" s="2" t="s">
        <v>40</v>
      </c>
      <c r="B93" s="2" t="s">
        <v>168</v>
      </c>
      <c r="C93" s="2">
        <v>4700</v>
      </c>
      <c r="D93" s="2" t="s">
        <v>45</v>
      </c>
      <c r="E93" s="2">
        <v>11.618</v>
      </c>
      <c r="F93" s="2" t="s">
        <v>22</v>
      </c>
    </row>
    <row r="94" spans="1:6" x14ac:dyDescent="0.25">
      <c r="A94" s="2" t="s">
        <v>40</v>
      </c>
      <c r="B94" s="2" t="s">
        <v>289</v>
      </c>
      <c r="C94" s="2">
        <v>3800</v>
      </c>
      <c r="D94" s="2" t="s">
        <v>103</v>
      </c>
      <c r="E94" s="2">
        <v>11.587999999999999</v>
      </c>
      <c r="F94" s="2" t="s">
        <v>110</v>
      </c>
    </row>
    <row r="95" spans="1:6" x14ac:dyDescent="0.25">
      <c r="A95" s="2" t="s">
        <v>40</v>
      </c>
      <c r="B95" s="2" t="s">
        <v>140</v>
      </c>
      <c r="C95" s="2">
        <v>5000</v>
      </c>
      <c r="D95" s="2" t="s">
        <v>75</v>
      </c>
      <c r="E95" s="2">
        <v>11.4</v>
      </c>
      <c r="F95" s="2" t="s">
        <v>25</v>
      </c>
    </row>
    <row r="96" spans="1:6" x14ac:dyDescent="0.25">
      <c r="A96" s="2" t="s">
        <v>92</v>
      </c>
      <c r="B96" s="2" t="s">
        <v>360</v>
      </c>
      <c r="C96" s="2">
        <v>3100</v>
      </c>
      <c r="D96" s="2" t="s">
        <v>55</v>
      </c>
      <c r="E96" s="2">
        <v>11.4</v>
      </c>
      <c r="F96" s="2" t="s">
        <v>56</v>
      </c>
    </row>
    <row r="97" spans="1:6" x14ac:dyDescent="0.25">
      <c r="A97" s="2" t="s">
        <v>40</v>
      </c>
      <c r="B97" s="2" t="s">
        <v>395</v>
      </c>
      <c r="C97" s="2">
        <v>3000</v>
      </c>
      <c r="D97" s="2" t="s">
        <v>48</v>
      </c>
      <c r="E97" s="2">
        <v>11.333</v>
      </c>
      <c r="F97" s="2" t="s">
        <v>144</v>
      </c>
    </row>
    <row r="98" spans="1:6" x14ac:dyDescent="0.25">
      <c r="A98" s="2" t="s">
        <v>33</v>
      </c>
      <c r="B98" s="2" t="s">
        <v>278</v>
      </c>
      <c r="C98" s="2">
        <v>3900</v>
      </c>
      <c r="D98" s="2" t="s">
        <v>86</v>
      </c>
      <c r="E98" s="2">
        <v>11.032999999999999</v>
      </c>
      <c r="F98" s="2" t="s">
        <v>21</v>
      </c>
    </row>
    <row r="99" spans="1:6" x14ac:dyDescent="0.25">
      <c r="A99" s="2" t="s">
        <v>64</v>
      </c>
      <c r="B99" s="2" t="s">
        <v>157</v>
      </c>
      <c r="C99" s="2">
        <v>4800</v>
      </c>
      <c r="D99" s="2" t="s">
        <v>55</v>
      </c>
      <c r="E99" s="2">
        <v>11.029</v>
      </c>
      <c r="F99" s="2" t="s">
        <v>56</v>
      </c>
    </row>
    <row r="100" spans="1:6" x14ac:dyDescent="0.25">
      <c r="A100" s="2" t="s">
        <v>33</v>
      </c>
      <c r="B100" s="2" t="s">
        <v>163</v>
      </c>
      <c r="C100" s="2">
        <v>4700</v>
      </c>
      <c r="D100" s="2" t="s">
        <v>52</v>
      </c>
      <c r="E100" s="2">
        <v>10.875</v>
      </c>
      <c r="F100" s="2" t="s">
        <v>115</v>
      </c>
    </row>
    <row r="101" spans="1:6" x14ac:dyDescent="0.25">
      <c r="A101" s="2" t="s">
        <v>40</v>
      </c>
      <c r="B101" s="2" t="s">
        <v>291</v>
      </c>
      <c r="C101" s="2">
        <v>3800</v>
      </c>
      <c r="D101" s="2" t="s">
        <v>55</v>
      </c>
      <c r="E101" s="2">
        <v>10.871</v>
      </c>
      <c r="F101" s="2" t="s">
        <v>28</v>
      </c>
    </row>
    <row r="102" spans="1:6" x14ac:dyDescent="0.25">
      <c r="A102" s="2" t="s">
        <v>33</v>
      </c>
      <c r="B102" s="2" t="s">
        <v>158</v>
      </c>
      <c r="C102" s="2">
        <v>4800</v>
      </c>
      <c r="D102" s="2" t="s">
        <v>55</v>
      </c>
      <c r="E102" s="2">
        <v>10.813000000000001</v>
      </c>
      <c r="F102" s="2" t="s">
        <v>56</v>
      </c>
    </row>
    <row r="103" spans="1:6" x14ac:dyDescent="0.25">
      <c r="A103" s="2" t="s">
        <v>40</v>
      </c>
      <c r="B103" s="2" t="s">
        <v>135</v>
      </c>
      <c r="C103" s="2">
        <v>5100</v>
      </c>
      <c r="D103" s="2" t="s">
        <v>45</v>
      </c>
      <c r="E103" s="2">
        <v>10.787000000000001</v>
      </c>
      <c r="F103" s="2" t="s">
        <v>46</v>
      </c>
    </row>
    <row r="104" spans="1:6" x14ac:dyDescent="0.25">
      <c r="A104" s="2" t="s">
        <v>64</v>
      </c>
      <c r="B104" s="2" t="s">
        <v>119</v>
      </c>
      <c r="C104" s="2">
        <v>5400</v>
      </c>
      <c r="D104" s="2" t="s">
        <v>55</v>
      </c>
      <c r="E104" s="2">
        <v>10.752000000000001</v>
      </c>
      <c r="F104" s="2" t="s">
        <v>28</v>
      </c>
    </row>
    <row r="105" spans="1:6" x14ac:dyDescent="0.25">
      <c r="A105" s="2" t="s">
        <v>40</v>
      </c>
      <c r="B105" s="2" t="s">
        <v>90</v>
      </c>
      <c r="C105" s="2">
        <v>6200</v>
      </c>
      <c r="D105" s="2" t="s">
        <v>75</v>
      </c>
      <c r="E105" s="2">
        <v>10.75</v>
      </c>
      <c r="F105" s="2" t="s">
        <v>91</v>
      </c>
    </row>
    <row r="106" spans="1:6" x14ac:dyDescent="0.25">
      <c r="A106" s="2" t="s">
        <v>40</v>
      </c>
      <c r="B106" s="2" t="s">
        <v>393</v>
      </c>
      <c r="C106" s="2">
        <v>3000</v>
      </c>
      <c r="D106" s="2" t="s">
        <v>48</v>
      </c>
      <c r="E106" s="2">
        <v>10.744</v>
      </c>
      <c r="F106" s="2" t="s">
        <v>144</v>
      </c>
    </row>
    <row r="107" spans="1:6" x14ac:dyDescent="0.25">
      <c r="A107" s="2" t="s">
        <v>40</v>
      </c>
      <c r="B107" s="2" t="s">
        <v>123</v>
      </c>
      <c r="C107" s="2">
        <v>5300</v>
      </c>
      <c r="D107" s="2" t="s">
        <v>55</v>
      </c>
      <c r="E107" s="2">
        <v>10.619</v>
      </c>
      <c r="F107" s="2" t="s">
        <v>28</v>
      </c>
    </row>
    <row r="108" spans="1:6" x14ac:dyDescent="0.25">
      <c r="A108" s="2" t="s">
        <v>92</v>
      </c>
      <c r="B108" s="2" t="s">
        <v>315</v>
      </c>
      <c r="C108" s="2">
        <v>3600</v>
      </c>
      <c r="D108" s="2" t="s">
        <v>38</v>
      </c>
      <c r="E108" s="2">
        <v>10.606999999999999</v>
      </c>
      <c r="F108" s="2" t="s">
        <v>26</v>
      </c>
    </row>
    <row r="109" spans="1:6" x14ac:dyDescent="0.25">
      <c r="A109" s="2" t="s">
        <v>40</v>
      </c>
      <c r="B109" s="2" t="s">
        <v>322</v>
      </c>
      <c r="C109" s="2">
        <v>3500</v>
      </c>
      <c r="D109" s="2" t="s">
        <v>48</v>
      </c>
      <c r="E109" s="2">
        <v>10.459</v>
      </c>
      <c r="F109" s="2" t="s">
        <v>49</v>
      </c>
    </row>
    <row r="110" spans="1:6" x14ac:dyDescent="0.25">
      <c r="A110" s="2" t="s">
        <v>92</v>
      </c>
      <c r="B110" s="2" t="s">
        <v>214</v>
      </c>
      <c r="C110" s="2">
        <v>4100</v>
      </c>
      <c r="D110" s="2" t="s">
        <v>58</v>
      </c>
      <c r="E110" s="2">
        <v>10.372</v>
      </c>
      <c r="F110" s="2" t="s">
        <v>59</v>
      </c>
    </row>
    <row r="111" spans="1:6" x14ac:dyDescent="0.25">
      <c r="A111" s="2" t="s">
        <v>40</v>
      </c>
      <c r="B111" s="2" t="s">
        <v>222</v>
      </c>
      <c r="C111" s="2">
        <v>4000</v>
      </c>
      <c r="D111" s="2" t="s">
        <v>43</v>
      </c>
      <c r="E111" s="2">
        <v>10.367000000000001</v>
      </c>
      <c r="F111" s="2" t="s">
        <v>23</v>
      </c>
    </row>
    <row r="112" spans="1:6" x14ac:dyDescent="0.25">
      <c r="A112" s="2" t="s">
        <v>33</v>
      </c>
      <c r="B112" s="2" t="s">
        <v>469</v>
      </c>
      <c r="C112" s="2">
        <v>3000</v>
      </c>
      <c r="D112" s="2" t="s">
        <v>35</v>
      </c>
      <c r="E112" s="2">
        <v>10.3</v>
      </c>
      <c r="F112" s="2" t="s">
        <v>36</v>
      </c>
    </row>
    <row r="113" spans="1:6" x14ac:dyDescent="0.25">
      <c r="A113" s="2" t="s">
        <v>92</v>
      </c>
      <c r="B113" s="2" t="s">
        <v>282</v>
      </c>
      <c r="C113" s="2">
        <v>3900</v>
      </c>
      <c r="D113" s="2" t="s">
        <v>45</v>
      </c>
      <c r="E113" s="2">
        <v>10.247</v>
      </c>
      <c r="F113" s="2" t="s">
        <v>22</v>
      </c>
    </row>
    <row r="114" spans="1:6" x14ac:dyDescent="0.25">
      <c r="A114" s="2" t="s">
        <v>33</v>
      </c>
      <c r="B114" s="2" t="s">
        <v>692</v>
      </c>
      <c r="C114" s="2">
        <v>3000</v>
      </c>
      <c r="D114" s="2" t="s">
        <v>45</v>
      </c>
      <c r="E114" s="2">
        <v>10.193</v>
      </c>
      <c r="F114" s="2" t="s">
        <v>46</v>
      </c>
    </row>
    <row r="115" spans="1:6" x14ac:dyDescent="0.25">
      <c r="A115" s="2" t="s">
        <v>33</v>
      </c>
      <c r="B115" s="2" t="s">
        <v>107</v>
      </c>
      <c r="C115" s="2">
        <v>5800</v>
      </c>
      <c r="D115" s="2" t="s">
        <v>58</v>
      </c>
      <c r="E115" s="2">
        <v>10.183</v>
      </c>
      <c r="F115" s="2" t="s">
        <v>59</v>
      </c>
    </row>
    <row r="116" spans="1:6" x14ac:dyDescent="0.25">
      <c r="A116" s="2" t="s">
        <v>33</v>
      </c>
      <c r="B116" s="2" t="s">
        <v>215</v>
      </c>
      <c r="C116" s="2">
        <v>4100</v>
      </c>
      <c r="D116" s="2" t="s">
        <v>58</v>
      </c>
      <c r="E116" s="2">
        <v>10.167</v>
      </c>
      <c r="F116" s="2" t="s">
        <v>77</v>
      </c>
    </row>
    <row r="117" spans="1:6" x14ac:dyDescent="0.25">
      <c r="A117" s="2" t="s">
        <v>92</v>
      </c>
      <c r="B117" s="2" t="s">
        <v>347</v>
      </c>
      <c r="C117" s="2">
        <v>3300</v>
      </c>
      <c r="D117" s="2" t="s">
        <v>62</v>
      </c>
      <c r="E117" s="2">
        <v>10.122999999999999</v>
      </c>
      <c r="F117" s="2" t="s">
        <v>67</v>
      </c>
    </row>
    <row r="118" spans="1:6" x14ac:dyDescent="0.25">
      <c r="A118" s="2" t="s">
        <v>64</v>
      </c>
      <c r="B118" s="2" t="s">
        <v>146</v>
      </c>
      <c r="C118" s="2">
        <v>4900</v>
      </c>
      <c r="D118" s="2" t="s">
        <v>55</v>
      </c>
      <c r="E118" s="2">
        <v>10.071</v>
      </c>
      <c r="F118" s="2" t="s">
        <v>28</v>
      </c>
    </row>
    <row r="119" spans="1:6" x14ac:dyDescent="0.25">
      <c r="A119" s="2" t="s">
        <v>40</v>
      </c>
      <c r="B119" s="2" t="s">
        <v>204</v>
      </c>
      <c r="C119" s="2">
        <v>4200</v>
      </c>
      <c r="D119" s="2" t="s">
        <v>43</v>
      </c>
      <c r="E119" s="2">
        <v>10.061</v>
      </c>
      <c r="F119" s="2" t="s">
        <v>23</v>
      </c>
    </row>
    <row r="120" spans="1:6" x14ac:dyDescent="0.25">
      <c r="A120" s="2" t="s">
        <v>40</v>
      </c>
      <c r="B120" s="2" t="s">
        <v>294</v>
      </c>
      <c r="C120" s="2">
        <v>3800</v>
      </c>
      <c r="D120" s="2" t="s">
        <v>75</v>
      </c>
      <c r="E120" s="2">
        <v>9.8529999999999998</v>
      </c>
      <c r="F120" s="2" t="s">
        <v>91</v>
      </c>
    </row>
    <row r="121" spans="1:6" x14ac:dyDescent="0.25">
      <c r="A121" s="2" t="s">
        <v>33</v>
      </c>
      <c r="B121" s="2" t="s">
        <v>276</v>
      </c>
      <c r="C121" s="2">
        <v>3900</v>
      </c>
      <c r="D121" s="2" t="s">
        <v>55</v>
      </c>
      <c r="E121" s="2">
        <v>9.843</v>
      </c>
      <c r="F121" s="2" t="s">
        <v>56</v>
      </c>
    </row>
    <row r="122" spans="1:6" x14ac:dyDescent="0.25">
      <c r="A122" s="2" t="s">
        <v>33</v>
      </c>
      <c r="B122" s="2" t="s">
        <v>160</v>
      </c>
      <c r="C122" s="2">
        <v>4800</v>
      </c>
      <c r="D122" s="2" t="s">
        <v>58</v>
      </c>
      <c r="E122" s="2">
        <v>9.827</v>
      </c>
      <c r="F122" s="2" t="s">
        <v>77</v>
      </c>
    </row>
    <row r="123" spans="1:6" x14ac:dyDescent="0.25">
      <c r="A123" s="2" t="s">
        <v>33</v>
      </c>
      <c r="B123" s="2" t="s">
        <v>472</v>
      </c>
      <c r="C123" s="2">
        <v>3000</v>
      </c>
      <c r="D123" s="2" t="s">
        <v>35</v>
      </c>
      <c r="E123" s="2">
        <v>9.7539999999999996</v>
      </c>
      <c r="F123" s="2" t="s">
        <v>36</v>
      </c>
    </row>
    <row r="124" spans="1:6" x14ac:dyDescent="0.25">
      <c r="A124" s="2" t="s">
        <v>33</v>
      </c>
      <c r="B124" s="2" t="s">
        <v>147</v>
      </c>
      <c r="C124" s="2">
        <v>4900</v>
      </c>
      <c r="D124" s="2" t="s">
        <v>55</v>
      </c>
      <c r="E124" s="2">
        <v>9.68</v>
      </c>
      <c r="F124" s="2" t="s">
        <v>56</v>
      </c>
    </row>
    <row r="125" spans="1:6" x14ac:dyDescent="0.25">
      <c r="A125" s="2" t="s">
        <v>40</v>
      </c>
      <c r="B125" s="2" t="s">
        <v>205</v>
      </c>
      <c r="C125" s="2">
        <v>4200</v>
      </c>
      <c r="D125" s="2" t="s">
        <v>43</v>
      </c>
      <c r="E125" s="2">
        <v>9.65</v>
      </c>
      <c r="F125" s="2" t="s">
        <v>27</v>
      </c>
    </row>
    <row r="126" spans="1:6" x14ac:dyDescent="0.25">
      <c r="A126" s="2" t="s">
        <v>40</v>
      </c>
      <c r="B126" s="2" t="s">
        <v>190</v>
      </c>
      <c r="C126" s="2">
        <v>4400</v>
      </c>
      <c r="D126" s="2" t="s">
        <v>35</v>
      </c>
      <c r="E126" s="2">
        <v>9.6300000000000008</v>
      </c>
      <c r="F126" s="2" t="s">
        <v>20</v>
      </c>
    </row>
    <row r="127" spans="1:6" x14ac:dyDescent="0.25">
      <c r="A127" s="2" t="s">
        <v>92</v>
      </c>
      <c r="B127" s="2" t="s">
        <v>763</v>
      </c>
      <c r="C127" s="2">
        <v>2500</v>
      </c>
      <c r="D127" s="2" t="s">
        <v>35</v>
      </c>
      <c r="E127" s="2">
        <v>9.5670000000000002</v>
      </c>
      <c r="F127" s="2" t="s">
        <v>36</v>
      </c>
    </row>
    <row r="128" spans="1:6" x14ac:dyDescent="0.25">
      <c r="A128" s="2" t="s">
        <v>40</v>
      </c>
      <c r="B128" s="2" t="s">
        <v>300</v>
      </c>
      <c r="C128" s="2">
        <v>3700</v>
      </c>
      <c r="D128" s="2" t="s">
        <v>38</v>
      </c>
      <c r="E128" s="2">
        <v>9.5399999999999991</v>
      </c>
      <c r="F128" s="2" t="s">
        <v>39</v>
      </c>
    </row>
    <row r="129" spans="1:6" x14ac:dyDescent="0.25">
      <c r="A129" s="2" t="s">
        <v>40</v>
      </c>
      <c r="B129" s="2" t="s">
        <v>272</v>
      </c>
      <c r="C129" s="2">
        <v>3900</v>
      </c>
      <c r="D129" s="2" t="s">
        <v>35</v>
      </c>
      <c r="E129" s="2">
        <v>9.5129999999999999</v>
      </c>
      <c r="F129" s="2" t="s">
        <v>36</v>
      </c>
    </row>
    <row r="130" spans="1:6" x14ac:dyDescent="0.25">
      <c r="A130" s="2" t="s">
        <v>33</v>
      </c>
      <c r="B130" s="2" t="s">
        <v>669</v>
      </c>
      <c r="C130" s="2">
        <v>3000</v>
      </c>
      <c r="D130" s="2" t="s">
        <v>69</v>
      </c>
      <c r="E130" s="2">
        <v>9.5</v>
      </c>
      <c r="F130" s="2" t="s">
        <v>70</v>
      </c>
    </row>
    <row r="131" spans="1:6" x14ac:dyDescent="0.25">
      <c r="A131" s="2" t="s">
        <v>40</v>
      </c>
      <c r="B131" s="2" t="s">
        <v>295</v>
      </c>
      <c r="C131" s="2">
        <v>3800</v>
      </c>
      <c r="D131" s="2" t="s">
        <v>69</v>
      </c>
      <c r="E131" s="2">
        <v>9.4190000000000005</v>
      </c>
      <c r="F131" s="2" t="s">
        <v>1</v>
      </c>
    </row>
    <row r="132" spans="1:6" x14ac:dyDescent="0.25">
      <c r="A132" s="2" t="s">
        <v>40</v>
      </c>
      <c r="B132" s="2" t="s">
        <v>254</v>
      </c>
      <c r="C132" s="2">
        <v>4000</v>
      </c>
      <c r="D132" s="2" t="s">
        <v>75</v>
      </c>
      <c r="E132" s="2">
        <v>9.3770000000000007</v>
      </c>
      <c r="F132" s="2" t="s">
        <v>91</v>
      </c>
    </row>
    <row r="133" spans="1:6" x14ac:dyDescent="0.25">
      <c r="A133" s="2" t="s">
        <v>64</v>
      </c>
      <c r="B133" s="2" t="s">
        <v>173</v>
      </c>
      <c r="C133" s="2">
        <v>4600</v>
      </c>
      <c r="D133" s="2" t="s">
        <v>86</v>
      </c>
      <c r="E133" s="2">
        <v>9.3330000000000002</v>
      </c>
      <c r="F133" s="2" t="s">
        <v>21</v>
      </c>
    </row>
    <row r="134" spans="1:6" x14ac:dyDescent="0.25">
      <c r="A134" s="2" t="s">
        <v>33</v>
      </c>
      <c r="B134" s="2" t="s">
        <v>304</v>
      </c>
      <c r="C134" s="2">
        <v>3700</v>
      </c>
      <c r="D134" s="2" t="s">
        <v>86</v>
      </c>
      <c r="E134" s="2">
        <v>9.2810000000000006</v>
      </c>
      <c r="F134" s="2" t="s">
        <v>24</v>
      </c>
    </row>
    <row r="135" spans="1:6" x14ac:dyDescent="0.25">
      <c r="A135" s="2" t="s">
        <v>33</v>
      </c>
      <c r="B135" s="2" t="s">
        <v>590</v>
      </c>
      <c r="C135" s="2">
        <v>3000</v>
      </c>
      <c r="D135" s="2" t="s">
        <v>86</v>
      </c>
      <c r="E135" s="2">
        <v>9.2560000000000002</v>
      </c>
      <c r="F135" s="2" t="s">
        <v>24</v>
      </c>
    </row>
    <row r="136" spans="1:6" x14ac:dyDescent="0.25">
      <c r="A136" s="2" t="s">
        <v>33</v>
      </c>
      <c r="B136" s="2" t="s">
        <v>275</v>
      </c>
      <c r="C136" s="2">
        <v>3900</v>
      </c>
      <c r="D136" s="2" t="s">
        <v>103</v>
      </c>
      <c r="E136" s="2">
        <v>9.2469999999999999</v>
      </c>
      <c r="F136" s="2" t="s">
        <v>110</v>
      </c>
    </row>
    <row r="137" spans="1:6" x14ac:dyDescent="0.25">
      <c r="A137" s="2" t="s">
        <v>64</v>
      </c>
      <c r="B137" s="2" t="s">
        <v>151</v>
      </c>
      <c r="C137" s="2">
        <v>4800</v>
      </c>
      <c r="D137" s="2" t="s">
        <v>35</v>
      </c>
      <c r="E137" s="2">
        <v>9.2219999999999995</v>
      </c>
      <c r="F137" s="2" t="s">
        <v>20</v>
      </c>
    </row>
    <row r="138" spans="1:6" x14ac:dyDescent="0.25">
      <c r="A138" s="2" t="s">
        <v>269</v>
      </c>
      <c r="B138" s="2" t="s">
        <v>710</v>
      </c>
      <c r="C138" s="2">
        <v>2800</v>
      </c>
      <c r="D138" s="2" t="s">
        <v>38</v>
      </c>
      <c r="E138" s="2">
        <v>9.1880000000000006</v>
      </c>
      <c r="F138" s="2" t="s">
        <v>39</v>
      </c>
    </row>
    <row r="139" spans="1:6" x14ac:dyDescent="0.25">
      <c r="A139" s="2" t="s">
        <v>33</v>
      </c>
      <c r="B139" s="2" t="s">
        <v>141</v>
      </c>
      <c r="C139" s="2">
        <v>5000</v>
      </c>
      <c r="D139" s="2" t="s">
        <v>58</v>
      </c>
      <c r="E139" s="2">
        <v>9.16</v>
      </c>
      <c r="F139" s="2" t="s">
        <v>77</v>
      </c>
    </row>
    <row r="140" spans="1:6" x14ac:dyDescent="0.25">
      <c r="A140" s="2" t="s">
        <v>40</v>
      </c>
      <c r="B140" s="2" t="s">
        <v>287</v>
      </c>
      <c r="C140" s="2">
        <v>3800</v>
      </c>
      <c r="D140" s="2" t="s">
        <v>103</v>
      </c>
      <c r="E140" s="2">
        <v>9.1560000000000006</v>
      </c>
      <c r="F140" s="2" t="s">
        <v>19</v>
      </c>
    </row>
    <row r="141" spans="1:6" x14ac:dyDescent="0.25">
      <c r="A141" s="2" t="s">
        <v>40</v>
      </c>
      <c r="B141" s="2" t="s">
        <v>328</v>
      </c>
      <c r="C141" s="2">
        <v>3500</v>
      </c>
      <c r="D141" s="2" t="s">
        <v>103</v>
      </c>
      <c r="E141" s="2">
        <v>9.1549999999999994</v>
      </c>
      <c r="F141" s="2" t="s">
        <v>110</v>
      </c>
    </row>
    <row r="142" spans="1:6" x14ac:dyDescent="0.25">
      <c r="A142" s="2" t="s">
        <v>92</v>
      </c>
      <c r="B142" s="2" t="s">
        <v>305</v>
      </c>
      <c r="C142" s="2">
        <v>3700</v>
      </c>
      <c r="D142" s="2" t="s">
        <v>75</v>
      </c>
      <c r="E142" s="2">
        <v>9.15</v>
      </c>
      <c r="F142" s="2" t="s">
        <v>25</v>
      </c>
    </row>
    <row r="143" spans="1:6" x14ac:dyDescent="0.25">
      <c r="A143" s="2" t="s">
        <v>33</v>
      </c>
      <c r="B143" s="2" t="s">
        <v>316</v>
      </c>
      <c r="C143" s="2">
        <v>3600</v>
      </c>
      <c r="D143" s="2" t="s">
        <v>103</v>
      </c>
      <c r="E143" s="2">
        <v>9.1359999999999992</v>
      </c>
      <c r="F143" s="2" t="s">
        <v>110</v>
      </c>
    </row>
    <row r="144" spans="1:6" x14ac:dyDescent="0.25">
      <c r="A144" s="2" t="s">
        <v>92</v>
      </c>
      <c r="B144" s="2" t="s">
        <v>703</v>
      </c>
      <c r="C144" s="2">
        <v>2900</v>
      </c>
      <c r="D144" s="2" t="s">
        <v>55</v>
      </c>
      <c r="E144" s="2">
        <v>9.1219999999999999</v>
      </c>
      <c r="F144" s="2" t="s">
        <v>28</v>
      </c>
    </row>
    <row r="145" spans="1:6" x14ac:dyDescent="0.25">
      <c r="A145" s="2" t="s">
        <v>92</v>
      </c>
      <c r="B145" s="2" t="s">
        <v>352</v>
      </c>
      <c r="C145" s="2">
        <v>3200</v>
      </c>
      <c r="D145" s="2" t="s">
        <v>48</v>
      </c>
      <c r="E145" s="2">
        <v>9.08</v>
      </c>
      <c r="F145" s="2" t="s">
        <v>49</v>
      </c>
    </row>
    <row r="146" spans="1:6" x14ac:dyDescent="0.25">
      <c r="A146" s="2" t="s">
        <v>33</v>
      </c>
      <c r="B146" s="2" t="s">
        <v>172</v>
      </c>
      <c r="C146" s="2">
        <v>4600</v>
      </c>
      <c r="D146" s="2" t="s">
        <v>35</v>
      </c>
      <c r="E146" s="2">
        <v>9.0749999999999993</v>
      </c>
      <c r="F146" s="2" t="s">
        <v>20</v>
      </c>
    </row>
    <row r="147" spans="1:6" x14ac:dyDescent="0.25">
      <c r="A147" s="2" t="s">
        <v>40</v>
      </c>
      <c r="B147" s="2" t="s">
        <v>317</v>
      </c>
      <c r="C147" s="2">
        <v>3600</v>
      </c>
      <c r="D147" s="2" t="s">
        <v>55</v>
      </c>
      <c r="E147" s="2">
        <v>9.0670000000000002</v>
      </c>
      <c r="F147" s="2" t="s">
        <v>56</v>
      </c>
    </row>
    <row r="148" spans="1:6" x14ac:dyDescent="0.25">
      <c r="A148" s="2" t="s">
        <v>33</v>
      </c>
      <c r="B148" s="2" t="s">
        <v>198</v>
      </c>
      <c r="C148" s="2">
        <v>4300</v>
      </c>
      <c r="D148" s="2" t="s">
        <v>86</v>
      </c>
      <c r="E148" s="2">
        <v>9.0399999999999991</v>
      </c>
      <c r="F148" s="2" t="s">
        <v>24</v>
      </c>
    </row>
    <row r="149" spans="1:6" x14ac:dyDescent="0.25">
      <c r="A149" s="2" t="s">
        <v>92</v>
      </c>
      <c r="B149" s="2" t="s">
        <v>359</v>
      </c>
      <c r="C149" s="2">
        <v>3100</v>
      </c>
      <c r="D149" s="2" t="s">
        <v>103</v>
      </c>
      <c r="E149" s="2">
        <v>8.9410000000000007</v>
      </c>
      <c r="F149" s="2" t="s">
        <v>19</v>
      </c>
    </row>
    <row r="150" spans="1:6" x14ac:dyDescent="0.25">
      <c r="A150" s="2" t="s">
        <v>269</v>
      </c>
      <c r="B150" s="2" t="s">
        <v>716</v>
      </c>
      <c r="C150" s="2">
        <v>2700</v>
      </c>
      <c r="D150" s="2" t="s">
        <v>86</v>
      </c>
      <c r="E150" s="2">
        <v>8.9380000000000006</v>
      </c>
      <c r="F150" s="2" t="s">
        <v>21</v>
      </c>
    </row>
    <row r="151" spans="1:6" x14ac:dyDescent="0.25">
      <c r="A151" s="2" t="s">
        <v>40</v>
      </c>
      <c r="B151" s="2" t="s">
        <v>137</v>
      </c>
      <c r="C151" s="2">
        <v>5000</v>
      </c>
      <c r="D151" s="2" t="s">
        <v>52</v>
      </c>
      <c r="E151" s="2">
        <v>8.7919999999999998</v>
      </c>
      <c r="F151" s="2" t="s">
        <v>115</v>
      </c>
    </row>
    <row r="152" spans="1:6" x14ac:dyDescent="0.25">
      <c r="A152" s="2" t="s">
        <v>33</v>
      </c>
      <c r="B152" s="2" t="s">
        <v>442</v>
      </c>
      <c r="C152" s="2">
        <v>3000</v>
      </c>
      <c r="D152" s="2" t="s">
        <v>52</v>
      </c>
      <c r="E152" s="2">
        <v>8.5329999999999995</v>
      </c>
      <c r="F152" s="2" t="s">
        <v>115</v>
      </c>
    </row>
    <row r="153" spans="1:6" x14ac:dyDescent="0.25">
      <c r="A153" s="2" t="s">
        <v>40</v>
      </c>
      <c r="B153" s="2" t="s">
        <v>191</v>
      </c>
      <c r="C153" s="2">
        <v>4400</v>
      </c>
      <c r="D153" s="2" t="s">
        <v>58</v>
      </c>
      <c r="E153" s="2">
        <v>8.4730000000000008</v>
      </c>
      <c r="F153" s="2" t="s">
        <v>77</v>
      </c>
    </row>
    <row r="154" spans="1:6" x14ac:dyDescent="0.25">
      <c r="A154" s="2" t="s">
        <v>269</v>
      </c>
      <c r="B154" s="2" t="s">
        <v>726</v>
      </c>
      <c r="C154" s="2">
        <v>2600</v>
      </c>
      <c r="D154" s="2" t="s">
        <v>45</v>
      </c>
      <c r="E154" s="2">
        <v>8.4710000000000001</v>
      </c>
      <c r="F154" s="2" t="s">
        <v>46</v>
      </c>
    </row>
    <row r="155" spans="1:6" x14ac:dyDescent="0.25">
      <c r="A155" s="2" t="s">
        <v>40</v>
      </c>
      <c r="B155" s="2" t="s">
        <v>353</v>
      </c>
      <c r="C155" s="2">
        <v>3200</v>
      </c>
      <c r="D155" s="2" t="s">
        <v>43</v>
      </c>
      <c r="E155" s="2">
        <v>8.4640000000000004</v>
      </c>
      <c r="F155" s="2" t="s">
        <v>27</v>
      </c>
    </row>
    <row r="156" spans="1:6" x14ac:dyDescent="0.25">
      <c r="A156" s="2" t="s">
        <v>33</v>
      </c>
      <c r="B156" s="2" t="s">
        <v>483</v>
      </c>
      <c r="C156" s="2">
        <v>3000</v>
      </c>
      <c r="D156" s="2" t="s">
        <v>38</v>
      </c>
      <c r="E156" s="2">
        <v>8.3439999999999994</v>
      </c>
      <c r="F156" s="2" t="s">
        <v>26</v>
      </c>
    </row>
    <row r="157" spans="1:6" x14ac:dyDescent="0.25">
      <c r="A157" s="2" t="s">
        <v>269</v>
      </c>
      <c r="B157" s="2" t="s">
        <v>337</v>
      </c>
      <c r="C157" s="2">
        <v>3400</v>
      </c>
      <c r="D157" s="2" t="s">
        <v>55</v>
      </c>
      <c r="E157" s="2">
        <v>8.3130000000000006</v>
      </c>
      <c r="F157" s="2" t="s">
        <v>56</v>
      </c>
    </row>
    <row r="158" spans="1:6" x14ac:dyDescent="0.25">
      <c r="A158" s="2" t="s">
        <v>33</v>
      </c>
      <c r="B158" s="2" t="s">
        <v>604</v>
      </c>
      <c r="C158" s="2">
        <v>3000</v>
      </c>
      <c r="D158" s="2" t="s">
        <v>75</v>
      </c>
      <c r="E158" s="2">
        <v>8.2279999999999998</v>
      </c>
      <c r="F158" s="2" t="s">
        <v>25</v>
      </c>
    </row>
    <row r="159" spans="1:6" x14ac:dyDescent="0.25">
      <c r="A159" s="2" t="s">
        <v>92</v>
      </c>
      <c r="B159" s="2" t="s">
        <v>757</v>
      </c>
      <c r="C159" s="2">
        <v>2500</v>
      </c>
      <c r="D159" s="2" t="s">
        <v>35</v>
      </c>
      <c r="E159" s="2">
        <v>8.1379999999999999</v>
      </c>
      <c r="F159" s="2" t="s">
        <v>20</v>
      </c>
    </row>
    <row r="160" spans="1:6" x14ac:dyDescent="0.25">
      <c r="A160" s="2" t="s">
        <v>33</v>
      </c>
      <c r="B160" s="2" t="s">
        <v>216</v>
      </c>
      <c r="C160" s="2">
        <v>4100</v>
      </c>
      <c r="D160" s="2" t="s">
        <v>69</v>
      </c>
      <c r="E160" s="2">
        <v>8.1129999999999995</v>
      </c>
      <c r="F160" s="2" t="s">
        <v>1</v>
      </c>
    </row>
    <row r="161" spans="1:6" x14ac:dyDescent="0.25">
      <c r="A161" s="2" t="s">
        <v>40</v>
      </c>
      <c r="B161" s="2" t="s">
        <v>296</v>
      </c>
      <c r="C161" s="2">
        <v>3800</v>
      </c>
      <c r="D161" s="2" t="s">
        <v>45</v>
      </c>
      <c r="E161" s="2">
        <v>8.0709999999999997</v>
      </c>
      <c r="F161" s="2" t="s">
        <v>22</v>
      </c>
    </row>
    <row r="162" spans="1:6" x14ac:dyDescent="0.25">
      <c r="A162" s="2" t="s">
        <v>33</v>
      </c>
      <c r="B162" s="2" t="s">
        <v>297</v>
      </c>
      <c r="C162" s="2">
        <v>3800</v>
      </c>
      <c r="D162" s="2" t="s">
        <v>45</v>
      </c>
      <c r="E162" s="2">
        <v>8.0399999999999991</v>
      </c>
      <c r="F162" s="2" t="s">
        <v>46</v>
      </c>
    </row>
    <row r="163" spans="1:6" x14ac:dyDescent="0.25">
      <c r="A163" s="2" t="s">
        <v>269</v>
      </c>
      <c r="B163" s="2" t="s">
        <v>334</v>
      </c>
      <c r="C163" s="2">
        <v>3500</v>
      </c>
      <c r="D163" s="2" t="s">
        <v>69</v>
      </c>
      <c r="E163" s="2">
        <v>8</v>
      </c>
      <c r="F163" s="2" t="s">
        <v>70</v>
      </c>
    </row>
    <row r="164" spans="1:6" x14ac:dyDescent="0.25">
      <c r="A164" s="2" t="s">
        <v>92</v>
      </c>
      <c r="B164" s="2" t="s">
        <v>712</v>
      </c>
      <c r="C164" s="2">
        <v>2800</v>
      </c>
      <c r="D164" s="2" t="s">
        <v>69</v>
      </c>
      <c r="E164" s="2">
        <v>7.9180000000000001</v>
      </c>
      <c r="F164" s="2" t="s">
        <v>1</v>
      </c>
    </row>
    <row r="165" spans="1:6" x14ac:dyDescent="0.25">
      <c r="A165" s="2" t="s">
        <v>269</v>
      </c>
      <c r="B165" s="2" t="s">
        <v>709</v>
      </c>
      <c r="C165" s="2">
        <v>2800</v>
      </c>
      <c r="D165" s="2" t="s">
        <v>52</v>
      </c>
      <c r="E165" s="2">
        <v>7.875</v>
      </c>
      <c r="F165" s="2" t="s">
        <v>115</v>
      </c>
    </row>
    <row r="166" spans="1:6" x14ac:dyDescent="0.25">
      <c r="A166" s="2" t="s">
        <v>40</v>
      </c>
      <c r="B166" s="2" t="s">
        <v>311</v>
      </c>
      <c r="C166" s="2">
        <v>3600</v>
      </c>
      <c r="D166" s="2" t="s">
        <v>52</v>
      </c>
      <c r="E166" s="2">
        <v>7.819</v>
      </c>
      <c r="F166" s="2" t="s">
        <v>53</v>
      </c>
    </row>
    <row r="167" spans="1:6" x14ac:dyDescent="0.25">
      <c r="A167" s="2" t="s">
        <v>64</v>
      </c>
      <c r="B167" s="2" t="s">
        <v>159</v>
      </c>
      <c r="C167" s="2">
        <v>4800</v>
      </c>
      <c r="D167" s="2" t="s">
        <v>75</v>
      </c>
      <c r="E167" s="2">
        <v>7.77</v>
      </c>
      <c r="F167" s="2" t="s">
        <v>91</v>
      </c>
    </row>
    <row r="168" spans="1:6" x14ac:dyDescent="0.25">
      <c r="A168" s="2" t="s">
        <v>92</v>
      </c>
      <c r="B168" s="2" t="s">
        <v>738</v>
      </c>
      <c r="C168" s="2">
        <v>2500</v>
      </c>
      <c r="D168" s="2" t="s">
        <v>43</v>
      </c>
      <c r="E168" s="2">
        <v>7.625</v>
      </c>
      <c r="F168" s="2" t="s">
        <v>23</v>
      </c>
    </row>
    <row r="169" spans="1:6" x14ac:dyDescent="0.25">
      <c r="A169" s="2" t="s">
        <v>40</v>
      </c>
      <c r="B169" s="2" t="s">
        <v>574</v>
      </c>
      <c r="C169" s="2">
        <v>3000</v>
      </c>
      <c r="D169" s="2" t="s">
        <v>62</v>
      </c>
      <c r="E169" s="2">
        <v>7.4749999999999996</v>
      </c>
      <c r="F169" s="2" t="s">
        <v>67</v>
      </c>
    </row>
    <row r="170" spans="1:6" x14ac:dyDescent="0.25">
      <c r="A170" s="2" t="s">
        <v>269</v>
      </c>
      <c r="B170" s="2" t="s">
        <v>711</v>
      </c>
      <c r="C170" s="2">
        <v>2800</v>
      </c>
      <c r="D170" s="2" t="s">
        <v>55</v>
      </c>
      <c r="E170" s="2">
        <v>7.2939999999999996</v>
      </c>
      <c r="F170" s="2" t="s">
        <v>28</v>
      </c>
    </row>
    <row r="171" spans="1:6" x14ac:dyDescent="0.25">
      <c r="A171" s="2" t="s">
        <v>269</v>
      </c>
      <c r="B171" s="2" t="s">
        <v>704</v>
      </c>
      <c r="C171" s="2">
        <v>2900</v>
      </c>
      <c r="D171" s="2" t="s">
        <v>58</v>
      </c>
      <c r="E171" s="2">
        <v>7.2779999999999996</v>
      </c>
      <c r="F171" s="2" t="s">
        <v>77</v>
      </c>
    </row>
    <row r="172" spans="1:6" x14ac:dyDescent="0.25">
      <c r="A172" s="2" t="s">
        <v>33</v>
      </c>
      <c r="B172" s="2" t="s">
        <v>285</v>
      </c>
      <c r="C172" s="2">
        <v>3800</v>
      </c>
      <c r="D172" s="2" t="s">
        <v>38</v>
      </c>
      <c r="E172" s="2">
        <v>7.2530000000000001</v>
      </c>
      <c r="F172" s="2" t="s">
        <v>26</v>
      </c>
    </row>
    <row r="173" spans="1:6" x14ac:dyDescent="0.25">
      <c r="A173" s="2" t="s">
        <v>40</v>
      </c>
      <c r="B173" s="2" t="s">
        <v>283</v>
      </c>
      <c r="C173" s="2">
        <v>3800</v>
      </c>
      <c r="D173" s="2" t="s">
        <v>48</v>
      </c>
      <c r="E173" s="2">
        <v>7.2439999999999998</v>
      </c>
      <c r="F173" s="2" t="s">
        <v>144</v>
      </c>
    </row>
    <row r="174" spans="1:6" x14ac:dyDescent="0.25">
      <c r="A174" s="2" t="s">
        <v>33</v>
      </c>
      <c r="B174" s="2" t="s">
        <v>252</v>
      </c>
      <c r="C174" s="2">
        <v>4000</v>
      </c>
      <c r="D174" s="2" t="s">
        <v>75</v>
      </c>
      <c r="E174" s="2">
        <v>7.22</v>
      </c>
      <c r="F174" s="2" t="s">
        <v>25</v>
      </c>
    </row>
    <row r="175" spans="1:6" x14ac:dyDescent="0.25">
      <c r="A175" s="2" t="s">
        <v>40</v>
      </c>
      <c r="B175" s="2" t="s">
        <v>363</v>
      </c>
      <c r="C175" s="2">
        <v>3100</v>
      </c>
      <c r="D175" s="2" t="s">
        <v>86</v>
      </c>
      <c r="E175" s="2">
        <v>7.2130000000000001</v>
      </c>
      <c r="F175" s="2" t="s">
        <v>24</v>
      </c>
    </row>
    <row r="176" spans="1:6" x14ac:dyDescent="0.25">
      <c r="A176" s="2" t="s">
        <v>269</v>
      </c>
      <c r="B176" s="2" t="s">
        <v>341</v>
      </c>
      <c r="C176" s="2">
        <v>3300</v>
      </c>
      <c r="D176" s="2" t="s">
        <v>43</v>
      </c>
      <c r="E176" s="2">
        <v>7.1669999999999998</v>
      </c>
      <c r="F176" s="2" t="s">
        <v>23</v>
      </c>
    </row>
    <row r="177" spans="1:6" x14ac:dyDescent="0.25">
      <c r="A177" s="2" t="s">
        <v>92</v>
      </c>
      <c r="B177" s="2" t="s">
        <v>600</v>
      </c>
      <c r="C177" s="2">
        <v>3000</v>
      </c>
      <c r="D177" s="2" t="s">
        <v>86</v>
      </c>
      <c r="E177" s="2">
        <v>7.1440000000000001</v>
      </c>
      <c r="F177" s="2" t="s">
        <v>24</v>
      </c>
    </row>
    <row r="178" spans="1:6" x14ac:dyDescent="0.25">
      <c r="A178" s="2" t="s">
        <v>40</v>
      </c>
      <c r="B178" s="2" t="s">
        <v>153</v>
      </c>
      <c r="C178" s="2">
        <v>4800</v>
      </c>
      <c r="D178" s="2" t="s">
        <v>38</v>
      </c>
      <c r="E178" s="2">
        <v>7.1130000000000004</v>
      </c>
      <c r="F178" s="2" t="s">
        <v>39</v>
      </c>
    </row>
    <row r="179" spans="1:6" x14ac:dyDescent="0.25">
      <c r="A179" s="2" t="s">
        <v>33</v>
      </c>
      <c r="B179" s="2" t="s">
        <v>277</v>
      </c>
      <c r="C179" s="2">
        <v>3900</v>
      </c>
      <c r="D179" s="2" t="s">
        <v>62</v>
      </c>
      <c r="E179" s="2">
        <v>6.976</v>
      </c>
      <c r="F179" s="2" t="s">
        <v>67</v>
      </c>
    </row>
    <row r="180" spans="1:6" x14ac:dyDescent="0.25">
      <c r="A180" s="2" t="s">
        <v>92</v>
      </c>
      <c r="B180" s="2" t="s">
        <v>827</v>
      </c>
      <c r="C180" s="2">
        <v>2500</v>
      </c>
      <c r="D180" s="2" t="s">
        <v>58</v>
      </c>
      <c r="E180" s="2">
        <v>6.931</v>
      </c>
      <c r="F180" s="2" t="s">
        <v>59</v>
      </c>
    </row>
    <row r="181" spans="1:6" x14ac:dyDescent="0.25">
      <c r="A181" s="2" t="s">
        <v>33</v>
      </c>
      <c r="B181" s="2" t="s">
        <v>691</v>
      </c>
      <c r="C181" s="2">
        <v>3000</v>
      </c>
      <c r="D181" s="2" t="s">
        <v>45</v>
      </c>
      <c r="E181" s="2">
        <v>6.8689999999999998</v>
      </c>
      <c r="F181" s="2" t="s">
        <v>46</v>
      </c>
    </row>
    <row r="182" spans="1:6" x14ac:dyDescent="0.25">
      <c r="A182" s="2" t="s">
        <v>40</v>
      </c>
      <c r="B182" s="2" t="s">
        <v>342</v>
      </c>
      <c r="C182" s="2">
        <v>3300</v>
      </c>
      <c r="D182" s="2" t="s">
        <v>43</v>
      </c>
      <c r="E182" s="2">
        <v>6.7880000000000003</v>
      </c>
      <c r="F182" s="2" t="s">
        <v>27</v>
      </c>
    </row>
    <row r="183" spans="1:6" x14ac:dyDescent="0.25">
      <c r="A183" s="2" t="s">
        <v>64</v>
      </c>
      <c r="B183" s="2" t="s">
        <v>219</v>
      </c>
      <c r="C183" s="2">
        <v>4000</v>
      </c>
      <c r="D183" s="2" t="s">
        <v>48</v>
      </c>
      <c r="E183" s="2">
        <v>6.71</v>
      </c>
      <c r="F183" s="2" t="s">
        <v>144</v>
      </c>
    </row>
    <row r="184" spans="1:6" x14ac:dyDescent="0.25">
      <c r="A184" s="2" t="s">
        <v>40</v>
      </c>
      <c r="B184" s="2" t="s">
        <v>346</v>
      </c>
      <c r="C184" s="2">
        <v>3300</v>
      </c>
      <c r="D184" s="2" t="s">
        <v>62</v>
      </c>
      <c r="E184" s="2">
        <v>6.6349999999999998</v>
      </c>
      <c r="F184" s="2" t="s">
        <v>67</v>
      </c>
    </row>
    <row r="185" spans="1:6" x14ac:dyDescent="0.25">
      <c r="A185" s="2" t="s">
        <v>33</v>
      </c>
      <c r="B185" s="2" t="s">
        <v>116</v>
      </c>
      <c r="C185" s="2">
        <v>5500</v>
      </c>
      <c r="D185" s="2" t="s">
        <v>62</v>
      </c>
      <c r="E185" s="2">
        <v>6.6059999999999999</v>
      </c>
      <c r="F185" s="2" t="s">
        <v>63</v>
      </c>
    </row>
    <row r="186" spans="1:6" x14ac:dyDescent="0.25">
      <c r="A186" s="2" t="s">
        <v>40</v>
      </c>
      <c r="B186" s="2" t="s">
        <v>348</v>
      </c>
      <c r="C186" s="2">
        <v>3300</v>
      </c>
      <c r="D186" s="2" t="s">
        <v>75</v>
      </c>
      <c r="E186" s="2">
        <v>6.5869999999999997</v>
      </c>
      <c r="F186" s="2" t="s">
        <v>25</v>
      </c>
    </row>
    <row r="187" spans="1:6" x14ac:dyDescent="0.25">
      <c r="A187" s="2" t="s">
        <v>40</v>
      </c>
      <c r="B187" s="2" t="s">
        <v>361</v>
      </c>
      <c r="C187" s="2">
        <v>3100</v>
      </c>
      <c r="D187" s="2" t="s">
        <v>62</v>
      </c>
      <c r="E187" s="2">
        <v>6.5810000000000004</v>
      </c>
      <c r="F187" s="2" t="s">
        <v>63</v>
      </c>
    </row>
    <row r="188" spans="1:6" x14ac:dyDescent="0.25">
      <c r="A188" s="2" t="s">
        <v>269</v>
      </c>
      <c r="B188" s="2" t="s">
        <v>313</v>
      </c>
      <c r="C188" s="2">
        <v>3600</v>
      </c>
      <c r="D188" s="2" t="s">
        <v>35</v>
      </c>
      <c r="E188" s="2">
        <v>6.5789999999999997</v>
      </c>
      <c r="F188" s="2" t="s">
        <v>36</v>
      </c>
    </row>
    <row r="189" spans="1:6" x14ac:dyDescent="0.25">
      <c r="A189" s="2" t="s">
        <v>269</v>
      </c>
      <c r="B189" s="2" t="s">
        <v>270</v>
      </c>
      <c r="C189" s="2">
        <v>3900</v>
      </c>
      <c r="D189" s="2" t="s">
        <v>48</v>
      </c>
      <c r="E189" s="2">
        <v>6.5</v>
      </c>
      <c r="F189" s="2" t="s">
        <v>49</v>
      </c>
    </row>
    <row r="190" spans="1:6" x14ac:dyDescent="0.25">
      <c r="A190" s="2" t="s">
        <v>40</v>
      </c>
      <c r="B190" s="2" t="s">
        <v>548</v>
      </c>
      <c r="C190" s="2">
        <v>3000</v>
      </c>
      <c r="D190" s="2" t="s">
        <v>55</v>
      </c>
      <c r="E190" s="2">
        <v>6.46</v>
      </c>
      <c r="F190" s="2" t="s">
        <v>56</v>
      </c>
    </row>
    <row r="191" spans="1:6" x14ac:dyDescent="0.25">
      <c r="A191" s="2" t="s">
        <v>33</v>
      </c>
      <c r="B191" s="2" t="s">
        <v>290</v>
      </c>
      <c r="C191" s="2">
        <v>3800</v>
      </c>
      <c r="D191" s="2" t="s">
        <v>55</v>
      </c>
      <c r="E191" s="2">
        <v>6.45</v>
      </c>
      <c r="F191" s="2" t="s">
        <v>28</v>
      </c>
    </row>
    <row r="192" spans="1:6" x14ac:dyDescent="0.25">
      <c r="A192" s="2" t="s">
        <v>40</v>
      </c>
      <c r="B192" s="2" t="s">
        <v>326</v>
      </c>
      <c r="C192" s="2">
        <v>3500</v>
      </c>
      <c r="D192" s="2" t="s">
        <v>52</v>
      </c>
      <c r="E192" s="2">
        <v>6.319</v>
      </c>
      <c r="F192" s="2" t="s">
        <v>115</v>
      </c>
    </row>
    <row r="193" spans="1:6" x14ac:dyDescent="0.25">
      <c r="A193" s="2" t="s">
        <v>33</v>
      </c>
      <c r="B193" s="2" t="s">
        <v>271</v>
      </c>
      <c r="C193" s="2">
        <v>3900</v>
      </c>
      <c r="D193" s="2" t="s">
        <v>43</v>
      </c>
      <c r="E193" s="2">
        <v>6.2670000000000003</v>
      </c>
      <c r="F193" s="2" t="s">
        <v>27</v>
      </c>
    </row>
    <row r="194" spans="1:6" x14ac:dyDescent="0.25">
      <c r="A194" s="2" t="s">
        <v>269</v>
      </c>
      <c r="B194" s="2" t="s">
        <v>288</v>
      </c>
      <c r="C194" s="2">
        <v>3800</v>
      </c>
      <c r="D194" s="2" t="s">
        <v>103</v>
      </c>
      <c r="E194" s="2">
        <v>6.2220000000000004</v>
      </c>
      <c r="F194" s="2" t="s">
        <v>19</v>
      </c>
    </row>
    <row r="195" spans="1:6" x14ac:dyDescent="0.25">
      <c r="A195" s="2" t="s">
        <v>64</v>
      </c>
      <c r="B195" s="2" t="s">
        <v>154</v>
      </c>
      <c r="C195" s="2">
        <v>4800</v>
      </c>
      <c r="D195" s="2" t="s">
        <v>103</v>
      </c>
      <c r="E195" s="2">
        <v>6.2130000000000001</v>
      </c>
      <c r="F195" s="2" t="s">
        <v>19</v>
      </c>
    </row>
    <row r="196" spans="1:6" x14ac:dyDescent="0.25">
      <c r="A196" s="2" t="s">
        <v>40</v>
      </c>
      <c r="B196" s="2" t="s">
        <v>356</v>
      </c>
      <c r="C196" s="2">
        <v>3200</v>
      </c>
      <c r="D196" s="2" t="s">
        <v>69</v>
      </c>
      <c r="E196" s="2">
        <v>6.2069999999999999</v>
      </c>
      <c r="F196" s="2" t="s">
        <v>1</v>
      </c>
    </row>
    <row r="197" spans="1:6" x14ac:dyDescent="0.25">
      <c r="A197" s="2" t="s">
        <v>92</v>
      </c>
      <c r="B197" s="2" t="s">
        <v>242</v>
      </c>
      <c r="C197" s="2">
        <v>2700</v>
      </c>
      <c r="D197" s="2" t="s">
        <v>103</v>
      </c>
      <c r="E197" s="2">
        <v>6.1719999999999997</v>
      </c>
      <c r="F197" s="2" t="s">
        <v>19</v>
      </c>
    </row>
    <row r="198" spans="1:6" x14ac:dyDescent="0.25">
      <c r="A198" s="2" t="s">
        <v>269</v>
      </c>
      <c r="B198" s="2" t="s">
        <v>358</v>
      </c>
      <c r="C198" s="2">
        <v>3100</v>
      </c>
      <c r="D198" s="2" t="s">
        <v>52</v>
      </c>
      <c r="E198" s="2">
        <v>6.125</v>
      </c>
      <c r="F198" s="2" t="s">
        <v>53</v>
      </c>
    </row>
    <row r="199" spans="1:6" x14ac:dyDescent="0.25">
      <c r="A199" s="2" t="s">
        <v>92</v>
      </c>
      <c r="B199" s="2" t="s">
        <v>725</v>
      </c>
      <c r="C199" s="2">
        <v>2600</v>
      </c>
      <c r="D199" s="2" t="s">
        <v>45</v>
      </c>
      <c r="E199" s="2">
        <v>6.1239999999999997</v>
      </c>
      <c r="F199" s="2" t="s">
        <v>46</v>
      </c>
    </row>
    <row r="200" spans="1:6" x14ac:dyDescent="0.25">
      <c r="A200" s="2" t="s">
        <v>92</v>
      </c>
      <c r="B200" s="2" t="s">
        <v>480</v>
      </c>
      <c r="C200" s="2">
        <v>3000</v>
      </c>
      <c r="D200" s="2" t="s">
        <v>35</v>
      </c>
      <c r="E200" s="2">
        <v>6.0789999999999997</v>
      </c>
      <c r="F200" s="2" t="s">
        <v>36</v>
      </c>
    </row>
    <row r="201" spans="1:6" x14ac:dyDescent="0.25">
      <c r="A201" s="2" t="s">
        <v>269</v>
      </c>
      <c r="B201" s="2" t="s">
        <v>601</v>
      </c>
      <c r="C201" s="2">
        <v>3000</v>
      </c>
      <c r="D201" s="2" t="s">
        <v>86</v>
      </c>
      <c r="E201" s="2">
        <v>5.9379999999999997</v>
      </c>
      <c r="F201" s="2" t="s">
        <v>24</v>
      </c>
    </row>
    <row r="202" spans="1:6" x14ac:dyDescent="0.25">
      <c r="A202" s="2" t="s">
        <v>269</v>
      </c>
      <c r="B202" s="2" t="s">
        <v>722</v>
      </c>
      <c r="C202" s="2">
        <v>2600</v>
      </c>
      <c r="D202" s="2" t="s">
        <v>62</v>
      </c>
      <c r="E202" s="2">
        <v>5.9379999999999997</v>
      </c>
      <c r="F202" s="2" t="s">
        <v>63</v>
      </c>
    </row>
    <row r="203" spans="1:6" x14ac:dyDescent="0.25">
      <c r="A203" s="2" t="s">
        <v>33</v>
      </c>
      <c r="B203" s="2" t="s">
        <v>202</v>
      </c>
      <c r="C203" s="2">
        <v>4300</v>
      </c>
      <c r="D203" s="2" t="s">
        <v>45</v>
      </c>
      <c r="E203" s="2">
        <v>5.9</v>
      </c>
      <c r="F203" s="2" t="s">
        <v>46</v>
      </c>
    </row>
    <row r="204" spans="1:6" x14ac:dyDescent="0.25">
      <c r="A204" s="2" t="s">
        <v>40</v>
      </c>
      <c r="B204" s="2" t="s">
        <v>293</v>
      </c>
      <c r="C204" s="2">
        <v>3800</v>
      </c>
      <c r="D204" s="2" t="s">
        <v>86</v>
      </c>
      <c r="E204" s="2">
        <v>5.86</v>
      </c>
      <c r="F204" s="2" t="s">
        <v>21</v>
      </c>
    </row>
    <row r="205" spans="1:6" x14ac:dyDescent="0.25">
      <c r="A205" s="2" t="s">
        <v>269</v>
      </c>
      <c r="B205" s="2" t="s">
        <v>355</v>
      </c>
      <c r="C205" s="2">
        <v>3200</v>
      </c>
      <c r="D205" s="2" t="s">
        <v>75</v>
      </c>
      <c r="E205" s="2">
        <v>5.8129999999999997</v>
      </c>
      <c r="F205" s="2" t="s">
        <v>91</v>
      </c>
    </row>
    <row r="206" spans="1:6" x14ac:dyDescent="0.25">
      <c r="A206" s="2" t="s">
        <v>40</v>
      </c>
      <c r="B206" s="2" t="s">
        <v>201</v>
      </c>
      <c r="C206" s="2">
        <v>4300</v>
      </c>
      <c r="D206" s="2" t="s">
        <v>69</v>
      </c>
      <c r="E206" s="2">
        <v>5.74</v>
      </c>
      <c r="F206" s="2" t="s">
        <v>70</v>
      </c>
    </row>
    <row r="207" spans="1:6" x14ac:dyDescent="0.25">
      <c r="A207" s="2" t="s">
        <v>269</v>
      </c>
      <c r="B207" s="2" t="s">
        <v>830</v>
      </c>
      <c r="C207" s="2">
        <v>2500</v>
      </c>
      <c r="D207" s="2" t="s">
        <v>58</v>
      </c>
      <c r="E207" s="2">
        <v>5.7370000000000001</v>
      </c>
      <c r="F207" s="2" t="s">
        <v>59</v>
      </c>
    </row>
    <row r="208" spans="1:6" x14ac:dyDescent="0.25">
      <c r="A208" s="2" t="s">
        <v>40</v>
      </c>
      <c r="B208" s="2" t="s">
        <v>340</v>
      </c>
      <c r="C208" s="2">
        <v>3400</v>
      </c>
      <c r="D208" s="2" t="s">
        <v>58</v>
      </c>
      <c r="E208" s="2">
        <v>5.7329999999999997</v>
      </c>
      <c r="F208" s="2" t="s">
        <v>77</v>
      </c>
    </row>
    <row r="209" spans="1:6" x14ac:dyDescent="0.25">
      <c r="A209" s="2" t="s">
        <v>92</v>
      </c>
      <c r="B209" s="2" t="s">
        <v>803</v>
      </c>
      <c r="C209" s="2">
        <v>2500</v>
      </c>
      <c r="D209" s="2" t="s">
        <v>62</v>
      </c>
      <c r="E209" s="2">
        <v>5.6559999999999997</v>
      </c>
      <c r="F209" s="2" t="s">
        <v>67</v>
      </c>
    </row>
    <row r="210" spans="1:6" x14ac:dyDescent="0.25">
      <c r="A210" s="2" t="s">
        <v>269</v>
      </c>
      <c r="B210" s="2" t="s">
        <v>806</v>
      </c>
      <c r="C210" s="2">
        <v>2500</v>
      </c>
      <c r="D210" s="2" t="s">
        <v>62</v>
      </c>
      <c r="E210" s="2">
        <v>5.6470000000000002</v>
      </c>
      <c r="F210" s="2" t="s">
        <v>67</v>
      </c>
    </row>
    <row r="211" spans="1:6" x14ac:dyDescent="0.25">
      <c r="A211" s="2" t="s">
        <v>92</v>
      </c>
      <c r="B211" s="2" t="s">
        <v>743</v>
      </c>
      <c r="C211" s="2">
        <v>2500</v>
      </c>
      <c r="D211" s="2" t="s">
        <v>43</v>
      </c>
      <c r="E211" s="2">
        <v>5.6</v>
      </c>
      <c r="F211" s="2" t="s">
        <v>27</v>
      </c>
    </row>
    <row r="212" spans="1:6" x14ac:dyDescent="0.25">
      <c r="A212" s="2" t="s">
        <v>269</v>
      </c>
      <c r="B212" s="2" t="s">
        <v>705</v>
      </c>
      <c r="C212" s="2">
        <v>2900</v>
      </c>
      <c r="D212" s="2" t="s">
        <v>45</v>
      </c>
      <c r="E212" s="2">
        <v>5.5880000000000001</v>
      </c>
      <c r="F212" s="2" t="s">
        <v>22</v>
      </c>
    </row>
    <row r="213" spans="1:6" x14ac:dyDescent="0.25">
      <c r="A213" s="2" t="s">
        <v>269</v>
      </c>
      <c r="B213" s="2" t="s">
        <v>718</v>
      </c>
      <c r="C213" s="2">
        <v>2700</v>
      </c>
      <c r="D213" s="2" t="s">
        <v>75</v>
      </c>
      <c r="E213" s="2">
        <v>5.5629999999999997</v>
      </c>
      <c r="F213" s="2" t="s">
        <v>25</v>
      </c>
    </row>
    <row r="214" spans="1:6" x14ac:dyDescent="0.25">
      <c r="A214" s="2" t="s">
        <v>92</v>
      </c>
      <c r="B214" s="2" t="s">
        <v>715</v>
      </c>
      <c r="C214" s="2">
        <v>2700</v>
      </c>
      <c r="D214" s="2" t="s">
        <v>38</v>
      </c>
      <c r="E214" s="2">
        <v>5.5060000000000002</v>
      </c>
      <c r="F214" s="2" t="s">
        <v>39</v>
      </c>
    </row>
    <row r="215" spans="1:6" x14ac:dyDescent="0.25">
      <c r="A215" s="2" t="s">
        <v>33</v>
      </c>
      <c r="B215" s="2" t="s">
        <v>213</v>
      </c>
      <c r="C215" s="2">
        <v>4100</v>
      </c>
      <c r="D215" s="2" t="s">
        <v>62</v>
      </c>
      <c r="E215" s="2">
        <v>5.4880000000000004</v>
      </c>
      <c r="F215" s="2" t="s">
        <v>67</v>
      </c>
    </row>
    <row r="216" spans="1:6" x14ac:dyDescent="0.25">
      <c r="A216" s="2" t="s">
        <v>40</v>
      </c>
      <c r="B216" s="2" t="s">
        <v>404</v>
      </c>
      <c r="C216" s="2">
        <v>3000</v>
      </c>
      <c r="D216" s="2" t="s">
        <v>43</v>
      </c>
      <c r="E216" s="2">
        <v>5.45</v>
      </c>
      <c r="F216" s="2" t="s">
        <v>23</v>
      </c>
    </row>
    <row r="217" spans="1:6" x14ac:dyDescent="0.25">
      <c r="A217" s="2" t="s">
        <v>40</v>
      </c>
      <c r="B217" s="2" t="s">
        <v>477</v>
      </c>
      <c r="C217" s="2">
        <v>3000</v>
      </c>
      <c r="D217" s="2" t="s">
        <v>35</v>
      </c>
      <c r="E217" s="2">
        <v>5.45</v>
      </c>
      <c r="F217" s="2" t="s">
        <v>36</v>
      </c>
    </row>
    <row r="218" spans="1:6" x14ac:dyDescent="0.25">
      <c r="A218" s="2" t="s">
        <v>92</v>
      </c>
      <c r="B218" s="2" t="s">
        <v>748</v>
      </c>
      <c r="C218" s="2">
        <v>2500</v>
      </c>
      <c r="D218" s="2" t="s">
        <v>52</v>
      </c>
      <c r="E218" s="2">
        <v>5.44</v>
      </c>
      <c r="F218" s="2" t="s">
        <v>53</v>
      </c>
    </row>
    <row r="219" spans="1:6" x14ac:dyDescent="0.25">
      <c r="A219" s="2" t="s">
        <v>64</v>
      </c>
      <c r="B219" s="2" t="s">
        <v>228</v>
      </c>
      <c r="C219" s="2">
        <v>4000</v>
      </c>
      <c r="D219" s="2" t="s">
        <v>35</v>
      </c>
      <c r="E219" s="2">
        <v>5.415</v>
      </c>
      <c r="F219" s="2" t="s">
        <v>20</v>
      </c>
    </row>
    <row r="220" spans="1:6" x14ac:dyDescent="0.25">
      <c r="A220" s="2" t="s">
        <v>40</v>
      </c>
      <c r="B220" s="2" t="s">
        <v>585</v>
      </c>
      <c r="C220" s="2">
        <v>3000</v>
      </c>
      <c r="D220" s="2" t="s">
        <v>86</v>
      </c>
      <c r="E220" s="2">
        <v>5.4</v>
      </c>
      <c r="F220" s="2" t="s">
        <v>21</v>
      </c>
    </row>
    <row r="221" spans="1:6" x14ac:dyDescent="0.25">
      <c r="A221" s="2" t="s">
        <v>40</v>
      </c>
      <c r="B221" s="2" t="s">
        <v>303</v>
      </c>
      <c r="C221" s="2">
        <v>3700</v>
      </c>
      <c r="D221" s="2" t="s">
        <v>86</v>
      </c>
      <c r="E221" s="2">
        <v>5.3920000000000003</v>
      </c>
      <c r="F221" s="2" t="s">
        <v>21</v>
      </c>
    </row>
    <row r="222" spans="1:6" x14ac:dyDescent="0.25">
      <c r="A222" s="2" t="s">
        <v>269</v>
      </c>
      <c r="B222" s="2" t="s">
        <v>857</v>
      </c>
      <c r="C222" s="2">
        <v>2200</v>
      </c>
      <c r="D222" s="2" t="s">
        <v>43</v>
      </c>
      <c r="E222" s="2">
        <v>5.3129999999999997</v>
      </c>
      <c r="F222" s="2" t="s">
        <v>27</v>
      </c>
    </row>
    <row r="223" spans="1:6" x14ac:dyDescent="0.25">
      <c r="A223" s="2" t="s">
        <v>269</v>
      </c>
      <c r="B223" s="2" t="s">
        <v>721</v>
      </c>
      <c r="C223" s="2">
        <v>2600</v>
      </c>
      <c r="D223" s="2" t="s">
        <v>38</v>
      </c>
      <c r="E223" s="2">
        <v>5.2350000000000003</v>
      </c>
      <c r="F223" s="2" t="s">
        <v>26</v>
      </c>
    </row>
    <row r="224" spans="1:6" x14ac:dyDescent="0.25">
      <c r="A224" s="2" t="s">
        <v>40</v>
      </c>
      <c r="B224" s="2" t="s">
        <v>345</v>
      </c>
      <c r="C224" s="2">
        <v>3300</v>
      </c>
      <c r="D224" s="2" t="s">
        <v>38</v>
      </c>
      <c r="E224" s="2">
        <v>5.0999999999999996</v>
      </c>
      <c r="F224" s="2" t="s">
        <v>39</v>
      </c>
    </row>
    <row r="225" spans="1:6" x14ac:dyDescent="0.25">
      <c r="A225" s="2" t="s">
        <v>40</v>
      </c>
      <c r="B225" s="2" t="s">
        <v>284</v>
      </c>
      <c r="C225" s="2">
        <v>3800</v>
      </c>
      <c r="D225" s="2" t="s">
        <v>35</v>
      </c>
      <c r="E225" s="2">
        <v>5.0759999999999996</v>
      </c>
      <c r="F225" s="2" t="s">
        <v>36</v>
      </c>
    </row>
    <row r="226" spans="1:6" x14ac:dyDescent="0.25">
      <c r="A226" s="2" t="s">
        <v>92</v>
      </c>
      <c r="B226" s="2" t="s">
        <v>724</v>
      </c>
      <c r="C226" s="2">
        <v>2600</v>
      </c>
      <c r="D226" s="2" t="s">
        <v>69</v>
      </c>
      <c r="E226" s="2">
        <v>5.0629999999999997</v>
      </c>
      <c r="F226" s="2" t="s">
        <v>1</v>
      </c>
    </row>
    <row r="227" spans="1:6" x14ac:dyDescent="0.25">
      <c r="A227" s="2" t="s">
        <v>92</v>
      </c>
      <c r="B227" s="2" t="s">
        <v>808</v>
      </c>
      <c r="C227" s="2">
        <v>2500</v>
      </c>
      <c r="D227" s="2" t="s">
        <v>86</v>
      </c>
      <c r="E227" s="2">
        <v>5.0469999999999997</v>
      </c>
      <c r="F227" s="2" t="s">
        <v>21</v>
      </c>
    </row>
    <row r="228" spans="1:6" x14ac:dyDescent="0.25">
      <c r="A228" s="2" t="s">
        <v>40</v>
      </c>
      <c r="B228" s="2" t="s">
        <v>350</v>
      </c>
      <c r="C228" s="2">
        <v>3300</v>
      </c>
      <c r="D228" s="2" t="s">
        <v>69</v>
      </c>
      <c r="E228" s="2">
        <v>5</v>
      </c>
      <c r="F228" s="2" t="s">
        <v>70</v>
      </c>
    </row>
    <row r="229" spans="1:6" x14ac:dyDescent="0.25">
      <c r="A229" s="2" t="s">
        <v>40</v>
      </c>
      <c r="B229" s="2" t="s">
        <v>308</v>
      </c>
      <c r="C229" s="2">
        <v>3700</v>
      </c>
      <c r="D229" s="2" t="s">
        <v>58</v>
      </c>
      <c r="E229" s="2">
        <v>4.8470000000000004</v>
      </c>
      <c r="F229" s="2" t="s">
        <v>77</v>
      </c>
    </row>
    <row r="230" spans="1:6" x14ac:dyDescent="0.25">
      <c r="A230" s="2" t="s">
        <v>40</v>
      </c>
      <c r="B230" s="2" t="s">
        <v>478</v>
      </c>
      <c r="C230" s="2">
        <v>3000</v>
      </c>
      <c r="D230" s="2" t="s">
        <v>35</v>
      </c>
      <c r="E230" s="2">
        <v>4.8209999999999997</v>
      </c>
      <c r="F230" s="2" t="s">
        <v>36</v>
      </c>
    </row>
    <row r="231" spans="1:6" x14ac:dyDescent="0.25">
      <c r="A231" s="2" t="s">
        <v>33</v>
      </c>
      <c r="B231" s="2" t="s">
        <v>309</v>
      </c>
      <c r="C231" s="2">
        <v>3700</v>
      </c>
      <c r="D231" s="2" t="s">
        <v>69</v>
      </c>
      <c r="E231" s="2">
        <v>4.7560000000000002</v>
      </c>
      <c r="F231" s="2" t="s">
        <v>70</v>
      </c>
    </row>
    <row r="232" spans="1:6" x14ac:dyDescent="0.25">
      <c r="A232" s="2" t="s">
        <v>40</v>
      </c>
      <c r="B232" s="2" t="s">
        <v>438</v>
      </c>
      <c r="C232" s="2">
        <v>3000</v>
      </c>
      <c r="D232" s="2" t="s">
        <v>52</v>
      </c>
      <c r="E232" s="2">
        <v>4.625</v>
      </c>
      <c r="F232" s="2" t="s">
        <v>53</v>
      </c>
    </row>
    <row r="233" spans="1:6" x14ac:dyDescent="0.25">
      <c r="A233" s="2" t="s">
        <v>33</v>
      </c>
      <c r="B233" s="2" t="s">
        <v>658</v>
      </c>
      <c r="C233" s="2">
        <v>3000</v>
      </c>
      <c r="D233" s="2" t="s">
        <v>69</v>
      </c>
      <c r="E233" s="2">
        <v>4.6130000000000004</v>
      </c>
      <c r="F233" s="2" t="s">
        <v>1</v>
      </c>
    </row>
    <row r="234" spans="1:6" x14ac:dyDescent="0.25">
      <c r="A234" s="2" t="s">
        <v>64</v>
      </c>
      <c r="B234" s="2" t="s">
        <v>117</v>
      </c>
      <c r="C234" s="2">
        <v>5500</v>
      </c>
      <c r="D234" s="2" t="s">
        <v>69</v>
      </c>
      <c r="E234" s="2">
        <v>4.5039999999999996</v>
      </c>
      <c r="F234" s="2" t="s">
        <v>70</v>
      </c>
    </row>
    <row r="235" spans="1:6" x14ac:dyDescent="0.25">
      <c r="A235" s="2" t="s">
        <v>64</v>
      </c>
      <c r="B235" s="2" t="s">
        <v>145</v>
      </c>
      <c r="C235" s="2">
        <v>4900</v>
      </c>
      <c r="D235" s="2" t="s">
        <v>43</v>
      </c>
      <c r="E235" s="2">
        <v>4.5</v>
      </c>
      <c r="F235" s="2" t="s">
        <v>27</v>
      </c>
    </row>
    <row r="236" spans="1:6" x14ac:dyDescent="0.25">
      <c r="A236" s="2" t="s">
        <v>269</v>
      </c>
      <c r="B236" s="2" t="s">
        <v>301</v>
      </c>
      <c r="C236" s="2">
        <v>3700</v>
      </c>
      <c r="D236" s="2" t="s">
        <v>103</v>
      </c>
      <c r="E236" s="2">
        <v>4.5</v>
      </c>
      <c r="F236" s="2" t="s">
        <v>110</v>
      </c>
    </row>
    <row r="237" spans="1:6" x14ac:dyDescent="0.25">
      <c r="A237" s="2" t="s">
        <v>64</v>
      </c>
      <c r="B237" s="2" t="s">
        <v>164</v>
      </c>
      <c r="C237" s="2">
        <v>4700</v>
      </c>
      <c r="D237" s="2" t="s">
        <v>35</v>
      </c>
      <c r="E237" s="2">
        <v>4.49</v>
      </c>
      <c r="F237" s="2" t="s">
        <v>36</v>
      </c>
    </row>
    <row r="238" spans="1:6" x14ac:dyDescent="0.25">
      <c r="A238" s="2" t="s">
        <v>64</v>
      </c>
      <c r="B238" s="2" t="s">
        <v>161</v>
      </c>
      <c r="C238" s="2">
        <v>4800</v>
      </c>
      <c r="D238" s="2" t="s">
        <v>45</v>
      </c>
      <c r="E238" s="2">
        <v>4.47</v>
      </c>
      <c r="F238" s="2" t="s">
        <v>46</v>
      </c>
    </row>
    <row r="239" spans="1:6" x14ac:dyDescent="0.25">
      <c r="A239" s="2" t="s">
        <v>92</v>
      </c>
      <c r="B239" s="2" t="s">
        <v>414</v>
      </c>
      <c r="C239" s="2">
        <v>3000</v>
      </c>
      <c r="D239" s="2" t="s">
        <v>43</v>
      </c>
      <c r="E239" s="2">
        <v>4.4000000000000004</v>
      </c>
      <c r="F239" s="2" t="s">
        <v>23</v>
      </c>
    </row>
    <row r="240" spans="1:6" x14ac:dyDescent="0.25">
      <c r="A240" s="2" t="s">
        <v>40</v>
      </c>
      <c r="B240" s="2" t="s">
        <v>331</v>
      </c>
      <c r="C240" s="2">
        <v>3500</v>
      </c>
      <c r="D240" s="2" t="s">
        <v>86</v>
      </c>
      <c r="E240" s="2">
        <v>4.3</v>
      </c>
      <c r="F240" s="2" t="s">
        <v>24</v>
      </c>
    </row>
    <row r="241" spans="1:6" x14ac:dyDescent="0.25">
      <c r="A241" s="2" t="s">
        <v>92</v>
      </c>
      <c r="B241" s="2" t="s">
        <v>742</v>
      </c>
      <c r="C241" s="2">
        <v>2500</v>
      </c>
      <c r="D241" s="2" t="s">
        <v>43</v>
      </c>
      <c r="E241" s="2">
        <v>4.3</v>
      </c>
      <c r="F241" s="2" t="s">
        <v>27</v>
      </c>
    </row>
    <row r="242" spans="1:6" x14ac:dyDescent="0.25">
      <c r="A242" s="2" t="s">
        <v>92</v>
      </c>
      <c r="B242" s="2" t="s">
        <v>780</v>
      </c>
      <c r="C242" s="2">
        <v>2500</v>
      </c>
      <c r="D242" s="2" t="s">
        <v>103</v>
      </c>
      <c r="E242" s="2">
        <v>4.29</v>
      </c>
      <c r="F242" s="2" t="s">
        <v>110</v>
      </c>
    </row>
    <row r="243" spans="1:6" x14ac:dyDescent="0.25">
      <c r="A243" s="2" t="s">
        <v>40</v>
      </c>
      <c r="B243" s="2" t="s">
        <v>639</v>
      </c>
      <c r="C243" s="2">
        <v>3000</v>
      </c>
      <c r="D243" s="2" t="s">
        <v>58</v>
      </c>
      <c r="E243" s="2">
        <v>4.2850000000000001</v>
      </c>
      <c r="F243" s="2" t="s">
        <v>59</v>
      </c>
    </row>
    <row r="244" spans="1:6" x14ac:dyDescent="0.25">
      <c r="A244" s="2" t="s">
        <v>40</v>
      </c>
      <c r="B244" s="2" t="s">
        <v>325</v>
      </c>
      <c r="C244" s="2">
        <v>3500</v>
      </c>
      <c r="D244" s="2" t="s">
        <v>43</v>
      </c>
      <c r="E244" s="2">
        <v>4.2750000000000004</v>
      </c>
      <c r="F244" s="2" t="s">
        <v>27</v>
      </c>
    </row>
    <row r="245" spans="1:6" x14ac:dyDescent="0.25">
      <c r="A245" s="2" t="s">
        <v>40</v>
      </c>
      <c r="B245" s="2" t="s">
        <v>332</v>
      </c>
      <c r="C245" s="2">
        <v>3500</v>
      </c>
      <c r="D245" s="2" t="s">
        <v>75</v>
      </c>
      <c r="E245" s="2">
        <v>4.2380000000000004</v>
      </c>
      <c r="F245" s="2" t="s">
        <v>25</v>
      </c>
    </row>
    <row r="246" spans="1:6" x14ac:dyDescent="0.25">
      <c r="A246" s="2" t="s">
        <v>92</v>
      </c>
      <c r="B246" s="2" t="s">
        <v>719</v>
      </c>
      <c r="C246" s="2">
        <v>2700</v>
      </c>
      <c r="D246" s="2" t="s">
        <v>58</v>
      </c>
      <c r="E246" s="2">
        <v>4.1840000000000002</v>
      </c>
      <c r="F246" s="2" t="s">
        <v>59</v>
      </c>
    </row>
    <row r="247" spans="1:6" x14ac:dyDescent="0.25">
      <c r="A247" s="2" t="s">
        <v>33</v>
      </c>
      <c r="B247" s="2" t="s">
        <v>292</v>
      </c>
      <c r="C247" s="2">
        <v>3800</v>
      </c>
      <c r="D247" s="2" t="s">
        <v>86</v>
      </c>
      <c r="E247" s="2">
        <v>4.1310000000000002</v>
      </c>
      <c r="F247" s="2" t="s">
        <v>21</v>
      </c>
    </row>
    <row r="248" spans="1:6" x14ac:dyDescent="0.25">
      <c r="A248" s="2" t="s">
        <v>40</v>
      </c>
      <c r="B248" s="2" t="s">
        <v>553</v>
      </c>
      <c r="C248" s="2">
        <v>3000</v>
      </c>
      <c r="D248" s="2" t="s">
        <v>55</v>
      </c>
      <c r="E248" s="2">
        <v>4.08</v>
      </c>
      <c r="F248" s="2" t="s">
        <v>56</v>
      </c>
    </row>
    <row r="249" spans="1:6" x14ac:dyDescent="0.25">
      <c r="A249" s="2" t="s">
        <v>40</v>
      </c>
      <c r="B249" s="2" t="s">
        <v>233</v>
      </c>
      <c r="C249" s="2">
        <v>4000</v>
      </c>
      <c r="D249" s="2" t="s">
        <v>35</v>
      </c>
      <c r="E249" s="2">
        <v>4.069</v>
      </c>
      <c r="F249" s="2" t="s">
        <v>36</v>
      </c>
    </row>
    <row r="250" spans="1:6" x14ac:dyDescent="0.25">
      <c r="A250" s="2" t="s">
        <v>269</v>
      </c>
      <c r="B250" s="2" t="s">
        <v>858</v>
      </c>
      <c r="C250" s="2">
        <v>2100</v>
      </c>
      <c r="D250" s="2" t="s">
        <v>69</v>
      </c>
      <c r="E250" s="2">
        <v>4.0629999999999997</v>
      </c>
      <c r="F250" s="2" t="s">
        <v>1</v>
      </c>
    </row>
    <row r="251" spans="1:6" x14ac:dyDescent="0.25">
      <c r="A251" s="2" t="s">
        <v>40</v>
      </c>
      <c r="B251" s="2" t="s">
        <v>396</v>
      </c>
      <c r="C251" s="2">
        <v>3000</v>
      </c>
      <c r="D251" s="2" t="s">
        <v>48</v>
      </c>
      <c r="E251" s="2">
        <v>4.0199999999999996</v>
      </c>
      <c r="F251" s="2" t="s">
        <v>144</v>
      </c>
    </row>
    <row r="252" spans="1:6" x14ac:dyDescent="0.25">
      <c r="A252" s="2" t="s">
        <v>33</v>
      </c>
      <c r="B252" s="2" t="s">
        <v>206</v>
      </c>
      <c r="C252" s="2">
        <v>4200</v>
      </c>
      <c r="D252" s="2" t="s">
        <v>103</v>
      </c>
      <c r="E252" s="2">
        <v>3.9750000000000001</v>
      </c>
      <c r="F252" s="2" t="s">
        <v>19</v>
      </c>
    </row>
    <row r="253" spans="1:6" x14ac:dyDescent="0.25">
      <c r="A253" s="2" t="s">
        <v>33</v>
      </c>
      <c r="B253" s="2" t="s">
        <v>273</v>
      </c>
      <c r="C253" s="2">
        <v>3900</v>
      </c>
      <c r="D253" s="2" t="s">
        <v>38</v>
      </c>
      <c r="E253" s="2">
        <v>3.875</v>
      </c>
      <c r="F253" s="2" t="s">
        <v>39</v>
      </c>
    </row>
    <row r="254" spans="1:6" x14ac:dyDescent="0.25">
      <c r="A254" s="2" t="s">
        <v>64</v>
      </c>
      <c r="B254" s="2" t="s">
        <v>183</v>
      </c>
      <c r="C254" s="2">
        <v>4500</v>
      </c>
      <c r="D254" s="2" t="s">
        <v>62</v>
      </c>
      <c r="E254" s="2">
        <v>3.86</v>
      </c>
      <c r="F254" s="2" t="s">
        <v>67</v>
      </c>
    </row>
    <row r="255" spans="1:6" x14ac:dyDescent="0.25">
      <c r="A255" s="2" t="s">
        <v>40</v>
      </c>
      <c r="B255" s="2" t="s">
        <v>405</v>
      </c>
      <c r="C255" s="2">
        <v>3000</v>
      </c>
      <c r="D255" s="2" t="s">
        <v>43</v>
      </c>
      <c r="E255" s="2">
        <v>3.839</v>
      </c>
      <c r="F255" s="2" t="s">
        <v>23</v>
      </c>
    </row>
    <row r="256" spans="1:6" x14ac:dyDescent="0.25">
      <c r="A256" s="2" t="s">
        <v>40</v>
      </c>
      <c r="B256" s="2" t="s">
        <v>512</v>
      </c>
      <c r="C256" s="2">
        <v>3000</v>
      </c>
      <c r="D256" s="2" t="s">
        <v>103</v>
      </c>
      <c r="E256" s="2">
        <v>3.8330000000000002</v>
      </c>
      <c r="F256" s="2" t="s">
        <v>19</v>
      </c>
    </row>
    <row r="257" spans="1:6" x14ac:dyDescent="0.25">
      <c r="A257" s="2" t="s">
        <v>92</v>
      </c>
      <c r="B257" s="2" t="s">
        <v>713</v>
      </c>
      <c r="C257" s="2">
        <v>2700</v>
      </c>
      <c r="D257" s="2" t="s">
        <v>48</v>
      </c>
      <c r="E257" s="2">
        <v>3.8220000000000001</v>
      </c>
      <c r="F257" s="2" t="s">
        <v>144</v>
      </c>
    </row>
    <row r="258" spans="1:6" x14ac:dyDescent="0.25">
      <c r="A258" s="2" t="s">
        <v>40</v>
      </c>
      <c r="B258" s="2" t="s">
        <v>423</v>
      </c>
      <c r="C258" s="2">
        <v>3000</v>
      </c>
      <c r="D258" s="2" t="s">
        <v>43</v>
      </c>
      <c r="E258" s="2">
        <v>3.806</v>
      </c>
      <c r="F258" s="2" t="s">
        <v>27</v>
      </c>
    </row>
    <row r="259" spans="1:6" x14ac:dyDescent="0.25">
      <c r="A259" s="2" t="s">
        <v>40</v>
      </c>
      <c r="B259" s="2" t="s">
        <v>374</v>
      </c>
      <c r="C259" s="2">
        <v>3000</v>
      </c>
      <c r="D259" s="2" t="s">
        <v>48</v>
      </c>
      <c r="E259" s="2">
        <v>3.7629999999999999</v>
      </c>
      <c r="F259" s="2" t="s">
        <v>49</v>
      </c>
    </row>
    <row r="260" spans="1:6" x14ac:dyDescent="0.25">
      <c r="A260" s="2" t="s">
        <v>269</v>
      </c>
      <c r="B260" s="2" t="s">
        <v>856</v>
      </c>
      <c r="C260" s="2">
        <v>2400</v>
      </c>
      <c r="D260" s="2" t="s">
        <v>48</v>
      </c>
      <c r="E260" s="2">
        <v>3.75</v>
      </c>
      <c r="F260" s="2" t="s">
        <v>144</v>
      </c>
    </row>
    <row r="261" spans="1:6" x14ac:dyDescent="0.25">
      <c r="A261" s="2" t="s">
        <v>33</v>
      </c>
      <c r="B261" s="2" t="s">
        <v>344</v>
      </c>
      <c r="C261" s="2">
        <v>3300</v>
      </c>
      <c r="D261" s="2" t="s">
        <v>38</v>
      </c>
      <c r="E261" s="2">
        <v>3.746</v>
      </c>
      <c r="F261" s="2" t="s">
        <v>26</v>
      </c>
    </row>
    <row r="262" spans="1:6" x14ac:dyDescent="0.25">
      <c r="A262" s="2" t="s">
        <v>40</v>
      </c>
      <c r="B262" s="2" t="s">
        <v>349</v>
      </c>
      <c r="C262" s="2">
        <v>3300</v>
      </c>
      <c r="D262" s="2" t="s">
        <v>69</v>
      </c>
      <c r="E262" s="2">
        <v>3.7389999999999999</v>
      </c>
      <c r="F262" s="2" t="s">
        <v>1</v>
      </c>
    </row>
    <row r="263" spans="1:6" x14ac:dyDescent="0.25">
      <c r="A263" s="2" t="s">
        <v>33</v>
      </c>
      <c r="B263" s="2" t="s">
        <v>682</v>
      </c>
      <c r="C263" s="2">
        <v>3000</v>
      </c>
      <c r="D263" s="2" t="s">
        <v>45</v>
      </c>
      <c r="E263" s="2">
        <v>3.6749999999999998</v>
      </c>
      <c r="F263" s="2" t="s">
        <v>22</v>
      </c>
    </row>
    <row r="264" spans="1:6" x14ac:dyDescent="0.25">
      <c r="A264" s="2" t="s">
        <v>92</v>
      </c>
      <c r="B264" s="2" t="s">
        <v>785</v>
      </c>
      <c r="C264" s="2">
        <v>2500</v>
      </c>
      <c r="D264" s="2" t="s">
        <v>103</v>
      </c>
      <c r="E264" s="2">
        <v>3.593</v>
      </c>
      <c r="F264" s="2" t="s">
        <v>110</v>
      </c>
    </row>
    <row r="265" spans="1:6" x14ac:dyDescent="0.25">
      <c r="A265" s="2" t="s">
        <v>40</v>
      </c>
      <c r="B265" s="2" t="s">
        <v>486</v>
      </c>
      <c r="C265" s="2">
        <v>3000</v>
      </c>
      <c r="D265" s="2" t="s">
        <v>38</v>
      </c>
      <c r="E265" s="2">
        <v>3.5750000000000002</v>
      </c>
      <c r="F265" s="2" t="s">
        <v>26</v>
      </c>
    </row>
    <row r="266" spans="1:6" x14ac:dyDescent="0.25">
      <c r="A266" s="2" t="s">
        <v>40</v>
      </c>
      <c r="B266" s="2" t="s">
        <v>421</v>
      </c>
      <c r="C266" s="2">
        <v>3000</v>
      </c>
      <c r="D266" s="2" t="s">
        <v>43</v>
      </c>
      <c r="E266" s="2">
        <v>3.556</v>
      </c>
      <c r="F266" s="2" t="s">
        <v>27</v>
      </c>
    </row>
    <row r="267" spans="1:6" x14ac:dyDescent="0.25">
      <c r="A267" s="2" t="s">
        <v>33</v>
      </c>
      <c r="B267" s="2" t="s">
        <v>518</v>
      </c>
      <c r="C267" s="2">
        <v>3000</v>
      </c>
      <c r="D267" s="2" t="s">
        <v>103</v>
      </c>
      <c r="E267" s="2">
        <v>3.536</v>
      </c>
      <c r="F267" s="2" t="s">
        <v>110</v>
      </c>
    </row>
    <row r="268" spans="1:6" x14ac:dyDescent="0.25">
      <c r="A268" s="2" t="s">
        <v>64</v>
      </c>
      <c r="B268" s="2" t="s">
        <v>182</v>
      </c>
      <c r="C268" s="2">
        <v>4500</v>
      </c>
      <c r="D268" s="2" t="s">
        <v>62</v>
      </c>
      <c r="E268" s="2">
        <v>3.532</v>
      </c>
      <c r="F268" s="2" t="s">
        <v>63</v>
      </c>
    </row>
    <row r="269" spans="1:6" x14ac:dyDescent="0.25">
      <c r="A269" s="2" t="s">
        <v>40</v>
      </c>
      <c r="B269" s="2" t="s">
        <v>373</v>
      </c>
      <c r="C269" s="2">
        <v>3000</v>
      </c>
      <c r="D269" s="2" t="s">
        <v>48</v>
      </c>
      <c r="E269" s="2">
        <v>3.5059999999999998</v>
      </c>
      <c r="F269" s="2" t="s">
        <v>49</v>
      </c>
    </row>
    <row r="270" spans="1:6" x14ac:dyDescent="0.25">
      <c r="A270" s="2" t="s">
        <v>33</v>
      </c>
      <c r="B270" s="2" t="s">
        <v>643</v>
      </c>
      <c r="C270" s="2">
        <v>3000</v>
      </c>
      <c r="D270" s="2" t="s">
        <v>58</v>
      </c>
      <c r="E270" s="2">
        <v>3.492</v>
      </c>
      <c r="F270" s="2" t="s">
        <v>77</v>
      </c>
    </row>
    <row r="271" spans="1:6" x14ac:dyDescent="0.25">
      <c r="A271" s="2" t="s">
        <v>33</v>
      </c>
      <c r="B271" s="2" t="s">
        <v>582</v>
      </c>
      <c r="C271" s="2">
        <v>3000</v>
      </c>
      <c r="D271" s="2" t="s">
        <v>86</v>
      </c>
      <c r="E271" s="2">
        <v>3.4670000000000001</v>
      </c>
      <c r="F271" s="2" t="s">
        <v>21</v>
      </c>
    </row>
    <row r="272" spans="1:6" x14ac:dyDescent="0.25">
      <c r="A272" s="2" t="s">
        <v>33</v>
      </c>
      <c r="B272" s="2" t="s">
        <v>400</v>
      </c>
      <c r="C272" s="2">
        <v>3000</v>
      </c>
      <c r="D272" s="2" t="s">
        <v>43</v>
      </c>
      <c r="E272" s="2">
        <v>3.44</v>
      </c>
      <c r="F272" s="2" t="s">
        <v>23</v>
      </c>
    </row>
    <row r="273" spans="1:6" x14ac:dyDescent="0.25">
      <c r="A273" s="2" t="s">
        <v>33</v>
      </c>
      <c r="B273" s="2" t="s">
        <v>631</v>
      </c>
      <c r="C273" s="2">
        <v>3000</v>
      </c>
      <c r="D273" s="2" t="s">
        <v>58</v>
      </c>
      <c r="E273" s="2">
        <v>3.4260000000000002</v>
      </c>
      <c r="F273" s="2" t="s">
        <v>59</v>
      </c>
    </row>
    <row r="274" spans="1:6" x14ac:dyDescent="0.25">
      <c r="A274" s="2" t="s">
        <v>33</v>
      </c>
      <c r="B274" s="2" t="s">
        <v>571</v>
      </c>
      <c r="C274" s="2">
        <v>3000</v>
      </c>
      <c r="D274" s="2" t="s">
        <v>62</v>
      </c>
      <c r="E274" s="2">
        <v>3.4119999999999999</v>
      </c>
      <c r="F274" s="2" t="s">
        <v>67</v>
      </c>
    </row>
    <row r="275" spans="1:6" x14ac:dyDescent="0.25">
      <c r="A275" s="2" t="s">
        <v>40</v>
      </c>
      <c r="B275" s="2" t="s">
        <v>327</v>
      </c>
      <c r="C275" s="2">
        <v>3500</v>
      </c>
      <c r="D275" s="2" t="s">
        <v>103</v>
      </c>
      <c r="E275" s="2">
        <v>3.3879999999999999</v>
      </c>
      <c r="F275" s="2" t="s">
        <v>19</v>
      </c>
    </row>
    <row r="276" spans="1:6" x14ac:dyDescent="0.25">
      <c r="A276" s="2" t="s">
        <v>33</v>
      </c>
      <c r="B276" s="2" t="s">
        <v>96</v>
      </c>
      <c r="C276" s="2">
        <v>6100</v>
      </c>
      <c r="D276" s="2" t="s">
        <v>45</v>
      </c>
      <c r="E276" s="2">
        <v>3.35</v>
      </c>
      <c r="F276" s="2" t="s">
        <v>22</v>
      </c>
    </row>
    <row r="277" spans="1:6" x14ac:dyDescent="0.25">
      <c r="A277" s="2" t="s">
        <v>40</v>
      </c>
      <c r="B277" s="2" t="s">
        <v>606</v>
      </c>
      <c r="C277" s="2">
        <v>3000</v>
      </c>
      <c r="D277" s="2" t="s">
        <v>75</v>
      </c>
      <c r="E277" s="2">
        <v>3.3069999999999999</v>
      </c>
      <c r="F277" s="2" t="s">
        <v>25</v>
      </c>
    </row>
    <row r="278" spans="1:6" x14ac:dyDescent="0.25">
      <c r="A278" s="2" t="s">
        <v>40</v>
      </c>
      <c r="B278" s="2" t="s">
        <v>683</v>
      </c>
      <c r="C278" s="2">
        <v>3000</v>
      </c>
      <c r="D278" s="2" t="s">
        <v>45</v>
      </c>
      <c r="E278" s="2">
        <v>3.2879999999999998</v>
      </c>
      <c r="F278" s="2" t="s">
        <v>22</v>
      </c>
    </row>
    <row r="279" spans="1:6" x14ac:dyDescent="0.25">
      <c r="A279" s="2" t="s">
        <v>40</v>
      </c>
      <c r="B279" s="2" t="s">
        <v>563</v>
      </c>
      <c r="C279" s="2">
        <v>3000</v>
      </c>
      <c r="D279" s="2" t="s">
        <v>62</v>
      </c>
      <c r="E279" s="2">
        <v>3.2730000000000001</v>
      </c>
      <c r="F279" s="2" t="s">
        <v>63</v>
      </c>
    </row>
    <row r="280" spans="1:6" x14ac:dyDescent="0.25">
      <c r="A280" s="2" t="s">
        <v>92</v>
      </c>
      <c r="B280" s="2" t="s">
        <v>736</v>
      </c>
      <c r="C280" s="2">
        <v>2500</v>
      </c>
      <c r="D280" s="2" t="s">
        <v>43</v>
      </c>
      <c r="E280" s="2">
        <v>3.194</v>
      </c>
      <c r="F280" s="2" t="s">
        <v>23</v>
      </c>
    </row>
    <row r="281" spans="1:6" x14ac:dyDescent="0.25">
      <c r="A281" s="2" t="s">
        <v>92</v>
      </c>
      <c r="B281" s="2" t="s">
        <v>831</v>
      </c>
      <c r="C281" s="2">
        <v>2500</v>
      </c>
      <c r="D281" s="2" t="s">
        <v>58</v>
      </c>
      <c r="E281" s="2">
        <v>3.177</v>
      </c>
      <c r="F281" s="2" t="s">
        <v>77</v>
      </c>
    </row>
    <row r="282" spans="1:6" x14ac:dyDescent="0.25">
      <c r="A282" s="2" t="s">
        <v>92</v>
      </c>
      <c r="B282" s="2" t="s">
        <v>717</v>
      </c>
      <c r="C282" s="2">
        <v>2700</v>
      </c>
      <c r="D282" s="2" t="s">
        <v>75</v>
      </c>
      <c r="E282" s="2">
        <v>3.169</v>
      </c>
      <c r="F282" s="2" t="s">
        <v>25</v>
      </c>
    </row>
    <row r="283" spans="1:6" x14ac:dyDescent="0.25">
      <c r="A283" s="2" t="s">
        <v>40</v>
      </c>
      <c r="B283" s="2" t="s">
        <v>375</v>
      </c>
      <c r="C283" s="2">
        <v>3000</v>
      </c>
      <c r="D283" s="2" t="s">
        <v>48</v>
      </c>
      <c r="E283" s="2">
        <v>3.133</v>
      </c>
      <c r="F283" s="2" t="s">
        <v>49</v>
      </c>
    </row>
    <row r="284" spans="1:6" x14ac:dyDescent="0.25">
      <c r="A284" s="2" t="s">
        <v>269</v>
      </c>
      <c r="B284" s="2" t="s">
        <v>859</v>
      </c>
      <c r="C284" s="2">
        <v>2000</v>
      </c>
      <c r="D284" s="2" t="s">
        <v>35</v>
      </c>
      <c r="E284" s="2">
        <v>3.125</v>
      </c>
      <c r="F284" s="2" t="s">
        <v>20</v>
      </c>
    </row>
    <row r="285" spans="1:6" x14ac:dyDescent="0.25">
      <c r="A285" s="2" t="s">
        <v>40</v>
      </c>
      <c r="B285" s="2" t="s">
        <v>475</v>
      </c>
      <c r="C285" s="2">
        <v>3000</v>
      </c>
      <c r="D285" s="2" t="s">
        <v>35</v>
      </c>
      <c r="E285" s="2">
        <v>3.1</v>
      </c>
      <c r="F285" s="2" t="s">
        <v>36</v>
      </c>
    </row>
    <row r="286" spans="1:6" x14ac:dyDescent="0.25">
      <c r="A286" s="2" t="s">
        <v>40</v>
      </c>
      <c r="B286" s="2" t="s">
        <v>274</v>
      </c>
      <c r="C286" s="2">
        <v>3900</v>
      </c>
      <c r="D286" s="2" t="s">
        <v>103</v>
      </c>
      <c r="E286" s="2">
        <v>3.09</v>
      </c>
      <c r="F286" s="2" t="s">
        <v>19</v>
      </c>
    </row>
    <row r="287" spans="1:6" x14ac:dyDescent="0.25">
      <c r="A287" s="2" t="s">
        <v>40</v>
      </c>
      <c r="B287" s="2" t="s">
        <v>376</v>
      </c>
      <c r="C287" s="2">
        <v>3000</v>
      </c>
      <c r="D287" s="2" t="s">
        <v>48</v>
      </c>
      <c r="E287" s="2">
        <v>3.069</v>
      </c>
      <c r="F287" s="2" t="s">
        <v>49</v>
      </c>
    </row>
    <row r="288" spans="1:6" x14ac:dyDescent="0.25">
      <c r="A288" s="2" t="s">
        <v>33</v>
      </c>
      <c r="B288" s="2" t="s">
        <v>647</v>
      </c>
      <c r="C288" s="2">
        <v>3000</v>
      </c>
      <c r="D288" s="2" t="s">
        <v>58</v>
      </c>
      <c r="E288" s="2">
        <v>2.9670000000000001</v>
      </c>
      <c r="F288" s="2" t="s">
        <v>77</v>
      </c>
    </row>
    <row r="289" spans="1:6" x14ac:dyDescent="0.25">
      <c r="A289" s="2" t="s">
        <v>92</v>
      </c>
      <c r="B289" s="2" t="s">
        <v>781</v>
      </c>
      <c r="C289" s="2">
        <v>2500</v>
      </c>
      <c r="D289" s="2" t="s">
        <v>103</v>
      </c>
      <c r="E289" s="2">
        <v>2.9359999999999999</v>
      </c>
      <c r="F289" s="2" t="s">
        <v>110</v>
      </c>
    </row>
    <row r="290" spans="1:6" x14ac:dyDescent="0.25">
      <c r="A290" s="2" t="s">
        <v>33</v>
      </c>
      <c r="B290" s="2" t="s">
        <v>310</v>
      </c>
      <c r="C290" s="2">
        <v>3600</v>
      </c>
      <c r="D290" s="2" t="s">
        <v>43</v>
      </c>
      <c r="E290" s="2">
        <v>2.9329999999999998</v>
      </c>
      <c r="F290" s="2" t="s">
        <v>27</v>
      </c>
    </row>
    <row r="291" spans="1:6" x14ac:dyDescent="0.25">
      <c r="A291" s="2" t="s">
        <v>33</v>
      </c>
      <c r="B291" s="2" t="s">
        <v>286</v>
      </c>
      <c r="C291" s="2">
        <v>3800</v>
      </c>
      <c r="D291" s="2" t="s">
        <v>38</v>
      </c>
      <c r="E291" s="2">
        <v>2.93</v>
      </c>
      <c r="F291" s="2" t="s">
        <v>39</v>
      </c>
    </row>
    <row r="292" spans="1:6" x14ac:dyDescent="0.25">
      <c r="A292" s="2" t="s">
        <v>40</v>
      </c>
      <c r="B292" s="2" t="s">
        <v>407</v>
      </c>
      <c r="C292" s="2">
        <v>3000</v>
      </c>
      <c r="D292" s="2" t="s">
        <v>43</v>
      </c>
      <c r="E292" s="2">
        <v>2.9289999999999998</v>
      </c>
      <c r="F292" s="2" t="s">
        <v>23</v>
      </c>
    </row>
    <row r="293" spans="1:6" x14ac:dyDescent="0.25">
      <c r="A293" s="2" t="s">
        <v>40</v>
      </c>
      <c r="B293" s="2" t="s">
        <v>389</v>
      </c>
      <c r="C293" s="2">
        <v>3000</v>
      </c>
      <c r="D293" s="2" t="s">
        <v>48</v>
      </c>
      <c r="E293" s="2">
        <v>2.9220000000000002</v>
      </c>
      <c r="F293" s="2" t="s">
        <v>144</v>
      </c>
    </row>
    <row r="294" spans="1:6" x14ac:dyDescent="0.25">
      <c r="A294" s="2" t="s">
        <v>40</v>
      </c>
      <c r="B294" s="2" t="s">
        <v>357</v>
      </c>
      <c r="C294" s="2">
        <v>3200</v>
      </c>
      <c r="D294" s="2" t="s">
        <v>45</v>
      </c>
      <c r="E294" s="2">
        <v>2.9129999999999998</v>
      </c>
      <c r="F294" s="2" t="s">
        <v>46</v>
      </c>
    </row>
    <row r="295" spans="1:6" x14ac:dyDescent="0.25">
      <c r="A295" s="2" t="s">
        <v>33</v>
      </c>
      <c r="B295" s="2" t="s">
        <v>212</v>
      </c>
      <c r="C295" s="2">
        <v>4100</v>
      </c>
      <c r="D295" s="2" t="s">
        <v>55</v>
      </c>
      <c r="E295" s="2">
        <v>2.9119999999999999</v>
      </c>
      <c r="F295" s="2" t="s">
        <v>28</v>
      </c>
    </row>
    <row r="296" spans="1:6" x14ac:dyDescent="0.25">
      <c r="A296" s="2" t="s">
        <v>40</v>
      </c>
      <c r="B296" s="2" t="s">
        <v>324</v>
      </c>
      <c r="C296" s="2">
        <v>3500</v>
      </c>
      <c r="D296" s="2" t="s">
        <v>48</v>
      </c>
      <c r="E296" s="2">
        <v>2.907</v>
      </c>
      <c r="F296" s="2" t="s">
        <v>144</v>
      </c>
    </row>
    <row r="297" spans="1:6" x14ac:dyDescent="0.25">
      <c r="A297" s="2" t="s">
        <v>92</v>
      </c>
      <c r="B297" s="2" t="s">
        <v>848</v>
      </c>
      <c r="C297" s="2">
        <v>2500</v>
      </c>
      <c r="D297" s="2" t="s">
        <v>45</v>
      </c>
      <c r="E297" s="2">
        <v>2.9</v>
      </c>
      <c r="F297" s="2" t="s">
        <v>22</v>
      </c>
    </row>
    <row r="298" spans="1:6" x14ac:dyDescent="0.25">
      <c r="A298" s="2" t="s">
        <v>92</v>
      </c>
      <c r="B298" s="2" t="s">
        <v>759</v>
      </c>
      <c r="C298" s="2">
        <v>2500</v>
      </c>
      <c r="D298" s="2" t="s">
        <v>35</v>
      </c>
      <c r="E298" s="2">
        <v>2.8919999999999999</v>
      </c>
      <c r="F298" s="2" t="s">
        <v>20</v>
      </c>
    </row>
    <row r="299" spans="1:6" x14ac:dyDescent="0.25">
      <c r="A299" s="2" t="s">
        <v>33</v>
      </c>
      <c r="B299" s="2" t="s">
        <v>193</v>
      </c>
      <c r="C299" s="2">
        <v>4400</v>
      </c>
      <c r="D299" s="2" t="s">
        <v>45</v>
      </c>
      <c r="E299" s="2">
        <v>2.8860000000000001</v>
      </c>
      <c r="F299" s="2" t="s">
        <v>22</v>
      </c>
    </row>
    <row r="300" spans="1:6" x14ac:dyDescent="0.25">
      <c r="A300" s="2" t="s">
        <v>64</v>
      </c>
      <c r="B300" s="2" t="s">
        <v>185</v>
      </c>
      <c r="C300" s="2">
        <v>4500</v>
      </c>
      <c r="D300" s="2" t="s">
        <v>75</v>
      </c>
      <c r="E300" s="2">
        <v>2.7349999999999999</v>
      </c>
      <c r="F300" s="2" t="s">
        <v>25</v>
      </c>
    </row>
    <row r="301" spans="1:6" x14ac:dyDescent="0.25">
      <c r="A301" s="2" t="s">
        <v>33</v>
      </c>
      <c r="B301" s="2" t="s">
        <v>615</v>
      </c>
      <c r="C301" s="2">
        <v>3000</v>
      </c>
      <c r="D301" s="2" t="s">
        <v>75</v>
      </c>
      <c r="E301" s="2">
        <v>2.6640000000000001</v>
      </c>
      <c r="F301" s="2" t="s">
        <v>91</v>
      </c>
    </row>
    <row r="302" spans="1:6" x14ac:dyDescent="0.25">
      <c r="A302" s="2" t="s">
        <v>33</v>
      </c>
      <c r="B302" s="2" t="s">
        <v>440</v>
      </c>
      <c r="C302" s="2">
        <v>3000</v>
      </c>
      <c r="D302" s="2" t="s">
        <v>52</v>
      </c>
      <c r="E302" s="2">
        <v>2.65</v>
      </c>
      <c r="F302" s="2" t="s">
        <v>115</v>
      </c>
    </row>
    <row r="303" spans="1:6" x14ac:dyDescent="0.25">
      <c r="A303" s="2" t="s">
        <v>92</v>
      </c>
      <c r="B303" s="2" t="s">
        <v>854</v>
      </c>
      <c r="C303" s="2">
        <v>2500</v>
      </c>
      <c r="D303" s="2" t="s">
        <v>45</v>
      </c>
      <c r="E303" s="2">
        <v>2.6309999999999998</v>
      </c>
      <c r="F303" s="2" t="s">
        <v>46</v>
      </c>
    </row>
    <row r="304" spans="1:6" x14ac:dyDescent="0.25">
      <c r="A304" s="2" t="s">
        <v>33</v>
      </c>
      <c r="B304" s="2" t="s">
        <v>365</v>
      </c>
      <c r="C304" s="2">
        <v>3100</v>
      </c>
      <c r="D304" s="2" t="s">
        <v>45</v>
      </c>
      <c r="E304" s="2">
        <v>2.63</v>
      </c>
      <c r="F304" s="2" t="s">
        <v>46</v>
      </c>
    </row>
    <row r="305" spans="1:6" x14ac:dyDescent="0.25">
      <c r="A305" s="2" t="s">
        <v>40</v>
      </c>
      <c r="B305" s="2" t="s">
        <v>677</v>
      </c>
      <c r="C305" s="2">
        <v>3000</v>
      </c>
      <c r="D305" s="2" t="s">
        <v>69</v>
      </c>
      <c r="E305" s="2">
        <v>2.6</v>
      </c>
      <c r="F305" s="2" t="s">
        <v>70</v>
      </c>
    </row>
    <row r="306" spans="1:6" x14ac:dyDescent="0.25">
      <c r="A306" s="2" t="s">
        <v>92</v>
      </c>
      <c r="B306" s="2" t="s">
        <v>767</v>
      </c>
      <c r="C306" s="2">
        <v>2500</v>
      </c>
      <c r="D306" s="2" t="s">
        <v>38</v>
      </c>
      <c r="E306" s="2">
        <v>2.5289999999999999</v>
      </c>
      <c r="F306" s="2" t="s">
        <v>26</v>
      </c>
    </row>
    <row r="307" spans="1:6" x14ac:dyDescent="0.25">
      <c r="A307" s="2" t="s">
        <v>64</v>
      </c>
      <c r="B307" s="2" t="s">
        <v>210</v>
      </c>
      <c r="C307" s="2">
        <v>4100</v>
      </c>
      <c r="D307" s="2" t="s">
        <v>38</v>
      </c>
      <c r="E307" s="2">
        <v>2.476</v>
      </c>
      <c r="F307" s="2" t="s">
        <v>39</v>
      </c>
    </row>
    <row r="308" spans="1:6" x14ac:dyDescent="0.25">
      <c r="A308" s="2" t="s">
        <v>33</v>
      </c>
      <c r="B308" s="2" t="s">
        <v>543</v>
      </c>
      <c r="C308" s="2">
        <v>3000</v>
      </c>
      <c r="D308" s="2" t="s">
        <v>55</v>
      </c>
      <c r="E308" s="2">
        <v>2.407</v>
      </c>
      <c r="F308" s="2" t="s">
        <v>56</v>
      </c>
    </row>
    <row r="309" spans="1:6" x14ac:dyDescent="0.25">
      <c r="A309" s="2" t="s">
        <v>40</v>
      </c>
      <c r="B309" s="2" t="s">
        <v>465</v>
      </c>
      <c r="C309" s="2">
        <v>3000</v>
      </c>
      <c r="D309" s="2" t="s">
        <v>35</v>
      </c>
      <c r="E309" s="2">
        <v>2.4060000000000001</v>
      </c>
      <c r="F309" s="2" t="s">
        <v>20</v>
      </c>
    </row>
    <row r="310" spans="1:6" x14ac:dyDescent="0.25">
      <c r="A310" s="2" t="s">
        <v>40</v>
      </c>
      <c r="B310" s="2" t="s">
        <v>452</v>
      </c>
      <c r="C310" s="2">
        <v>3000</v>
      </c>
      <c r="D310" s="2" t="s">
        <v>52</v>
      </c>
      <c r="E310" s="2">
        <v>2.4</v>
      </c>
      <c r="F310" s="2" t="s">
        <v>115</v>
      </c>
    </row>
    <row r="311" spans="1:6" x14ac:dyDescent="0.25">
      <c r="A311" s="2" t="s">
        <v>33</v>
      </c>
      <c r="B311" s="2" t="s">
        <v>660</v>
      </c>
      <c r="C311" s="2">
        <v>3000</v>
      </c>
      <c r="D311" s="2" t="s">
        <v>69</v>
      </c>
      <c r="E311" s="2">
        <v>2.367</v>
      </c>
      <c r="F311" s="2" t="s">
        <v>1</v>
      </c>
    </row>
    <row r="312" spans="1:6" x14ac:dyDescent="0.25">
      <c r="A312" s="2" t="s">
        <v>40</v>
      </c>
      <c r="B312" s="2" t="s">
        <v>364</v>
      </c>
      <c r="C312" s="2">
        <v>3100</v>
      </c>
      <c r="D312" s="2" t="s">
        <v>75</v>
      </c>
      <c r="E312" s="2">
        <v>2.36</v>
      </c>
      <c r="F312" s="2" t="s">
        <v>91</v>
      </c>
    </row>
    <row r="313" spans="1:6" x14ac:dyDescent="0.25">
      <c r="A313" s="2" t="s">
        <v>92</v>
      </c>
      <c r="B313" s="2" t="s">
        <v>783</v>
      </c>
      <c r="C313" s="2">
        <v>2500</v>
      </c>
      <c r="D313" s="2" t="s">
        <v>103</v>
      </c>
      <c r="E313" s="2">
        <v>2.2999999999999998</v>
      </c>
      <c r="F313" s="2" t="s">
        <v>110</v>
      </c>
    </row>
    <row r="314" spans="1:6" x14ac:dyDescent="0.25">
      <c r="A314" s="2" t="s">
        <v>40</v>
      </c>
      <c r="B314" s="2" t="s">
        <v>649</v>
      </c>
      <c r="C314" s="2">
        <v>3000</v>
      </c>
      <c r="D314" s="2" t="s">
        <v>58</v>
      </c>
      <c r="E314" s="2">
        <v>2.2949999999999999</v>
      </c>
      <c r="F314" s="2" t="s">
        <v>77</v>
      </c>
    </row>
    <row r="315" spans="1:6" x14ac:dyDescent="0.25">
      <c r="A315" s="2" t="s">
        <v>40</v>
      </c>
      <c r="B315" s="2" t="s">
        <v>498</v>
      </c>
      <c r="C315" s="2">
        <v>3000</v>
      </c>
      <c r="D315" s="2" t="s">
        <v>38</v>
      </c>
      <c r="E315" s="2">
        <v>2.2829999999999999</v>
      </c>
      <c r="F315" s="2" t="s">
        <v>39</v>
      </c>
    </row>
    <row r="316" spans="1:6" x14ac:dyDescent="0.25">
      <c r="A316" s="2" t="s">
        <v>33</v>
      </c>
      <c r="B316" s="2" t="s">
        <v>605</v>
      </c>
      <c r="C316" s="2">
        <v>3000</v>
      </c>
      <c r="D316" s="2" t="s">
        <v>75</v>
      </c>
      <c r="E316" s="2">
        <v>2.2250000000000001</v>
      </c>
      <c r="F316" s="2" t="s">
        <v>25</v>
      </c>
    </row>
    <row r="317" spans="1:6" x14ac:dyDescent="0.25">
      <c r="A317" s="2" t="s">
        <v>92</v>
      </c>
      <c r="B317" s="2" t="s">
        <v>796</v>
      </c>
      <c r="C317" s="2">
        <v>2500</v>
      </c>
      <c r="D317" s="2" t="s">
        <v>62</v>
      </c>
      <c r="E317" s="2">
        <v>2.2250000000000001</v>
      </c>
      <c r="F317" s="2" t="s">
        <v>63</v>
      </c>
    </row>
    <row r="318" spans="1:6" x14ac:dyDescent="0.25">
      <c r="A318" s="2" t="s">
        <v>92</v>
      </c>
      <c r="B318" s="2" t="s">
        <v>800</v>
      </c>
      <c r="C318" s="2">
        <v>2500</v>
      </c>
      <c r="D318" s="2" t="s">
        <v>62</v>
      </c>
      <c r="E318" s="2">
        <v>2.2250000000000001</v>
      </c>
      <c r="F318" s="2" t="s">
        <v>67</v>
      </c>
    </row>
    <row r="319" spans="1:6" x14ac:dyDescent="0.25">
      <c r="A319" s="2" t="s">
        <v>92</v>
      </c>
      <c r="B319" s="2" t="s">
        <v>764</v>
      </c>
      <c r="C319" s="2">
        <v>2500</v>
      </c>
      <c r="D319" s="2" t="s">
        <v>35</v>
      </c>
      <c r="E319" s="2">
        <v>2.1749999999999998</v>
      </c>
      <c r="F319" s="2" t="s">
        <v>36</v>
      </c>
    </row>
    <row r="320" spans="1:6" x14ac:dyDescent="0.25">
      <c r="A320" s="2" t="s">
        <v>40</v>
      </c>
      <c r="B320" s="2" t="s">
        <v>551</v>
      </c>
      <c r="C320" s="2">
        <v>3000</v>
      </c>
      <c r="D320" s="2" t="s">
        <v>55</v>
      </c>
      <c r="E320" s="2">
        <v>2.169</v>
      </c>
      <c r="F320" s="2" t="s">
        <v>56</v>
      </c>
    </row>
    <row r="321" spans="1:6" x14ac:dyDescent="0.25">
      <c r="A321" s="2" t="s">
        <v>33</v>
      </c>
      <c r="B321" s="2" t="s">
        <v>366</v>
      </c>
      <c r="C321" s="2">
        <v>3000</v>
      </c>
      <c r="D321" s="2" t="s">
        <v>48</v>
      </c>
      <c r="E321" s="2">
        <v>2.1629999999999998</v>
      </c>
      <c r="F321" s="2" t="s">
        <v>49</v>
      </c>
    </row>
    <row r="322" spans="1:6" x14ac:dyDescent="0.25">
      <c r="A322" s="2" t="s">
        <v>40</v>
      </c>
      <c r="B322" s="2" t="s">
        <v>351</v>
      </c>
      <c r="C322" s="2">
        <v>3300</v>
      </c>
      <c r="D322" s="2" t="s">
        <v>45</v>
      </c>
      <c r="E322" s="2">
        <v>2.0499999999999998</v>
      </c>
      <c r="F322" s="2" t="s">
        <v>46</v>
      </c>
    </row>
    <row r="323" spans="1:6" x14ac:dyDescent="0.25">
      <c r="A323" s="2" t="s">
        <v>33</v>
      </c>
      <c r="B323" s="2" t="s">
        <v>504</v>
      </c>
      <c r="C323" s="2">
        <v>3000</v>
      </c>
      <c r="D323" s="2" t="s">
        <v>103</v>
      </c>
      <c r="E323" s="2">
        <v>2.0299999999999998</v>
      </c>
      <c r="F323" s="2" t="s">
        <v>19</v>
      </c>
    </row>
    <row r="324" spans="1:6" x14ac:dyDescent="0.25">
      <c r="A324" s="2" t="s">
        <v>33</v>
      </c>
      <c r="B324" s="2" t="s">
        <v>482</v>
      </c>
      <c r="C324" s="2">
        <v>3000</v>
      </c>
      <c r="D324" s="2" t="s">
        <v>38</v>
      </c>
      <c r="E324" s="2">
        <v>2.0249999999999999</v>
      </c>
      <c r="F324" s="2" t="s">
        <v>26</v>
      </c>
    </row>
    <row r="325" spans="1:6" x14ac:dyDescent="0.25">
      <c r="A325" s="2" t="s">
        <v>92</v>
      </c>
      <c r="B325" s="2" t="s">
        <v>753</v>
      </c>
      <c r="C325" s="2">
        <v>2500</v>
      </c>
      <c r="D325" s="2" t="s">
        <v>52</v>
      </c>
      <c r="E325" s="2">
        <v>1.9470000000000001</v>
      </c>
      <c r="F325" s="2" t="s">
        <v>115</v>
      </c>
    </row>
    <row r="326" spans="1:6" x14ac:dyDescent="0.25">
      <c r="A326" s="2" t="s">
        <v>33</v>
      </c>
      <c r="B326" s="2" t="s">
        <v>642</v>
      </c>
      <c r="C326" s="2">
        <v>3000</v>
      </c>
      <c r="D326" s="2" t="s">
        <v>58</v>
      </c>
      <c r="E326" s="2">
        <v>1.9379999999999999</v>
      </c>
      <c r="F326" s="2" t="s">
        <v>77</v>
      </c>
    </row>
    <row r="327" spans="1:6" x14ac:dyDescent="0.25">
      <c r="A327" s="2" t="s">
        <v>40</v>
      </c>
      <c r="B327" s="2" t="s">
        <v>319</v>
      </c>
      <c r="C327" s="2">
        <v>3600</v>
      </c>
      <c r="D327" s="2" t="s">
        <v>58</v>
      </c>
      <c r="E327" s="2">
        <v>1.9</v>
      </c>
      <c r="F327" s="2" t="s">
        <v>59</v>
      </c>
    </row>
    <row r="328" spans="1:6" x14ac:dyDescent="0.25">
      <c r="A328" s="2" t="s">
        <v>33</v>
      </c>
      <c r="B328" s="2" t="s">
        <v>336</v>
      </c>
      <c r="C328" s="2">
        <v>3400</v>
      </c>
      <c r="D328" s="2" t="s">
        <v>38</v>
      </c>
      <c r="E328" s="2">
        <v>1.881</v>
      </c>
      <c r="F328" s="2" t="s">
        <v>39</v>
      </c>
    </row>
    <row r="329" spans="1:6" x14ac:dyDescent="0.25">
      <c r="A329" s="2" t="s">
        <v>33</v>
      </c>
      <c r="B329" s="2" t="s">
        <v>641</v>
      </c>
      <c r="C329" s="2">
        <v>3000</v>
      </c>
      <c r="D329" s="2" t="s">
        <v>58</v>
      </c>
      <c r="E329" s="2">
        <v>1.867</v>
      </c>
      <c r="F329" s="2" t="s">
        <v>77</v>
      </c>
    </row>
    <row r="330" spans="1:6" x14ac:dyDescent="0.25">
      <c r="A330" s="2" t="s">
        <v>92</v>
      </c>
      <c r="B330" s="2" t="s">
        <v>786</v>
      </c>
      <c r="C330" s="2">
        <v>2500</v>
      </c>
      <c r="D330" s="2" t="s">
        <v>55</v>
      </c>
      <c r="E330" s="2">
        <v>1.847</v>
      </c>
      <c r="F330" s="2" t="s">
        <v>28</v>
      </c>
    </row>
    <row r="331" spans="1:6" x14ac:dyDescent="0.25">
      <c r="A331" s="2" t="s">
        <v>92</v>
      </c>
      <c r="B331" s="2" t="s">
        <v>807</v>
      </c>
      <c r="C331" s="2">
        <v>2500</v>
      </c>
      <c r="D331" s="2" t="s">
        <v>86</v>
      </c>
      <c r="E331" s="2">
        <v>1.8440000000000001</v>
      </c>
      <c r="F331" s="2" t="s">
        <v>21</v>
      </c>
    </row>
    <row r="332" spans="1:6" x14ac:dyDescent="0.25">
      <c r="A332" s="2" t="s">
        <v>92</v>
      </c>
      <c r="B332" s="2" t="s">
        <v>843</v>
      </c>
      <c r="C332" s="2">
        <v>2500</v>
      </c>
      <c r="D332" s="2" t="s">
        <v>69</v>
      </c>
      <c r="E332" s="2">
        <v>1.8380000000000001</v>
      </c>
      <c r="F332" s="2" t="s">
        <v>70</v>
      </c>
    </row>
    <row r="333" spans="1:6" x14ac:dyDescent="0.25">
      <c r="A333" s="2" t="s">
        <v>33</v>
      </c>
      <c r="B333" s="2" t="s">
        <v>415</v>
      </c>
      <c r="C333" s="2">
        <v>3000</v>
      </c>
      <c r="D333" s="2" t="s">
        <v>43</v>
      </c>
      <c r="E333" s="2">
        <v>1.7769999999999999</v>
      </c>
      <c r="F333" s="2" t="s">
        <v>27</v>
      </c>
    </row>
    <row r="334" spans="1:6" x14ac:dyDescent="0.25">
      <c r="A334" s="2" t="s">
        <v>92</v>
      </c>
      <c r="B334" s="2" t="s">
        <v>788</v>
      </c>
      <c r="C334" s="2">
        <v>2500</v>
      </c>
      <c r="D334" s="2" t="s">
        <v>55</v>
      </c>
      <c r="E334" s="2">
        <v>1.7689999999999999</v>
      </c>
      <c r="F334" s="2" t="s">
        <v>28</v>
      </c>
    </row>
    <row r="335" spans="1:6" x14ac:dyDescent="0.25">
      <c r="A335" s="2" t="s">
        <v>40</v>
      </c>
      <c r="B335" s="2" t="s">
        <v>501</v>
      </c>
      <c r="C335" s="2">
        <v>3000</v>
      </c>
      <c r="D335" s="2" t="s">
        <v>38</v>
      </c>
      <c r="E335" s="2">
        <v>1.7669999999999999</v>
      </c>
      <c r="F335" s="2" t="s">
        <v>39</v>
      </c>
    </row>
    <row r="336" spans="1:6" x14ac:dyDescent="0.25">
      <c r="A336" s="2" t="s">
        <v>92</v>
      </c>
      <c r="B336" s="2" t="s">
        <v>779</v>
      </c>
      <c r="C336" s="2">
        <v>2500</v>
      </c>
      <c r="D336" s="2" t="s">
        <v>103</v>
      </c>
      <c r="E336" s="2">
        <v>1.7529999999999999</v>
      </c>
      <c r="F336" s="2" t="s">
        <v>19</v>
      </c>
    </row>
    <row r="337" spans="1:6" x14ac:dyDescent="0.25">
      <c r="A337" s="2" t="s">
        <v>92</v>
      </c>
      <c r="B337" s="2" t="s">
        <v>755</v>
      </c>
      <c r="C337" s="2">
        <v>2500</v>
      </c>
      <c r="D337" s="2" t="s">
        <v>52</v>
      </c>
      <c r="E337" s="2">
        <v>1.7330000000000001</v>
      </c>
      <c r="F337" s="2" t="s">
        <v>115</v>
      </c>
    </row>
    <row r="338" spans="1:6" x14ac:dyDescent="0.25">
      <c r="A338" s="2" t="s">
        <v>33</v>
      </c>
      <c r="B338" s="2" t="s">
        <v>458</v>
      </c>
      <c r="C338" s="2">
        <v>3000</v>
      </c>
      <c r="D338" s="2" t="s">
        <v>35</v>
      </c>
      <c r="E338" s="2">
        <v>1.675</v>
      </c>
      <c r="F338" s="2" t="s">
        <v>20</v>
      </c>
    </row>
    <row r="339" spans="1:6" x14ac:dyDescent="0.25">
      <c r="A339" s="2" t="s">
        <v>33</v>
      </c>
      <c r="B339" s="2" t="s">
        <v>592</v>
      </c>
      <c r="C339" s="2">
        <v>3000</v>
      </c>
      <c r="D339" s="2" t="s">
        <v>86</v>
      </c>
      <c r="E339" s="2">
        <v>1.667</v>
      </c>
      <c r="F339" s="2" t="s">
        <v>24</v>
      </c>
    </row>
    <row r="340" spans="1:6" x14ac:dyDescent="0.25">
      <c r="A340" s="2" t="s">
        <v>40</v>
      </c>
      <c r="B340" s="2" t="s">
        <v>668</v>
      </c>
      <c r="C340" s="2">
        <v>3000</v>
      </c>
      <c r="D340" s="2" t="s">
        <v>69</v>
      </c>
      <c r="E340" s="2">
        <v>1.65</v>
      </c>
      <c r="F340" s="2" t="s">
        <v>1</v>
      </c>
    </row>
    <row r="341" spans="1:6" x14ac:dyDescent="0.25">
      <c r="A341" s="2" t="s">
        <v>40</v>
      </c>
      <c r="B341" s="2" t="s">
        <v>381</v>
      </c>
      <c r="C341" s="2">
        <v>3000</v>
      </c>
      <c r="D341" s="2" t="s">
        <v>48</v>
      </c>
      <c r="E341" s="2">
        <v>1.633</v>
      </c>
      <c r="F341" s="2" t="s">
        <v>49</v>
      </c>
    </row>
    <row r="342" spans="1:6" x14ac:dyDescent="0.25">
      <c r="A342" s="2" t="s">
        <v>92</v>
      </c>
      <c r="B342" s="2" t="s">
        <v>723</v>
      </c>
      <c r="C342" s="2">
        <v>2600</v>
      </c>
      <c r="D342" s="2" t="s">
        <v>75</v>
      </c>
      <c r="E342" s="2">
        <v>1.5940000000000001</v>
      </c>
      <c r="F342" s="2" t="s">
        <v>91</v>
      </c>
    </row>
    <row r="343" spans="1:6" x14ac:dyDescent="0.25">
      <c r="A343" s="2" t="s">
        <v>40</v>
      </c>
      <c r="B343" s="2" t="s">
        <v>522</v>
      </c>
      <c r="C343" s="2">
        <v>3000</v>
      </c>
      <c r="D343" s="2" t="s">
        <v>103</v>
      </c>
      <c r="E343" s="2">
        <v>1.5069999999999999</v>
      </c>
      <c r="F343" s="2" t="s">
        <v>110</v>
      </c>
    </row>
    <row r="344" spans="1:6" x14ac:dyDescent="0.25">
      <c r="A344" s="2" t="s">
        <v>64</v>
      </c>
      <c r="B344" s="2" t="s">
        <v>186</v>
      </c>
      <c r="C344" s="2">
        <v>4500</v>
      </c>
      <c r="D344" s="2" t="s">
        <v>58</v>
      </c>
      <c r="E344" s="2">
        <v>1.4830000000000001</v>
      </c>
      <c r="F344" s="2" t="s">
        <v>77</v>
      </c>
    </row>
    <row r="345" spans="1:6" x14ac:dyDescent="0.25">
      <c r="A345" s="2" t="s">
        <v>33</v>
      </c>
      <c r="B345" s="2" t="s">
        <v>602</v>
      </c>
      <c r="C345" s="2">
        <v>3000</v>
      </c>
      <c r="D345" s="2" t="s">
        <v>75</v>
      </c>
      <c r="E345" s="2">
        <v>1.4750000000000001</v>
      </c>
      <c r="F345" s="2" t="s">
        <v>25</v>
      </c>
    </row>
    <row r="346" spans="1:6" x14ac:dyDescent="0.25">
      <c r="A346" s="2" t="s">
        <v>40</v>
      </c>
      <c r="B346" s="2" t="s">
        <v>593</v>
      </c>
      <c r="C346" s="2">
        <v>3000</v>
      </c>
      <c r="D346" s="2" t="s">
        <v>86</v>
      </c>
      <c r="E346" s="2">
        <v>1.46</v>
      </c>
      <c r="F346" s="2" t="s">
        <v>24</v>
      </c>
    </row>
    <row r="347" spans="1:6" x14ac:dyDescent="0.25">
      <c r="A347" s="2" t="s">
        <v>92</v>
      </c>
      <c r="B347" s="2" t="s">
        <v>850</v>
      </c>
      <c r="C347" s="2">
        <v>2500</v>
      </c>
      <c r="D347" s="2" t="s">
        <v>45</v>
      </c>
      <c r="E347" s="2">
        <v>1.4330000000000001</v>
      </c>
      <c r="F347" s="2" t="s">
        <v>22</v>
      </c>
    </row>
    <row r="348" spans="1:6" x14ac:dyDescent="0.25">
      <c r="A348" s="2" t="s">
        <v>92</v>
      </c>
      <c r="B348" s="2" t="s">
        <v>727</v>
      </c>
      <c r="C348" s="2">
        <v>2500</v>
      </c>
      <c r="D348" s="2" t="s">
        <v>48</v>
      </c>
      <c r="E348" s="2">
        <v>1.4</v>
      </c>
      <c r="F348" s="2" t="s">
        <v>49</v>
      </c>
    </row>
    <row r="349" spans="1:6" x14ac:dyDescent="0.25">
      <c r="A349" s="2" t="s">
        <v>92</v>
      </c>
      <c r="B349" s="2" t="s">
        <v>776</v>
      </c>
      <c r="C349" s="2">
        <v>2500</v>
      </c>
      <c r="D349" s="2" t="s">
        <v>38</v>
      </c>
      <c r="E349" s="2">
        <v>1.4</v>
      </c>
      <c r="F349" s="2" t="s">
        <v>39</v>
      </c>
    </row>
    <row r="350" spans="1:6" x14ac:dyDescent="0.25">
      <c r="A350" s="2" t="s">
        <v>92</v>
      </c>
      <c r="B350" s="2" t="s">
        <v>852</v>
      </c>
      <c r="C350" s="2">
        <v>2500</v>
      </c>
      <c r="D350" s="2" t="s">
        <v>45</v>
      </c>
      <c r="E350" s="2">
        <v>1.387</v>
      </c>
      <c r="F350" s="2" t="s">
        <v>46</v>
      </c>
    </row>
    <row r="351" spans="1:6" x14ac:dyDescent="0.25">
      <c r="A351" s="2" t="s">
        <v>92</v>
      </c>
      <c r="B351" s="2" t="s">
        <v>747</v>
      </c>
      <c r="C351" s="2">
        <v>2500</v>
      </c>
      <c r="D351" s="2" t="s">
        <v>52</v>
      </c>
      <c r="E351" s="2">
        <v>1.371</v>
      </c>
      <c r="F351" s="2" t="s">
        <v>53</v>
      </c>
    </row>
    <row r="352" spans="1:6" x14ac:dyDescent="0.25">
      <c r="A352" s="2" t="s">
        <v>33</v>
      </c>
      <c r="B352" s="2" t="s">
        <v>445</v>
      </c>
      <c r="C352" s="2">
        <v>3000</v>
      </c>
      <c r="D352" s="2" t="s">
        <v>52</v>
      </c>
      <c r="E352" s="2">
        <v>1.333</v>
      </c>
      <c r="F352" s="2" t="s">
        <v>115</v>
      </c>
    </row>
    <row r="353" spans="1:6" x14ac:dyDescent="0.25">
      <c r="A353" s="2" t="s">
        <v>92</v>
      </c>
      <c r="B353" s="2" t="s">
        <v>739</v>
      </c>
      <c r="C353" s="2">
        <v>2500</v>
      </c>
      <c r="D353" s="2" t="s">
        <v>43</v>
      </c>
      <c r="E353" s="2">
        <v>1.32</v>
      </c>
      <c r="F353" s="2" t="s">
        <v>23</v>
      </c>
    </row>
    <row r="354" spans="1:6" x14ac:dyDescent="0.25">
      <c r="A354" s="2" t="s">
        <v>33</v>
      </c>
      <c r="B354" s="2" t="s">
        <v>268</v>
      </c>
      <c r="C354" s="2">
        <v>3900</v>
      </c>
      <c r="D354" s="2" t="s">
        <v>48</v>
      </c>
      <c r="E354" s="2">
        <v>1.3089999999999999</v>
      </c>
      <c r="F354" s="2" t="s">
        <v>49</v>
      </c>
    </row>
    <row r="355" spans="1:6" x14ac:dyDescent="0.25">
      <c r="A355" s="2" t="s">
        <v>40</v>
      </c>
      <c r="B355" s="2" t="s">
        <v>586</v>
      </c>
      <c r="C355" s="2">
        <v>3000</v>
      </c>
      <c r="D355" s="2" t="s">
        <v>86</v>
      </c>
      <c r="E355" s="2">
        <v>1.3</v>
      </c>
      <c r="F355" s="2" t="s">
        <v>21</v>
      </c>
    </row>
    <row r="356" spans="1:6" x14ac:dyDescent="0.25">
      <c r="A356" s="2" t="s">
        <v>33</v>
      </c>
      <c r="B356" s="2" t="s">
        <v>368</v>
      </c>
      <c r="C356" s="2">
        <v>3000</v>
      </c>
      <c r="D356" s="2" t="s">
        <v>48</v>
      </c>
      <c r="E356" s="2">
        <v>1.2390000000000001</v>
      </c>
      <c r="F356" s="2" t="s">
        <v>49</v>
      </c>
    </row>
    <row r="357" spans="1:6" x14ac:dyDescent="0.25">
      <c r="A357" s="2" t="s">
        <v>40</v>
      </c>
      <c r="B357" s="2" t="s">
        <v>608</v>
      </c>
      <c r="C357" s="2">
        <v>3000</v>
      </c>
      <c r="D357" s="2" t="s">
        <v>75</v>
      </c>
      <c r="E357" s="2">
        <v>1.2170000000000001</v>
      </c>
      <c r="F357" s="2" t="s">
        <v>25</v>
      </c>
    </row>
    <row r="358" spans="1:6" x14ac:dyDescent="0.25">
      <c r="A358" s="2" t="s">
        <v>64</v>
      </c>
      <c r="B358" s="2" t="s">
        <v>246</v>
      </c>
      <c r="C358" s="2">
        <v>4000</v>
      </c>
      <c r="D358" s="2" t="s">
        <v>62</v>
      </c>
      <c r="E358" s="2">
        <v>1.206</v>
      </c>
      <c r="F358" s="2" t="s">
        <v>67</v>
      </c>
    </row>
    <row r="359" spans="1:6" x14ac:dyDescent="0.25">
      <c r="A359" s="2" t="s">
        <v>92</v>
      </c>
      <c r="B359" s="2" t="s">
        <v>820</v>
      </c>
      <c r="C359" s="2">
        <v>2500</v>
      </c>
      <c r="D359" s="2" t="s">
        <v>75</v>
      </c>
      <c r="E359" s="2">
        <v>1.1499999999999999</v>
      </c>
      <c r="F359" s="2" t="s">
        <v>25</v>
      </c>
    </row>
    <row r="360" spans="1:6" x14ac:dyDescent="0.25">
      <c r="A360" s="2" t="s">
        <v>92</v>
      </c>
      <c r="B360" s="2" t="s">
        <v>792</v>
      </c>
      <c r="C360" s="2">
        <v>2500</v>
      </c>
      <c r="D360" s="2" t="s">
        <v>55</v>
      </c>
      <c r="E360" s="2">
        <v>1.129</v>
      </c>
      <c r="F360" s="2" t="s">
        <v>56</v>
      </c>
    </row>
    <row r="361" spans="1:6" x14ac:dyDescent="0.25">
      <c r="A361" s="2" t="s">
        <v>40</v>
      </c>
      <c r="B361" s="2" t="s">
        <v>338</v>
      </c>
      <c r="C361" s="2">
        <v>3400</v>
      </c>
      <c r="D361" s="2" t="s">
        <v>86</v>
      </c>
      <c r="E361" s="2">
        <v>1.038</v>
      </c>
      <c r="F361" s="2" t="s">
        <v>24</v>
      </c>
    </row>
    <row r="362" spans="1:6" x14ac:dyDescent="0.25">
      <c r="A362" s="2" t="s">
        <v>33</v>
      </c>
      <c r="B362" s="2" t="s">
        <v>441</v>
      </c>
      <c r="C362" s="2">
        <v>3000</v>
      </c>
      <c r="D362" s="2" t="s">
        <v>52</v>
      </c>
      <c r="E362" s="2">
        <v>0.98799999999999999</v>
      </c>
      <c r="F362" s="2" t="s">
        <v>115</v>
      </c>
    </row>
    <row r="363" spans="1:6" x14ac:dyDescent="0.25">
      <c r="A363" s="2" t="s">
        <v>92</v>
      </c>
      <c r="B363" s="2" t="s">
        <v>841</v>
      </c>
      <c r="C363" s="2">
        <v>2500</v>
      </c>
      <c r="D363" s="2" t="s">
        <v>69</v>
      </c>
      <c r="E363" s="2">
        <v>0.96199999999999997</v>
      </c>
      <c r="F363" s="2" t="s">
        <v>1</v>
      </c>
    </row>
    <row r="364" spans="1:6" x14ac:dyDescent="0.25">
      <c r="A364" s="2" t="s">
        <v>92</v>
      </c>
      <c r="B364" s="2" t="s">
        <v>37</v>
      </c>
      <c r="C364" s="2">
        <v>2500</v>
      </c>
      <c r="D364" s="2" t="s">
        <v>35</v>
      </c>
      <c r="E364" s="2">
        <v>0.95299999999999996</v>
      </c>
      <c r="F364" s="2" t="s">
        <v>36</v>
      </c>
    </row>
    <row r="365" spans="1:6" x14ac:dyDescent="0.25">
      <c r="A365" s="2" t="s">
        <v>40</v>
      </c>
      <c r="B365" s="2" t="s">
        <v>397</v>
      </c>
      <c r="C365" s="2">
        <v>3000</v>
      </c>
      <c r="D365" s="2" t="s">
        <v>48</v>
      </c>
      <c r="E365" s="2">
        <v>0.93799999999999994</v>
      </c>
      <c r="F365" s="2" t="s">
        <v>144</v>
      </c>
    </row>
    <row r="366" spans="1:6" x14ac:dyDescent="0.25">
      <c r="A366" s="2" t="s">
        <v>33</v>
      </c>
      <c r="B366" s="2" t="s">
        <v>474</v>
      </c>
      <c r="C366" s="2">
        <v>3000</v>
      </c>
      <c r="D366" s="2" t="s">
        <v>35</v>
      </c>
      <c r="E366" s="2">
        <v>0.93600000000000005</v>
      </c>
      <c r="F366" s="2" t="s">
        <v>36</v>
      </c>
    </row>
    <row r="367" spans="1:6" x14ac:dyDescent="0.25">
      <c r="A367" s="2" t="s">
        <v>40</v>
      </c>
      <c r="B367" s="2" t="s">
        <v>666</v>
      </c>
      <c r="C367" s="2">
        <v>3000</v>
      </c>
      <c r="D367" s="2" t="s">
        <v>69</v>
      </c>
      <c r="E367" s="2">
        <v>0.92500000000000004</v>
      </c>
      <c r="F367" s="2" t="s">
        <v>1</v>
      </c>
    </row>
    <row r="368" spans="1:6" x14ac:dyDescent="0.25">
      <c r="A368" s="2" t="s">
        <v>40</v>
      </c>
      <c r="B368" s="2" t="s">
        <v>446</v>
      </c>
      <c r="C368" s="2">
        <v>3000</v>
      </c>
      <c r="D368" s="2" t="s">
        <v>52</v>
      </c>
      <c r="E368" s="2">
        <v>0.9</v>
      </c>
      <c r="F368" s="2" t="s">
        <v>115</v>
      </c>
    </row>
    <row r="369" spans="1:6" x14ac:dyDescent="0.25">
      <c r="A369" s="2" t="s">
        <v>40</v>
      </c>
      <c r="B369" s="2" t="s">
        <v>526</v>
      </c>
      <c r="C369" s="2">
        <v>3000</v>
      </c>
      <c r="D369" s="2" t="s">
        <v>103</v>
      </c>
      <c r="E369" s="2">
        <v>0.9</v>
      </c>
      <c r="F369" s="2" t="s">
        <v>110</v>
      </c>
    </row>
    <row r="370" spans="1:6" x14ac:dyDescent="0.25">
      <c r="A370" s="2" t="s">
        <v>40</v>
      </c>
      <c r="B370" s="2" t="s">
        <v>463</v>
      </c>
      <c r="C370" s="2">
        <v>3000</v>
      </c>
      <c r="D370" s="2" t="s">
        <v>35</v>
      </c>
      <c r="E370" s="2">
        <v>0.85599999999999998</v>
      </c>
      <c r="F370" s="2" t="s">
        <v>20</v>
      </c>
    </row>
    <row r="371" spans="1:6" x14ac:dyDescent="0.25">
      <c r="A371" s="2" t="s">
        <v>40</v>
      </c>
      <c r="B371" s="2" t="s">
        <v>538</v>
      </c>
      <c r="C371" s="2">
        <v>3000</v>
      </c>
      <c r="D371" s="2" t="s">
        <v>55</v>
      </c>
      <c r="E371" s="2">
        <v>0.85</v>
      </c>
      <c r="F371" s="2" t="s">
        <v>28</v>
      </c>
    </row>
    <row r="372" spans="1:6" x14ac:dyDescent="0.25">
      <c r="A372" s="2" t="s">
        <v>92</v>
      </c>
      <c r="B372" s="2" t="s">
        <v>744</v>
      </c>
      <c r="C372" s="2">
        <v>2500</v>
      </c>
      <c r="D372" s="2" t="s">
        <v>43</v>
      </c>
      <c r="E372" s="2">
        <v>0.82499999999999996</v>
      </c>
      <c r="F372" s="2" t="s">
        <v>27</v>
      </c>
    </row>
    <row r="373" spans="1:6" x14ac:dyDescent="0.25">
      <c r="A373" s="2" t="s">
        <v>40</v>
      </c>
      <c r="B373" s="2" t="s">
        <v>439</v>
      </c>
      <c r="C373" s="2">
        <v>3000</v>
      </c>
      <c r="D373" s="2" t="s">
        <v>52</v>
      </c>
      <c r="E373" s="2">
        <v>0.81899999999999995</v>
      </c>
      <c r="F373" s="2" t="s">
        <v>53</v>
      </c>
    </row>
    <row r="374" spans="1:6" x14ac:dyDescent="0.25">
      <c r="A374" s="2" t="s">
        <v>40</v>
      </c>
      <c r="B374" s="2" t="s">
        <v>621</v>
      </c>
      <c r="C374" s="2">
        <v>3000</v>
      </c>
      <c r="D374" s="2" t="s">
        <v>75</v>
      </c>
      <c r="E374" s="2">
        <v>0.8</v>
      </c>
      <c r="F374" s="2" t="s">
        <v>91</v>
      </c>
    </row>
    <row r="375" spans="1:6" x14ac:dyDescent="0.25">
      <c r="A375" s="2" t="s">
        <v>40</v>
      </c>
      <c r="B375" s="2" t="s">
        <v>636</v>
      </c>
      <c r="C375" s="2">
        <v>3000</v>
      </c>
      <c r="D375" s="2" t="s">
        <v>58</v>
      </c>
      <c r="E375" s="2">
        <v>0.8</v>
      </c>
      <c r="F375" s="2" t="s">
        <v>59</v>
      </c>
    </row>
    <row r="376" spans="1:6" x14ac:dyDescent="0.25">
      <c r="A376" s="2" t="s">
        <v>92</v>
      </c>
      <c r="B376" s="2" t="s">
        <v>775</v>
      </c>
      <c r="C376" s="2">
        <v>2500</v>
      </c>
      <c r="D376" s="2" t="s">
        <v>38</v>
      </c>
      <c r="E376" s="2">
        <v>0.8</v>
      </c>
      <c r="F376" s="2" t="s">
        <v>39</v>
      </c>
    </row>
    <row r="377" spans="1:6" x14ac:dyDescent="0.25">
      <c r="A377" s="2" t="s">
        <v>40</v>
      </c>
      <c r="B377" s="2" t="s">
        <v>378</v>
      </c>
      <c r="C377" s="2">
        <v>3000</v>
      </c>
      <c r="D377" s="2" t="s">
        <v>48</v>
      </c>
      <c r="E377" s="2">
        <v>0.77500000000000002</v>
      </c>
      <c r="F377" s="2" t="s">
        <v>49</v>
      </c>
    </row>
    <row r="378" spans="1:6" x14ac:dyDescent="0.25">
      <c r="A378" s="2" t="s">
        <v>33</v>
      </c>
      <c r="B378" s="2" t="s">
        <v>385</v>
      </c>
      <c r="C378" s="2">
        <v>3000</v>
      </c>
      <c r="D378" s="2" t="s">
        <v>48</v>
      </c>
      <c r="E378" s="2">
        <v>0.74399999999999999</v>
      </c>
      <c r="F378" s="2" t="s">
        <v>144</v>
      </c>
    </row>
    <row r="379" spans="1:6" x14ac:dyDescent="0.25">
      <c r="A379" s="2" t="s">
        <v>33</v>
      </c>
      <c r="B379" s="2" t="s">
        <v>457</v>
      </c>
      <c r="C379" s="2">
        <v>3000</v>
      </c>
      <c r="D379" s="2" t="s">
        <v>35</v>
      </c>
      <c r="E379" s="2">
        <v>0.74399999999999999</v>
      </c>
      <c r="F379" s="2" t="s">
        <v>20</v>
      </c>
    </row>
    <row r="380" spans="1:6" x14ac:dyDescent="0.25">
      <c r="A380" s="2" t="s">
        <v>33</v>
      </c>
      <c r="B380" s="2" t="s">
        <v>367</v>
      </c>
      <c r="C380" s="2">
        <v>3000</v>
      </c>
      <c r="D380" s="2" t="s">
        <v>48</v>
      </c>
      <c r="E380" s="2">
        <v>0.7</v>
      </c>
      <c r="F380" s="2" t="s">
        <v>49</v>
      </c>
    </row>
    <row r="381" spans="1:6" x14ac:dyDescent="0.25">
      <c r="A381" s="2" t="s">
        <v>92</v>
      </c>
      <c r="B381" s="2" t="s">
        <v>835</v>
      </c>
      <c r="C381" s="2">
        <v>2500</v>
      </c>
      <c r="D381" s="2" t="s">
        <v>58</v>
      </c>
      <c r="E381" s="2">
        <v>0.68899999999999995</v>
      </c>
      <c r="F381" s="2" t="s">
        <v>77</v>
      </c>
    </row>
    <row r="382" spans="1:6" x14ac:dyDescent="0.25">
      <c r="A382" s="2" t="s">
        <v>92</v>
      </c>
      <c r="B382" s="2" t="s">
        <v>782</v>
      </c>
      <c r="C382" s="2">
        <v>2500</v>
      </c>
      <c r="D382" s="2" t="s">
        <v>103</v>
      </c>
      <c r="E382" s="2">
        <v>0.68300000000000005</v>
      </c>
      <c r="F382" s="2" t="s">
        <v>110</v>
      </c>
    </row>
    <row r="383" spans="1:6" x14ac:dyDescent="0.25">
      <c r="A383" s="2" t="s">
        <v>40</v>
      </c>
      <c r="B383" s="2" t="s">
        <v>528</v>
      </c>
      <c r="C383" s="2">
        <v>3000</v>
      </c>
      <c r="D383" s="2" t="s">
        <v>103</v>
      </c>
      <c r="E383" s="2">
        <v>0.68</v>
      </c>
      <c r="F383" s="2" t="s">
        <v>110</v>
      </c>
    </row>
    <row r="384" spans="1:6" x14ac:dyDescent="0.25">
      <c r="A384" s="2" t="s">
        <v>92</v>
      </c>
      <c r="B384" s="2" t="s">
        <v>798</v>
      </c>
      <c r="C384" s="2">
        <v>2500</v>
      </c>
      <c r="D384" s="2" t="s">
        <v>62</v>
      </c>
      <c r="E384" s="2">
        <v>0.68</v>
      </c>
      <c r="F384" s="2" t="s">
        <v>63</v>
      </c>
    </row>
    <row r="385" spans="1:6" x14ac:dyDescent="0.25">
      <c r="A385" s="2" t="s">
        <v>33</v>
      </c>
      <c r="B385" s="2" t="s">
        <v>232</v>
      </c>
      <c r="C385" s="2">
        <v>4000</v>
      </c>
      <c r="D385" s="2" t="s">
        <v>35</v>
      </c>
      <c r="E385" s="2">
        <v>0.67200000000000004</v>
      </c>
      <c r="F385" s="2" t="s">
        <v>36</v>
      </c>
    </row>
    <row r="386" spans="1:6" x14ac:dyDescent="0.25">
      <c r="A386" s="2" t="s">
        <v>33</v>
      </c>
      <c r="B386" s="2" t="s">
        <v>279</v>
      </c>
      <c r="C386" s="2">
        <v>3900</v>
      </c>
      <c r="D386" s="2" t="s">
        <v>75</v>
      </c>
      <c r="E386" s="2">
        <v>0.65600000000000003</v>
      </c>
      <c r="F386" s="2" t="s">
        <v>91</v>
      </c>
    </row>
    <row r="387" spans="1:6" x14ac:dyDescent="0.25">
      <c r="A387" s="2" t="s">
        <v>92</v>
      </c>
      <c r="B387" s="2" t="s">
        <v>768</v>
      </c>
      <c r="C387" s="2">
        <v>2500</v>
      </c>
      <c r="D387" s="2" t="s">
        <v>38</v>
      </c>
      <c r="E387" s="2">
        <v>0.63300000000000001</v>
      </c>
      <c r="F387" s="2" t="s">
        <v>26</v>
      </c>
    </row>
    <row r="388" spans="1:6" x14ac:dyDescent="0.25">
      <c r="A388" s="2" t="s">
        <v>92</v>
      </c>
      <c r="B388" s="2" t="s">
        <v>745</v>
      </c>
      <c r="C388" s="2">
        <v>2500</v>
      </c>
      <c r="D388" s="2" t="s">
        <v>43</v>
      </c>
      <c r="E388" s="2">
        <v>0.623</v>
      </c>
      <c r="F388" s="2" t="s">
        <v>27</v>
      </c>
    </row>
    <row r="389" spans="1:6" x14ac:dyDescent="0.25">
      <c r="A389" s="2" t="s">
        <v>33</v>
      </c>
      <c r="B389" s="2" t="s">
        <v>459</v>
      </c>
      <c r="C389" s="2">
        <v>3000</v>
      </c>
      <c r="D389" s="2" t="s">
        <v>35</v>
      </c>
      <c r="E389" s="2">
        <v>0.6</v>
      </c>
      <c r="F389" s="2" t="s">
        <v>20</v>
      </c>
    </row>
    <row r="390" spans="1:6" x14ac:dyDescent="0.25">
      <c r="A390" s="2" t="s">
        <v>33</v>
      </c>
      <c r="B390" s="2" t="s">
        <v>572</v>
      </c>
      <c r="C390" s="2">
        <v>3000</v>
      </c>
      <c r="D390" s="2" t="s">
        <v>62</v>
      </c>
      <c r="E390" s="2">
        <v>0.58799999999999997</v>
      </c>
      <c r="F390" s="2" t="s">
        <v>67</v>
      </c>
    </row>
    <row r="391" spans="1:6" x14ac:dyDescent="0.25">
      <c r="A391" s="2" t="s">
        <v>92</v>
      </c>
      <c r="B391" s="2" t="s">
        <v>816</v>
      </c>
      <c r="C391" s="2">
        <v>2500</v>
      </c>
      <c r="D391" s="2" t="s">
        <v>86</v>
      </c>
      <c r="E391" s="2">
        <v>0.58799999999999997</v>
      </c>
      <c r="F391" s="2" t="s">
        <v>24</v>
      </c>
    </row>
    <row r="392" spans="1:6" x14ac:dyDescent="0.25">
      <c r="A392" s="2" t="s">
        <v>92</v>
      </c>
      <c r="B392" s="2" t="s">
        <v>791</v>
      </c>
      <c r="C392" s="2">
        <v>2500</v>
      </c>
      <c r="D392" s="2" t="s">
        <v>55</v>
      </c>
      <c r="E392" s="2">
        <v>0.56200000000000006</v>
      </c>
      <c r="F392" s="2" t="s">
        <v>56</v>
      </c>
    </row>
    <row r="393" spans="1:6" x14ac:dyDescent="0.25">
      <c r="A393" s="2" t="s">
        <v>40</v>
      </c>
      <c r="B393" s="2" t="s">
        <v>577</v>
      </c>
      <c r="C393" s="2">
        <v>3000</v>
      </c>
      <c r="D393" s="2" t="s">
        <v>62</v>
      </c>
      <c r="E393" s="2">
        <v>0.54400000000000004</v>
      </c>
      <c r="F393" s="2" t="s">
        <v>67</v>
      </c>
    </row>
    <row r="394" spans="1:6" x14ac:dyDescent="0.25">
      <c r="A394" s="2" t="s">
        <v>33</v>
      </c>
      <c r="B394" s="2" t="s">
        <v>369</v>
      </c>
      <c r="C394" s="2">
        <v>3000</v>
      </c>
      <c r="D394" s="2" t="s">
        <v>48</v>
      </c>
      <c r="E394" s="2">
        <v>0.53600000000000003</v>
      </c>
      <c r="F394" s="2" t="s">
        <v>49</v>
      </c>
    </row>
    <row r="395" spans="1:6" x14ac:dyDescent="0.25">
      <c r="A395" s="2" t="s">
        <v>40</v>
      </c>
      <c r="B395" s="2" t="s">
        <v>453</v>
      </c>
      <c r="C395" s="2">
        <v>3000</v>
      </c>
      <c r="D395" s="2" t="s">
        <v>52</v>
      </c>
      <c r="E395" s="2">
        <v>0.52500000000000002</v>
      </c>
      <c r="F395" s="2" t="s">
        <v>115</v>
      </c>
    </row>
    <row r="396" spans="1:6" x14ac:dyDescent="0.25">
      <c r="A396" s="2" t="s">
        <v>64</v>
      </c>
      <c r="B396" s="2" t="s">
        <v>194</v>
      </c>
      <c r="C396" s="2">
        <v>4300</v>
      </c>
      <c r="D396" s="2" t="s">
        <v>43</v>
      </c>
      <c r="E396" s="2">
        <v>0.50700000000000001</v>
      </c>
      <c r="F396" s="2" t="s">
        <v>27</v>
      </c>
    </row>
    <row r="397" spans="1:6" x14ac:dyDescent="0.25">
      <c r="A397" s="2" t="s">
        <v>40</v>
      </c>
      <c r="B397" s="2" t="s">
        <v>509</v>
      </c>
      <c r="C397" s="2">
        <v>3000</v>
      </c>
      <c r="D397" s="2" t="s">
        <v>103</v>
      </c>
      <c r="E397" s="2">
        <v>0.5</v>
      </c>
      <c r="F397" s="2" t="s">
        <v>19</v>
      </c>
    </row>
    <row r="398" spans="1:6" x14ac:dyDescent="0.25">
      <c r="A398" s="2" t="s">
        <v>64</v>
      </c>
      <c r="B398" s="2" t="s">
        <v>240</v>
      </c>
      <c r="C398" s="2">
        <v>4000</v>
      </c>
      <c r="D398" s="2" t="s">
        <v>55</v>
      </c>
      <c r="E398" s="2">
        <v>0.44</v>
      </c>
      <c r="F398" s="2" t="s">
        <v>28</v>
      </c>
    </row>
    <row r="399" spans="1:6" x14ac:dyDescent="0.25">
      <c r="A399" s="2" t="s">
        <v>33</v>
      </c>
      <c r="B399" s="2" t="s">
        <v>384</v>
      </c>
      <c r="C399" s="2">
        <v>3000</v>
      </c>
      <c r="D399" s="2" t="s">
        <v>48</v>
      </c>
      <c r="E399" s="2">
        <v>0.433</v>
      </c>
      <c r="F399" s="2" t="s">
        <v>144</v>
      </c>
    </row>
    <row r="400" spans="1:6" x14ac:dyDescent="0.25">
      <c r="A400" s="2" t="s">
        <v>40</v>
      </c>
      <c r="B400" s="2" t="s">
        <v>702</v>
      </c>
      <c r="C400" s="2">
        <v>3000</v>
      </c>
      <c r="D400" s="2" t="s">
        <v>45</v>
      </c>
      <c r="E400" s="2">
        <v>0.42899999999999999</v>
      </c>
      <c r="F400" s="2" t="s">
        <v>46</v>
      </c>
    </row>
    <row r="401" spans="1:6" x14ac:dyDescent="0.25">
      <c r="A401" s="2" t="s">
        <v>64</v>
      </c>
      <c r="B401" s="2" t="s">
        <v>248</v>
      </c>
      <c r="C401" s="2">
        <v>4000</v>
      </c>
      <c r="D401" s="2" t="s">
        <v>86</v>
      </c>
      <c r="E401" s="2">
        <v>0.42499999999999999</v>
      </c>
      <c r="F401" s="2" t="s">
        <v>21</v>
      </c>
    </row>
    <row r="402" spans="1:6" x14ac:dyDescent="0.25">
      <c r="A402" s="2" t="s">
        <v>40</v>
      </c>
      <c r="B402" s="2" t="s">
        <v>628</v>
      </c>
      <c r="C402" s="2">
        <v>3000</v>
      </c>
      <c r="D402" s="2" t="s">
        <v>75</v>
      </c>
      <c r="E402" s="2">
        <v>0.38</v>
      </c>
      <c r="F402" s="2" t="s">
        <v>91</v>
      </c>
    </row>
    <row r="403" spans="1:6" x14ac:dyDescent="0.25">
      <c r="A403" s="2" t="s">
        <v>92</v>
      </c>
      <c r="B403" s="2" t="s">
        <v>813</v>
      </c>
      <c r="C403" s="2">
        <v>2500</v>
      </c>
      <c r="D403" s="2" t="s">
        <v>86</v>
      </c>
      <c r="E403" s="2">
        <v>0.375</v>
      </c>
      <c r="F403" s="2" t="s">
        <v>24</v>
      </c>
    </row>
    <row r="404" spans="1:6" x14ac:dyDescent="0.25">
      <c r="A404" s="2" t="s">
        <v>40</v>
      </c>
      <c r="B404" s="2" t="s">
        <v>680</v>
      </c>
      <c r="C404" s="2">
        <v>3000</v>
      </c>
      <c r="D404" s="2" t="s">
        <v>69</v>
      </c>
      <c r="E404" s="2">
        <v>0.37</v>
      </c>
      <c r="F404" s="2" t="s">
        <v>70</v>
      </c>
    </row>
    <row r="405" spans="1:6" x14ac:dyDescent="0.25">
      <c r="A405" s="2" t="s">
        <v>40</v>
      </c>
      <c r="B405" s="2" t="s">
        <v>379</v>
      </c>
      <c r="C405" s="2">
        <v>3000</v>
      </c>
      <c r="D405" s="2" t="s">
        <v>48</v>
      </c>
      <c r="E405" s="2">
        <v>0.36</v>
      </c>
      <c r="F405" s="2" t="s">
        <v>49</v>
      </c>
    </row>
    <row r="406" spans="1:6" x14ac:dyDescent="0.25">
      <c r="A406" s="2" t="s">
        <v>40</v>
      </c>
      <c r="B406" s="2" t="s">
        <v>487</v>
      </c>
      <c r="C406" s="2">
        <v>3000</v>
      </c>
      <c r="D406" s="2" t="s">
        <v>38</v>
      </c>
      <c r="E406" s="2">
        <v>0.36</v>
      </c>
      <c r="F406" s="2" t="s">
        <v>26</v>
      </c>
    </row>
    <row r="407" spans="1:6" x14ac:dyDescent="0.25">
      <c r="A407" s="2" t="s">
        <v>92</v>
      </c>
      <c r="B407" s="2" t="s">
        <v>774</v>
      </c>
      <c r="C407" s="2">
        <v>2500</v>
      </c>
      <c r="D407" s="2" t="s">
        <v>38</v>
      </c>
      <c r="E407" s="2">
        <v>0.33300000000000002</v>
      </c>
      <c r="F407" s="2" t="s">
        <v>39</v>
      </c>
    </row>
    <row r="408" spans="1:6" x14ac:dyDescent="0.25">
      <c r="A408" s="2" t="s">
        <v>40</v>
      </c>
      <c r="B408" s="2" t="s">
        <v>461</v>
      </c>
      <c r="C408" s="2">
        <v>3000</v>
      </c>
      <c r="D408" s="2" t="s">
        <v>35</v>
      </c>
      <c r="E408" s="2">
        <v>0.32500000000000001</v>
      </c>
      <c r="F408" s="2" t="s">
        <v>20</v>
      </c>
    </row>
    <row r="409" spans="1:6" x14ac:dyDescent="0.25">
      <c r="A409" s="2" t="s">
        <v>33</v>
      </c>
      <c r="B409" s="2" t="s">
        <v>681</v>
      </c>
      <c r="C409" s="2">
        <v>3000</v>
      </c>
      <c r="D409" s="2" t="s">
        <v>45</v>
      </c>
      <c r="E409" s="2">
        <v>0.32400000000000001</v>
      </c>
      <c r="F409" s="2" t="s">
        <v>22</v>
      </c>
    </row>
    <row r="410" spans="1:6" x14ac:dyDescent="0.25">
      <c r="A410" s="2" t="s">
        <v>92</v>
      </c>
      <c r="B410" s="2" t="s">
        <v>817</v>
      </c>
      <c r="C410" s="2">
        <v>2500</v>
      </c>
      <c r="D410" s="2" t="s">
        <v>75</v>
      </c>
      <c r="E410" s="2">
        <v>0.311</v>
      </c>
      <c r="F410" s="2" t="s">
        <v>25</v>
      </c>
    </row>
    <row r="411" spans="1:6" x14ac:dyDescent="0.25">
      <c r="A411" s="2" t="s">
        <v>40</v>
      </c>
      <c r="B411" s="2" t="s">
        <v>534</v>
      </c>
      <c r="C411" s="2">
        <v>3000</v>
      </c>
      <c r="D411" s="2" t="s">
        <v>55</v>
      </c>
      <c r="E411" s="2">
        <v>0.3</v>
      </c>
      <c r="F411" s="2" t="s">
        <v>28</v>
      </c>
    </row>
    <row r="412" spans="1:6" x14ac:dyDescent="0.25">
      <c r="A412" s="2" t="s">
        <v>92</v>
      </c>
      <c r="B412" s="2" t="s">
        <v>845</v>
      </c>
      <c r="C412" s="2">
        <v>2500</v>
      </c>
      <c r="D412" s="2" t="s">
        <v>69</v>
      </c>
      <c r="E412" s="2">
        <v>0.28599999999999998</v>
      </c>
      <c r="F412" s="2" t="s">
        <v>70</v>
      </c>
    </row>
    <row r="413" spans="1:6" x14ac:dyDescent="0.25">
      <c r="A413" s="2" t="s">
        <v>92</v>
      </c>
      <c r="B413" s="2" t="s">
        <v>840</v>
      </c>
      <c r="C413" s="2">
        <v>2500</v>
      </c>
      <c r="D413" s="2" t="s">
        <v>69</v>
      </c>
      <c r="E413" s="2">
        <v>0.28100000000000003</v>
      </c>
      <c r="F413" s="2" t="s">
        <v>1</v>
      </c>
    </row>
    <row r="414" spans="1:6" x14ac:dyDescent="0.25">
      <c r="A414" s="2" t="s">
        <v>33</v>
      </c>
      <c r="B414" s="2" t="s">
        <v>431</v>
      </c>
      <c r="C414" s="2">
        <v>3000</v>
      </c>
      <c r="D414" s="2" t="s">
        <v>52</v>
      </c>
      <c r="E414" s="2">
        <v>0.25</v>
      </c>
      <c r="F414" s="2" t="s">
        <v>53</v>
      </c>
    </row>
    <row r="415" spans="1:6" x14ac:dyDescent="0.25">
      <c r="A415" s="2" t="s">
        <v>33</v>
      </c>
      <c r="B415" s="2" t="s">
        <v>505</v>
      </c>
      <c r="C415" s="2">
        <v>3000</v>
      </c>
      <c r="D415" s="2" t="s">
        <v>103</v>
      </c>
      <c r="E415" s="2">
        <v>0.221</v>
      </c>
      <c r="F415" s="2" t="s">
        <v>19</v>
      </c>
    </row>
    <row r="416" spans="1:6" x14ac:dyDescent="0.25">
      <c r="A416" s="2" t="s">
        <v>92</v>
      </c>
      <c r="B416" s="2" t="s">
        <v>751</v>
      </c>
      <c r="C416" s="2">
        <v>2500</v>
      </c>
      <c r="D416" s="2" t="s">
        <v>52</v>
      </c>
      <c r="E416" s="2">
        <v>0.20599999999999999</v>
      </c>
      <c r="F416" s="2" t="s">
        <v>53</v>
      </c>
    </row>
    <row r="417" spans="1:6" x14ac:dyDescent="0.25">
      <c r="A417" s="2" t="s">
        <v>33</v>
      </c>
      <c r="B417" s="2" t="s">
        <v>281</v>
      </c>
      <c r="C417" s="2">
        <v>3900</v>
      </c>
      <c r="D417" s="2" t="s">
        <v>45</v>
      </c>
      <c r="E417" s="2">
        <v>0.2</v>
      </c>
      <c r="F417" s="2" t="s">
        <v>22</v>
      </c>
    </row>
    <row r="418" spans="1:6" x14ac:dyDescent="0.25">
      <c r="A418" s="2" t="s">
        <v>33</v>
      </c>
      <c r="B418" s="2" t="s">
        <v>659</v>
      </c>
      <c r="C418" s="2">
        <v>3000</v>
      </c>
      <c r="D418" s="2" t="s">
        <v>69</v>
      </c>
      <c r="E418" s="2">
        <v>0.2</v>
      </c>
      <c r="F418" s="2" t="s">
        <v>1</v>
      </c>
    </row>
    <row r="419" spans="1:6" x14ac:dyDescent="0.25">
      <c r="A419" s="2" t="s">
        <v>33</v>
      </c>
      <c r="B419" s="2" t="s">
        <v>473</v>
      </c>
      <c r="C419" s="2">
        <v>3000</v>
      </c>
      <c r="D419" s="2" t="s">
        <v>35</v>
      </c>
      <c r="E419" s="2">
        <v>0.192</v>
      </c>
      <c r="F419" s="2" t="s">
        <v>36</v>
      </c>
    </row>
    <row r="420" spans="1:6" x14ac:dyDescent="0.25">
      <c r="A420" s="2" t="s">
        <v>64</v>
      </c>
      <c r="B420" s="2" t="s">
        <v>166</v>
      </c>
      <c r="C420" s="2">
        <v>4700</v>
      </c>
      <c r="D420" s="2" t="s">
        <v>58</v>
      </c>
      <c r="E420" s="2">
        <v>0.17599999999999999</v>
      </c>
      <c r="F420" s="2" t="s">
        <v>59</v>
      </c>
    </row>
    <row r="421" spans="1:6" x14ac:dyDescent="0.25">
      <c r="A421" s="2" t="s">
        <v>92</v>
      </c>
      <c r="B421" s="2" t="s">
        <v>756</v>
      </c>
      <c r="C421" s="2">
        <v>2500</v>
      </c>
      <c r="D421" s="2" t="s">
        <v>35</v>
      </c>
      <c r="E421" s="2">
        <v>0.17100000000000001</v>
      </c>
      <c r="F421" s="2" t="s">
        <v>20</v>
      </c>
    </row>
    <row r="422" spans="1:6" x14ac:dyDescent="0.25">
      <c r="A422" s="2" t="s">
        <v>33</v>
      </c>
      <c r="B422" s="2" t="s">
        <v>561</v>
      </c>
      <c r="C422" s="2">
        <v>3000</v>
      </c>
      <c r="D422" s="2" t="s">
        <v>62</v>
      </c>
      <c r="E422" s="2">
        <v>0.16900000000000001</v>
      </c>
      <c r="F422" s="2" t="s">
        <v>63</v>
      </c>
    </row>
    <row r="423" spans="1:6" x14ac:dyDescent="0.25">
      <c r="A423" s="2" t="s">
        <v>33</v>
      </c>
      <c r="B423" s="2" t="s">
        <v>506</v>
      </c>
      <c r="C423" s="2">
        <v>3000</v>
      </c>
      <c r="D423" s="2" t="s">
        <v>103</v>
      </c>
      <c r="E423" s="2">
        <v>0.153</v>
      </c>
      <c r="F423" s="2" t="s">
        <v>19</v>
      </c>
    </row>
    <row r="424" spans="1:6" x14ac:dyDescent="0.25">
      <c r="A424" s="2" t="s">
        <v>64</v>
      </c>
      <c r="B424" s="2" t="s">
        <v>263</v>
      </c>
      <c r="C424" s="2">
        <v>4000</v>
      </c>
      <c r="D424" s="2" t="s">
        <v>69</v>
      </c>
      <c r="E424" s="2">
        <v>9.2999999999999999E-2</v>
      </c>
      <c r="F424" s="2" t="s">
        <v>70</v>
      </c>
    </row>
    <row r="425" spans="1:6" x14ac:dyDescent="0.25">
      <c r="A425" s="2" t="s">
        <v>64</v>
      </c>
      <c r="B425" s="2" t="s">
        <v>175</v>
      </c>
      <c r="C425" s="2">
        <v>4500</v>
      </c>
      <c r="D425" s="2" t="s">
        <v>43</v>
      </c>
      <c r="E425" s="2">
        <v>8.7999999999999995E-2</v>
      </c>
      <c r="F425" s="2" t="s">
        <v>23</v>
      </c>
    </row>
    <row r="426" spans="1:6" x14ac:dyDescent="0.25">
      <c r="A426" s="2" t="s">
        <v>40</v>
      </c>
      <c r="B426" s="2" t="s">
        <v>97</v>
      </c>
      <c r="C426" s="2">
        <v>6000</v>
      </c>
      <c r="D426" s="2" t="s">
        <v>35</v>
      </c>
      <c r="E426" s="2">
        <v>0</v>
      </c>
      <c r="F426" s="2" t="s">
        <v>36</v>
      </c>
    </row>
    <row r="427" spans="1:6" x14ac:dyDescent="0.25">
      <c r="A427" s="2" t="s">
        <v>33</v>
      </c>
      <c r="B427" s="2" t="s">
        <v>109</v>
      </c>
      <c r="C427" s="2">
        <v>5700</v>
      </c>
      <c r="D427" s="2" t="s">
        <v>103</v>
      </c>
      <c r="E427" s="2">
        <v>0</v>
      </c>
      <c r="F427" s="2" t="s">
        <v>110</v>
      </c>
    </row>
    <row r="428" spans="1:6" x14ac:dyDescent="0.25">
      <c r="A428" s="2" t="s">
        <v>33</v>
      </c>
      <c r="B428" s="2" t="s">
        <v>113</v>
      </c>
      <c r="C428" s="2">
        <v>5500</v>
      </c>
      <c r="D428" s="2" t="s">
        <v>52</v>
      </c>
      <c r="E428" s="2">
        <v>0</v>
      </c>
      <c r="F428" s="2" t="s">
        <v>53</v>
      </c>
    </row>
    <row r="429" spans="1:6" x14ac:dyDescent="0.25">
      <c r="A429" s="2" t="s">
        <v>33</v>
      </c>
      <c r="B429" s="2" t="s">
        <v>121</v>
      </c>
      <c r="C429" s="2">
        <v>5400</v>
      </c>
      <c r="D429" s="2" t="s">
        <v>69</v>
      </c>
      <c r="E429" s="2">
        <v>0</v>
      </c>
      <c r="F429" s="2" t="s">
        <v>70</v>
      </c>
    </row>
    <row r="430" spans="1:6" x14ac:dyDescent="0.25">
      <c r="A430" s="2" t="s">
        <v>33</v>
      </c>
      <c r="B430" s="2" t="s">
        <v>124</v>
      </c>
      <c r="C430" s="2">
        <v>5300</v>
      </c>
      <c r="D430" s="2" t="s">
        <v>62</v>
      </c>
      <c r="E430" s="2">
        <v>0</v>
      </c>
      <c r="F430" s="2" t="s">
        <v>67</v>
      </c>
    </row>
    <row r="431" spans="1:6" x14ac:dyDescent="0.25">
      <c r="A431" s="2" t="s">
        <v>64</v>
      </c>
      <c r="B431" s="2" t="s">
        <v>130</v>
      </c>
      <c r="C431" s="2">
        <v>5200</v>
      </c>
      <c r="D431" s="2" t="s">
        <v>86</v>
      </c>
      <c r="E431" s="2">
        <v>0</v>
      </c>
      <c r="F431" s="2" t="s">
        <v>24</v>
      </c>
    </row>
    <row r="432" spans="1:6" x14ac:dyDescent="0.25">
      <c r="A432" s="2" t="s">
        <v>64</v>
      </c>
      <c r="B432" s="2" t="s">
        <v>150</v>
      </c>
      <c r="C432" s="2">
        <v>4800</v>
      </c>
      <c r="D432" s="2" t="s">
        <v>35</v>
      </c>
      <c r="E432" s="2">
        <v>0</v>
      </c>
      <c r="F432" s="2" t="s">
        <v>20</v>
      </c>
    </row>
    <row r="433" spans="1:6" x14ac:dyDescent="0.25">
      <c r="A433" s="2" t="s">
        <v>64</v>
      </c>
      <c r="B433" s="2" t="s">
        <v>155</v>
      </c>
      <c r="C433" s="2">
        <v>4800</v>
      </c>
      <c r="D433" s="2" t="s">
        <v>103</v>
      </c>
      <c r="E433" s="2">
        <v>0</v>
      </c>
      <c r="F433" s="2" t="s">
        <v>19</v>
      </c>
    </row>
    <row r="434" spans="1:6" x14ac:dyDescent="0.25">
      <c r="A434" s="2" t="s">
        <v>64</v>
      </c>
      <c r="B434" s="2" t="s">
        <v>162</v>
      </c>
      <c r="C434" s="2">
        <v>4700</v>
      </c>
      <c r="D434" s="2" t="s">
        <v>52</v>
      </c>
      <c r="E434" s="2">
        <v>0</v>
      </c>
      <c r="F434" s="2" t="s">
        <v>53</v>
      </c>
    </row>
    <row r="435" spans="1:6" x14ac:dyDescent="0.25">
      <c r="A435" s="2" t="s">
        <v>64</v>
      </c>
      <c r="B435" s="2" t="s">
        <v>170</v>
      </c>
      <c r="C435" s="2">
        <v>4600</v>
      </c>
      <c r="D435" s="2" t="s">
        <v>43</v>
      </c>
      <c r="E435" s="2">
        <v>0</v>
      </c>
      <c r="F435" s="2" t="s">
        <v>27</v>
      </c>
    </row>
    <row r="436" spans="1:6" x14ac:dyDescent="0.25">
      <c r="A436" s="2" t="s">
        <v>33</v>
      </c>
      <c r="B436" s="2" t="s">
        <v>180</v>
      </c>
      <c r="C436" s="2">
        <v>4500</v>
      </c>
      <c r="D436" s="2" t="s">
        <v>35</v>
      </c>
      <c r="E436" s="2">
        <v>0</v>
      </c>
      <c r="F436" s="2" t="s">
        <v>36</v>
      </c>
    </row>
    <row r="437" spans="1:6" x14ac:dyDescent="0.25">
      <c r="A437" s="2" t="s">
        <v>64</v>
      </c>
      <c r="B437" s="2" t="s">
        <v>187</v>
      </c>
      <c r="C437" s="2">
        <v>4400</v>
      </c>
      <c r="D437" s="2" t="s">
        <v>48</v>
      </c>
      <c r="E437" s="2">
        <v>0</v>
      </c>
      <c r="F437" s="2" t="s">
        <v>144</v>
      </c>
    </row>
    <row r="438" spans="1:6" x14ac:dyDescent="0.25">
      <c r="A438" s="2" t="s">
        <v>64</v>
      </c>
      <c r="B438" s="2" t="s">
        <v>192</v>
      </c>
      <c r="C438" s="2">
        <v>4400</v>
      </c>
      <c r="D438" s="2" t="s">
        <v>45</v>
      </c>
      <c r="E438" s="2">
        <v>0</v>
      </c>
      <c r="F438" s="2" t="s">
        <v>22</v>
      </c>
    </row>
    <row r="439" spans="1:6" x14ac:dyDescent="0.25">
      <c r="A439" s="2" t="s">
        <v>64</v>
      </c>
      <c r="B439" s="2" t="s">
        <v>203</v>
      </c>
      <c r="C439" s="2">
        <v>4200</v>
      </c>
      <c r="D439" s="2" t="s">
        <v>48</v>
      </c>
      <c r="E439" s="2">
        <v>0</v>
      </c>
      <c r="F439" s="2" t="s">
        <v>49</v>
      </c>
    </row>
    <row r="440" spans="1:6" x14ac:dyDescent="0.25">
      <c r="A440" s="2" t="s">
        <v>33</v>
      </c>
      <c r="B440" s="2" t="s">
        <v>208</v>
      </c>
      <c r="C440" s="2">
        <v>4200</v>
      </c>
      <c r="D440" s="2" t="s">
        <v>86</v>
      </c>
      <c r="E440" s="2">
        <v>0</v>
      </c>
      <c r="F440" s="2" t="s">
        <v>24</v>
      </c>
    </row>
    <row r="441" spans="1:6" x14ac:dyDescent="0.25">
      <c r="A441" s="2" t="s">
        <v>33</v>
      </c>
      <c r="B441" s="2" t="s">
        <v>211</v>
      </c>
      <c r="C441" s="2">
        <v>4100</v>
      </c>
      <c r="D441" s="2" t="s">
        <v>103</v>
      </c>
      <c r="E441" s="2">
        <v>0</v>
      </c>
      <c r="F441" s="2" t="s">
        <v>19</v>
      </c>
    </row>
    <row r="442" spans="1:6" x14ac:dyDescent="0.25">
      <c r="A442" s="2" t="s">
        <v>64</v>
      </c>
      <c r="B442" s="2" t="s">
        <v>218</v>
      </c>
      <c r="C442" s="2">
        <v>4000</v>
      </c>
      <c r="D442" s="2" t="s">
        <v>48</v>
      </c>
      <c r="E442" s="2">
        <v>0</v>
      </c>
      <c r="F442" s="2" t="s">
        <v>49</v>
      </c>
    </row>
    <row r="443" spans="1:6" x14ac:dyDescent="0.25">
      <c r="A443" s="2" t="s">
        <v>64</v>
      </c>
      <c r="B443" s="2" t="s">
        <v>220</v>
      </c>
      <c r="C443" s="2">
        <v>4000</v>
      </c>
      <c r="D443" s="2" t="s">
        <v>43</v>
      </c>
      <c r="E443" s="2">
        <v>0</v>
      </c>
      <c r="F443" s="2" t="s">
        <v>23</v>
      </c>
    </row>
    <row r="444" spans="1:6" x14ac:dyDescent="0.25">
      <c r="A444" s="2" t="s">
        <v>64</v>
      </c>
      <c r="B444" s="2" t="s">
        <v>221</v>
      </c>
      <c r="C444" s="2">
        <v>4000</v>
      </c>
      <c r="D444" s="2" t="s">
        <v>43</v>
      </c>
      <c r="E444" s="2">
        <v>0</v>
      </c>
      <c r="F444" s="2" t="s">
        <v>23</v>
      </c>
    </row>
    <row r="445" spans="1:6" x14ac:dyDescent="0.25">
      <c r="A445" s="2" t="s">
        <v>64</v>
      </c>
      <c r="B445" s="2" t="s">
        <v>223</v>
      </c>
      <c r="C445" s="2">
        <v>4000</v>
      </c>
      <c r="D445" s="2" t="s">
        <v>43</v>
      </c>
      <c r="E445" s="2">
        <v>0</v>
      </c>
      <c r="F445" s="2" t="s">
        <v>27</v>
      </c>
    </row>
    <row r="446" spans="1:6" x14ac:dyDescent="0.25">
      <c r="A446" s="2" t="s">
        <v>64</v>
      </c>
      <c r="B446" s="2" t="s">
        <v>224</v>
      </c>
      <c r="C446" s="2">
        <v>4000</v>
      </c>
      <c r="D446" s="2" t="s">
        <v>52</v>
      </c>
      <c r="E446" s="2">
        <v>0</v>
      </c>
      <c r="F446" s="2" t="s">
        <v>53</v>
      </c>
    </row>
    <row r="447" spans="1:6" x14ac:dyDescent="0.25">
      <c r="A447" s="2" t="s">
        <v>64</v>
      </c>
      <c r="B447" s="2" t="s">
        <v>225</v>
      </c>
      <c r="C447" s="2">
        <v>4000</v>
      </c>
      <c r="D447" s="2" t="s">
        <v>52</v>
      </c>
      <c r="E447" s="2">
        <v>0</v>
      </c>
      <c r="F447" s="2" t="s">
        <v>115</v>
      </c>
    </row>
    <row r="448" spans="1:6" x14ac:dyDescent="0.25">
      <c r="A448" s="2" t="s">
        <v>64</v>
      </c>
      <c r="B448" s="2" t="s">
        <v>226</v>
      </c>
      <c r="C448" s="2">
        <v>4000</v>
      </c>
      <c r="D448" s="2" t="s">
        <v>52</v>
      </c>
      <c r="E448" s="2">
        <v>0</v>
      </c>
      <c r="F448" s="2" t="s">
        <v>115</v>
      </c>
    </row>
    <row r="449" spans="1:6" x14ac:dyDescent="0.25">
      <c r="A449" s="2" t="s">
        <v>40</v>
      </c>
      <c r="B449" s="2" t="s">
        <v>229</v>
      </c>
      <c r="C449" s="2">
        <v>4000</v>
      </c>
      <c r="D449" s="2" t="s">
        <v>35</v>
      </c>
      <c r="E449" s="2">
        <v>0</v>
      </c>
      <c r="F449" s="2" t="s">
        <v>20</v>
      </c>
    </row>
    <row r="450" spans="1:6" x14ac:dyDescent="0.25">
      <c r="A450" s="2" t="s">
        <v>64</v>
      </c>
      <c r="B450" s="2" t="s">
        <v>230</v>
      </c>
      <c r="C450" s="2">
        <v>4000</v>
      </c>
      <c r="D450" s="2" t="s">
        <v>35</v>
      </c>
      <c r="E450" s="2">
        <v>0</v>
      </c>
      <c r="F450" s="2" t="s">
        <v>36</v>
      </c>
    </row>
    <row r="451" spans="1:6" x14ac:dyDescent="0.25">
      <c r="A451" s="2" t="s">
        <v>64</v>
      </c>
      <c r="B451" s="2" t="s">
        <v>231</v>
      </c>
      <c r="C451" s="2">
        <v>4000</v>
      </c>
      <c r="D451" s="2" t="s">
        <v>35</v>
      </c>
      <c r="E451" s="2">
        <v>0</v>
      </c>
      <c r="F451" s="2" t="s">
        <v>36</v>
      </c>
    </row>
    <row r="452" spans="1:6" x14ac:dyDescent="0.25">
      <c r="A452" s="2" t="s">
        <v>64</v>
      </c>
      <c r="B452" s="2" t="s">
        <v>234</v>
      </c>
      <c r="C452" s="2">
        <v>4000</v>
      </c>
      <c r="D452" s="2" t="s">
        <v>38</v>
      </c>
      <c r="E452" s="2">
        <v>0</v>
      </c>
      <c r="F452" s="2" t="s">
        <v>26</v>
      </c>
    </row>
    <row r="453" spans="1:6" x14ac:dyDescent="0.25">
      <c r="A453" s="2" t="s">
        <v>64</v>
      </c>
      <c r="B453" s="2" t="s">
        <v>235</v>
      </c>
      <c r="C453" s="2">
        <v>4000</v>
      </c>
      <c r="D453" s="2" t="s">
        <v>38</v>
      </c>
      <c r="E453" s="2">
        <v>0</v>
      </c>
      <c r="F453" s="2" t="s">
        <v>26</v>
      </c>
    </row>
    <row r="454" spans="1:6" x14ac:dyDescent="0.25">
      <c r="A454" s="2" t="s">
        <v>64</v>
      </c>
      <c r="B454" s="2" t="s">
        <v>236</v>
      </c>
      <c r="C454" s="2">
        <v>4000</v>
      </c>
      <c r="D454" s="2" t="s">
        <v>38</v>
      </c>
      <c r="E454" s="2">
        <v>0</v>
      </c>
      <c r="F454" s="2" t="s">
        <v>39</v>
      </c>
    </row>
    <row r="455" spans="1:6" x14ac:dyDescent="0.25">
      <c r="A455" s="2" t="s">
        <v>64</v>
      </c>
      <c r="B455" s="2" t="s">
        <v>237</v>
      </c>
      <c r="C455" s="2">
        <v>4000</v>
      </c>
      <c r="D455" s="2" t="s">
        <v>103</v>
      </c>
      <c r="E455" s="2">
        <v>0</v>
      </c>
      <c r="F455" s="2" t="s">
        <v>19</v>
      </c>
    </row>
    <row r="456" spans="1:6" x14ac:dyDescent="0.25">
      <c r="A456" s="2" t="s">
        <v>64</v>
      </c>
      <c r="B456" s="2" t="s">
        <v>238</v>
      </c>
      <c r="C456" s="2">
        <v>4000</v>
      </c>
      <c r="D456" s="2" t="s">
        <v>103</v>
      </c>
      <c r="E456" s="2">
        <v>0</v>
      </c>
      <c r="F456" s="2" t="s">
        <v>110</v>
      </c>
    </row>
    <row r="457" spans="1:6" x14ac:dyDescent="0.25">
      <c r="A457" s="2" t="s">
        <v>64</v>
      </c>
      <c r="B457" s="2" t="s">
        <v>239</v>
      </c>
      <c r="C457" s="2">
        <v>4000</v>
      </c>
      <c r="D457" s="2" t="s">
        <v>55</v>
      </c>
      <c r="E457" s="2">
        <v>0</v>
      </c>
      <c r="F457" s="2" t="s">
        <v>28</v>
      </c>
    </row>
    <row r="458" spans="1:6" x14ac:dyDescent="0.25">
      <c r="A458" s="2" t="s">
        <v>64</v>
      </c>
      <c r="B458" s="2" t="s">
        <v>241</v>
      </c>
      <c r="C458" s="2">
        <v>4000</v>
      </c>
      <c r="D458" s="2" t="s">
        <v>55</v>
      </c>
      <c r="E458" s="2">
        <v>0</v>
      </c>
      <c r="F458" s="2" t="s">
        <v>56</v>
      </c>
    </row>
    <row r="459" spans="1:6" x14ac:dyDescent="0.25">
      <c r="A459" s="2" t="s">
        <v>64</v>
      </c>
      <c r="B459" s="2" t="s">
        <v>242</v>
      </c>
      <c r="C459" s="2">
        <v>4000</v>
      </c>
      <c r="D459" s="2" t="s">
        <v>55</v>
      </c>
      <c r="E459" s="2">
        <v>0</v>
      </c>
      <c r="F459" s="2" t="s">
        <v>56</v>
      </c>
    </row>
    <row r="460" spans="1:6" x14ac:dyDescent="0.25">
      <c r="A460" s="2" t="s">
        <v>64</v>
      </c>
      <c r="B460" s="2" t="s">
        <v>243</v>
      </c>
      <c r="C460" s="2">
        <v>4000</v>
      </c>
      <c r="D460" s="2" t="s">
        <v>62</v>
      </c>
      <c r="E460" s="2">
        <v>0</v>
      </c>
      <c r="F460" s="2" t="s">
        <v>63</v>
      </c>
    </row>
    <row r="461" spans="1:6" x14ac:dyDescent="0.25">
      <c r="A461" s="2" t="s">
        <v>64</v>
      </c>
      <c r="B461" s="2" t="s">
        <v>244</v>
      </c>
      <c r="C461" s="2">
        <v>4000</v>
      </c>
      <c r="D461" s="2" t="s">
        <v>62</v>
      </c>
      <c r="E461" s="2">
        <v>0</v>
      </c>
      <c r="F461" s="2" t="s">
        <v>63</v>
      </c>
    </row>
    <row r="462" spans="1:6" x14ac:dyDescent="0.25">
      <c r="A462" s="2" t="s">
        <v>40</v>
      </c>
      <c r="B462" s="2" t="s">
        <v>245</v>
      </c>
      <c r="C462" s="2">
        <v>4000</v>
      </c>
      <c r="D462" s="2" t="s">
        <v>62</v>
      </c>
      <c r="E462" s="2">
        <v>0</v>
      </c>
      <c r="F462" s="2" t="s">
        <v>63</v>
      </c>
    </row>
    <row r="463" spans="1:6" x14ac:dyDescent="0.25">
      <c r="A463" s="2" t="s">
        <v>64</v>
      </c>
      <c r="B463" s="2" t="s">
        <v>247</v>
      </c>
      <c r="C463" s="2">
        <v>4000</v>
      </c>
      <c r="D463" s="2" t="s">
        <v>86</v>
      </c>
      <c r="E463" s="2">
        <v>0</v>
      </c>
      <c r="F463" s="2" t="s">
        <v>21</v>
      </c>
    </row>
    <row r="464" spans="1:6" x14ac:dyDescent="0.25">
      <c r="A464" s="2" t="s">
        <v>64</v>
      </c>
      <c r="B464" s="2" t="s">
        <v>249</v>
      </c>
      <c r="C464" s="2">
        <v>4000</v>
      </c>
      <c r="D464" s="2" t="s">
        <v>86</v>
      </c>
      <c r="E464" s="2">
        <v>0</v>
      </c>
      <c r="F464" s="2" t="s">
        <v>24</v>
      </c>
    </row>
    <row r="465" spans="1:6" x14ac:dyDescent="0.25">
      <c r="A465" s="2" t="s">
        <v>64</v>
      </c>
      <c r="B465" s="2" t="s">
        <v>250</v>
      </c>
      <c r="C465" s="2">
        <v>4000</v>
      </c>
      <c r="D465" s="2" t="s">
        <v>75</v>
      </c>
      <c r="E465" s="2">
        <v>0</v>
      </c>
      <c r="F465" s="2" t="s">
        <v>25</v>
      </c>
    </row>
    <row r="466" spans="1:6" x14ac:dyDescent="0.25">
      <c r="A466" s="2" t="s">
        <v>64</v>
      </c>
      <c r="B466" s="2" t="s">
        <v>251</v>
      </c>
      <c r="C466" s="2">
        <v>4000</v>
      </c>
      <c r="D466" s="2" t="s">
        <v>75</v>
      </c>
      <c r="E466" s="2">
        <v>0</v>
      </c>
      <c r="F466" s="2" t="s">
        <v>25</v>
      </c>
    </row>
    <row r="467" spans="1:6" x14ac:dyDescent="0.25">
      <c r="A467" s="2" t="s">
        <v>64</v>
      </c>
      <c r="B467" s="2" t="s">
        <v>253</v>
      </c>
      <c r="C467" s="2">
        <v>4000</v>
      </c>
      <c r="D467" s="2" t="s">
        <v>75</v>
      </c>
      <c r="E467" s="2">
        <v>0</v>
      </c>
      <c r="F467" s="2" t="s">
        <v>91</v>
      </c>
    </row>
    <row r="468" spans="1:6" x14ac:dyDescent="0.25">
      <c r="A468" s="2" t="s">
        <v>64</v>
      </c>
      <c r="B468" s="2" t="s">
        <v>255</v>
      </c>
      <c r="C468" s="2">
        <v>4000</v>
      </c>
      <c r="D468" s="2" t="s">
        <v>58</v>
      </c>
      <c r="E468" s="2">
        <v>0</v>
      </c>
      <c r="F468" s="2" t="s">
        <v>59</v>
      </c>
    </row>
    <row r="469" spans="1:6" x14ac:dyDescent="0.25">
      <c r="A469" s="2" t="s">
        <v>64</v>
      </c>
      <c r="B469" s="2" t="s">
        <v>256</v>
      </c>
      <c r="C469" s="2">
        <v>4000</v>
      </c>
      <c r="D469" s="2" t="s">
        <v>58</v>
      </c>
      <c r="E469" s="2">
        <v>0</v>
      </c>
      <c r="F469" s="2" t="s">
        <v>59</v>
      </c>
    </row>
    <row r="470" spans="1:6" x14ac:dyDescent="0.25">
      <c r="A470" s="2" t="s">
        <v>64</v>
      </c>
      <c r="B470" s="2" t="s">
        <v>257</v>
      </c>
      <c r="C470" s="2">
        <v>4000</v>
      </c>
      <c r="D470" s="2" t="s">
        <v>58</v>
      </c>
      <c r="E470" s="2">
        <v>0</v>
      </c>
      <c r="F470" s="2" t="s">
        <v>77</v>
      </c>
    </row>
    <row r="471" spans="1:6" x14ac:dyDescent="0.25">
      <c r="A471" s="2" t="s">
        <v>64</v>
      </c>
      <c r="B471" s="2" t="s">
        <v>258</v>
      </c>
      <c r="C471" s="2">
        <v>4000</v>
      </c>
      <c r="D471" s="2" t="s">
        <v>69</v>
      </c>
      <c r="E471" s="2">
        <v>0</v>
      </c>
      <c r="F471" s="2" t="s">
        <v>1</v>
      </c>
    </row>
    <row r="472" spans="1:6" x14ac:dyDescent="0.25">
      <c r="A472" s="2" t="s">
        <v>64</v>
      </c>
      <c r="B472" s="2" t="s">
        <v>259</v>
      </c>
      <c r="C472" s="2">
        <v>4000</v>
      </c>
      <c r="D472" s="2" t="s">
        <v>69</v>
      </c>
      <c r="E472" s="2">
        <v>0</v>
      </c>
      <c r="F472" s="2" t="s">
        <v>1</v>
      </c>
    </row>
    <row r="473" spans="1:6" x14ac:dyDescent="0.25">
      <c r="A473" s="2" t="s">
        <v>33</v>
      </c>
      <c r="B473" s="2" t="s">
        <v>261</v>
      </c>
      <c r="C473" s="2">
        <v>4000</v>
      </c>
      <c r="D473" s="2" t="s">
        <v>69</v>
      </c>
      <c r="E473" s="2">
        <v>0</v>
      </c>
      <c r="F473" s="2" t="s">
        <v>1</v>
      </c>
    </row>
    <row r="474" spans="1:6" x14ac:dyDescent="0.25">
      <c r="A474" s="2" t="s">
        <v>64</v>
      </c>
      <c r="B474" s="2" t="s">
        <v>262</v>
      </c>
      <c r="C474" s="2">
        <v>4000</v>
      </c>
      <c r="D474" s="2" t="s">
        <v>69</v>
      </c>
      <c r="E474" s="2">
        <v>0</v>
      </c>
      <c r="F474" s="2" t="s">
        <v>70</v>
      </c>
    </row>
    <row r="475" spans="1:6" x14ac:dyDescent="0.25">
      <c r="A475" s="2" t="s">
        <v>64</v>
      </c>
      <c r="B475" s="2" t="s">
        <v>264</v>
      </c>
      <c r="C475" s="2">
        <v>4000</v>
      </c>
      <c r="D475" s="2" t="s">
        <v>45</v>
      </c>
      <c r="E475" s="2">
        <v>0</v>
      </c>
      <c r="F475" s="2" t="s">
        <v>22</v>
      </c>
    </row>
    <row r="476" spans="1:6" x14ac:dyDescent="0.25">
      <c r="A476" s="2" t="s">
        <v>64</v>
      </c>
      <c r="B476" s="2" t="s">
        <v>265</v>
      </c>
      <c r="C476" s="2">
        <v>4000</v>
      </c>
      <c r="D476" s="2" t="s">
        <v>45</v>
      </c>
      <c r="E476" s="2">
        <v>0</v>
      </c>
      <c r="F476" s="2" t="s">
        <v>22</v>
      </c>
    </row>
    <row r="477" spans="1:6" x14ac:dyDescent="0.25">
      <c r="A477" s="2" t="s">
        <v>64</v>
      </c>
      <c r="B477" s="2" t="s">
        <v>266</v>
      </c>
      <c r="C477" s="2">
        <v>4000</v>
      </c>
      <c r="D477" s="2" t="s">
        <v>45</v>
      </c>
      <c r="E477" s="2">
        <v>0</v>
      </c>
      <c r="F477" s="2" t="s">
        <v>46</v>
      </c>
    </row>
    <row r="478" spans="1:6" x14ac:dyDescent="0.25">
      <c r="A478" s="2" t="s">
        <v>64</v>
      </c>
      <c r="B478" s="2" t="s">
        <v>267</v>
      </c>
      <c r="C478" s="2">
        <v>4000</v>
      </c>
      <c r="D478" s="2" t="s">
        <v>45</v>
      </c>
      <c r="E478" s="2">
        <v>0</v>
      </c>
      <c r="F478" s="2" t="s">
        <v>46</v>
      </c>
    </row>
    <row r="479" spans="1:6" x14ac:dyDescent="0.25">
      <c r="A479" s="2" t="s">
        <v>33</v>
      </c>
      <c r="B479" s="2" t="s">
        <v>280</v>
      </c>
      <c r="C479" s="2">
        <v>3900</v>
      </c>
      <c r="D479" s="2" t="s">
        <v>58</v>
      </c>
      <c r="E479" s="2">
        <v>0</v>
      </c>
      <c r="F479" s="2" t="s">
        <v>59</v>
      </c>
    </row>
    <row r="480" spans="1:6" x14ac:dyDescent="0.25">
      <c r="A480" s="2" t="s">
        <v>40</v>
      </c>
      <c r="B480" s="2" t="s">
        <v>298</v>
      </c>
      <c r="C480" s="2">
        <v>3700</v>
      </c>
      <c r="D480" s="2" t="s">
        <v>48</v>
      </c>
      <c r="E480" s="2">
        <v>0</v>
      </c>
      <c r="F480" s="2" t="s">
        <v>144</v>
      </c>
    </row>
    <row r="481" spans="1:6" x14ac:dyDescent="0.25">
      <c r="A481" s="2" t="s">
        <v>33</v>
      </c>
      <c r="B481" s="2" t="s">
        <v>302</v>
      </c>
      <c r="C481" s="2">
        <v>3700</v>
      </c>
      <c r="D481" s="2" t="s">
        <v>55</v>
      </c>
      <c r="E481" s="2">
        <v>0</v>
      </c>
      <c r="F481" s="2" t="s">
        <v>56</v>
      </c>
    </row>
    <row r="482" spans="1:6" x14ac:dyDescent="0.25">
      <c r="A482" s="2" t="s">
        <v>40</v>
      </c>
      <c r="B482" s="2" t="s">
        <v>306</v>
      </c>
      <c r="C482" s="2">
        <v>3700</v>
      </c>
      <c r="D482" s="2" t="s">
        <v>75</v>
      </c>
      <c r="E482" s="2">
        <v>0</v>
      </c>
      <c r="F482" s="2" t="s">
        <v>91</v>
      </c>
    </row>
    <row r="483" spans="1:6" x14ac:dyDescent="0.25">
      <c r="A483" s="2" t="s">
        <v>33</v>
      </c>
      <c r="B483" s="2" t="s">
        <v>307</v>
      </c>
      <c r="C483" s="2">
        <v>3700</v>
      </c>
      <c r="D483" s="2" t="s">
        <v>58</v>
      </c>
      <c r="E483" s="2">
        <v>0</v>
      </c>
      <c r="F483" s="2" t="s">
        <v>59</v>
      </c>
    </row>
    <row r="484" spans="1:6" x14ac:dyDescent="0.25">
      <c r="A484" s="2" t="s">
        <v>40</v>
      </c>
      <c r="B484" s="2" t="s">
        <v>312</v>
      </c>
      <c r="C484" s="2">
        <v>3600</v>
      </c>
      <c r="D484" s="2" t="s">
        <v>35</v>
      </c>
      <c r="E484" s="2">
        <v>0</v>
      </c>
      <c r="F484" s="2" t="s">
        <v>36</v>
      </c>
    </row>
    <row r="485" spans="1:6" x14ac:dyDescent="0.25">
      <c r="A485" s="2" t="s">
        <v>40</v>
      </c>
      <c r="B485" s="2" t="s">
        <v>314</v>
      </c>
      <c r="C485" s="2">
        <v>3600</v>
      </c>
      <c r="D485" s="2" t="s">
        <v>38</v>
      </c>
      <c r="E485" s="2">
        <v>0</v>
      </c>
      <c r="F485" s="2" t="s">
        <v>26</v>
      </c>
    </row>
    <row r="486" spans="1:6" x14ac:dyDescent="0.25">
      <c r="A486" s="2" t="s">
        <v>40</v>
      </c>
      <c r="B486" s="2" t="s">
        <v>318</v>
      </c>
      <c r="C486" s="2">
        <v>3600</v>
      </c>
      <c r="D486" s="2" t="s">
        <v>62</v>
      </c>
      <c r="E486" s="2">
        <v>0</v>
      </c>
      <c r="F486" s="2" t="s">
        <v>63</v>
      </c>
    </row>
    <row r="487" spans="1:6" x14ac:dyDescent="0.25">
      <c r="A487" s="2" t="s">
        <v>40</v>
      </c>
      <c r="B487" s="2" t="s">
        <v>320</v>
      </c>
      <c r="C487" s="2">
        <v>3600</v>
      </c>
      <c r="D487" s="2" t="s">
        <v>69</v>
      </c>
      <c r="E487" s="2">
        <v>0</v>
      </c>
      <c r="F487" s="2" t="s">
        <v>70</v>
      </c>
    </row>
    <row r="488" spans="1:6" x14ac:dyDescent="0.25">
      <c r="A488" s="2" t="s">
        <v>40</v>
      </c>
      <c r="B488" s="2" t="s">
        <v>321</v>
      </c>
      <c r="C488" s="2">
        <v>3500</v>
      </c>
      <c r="D488" s="2" t="s">
        <v>48</v>
      </c>
      <c r="E488" s="2">
        <v>0</v>
      </c>
      <c r="F488" s="2" t="s">
        <v>49</v>
      </c>
    </row>
    <row r="489" spans="1:6" x14ac:dyDescent="0.25">
      <c r="A489" s="2" t="s">
        <v>33</v>
      </c>
      <c r="B489" s="2" t="s">
        <v>323</v>
      </c>
      <c r="C489" s="2">
        <v>3500</v>
      </c>
      <c r="D489" s="2" t="s">
        <v>48</v>
      </c>
      <c r="E489" s="2">
        <v>0</v>
      </c>
      <c r="F489" s="2" t="s">
        <v>144</v>
      </c>
    </row>
    <row r="490" spans="1:6" x14ac:dyDescent="0.25">
      <c r="A490" s="2" t="s">
        <v>33</v>
      </c>
      <c r="B490" s="2" t="s">
        <v>329</v>
      </c>
      <c r="C490" s="2">
        <v>3500</v>
      </c>
      <c r="D490" s="2" t="s">
        <v>86</v>
      </c>
      <c r="E490" s="2">
        <v>0</v>
      </c>
      <c r="F490" s="2" t="s">
        <v>21</v>
      </c>
    </row>
    <row r="491" spans="1:6" x14ac:dyDescent="0.25">
      <c r="A491" s="2" t="s">
        <v>33</v>
      </c>
      <c r="B491" s="2" t="s">
        <v>333</v>
      </c>
      <c r="C491" s="2">
        <v>3500</v>
      </c>
      <c r="D491" s="2" t="s">
        <v>58</v>
      </c>
      <c r="E491" s="2">
        <v>0</v>
      </c>
      <c r="F491" s="2" t="s">
        <v>59</v>
      </c>
    </row>
    <row r="492" spans="1:6" x14ac:dyDescent="0.25">
      <c r="A492" s="2" t="s">
        <v>33</v>
      </c>
      <c r="B492" s="2" t="s">
        <v>335</v>
      </c>
      <c r="C492" s="2">
        <v>3500</v>
      </c>
      <c r="D492" s="2" t="s">
        <v>45</v>
      </c>
      <c r="E492" s="2">
        <v>0</v>
      </c>
      <c r="F492" s="2" t="s">
        <v>46</v>
      </c>
    </row>
    <row r="493" spans="1:6" x14ac:dyDescent="0.25">
      <c r="A493" s="2" t="s">
        <v>33</v>
      </c>
      <c r="B493" s="2" t="s">
        <v>339</v>
      </c>
      <c r="C493" s="2">
        <v>3400</v>
      </c>
      <c r="D493" s="2" t="s">
        <v>75</v>
      </c>
      <c r="E493" s="2">
        <v>0</v>
      </c>
      <c r="F493" s="2" t="s">
        <v>25</v>
      </c>
    </row>
    <row r="494" spans="1:6" x14ac:dyDescent="0.25">
      <c r="A494" s="2" t="s">
        <v>40</v>
      </c>
      <c r="B494" s="2" t="s">
        <v>343</v>
      </c>
      <c r="C494" s="2">
        <v>3300</v>
      </c>
      <c r="D494" s="2" t="s">
        <v>52</v>
      </c>
      <c r="E494" s="2">
        <v>0</v>
      </c>
      <c r="F494" s="2" t="s">
        <v>53</v>
      </c>
    </row>
    <row r="495" spans="1:6" x14ac:dyDescent="0.25">
      <c r="A495" s="2" t="s">
        <v>33</v>
      </c>
      <c r="B495" s="2" t="s">
        <v>362</v>
      </c>
      <c r="C495" s="2">
        <v>3100</v>
      </c>
      <c r="D495" s="2" t="s">
        <v>62</v>
      </c>
      <c r="E495" s="2">
        <v>0</v>
      </c>
      <c r="F495" s="2" t="s">
        <v>67</v>
      </c>
    </row>
    <row r="496" spans="1:6" x14ac:dyDescent="0.25">
      <c r="A496" s="2" t="s">
        <v>33</v>
      </c>
      <c r="B496" s="2" t="s">
        <v>370</v>
      </c>
      <c r="C496" s="2">
        <v>3000</v>
      </c>
      <c r="D496" s="2" t="s">
        <v>48</v>
      </c>
      <c r="E496" s="2">
        <v>0</v>
      </c>
      <c r="F496" s="2" t="s">
        <v>49</v>
      </c>
    </row>
    <row r="497" spans="1:6" x14ac:dyDescent="0.25">
      <c r="A497" s="2" t="s">
        <v>33</v>
      </c>
      <c r="B497" s="2" t="s">
        <v>371</v>
      </c>
      <c r="C497" s="2">
        <v>3000</v>
      </c>
      <c r="D497" s="2" t="s">
        <v>48</v>
      </c>
      <c r="E497" s="2">
        <v>0</v>
      </c>
      <c r="F497" s="2" t="s">
        <v>49</v>
      </c>
    </row>
    <row r="498" spans="1:6" x14ac:dyDescent="0.25">
      <c r="A498" s="2" t="s">
        <v>40</v>
      </c>
      <c r="B498" s="2" t="s">
        <v>372</v>
      </c>
      <c r="C498" s="2">
        <v>3000</v>
      </c>
      <c r="D498" s="2" t="s">
        <v>48</v>
      </c>
      <c r="E498" s="2">
        <v>0</v>
      </c>
      <c r="F498" s="2" t="s">
        <v>49</v>
      </c>
    </row>
    <row r="499" spans="1:6" x14ac:dyDescent="0.25">
      <c r="A499" s="2" t="s">
        <v>40</v>
      </c>
      <c r="B499" s="2" t="s">
        <v>377</v>
      </c>
      <c r="C499" s="2">
        <v>3000</v>
      </c>
      <c r="D499" s="2" t="s">
        <v>48</v>
      </c>
      <c r="E499" s="2">
        <v>0</v>
      </c>
      <c r="F499" s="2" t="s">
        <v>49</v>
      </c>
    </row>
    <row r="500" spans="1:6" x14ac:dyDescent="0.25">
      <c r="A500" s="2" t="s">
        <v>40</v>
      </c>
      <c r="B500" s="2" t="s">
        <v>380</v>
      </c>
      <c r="C500" s="2">
        <v>3000</v>
      </c>
      <c r="D500" s="2" t="s">
        <v>48</v>
      </c>
      <c r="E500" s="2">
        <v>0</v>
      </c>
      <c r="F500" s="2" t="s">
        <v>49</v>
      </c>
    </row>
    <row r="501" spans="1:6" x14ac:dyDescent="0.25">
      <c r="A501" s="2" t="s">
        <v>33</v>
      </c>
      <c r="B501" s="2" t="s">
        <v>382</v>
      </c>
      <c r="C501" s="2">
        <v>3000</v>
      </c>
      <c r="D501" s="2" t="s">
        <v>48</v>
      </c>
      <c r="E501" s="2">
        <v>0</v>
      </c>
      <c r="F501" s="2" t="s">
        <v>144</v>
      </c>
    </row>
    <row r="502" spans="1:6" x14ac:dyDescent="0.25">
      <c r="A502" s="2" t="s">
        <v>33</v>
      </c>
      <c r="B502" s="2" t="s">
        <v>383</v>
      </c>
      <c r="C502" s="2">
        <v>3000</v>
      </c>
      <c r="D502" s="2" t="s">
        <v>48</v>
      </c>
      <c r="E502" s="2">
        <v>0</v>
      </c>
      <c r="F502" s="2" t="s">
        <v>144</v>
      </c>
    </row>
    <row r="503" spans="1:6" x14ac:dyDescent="0.25">
      <c r="A503" s="2" t="s">
        <v>33</v>
      </c>
      <c r="B503" s="2" t="s">
        <v>386</v>
      </c>
      <c r="C503" s="2">
        <v>3000</v>
      </c>
      <c r="D503" s="2" t="s">
        <v>48</v>
      </c>
      <c r="E503" s="2">
        <v>0</v>
      </c>
      <c r="F503" s="2" t="s">
        <v>144</v>
      </c>
    </row>
    <row r="504" spans="1:6" x14ac:dyDescent="0.25">
      <c r="A504" s="2" t="s">
        <v>33</v>
      </c>
      <c r="B504" s="2" t="s">
        <v>387</v>
      </c>
      <c r="C504" s="2">
        <v>3000</v>
      </c>
      <c r="D504" s="2" t="s">
        <v>48</v>
      </c>
      <c r="E504" s="2">
        <v>0</v>
      </c>
      <c r="F504" s="2" t="s">
        <v>144</v>
      </c>
    </row>
    <row r="505" spans="1:6" x14ac:dyDescent="0.25">
      <c r="A505" s="2" t="s">
        <v>40</v>
      </c>
      <c r="B505" s="2" t="s">
        <v>388</v>
      </c>
      <c r="C505" s="2">
        <v>3000</v>
      </c>
      <c r="D505" s="2" t="s">
        <v>48</v>
      </c>
      <c r="E505" s="2">
        <v>0</v>
      </c>
      <c r="F505" s="2" t="s">
        <v>144</v>
      </c>
    </row>
    <row r="506" spans="1:6" x14ac:dyDescent="0.25">
      <c r="A506" s="2" t="s">
        <v>40</v>
      </c>
      <c r="B506" s="2" t="s">
        <v>390</v>
      </c>
      <c r="C506" s="2">
        <v>3000</v>
      </c>
      <c r="D506" s="2" t="s">
        <v>48</v>
      </c>
      <c r="E506" s="2">
        <v>0</v>
      </c>
      <c r="F506" s="2" t="s">
        <v>144</v>
      </c>
    </row>
    <row r="507" spans="1:6" x14ac:dyDescent="0.25">
      <c r="A507" s="2" t="s">
        <v>40</v>
      </c>
      <c r="B507" s="2" t="s">
        <v>391</v>
      </c>
      <c r="C507" s="2">
        <v>3000</v>
      </c>
      <c r="D507" s="2" t="s">
        <v>48</v>
      </c>
      <c r="E507" s="2">
        <v>0</v>
      </c>
      <c r="F507" s="2" t="s">
        <v>144</v>
      </c>
    </row>
    <row r="508" spans="1:6" x14ac:dyDescent="0.25">
      <c r="A508" s="2" t="s">
        <v>40</v>
      </c>
      <c r="B508" s="2" t="s">
        <v>392</v>
      </c>
      <c r="C508" s="2">
        <v>3000</v>
      </c>
      <c r="D508" s="2" t="s">
        <v>48</v>
      </c>
      <c r="E508" s="2">
        <v>0</v>
      </c>
      <c r="F508" s="2" t="s">
        <v>144</v>
      </c>
    </row>
    <row r="509" spans="1:6" x14ac:dyDescent="0.25">
      <c r="A509" s="2" t="s">
        <v>40</v>
      </c>
      <c r="B509" s="2" t="s">
        <v>394</v>
      </c>
      <c r="C509" s="2">
        <v>3000</v>
      </c>
      <c r="D509" s="2" t="s">
        <v>48</v>
      </c>
      <c r="E509" s="2">
        <v>0</v>
      </c>
      <c r="F509" s="2" t="s">
        <v>144</v>
      </c>
    </row>
    <row r="510" spans="1:6" x14ac:dyDescent="0.25">
      <c r="A510" s="2" t="s">
        <v>33</v>
      </c>
      <c r="B510" s="2" t="s">
        <v>398</v>
      </c>
      <c r="C510" s="2">
        <v>3000</v>
      </c>
      <c r="D510" s="2" t="s">
        <v>43</v>
      </c>
      <c r="E510" s="2">
        <v>0</v>
      </c>
      <c r="F510" s="2" t="s">
        <v>23</v>
      </c>
    </row>
    <row r="511" spans="1:6" x14ac:dyDescent="0.25">
      <c r="A511" s="2" t="s">
        <v>33</v>
      </c>
      <c r="B511" s="2" t="s">
        <v>399</v>
      </c>
      <c r="C511" s="2">
        <v>3000</v>
      </c>
      <c r="D511" s="2" t="s">
        <v>43</v>
      </c>
      <c r="E511" s="2">
        <v>0</v>
      </c>
      <c r="F511" s="2" t="s">
        <v>23</v>
      </c>
    </row>
    <row r="512" spans="1:6" x14ac:dyDescent="0.25">
      <c r="A512" s="2" t="s">
        <v>33</v>
      </c>
      <c r="B512" s="2" t="s">
        <v>401</v>
      </c>
      <c r="C512" s="2">
        <v>3000</v>
      </c>
      <c r="D512" s="2" t="s">
        <v>43</v>
      </c>
      <c r="E512" s="2">
        <v>0</v>
      </c>
      <c r="F512" s="2" t="s">
        <v>23</v>
      </c>
    </row>
    <row r="513" spans="1:6" x14ac:dyDescent="0.25">
      <c r="A513" s="2" t="s">
        <v>33</v>
      </c>
      <c r="B513" s="2" t="s">
        <v>402</v>
      </c>
      <c r="C513" s="2">
        <v>3000</v>
      </c>
      <c r="D513" s="2" t="s">
        <v>43</v>
      </c>
      <c r="E513" s="2">
        <v>0</v>
      </c>
      <c r="F513" s="2" t="s">
        <v>23</v>
      </c>
    </row>
    <row r="514" spans="1:6" x14ac:dyDescent="0.25">
      <c r="A514" s="2" t="s">
        <v>40</v>
      </c>
      <c r="B514" s="2" t="s">
        <v>403</v>
      </c>
      <c r="C514" s="2">
        <v>3000</v>
      </c>
      <c r="D514" s="2" t="s">
        <v>43</v>
      </c>
      <c r="E514" s="2">
        <v>0</v>
      </c>
      <c r="F514" s="2" t="s">
        <v>23</v>
      </c>
    </row>
    <row r="515" spans="1:6" x14ac:dyDescent="0.25">
      <c r="A515" s="2" t="s">
        <v>40</v>
      </c>
      <c r="B515" s="2" t="s">
        <v>406</v>
      </c>
      <c r="C515" s="2">
        <v>3000</v>
      </c>
      <c r="D515" s="2" t="s">
        <v>43</v>
      </c>
      <c r="E515" s="2">
        <v>0</v>
      </c>
      <c r="F515" s="2" t="s">
        <v>23</v>
      </c>
    </row>
    <row r="516" spans="1:6" x14ac:dyDescent="0.25">
      <c r="A516" s="2" t="s">
        <v>40</v>
      </c>
      <c r="B516" s="2" t="s">
        <v>408</v>
      </c>
      <c r="C516" s="2">
        <v>3000</v>
      </c>
      <c r="D516" s="2" t="s">
        <v>43</v>
      </c>
      <c r="E516" s="2">
        <v>0</v>
      </c>
      <c r="F516" s="2" t="s">
        <v>23</v>
      </c>
    </row>
    <row r="517" spans="1:6" x14ac:dyDescent="0.25">
      <c r="A517" s="2" t="s">
        <v>40</v>
      </c>
      <c r="B517" s="2" t="s">
        <v>409</v>
      </c>
      <c r="C517" s="2">
        <v>3000</v>
      </c>
      <c r="D517" s="2" t="s">
        <v>43</v>
      </c>
      <c r="E517" s="2">
        <v>0</v>
      </c>
      <c r="F517" s="2" t="s">
        <v>23</v>
      </c>
    </row>
    <row r="518" spans="1:6" x14ac:dyDescent="0.25">
      <c r="A518" s="2" t="s">
        <v>40</v>
      </c>
      <c r="B518" s="2" t="s">
        <v>410</v>
      </c>
      <c r="C518" s="2">
        <v>3000</v>
      </c>
      <c r="D518" s="2" t="s">
        <v>43</v>
      </c>
      <c r="E518" s="2">
        <v>0</v>
      </c>
      <c r="F518" s="2" t="s">
        <v>23</v>
      </c>
    </row>
    <row r="519" spans="1:6" x14ac:dyDescent="0.25">
      <c r="A519" s="2" t="s">
        <v>40</v>
      </c>
      <c r="B519" s="2" t="s">
        <v>411</v>
      </c>
      <c r="C519" s="2">
        <v>3000</v>
      </c>
      <c r="D519" s="2" t="s">
        <v>43</v>
      </c>
      <c r="E519" s="2">
        <v>0</v>
      </c>
      <c r="F519" s="2" t="s">
        <v>23</v>
      </c>
    </row>
    <row r="520" spans="1:6" x14ac:dyDescent="0.25">
      <c r="A520" s="2" t="s">
        <v>40</v>
      </c>
      <c r="B520" s="2" t="s">
        <v>412</v>
      </c>
      <c r="C520" s="2">
        <v>3000</v>
      </c>
      <c r="D520" s="2" t="s">
        <v>43</v>
      </c>
      <c r="E520" s="2">
        <v>0</v>
      </c>
      <c r="F520" s="2" t="s">
        <v>23</v>
      </c>
    </row>
    <row r="521" spans="1:6" x14ac:dyDescent="0.25">
      <c r="A521" s="2" t="s">
        <v>40</v>
      </c>
      <c r="B521" s="2" t="s">
        <v>413</v>
      </c>
      <c r="C521" s="2">
        <v>3000</v>
      </c>
      <c r="D521" s="2" t="s">
        <v>43</v>
      </c>
      <c r="E521" s="2">
        <v>0</v>
      </c>
      <c r="F521" s="2" t="s">
        <v>23</v>
      </c>
    </row>
    <row r="522" spans="1:6" x14ac:dyDescent="0.25">
      <c r="A522" s="2" t="s">
        <v>33</v>
      </c>
      <c r="B522" s="2" t="s">
        <v>416</v>
      </c>
      <c r="C522" s="2">
        <v>3000</v>
      </c>
      <c r="D522" s="2" t="s">
        <v>43</v>
      </c>
      <c r="E522" s="2">
        <v>0</v>
      </c>
      <c r="F522" s="2" t="s">
        <v>27</v>
      </c>
    </row>
    <row r="523" spans="1:6" x14ac:dyDescent="0.25">
      <c r="A523" s="2" t="s">
        <v>33</v>
      </c>
      <c r="B523" s="2" t="s">
        <v>417</v>
      </c>
      <c r="C523" s="2">
        <v>3000</v>
      </c>
      <c r="D523" s="2" t="s">
        <v>43</v>
      </c>
      <c r="E523" s="2">
        <v>0</v>
      </c>
      <c r="F523" s="2" t="s">
        <v>27</v>
      </c>
    </row>
    <row r="524" spans="1:6" x14ac:dyDescent="0.25">
      <c r="A524" s="2" t="s">
        <v>33</v>
      </c>
      <c r="B524" s="2" t="s">
        <v>418</v>
      </c>
      <c r="C524" s="2">
        <v>3000</v>
      </c>
      <c r="D524" s="2" t="s">
        <v>43</v>
      </c>
      <c r="E524" s="2">
        <v>0</v>
      </c>
      <c r="F524" s="2" t="s">
        <v>27</v>
      </c>
    </row>
    <row r="525" spans="1:6" x14ac:dyDescent="0.25">
      <c r="A525" s="2" t="s">
        <v>33</v>
      </c>
      <c r="B525" s="2" t="s">
        <v>419</v>
      </c>
      <c r="C525" s="2">
        <v>3000</v>
      </c>
      <c r="D525" s="2" t="s">
        <v>43</v>
      </c>
      <c r="E525" s="2">
        <v>0</v>
      </c>
      <c r="F525" s="2" t="s">
        <v>27</v>
      </c>
    </row>
    <row r="526" spans="1:6" x14ac:dyDescent="0.25">
      <c r="A526" s="2" t="s">
        <v>40</v>
      </c>
      <c r="B526" s="2" t="s">
        <v>420</v>
      </c>
      <c r="C526" s="2">
        <v>3000</v>
      </c>
      <c r="D526" s="2" t="s">
        <v>43</v>
      </c>
      <c r="E526" s="2">
        <v>0</v>
      </c>
      <c r="F526" s="2" t="s">
        <v>27</v>
      </c>
    </row>
    <row r="527" spans="1:6" x14ac:dyDescent="0.25">
      <c r="A527" s="2" t="s">
        <v>40</v>
      </c>
      <c r="B527" s="2" t="s">
        <v>422</v>
      </c>
      <c r="C527" s="2">
        <v>3000</v>
      </c>
      <c r="D527" s="2" t="s">
        <v>43</v>
      </c>
      <c r="E527" s="2">
        <v>0</v>
      </c>
      <c r="F527" s="2" t="s">
        <v>27</v>
      </c>
    </row>
    <row r="528" spans="1:6" x14ac:dyDescent="0.25">
      <c r="A528" s="2" t="s">
        <v>40</v>
      </c>
      <c r="B528" s="2" t="s">
        <v>424</v>
      </c>
      <c r="C528" s="2">
        <v>3000</v>
      </c>
      <c r="D528" s="2" t="s">
        <v>43</v>
      </c>
      <c r="E528" s="2">
        <v>0</v>
      </c>
      <c r="F528" s="2" t="s">
        <v>27</v>
      </c>
    </row>
    <row r="529" spans="1:6" x14ac:dyDescent="0.25">
      <c r="A529" s="2" t="s">
        <v>40</v>
      </c>
      <c r="B529" s="2" t="s">
        <v>425</v>
      </c>
      <c r="C529" s="2">
        <v>3000</v>
      </c>
      <c r="D529" s="2" t="s">
        <v>43</v>
      </c>
      <c r="E529" s="2">
        <v>0</v>
      </c>
      <c r="F529" s="2" t="s">
        <v>27</v>
      </c>
    </row>
    <row r="530" spans="1:6" x14ac:dyDescent="0.25">
      <c r="A530" s="2" t="s">
        <v>40</v>
      </c>
      <c r="B530" s="2" t="s">
        <v>426</v>
      </c>
      <c r="C530" s="2">
        <v>3000</v>
      </c>
      <c r="D530" s="2" t="s">
        <v>43</v>
      </c>
      <c r="E530" s="2">
        <v>0</v>
      </c>
      <c r="F530" s="2" t="s">
        <v>27</v>
      </c>
    </row>
    <row r="531" spans="1:6" x14ac:dyDescent="0.25">
      <c r="A531" s="2" t="s">
        <v>33</v>
      </c>
      <c r="B531" s="2" t="s">
        <v>427</v>
      </c>
      <c r="C531" s="2">
        <v>3000</v>
      </c>
      <c r="D531" s="2" t="s">
        <v>52</v>
      </c>
      <c r="E531" s="2">
        <v>0</v>
      </c>
      <c r="F531" s="2" t="s">
        <v>53</v>
      </c>
    </row>
    <row r="532" spans="1:6" x14ac:dyDescent="0.25">
      <c r="A532" s="2" t="s">
        <v>33</v>
      </c>
      <c r="B532" s="2" t="s">
        <v>428</v>
      </c>
      <c r="C532" s="2">
        <v>3000</v>
      </c>
      <c r="D532" s="2" t="s">
        <v>52</v>
      </c>
      <c r="E532" s="2">
        <v>0</v>
      </c>
      <c r="F532" s="2" t="s">
        <v>53</v>
      </c>
    </row>
    <row r="533" spans="1:6" x14ac:dyDescent="0.25">
      <c r="A533" s="2" t="s">
        <v>33</v>
      </c>
      <c r="B533" s="2" t="s">
        <v>429</v>
      </c>
      <c r="C533" s="2">
        <v>3000</v>
      </c>
      <c r="D533" s="2" t="s">
        <v>52</v>
      </c>
      <c r="E533" s="2">
        <v>0</v>
      </c>
      <c r="F533" s="2" t="s">
        <v>53</v>
      </c>
    </row>
    <row r="534" spans="1:6" x14ac:dyDescent="0.25">
      <c r="A534" s="2" t="s">
        <v>33</v>
      </c>
      <c r="B534" s="2" t="s">
        <v>430</v>
      </c>
      <c r="C534" s="2">
        <v>3000</v>
      </c>
      <c r="D534" s="2" t="s">
        <v>52</v>
      </c>
      <c r="E534" s="2">
        <v>0</v>
      </c>
      <c r="F534" s="2" t="s">
        <v>53</v>
      </c>
    </row>
    <row r="535" spans="1:6" x14ac:dyDescent="0.25">
      <c r="A535" s="2" t="s">
        <v>40</v>
      </c>
      <c r="B535" s="2" t="s">
        <v>432</v>
      </c>
      <c r="C535" s="2">
        <v>3000</v>
      </c>
      <c r="D535" s="2" t="s">
        <v>52</v>
      </c>
      <c r="E535" s="2">
        <v>0</v>
      </c>
      <c r="F535" s="2" t="s">
        <v>53</v>
      </c>
    </row>
    <row r="536" spans="1:6" x14ac:dyDescent="0.25">
      <c r="A536" s="2" t="s">
        <v>40</v>
      </c>
      <c r="B536" s="2" t="s">
        <v>433</v>
      </c>
      <c r="C536" s="2">
        <v>3000</v>
      </c>
      <c r="D536" s="2" t="s">
        <v>52</v>
      </c>
      <c r="E536" s="2">
        <v>0</v>
      </c>
      <c r="F536" s="2" t="s">
        <v>53</v>
      </c>
    </row>
    <row r="537" spans="1:6" x14ac:dyDescent="0.25">
      <c r="A537" s="2" t="s">
        <v>40</v>
      </c>
      <c r="B537" s="2" t="s">
        <v>434</v>
      </c>
      <c r="C537" s="2">
        <v>3000</v>
      </c>
      <c r="D537" s="2" t="s">
        <v>52</v>
      </c>
      <c r="E537" s="2">
        <v>0</v>
      </c>
      <c r="F537" s="2" t="s">
        <v>53</v>
      </c>
    </row>
    <row r="538" spans="1:6" x14ac:dyDescent="0.25">
      <c r="A538" s="2" t="s">
        <v>40</v>
      </c>
      <c r="B538" s="2" t="s">
        <v>435</v>
      </c>
      <c r="C538" s="2">
        <v>3000</v>
      </c>
      <c r="D538" s="2" t="s">
        <v>52</v>
      </c>
      <c r="E538" s="2">
        <v>0</v>
      </c>
      <c r="F538" s="2" t="s">
        <v>53</v>
      </c>
    </row>
    <row r="539" spans="1:6" x14ac:dyDescent="0.25">
      <c r="A539" s="2" t="s">
        <v>40</v>
      </c>
      <c r="B539" s="2" t="s">
        <v>436</v>
      </c>
      <c r="C539" s="2">
        <v>3000</v>
      </c>
      <c r="D539" s="2" t="s">
        <v>52</v>
      </c>
      <c r="E539" s="2">
        <v>0</v>
      </c>
      <c r="F539" s="2" t="s">
        <v>53</v>
      </c>
    </row>
    <row r="540" spans="1:6" x14ac:dyDescent="0.25">
      <c r="A540" s="2" t="s">
        <v>40</v>
      </c>
      <c r="B540" s="2" t="s">
        <v>437</v>
      </c>
      <c r="C540" s="2">
        <v>3000</v>
      </c>
      <c r="D540" s="2" t="s">
        <v>52</v>
      </c>
      <c r="E540" s="2">
        <v>0</v>
      </c>
      <c r="F540" s="2" t="s">
        <v>53</v>
      </c>
    </row>
    <row r="541" spans="1:6" x14ac:dyDescent="0.25">
      <c r="A541" s="2" t="s">
        <v>33</v>
      </c>
      <c r="B541" s="2" t="s">
        <v>443</v>
      </c>
      <c r="C541" s="2">
        <v>3000</v>
      </c>
      <c r="D541" s="2" t="s">
        <v>52</v>
      </c>
      <c r="E541" s="2">
        <v>0</v>
      </c>
      <c r="F541" s="2" t="s">
        <v>115</v>
      </c>
    </row>
    <row r="542" spans="1:6" x14ac:dyDescent="0.25">
      <c r="A542" s="2" t="s">
        <v>33</v>
      </c>
      <c r="B542" s="2" t="s">
        <v>444</v>
      </c>
      <c r="C542" s="2">
        <v>3000</v>
      </c>
      <c r="D542" s="2" t="s">
        <v>52</v>
      </c>
      <c r="E542" s="2">
        <v>0</v>
      </c>
      <c r="F542" s="2" t="s">
        <v>115</v>
      </c>
    </row>
    <row r="543" spans="1:6" x14ac:dyDescent="0.25">
      <c r="A543" s="2" t="s">
        <v>40</v>
      </c>
      <c r="B543" s="2" t="s">
        <v>447</v>
      </c>
      <c r="C543" s="2">
        <v>3000</v>
      </c>
      <c r="D543" s="2" t="s">
        <v>52</v>
      </c>
      <c r="E543" s="2">
        <v>0</v>
      </c>
      <c r="F543" s="2" t="s">
        <v>115</v>
      </c>
    </row>
    <row r="544" spans="1:6" x14ac:dyDescent="0.25">
      <c r="A544" s="2" t="s">
        <v>40</v>
      </c>
      <c r="B544" s="2" t="s">
        <v>448</v>
      </c>
      <c r="C544" s="2">
        <v>3000</v>
      </c>
      <c r="D544" s="2" t="s">
        <v>52</v>
      </c>
      <c r="E544" s="2">
        <v>0</v>
      </c>
      <c r="F544" s="2" t="s">
        <v>115</v>
      </c>
    </row>
    <row r="545" spans="1:6" x14ac:dyDescent="0.25">
      <c r="A545" s="2" t="s">
        <v>40</v>
      </c>
      <c r="B545" s="2" t="s">
        <v>449</v>
      </c>
      <c r="C545" s="2">
        <v>3000</v>
      </c>
      <c r="D545" s="2" t="s">
        <v>52</v>
      </c>
      <c r="E545" s="2">
        <v>0</v>
      </c>
      <c r="F545" s="2" t="s">
        <v>115</v>
      </c>
    </row>
    <row r="546" spans="1:6" x14ac:dyDescent="0.25">
      <c r="A546" s="2" t="s">
        <v>40</v>
      </c>
      <c r="B546" s="2" t="s">
        <v>450</v>
      </c>
      <c r="C546" s="2">
        <v>3000</v>
      </c>
      <c r="D546" s="2" t="s">
        <v>52</v>
      </c>
      <c r="E546" s="2">
        <v>0</v>
      </c>
      <c r="F546" s="2" t="s">
        <v>115</v>
      </c>
    </row>
    <row r="547" spans="1:6" x14ac:dyDescent="0.25">
      <c r="A547" s="2" t="s">
        <v>40</v>
      </c>
      <c r="B547" s="2" t="s">
        <v>451</v>
      </c>
      <c r="C547" s="2">
        <v>3000</v>
      </c>
      <c r="D547" s="2" t="s">
        <v>52</v>
      </c>
      <c r="E547" s="2">
        <v>0</v>
      </c>
      <c r="F547" s="2" t="s">
        <v>115</v>
      </c>
    </row>
    <row r="548" spans="1:6" x14ac:dyDescent="0.25">
      <c r="A548" s="2" t="s">
        <v>40</v>
      </c>
      <c r="B548" s="2" t="s">
        <v>454</v>
      </c>
      <c r="C548" s="2">
        <v>3000</v>
      </c>
      <c r="D548" s="2" t="s">
        <v>52</v>
      </c>
      <c r="E548" s="2">
        <v>0</v>
      </c>
      <c r="F548" s="2" t="s">
        <v>115</v>
      </c>
    </row>
    <row r="549" spans="1:6" x14ac:dyDescent="0.25">
      <c r="A549" s="2" t="s">
        <v>40</v>
      </c>
      <c r="B549" s="2" t="s">
        <v>455</v>
      </c>
      <c r="C549" s="2">
        <v>3000</v>
      </c>
      <c r="D549" s="2" t="s">
        <v>52</v>
      </c>
      <c r="E549" s="2">
        <v>0</v>
      </c>
      <c r="F549" s="2" t="s">
        <v>115</v>
      </c>
    </row>
    <row r="550" spans="1:6" x14ac:dyDescent="0.25">
      <c r="A550" s="2" t="s">
        <v>33</v>
      </c>
      <c r="B550" s="2" t="s">
        <v>456</v>
      </c>
      <c r="C550" s="2">
        <v>3000</v>
      </c>
      <c r="D550" s="2" t="s">
        <v>35</v>
      </c>
      <c r="E550" s="2">
        <v>0</v>
      </c>
      <c r="F550" s="2" t="s">
        <v>20</v>
      </c>
    </row>
    <row r="551" spans="1:6" x14ac:dyDescent="0.25">
      <c r="A551" s="2" t="s">
        <v>40</v>
      </c>
      <c r="B551" s="2" t="s">
        <v>460</v>
      </c>
      <c r="C551" s="2">
        <v>3000</v>
      </c>
      <c r="D551" s="2" t="s">
        <v>35</v>
      </c>
      <c r="E551" s="2">
        <v>0</v>
      </c>
      <c r="F551" s="2" t="s">
        <v>20</v>
      </c>
    </row>
    <row r="552" spans="1:6" x14ac:dyDescent="0.25">
      <c r="A552" s="2" t="s">
        <v>40</v>
      </c>
      <c r="B552" s="2" t="s">
        <v>462</v>
      </c>
      <c r="C552" s="2">
        <v>3000</v>
      </c>
      <c r="D552" s="2" t="s">
        <v>35</v>
      </c>
      <c r="E552" s="2">
        <v>0</v>
      </c>
      <c r="F552" s="2" t="s">
        <v>20</v>
      </c>
    </row>
    <row r="553" spans="1:6" x14ac:dyDescent="0.25">
      <c r="A553" s="2" t="s">
        <v>40</v>
      </c>
      <c r="B553" s="2" t="s">
        <v>464</v>
      </c>
      <c r="C553" s="2">
        <v>3000</v>
      </c>
      <c r="D553" s="2" t="s">
        <v>35</v>
      </c>
      <c r="E553" s="2">
        <v>0</v>
      </c>
      <c r="F553" s="2" t="s">
        <v>20</v>
      </c>
    </row>
    <row r="554" spans="1:6" x14ac:dyDescent="0.25">
      <c r="A554" s="2" t="s">
        <v>40</v>
      </c>
      <c r="B554" s="2" t="s">
        <v>466</v>
      </c>
      <c r="C554" s="2">
        <v>3000</v>
      </c>
      <c r="D554" s="2" t="s">
        <v>35</v>
      </c>
      <c r="E554" s="2">
        <v>0</v>
      </c>
      <c r="F554" s="2" t="s">
        <v>20</v>
      </c>
    </row>
    <row r="555" spans="1:6" x14ac:dyDescent="0.25">
      <c r="A555" s="2" t="s">
        <v>40</v>
      </c>
      <c r="B555" s="2" t="s">
        <v>467</v>
      </c>
      <c r="C555" s="2">
        <v>3000</v>
      </c>
      <c r="D555" s="2" t="s">
        <v>35</v>
      </c>
      <c r="E555" s="2">
        <v>0</v>
      </c>
      <c r="F555" s="2" t="s">
        <v>20</v>
      </c>
    </row>
    <row r="556" spans="1:6" x14ac:dyDescent="0.25">
      <c r="A556" s="2" t="s">
        <v>40</v>
      </c>
      <c r="B556" s="2" t="s">
        <v>468</v>
      </c>
      <c r="C556" s="2">
        <v>3000</v>
      </c>
      <c r="D556" s="2" t="s">
        <v>35</v>
      </c>
      <c r="E556" s="2">
        <v>0</v>
      </c>
      <c r="F556" s="2" t="s">
        <v>20</v>
      </c>
    </row>
    <row r="557" spans="1:6" x14ac:dyDescent="0.25">
      <c r="A557" s="2" t="s">
        <v>33</v>
      </c>
      <c r="B557" s="2" t="s">
        <v>470</v>
      </c>
      <c r="C557" s="2">
        <v>3000</v>
      </c>
      <c r="D557" s="2" t="s">
        <v>35</v>
      </c>
      <c r="E557" s="2">
        <v>0</v>
      </c>
      <c r="F557" s="2" t="s">
        <v>36</v>
      </c>
    </row>
    <row r="558" spans="1:6" x14ac:dyDescent="0.25">
      <c r="A558" s="2" t="s">
        <v>33</v>
      </c>
      <c r="B558" s="2" t="s">
        <v>471</v>
      </c>
      <c r="C558" s="2">
        <v>3000</v>
      </c>
      <c r="D558" s="2" t="s">
        <v>35</v>
      </c>
      <c r="E558" s="2">
        <v>0</v>
      </c>
      <c r="F558" s="2" t="s">
        <v>36</v>
      </c>
    </row>
    <row r="559" spans="1:6" x14ac:dyDescent="0.25">
      <c r="A559" s="2" t="s">
        <v>40</v>
      </c>
      <c r="B559" s="2" t="s">
        <v>476</v>
      </c>
      <c r="C559" s="2">
        <v>3000</v>
      </c>
      <c r="D559" s="2" t="s">
        <v>35</v>
      </c>
      <c r="E559" s="2">
        <v>0</v>
      </c>
      <c r="F559" s="2" t="s">
        <v>36</v>
      </c>
    </row>
    <row r="560" spans="1:6" x14ac:dyDescent="0.25">
      <c r="A560" s="2" t="s">
        <v>40</v>
      </c>
      <c r="B560" s="2" t="s">
        <v>479</v>
      </c>
      <c r="C560" s="2">
        <v>3000</v>
      </c>
      <c r="D560" s="2" t="s">
        <v>35</v>
      </c>
      <c r="E560" s="2">
        <v>0</v>
      </c>
      <c r="F560" s="2" t="s">
        <v>36</v>
      </c>
    </row>
    <row r="561" spans="1:6" x14ac:dyDescent="0.25">
      <c r="A561" s="2" t="s">
        <v>33</v>
      </c>
      <c r="B561" s="2" t="s">
        <v>481</v>
      </c>
      <c r="C561" s="2">
        <v>3000</v>
      </c>
      <c r="D561" s="2" t="s">
        <v>38</v>
      </c>
      <c r="E561" s="2">
        <v>0</v>
      </c>
      <c r="F561" s="2" t="s">
        <v>26</v>
      </c>
    </row>
    <row r="562" spans="1:6" x14ac:dyDescent="0.25">
      <c r="A562" s="2" t="s">
        <v>40</v>
      </c>
      <c r="B562" s="2" t="s">
        <v>485</v>
      </c>
      <c r="C562" s="2">
        <v>3000</v>
      </c>
      <c r="D562" s="2" t="s">
        <v>38</v>
      </c>
      <c r="E562" s="2">
        <v>0</v>
      </c>
      <c r="F562" s="2" t="s">
        <v>26</v>
      </c>
    </row>
    <row r="563" spans="1:6" x14ac:dyDescent="0.25">
      <c r="A563" s="2" t="s">
        <v>40</v>
      </c>
      <c r="B563" s="2" t="s">
        <v>488</v>
      </c>
      <c r="C563" s="2">
        <v>3000</v>
      </c>
      <c r="D563" s="2" t="s">
        <v>38</v>
      </c>
      <c r="E563" s="2">
        <v>0</v>
      </c>
      <c r="F563" s="2" t="s">
        <v>26</v>
      </c>
    </row>
    <row r="564" spans="1:6" x14ac:dyDescent="0.25">
      <c r="A564" s="2" t="s">
        <v>40</v>
      </c>
      <c r="B564" s="2" t="s">
        <v>489</v>
      </c>
      <c r="C564" s="2">
        <v>3000</v>
      </c>
      <c r="D564" s="2" t="s">
        <v>38</v>
      </c>
      <c r="E564" s="2">
        <v>0</v>
      </c>
      <c r="F564" s="2" t="s">
        <v>26</v>
      </c>
    </row>
    <row r="565" spans="1:6" x14ac:dyDescent="0.25">
      <c r="A565" s="2" t="s">
        <v>40</v>
      </c>
      <c r="B565" s="2" t="s">
        <v>490</v>
      </c>
      <c r="C565" s="2">
        <v>3000</v>
      </c>
      <c r="D565" s="2" t="s">
        <v>38</v>
      </c>
      <c r="E565" s="2">
        <v>0</v>
      </c>
      <c r="F565" s="2" t="s">
        <v>26</v>
      </c>
    </row>
    <row r="566" spans="1:6" x14ac:dyDescent="0.25">
      <c r="A566" s="2" t="s">
        <v>40</v>
      </c>
      <c r="B566" s="2" t="s">
        <v>491</v>
      </c>
      <c r="C566" s="2">
        <v>3000</v>
      </c>
      <c r="D566" s="2" t="s">
        <v>38</v>
      </c>
      <c r="E566" s="2">
        <v>0</v>
      </c>
      <c r="F566" s="2" t="s">
        <v>26</v>
      </c>
    </row>
    <row r="567" spans="1:6" x14ac:dyDescent="0.25">
      <c r="A567" s="2" t="s">
        <v>33</v>
      </c>
      <c r="B567" s="2" t="s">
        <v>492</v>
      </c>
      <c r="C567" s="2">
        <v>3000</v>
      </c>
      <c r="D567" s="2" t="s">
        <v>38</v>
      </c>
      <c r="E567" s="2">
        <v>0</v>
      </c>
      <c r="F567" s="2" t="s">
        <v>39</v>
      </c>
    </row>
    <row r="568" spans="1:6" x14ac:dyDescent="0.25">
      <c r="A568" s="2" t="s">
        <v>33</v>
      </c>
      <c r="B568" s="2" t="s">
        <v>493</v>
      </c>
      <c r="C568" s="2">
        <v>3000</v>
      </c>
      <c r="D568" s="2" t="s">
        <v>38</v>
      </c>
      <c r="E568" s="2">
        <v>0</v>
      </c>
      <c r="F568" s="2" t="s">
        <v>39</v>
      </c>
    </row>
    <row r="569" spans="1:6" x14ac:dyDescent="0.25">
      <c r="A569" s="2" t="s">
        <v>33</v>
      </c>
      <c r="B569" s="2" t="s">
        <v>494</v>
      </c>
      <c r="C569" s="2">
        <v>3000</v>
      </c>
      <c r="D569" s="2" t="s">
        <v>38</v>
      </c>
      <c r="E569" s="2">
        <v>0</v>
      </c>
      <c r="F569" s="2" t="s">
        <v>39</v>
      </c>
    </row>
    <row r="570" spans="1:6" x14ac:dyDescent="0.25">
      <c r="A570" s="2" t="s">
        <v>40</v>
      </c>
      <c r="B570" s="2" t="s">
        <v>495</v>
      </c>
      <c r="C570" s="2">
        <v>3000</v>
      </c>
      <c r="D570" s="2" t="s">
        <v>38</v>
      </c>
      <c r="E570" s="2">
        <v>0</v>
      </c>
      <c r="F570" s="2" t="s">
        <v>39</v>
      </c>
    </row>
    <row r="571" spans="1:6" x14ac:dyDescent="0.25">
      <c r="A571" s="2" t="s">
        <v>40</v>
      </c>
      <c r="B571" s="2" t="s">
        <v>496</v>
      </c>
      <c r="C571" s="2">
        <v>3000</v>
      </c>
      <c r="D571" s="2" t="s">
        <v>38</v>
      </c>
      <c r="E571" s="2">
        <v>0</v>
      </c>
      <c r="F571" s="2" t="s">
        <v>39</v>
      </c>
    </row>
    <row r="572" spans="1:6" x14ac:dyDescent="0.25">
      <c r="A572" s="2" t="s">
        <v>40</v>
      </c>
      <c r="B572" s="2" t="s">
        <v>497</v>
      </c>
      <c r="C572" s="2">
        <v>3000</v>
      </c>
      <c r="D572" s="2" t="s">
        <v>38</v>
      </c>
      <c r="E572" s="2">
        <v>0</v>
      </c>
      <c r="F572" s="2" t="s">
        <v>39</v>
      </c>
    </row>
    <row r="573" spans="1:6" x14ac:dyDescent="0.25">
      <c r="A573" s="2" t="s">
        <v>40</v>
      </c>
      <c r="B573" s="2" t="s">
        <v>499</v>
      </c>
      <c r="C573" s="2">
        <v>3000</v>
      </c>
      <c r="D573" s="2" t="s">
        <v>38</v>
      </c>
      <c r="E573" s="2">
        <v>0</v>
      </c>
      <c r="F573" s="2" t="s">
        <v>39</v>
      </c>
    </row>
    <row r="574" spans="1:6" x14ac:dyDescent="0.25">
      <c r="A574" s="2" t="s">
        <v>40</v>
      </c>
      <c r="B574" s="2" t="s">
        <v>500</v>
      </c>
      <c r="C574" s="2">
        <v>3000</v>
      </c>
      <c r="D574" s="2" t="s">
        <v>38</v>
      </c>
      <c r="E574" s="2">
        <v>0</v>
      </c>
      <c r="F574" s="2" t="s">
        <v>39</v>
      </c>
    </row>
    <row r="575" spans="1:6" x14ac:dyDescent="0.25">
      <c r="A575" s="2" t="s">
        <v>40</v>
      </c>
      <c r="B575" s="2" t="s">
        <v>502</v>
      </c>
      <c r="C575" s="2">
        <v>3000</v>
      </c>
      <c r="D575" s="2" t="s">
        <v>38</v>
      </c>
      <c r="E575" s="2">
        <v>0</v>
      </c>
      <c r="F575" s="2" t="s">
        <v>39</v>
      </c>
    </row>
    <row r="576" spans="1:6" x14ac:dyDescent="0.25">
      <c r="A576" s="2" t="s">
        <v>33</v>
      </c>
      <c r="B576" s="2" t="s">
        <v>503</v>
      </c>
      <c r="C576" s="2">
        <v>3000</v>
      </c>
      <c r="D576" s="2" t="s">
        <v>103</v>
      </c>
      <c r="E576" s="2">
        <v>0</v>
      </c>
      <c r="F576" s="2" t="s">
        <v>19</v>
      </c>
    </row>
    <row r="577" spans="1:6" x14ac:dyDescent="0.25">
      <c r="A577" s="2" t="s">
        <v>40</v>
      </c>
      <c r="B577" s="2" t="s">
        <v>507</v>
      </c>
      <c r="C577" s="2">
        <v>3000</v>
      </c>
      <c r="D577" s="2" t="s">
        <v>103</v>
      </c>
      <c r="E577" s="2">
        <v>0</v>
      </c>
      <c r="F577" s="2" t="s">
        <v>19</v>
      </c>
    </row>
    <row r="578" spans="1:6" x14ac:dyDescent="0.25">
      <c r="A578" s="2" t="s">
        <v>40</v>
      </c>
      <c r="B578" s="2" t="s">
        <v>508</v>
      </c>
      <c r="C578" s="2">
        <v>3000</v>
      </c>
      <c r="D578" s="2" t="s">
        <v>103</v>
      </c>
      <c r="E578" s="2">
        <v>0</v>
      </c>
      <c r="F578" s="2" t="s">
        <v>19</v>
      </c>
    </row>
    <row r="579" spans="1:6" x14ac:dyDescent="0.25">
      <c r="A579" s="2" t="s">
        <v>40</v>
      </c>
      <c r="B579" s="2" t="s">
        <v>510</v>
      </c>
      <c r="C579" s="2">
        <v>3000</v>
      </c>
      <c r="D579" s="2" t="s">
        <v>103</v>
      </c>
      <c r="E579" s="2">
        <v>0</v>
      </c>
      <c r="F579" s="2" t="s">
        <v>19</v>
      </c>
    </row>
    <row r="580" spans="1:6" x14ac:dyDescent="0.25">
      <c r="A580" s="2" t="s">
        <v>40</v>
      </c>
      <c r="B580" s="2" t="s">
        <v>511</v>
      </c>
      <c r="C580" s="2">
        <v>3000</v>
      </c>
      <c r="D580" s="2" t="s">
        <v>103</v>
      </c>
      <c r="E580" s="2">
        <v>0</v>
      </c>
      <c r="F580" s="2" t="s">
        <v>19</v>
      </c>
    </row>
    <row r="581" spans="1:6" x14ac:dyDescent="0.25">
      <c r="A581" s="2" t="s">
        <v>40</v>
      </c>
      <c r="B581" s="2" t="s">
        <v>304</v>
      </c>
      <c r="C581" s="2">
        <v>3000</v>
      </c>
      <c r="D581" s="2" t="s">
        <v>103</v>
      </c>
      <c r="E581" s="2">
        <v>0</v>
      </c>
      <c r="F581" s="2" t="s">
        <v>19</v>
      </c>
    </row>
    <row r="582" spans="1:6" x14ac:dyDescent="0.25">
      <c r="A582" s="2" t="s">
        <v>40</v>
      </c>
      <c r="B582" s="2" t="s">
        <v>513</v>
      </c>
      <c r="C582" s="2">
        <v>3000</v>
      </c>
      <c r="D582" s="2" t="s">
        <v>103</v>
      </c>
      <c r="E582" s="2">
        <v>0</v>
      </c>
      <c r="F582" s="2" t="s">
        <v>19</v>
      </c>
    </row>
    <row r="583" spans="1:6" x14ac:dyDescent="0.25">
      <c r="A583" s="2" t="s">
        <v>33</v>
      </c>
      <c r="B583" s="2" t="s">
        <v>514</v>
      </c>
      <c r="C583" s="2">
        <v>3000</v>
      </c>
      <c r="D583" s="2" t="s">
        <v>103</v>
      </c>
      <c r="E583" s="2">
        <v>0</v>
      </c>
      <c r="F583" s="2" t="s">
        <v>110</v>
      </c>
    </row>
    <row r="584" spans="1:6" x14ac:dyDescent="0.25">
      <c r="A584" s="2" t="s">
        <v>33</v>
      </c>
      <c r="B584" s="2" t="s">
        <v>515</v>
      </c>
      <c r="C584" s="2">
        <v>3000</v>
      </c>
      <c r="D584" s="2" t="s">
        <v>103</v>
      </c>
      <c r="E584" s="2">
        <v>0</v>
      </c>
      <c r="F584" s="2" t="s">
        <v>110</v>
      </c>
    </row>
    <row r="585" spans="1:6" x14ac:dyDescent="0.25">
      <c r="A585" s="2" t="s">
        <v>33</v>
      </c>
      <c r="B585" s="2" t="s">
        <v>516</v>
      </c>
      <c r="C585" s="2">
        <v>3000</v>
      </c>
      <c r="D585" s="2" t="s">
        <v>103</v>
      </c>
      <c r="E585" s="2">
        <v>0</v>
      </c>
      <c r="F585" s="2" t="s">
        <v>110</v>
      </c>
    </row>
    <row r="586" spans="1:6" x14ac:dyDescent="0.25">
      <c r="A586" s="2" t="s">
        <v>33</v>
      </c>
      <c r="B586" s="2" t="s">
        <v>517</v>
      </c>
      <c r="C586" s="2">
        <v>3000</v>
      </c>
      <c r="D586" s="2" t="s">
        <v>103</v>
      </c>
      <c r="E586" s="2">
        <v>0</v>
      </c>
      <c r="F586" s="2" t="s">
        <v>110</v>
      </c>
    </row>
    <row r="587" spans="1:6" x14ac:dyDescent="0.25">
      <c r="A587" s="2" t="s">
        <v>33</v>
      </c>
      <c r="B587" s="2" t="s">
        <v>519</v>
      </c>
      <c r="C587" s="2">
        <v>3000</v>
      </c>
      <c r="D587" s="2" t="s">
        <v>103</v>
      </c>
      <c r="E587" s="2">
        <v>0</v>
      </c>
      <c r="F587" s="2" t="s">
        <v>110</v>
      </c>
    </row>
    <row r="588" spans="1:6" x14ac:dyDescent="0.25">
      <c r="A588" s="2" t="s">
        <v>40</v>
      </c>
      <c r="B588" s="2" t="s">
        <v>520</v>
      </c>
      <c r="C588" s="2">
        <v>3000</v>
      </c>
      <c r="D588" s="2" t="s">
        <v>103</v>
      </c>
      <c r="E588" s="2">
        <v>0</v>
      </c>
      <c r="F588" s="2" t="s">
        <v>110</v>
      </c>
    </row>
    <row r="589" spans="1:6" x14ac:dyDescent="0.25">
      <c r="A589" s="2" t="s">
        <v>40</v>
      </c>
      <c r="B589" s="2" t="s">
        <v>521</v>
      </c>
      <c r="C589" s="2">
        <v>3000</v>
      </c>
      <c r="D589" s="2" t="s">
        <v>103</v>
      </c>
      <c r="E589" s="2">
        <v>0</v>
      </c>
      <c r="F589" s="2" t="s">
        <v>110</v>
      </c>
    </row>
    <row r="590" spans="1:6" x14ac:dyDescent="0.25">
      <c r="A590" s="2" t="s">
        <v>40</v>
      </c>
      <c r="B590" s="2" t="s">
        <v>523</v>
      </c>
      <c r="C590" s="2">
        <v>3000</v>
      </c>
      <c r="D590" s="2" t="s">
        <v>103</v>
      </c>
      <c r="E590" s="2">
        <v>0</v>
      </c>
      <c r="F590" s="2" t="s">
        <v>110</v>
      </c>
    </row>
    <row r="591" spans="1:6" x14ac:dyDescent="0.25">
      <c r="A591" s="2" t="s">
        <v>40</v>
      </c>
      <c r="B591" s="2" t="s">
        <v>524</v>
      </c>
      <c r="C591" s="2">
        <v>3000</v>
      </c>
      <c r="D591" s="2" t="s">
        <v>103</v>
      </c>
      <c r="E591" s="2">
        <v>0</v>
      </c>
      <c r="F591" s="2" t="s">
        <v>110</v>
      </c>
    </row>
    <row r="592" spans="1:6" x14ac:dyDescent="0.25">
      <c r="A592" s="2" t="s">
        <v>40</v>
      </c>
      <c r="B592" s="2" t="s">
        <v>525</v>
      </c>
      <c r="C592" s="2">
        <v>3000</v>
      </c>
      <c r="D592" s="2" t="s">
        <v>103</v>
      </c>
      <c r="E592" s="2">
        <v>0</v>
      </c>
      <c r="F592" s="2" t="s">
        <v>110</v>
      </c>
    </row>
    <row r="593" spans="1:6" x14ac:dyDescent="0.25">
      <c r="A593" s="2" t="s">
        <v>40</v>
      </c>
      <c r="B593" s="2" t="s">
        <v>527</v>
      </c>
      <c r="C593" s="2">
        <v>3000</v>
      </c>
      <c r="D593" s="2" t="s">
        <v>103</v>
      </c>
      <c r="E593" s="2">
        <v>0</v>
      </c>
      <c r="F593" s="2" t="s">
        <v>110</v>
      </c>
    </row>
    <row r="594" spans="1:6" x14ac:dyDescent="0.25">
      <c r="A594" s="2" t="s">
        <v>33</v>
      </c>
      <c r="B594" s="2" t="s">
        <v>529</v>
      </c>
      <c r="C594" s="2">
        <v>3000</v>
      </c>
      <c r="D594" s="2" t="s">
        <v>55</v>
      </c>
      <c r="E594" s="2">
        <v>0</v>
      </c>
      <c r="F594" s="2" t="s">
        <v>28</v>
      </c>
    </row>
    <row r="595" spans="1:6" x14ac:dyDescent="0.25">
      <c r="A595" s="2" t="s">
        <v>33</v>
      </c>
      <c r="B595" s="2" t="s">
        <v>530</v>
      </c>
      <c r="C595" s="2">
        <v>3000</v>
      </c>
      <c r="D595" s="2" t="s">
        <v>55</v>
      </c>
      <c r="E595" s="2">
        <v>0</v>
      </c>
      <c r="F595" s="2" t="s">
        <v>28</v>
      </c>
    </row>
    <row r="596" spans="1:6" x14ac:dyDescent="0.25">
      <c r="A596" s="2" t="s">
        <v>33</v>
      </c>
      <c r="B596" s="2" t="s">
        <v>531</v>
      </c>
      <c r="C596" s="2">
        <v>3000</v>
      </c>
      <c r="D596" s="2" t="s">
        <v>55</v>
      </c>
      <c r="E596" s="2">
        <v>0</v>
      </c>
      <c r="F596" s="2" t="s">
        <v>28</v>
      </c>
    </row>
    <row r="597" spans="1:6" x14ac:dyDescent="0.25">
      <c r="A597" s="2" t="s">
        <v>40</v>
      </c>
      <c r="B597" s="2" t="s">
        <v>532</v>
      </c>
      <c r="C597" s="2">
        <v>3000</v>
      </c>
      <c r="D597" s="2" t="s">
        <v>55</v>
      </c>
      <c r="E597" s="2">
        <v>0</v>
      </c>
      <c r="F597" s="2" t="s">
        <v>28</v>
      </c>
    </row>
    <row r="598" spans="1:6" x14ac:dyDescent="0.25">
      <c r="A598" s="2" t="s">
        <v>40</v>
      </c>
      <c r="B598" s="2" t="s">
        <v>533</v>
      </c>
      <c r="C598" s="2">
        <v>3000</v>
      </c>
      <c r="D598" s="2" t="s">
        <v>55</v>
      </c>
      <c r="E598" s="2">
        <v>0</v>
      </c>
      <c r="F598" s="2" t="s">
        <v>28</v>
      </c>
    </row>
    <row r="599" spans="1:6" x14ac:dyDescent="0.25">
      <c r="A599" s="2" t="s">
        <v>40</v>
      </c>
      <c r="B599" s="2" t="s">
        <v>535</v>
      </c>
      <c r="C599" s="2">
        <v>3000</v>
      </c>
      <c r="D599" s="2" t="s">
        <v>55</v>
      </c>
      <c r="E599" s="2">
        <v>0</v>
      </c>
      <c r="F599" s="2" t="s">
        <v>28</v>
      </c>
    </row>
    <row r="600" spans="1:6" x14ac:dyDescent="0.25">
      <c r="A600" s="2" t="s">
        <v>40</v>
      </c>
      <c r="B600" s="2" t="s">
        <v>536</v>
      </c>
      <c r="C600" s="2">
        <v>3000</v>
      </c>
      <c r="D600" s="2" t="s">
        <v>55</v>
      </c>
      <c r="E600" s="2">
        <v>0</v>
      </c>
      <c r="F600" s="2" t="s">
        <v>28</v>
      </c>
    </row>
    <row r="601" spans="1:6" x14ac:dyDescent="0.25">
      <c r="A601" s="2" t="s">
        <v>40</v>
      </c>
      <c r="B601" s="2" t="s">
        <v>537</v>
      </c>
      <c r="C601" s="2">
        <v>3000</v>
      </c>
      <c r="D601" s="2" t="s">
        <v>55</v>
      </c>
      <c r="E601" s="2">
        <v>0</v>
      </c>
      <c r="F601" s="2" t="s">
        <v>28</v>
      </c>
    </row>
    <row r="602" spans="1:6" x14ac:dyDescent="0.25">
      <c r="A602" s="2" t="s">
        <v>40</v>
      </c>
      <c r="B602" s="2" t="s">
        <v>539</v>
      </c>
      <c r="C602" s="2">
        <v>3000</v>
      </c>
      <c r="D602" s="2" t="s">
        <v>55</v>
      </c>
      <c r="E602" s="2">
        <v>0</v>
      </c>
      <c r="F602" s="2" t="s">
        <v>28</v>
      </c>
    </row>
    <row r="603" spans="1:6" x14ac:dyDescent="0.25">
      <c r="A603" s="2" t="s">
        <v>40</v>
      </c>
      <c r="B603" s="2" t="s">
        <v>540</v>
      </c>
      <c r="C603" s="2">
        <v>3000</v>
      </c>
      <c r="D603" s="2" t="s">
        <v>55</v>
      </c>
      <c r="E603" s="2">
        <v>0</v>
      </c>
      <c r="F603" s="2" t="s">
        <v>28</v>
      </c>
    </row>
    <row r="604" spans="1:6" x14ac:dyDescent="0.25">
      <c r="A604" s="2" t="s">
        <v>40</v>
      </c>
      <c r="B604" s="2" t="s">
        <v>541</v>
      </c>
      <c r="C604" s="2">
        <v>3000</v>
      </c>
      <c r="D604" s="2" t="s">
        <v>55</v>
      </c>
      <c r="E604" s="2">
        <v>0</v>
      </c>
      <c r="F604" s="2" t="s">
        <v>28</v>
      </c>
    </row>
    <row r="605" spans="1:6" x14ac:dyDescent="0.25">
      <c r="A605" s="2" t="s">
        <v>33</v>
      </c>
      <c r="B605" s="2" t="s">
        <v>542</v>
      </c>
      <c r="C605" s="2">
        <v>3000</v>
      </c>
      <c r="D605" s="2" t="s">
        <v>55</v>
      </c>
      <c r="E605" s="2">
        <v>0</v>
      </c>
      <c r="F605" s="2" t="s">
        <v>56</v>
      </c>
    </row>
    <row r="606" spans="1:6" x14ac:dyDescent="0.25">
      <c r="A606" s="2" t="s">
        <v>33</v>
      </c>
      <c r="B606" s="2" t="s">
        <v>544</v>
      </c>
      <c r="C606" s="2">
        <v>3000</v>
      </c>
      <c r="D606" s="2" t="s">
        <v>55</v>
      </c>
      <c r="E606" s="2">
        <v>0</v>
      </c>
      <c r="F606" s="2" t="s">
        <v>56</v>
      </c>
    </row>
    <row r="607" spans="1:6" x14ac:dyDescent="0.25">
      <c r="A607" s="2" t="s">
        <v>33</v>
      </c>
      <c r="B607" s="2" t="s">
        <v>545</v>
      </c>
      <c r="C607" s="2">
        <v>3000</v>
      </c>
      <c r="D607" s="2" t="s">
        <v>55</v>
      </c>
      <c r="E607" s="2">
        <v>0</v>
      </c>
      <c r="F607" s="2" t="s">
        <v>56</v>
      </c>
    </row>
    <row r="608" spans="1:6" x14ac:dyDescent="0.25">
      <c r="A608" s="2" t="s">
        <v>33</v>
      </c>
      <c r="B608" s="2" t="s">
        <v>546</v>
      </c>
      <c r="C608" s="2">
        <v>3000</v>
      </c>
      <c r="D608" s="2" t="s">
        <v>55</v>
      </c>
      <c r="E608" s="2">
        <v>0</v>
      </c>
      <c r="F608" s="2" t="s">
        <v>56</v>
      </c>
    </row>
    <row r="609" spans="1:6" x14ac:dyDescent="0.25">
      <c r="A609" s="2" t="s">
        <v>40</v>
      </c>
      <c r="B609" s="2" t="s">
        <v>547</v>
      </c>
      <c r="C609" s="2">
        <v>3000</v>
      </c>
      <c r="D609" s="2" t="s">
        <v>55</v>
      </c>
      <c r="E609" s="2">
        <v>0</v>
      </c>
      <c r="F609" s="2" t="s">
        <v>56</v>
      </c>
    </row>
    <row r="610" spans="1:6" x14ac:dyDescent="0.25">
      <c r="A610" s="2" t="s">
        <v>40</v>
      </c>
      <c r="B610" s="2" t="s">
        <v>549</v>
      </c>
      <c r="C610" s="2">
        <v>3000</v>
      </c>
      <c r="D610" s="2" t="s">
        <v>55</v>
      </c>
      <c r="E610" s="2">
        <v>0</v>
      </c>
      <c r="F610" s="2" t="s">
        <v>56</v>
      </c>
    </row>
    <row r="611" spans="1:6" x14ac:dyDescent="0.25">
      <c r="A611" s="2" t="s">
        <v>40</v>
      </c>
      <c r="B611" s="2" t="s">
        <v>550</v>
      </c>
      <c r="C611" s="2">
        <v>3000</v>
      </c>
      <c r="D611" s="2" t="s">
        <v>55</v>
      </c>
      <c r="E611" s="2">
        <v>0</v>
      </c>
      <c r="F611" s="2" t="s">
        <v>56</v>
      </c>
    </row>
    <row r="612" spans="1:6" x14ac:dyDescent="0.25">
      <c r="A612" s="2" t="s">
        <v>40</v>
      </c>
      <c r="B612" s="2" t="s">
        <v>552</v>
      </c>
      <c r="C612" s="2">
        <v>3000</v>
      </c>
      <c r="D612" s="2" t="s">
        <v>55</v>
      </c>
      <c r="E612" s="2">
        <v>0</v>
      </c>
      <c r="F612" s="2" t="s">
        <v>56</v>
      </c>
    </row>
    <row r="613" spans="1:6" x14ac:dyDescent="0.25">
      <c r="A613" s="2" t="s">
        <v>40</v>
      </c>
      <c r="B613" s="2" t="s">
        <v>554</v>
      </c>
      <c r="C613" s="2">
        <v>3000</v>
      </c>
      <c r="D613" s="2" t="s">
        <v>55</v>
      </c>
      <c r="E613" s="2">
        <v>0</v>
      </c>
      <c r="F613" s="2" t="s">
        <v>56</v>
      </c>
    </row>
    <row r="614" spans="1:6" x14ac:dyDescent="0.25">
      <c r="A614" s="2" t="s">
        <v>40</v>
      </c>
      <c r="B614" s="2" t="s">
        <v>555</v>
      </c>
      <c r="C614" s="2">
        <v>3000</v>
      </c>
      <c r="D614" s="2" t="s">
        <v>55</v>
      </c>
      <c r="E614" s="2">
        <v>0</v>
      </c>
      <c r="F614" s="2" t="s">
        <v>56</v>
      </c>
    </row>
    <row r="615" spans="1:6" x14ac:dyDescent="0.25">
      <c r="A615" s="2" t="s">
        <v>92</v>
      </c>
      <c r="B615" s="2" t="s">
        <v>556</v>
      </c>
      <c r="C615" s="2">
        <v>3000</v>
      </c>
      <c r="D615" s="2" t="s">
        <v>55</v>
      </c>
      <c r="E615" s="2">
        <v>0</v>
      </c>
      <c r="F615" s="2" t="s">
        <v>56</v>
      </c>
    </row>
    <row r="616" spans="1:6" x14ac:dyDescent="0.25">
      <c r="A616" s="2" t="s">
        <v>33</v>
      </c>
      <c r="B616" s="2" t="s">
        <v>557</v>
      </c>
      <c r="C616" s="2">
        <v>3000</v>
      </c>
      <c r="D616" s="2" t="s">
        <v>62</v>
      </c>
      <c r="E616" s="2">
        <v>0</v>
      </c>
      <c r="F616" s="2" t="s">
        <v>63</v>
      </c>
    </row>
    <row r="617" spans="1:6" x14ac:dyDescent="0.25">
      <c r="A617" s="2" t="s">
        <v>33</v>
      </c>
      <c r="B617" s="2" t="s">
        <v>558</v>
      </c>
      <c r="C617" s="2">
        <v>3000</v>
      </c>
      <c r="D617" s="2" t="s">
        <v>62</v>
      </c>
      <c r="E617" s="2">
        <v>0</v>
      </c>
      <c r="F617" s="2" t="s">
        <v>63</v>
      </c>
    </row>
    <row r="618" spans="1:6" x14ac:dyDescent="0.25">
      <c r="A618" s="2" t="s">
        <v>33</v>
      </c>
      <c r="B618" s="2" t="s">
        <v>559</v>
      </c>
      <c r="C618" s="2">
        <v>3000</v>
      </c>
      <c r="D618" s="2" t="s">
        <v>62</v>
      </c>
      <c r="E618" s="2">
        <v>0</v>
      </c>
      <c r="F618" s="2" t="s">
        <v>63</v>
      </c>
    </row>
    <row r="619" spans="1:6" x14ac:dyDescent="0.25">
      <c r="A619" s="2" t="s">
        <v>33</v>
      </c>
      <c r="B619" s="2" t="s">
        <v>560</v>
      </c>
      <c r="C619" s="2">
        <v>3000</v>
      </c>
      <c r="D619" s="2" t="s">
        <v>62</v>
      </c>
      <c r="E619" s="2">
        <v>0</v>
      </c>
      <c r="F619" s="2" t="s">
        <v>63</v>
      </c>
    </row>
    <row r="620" spans="1:6" x14ac:dyDescent="0.25">
      <c r="A620" s="2" t="s">
        <v>33</v>
      </c>
      <c r="B620" s="2" t="s">
        <v>562</v>
      </c>
      <c r="C620" s="2">
        <v>3000</v>
      </c>
      <c r="D620" s="2" t="s">
        <v>62</v>
      </c>
      <c r="E620" s="2">
        <v>0</v>
      </c>
      <c r="F620" s="2" t="s">
        <v>63</v>
      </c>
    </row>
    <row r="621" spans="1:6" x14ac:dyDescent="0.25">
      <c r="A621" s="2" t="s">
        <v>40</v>
      </c>
      <c r="B621" s="2" t="s">
        <v>564</v>
      </c>
      <c r="C621" s="2">
        <v>3000</v>
      </c>
      <c r="D621" s="2" t="s">
        <v>62</v>
      </c>
      <c r="E621" s="2">
        <v>0</v>
      </c>
      <c r="F621" s="2" t="s">
        <v>63</v>
      </c>
    </row>
    <row r="622" spans="1:6" x14ac:dyDescent="0.25">
      <c r="A622" s="2" t="s">
        <v>40</v>
      </c>
      <c r="B622" s="2" t="s">
        <v>565</v>
      </c>
      <c r="C622" s="2">
        <v>3000</v>
      </c>
      <c r="D622" s="2" t="s">
        <v>62</v>
      </c>
      <c r="E622" s="2">
        <v>0</v>
      </c>
      <c r="F622" s="2" t="s">
        <v>63</v>
      </c>
    </row>
    <row r="623" spans="1:6" x14ac:dyDescent="0.25">
      <c r="A623" s="2" t="s">
        <v>40</v>
      </c>
      <c r="B623" s="2" t="s">
        <v>566</v>
      </c>
      <c r="C623" s="2">
        <v>3000</v>
      </c>
      <c r="D623" s="2" t="s">
        <v>62</v>
      </c>
      <c r="E623" s="2">
        <v>0</v>
      </c>
      <c r="F623" s="2" t="s">
        <v>63</v>
      </c>
    </row>
    <row r="624" spans="1:6" x14ac:dyDescent="0.25">
      <c r="A624" s="2" t="s">
        <v>40</v>
      </c>
      <c r="B624" s="2" t="s">
        <v>567</v>
      </c>
      <c r="C624" s="2">
        <v>3000</v>
      </c>
      <c r="D624" s="2" t="s">
        <v>62</v>
      </c>
      <c r="E624" s="2">
        <v>0</v>
      </c>
      <c r="F624" s="2" t="s">
        <v>63</v>
      </c>
    </row>
    <row r="625" spans="1:6" x14ac:dyDescent="0.25">
      <c r="A625" s="2" t="s">
        <v>40</v>
      </c>
      <c r="B625" s="2" t="s">
        <v>568</v>
      </c>
      <c r="C625" s="2">
        <v>3000</v>
      </c>
      <c r="D625" s="2" t="s">
        <v>62</v>
      </c>
      <c r="E625" s="2">
        <v>0</v>
      </c>
      <c r="F625" s="2" t="s">
        <v>63</v>
      </c>
    </row>
    <row r="626" spans="1:6" x14ac:dyDescent="0.25">
      <c r="A626" s="2" t="s">
        <v>40</v>
      </c>
      <c r="B626" s="2" t="s">
        <v>569</v>
      </c>
      <c r="C626" s="2">
        <v>3000</v>
      </c>
      <c r="D626" s="2" t="s">
        <v>62</v>
      </c>
      <c r="E626" s="2">
        <v>0</v>
      </c>
      <c r="F626" s="2" t="s">
        <v>63</v>
      </c>
    </row>
    <row r="627" spans="1:6" x14ac:dyDescent="0.25">
      <c r="A627" s="2" t="s">
        <v>40</v>
      </c>
      <c r="B627" s="2" t="s">
        <v>570</v>
      </c>
      <c r="C627" s="2">
        <v>3000</v>
      </c>
      <c r="D627" s="2" t="s">
        <v>62</v>
      </c>
      <c r="E627" s="2">
        <v>0</v>
      </c>
      <c r="F627" s="2" t="s">
        <v>63</v>
      </c>
    </row>
    <row r="628" spans="1:6" x14ac:dyDescent="0.25">
      <c r="A628" s="2" t="s">
        <v>33</v>
      </c>
      <c r="B628" s="2" t="s">
        <v>573</v>
      </c>
      <c r="C628" s="2">
        <v>3000</v>
      </c>
      <c r="D628" s="2" t="s">
        <v>62</v>
      </c>
      <c r="E628" s="2">
        <v>0</v>
      </c>
      <c r="F628" s="2" t="s">
        <v>67</v>
      </c>
    </row>
    <row r="629" spans="1:6" x14ac:dyDescent="0.25">
      <c r="A629" s="2" t="s">
        <v>40</v>
      </c>
      <c r="B629" s="2" t="s">
        <v>575</v>
      </c>
      <c r="C629" s="2">
        <v>3000</v>
      </c>
      <c r="D629" s="2" t="s">
        <v>62</v>
      </c>
      <c r="E629" s="2">
        <v>0</v>
      </c>
      <c r="F629" s="2" t="s">
        <v>67</v>
      </c>
    </row>
    <row r="630" spans="1:6" x14ac:dyDescent="0.25">
      <c r="A630" s="2" t="s">
        <v>40</v>
      </c>
      <c r="B630" s="2" t="s">
        <v>576</v>
      </c>
      <c r="C630" s="2">
        <v>3000</v>
      </c>
      <c r="D630" s="2" t="s">
        <v>62</v>
      </c>
      <c r="E630" s="2">
        <v>0</v>
      </c>
      <c r="F630" s="2" t="s">
        <v>67</v>
      </c>
    </row>
    <row r="631" spans="1:6" x14ac:dyDescent="0.25">
      <c r="A631" s="2" t="s">
        <v>40</v>
      </c>
      <c r="B631" s="2" t="s">
        <v>578</v>
      </c>
      <c r="C631" s="2">
        <v>3000</v>
      </c>
      <c r="D631" s="2" t="s">
        <v>62</v>
      </c>
      <c r="E631" s="2">
        <v>0</v>
      </c>
      <c r="F631" s="2" t="s">
        <v>67</v>
      </c>
    </row>
    <row r="632" spans="1:6" x14ac:dyDescent="0.25">
      <c r="A632" s="2" t="s">
        <v>40</v>
      </c>
      <c r="B632" s="2" t="s">
        <v>579</v>
      </c>
      <c r="C632" s="2">
        <v>3000</v>
      </c>
      <c r="D632" s="2" t="s">
        <v>62</v>
      </c>
      <c r="E632" s="2">
        <v>0</v>
      </c>
      <c r="F632" s="2" t="s">
        <v>67</v>
      </c>
    </row>
    <row r="633" spans="1:6" x14ac:dyDescent="0.25">
      <c r="A633" s="2" t="s">
        <v>40</v>
      </c>
      <c r="B633" s="2" t="s">
        <v>580</v>
      </c>
      <c r="C633" s="2">
        <v>3000</v>
      </c>
      <c r="D633" s="2" t="s">
        <v>62</v>
      </c>
      <c r="E633" s="2">
        <v>0</v>
      </c>
      <c r="F633" s="2" t="s">
        <v>67</v>
      </c>
    </row>
    <row r="634" spans="1:6" x14ac:dyDescent="0.25">
      <c r="A634" s="2" t="s">
        <v>33</v>
      </c>
      <c r="B634" s="2" t="s">
        <v>581</v>
      </c>
      <c r="C634" s="2">
        <v>3000</v>
      </c>
      <c r="D634" s="2" t="s">
        <v>86</v>
      </c>
      <c r="E634" s="2">
        <v>0</v>
      </c>
      <c r="F634" s="2" t="s">
        <v>21</v>
      </c>
    </row>
    <row r="635" spans="1:6" x14ac:dyDescent="0.25">
      <c r="A635" s="2" t="s">
        <v>40</v>
      </c>
      <c r="B635" s="2" t="s">
        <v>583</v>
      </c>
      <c r="C635" s="2">
        <v>3000</v>
      </c>
      <c r="D635" s="2" t="s">
        <v>86</v>
      </c>
      <c r="E635" s="2">
        <v>0</v>
      </c>
      <c r="F635" s="2" t="s">
        <v>21</v>
      </c>
    </row>
    <row r="636" spans="1:6" x14ac:dyDescent="0.25">
      <c r="A636" s="2" t="s">
        <v>40</v>
      </c>
      <c r="B636" s="2" t="s">
        <v>584</v>
      </c>
      <c r="C636" s="2">
        <v>3000</v>
      </c>
      <c r="D636" s="2" t="s">
        <v>86</v>
      </c>
      <c r="E636" s="2">
        <v>0</v>
      </c>
      <c r="F636" s="2" t="s">
        <v>21</v>
      </c>
    </row>
    <row r="637" spans="1:6" x14ac:dyDescent="0.25">
      <c r="A637" s="2" t="s">
        <v>40</v>
      </c>
      <c r="B637" s="2" t="s">
        <v>587</v>
      </c>
      <c r="C637" s="2">
        <v>3000</v>
      </c>
      <c r="D637" s="2" t="s">
        <v>86</v>
      </c>
      <c r="E637" s="2">
        <v>0</v>
      </c>
      <c r="F637" s="2" t="s">
        <v>21</v>
      </c>
    </row>
    <row r="638" spans="1:6" x14ac:dyDescent="0.25">
      <c r="A638" s="2" t="s">
        <v>40</v>
      </c>
      <c r="B638" s="2" t="s">
        <v>588</v>
      </c>
      <c r="C638" s="2">
        <v>3000</v>
      </c>
      <c r="D638" s="2" t="s">
        <v>86</v>
      </c>
      <c r="E638" s="2">
        <v>0</v>
      </c>
      <c r="F638" s="2" t="s">
        <v>21</v>
      </c>
    </row>
    <row r="639" spans="1:6" x14ac:dyDescent="0.25">
      <c r="A639" s="2" t="s">
        <v>40</v>
      </c>
      <c r="B639" s="2" t="s">
        <v>589</v>
      </c>
      <c r="C639" s="2">
        <v>3000</v>
      </c>
      <c r="D639" s="2" t="s">
        <v>86</v>
      </c>
      <c r="E639" s="2">
        <v>0</v>
      </c>
      <c r="F639" s="2" t="s">
        <v>21</v>
      </c>
    </row>
    <row r="640" spans="1:6" x14ac:dyDescent="0.25">
      <c r="A640" s="2" t="s">
        <v>33</v>
      </c>
      <c r="B640" s="2" t="s">
        <v>591</v>
      </c>
      <c r="C640" s="2">
        <v>3000</v>
      </c>
      <c r="D640" s="2" t="s">
        <v>86</v>
      </c>
      <c r="E640" s="2">
        <v>0</v>
      </c>
      <c r="F640" s="2" t="s">
        <v>24</v>
      </c>
    </row>
    <row r="641" spans="1:6" x14ac:dyDescent="0.25">
      <c r="A641" s="2" t="s">
        <v>40</v>
      </c>
      <c r="B641" s="2" t="s">
        <v>594</v>
      </c>
      <c r="C641" s="2">
        <v>3000</v>
      </c>
      <c r="D641" s="2" t="s">
        <v>86</v>
      </c>
      <c r="E641" s="2">
        <v>0</v>
      </c>
      <c r="F641" s="2" t="s">
        <v>24</v>
      </c>
    </row>
    <row r="642" spans="1:6" x14ac:dyDescent="0.25">
      <c r="A642" s="2" t="s">
        <v>40</v>
      </c>
      <c r="B642" s="2" t="s">
        <v>595</v>
      </c>
      <c r="C642" s="2">
        <v>3000</v>
      </c>
      <c r="D642" s="2" t="s">
        <v>86</v>
      </c>
      <c r="E642" s="2">
        <v>0</v>
      </c>
      <c r="F642" s="2" t="s">
        <v>24</v>
      </c>
    </row>
    <row r="643" spans="1:6" x14ac:dyDescent="0.25">
      <c r="A643" s="2" t="s">
        <v>40</v>
      </c>
      <c r="B643" s="2" t="s">
        <v>596</v>
      </c>
      <c r="C643" s="2">
        <v>3000</v>
      </c>
      <c r="D643" s="2" t="s">
        <v>86</v>
      </c>
      <c r="E643" s="2">
        <v>0</v>
      </c>
      <c r="F643" s="2" t="s">
        <v>24</v>
      </c>
    </row>
    <row r="644" spans="1:6" x14ac:dyDescent="0.25">
      <c r="A644" s="2" t="s">
        <v>40</v>
      </c>
      <c r="B644" s="2" t="s">
        <v>597</v>
      </c>
      <c r="C644" s="2">
        <v>3000</v>
      </c>
      <c r="D644" s="2" t="s">
        <v>86</v>
      </c>
      <c r="E644" s="2">
        <v>0</v>
      </c>
      <c r="F644" s="2" t="s">
        <v>24</v>
      </c>
    </row>
    <row r="645" spans="1:6" x14ac:dyDescent="0.25">
      <c r="A645" s="2" t="s">
        <v>40</v>
      </c>
      <c r="B645" s="2" t="s">
        <v>598</v>
      </c>
      <c r="C645" s="2">
        <v>3000</v>
      </c>
      <c r="D645" s="2" t="s">
        <v>86</v>
      </c>
      <c r="E645" s="2">
        <v>0</v>
      </c>
      <c r="F645" s="2" t="s">
        <v>24</v>
      </c>
    </row>
    <row r="646" spans="1:6" x14ac:dyDescent="0.25">
      <c r="A646" s="2" t="s">
        <v>40</v>
      </c>
      <c r="B646" s="2" t="s">
        <v>599</v>
      </c>
      <c r="C646" s="2">
        <v>3000</v>
      </c>
      <c r="D646" s="2" t="s">
        <v>86</v>
      </c>
      <c r="E646" s="2">
        <v>0</v>
      </c>
      <c r="F646" s="2" t="s">
        <v>24</v>
      </c>
    </row>
    <row r="647" spans="1:6" x14ac:dyDescent="0.25">
      <c r="A647" s="2" t="s">
        <v>33</v>
      </c>
      <c r="B647" s="2" t="s">
        <v>603</v>
      </c>
      <c r="C647" s="2">
        <v>3000</v>
      </c>
      <c r="D647" s="2" t="s">
        <v>75</v>
      </c>
      <c r="E647" s="2">
        <v>0</v>
      </c>
      <c r="F647" s="2" t="s">
        <v>25</v>
      </c>
    </row>
    <row r="648" spans="1:6" x14ac:dyDescent="0.25">
      <c r="A648" s="2" t="s">
        <v>40</v>
      </c>
      <c r="B648" s="2" t="s">
        <v>607</v>
      </c>
      <c r="C648" s="2">
        <v>3000</v>
      </c>
      <c r="D648" s="2" t="s">
        <v>75</v>
      </c>
      <c r="E648" s="2">
        <v>0</v>
      </c>
      <c r="F648" s="2" t="s">
        <v>25</v>
      </c>
    </row>
    <row r="649" spans="1:6" x14ac:dyDescent="0.25">
      <c r="A649" s="2" t="s">
        <v>40</v>
      </c>
      <c r="B649" s="2" t="s">
        <v>609</v>
      </c>
      <c r="C649" s="2">
        <v>3000</v>
      </c>
      <c r="D649" s="2" t="s">
        <v>75</v>
      </c>
      <c r="E649" s="2">
        <v>0</v>
      </c>
      <c r="F649" s="2" t="s">
        <v>25</v>
      </c>
    </row>
    <row r="650" spans="1:6" x14ac:dyDescent="0.25">
      <c r="A650" s="2" t="s">
        <v>40</v>
      </c>
      <c r="B650" s="2" t="s">
        <v>610</v>
      </c>
      <c r="C650" s="2">
        <v>3000</v>
      </c>
      <c r="D650" s="2" t="s">
        <v>75</v>
      </c>
      <c r="E650" s="2">
        <v>0</v>
      </c>
      <c r="F650" s="2" t="s">
        <v>25</v>
      </c>
    </row>
    <row r="651" spans="1:6" x14ac:dyDescent="0.25">
      <c r="A651" s="2" t="s">
        <v>40</v>
      </c>
      <c r="B651" s="2" t="s">
        <v>611</v>
      </c>
      <c r="C651" s="2">
        <v>3000</v>
      </c>
      <c r="D651" s="2" t="s">
        <v>75</v>
      </c>
      <c r="E651" s="2">
        <v>0</v>
      </c>
      <c r="F651" s="2" t="s">
        <v>25</v>
      </c>
    </row>
    <row r="652" spans="1:6" x14ac:dyDescent="0.25">
      <c r="A652" s="2" t="s">
        <v>40</v>
      </c>
      <c r="B652" s="2" t="s">
        <v>612</v>
      </c>
      <c r="C652" s="2">
        <v>3000</v>
      </c>
      <c r="D652" s="2" t="s">
        <v>75</v>
      </c>
      <c r="E652" s="2">
        <v>0</v>
      </c>
      <c r="F652" s="2" t="s">
        <v>25</v>
      </c>
    </row>
    <row r="653" spans="1:6" x14ac:dyDescent="0.25">
      <c r="A653" s="2" t="s">
        <v>40</v>
      </c>
      <c r="B653" s="2" t="s">
        <v>613</v>
      </c>
      <c r="C653" s="2">
        <v>3000</v>
      </c>
      <c r="D653" s="2" t="s">
        <v>75</v>
      </c>
      <c r="E653" s="2">
        <v>0</v>
      </c>
      <c r="F653" s="2" t="s">
        <v>25</v>
      </c>
    </row>
    <row r="654" spans="1:6" x14ac:dyDescent="0.25">
      <c r="A654" s="2" t="s">
        <v>33</v>
      </c>
      <c r="B654" s="2" t="s">
        <v>614</v>
      </c>
      <c r="C654" s="2">
        <v>3000</v>
      </c>
      <c r="D654" s="2" t="s">
        <v>75</v>
      </c>
      <c r="E654" s="2">
        <v>0</v>
      </c>
      <c r="F654" s="2" t="s">
        <v>91</v>
      </c>
    </row>
    <row r="655" spans="1:6" x14ac:dyDescent="0.25">
      <c r="A655" s="2" t="s">
        <v>33</v>
      </c>
      <c r="B655" s="2" t="s">
        <v>616</v>
      </c>
      <c r="C655" s="2">
        <v>3000</v>
      </c>
      <c r="D655" s="2" t="s">
        <v>75</v>
      </c>
      <c r="E655" s="2">
        <v>0</v>
      </c>
      <c r="F655" s="2" t="s">
        <v>91</v>
      </c>
    </row>
    <row r="656" spans="1:6" x14ac:dyDescent="0.25">
      <c r="A656" s="2" t="s">
        <v>33</v>
      </c>
      <c r="B656" s="2" t="s">
        <v>617</v>
      </c>
      <c r="C656" s="2">
        <v>3000</v>
      </c>
      <c r="D656" s="2" t="s">
        <v>75</v>
      </c>
      <c r="E656" s="2">
        <v>0</v>
      </c>
      <c r="F656" s="2" t="s">
        <v>91</v>
      </c>
    </row>
    <row r="657" spans="1:6" x14ac:dyDescent="0.25">
      <c r="A657" s="2" t="s">
        <v>33</v>
      </c>
      <c r="B657" s="2" t="s">
        <v>618</v>
      </c>
      <c r="C657" s="2">
        <v>3000</v>
      </c>
      <c r="D657" s="2" t="s">
        <v>75</v>
      </c>
      <c r="E657" s="2">
        <v>0</v>
      </c>
      <c r="F657" s="2" t="s">
        <v>91</v>
      </c>
    </row>
    <row r="658" spans="1:6" x14ac:dyDescent="0.25">
      <c r="A658" s="2" t="s">
        <v>33</v>
      </c>
      <c r="B658" s="2" t="s">
        <v>619</v>
      </c>
      <c r="C658" s="2">
        <v>3000</v>
      </c>
      <c r="D658" s="2" t="s">
        <v>75</v>
      </c>
      <c r="E658" s="2">
        <v>0</v>
      </c>
      <c r="F658" s="2" t="s">
        <v>91</v>
      </c>
    </row>
    <row r="659" spans="1:6" x14ac:dyDescent="0.25">
      <c r="A659" s="2" t="s">
        <v>40</v>
      </c>
      <c r="B659" s="2" t="s">
        <v>620</v>
      </c>
      <c r="C659" s="2">
        <v>3000</v>
      </c>
      <c r="D659" s="2" t="s">
        <v>75</v>
      </c>
      <c r="E659" s="2">
        <v>0</v>
      </c>
      <c r="F659" s="2" t="s">
        <v>91</v>
      </c>
    </row>
    <row r="660" spans="1:6" x14ac:dyDescent="0.25">
      <c r="A660" s="2" t="s">
        <v>40</v>
      </c>
      <c r="B660" s="2" t="s">
        <v>622</v>
      </c>
      <c r="C660" s="2">
        <v>3000</v>
      </c>
      <c r="D660" s="2" t="s">
        <v>75</v>
      </c>
      <c r="E660" s="2">
        <v>0</v>
      </c>
      <c r="F660" s="2" t="s">
        <v>91</v>
      </c>
    </row>
    <row r="661" spans="1:6" x14ac:dyDescent="0.25">
      <c r="A661" s="2" t="s">
        <v>40</v>
      </c>
      <c r="B661" s="2" t="s">
        <v>623</v>
      </c>
      <c r="C661" s="2">
        <v>3000</v>
      </c>
      <c r="D661" s="2" t="s">
        <v>75</v>
      </c>
      <c r="E661" s="2">
        <v>0</v>
      </c>
      <c r="F661" s="2" t="s">
        <v>91</v>
      </c>
    </row>
    <row r="662" spans="1:6" x14ac:dyDescent="0.25">
      <c r="A662" s="2" t="s">
        <v>40</v>
      </c>
      <c r="B662" s="2" t="s">
        <v>624</v>
      </c>
      <c r="C662" s="2">
        <v>3000</v>
      </c>
      <c r="D662" s="2" t="s">
        <v>75</v>
      </c>
      <c r="E662" s="2">
        <v>0</v>
      </c>
      <c r="F662" s="2" t="s">
        <v>91</v>
      </c>
    </row>
    <row r="663" spans="1:6" x14ac:dyDescent="0.25">
      <c r="A663" s="2" t="s">
        <v>40</v>
      </c>
      <c r="B663" s="2" t="s">
        <v>625</v>
      </c>
      <c r="C663" s="2">
        <v>3000</v>
      </c>
      <c r="D663" s="2" t="s">
        <v>75</v>
      </c>
      <c r="E663" s="2">
        <v>0</v>
      </c>
      <c r="F663" s="2" t="s">
        <v>91</v>
      </c>
    </row>
    <row r="664" spans="1:6" x14ac:dyDescent="0.25">
      <c r="A664" s="2" t="s">
        <v>40</v>
      </c>
      <c r="B664" s="2" t="s">
        <v>626</v>
      </c>
      <c r="C664" s="2">
        <v>3000</v>
      </c>
      <c r="D664" s="2" t="s">
        <v>75</v>
      </c>
      <c r="E664" s="2">
        <v>0</v>
      </c>
      <c r="F664" s="2" t="s">
        <v>91</v>
      </c>
    </row>
    <row r="665" spans="1:6" x14ac:dyDescent="0.25">
      <c r="A665" s="2" t="s">
        <v>40</v>
      </c>
      <c r="B665" s="2" t="s">
        <v>627</v>
      </c>
      <c r="C665" s="2">
        <v>3000</v>
      </c>
      <c r="D665" s="2" t="s">
        <v>75</v>
      </c>
      <c r="E665" s="2">
        <v>0</v>
      </c>
      <c r="F665" s="2" t="s">
        <v>91</v>
      </c>
    </row>
    <row r="666" spans="1:6" x14ac:dyDescent="0.25">
      <c r="A666" s="2" t="s">
        <v>33</v>
      </c>
      <c r="B666" s="2" t="s">
        <v>629</v>
      </c>
      <c r="C666" s="2">
        <v>3000</v>
      </c>
      <c r="D666" s="2" t="s">
        <v>58</v>
      </c>
      <c r="E666" s="2">
        <v>0</v>
      </c>
      <c r="F666" s="2" t="s">
        <v>59</v>
      </c>
    </row>
    <row r="667" spans="1:6" x14ac:dyDescent="0.25">
      <c r="A667" s="2" t="s">
        <v>33</v>
      </c>
      <c r="B667" s="2" t="s">
        <v>630</v>
      </c>
      <c r="C667" s="2">
        <v>3000</v>
      </c>
      <c r="D667" s="2" t="s">
        <v>58</v>
      </c>
      <c r="E667" s="2">
        <v>0</v>
      </c>
      <c r="F667" s="2" t="s">
        <v>59</v>
      </c>
    </row>
    <row r="668" spans="1:6" x14ac:dyDescent="0.25">
      <c r="A668" s="2" t="s">
        <v>33</v>
      </c>
      <c r="B668" s="2" t="s">
        <v>632</v>
      </c>
      <c r="C668" s="2">
        <v>3000</v>
      </c>
      <c r="D668" s="2" t="s">
        <v>58</v>
      </c>
      <c r="E668" s="2">
        <v>0</v>
      </c>
      <c r="F668" s="2" t="s">
        <v>59</v>
      </c>
    </row>
    <row r="669" spans="1:6" x14ac:dyDescent="0.25">
      <c r="A669" s="2" t="s">
        <v>40</v>
      </c>
      <c r="B669" s="2" t="s">
        <v>633</v>
      </c>
      <c r="C669" s="2">
        <v>3000</v>
      </c>
      <c r="D669" s="2" t="s">
        <v>58</v>
      </c>
      <c r="E669" s="2">
        <v>0</v>
      </c>
      <c r="F669" s="2" t="s">
        <v>59</v>
      </c>
    </row>
    <row r="670" spans="1:6" x14ac:dyDescent="0.25">
      <c r="A670" s="2" t="s">
        <v>40</v>
      </c>
      <c r="B670" s="2" t="s">
        <v>634</v>
      </c>
      <c r="C670" s="2">
        <v>3000</v>
      </c>
      <c r="D670" s="2" t="s">
        <v>58</v>
      </c>
      <c r="E670" s="2">
        <v>0</v>
      </c>
      <c r="F670" s="2" t="s">
        <v>59</v>
      </c>
    </row>
    <row r="671" spans="1:6" x14ac:dyDescent="0.25">
      <c r="A671" s="2" t="s">
        <v>40</v>
      </c>
      <c r="B671" s="2" t="s">
        <v>635</v>
      </c>
      <c r="C671" s="2">
        <v>3000</v>
      </c>
      <c r="D671" s="2" t="s">
        <v>58</v>
      </c>
      <c r="E671" s="2">
        <v>0</v>
      </c>
      <c r="F671" s="2" t="s">
        <v>59</v>
      </c>
    </row>
    <row r="672" spans="1:6" x14ac:dyDescent="0.25">
      <c r="A672" s="2" t="s">
        <v>40</v>
      </c>
      <c r="B672" s="2" t="s">
        <v>637</v>
      </c>
      <c r="C672" s="2">
        <v>3000</v>
      </c>
      <c r="D672" s="2" t="s">
        <v>58</v>
      </c>
      <c r="E672" s="2">
        <v>0</v>
      </c>
      <c r="F672" s="2" t="s">
        <v>59</v>
      </c>
    </row>
    <row r="673" spans="1:6" x14ac:dyDescent="0.25">
      <c r="A673" s="2" t="s">
        <v>40</v>
      </c>
      <c r="B673" s="2" t="s">
        <v>638</v>
      </c>
      <c r="C673" s="2">
        <v>3000</v>
      </c>
      <c r="D673" s="2" t="s">
        <v>58</v>
      </c>
      <c r="E673" s="2">
        <v>0</v>
      </c>
      <c r="F673" s="2" t="s">
        <v>59</v>
      </c>
    </row>
    <row r="674" spans="1:6" x14ac:dyDescent="0.25">
      <c r="A674" s="2" t="s">
        <v>40</v>
      </c>
      <c r="B674" s="2" t="s">
        <v>640</v>
      </c>
      <c r="C674" s="2">
        <v>3000</v>
      </c>
      <c r="D674" s="2" t="s">
        <v>58</v>
      </c>
      <c r="E674" s="2">
        <v>0</v>
      </c>
      <c r="F674" s="2" t="s">
        <v>59</v>
      </c>
    </row>
    <row r="675" spans="1:6" x14ac:dyDescent="0.25">
      <c r="A675" s="2" t="s">
        <v>33</v>
      </c>
      <c r="B675" s="2" t="s">
        <v>644</v>
      </c>
      <c r="C675" s="2">
        <v>3000</v>
      </c>
      <c r="D675" s="2" t="s">
        <v>58</v>
      </c>
      <c r="E675" s="2">
        <v>0</v>
      </c>
      <c r="F675" s="2" t="s">
        <v>77</v>
      </c>
    </row>
    <row r="676" spans="1:6" x14ac:dyDescent="0.25">
      <c r="A676" s="2" t="s">
        <v>33</v>
      </c>
      <c r="B676" s="2" t="s">
        <v>645</v>
      </c>
      <c r="C676" s="2">
        <v>3000</v>
      </c>
      <c r="D676" s="2" t="s">
        <v>58</v>
      </c>
      <c r="E676" s="2">
        <v>0</v>
      </c>
      <c r="F676" s="2" t="s">
        <v>77</v>
      </c>
    </row>
    <row r="677" spans="1:6" x14ac:dyDescent="0.25">
      <c r="A677" s="2" t="s">
        <v>33</v>
      </c>
      <c r="B677" s="2" t="s">
        <v>646</v>
      </c>
      <c r="C677" s="2">
        <v>3000</v>
      </c>
      <c r="D677" s="2" t="s">
        <v>58</v>
      </c>
      <c r="E677" s="2">
        <v>0</v>
      </c>
      <c r="F677" s="2" t="s">
        <v>77</v>
      </c>
    </row>
    <row r="678" spans="1:6" x14ac:dyDescent="0.25">
      <c r="A678" s="2" t="s">
        <v>40</v>
      </c>
      <c r="B678" s="2" t="s">
        <v>648</v>
      </c>
      <c r="C678" s="2">
        <v>3000</v>
      </c>
      <c r="D678" s="2" t="s">
        <v>58</v>
      </c>
      <c r="E678" s="2">
        <v>0</v>
      </c>
      <c r="F678" s="2" t="s">
        <v>77</v>
      </c>
    </row>
    <row r="679" spans="1:6" x14ac:dyDescent="0.25">
      <c r="A679" s="2" t="s">
        <v>40</v>
      </c>
      <c r="B679" s="2" t="s">
        <v>650</v>
      </c>
      <c r="C679" s="2">
        <v>3000</v>
      </c>
      <c r="D679" s="2" t="s">
        <v>58</v>
      </c>
      <c r="E679" s="2">
        <v>0</v>
      </c>
      <c r="F679" s="2" t="s">
        <v>77</v>
      </c>
    </row>
    <row r="680" spans="1:6" x14ac:dyDescent="0.25">
      <c r="A680" s="2" t="s">
        <v>40</v>
      </c>
      <c r="B680" s="2" t="s">
        <v>651</v>
      </c>
      <c r="C680" s="2">
        <v>3000</v>
      </c>
      <c r="D680" s="2" t="s">
        <v>58</v>
      </c>
      <c r="E680" s="2">
        <v>0</v>
      </c>
      <c r="F680" s="2" t="s">
        <v>77</v>
      </c>
    </row>
    <row r="681" spans="1:6" x14ac:dyDescent="0.25">
      <c r="A681" s="2" t="s">
        <v>40</v>
      </c>
      <c r="B681" s="2" t="s">
        <v>652</v>
      </c>
      <c r="C681" s="2">
        <v>3000</v>
      </c>
      <c r="D681" s="2" t="s">
        <v>58</v>
      </c>
      <c r="E681" s="2">
        <v>0</v>
      </c>
      <c r="F681" s="2" t="s">
        <v>77</v>
      </c>
    </row>
    <row r="682" spans="1:6" x14ac:dyDescent="0.25">
      <c r="A682" s="2" t="s">
        <v>40</v>
      </c>
      <c r="B682" s="2" t="s">
        <v>653</v>
      </c>
      <c r="C682" s="2">
        <v>3000</v>
      </c>
      <c r="D682" s="2" t="s">
        <v>58</v>
      </c>
      <c r="E682" s="2">
        <v>0</v>
      </c>
      <c r="F682" s="2" t="s">
        <v>77</v>
      </c>
    </row>
    <row r="683" spans="1:6" x14ac:dyDescent="0.25">
      <c r="A683" s="2" t="s">
        <v>40</v>
      </c>
      <c r="B683" s="2" t="s">
        <v>654</v>
      </c>
      <c r="C683" s="2">
        <v>3000</v>
      </c>
      <c r="D683" s="2" t="s">
        <v>58</v>
      </c>
      <c r="E683" s="2">
        <v>0</v>
      </c>
      <c r="F683" s="2" t="s">
        <v>77</v>
      </c>
    </row>
    <row r="684" spans="1:6" x14ac:dyDescent="0.25">
      <c r="A684" s="2" t="s">
        <v>40</v>
      </c>
      <c r="B684" s="2" t="s">
        <v>655</v>
      </c>
      <c r="C684" s="2">
        <v>3000</v>
      </c>
      <c r="D684" s="2" t="s">
        <v>58</v>
      </c>
      <c r="E684" s="2">
        <v>0</v>
      </c>
      <c r="F684" s="2" t="s">
        <v>77</v>
      </c>
    </row>
    <row r="685" spans="1:6" x14ac:dyDescent="0.25">
      <c r="A685" s="2" t="s">
        <v>33</v>
      </c>
      <c r="B685" s="2" t="s">
        <v>656</v>
      </c>
      <c r="C685" s="2">
        <v>3000</v>
      </c>
      <c r="D685" s="2" t="s">
        <v>69</v>
      </c>
      <c r="E685" s="2">
        <v>0</v>
      </c>
      <c r="F685" s="2" t="s">
        <v>1</v>
      </c>
    </row>
    <row r="686" spans="1:6" x14ac:dyDescent="0.25">
      <c r="A686" s="2" t="s">
        <v>33</v>
      </c>
      <c r="B686" s="2" t="s">
        <v>657</v>
      </c>
      <c r="C686" s="2">
        <v>3000</v>
      </c>
      <c r="D686" s="2" t="s">
        <v>69</v>
      </c>
      <c r="E686" s="2">
        <v>0</v>
      </c>
      <c r="F686" s="2" t="s">
        <v>1</v>
      </c>
    </row>
    <row r="687" spans="1:6" x14ac:dyDescent="0.25">
      <c r="A687" s="2" t="s">
        <v>40</v>
      </c>
      <c r="B687" s="2" t="s">
        <v>661</v>
      </c>
      <c r="C687" s="2">
        <v>3000</v>
      </c>
      <c r="D687" s="2" t="s">
        <v>69</v>
      </c>
      <c r="E687" s="2">
        <v>0</v>
      </c>
      <c r="F687" s="2" t="s">
        <v>1</v>
      </c>
    </row>
    <row r="688" spans="1:6" x14ac:dyDescent="0.25">
      <c r="A688" s="2" t="s">
        <v>40</v>
      </c>
      <c r="B688" s="2" t="s">
        <v>662</v>
      </c>
      <c r="C688" s="2">
        <v>3000</v>
      </c>
      <c r="D688" s="2" t="s">
        <v>69</v>
      </c>
      <c r="E688" s="2">
        <v>0</v>
      </c>
      <c r="F688" s="2" t="s">
        <v>1</v>
      </c>
    </row>
    <row r="689" spans="1:6" x14ac:dyDescent="0.25">
      <c r="A689" s="2" t="s">
        <v>40</v>
      </c>
      <c r="B689" s="2" t="s">
        <v>663</v>
      </c>
      <c r="C689" s="2">
        <v>3000</v>
      </c>
      <c r="D689" s="2" t="s">
        <v>69</v>
      </c>
      <c r="E689" s="2">
        <v>0</v>
      </c>
      <c r="F689" s="2" t="s">
        <v>1</v>
      </c>
    </row>
    <row r="690" spans="1:6" x14ac:dyDescent="0.25">
      <c r="A690" s="2" t="s">
        <v>40</v>
      </c>
      <c r="B690" s="2" t="s">
        <v>664</v>
      </c>
      <c r="C690" s="2">
        <v>3000</v>
      </c>
      <c r="D690" s="2" t="s">
        <v>69</v>
      </c>
      <c r="E690" s="2">
        <v>0</v>
      </c>
      <c r="F690" s="2" t="s">
        <v>1</v>
      </c>
    </row>
    <row r="691" spans="1:6" x14ac:dyDescent="0.25">
      <c r="A691" s="2" t="s">
        <v>40</v>
      </c>
      <c r="B691" s="2" t="s">
        <v>665</v>
      </c>
      <c r="C691" s="2">
        <v>3000</v>
      </c>
      <c r="D691" s="2" t="s">
        <v>69</v>
      </c>
      <c r="E691" s="2">
        <v>0</v>
      </c>
      <c r="F691" s="2" t="s">
        <v>1</v>
      </c>
    </row>
    <row r="692" spans="1:6" x14ac:dyDescent="0.25">
      <c r="A692" s="2" t="s">
        <v>40</v>
      </c>
      <c r="B692" s="2" t="s">
        <v>667</v>
      </c>
      <c r="C692" s="2">
        <v>3000</v>
      </c>
      <c r="D692" s="2" t="s">
        <v>69</v>
      </c>
      <c r="E692" s="2">
        <v>0</v>
      </c>
      <c r="F692" s="2" t="s">
        <v>1</v>
      </c>
    </row>
    <row r="693" spans="1:6" x14ac:dyDescent="0.25">
      <c r="A693" s="2" t="s">
        <v>33</v>
      </c>
      <c r="B693" s="2" t="s">
        <v>670</v>
      </c>
      <c r="C693" s="2">
        <v>3000</v>
      </c>
      <c r="D693" s="2" t="s">
        <v>69</v>
      </c>
      <c r="E693" s="2">
        <v>0</v>
      </c>
      <c r="F693" s="2" t="s">
        <v>70</v>
      </c>
    </row>
    <row r="694" spans="1:6" x14ac:dyDescent="0.25">
      <c r="A694" s="2" t="s">
        <v>33</v>
      </c>
      <c r="B694" s="2" t="s">
        <v>671</v>
      </c>
      <c r="C694" s="2">
        <v>3000</v>
      </c>
      <c r="D694" s="2" t="s">
        <v>69</v>
      </c>
      <c r="E694" s="2">
        <v>0</v>
      </c>
      <c r="F694" s="2" t="s">
        <v>70</v>
      </c>
    </row>
    <row r="695" spans="1:6" x14ac:dyDescent="0.25">
      <c r="A695" s="2" t="s">
        <v>33</v>
      </c>
      <c r="B695" s="2" t="s">
        <v>672</v>
      </c>
      <c r="C695" s="2">
        <v>3000</v>
      </c>
      <c r="D695" s="2" t="s">
        <v>69</v>
      </c>
      <c r="E695" s="2">
        <v>0</v>
      </c>
      <c r="F695" s="2" t="s">
        <v>70</v>
      </c>
    </row>
    <row r="696" spans="1:6" x14ac:dyDescent="0.25">
      <c r="A696" s="2" t="s">
        <v>40</v>
      </c>
      <c r="B696" s="2" t="s">
        <v>673</v>
      </c>
      <c r="C696" s="2">
        <v>3000</v>
      </c>
      <c r="D696" s="2" t="s">
        <v>69</v>
      </c>
      <c r="E696" s="2">
        <v>0</v>
      </c>
      <c r="F696" s="2" t="s">
        <v>70</v>
      </c>
    </row>
    <row r="697" spans="1:6" x14ac:dyDescent="0.25">
      <c r="A697" s="2" t="s">
        <v>40</v>
      </c>
      <c r="B697" s="2" t="s">
        <v>674</v>
      </c>
      <c r="C697" s="2">
        <v>3000</v>
      </c>
      <c r="D697" s="2" t="s">
        <v>69</v>
      </c>
      <c r="E697" s="2">
        <v>0</v>
      </c>
      <c r="F697" s="2" t="s">
        <v>70</v>
      </c>
    </row>
    <row r="698" spans="1:6" x14ac:dyDescent="0.25">
      <c r="A698" s="2" t="s">
        <v>40</v>
      </c>
      <c r="B698" s="2" t="s">
        <v>675</v>
      </c>
      <c r="C698" s="2">
        <v>3000</v>
      </c>
      <c r="D698" s="2" t="s">
        <v>69</v>
      </c>
      <c r="E698" s="2">
        <v>0</v>
      </c>
      <c r="F698" s="2" t="s">
        <v>70</v>
      </c>
    </row>
    <row r="699" spans="1:6" x14ac:dyDescent="0.25">
      <c r="A699" s="2" t="s">
        <v>40</v>
      </c>
      <c r="B699" s="2" t="s">
        <v>676</v>
      </c>
      <c r="C699" s="2">
        <v>3000</v>
      </c>
      <c r="D699" s="2" t="s">
        <v>69</v>
      </c>
      <c r="E699" s="2">
        <v>0</v>
      </c>
      <c r="F699" s="2" t="s">
        <v>70</v>
      </c>
    </row>
    <row r="700" spans="1:6" x14ac:dyDescent="0.25">
      <c r="A700" s="2" t="s">
        <v>40</v>
      </c>
      <c r="B700" s="2" t="s">
        <v>678</v>
      </c>
      <c r="C700" s="2">
        <v>3000</v>
      </c>
      <c r="D700" s="2" t="s">
        <v>69</v>
      </c>
      <c r="E700" s="2">
        <v>0</v>
      </c>
      <c r="F700" s="2" t="s">
        <v>70</v>
      </c>
    </row>
    <row r="701" spans="1:6" x14ac:dyDescent="0.25">
      <c r="A701" s="2" t="s">
        <v>40</v>
      </c>
      <c r="B701" s="2" t="s">
        <v>679</v>
      </c>
      <c r="C701" s="2">
        <v>3000</v>
      </c>
      <c r="D701" s="2" t="s">
        <v>69</v>
      </c>
      <c r="E701" s="2">
        <v>0</v>
      </c>
      <c r="F701" s="2" t="s">
        <v>70</v>
      </c>
    </row>
    <row r="702" spans="1:6" x14ac:dyDescent="0.25">
      <c r="A702" s="2" t="s">
        <v>40</v>
      </c>
      <c r="B702" s="2" t="s">
        <v>684</v>
      </c>
      <c r="C702" s="2">
        <v>3000</v>
      </c>
      <c r="D702" s="2" t="s">
        <v>45</v>
      </c>
      <c r="E702" s="2">
        <v>0</v>
      </c>
      <c r="F702" s="2" t="s">
        <v>22</v>
      </c>
    </row>
    <row r="703" spans="1:6" x14ac:dyDescent="0.25">
      <c r="A703" s="2" t="s">
        <v>40</v>
      </c>
      <c r="B703" s="2" t="s">
        <v>685</v>
      </c>
      <c r="C703" s="2">
        <v>3000</v>
      </c>
      <c r="D703" s="2" t="s">
        <v>45</v>
      </c>
      <c r="E703" s="2">
        <v>0</v>
      </c>
      <c r="F703" s="2" t="s">
        <v>22</v>
      </c>
    </row>
    <row r="704" spans="1:6" x14ac:dyDescent="0.25">
      <c r="A704" s="2" t="s">
        <v>40</v>
      </c>
      <c r="B704" s="2" t="s">
        <v>686</v>
      </c>
      <c r="C704" s="2">
        <v>3000</v>
      </c>
      <c r="D704" s="2" t="s">
        <v>45</v>
      </c>
      <c r="E704" s="2">
        <v>0</v>
      </c>
      <c r="F704" s="2" t="s">
        <v>22</v>
      </c>
    </row>
    <row r="705" spans="1:6" x14ac:dyDescent="0.25">
      <c r="A705" s="2" t="s">
        <v>40</v>
      </c>
      <c r="B705" s="2" t="s">
        <v>687</v>
      </c>
      <c r="C705" s="2">
        <v>3000</v>
      </c>
      <c r="D705" s="2" t="s">
        <v>45</v>
      </c>
      <c r="E705" s="2">
        <v>0</v>
      </c>
      <c r="F705" s="2" t="s">
        <v>22</v>
      </c>
    </row>
    <row r="706" spans="1:6" x14ac:dyDescent="0.25">
      <c r="A706" s="2" t="s">
        <v>40</v>
      </c>
      <c r="B706" s="2" t="s">
        <v>688</v>
      </c>
      <c r="C706" s="2">
        <v>3000</v>
      </c>
      <c r="D706" s="2" t="s">
        <v>45</v>
      </c>
      <c r="E706" s="2">
        <v>0</v>
      </c>
      <c r="F706" s="2" t="s">
        <v>22</v>
      </c>
    </row>
    <row r="707" spans="1:6" x14ac:dyDescent="0.25">
      <c r="A707" s="2" t="s">
        <v>40</v>
      </c>
      <c r="B707" s="2" t="s">
        <v>689</v>
      </c>
      <c r="C707" s="2">
        <v>3000</v>
      </c>
      <c r="D707" s="2" t="s">
        <v>45</v>
      </c>
      <c r="E707" s="2">
        <v>0</v>
      </c>
      <c r="F707" s="2" t="s">
        <v>22</v>
      </c>
    </row>
    <row r="708" spans="1:6" x14ac:dyDescent="0.25">
      <c r="A708" s="2" t="s">
        <v>40</v>
      </c>
      <c r="B708" s="2" t="s">
        <v>690</v>
      </c>
      <c r="C708" s="2">
        <v>3000</v>
      </c>
      <c r="D708" s="2" t="s">
        <v>45</v>
      </c>
      <c r="E708" s="2">
        <v>0</v>
      </c>
      <c r="F708" s="2" t="s">
        <v>22</v>
      </c>
    </row>
    <row r="709" spans="1:6" x14ac:dyDescent="0.25">
      <c r="A709" s="2" t="s">
        <v>33</v>
      </c>
      <c r="B709" s="2" t="s">
        <v>693</v>
      </c>
      <c r="C709" s="2">
        <v>3000</v>
      </c>
      <c r="D709" s="2" t="s">
        <v>45</v>
      </c>
      <c r="E709" s="2">
        <v>0</v>
      </c>
      <c r="F709" s="2" t="s">
        <v>46</v>
      </c>
    </row>
    <row r="710" spans="1:6" x14ac:dyDescent="0.25">
      <c r="A710" s="2" t="s">
        <v>33</v>
      </c>
      <c r="B710" s="2" t="s">
        <v>694</v>
      </c>
      <c r="C710" s="2">
        <v>3000</v>
      </c>
      <c r="D710" s="2" t="s">
        <v>45</v>
      </c>
      <c r="E710" s="2">
        <v>0</v>
      </c>
      <c r="F710" s="2" t="s">
        <v>46</v>
      </c>
    </row>
    <row r="711" spans="1:6" x14ac:dyDescent="0.25">
      <c r="A711" s="2" t="s">
        <v>33</v>
      </c>
      <c r="B711" s="2" t="s">
        <v>695</v>
      </c>
      <c r="C711" s="2">
        <v>3000</v>
      </c>
      <c r="D711" s="2" t="s">
        <v>45</v>
      </c>
      <c r="E711" s="2">
        <v>0</v>
      </c>
      <c r="F711" s="2" t="s">
        <v>46</v>
      </c>
    </row>
    <row r="712" spans="1:6" x14ac:dyDescent="0.25">
      <c r="A712" s="2" t="s">
        <v>40</v>
      </c>
      <c r="B712" s="2" t="s">
        <v>696</v>
      </c>
      <c r="C712" s="2">
        <v>3000</v>
      </c>
      <c r="D712" s="2" t="s">
        <v>45</v>
      </c>
      <c r="E712" s="2">
        <v>0</v>
      </c>
      <c r="F712" s="2" t="s">
        <v>46</v>
      </c>
    </row>
    <row r="713" spans="1:6" x14ac:dyDescent="0.25">
      <c r="A713" s="2" t="s">
        <v>40</v>
      </c>
      <c r="B713" s="2" t="s">
        <v>697</v>
      </c>
      <c r="C713" s="2">
        <v>3000</v>
      </c>
      <c r="D713" s="2" t="s">
        <v>45</v>
      </c>
      <c r="E713" s="2">
        <v>0</v>
      </c>
      <c r="F713" s="2" t="s">
        <v>46</v>
      </c>
    </row>
    <row r="714" spans="1:6" x14ac:dyDescent="0.25">
      <c r="A714" s="2" t="s">
        <v>40</v>
      </c>
      <c r="B714" s="2" t="s">
        <v>698</v>
      </c>
      <c r="C714" s="2">
        <v>3000</v>
      </c>
      <c r="D714" s="2" t="s">
        <v>45</v>
      </c>
      <c r="E714" s="2">
        <v>0</v>
      </c>
      <c r="F714" s="2" t="s">
        <v>46</v>
      </c>
    </row>
    <row r="715" spans="1:6" x14ac:dyDescent="0.25">
      <c r="A715" s="2" t="s">
        <v>40</v>
      </c>
      <c r="B715" s="2" t="s">
        <v>699</v>
      </c>
      <c r="C715" s="2">
        <v>3000</v>
      </c>
      <c r="D715" s="2" t="s">
        <v>45</v>
      </c>
      <c r="E715" s="2">
        <v>0</v>
      </c>
      <c r="F715" s="2" t="s">
        <v>46</v>
      </c>
    </row>
    <row r="716" spans="1:6" x14ac:dyDescent="0.25">
      <c r="A716" s="2" t="s">
        <v>40</v>
      </c>
      <c r="B716" s="2" t="s">
        <v>700</v>
      </c>
      <c r="C716" s="2">
        <v>3000</v>
      </c>
      <c r="D716" s="2" t="s">
        <v>45</v>
      </c>
      <c r="E716" s="2">
        <v>0</v>
      </c>
      <c r="F716" s="2" t="s">
        <v>46</v>
      </c>
    </row>
    <row r="717" spans="1:6" x14ac:dyDescent="0.25">
      <c r="A717" s="2" t="s">
        <v>40</v>
      </c>
      <c r="B717" s="2" t="s">
        <v>701</v>
      </c>
      <c r="C717" s="2">
        <v>3000</v>
      </c>
      <c r="D717" s="2" t="s">
        <v>45</v>
      </c>
      <c r="E717" s="2">
        <v>0</v>
      </c>
      <c r="F717" s="2" t="s">
        <v>46</v>
      </c>
    </row>
    <row r="718" spans="1:6" x14ac:dyDescent="0.25">
      <c r="A718" s="2" t="s">
        <v>92</v>
      </c>
      <c r="B718" s="2" t="s">
        <v>706</v>
      </c>
      <c r="C718" s="2">
        <v>2900</v>
      </c>
      <c r="D718" s="2" t="s">
        <v>45</v>
      </c>
      <c r="E718" s="2">
        <v>0</v>
      </c>
      <c r="F718" s="2" t="s">
        <v>46</v>
      </c>
    </row>
    <row r="719" spans="1:6" x14ac:dyDescent="0.25">
      <c r="A719" s="2" t="s">
        <v>92</v>
      </c>
      <c r="B719" s="2" t="s">
        <v>708</v>
      </c>
      <c r="C719" s="2">
        <v>2800</v>
      </c>
      <c r="D719" s="2" t="s">
        <v>52</v>
      </c>
      <c r="E719" s="2">
        <v>0</v>
      </c>
      <c r="F719" s="2" t="s">
        <v>115</v>
      </c>
    </row>
    <row r="720" spans="1:6" x14ac:dyDescent="0.25">
      <c r="A720" s="2" t="s">
        <v>92</v>
      </c>
      <c r="B720" s="2" t="s">
        <v>714</v>
      </c>
      <c r="C720" s="2">
        <v>2700</v>
      </c>
      <c r="D720" s="2" t="s">
        <v>35</v>
      </c>
      <c r="E720" s="2">
        <v>0</v>
      </c>
      <c r="F720" s="2" t="s">
        <v>20</v>
      </c>
    </row>
    <row r="721" spans="1:6" x14ac:dyDescent="0.25">
      <c r="A721" s="2" t="s">
        <v>92</v>
      </c>
      <c r="B721" s="2" t="s">
        <v>720</v>
      </c>
      <c r="C721" s="2">
        <v>2600</v>
      </c>
      <c r="D721" s="2" t="s">
        <v>52</v>
      </c>
      <c r="E721" s="2">
        <v>0</v>
      </c>
      <c r="F721" s="2" t="s">
        <v>115</v>
      </c>
    </row>
    <row r="722" spans="1:6" x14ac:dyDescent="0.25">
      <c r="A722" s="2" t="s">
        <v>92</v>
      </c>
      <c r="B722" s="2" t="s">
        <v>728</v>
      </c>
      <c r="C722" s="2">
        <v>2500</v>
      </c>
      <c r="D722" s="2" t="s">
        <v>48</v>
      </c>
      <c r="E722" s="2">
        <v>0</v>
      </c>
      <c r="F722" s="2" t="s">
        <v>49</v>
      </c>
    </row>
    <row r="723" spans="1:6" x14ac:dyDescent="0.25">
      <c r="A723" s="2" t="s">
        <v>92</v>
      </c>
      <c r="B723" s="2" t="s">
        <v>729</v>
      </c>
      <c r="C723" s="2">
        <v>2500</v>
      </c>
      <c r="D723" s="2" t="s">
        <v>48</v>
      </c>
      <c r="E723" s="2">
        <v>0</v>
      </c>
      <c r="F723" s="2" t="s">
        <v>49</v>
      </c>
    </row>
    <row r="724" spans="1:6" x14ac:dyDescent="0.25">
      <c r="A724" s="2" t="s">
        <v>92</v>
      </c>
      <c r="B724" s="2" t="s">
        <v>730</v>
      </c>
      <c r="C724" s="2">
        <v>2500</v>
      </c>
      <c r="D724" s="2" t="s">
        <v>48</v>
      </c>
      <c r="E724" s="2">
        <v>0</v>
      </c>
      <c r="F724" s="2" t="s">
        <v>49</v>
      </c>
    </row>
    <row r="725" spans="1:6" x14ac:dyDescent="0.25">
      <c r="A725" s="2" t="s">
        <v>92</v>
      </c>
      <c r="B725" s="2" t="s">
        <v>731</v>
      </c>
      <c r="C725" s="2">
        <v>2500</v>
      </c>
      <c r="D725" s="2" t="s">
        <v>48</v>
      </c>
      <c r="E725" s="2">
        <v>0</v>
      </c>
      <c r="F725" s="2" t="s">
        <v>144</v>
      </c>
    </row>
    <row r="726" spans="1:6" x14ac:dyDescent="0.25">
      <c r="A726" s="2" t="s">
        <v>92</v>
      </c>
      <c r="B726" s="2" t="s">
        <v>732</v>
      </c>
      <c r="C726" s="2">
        <v>2500</v>
      </c>
      <c r="D726" s="2" t="s">
        <v>48</v>
      </c>
      <c r="E726" s="2">
        <v>0</v>
      </c>
      <c r="F726" s="2" t="s">
        <v>144</v>
      </c>
    </row>
    <row r="727" spans="1:6" x14ac:dyDescent="0.25">
      <c r="A727" s="2" t="s">
        <v>92</v>
      </c>
      <c r="B727" s="2" t="s">
        <v>733</v>
      </c>
      <c r="C727" s="2">
        <v>2500</v>
      </c>
      <c r="D727" s="2" t="s">
        <v>48</v>
      </c>
      <c r="E727" s="2">
        <v>0</v>
      </c>
      <c r="F727" s="2" t="s">
        <v>144</v>
      </c>
    </row>
    <row r="728" spans="1:6" x14ac:dyDescent="0.25">
      <c r="A728" s="2" t="s">
        <v>92</v>
      </c>
      <c r="B728" s="2" t="s">
        <v>734</v>
      </c>
      <c r="C728" s="2">
        <v>2500</v>
      </c>
      <c r="D728" s="2" t="s">
        <v>48</v>
      </c>
      <c r="E728" s="2">
        <v>0</v>
      </c>
      <c r="F728" s="2" t="s">
        <v>144</v>
      </c>
    </row>
    <row r="729" spans="1:6" x14ac:dyDescent="0.25">
      <c r="A729" s="2" t="s">
        <v>92</v>
      </c>
      <c r="B729" s="2" t="s">
        <v>735</v>
      </c>
      <c r="C729" s="2">
        <v>2500</v>
      </c>
      <c r="D729" s="2" t="s">
        <v>43</v>
      </c>
      <c r="E729" s="2">
        <v>0</v>
      </c>
      <c r="F729" s="2" t="s">
        <v>23</v>
      </c>
    </row>
    <row r="730" spans="1:6" x14ac:dyDescent="0.25">
      <c r="A730" s="2" t="s">
        <v>92</v>
      </c>
      <c r="B730" s="2" t="s">
        <v>737</v>
      </c>
      <c r="C730" s="2">
        <v>2500</v>
      </c>
      <c r="D730" s="2" t="s">
        <v>43</v>
      </c>
      <c r="E730" s="2">
        <v>0</v>
      </c>
      <c r="F730" s="2" t="s">
        <v>23</v>
      </c>
    </row>
    <row r="731" spans="1:6" x14ac:dyDescent="0.25">
      <c r="A731" s="2" t="s">
        <v>92</v>
      </c>
      <c r="B731" s="2" t="s">
        <v>740</v>
      </c>
      <c r="C731" s="2">
        <v>2500</v>
      </c>
      <c r="D731" s="2" t="s">
        <v>43</v>
      </c>
      <c r="E731" s="2">
        <v>0</v>
      </c>
      <c r="F731" s="2" t="s">
        <v>23</v>
      </c>
    </row>
    <row r="732" spans="1:6" x14ac:dyDescent="0.25">
      <c r="A732" s="2" t="s">
        <v>92</v>
      </c>
      <c r="B732" s="2" t="s">
        <v>741</v>
      </c>
      <c r="C732" s="2">
        <v>2500</v>
      </c>
      <c r="D732" s="2" t="s">
        <v>43</v>
      </c>
      <c r="E732" s="2">
        <v>0</v>
      </c>
      <c r="F732" s="2" t="s">
        <v>27</v>
      </c>
    </row>
    <row r="733" spans="1:6" x14ac:dyDescent="0.25">
      <c r="A733" s="2" t="s">
        <v>92</v>
      </c>
      <c r="B733" s="2" t="s">
        <v>746</v>
      </c>
      <c r="C733" s="2">
        <v>2500</v>
      </c>
      <c r="D733" s="2" t="s">
        <v>43</v>
      </c>
      <c r="E733" s="2">
        <v>0</v>
      </c>
      <c r="F733" s="2" t="s">
        <v>27</v>
      </c>
    </row>
    <row r="734" spans="1:6" x14ac:dyDescent="0.25">
      <c r="A734" s="2" t="s">
        <v>92</v>
      </c>
      <c r="B734" s="2" t="s">
        <v>749</v>
      </c>
      <c r="C734" s="2">
        <v>2500</v>
      </c>
      <c r="D734" s="2" t="s">
        <v>52</v>
      </c>
      <c r="E734" s="2">
        <v>0</v>
      </c>
      <c r="F734" s="2" t="s">
        <v>53</v>
      </c>
    </row>
    <row r="735" spans="1:6" x14ac:dyDescent="0.25">
      <c r="A735" s="2" t="s">
        <v>92</v>
      </c>
      <c r="B735" s="2" t="s">
        <v>750</v>
      </c>
      <c r="C735" s="2">
        <v>2500</v>
      </c>
      <c r="D735" s="2" t="s">
        <v>52</v>
      </c>
      <c r="E735" s="2">
        <v>0</v>
      </c>
      <c r="F735" s="2" t="s">
        <v>53</v>
      </c>
    </row>
    <row r="736" spans="1:6" x14ac:dyDescent="0.25">
      <c r="A736" s="2" t="s">
        <v>92</v>
      </c>
      <c r="B736" s="2" t="s">
        <v>752</v>
      </c>
      <c r="C736" s="2">
        <v>2500</v>
      </c>
      <c r="D736" s="2" t="s">
        <v>52</v>
      </c>
      <c r="E736" s="2">
        <v>0</v>
      </c>
      <c r="F736" s="2" t="s">
        <v>53</v>
      </c>
    </row>
    <row r="737" spans="1:6" x14ac:dyDescent="0.25">
      <c r="A737" s="2" t="s">
        <v>92</v>
      </c>
      <c r="B737" s="2" t="s">
        <v>754</v>
      </c>
      <c r="C737" s="2">
        <v>2500</v>
      </c>
      <c r="D737" s="2" t="s">
        <v>52</v>
      </c>
      <c r="E737" s="2">
        <v>0</v>
      </c>
      <c r="F737" s="2" t="s">
        <v>115</v>
      </c>
    </row>
    <row r="738" spans="1:6" x14ac:dyDescent="0.25">
      <c r="A738" s="2" t="s">
        <v>92</v>
      </c>
      <c r="B738" s="2" t="s">
        <v>758</v>
      </c>
      <c r="C738" s="2">
        <v>2500</v>
      </c>
      <c r="D738" s="2" t="s">
        <v>35</v>
      </c>
      <c r="E738" s="2">
        <v>0</v>
      </c>
      <c r="F738" s="2" t="s">
        <v>20</v>
      </c>
    </row>
    <row r="739" spans="1:6" x14ac:dyDescent="0.25">
      <c r="A739" s="2" t="s">
        <v>92</v>
      </c>
      <c r="B739" s="2" t="s">
        <v>760</v>
      </c>
      <c r="C739" s="2">
        <v>2500</v>
      </c>
      <c r="D739" s="2" t="s">
        <v>35</v>
      </c>
      <c r="E739" s="2">
        <v>0</v>
      </c>
      <c r="F739" s="2" t="s">
        <v>20</v>
      </c>
    </row>
    <row r="740" spans="1:6" x14ac:dyDescent="0.25">
      <c r="A740" s="2" t="s">
        <v>92</v>
      </c>
      <c r="B740" s="2" t="s">
        <v>761</v>
      </c>
      <c r="C740" s="2">
        <v>2500</v>
      </c>
      <c r="D740" s="2" t="s">
        <v>35</v>
      </c>
      <c r="E740" s="2">
        <v>0</v>
      </c>
      <c r="F740" s="2" t="s">
        <v>20</v>
      </c>
    </row>
    <row r="741" spans="1:6" x14ac:dyDescent="0.25">
      <c r="A741" s="2" t="s">
        <v>92</v>
      </c>
      <c r="B741" s="2" t="s">
        <v>762</v>
      </c>
      <c r="C741" s="2">
        <v>2500</v>
      </c>
      <c r="D741" s="2" t="s">
        <v>35</v>
      </c>
      <c r="E741" s="2">
        <v>0</v>
      </c>
      <c r="F741" s="2" t="s">
        <v>36</v>
      </c>
    </row>
    <row r="742" spans="1:6" x14ac:dyDescent="0.25">
      <c r="A742" s="2" t="s">
        <v>92</v>
      </c>
      <c r="B742" s="2" t="s">
        <v>765</v>
      </c>
      <c r="C742" s="2">
        <v>2500</v>
      </c>
      <c r="D742" s="2" t="s">
        <v>35</v>
      </c>
      <c r="E742" s="2">
        <v>0</v>
      </c>
      <c r="F742" s="2" t="s">
        <v>36</v>
      </c>
    </row>
    <row r="743" spans="1:6" x14ac:dyDescent="0.25">
      <c r="A743" s="2" t="s">
        <v>92</v>
      </c>
      <c r="B743" s="2" t="s">
        <v>766</v>
      </c>
      <c r="C743" s="2">
        <v>2500</v>
      </c>
      <c r="D743" s="2" t="s">
        <v>38</v>
      </c>
      <c r="E743" s="2">
        <v>0</v>
      </c>
      <c r="F743" s="2" t="s">
        <v>26</v>
      </c>
    </row>
    <row r="744" spans="1:6" x14ac:dyDescent="0.25">
      <c r="A744" s="2" t="s">
        <v>92</v>
      </c>
      <c r="B744" s="2" t="s">
        <v>769</v>
      </c>
      <c r="C744" s="2">
        <v>2500</v>
      </c>
      <c r="D744" s="2" t="s">
        <v>38</v>
      </c>
      <c r="E744" s="2">
        <v>0</v>
      </c>
      <c r="F744" s="2" t="s">
        <v>26</v>
      </c>
    </row>
    <row r="745" spans="1:6" x14ac:dyDescent="0.25">
      <c r="A745" s="2" t="s">
        <v>92</v>
      </c>
      <c r="B745" s="2" t="s">
        <v>770</v>
      </c>
      <c r="C745" s="2">
        <v>2500</v>
      </c>
      <c r="D745" s="2" t="s">
        <v>38</v>
      </c>
      <c r="E745" s="2">
        <v>0</v>
      </c>
      <c r="F745" s="2" t="s">
        <v>26</v>
      </c>
    </row>
    <row r="746" spans="1:6" x14ac:dyDescent="0.25">
      <c r="A746" s="2" t="s">
        <v>92</v>
      </c>
      <c r="B746" s="2" t="s">
        <v>771</v>
      </c>
      <c r="C746" s="2">
        <v>2500</v>
      </c>
      <c r="D746" s="2" t="s">
        <v>38</v>
      </c>
      <c r="E746" s="2">
        <v>0</v>
      </c>
      <c r="F746" s="2" t="s">
        <v>26</v>
      </c>
    </row>
    <row r="747" spans="1:6" x14ac:dyDescent="0.25">
      <c r="A747" s="2" t="s">
        <v>92</v>
      </c>
      <c r="B747" s="2" t="s">
        <v>772</v>
      </c>
      <c r="C747" s="2">
        <v>2500</v>
      </c>
      <c r="D747" s="2" t="s">
        <v>38</v>
      </c>
      <c r="E747" s="2">
        <v>0</v>
      </c>
      <c r="F747" s="2" t="s">
        <v>39</v>
      </c>
    </row>
    <row r="748" spans="1:6" x14ac:dyDescent="0.25">
      <c r="A748" s="2" t="s">
        <v>92</v>
      </c>
      <c r="B748" s="2" t="s">
        <v>773</v>
      </c>
      <c r="C748" s="2">
        <v>2500</v>
      </c>
      <c r="D748" s="2" t="s">
        <v>38</v>
      </c>
      <c r="E748" s="2">
        <v>0</v>
      </c>
      <c r="F748" s="2" t="s">
        <v>39</v>
      </c>
    </row>
    <row r="749" spans="1:6" x14ac:dyDescent="0.25">
      <c r="A749" s="2" t="s">
        <v>92</v>
      </c>
      <c r="B749" s="2" t="s">
        <v>777</v>
      </c>
      <c r="C749" s="2">
        <v>2500</v>
      </c>
      <c r="D749" s="2" t="s">
        <v>103</v>
      </c>
      <c r="E749" s="2">
        <v>0</v>
      </c>
      <c r="F749" s="2" t="s">
        <v>19</v>
      </c>
    </row>
    <row r="750" spans="1:6" x14ac:dyDescent="0.25">
      <c r="A750" s="2" t="s">
        <v>92</v>
      </c>
      <c r="B750" s="2" t="s">
        <v>778</v>
      </c>
      <c r="C750" s="2">
        <v>2500</v>
      </c>
      <c r="D750" s="2" t="s">
        <v>103</v>
      </c>
      <c r="E750" s="2">
        <v>0</v>
      </c>
      <c r="F750" s="2" t="s">
        <v>19</v>
      </c>
    </row>
    <row r="751" spans="1:6" x14ac:dyDescent="0.25">
      <c r="A751" s="2" t="s">
        <v>92</v>
      </c>
      <c r="B751" s="2" t="s">
        <v>784</v>
      </c>
      <c r="C751" s="2">
        <v>2500</v>
      </c>
      <c r="D751" s="2" t="s">
        <v>103</v>
      </c>
      <c r="E751" s="2">
        <v>0</v>
      </c>
      <c r="F751" s="2" t="s">
        <v>110</v>
      </c>
    </row>
    <row r="752" spans="1:6" x14ac:dyDescent="0.25">
      <c r="A752" s="2" t="s">
        <v>92</v>
      </c>
      <c r="B752" s="2" t="s">
        <v>787</v>
      </c>
      <c r="C752" s="2">
        <v>2500</v>
      </c>
      <c r="D752" s="2" t="s">
        <v>55</v>
      </c>
      <c r="E752" s="2">
        <v>0</v>
      </c>
      <c r="F752" s="2" t="s">
        <v>28</v>
      </c>
    </row>
    <row r="753" spans="1:6" x14ac:dyDescent="0.25">
      <c r="A753" s="2" t="s">
        <v>92</v>
      </c>
      <c r="B753" s="2" t="s">
        <v>789</v>
      </c>
      <c r="C753" s="2">
        <v>2500</v>
      </c>
      <c r="D753" s="2" t="s">
        <v>55</v>
      </c>
      <c r="E753" s="2">
        <v>0</v>
      </c>
      <c r="F753" s="2" t="s">
        <v>28</v>
      </c>
    </row>
    <row r="754" spans="1:6" x14ac:dyDescent="0.25">
      <c r="A754" s="2" t="s">
        <v>92</v>
      </c>
      <c r="B754" s="2" t="s">
        <v>790</v>
      </c>
      <c r="C754" s="2">
        <v>2500</v>
      </c>
      <c r="D754" s="2" t="s">
        <v>55</v>
      </c>
      <c r="E754" s="2">
        <v>0</v>
      </c>
      <c r="F754" s="2" t="s">
        <v>56</v>
      </c>
    </row>
    <row r="755" spans="1:6" x14ac:dyDescent="0.25">
      <c r="A755" s="2" t="s">
        <v>92</v>
      </c>
      <c r="B755" s="2" t="s">
        <v>793</v>
      </c>
      <c r="C755" s="2">
        <v>2500</v>
      </c>
      <c r="D755" s="2" t="s">
        <v>55</v>
      </c>
      <c r="E755" s="2">
        <v>0</v>
      </c>
      <c r="F755" s="2" t="s">
        <v>56</v>
      </c>
    </row>
    <row r="756" spans="1:6" x14ac:dyDescent="0.25">
      <c r="A756" s="2" t="s">
        <v>92</v>
      </c>
      <c r="B756" s="2" t="s">
        <v>794</v>
      </c>
      <c r="C756" s="2">
        <v>2500</v>
      </c>
      <c r="D756" s="2" t="s">
        <v>62</v>
      </c>
      <c r="E756" s="2">
        <v>0</v>
      </c>
      <c r="F756" s="2" t="s">
        <v>63</v>
      </c>
    </row>
    <row r="757" spans="1:6" x14ac:dyDescent="0.25">
      <c r="A757" s="2" t="s">
        <v>92</v>
      </c>
      <c r="B757" s="2" t="s">
        <v>795</v>
      </c>
      <c r="C757" s="2">
        <v>2500</v>
      </c>
      <c r="D757" s="2" t="s">
        <v>62</v>
      </c>
      <c r="E757" s="2">
        <v>0</v>
      </c>
      <c r="F757" s="2" t="s">
        <v>63</v>
      </c>
    </row>
    <row r="758" spans="1:6" x14ac:dyDescent="0.25">
      <c r="A758" s="2" t="s">
        <v>92</v>
      </c>
      <c r="B758" s="2" t="s">
        <v>797</v>
      </c>
      <c r="C758" s="2">
        <v>2500</v>
      </c>
      <c r="D758" s="2" t="s">
        <v>62</v>
      </c>
      <c r="E758" s="2">
        <v>0</v>
      </c>
      <c r="F758" s="2" t="s">
        <v>63</v>
      </c>
    </row>
    <row r="759" spans="1:6" x14ac:dyDescent="0.25">
      <c r="A759" s="2" t="s">
        <v>92</v>
      </c>
      <c r="B759" s="2" t="s">
        <v>799</v>
      </c>
      <c r="C759" s="2">
        <v>2500</v>
      </c>
      <c r="D759" s="2" t="s">
        <v>62</v>
      </c>
      <c r="E759" s="2">
        <v>0</v>
      </c>
      <c r="F759" s="2" t="s">
        <v>63</v>
      </c>
    </row>
    <row r="760" spans="1:6" x14ac:dyDescent="0.25">
      <c r="A760" s="2" t="s">
        <v>92</v>
      </c>
      <c r="B760" s="2" t="s">
        <v>801</v>
      </c>
      <c r="C760" s="2">
        <v>2500</v>
      </c>
      <c r="D760" s="2" t="s">
        <v>62</v>
      </c>
      <c r="E760" s="2">
        <v>0</v>
      </c>
      <c r="F760" s="2" t="s">
        <v>67</v>
      </c>
    </row>
    <row r="761" spans="1:6" x14ac:dyDescent="0.25">
      <c r="A761" s="2" t="s">
        <v>92</v>
      </c>
      <c r="B761" s="2" t="s">
        <v>802</v>
      </c>
      <c r="C761" s="2">
        <v>2500</v>
      </c>
      <c r="D761" s="2" t="s">
        <v>62</v>
      </c>
      <c r="E761" s="2">
        <v>0</v>
      </c>
      <c r="F761" s="2" t="s">
        <v>67</v>
      </c>
    </row>
    <row r="762" spans="1:6" x14ac:dyDescent="0.25">
      <c r="A762" s="2" t="s">
        <v>92</v>
      </c>
      <c r="B762" s="2" t="s">
        <v>804</v>
      </c>
      <c r="C762" s="2">
        <v>2500</v>
      </c>
      <c r="D762" s="2" t="s">
        <v>62</v>
      </c>
      <c r="E762" s="2">
        <v>0</v>
      </c>
      <c r="F762" s="2" t="s">
        <v>67</v>
      </c>
    </row>
    <row r="763" spans="1:6" x14ac:dyDescent="0.25">
      <c r="A763" s="2" t="s">
        <v>92</v>
      </c>
      <c r="B763" s="2" t="s">
        <v>805</v>
      </c>
      <c r="C763" s="2">
        <v>2500</v>
      </c>
      <c r="D763" s="2" t="s">
        <v>62</v>
      </c>
      <c r="E763" s="2">
        <v>0</v>
      </c>
      <c r="F763" s="2" t="s">
        <v>67</v>
      </c>
    </row>
    <row r="764" spans="1:6" x14ac:dyDescent="0.25">
      <c r="A764" s="2" t="s">
        <v>92</v>
      </c>
      <c r="B764" s="2" t="s">
        <v>809</v>
      </c>
      <c r="C764" s="2">
        <v>2500</v>
      </c>
      <c r="D764" s="2" t="s">
        <v>86</v>
      </c>
      <c r="E764" s="2">
        <v>0</v>
      </c>
      <c r="F764" s="2" t="s">
        <v>21</v>
      </c>
    </row>
    <row r="765" spans="1:6" x14ac:dyDescent="0.25">
      <c r="A765" s="2" t="s">
        <v>92</v>
      </c>
      <c r="B765" s="2" t="s">
        <v>810</v>
      </c>
      <c r="C765" s="2">
        <v>2500</v>
      </c>
      <c r="D765" s="2" t="s">
        <v>86</v>
      </c>
      <c r="E765" s="2">
        <v>0</v>
      </c>
      <c r="F765" s="2" t="s">
        <v>21</v>
      </c>
    </row>
    <row r="766" spans="1:6" x14ac:dyDescent="0.25">
      <c r="A766" s="2" t="s">
        <v>92</v>
      </c>
      <c r="B766" s="2" t="s">
        <v>811</v>
      </c>
      <c r="C766" s="2">
        <v>2500</v>
      </c>
      <c r="D766" s="2" t="s">
        <v>86</v>
      </c>
      <c r="E766" s="2">
        <v>0</v>
      </c>
      <c r="F766" s="2" t="s">
        <v>21</v>
      </c>
    </row>
    <row r="767" spans="1:6" x14ac:dyDescent="0.25">
      <c r="A767" s="2" t="s">
        <v>92</v>
      </c>
      <c r="B767" s="2" t="s">
        <v>812</v>
      </c>
      <c r="C767" s="2">
        <v>2500</v>
      </c>
      <c r="D767" s="2" t="s">
        <v>86</v>
      </c>
      <c r="E767" s="2">
        <v>0</v>
      </c>
      <c r="F767" s="2" t="s">
        <v>24</v>
      </c>
    </row>
    <row r="768" spans="1:6" x14ac:dyDescent="0.25">
      <c r="A768" s="2" t="s">
        <v>92</v>
      </c>
      <c r="B768" s="2" t="s">
        <v>814</v>
      </c>
      <c r="C768" s="2">
        <v>2500</v>
      </c>
      <c r="D768" s="2" t="s">
        <v>86</v>
      </c>
      <c r="E768" s="2">
        <v>0</v>
      </c>
      <c r="F768" s="2" t="s">
        <v>24</v>
      </c>
    </row>
    <row r="769" spans="1:6" x14ac:dyDescent="0.25">
      <c r="A769" s="2" t="s">
        <v>92</v>
      </c>
      <c r="B769" s="2" t="s">
        <v>815</v>
      </c>
      <c r="C769" s="2">
        <v>2500</v>
      </c>
      <c r="D769" s="2" t="s">
        <v>86</v>
      </c>
      <c r="E769" s="2">
        <v>0</v>
      </c>
      <c r="F769" s="2" t="s">
        <v>24</v>
      </c>
    </row>
    <row r="770" spans="1:6" x14ac:dyDescent="0.25">
      <c r="A770" s="2" t="s">
        <v>92</v>
      </c>
      <c r="B770" s="2" t="s">
        <v>818</v>
      </c>
      <c r="C770" s="2">
        <v>2500</v>
      </c>
      <c r="D770" s="2" t="s">
        <v>75</v>
      </c>
      <c r="E770" s="2">
        <v>0</v>
      </c>
      <c r="F770" s="2" t="s">
        <v>25</v>
      </c>
    </row>
    <row r="771" spans="1:6" x14ac:dyDescent="0.25">
      <c r="A771" s="2" t="s">
        <v>92</v>
      </c>
      <c r="B771" s="2" t="s">
        <v>819</v>
      </c>
      <c r="C771" s="2">
        <v>2500</v>
      </c>
      <c r="D771" s="2" t="s">
        <v>75</v>
      </c>
      <c r="E771" s="2">
        <v>0</v>
      </c>
      <c r="F771" s="2" t="s">
        <v>25</v>
      </c>
    </row>
    <row r="772" spans="1:6" x14ac:dyDescent="0.25">
      <c r="A772" s="2" t="s">
        <v>92</v>
      </c>
      <c r="B772" s="2" t="s">
        <v>821</v>
      </c>
      <c r="C772" s="2">
        <v>2500</v>
      </c>
      <c r="D772" s="2" t="s">
        <v>75</v>
      </c>
      <c r="E772" s="2">
        <v>0</v>
      </c>
      <c r="F772" s="2" t="s">
        <v>91</v>
      </c>
    </row>
    <row r="773" spans="1:6" x14ac:dyDescent="0.25">
      <c r="A773" s="2" t="s">
        <v>92</v>
      </c>
      <c r="B773" s="2" t="s">
        <v>822</v>
      </c>
      <c r="C773" s="2">
        <v>2500</v>
      </c>
      <c r="D773" s="2" t="s">
        <v>75</v>
      </c>
      <c r="E773" s="2">
        <v>0</v>
      </c>
      <c r="F773" s="2" t="s">
        <v>91</v>
      </c>
    </row>
    <row r="774" spans="1:6" x14ac:dyDescent="0.25">
      <c r="A774" s="2" t="s">
        <v>92</v>
      </c>
      <c r="B774" s="2" t="s">
        <v>823</v>
      </c>
      <c r="C774" s="2">
        <v>2500</v>
      </c>
      <c r="D774" s="2" t="s">
        <v>75</v>
      </c>
      <c r="E774" s="2">
        <v>0</v>
      </c>
      <c r="F774" s="2" t="s">
        <v>91</v>
      </c>
    </row>
    <row r="775" spans="1:6" x14ac:dyDescent="0.25">
      <c r="A775" s="2" t="s">
        <v>92</v>
      </c>
      <c r="B775" s="2" t="s">
        <v>824</v>
      </c>
      <c r="C775" s="2">
        <v>2500</v>
      </c>
      <c r="D775" s="2" t="s">
        <v>75</v>
      </c>
      <c r="E775" s="2">
        <v>0</v>
      </c>
      <c r="F775" s="2" t="s">
        <v>91</v>
      </c>
    </row>
    <row r="776" spans="1:6" x14ac:dyDescent="0.25">
      <c r="A776" s="2" t="s">
        <v>92</v>
      </c>
      <c r="B776" s="2" t="s">
        <v>825</v>
      </c>
      <c r="C776" s="2">
        <v>2500</v>
      </c>
      <c r="D776" s="2" t="s">
        <v>75</v>
      </c>
      <c r="E776" s="2">
        <v>0</v>
      </c>
      <c r="F776" s="2" t="s">
        <v>91</v>
      </c>
    </row>
    <row r="777" spans="1:6" x14ac:dyDescent="0.25">
      <c r="A777" s="2" t="s">
        <v>92</v>
      </c>
      <c r="B777" s="2" t="s">
        <v>826</v>
      </c>
      <c r="C777" s="2">
        <v>2500</v>
      </c>
      <c r="D777" s="2" t="s">
        <v>58</v>
      </c>
      <c r="E777" s="2">
        <v>0</v>
      </c>
      <c r="F777" s="2" t="s">
        <v>59</v>
      </c>
    </row>
    <row r="778" spans="1:6" x14ac:dyDescent="0.25">
      <c r="A778" s="2" t="s">
        <v>92</v>
      </c>
      <c r="B778" s="2" t="s">
        <v>828</v>
      </c>
      <c r="C778" s="2">
        <v>2500</v>
      </c>
      <c r="D778" s="2" t="s">
        <v>58</v>
      </c>
      <c r="E778" s="2">
        <v>0</v>
      </c>
      <c r="F778" s="2" t="s">
        <v>59</v>
      </c>
    </row>
    <row r="779" spans="1:6" x14ac:dyDescent="0.25">
      <c r="A779" s="2" t="s">
        <v>92</v>
      </c>
      <c r="B779" s="2" t="s">
        <v>829</v>
      </c>
      <c r="C779" s="2">
        <v>2500</v>
      </c>
      <c r="D779" s="2" t="s">
        <v>58</v>
      </c>
      <c r="E779" s="2">
        <v>0</v>
      </c>
      <c r="F779" s="2" t="s">
        <v>59</v>
      </c>
    </row>
    <row r="780" spans="1:6" x14ac:dyDescent="0.25">
      <c r="A780" s="2" t="s">
        <v>92</v>
      </c>
      <c r="B780" s="2" t="s">
        <v>832</v>
      </c>
      <c r="C780" s="2">
        <v>2500</v>
      </c>
      <c r="D780" s="2" t="s">
        <v>58</v>
      </c>
      <c r="E780" s="2">
        <v>0</v>
      </c>
      <c r="F780" s="2" t="s">
        <v>77</v>
      </c>
    </row>
    <row r="781" spans="1:6" x14ac:dyDescent="0.25">
      <c r="A781" s="2" t="s">
        <v>92</v>
      </c>
      <c r="B781" s="2" t="s">
        <v>833</v>
      </c>
      <c r="C781" s="2">
        <v>2500</v>
      </c>
      <c r="D781" s="2" t="s">
        <v>58</v>
      </c>
      <c r="E781" s="2">
        <v>0</v>
      </c>
      <c r="F781" s="2" t="s">
        <v>77</v>
      </c>
    </row>
    <row r="782" spans="1:6" x14ac:dyDescent="0.25">
      <c r="A782" s="2" t="s">
        <v>92</v>
      </c>
      <c r="B782" s="2" t="s">
        <v>834</v>
      </c>
      <c r="C782" s="2">
        <v>2500</v>
      </c>
      <c r="D782" s="2" t="s">
        <v>58</v>
      </c>
      <c r="E782" s="2">
        <v>0</v>
      </c>
      <c r="F782" s="2" t="s">
        <v>77</v>
      </c>
    </row>
    <row r="783" spans="1:6" x14ac:dyDescent="0.25">
      <c r="A783" s="2" t="s">
        <v>92</v>
      </c>
      <c r="B783" s="2" t="s">
        <v>836</v>
      </c>
      <c r="C783" s="2">
        <v>2500</v>
      </c>
      <c r="D783" s="2" t="s">
        <v>58</v>
      </c>
      <c r="E783" s="2">
        <v>0</v>
      </c>
      <c r="F783" s="2" t="s">
        <v>77</v>
      </c>
    </row>
    <row r="784" spans="1:6" x14ac:dyDescent="0.25">
      <c r="A784" s="2" t="s">
        <v>92</v>
      </c>
      <c r="B784" s="2" t="s">
        <v>837</v>
      </c>
      <c r="C784" s="2">
        <v>2500</v>
      </c>
      <c r="D784" s="2" t="s">
        <v>69</v>
      </c>
      <c r="E784" s="2">
        <v>0</v>
      </c>
      <c r="F784" s="2" t="s">
        <v>1</v>
      </c>
    </row>
    <row r="785" spans="1:6" x14ac:dyDescent="0.25">
      <c r="A785" s="2" t="s">
        <v>92</v>
      </c>
      <c r="B785" s="2" t="s">
        <v>838</v>
      </c>
      <c r="C785" s="2">
        <v>2500</v>
      </c>
      <c r="D785" s="2" t="s">
        <v>69</v>
      </c>
      <c r="E785" s="2">
        <v>0</v>
      </c>
      <c r="F785" s="2" t="s">
        <v>1</v>
      </c>
    </row>
    <row r="786" spans="1:6" x14ac:dyDescent="0.25">
      <c r="A786" s="2" t="s">
        <v>92</v>
      </c>
      <c r="B786" s="2" t="s">
        <v>839</v>
      </c>
      <c r="C786" s="2">
        <v>2500</v>
      </c>
      <c r="D786" s="2" t="s">
        <v>69</v>
      </c>
      <c r="E786" s="2">
        <v>0</v>
      </c>
      <c r="F786" s="2" t="s">
        <v>1</v>
      </c>
    </row>
    <row r="787" spans="1:6" x14ac:dyDescent="0.25">
      <c r="A787" s="2" t="s">
        <v>92</v>
      </c>
      <c r="B787" s="2" t="s">
        <v>842</v>
      </c>
      <c r="C787" s="2">
        <v>2500</v>
      </c>
      <c r="D787" s="2" t="s">
        <v>69</v>
      </c>
      <c r="E787" s="2">
        <v>0</v>
      </c>
      <c r="F787" s="2" t="s">
        <v>70</v>
      </c>
    </row>
    <row r="788" spans="1:6" x14ac:dyDescent="0.25">
      <c r="A788" s="2" t="s">
        <v>92</v>
      </c>
      <c r="B788" s="2" t="s">
        <v>844</v>
      </c>
      <c r="C788" s="2">
        <v>2500</v>
      </c>
      <c r="D788" s="2" t="s">
        <v>69</v>
      </c>
      <c r="E788" s="2">
        <v>0</v>
      </c>
      <c r="F788" s="2" t="s">
        <v>70</v>
      </c>
    </row>
    <row r="789" spans="1:6" x14ac:dyDescent="0.25">
      <c r="A789" s="2" t="s">
        <v>92</v>
      </c>
      <c r="B789" s="2" t="s">
        <v>846</v>
      </c>
      <c r="C789" s="2">
        <v>2500</v>
      </c>
      <c r="D789" s="2" t="s">
        <v>69</v>
      </c>
      <c r="E789" s="2">
        <v>0</v>
      </c>
      <c r="F789" s="2" t="s">
        <v>70</v>
      </c>
    </row>
    <row r="790" spans="1:6" x14ac:dyDescent="0.25">
      <c r="A790" s="2" t="s">
        <v>92</v>
      </c>
      <c r="B790" s="2" t="s">
        <v>847</v>
      </c>
      <c r="C790" s="2">
        <v>2500</v>
      </c>
      <c r="D790" s="2" t="s">
        <v>45</v>
      </c>
      <c r="E790" s="2">
        <v>0</v>
      </c>
      <c r="F790" s="2" t="s">
        <v>22</v>
      </c>
    </row>
    <row r="791" spans="1:6" x14ac:dyDescent="0.25">
      <c r="A791" s="2" t="s">
        <v>92</v>
      </c>
      <c r="B791" s="2" t="s">
        <v>849</v>
      </c>
      <c r="C791" s="2">
        <v>2500</v>
      </c>
      <c r="D791" s="2" t="s">
        <v>45</v>
      </c>
      <c r="E791" s="2">
        <v>0</v>
      </c>
      <c r="F791" s="2" t="s">
        <v>22</v>
      </c>
    </row>
    <row r="792" spans="1:6" x14ac:dyDescent="0.25">
      <c r="A792" s="2" t="s">
        <v>92</v>
      </c>
      <c r="B792" s="2" t="s">
        <v>851</v>
      </c>
      <c r="C792" s="2">
        <v>2500</v>
      </c>
      <c r="D792" s="2" t="s">
        <v>45</v>
      </c>
      <c r="E792" s="2">
        <v>0</v>
      </c>
      <c r="F792" s="2" t="s">
        <v>22</v>
      </c>
    </row>
    <row r="793" spans="1:6" x14ac:dyDescent="0.25">
      <c r="A793" s="2" t="s">
        <v>92</v>
      </c>
      <c r="B793" s="2" t="s">
        <v>853</v>
      </c>
      <c r="C793" s="2">
        <v>2500</v>
      </c>
      <c r="D793" s="2" t="s">
        <v>45</v>
      </c>
      <c r="E793" s="2">
        <v>0</v>
      </c>
      <c r="F793" s="2" t="s">
        <v>46</v>
      </c>
    </row>
    <row r="794" spans="1:6" x14ac:dyDescent="0.25">
      <c r="A794" s="2" t="s">
        <v>92</v>
      </c>
      <c r="B794" s="2" t="s">
        <v>855</v>
      </c>
      <c r="C794" s="2">
        <v>2500</v>
      </c>
      <c r="D794" s="2" t="s">
        <v>45</v>
      </c>
      <c r="E794" s="2">
        <v>0</v>
      </c>
      <c r="F794" s="2" t="s">
        <v>46</v>
      </c>
    </row>
    <row r="795" spans="1:6" x14ac:dyDescent="0.25">
      <c r="A795" s="2" t="s">
        <v>64</v>
      </c>
      <c r="B795" s="2" t="s">
        <v>200</v>
      </c>
      <c r="C795" s="2">
        <v>4300</v>
      </c>
      <c r="D795" s="2" t="s">
        <v>75</v>
      </c>
      <c r="E795" s="2">
        <v>-0.113</v>
      </c>
      <c r="F795" s="2" t="s">
        <v>91</v>
      </c>
    </row>
    <row r="796" spans="1:6" x14ac:dyDescent="0.25">
      <c r="A796" s="2" t="s">
        <v>64</v>
      </c>
      <c r="B796" s="2" t="s">
        <v>177</v>
      </c>
      <c r="C796" s="2">
        <v>4500</v>
      </c>
      <c r="D796" s="2" t="s">
        <v>52</v>
      </c>
      <c r="E796" s="2">
        <v>-0.14000000000000001</v>
      </c>
      <c r="F796" s="2" t="s">
        <v>115</v>
      </c>
    </row>
    <row r="797" spans="1:6" x14ac:dyDescent="0.25">
      <c r="A797" s="2" t="s">
        <v>64</v>
      </c>
      <c r="B797" s="2" t="s">
        <v>196</v>
      </c>
      <c r="C797" s="2">
        <v>4300</v>
      </c>
      <c r="D797" s="2" t="s">
        <v>103</v>
      </c>
      <c r="E797" s="2">
        <v>-0.2</v>
      </c>
      <c r="F797" s="2" t="s">
        <v>110</v>
      </c>
    </row>
    <row r="798" spans="1:6" x14ac:dyDescent="0.25">
      <c r="A798" s="2" t="s">
        <v>40</v>
      </c>
      <c r="B798" s="2" t="s">
        <v>484</v>
      </c>
      <c r="C798" s="2">
        <v>3000</v>
      </c>
      <c r="D798" s="2" t="s">
        <v>38</v>
      </c>
      <c r="E798" s="2">
        <v>-1</v>
      </c>
      <c r="F798" s="2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98"/>
  <sheetViews>
    <sheetView topLeftCell="A191" workbookViewId="0">
      <selection activeCell="L199" sqref="A1:XFD1048576"/>
    </sheetView>
  </sheetViews>
  <sheetFormatPr defaultRowHeight="15" x14ac:dyDescent="0.25"/>
  <cols>
    <col min="1" max="1" width="9.140625" style="2"/>
    <col min="2" max="2" width="22.28515625" style="2" bestFit="1" customWidth="1"/>
    <col min="3" max="3" width="6.28515625" style="2" bestFit="1" customWidth="1"/>
    <col min="4" max="4" width="20.7109375" style="2" bestFit="1" customWidth="1"/>
    <col min="5" max="5" width="18.28515625" style="2" bestFit="1" customWidth="1"/>
    <col min="6" max="6" width="12" style="2" bestFit="1" customWidth="1"/>
    <col min="7" max="16384" width="9.140625" style="2"/>
  </cols>
  <sheetData>
    <row r="1" spans="1:6" x14ac:dyDescent="0.25">
      <c r="A1" s="2" t="s">
        <v>0</v>
      </c>
      <c r="B1" s="2" t="s">
        <v>29</v>
      </c>
      <c r="C1" s="2" t="s">
        <v>18</v>
      </c>
      <c r="D1" s="2" t="s">
        <v>30</v>
      </c>
      <c r="E1" s="2" t="s">
        <v>31</v>
      </c>
      <c r="F1" s="2" t="s">
        <v>32</v>
      </c>
    </row>
    <row r="2" spans="1:6" x14ac:dyDescent="0.25">
      <c r="A2" s="2" t="s">
        <v>33</v>
      </c>
      <c r="B2" s="2" t="s">
        <v>37</v>
      </c>
      <c r="C2" s="2">
        <v>9400</v>
      </c>
      <c r="D2" s="2" t="s">
        <v>38</v>
      </c>
      <c r="E2" s="2">
        <v>26.613</v>
      </c>
      <c r="F2" s="2" t="s">
        <v>39</v>
      </c>
    </row>
    <row r="3" spans="1:6" x14ac:dyDescent="0.25">
      <c r="A3" s="2" t="s">
        <v>33</v>
      </c>
      <c r="B3" s="2" t="s">
        <v>34</v>
      </c>
      <c r="C3" s="2">
        <v>9800</v>
      </c>
      <c r="D3" s="2" t="s">
        <v>35</v>
      </c>
      <c r="E3" s="2">
        <v>26.292999999999999</v>
      </c>
      <c r="F3" s="2" t="s">
        <v>36</v>
      </c>
    </row>
    <row r="4" spans="1:6" x14ac:dyDescent="0.25">
      <c r="A4" s="2" t="s">
        <v>64</v>
      </c>
      <c r="B4" s="2" t="s">
        <v>72</v>
      </c>
      <c r="C4" s="2">
        <v>7000</v>
      </c>
      <c r="D4" s="2" t="s">
        <v>58</v>
      </c>
      <c r="E4" s="2">
        <v>26.073</v>
      </c>
      <c r="F4" s="2" t="s">
        <v>59</v>
      </c>
    </row>
    <row r="5" spans="1:6" x14ac:dyDescent="0.25">
      <c r="A5" s="2" t="s">
        <v>64</v>
      </c>
      <c r="B5" s="2" t="s">
        <v>73</v>
      </c>
      <c r="C5" s="2">
        <v>6900</v>
      </c>
      <c r="D5" s="2" t="s">
        <v>43</v>
      </c>
      <c r="E5" s="2">
        <v>24.759</v>
      </c>
      <c r="F5" s="2" t="s">
        <v>23</v>
      </c>
    </row>
    <row r="6" spans="1:6" x14ac:dyDescent="0.25">
      <c r="A6" s="2" t="s">
        <v>33</v>
      </c>
      <c r="B6" s="2" t="s">
        <v>50</v>
      </c>
      <c r="C6" s="2">
        <v>8100</v>
      </c>
      <c r="D6" s="2" t="s">
        <v>45</v>
      </c>
      <c r="E6" s="2">
        <v>22.731000000000002</v>
      </c>
      <c r="F6" s="2" t="s">
        <v>22</v>
      </c>
    </row>
    <row r="7" spans="1:6" x14ac:dyDescent="0.25">
      <c r="A7" s="2" t="s">
        <v>64</v>
      </c>
      <c r="B7" s="2" t="s">
        <v>84</v>
      </c>
      <c r="C7" s="2">
        <v>6500</v>
      </c>
      <c r="D7" s="2" t="s">
        <v>75</v>
      </c>
      <c r="E7" s="2">
        <v>22.713000000000001</v>
      </c>
      <c r="F7" s="2" t="s">
        <v>25</v>
      </c>
    </row>
    <row r="8" spans="1:6" x14ac:dyDescent="0.25">
      <c r="A8" s="2" t="s">
        <v>40</v>
      </c>
      <c r="B8" s="2" t="s">
        <v>41</v>
      </c>
      <c r="C8" s="2">
        <v>8800</v>
      </c>
      <c r="D8" s="2" t="s">
        <v>35</v>
      </c>
      <c r="E8" s="2">
        <v>21.456</v>
      </c>
      <c r="F8" s="2" t="s">
        <v>36</v>
      </c>
    </row>
    <row r="9" spans="1:6" x14ac:dyDescent="0.25">
      <c r="A9" s="2" t="s">
        <v>33</v>
      </c>
      <c r="B9" s="2" t="s">
        <v>47</v>
      </c>
      <c r="C9" s="2">
        <v>8200</v>
      </c>
      <c r="D9" s="2" t="s">
        <v>48</v>
      </c>
      <c r="E9" s="2">
        <v>21.286999999999999</v>
      </c>
      <c r="F9" s="2" t="s">
        <v>49</v>
      </c>
    </row>
    <row r="10" spans="1:6" x14ac:dyDescent="0.25">
      <c r="A10" s="2" t="s">
        <v>64</v>
      </c>
      <c r="B10" s="2" t="s">
        <v>85</v>
      </c>
      <c r="C10" s="2">
        <v>6400</v>
      </c>
      <c r="D10" s="2" t="s">
        <v>86</v>
      </c>
      <c r="E10" s="2">
        <v>21.018000000000001</v>
      </c>
      <c r="F10" s="2" t="s">
        <v>24</v>
      </c>
    </row>
    <row r="11" spans="1:6" x14ac:dyDescent="0.25">
      <c r="A11" s="2" t="s">
        <v>40</v>
      </c>
      <c r="B11" s="2" t="s">
        <v>42</v>
      </c>
      <c r="C11" s="2">
        <v>8500</v>
      </c>
      <c r="D11" s="2" t="s">
        <v>43</v>
      </c>
      <c r="E11" s="2">
        <v>20.094000000000001</v>
      </c>
      <c r="F11" s="2" t="s">
        <v>23</v>
      </c>
    </row>
    <row r="12" spans="1:6" x14ac:dyDescent="0.25">
      <c r="A12" s="2" t="s">
        <v>40</v>
      </c>
      <c r="B12" s="2" t="s">
        <v>51</v>
      </c>
      <c r="C12" s="2">
        <v>8000</v>
      </c>
      <c r="D12" s="2" t="s">
        <v>52</v>
      </c>
      <c r="E12" s="2">
        <v>19.84</v>
      </c>
      <c r="F12" s="2" t="s">
        <v>53</v>
      </c>
    </row>
    <row r="13" spans="1:6" x14ac:dyDescent="0.25">
      <c r="A13" s="2" t="s">
        <v>40</v>
      </c>
      <c r="B13" s="2" t="s">
        <v>54</v>
      </c>
      <c r="C13" s="2">
        <v>7800</v>
      </c>
      <c r="D13" s="2" t="s">
        <v>55</v>
      </c>
      <c r="E13" s="2">
        <v>19.756</v>
      </c>
      <c r="F13" s="2" t="s">
        <v>56</v>
      </c>
    </row>
    <row r="14" spans="1:6" x14ac:dyDescent="0.25">
      <c r="A14" s="2" t="s">
        <v>64</v>
      </c>
      <c r="B14" s="2" t="s">
        <v>88</v>
      </c>
      <c r="C14" s="2">
        <v>6300</v>
      </c>
      <c r="D14" s="2" t="s">
        <v>45</v>
      </c>
      <c r="E14" s="2">
        <v>19.427</v>
      </c>
      <c r="F14" s="2" t="s">
        <v>22</v>
      </c>
    </row>
    <row r="15" spans="1:6" x14ac:dyDescent="0.25">
      <c r="A15" s="2" t="s">
        <v>33</v>
      </c>
      <c r="B15" s="2" t="s">
        <v>61</v>
      </c>
      <c r="C15" s="2">
        <v>7400</v>
      </c>
      <c r="D15" s="2" t="s">
        <v>62</v>
      </c>
      <c r="E15" s="2">
        <v>19.363</v>
      </c>
      <c r="F15" s="2" t="s">
        <v>63</v>
      </c>
    </row>
    <row r="16" spans="1:6" x14ac:dyDescent="0.25">
      <c r="A16" s="2" t="s">
        <v>64</v>
      </c>
      <c r="B16" s="2" t="s">
        <v>79</v>
      </c>
      <c r="C16" s="2">
        <v>6700</v>
      </c>
      <c r="D16" s="2" t="s">
        <v>62</v>
      </c>
      <c r="E16" s="2">
        <v>19.298999999999999</v>
      </c>
      <c r="F16" s="2" t="s">
        <v>67</v>
      </c>
    </row>
    <row r="17" spans="1:6" x14ac:dyDescent="0.25">
      <c r="A17" s="2" t="s">
        <v>64</v>
      </c>
      <c r="B17" s="2" t="s">
        <v>156</v>
      </c>
      <c r="C17" s="2">
        <v>4800</v>
      </c>
      <c r="D17" s="2" t="s">
        <v>103</v>
      </c>
      <c r="E17" s="2">
        <v>19.256</v>
      </c>
      <c r="F17" s="2" t="s">
        <v>110</v>
      </c>
    </row>
    <row r="18" spans="1:6" x14ac:dyDescent="0.25">
      <c r="A18" s="2" t="s">
        <v>40</v>
      </c>
      <c r="B18" s="2" t="s">
        <v>57</v>
      </c>
      <c r="C18" s="2">
        <v>7600</v>
      </c>
      <c r="D18" s="2" t="s">
        <v>58</v>
      </c>
      <c r="E18" s="2">
        <v>18.983000000000001</v>
      </c>
      <c r="F18" s="2" t="s">
        <v>59</v>
      </c>
    </row>
    <row r="19" spans="1:6" x14ac:dyDescent="0.25">
      <c r="A19" s="2" t="s">
        <v>64</v>
      </c>
      <c r="B19" s="2" t="s">
        <v>65</v>
      </c>
      <c r="C19" s="2">
        <v>7300</v>
      </c>
      <c r="D19" s="2" t="s">
        <v>35</v>
      </c>
      <c r="E19" s="2">
        <v>18.98</v>
      </c>
      <c r="F19" s="2" t="s">
        <v>36</v>
      </c>
    </row>
    <row r="20" spans="1:6" x14ac:dyDescent="0.25">
      <c r="A20" s="2" t="s">
        <v>64</v>
      </c>
      <c r="B20" s="2" t="s">
        <v>89</v>
      </c>
      <c r="C20" s="2">
        <v>6200</v>
      </c>
      <c r="D20" s="2" t="s">
        <v>48</v>
      </c>
      <c r="E20" s="2">
        <v>18.795000000000002</v>
      </c>
      <c r="F20" s="2" t="s">
        <v>49</v>
      </c>
    </row>
    <row r="21" spans="1:6" x14ac:dyDescent="0.25">
      <c r="A21" s="2" t="s">
        <v>64</v>
      </c>
      <c r="B21" s="2" t="s">
        <v>68</v>
      </c>
      <c r="C21" s="2">
        <v>7100</v>
      </c>
      <c r="D21" s="2" t="s">
        <v>69</v>
      </c>
      <c r="E21" s="2">
        <v>18.617000000000001</v>
      </c>
      <c r="F21" s="2" t="s">
        <v>70</v>
      </c>
    </row>
    <row r="22" spans="1:6" x14ac:dyDescent="0.25">
      <c r="A22" s="2" t="s">
        <v>40</v>
      </c>
      <c r="B22" s="2" t="s">
        <v>44</v>
      </c>
      <c r="C22" s="2">
        <v>8300</v>
      </c>
      <c r="D22" s="2" t="s">
        <v>45</v>
      </c>
      <c r="E22" s="2">
        <v>18.611999999999998</v>
      </c>
      <c r="F22" s="2" t="s">
        <v>46</v>
      </c>
    </row>
    <row r="23" spans="1:6" x14ac:dyDescent="0.25">
      <c r="A23" s="2" t="s">
        <v>64</v>
      </c>
      <c r="B23" s="2" t="s">
        <v>98</v>
      </c>
      <c r="C23" s="2">
        <v>6000</v>
      </c>
      <c r="D23" s="2" t="s">
        <v>38</v>
      </c>
      <c r="E23" s="2">
        <v>18.608000000000001</v>
      </c>
      <c r="F23" s="2" t="s">
        <v>39</v>
      </c>
    </row>
    <row r="24" spans="1:6" x14ac:dyDescent="0.25">
      <c r="A24" s="2" t="s">
        <v>64</v>
      </c>
      <c r="B24" s="2" t="s">
        <v>78</v>
      </c>
      <c r="C24" s="2">
        <v>6800</v>
      </c>
      <c r="D24" s="2" t="s">
        <v>62</v>
      </c>
      <c r="E24" s="2">
        <v>18.463000000000001</v>
      </c>
      <c r="F24" s="2" t="s">
        <v>63</v>
      </c>
    </row>
    <row r="25" spans="1:6" x14ac:dyDescent="0.25">
      <c r="A25" s="2" t="s">
        <v>33</v>
      </c>
      <c r="B25" s="2" t="s">
        <v>71</v>
      </c>
      <c r="C25" s="2">
        <v>7000</v>
      </c>
      <c r="D25" s="2" t="s">
        <v>43</v>
      </c>
      <c r="E25" s="2">
        <v>18.443999999999999</v>
      </c>
      <c r="F25" s="2" t="s">
        <v>23</v>
      </c>
    </row>
    <row r="26" spans="1:6" x14ac:dyDescent="0.25">
      <c r="A26" s="2" t="s">
        <v>64</v>
      </c>
      <c r="B26" s="2" t="s">
        <v>94</v>
      </c>
      <c r="C26" s="2">
        <v>6100</v>
      </c>
      <c r="D26" s="2" t="s">
        <v>38</v>
      </c>
      <c r="E26" s="2">
        <v>18.440000000000001</v>
      </c>
      <c r="F26" s="2" t="s">
        <v>26</v>
      </c>
    </row>
    <row r="27" spans="1:6" x14ac:dyDescent="0.25">
      <c r="A27" s="2" t="s">
        <v>64</v>
      </c>
      <c r="B27" s="2" t="s">
        <v>76</v>
      </c>
      <c r="C27" s="2">
        <v>6900</v>
      </c>
      <c r="D27" s="2" t="s">
        <v>58</v>
      </c>
      <c r="E27" s="2">
        <v>18.257000000000001</v>
      </c>
      <c r="F27" s="2" t="s">
        <v>77</v>
      </c>
    </row>
    <row r="28" spans="1:6" x14ac:dyDescent="0.25">
      <c r="A28" s="2" t="s">
        <v>40</v>
      </c>
      <c r="B28" s="2" t="s">
        <v>74</v>
      </c>
      <c r="C28" s="2">
        <v>6900</v>
      </c>
      <c r="D28" s="2" t="s">
        <v>75</v>
      </c>
      <c r="E28" s="2">
        <v>18.238</v>
      </c>
      <c r="F28" s="2" t="s">
        <v>25</v>
      </c>
    </row>
    <row r="29" spans="1:6" x14ac:dyDescent="0.25">
      <c r="A29" s="2" t="s">
        <v>64</v>
      </c>
      <c r="B29" s="2" t="s">
        <v>81</v>
      </c>
      <c r="C29" s="2">
        <v>6600</v>
      </c>
      <c r="D29" s="2" t="s">
        <v>55</v>
      </c>
      <c r="E29" s="2">
        <v>18.068999999999999</v>
      </c>
      <c r="F29" s="2" t="s">
        <v>56</v>
      </c>
    </row>
    <row r="30" spans="1:6" x14ac:dyDescent="0.25">
      <c r="A30" s="2" t="s">
        <v>64</v>
      </c>
      <c r="B30" s="2" t="s">
        <v>167</v>
      </c>
      <c r="C30" s="2">
        <v>4700</v>
      </c>
      <c r="D30" s="2" t="s">
        <v>69</v>
      </c>
      <c r="E30" s="2">
        <v>17.786999999999999</v>
      </c>
      <c r="F30" s="2" t="s">
        <v>1</v>
      </c>
    </row>
    <row r="31" spans="1:6" x14ac:dyDescent="0.25">
      <c r="A31" s="2" t="s">
        <v>64</v>
      </c>
      <c r="B31" s="2" t="s">
        <v>108</v>
      </c>
      <c r="C31" s="2">
        <v>5700</v>
      </c>
      <c r="D31" s="2" t="s">
        <v>52</v>
      </c>
      <c r="E31" s="2">
        <v>17.728000000000002</v>
      </c>
      <c r="F31" s="2" t="s">
        <v>53</v>
      </c>
    </row>
    <row r="32" spans="1:6" x14ac:dyDescent="0.25">
      <c r="A32" s="2" t="s">
        <v>40</v>
      </c>
      <c r="B32" s="2" t="s">
        <v>80</v>
      </c>
      <c r="C32" s="2">
        <v>6700</v>
      </c>
      <c r="D32" s="2" t="s">
        <v>58</v>
      </c>
      <c r="E32" s="2">
        <v>17.372</v>
      </c>
      <c r="F32" s="2" t="s">
        <v>77</v>
      </c>
    </row>
    <row r="33" spans="1:6" x14ac:dyDescent="0.25">
      <c r="A33" s="2" t="s">
        <v>64</v>
      </c>
      <c r="B33" s="2" t="s">
        <v>114</v>
      </c>
      <c r="C33" s="2">
        <v>5500</v>
      </c>
      <c r="D33" s="2" t="s">
        <v>52</v>
      </c>
      <c r="E33" s="2">
        <v>17.03</v>
      </c>
      <c r="F33" s="2" t="s">
        <v>115</v>
      </c>
    </row>
    <row r="34" spans="1:6" x14ac:dyDescent="0.25">
      <c r="A34" s="2" t="s">
        <v>33</v>
      </c>
      <c r="B34" s="2" t="s">
        <v>87</v>
      </c>
      <c r="C34" s="2">
        <v>6300</v>
      </c>
      <c r="D34" s="2" t="s">
        <v>43</v>
      </c>
      <c r="E34" s="2">
        <v>16.806999999999999</v>
      </c>
      <c r="F34" s="2" t="s">
        <v>27</v>
      </c>
    </row>
    <row r="35" spans="1:6" x14ac:dyDescent="0.25">
      <c r="A35" s="2" t="s">
        <v>40</v>
      </c>
      <c r="B35" s="2" t="s">
        <v>131</v>
      </c>
      <c r="C35" s="2">
        <v>5200</v>
      </c>
      <c r="D35" s="2" t="s">
        <v>58</v>
      </c>
      <c r="E35" s="2">
        <v>16.442</v>
      </c>
      <c r="F35" s="2" t="s">
        <v>59</v>
      </c>
    </row>
    <row r="36" spans="1:6" x14ac:dyDescent="0.25">
      <c r="A36" s="2" t="s">
        <v>64</v>
      </c>
      <c r="B36" s="2" t="s">
        <v>138</v>
      </c>
      <c r="C36" s="2">
        <v>5000</v>
      </c>
      <c r="D36" s="2" t="s">
        <v>55</v>
      </c>
      <c r="E36" s="2">
        <v>16.245999999999999</v>
      </c>
      <c r="F36" s="2" t="s">
        <v>28</v>
      </c>
    </row>
    <row r="37" spans="1:6" x14ac:dyDescent="0.25">
      <c r="A37" s="2" t="s">
        <v>40</v>
      </c>
      <c r="B37" s="2" t="s">
        <v>60</v>
      </c>
      <c r="C37" s="2">
        <v>7500</v>
      </c>
      <c r="D37" s="2" t="s">
        <v>45</v>
      </c>
      <c r="E37" s="2">
        <v>16.228999999999999</v>
      </c>
      <c r="F37" s="2" t="s">
        <v>22</v>
      </c>
    </row>
    <row r="38" spans="1:6" x14ac:dyDescent="0.25">
      <c r="A38" s="2" t="s">
        <v>33</v>
      </c>
      <c r="B38" s="2" t="s">
        <v>165</v>
      </c>
      <c r="C38" s="2">
        <v>4700</v>
      </c>
      <c r="D38" s="2" t="s">
        <v>38</v>
      </c>
      <c r="E38" s="2">
        <v>16.18</v>
      </c>
      <c r="F38" s="2" t="s">
        <v>26</v>
      </c>
    </row>
    <row r="39" spans="1:6" x14ac:dyDescent="0.25">
      <c r="A39" s="2" t="s">
        <v>64</v>
      </c>
      <c r="B39" s="2" t="s">
        <v>112</v>
      </c>
      <c r="C39" s="2">
        <v>5600</v>
      </c>
      <c r="D39" s="2" t="s">
        <v>45</v>
      </c>
      <c r="E39" s="2">
        <v>15.955</v>
      </c>
      <c r="F39" s="2" t="s">
        <v>46</v>
      </c>
    </row>
    <row r="40" spans="1:6" x14ac:dyDescent="0.25">
      <c r="A40" s="2" t="s">
        <v>40</v>
      </c>
      <c r="B40" s="2" t="s">
        <v>120</v>
      </c>
      <c r="C40" s="2">
        <v>5400</v>
      </c>
      <c r="D40" s="2" t="s">
        <v>55</v>
      </c>
      <c r="E40" s="2">
        <v>15.853</v>
      </c>
      <c r="F40" s="2" t="s">
        <v>28</v>
      </c>
    </row>
    <row r="41" spans="1:6" x14ac:dyDescent="0.25">
      <c r="A41" s="2" t="s">
        <v>40</v>
      </c>
      <c r="B41" s="2" t="s">
        <v>101</v>
      </c>
      <c r="C41" s="2">
        <v>5900</v>
      </c>
      <c r="D41" s="2" t="s">
        <v>38</v>
      </c>
      <c r="E41" s="2">
        <v>15.488</v>
      </c>
      <c r="F41" s="2" t="s">
        <v>39</v>
      </c>
    </row>
    <row r="42" spans="1:6" x14ac:dyDescent="0.25">
      <c r="A42" s="2" t="s">
        <v>33</v>
      </c>
      <c r="B42" s="2" t="s">
        <v>174</v>
      </c>
      <c r="C42" s="2">
        <v>4600</v>
      </c>
      <c r="D42" s="2" t="s">
        <v>69</v>
      </c>
      <c r="E42" s="2">
        <v>15.468999999999999</v>
      </c>
      <c r="F42" s="2" t="s">
        <v>1</v>
      </c>
    </row>
    <row r="43" spans="1:6" x14ac:dyDescent="0.25">
      <c r="A43" s="2" t="s">
        <v>64</v>
      </c>
      <c r="B43" s="2" t="s">
        <v>134</v>
      </c>
      <c r="C43" s="2">
        <v>5100</v>
      </c>
      <c r="D43" s="2" t="s">
        <v>69</v>
      </c>
      <c r="E43" s="2">
        <v>15.433</v>
      </c>
      <c r="F43" s="2" t="s">
        <v>1</v>
      </c>
    </row>
    <row r="44" spans="1:6" x14ac:dyDescent="0.25">
      <c r="A44" s="2" t="s">
        <v>64</v>
      </c>
      <c r="B44" s="2" t="s">
        <v>125</v>
      </c>
      <c r="C44" s="2">
        <v>5300</v>
      </c>
      <c r="D44" s="2" t="s">
        <v>86</v>
      </c>
      <c r="E44" s="2">
        <v>15.186</v>
      </c>
      <c r="F44" s="2" t="s">
        <v>21</v>
      </c>
    </row>
    <row r="45" spans="1:6" x14ac:dyDescent="0.25">
      <c r="A45" s="2" t="s">
        <v>33</v>
      </c>
      <c r="B45" s="2" t="s">
        <v>118</v>
      </c>
      <c r="C45" s="2">
        <v>5400</v>
      </c>
      <c r="D45" s="2" t="s">
        <v>43</v>
      </c>
      <c r="E45" s="2">
        <v>15.093</v>
      </c>
      <c r="F45" s="2" t="s">
        <v>23</v>
      </c>
    </row>
    <row r="46" spans="1:6" x14ac:dyDescent="0.25">
      <c r="A46" s="2" t="s">
        <v>40</v>
      </c>
      <c r="B46" s="2" t="s">
        <v>99</v>
      </c>
      <c r="C46" s="2">
        <v>6000</v>
      </c>
      <c r="D46" s="2" t="s">
        <v>62</v>
      </c>
      <c r="E46" s="2">
        <v>14.917999999999999</v>
      </c>
      <c r="F46" s="2" t="s">
        <v>67</v>
      </c>
    </row>
    <row r="47" spans="1:6" x14ac:dyDescent="0.25">
      <c r="A47" s="2" t="s">
        <v>33</v>
      </c>
      <c r="B47" s="2" t="s">
        <v>83</v>
      </c>
      <c r="C47" s="2">
        <v>6500</v>
      </c>
      <c r="D47" s="2" t="s">
        <v>55</v>
      </c>
      <c r="E47" s="2">
        <v>14.738</v>
      </c>
      <c r="F47" s="2" t="s">
        <v>28</v>
      </c>
    </row>
    <row r="48" spans="1:6" x14ac:dyDescent="0.25">
      <c r="A48" s="2" t="s">
        <v>40</v>
      </c>
      <c r="B48" s="2" t="s">
        <v>66</v>
      </c>
      <c r="C48" s="2">
        <v>7200</v>
      </c>
      <c r="D48" s="2" t="s">
        <v>62</v>
      </c>
      <c r="E48" s="2">
        <v>14.547000000000001</v>
      </c>
      <c r="F48" s="2" t="s">
        <v>67</v>
      </c>
    </row>
    <row r="49" spans="1:6" x14ac:dyDescent="0.25">
      <c r="A49" s="2" t="s">
        <v>33</v>
      </c>
      <c r="B49" s="2" t="s">
        <v>184</v>
      </c>
      <c r="C49" s="2">
        <v>4500</v>
      </c>
      <c r="D49" s="2" t="s">
        <v>86</v>
      </c>
      <c r="E49" s="2">
        <v>14.528</v>
      </c>
      <c r="F49" s="2" t="s">
        <v>21</v>
      </c>
    </row>
    <row r="50" spans="1:6" x14ac:dyDescent="0.25">
      <c r="A50" s="2" t="s">
        <v>40</v>
      </c>
      <c r="B50" s="2" t="s">
        <v>139</v>
      </c>
      <c r="C50" s="2">
        <v>5000</v>
      </c>
      <c r="D50" s="2" t="s">
        <v>62</v>
      </c>
      <c r="E50" s="2">
        <v>14.467000000000001</v>
      </c>
      <c r="F50" s="2" t="s">
        <v>63</v>
      </c>
    </row>
    <row r="51" spans="1:6" x14ac:dyDescent="0.25">
      <c r="A51" s="2" t="s">
        <v>33</v>
      </c>
      <c r="B51" s="2" t="s">
        <v>132</v>
      </c>
      <c r="C51" s="2">
        <v>5100</v>
      </c>
      <c r="D51" s="2" t="s">
        <v>103</v>
      </c>
      <c r="E51" s="2">
        <v>14.394</v>
      </c>
      <c r="F51" s="2" t="s">
        <v>19</v>
      </c>
    </row>
    <row r="52" spans="1:6" x14ac:dyDescent="0.25">
      <c r="A52" s="2" t="s">
        <v>64</v>
      </c>
      <c r="B52" s="2" t="s">
        <v>227</v>
      </c>
      <c r="C52" s="2">
        <v>4000</v>
      </c>
      <c r="D52" s="2" t="s">
        <v>35</v>
      </c>
      <c r="E52" s="2">
        <v>14.087999999999999</v>
      </c>
      <c r="F52" s="2" t="s">
        <v>20</v>
      </c>
    </row>
    <row r="53" spans="1:6" x14ac:dyDescent="0.25">
      <c r="A53" s="2" t="s">
        <v>40</v>
      </c>
      <c r="B53" s="2" t="s">
        <v>82</v>
      </c>
      <c r="C53" s="2">
        <v>6500</v>
      </c>
      <c r="D53" s="2" t="s">
        <v>38</v>
      </c>
      <c r="E53" s="2">
        <v>14.035</v>
      </c>
      <c r="F53" s="2" t="s">
        <v>26</v>
      </c>
    </row>
    <row r="54" spans="1:6" x14ac:dyDescent="0.25">
      <c r="A54" s="2" t="s">
        <v>40</v>
      </c>
      <c r="B54" s="2" t="s">
        <v>95</v>
      </c>
      <c r="C54" s="2">
        <v>6100</v>
      </c>
      <c r="D54" s="2" t="s">
        <v>86</v>
      </c>
      <c r="E54" s="2">
        <v>13.903</v>
      </c>
      <c r="F54" s="2" t="s">
        <v>24</v>
      </c>
    </row>
    <row r="55" spans="1:6" x14ac:dyDescent="0.25">
      <c r="A55" s="2" t="s">
        <v>40</v>
      </c>
      <c r="B55" s="2" t="s">
        <v>207</v>
      </c>
      <c r="C55" s="2">
        <v>4200</v>
      </c>
      <c r="D55" s="2" t="s">
        <v>62</v>
      </c>
      <c r="E55" s="2">
        <v>13.843999999999999</v>
      </c>
      <c r="F55" s="2" t="s">
        <v>63</v>
      </c>
    </row>
    <row r="56" spans="1:6" x14ac:dyDescent="0.25">
      <c r="A56" s="2" t="s">
        <v>64</v>
      </c>
      <c r="B56" s="2" t="s">
        <v>260</v>
      </c>
      <c r="C56" s="2">
        <v>4000</v>
      </c>
      <c r="D56" s="2" t="s">
        <v>69</v>
      </c>
      <c r="E56" s="2">
        <v>13.834</v>
      </c>
      <c r="F56" s="2" t="s">
        <v>1</v>
      </c>
    </row>
    <row r="57" spans="1:6" x14ac:dyDescent="0.25">
      <c r="A57" s="2" t="s">
        <v>33</v>
      </c>
      <c r="B57" s="2" t="s">
        <v>199</v>
      </c>
      <c r="C57" s="2">
        <v>4300</v>
      </c>
      <c r="D57" s="2" t="s">
        <v>75</v>
      </c>
      <c r="E57" s="2">
        <v>13.824999999999999</v>
      </c>
      <c r="F57" s="2" t="s">
        <v>25</v>
      </c>
    </row>
    <row r="58" spans="1:6" x14ac:dyDescent="0.25">
      <c r="A58" s="2" t="s">
        <v>40</v>
      </c>
      <c r="B58" s="2" t="s">
        <v>136</v>
      </c>
      <c r="C58" s="2">
        <v>5000</v>
      </c>
      <c r="D58" s="2" t="s">
        <v>43</v>
      </c>
      <c r="E58" s="2">
        <v>13.82</v>
      </c>
      <c r="F58" s="2" t="s">
        <v>27</v>
      </c>
    </row>
    <row r="59" spans="1:6" x14ac:dyDescent="0.25">
      <c r="A59" s="2" t="s">
        <v>33</v>
      </c>
      <c r="B59" s="2" t="s">
        <v>122</v>
      </c>
      <c r="C59" s="2">
        <v>5300</v>
      </c>
      <c r="D59" s="2" t="s">
        <v>35</v>
      </c>
      <c r="E59" s="2">
        <v>13.694000000000001</v>
      </c>
      <c r="F59" s="2" t="s">
        <v>20</v>
      </c>
    </row>
    <row r="60" spans="1:6" x14ac:dyDescent="0.25">
      <c r="A60" s="2" t="s">
        <v>64</v>
      </c>
      <c r="B60" s="2" t="s">
        <v>169</v>
      </c>
      <c r="C60" s="2">
        <v>4600</v>
      </c>
      <c r="D60" s="2" t="s">
        <v>48</v>
      </c>
      <c r="E60" s="2">
        <v>13.62</v>
      </c>
      <c r="F60" s="2" t="s">
        <v>144</v>
      </c>
    </row>
    <row r="61" spans="1:6" x14ac:dyDescent="0.25">
      <c r="A61" s="2" t="s">
        <v>33</v>
      </c>
      <c r="B61" s="2" t="s">
        <v>149</v>
      </c>
      <c r="C61" s="2">
        <v>4800</v>
      </c>
      <c r="D61" s="2" t="s">
        <v>48</v>
      </c>
      <c r="E61" s="2">
        <v>13.614000000000001</v>
      </c>
      <c r="F61" s="2" t="s">
        <v>144</v>
      </c>
    </row>
    <row r="62" spans="1:6" x14ac:dyDescent="0.25">
      <c r="A62" s="2" t="s">
        <v>33</v>
      </c>
      <c r="B62" s="2" t="s">
        <v>128</v>
      </c>
      <c r="C62" s="2">
        <v>5200</v>
      </c>
      <c r="D62" s="2" t="s">
        <v>52</v>
      </c>
      <c r="E62" s="2">
        <v>13.55</v>
      </c>
      <c r="F62" s="2" t="s">
        <v>115</v>
      </c>
    </row>
    <row r="63" spans="1:6" x14ac:dyDescent="0.25">
      <c r="A63" s="2" t="s">
        <v>40</v>
      </c>
      <c r="B63" s="2" t="s">
        <v>152</v>
      </c>
      <c r="C63" s="2">
        <v>4800</v>
      </c>
      <c r="D63" s="2" t="s">
        <v>35</v>
      </c>
      <c r="E63" s="2">
        <v>13.547000000000001</v>
      </c>
      <c r="F63" s="2" t="s">
        <v>20</v>
      </c>
    </row>
    <row r="64" spans="1:6" x14ac:dyDescent="0.25">
      <c r="A64" s="2" t="s">
        <v>92</v>
      </c>
      <c r="B64" s="2" t="s">
        <v>330</v>
      </c>
      <c r="C64" s="2">
        <v>3500</v>
      </c>
      <c r="D64" s="2" t="s">
        <v>86</v>
      </c>
      <c r="E64" s="2">
        <v>13.542999999999999</v>
      </c>
      <c r="F64" s="2" t="s">
        <v>21</v>
      </c>
    </row>
    <row r="65" spans="1:6" x14ac:dyDescent="0.25">
      <c r="A65" s="2" t="s">
        <v>40</v>
      </c>
      <c r="B65" s="2" t="s">
        <v>126</v>
      </c>
      <c r="C65" s="2">
        <v>5300</v>
      </c>
      <c r="D65" s="2" t="s">
        <v>58</v>
      </c>
      <c r="E65" s="2">
        <v>13.519</v>
      </c>
      <c r="F65" s="2" t="s">
        <v>59</v>
      </c>
    </row>
    <row r="66" spans="1:6" x14ac:dyDescent="0.25">
      <c r="A66" s="2" t="s">
        <v>33</v>
      </c>
      <c r="B66" s="2" t="s">
        <v>195</v>
      </c>
      <c r="C66" s="2">
        <v>4300</v>
      </c>
      <c r="D66" s="2" t="s">
        <v>38</v>
      </c>
      <c r="E66" s="2">
        <v>13.4</v>
      </c>
      <c r="F66" s="2" t="s">
        <v>26</v>
      </c>
    </row>
    <row r="67" spans="1:6" x14ac:dyDescent="0.25">
      <c r="A67" s="2" t="s">
        <v>92</v>
      </c>
      <c r="B67" s="2" t="s">
        <v>93</v>
      </c>
      <c r="C67" s="2">
        <v>6200</v>
      </c>
      <c r="D67" s="2" t="s">
        <v>69</v>
      </c>
      <c r="E67" s="2">
        <v>13.331</v>
      </c>
      <c r="F67" s="2" t="s">
        <v>70</v>
      </c>
    </row>
    <row r="68" spans="1:6" x14ac:dyDescent="0.25">
      <c r="A68" s="2" t="s">
        <v>64</v>
      </c>
      <c r="B68" s="2" t="s">
        <v>181</v>
      </c>
      <c r="C68" s="2">
        <v>4500</v>
      </c>
      <c r="D68" s="2" t="s">
        <v>38</v>
      </c>
      <c r="E68" s="2">
        <v>13.282999999999999</v>
      </c>
      <c r="F68" s="2" t="s">
        <v>39</v>
      </c>
    </row>
    <row r="69" spans="1:6" x14ac:dyDescent="0.25">
      <c r="A69" s="2" t="s">
        <v>40</v>
      </c>
      <c r="B69" s="2" t="s">
        <v>178</v>
      </c>
      <c r="C69" s="2">
        <v>4500</v>
      </c>
      <c r="D69" s="2" t="s">
        <v>52</v>
      </c>
      <c r="E69" s="2">
        <v>13.05</v>
      </c>
      <c r="F69" s="2" t="s">
        <v>115</v>
      </c>
    </row>
    <row r="70" spans="1:6" x14ac:dyDescent="0.25">
      <c r="A70" s="2" t="s">
        <v>92</v>
      </c>
      <c r="B70" s="2" t="s">
        <v>104</v>
      </c>
      <c r="C70" s="2">
        <v>5900</v>
      </c>
      <c r="D70" s="2" t="s">
        <v>86</v>
      </c>
      <c r="E70" s="2">
        <v>13.045999999999999</v>
      </c>
      <c r="F70" s="2" t="s">
        <v>24</v>
      </c>
    </row>
    <row r="71" spans="1:6" x14ac:dyDescent="0.25">
      <c r="A71" s="2" t="s">
        <v>40</v>
      </c>
      <c r="B71" s="2" t="s">
        <v>102</v>
      </c>
      <c r="C71" s="2">
        <v>5900</v>
      </c>
      <c r="D71" s="2" t="s">
        <v>103</v>
      </c>
      <c r="E71" s="2">
        <v>12.978</v>
      </c>
      <c r="F71" s="2" t="s">
        <v>19</v>
      </c>
    </row>
    <row r="72" spans="1:6" x14ac:dyDescent="0.25">
      <c r="A72" s="2" t="s">
        <v>40</v>
      </c>
      <c r="B72" s="2" t="s">
        <v>111</v>
      </c>
      <c r="C72" s="2">
        <v>5600</v>
      </c>
      <c r="D72" s="2" t="s">
        <v>86</v>
      </c>
      <c r="E72" s="2">
        <v>12.968999999999999</v>
      </c>
      <c r="F72" s="2" t="s">
        <v>24</v>
      </c>
    </row>
    <row r="73" spans="1:6" x14ac:dyDescent="0.25">
      <c r="A73" s="2" t="s">
        <v>40</v>
      </c>
      <c r="B73" s="2" t="s">
        <v>129</v>
      </c>
      <c r="C73" s="2">
        <v>5200</v>
      </c>
      <c r="D73" s="2" t="s">
        <v>103</v>
      </c>
      <c r="E73" s="2">
        <v>12.831</v>
      </c>
      <c r="F73" s="2" t="s">
        <v>110</v>
      </c>
    </row>
    <row r="74" spans="1:6" x14ac:dyDescent="0.25">
      <c r="A74" s="2" t="s">
        <v>40</v>
      </c>
      <c r="B74" s="2" t="s">
        <v>127</v>
      </c>
      <c r="C74" s="2">
        <v>5300</v>
      </c>
      <c r="D74" s="2" t="s">
        <v>69</v>
      </c>
      <c r="E74" s="2">
        <v>12.756</v>
      </c>
      <c r="F74" s="2" t="s">
        <v>1</v>
      </c>
    </row>
    <row r="75" spans="1:6" x14ac:dyDescent="0.25">
      <c r="A75" s="2" t="s">
        <v>33</v>
      </c>
      <c r="B75" s="2" t="s">
        <v>143</v>
      </c>
      <c r="C75" s="2">
        <v>4900</v>
      </c>
      <c r="D75" s="2" t="s">
        <v>48</v>
      </c>
      <c r="E75" s="2">
        <v>12.75</v>
      </c>
      <c r="F75" s="2" t="s">
        <v>144</v>
      </c>
    </row>
    <row r="76" spans="1:6" x14ac:dyDescent="0.25">
      <c r="A76" s="2" t="s">
        <v>92</v>
      </c>
      <c r="B76" s="2" t="s">
        <v>197</v>
      </c>
      <c r="C76" s="2">
        <v>4300</v>
      </c>
      <c r="D76" s="2" t="s">
        <v>62</v>
      </c>
      <c r="E76" s="2">
        <v>12.74</v>
      </c>
      <c r="F76" s="2" t="s">
        <v>63</v>
      </c>
    </row>
    <row r="77" spans="1:6" x14ac:dyDescent="0.25">
      <c r="A77" s="2" t="s">
        <v>92</v>
      </c>
      <c r="B77" s="2" t="s">
        <v>171</v>
      </c>
      <c r="C77" s="2">
        <v>4600</v>
      </c>
      <c r="D77" s="2" t="s">
        <v>52</v>
      </c>
      <c r="E77" s="2">
        <v>12.675000000000001</v>
      </c>
      <c r="F77" s="2" t="s">
        <v>53</v>
      </c>
    </row>
    <row r="78" spans="1:6" x14ac:dyDescent="0.25">
      <c r="A78" s="2" t="s">
        <v>64</v>
      </c>
      <c r="B78" s="2" t="s">
        <v>179</v>
      </c>
      <c r="C78" s="2">
        <v>4500</v>
      </c>
      <c r="D78" s="2" t="s">
        <v>35</v>
      </c>
      <c r="E78" s="2">
        <v>12.64</v>
      </c>
      <c r="F78" s="2" t="s">
        <v>20</v>
      </c>
    </row>
    <row r="79" spans="1:6" x14ac:dyDescent="0.25">
      <c r="A79" s="2" t="s">
        <v>33</v>
      </c>
      <c r="B79" s="2" t="s">
        <v>176</v>
      </c>
      <c r="C79" s="2">
        <v>4500</v>
      </c>
      <c r="D79" s="2" t="s">
        <v>52</v>
      </c>
      <c r="E79" s="2">
        <v>12.63</v>
      </c>
      <c r="F79" s="2" t="s">
        <v>53</v>
      </c>
    </row>
    <row r="80" spans="1:6" x14ac:dyDescent="0.25">
      <c r="A80" s="2" t="s">
        <v>40</v>
      </c>
      <c r="B80" s="2" t="s">
        <v>105</v>
      </c>
      <c r="C80" s="2">
        <v>5900</v>
      </c>
      <c r="D80" s="2" t="s">
        <v>69</v>
      </c>
      <c r="E80" s="2">
        <v>12.569000000000001</v>
      </c>
      <c r="F80" s="2" t="s">
        <v>70</v>
      </c>
    </row>
    <row r="81" spans="1:6" x14ac:dyDescent="0.25">
      <c r="A81" s="2" t="s">
        <v>40</v>
      </c>
      <c r="B81" s="2" t="s">
        <v>188</v>
      </c>
      <c r="C81" s="2">
        <v>4400</v>
      </c>
      <c r="D81" s="2" t="s">
        <v>48</v>
      </c>
      <c r="E81" s="2">
        <v>12.457000000000001</v>
      </c>
      <c r="F81" s="2" t="s">
        <v>49</v>
      </c>
    </row>
    <row r="82" spans="1:6" x14ac:dyDescent="0.25">
      <c r="A82" s="2" t="s">
        <v>33</v>
      </c>
      <c r="B82" s="2" t="s">
        <v>100</v>
      </c>
      <c r="C82" s="2">
        <v>6000</v>
      </c>
      <c r="D82" s="2" t="s">
        <v>75</v>
      </c>
      <c r="E82" s="2">
        <v>12.45</v>
      </c>
      <c r="F82" s="2" t="s">
        <v>91</v>
      </c>
    </row>
    <row r="83" spans="1:6" x14ac:dyDescent="0.25">
      <c r="A83" s="2" t="s">
        <v>40</v>
      </c>
      <c r="B83" s="2" t="s">
        <v>106</v>
      </c>
      <c r="C83" s="2">
        <v>5800</v>
      </c>
      <c r="D83" s="2" t="s">
        <v>86</v>
      </c>
      <c r="E83" s="2">
        <v>12.425000000000001</v>
      </c>
      <c r="F83" s="2" t="s">
        <v>21</v>
      </c>
    </row>
    <row r="84" spans="1:6" x14ac:dyDescent="0.25">
      <c r="A84" s="2" t="s">
        <v>40</v>
      </c>
      <c r="B84" s="2" t="s">
        <v>148</v>
      </c>
      <c r="C84" s="2">
        <v>4900</v>
      </c>
      <c r="D84" s="2" t="s">
        <v>55</v>
      </c>
      <c r="E84" s="2">
        <v>12.218999999999999</v>
      </c>
      <c r="F84" s="2" t="s">
        <v>56</v>
      </c>
    </row>
    <row r="85" spans="1:6" x14ac:dyDescent="0.25">
      <c r="A85" s="2" t="s">
        <v>33</v>
      </c>
      <c r="B85" s="2" t="s">
        <v>189</v>
      </c>
      <c r="C85" s="2">
        <v>4400</v>
      </c>
      <c r="D85" s="2" t="s">
        <v>52</v>
      </c>
      <c r="E85" s="2">
        <v>12.153</v>
      </c>
      <c r="F85" s="2" t="s">
        <v>53</v>
      </c>
    </row>
    <row r="86" spans="1:6" x14ac:dyDescent="0.25">
      <c r="A86" s="2" t="s">
        <v>92</v>
      </c>
      <c r="B86" s="2" t="s">
        <v>133</v>
      </c>
      <c r="C86" s="2">
        <v>5100</v>
      </c>
      <c r="D86" s="2" t="s">
        <v>58</v>
      </c>
      <c r="E86" s="2">
        <v>12.122</v>
      </c>
      <c r="F86" s="2" t="s">
        <v>77</v>
      </c>
    </row>
    <row r="87" spans="1:6" x14ac:dyDescent="0.25">
      <c r="A87" s="2" t="s">
        <v>92</v>
      </c>
      <c r="B87" s="2" t="s">
        <v>707</v>
      </c>
      <c r="C87" s="2">
        <v>2800</v>
      </c>
      <c r="D87" s="2" t="s">
        <v>43</v>
      </c>
      <c r="E87" s="2">
        <v>11.96</v>
      </c>
      <c r="F87" s="2" t="s">
        <v>27</v>
      </c>
    </row>
    <row r="88" spans="1:6" x14ac:dyDescent="0.25">
      <c r="A88" s="2" t="s">
        <v>40</v>
      </c>
      <c r="B88" s="2" t="s">
        <v>209</v>
      </c>
      <c r="C88" s="2">
        <v>4100</v>
      </c>
      <c r="D88" s="2" t="s">
        <v>38</v>
      </c>
      <c r="E88" s="2">
        <v>11.9</v>
      </c>
      <c r="F88" s="2" t="s">
        <v>26</v>
      </c>
    </row>
    <row r="89" spans="1:6" x14ac:dyDescent="0.25">
      <c r="A89" s="2" t="s">
        <v>40</v>
      </c>
      <c r="B89" s="2" t="s">
        <v>299</v>
      </c>
      <c r="C89" s="2">
        <v>3700</v>
      </c>
      <c r="D89" s="2" t="s">
        <v>52</v>
      </c>
      <c r="E89" s="2">
        <v>11.813000000000001</v>
      </c>
      <c r="F89" s="2" t="s">
        <v>53</v>
      </c>
    </row>
    <row r="90" spans="1:6" x14ac:dyDescent="0.25">
      <c r="A90" s="2" t="s">
        <v>33</v>
      </c>
      <c r="B90" s="2" t="s">
        <v>354</v>
      </c>
      <c r="C90" s="2">
        <v>3200</v>
      </c>
      <c r="D90" s="2" t="s">
        <v>86</v>
      </c>
      <c r="E90" s="2">
        <v>11.738</v>
      </c>
      <c r="F90" s="2" t="s">
        <v>21</v>
      </c>
    </row>
    <row r="91" spans="1:6" x14ac:dyDescent="0.25">
      <c r="A91" s="2" t="s">
        <v>33</v>
      </c>
      <c r="B91" s="2" t="s">
        <v>142</v>
      </c>
      <c r="C91" s="2">
        <v>5000</v>
      </c>
      <c r="D91" s="2" t="s">
        <v>69</v>
      </c>
      <c r="E91" s="2">
        <v>11.646000000000001</v>
      </c>
      <c r="F91" s="2" t="s">
        <v>70</v>
      </c>
    </row>
    <row r="92" spans="1:6" x14ac:dyDescent="0.25">
      <c r="A92" s="2" t="s">
        <v>40</v>
      </c>
      <c r="B92" s="2" t="s">
        <v>217</v>
      </c>
      <c r="C92" s="2">
        <v>4100</v>
      </c>
      <c r="D92" s="2" t="s">
        <v>45</v>
      </c>
      <c r="E92" s="2">
        <v>11.629</v>
      </c>
      <c r="F92" s="2" t="s">
        <v>46</v>
      </c>
    </row>
    <row r="93" spans="1:6" x14ac:dyDescent="0.25">
      <c r="A93" s="2" t="s">
        <v>40</v>
      </c>
      <c r="B93" s="2" t="s">
        <v>168</v>
      </c>
      <c r="C93" s="2">
        <v>4700</v>
      </c>
      <c r="D93" s="2" t="s">
        <v>45</v>
      </c>
      <c r="E93" s="2">
        <v>11.618</v>
      </c>
      <c r="F93" s="2" t="s">
        <v>22</v>
      </c>
    </row>
    <row r="94" spans="1:6" x14ac:dyDescent="0.25">
      <c r="A94" s="2" t="s">
        <v>40</v>
      </c>
      <c r="B94" s="2" t="s">
        <v>289</v>
      </c>
      <c r="C94" s="2">
        <v>3800</v>
      </c>
      <c r="D94" s="2" t="s">
        <v>103</v>
      </c>
      <c r="E94" s="2">
        <v>11.587999999999999</v>
      </c>
      <c r="F94" s="2" t="s">
        <v>110</v>
      </c>
    </row>
    <row r="95" spans="1:6" x14ac:dyDescent="0.25">
      <c r="A95" s="2" t="s">
        <v>40</v>
      </c>
      <c r="B95" s="2" t="s">
        <v>140</v>
      </c>
      <c r="C95" s="2">
        <v>5000</v>
      </c>
      <c r="D95" s="2" t="s">
        <v>75</v>
      </c>
      <c r="E95" s="2">
        <v>11.4</v>
      </c>
      <c r="F95" s="2" t="s">
        <v>25</v>
      </c>
    </row>
    <row r="96" spans="1:6" x14ac:dyDescent="0.25">
      <c r="A96" s="2" t="s">
        <v>92</v>
      </c>
      <c r="B96" s="2" t="s">
        <v>360</v>
      </c>
      <c r="C96" s="2">
        <v>3100</v>
      </c>
      <c r="D96" s="2" t="s">
        <v>55</v>
      </c>
      <c r="E96" s="2">
        <v>11.4</v>
      </c>
      <c r="F96" s="2" t="s">
        <v>56</v>
      </c>
    </row>
    <row r="97" spans="1:6" x14ac:dyDescent="0.25">
      <c r="A97" s="2" t="s">
        <v>40</v>
      </c>
      <c r="B97" s="2" t="s">
        <v>395</v>
      </c>
      <c r="C97" s="2">
        <v>3000</v>
      </c>
      <c r="D97" s="2" t="s">
        <v>48</v>
      </c>
      <c r="E97" s="2">
        <v>11.333</v>
      </c>
      <c r="F97" s="2" t="s">
        <v>144</v>
      </c>
    </row>
    <row r="98" spans="1:6" x14ac:dyDescent="0.25">
      <c r="A98" s="2" t="s">
        <v>33</v>
      </c>
      <c r="B98" s="2" t="s">
        <v>278</v>
      </c>
      <c r="C98" s="2">
        <v>3900</v>
      </c>
      <c r="D98" s="2" t="s">
        <v>86</v>
      </c>
      <c r="E98" s="2">
        <v>11.032999999999999</v>
      </c>
      <c r="F98" s="2" t="s">
        <v>21</v>
      </c>
    </row>
    <row r="99" spans="1:6" x14ac:dyDescent="0.25">
      <c r="A99" s="2" t="s">
        <v>64</v>
      </c>
      <c r="B99" s="2" t="s">
        <v>157</v>
      </c>
      <c r="C99" s="2">
        <v>4800</v>
      </c>
      <c r="D99" s="2" t="s">
        <v>55</v>
      </c>
      <c r="E99" s="2">
        <v>11.029</v>
      </c>
      <c r="F99" s="2" t="s">
        <v>56</v>
      </c>
    </row>
    <row r="100" spans="1:6" x14ac:dyDescent="0.25">
      <c r="A100" s="2" t="s">
        <v>33</v>
      </c>
      <c r="B100" s="2" t="s">
        <v>163</v>
      </c>
      <c r="C100" s="2">
        <v>4700</v>
      </c>
      <c r="D100" s="2" t="s">
        <v>52</v>
      </c>
      <c r="E100" s="2">
        <v>10.875</v>
      </c>
      <c r="F100" s="2" t="s">
        <v>115</v>
      </c>
    </row>
    <row r="101" spans="1:6" x14ac:dyDescent="0.25">
      <c r="A101" s="2" t="s">
        <v>40</v>
      </c>
      <c r="B101" s="2" t="s">
        <v>291</v>
      </c>
      <c r="C101" s="2">
        <v>3800</v>
      </c>
      <c r="D101" s="2" t="s">
        <v>55</v>
      </c>
      <c r="E101" s="2">
        <v>10.871</v>
      </c>
      <c r="F101" s="2" t="s">
        <v>28</v>
      </c>
    </row>
    <row r="102" spans="1:6" x14ac:dyDescent="0.25">
      <c r="A102" s="2" t="s">
        <v>33</v>
      </c>
      <c r="B102" s="2" t="s">
        <v>158</v>
      </c>
      <c r="C102" s="2">
        <v>4800</v>
      </c>
      <c r="D102" s="2" t="s">
        <v>55</v>
      </c>
      <c r="E102" s="2">
        <v>10.813000000000001</v>
      </c>
      <c r="F102" s="2" t="s">
        <v>56</v>
      </c>
    </row>
    <row r="103" spans="1:6" x14ac:dyDescent="0.25">
      <c r="A103" s="2" t="s">
        <v>40</v>
      </c>
      <c r="B103" s="2" t="s">
        <v>135</v>
      </c>
      <c r="C103" s="2">
        <v>5100</v>
      </c>
      <c r="D103" s="2" t="s">
        <v>45</v>
      </c>
      <c r="E103" s="2">
        <v>10.787000000000001</v>
      </c>
      <c r="F103" s="2" t="s">
        <v>46</v>
      </c>
    </row>
    <row r="104" spans="1:6" x14ac:dyDescent="0.25">
      <c r="A104" s="2" t="s">
        <v>64</v>
      </c>
      <c r="B104" s="2" t="s">
        <v>119</v>
      </c>
      <c r="C104" s="2">
        <v>5400</v>
      </c>
      <c r="D104" s="2" t="s">
        <v>55</v>
      </c>
      <c r="E104" s="2">
        <v>10.752000000000001</v>
      </c>
      <c r="F104" s="2" t="s">
        <v>28</v>
      </c>
    </row>
    <row r="105" spans="1:6" x14ac:dyDescent="0.25">
      <c r="A105" s="2" t="s">
        <v>40</v>
      </c>
      <c r="B105" s="2" t="s">
        <v>90</v>
      </c>
      <c r="C105" s="2">
        <v>6200</v>
      </c>
      <c r="D105" s="2" t="s">
        <v>75</v>
      </c>
      <c r="E105" s="2">
        <v>10.75</v>
      </c>
      <c r="F105" s="2" t="s">
        <v>91</v>
      </c>
    </row>
    <row r="106" spans="1:6" x14ac:dyDescent="0.25">
      <c r="A106" s="2" t="s">
        <v>40</v>
      </c>
      <c r="B106" s="2" t="s">
        <v>393</v>
      </c>
      <c r="C106" s="2">
        <v>3000</v>
      </c>
      <c r="D106" s="2" t="s">
        <v>48</v>
      </c>
      <c r="E106" s="2">
        <v>10.744</v>
      </c>
      <c r="F106" s="2" t="s">
        <v>144</v>
      </c>
    </row>
    <row r="107" spans="1:6" x14ac:dyDescent="0.25">
      <c r="A107" s="2" t="s">
        <v>40</v>
      </c>
      <c r="B107" s="2" t="s">
        <v>123</v>
      </c>
      <c r="C107" s="2">
        <v>5300</v>
      </c>
      <c r="D107" s="2" t="s">
        <v>55</v>
      </c>
      <c r="E107" s="2">
        <v>10.619</v>
      </c>
      <c r="F107" s="2" t="s">
        <v>28</v>
      </c>
    </row>
    <row r="108" spans="1:6" x14ac:dyDescent="0.25">
      <c r="A108" s="2" t="s">
        <v>92</v>
      </c>
      <c r="B108" s="2" t="s">
        <v>315</v>
      </c>
      <c r="C108" s="2">
        <v>3600</v>
      </c>
      <c r="D108" s="2" t="s">
        <v>38</v>
      </c>
      <c r="E108" s="2">
        <v>10.606999999999999</v>
      </c>
      <c r="F108" s="2" t="s">
        <v>26</v>
      </c>
    </row>
    <row r="109" spans="1:6" x14ac:dyDescent="0.25">
      <c r="A109" s="2" t="s">
        <v>40</v>
      </c>
      <c r="B109" s="2" t="s">
        <v>322</v>
      </c>
      <c r="C109" s="2">
        <v>3500</v>
      </c>
      <c r="D109" s="2" t="s">
        <v>48</v>
      </c>
      <c r="E109" s="2">
        <v>10.459</v>
      </c>
      <c r="F109" s="2" t="s">
        <v>49</v>
      </c>
    </row>
    <row r="110" spans="1:6" x14ac:dyDescent="0.25">
      <c r="A110" s="2" t="s">
        <v>92</v>
      </c>
      <c r="B110" s="2" t="s">
        <v>214</v>
      </c>
      <c r="C110" s="2">
        <v>4100</v>
      </c>
      <c r="D110" s="2" t="s">
        <v>58</v>
      </c>
      <c r="E110" s="2">
        <v>10.372</v>
      </c>
      <c r="F110" s="2" t="s">
        <v>59</v>
      </c>
    </row>
    <row r="111" spans="1:6" x14ac:dyDescent="0.25">
      <c r="A111" s="2" t="s">
        <v>40</v>
      </c>
      <c r="B111" s="2" t="s">
        <v>222</v>
      </c>
      <c r="C111" s="2">
        <v>4000</v>
      </c>
      <c r="D111" s="2" t="s">
        <v>43</v>
      </c>
      <c r="E111" s="2">
        <v>10.367000000000001</v>
      </c>
      <c r="F111" s="2" t="s">
        <v>23</v>
      </c>
    </row>
    <row r="112" spans="1:6" x14ac:dyDescent="0.25">
      <c r="A112" s="2" t="s">
        <v>33</v>
      </c>
      <c r="B112" s="2" t="s">
        <v>469</v>
      </c>
      <c r="C112" s="2">
        <v>3000</v>
      </c>
      <c r="D112" s="2" t="s">
        <v>35</v>
      </c>
      <c r="E112" s="2">
        <v>10.3</v>
      </c>
      <c r="F112" s="2" t="s">
        <v>36</v>
      </c>
    </row>
    <row r="113" spans="1:6" x14ac:dyDescent="0.25">
      <c r="A113" s="2" t="s">
        <v>92</v>
      </c>
      <c r="B113" s="2" t="s">
        <v>282</v>
      </c>
      <c r="C113" s="2">
        <v>3900</v>
      </c>
      <c r="D113" s="2" t="s">
        <v>45</v>
      </c>
      <c r="E113" s="2">
        <v>10.247</v>
      </c>
      <c r="F113" s="2" t="s">
        <v>22</v>
      </c>
    </row>
    <row r="114" spans="1:6" x14ac:dyDescent="0.25">
      <c r="A114" s="2" t="s">
        <v>33</v>
      </c>
      <c r="B114" s="2" t="s">
        <v>692</v>
      </c>
      <c r="C114" s="2">
        <v>3000</v>
      </c>
      <c r="D114" s="2" t="s">
        <v>45</v>
      </c>
      <c r="E114" s="2">
        <v>10.193</v>
      </c>
      <c r="F114" s="2" t="s">
        <v>46</v>
      </c>
    </row>
    <row r="115" spans="1:6" x14ac:dyDescent="0.25">
      <c r="A115" s="2" t="s">
        <v>33</v>
      </c>
      <c r="B115" s="2" t="s">
        <v>107</v>
      </c>
      <c r="C115" s="2">
        <v>5800</v>
      </c>
      <c r="D115" s="2" t="s">
        <v>58</v>
      </c>
      <c r="E115" s="2">
        <v>10.183</v>
      </c>
      <c r="F115" s="2" t="s">
        <v>59</v>
      </c>
    </row>
    <row r="116" spans="1:6" x14ac:dyDescent="0.25">
      <c r="A116" s="2" t="s">
        <v>33</v>
      </c>
      <c r="B116" s="2" t="s">
        <v>215</v>
      </c>
      <c r="C116" s="2">
        <v>4100</v>
      </c>
      <c r="D116" s="2" t="s">
        <v>58</v>
      </c>
      <c r="E116" s="2">
        <v>10.167</v>
      </c>
      <c r="F116" s="2" t="s">
        <v>77</v>
      </c>
    </row>
    <row r="117" spans="1:6" x14ac:dyDescent="0.25">
      <c r="A117" s="2" t="s">
        <v>92</v>
      </c>
      <c r="B117" s="2" t="s">
        <v>347</v>
      </c>
      <c r="C117" s="2">
        <v>3300</v>
      </c>
      <c r="D117" s="2" t="s">
        <v>62</v>
      </c>
      <c r="E117" s="2">
        <v>10.122999999999999</v>
      </c>
      <c r="F117" s="2" t="s">
        <v>67</v>
      </c>
    </row>
    <row r="118" spans="1:6" x14ac:dyDescent="0.25">
      <c r="A118" s="2" t="s">
        <v>64</v>
      </c>
      <c r="B118" s="2" t="s">
        <v>146</v>
      </c>
      <c r="C118" s="2">
        <v>4900</v>
      </c>
      <c r="D118" s="2" t="s">
        <v>55</v>
      </c>
      <c r="E118" s="2">
        <v>10.071</v>
      </c>
      <c r="F118" s="2" t="s">
        <v>28</v>
      </c>
    </row>
    <row r="119" spans="1:6" x14ac:dyDescent="0.25">
      <c r="A119" s="2" t="s">
        <v>40</v>
      </c>
      <c r="B119" s="2" t="s">
        <v>204</v>
      </c>
      <c r="C119" s="2">
        <v>4200</v>
      </c>
      <c r="D119" s="2" t="s">
        <v>43</v>
      </c>
      <c r="E119" s="2">
        <v>10.061</v>
      </c>
      <c r="F119" s="2" t="s">
        <v>23</v>
      </c>
    </row>
    <row r="120" spans="1:6" x14ac:dyDescent="0.25">
      <c r="A120" s="2" t="s">
        <v>40</v>
      </c>
      <c r="B120" s="2" t="s">
        <v>294</v>
      </c>
      <c r="C120" s="2">
        <v>3800</v>
      </c>
      <c r="D120" s="2" t="s">
        <v>75</v>
      </c>
      <c r="E120" s="2">
        <v>9.8529999999999998</v>
      </c>
      <c r="F120" s="2" t="s">
        <v>91</v>
      </c>
    </row>
    <row r="121" spans="1:6" x14ac:dyDescent="0.25">
      <c r="A121" s="2" t="s">
        <v>33</v>
      </c>
      <c r="B121" s="2" t="s">
        <v>276</v>
      </c>
      <c r="C121" s="2">
        <v>3900</v>
      </c>
      <c r="D121" s="2" t="s">
        <v>55</v>
      </c>
      <c r="E121" s="2">
        <v>9.843</v>
      </c>
      <c r="F121" s="2" t="s">
        <v>56</v>
      </c>
    </row>
    <row r="122" spans="1:6" x14ac:dyDescent="0.25">
      <c r="A122" s="2" t="s">
        <v>33</v>
      </c>
      <c r="B122" s="2" t="s">
        <v>160</v>
      </c>
      <c r="C122" s="2">
        <v>4800</v>
      </c>
      <c r="D122" s="2" t="s">
        <v>58</v>
      </c>
      <c r="E122" s="2">
        <v>9.827</v>
      </c>
      <c r="F122" s="2" t="s">
        <v>77</v>
      </c>
    </row>
    <row r="123" spans="1:6" x14ac:dyDescent="0.25">
      <c r="A123" s="2" t="s">
        <v>33</v>
      </c>
      <c r="B123" s="2" t="s">
        <v>472</v>
      </c>
      <c r="C123" s="2">
        <v>3000</v>
      </c>
      <c r="D123" s="2" t="s">
        <v>35</v>
      </c>
      <c r="E123" s="2">
        <v>9.7539999999999996</v>
      </c>
      <c r="F123" s="2" t="s">
        <v>36</v>
      </c>
    </row>
    <row r="124" spans="1:6" x14ac:dyDescent="0.25">
      <c r="A124" s="2" t="s">
        <v>33</v>
      </c>
      <c r="B124" s="2" t="s">
        <v>147</v>
      </c>
      <c r="C124" s="2">
        <v>4900</v>
      </c>
      <c r="D124" s="2" t="s">
        <v>55</v>
      </c>
      <c r="E124" s="2">
        <v>9.68</v>
      </c>
      <c r="F124" s="2" t="s">
        <v>56</v>
      </c>
    </row>
    <row r="125" spans="1:6" x14ac:dyDescent="0.25">
      <c r="A125" s="2" t="s">
        <v>40</v>
      </c>
      <c r="B125" s="2" t="s">
        <v>205</v>
      </c>
      <c r="C125" s="2">
        <v>4200</v>
      </c>
      <c r="D125" s="2" t="s">
        <v>43</v>
      </c>
      <c r="E125" s="2">
        <v>9.65</v>
      </c>
      <c r="F125" s="2" t="s">
        <v>27</v>
      </c>
    </row>
    <row r="126" spans="1:6" x14ac:dyDescent="0.25">
      <c r="A126" s="2" t="s">
        <v>40</v>
      </c>
      <c r="B126" s="2" t="s">
        <v>190</v>
      </c>
      <c r="C126" s="2">
        <v>4400</v>
      </c>
      <c r="D126" s="2" t="s">
        <v>35</v>
      </c>
      <c r="E126" s="2">
        <v>9.6300000000000008</v>
      </c>
      <c r="F126" s="2" t="s">
        <v>20</v>
      </c>
    </row>
    <row r="127" spans="1:6" x14ac:dyDescent="0.25">
      <c r="A127" s="2" t="s">
        <v>92</v>
      </c>
      <c r="B127" s="2" t="s">
        <v>763</v>
      </c>
      <c r="C127" s="2">
        <v>2500</v>
      </c>
      <c r="D127" s="2" t="s">
        <v>35</v>
      </c>
      <c r="E127" s="2">
        <v>9.5670000000000002</v>
      </c>
      <c r="F127" s="2" t="s">
        <v>36</v>
      </c>
    </row>
    <row r="128" spans="1:6" x14ac:dyDescent="0.25">
      <c r="A128" s="2" t="s">
        <v>40</v>
      </c>
      <c r="B128" s="2" t="s">
        <v>300</v>
      </c>
      <c r="C128" s="2">
        <v>3700</v>
      </c>
      <c r="D128" s="2" t="s">
        <v>38</v>
      </c>
      <c r="E128" s="2">
        <v>9.5399999999999991</v>
      </c>
      <c r="F128" s="2" t="s">
        <v>39</v>
      </c>
    </row>
    <row r="129" spans="1:6" x14ac:dyDescent="0.25">
      <c r="A129" s="2" t="s">
        <v>40</v>
      </c>
      <c r="B129" s="2" t="s">
        <v>272</v>
      </c>
      <c r="C129" s="2">
        <v>3900</v>
      </c>
      <c r="D129" s="2" t="s">
        <v>35</v>
      </c>
      <c r="E129" s="2">
        <v>9.5129999999999999</v>
      </c>
      <c r="F129" s="2" t="s">
        <v>36</v>
      </c>
    </row>
    <row r="130" spans="1:6" x14ac:dyDescent="0.25">
      <c r="A130" s="2" t="s">
        <v>33</v>
      </c>
      <c r="B130" s="2" t="s">
        <v>669</v>
      </c>
      <c r="C130" s="2">
        <v>3000</v>
      </c>
      <c r="D130" s="2" t="s">
        <v>69</v>
      </c>
      <c r="E130" s="2">
        <v>9.5</v>
      </c>
      <c r="F130" s="2" t="s">
        <v>70</v>
      </c>
    </row>
    <row r="131" spans="1:6" x14ac:dyDescent="0.25">
      <c r="A131" s="2" t="s">
        <v>40</v>
      </c>
      <c r="B131" s="2" t="s">
        <v>295</v>
      </c>
      <c r="C131" s="2">
        <v>3800</v>
      </c>
      <c r="D131" s="2" t="s">
        <v>69</v>
      </c>
      <c r="E131" s="2">
        <v>9.4190000000000005</v>
      </c>
      <c r="F131" s="2" t="s">
        <v>1</v>
      </c>
    </row>
    <row r="132" spans="1:6" x14ac:dyDescent="0.25">
      <c r="A132" s="2" t="s">
        <v>40</v>
      </c>
      <c r="B132" s="2" t="s">
        <v>254</v>
      </c>
      <c r="C132" s="2">
        <v>4000</v>
      </c>
      <c r="D132" s="2" t="s">
        <v>75</v>
      </c>
      <c r="E132" s="2">
        <v>9.3770000000000007</v>
      </c>
      <c r="F132" s="2" t="s">
        <v>91</v>
      </c>
    </row>
    <row r="133" spans="1:6" x14ac:dyDescent="0.25">
      <c r="A133" s="2" t="s">
        <v>64</v>
      </c>
      <c r="B133" s="2" t="s">
        <v>173</v>
      </c>
      <c r="C133" s="2">
        <v>4600</v>
      </c>
      <c r="D133" s="2" t="s">
        <v>86</v>
      </c>
      <c r="E133" s="2">
        <v>9.3330000000000002</v>
      </c>
      <c r="F133" s="2" t="s">
        <v>21</v>
      </c>
    </row>
    <row r="134" spans="1:6" x14ac:dyDescent="0.25">
      <c r="A134" s="2" t="s">
        <v>33</v>
      </c>
      <c r="B134" s="2" t="s">
        <v>304</v>
      </c>
      <c r="C134" s="2">
        <v>3700</v>
      </c>
      <c r="D134" s="2" t="s">
        <v>86</v>
      </c>
      <c r="E134" s="2">
        <v>9.2810000000000006</v>
      </c>
      <c r="F134" s="2" t="s">
        <v>24</v>
      </c>
    </row>
    <row r="135" spans="1:6" x14ac:dyDescent="0.25">
      <c r="A135" s="2" t="s">
        <v>33</v>
      </c>
      <c r="B135" s="2" t="s">
        <v>590</v>
      </c>
      <c r="C135" s="2">
        <v>3000</v>
      </c>
      <c r="D135" s="2" t="s">
        <v>86</v>
      </c>
      <c r="E135" s="2">
        <v>9.2560000000000002</v>
      </c>
      <c r="F135" s="2" t="s">
        <v>24</v>
      </c>
    </row>
    <row r="136" spans="1:6" x14ac:dyDescent="0.25">
      <c r="A136" s="2" t="s">
        <v>33</v>
      </c>
      <c r="B136" s="2" t="s">
        <v>275</v>
      </c>
      <c r="C136" s="2">
        <v>3900</v>
      </c>
      <c r="D136" s="2" t="s">
        <v>103</v>
      </c>
      <c r="E136" s="2">
        <v>9.2469999999999999</v>
      </c>
      <c r="F136" s="2" t="s">
        <v>110</v>
      </c>
    </row>
    <row r="137" spans="1:6" x14ac:dyDescent="0.25">
      <c r="A137" s="2" t="s">
        <v>64</v>
      </c>
      <c r="B137" s="2" t="s">
        <v>151</v>
      </c>
      <c r="C137" s="2">
        <v>4800</v>
      </c>
      <c r="D137" s="2" t="s">
        <v>35</v>
      </c>
      <c r="E137" s="2">
        <v>9.2219999999999995</v>
      </c>
      <c r="F137" s="2" t="s">
        <v>20</v>
      </c>
    </row>
    <row r="138" spans="1:6" x14ac:dyDescent="0.25">
      <c r="A138" s="2" t="s">
        <v>269</v>
      </c>
      <c r="B138" s="2" t="s">
        <v>710</v>
      </c>
      <c r="C138" s="2">
        <v>2800</v>
      </c>
      <c r="D138" s="2" t="s">
        <v>38</v>
      </c>
      <c r="E138" s="2">
        <v>9.1880000000000006</v>
      </c>
      <c r="F138" s="2" t="s">
        <v>39</v>
      </c>
    </row>
    <row r="139" spans="1:6" x14ac:dyDescent="0.25">
      <c r="A139" s="2" t="s">
        <v>33</v>
      </c>
      <c r="B139" s="2" t="s">
        <v>141</v>
      </c>
      <c r="C139" s="2">
        <v>5000</v>
      </c>
      <c r="D139" s="2" t="s">
        <v>58</v>
      </c>
      <c r="E139" s="2">
        <v>9.16</v>
      </c>
      <c r="F139" s="2" t="s">
        <v>77</v>
      </c>
    </row>
    <row r="140" spans="1:6" x14ac:dyDescent="0.25">
      <c r="A140" s="2" t="s">
        <v>40</v>
      </c>
      <c r="B140" s="2" t="s">
        <v>287</v>
      </c>
      <c r="C140" s="2">
        <v>3800</v>
      </c>
      <c r="D140" s="2" t="s">
        <v>103</v>
      </c>
      <c r="E140" s="2">
        <v>9.1560000000000006</v>
      </c>
      <c r="F140" s="2" t="s">
        <v>19</v>
      </c>
    </row>
    <row r="141" spans="1:6" x14ac:dyDescent="0.25">
      <c r="A141" s="2" t="s">
        <v>40</v>
      </c>
      <c r="B141" s="2" t="s">
        <v>328</v>
      </c>
      <c r="C141" s="2">
        <v>3500</v>
      </c>
      <c r="D141" s="2" t="s">
        <v>103</v>
      </c>
      <c r="E141" s="2">
        <v>9.1549999999999994</v>
      </c>
      <c r="F141" s="2" t="s">
        <v>110</v>
      </c>
    </row>
    <row r="142" spans="1:6" x14ac:dyDescent="0.25">
      <c r="A142" s="2" t="s">
        <v>92</v>
      </c>
      <c r="B142" s="2" t="s">
        <v>305</v>
      </c>
      <c r="C142" s="2">
        <v>3700</v>
      </c>
      <c r="D142" s="2" t="s">
        <v>75</v>
      </c>
      <c r="E142" s="2">
        <v>9.15</v>
      </c>
      <c r="F142" s="2" t="s">
        <v>25</v>
      </c>
    </row>
    <row r="143" spans="1:6" x14ac:dyDescent="0.25">
      <c r="A143" s="2" t="s">
        <v>33</v>
      </c>
      <c r="B143" s="2" t="s">
        <v>316</v>
      </c>
      <c r="C143" s="2">
        <v>3600</v>
      </c>
      <c r="D143" s="2" t="s">
        <v>103</v>
      </c>
      <c r="E143" s="2">
        <v>9.1359999999999992</v>
      </c>
      <c r="F143" s="2" t="s">
        <v>110</v>
      </c>
    </row>
    <row r="144" spans="1:6" x14ac:dyDescent="0.25">
      <c r="A144" s="2" t="s">
        <v>92</v>
      </c>
      <c r="B144" s="2" t="s">
        <v>703</v>
      </c>
      <c r="C144" s="2">
        <v>2900</v>
      </c>
      <c r="D144" s="2" t="s">
        <v>55</v>
      </c>
      <c r="E144" s="2">
        <v>9.1219999999999999</v>
      </c>
      <c r="F144" s="2" t="s">
        <v>28</v>
      </c>
    </row>
    <row r="145" spans="1:6" x14ac:dyDescent="0.25">
      <c r="A145" s="2" t="s">
        <v>92</v>
      </c>
      <c r="B145" s="2" t="s">
        <v>352</v>
      </c>
      <c r="C145" s="2">
        <v>3200</v>
      </c>
      <c r="D145" s="2" t="s">
        <v>48</v>
      </c>
      <c r="E145" s="2">
        <v>9.08</v>
      </c>
      <c r="F145" s="2" t="s">
        <v>49</v>
      </c>
    </row>
    <row r="146" spans="1:6" x14ac:dyDescent="0.25">
      <c r="A146" s="2" t="s">
        <v>33</v>
      </c>
      <c r="B146" s="2" t="s">
        <v>172</v>
      </c>
      <c r="C146" s="2">
        <v>4600</v>
      </c>
      <c r="D146" s="2" t="s">
        <v>35</v>
      </c>
      <c r="E146" s="2">
        <v>9.0749999999999993</v>
      </c>
      <c r="F146" s="2" t="s">
        <v>20</v>
      </c>
    </row>
    <row r="147" spans="1:6" x14ac:dyDescent="0.25">
      <c r="A147" s="2" t="s">
        <v>40</v>
      </c>
      <c r="B147" s="2" t="s">
        <v>317</v>
      </c>
      <c r="C147" s="2">
        <v>3600</v>
      </c>
      <c r="D147" s="2" t="s">
        <v>55</v>
      </c>
      <c r="E147" s="2">
        <v>9.0670000000000002</v>
      </c>
      <c r="F147" s="2" t="s">
        <v>56</v>
      </c>
    </row>
    <row r="148" spans="1:6" x14ac:dyDescent="0.25">
      <c r="A148" s="2" t="s">
        <v>33</v>
      </c>
      <c r="B148" s="2" t="s">
        <v>198</v>
      </c>
      <c r="C148" s="2">
        <v>4300</v>
      </c>
      <c r="D148" s="2" t="s">
        <v>86</v>
      </c>
      <c r="E148" s="2">
        <v>9.0399999999999991</v>
      </c>
      <c r="F148" s="2" t="s">
        <v>24</v>
      </c>
    </row>
    <row r="149" spans="1:6" x14ac:dyDescent="0.25">
      <c r="A149" s="2" t="s">
        <v>92</v>
      </c>
      <c r="B149" s="2" t="s">
        <v>359</v>
      </c>
      <c r="C149" s="2">
        <v>3100</v>
      </c>
      <c r="D149" s="2" t="s">
        <v>103</v>
      </c>
      <c r="E149" s="2">
        <v>8.9410000000000007</v>
      </c>
      <c r="F149" s="2" t="s">
        <v>19</v>
      </c>
    </row>
    <row r="150" spans="1:6" x14ac:dyDescent="0.25">
      <c r="A150" s="2" t="s">
        <v>269</v>
      </c>
      <c r="B150" s="2" t="s">
        <v>716</v>
      </c>
      <c r="C150" s="2">
        <v>2700</v>
      </c>
      <c r="D150" s="2" t="s">
        <v>86</v>
      </c>
      <c r="E150" s="2">
        <v>8.9380000000000006</v>
      </c>
      <c r="F150" s="2" t="s">
        <v>21</v>
      </c>
    </row>
    <row r="151" spans="1:6" x14ac:dyDescent="0.25">
      <c r="A151" s="2" t="s">
        <v>40</v>
      </c>
      <c r="B151" s="2" t="s">
        <v>137</v>
      </c>
      <c r="C151" s="2">
        <v>5000</v>
      </c>
      <c r="D151" s="2" t="s">
        <v>52</v>
      </c>
      <c r="E151" s="2">
        <v>8.7919999999999998</v>
      </c>
      <c r="F151" s="2" t="s">
        <v>115</v>
      </c>
    </row>
    <row r="152" spans="1:6" x14ac:dyDescent="0.25">
      <c r="A152" s="2" t="s">
        <v>33</v>
      </c>
      <c r="B152" s="2" t="s">
        <v>442</v>
      </c>
      <c r="C152" s="2">
        <v>3000</v>
      </c>
      <c r="D152" s="2" t="s">
        <v>52</v>
      </c>
      <c r="E152" s="2">
        <v>8.5329999999999995</v>
      </c>
      <c r="F152" s="2" t="s">
        <v>115</v>
      </c>
    </row>
    <row r="153" spans="1:6" x14ac:dyDescent="0.25">
      <c r="A153" s="2" t="s">
        <v>40</v>
      </c>
      <c r="B153" s="2" t="s">
        <v>191</v>
      </c>
      <c r="C153" s="2">
        <v>4400</v>
      </c>
      <c r="D153" s="2" t="s">
        <v>58</v>
      </c>
      <c r="E153" s="2">
        <v>8.4730000000000008</v>
      </c>
      <c r="F153" s="2" t="s">
        <v>77</v>
      </c>
    </row>
    <row r="154" spans="1:6" x14ac:dyDescent="0.25">
      <c r="A154" s="2" t="s">
        <v>269</v>
      </c>
      <c r="B154" s="2" t="s">
        <v>726</v>
      </c>
      <c r="C154" s="2">
        <v>2600</v>
      </c>
      <c r="D154" s="2" t="s">
        <v>45</v>
      </c>
      <c r="E154" s="2">
        <v>8.4710000000000001</v>
      </c>
      <c r="F154" s="2" t="s">
        <v>46</v>
      </c>
    </row>
    <row r="155" spans="1:6" x14ac:dyDescent="0.25">
      <c r="A155" s="2" t="s">
        <v>40</v>
      </c>
      <c r="B155" s="2" t="s">
        <v>353</v>
      </c>
      <c r="C155" s="2">
        <v>3200</v>
      </c>
      <c r="D155" s="2" t="s">
        <v>43</v>
      </c>
      <c r="E155" s="2">
        <v>8.4640000000000004</v>
      </c>
      <c r="F155" s="2" t="s">
        <v>27</v>
      </c>
    </row>
    <row r="156" spans="1:6" x14ac:dyDescent="0.25">
      <c r="A156" s="2" t="s">
        <v>33</v>
      </c>
      <c r="B156" s="2" t="s">
        <v>483</v>
      </c>
      <c r="C156" s="2">
        <v>3000</v>
      </c>
      <c r="D156" s="2" t="s">
        <v>38</v>
      </c>
      <c r="E156" s="2">
        <v>8.3439999999999994</v>
      </c>
      <c r="F156" s="2" t="s">
        <v>26</v>
      </c>
    </row>
    <row r="157" spans="1:6" x14ac:dyDescent="0.25">
      <c r="A157" s="2" t="s">
        <v>269</v>
      </c>
      <c r="B157" s="2" t="s">
        <v>337</v>
      </c>
      <c r="C157" s="2">
        <v>3400</v>
      </c>
      <c r="D157" s="2" t="s">
        <v>55</v>
      </c>
      <c r="E157" s="2">
        <v>8.3130000000000006</v>
      </c>
      <c r="F157" s="2" t="s">
        <v>56</v>
      </c>
    </row>
    <row r="158" spans="1:6" x14ac:dyDescent="0.25">
      <c r="A158" s="2" t="s">
        <v>33</v>
      </c>
      <c r="B158" s="2" t="s">
        <v>604</v>
      </c>
      <c r="C158" s="2">
        <v>3000</v>
      </c>
      <c r="D158" s="2" t="s">
        <v>75</v>
      </c>
      <c r="E158" s="2">
        <v>8.2279999999999998</v>
      </c>
      <c r="F158" s="2" t="s">
        <v>25</v>
      </c>
    </row>
    <row r="159" spans="1:6" x14ac:dyDescent="0.25">
      <c r="A159" s="2" t="s">
        <v>92</v>
      </c>
      <c r="B159" s="2" t="s">
        <v>757</v>
      </c>
      <c r="C159" s="2">
        <v>2500</v>
      </c>
      <c r="D159" s="2" t="s">
        <v>35</v>
      </c>
      <c r="E159" s="2">
        <v>8.1379999999999999</v>
      </c>
      <c r="F159" s="2" t="s">
        <v>20</v>
      </c>
    </row>
    <row r="160" spans="1:6" x14ac:dyDescent="0.25">
      <c r="A160" s="2" t="s">
        <v>33</v>
      </c>
      <c r="B160" s="2" t="s">
        <v>216</v>
      </c>
      <c r="C160" s="2">
        <v>4100</v>
      </c>
      <c r="D160" s="2" t="s">
        <v>69</v>
      </c>
      <c r="E160" s="2">
        <v>8.1129999999999995</v>
      </c>
      <c r="F160" s="2" t="s">
        <v>1</v>
      </c>
    </row>
    <row r="161" spans="1:6" x14ac:dyDescent="0.25">
      <c r="A161" s="2" t="s">
        <v>40</v>
      </c>
      <c r="B161" s="2" t="s">
        <v>296</v>
      </c>
      <c r="C161" s="2">
        <v>3800</v>
      </c>
      <c r="D161" s="2" t="s">
        <v>45</v>
      </c>
      <c r="E161" s="2">
        <v>8.0709999999999997</v>
      </c>
      <c r="F161" s="2" t="s">
        <v>22</v>
      </c>
    </row>
    <row r="162" spans="1:6" x14ac:dyDescent="0.25">
      <c r="A162" s="2" t="s">
        <v>33</v>
      </c>
      <c r="B162" s="2" t="s">
        <v>297</v>
      </c>
      <c r="C162" s="2">
        <v>3800</v>
      </c>
      <c r="D162" s="2" t="s">
        <v>45</v>
      </c>
      <c r="E162" s="2">
        <v>8.0399999999999991</v>
      </c>
      <c r="F162" s="2" t="s">
        <v>46</v>
      </c>
    </row>
    <row r="163" spans="1:6" x14ac:dyDescent="0.25">
      <c r="A163" s="2" t="s">
        <v>269</v>
      </c>
      <c r="B163" s="2" t="s">
        <v>334</v>
      </c>
      <c r="C163" s="2">
        <v>3500</v>
      </c>
      <c r="D163" s="2" t="s">
        <v>69</v>
      </c>
      <c r="E163" s="2">
        <v>8</v>
      </c>
      <c r="F163" s="2" t="s">
        <v>70</v>
      </c>
    </row>
    <row r="164" spans="1:6" x14ac:dyDescent="0.25">
      <c r="A164" s="2" t="s">
        <v>92</v>
      </c>
      <c r="B164" s="2" t="s">
        <v>712</v>
      </c>
      <c r="C164" s="2">
        <v>2800</v>
      </c>
      <c r="D164" s="2" t="s">
        <v>69</v>
      </c>
      <c r="E164" s="2">
        <v>7.9180000000000001</v>
      </c>
      <c r="F164" s="2" t="s">
        <v>1</v>
      </c>
    </row>
    <row r="165" spans="1:6" x14ac:dyDescent="0.25">
      <c r="A165" s="2" t="s">
        <v>269</v>
      </c>
      <c r="B165" s="2" t="s">
        <v>709</v>
      </c>
      <c r="C165" s="2">
        <v>2800</v>
      </c>
      <c r="D165" s="2" t="s">
        <v>52</v>
      </c>
      <c r="E165" s="2">
        <v>7.875</v>
      </c>
      <c r="F165" s="2" t="s">
        <v>115</v>
      </c>
    </row>
    <row r="166" spans="1:6" x14ac:dyDescent="0.25">
      <c r="A166" s="2" t="s">
        <v>40</v>
      </c>
      <c r="B166" s="2" t="s">
        <v>311</v>
      </c>
      <c r="C166" s="2">
        <v>3600</v>
      </c>
      <c r="D166" s="2" t="s">
        <v>52</v>
      </c>
      <c r="E166" s="2">
        <v>7.819</v>
      </c>
      <c r="F166" s="2" t="s">
        <v>53</v>
      </c>
    </row>
    <row r="167" spans="1:6" x14ac:dyDescent="0.25">
      <c r="A167" s="2" t="s">
        <v>64</v>
      </c>
      <c r="B167" s="2" t="s">
        <v>159</v>
      </c>
      <c r="C167" s="2">
        <v>4800</v>
      </c>
      <c r="D167" s="2" t="s">
        <v>75</v>
      </c>
      <c r="E167" s="2">
        <v>7.77</v>
      </c>
      <c r="F167" s="2" t="s">
        <v>91</v>
      </c>
    </row>
    <row r="168" spans="1:6" x14ac:dyDescent="0.25">
      <c r="A168" s="2" t="s">
        <v>92</v>
      </c>
      <c r="B168" s="2" t="s">
        <v>738</v>
      </c>
      <c r="C168" s="2">
        <v>2500</v>
      </c>
      <c r="D168" s="2" t="s">
        <v>43</v>
      </c>
      <c r="E168" s="2">
        <v>7.625</v>
      </c>
      <c r="F168" s="2" t="s">
        <v>23</v>
      </c>
    </row>
    <row r="169" spans="1:6" x14ac:dyDescent="0.25">
      <c r="A169" s="2" t="s">
        <v>40</v>
      </c>
      <c r="B169" s="2" t="s">
        <v>574</v>
      </c>
      <c r="C169" s="2">
        <v>3000</v>
      </c>
      <c r="D169" s="2" t="s">
        <v>62</v>
      </c>
      <c r="E169" s="2">
        <v>7.4749999999999996</v>
      </c>
      <c r="F169" s="2" t="s">
        <v>67</v>
      </c>
    </row>
    <row r="170" spans="1:6" x14ac:dyDescent="0.25">
      <c r="A170" s="2" t="s">
        <v>269</v>
      </c>
      <c r="B170" s="2" t="s">
        <v>711</v>
      </c>
      <c r="C170" s="2">
        <v>2800</v>
      </c>
      <c r="D170" s="2" t="s">
        <v>55</v>
      </c>
      <c r="E170" s="2">
        <v>7.2939999999999996</v>
      </c>
      <c r="F170" s="2" t="s">
        <v>28</v>
      </c>
    </row>
    <row r="171" spans="1:6" x14ac:dyDescent="0.25">
      <c r="A171" s="2" t="s">
        <v>269</v>
      </c>
      <c r="B171" s="2" t="s">
        <v>704</v>
      </c>
      <c r="C171" s="2">
        <v>2900</v>
      </c>
      <c r="D171" s="2" t="s">
        <v>58</v>
      </c>
      <c r="E171" s="2">
        <v>7.2779999999999996</v>
      </c>
      <c r="F171" s="2" t="s">
        <v>77</v>
      </c>
    </row>
    <row r="172" spans="1:6" x14ac:dyDescent="0.25">
      <c r="A172" s="2" t="s">
        <v>33</v>
      </c>
      <c r="B172" s="2" t="s">
        <v>285</v>
      </c>
      <c r="C172" s="2">
        <v>3800</v>
      </c>
      <c r="D172" s="2" t="s">
        <v>38</v>
      </c>
      <c r="E172" s="2">
        <v>7.2530000000000001</v>
      </c>
      <c r="F172" s="2" t="s">
        <v>26</v>
      </c>
    </row>
    <row r="173" spans="1:6" x14ac:dyDescent="0.25">
      <c r="A173" s="2" t="s">
        <v>40</v>
      </c>
      <c r="B173" s="2" t="s">
        <v>283</v>
      </c>
      <c r="C173" s="2">
        <v>3800</v>
      </c>
      <c r="D173" s="2" t="s">
        <v>48</v>
      </c>
      <c r="E173" s="2">
        <v>7.2439999999999998</v>
      </c>
      <c r="F173" s="2" t="s">
        <v>144</v>
      </c>
    </row>
    <row r="174" spans="1:6" x14ac:dyDescent="0.25">
      <c r="A174" s="2" t="s">
        <v>33</v>
      </c>
      <c r="B174" s="2" t="s">
        <v>252</v>
      </c>
      <c r="C174" s="2">
        <v>4000</v>
      </c>
      <c r="D174" s="2" t="s">
        <v>75</v>
      </c>
      <c r="E174" s="2">
        <v>7.22</v>
      </c>
      <c r="F174" s="2" t="s">
        <v>25</v>
      </c>
    </row>
    <row r="175" spans="1:6" x14ac:dyDescent="0.25">
      <c r="A175" s="2" t="s">
        <v>40</v>
      </c>
      <c r="B175" s="2" t="s">
        <v>363</v>
      </c>
      <c r="C175" s="2">
        <v>3100</v>
      </c>
      <c r="D175" s="2" t="s">
        <v>86</v>
      </c>
      <c r="E175" s="2">
        <v>7.2130000000000001</v>
      </c>
      <c r="F175" s="2" t="s">
        <v>24</v>
      </c>
    </row>
    <row r="176" spans="1:6" x14ac:dyDescent="0.25">
      <c r="A176" s="2" t="s">
        <v>269</v>
      </c>
      <c r="B176" s="2" t="s">
        <v>341</v>
      </c>
      <c r="C176" s="2">
        <v>3300</v>
      </c>
      <c r="D176" s="2" t="s">
        <v>43</v>
      </c>
      <c r="E176" s="2">
        <v>7.1669999999999998</v>
      </c>
      <c r="F176" s="2" t="s">
        <v>23</v>
      </c>
    </row>
    <row r="177" spans="1:6" x14ac:dyDescent="0.25">
      <c r="A177" s="2" t="s">
        <v>92</v>
      </c>
      <c r="B177" s="2" t="s">
        <v>600</v>
      </c>
      <c r="C177" s="2">
        <v>3000</v>
      </c>
      <c r="D177" s="2" t="s">
        <v>86</v>
      </c>
      <c r="E177" s="2">
        <v>7.1440000000000001</v>
      </c>
      <c r="F177" s="2" t="s">
        <v>24</v>
      </c>
    </row>
    <row r="178" spans="1:6" x14ac:dyDescent="0.25">
      <c r="A178" s="2" t="s">
        <v>40</v>
      </c>
      <c r="B178" s="2" t="s">
        <v>153</v>
      </c>
      <c r="C178" s="2">
        <v>4800</v>
      </c>
      <c r="D178" s="2" t="s">
        <v>38</v>
      </c>
      <c r="E178" s="2">
        <v>7.1130000000000004</v>
      </c>
      <c r="F178" s="2" t="s">
        <v>39</v>
      </c>
    </row>
    <row r="179" spans="1:6" x14ac:dyDescent="0.25">
      <c r="A179" s="2" t="s">
        <v>33</v>
      </c>
      <c r="B179" s="2" t="s">
        <v>277</v>
      </c>
      <c r="C179" s="2">
        <v>3900</v>
      </c>
      <c r="D179" s="2" t="s">
        <v>62</v>
      </c>
      <c r="E179" s="2">
        <v>6.976</v>
      </c>
      <c r="F179" s="2" t="s">
        <v>67</v>
      </c>
    </row>
    <row r="180" spans="1:6" x14ac:dyDescent="0.25">
      <c r="A180" s="2" t="s">
        <v>92</v>
      </c>
      <c r="B180" s="2" t="s">
        <v>827</v>
      </c>
      <c r="C180" s="2">
        <v>2500</v>
      </c>
      <c r="D180" s="2" t="s">
        <v>58</v>
      </c>
      <c r="E180" s="2">
        <v>6.931</v>
      </c>
      <c r="F180" s="2" t="s">
        <v>59</v>
      </c>
    </row>
    <row r="181" spans="1:6" x14ac:dyDescent="0.25">
      <c r="A181" s="2" t="s">
        <v>33</v>
      </c>
      <c r="B181" s="2" t="s">
        <v>691</v>
      </c>
      <c r="C181" s="2">
        <v>3000</v>
      </c>
      <c r="D181" s="2" t="s">
        <v>45</v>
      </c>
      <c r="E181" s="2">
        <v>6.8689999999999998</v>
      </c>
      <c r="F181" s="2" t="s">
        <v>46</v>
      </c>
    </row>
    <row r="182" spans="1:6" x14ac:dyDescent="0.25">
      <c r="A182" s="2" t="s">
        <v>40</v>
      </c>
      <c r="B182" s="2" t="s">
        <v>342</v>
      </c>
      <c r="C182" s="2">
        <v>3300</v>
      </c>
      <c r="D182" s="2" t="s">
        <v>43</v>
      </c>
      <c r="E182" s="2">
        <v>6.7880000000000003</v>
      </c>
      <c r="F182" s="2" t="s">
        <v>27</v>
      </c>
    </row>
    <row r="183" spans="1:6" x14ac:dyDescent="0.25">
      <c r="A183" s="2" t="s">
        <v>64</v>
      </c>
      <c r="B183" s="2" t="s">
        <v>219</v>
      </c>
      <c r="C183" s="2">
        <v>4000</v>
      </c>
      <c r="D183" s="2" t="s">
        <v>48</v>
      </c>
      <c r="E183" s="2">
        <v>6.71</v>
      </c>
      <c r="F183" s="2" t="s">
        <v>144</v>
      </c>
    </row>
    <row r="184" spans="1:6" x14ac:dyDescent="0.25">
      <c r="A184" s="2" t="s">
        <v>40</v>
      </c>
      <c r="B184" s="2" t="s">
        <v>346</v>
      </c>
      <c r="C184" s="2">
        <v>3300</v>
      </c>
      <c r="D184" s="2" t="s">
        <v>62</v>
      </c>
      <c r="E184" s="2">
        <v>6.6349999999999998</v>
      </c>
      <c r="F184" s="2" t="s">
        <v>67</v>
      </c>
    </row>
    <row r="185" spans="1:6" x14ac:dyDescent="0.25">
      <c r="A185" s="2" t="s">
        <v>33</v>
      </c>
      <c r="B185" s="2" t="s">
        <v>116</v>
      </c>
      <c r="C185" s="2">
        <v>5500</v>
      </c>
      <c r="D185" s="2" t="s">
        <v>62</v>
      </c>
      <c r="E185" s="2">
        <v>6.6059999999999999</v>
      </c>
      <c r="F185" s="2" t="s">
        <v>63</v>
      </c>
    </row>
    <row r="186" spans="1:6" x14ac:dyDescent="0.25">
      <c r="A186" s="2" t="s">
        <v>40</v>
      </c>
      <c r="B186" s="2" t="s">
        <v>348</v>
      </c>
      <c r="C186" s="2">
        <v>3300</v>
      </c>
      <c r="D186" s="2" t="s">
        <v>75</v>
      </c>
      <c r="E186" s="2">
        <v>6.5869999999999997</v>
      </c>
      <c r="F186" s="2" t="s">
        <v>25</v>
      </c>
    </row>
    <row r="187" spans="1:6" x14ac:dyDescent="0.25">
      <c r="A187" s="2" t="s">
        <v>40</v>
      </c>
      <c r="B187" s="2" t="s">
        <v>361</v>
      </c>
      <c r="C187" s="2">
        <v>3100</v>
      </c>
      <c r="D187" s="2" t="s">
        <v>62</v>
      </c>
      <c r="E187" s="2">
        <v>6.5810000000000004</v>
      </c>
      <c r="F187" s="2" t="s">
        <v>63</v>
      </c>
    </row>
    <row r="188" spans="1:6" x14ac:dyDescent="0.25">
      <c r="A188" s="2" t="s">
        <v>269</v>
      </c>
      <c r="B188" s="2" t="s">
        <v>313</v>
      </c>
      <c r="C188" s="2">
        <v>3600</v>
      </c>
      <c r="D188" s="2" t="s">
        <v>35</v>
      </c>
      <c r="E188" s="2">
        <v>6.5789999999999997</v>
      </c>
      <c r="F188" s="2" t="s">
        <v>36</v>
      </c>
    </row>
    <row r="189" spans="1:6" x14ac:dyDescent="0.25">
      <c r="A189" s="2" t="s">
        <v>269</v>
      </c>
      <c r="B189" s="2" t="s">
        <v>270</v>
      </c>
      <c r="C189" s="2">
        <v>3900</v>
      </c>
      <c r="D189" s="2" t="s">
        <v>48</v>
      </c>
      <c r="E189" s="2">
        <v>6.5</v>
      </c>
      <c r="F189" s="2" t="s">
        <v>49</v>
      </c>
    </row>
    <row r="190" spans="1:6" x14ac:dyDescent="0.25">
      <c r="A190" s="2" t="s">
        <v>40</v>
      </c>
      <c r="B190" s="2" t="s">
        <v>548</v>
      </c>
      <c r="C190" s="2">
        <v>3000</v>
      </c>
      <c r="D190" s="2" t="s">
        <v>55</v>
      </c>
      <c r="E190" s="2">
        <v>6.46</v>
      </c>
      <c r="F190" s="2" t="s">
        <v>56</v>
      </c>
    </row>
    <row r="191" spans="1:6" x14ac:dyDescent="0.25">
      <c r="A191" s="2" t="s">
        <v>33</v>
      </c>
      <c r="B191" s="2" t="s">
        <v>290</v>
      </c>
      <c r="C191" s="2">
        <v>3800</v>
      </c>
      <c r="D191" s="2" t="s">
        <v>55</v>
      </c>
      <c r="E191" s="2">
        <v>6.45</v>
      </c>
      <c r="F191" s="2" t="s">
        <v>28</v>
      </c>
    </row>
    <row r="192" spans="1:6" x14ac:dyDescent="0.25">
      <c r="A192" s="2" t="s">
        <v>40</v>
      </c>
      <c r="B192" s="2" t="s">
        <v>326</v>
      </c>
      <c r="C192" s="2">
        <v>3500</v>
      </c>
      <c r="D192" s="2" t="s">
        <v>52</v>
      </c>
      <c r="E192" s="2">
        <v>6.319</v>
      </c>
      <c r="F192" s="2" t="s">
        <v>115</v>
      </c>
    </row>
    <row r="193" spans="1:6" x14ac:dyDescent="0.25">
      <c r="A193" s="2" t="s">
        <v>33</v>
      </c>
      <c r="B193" s="2" t="s">
        <v>271</v>
      </c>
      <c r="C193" s="2">
        <v>3900</v>
      </c>
      <c r="D193" s="2" t="s">
        <v>43</v>
      </c>
      <c r="E193" s="2">
        <v>6.2670000000000003</v>
      </c>
      <c r="F193" s="2" t="s">
        <v>27</v>
      </c>
    </row>
    <row r="194" spans="1:6" x14ac:dyDescent="0.25">
      <c r="A194" s="2" t="s">
        <v>269</v>
      </c>
      <c r="B194" s="2" t="s">
        <v>288</v>
      </c>
      <c r="C194" s="2">
        <v>3800</v>
      </c>
      <c r="D194" s="2" t="s">
        <v>103</v>
      </c>
      <c r="E194" s="2">
        <v>6.2220000000000004</v>
      </c>
      <c r="F194" s="2" t="s">
        <v>19</v>
      </c>
    </row>
    <row r="195" spans="1:6" x14ac:dyDescent="0.25">
      <c r="A195" s="2" t="s">
        <v>64</v>
      </c>
      <c r="B195" s="2" t="s">
        <v>154</v>
      </c>
      <c r="C195" s="2">
        <v>4800</v>
      </c>
      <c r="D195" s="2" t="s">
        <v>103</v>
      </c>
      <c r="E195" s="2">
        <v>6.2130000000000001</v>
      </c>
      <c r="F195" s="2" t="s">
        <v>19</v>
      </c>
    </row>
    <row r="196" spans="1:6" x14ac:dyDescent="0.25">
      <c r="A196" s="2" t="s">
        <v>40</v>
      </c>
      <c r="B196" s="2" t="s">
        <v>356</v>
      </c>
      <c r="C196" s="2">
        <v>3200</v>
      </c>
      <c r="D196" s="2" t="s">
        <v>69</v>
      </c>
      <c r="E196" s="2">
        <v>6.2069999999999999</v>
      </c>
      <c r="F196" s="2" t="s">
        <v>1</v>
      </c>
    </row>
    <row r="197" spans="1:6" x14ac:dyDescent="0.25">
      <c r="A197" s="2" t="s">
        <v>92</v>
      </c>
      <c r="B197" s="2" t="s">
        <v>242</v>
      </c>
      <c r="C197" s="2">
        <v>2700</v>
      </c>
      <c r="D197" s="2" t="s">
        <v>103</v>
      </c>
      <c r="E197" s="2">
        <v>6.1719999999999997</v>
      </c>
      <c r="F197" s="2" t="s">
        <v>19</v>
      </c>
    </row>
    <row r="198" spans="1:6" x14ac:dyDescent="0.25">
      <c r="A198" s="2" t="s">
        <v>269</v>
      </c>
      <c r="B198" s="2" t="s">
        <v>358</v>
      </c>
      <c r="C198" s="2">
        <v>3100</v>
      </c>
      <c r="D198" s="2" t="s">
        <v>52</v>
      </c>
      <c r="E198" s="2">
        <v>6.125</v>
      </c>
      <c r="F198" s="2" t="s">
        <v>53</v>
      </c>
    </row>
    <row r="199" spans="1:6" x14ac:dyDescent="0.25">
      <c r="A199" s="2" t="s">
        <v>92</v>
      </c>
      <c r="B199" s="2" t="s">
        <v>725</v>
      </c>
      <c r="C199" s="2">
        <v>2600</v>
      </c>
      <c r="D199" s="2" t="s">
        <v>45</v>
      </c>
      <c r="E199" s="2">
        <v>6.1239999999999997</v>
      </c>
      <c r="F199" s="2" t="s">
        <v>46</v>
      </c>
    </row>
    <row r="200" spans="1:6" x14ac:dyDescent="0.25">
      <c r="A200" s="2" t="s">
        <v>92</v>
      </c>
      <c r="B200" s="2" t="s">
        <v>480</v>
      </c>
      <c r="C200" s="2">
        <v>3000</v>
      </c>
      <c r="D200" s="2" t="s">
        <v>35</v>
      </c>
      <c r="E200" s="2">
        <v>6.0789999999999997</v>
      </c>
      <c r="F200" s="2" t="s">
        <v>36</v>
      </c>
    </row>
    <row r="201" spans="1:6" x14ac:dyDescent="0.25">
      <c r="A201" s="2" t="s">
        <v>269</v>
      </c>
      <c r="B201" s="2" t="s">
        <v>601</v>
      </c>
      <c r="C201" s="2">
        <v>3000</v>
      </c>
      <c r="D201" s="2" t="s">
        <v>86</v>
      </c>
      <c r="E201" s="2">
        <v>5.9379999999999997</v>
      </c>
      <c r="F201" s="2" t="s">
        <v>24</v>
      </c>
    </row>
    <row r="202" spans="1:6" x14ac:dyDescent="0.25">
      <c r="A202" s="2" t="s">
        <v>269</v>
      </c>
      <c r="B202" s="2" t="s">
        <v>722</v>
      </c>
      <c r="C202" s="2">
        <v>2600</v>
      </c>
      <c r="D202" s="2" t="s">
        <v>62</v>
      </c>
      <c r="E202" s="2">
        <v>5.9379999999999997</v>
      </c>
      <c r="F202" s="2" t="s">
        <v>63</v>
      </c>
    </row>
    <row r="203" spans="1:6" x14ac:dyDescent="0.25">
      <c r="A203" s="2" t="s">
        <v>33</v>
      </c>
      <c r="B203" s="2" t="s">
        <v>202</v>
      </c>
      <c r="C203" s="2">
        <v>4300</v>
      </c>
      <c r="D203" s="2" t="s">
        <v>45</v>
      </c>
      <c r="E203" s="2">
        <v>5.9</v>
      </c>
      <c r="F203" s="2" t="s">
        <v>46</v>
      </c>
    </row>
    <row r="204" spans="1:6" x14ac:dyDescent="0.25">
      <c r="A204" s="2" t="s">
        <v>40</v>
      </c>
      <c r="B204" s="2" t="s">
        <v>293</v>
      </c>
      <c r="C204" s="2">
        <v>3800</v>
      </c>
      <c r="D204" s="2" t="s">
        <v>86</v>
      </c>
      <c r="E204" s="2">
        <v>5.86</v>
      </c>
      <c r="F204" s="2" t="s">
        <v>21</v>
      </c>
    </row>
    <row r="205" spans="1:6" x14ac:dyDescent="0.25">
      <c r="A205" s="2" t="s">
        <v>269</v>
      </c>
      <c r="B205" s="2" t="s">
        <v>355</v>
      </c>
      <c r="C205" s="2">
        <v>3200</v>
      </c>
      <c r="D205" s="2" t="s">
        <v>75</v>
      </c>
      <c r="E205" s="2">
        <v>5.8129999999999997</v>
      </c>
      <c r="F205" s="2" t="s">
        <v>91</v>
      </c>
    </row>
    <row r="206" spans="1:6" x14ac:dyDescent="0.25">
      <c r="A206" s="2" t="s">
        <v>40</v>
      </c>
      <c r="B206" s="2" t="s">
        <v>201</v>
      </c>
      <c r="C206" s="2">
        <v>4300</v>
      </c>
      <c r="D206" s="2" t="s">
        <v>69</v>
      </c>
      <c r="E206" s="2">
        <v>5.74</v>
      </c>
      <c r="F206" s="2" t="s">
        <v>70</v>
      </c>
    </row>
    <row r="207" spans="1:6" x14ac:dyDescent="0.25">
      <c r="A207" s="2" t="s">
        <v>269</v>
      </c>
      <c r="B207" s="2" t="s">
        <v>830</v>
      </c>
      <c r="C207" s="2">
        <v>2500</v>
      </c>
      <c r="D207" s="2" t="s">
        <v>58</v>
      </c>
      <c r="E207" s="2">
        <v>5.7370000000000001</v>
      </c>
      <c r="F207" s="2" t="s">
        <v>59</v>
      </c>
    </row>
    <row r="208" spans="1:6" x14ac:dyDescent="0.25">
      <c r="A208" s="2" t="s">
        <v>40</v>
      </c>
      <c r="B208" s="2" t="s">
        <v>340</v>
      </c>
      <c r="C208" s="2">
        <v>3400</v>
      </c>
      <c r="D208" s="2" t="s">
        <v>58</v>
      </c>
      <c r="E208" s="2">
        <v>5.7329999999999997</v>
      </c>
      <c r="F208" s="2" t="s">
        <v>77</v>
      </c>
    </row>
    <row r="209" spans="1:6" x14ac:dyDescent="0.25">
      <c r="A209" s="2" t="s">
        <v>92</v>
      </c>
      <c r="B209" s="2" t="s">
        <v>803</v>
      </c>
      <c r="C209" s="2">
        <v>2500</v>
      </c>
      <c r="D209" s="2" t="s">
        <v>62</v>
      </c>
      <c r="E209" s="2">
        <v>5.6559999999999997</v>
      </c>
      <c r="F209" s="2" t="s">
        <v>67</v>
      </c>
    </row>
    <row r="210" spans="1:6" x14ac:dyDescent="0.25">
      <c r="A210" s="2" t="s">
        <v>269</v>
      </c>
      <c r="B210" s="2" t="s">
        <v>806</v>
      </c>
      <c r="C210" s="2">
        <v>2500</v>
      </c>
      <c r="D210" s="2" t="s">
        <v>62</v>
      </c>
      <c r="E210" s="2">
        <v>5.6470000000000002</v>
      </c>
      <c r="F210" s="2" t="s">
        <v>67</v>
      </c>
    </row>
    <row r="211" spans="1:6" x14ac:dyDescent="0.25">
      <c r="A211" s="2" t="s">
        <v>92</v>
      </c>
      <c r="B211" s="2" t="s">
        <v>743</v>
      </c>
      <c r="C211" s="2">
        <v>2500</v>
      </c>
      <c r="D211" s="2" t="s">
        <v>43</v>
      </c>
      <c r="E211" s="2">
        <v>5.6</v>
      </c>
      <c r="F211" s="2" t="s">
        <v>27</v>
      </c>
    </row>
    <row r="212" spans="1:6" x14ac:dyDescent="0.25">
      <c r="A212" s="2" t="s">
        <v>269</v>
      </c>
      <c r="B212" s="2" t="s">
        <v>705</v>
      </c>
      <c r="C212" s="2">
        <v>2900</v>
      </c>
      <c r="D212" s="2" t="s">
        <v>45</v>
      </c>
      <c r="E212" s="2">
        <v>5.5880000000000001</v>
      </c>
      <c r="F212" s="2" t="s">
        <v>22</v>
      </c>
    </row>
    <row r="213" spans="1:6" x14ac:dyDescent="0.25">
      <c r="A213" s="2" t="s">
        <v>269</v>
      </c>
      <c r="B213" s="2" t="s">
        <v>718</v>
      </c>
      <c r="C213" s="2">
        <v>2700</v>
      </c>
      <c r="D213" s="2" t="s">
        <v>75</v>
      </c>
      <c r="E213" s="2">
        <v>5.5629999999999997</v>
      </c>
      <c r="F213" s="2" t="s">
        <v>25</v>
      </c>
    </row>
    <row r="214" spans="1:6" x14ac:dyDescent="0.25">
      <c r="A214" s="2" t="s">
        <v>92</v>
      </c>
      <c r="B214" s="2" t="s">
        <v>715</v>
      </c>
      <c r="C214" s="2">
        <v>2700</v>
      </c>
      <c r="D214" s="2" t="s">
        <v>38</v>
      </c>
      <c r="E214" s="2">
        <v>5.5060000000000002</v>
      </c>
      <c r="F214" s="2" t="s">
        <v>39</v>
      </c>
    </row>
    <row r="215" spans="1:6" x14ac:dyDescent="0.25">
      <c r="A215" s="2" t="s">
        <v>33</v>
      </c>
      <c r="B215" s="2" t="s">
        <v>213</v>
      </c>
      <c r="C215" s="2">
        <v>4100</v>
      </c>
      <c r="D215" s="2" t="s">
        <v>62</v>
      </c>
      <c r="E215" s="2">
        <v>5.4880000000000004</v>
      </c>
      <c r="F215" s="2" t="s">
        <v>67</v>
      </c>
    </row>
    <row r="216" spans="1:6" x14ac:dyDescent="0.25">
      <c r="A216" s="2" t="s">
        <v>40</v>
      </c>
      <c r="B216" s="2" t="s">
        <v>404</v>
      </c>
      <c r="C216" s="2">
        <v>3000</v>
      </c>
      <c r="D216" s="2" t="s">
        <v>43</v>
      </c>
      <c r="E216" s="2">
        <v>5.45</v>
      </c>
      <c r="F216" s="2" t="s">
        <v>23</v>
      </c>
    </row>
    <row r="217" spans="1:6" x14ac:dyDescent="0.25">
      <c r="A217" s="2" t="s">
        <v>40</v>
      </c>
      <c r="B217" s="2" t="s">
        <v>477</v>
      </c>
      <c r="C217" s="2">
        <v>3000</v>
      </c>
      <c r="D217" s="2" t="s">
        <v>35</v>
      </c>
      <c r="E217" s="2">
        <v>5.45</v>
      </c>
      <c r="F217" s="2" t="s">
        <v>36</v>
      </c>
    </row>
    <row r="218" spans="1:6" x14ac:dyDescent="0.25">
      <c r="A218" s="2" t="s">
        <v>92</v>
      </c>
      <c r="B218" s="2" t="s">
        <v>748</v>
      </c>
      <c r="C218" s="2">
        <v>2500</v>
      </c>
      <c r="D218" s="2" t="s">
        <v>52</v>
      </c>
      <c r="E218" s="2">
        <v>5.44</v>
      </c>
      <c r="F218" s="2" t="s">
        <v>53</v>
      </c>
    </row>
    <row r="219" spans="1:6" x14ac:dyDescent="0.25">
      <c r="A219" s="2" t="s">
        <v>64</v>
      </c>
      <c r="B219" s="2" t="s">
        <v>228</v>
      </c>
      <c r="C219" s="2">
        <v>4000</v>
      </c>
      <c r="D219" s="2" t="s">
        <v>35</v>
      </c>
      <c r="E219" s="2">
        <v>5.415</v>
      </c>
      <c r="F219" s="2" t="s">
        <v>20</v>
      </c>
    </row>
    <row r="220" spans="1:6" x14ac:dyDescent="0.25">
      <c r="A220" s="2" t="s">
        <v>40</v>
      </c>
      <c r="B220" s="2" t="s">
        <v>585</v>
      </c>
      <c r="C220" s="2">
        <v>3000</v>
      </c>
      <c r="D220" s="2" t="s">
        <v>86</v>
      </c>
      <c r="E220" s="2">
        <v>5.4</v>
      </c>
      <c r="F220" s="2" t="s">
        <v>21</v>
      </c>
    </row>
    <row r="221" spans="1:6" x14ac:dyDescent="0.25">
      <c r="A221" s="2" t="s">
        <v>40</v>
      </c>
      <c r="B221" s="2" t="s">
        <v>303</v>
      </c>
      <c r="C221" s="2">
        <v>3700</v>
      </c>
      <c r="D221" s="2" t="s">
        <v>86</v>
      </c>
      <c r="E221" s="2">
        <v>5.3920000000000003</v>
      </c>
      <c r="F221" s="2" t="s">
        <v>21</v>
      </c>
    </row>
    <row r="222" spans="1:6" x14ac:dyDescent="0.25">
      <c r="A222" s="2" t="s">
        <v>269</v>
      </c>
      <c r="B222" s="2" t="s">
        <v>857</v>
      </c>
      <c r="C222" s="2">
        <v>2200</v>
      </c>
      <c r="D222" s="2" t="s">
        <v>43</v>
      </c>
      <c r="E222" s="2">
        <v>5.3129999999999997</v>
      </c>
      <c r="F222" s="2" t="s">
        <v>27</v>
      </c>
    </row>
    <row r="223" spans="1:6" x14ac:dyDescent="0.25">
      <c r="A223" s="2" t="s">
        <v>269</v>
      </c>
      <c r="B223" s="2" t="s">
        <v>721</v>
      </c>
      <c r="C223" s="2">
        <v>2600</v>
      </c>
      <c r="D223" s="2" t="s">
        <v>38</v>
      </c>
      <c r="E223" s="2">
        <v>5.2350000000000003</v>
      </c>
      <c r="F223" s="2" t="s">
        <v>26</v>
      </c>
    </row>
    <row r="224" spans="1:6" x14ac:dyDescent="0.25">
      <c r="A224" s="2" t="s">
        <v>40</v>
      </c>
      <c r="B224" s="2" t="s">
        <v>345</v>
      </c>
      <c r="C224" s="2">
        <v>3300</v>
      </c>
      <c r="D224" s="2" t="s">
        <v>38</v>
      </c>
      <c r="E224" s="2">
        <v>5.0999999999999996</v>
      </c>
      <c r="F224" s="2" t="s">
        <v>39</v>
      </c>
    </row>
    <row r="225" spans="1:6" x14ac:dyDescent="0.25">
      <c r="A225" s="2" t="s">
        <v>40</v>
      </c>
      <c r="B225" s="2" t="s">
        <v>284</v>
      </c>
      <c r="C225" s="2">
        <v>3800</v>
      </c>
      <c r="D225" s="2" t="s">
        <v>35</v>
      </c>
      <c r="E225" s="2">
        <v>5.0759999999999996</v>
      </c>
      <c r="F225" s="2" t="s">
        <v>36</v>
      </c>
    </row>
    <row r="226" spans="1:6" x14ac:dyDescent="0.25">
      <c r="A226" s="2" t="s">
        <v>92</v>
      </c>
      <c r="B226" s="2" t="s">
        <v>724</v>
      </c>
      <c r="C226" s="2">
        <v>2600</v>
      </c>
      <c r="D226" s="2" t="s">
        <v>69</v>
      </c>
      <c r="E226" s="2">
        <v>5.0629999999999997</v>
      </c>
      <c r="F226" s="2" t="s">
        <v>1</v>
      </c>
    </row>
    <row r="227" spans="1:6" x14ac:dyDescent="0.25">
      <c r="A227" s="2" t="s">
        <v>92</v>
      </c>
      <c r="B227" s="2" t="s">
        <v>808</v>
      </c>
      <c r="C227" s="2">
        <v>2500</v>
      </c>
      <c r="D227" s="2" t="s">
        <v>86</v>
      </c>
      <c r="E227" s="2">
        <v>5.0469999999999997</v>
      </c>
      <c r="F227" s="2" t="s">
        <v>21</v>
      </c>
    </row>
    <row r="228" spans="1:6" x14ac:dyDescent="0.25">
      <c r="A228" s="2" t="s">
        <v>40</v>
      </c>
      <c r="B228" s="2" t="s">
        <v>350</v>
      </c>
      <c r="C228" s="2">
        <v>3300</v>
      </c>
      <c r="D228" s="2" t="s">
        <v>69</v>
      </c>
      <c r="E228" s="2">
        <v>5</v>
      </c>
      <c r="F228" s="2" t="s">
        <v>70</v>
      </c>
    </row>
    <row r="229" spans="1:6" x14ac:dyDescent="0.25">
      <c r="A229" s="2" t="s">
        <v>40</v>
      </c>
      <c r="B229" s="2" t="s">
        <v>308</v>
      </c>
      <c r="C229" s="2">
        <v>3700</v>
      </c>
      <c r="D229" s="2" t="s">
        <v>58</v>
      </c>
      <c r="E229" s="2">
        <v>4.8470000000000004</v>
      </c>
      <c r="F229" s="2" t="s">
        <v>77</v>
      </c>
    </row>
    <row r="230" spans="1:6" x14ac:dyDescent="0.25">
      <c r="A230" s="2" t="s">
        <v>40</v>
      </c>
      <c r="B230" s="2" t="s">
        <v>478</v>
      </c>
      <c r="C230" s="2">
        <v>3000</v>
      </c>
      <c r="D230" s="2" t="s">
        <v>35</v>
      </c>
      <c r="E230" s="2">
        <v>4.8209999999999997</v>
      </c>
      <c r="F230" s="2" t="s">
        <v>36</v>
      </c>
    </row>
    <row r="231" spans="1:6" x14ac:dyDescent="0.25">
      <c r="A231" s="2" t="s">
        <v>33</v>
      </c>
      <c r="B231" s="2" t="s">
        <v>309</v>
      </c>
      <c r="C231" s="2">
        <v>3700</v>
      </c>
      <c r="D231" s="2" t="s">
        <v>69</v>
      </c>
      <c r="E231" s="2">
        <v>4.7560000000000002</v>
      </c>
      <c r="F231" s="2" t="s">
        <v>70</v>
      </c>
    </row>
    <row r="232" spans="1:6" x14ac:dyDescent="0.25">
      <c r="A232" s="2" t="s">
        <v>40</v>
      </c>
      <c r="B232" s="2" t="s">
        <v>438</v>
      </c>
      <c r="C232" s="2">
        <v>3000</v>
      </c>
      <c r="D232" s="2" t="s">
        <v>52</v>
      </c>
      <c r="E232" s="2">
        <v>4.625</v>
      </c>
      <c r="F232" s="2" t="s">
        <v>53</v>
      </c>
    </row>
    <row r="233" spans="1:6" x14ac:dyDescent="0.25">
      <c r="A233" s="2" t="s">
        <v>33</v>
      </c>
      <c r="B233" s="2" t="s">
        <v>658</v>
      </c>
      <c r="C233" s="2">
        <v>3000</v>
      </c>
      <c r="D233" s="2" t="s">
        <v>69</v>
      </c>
      <c r="E233" s="2">
        <v>4.6130000000000004</v>
      </c>
      <c r="F233" s="2" t="s">
        <v>1</v>
      </c>
    </row>
    <row r="234" spans="1:6" x14ac:dyDescent="0.25">
      <c r="A234" s="2" t="s">
        <v>64</v>
      </c>
      <c r="B234" s="2" t="s">
        <v>117</v>
      </c>
      <c r="C234" s="2">
        <v>5500</v>
      </c>
      <c r="D234" s="2" t="s">
        <v>69</v>
      </c>
      <c r="E234" s="2">
        <v>4.5039999999999996</v>
      </c>
      <c r="F234" s="2" t="s">
        <v>70</v>
      </c>
    </row>
    <row r="235" spans="1:6" x14ac:dyDescent="0.25">
      <c r="A235" s="2" t="s">
        <v>64</v>
      </c>
      <c r="B235" s="2" t="s">
        <v>145</v>
      </c>
      <c r="C235" s="2">
        <v>4900</v>
      </c>
      <c r="D235" s="2" t="s">
        <v>43</v>
      </c>
      <c r="E235" s="2">
        <v>4.5</v>
      </c>
      <c r="F235" s="2" t="s">
        <v>27</v>
      </c>
    </row>
    <row r="236" spans="1:6" x14ac:dyDescent="0.25">
      <c r="A236" s="2" t="s">
        <v>269</v>
      </c>
      <c r="B236" s="2" t="s">
        <v>301</v>
      </c>
      <c r="C236" s="2">
        <v>3700</v>
      </c>
      <c r="D236" s="2" t="s">
        <v>103</v>
      </c>
      <c r="E236" s="2">
        <v>4.5</v>
      </c>
      <c r="F236" s="2" t="s">
        <v>110</v>
      </c>
    </row>
    <row r="237" spans="1:6" x14ac:dyDescent="0.25">
      <c r="A237" s="2" t="s">
        <v>64</v>
      </c>
      <c r="B237" s="2" t="s">
        <v>164</v>
      </c>
      <c r="C237" s="2">
        <v>4700</v>
      </c>
      <c r="D237" s="2" t="s">
        <v>35</v>
      </c>
      <c r="E237" s="2">
        <v>4.49</v>
      </c>
      <c r="F237" s="2" t="s">
        <v>36</v>
      </c>
    </row>
    <row r="238" spans="1:6" x14ac:dyDescent="0.25">
      <c r="A238" s="2" t="s">
        <v>64</v>
      </c>
      <c r="B238" s="2" t="s">
        <v>161</v>
      </c>
      <c r="C238" s="2">
        <v>4800</v>
      </c>
      <c r="D238" s="2" t="s">
        <v>45</v>
      </c>
      <c r="E238" s="2">
        <v>4.47</v>
      </c>
      <c r="F238" s="2" t="s">
        <v>46</v>
      </c>
    </row>
    <row r="239" spans="1:6" x14ac:dyDescent="0.25">
      <c r="A239" s="2" t="s">
        <v>92</v>
      </c>
      <c r="B239" s="2" t="s">
        <v>414</v>
      </c>
      <c r="C239" s="2">
        <v>3000</v>
      </c>
      <c r="D239" s="2" t="s">
        <v>43</v>
      </c>
      <c r="E239" s="2">
        <v>4.4000000000000004</v>
      </c>
      <c r="F239" s="2" t="s">
        <v>23</v>
      </c>
    </row>
    <row r="240" spans="1:6" x14ac:dyDescent="0.25">
      <c r="A240" s="2" t="s">
        <v>40</v>
      </c>
      <c r="B240" s="2" t="s">
        <v>331</v>
      </c>
      <c r="C240" s="2">
        <v>3500</v>
      </c>
      <c r="D240" s="2" t="s">
        <v>86</v>
      </c>
      <c r="E240" s="2">
        <v>4.3</v>
      </c>
      <c r="F240" s="2" t="s">
        <v>24</v>
      </c>
    </row>
    <row r="241" spans="1:6" x14ac:dyDescent="0.25">
      <c r="A241" s="2" t="s">
        <v>92</v>
      </c>
      <c r="B241" s="2" t="s">
        <v>742</v>
      </c>
      <c r="C241" s="2">
        <v>2500</v>
      </c>
      <c r="D241" s="2" t="s">
        <v>43</v>
      </c>
      <c r="E241" s="2">
        <v>4.3</v>
      </c>
      <c r="F241" s="2" t="s">
        <v>27</v>
      </c>
    </row>
    <row r="242" spans="1:6" x14ac:dyDescent="0.25">
      <c r="A242" s="2" t="s">
        <v>92</v>
      </c>
      <c r="B242" s="2" t="s">
        <v>780</v>
      </c>
      <c r="C242" s="2">
        <v>2500</v>
      </c>
      <c r="D242" s="2" t="s">
        <v>103</v>
      </c>
      <c r="E242" s="2">
        <v>4.29</v>
      </c>
      <c r="F242" s="2" t="s">
        <v>110</v>
      </c>
    </row>
    <row r="243" spans="1:6" x14ac:dyDescent="0.25">
      <c r="A243" s="2" t="s">
        <v>40</v>
      </c>
      <c r="B243" s="2" t="s">
        <v>639</v>
      </c>
      <c r="C243" s="2">
        <v>3000</v>
      </c>
      <c r="D243" s="2" t="s">
        <v>58</v>
      </c>
      <c r="E243" s="2">
        <v>4.2850000000000001</v>
      </c>
      <c r="F243" s="2" t="s">
        <v>59</v>
      </c>
    </row>
    <row r="244" spans="1:6" x14ac:dyDescent="0.25">
      <c r="A244" s="2" t="s">
        <v>40</v>
      </c>
      <c r="B244" s="2" t="s">
        <v>325</v>
      </c>
      <c r="C244" s="2">
        <v>3500</v>
      </c>
      <c r="D244" s="2" t="s">
        <v>43</v>
      </c>
      <c r="E244" s="2">
        <v>4.2750000000000004</v>
      </c>
      <c r="F244" s="2" t="s">
        <v>27</v>
      </c>
    </row>
    <row r="245" spans="1:6" x14ac:dyDescent="0.25">
      <c r="A245" s="2" t="s">
        <v>40</v>
      </c>
      <c r="B245" s="2" t="s">
        <v>332</v>
      </c>
      <c r="C245" s="2">
        <v>3500</v>
      </c>
      <c r="D245" s="2" t="s">
        <v>75</v>
      </c>
      <c r="E245" s="2">
        <v>4.2380000000000004</v>
      </c>
      <c r="F245" s="2" t="s">
        <v>25</v>
      </c>
    </row>
    <row r="246" spans="1:6" x14ac:dyDescent="0.25">
      <c r="A246" s="2" t="s">
        <v>92</v>
      </c>
      <c r="B246" s="2" t="s">
        <v>719</v>
      </c>
      <c r="C246" s="2">
        <v>2700</v>
      </c>
      <c r="D246" s="2" t="s">
        <v>58</v>
      </c>
      <c r="E246" s="2">
        <v>4.1840000000000002</v>
      </c>
      <c r="F246" s="2" t="s">
        <v>59</v>
      </c>
    </row>
    <row r="247" spans="1:6" x14ac:dyDescent="0.25">
      <c r="A247" s="2" t="s">
        <v>33</v>
      </c>
      <c r="B247" s="2" t="s">
        <v>292</v>
      </c>
      <c r="C247" s="2">
        <v>3800</v>
      </c>
      <c r="D247" s="2" t="s">
        <v>86</v>
      </c>
      <c r="E247" s="2">
        <v>4.1310000000000002</v>
      </c>
      <c r="F247" s="2" t="s">
        <v>21</v>
      </c>
    </row>
    <row r="248" spans="1:6" x14ac:dyDescent="0.25">
      <c r="A248" s="2" t="s">
        <v>40</v>
      </c>
      <c r="B248" s="2" t="s">
        <v>553</v>
      </c>
      <c r="C248" s="2">
        <v>3000</v>
      </c>
      <c r="D248" s="2" t="s">
        <v>55</v>
      </c>
      <c r="E248" s="2">
        <v>4.08</v>
      </c>
      <c r="F248" s="2" t="s">
        <v>56</v>
      </c>
    </row>
    <row r="249" spans="1:6" x14ac:dyDescent="0.25">
      <c r="A249" s="2" t="s">
        <v>40</v>
      </c>
      <c r="B249" s="2" t="s">
        <v>233</v>
      </c>
      <c r="C249" s="2">
        <v>4000</v>
      </c>
      <c r="D249" s="2" t="s">
        <v>35</v>
      </c>
      <c r="E249" s="2">
        <v>4.069</v>
      </c>
      <c r="F249" s="2" t="s">
        <v>36</v>
      </c>
    </row>
    <row r="250" spans="1:6" x14ac:dyDescent="0.25">
      <c r="A250" s="2" t="s">
        <v>269</v>
      </c>
      <c r="B250" s="2" t="s">
        <v>858</v>
      </c>
      <c r="C250" s="2">
        <v>2100</v>
      </c>
      <c r="D250" s="2" t="s">
        <v>69</v>
      </c>
      <c r="E250" s="2">
        <v>4.0629999999999997</v>
      </c>
      <c r="F250" s="2" t="s">
        <v>1</v>
      </c>
    </row>
    <row r="251" spans="1:6" x14ac:dyDescent="0.25">
      <c r="A251" s="2" t="s">
        <v>40</v>
      </c>
      <c r="B251" s="2" t="s">
        <v>396</v>
      </c>
      <c r="C251" s="2">
        <v>3000</v>
      </c>
      <c r="D251" s="2" t="s">
        <v>48</v>
      </c>
      <c r="E251" s="2">
        <v>4.0199999999999996</v>
      </c>
      <c r="F251" s="2" t="s">
        <v>144</v>
      </c>
    </row>
    <row r="252" spans="1:6" x14ac:dyDescent="0.25">
      <c r="A252" s="2" t="s">
        <v>33</v>
      </c>
      <c r="B252" s="2" t="s">
        <v>206</v>
      </c>
      <c r="C252" s="2">
        <v>4200</v>
      </c>
      <c r="D252" s="2" t="s">
        <v>103</v>
      </c>
      <c r="E252" s="2">
        <v>3.9750000000000001</v>
      </c>
      <c r="F252" s="2" t="s">
        <v>19</v>
      </c>
    </row>
    <row r="253" spans="1:6" x14ac:dyDescent="0.25">
      <c r="A253" s="2" t="s">
        <v>33</v>
      </c>
      <c r="B253" s="2" t="s">
        <v>273</v>
      </c>
      <c r="C253" s="2">
        <v>3900</v>
      </c>
      <c r="D253" s="2" t="s">
        <v>38</v>
      </c>
      <c r="E253" s="2">
        <v>3.875</v>
      </c>
      <c r="F253" s="2" t="s">
        <v>39</v>
      </c>
    </row>
    <row r="254" spans="1:6" x14ac:dyDescent="0.25">
      <c r="A254" s="2" t="s">
        <v>64</v>
      </c>
      <c r="B254" s="2" t="s">
        <v>183</v>
      </c>
      <c r="C254" s="2">
        <v>4500</v>
      </c>
      <c r="D254" s="2" t="s">
        <v>62</v>
      </c>
      <c r="E254" s="2">
        <v>3.86</v>
      </c>
      <c r="F254" s="2" t="s">
        <v>67</v>
      </c>
    </row>
    <row r="255" spans="1:6" x14ac:dyDescent="0.25">
      <c r="A255" s="2" t="s">
        <v>40</v>
      </c>
      <c r="B255" s="2" t="s">
        <v>405</v>
      </c>
      <c r="C255" s="2">
        <v>3000</v>
      </c>
      <c r="D255" s="2" t="s">
        <v>43</v>
      </c>
      <c r="E255" s="2">
        <v>3.839</v>
      </c>
      <c r="F255" s="2" t="s">
        <v>23</v>
      </c>
    </row>
    <row r="256" spans="1:6" x14ac:dyDescent="0.25">
      <c r="A256" s="2" t="s">
        <v>40</v>
      </c>
      <c r="B256" s="2" t="s">
        <v>512</v>
      </c>
      <c r="C256" s="2">
        <v>3000</v>
      </c>
      <c r="D256" s="2" t="s">
        <v>103</v>
      </c>
      <c r="E256" s="2">
        <v>3.8330000000000002</v>
      </c>
      <c r="F256" s="2" t="s">
        <v>19</v>
      </c>
    </row>
    <row r="257" spans="1:6" x14ac:dyDescent="0.25">
      <c r="A257" s="2" t="s">
        <v>92</v>
      </c>
      <c r="B257" s="2" t="s">
        <v>713</v>
      </c>
      <c r="C257" s="2">
        <v>2700</v>
      </c>
      <c r="D257" s="2" t="s">
        <v>48</v>
      </c>
      <c r="E257" s="2">
        <v>3.8220000000000001</v>
      </c>
      <c r="F257" s="2" t="s">
        <v>144</v>
      </c>
    </row>
    <row r="258" spans="1:6" x14ac:dyDescent="0.25">
      <c r="A258" s="2" t="s">
        <v>40</v>
      </c>
      <c r="B258" s="2" t="s">
        <v>423</v>
      </c>
      <c r="C258" s="2">
        <v>3000</v>
      </c>
      <c r="D258" s="2" t="s">
        <v>43</v>
      </c>
      <c r="E258" s="2">
        <v>3.806</v>
      </c>
      <c r="F258" s="2" t="s">
        <v>27</v>
      </c>
    </row>
    <row r="259" spans="1:6" x14ac:dyDescent="0.25">
      <c r="A259" s="2" t="s">
        <v>40</v>
      </c>
      <c r="B259" s="2" t="s">
        <v>374</v>
      </c>
      <c r="C259" s="2">
        <v>3000</v>
      </c>
      <c r="D259" s="2" t="s">
        <v>48</v>
      </c>
      <c r="E259" s="2">
        <v>3.7629999999999999</v>
      </c>
      <c r="F259" s="2" t="s">
        <v>49</v>
      </c>
    </row>
    <row r="260" spans="1:6" x14ac:dyDescent="0.25">
      <c r="A260" s="2" t="s">
        <v>269</v>
      </c>
      <c r="B260" s="2" t="s">
        <v>856</v>
      </c>
      <c r="C260" s="2">
        <v>2400</v>
      </c>
      <c r="D260" s="2" t="s">
        <v>48</v>
      </c>
      <c r="E260" s="2">
        <v>3.75</v>
      </c>
      <c r="F260" s="2" t="s">
        <v>144</v>
      </c>
    </row>
    <row r="261" spans="1:6" x14ac:dyDescent="0.25">
      <c r="A261" s="2" t="s">
        <v>33</v>
      </c>
      <c r="B261" s="2" t="s">
        <v>344</v>
      </c>
      <c r="C261" s="2">
        <v>3300</v>
      </c>
      <c r="D261" s="2" t="s">
        <v>38</v>
      </c>
      <c r="E261" s="2">
        <v>3.746</v>
      </c>
      <c r="F261" s="2" t="s">
        <v>26</v>
      </c>
    </row>
    <row r="262" spans="1:6" x14ac:dyDescent="0.25">
      <c r="A262" s="2" t="s">
        <v>40</v>
      </c>
      <c r="B262" s="2" t="s">
        <v>349</v>
      </c>
      <c r="C262" s="2">
        <v>3300</v>
      </c>
      <c r="D262" s="2" t="s">
        <v>69</v>
      </c>
      <c r="E262" s="2">
        <v>3.7389999999999999</v>
      </c>
      <c r="F262" s="2" t="s">
        <v>1</v>
      </c>
    </row>
    <row r="263" spans="1:6" x14ac:dyDescent="0.25">
      <c r="A263" s="2" t="s">
        <v>33</v>
      </c>
      <c r="B263" s="2" t="s">
        <v>682</v>
      </c>
      <c r="C263" s="2">
        <v>3000</v>
      </c>
      <c r="D263" s="2" t="s">
        <v>45</v>
      </c>
      <c r="E263" s="2">
        <v>3.6749999999999998</v>
      </c>
      <c r="F263" s="2" t="s">
        <v>22</v>
      </c>
    </row>
    <row r="264" spans="1:6" x14ac:dyDescent="0.25">
      <c r="A264" s="2" t="s">
        <v>92</v>
      </c>
      <c r="B264" s="2" t="s">
        <v>785</v>
      </c>
      <c r="C264" s="2">
        <v>2500</v>
      </c>
      <c r="D264" s="2" t="s">
        <v>103</v>
      </c>
      <c r="E264" s="2">
        <v>3.593</v>
      </c>
      <c r="F264" s="2" t="s">
        <v>110</v>
      </c>
    </row>
    <row r="265" spans="1:6" x14ac:dyDescent="0.25">
      <c r="A265" s="2" t="s">
        <v>40</v>
      </c>
      <c r="B265" s="2" t="s">
        <v>486</v>
      </c>
      <c r="C265" s="2">
        <v>3000</v>
      </c>
      <c r="D265" s="2" t="s">
        <v>38</v>
      </c>
      <c r="E265" s="2">
        <v>3.5750000000000002</v>
      </c>
      <c r="F265" s="2" t="s">
        <v>26</v>
      </c>
    </row>
    <row r="266" spans="1:6" x14ac:dyDescent="0.25">
      <c r="A266" s="2" t="s">
        <v>40</v>
      </c>
      <c r="B266" s="2" t="s">
        <v>421</v>
      </c>
      <c r="C266" s="2">
        <v>3000</v>
      </c>
      <c r="D266" s="2" t="s">
        <v>43</v>
      </c>
      <c r="E266" s="2">
        <v>3.556</v>
      </c>
      <c r="F266" s="2" t="s">
        <v>27</v>
      </c>
    </row>
    <row r="267" spans="1:6" x14ac:dyDescent="0.25">
      <c r="A267" s="2" t="s">
        <v>33</v>
      </c>
      <c r="B267" s="2" t="s">
        <v>518</v>
      </c>
      <c r="C267" s="2">
        <v>3000</v>
      </c>
      <c r="D267" s="2" t="s">
        <v>103</v>
      </c>
      <c r="E267" s="2">
        <v>3.536</v>
      </c>
      <c r="F267" s="2" t="s">
        <v>110</v>
      </c>
    </row>
    <row r="268" spans="1:6" x14ac:dyDescent="0.25">
      <c r="A268" s="2" t="s">
        <v>64</v>
      </c>
      <c r="B268" s="2" t="s">
        <v>182</v>
      </c>
      <c r="C268" s="2">
        <v>4500</v>
      </c>
      <c r="D268" s="2" t="s">
        <v>62</v>
      </c>
      <c r="E268" s="2">
        <v>3.532</v>
      </c>
      <c r="F268" s="2" t="s">
        <v>63</v>
      </c>
    </row>
    <row r="269" spans="1:6" x14ac:dyDescent="0.25">
      <c r="A269" s="2" t="s">
        <v>40</v>
      </c>
      <c r="B269" s="2" t="s">
        <v>373</v>
      </c>
      <c r="C269" s="2">
        <v>3000</v>
      </c>
      <c r="D269" s="2" t="s">
        <v>48</v>
      </c>
      <c r="E269" s="2">
        <v>3.5059999999999998</v>
      </c>
      <c r="F269" s="2" t="s">
        <v>49</v>
      </c>
    </row>
    <row r="270" spans="1:6" x14ac:dyDescent="0.25">
      <c r="A270" s="2" t="s">
        <v>33</v>
      </c>
      <c r="B270" s="2" t="s">
        <v>643</v>
      </c>
      <c r="C270" s="2">
        <v>3000</v>
      </c>
      <c r="D270" s="2" t="s">
        <v>58</v>
      </c>
      <c r="E270" s="2">
        <v>3.492</v>
      </c>
      <c r="F270" s="2" t="s">
        <v>77</v>
      </c>
    </row>
    <row r="271" spans="1:6" x14ac:dyDescent="0.25">
      <c r="A271" s="2" t="s">
        <v>33</v>
      </c>
      <c r="B271" s="2" t="s">
        <v>582</v>
      </c>
      <c r="C271" s="2">
        <v>3000</v>
      </c>
      <c r="D271" s="2" t="s">
        <v>86</v>
      </c>
      <c r="E271" s="2">
        <v>3.4670000000000001</v>
      </c>
      <c r="F271" s="2" t="s">
        <v>21</v>
      </c>
    </row>
    <row r="272" spans="1:6" x14ac:dyDescent="0.25">
      <c r="A272" s="2" t="s">
        <v>33</v>
      </c>
      <c r="B272" s="2" t="s">
        <v>400</v>
      </c>
      <c r="C272" s="2">
        <v>3000</v>
      </c>
      <c r="D272" s="2" t="s">
        <v>43</v>
      </c>
      <c r="E272" s="2">
        <v>3.44</v>
      </c>
      <c r="F272" s="2" t="s">
        <v>23</v>
      </c>
    </row>
    <row r="273" spans="1:6" x14ac:dyDescent="0.25">
      <c r="A273" s="2" t="s">
        <v>33</v>
      </c>
      <c r="B273" s="2" t="s">
        <v>631</v>
      </c>
      <c r="C273" s="2">
        <v>3000</v>
      </c>
      <c r="D273" s="2" t="s">
        <v>58</v>
      </c>
      <c r="E273" s="2">
        <v>3.4260000000000002</v>
      </c>
      <c r="F273" s="2" t="s">
        <v>59</v>
      </c>
    </row>
    <row r="274" spans="1:6" x14ac:dyDescent="0.25">
      <c r="A274" s="2" t="s">
        <v>33</v>
      </c>
      <c r="B274" s="2" t="s">
        <v>571</v>
      </c>
      <c r="C274" s="2">
        <v>3000</v>
      </c>
      <c r="D274" s="2" t="s">
        <v>62</v>
      </c>
      <c r="E274" s="2">
        <v>3.4119999999999999</v>
      </c>
      <c r="F274" s="2" t="s">
        <v>67</v>
      </c>
    </row>
    <row r="275" spans="1:6" x14ac:dyDescent="0.25">
      <c r="A275" s="2" t="s">
        <v>40</v>
      </c>
      <c r="B275" s="2" t="s">
        <v>327</v>
      </c>
      <c r="C275" s="2">
        <v>3500</v>
      </c>
      <c r="D275" s="2" t="s">
        <v>103</v>
      </c>
      <c r="E275" s="2">
        <v>3.3879999999999999</v>
      </c>
      <c r="F275" s="2" t="s">
        <v>19</v>
      </c>
    </row>
    <row r="276" spans="1:6" x14ac:dyDescent="0.25">
      <c r="A276" s="2" t="s">
        <v>33</v>
      </c>
      <c r="B276" s="2" t="s">
        <v>96</v>
      </c>
      <c r="C276" s="2">
        <v>6100</v>
      </c>
      <c r="D276" s="2" t="s">
        <v>45</v>
      </c>
      <c r="E276" s="2">
        <v>3.35</v>
      </c>
      <c r="F276" s="2" t="s">
        <v>22</v>
      </c>
    </row>
    <row r="277" spans="1:6" x14ac:dyDescent="0.25">
      <c r="A277" s="2" t="s">
        <v>40</v>
      </c>
      <c r="B277" s="2" t="s">
        <v>606</v>
      </c>
      <c r="C277" s="2">
        <v>3000</v>
      </c>
      <c r="D277" s="2" t="s">
        <v>75</v>
      </c>
      <c r="E277" s="2">
        <v>3.3069999999999999</v>
      </c>
      <c r="F277" s="2" t="s">
        <v>25</v>
      </c>
    </row>
    <row r="278" spans="1:6" x14ac:dyDescent="0.25">
      <c r="A278" s="2" t="s">
        <v>40</v>
      </c>
      <c r="B278" s="2" t="s">
        <v>683</v>
      </c>
      <c r="C278" s="2">
        <v>3000</v>
      </c>
      <c r="D278" s="2" t="s">
        <v>45</v>
      </c>
      <c r="E278" s="2">
        <v>3.2879999999999998</v>
      </c>
      <c r="F278" s="2" t="s">
        <v>22</v>
      </c>
    </row>
    <row r="279" spans="1:6" x14ac:dyDescent="0.25">
      <c r="A279" s="2" t="s">
        <v>40</v>
      </c>
      <c r="B279" s="2" t="s">
        <v>563</v>
      </c>
      <c r="C279" s="2">
        <v>3000</v>
      </c>
      <c r="D279" s="2" t="s">
        <v>62</v>
      </c>
      <c r="E279" s="2">
        <v>3.2730000000000001</v>
      </c>
      <c r="F279" s="2" t="s">
        <v>63</v>
      </c>
    </row>
    <row r="280" spans="1:6" x14ac:dyDescent="0.25">
      <c r="A280" s="2" t="s">
        <v>92</v>
      </c>
      <c r="B280" s="2" t="s">
        <v>736</v>
      </c>
      <c r="C280" s="2">
        <v>2500</v>
      </c>
      <c r="D280" s="2" t="s">
        <v>43</v>
      </c>
      <c r="E280" s="2">
        <v>3.194</v>
      </c>
      <c r="F280" s="2" t="s">
        <v>23</v>
      </c>
    </row>
    <row r="281" spans="1:6" x14ac:dyDescent="0.25">
      <c r="A281" s="2" t="s">
        <v>92</v>
      </c>
      <c r="B281" s="2" t="s">
        <v>831</v>
      </c>
      <c r="C281" s="2">
        <v>2500</v>
      </c>
      <c r="D281" s="2" t="s">
        <v>58</v>
      </c>
      <c r="E281" s="2">
        <v>3.177</v>
      </c>
      <c r="F281" s="2" t="s">
        <v>77</v>
      </c>
    </row>
    <row r="282" spans="1:6" x14ac:dyDescent="0.25">
      <c r="A282" s="2" t="s">
        <v>92</v>
      </c>
      <c r="B282" s="2" t="s">
        <v>717</v>
      </c>
      <c r="C282" s="2">
        <v>2700</v>
      </c>
      <c r="D282" s="2" t="s">
        <v>75</v>
      </c>
      <c r="E282" s="2">
        <v>3.169</v>
      </c>
      <c r="F282" s="2" t="s">
        <v>25</v>
      </c>
    </row>
    <row r="283" spans="1:6" x14ac:dyDescent="0.25">
      <c r="A283" s="2" t="s">
        <v>40</v>
      </c>
      <c r="B283" s="2" t="s">
        <v>375</v>
      </c>
      <c r="C283" s="2">
        <v>3000</v>
      </c>
      <c r="D283" s="2" t="s">
        <v>48</v>
      </c>
      <c r="E283" s="2">
        <v>3.133</v>
      </c>
      <c r="F283" s="2" t="s">
        <v>49</v>
      </c>
    </row>
    <row r="284" spans="1:6" x14ac:dyDescent="0.25">
      <c r="A284" s="2" t="s">
        <v>269</v>
      </c>
      <c r="B284" s="2" t="s">
        <v>859</v>
      </c>
      <c r="C284" s="2">
        <v>2000</v>
      </c>
      <c r="D284" s="2" t="s">
        <v>35</v>
      </c>
      <c r="E284" s="2">
        <v>3.125</v>
      </c>
      <c r="F284" s="2" t="s">
        <v>20</v>
      </c>
    </row>
    <row r="285" spans="1:6" x14ac:dyDescent="0.25">
      <c r="A285" s="2" t="s">
        <v>40</v>
      </c>
      <c r="B285" s="2" t="s">
        <v>475</v>
      </c>
      <c r="C285" s="2">
        <v>3000</v>
      </c>
      <c r="D285" s="2" t="s">
        <v>35</v>
      </c>
      <c r="E285" s="2">
        <v>3.1</v>
      </c>
      <c r="F285" s="2" t="s">
        <v>36</v>
      </c>
    </row>
    <row r="286" spans="1:6" x14ac:dyDescent="0.25">
      <c r="A286" s="2" t="s">
        <v>40</v>
      </c>
      <c r="B286" s="2" t="s">
        <v>274</v>
      </c>
      <c r="C286" s="2">
        <v>3900</v>
      </c>
      <c r="D286" s="2" t="s">
        <v>103</v>
      </c>
      <c r="E286" s="2">
        <v>3.09</v>
      </c>
      <c r="F286" s="2" t="s">
        <v>19</v>
      </c>
    </row>
    <row r="287" spans="1:6" x14ac:dyDescent="0.25">
      <c r="A287" s="2" t="s">
        <v>40</v>
      </c>
      <c r="B287" s="2" t="s">
        <v>376</v>
      </c>
      <c r="C287" s="2">
        <v>3000</v>
      </c>
      <c r="D287" s="2" t="s">
        <v>48</v>
      </c>
      <c r="E287" s="2">
        <v>3.069</v>
      </c>
      <c r="F287" s="2" t="s">
        <v>49</v>
      </c>
    </row>
    <row r="288" spans="1:6" x14ac:dyDescent="0.25">
      <c r="A288" s="2" t="s">
        <v>33</v>
      </c>
      <c r="B288" s="2" t="s">
        <v>647</v>
      </c>
      <c r="C288" s="2">
        <v>3000</v>
      </c>
      <c r="D288" s="2" t="s">
        <v>58</v>
      </c>
      <c r="E288" s="2">
        <v>2.9670000000000001</v>
      </c>
      <c r="F288" s="2" t="s">
        <v>77</v>
      </c>
    </row>
    <row r="289" spans="1:6" x14ac:dyDescent="0.25">
      <c r="A289" s="2" t="s">
        <v>92</v>
      </c>
      <c r="B289" s="2" t="s">
        <v>781</v>
      </c>
      <c r="C289" s="2">
        <v>2500</v>
      </c>
      <c r="D289" s="2" t="s">
        <v>103</v>
      </c>
      <c r="E289" s="2">
        <v>2.9359999999999999</v>
      </c>
      <c r="F289" s="2" t="s">
        <v>110</v>
      </c>
    </row>
    <row r="290" spans="1:6" x14ac:dyDescent="0.25">
      <c r="A290" s="2" t="s">
        <v>33</v>
      </c>
      <c r="B290" s="2" t="s">
        <v>310</v>
      </c>
      <c r="C290" s="2">
        <v>3600</v>
      </c>
      <c r="D290" s="2" t="s">
        <v>43</v>
      </c>
      <c r="E290" s="2">
        <v>2.9329999999999998</v>
      </c>
      <c r="F290" s="2" t="s">
        <v>27</v>
      </c>
    </row>
    <row r="291" spans="1:6" x14ac:dyDescent="0.25">
      <c r="A291" s="2" t="s">
        <v>33</v>
      </c>
      <c r="B291" s="2" t="s">
        <v>286</v>
      </c>
      <c r="C291" s="2">
        <v>3800</v>
      </c>
      <c r="D291" s="2" t="s">
        <v>38</v>
      </c>
      <c r="E291" s="2">
        <v>2.93</v>
      </c>
      <c r="F291" s="2" t="s">
        <v>39</v>
      </c>
    </row>
    <row r="292" spans="1:6" x14ac:dyDescent="0.25">
      <c r="A292" s="2" t="s">
        <v>40</v>
      </c>
      <c r="B292" s="2" t="s">
        <v>407</v>
      </c>
      <c r="C292" s="2">
        <v>3000</v>
      </c>
      <c r="D292" s="2" t="s">
        <v>43</v>
      </c>
      <c r="E292" s="2">
        <v>2.9289999999999998</v>
      </c>
      <c r="F292" s="2" t="s">
        <v>23</v>
      </c>
    </row>
    <row r="293" spans="1:6" x14ac:dyDescent="0.25">
      <c r="A293" s="2" t="s">
        <v>40</v>
      </c>
      <c r="B293" s="2" t="s">
        <v>389</v>
      </c>
      <c r="C293" s="2">
        <v>3000</v>
      </c>
      <c r="D293" s="2" t="s">
        <v>48</v>
      </c>
      <c r="E293" s="2">
        <v>2.9220000000000002</v>
      </c>
      <c r="F293" s="2" t="s">
        <v>144</v>
      </c>
    </row>
    <row r="294" spans="1:6" x14ac:dyDescent="0.25">
      <c r="A294" s="2" t="s">
        <v>40</v>
      </c>
      <c r="B294" s="2" t="s">
        <v>357</v>
      </c>
      <c r="C294" s="2">
        <v>3200</v>
      </c>
      <c r="D294" s="2" t="s">
        <v>45</v>
      </c>
      <c r="E294" s="2">
        <v>2.9129999999999998</v>
      </c>
      <c r="F294" s="2" t="s">
        <v>46</v>
      </c>
    </row>
    <row r="295" spans="1:6" x14ac:dyDescent="0.25">
      <c r="A295" s="2" t="s">
        <v>33</v>
      </c>
      <c r="B295" s="2" t="s">
        <v>212</v>
      </c>
      <c r="C295" s="2">
        <v>4100</v>
      </c>
      <c r="D295" s="2" t="s">
        <v>55</v>
      </c>
      <c r="E295" s="2">
        <v>2.9119999999999999</v>
      </c>
      <c r="F295" s="2" t="s">
        <v>28</v>
      </c>
    </row>
    <row r="296" spans="1:6" x14ac:dyDescent="0.25">
      <c r="A296" s="2" t="s">
        <v>40</v>
      </c>
      <c r="B296" s="2" t="s">
        <v>324</v>
      </c>
      <c r="C296" s="2">
        <v>3500</v>
      </c>
      <c r="D296" s="2" t="s">
        <v>48</v>
      </c>
      <c r="E296" s="2">
        <v>2.907</v>
      </c>
      <c r="F296" s="2" t="s">
        <v>144</v>
      </c>
    </row>
    <row r="297" spans="1:6" x14ac:dyDescent="0.25">
      <c r="A297" s="2" t="s">
        <v>92</v>
      </c>
      <c r="B297" s="2" t="s">
        <v>848</v>
      </c>
      <c r="C297" s="2">
        <v>2500</v>
      </c>
      <c r="D297" s="2" t="s">
        <v>45</v>
      </c>
      <c r="E297" s="2">
        <v>2.9</v>
      </c>
      <c r="F297" s="2" t="s">
        <v>22</v>
      </c>
    </row>
    <row r="298" spans="1:6" x14ac:dyDescent="0.25">
      <c r="A298" s="2" t="s">
        <v>92</v>
      </c>
      <c r="B298" s="2" t="s">
        <v>759</v>
      </c>
      <c r="C298" s="2">
        <v>2500</v>
      </c>
      <c r="D298" s="2" t="s">
        <v>35</v>
      </c>
      <c r="E298" s="2">
        <v>2.8919999999999999</v>
      </c>
      <c r="F298" s="2" t="s">
        <v>20</v>
      </c>
    </row>
    <row r="299" spans="1:6" x14ac:dyDescent="0.25">
      <c r="A299" s="2" t="s">
        <v>33</v>
      </c>
      <c r="B299" s="2" t="s">
        <v>193</v>
      </c>
      <c r="C299" s="2">
        <v>4400</v>
      </c>
      <c r="D299" s="2" t="s">
        <v>45</v>
      </c>
      <c r="E299" s="2">
        <v>2.8860000000000001</v>
      </c>
      <c r="F299" s="2" t="s">
        <v>22</v>
      </c>
    </row>
    <row r="300" spans="1:6" x14ac:dyDescent="0.25">
      <c r="A300" s="2" t="s">
        <v>64</v>
      </c>
      <c r="B300" s="2" t="s">
        <v>185</v>
      </c>
      <c r="C300" s="2">
        <v>4500</v>
      </c>
      <c r="D300" s="2" t="s">
        <v>75</v>
      </c>
      <c r="E300" s="2">
        <v>2.7349999999999999</v>
      </c>
      <c r="F300" s="2" t="s">
        <v>25</v>
      </c>
    </row>
    <row r="301" spans="1:6" x14ac:dyDescent="0.25">
      <c r="A301" s="2" t="s">
        <v>33</v>
      </c>
      <c r="B301" s="2" t="s">
        <v>615</v>
      </c>
      <c r="C301" s="2">
        <v>3000</v>
      </c>
      <c r="D301" s="2" t="s">
        <v>75</v>
      </c>
      <c r="E301" s="2">
        <v>2.6640000000000001</v>
      </c>
      <c r="F301" s="2" t="s">
        <v>91</v>
      </c>
    </row>
    <row r="302" spans="1:6" x14ac:dyDescent="0.25">
      <c r="A302" s="2" t="s">
        <v>33</v>
      </c>
      <c r="B302" s="2" t="s">
        <v>440</v>
      </c>
      <c r="C302" s="2">
        <v>3000</v>
      </c>
      <c r="D302" s="2" t="s">
        <v>52</v>
      </c>
      <c r="E302" s="2">
        <v>2.65</v>
      </c>
      <c r="F302" s="2" t="s">
        <v>115</v>
      </c>
    </row>
    <row r="303" spans="1:6" x14ac:dyDescent="0.25">
      <c r="A303" s="2" t="s">
        <v>92</v>
      </c>
      <c r="B303" s="2" t="s">
        <v>854</v>
      </c>
      <c r="C303" s="2">
        <v>2500</v>
      </c>
      <c r="D303" s="2" t="s">
        <v>45</v>
      </c>
      <c r="E303" s="2">
        <v>2.6309999999999998</v>
      </c>
      <c r="F303" s="2" t="s">
        <v>46</v>
      </c>
    </row>
    <row r="304" spans="1:6" x14ac:dyDescent="0.25">
      <c r="A304" s="2" t="s">
        <v>33</v>
      </c>
      <c r="B304" s="2" t="s">
        <v>365</v>
      </c>
      <c r="C304" s="2">
        <v>3100</v>
      </c>
      <c r="D304" s="2" t="s">
        <v>45</v>
      </c>
      <c r="E304" s="2">
        <v>2.63</v>
      </c>
      <c r="F304" s="2" t="s">
        <v>46</v>
      </c>
    </row>
    <row r="305" spans="1:6" x14ac:dyDescent="0.25">
      <c r="A305" s="2" t="s">
        <v>40</v>
      </c>
      <c r="B305" s="2" t="s">
        <v>677</v>
      </c>
      <c r="C305" s="2">
        <v>3000</v>
      </c>
      <c r="D305" s="2" t="s">
        <v>69</v>
      </c>
      <c r="E305" s="2">
        <v>2.6</v>
      </c>
      <c r="F305" s="2" t="s">
        <v>70</v>
      </c>
    </row>
    <row r="306" spans="1:6" x14ac:dyDescent="0.25">
      <c r="A306" s="2" t="s">
        <v>92</v>
      </c>
      <c r="B306" s="2" t="s">
        <v>767</v>
      </c>
      <c r="C306" s="2">
        <v>2500</v>
      </c>
      <c r="D306" s="2" t="s">
        <v>38</v>
      </c>
      <c r="E306" s="2">
        <v>2.5289999999999999</v>
      </c>
      <c r="F306" s="2" t="s">
        <v>26</v>
      </c>
    </row>
    <row r="307" spans="1:6" x14ac:dyDescent="0.25">
      <c r="A307" s="2" t="s">
        <v>64</v>
      </c>
      <c r="B307" s="2" t="s">
        <v>210</v>
      </c>
      <c r="C307" s="2">
        <v>4100</v>
      </c>
      <c r="D307" s="2" t="s">
        <v>38</v>
      </c>
      <c r="E307" s="2">
        <v>2.476</v>
      </c>
      <c r="F307" s="2" t="s">
        <v>39</v>
      </c>
    </row>
    <row r="308" spans="1:6" x14ac:dyDescent="0.25">
      <c r="A308" s="2" t="s">
        <v>33</v>
      </c>
      <c r="B308" s="2" t="s">
        <v>543</v>
      </c>
      <c r="C308" s="2">
        <v>3000</v>
      </c>
      <c r="D308" s="2" t="s">
        <v>55</v>
      </c>
      <c r="E308" s="2">
        <v>2.407</v>
      </c>
      <c r="F308" s="2" t="s">
        <v>56</v>
      </c>
    </row>
    <row r="309" spans="1:6" x14ac:dyDescent="0.25">
      <c r="A309" s="2" t="s">
        <v>40</v>
      </c>
      <c r="B309" s="2" t="s">
        <v>465</v>
      </c>
      <c r="C309" s="2">
        <v>3000</v>
      </c>
      <c r="D309" s="2" t="s">
        <v>35</v>
      </c>
      <c r="E309" s="2">
        <v>2.4060000000000001</v>
      </c>
      <c r="F309" s="2" t="s">
        <v>20</v>
      </c>
    </row>
    <row r="310" spans="1:6" x14ac:dyDescent="0.25">
      <c r="A310" s="2" t="s">
        <v>40</v>
      </c>
      <c r="B310" s="2" t="s">
        <v>452</v>
      </c>
      <c r="C310" s="2">
        <v>3000</v>
      </c>
      <c r="D310" s="2" t="s">
        <v>52</v>
      </c>
      <c r="E310" s="2">
        <v>2.4</v>
      </c>
      <c r="F310" s="2" t="s">
        <v>115</v>
      </c>
    </row>
    <row r="311" spans="1:6" x14ac:dyDescent="0.25">
      <c r="A311" s="2" t="s">
        <v>33</v>
      </c>
      <c r="B311" s="2" t="s">
        <v>660</v>
      </c>
      <c r="C311" s="2">
        <v>3000</v>
      </c>
      <c r="D311" s="2" t="s">
        <v>69</v>
      </c>
      <c r="E311" s="2">
        <v>2.367</v>
      </c>
      <c r="F311" s="2" t="s">
        <v>1</v>
      </c>
    </row>
    <row r="312" spans="1:6" x14ac:dyDescent="0.25">
      <c r="A312" s="2" t="s">
        <v>40</v>
      </c>
      <c r="B312" s="2" t="s">
        <v>364</v>
      </c>
      <c r="C312" s="2">
        <v>3100</v>
      </c>
      <c r="D312" s="2" t="s">
        <v>75</v>
      </c>
      <c r="E312" s="2">
        <v>2.36</v>
      </c>
      <c r="F312" s="2" t="s">
        <v>91</v>
      </c>
    </row>
    <row r="313" spans="1:6" x14ac:dyDescent="0.25">
      <c r="A313" s="2" t="s">
        <v>92</v>
      </c>
      <c r="B313" s="2" t="s">
        <v>783</v>
      </c>
      <c r="C313" s="2">
        <v>2500</v>
      </c>
      <c r="D313" s="2" t="s">
        <v>103</v>
      </c>
      <c r="E313" s="2">
        <v>2.2999999999999998</v>
      </c>
      <c r="F313" s="2" t="s">
        <v>110</v>
      </c>
    </row>
    <row r="314" spans="1:6" x14ac:dyDescent="0.25">
      <c r="A314" s="2" t="s">
        <v>40</v>
      </c>
      <c r="B314" s="2" t="s">
        <v>649</v>
      </c>
      <c r="C314" s="2">
        <v>3000</v>
      </c>
      <c r="D314" s="2" t="s">
        <v>58</v>
      </c>
      <c r="E314" s="2">
        <v>2.2949999999999999</v>
      </c>
      <c r="F314" s="2" t="s">
        <v>77</v>
      </c>
    </row>
    <row r="315" spans="1:6" x14ac:dyDescent="0.25">
      <c r="A315" s="2" t="s">
        <v>40</v>
      </c>
      <c r="B315" s="2" t="s">
        <v>498</v>
      </c>
      <c r="C315" s="2">
        <v>3000</v>
      </c>
      <c r="D315" s="2" t="s">
        <v>38</v>
      </c>
      <c r="E315" s="2">
        <v>2.2829999999999999</v>
      </c>
      <c r="F315" s="2" t="s">
        <v>39</v>
      </c>
    </row>
    <row r="316" spans="1:6" x14ac:dyDescent="0.25">
      <c r="A316" s="2" t="s">
        <v>33</v>
      </c>
      <c r="B316" s="2" t="s">
        <v>605</v>
      </c>
      <c r="C316" s="2">
        <v>3000</v>
      </c>
      <c r="D316" s="2" t="s">
        <v>75</v>
      </c>
      <c r="E316" s="2">
        <v>2.2250000000000001</v>
      </c>
      <c r="F316" s="2" t="s">
        <v>25</v>
      </c>
    </row>
    <row r="317" spans="1:6" x14ac:dyDescent="0.25">
      <c r="A317" s="2" t="s">
        <v>92</v>
      </c>
      <c r="B317" s="2" t="s">
        <v>796</v>
      </c>
      <c r="C317" s="2">
        <v>2500</v>
      </c>
      <c r="D317" s="2" t="s">
        <v>62</v>
      </c>
      <c r="E317" s="2">
        <v>2.2250000000000001</v>
      </c>
      <c r="F317" s="2" t="s">
        <v>63</v>
      </c>
    </row>
    <row r="318" spans="1:6" x14ac:dyDescent="0.25">
      <c r="A318" s="2" t="s">
        <v>92</v>
      </c>
      <c r="B318" s="2" t="s">
        <v>800</v>
      </c>
      <c r="C318" s="2">
        <v>2500</v>
      </c>
      <c r="D318" s="2" t="s">
        <v>62</v>
      </c>
      <c r="E318" s="2">
        <v>2.2250000000000001</v>
      </c>
      <c r="F318" s="2" t="s">
        <v>67</v>
      </c>
    </row>
    <row r="319" spans="1:6" x14ac:dyDescent="0.25">
      <c r="A319" s="2" t="s">
        <v>92</v>
      </c>
      <c r="B319" s="2" t="s">
        <v>764</v>
      </c>
      <c r="C319" s="2">
        <v>2500</v>
      </c>
      <c r="D319" s="2" t="s">
        <v>35</v>
      </c>
      <c r="E319" s="2">
        <v>2.1749999999999998</v>
      </c>
      <c r="F319" s="2" t="s">
        <v>36</v>
      </c>
    </row>
    <row r="320" spans="1:6" x14ac:dyDescent="0.25">
      <c r="A320" s="2" t="s">
        <v>40</v>
      </c>
      <c r="B320" s="2" t="s">
        <v>551</v>
      </c>
      <c r="C320" s="2">
        <v>3000</v>
      </c>
      <c r="D320" s="2" t="s">
        <v>55</v>
      </c>
      <c r="E320" s="2">
        <v>2.169</v>
      </c>
      <c r="F320" s="2" t="s">
        <v>56</v>
      </c>
    </row>
    <row r="321" spans="1:6" x14ac:dyDescent="0.25">
      <c r="A321" s="2" t="s">
        <v>33</v>
      </c>
      <c r="B321" s="2" t="s">
        <v>366</v>
      </c>
      <c r="C321" s="2">
        <v>3000</v>
      </c>
      <c r="D321" s="2" t="s">
        <v>48</v>
      </c>
      <c r="E321" s="2">
        <v>2.1629999999999998</v>
      </c>
      <c r="F321" s="2" t="s">
        <v>49</v>
      </c>
    </row>
    <row r="322" spans="1:6" x14ac:dyDescent="0.25">
      <c r="A322" s="2" t="s">
        <v>40</v>
      </c>
      <c r="B322" s="2" t="s">
        <v>351</v>
      </c>
      <c r="C322" s="2">
        <v>3300</v>
      </c>
      <c r="D322" s="2" t="s">
        <v>45</v>
      </c>
      <c r="E322" s="2">
        <v>2.0499999999999998</v>
      </c>
      <c r="F322" s="2" t="s">
        <v>46</v>
      </c>
    </row>
    <row r="323" spans="1:6" x14ac:dyDescent="0.25">
      <c r="A323" s="2" t="s">
        <v>33</v>
      </c>
      <c r="B323" s="2" t="s">
        <v>504</v>
      </c>
      <c r="C323" s="2">
        <v>3000</v>
      </c>
      <c r="D323" s="2" t="s">
        <v>103</v>
      </c>
      <c r="E323" s="2">
        <v>2.0299999999999998</v>
      </c>
      <c r="F323" s="2" t="s">
        <v>19</v>
      </c>
    </row>
    <row r="324" spans="1:6" x14ac:dyDescent="0.25">
      <c r="A324" s="2" t="s">
        <v>33</v>
      </c>
      <c r="B324" s="2" t="s">
        <v>482</v>
      </c>
      <c r="C324" s="2">
        <v>3000</v>
      </c>
      <c r="D324" s="2" t="s">
        <v>38</v>
      </c>
      <c r="E324" s="2">
        <v>2.0249999999999999</v>
      </c>
      <c r="F324" s="2" t="s">
        <v>26</v>
      </c>
    </row>
    <row r="325" spans="1:6" x14ac:dyDescent="0.25">
      <c r="A325" s="2" t="s">
        <v>92</v>
      </c>
      <c r="B325" s="2" t="s">
        <v>753</v>
      </c>
      <c r="C325" s="2">
        <v>2500</v>
      </c>
      <c r="D325" s="2" t="s">
        <v>52</v>
      </c>
      <c r="E325" s="2">
        <v>1.9470000000000001</v>
      </c>
      <c r="F325" s="2" t="s">
        <v>115</v>
      </c>
    </row>
    <row r="326" spans="1:6" x14ac:dyDescent="0.25">
      <c r="A326" s="2" t="s">
        <v>33</v>
      </c>
      <c r="B326" s="2" t="s">
        <v>642</v>
      </c>
      <c r="C326" s="2">
        <v>3000</v>
      </c>
      <c r="D326" s="2" t="s">
        <v>58</v>
      </c>
      <c r="E326" s="2">
        <v>1.9379999999999999</v>
      </c>
      <c r="F326" s="2" t="s">
        <v>77</v>
      </c>
    </row>
    <row r="327" spans="1:6" x14ac:dyDescent="0.25">
      <c r="A327" s="2" t="s">
        <v>40</v>
      </c>
      <c r="B327" s="2" t="s">
        <v>319</v>
      </c>
      <c r="C327" s="2">
        <v>3600</v>
      </c>
      <c r="D327" s="2" t="s">
        <v>58</v>
      </c>
      <c r="E327" s="2">
        <v>1.9</v>
      </c>
      <c r="F327" s="2" t="s">
        <v>59</v>
      </c>
    </row>
    <row r="328" spans="1:6" x14ac:dyDescent="0.25">
      <c r="A328" s="2" t="s">
        <v>33</v>
      </c>
      <c r="B328" s="2" t="s">
        <v>336</v>
      </c>
      <c r="C328" s="2">
        <v>3400</v>
      </c>
      <c r="D328" s="2" t="s">
        <v>38</v>
      </c>
      <c r="E328" s="2">
        <v>1.881</v>
      </c>
      <c r="F328" s="2" t="s">
        <v>39</v>
      </c>
    </row>
    <row r="329" spans="1:6" x14ac:dyDescent="0.25">
      <c r="A329" s="2" t="s">
        <v>33</v>
      </c>
      <c r="B329" s="2" t="s">
        <v>641</v>
      </c>
      <c r="C329" s="2">
        <v>3000</v>
      </c>
      <c r="D329" s="2" t="s">
        <v>58</v>
      </c>
      <c r="E329" s="2">
        <v>1.867</v>
      </c>
      <c r="F329" s="2" t="s">
        <v>77</v>
      </c>
    </row>
    <row r="330" spans="1:6" x14ac:dyDescent="0.25">
      <c r="A330" s="2" t="s">
        <v>92</v>
      </c>
      <c r="B330" s="2" t="s">
        <v>786</v>
      </c>
      <c r="C330" s="2">
        <v>2500</v>
      </c>
      <c r="D330" s="2" t="s">
        <v>55</v>
      </c>
      <c r="E330" s="2">
        <v>1.847</v>
      </c>
      <c r="F330" s="2" t="s">
        <v>28</v>
      </c>
    </row>
    <row r="331" spans="1:6" x14ac:dyDescent="0.25">
      <c r="A331" s="2" t="s">
        <v>92</v>
      </c>
      <c r="B331" s="2" t="s">
        <v>807</v>
      </c>
      <c r="C331" s="2">
        <v>2500</v>
      </c>
      <c r="D331" s="2" t="s">
        <v>86</v>
      </c>
      <c r="E331" s="2">
        <v>1.8440000000000001</v>
      </c>
      <c r="F331" s="2" t="s">
        <v>21</v>
      </c>
    </row>
    <row r="332" spans="1:6" x14ac:dyDescent="0.25">
      <c r="A332" s="2" t="s">
        <v>92</v>
      </c>
      <c r="B332" s="2" t="s">
        <v>843</v>
      </c>
      <c r="C332" s="2">
        <v>2500</v>
      </c>
      <c r="D332" s="2" t="s">
        <v>69</v>
      </c>
      <c r="E332" s="2">
        <v>1.8380000000000001</v>
      </c>
      <c r="F332" s="2" t="s">
        <v>70</v>
      </c>
    </row>
    <row r="333" spans="1:6" x14ac:dyDescent="0.25">
      <c r="A333" s="2" t="s">
        <v>33</v>
      </c>
      <c r="B333" s="2" t="s">
        <v>415</v>
      </c>
      <c r="C333" s="2">
        <v>3000</v>
      </c>
      <c r="D333" s="2" t="s">
        <v>43</v>
      </c>
      <c r="E333" s="2">
        <v>1.7769999999999999</v>
      </c>
      <c r="F333" s="2" t="s">
        <v>27</v>
      </c>
    </row>
    <row r="334" spans="1:6" x14ac:dyDescent="0.25">
      <c r="A334" s="2" t="s">
        <v>92</v>
      </c>
      <c r="B334" s="2" t="s">
        <v>788</v>
      </c>
      <c r="C334" s="2">
        <v>2500</v>
      </c>
      <c r="D334" s="2" t="s">
        <v>55</v>
      </c>
      <c r="E334" s="2">
        <v>1.7689999999999999</v>
      </c>
      <c r="F334" s="2" t="s">
        <v>28</v>
      </c>
    </row>
    <row r="335" spans="1:6" x14ac:dyDescent="0.25">
      <c r="A335" s="2" t="s">
        <v>40</v>
      </c>
      <c r="B335" s="2" t="s">
        <v>501</v>
      </c>
      <c r="C335" s="2">
        <v>3000</v>
      </c>
      <c r="D335" s="2" t="s">
        <v>38</v>
      </c>
      <c r="E335" s="2">
        <v>1.7669999999999999</v>
      </c>
      <c r="F335" s="2" t="s">
        <v>39</v>
      </c>
    </row>
    <row r="336" spans="1:6" x14ac:dyDescent="0.25">
      <c r="A336" s="2" t="s">
        <v>92</v>
      </c>
      <c r="B336" s="2" t="s">
        <v>779</v>
      </c>
      <c r="C336" s="2">
        <v>2500</v>
      </c>
      <c r="D336" s="2" t="s">
        <v>103</v>
      </c>
      <c r="E336" s="2">
        <v>1.7529999999999999</v>
      </c>
      <c r="F336" s="2" t="s">
        <v>19</v>
      </c>
    </row>
    <row r="337" spans="1:6" x14ac:dyDescent="0.25">
      <c r="A337" s="2" t="s">
        <v>92</v>
      </c>
      <c r="B337" s="2" t="s">
        <v>755</v>
      </c>
      <c r="C337" s="2">
        <v>2500</v>
      </c>
      <c r="D337" s="2" t="s">
        <v>52</v>
      </c>
      <c r="E337" s="2">
        <v>1.7330000000000001</v>
      </c>
      <c r="F337" s="2" t="s">
        <v>115</v>
      </c>
    </row>
    <row r="338" spans="1:6" x14ac:dyDescent="0.25">
      <c r="A338" s="2" t="s">
        <v>33</v>
      </c>
      <c r="B338" s="2" t="s">
        <v>458</v>
      </c>
      <c r="C338" s="2">
        <v>3000</v>
      </c>
      <c r="D338" s="2" t="s">
        <v>35</v>
      </c>
      <c r="E338" s="2">
        <v>1.675</v>
      </c>
      <c r="F338" s="2" t="s">
        <v>20</v>
      </c>
    </row>
    <row r="339" spans="1:6" x14ac:dyDescent="0.25">
      <c r="A339" s="2" t="s">
        <v>33</v>
      </c>
      <c r="B339" s="2" t="s">
        <v>592</v>
      </c>
      <c r="C339" s="2">
        <v>3000</v>
      </c>
      <c r="D339" s="2" t="s">
        <v>86</v>
      </c>
      <c r="E339" s="2">
        <v>1.667</v>
      </c>
      <c r="F339" s="2" t="s">
        <v>24</v>
      </c>
    </row>
    <row r="340" spans="1:6" x14ac:dyDescent="0.25">
      <c r="A340" s="2" t="s">
        <v>40</v>
      </c>
      <c r="B340" s="2" t="s">
        <v>668</v>
      </c>
      <c r="C340" s="2">
        <v>3000</v>
      </c>
      <c r="D340" s="2" t="s">
        <v>69</v>
      </c>
      <c r="E340" s="2">
        <v>1.65</v>
      </c>
      <c r="F340" s="2" t="s">
        <v>1</v>
      </c>
    </row>
    <row r="341" spans="1:6" x14ac:dyDescent="0.25">
      <c r="A341" s="2" t="s">
        <v>40</v>
      </c>
      <c r="B341" s="2" t="s">
        <v>381</v>
      </c>
      <c r="C341" s="2">
        <v>3000</v>
      </c>
      <c r="D341" s="2" t="s">
        <v>48</v>
      </c>
      <c r="E341" s="2">
        <v>1.633</v>
      </c>
      <c r="F341" s="2" t="s">
        <v>49</v>
      </c>
    </row>
    <row r="342" spans="1:6" x14ac:dyDescent="0.25">
      <c r="A342" s="2" t="s">
        <v>92</v>
      </c>
      <c r="B342" s="2" t="s">
        <v>723</v>
      </c>
      <c r="C342" s="2">
        <v>2600</v>
      </c>
      <c r="D342" s="2" t="s">
        <v>75</v>
      </c>
      <c r="E342" s="2">
        <v>1.5940000000000001</v>
      </c>
      <c r="F342" s="2" t="s">
        <v>91</v>
      </c>
    </row>
    <row r="343" spans="1:6" x14ac:dyDescent="0.25">
      <c r="A343" s="2" t="s">
        <v>40</v>
      </c>
      <c r="B343" s="2" t="s">
        <v>522</v>
      </c>
      <c r="C343" s="2">
        <v>3000</v>
      </c>
      <c r="D343" s="2" t="s">
        <v>103</v>
      </c>
      <c r="E343" s="2">
        <v>1.5069999999999999</v>
      </c>
      <c r="F343" s="2" t="s">
        <v>110</v>
      </c>
    </row>
    <row r="344" spans="1:6" x14ac:dyDescent="0.25">
      <c r="A344" s="2" t="s">
        <v>64</v>
      </c>
      <c r="B344" s="2" t="s">
        <v>186</v>
      </c>
      <c r="C344" s="2">
        <v>4500</v>
      </c>
      <c r="D344" s="2" t="s">
        <v>58</v>
      </c>
      <c r="E344" s="2">
        <v>1.4830000000000001</v>
      </c>
      <c r="F344" s="2" t="s">
        <v>77</v>
      </c>
    </row>
    <row r="345" spans="1:6" x14ac:dyDescent="0.25">
      <c r="A345" s="2" t="s">
        <v>33</v>
      </c>
      <c r="B345" s="2" t="s">
        <v>602</v>
      </c>
      <c r="C345" s="2">
        <v>3000</v>
      </c>
      <c r="D345" s="2" t="s">
        <v>75</v>
      </c>
      <c r="E345" s="2">
        <v>1.4750000000000001</v>
      </c>
      <c r="F345" s="2" t="s">
        <v>25</v>
      </c>
    </row>
    <row r="346" spans="1:6" x14ac:dyDescent="0.25">
      <c r="A346" s="2" t="s">
        <v>40</v>
      </c>
      <c r="B346" s="2" t="s">
        <v>593</v>
      </c>
      <c r="C346" s="2">
        <v>3000</v>
      </c>
      <c r="D346" s="2" t="s">
        <v>86</v>
      </c>
      <c r="E346" s="2">
        <v>1.46</v>
      </c>
      <c r="F346" s="2" t="s">
        <v>24</v>
      </c>
    </row>
    <row r="347" spans="1:6" x14ac:dyDescent="0.25">
      <c r="A347" s="2" t="s">
        <v>92</v>
      </c>
      <c r="B347" s="2" t="s">
        <v>850</v>
      </c>
      <c r="C347" s="2">
        <v>2500</v>
      </c>
      <c r="D347" s="2" t="s">
        <v>45</v>
      </c>
      <c r="E347" s="2">
        <v>1.4330000000000001</v>
      </c>
      <c r="F347" s="2" t="s">
        <v>22</v>
      </c>
    </row>
    <row r="348" spans="1:6" x14ac:dyDescent="0.25">
      <c r="A348" s="2" t="s">
        <v>92</v>
      </c>
      <c r="B348" s="2" t="s">
        <v>727</v>
      </c>
      <c r="C348" s="2">
        <v>2500</v>
      </c>
      <c r="D348" s="2" t="s">
        <v>48</v>
      </c>
      <c r="E348" s="2">
        <v>1.4</v>
      </c>
      <c r="F348" s="2" t="s">
        <v>49</v>
      </c>
    </row>
    <row r="349" spans="1:6" x14ac:dyDescent="0.25">
      <c r="A349" s="2" t="s">
        <v>92</v>
      </c>
      <c r="B349" s="2" t="s">
        <v>776</v>
      </c>
      <c r="C349" s="2">
        <v>2500</v>
      </c>
      <c r="D349" s="2" t="s">
        <v>38</v>
      </c>
      <c r="E349" s="2">
        <v>1.4</v>
      </c>
      <c r="F349" s="2" t="s">
        <v>39</v>
      </c>
    </row>
    <row r="350" spans="1:6" x14ac:dyDescent="0.25">
      <c r="A350" s="2" t="s">
        <v>92</v>
      </c>
      <c r="B350" s="2" t="s">
        <v>852</v>
      </c>
      <c r="C350" s="2">
        <v>2500</v>
      </c>
      <c r="D350" s="2" t="s">
        <v>45</v>
      </c>
      <c r="E350" s="2">
        <v>1.387</v>
      </c>
      <c r="F350" s="2" t="s">
        <v>46</v>
      </c>
    </row>
    <row r="351" spans="1:6" x14ac:dyDescent="0.25">
      <c r="A351" s="2" t="s">
        <v>92</v>
      </c>
      <c r="B351" s="2" t="s">
        <v>747</v>
      </c>
      <c r="C351" s="2">
        <v>2500</v>
      </c>
      <c r="D351" s="2" t="s">
        <v>52</v>
      </c>
      <c r="E351" s="2">
        <v>1.371</v>
      </c>
      <c r="F351" s="2" t="s">
        <v>53</v>
      </c>
    </row>
    <row r="352" spans="1:6" x14ac:dyDescent="0.25">
      <c r="A352" s="2" t="s">
        <v>33</v>
      </c>
      <c r="B352" s="2" t="s">
        <v>445</v>
      </c>
      <c r="C352" s="2">
        <v>3000</v>
      </c>
      <c r="D352" s="2" t="s">
        <v>52</v>
      </c>
      <c r="E352" s="2">
        <v>1.333</v>
      </c>
      <c r="F352" s="2" t="s">
        <v>115</v>
      </c>
    </row>
    <row r="353" spans="1:6" x14ac:dyDescent="0.25">
      <c r="A353" s="2" t="s">
        <v>92</v>
      </c>
      <c r="B353" s="2" t="s">
        <v>739</v>
      </c>
      <c r="C353" s="2">
        <v>2500</v>
      </c>
      <c r="D353" s="2" t="s">
        <v>43</v>
      </c>
      <c r="E353" s="2">
        <v>1.32</v>
      </c>
      <c r="F353" s="2" t="s">
        <v>23</v>
      </c>
    </row>
    <row r="354" spans="1:6" x14ac:dyDescent="0.25">
      <c r="A354" s="2" t="s">
        <v>33</v>
      </c>
      <c r="B354" s="2" t="s">
        <v>268</v>
      </c>
      <c r="C354" s="2">
        <v>3900</v>
      </c>
      <c r="D354" s="2" t="s">
        <v>48</v>
      </c>
      <c r="E354" s="2">
        <v>1.3089999999999999</v>
      </c>
      <c r="F354" s="2" t="s">
        <v>49</v>
      </c>
    </row>
    <row r="355" spans="1:6" x14ac:dyDescent="0.25">
      <c r="A355" s="2" t="s">
        <v>40</v>
      </c>
      <c r="B355" s="2" t="s">
        <v>586</v>
      </c>
      <c r="C355" s="2">
        <v>3000</v>
      </c>
      <c r="D355" s="2" t="s">
        <v>86</v>
      </c>
      <c r="E355" s="2">
        <v>1.3</v>
      </c>
      <c r="F355" s="2" t="s">
        <v>21</v>
      </c>
    </row>
    <row r="356" spans="1:6" x14ac:dyDescent="0.25">
      <c r="A356" s="2" t="s">
        <v>33</v>
      </c>
      <c r="B356" s="2" t="s">
        <v>368</v>
      </c>
      <c r="C356" s="2">
        <v>3000</v>
      </c>
      <c r="D356" s="2" t="s">
        <v>48</v>
      </c>
      <c r="E356" s="2">
        <v>1.2390000000000001</v>
      </c>
      <c r="F356" s="2" t="s">
        <v>49</v>
      </c>
    </row>
    <row r="357" spans="1:6" x14ac:dyDescent="0.25">
      <c r="A357" s="2" t="s">
        <v>40</v>
      </c>
      <c r="B357" s="2" t="s">
        <v>608</v>
      </c>
      <c r="C357" s="2">
        <v>3000</v>
      </c>
      <c r="D357" s="2" t="s">
        <v>75</v>
      </c>
      <c r="E357" s="2">
        <v>1.2170000000000001</v>
      </c>
      <c r="F357" s="2" t="s">
        <v>25</v>
      </c>
    </row>
    <row r="358" spans="1:6" x14ac:dyDescent="0.25">
      <c r="A358" s="2" t="s">
        <v>64</v>
      </c>
      <c r="B358" s="2" t="s">
        <v>246</v>
      </c>
      <c r="C358" s="2">
        <v>4000</v>
      </c>
      <c r="D358" s="2" t="s">
        <v>62</v>
      </c>
      <c r="E358" s="2">
        <v>1.206</v>
      </c>
      <c r="F358" s="2" t="s">
        <v>67</v>
      </c>
    </row>
    <row r="359" spans="1:6" x14ac:dyDescent="0.25">
      <c r="A359" s="2" t="s">
        <v>92</v>
      </c>
      <c r="B359" s="2" t="s">
        <v>820</v>
      </c>
      <c r="C359" s="2">
        <v>2500</v>
      </c>
      <c r="D359" s="2" t="s">
        <v>75</v>
      </c>
      <c r="E359" s="2">
        <v>1.1499999999999999</v>
      </c>
      <c r="F359" s="2" t="s">
        <v>25</v>
      </c>
    </row>
    <row r="360" spans="1:6" x14ac:dyDescent="0.25">
      <c r="A360" s="2" t="s">
        <v>92</v>
      </c>
      <c r="B360" s="2" t="s">
        <v>792</v>
      </c>
      <c r="C360" s="2">
        <v>2500</v>
      </c>
      <c r="D360" s="2" t="s">
        <v>55</v>
      </c>
      <c r="E360" s="2">
        <v>1.129</v>
      </c>
      <c r="F360" s="2" t="s">
        <v>56</v>
      </c>
    </row>
    <row r="361" spans="1:6" x14ac:dyDescent="0.25">
      <c r="A361" s="2" t="s">
        <v>40</v>
      </c>
      <c r="B361" s="2" t="s">
        <v>338</v>
      </c>
      <c r="C361" s="2">
        <v>3400</v>
      </c>
      <c r="D361" s="2" t="s">
        <v>86</v>
      </c>
      <c r="E361" s="2">
        <v>1.038</v>
      </c>
      <c r="F361" s="2" t="s">
        <v>24</v>
      </c>
    </row>
    <row r="362" spans="1:6" x14ac:dyDescent="0.25">
      <c r="A362" s="2" t="s">
        <v>33</v>
      </c>
      <c r="B362" s="2" t="s">
        <v>441</v>
      </c>
      <c r="C362" s="2">
        <v>3000</v>
      </c>
      <c r="D362" s="2" t="s">
        <v>52</v>
      </c>
      <c r="E362" s="2">
        <v>0.98799999999999999</v>
      </c>
      <c r="F362" s="2" t="s">
        <v>115</v>
      </c>
    </row>
    <row r="363" spans="1:6" x14ac:dyDescent="0.25">
      <c r="A363" s="2" t="s">
        <v>92</v>
      </c>
      <c r="B363" s="2" t="s">
        <v>841</v>
      </c>
      <c r="C363" s="2">
        <v>2500</v>
      </c>
      <c r="D363" s="2" t="s">
        <v>69</v>
      </c>
      <c r="E363" s="2">
        <v>0.96199999999999997</v>
      </c>
      <c r="F363" s="2" t="s">
        <v>1</v>
      </c>
    </row>
    <row r="364" spans="1:6" x14ac:dyDescent="0.25">
      <c r="A364" s="2" t="s">
        <v>92</v>
      </c>
      <c r="B364" s="2" t="s">
        <v>37</v>
      </c>
      <c r="C364" s="2">
        <v>2500</v>
      </c>
      <c r="D364" s="2" t="s">
        <v>35</v>
      </c>
      <c r="E364" s="2">
        <v>0.95299999999999996</v>
      </c>
      <c r="F364" s="2" t="s">
        <v>36</v>
      </c>
    </row>
    <row r="365" spans="1:6" x14ac:dyDescent="0.25">
      <c r="A365" s="2" t="s">
        <v>40</v>
      </c>
      <c r="B365" s="2" t="s">
        <v>397</v>
      </c>
      <c r="C365" s="2">
        <v>3000</v>
      </c>
      <c r="D365" s="2" t="s">
        <v>48</v>
      </c>
      <c r="E365" s="2">
        <v>0.93799999999999994</v>
      </c>
      <c r="F365" s="2" t="s">
        <v>144</v>
      </c>
    </row>
    <row r="366" spans="1:6" x14ac:dyDescent="0.25">
      <c r="A366" s="2" t="s">
        <v>33</v>
      </c>
      <c r="B366" s="2" t="s">
        <v>474</v>
      </c>
      <c r="C366" s="2">
        <v>3000</v>
      </c>
      <c r="D366" s="2" t="s">
        <v>35</v>
      </c>
      <c r="E366" s="2">
        <v>0.93600000000000005</v>
      </c>
      <c r="F366" s="2" t="s">
        <v>36</v>
      </c>
    </row>
    <row r="367" spans="1:6" x14ac:dyDescent="0.25">
      <c r="A367" s="2" t="s">
        <v>40</v>
      </c>
      <c r="B367" s="2" t="s">
        <v>666</v>
      </c>
      <c r="C367" s="2">
        <v>3000</v>
      </c>
      <c r="D367" s="2" t="s">
        <v>69</v>
      </c>
      <c r="E367" s="2">
        <v>0.92500000000000004</v>
      </c>
      <c r="F367" s="2" t="s">
        <v>1</v>
      </c>
    </row>
    <row r="368" spans="1:6" x14ac:dyDescent="0.25">
      <c r="A368" s="2" t="s">
        <v>40</v>
      </c>
      <c r="B368" s="2" t="s">
        <v>446</v>
      </c>
      <c r="C368" s="2">
        <v>3000</v>
      </c>
      <c r="D368" s="2" t="s">
        <v>52</v>
      </c>
      <c r="E368" s="2">
        <v>0.9</v>
      </c>
      <c r="F368" s="2" t="s">
        <v>115</v>
      </c>
    </row>
    <row r="369" spans="1:6" x14ac:dyDescent="0.25">
      <c r="A369" s="2" t="s">
        <v>40</v>
      </c>
      <c r="B369" s="2" t="s">
        <v>526</v>
      </c>
      <c r="C369" s="2">
        <v>3000</v>
      </c>
      <c r="D369" s="2" t="s">
        <v>103</v>
      </c>
      <c r="E369" s="2">
        <v>0.9</v>
      </c>
      <c r="F369" s="2" t="s">
        <v>110</v>
      </c>
    </row>
    <row r="370" spans="1:6" x14ac:dyDescent="0.25">
      <c r="A370" s="2" t="s">
        <v>40</v>
      </c>
      <c r="B370" s="2" t="s">
        <v>463</v>
      </c>
      <c r="C370" s="2">
        <v>3000</v>
      </c>
      <c r="D370" s="2" t="s">
        <v>35</v>
      </c>
      <c r="E370" s="2">
        <v>0.85599999999999998</v>
      </c>
      <c r="F370" s="2" t="s">
        <v>20</v>
      </c>
    </row>
    <row r="371" spans="1:6" x14ac:dyDescent="0.25">
      <c r="A371" s="2" t="s">
        <v>40</v>
      </c>
      <c r="B371" s="2" t="s">
        <v>538</v>
      </c>
      <c r="C371" s="2">
        <v>3000</v>
      </c>
      <c r="D371" s="2" t="s">
        <v>55</v>
      </c>
      <c r="E371" s="2">
        <v>0.85</v>
      </c>
      <c r="F371" s="2" t="s">
        <v>28</v>
      </c>
    </row>
    <row r="372" spans="1:6" x14ac:dyDescent="0.25">
      <c r="A372" s="2" t="s">
        <v>92</v>
      </c>
      <c r="B372" s="2" t="s">
        <v>744</v>
      </c>
      <c r="C372" s="2">
        <v>2500</v>
      </c>
      <c r="D372" s="2" t="s">
        <v>43</v>
      </c>
      <c r="E372" s="2">
        <v>0.82499999999999996</v>
      </c>
      <c r="F372" s="2" t="s">
        <v>27</v>
      </c>
    </row>
    <row r="373" spans="1:6" x14ac:dyDescent="0.25">
      <c r="A373" s="2" t="s">
        <v>40</v>
      </c>
      <c r="B373" s="2" t="s">
        <v>439</v>
      </c>
      <c r="C373" s="2">
        <v>3000</v>
      </c>
      <c r="D373" s="2" t="s">
        <v>52</v>
      </c>
      <c r="E373" s="2">
        <v>0.81899999999999995</v>
      </c>
      <c r="F373" s="2" t="s">
        <v>53</v>
      </c>
    </row>
    <row r="374" spans="1:6" x14ac:dyDescent="0.25">
      <c r="A374" s="2" t="s">
        <v>40</v>
      </c>
      <c r="B374" s="2" t="s">
        <v>621</v>
      </c>
      <c r="C374" s="2">
        <v>3000</v>
      </c>
      <c r="D374" s="2" t="s">
        <v>75</v>
      </c>
      <c r="E374" s="2">
        <v>0.8</v>
      </c>
      <c r="F374" s="2" t="s">
        <v>91</v>
      </c>
    </row>
    <row r="375" spans="1:6" x14ac:dyDescent="0.25">
      <c r="A375" s="2" t="s">
        <v>40</v>
      </c>
      <c r="B375" s="2" t="s">
        <v>636</v>
      </c>
      <c r="C375" s="2">
        <v>3000</v>
      </c>
      <c r="D375" s="2" t="s">
        <v>58</v>
      </c>
      <c r="E375" s="2">
        <v>0.8</v>
      </c>
      <c r="F375" s="2" t="s">
        <v>59</v>
      </c>
    </row>
    <row r="376" spans="1:6" x14ac:dyDescent="0.25">
      <c r="A376" s="2" t="s">
        <v>92</v>
      </c>
      <c r="B376" s="2" t="s">
        <v>775</v>
      </c>
      <c r="C376" s="2">
        <v>2500</v>
      </c>
      <c r="D376" s="2" t="s">
        <v>38</v>
      </c>
      <c r="E376" s="2">
        <v>0.8</v>
      </c>
      <c r="F376" s="2" t="s">
        <v>39</v>
      </c>
    </row>
    <row r="377" spans="1:6" x14ac:dyDescent="0.25">
      <c r="A377" s="2" t="s">
        <v>40</v>
      </c>
      <c r="B377" s="2" t="s">
        <v>378</v>
      </c>
      <c r="C377" s="2">
        <v>3000</v>
      </c>
      <c r="D377" s="2" t="s">
        <v>48</v>
      </c>
      <c r="E377" s="2">
        <v>0.77500000000000002</v>
      </c>
      <c r="F377" s="2" t="s">
        <v>49</v>
      </c>
    </row>
    <row r="378" spans="1:6" x14ac:dyDescent="0.25">
      <c r="A378" s="2" t="s">
        <v>33</v>
      </c>
      <c r="B378" s="2" t="s">
        <v>385</v>
      </c>
      <c r="C378" s="2">
        <v>3000</v>
      </c>
      <c r="D378" s="2" t="s">
        <v>48</v>
      </c>
      <c r="E378" s="2">
        <v>0.74399999999999999</v>
      </c>
      <c r="F378" s="2" t="s">
        <v>144</v>
      </c>
    </row>
    <row r="379" spans="1:6" x14ac:dyDescent="0.25">
      <c r="A379" s="2" t="s">
        <v>33</v>
      </c>
      <c r="B379" s="2" t="s">
        <v>457</v>
      </c>
      <c r="C379" s="2">
        <v>3000</v>
      </c>
      <c r="D379" s="2" t="s">
        <v>35</v>
      </c>
      <c r="E379" s="2">
        <v>0.74399999999999999</v>
      </c>
      <c r="F379" s="2" t="s">
        <v>20</v>
      </c>
    </row>
    <row r="380" spans="1:6" x14ac:dyDescent="0.25">
      <c r="A380" s="2" t="s">
        <v>33</v>
      </c>
      <c r="B380" s="2" t="s">
        <v>367</v>
      </c>
      <c r="C380" s="2">
        <v>3000</v>
      </c>
      <c r="D380" s="2" t="s">
        <v>48</v>
      </c>
      <c r="E380" s="2">
        <v>0.7</v>
      </c>
      <c r="F380" s="2" t="s">
        <v>49</v>
      </c>
    </row>
    <row r="381" spans="1:6" x14ac:dyDescent="0.25">
      <c r="A381" s="2" t="s">
        <v>92</v>
      </c>
      <c r="B381" s="2" t="s">
        <v>835</v>
      </c>
      <c r="C381" s="2">
        <v>2500</v>
      </c>
      <c r="D381" s="2" t="s">
        <v>58</v>
      </c>
      <c r="E381" s="2">
        <v>0.68899999999999995</v>
      </c>
      <c r="F381" s="2" t="s">
        <v>77</v>
      </c>
    </row>
    <row r="382" spans="1:6" x14ac:dyDescent="0.25">
      <c r="A382" s="2" t="s">
        <v>92</v>
      </c>
      <c r="B382" s="2" t="s">
        <v>782</v>
      </c>
      <c r="C382" s="2">
        <v>2500</v>
      </c>
      <c r="D382" s="2" t="s">
        <v>103</v>
      </c>
      <c r="E382" s="2">
        <v>0.68300000000000005</v>
      </c>
      <c r="F382" s="2" t="s">
        <v>110</v>
      </c>
    </row>
    <row r="383" spans="1:6" x14ac:dyDescent="0.25">
      <c r="A383" s="2" t="s">
        <v>40</v>
      </c>
      <c r="B383" s="2" t="s">
        <v>528</v>
      </c>
      <c r="C383" s="2">
        <v>3000</v>
      </c>
      <c r="D383" s="2" t="s">
        <v>103</v>
      </c>
      <c r="E383" s="2">
        <v>0.68</v>
      </c>
      <c r="F383" s="2" t="s">
        <v>110</v>
      </c>
    </row>
    <row r="384" spans="1:6" x14ac:dyDescent="0.25">
      <c r="A384" s="2" t="s">
        <v>92</v>
      </c>
      <c r="B384" s="2" t="s">
        <v>798</v>
      </c>
      <c r="C384" s="2">
        <v>2500</v>
      </c>
      <c r="D384" s="2" t="s">
        <v>62</v>
      </c>
      <c r="E384" s="2">
        <v>0.68</v>
      </c>
      <c r="F384" s="2" t="s">
        <v>63</v>
      </c>
    </row>
    <row r="385" spans="1:6" x14ac:dyDescent="0.25">
      <c r="A385" s="2" t="s">
        <v>33</v>
      </c>
      <c r="B385" s="2" t="s">
        <v>232</v>
      </c>
      <c r="C385" s="2">
        <v>4000</v>
      </c>
      <c r="D385" s="2" t="s">
        <v>35</v>
      </c>
      <c r="E385" s="2">
        <v>0.67200000000000004</v>
      </c>
      <c r="F385" s="2" t="s">
        <v>36</v>
      </c>
    </row>
    <row r="386" spans="1:6" x14ac:dyDescent="0.25">
      <c r="A386" s="2" t="s">
        <v>33</v>
      </c>
      <c r="B386" s="2" t="s">
        <v>279</v>
      </c>
      <c r="C386" s="2">
        <v>3900</v>
      </c>
      <c r="D386" s="2" t="s">
        <v>75</v>
      </c>
      <c r="E386" s="2">
        <v>0.65600000000000003</v>
      </c>
      <c r="F386" s="2" t="s">
        <v>91</v>
      </c>
    </row>
    <row r="387" spans="1:6" x14ac:dyDescent="0.25">
      <c r="A387" s="2" t="s">
        <v>92</v>
      </c>
      <c r="B387" s="2" t="s">
        <v>768</v>
      </c>
      <c r="C387" s="2">
        <v>2500</v>
      </c>
      <c r="D387" s="2" t="s">
        <v>38</v>
      </c>
      <c r="E387" s="2">
        <v>0.63300000000000001</v>
      </c>
      <c r="F387" s="2" t="s">
        <v>26</v>
      </c>
    </row>
    <row r="388" spans="1:6" x14ac:dyDescent="0.25">
      <c r="A388" s="2" t="s">
        <v>92</v>
      </c>
      <c r="B388" s="2" t="s">
        <v>745</v>
      </c>
      <c r="C388" s="2">
        <v>2500</v>
      </c>
      <c r="D388" s="2" t="s">
        <v>43</v>
      </c>
      <c r="E388" s="2">
        <v>0.623</v>
      </c>
      <c r="F388" s="2" t="s">
        <v>27</v>
      </c>
    </row>
    <row r="389" spans="1:6" x14ac:dyDescent="0.25">
      <c r="A389" s="2" t="s">
        <v>33</v>
      </c>
      <c r="B389" s="2" t="s">
        <v>459</v>
      </c>
      <c r="C389" s="2">
        <v>3000</v>
      </c>
      <c r="D389" s="2" t="s">
        <v>35</v>
      </c>
      <c r="E389" s="2">
        <v>0.6</v>
      </c>
      <c r="F389" s="2" t="s">
        <v>20</v>
      </c>
    </row>
    <row r="390" spans="1:6" x14ac:dyDescent="0.25">
      <c r="A390" s="2" t="s">
        <v>33</v>
      </c>
      <c r="B390" s="2" t="s">
        <v>572</v>
      </c>
      <c r="C390" s="2">
        <v>3000</v>
      </c>
      <c r="D390" s="2" t="s">
        <v>62</v>
      </c>
      <c r="E390" s="2">
        <v>0.58799999999999997</v>
      </c>
      <c r="F390" s="2" t="s">
        <v>67</v>
      </c>
    </row>
    <row r="391" spans="1:6" x14ac:dyDescent="0.25">
      <c r="A391" s="2" t="s">
        <v>92</v>
      </c>
      <c r="B391" s="2" t="s">
        <v>816</v>
      </c>
      <c r="C391" s="2">
        <v>2500</v>
      </c>
      <c r="D391" s="2" t="s">
        <v>86</v>
      </c>
      <c r="E391" s="2">
        <v>0.58799999999999997</v>
      </c>
      <c r="F391" s="2" t="s">
        <v>24</v>
      </c>
    </row>
    <row r="392" spans="1:6" x14ac:dyDescent="0.25">
      <c r="A392" s="2" t="s">
        <v>92</v>
      </c>
      <c r="B392" s="2" t="s">
        <v>791</v>
      </c>
      <c r="C392" s="2">
        <v>2500</v>
      </c>
      <c r="D392" s="2" t="s">
        <v>55</v>
      </c>
      <c r="E392" s="2">
        <v>0.56200000000000006</v>
      </c>
      <c r="F392" s="2" t="s">
        <v>56</v>
      </c>
    </row>
    <row r="393" spans="1:6" x14ac:dyDescent="0.25">
      <c r="A393" s="2" t="s">
        <v>40</v>
      </c>
      <c r="B393" s="2" t="s">
        <v>577</v>
      </c>
      <c r="C393" s="2">
        <v>3000</v>
      </c>
      <c r="D393" s="2" t="s">
        <v>62</v>
      </c>
      <c r="E393" s="2">
        <v>0.54400000000000004</v>
      </c>
      <c r="F393" s="2" t="s">
        <v>67</v>
      </c>
    </row>
    <row r="394" spans="1:6" x14ac:dyDescent="0.25">
      <c r="A394" s="2" t="s">
        <v>33</v>
      </c>
      <c r="B394" s="2" t="s">
        <v>369</v>
      </c>
      <c r="C394" s="2">
        <v>3000</v>
      </c>
      <c r="D394" s="2" t="s">
        <v>48</v>
      </c>
      <c r="E394" s="2">
        <v>0.53600000000000003</v>
      </c>
      <c r="F394" s="2" t="s">
        <v>49</v>
      </c>
    </row>
    <row r="395" spans="1:6" x14ac:dyDescent="0.25">
      <c r="A395" s="2" t="s">
        <v>40</v>
      </c>
      <c r="B395" s="2" t="s">
        <v>453</v>
      </c>
      <c r="C395" s="2">
        <v>3000</v>
      </c>
      <c r="D395" s="2" t="s">
        <v>52</v>
      </c>
      <c r="E395" s="2">
        <v>0.52500000000000002</v>
      </c>
      <c r="F395" s="2" t="s">
        <v>115</v>
      </c>
    </row>
    <row r="396" spans="1:6" x14ac:dyDescent="0.25">
      <c r="A396" s="2" t="s">
        <v>64</v>
      </c>
      <c r="B396" s="2" t="s">
        <v>194</v>
      </c>
      <c r="C396" s="2">
        <v>4300</v>
      </c>
      <c r="D396" s="2" t="s">
        <v>43</v>
      </c>
      <c r="E396" s="2">
        <v>0.50700000000000001</v>
      </c>
      <c r="F396" s="2" t="s">
        <v>27</v>
      </c>
    </row>
    <row r="397" spans="1:6" x14ac:dyDescent="0.25">
      <c r="A397" s="2" t="s">
        <v>40</v>
      </c>
      <c r="B397" s="2" t="s">
        <v>509</v>
      </c>
      <c r="C397" s="2">
        <v>3000</v>
      </c>
      <c r="D397" s="2" t="s">
        <v>103</v>
      </c>
      <c r="E397" s="2">
        <v>0.5</v>
      </c>
      <c r="F397" s="2" t="s">
        <v>19</v>
      </c>
    </row>
    <row r="398" spans="1:6" x14ac:dyDescent="0.25">
      <c r="A398" s="2" t="s">
        <v>64</v>
      </c>
      <c r="B398" s="2" t="s">
        <v>240</v>
      </c>
      <c r="C398" s="2">
        <v>4000</v>
      </c>
      <c r="D398" s="2" t="s">
        <v>55</v>
      </c>
      <c r="E398" s="2">
        <v>0.44</v>
      </c>
      <c r="F398" s="2" t="s">
        <v>28</v>
      </c>
    </row>
    <row r="399" spans="1:6" x14ac:dyDescent="0.25">
      <c r="A399" s="2" t="s">
        <v>33</v>
      </c>
      <c r="B399" s="2" t="s">
        <v>384</v>
      </c>
      <c r="C399" s="2">
        <v>3000</v>
      </c>
      <c r="D399" s="2" t="s">
        <v>48</v>
      </c>
      <c r="E399" s="2">
        <v>0.433</v>
      </c>
      <c r="F399" s="2" t="s">
        <v>144</v>
      </c>
    </row>
    <row r="400" spans="1:6" x14ac:dyDescent="0.25">
      <c r="A400" s="2" t="s">
        <v>40</v>
      </c>
      <c r="B400" s="2" t="s">
        <v>702</v>
      </c>
      <c r="C400" s="2">
        <v>3000</v>
      </c>
      <c r="D400" s="2" t="s">
        <v>45</v>
      </c>
      <c r="E400" s="2">
        <v>0.42899999999999999</v>
      </c>
      <c r="F400" s="2" t="s">
        <v>46</v>
      </c>
    </row>
    <row r="401" spans="1:6" x14ac:dyDescent="0.25">
      <c r="A401" s="2" t="s">
        <v>64</v>
      </c>
      <c r="B401" s="2" t="s">
        <v>248</v>
      </c>
      <c r="C401" s="2">
        <v>4000</v>
      </c>
      <c r="D401" s="2" t="s">
        <v>86</v>
      </c>
      <c r="E401" s="2">
        <v>0.42499999999999999</v>
      </c>
      <c r="F401" s="2" t="s">
        <v>21</v>
      </c>
    </row>
    <row r="402" spans="1:6" x14ac:dyDescent="0.25">
      <c r="A402" s="2" t="s">
        <v>40</v>
      </c>
      <c r="B402" s="2" t="s">
        <v>628</v>
      </c>
      <c r="C402" s="2">
        <v>3000</v>
      </c>
      <c r="D402" s="2" t="s">
        <v>75</v>
      </c>
      <c r="E402" s="2">
        <v>0.38</v>
      </c>
      <c r="F402" s="2" t="s">
        <v>91</v>
      </c>
    </row>
    <row r="403" spans="1:6" x14ac:dyDescent="0.25">
      <c r="A403" s="2" t="s">
        <v>92</v>
      </c>
      <c r="B403" s="2" t="s">
        <v>813</v>
      </c>
      <c r="C403" s="2">
        <v>2500</v>
      </c>
      <c r="D403" s="2" t="s">
        <v>86</v>
      </c>
      <c r="E403" s="2">
        <v>0.375</v>
      </c>
      <c r="F403" s="2" t="s">
        <v>24</v>
      </c>
    </row>
    <row r="404" spans="1:6" x14ac:dyDescent="0.25">
      <c r="A404" s="2" t="s">
        <v>40</v>
      </c>
      <c r="B404" s="2" t="s">
        <v>680</v>
      </c>
      <c r="C404" s="2">
        <v>3000</v>
      </c>
      <c r="D404" s="2" t="s">
        <v>69</v>
      </c>
      <c r="E404" s="2">
        <v>0.37</v>
      </c>
      <c r="F404" s="2" t="s">
        <v>70</v>
      </c>
    </row>
    <row r="405" spans="1:6" x14ac:dyDescent="0.25">
      <c r="A405" s="2" t="s">
        <v>40</v>
      </c>
      <c r="B405" s="2" t="s">
        <v>379</v>
      </c>
      <c r="C405" s="2">
        <v>3000</v>
      </c>
      <c r="D405" s="2" t="s">
        <v>48</v>
      </c>
      <c r="E405" s="2">
        <v>0.36</v>
      </c>
      <c r="F405" s="2" t="s">
        <v>49</v>
      </c>
    </row>
    <row r="406" spans="1:6" x14ac:dyDescent="0.25">
      <c r="A406" s="2" t="s">
        <v>40</v>
      </c>
      <c r="B406" s="2" t="s">
        <v>487</v>
      </c>
      <c r="C406" s="2">
        <v>3000</v>
      </c>
      <c r="D406" s="2" t="s">
        <v>38</v>
      </c>
      <c r="E406" s="2">
        <v>0.36</v>
      </c>
      <c r="F406" s="2" t="s">
        <v>26</v>
      </c>
    </row>
    <row r="407" spans="1:6" x14ac:dyDescent="0.25">
      <c r="A407" s="2" t="s">
        <v>92</v>
      </c>
      <c r="B407" s="2" t="s">
        <v>774</v>
      </c>
      <c r="C407" s="2">
        <v>2500</v>
      </c>
      <c r="D407" s="2" t="s">
        <v>38</v>
      </c>
      <c r="E407" s="2">
        <v>0.33300000000000002</v>
      </c>
      <c r="F407" s="2" t="s">
        <v>39</v>
      </c>
    </row>
    <row r="408" spans="1:6" x14ac:dyDescent="0.25">
      <c r="A408" s="2" t="s">
        <v>40</v>
      </c>
      <c r="B408" s="2" t="s">
        <v>461</v>
      </c>
      <c r="C408" s="2">
        <v>3000</v>
      </c>
      <c r="D408" s="2" t="s">
        <v>35</v>
      </c>
      <c r="E408" s="2">
        <v>0.32500000000000001</v>
      </c>
      <c r="F408" s="2" t="s">
        <v>20</v>
      </c>
    </row>
    <row r="409" spans="1:6" x14ac:dyDescent="0.25">
      <c r="A409" s="2" t="s">
        <v>33</v>
      </c>
      <c r="B409" s="2" t="s">
        <v>681</v>
      </c>
      <c r="C409" s="2">
        <v>3000</v>
      </c>
      <c r="D409" s="2" t="s">
        <v>45</v>
      </c>
      <c r="E409" s="2">
        <v>0.32400000000000001</v>
      </c>
      <c r="F409" s="2" t="s">
        <v>22</v>
      </c>
    </row>
    <row r="410" spans="1:6" x14ac:dyDescent="0.25">
      <c r="A410" s="2" t="s">
        <v>92</v>
      </c>
      <c r="B410" s="2" t="s">
        <v>817</v>
      </c>
      <c r="C410" s="2">
        <v>2500</v>
      </c>
      <c r="D410" s="2" t="s">
        <v>75</v>
      </c>
      <c r="E410" s="2">
        <v>0.311</v>
      </c>
      <c r="F410" s="2" t="s">
        <v>25</v>
      </c>
    </row>
    <row r="411" spans="1:6" x14ac:dyDescent="0.25">
      <c r="A411" s="2" t="s">
        <v>40</v>
      </c>
      <c r="B411" s="2" t="s">
        <v>534</v>
      </c>
      <c r="C411" s="2">
        <v>3000</v>
      </c>
      <c r="D411" s="2" t="s">
        <v>55</v>
      </c>
      <c r="E411" s="2">
        <v>0.3</v>
      </c>
      <c r="F411" s="2" t="s">
        <v>28</v>
      </c>
    </row>
    <row r="412" spans="1:6" x14ac:dyDescent="0.25">
      <c r="A412" s="2" t="s">
        <v>92</v>
      </c>
      <c r="B412" s="2" t="s">
        <v>845</v>
      </c>
      <c r="C412" s="2">
        <v>2500</v>
      </c>
      <c r="D412" s="2" t="s">
        <v>69</v>
      </c>
      <c r="E412" s="2">
        <v>0.28599999999999998</v>
      </c>
      <c r="F412" s="2" t="s">
        <v>70</v>
      </c>
    </row>
    <row r="413" spans="1:6" x14ac:dyDescent="0.25">
      <c r="A413" s="2" t="s">
        <v>92</v>
      </c>
      <c r="B413" s="2" t="s">
        <v>840</v>
      </c>
      <c r="C413" s="2">
        <v>2500</v>
      </c>
      <c r="D413" s="2" t="s">
        <v>69</v>
      </c>
      <c r="E413" s="2">
        <v>0.28100000000000003</v>
      </c>
      <c r="F413" s="2" t="s">
        <v>1</v>
      </c>
    </row>
    <row r="414" spans="1:6" x14ac:dyDescent="0.25">
      <c r="A414" s="2" t="s">
        <v>33</v>
      </c>
      <c r="B414" s="2" t="s">
        <v>431</v>
      </c>
      <c r="C414" s="2">
        <v>3000</v>
      </c>
      <c r="D414" s="2" t="s">
        <v>52</v>
      </c>
      <c r="E414" s="2">
        <v>0.25</v>
      </c>
      <c r="F414" s="2" t="s">
        <v>53</v>
      </c>
    </row>
    <row r="415" spans="1:6" x14ac:dyDescent="0.25">
      <c r="A415" s="2" t="s">
        <v>33</v>
      </c>
      <c r="B415" s="2" t="s">
        <v>505</v>
      </c>
      <c r="C415" s="2">
        <v>3000</v>
      </c>
      <c r="D415" s="2" t="s">
        <v>103</v>
      </c>
      <c r="E415" s="2">
        <v>0.221</v>
      </c>
      <c r="F415" s="2" t="s">
        <v>19</v>
      </c>
    </row>
    <row r="416" spans="1:6" x14ac:dyDescent="0.25">
      <c r="A416" s="2" t="s">
        <v>92</v>
      </c>
      <c r="B416" s="2" t="s">
        <v>751</v>
      </c>
      <c r="C416" s="2">
        <v>2500</v>
      </c>
      <c r="D416" s="2" t="s">
        <v>52</v>
      </c>
      <c r="E416" s="2">
        <v>0.20599999999999999</v>
      </c>
      <c r="F416" s="2" t="s">
        <v>53</v>
      </c>
    </row>
    <row r="417" spans="1:6" x14ac:dyDescent="0.25">
      <c r="A417" s="2" t="s">
        <v>33</v>
      </c>
      <c r="B417" s="2" t="s">
        <v>281</v>
      </c>
      <c r="C417" s="2">
        <v>3900</v>
      </c>
      <c r="D417" s="2" t="s">
        <v>45</v>
      </c>
      <c r="E417" s="2">
        <v>0.2</v>
      </c>
      <c r="F417" s="2" t="s">
        <v>22</v>
      </c>
    </row>
    <row r="418" spans="1:6" x14ac:dyDescent="0.25">
      <c r="A418" s="2" t="s">
        <v>33</v>
      </c>
      <c r="B418" s="2" t="s">
        <v>659</v>
      </c>
      <c r="C418" s="2">
        <v>3000</v>
      </c>
      <c r="D418" s="2" t="s">
        <v>69</v>
      </c>
      <c r="E418" s="2">
        <v>0.2</v>
      </c>
      <c r="F418" s="2" t="s">
        <v>1</v>
      </c>
    </row>
    <row r="419" spans="1:6" x14ac:dyDescent="0.25">
      <c r="A419" s="2" t="s">
        <v>33</v>
      </c>
      <c r="B419" s="2" t="s">
        <v>473</v>
      </c>
      <c r="C419" s="2">
        <v>3000</v>
      </c>
      <c r="D419" s="2" t="s">
        <v>35</v>
      </c>
      <c r="E419" s="2">
        <v>0.192</v>
      </c>
      <c r="F419" s="2" t="s">
        <v>36</v>
      </c>
    </row>
    <row r="420" spans="1:6" x14ac:dyDescent="0.25">
      <c r="A420" s="2" t="s">
        <v>64</v>
      </c>
      <c r="B420" s="2" t="s">
        <v>166</v>
      </c>
      <c r="C420" s="2">
        <v>4700</v>
      </c>
      <c r="D420" s="2" t="s">
        <v>58</v>
      </c>
      <c r="E420" s="2">
        <v>0.17599999999999999</v>
      </c>
      <c r="F420" s="2" t="s">
        <v>59</v>
      </c>
    </row>
    <row r="421" spans="1:6" x14ac:dyDescent="0.25">
      <c r="A421" s="2" t="s">
        <v>92</v>
      </c>
      <c r="B421" s="2" t="s">
        <v>756</v>
      </c>
      <c r="C421" s="2">
        <v>2500</v>
      </c>
      <c r="D421" s="2" t="s">
        <v>35</v>
      </c>
      <c r="E421" s="2">
        <v>0.17100000000000001</v>
      </c>
      <c r="F421" s="2" t="s">
        <v>20</v>
      </c>
    </row>
    <row r="422" spans="1:6" x14ac:dyDescent="0.25">
      <c r="A422" s="2" t="s">
        <v>33</v>
      </c>
      <c r="B422" s="2" t="s">
        <v>561</v>
      </c>
      <c r="C422" s="2">
        <v>3000</v>
      </c>
      <c r="D422" s="2" t="s">
        <v>62</v>
      </c>
      <c r="E422" s="2">
        <v>0.16900000000000001</v>
      </c>
      <c r="F422" s="2" t="s">
        <v>63</v>
      </c>
    </row>
    <row r="423" spans="1:6" x14ac:dyDescent="0.25">
      <c r="A423" s="2" t="s">
        <v>33</v>
      </c>
      <c r="B423" s="2" t="s">
        <v>506</v>
      </c>
      <c r="C423" s="2">
        <v>3000</v>
      </c>
      <c r="D423" s="2" t="s">
        <v>103</v>
      </c>
      <c r="E423" s="2">
        <v>0.153</v>
      </c>
      <c r="F423" s="2" t="s">
        <v>19</v>
      </c>
    </row>
    <row r="424" spans="1:6" x14ac:dyDescent="0.25">
      <c r="A424" s="2" t="s">
        <v>64</v>
      </c>
      <c r="B424" s="2" t="s">
        <v>263</v>
      </c>
      <c r="C424" s="2">
        <v>4000</v>
      </c>
      <c r="D424" s="2" t="s">
        <v>69</v>
      </c>
      <c r="E424" s="2">
        <v>9.2999999999999999E-2</v>
      </c>
      <c r="F424" s="2" t="s">
        <v>70</v>
      </c>
    </row>
    <row r="425" spans="1:6" x14ac:dyDescent="0.25">
      <c r="A425" s="2" t="s">
        <v>64</v>
      </c>
      <c r="B425" s="2" t="s">
        <v>175</v>
      </c>
      <c r="C425" s="2">
        <v>4500</v>
      </c>
      <c r="D425" s="2" t="s">
        <v>43</v>
      </c>
      <c r="E425" s="2">
        <v>8.7999999999999995E-2</v>
      </c>
      <c r="F425" s="2" t="s">
        <v>23</v>
      </c>
    </row>
    <row r="426" spans="1:6" x14ac:dyDescent="0.25">
      <c r="A426" s="2" t="s">
        <v>40</v>
      </c>
      <c r="B426" s="2" t="s">
        <v>97</v>
      </c>
      <c r="C426" s="2">
        <v>6000</v>
      </c>
      <c r="D426" s="2" t="s">
        <v>35</v>
      </c>
      <c r="E426" s="2">
        <v>0</v>
      </c>
      <c r="F426" s="2" t="s">
        <v>36</v>
      </c>
    </row>
    <row r="427" spans="1:6" x14ac:dyDescent="0.25">
      <c r="A427" s="2" t="s">
        <v>33</v>
      </c>
      <c r="B427" s="2" t="s">
        <v>109</v>
      </c>
      <c r="C427" s="2">
        <v>5700</v>
      </c>
      <c r="D427" s="2" t="s">
        <v>103</v>
      </c>
      <c r="E427" s="2">
        <v>0</v>
      </c>
      <c r="F427" s="2" t="s">
        <v>110</v>
      </c>
    </row>
    <row r="428" spans="1:6" x14ac:dyDescent="0.25">
      <c r="A428" s="2" t="s">
        <v>33</v>
      </c>
      <c r="B428" s="2" t="s">
        <v>113</v>
      </c>
      <c r="C428" s="2">
        <v>5500</v>
      </c>
      <c r="D428" s="2" t="s">
        <v>52</v>
      </c>
      <c r="E428" s="2">
        <v>0</v>
      </c>
      <c r="F428" s="2" t="s">
        <v>53</v>
      </c>
    </row>
    <row r="429" spans="1:6" x14ac:dyDescent="0.25">
      <c r="A429" s="2" t="s">
        <v>33</v>
      </c>
      <c r="B429" s="2" t="s">
        <v>121</v>
      </c>
      <c r="C429" s="2">
        <v>5400</v>
      </c>
      <c r="D429" s="2" t="s">
        <v>69</v>
      </c>
      <c r="E429" s="2">
        <v>0</v>
      </c>
      <c r="F429" s="2" t="s">
        <v>70</v>
      </c>
    </row>
    <row r="430" spans="1:6" x14ac:dyDescent="0.25">
      <c r="A430" s="2" t="s">
        <v>33</v>
      </c>
      <c r="B430" s="2" t="s">
        <v>124</v>
      </c>
      <c r="C430" s="2">
        <v>5300</v>
      </c>
      <c r="D430" s="2" t="s">
        <v>62</v>
      </c>
      <c r="E430" s="2">
        <v>0</v>
      </c>
      <c r="F430" s="2" t="s">
        <v>67</v>
      </c>
    </row>
    <row r="431" spans="1:6" x14ac:dyDescent="0.25">
      <c r="A431" s="2" t="s">
        <v>64</v>
      </c>
      <c r="B431" s="2" t="s">
        <v>130</v>
      </c>
      <c r="C431" s="2">
        <v>5200</v>
      </c>
      <c r="D431" s="2" t="s">
        <v>86</v>
      </c>
      <c r="E431" s="2">
        <v>0</v>
      </c>
      <c r="F431" s="2" t="s">
        <v>24</v>
      </c>
    </row>
    <row r="432" spans="1:6" x14ac:dyDescent="0.25">
      <c r="A432" s="2" t="s">
        <v>64</v>
      </c>
      <c r="B432" s="2" t="s">
        <v>150</v>
      </c>
      <c r="C432" s="2">
        <v>4800</v>
      </c>
      <c r="D432" s="2" t="s">
        <v>35</v>
      </c>
      <c r="E432" s="2">
        <v>0</v>
      </c>
      <c r="F432" s="2" t="s">
        <v>20</v>
      </c>
    </row>
    <row r="433" spans="1:6" x14ac:dyDescent="0.25">
      <c r="A433" s="2" t="s">
        <v>64</v>
      </c>
      <c r="B433" s="2" t="s">
        <v>155</v>
      </c>
      <c r="C433" s="2">
        <v>4800</v>
      </c>
      <c r="D433" s="2" t="s">
        <v>103</v>
      </c>
      <c r="E433" s="2">
        <v>0</v>
      </c>
      <c r="F433" s="2" t="s">
        <v>19</v>
      </c>
    </row>
    <row r="434" spans="1:6" x14ac:dyDescent="0.25">
      <c r="A434" s="2" t="s">
        <v>64</v>
      </c>
      <c r="B434" s="2" t="s">
        <v>162</v>
      </c>
      <c r="C434" s="2">
        <v>4700</v>
      </c>
      <c r="D434" s="2" t="s">
        <v>52</v>
      </c>
      <c r="E434" s="2">
        <v>0</v>
      </c>
      <c r="F434" s="2" t="s">
        <v>53</v>
      </c>
    </row>
    <row r="435" spans="1:6" x14ac:dyDescent="0.25">
      <c r="A435" s="2" t="s">
        <v>64</v>
      </c>
      <c r="B435" s="2" t="s">
        <v>170</v>
      </c>
      <c r="C435" s="2">
        <v>4600</v>
      </c>
      <c r="D435" s="2" t="s">
        <v>43</v>
      </c>
      <c r="E435" s="2">
        <v>0</v>
      </c>
      <c r="F435" s="2" t="s">
        <v>27</v>
      </c>
    </row>
    <row r="436" spans="1:6" x14ac:dyDescent="0.25">
      <c r="A436" s="2" t="s">
        <v>33</v>
      </c>
      <c r="B436" s="2" t="s">
        <v>180</v>
      </c>
      <c r="C436" s="2">
        <v>4500</v>
      </c>
      <c r="D436" s="2" t="s">
        <v>35</v>
      </c>
      <c r="E436" s="2">
        <v>0</v>
      </c>
      <c r="F436" s="2" t="s">
        <v>36</v>
      </c>
    </row>
    <row r="437" spans="1:6" x14ac:dyDescent="0.25">
      <c r="A437" s="2" t="s">
        <v>64</v>
      </c>
      <c r="B437" s="2" t="s">
        <v>187</v>
      </c>
      <c r="C437" s="2">
        <v>4400</v>
      </c>
      <c r="D437" s="2" t="s">
        <v>48</v>
      </c>
      <c r="E437" s="2">
        <v>0</v>
      </c>
      <c r="F437" s="2" t="s">
        <v>144</v>
      </c>
    </row>
    <row r="438" spans="1:6" x14ac:dyDescent="0.25">
      <c r="A438" s="2" t="s">
        <v>64</v>
      </c>
      <c r="B438" s="2" t="s">
        <v>192</v>
      </c>
      <c r="C438" s="2">
        <v>4400</v>
      </c>
      <c r="D438" s="2" t="s">
        <v>45</v>
      </c>
      <c r="E438" s="2">
        <v>0</v>
      </c>
      <c r="F438" s="2" t="s">
        <v>22</v>
      </c>
    </row>
    <row r="439" spans="1:6" x14ac:dyDescent="0.25">
      <c r="A439" s="2" t="s">
        <v>64</v>
      </c>
      <c r="B439" s="2" t="s">
        <v>203</v>
      </c>
      <c r="C439" s="2">
        <v>4200</v>
      </c>
      <c r="D439" s="2" t="s">
        <v>48</v>
      </c>
      <c r="E439" s="2">
        <v>0</v>
      </c>
      <c r="F439" s="2" t="s">
        <v>49</v>
      </c>
    </row>
    <row r="440" spans="1:6" x14ac:dyDescent="0.25">
      <c r="A440" s="2" t="s">
        <v>33</v>
      </c>
      <c r="B440" s="2" t="s">
        <v>208</v>
      </c>
      <c r="C440" s="2">
        <v>4200</v>
      </c>
      <c r="D440" s="2" t="s">
        <v>86</v>
      </c>
      <c r="E440" s="2">
        <v>0</v>
      </c>
      <c r="F440" s="2" t="s">
        <v>24</v>
      </c>
    </row>
    <row r="441" spans="1:6" x14ac:dyDescent="0.25">
      <c r="A441" s="2" t="s">
        <v>33</v>
      </c>
      <c r="B441" s="2" t="s">
        <v>211</v>
      </c>
      <c r="C441" s="2">
        <v>4100</v>
      </c>
      <c r="D441" s="2" t="s">
        <v>103</v>
      </c>
      <c r="E441" s="2">
        <v>0</v>
      </c>
      <c r="F441" s="2" t="s">
        <v>19</v>
      </c>
    </row>
    <row r="442" spans="1:6" x14ac:dyDescent="0.25">
      <c r="A442" s="2" t="s">
        <v>64</v>
      </c>
      <c r="B442" s="2" t="s">
        <v>218</v>
      </c>
      <c r="C442" s="2">
        <v>4000</v>
      </c>
      <c r="D442" s="2" t="s">
        <v>48</v>
      </c>
      <c r="E442" s="2">
        <v>0</v>
      </c>
      <c r="F442" s="2" t="s">
        <v>49</v>
      </c>
    </row>
    <row r="443" spans="1:6" x14ac:dyDescent="0.25">
      <c r="A443" s="2" t="s">
        <v>64</v>
      </c>
      <c r="B443" s="2" t="s">
        <v>220</v>
      </c>
      <c r="C443" s="2">
        <v>4000</v>
      </c>
      <c r="D443" s="2" t="s">
        <v>43</v>
      </c>
      <c r="E443" s="2">
        <v>0</v>
      </c>
      <c r="F443" s="2" t="s">
        <v>23</v>
      </c>
    </row>
    <row r="444" spans="1:6" x14ac:dyDescent="0.25">
      <c r="A444" s="2" t="s">
        <v>64</v>
      </c>
      <c r="B444" s="2" t="s">
        <v>221</v>
      </c>
      <c r="C444" s="2">
        <v>4000</v>
      </c>
      <c r="D444" s="2" t="s">
        <v>43</v>
      </c>
      <c r="E444" s="2">
        <v>0</v>
      </c>
      <c r="F444" s="2" t="s">
        <v>23</v>
      </c>
    </row>
    <row r="445" spans="1:6" x14ac:dyDescent="0.25">
      <c r="A445" s="2" t="s">
        <v>64</v>
      </c>
      <c r="B445" s="2" t="s">
        <v>223</v>
      </c>
      <c r="C445" s="2">
        <v>4000</v>
      </c>
      <c r="D445" s="2" t="s">
        <v>43</v>
      </c>
      <c r="E445" s="2">
        <v>0</v>
      </c>
      <c r="F445" s="2" t="s">
        <v>27</v>
      </c>
    </row>
    <row r="446" spans="1:6" x14ac:dyDescent="0.25">
      <c r="A446" s="2" t="s">
        <v>64</v>
      </c>
      <c r="B446" s="2" t="s">
        <v>224</v>
      </c>
      <c r="C446" s="2">
        <v>4000</v>
      </c>
      <c r="D446" s="2" t="s">
        <v>52</v>
      </c>
      <c r="E446" s="2">
        <v>0</v>
      </c>
      <c r="F446" s="2" t="s">
        <v>53</v>
      </c>
    </row>
    <row r="447" spans="1:6" x14ac:dyDescent="0.25">
      <c r="A447" s="2" t="s">
        <v>64</v>
      </c>
      <c r="B447" s="2" t="s">
        <v>225</v>
      </c>
      <c r="C447" s="2">
        <v>4000</v>
      </c>
      <c r="D447" s="2" t="s">
        <v>52</v>
      </c>
      <c r="E447" s="2">
        <v>0</v>
      </c>
      <c r="F447" s="2" t="s">
        <v>115</v>
      </c>
    </row>
    <row r="448" spans="1:6" x14ac:dyDescent="0.25">
      <c r="A448" s="2" t="s">
        <v>64</v>
      </c>
      <c r="B448" s="2" t="s">
        <v>226</v>
      </c>
      <c r="C448" s="2">
        <v>4000</v>
      </c>
      <c r="D448" s="2" t="s">
        <v>52</v>
      </c>
      <c r="E448" s="2">
        <v>0</v>
      </c>
      <c r="F448" s="2" t="s">
        <v>115</v>
      </c>
    </row>
    <row r="449" spans="1:6" x14ac:dyDescent="0.25">
      <c r="A449" s="2" t="s">
        <v>40</v>
      </c>
      <c r="B449" s="2" t="s">
        <v>229</v>
      </c>
      <c r="C449" s="2">
        <v>4000</v>
      </c>
      <c r="D449" s="2" t="s">
        <v>35</v>
      </c>
      <c r="E449" s="2">
        <v>0</v>
      </c>
      <c r="F449" s="2" t="s">
        <v>20</v>
      </c>
    </row>
    <row r="450" spans="1:6" x14ac:dyDescent="0.25">
      <c r="A450" s="2" t="s">
        <v>64</v>
      </c>
      <c r="B450" s="2" t="s">
        <v>230</v>
      </c>
      <c r="C450" s="2">
        <v>4000</v>
      </c>
      <c r="D450" s="2" t="s">
        <v>35</v>
      </c>
      <c r="E450" s="2">
        <v>0</v>
      </c>
      <c r="F450" s="2" t="s">
        <v>36</v>
      </c>
    </row>
    <row r="451" spans="1:6" x14ac:dyDescent="0.25">
      <c r="A451" s="2" t="s">
        <v>64</v>
      </c>
      <c r="B451" s="2" t="s">
        <v>231</v>
      </c>
      <c r="C451" s="2">
        <v>4000</v>
      </c>
      <c r="D451" s="2" t="s">
        <v>35</v>
      </c>
      <c r="E451" s="2">
        <v>0</v>
      </c>
      <c r="F451" s="2" t="s">
        <v>36</v>
      </c>
    </row>
    <row r="452" spans="1:6" x14ac:dyDescent="0.25">
      <c r="A452" s="2" t="s">
        <v>64</v>
      </c>
      <c r="B452" s="2" t="s">
        <v>234</v>
      </c>
      <c r="C452" s="2">
        <v>4000</v>
      </c>
      <c r="D452" s="2" t="s">
        <v>38</v>
      </c>
      <c r="E452" s="2">
        <v>0</v>
      </c>
      <c r="F452" s="2" t="s">
        <v>26</v>
      </c>
    </row>
    <row r="453" spans="1:6" x14ac:dyDescent="0.25">
      <c r="A453" s="2" t="s">
        <v>64</v>
      </c>
      <c r="B453" s="2" t="s">
        <v>235</v>
      </c>
      <c r="C453" s="2">
        <v>4000</v>
      </c>
      <c r="D453" s="2" t="s">
        <v>38</v>
      </c>
      <c r="E453" s="2">
        <v>0</v>
      </c>
      <c r="F453" s="2" t="s">
        <v>26</v>
      </c>
    </row>
    <row r="454" spans="1:6" x14ac:dyDescent="0.25">
      <c r="A454" s="2" t="s">
        <v>64</v>
      </c>
      <c r="B454" s="2" t="s">
        <v>236</v>
      </c>
      <c r="C454" s="2">
        <v>4000</v>
      </c>
      <c r="D454" s="2" t="s">
        <v>38</v>
      </c>
      <c r="E454" s="2">
        <v>0</v>
      </c>
      <c r="F454" s="2" t="s">
        <v>39</v>
      </c>
    </row>
    <row r="455" spans="1:6" x14ac:dyDescent="0.25">
      <c r="A455" s="2" t="s">
        <v>64</v>
      </c>
      <c r="B455" s="2" t="s">
        <v>237</v>
      </c>
      <c r="C455" s="2">
        <v>4000</v>
      </c>
      <c r="D455" s="2" t="s">
        <v>103</v>
      </c>
      <c r="E455" s="2">
        <v>0</v>
      </c>
      <c r="F455" s="2" t="s">
        <v>19</v>
      </c>
    </row>
    <row r="456" spans="1:6" x14ac:dyDescent="0.25">
      <c r="A456" s="2" t="s">
        <v>64</v>
      </c>
      <c r="B456" s="2" t="s">
        <v>238</v>
      </c>
      <c r="C456" s="2">
        <v>4000</v>
      </c>
      <c r="D456" s="2" t="s">
        <v>103</v>
      </c>
      <c r="E456" s="2">
        <v>0</v>
      </c>
      <c r="F456" s="2" t="s">
        <v>110</v>
      </c>
    </row>
    <row r="457" spans="1:6" x14ac:dyDescent="0.25">
      <c r="A457" s="2" t="s">
        <v>64</v>
      </c>
      <c r="B457" s="2" t="s">
        <v>239</v>
      </c>
      <c r="C457" s="2">
        <v>4000</v>
      </c>
      <c r="D457" s="2" t="s">
        <v>55</v>
      </c>
      <c r="E457" s="2">
        <v>0</v>
      </c>
      <c r="F457" s="2" t="s">
        <v>28</v>
      </c>
    </row>
    <row r="458" spans="1:6" x14ac:dyDescent="0.25">
      <c r="A458" s="2" t="s">
        <v>64</v>
      </c>
      <c r="B458" s="2" t="s">
        <v>241</v>
      </c>
      <c r="C458" s="2">
        <v>4000</v>
      </c>
      <c r="D458" s="2" t="s">
        <v>55</v>
      </c>
      <c r="E458" s="2">
        <v>0</v>
      </c>
      <c r="F458" s="2" t="s">
        <v>56</v>
      </c>
    </row>
    <row r="459" spans="1:6" x14ac:dyDescent="0.25">
      <c r="A459" s="2" t="s">
        <v>64</v>
      </c>
      <c r="B459" s="2" t="s">
        <v>242</v>
      </c>
      <c r="C459" s="2">
        <v>4000</v>
      </c>
      <c r="D459" s="2" t="s">
        <v>55</v>
      </c>
      <c r="E459" s="2">
        <v>0</v>
      </c>
      <c r="F459" s="2" t="s">
        <v>56</v>
      </c>
    </row>
    <row r="460" spans="1:6" x14ac:dyDescent="0.25">
      <c r="A460" s="2" t="s">
        <v>64</v>
      </c>
      <c r="B460" s="2" t="s">
        <v>243</v>
      </c>
      <c r="C460" s="2">
        <v>4000</v>
      </c>
      <c r="D460" s="2" t="s">
        <v>62</v>
      </c>
      <c r="E460" s="2">
        <v>0</v>
      </c>
      <c r="F460" s="2" t="s">
        <v>63</v>
      </c>
    </row>
    <row r="461" spans="1:6" x14ac:dyDescent="0.25">
      <c r="A461" s="2" t="s">
        <v>64</v>
      </c>
      <c r="B461" s="2" t="s">
        <v>244</v>
      </c>
      <c r="C461" s="2">
        <v>4000</v>
      </c>
      <c r="D461" s="2" t="s">
        <v>62</v>
      </c>
      <c r="E461" s="2">
        <v>0</v>
      </c>
      <c r="F461" s="2" t="s">
        <v>63</v>
      </c>
    </row>
    <row r="462" spans="1:6" x14ac:dyDescent="0.25">
      <c r="A462" s="2" t="s">
        <v>40</v>
      </c>
      <c r="B462" s="2" t="s">
        <v>245</v>
      </c>
      <c r="C462" s="2">
        <v>4000</v>
      </c>
      <c r="D462" s="2" t="s">
        <v>62</v>
      </c>
      <c r="E462" s="2">
        <v>0</v>
      </c>
      <c r="F462" s="2" t="s">
        <v>63</v>
      </c>
    </row>
    <row r="463" spans="1:6" x14ac:dyDescent="0.25">
      <c r="A463" s="2" t="s">
        <v>64</v>
      </c>
      <c r="B463" s="2" t="s">
        <v>247</v>
      </c>
      <c r="C463" s="2">
        <v>4000</v>
      </c>
      <c r="D463" s="2" t="s">
        <v>86</v>
      </c>
      <c r="E463" s="2">
        <v>0</v>
      </c>
      <c r="F463" s="2" t="s">
        <v>21</v>
      </c>
    </row>
    <row r="464" spans="1:6" x14ac:dyDescent="0.25">
      <c r="A464" s="2" t="s">
        <v>64</v>
      </c>
      <c r="B464" s="2" t="s">
        <v>249</v>
      </c>
      <c r="C464" s="2">
        <v>4000</v>
      </c>
      <c r="D464" s="2" t="s">
        <v>86</v>
      </c>
      <c r="E464" s="2">
        <v>0</v>
      </c>
      <c r="F464" s="2" t="s">
        <v>24</v>
      </c>
    </row>
    <row r="465" spans="1:6" x14ac:dyDescent="0.25">
      <c r="A465" s="2" t="s">
        <v>64</v>
      </c>
      <c r="B465" s="2" t="s">
        <v>250</v>
      </c>
      <c r="C465" s="2">
        <v>4000</v>
      </c>
      <c r="D465" s="2" t="s">
        <v>75</v>
      </c>
      <c r="E465" s="2">
        <v>0</v>
      </c>
      <c r="F465" s="2" t="s">
        <v>25</v>
      </c>
    </row>
    <row r="466" spans="1:6" x14ac:dyDescent="0.25">
      <c r="A466" s="2" t="s">
        <v>64</v>
      </c>
      <c r="B466" s="2" t="s">
        <v>251</v>
      </c>
      <c r="C466" s="2">
        <v>4000</v>
      </c>
      <c r="D466" s="2" t="s">
        <v>75</v>
      </c>
      <c r="E466" s="2">
        <v>0</v>
      </c>
      <c r="F466" s="2" t="s">
        <v>25</v>
      </c>
    </row>
    <row r="467" spans="1:6" x14ac:dyDescent="0.25">
      <c r="A467" s="2" t="s">
        <v>64</v>
      </c>
      <c r="B467" s="2" t="s">
        <v>253</v>
      </c>
      <c r="C467" s="2">
        <v>4000</v>
      </c>
      <c r="D467" s="2" t="s">
        <v>75</v>
      </c>
      <c r="E467" s="2">
        <v>0</v>
      </c>
      <c r="F467" s="2" t="s">
        <v>91</v>
      </c>
    </row>
    <row r="468" spans="1:6" x14ac:dyDescent="0.25">
      <c r="A468" s="2" t="s">
        <v>64</v>
      </c>
      <c r="B468" s="2" t="s">
        <v>255</v>
      </c>
      <c r="C468" s="2">
        <v>4000</v>
      </c>
      <c r="D468" s="2" t="s">
        <v>58</v>
      </c>
      <c r="E468" s="2">
        <v>0</v>
      </c>
      <c r="F468" s="2" t="s">
        <v>59</v>
      </c>
    </row>
    <row r="469" spans="1:6" x14ac:dyDescent="0.25">
      <c r="A469" s="2" t="s">
        <v>64</v>
      </c>
      <c r="B469" s="2" t="s">
        <v>256</v>
      </c>
      <c r="C469" s="2">
        <v>4000</v>
      </c>
      <c r="D469" s="2" t="s">
        <v>58</v>
      </c>
      <c r="E469" s="2">
        <v>0</v>
      </c>
      <c r="F469" s="2" t="s">
        <v>59</v>
      </c>
    </row>
    <row r="470" spans="1:6" x14ac:dyDescent="0.25">
      <c r="A470" s="2" t="s">
        <v>64</v>
      </c>
      <c r="B470" s="2" t="s">
        <v>257</v>
      </c>
      <c r="C470" s="2">
        <v>4000</v>
      </c>
      <c r="D470" s="2" t="s">
        <v>58</v>
      </c>
      <c r="E470" s="2">
        <v>0</v>
      </c>
      <c r="F470" s="2" t="s">
        <v>77</v>
      </c>
    </row>
    <row r="471" spans="1:6" x14ac:dyDescent="0.25">
      <c r="A471" s="2" t="s">
        <v>64</v>
      </c>
      <c r="B471" s="2" t="s">
        <v>258</v>
      </c>
      <c r="C471" s="2">
        <v>4000</v>
      </c>
      <c r="D471" s="2" t="s">
        <v>69</v>
      </c>
      <c r="E471" s="2">
        <v>0</v>
      </c>
      <c r="F471" s="2" t="s">
        <v>1</v>
      </c>
    </row>
    <row r="472" spans="1:6" x14ac:dyDescent="0.25">
      <c r="A472" s="2" t="s">
        <v>64</v>
      </c>
      <c r="B472" s="2" t="s">
        <v>259</v>
      </c>
      <c r="C472" s="2">
        <v>4000</v>
      </c>
      <c r="D472" s="2" t="s">
        <v>69</v>
      </c>
      <c r="E472" s="2">
        <v>0</v>
      </c>
      <c r="F472" s="2" t="s">
        <v>1</v>
      </c>
    </row>
    <row r="473" spans="1:6" x14ac:dyDescent="0.25">
      <c r="A473" s="2" t="s">
        <v>33</v>
      </c>
      <c r="B473" s="2" t="s">
        <v>261</v>
      </c>
      <c r="C473" s="2">
        <v>4000</v>
      </c>
      <c r="D473" s="2" t="s">
        <v>69</v>
      </c>
      <c r="E473" s="2">
        <v>0</v>
      </c>
      <c r="F473" s="2" t="s">
        <v>1</v>
      </c>
    </row>
    <row r="474" spans="1:6" x14ac:dyDescent="0.25">
      <c r="A474" s="2" t="s">
        <v>64</v>
      </c>
      <c r="B474" s="2" t="s">
        <v>262</v>
      </c>
      <c r="C474" s="2">
        <v>4000</v>
      </c>
      <c r="D474" s="2" t="s">
        <v>69</v>
      </c>
      <c r="E474" s="2">
        <v>0</v>
      </c>
      <c r="F474" s="2" t="s">
        <v>70</v>
      </c>
    </row>
    <row r="475" spans="1:6" x14ac:dyDescent="0.25">
      <c r="A475" s="2" t="s">
        <v>64</v>
      </c>
      <c r="B475" s="2" t="s">
        <v>264</v>
      </c>
      <c r="C475" s="2">
        <v>4000</v>
      </c>
      <c r="D475" s="2" t="s">
        <v>45</v>
      </c>
      <c r="E475" s="2">
        <v>0</v>
      </c>
      <c r="F475" s="2" t="s">
        <v>22</v>
      </c>
    </row>
    <row r="476" spans="1:6" x14ac:dyDescent="0.25">
      <c r="A476" s="2" t="s">
        <v>64</v>
      </c>
      <c r="B476" s="2" t="s">
        <v>265</v>
      </c>
      <c r="C476" s="2">
        <v>4000</v>
      </c>
      <c r="D476" s="2" t="s">
        <v>45</v>
      </c>
      <c r="E476" s="2">
        <v>0</v>
      </c>
      <c r="F476" s="2" t="s">
        <v>22</v>
      </c>
    </row>
    <row r="477" spans="1:6" x14ac:dyDescent="0.25">
      <c r="A477" s="2" t="s">
        <v>64</v>
      </c>
      <c r="B477" s="2" t="s">
        <v>266</v>
      </c>
      <c r="C477" s="2">
        <v>4000</v>
      </c>
      <c r="D477" s="2" t="s">
        <v>45</v>
      </c>
      <c r="E477" s="2">
        <v>0</v>
      </c>
      <c r="F477" s="2" t="s">
        <v>46</v>
      </c>
    </row>
    <row r="478" spans="1:6" x14ac:dyDescent="0.25">
      <c r="A478" s="2" t="s">
        <v>64</v>
      </c>
      <c r="B478" s="2" t="s">
        <v>267</v>
      </c>
      <c r="C478" s="2">
        <v>4000</v>
      </c>
      <c r="D478" s="2" t="s">
        <v>45</v>
      </c>
      <c r="E478" s="2">
        <v>0</v>
      </c>
      <c r="F478" s="2" t="s">
        <v>46</v>
      </c>
    </row>
    <row r="479" spans="1:6" x14ac:dyDescent="0.25">
      <c r="A479" s="2" t="s">
        <v>33</v>
      </c>
      <c r="B479" s="2" t="s">
        <v>280</v>
      </c>
      <c r="C479" s="2">
        <v>3900</v>
      </c>
      <c r="D479" s="2" t="s">
        <v>58</v>
      </c>
      <c r="E479" s="2">
        <v>0</v>
      </c>
      <c r="F479" s="2" t="s">
        <v>59</v>
      </c>
    </row>
    <row r="480" spans="1:6" x14ac:dyDescent="0.25">
      <c r="A480" s="2" t="s">
        <v>40</v>
      </c>
      <c r="B480" s="2" t="s">
        <v>298</v>
      </c>
      <c r="C480" s="2">
        <v>3700</v>
      </c>
      <c r="D480" s="2" t="s">
        <v>48</v>
      </c>
      <c r="E480" s="2">
        <v>0</v>
      </c>
      <c r="F480" s="2" t="s">
        <v>144</v>
      </c>
    </row>
    <row r="481" spans="1:6" x14ac:dyDescent="0.25">
      <c r="A481" s="2" t="s">
        <v>33</v>
      </c>
      <c r="B481" s="2" t="s">
        <v>302</v>
      </c>
      <c r="C481" s="2">
        <v>3700</v>
      </c>
      <c r="D481" s="2" t="s">
        <v>55</v>
      </c>
      <c r="E481" s="2">
        <v>0</v>
      </c>
      <c r="F481" s="2" t="s">
        <v>56</v>
      </c>
    </row>
    <row r="482" spans="1:6" x14ac:dyDescent="0.25">
      <c r="A482" s="2" t="s">
        <v>40</v>
      </c>
      <c r="B482" s="2" t="s">
        <v>306</v>
      </c>
      <c r="C482" s="2">
        <v>3700</v>
      </c>
      <c r="D482" s="2" t="s">
        <v>75</v>
      </c>
      <c r="E482" s="2">
        <v>0</v>
      </c>
      <c r="F482" s="2" t="s">
        <v>91</v>
      </c>
    </row>
    <row r="483" spans="1:6" x14ac:dyDescent="0.25">
      <c r="A483" s="2" t="s">
        <v>33</v>
      </c>
      <c r="B483" s="2" t="s">
        <v>307</v>
      </c>
      <c r="C483" s="2">
        <v>3700</v>
      </c>
      <c r="D483" s="2" t="s">
        <v>58</v>
      </c>
      <c r="E483" s="2">
        <v>0</v>
      </c>
      <c r="F483" s="2" t="s">
        <v>59</v>
      </c>
    </row>
    <row r="484" spans="1:6" x14ac:dyDescent="0.25">
      <c r="A484" s="2" t="s">
        <v>40</v>
      </c>
      <c r="B484" s="2" t="s">
        <v>312</v>
      </c>
      <c r="C484" s="2">
        <v>3600</v>
      </c>
      <c r="D484" s="2" t="s">
        <v>35</v>
      </c>
      <c r="E484" s="2">
        <v>0</v>
      </c>
      <c r="F484" s="2" t="s">
        <v>36</v>
      </c>
    </row>
    <row r="485" spans="1:6" x14ac:dyDescent="0.25">
      <c r="A485" s="2" t="s">
        <v>40</v>
      </c>
      <c r="B485" s="2" t="s">
        <v>314</v>
      </c>
      <c r="C485" s="2">
        <v>3600</v>
      </c>
      <c r="D485" s="2" t="s">
        <v>38</v>
      </c>
      <c r="E485" s="2">
        <v>0</v>
      </c>
      <c r="F485" s="2" t="s">
        <v>26</v>
      </c>
    </row>
    <row r="486" spans="1:6" x14ac:dyDescent="0.25">
      <c r="A486" s="2" t="s">
        <v>40</v>
      </c>
      <c r="B486" s="2" t="s">
        <v>318</v>
      </c>
      <c r="C486" s="2">
        <v>3600</v>
      </c>
      <c r="D486" s="2" t="s">
        <v>62</v>
      </c>
      <c r="E486" s="2">
        <v>0</v>
      </c>
      <c r="F486" s="2" t="s">
        <v>63</v>
      </c>
    </row>
    <row r="487" spans="1:6" x14ac:dyDescent="0.25">
      <c r="A487" s="2" t="s">
        <v>40</v>
      </c>
      <c r="B487" s="2" t="s">
        <v>320</v>
      </c>
      <c r="C487" s="2">
        <v>3600</v>
      </c>
      <c r="D487" s="2" t="s">
        <v>69</v>
      </c>
      <c r="E487" s="2">
        <v>0</v>
      </c>
      <c r="F487" s="2" t="s">
        <v>70</v>
      </c>
    </row>
    <row r="488" spans="1:6" x14ac:dyDescent="0.25">
      <c r="A488" s="2" t="s">
        <v>40</v>
      </c>
      <c r="B488" s="2" t="s">
        <v>321</v>
      </c>
      <c r="C488" s="2">
        <v>3500</v>
      </c>
      <c r="D488" s="2" t="s">
        <v>48</v>
      </c>
      <c r="E488" s="2">
        <v>0</v>
      </c>
      <c r="F488" s="2" t="s">
        <v>49</v>
      </c>
    </row>
    <row r="489" spans="1:6" x14ac:dyDescent="0.25">
      <c r="A489" s="2" t="s">
        <v>33</v>
      </c>
      <c r="B489" s="2" t="s">
        <v>323</v>
      </c>
      <c r="C489" s="2">
        <v>3500</v>
      </c>
      <c r="D489" s="2" t="s">
        <v>48</v>
      </c>
      <c r="E489" s="2">
        <v>0</v>
      </c>
      <c r="F489" s="2" t="s">
        <v>144</v>
      </c>
    </row>
    <row r="490" spans="1:6" x14ac:dyDescent="0.25">
      <c r="A490" s="2" t="s">
        <v>33</v>
      </c>
      <c r="B490" s="2" t="s">
        <v>329</v>
      </c>
      <c r="C490" s="2">
        <v>3500</v>
      </c>
      <c r="D490" s="2" t="s">
        <v>86</v>
      </c>
      <c r="E490" s="2">
        <v>0</v>
      </c>
      <c r="F490" s="2" t="s">
        <v>21</v>
      </c>
    </row>
    <row r="491" spans="1:6" x14ac:dyDescent="0.25">
      <c r="A491" s="2" t="s">
        <v>33</v>
      </c>
      <c r="B491" s="2" t="s">
        <v>333</v>
      </c>
      <c r="C491" s="2">
        <v>3500</v>
      </c>
      <c r="D491" s="2" t="s">
        <v>58</v>
      </c>
      <c r="E491" s="2">
        <v>0</v>
      </c>
      <c r="F491" s="2" t="s">
        <v>59</v>
      </c>
    </row>
    <row r="492" spans="1:6" x14ac:dyDescent="0.25">
      <c r="A492" s="2" t="s">
        <v>33</v>
      </c>
      <c r="B492" s="2" t="s">
        <v>335</v>
      </c>
      <c r="C492" s="2">
        <v>3500</v>
      </c>
      <c r="D492" s="2" t="s">
        <v>45</v>
      </c>
      <c r="E492" s="2">
        <v>0</v>
      </c>
      <c r="F492" s="2" t="s">
        <v>46</v>
      </c>
    </row>
    <row r="493" spans="1:6" x14ac:dyDescent="0.25">
      <c r="A493" s="2" t="s">
        <v>33</v>
      </c>
      <c r="B493" s="2" t="s">
        <v>339</v>
      </c>
      <c r="C493" s="2">
        <v>3400</v>
      </c>
      <c r="D493" s="2" t="s">
        <v>75</v>
      </c>
      <c r="E493" s="2">
        <v>0</v>
      </c>
      <c r="F493" s="2" t="s">
        <v>25</v>
      </c>
    </row>
    <row r="494" spans="1:6" x14ac:dyDescent="0.25">
      <c r="A494" s="2" t="s">
        <v>40</v>
      </c>
      <c r="B494" s="2" t="s">
        <v>343</v>
      </c>
      <c r="C494" s="2">
        <v>3300</v>
      </c>
      <c r="D494" s="2" t="s">
        <v>52</v>
      </c>
      <c r="E494" s="2">
        <v>0</v>
      </c>
      <c r="F494" s="2" t="s">
        <v>53</v>
      </c>
    </row>
    <row r="495" spans="1:6" x14ac:dyDescent="0.25">
      <c r="A495" s="2" t="s">
        <v>33</v>
      </c>
      <c r="B495" s="2" t="s">
        <v>362</v>
      </c>
      <c r="C495" s="2">
        <v>3100</v>
      </c>
      <c r="D495" s="2" t="s">
        <v>62</v>
      </c>
      <c r="E495" s="2">
        <v>0</v>
      </c>
      <c r="F495" s="2" t="s">
        <v>67</v>
      </c>
    </row>
    <row r="496" spans="1:6" x14ac:dyDescent="0.25">
      <c r="A496" s="2" t="s">
        <v>33</v>
      </c>
      <c r="B496" s="2" t="s">
        <v>370</v>
      </c>
      <c r="C496" s="2">
        <v>3000</v>
      </c>
      <c r="D496" s="2" t="s">
        <v>48</v>
      </c>
      <c r="E496" s="2">
        <v>0</v>
      </c>
      <c r="F496" s="2" t="s">
        <v>49</v>
      </c>
    </row>
    <row r="497" spans="1:6" x14ac:dyDescent="0.25">
      <c r="A497" s="2" t="s">
        <v>33</v>
      </c>
      <c r="B497" s="2" t="s">
        <v>371</v>
      </c>
      <c r="C497" s="2">
        <v>3000</v>
      </c>
      <c r="D497" s="2" t="s">
        <v>48</v>
      </c>
      <c r="E497" s="2">
        <v>0</v>
      </c>
      <c r="F497" s="2" t="s">
        <v>49</v>
      </c>
    </row>
    <row r="498" spans="1:6" x14ac:dyDescent="0.25">
      <c r="A498" s="2" t="s">
        <v>40</v>
      </c>
      <c r="B498" s="2" t="s">
        <v>372</v>
      </c>
      <c r="C498" s="2">
        <v>3000</v>
      </c>
      <c r="D498" s="2" t="s">
        <v>48</v>
      </c>
      <c r="E498" s="2">
        <v>0</v>
      </c>
      <c r="F498" s="2" t="s">
        <v>49</v>
      </c>
    </row>
    <row r="499" spans="1:6" x14ac:dyDescent="0.25">
      <c r="A499" s="2" t="s">
        <v>40</v>
      </c>
      <c r="B499" s="2" t="s">
        <v>377</v>
      </c>
      <c r="C499" s="2">
        <v>3000</v>
      </c>
      <c r="D499" s="2" t="s">
        <v>48</v>
      </c>
      <c r="E499" s="2">
        <v>0</v>
      </c>
      <c r="F499" s="2" t="s">
        <v>49</v>
      </c>
    </row>
    <row r="500" spans="1:6" x14ac:dyDescent="0.25">
      <c r="A500" s="2" t="s">
        <v>40</v>
      </c>
      <c r="B500" s="2" t="s">
        <v>380</v>
      </c>
      <c r="C500" s="2">
        <v>3000</v>
      </c>
      <c r="D500" s="2" t="s">
        <v>48</v>
      </c>
      <c r="E500" s="2">
        <v>0</v>
      </c>
      <c r="F500" s="2" t="s">
        <v>49</v>
      </c>
    </row>
    <row r="501" spans="1:6" x14ac:dyDescent="0.25">
      <c r="A501" s="2" t="s">
        <v>33</v>
      </c>
      <c r="B501" s="2" t="s">
        <v>382</v>
      </c>
      <c r="C501" s="2">
        <v>3000</v>
      </c>
      <c r="D501" s="2" t="s">
        <v>48</v>
      </c>
      <c r="E501" s="2">
        <v>0</v>
      </c>
      <c r="F501" s="2" t="s">
        <v>144</v>
      </c>
    </row>
    <row r="502" spans="1:6" x14ac:dyDescent="0.25">
      <c r="A502" s="2" t="s">
        <v>33</v>
      </c>
      <c r="B502" s="2" t="s">
        <v>383</v>
      </c>
      <c r="C502" s="2">
        <v>3000</v>
      </c>
      <c r="D502" s="2" t="s">
        <v>48</v>
      </c>
      <c r="E502" s="2">
        <v>0</v>
      </c>
      <c r="F502" s="2" t="s">
        <v>144</v>
      </c>
    </row>
    <row r="503" spans="1:6" x14ac:dyDescent="0.25">
      <c r="A503" s="2" t="s">
        <v>33</v>
      </c>
      <c r="B503" s="2" t="s">
        <v>386</v>
      </c>
      <c r="C503" s="2">
        <v>3000</v>
      </c>
      <c r="D503" s="2" t="s">
        <v>48</v>
      </c>
      <c r="E503" s="2">
        <v>0</v>
      </c>
      <c r="F503" s="2" t="s">
        <v>144</v>
      </c>
    </row>
    <row r="504" spans="1:6" x14ac:dyDescent="0.25">
      <c r="A504" s="2" t="s">
        <v>33</v>
      </c>
      <c r="B504" s="2" t="s">
        <v>387</v>
      </c>
      <c r="C504" s="2">
        <v>3000</v>
      </c>
      <c r="D504" s="2" t="s">
        <v>48</v>
      </c>
      <c r="E504" s="2">
        <v>0</v>
      </c>
      <c r="F504" s="2" t="s">
        <v>144</v>
      </c>
    </row>
    <row r="505" spans="1:6" x14ac:dyDescent="0.25">
      <c r="A505" s="2" t="s">
        <v>40</v>
      </c>
      <c r="B505" s="2" t="s">
        <v>388</v>
      </c>
      <c r="C505" s="2">
        <v>3000</v>
      </c>
      <c r="D505" s="2" t="s">
        <v>48</v>
      </c>
      <c r="E505" s="2">
        <v>0</v>
      </c>
      <c r="F505" s="2" t="s">
        <v>144</v>
      </c>
    </row>
    <row r="506" spans="1:6" x14ac:dyDescent="0.25">
      <c r="A506" s="2" t="s">
        <v>40</v>
      </c>
      <c r="B506" s="2" t="s">
        <v>390</v>
      </c>
      <c r="C506" s="2">
        <v>3000</v>
      </c>
      <c r="D506" s="2" t="s">
        <v>48</v>
      </c>
      <c r="E506" s="2">
        <v>0</v>
      </c>
      <c r="F506" s="2" t="s">
        <v>144</v>
      </c>
    </row>
    <row r="507" spans="1:6" x14ac:dyDescent="0.25">
      <c r="A507" s="2" t="s">
        <v>40</v>
      </c>
      <c r="B507" s="2" t="s">
        <v>391</v>
      </c>
      <c r="C507" s="2">
        <v>3000</v>
      </c>
      <c r="D507" s="2" t="s">
        <v>48</v>
      </c>
      <c r="E507" s="2">
        <v>0</v>
      </c>
      <c r="F507" s="2" t="s">
        <v>144</v>
      </c>
    </row>
    <row r="508" spans="1:6" x14ac:dyDescent="0.25">
      <c r="A508" s="2" t="s">
        <v>40</v>
      </c>
      <c r="B508" s="2" t="s">
        <v>392</v>
      </c>
      <c r="C508" s="2">
        <v>3000</v>
      </c>
      <c r="D508" s="2" t="s">
        <v>48</v>
      </c>
      <c r="E508" s="2">
        <v>0</v>
      </c>
      <c r="F508" s="2" t="s">
        <v>144</v>
      </c>
    </row>
    <row r="509" spans="1:6" x14ac:dyDescent="0.25">
      <c r="A509" s="2" t="s">
        <v>40</v>
      </c>
      <c r="B509" s="2" t="s">
        <v>394</v>
      </c>
      <c r="C509" s="2">
        <v>3000</v>
      </c>
      <c r="D509" s="2" t="s">
        <v>48</v>
      </c>
      <c r="E509" s="2">
        <v>0</v>
      </c>
      <c r="F509" s="2" t="s">
        <v>144</v>
      </c>
    </row>
    <row r="510" spans="1:6" x14ac:dyDescent="0.25">
      <c r="A510" s="2" t="s">
        <v>33</v>
      </c>
      <c r="B510" s="2" t="s">
        <v>398</v>
      </c>
      <c r="C510" s="2">
        <v>3000</v>
      </c>
      <c r="D510" s="2" t="s">
        <v>43</v>
      </c>
      <c r="E510" s="2">
        <v>0</v>
      </c>
      <c r="F510" s="2" t="s">
        <v>23</v>
      </c>
    </row>
    <row r="511" spans="1:6" x14ac:dyDescent="0.25">
      <c r="A511" s="2" t="s">
        <v>33</v>
      </c>
      <c r="B511" s="2" t="s">
        <v>399</v>
      </c>
      <c r="C511" s="2">
        <v>3000</v>
      </c>
      <c r="D511" s="2" t="s">
        <v>43</v>
      </c>
      <c r="E511" s="2">
        <v>0</v>
      </c>
      <c r="F511" s="2" t="s">
        <v>23</v>
      </c>
    </row>
    <row r="512" spans="1:6" x14ac:dyDescent="0.25">
      <c r="A512" s="2" t="s">
        <v>33</v>
      </c>
      <c r="B512" s="2" t="s">
        <v>401</v>
      </c>
      <c r="C512" s="2">
        <v>3000</v>
      </c>
      <c r="D512" s="2" t="s">
        <v>43</v>
      </c>
      <c r="E512" s="2">
        <v>0</v>
      </c>
      <c r="F512" s="2" t="s">
        <v>23</v>
      </c>
    </row>
    <row r="513" spans="1:6" x14ac:dyDescent="0.25">
      <c r="A513" s="2" t="s">
        <v>33</v>
      </c>
      <c r="B513" s="2" t="s">
        <v>402</v>
      </c>
      <c r="C513" s="2">
        <v>3000</v>
      </c>
      <c r="D513" s="2" t="s">
        <v>43</v>
      </c>
      <c r="E513" s="2">
        <v>0</v>
      </c>
      <c r="F513" s="2" t="s">
        <v>23</v>
      </c>
    </row>
    <row r="514" spans="1:6" x14ac:dyDescent="0.25">
      <c r="A514" s="2" t="s">
        <v>40</v>
      </c>
      <c r="B514" s="2" t="s">
        <v>403</v>
      </c>
      <c r="C514" s="2">
        <v>3000</v>
      </c>
      <c r="D514" s="2" t="s">
        <v>43</v>
      </c>
      <c r="E514" s="2">
        <v>0</v>
      </c>
      <c r="F514" s="2" t="s">
        <v>23</v>
      </c>
    </row>
    <row r="515" spans="1:6" x14ac:dyDescent="0.25">
      <c r="A515" s="2" t="s">
        <v>40</v>
      </c>
      <c r="B515" s="2" t="s">
        <v>406</v>
      </c>
      <c r="C515" s="2">
        <v>3000</v>
      </c>
      <c r="D515" s="2" t="s">
        <v>43</v>
      </c>
      <c r="E515" s="2">
        <v>0</v>
      </c>
      <c r="F515" s="2" t="s">
        <v>23</v>
      </c>
    </row>
    <row r="516" spans="1:6" x14ac:dyDescent="0.25">
      <c r="A516" s="2" t="s">
        <v>40</v>
      </c>
      <c r="B516" s="2" t="s">
        <v>408</v>
      </c>
      <c r="C516" s="2">
        <v>3000</v>
      </c>
      <c r="D516" s="2" t="s">
        <v>43</v>
      </c>
      <c r="E516" s="2">
        <v>0</v>
      </c>
      <c r="F516" s="2" t="s">
        <v>23</v>
      </c>
    </row>
    <row r="517" spans="1:6" x14ac:dyDescent="0.25">
      <c r="A517" s="2" t="s">
        <v>40</v>
      </c>
      <c r="B517" s="2" t="s">
        <v>409</v>
      </c>
      <c r="C517" s="2">
        <v>3000</v>
      </c>
      <c r="D517" s="2" t="s">
        <v>43</v>
      </c>
      <c r="E517" s="2">
        <v>0</v>
      </c>
      <c r="F517" s="2" t="s">
        <v>23</v>
      </c>
    </row>
    <row r="518" spans="1:6" x14ac:dyDescent="0.25">
      <c r="A518" s="2" t="s">
        <v>40</v>
      </c>
      <c r="B518" s="2" t="s">
        <v>410</v>
      </c>
      <c r="C518" s="2">
        <v>3000</v>
      </c>
      <c r="D518" s="2" t="s">
        <v>43</v>
      </c>
      <c r="E518" s="2">
        <v>0</v>
      </c>
      <c r="F518" s="2" t="s">
        <v>23</v>
      </c>
    </row>
    <row r="519" spans="1:6" x14ac:dyDescent="0.25">
      <c r="A519" s="2" t="s">
        <v>40</v>
      </c>
      <c r="B519" s="2" t="s">
        <v>411</v>
      </c>
      <c r="C519" s="2">
        <v>3000</v>
      </c>
      <c r="D519" s="2" t="s">
        <v>43</v>
      </c>
      <c r="E519" s="2">
        <v>0</v>
      </c>
      <c r="F519" s="2" t="s">
        <v>23</v>
      </c>
    </row>
    <row r="520" spans="1:6" x14ac:dyDescent="0.25">
      <c r="A520" s="2" t="s">
        <v>40</v>
      </c>
      <c r="B520" s="2" t="s">
        <v>412</v>
      </c>
      <c r="C520" s="2">
        <v>3000</v>
      </c>
      <c r="D520" s="2" t="s">
        <v>43</v>
      </c>
      <c r="E520" s="2">
        <v>0</v>
      </c>
      <c r="F520" s="2" t="s">
        <v>23</v>
      </c>
    </row>
    <row r="521" spans="1:6" x14ac:dyDescent="0.25">
      <c r="A521" s="2" t="s">
        <v>40</v>
      </c>
      <c r="B521" s="2" t="s">
        <v>413</v>
      </c>
      <c r="C521" s="2">
        <v>3000</v>
      </c>
      <c r="D521" s="2" t="s">
        <v>43</v>
      </c>
      <c r="E521" s="2">
        <v>0</v>
      </c>
      <c r="F521" s="2" t="s">
        <v>23</v>
      </c>
    </row>
    <row r="522" spans="1:6" x14ac:dyDescent="0.25">
      <c r="A522" s="2" t="s">
        <v>33</v>
      </c>
      <c r="B522" s="2" t="s">
        <v>416</v>
      </c>
      <c r="C522" s="2">
        <v>3000</v>
      </c>
      <c r="D522" s="2" t="s">
        <v>43</v>
      </c>
      <c r="E522" s="2">
        <v>0</v>
      </c>
      <c r="F522" s="2" t="s">
        <v>27</v>
      </c>
    </row>
    <row r="523" spans="1:6" x14ac:dyDescent="0.25">
      <c r="A523" s="2" t="s">
        <v>33</v>
      </c>
      <c r="B523" s="2" t="s">
        <v>417</v>
      </c>
      <c r="C523" s="2">
        <v>3000</v>
      </c>
      <c r="D523" s="2" t="s">
        <v>43</v>
      </c>
      <c r="E523" s="2">
        <v>0</v>
      </c>
      <c r="F523" s="2" t="s">
        <v>27</v>
      </c>
    </row>
    <row r="524" spans="1:6" x14ac:dyDescent="0.25">
      <c r="A524" s="2" t="s">
        <v>33</v>
      </c>
      <c r="B524" s="2" t="s">
        <v>418</v>
      </c>
      <c r="C524" s="2">
        <v>3000</v>
      </c>
      <c r="D524" s="2" t="s">
        <v>43</v>
      </c>
      <c r="E524" s="2">
        <v>0</v>
      </c>
      <c r="F524" s="2" t="s">
        <v>27</v>
      </c>
    </row>
    <row r="525" spans="1:6" x14ac:dyDescent="0.25">
      <c r="A525" s="2" t="s">
        <v>33</v>
      </c>
      <c r="B525" s="2" t="s">
        <v>419</v>
      </c>
      <c r="C525" s="2">
        <v>3000</v>
      </c>
      <c r="D525" s="2" t="s">
        <v>43</v>
      </c>
      <c r="E525" s="2">
        <v>0</v>
      </c>
      <c r="F525" s="2" t="s">
        <v>27</v>
      </c>
    </row>
    <row r="526" spans="1:6" x14ac:dyDescent="0.25">
      <c r="A526" s="2" t="s">
        <v>40</v>
      </c>
      <c r="B526" s="2" t="s">
        <v>420</v>
      </c>
      <c r="C526" s="2">
        <v>3000</v>
      </c>
      <c r="D526" s="2" t="s">
        <v>43</v>
      </c>
      <c r="E526" s="2">
        <v>0</v>
      </c>
      <c r="F526" s="2" t="s">
        <v>27</v>
      </c>
    </row>
    <row r="527" spans="1:6" x14ac:dyDescent="0.25">
      <c r="A527" s="2" t="s">
        <v>40</v>
      </c>
      <c r="B527" s="2" t="s">
        <v>422</v>
      </c>
      <c r="C527" s="2">
        <v>3000</v>
      </c>
      <c r="D527" s="2" t="s">
        <v>43</v>
      </c>
      <c r="E527" s="2">
        <v>0</v>
      </c>
      <c r="F527" s="2" t="s">
        <v>27</v>
      </c>
    </row>
    <row r="528" spans="1:6" x14ac:dyDescent="0.25">
      <c r="A528" s="2" t="s">
        <v>40</v>
      </c>
      <c r="B528" s="2" t="s">
        <v>424</v>
      </c>
      <c r="C528" s="2">
        <v>3000</v>
      </c>
      <c r="D528" s="2" t="s">
        <v>43</v>
      </c>
      <c r="E528" s="2">
        <v>0</v>
      </c>
      <c r="F528" s="2" t="s">
        <v>27</v>
      </c>
    </row>
    <row r="529" spans="1:6" x14ac:dyDescent="0.25">
      <c r="A529" s="2" t="s">
        <v>40</v>
      </c>
      <c r="B529" s="2" t="s">
        <v>425</v>
      </c>
      <c r="C529" s="2">
        <v>3000</v>
      </c>
      <c r="D529" s="2" t="s">
        <v>43</v>
      </c>
      <c r="E529" s="2">
        <v>0</v>
      </c>
      <c r="F529" s="2" t="s">
        <v>27</v>
      </c>
    </row>
    <row r="530" spans="1:6" x14ac:dyDescent="0.25">
      <c r="A530" s="2" t="s">
        <v>40</v>
      </c>
      <c r="B530" s="2" t="s">
        <v>426</v>
      </c>
      <c r="C530" s="2">
        <v>3000</v>
      </c>
      <c r="D530" s="2" t="s">
        <v>43</v>
      </c>
      <c r="E530" s="2">
        <v>0</v>
      </c>
      <c r="F530" s="2" t="s">
        <v>27</v>
      </c>
    </row>
    <row r="531" spans="1:6" x14ac:dyDescent="0.25">
      <c r="A531" s="2" t="s">
        <v>33</v>
      </c>
      <c r="B531" s="2" t="s">
        <v>427</v>
      </c>
      <c r="C531" s="2">
        <v>3000</v>
      </c>
      <c r="D531" s="2" t="s">
        <v>52</v>
      </c>
      <c r="E531" s="2">
        <v>0</v>
      </c>
      <c r="F531" s="2" t="s">
        <v>53</v>
      </c>
    </row>
    <row r="532" spans="1:6" x14ac:dyDescent="0.25">
      <c r="A532" s="2" t="s">
        <v>33</v>
      </c>
      <c r="B532" s="2" t="s">
        <v>428</v>
      </c>
      <c r="C532" s="2">
        <v>3000</v>
      </c>
      <c r="D532" s="2" t="s">
        <v>52</v>
      </c>
      <c r="E532" s="2">
        <v>0</v>
      </c>
      <c r="F532" s="2" t="s">
        <v>53</v>
      </c>
    </row>
    <row r="533" spans="1:6" x14ac:dyDescent="0.25">
      <c r="A533" s="2" t="s">
        <v>33</v>
      </c>
      <c r="B533" s="2" t="s">
        <v>429</v>
      </c>
      <c r="C533" s="2">
        <v>3000</v>
      </c>
      <c r="D533" s="2" t="s">
        <v>52</v>
      </c>
      <c r="E533" s="2">
        <v>0</v>
      </c>
      <c r="F533" s="2" t="s">
        <v>53</v>
      </c>
    </row>
    <row r="534" spans="1:6" x14ac:dyDescent="0.25">
      <c r="A534" s="2" t="s">
        <v>33</v>
      </c>
      <c r="B534" s="2" t="s">
        <v>430</v>
      </c>
      <c r="C534" s="2">
        <v>3000</v>
      </c>
      <c r="D534" s="2" t="s">
        <v>52</v>
      </c>
      <c r="E534" s="2">
        <v>0</v>
      </c>
      <c r="F534" s="2" t="s">
        <v>53</v>
      </c>
    </row>
    <row r="535" spans="1:6" x14ac:dyDescent="0.25">
      <c r="A535" s="2" t="s">
        <v>40</v>
      </c>
      <c r="B535" s="2" t="s">
        <v>432</v>
      </c>
      <c r="C535" s="2">
        <v>3000</v>
      </c>
      <c r="D535" s="2" t="s">
        <v>52</v>
      </c>
      <c r="E535" s="2">
        <v>0</v>
      </c>
      <c r="F535" s="2" t="s">
        <v>53</v>
      </c>
    </row>
    <row r="536" spans="1:6" x14ac:dyDescent="0.25">
      <c r="A536" s="2" t="s">
        <v>40</v>
      </c>
      <c r="B536" s="2" t="s">
        <v>433</v>
      </c>
      <c r="C536" s="2">
        <v>3000</v>
      </c>
      <c r="D536" s="2" t="s">
        <v>52</v>
      </c>
      <c r="E536" s="2">
        <v>0</v>
      </c>
      <c r="F536" s="2" t="s">
        <v>53</v>
      </c>
    </row>
    <row r="537" spans="1:6" x14ac:dyDescent="0.25">
      <c r="A537" s="2" t="s">
        <v>40</v>
      </c>
      <c r="B537" s="2" t="s">
        <v>434</v>
      </c>
      <c r="C537" s="2">
        <v>3000</v>
      </c>
      <c r="D537" s="2" t="s">
        <v>52</v>
      </c>
      <c r="E537" s="2">
        <v>0</v>
      </c>
      <c r="F537" s="2" t="s">
        <v>53</v>
      </c>
    </row>
    <row r="538" spans="1:6" x14ac:dyDescent="0.25">
      <c r="A538" s="2" t="s">
        <v>40</v>
      </c>
      <c r="B538" s="2" t="s">
        <v>435</v>
      </c>
      <c r="C538" s="2">
        <v>3000</v>
      </c>
      <c r="D538" s="2" t="s">
        <v>52</v>
      </c>
      <c r="E538" s="2">
        <v>0</v>
      </c>
      <c r="F538" s="2" t="s">
        <v>53</v>
      </c>
    </row>
    <row r="539" spans="1:6" x14ac:dyDescent="0.25">
      <c r="A539" s="2" t="s">
        <v>40</v>
      </c>
      <c r="B539" s="2" t="s">
        <v>436</v>
      </c>
      <c r="C539" s="2">
        <v>3000</v>
      </c>
      <c r="D539" s="2" t="s">
        <v>52</v>
      </c>
      <c r="E539" s="2">
        <v>0</v>
      </c>
      <c r="F539" s="2" t="s">
        <v>53</v>
      </c>
    </row>
    <row r="540" spans="1:6" x14ac:dyDescent="0.25">
      <c r="A540" s="2" t="s">
        <v>40</v>
      </c>
      <c r="B540" s="2" t="s">
        <v>437</v>
      </c>
      <c r="C540" s="2">
        <v>3000</v>
      </c>
      <c r="D540" s="2" t="s">
        <v>52</v>
      </c>
      <c r="E540" s="2">
        <v>0</v>
      </c>
      <c r="F540" s="2" t="s">
        <v>53</v>
      </c>
    </row>
    <row r="541" spans="1:6" x14ac:dyDescent="0.25">
      <c r="A541" s="2" t="s">
        <v>33</v>
      </c>
      <c r="B541" s="2" t="s">
        <v>443</v>
      </c>
      <c r="C541" s="2">
        <v>3000</v>
      </c>
      <c r="D541" s="2" t="s">
        <v>52</v>
      </c>
      <c r="E541" s="2">
        <v>0</v>
      </c>
      <c r="F541" s="2" t="s">
        <v>115</v>
      </c>
    </row>
    <row r="542" spans="1:6" x14ac:dyDescent="0.25">
      <c r="A542" s="2" t="s">
        <v>33</v>
      </c>
      <c r="B542" s="2" t="s">
        <v>444</v>
      </c>
      <c r="C542" s="2">
        <v>3000</v>
      </c>
      <c r="D542" s="2" t="s">
        <v>52</v>
      </c>
      <c r="E542" s="2">
        <v>0</v>
      </c>
      <c r="F542" s="2" t="s">
        <v>115</v>
      </c>
    </row>
    <row r="543" spans="1:6" x14ac:dyDescent="0.25">
      <c r="A543" s="2" t="s">
        <v>40</v>
      </c>
      <c r="B543" s="2" t="s">
        <v>447</v>
      </c>
      <c r="C543" s="2">
        <v>3000</v>
      </c>
      <c r="D543" s="2" t="s">
        <v>52</v>
      </c>
      <c r="E543" s="2">
        <v>0</v>
      </c>
      <c r="F543" s="2" t="s">
        <v>115</v>
      </c>
    </row>
    <row r="544" spans="1:6" x14ac:dyDescent="0.25">
      <c r="A544" s="2" t="s">
        <v>40</v>
      </c>
      <c r="B544" s="2" t="s">
        <v>448</v>
      </c>
      <c r="C544" s="2">
        <v>3000</v>
      </c>
      <c r="D544" s="2" t="s">
        <v>52</v>
      </c>
      <c r="E544" s="2">
        <v>0</v>
      </c>
      <c r="F544" s="2" t="s">
        <v>115</v>
      </c>
    </row>
    <row r="545" spans="1:6" x14ac:dyDescent="0.25">
      <c r="A545" s="2" t="s">
        <v>40</v>
      </c>
      <c r="B545" s="2" t="s">
        <v>449</v>
      </c>
      <c r="C545" s="2">
        <v>3000</v>
      </c>
      <c r="D545" s="2" t="s">
        <v>52</v>
      </c>
      <c r="E545" s="2">
        <v>0</v>
      </c>
      <c r="F545" s="2" t="s">
        <v>115</v>
      </c>
    </row>
    <row r="546" spans="1:6" x14ac:dyDescent="0.25">
      <c r="A546" s="2" t="s">
        <v>40</v>
      </c>
      <c r="B546" s="2" t="s">
        <v>450</v>
      </c>
      <c r="C546" s="2">
        <v>3000</v>
      </c>
      <c r="D546" s="2" t="s">
        <v>52</v>
      </c>
      <c r="E546" s="2">
        <v>0</v>
      </c>
      <c r="F546" s="2" t="s">
        <v>115</v>
      </c>
    </row>
    <row r="547" spans="1:6" x14ac:dyDescent="0.25">
      <c r="A547" s="2" t="s">
        <v>40</v>
      </c>
      <c r="B547" s="2" t="s">
        <v>451</v>
      </c>
      <c r="C547" s="2">
        <v>3000</v>
      </c>
      <c r="D547" s="2" t="s">
        <v>52</v>
      </c>
      <c r="E547" s="2">
        <v>0</v>
      </c>
      <c r="F547" s="2" t="s">
        <v>115</v>
      </c>
    </row>
    <row r="548" spans="1:6" x14ac:dyDescent="0.25">
      <c r="A548" s="2" t="s">
        <v>40</v>
      </c>
      <c r="B548" s="2" t="s">
        <v>454</v>
      </c>
      <c r="C548" s="2">
        <v>3000</v>
      </c>
      <c r="D548" s="2" t="s">
        <v>52</v>
      </c>
      <c r="E548" s="2">
        <v>0</v>
      </c>
      <c r="F548" s="2" t="s">
        <v>115</v>
      </c>
    </row>
    <row r="549" spans="1:6" x14ac:dyDescent="0.25">
      <c r="A549" s="2" t="s">
        <v>40</v>
      </c>
      <c r="B549" s="2" t="s">
        <v>455</v>
      </c>
      <c r="C549" s="2">
        <v>3000</v>
      </c>
      <c r="D549" s="2" t="s">
        <v>52</v>
      </c>
      <c r="E549" s="2">
        <v>0</v>
      </c>
      <c r="F549" s="2" t="s">
        <v>115</v>
      </c>
    </row>
    <row r="550" spans="1:6" x14ac:dyDescent="0.25">
      <c r="A550" s="2" t="s">
        <v>33</v>
      </c>
      <c r="B550" s="2" t="s">
        <v>456</v>
      </c>
      <c r="C550" s="2">
        <v>3000</v>
      </c>
      <c r="D550" s="2" t="s">
        <v>35</v>
      </c>
      <c r="E550" s="2">
        <v>0</v>
      </c>
      <c r="F550" s="2" t="s">
        <v>20</v>
      </c>
    </row>
    <row r="551" spans="1:6" x14ac:dyDescent="0.25">
      <c r="A551" s="2" t="s">
        <v>40</v>
      </c>
      <c r="B551" s="2" t="s">
        <v>460</v>
      </c>
      <c r="C551" s="2">
        <v>3000</v>
      </c>
      <c r="D551" s="2" t="s">
        <v>35</v>
      </c>
      <c r="E551" s="2">
        <v>0</v>
      </c>
      <c r="F551" s="2" t="s">
        <v>20</v>
      </c>
    </row>
    <row r="552" spans="1:6" x14ac:dyDescent="0.25">
      <c r="A552" s="2" t="s">
        <v>40</v>
      </c>
      <c r="B552" s="2" t="s">
        <v>462</v>
      </c>
      <c r="C552" s="2">
        <v>3000</v>
      </c>
      <c r="D552" s="2" t="s">
        <v>35</v>
      </c>
      <c r="E552" s="2">
        <v>0</v>
      </c>
      <c r="F552" s="2" t="s">
        <v>20</v>
      </c>
    </row>
    <row r="553" spans="1:6" x14ac:dyDescent="0.25">
      <c r="A553" s="2" t="s">
        <v>40</v>
      </c>
      <c r="B553" s="2" t="s">
        <v>464</v>
      </c>
      <c r="C553" s="2">
        <v>3000</v>
      </c>
      <c r="D553" s="2" t="s">
        <v>35</v>
      </c>
      <c r="E553" s="2">
        <v>0</v>
      </c>
      <c r="F553" s="2" t="s">
        <v>20</v>
      </c>
    </row>
    <row r="554" spans="1:6" x14ac:dyDescent="0.25">
      <c r="A554" s="2" t="s">
        <v>40</v>
      </c>
      <c r="B554" s="2" t="s">
        <v>466</v>
      </c>
      <c r="C554" s="2">
        <v>3000</v>
      </c>
      <c r="D554" s="2" t="s">
        <v>35</v>
      </c>
      <c r="E554" s="2">
        <v>0</v>
      </c>
      <c r="F554" s="2" t="s">
        <v>20</v>
      </c>
    </row>
    <row r="555" spans="1:6" x14ac:dyDescent="0.25">
      <c r="A555" s="2" t="s">
        <v>40</v>
      </c>
      <c r="B555" s="2" t="s">
        <v>467</v>
      </c>
      <c r="C555" s="2">
        <v>3000</v>
      </c>
      <c r="D555" s="2" t="s">
        <v>35</v>
      </c>
      <c r="E555" s="2">
        <v>0</v>
      </c>
      <c r="F555" s="2" t="s">
        <v>20</v>
      </c>
    </row>
    <row r="556" spans="1:6" x14ac:dyDescent="0.25">
      <c r="A556" s="2" t="s">
        <v>40</v>
      </c>
      <c r="B556" s="2" t="s">
        <v>468</v>
      </c>
      <c r="C556" s="2">
        <v>3000</v>
      </c>
      <c r="D556" s="2" t="s">
        <v>35</v>
      </c>
      <c r="E556" s="2">
        <v>0</v>
      </c>
      <c r="F556" s="2" t="s">
        <v>20</v>
      </c>
    </row>
    <row r="557" spans="1:6" x14ac:dyDescent="0.25">
      <c r="A557" s="2" t="s">
        <v>33</v>
      </c>
      <c r="B557" s="2" t="s">
        <v>470</v>
      </c>
      <c r="C557" s="2">
        <v>3000</v>
      </c>
      <c r="D557" s="2" t="s">
        <v>35</v>
      </c>
      <c r="E557" s="2">
        <v>0</v>
      </c>
      <c r="F557" s="2" t="s">
        <v>36</v>
      </c>
    </row>
    <row r="558" spans="1:6" x14ac:dyDescent="0.25">
      <c r="A558" s="2" t="s">
        <v>33</v>
      </c>
      <c r="B558" s="2" t="s">
        <v>471</v>
      </c>
      <c r="C558" s="2">
        <v>3000</v>
      </c>
      <c r="D558" s="2" t="s">
        <v>35</v>
      </c>
      <c r="E558" s="2">
        <v>0</v>
      </c>
      <c r="F558" s="2" t="s">
        <v>36</v>
      </c>
    </row>
    <row r="559" spans="1:6" x14ac:dyDescent="0.25">
      <c r="A559" s="2" t="s">
        <v>40</v>
      </c>
      <c r="B559" s="2" t="s">
        <v>476</v>
      </c>
      <c r="C559" s="2">
        <v>3000</v>
      </c>
      <c r="D559" s="2" t="s">
        <v>35</v>
      </c>
      <c r="E559" s="2">
        <v>0</v>
      </c>
      <c r="F559" s="2" t="s">
        <v>36</v>
      </c>
    </row>
    <row r="560" spans="1:6" x14ac:dyDescent="0.25">
      <c r="A560" s="2" t="s">
        <v>40</v>
      </c>
      <c r="B560" s="2" t="s">
        <v>479</v>
      </c>
      <c r="C560" s="2">
        <v>3000</v>
      </c>
      <c r="D560" s="2" t="s">
        <v>35</v>
      </c>
      <c r="E560" s="2">
        <v>0</v>
      </c>
      <c r="F560" s="2" t="s">
        <v>36</v>
      </c>
    </row>
    <row r="561" spans="1:6" x14ac:dyDescent="0.25">
      <c r="A561" s="2" t="s">
        <v>33</v>
      </c>
      <c r="B561" s="2" t="s">
        <v>481</v>
      </c>
      <c r="C561" s="2">
        <v>3000</v>
      </c>
      <c r="D561" s="2" t="s">
        <v>38</v>
      </c>
      <c r="E561" s="2">
        <v>0</v>
      </c>
      <c r="F561" s="2" t="s">
        <v>26</v>
      </c>
    </row>
    <row r="562" spans="1:6" x14ac:dyDescent="0.25">
      <c r="A562" s="2" t="s">
        <v>40</v>
      </c>
      <c r="B562" s="2" t="s">
        <v>485</v>
      </c>
      <c r="C562" s="2">
        <v>3000</v>
      </c>
      <c r="D562" s="2" t="s">
        <v>38</v>
      </c>
      <c r="E562" s="2">
        <v>0</v>
      </c>
      <c r="F562" s="2" t="s">
        <v>26</v>
      </c>
    </row>
    <row r="563" spans="1:6" x14ac:dyDescent="0.25">
      <c r="A563" s="2" t="s">
        <v>40</v>
      </c>
      <c r="B563" s="2" t="s">
        <v>488</v>
      </c>
      <c r="C563" s="2">
        <v>3000</v>
      </c>
      <c r="D563" s="2" t="s">
        <v>38</v>
      </c>
      <c r="E563" s="2">
        <v>0</v>
      </c>
      <c r="F563" s="2" t="s">
        <v>26</v>
      </c>
    </row>
    <row r="564" spans="1:6" x14ac:dyDescent="0.25">
      <c r="A564" s="2" t="s">
        <v>40</v>
      </c>
      <c r="B564" s="2" t="s">
        <v>489</v>
      </c>
      <c r="C564" s="2">
        <v>3000</v>
      </c>
      <c r="D564" s="2" t="s">
        <v>38</v>
      </c>
      <c r="E564" s="2">
        <v>0</v>
      </c>
      <c r="F564" s="2" t="s">
        <v>26</v>
      </c>
    </row>
    <row r="565" spans="1:6" x14ac:dyDescent="0.25">
      <c r="A565" s="2" t="s">
        <v>40</v>
      </c>
      <c r="B565" s="2" t="s">
        <v>490</v>
      </c>
      <c r="C565" s="2">
        <v>3000</v>
      </c>
      <c r="D565" s="2" t="s">
        <v>38</v>
      </c>
      <c r="E565" s="2">
        <v>0</v>
      </c>
      <c r="F565" s="2" t="s">
        <v>26</v>
      </c>
    </row>
    <row r="566" spans="1:6" x14ac:dyDescent="0.25">
      <c r="A566" s="2" t="s">
        <v>40</v>
      </c>
      <c r="B566" s="2" t="s">
        <v>491</v>
      </c>
      <c r="C566" s="2">
        <v>3000</v>
      </c>
      <c r="D566" s="2" t="s">
        <v>38</v>
      </c>
      <c r="E566" s="2">
        <v>0</v>
      </c>
      <c r="F566" s="2" t="s">
        <v>26</v>
      </c>
    </row>
    <row r="567" spans="1:6" x14ac:dyDescent="0.25">
      <c r="A567" s="2" t="s">
        <v>33</v>
      </c>
      <c r="B567" s="2" t="s">
        <v>492</v>
      </c>
      <c r="C567" s="2">
        <v>3000</v>
      </c>
      <c r="D567" s="2" t="s">
        <v>38</v>
      </c>
      <c r="E567" s="2">
        <v>0</v>
      </c>
      <c r="F567" s="2" t="s">
        <v>39</v>
      </c>
    </row>
    <row r="568" spans="1:6" x14ac:dyDescent="0.25">
      <c r="A568" s="2" t="s">
        <v>33</v>
      </c>
      <c r="B568" s="2" t="s">
        <v>493</v>
      </c>
      <c r="C568" s="2">
        <v>3000</v>
      </c>
      <c r="D568" s="2" t="s">
        <v>38</v>
      </c>
      <c r="E568" s="2">
        <v>0</v>
      </c>
      <c r="F568" s="2" t="s">
        <v>39</v>
      </c>
    </row>
    <row r="569" spans="1:6" x14ac:dyDescent="0.25">
      <c r="A569" s="2" t="s">
        <v>33</v>
      </c>
      <c r="B569" s="2" t="s">
        <v>494</v>
      </c>
      <c r="C569" s="2">
        <v>3000</v>
      </c>
      <c r="D569" s="2" t="s">
        <v>38</v>
      </c>
      <c r="E569" s="2">
        <v>0</v>
      </c>
      <c r="F569" s="2" t="s">
        <v>39</v>
      </c>
    </row>
    <row r="570" spans="1:6" x14ac:dyDescent="0.25">
      <c r="A570" s="2" t="s">
        <v>40</v>
      </c>
      <c r="B570" s="2" t="s">
        <v>495</v>
      </c>
      <c r="C570" s="2">
        <v>3000</v>
      </c>
      <c r="D570" s="2" t="s">
        <v>38</v>
      </c>
      <c r="E570" s="2">
        <v>0</v>
      </c>
      <c r="F570" s="2" t="s">
        <v>39</v>
      </c>
    </row>
    <row r="571" spans="1:6" x14ac:dyDescent="0.25">
      <c r="A571" s="2" t="s">
        <v>40</v>
      </c>
      <c r="B571" s="2" t="s">
        <v>496</v>
      </c>
      <c r="C571" s="2">
        <v>3000</v>
      </c>
      <c r="D571" s="2" t="s">
        <v>38</v>
      </c>
      <c r="E571" s="2">
        <v>0</v>
      </c>
      <c r="F571" s="2" t="s">
        <v>39</v>
      </c>
    </row>
    <row r="572" spans="1:6" x14ac:dyDescent="0.25">
      <c r="A572" s="2" t="s">
        <v>40</v>
      </c>
      <c r="B572" s="2" t="s">
        <v>497</v>
      </c>
      <c r="C572" s="2">
        <v>3000</v>
      </c>
      <c r="D572" s="2" t="s">
        <v>38</v>
      </c>
      <c r="E572" s="2">
        <v>0</v>
      </c>
      <c r="F572" s="2" t="s">
        <v>39</v>
      </c>
    </row>
    <row r="573" spans="1:6" x14ac:dyDescent="0.25">
      <c r="A573" s="2" t="s">
        <v>40</v>
      </c>
      <c r="B573" s="2" t="s">
        <v>499</v>
      </c>
      <c r="C573" s="2">
        <v>3000</v>
      </c>
      <c r="D573" s="2" t="s">
        <v>38</v>
      </c>
      <c r="E573" s="2">
        <v>0</v>
      </c>
      <c r="F573" s="2" t="s">
        <v>39</v>
      </c>
    </row>
    <row r="574" spans="1:6" x14ac:dyDescent="0.25">
      <c r="A574" s="2" t="s">
        <v>40</v>
      </c>
      <c r="B574" s="2" t="s">
        <v>500</v>
      </c>
      <c r="C574" s="2">
        <v>3000</v>
      </c>
      <c r="D574" s="2" t="s">
        <v>38</v>
      </c>
      <c r="E574" s="2">
        <v>0</v>
      </c>
      <c r="F574" s="2" t="s">
        <v>39</v>
      </c>
    </row>
    <row r="575" spans="1:6" x14ac:dyDescent="0.25">
      <c r="A575" s="2" t="s">
        <v>40</v>
      </c>
      <c r="B575" s="2" t="s">
        <v>502</v>
      </c>
      <c r="C575" s="2">
        <v>3000</v>
      </c>
      <c r="D575" s="2" t="s">
        <v>38</v>
      </c>
      <c r="E575" s="2">
        <v>0</v>
      </c>
      <c r="F575" s="2" t="s">
        <v>39</v>
      </c>
    </row>
    <row r="576" spans="1:6" x14ac:dyDescent="0.25">
      <c r="A576" s="2" t="s">
        <v>33</v>
      </c>
      <c r="B576" s="2" t="s">
        <v>503</v>
      </c>
      <c r="C576" s="2">
        <v>3000</v>
      </c>
      <c r="D576" s="2" t="s">
        <v>103</v>
      </c>
      <c r="E576" s="2">
        <v>0</v>
      </c>
      <c r="F576" s="2" t="s">
        <v>19</v>
      </c>
    </row>
    <row r="577" spans="1:6" x14ac:dyDescent="0.25">
      <c r="A577" s="2" t="s">
        <v>40</v>
      </c>
      <c r="B577" s="2" t="s">
        <v>507</v>
      </c>
      <c r="C577" s="2">
        <v>3000</v>
      </c>
      <c r="D577" s="2" t="s">
        <v>103</v>
      </c>
      <c r="E577" s="2">
        <v>0</v>
      </c>
      <c r="F577" s="2" t="s">
        <v>19</v>
      </c>
    </row>
    <row r="578" spans="1:6" x14ac:dyDescent="0.25">
      <c r="A578" s="2" t="s">
        <v>40</v>
      </c>
      <c r="B578" s="2" t="s">
        <v>508</v>
      </c>
      <c r="C578" s="2">
        <v>3000</v>
      </c>
      <c r="D578" s="2" t="s">
        <v>103</v>
      </c>
      <c r="E578" s="2">
        <v>0</v>
      </c>
      <c r="F578" s="2" t="s">
        <v>19</v>
      </c>
    </row>
    <row r="579" spans="1:6" x14ac:dyDescent="0.25">
      <c r="A579" s="2" t="s">
        <v>40</v>
      </c>
      <c r="B579" s="2" t="s">
        <v>510</v>
      </c>
      <c r="C579" s="2">
        <v>3000</v>
      </c>
      <c r="D579" s="2" t="s">
        <v>103</v>
      </c>
      <c r="E579" s="2">
        <v>0</v>
      </c>
      <c r="F579" s="2" t="s">
        <v>19</v>
      </c>
    </row>
    <row r="580" spans="1:6" x14ac:dyDescent="0.25">
      <c r="A580" s="2" t="s">
        <v>40</v>
      </c>
      <c r="B580" s="2" t="s">
        <v>511</v>
      </c>
      <c r="C580" s="2">
        <v>3000</v>
      </c>
      <c r="D580" s="2" t="s">
        <v>103</v>
      </c>
      <c r="E580" s="2">
        <v>0</v>
      </c>
      <c r="F580" s="2" t="s">
        <v>19</v>
      </c>
    </row>
    <row r="581" spans="1:6" x14ac:dyDescent="0.25">
      <c r="A581" s="2" t="s">
        <v>40</v>
      </c>
      <c r="B581" s="2" t="s">
        <v>304</v>
      </c>
      <c r="C581" s="2">
        <v>3000</v>
      </c>
      <c r="D581" s="2" t="s">
        <v>103</v>
      </c>
      <c r="E581" s="2">
        <v>0</v>
      </c>
      <c r="F581" s="2" t="s">
        <v>19</v>
      </c>
    </row>
    <row r="582" spans="1:6" x14ac:dyDescent="0.25">
      <c r="A582" s="2" t="s">
        <v>40</v>
      </c>
      <c r="B582" s="2" t="s">
        <v>513</v>
      </c>
      <c r="C582" s="2">
        <v>3000</v>
      </c>
      <c r="D582" s="2" t="s">
        <v>103</v>
      </c>
      <c r="E582" s="2">
        <v>0</v>
      </c>
      <c r="F582" s="2" t="s">
        <v>19</v>
      </c>
    </row>
    <row r="583" spans="1:6" x14ac:dyDescent="0.25">
      <c r="A583" s="2" t="s">
        <v>33</v>
      </c>
      <c r="B583" s="2" t="s">
        <v>514</v>
      </c>
      <c r="C583" s="2">
        <v>3000</v>
      </c>
      <c r="D583" s="2" t="s">
        <v>103</v>
      </c>
      <c r="E583" s="2">
        <v>0</v>
      </c>
      <c r="F583" s="2" t="s">
        <v>110</v>
      </c>
    </row>
    <row r="584" spans="1:6" x14ac:dyDescent="0.25">
      <c r="A584" s="2" t="s">
        <v>33</v>
      </c>
      <c r="B584" s="2" t="s">
        <v>515</v>
      </c>
      <c r="C584" s="2">
        <v>3000</v>
      </c>
      <c r="D584" s="2" t="s">
        <v>103</v>
      </c>
      <c r="E584" s="2">
        <v>0</v>
      </c>
      <c r="F584" s="2" t="s">
        <v>110</v>
      </c>
    </row>
    <row r="585" spans="1:6" x14ac:dyDescent="0.25">
      <c r="A585" s="2" t="s">
        <v>33</v>
      </c>
      <c r="B585" s="2" t="s">
        <v>516</v>
      </c>
      <c r="C585" s="2">
        <v>3000</v>
      </c>
      <c r="D585" s="2" t="s">
        <v>103</v>
      </c>
      <c r="E585" s="2">
        <v>0</v>
      </c>
      <c r="F585" s="2" t="s">
        <v>110</v>
      </c>
    </row>
    <row r="586" spans="1:6" x14ac:dyDescent="0.25">
      <c r="A586" s="2" t="s">
        <v>33</v>
      </c>
      <c r="B586" s="2" t="s">
        <v>517</v>
      </c>
      <c r="C586" s="2">
        <v>3000</v>
      </c>
      <c r="D586" s="2" t="s">
        <v>103</v>
      </c>
      <c r="E586" s="2">
        <v>0</v>
      </c>
      <c r="F586" s="2" t="s">
        <v>110</v>
      </c>
    </row>
    <row r="587" spans="1:6" x14ac:dyDescent="0.25">
      <c r="A587" s="2" t="s">
        <v>33</v>
      </c>
      <c r="B587" s="2" t="s">
        <v>519</v>
      </c>
      <c r="C587" s="2">
        <v>3000</v>
      </c>
      <c r="D587" s="2" t="s">
        <v>103</v>
      </c>
      <c r="E587" s="2">
        <v>0</v>
      </c>
      <c r="F587" s="2" t="s">
        <v>110</v>
      </c>
    </row>
    <row r="588" spans="1:6" x14ac:dyDescent="0.25">
      <c r="A588" s="2" t="s">
        <v>40</v>
      </c>
      <c r="B588" s="2" t="s">
        <v>520</v>
      </c>
      <c r="C588" s="2">
        <v>3000</v>
      </c>
      <c r="D588" s="2" t="s">
        <v>103</v>
      </c>
      <c r="E588" s="2">
        <v>0</v>
      </c>
      <c r="F588" s="2" t="s">
        <v>110</v>
      </c>
    </row>
    <row r="589" spans="1:6" x14ac:dyDescent="0.25">
      <c r="A589" s="2" t="s">
        <v>40</v>
      </c>
      <c r="B589" s="2" t="s">
        <v>521</v>
      </c>
      <c r="C589" s="2">
        <v>3000</v>
      </c>
      <c r="D589" s="2" t="s">
        <v>103</v>
      </c>
      <c r="E589" s="2">
        <v>0</v>
      </c>
      <c r="F589" s="2" t="s">
        <v>110</v>
      </c>
    </row>
    <row r="590" spans="1:6" x14ac:dyDescent="0.25">
      <c r="A590" s="2" t="s">
        <v>40</v>
      </c>
      <c r="B590" s="2" t="s">
        <v>523</v>
      </c>
      <c r="C590" s="2">
        <v>3000</v>
      </c>
      <c r="D590" s="2" t="s">
        <v>103</v>
      </c>
      <c r="E590" s="2">
        <v>0</v>
      </c>
      <c r="F590" s="2" t="s">
        <v>110</v>
      </c>
    </row>
    <row r="591" spans="1:6" x14ac:dyDescent="0.25">
      <c r="A591" s="2" t="s">
        <v>40</v>
      </c>
      <c r="B591" s="2" t="s">
        <v>524</v>
      </c>
      <c r="C591" s="2">
        <v>3000</v>
      </c>
      <c r="D591" s="2" t="s">
        <v>103</v>
      </c>
      <c r="E591" s="2">
        <v>0</v>
      </c>
      <c r="F591" s="2" t="s">
        <v>110</v>
      </c>
    </row>
    <row r="592" spans="1:6" x14ac:dyDescent="0.25">
      <c r="A592" s="2" t="s">
        <v>40</v>
      </c>
      <c r="B592" s="2" t="s">
        <v>525</v>
      </c>
      <c r="C592" s="2">
        <v>3000</v>
      </c>
      <c r="D592" s="2" t="s">
        <v>103</v>
      </c>
      <c r="E592" s="2">
        <v>0</v>
      </c>
      <c r="F592" s="2" t="s">
        <v>110</v>
      </c>
    </row>
    <row r="593" spans="1:6" x14ac:dyDescent="0.25">
      <c r="A593" s="2" t="s">
        <v>40</v>
      </c>
      <c r="B593" s="2" t="s">
        <v>527</v>
      </c>
      <c r="C593" s="2">
        <v>3000</v>
      </c>
      <c r="D593" s="2" t="s">
        <v>103</v>
      </c>
      <c r="E593" s="2">
        <v>0</v>
      </c>
      <c r="F593" s="2" t="s">
        <v>110</v>
      </c>
    </row>
    <row r="594" spans="1:6" x14ac:dyDescent="0.25">
      <c r="A594" s="2" t="s">
        <v>33</v>
      </c>
      <c r="B594" s="2" t="s">
        <v>529</v>
      </c>
      <c r="C594" s="2">
        <v>3000</v>
      </c>
      <c r="D594" s="2" t="s">
        <v>55</v>
      </c>
      <c r="E594" s="2">
        <v>0</v>
      </c>
      <c r="F594" s="2" t="s">
        <v>28</v>
      </c>
    </row>
    <row r="595" spans="1:6" x14ac:dyDescent="0.25">
      <c r="A595" s="2" t="s">
        <v>33</v>
      </c>
      <c r="B595" s="2" t="s">
        <v>530</v>
      </c>
      <c r="C595" s="2">
        <v>3000</v>
      </c>
      <c r="D595" s="2" t="s">
        <v>55</v>
      </c>
      <c r="E595" s="2">
        <v>0</v>
      </c>
      <c r="F595" s="2" t="s">
        <v>28</v>
      </c>
    </row>
    <row r="596" spans="1:6" x14ac:dyDescent="0.25">
      <c r="A596" s="2" t="s">
        <v>33</v>
      </c>
      <c r="B596" s="2" t="s">
        <v>531</v>
      </c>
      <c r="C596" s="2">
        <v>3000</v>
      </c>
      <c r="D596" s="2" t="s">
        <v>55</v>
      </c>
      <c r="E596" s="2">
        <v>0</v>
      </c>
      <c r="F596" s="2" t="s">
        <v>28</v>
      </c>
    </row>
    <row r="597" spans="1:6" x14ac:dyDescent="0.25">
      <c r="A597" s="2" t="s">
        <v>40</v>
      </c>
      <c r="B597" s="2" t="s">
        <v>532</v>
      </c>
      <c r="C597" s="2">
        <v>3000</v>
      </c>
      <c r="D597" s="2" t="s">
        <v>55</v>
      </c>
      <c r="E597" s="2">
        <v>0</v>
      </c>
      <c r="F597" s="2" t="s">
        <v>28</v>
      </c>
    </row>
    <row r="598" spans="1:6" x14ac:dyDescent="0.25">
      <c r="A598" s="2" t="s">
        <v>40</v>
      </c>
      <c r="B598" s="2" t="s">
        <v>533</v>
      </c>
      <c r="C598" s="2">
        <v>3000</v>
      </c>
      <c r="D598" s="2" t="s">
        <v>55</v>
      </c>
      <c r="E598" s="2">
        <v>0</v>
      </c>
      <c r="F598" s="2" t="s">
        <v>28</v>
      </c>
    </row>
    <row r="599" spans="1:6" x14ac:dyDescent="0.25">
      <c r="A599" s="2" t="s">
        <v>40</v>
      </c>
      <c r="B599" s="2" t="s">
        <v>535</v>
      </c>
      <c r="C599" s="2">
        <v>3000</v>
      </c>
      <c r="D599" s="2" t="s">
        <v>55</v>
      </c>
      <c r="E599" s="2">
        <v>0</v>
      </c>
      <c r="F599" s="2" t="s">
        <v>28</v>
      </c>
    </row>
    <row r="600" spans="1:6" x14ac:dyDescent="0.25">
      <c r="A600" s="2" t="s">
        <v>40</v>
      </c>
      <c r="B600" s="2" t="s">
        <v>536</v>
      </c>
      <c r="C600" s="2">
        <v>3000</v>
      </c>
      <c r="D600" s="2" t="s">
        <v>55</v>
      </c>
      <c r="E600" s="2">
        <v>0</v>
      </c>
      <c r="F600" s="2" t="s">
        <v>28</v>
      </c>
    </row>
    <row r="601" spans="1:6" x14ac:dyDescent="0.25">
      <c r="A601" s="2" t="s">
        <v>40</v>
      </c>
      <c r="B601" s="2" t="s">
        <v>537</v>
      </c>
      <c r="C601" s="2">
        <v>3000</v>
      </c>
      <c r="D601" s="2" t="s">
        <v>55</v>
      </c>
      <c r="E601" s="2">
        <v>0</v>
      </c>
      <c r="F601" s="2" t="s">
        <v>28</v>
      </c>
    </row>
    <row r="602" spans="1:6" x14ac:dyDescent="0.25">
      <c r="A602" s="2" t="s">
        <v>40</v>
      </c>
      <c r="B602" s="2" t="s">
        <v>539</v>
      </c>
      <c r="C602" s="2">
        <v>3000</v>
      </c>
      <c r="D602" s="2" t="s">
        <v>55</v>
      </c>
      <c r="E602" s="2">
        <v>0</v>
      </c>
      <c r="F602" s="2" t="s">
        <v>28</v>
      </c>
    </row>
    <row r="603" spans="1:6" x14ac:dyDescent="0.25">
      <c r="A603" s="2" t="s">
        <v>40</v>
      </c>
      <c r="B603" s="2" t="s">
        <v>540</v>
      </c>
      <c r="C603" s="2">
        <v>3000</v>
      </c>
      <c r="D603" s="2" t="s">
        <v>55</v>
      </c>
      <c r="E603" s="2">
        <v>0</v>
      </c>
      <c r="F603" s="2" t="s">
        <v>28</v>
      </c>
    </row>
    <row r="604" spans="1:6" x14ac:dyDescent="0.25">
      <c r="A604" s="2" t="s">
        <v>40</v>
      </c>
      <c r="B604" s="2" t="s">
        <v>541</v>
      </c>
      <c r="C604" s="2">
        <v>3000</v>
      </c>
      <c r="D604" s="2" t="s">
        <v>55</v>
      </c>
      <c r="E604" s="2">
        <v>0</v>
      </c>
      <c r="F604" s="2" t="s">
        <v>28</v>
      </c>
    </row>
    <row r="605" spans="1:6" x14ac:dyDescent="0.25">
      <c r="A605" s="2" t="s">
        <v>33</v>
      </c>
      <c r="B605" s="2" t="s">
        <v>542</v>
      </c>
      <c r="C605" s="2">
        <v>3000</v>
      </c>
      <c r="D605" s="2" t="s">
        <v>55</v>
      </c>
      <c r="E605" s="2">
        <v>0</v>
      </c>
      <c r="F605" s="2" t="s">
        <v>56</v>
      </c>
    </row>
    <row r="606" spans="1:6" x14ac:dyDescent="0.25">
      <c r="A606" s="2" t="s">
        <v>33</v>
      </c>
      <c r="B606" s="2" t="s">
        <v>544</v>
      </c>
      <c r="C606" s="2">
        <v>3000</v>
      </c>
      <c r="D606" s="2" t="s">
        <v>55</v>
      </c>
      <c r="E606" s="2">
        <v>0</v>
      </c>
      <c r="F606" s="2" t="s">
        <v>56</v>
      </c>
    </row>
    <row r="607" spans="1:6" x14ac:dyDescent="0.25">
      <c r="A607" s="2" t="s">
        <v>33</v>
      </c>
      <c r="B607" s="2" t="s">
        <v>545</v>
      </c>
      <c r="C607" s="2">
        <v>3000</v>
      </c>
      <c r="D607" s="2" t="s">
        <v>55</v>
      </c>
      <c r="E607" s="2">
        <v>0</v>
      </c>
      <c r="F607" s="2" t="s">
        <v>56</v>
      </c>
    </row>
    <row r="608" spans="1:6" x14ac:dyDescent="0.25">
      <c r="A608" s="2" t="s">
        <v>33</v>
      </c>
      <c r="B608" s="2" t="s">
        <v>546</v>
      </c>
      <c r="C608" s="2">
        <v>3000</v>
      </c>
      <c r="D608" s="2" t="s">
        <v>55</v>
      </c>
      <c r="E608" s="2">
        <v>0</v>
      </c>
      <c r="F608" s="2" t="s">
        <v>56</v>
      </c>
    </row>
    <row r="609" spans="1:6" x14ac:dyDescent="0.25">
      <c r="A609" s="2" t="s">
        <v>40</v>
      </c>
      <c r="B609" s="2" t="s">
        <v>547</v>
      </c>
      <c r="C609" s="2">
        <v>3000</v>
      </c>
      <c r="D609" s="2" t="s">
        <v>55</v>
      </c>
      <c r="E609" s="2">
        <v>0</v>
      </c>
      <c r="F609" s="2" t="s">
        <v>56</v>
      </c>
    </row>
    <row r="610" spans="1:6" x14ac:dyDescent="0.25">
      <c r="A610" s="2" t="s">
        <v>40</v>
      </c>
      <c r="B610" s="2" t="s">
        <v>549</v>
      </c>
      <c r="C610" s="2">
        <v>3000</v>
      </c>
      <c r="D610" s="2" t="s">
        <v>55</v>
      </c>
      <c r="E610" s="2">
        <v>0</v>
      </c>
      <c r="F610" s="2" t="s">
        <v>56</v>
      </c>
    </row>
    <row r="611" spans="1:6" x14ac:dyDescent="0.25">
      <c r="A611" s="2" t="s">
        <v>40</v>
      </c>
      <c r="B611" s="2" t="s">
        <v>550</v>
      </c>
      <c r="C611" s="2">
        <v>3000</v>
      </c>
      <c r="D611" s="2" t="s">
        <v>55</v>
      </c>
      <c r="E611" s="2">
        <v>0</v>
      </c>
      <c r="F611" s="2" t="s">
        <v>56</v>
      </c>
    </row>
    <row r="612" spans="1:6" x14ac:dyDescent="0.25">
      <c r="A612" s="2" t="s">
        <v>40</v>
      </c>
      <c r="B612" s="2" t="s">
        <v>552</v>
      </c>
      <c r="C612" s="2">
        <v>3000</v>
      </c>
      <c r="D612" s="2" t="s">
        <v>55</v>
      </c>
      <c r="E612" s="2">
        <v>0</v>
      </c>
      <c r="F612" s="2" t="s">
        <v>56</v>
      </c>
    </row>
    <row r="613" spans="1:6" x14ac:dyDescent="0.25">
      <c r="A613" s="2" t="s">
        <v>40</v>
      </c>
      <c r="B613" s="2" t="s">
        <v>554</v>
      </c>
      <c r="C613" s="2">
        <v>3000</v>
      </c>
      <c r="D613" s="2" t="s">
        <v>55</v>
      </c>
      <c r="E613" s="2">
        <v>0</v>
      </c>
      <c r="F613" s="2" t="s">
        <v>56</v>
      </c>
    </row>
    <row r="614" spans="1:6" x14ac:dyDescent="0.25">
      <c r="A614" s="2" t="s">
        <v>40</v>
      </c>
      <c r="B614" s="2" t="s">
        <v>555</v>
      </c>
      <c r="C614" s="2">
        <v>3000</v>
      </c>
      <c r="D614" s="2" t="s">
        <v>55</v>
      </c>
      <c r="E614" s="2">
        <v>0</v>
      </c>
      <c r="F614" s="2" t="s">
        <v>56</v>
      </c>
    </row>
    <row r="615" spans="1:6" x14ac:dyDescent="0.25">
      <c r="A615" s="2" t="s">
        <v>92</v>
      </c>
      <c r="B615" s="2" t="s">
        <v>556</v>
      </c>
      <c r="C615" s="2">
        <v>3000</v>
      </c>
      <c r="D615" s="2" t="s">
        <v>55</v>
      </c>
      <c r="E615" s="2">
        <v>0</v>
      </c>
      <c r="F615" s="2" t="s">
        <v>56</v>
      </c>
    </row>
    <row r="616" spans="1:6" x14ac:dyDescent="0.25">
      <c r="A616" s="2" t="s">
        <v>33</v>
      </c>
      <c r="B616" s="2" t="s">
        <v>557</v>
      </c>
      <c r="C616" s="2">
        <v>3000</v>
      </c>
      <c r="D616" s="2" t="s">
        <v>62</v>
      </c>
      <c r="E616" s="2">
        <v>0</v>
      </c>
      <c r="F616" s="2" t="s">
        <v>63</v>
      </c>
    </row>
    <row r="617" spans="1:6" x14ac:dyDescent="0.25">
      <c r="A617" s="2" t="s">
        <v>33</v>
      </c>
      <c r="B617" s="2" t="s">
        <v>558</v>
      </c>
      <c r="C617" s="2">
        <v>3000</v>
      </c>
      <c r="D617" s="2" t="s">
        <v>62</v>
      </c>
      <c r="E617" s="2">
        <v>0</v>
      </c>
      <c r="F617" s="2" t="s">
        <v>63</v>
      </c>
    </row>
    <row r="618" spans="1:6" x14ac:dyDescent="0.25">
      <c r="A618" s="2" t="s">
        <v>33</v>
      </c>
      <c r="B618" s="2" t="s">
        <v>559</v>
      </c>
      <c r="C618" s="2">
        <v>3000</v>
      </c>
      <c r="D618" s="2" t="s">
        <v>62</v>
      </c>
      <c r="E618" s="2">
        <v>0</v>
      </c>
      <c r="F618" s="2" t="s">
        <v>63</v>
      </c>
    </row>
    <row r="619" spans="1:6" x14ac:dyDescent="0.25">
      <c r="A619" s="2" t="s">
        <v>33</v>
      </c>
      <c r="B619" s="2" t="s">
        <v>560</v>
      </c>
      <c r="C619" s="2">
        <v>3000</v>
      </c>
      <c r="D619" s="2" t="s">
        <v>62</v>
      </c>
      <c r="E619" s="2">
        <v>0</v>
      </c>
      <c r="F619" s="2" t="s">
        <v>63</v>
      </c>
    </row>
    <row r="620" spans="1:6" x14ac:dyDescent="0.25">
      <c r="A620" s="2" t="s">
        <v>33</v>
      </c>
      <c r="B620" s="2" t="s">
        <v>562</v>
      </c>
      <c r="C620" s="2">
        <v>3000</v>
      </c>
      <c r="D620" s="2" t="s">
        <v>62</v>
      </c>
      <c r="E620" s="2">
        <v>0</v>
      </c>
      <c r="F620" s="2" t="s">
        <v>63</v>
      </c>
    </row>
    <row r="621" spans="1:6" x14ac:dyDescent="0.25">
      <c r="A621" s="2" t="s">
        <v>40</v>
      </c>
      <c r="B621" s="2" t="s">
        <v>564</v>
      </c>
      <c r="C621" s="2">
        <v>3000</v>
      </c>
      <c r="D621" s="2" t="s">
        <v>62</v>
      </c>
      <c r="E621" s="2">
        <v>0</v>
      </c>
      <c r="F621" s="2" t="s">
        <v>63</v>
      </c>
    </row>
    <row r="622" spans="1:6" x14ac:dyDescent="0.25">
      <c r="A622" s="2" t="s">
        <v>40</v>
      </c>
      <c r="B622" s="2" t="s">
        <v>565</v>
      </c>
      <c r="C622" s="2">
        <v>3000</v>
      </c>
      <c r="D622" s="2" t="s">
        <v>62</v>
      </c>
      <c r="E622" s="2">
        <v>0</v>
      </c>
      <c r="F622" s="2" t="s">
        <v>63</v>
      </c>
    </row>
    <row r="623" spans="1:6" x14ac:dyDescent="0.25">
      <c r="A623" s="2" t="s">
        <v>40</v>
      </c>
      <c r="B623" s="2" t="s">
        <v>566</v>
      </c>
      <c r="C623" s="2">
        <v>3000</v>
      </c>
      <c r="D623" s="2" t="s">
        <v>62</v>
      </c>
      <c r="E623" s="2">
        <v>0</v>
      </c>
      <c r="F623" s="2" t="s">
        <v>63</v>
      </c>
    </row>
    <row r="624" spans="1:6" x14ac:dyDescent="0.25">
      <c r="A624" s="2" t="s">
        <v>40</v>
      </c>
      <c r="B624" s="2" t="s">
        <v>567</v>
      </c>
      <c r="C624" s="2">
        <v>3000</v>
      </c>
      <c r="D624" s="2" t="s">
        <v>62</v>
      </c>
      <c r="E624" s="2">
        <v>0</v>
      </c>
      <c r="F624" s="2" t="s">
        <v>63</v>
      </c>
    </row>
    <row r="625" spans="1:6" x14ac:dyDescent="0.25">
      <c r="A625" s="2" t="s">
        <v>40</v>
      </c>
      <c r="B625" s="2" t="s">
        <v>568</v>
      </c>
      <c r="C625" s="2">
        <v>3000</v>
      </c>
      <c r="D625" s="2" t="s">
        <v>62</v>
      </c>
      <c r="E625" s="2">
        <v>0</v>
      </c>
      <c r="F625" s="2" t="s">
        <v>63</v>
      </c>
    </row>
    <row r="626" spans="1:6" x14ac:dyDescent="0.25">
      <c r="A626" s="2" t="s">
        <v>40</v>
      </c>
      <c r="B626" s="2" t="s">
        <v>569</v>
      </c>
      <c r="C626" s="2">
        <v>3000</v>
      </c>
      <c r="D626" s="2" t="s">
        <v>62</v>
      </c>
      <c r="E626" s="2">
        <v>0</v>
      </c>
      <c r="F626" s="2" t="s">
        <v>63</v>
      </c>
    </row>
    <row r="627" spans="1:6" x14ac:dyDescent="0.25">
      <c r="A627" s="2" t="s">
        <v>40</v>
      </c>
      <c r="B627" s="2" t="s">
        <v>570</v>
      </c>
      <c r="C627" s="2">
        <v>3000</v>
      </c>
      <c r="D627" s="2" t="s">
        <v>62</v>
      </c>
      <c r="E627" s="2">
        <v>0</v>
      </c>
      <c r="F627" s="2" t="s">
        <v>63</v>
      </c>
    </row>
    <row r="628" spans="1:6" x14ac:dyDescent="0.25">
      <c r="A628" s="2" t="s">
        <v>33</v>
      </c>
      <c r="B628" s="2" t="s">
        <v>573</v>
      </c>
      <c r="C628" s="2">
        <v>3000</v>
      </c>
      <c r="D628" s="2" t="s">
        <v>62</v>
      </c>
      <c r="E628" s="2">
        <v>0</v>
      </c>
      <c r="F628" s="2" t="s">
        <v>67</v>
      </c>
    </row>
    <row r="629" spans="1:6" x14ac:dyDescent="0.25">
      <c r="A629" s="2" t="s">
        <v>40</v>
      </c>
      <c r="B629" s="2" t="s">
        <v>575</v>
      </c>
      <c r="C629" s="2">
        <v>3000</v>
      </c>
      <c r="D629" s="2" t="s">
        <v>62</v>
      </c>
      <c r="E629" s="2">
        <v>0</v>
      </c>
      <c r="F629" s="2" t="s">
        <v>67</v>
      </c>
    </row>
    <row r="630" spans="1:6" x14ac:dyDescent="0.25">
      <c r="A630" s="2" t="s">
        <v>40</v>
      </c>
      <c r="B630" s="2" t="s">
        <v>576</v>
      </c>
      <c r="C630" s="2">
        <v>3000</v>
      </c>
      <c r="D630" s="2" t="s">
        <v>62</v>
      </c>
      <c r="E630" s="2">
        <v>0</v>
      </c>
      <c r="F630" s="2" t="s">
        <v>67</v>
      </c>
    </row>
    <row r="631" spans="1:6" x14ac:dyDescent="0.25">
      <c r="A631" s="2" t="s">
        <v>40</v>
      </c>
      <c r="B631" s="2" t="s">
        <v>578</v>
      </c>
      <c r="C631" s="2">
        <v>3000</v>
      </c>
      <c r="D631" s="2" t="s">
        <v>62</v>
      </c>
      <c r="E631" s="2">
        <v>0</v>
      </c>
      <c r="F631" s="2" t="s">
        <v>67</v>
      </c>
    </row>
    <row r="632" spans="1:6" x14ac:dyDescent="0.25">
      <c r="A632" s="2" t="s">
        <v>40</v>
      </c>
      <c r="B632" s="2" t="s">
        <v>579</v>
      </c>
      <c r="C632" s="2">
        <v>3000</v>
      </c>
      <c r="D632" s="2" t="s">
        <v>62</v>
      </c>
      <c r="E632" s="2">
        <v>0</v>
      </c>
      <c r="F632" s="2" t="s">
        <v>67</v>
      </c>
    </row>
    <row r="633" spans="1:6" x14ac:dyDescent="0.25">
      <c r="A633" s="2" t="s">
        <v>40</v>
      </c>
      <c r="B633" s="2" t="s">
        <v>580</v>
      </c>
      <c r="C633" s="2">
        <v>3000</v>
      </c>
      <c r="D633" s="2" t="s">
        <v>62</v>
      </c>
      <c r="E633" s="2">
        <v>0</v>
      </c>
      <c r="F633" s="2" t="s">
        <v>67</v>
      </c>
    </row>
    <row r="634" spans="1:6" x14ac:dyDescent="0.25">
      <c r="A634" s="2" t="s">
        <v>33</v>
      </c>
      <c r="B634" s="2" t="s">
        <v>581</v>
      </c>
      <c r="C634" s="2">
        <v>3000</v>
      </c>
      <c r="D634" s="2" t="s">
        <v>86</v>
      </c>
      <c r="E634" s="2">
        <v>0</v>
      </c>
      <c r="F634" s="2" t="s">
        <v>21</v>
      </c>
    </row>
    <row r="635" spans="1:6" x14ac:dyDescent="0.25">
      <c r="A635" s="2" t="s">
        <v>40</v>
      </c>
      <c r="B635" s="2" t="s">
        <v>583</v>
      </c>
      <c r="C635" s="2">
        <v>3000</v>
      </c>
      <c r="D635" s="2" t="s">
        <v>86</v>
      </c>
      <c r="E635" s="2">
        <v>0</v>
      </c>
      <c r="F635" s="2" t="s">
        <v>21</v>
      </c>
    </row>
    <row r="636" spans="1:6" x14ac:dyDescent="0.25">
      <c r="A636" s="2" t="s">
        <v>40</v>
      </c>
      <c r="B636" s="2" t="s">
        <v>584</v>
      </c>
      <c r="C636" s="2">
        <v>3000</v>
      </c>
      <c r="D636" s="2" t="s">
        <v>86</v>
      </c>
      <c r="E636" s="2">
        <v>0</v>
      </c>
      <c r="F636" s="2" t="s">
        <v>21</v>
      </c>
    </row>
    <row r="637" spans="1:6" x14ac:dyDescent="0.25">
      <c r="A637" s="2" t="s">
        <v>40</v>
      </c>
      <c r="B637" s="2" t="s">
        <v>587</v>
      </c>
      <c r="C637" s="2">
        <v>3000</v>
      </c>
      <c r="D637" s="2" t="s">
        <v>86</v>
      </c>
      <c r="E637" s="2">
        <v>0</v>
      </c>
      <c r="F637" s="2" t="s">
        <v>21</v>
      </c>
    </row>
    <row r="638" spans="1:6" x14ac:dyDescent="0.25">
      <c r="A638" s="2" t="s">
        <v>40</v>
      </c>
      <c r="B638" s="2" t="s">
        <v>588</v>
      </c>
      <c r="C638" s="2">
        <v>3000</v>
      </c>
      <c r="D638" s="2" t="s">
        <v>86</v>
      </c>
      <c r="E638" s="2">
        <v>0</v>
      </c>
      <c r="F638" s="2" t="s">
        <v>21</v>
      </c>
    </row>
    <row r="639" spans="1:6" x14ac:dyDescent="0.25">
      <c r="A639" s="2" t="s">
        <v>40</v>
      </c>
      <c r="B639" s="2" t="s">
        <v>589</v>
      </c>
      <c r="C639" s="2">
        <v>3000</v>
      </c>
      <c r="D639" s="2" t="s">
        <v>86</v>
      </c>
      <c r="E639" s="2">
        <v>0</v>
      </c>
      <c r="F639" s="2" t="s">
        <v>21</v>
      </c>
    </row>
    <row r="640" spans="1:6" x14ac:dyDescent="0.25">
      <c r="A640" s="2" t="s">
        <v>33</v>
      </c>
      <c r="B640" s="2" t="s">
        <v>591</v>
      </c>
      <c r="C640" s="2">
        <v>3000</v>
      </c>
      <c r="D640" s="2" t="s">
        <v>86</v>
      </c>
      <c r="E640" s="2">
        <v>0</v>
      </c>
      <c r="F640" s="2" t="s">
        <v>24</v>
      </c>
    </row>
    <row r="641" spans="1:6" x14ac:dyDescent="0.25">
      <c r="A641" s="2" t="s">
        <v>40</v>
      </c>
      <c r="B641" s="2" t="s">
        <v>594</v>
      </c>
      <c r="C641" s="2">
        <v>3000</v>
      </c>
      <c r="D641" s="2" t="s">
        <v>86</v>
      </c>
      <c r="E641" s="2">
        <v>0</v>
      </c>
      <c r="F641" s="2" t="s">
        <v>24</v>
      </c>
    </row>
    <row r="642" spans="1:6" x14ac:dyDescent="0.25">
      <c r="A642" s="2" t="s">
        <v>40</v>
      </c>
      <c r="B642" s="2" t="s">
        <v>595</v>
      </c>
      <c r="C642" s="2">
        <v>3000</v>
      </c>
      <c r="D642" s="2" t="s">
        <v>86</v>
      </c>
      <c r="E642" s="2">
        <v>0</v>
      </c>
      <c r="F642" s="2" t="s">
        <v>24</v>
      </c>
    </row>
    <row r="643" spans="1:6" x14ac:dyDescent="0.25">
      <c r="A643" s="2" t="s">
        <v>40</v>
      </c>
      <c r="B643" s="2" t="s">
        <v>596</v>
      </c>
      <c r="C643" s="2">
        <v>3000</v>
      </c>
      <c r="D643" s="2" t="s">
        <v>86</v>
      </c>
      <c r="E643" s="2">
        <v>0</v>
      </c>
      <c r="F643" s="2" t="s">
        <v>24</v>
      </c>
    </row>
    <row r="644" spans="1:6" x14ac:dyDescent="0.25">
      <c r="A644" s="2" t="s">
        <v>40</v>
      </c>
      <c r="B644" s="2" t="s">
        <v>597</v>
      </c>
      <c r="C644" s="2">
        <v>3000</v>
      </c>
      <c r="D644" s="2" t="s">
        <v>86</v>
      </c>
      <c r="E644" s="2">
        <v>0</v>
      </c>
      <c r="F644" s="2" t="s">
        <v>24</v>
      </c>
    </row>
    <row r="645" spans="1:6" x14ac:dyDescent="0.25">
      <c r="A645" s="2" t="s">
        <v>40</v>
      </c>
      <c r="B645" s="2" t="s">
        <v>598</v>
      </c>
      <c r="C645" s="2">
        <v>3000</v>
      </c>
      <c r="D645" s="2" t="s">
        <v>86</v>
      </c>
      <c r="E645" s="2">
        <v>0</v>
      </c>
      <c r="F645" s="2" t="s">
        <v>24</v>
      </c>
    </row>
    <row r="646" spans="1:6" x14ac:dyDescent="0.25">
      <c r="A646" s="2" t="s">
        <v>40</v>
      </c>
      <c r="B646" s="2" t="s">
        <v>599</v>
      </c>
      <c r="C646" s="2">
        <v>3000</v>
      </c>
      <c r="D646" s="2" t="s">
        <v>86</v>
      </c>
      <c r="E646" s="2">
        <v>0</v>
      </c>
      <c r="F646" s="2" t="s">
        <v>24</v>
      </c>
    </row>
    <row r="647" spans="1:6" x14ac:dyDescent="0.25">
      <c r="A647" s="2" t="s">
        <v>33</v>
      </c>
      <c r="B647" s="2" t="s">
        <v>603</v>
      </c>
      <c r="C647" s="2">
        <v>3000</v>
      </c>
      <c r="D647" s="2" t="s">
        <v>75</v>
      </c>
      <c r="E647" s="2">
        <v>0</v>
      </c>
      <c r="F647" s="2" t="s">
        <v>25</v>
      </c>
    </row>
    <row r="648" spans="1:6" x14ac:dyDescent="0.25">
      <c r="A648" s="2" t="s">
        <v>40</v>
      </c>
      <c r="B648" s="2" t="s">
        <v>607</v>
      </c>
      <c r="C648" s="2">
        <v>3000</v>
      </c>
      <c r="D648" s="2" t="s">
        <v>75</v>
      </c>
      <c r="E648" s="2">
        <v>0</v>
      </c>
      <c r="F648" s="2" t="s">
        <v>25</v>
      </c>
    </row>
    <row r="649" spans="1:6" x14ac:dyDescent="0.25">
      <c r="A649" s="2" t="s">
        <v>40</v>
      </c>
      <c r="B649" s="2" t="s">
        <v>609</v>
      </c>
      <c r="C649" s="2">
        <v>3000</v>
      </c>
      <c r="D649" s="2" t="s">
        <v>75</v>
      </c>
      <c r="E649" s="2">
        <v>0</v>
      </c>
      <c r="F649" s="2" t="s">
        <v>25</v>
      </c>
    </row>
    <row r="650" spans="1:6" x14ac:dyDescent="0.25">
      <c r="A650" s="2" t="s">
        <v>40</v>
      </c>
      <c r="B650" s="2" t="s">
        <v>610</v>
      </c>
      <c r="C650" s="2">
        <v>3000</v>
      </c>
      <c r="D650" s="2" t="s">
        <v>75</v>
      </c>
      <c r="E650" s="2">
        <v>0</v>
      </c>
      <c r="F650" s="2" t="s">
        <v>25</v>
      </c>
    </row>
    <row r="651" spans="1:6" x14ac:dyDescent="0.25">
      <c r="A651" s="2" t="s">
        <v>40</v>
      </c>
      <c r="B651" s="2" t="s">
        <v>611</v>
      </c>
      <c r="C651" s="2">
        <v>3000</v>
      </c>
      <c r="D651" s="2" t="s">
        <v>75</v>
      </c>
      <c r="E651" s="2">
        <v>0</v>
      </c>
      <c r="F651" s="2" t="s">
        <v>25</v>
      </c>
    </row>
    <row r="652" spans="1:6" x14ac:dyDescent="0.25">
      <c r="A652" s="2" t="s">
        <v>40</v>
      </c>
      <c r="B652" s="2" t="s">
        <v>612</v>
      </c>
      <c r="C652" s="2">
        <v>3000</v>
      </c>
      <c r="D652" s="2" t="s">
        <v>75</v>
      </c>
      <c r="E652" s="2">
        <v>0</v>
      </c>
      <c r="F652" s="2" t="s">
        <v>25</v>
      </c>
    </row>
    <row r="653" spans="1:6" x14ac:dyDescent="0.25">
      <c r="A653" s="2" t="s">
        <v>40</v>
      </c>
      <c r="B653" s="2" t="s">
        <v>613</v>
      </c>
      <c r="C653" s="2">
        <v>3000</v>
      </c>
      <c r="D653" s="2" t="s">
        <v>75</v>
      </c>
      <c r="E653" s="2">
        <v>0</v>
      </c>
      <c r="F653" s="2" t="s">
        <v>25</v>
      </c>
    </row>
    <row r="654" spans="1:6" x14ac:dyDescent="0.25">
      <c r="A654" s="2" t="s">
        <v>33</v>
      </c>
      <c r="B654" s="2" t="s">
        <v>614</v>
      </c>
      <c r="C654" s="2">
        <v>3000</v>
      </c>
      <c r="D654" s="2" t="s">
        <v>75</v>
      </c>
      <c r="E654" s="2">
        <v>0</v>
      </c>
      <c r="F654" s="2" t="s">
        <v>91</v>
      </c>
    </row>
    <row r="655" spans="1:6" x14ac:dyDescent="0.25">
      <c r="A655" s="2" t="s">
        <v>33</v>
      </c>
      <c r="B655" s="2" t="s">
        <v>616</v>
      </c>
      <c r="C655" s="2">
        <v>3000</v>
      </c>
      <c r="D655" s="2" t="s">
        <v>75</v>
      </c>
      <c r="E655" s="2">
        <v>0</v>
      </c>
      <c r="F655" s="2" t="s">
        <v>91</v>
      </c>
    </row>
    <row r="656" spans="1:6" x14ac:dyDescent="0.25">
      <c r="A656" s="2" t="s">
        <v>33</v>
      </c>
      <c r="B656" s="2" t="s">
        <v>617</v>
      </c>
      <c r="C656" s="2">
        <v>3000</v>
      </c>
      <c r="D656" s="2" t="s">
        <v>75</v>
      </c>
      <c r="E656" s="2">
        <v>0</v>
      </c>
      <c r="F656" s="2" t="s">
        <v>91</v>
      </c>
    </row>
    <row r="657" spans="1:6" x14ac:dyDescent="0.25">
      <c r="A657" s="2" t="s">
        <v>33</v>
      </c>
      <c r="B657" s="2" t="s">
        <v>618</v>
      </c>
      <c r="C657" s="2">
        <v>3000</v>
      </c>
      <c r="D657" s="2" t="s">
        <v>75</v>
      </c>
      <c r="E657" s="2">
        <v>0</v>
      </c>
      <c r="F657" s="2" t="s">
        <v>91</v>
      </c>
    </row>
    <row r="658" spans="1:6" x14ac:dyDescent="0.25">
      <c r="A658" s="2" t="s">
        <v>33</v>
      </c>
      <c r="B658" s="2" t="s">
        <v>619</v>
      </c>
      <c r="C658" s="2">
        <v>3000</v>
      </c>
      <c r="D658" s="2" t="s">
        <v>75</v>
      </c>
      <c r="E658" s="2">
        <v>0</v>
      </c>
      <c r="F658" s="2" t="s">
        <v>91</v>
      </c>
    </row>
    <row r="659" spans="1:6" x14ac:dyDescent="0.25">
      <c r="A659" s="2" t="s">
        <v>40</v>
      </c>
      <c r="B659" s="2" t="s">
        <v>620</v>
      </c>
      <c r="C659" s="2">
        <v>3000</v>
      </c>
      <c r="D659" s="2" t="s">
        <v>75</v>
      </c>
      <c r="E659" s="2">
        <v>0</v>
      </c>
      <c r="F659" s="2" t="s">
        <v>91</v>
      </c>
    </row>
    <row r="660" spans="1:6" x14ac:dyDescent="0.25">
      <c r="A660" s="2" t="s">
        <v>40</v>
      </c>
      <c r="B660" s="2" t="s">
        <v>622</v>
      </c>
      <c r="C660" s="2">
        <v>3000</v>
      </c>
      <c r="D660" s="2" t="s">
        <v>75</v>
      </c>
      <c r="E660" s="2">
        <v>0</v>
      </c>
      <c r="F660" s="2" t="s">
        <v>91</v>
      </c>
    </row>
    <row r="661" spans="1:6" x14ac:dyDescent="0.25">
      <c r="A661" s="2" t="s">
        <v>40</v>
      </c>
      <c r="B661" s="2" t="s">
        <v>623</v>
      </c>
      <c r="C661" s="2">
        <v>3000</v>
      </c>
      <c r="D661" s="2" t="s">
        <v>75</v>
      </c>
      <c r="E661" s="2">
        <v>0</v>
      </c>
      <c r="F661" s="2" t="s">
        <v>91</v>
      </c>
    </row>
    <row r="662" spans="1:6" x14ac:dyDescent="0.25">
      <c r="A662" s="2" t="s">
        <v>40</v>
      </c>
      <c r="B662" s="2" t="s">
        <v>624</v>
      </c>
      <c r="C662" s="2">
        <v>3000</v>
      </c>
      <c r="D662" s="2" t="s">
        <v>75</v>
      </c>
      <c r="E662" s="2">
        <v>0</v>
      </c>
      <c r="F662" s="2" t="s">
        <v>91</v>
      </c>
    </row>
    <row r="663" spans="1:6" x14ac:dyDescent="0.25">
      <c r="A663" s="2" t="s">
        <v>40</v>
      </c>
      <c r="B663" s="2" t="s">
        <v>625</v>
      </c>
      <c r="C663" s="2">
        <v>3000</v>
      </c>
      <c r="D663" s="2" t="s">
        <v>75</v>
      </c>
      <c r="E663" s="2">
        <v>0</v>
      </c>
      <c r="F663" s="2" t="s">
        <v>91</v>
      </c>
    </row>
    <row r="664" spans="1:6" x14ac:dyDescent="0.25">
      <c r="A664" s="2" t="s">
        <v>40</v>
      </c>
      <c r="B664" s="2" t="s">
        <v>626</v>
      </c>
      <c r="C664" s="2">
        <v>3000</v>
      </c>
      <c r="D664" s="2" t="s">
        <v>75</v>
      </c>
      <c r="E664" s="2">
        <v>0</v>
      </c>
      <c r="F664" s="2" t="s">
        <v>91</v>
      </c>
    </row>
    <row r="665" spans="1:6" x14ac:dyDescent="0.25">
      <c r="A665" s="2" t="s">
        <v>40</v>
      </c>
      <c r="B665" s="2" t="s">
        <v>627</v>
      </c>
      <c r="C665" s="2">
        <v>3000</v>
      </c>
      <c r="D665" s="2" t="s">
        <v>75</v>
      </c>
      <c r="E665" s="2">
        <v>0</v>
      </c>
      <c r="F665" s="2" t="s">
        <v>91</v>
      </c>
    </row>
    <row r="666" spans="1:6" x14ac:dyDescent="0.25">
      <c r="A666" s="2" t="s">
        <v>33</v>
      </c>
      <c r="B666" s="2" t="s">
        <v>629</v>
      </c>
      <c r="C666" s="2">
        <v>3000</v>
      </c>
      <c r="D666" s="2" t="s">
        <v>58</v>
      </c>
      <c r="E666" s="2">
        <v>0</v>
      </c>
      <c r="F666" s="2" t="s">
        <v>59</v>
      </c>
    </row>
    <row r="667" spans="1:6" x14ac:dyDescent="0.25">
      <c r="A667" s="2" t="s">
        <v>33</v>
      </c>
      <c r="B667" s="2" t="s">
        <v>630</v>
      </c>
      <c r="C667" s="2">
        <v>3000</v>
      </c>
      <c r="D667" s="2" t="s">
        <v>58</v>
      </c>
      <c r="E667" s="2">
        <v>0</v>
      </c>
      <c r="F667" s="2" t="s">
        <v>59</v>
      </c>
    </row>
    <row r="668" spans="1:6" x14ac:dyDescent="0.25">
      <c r="A668" s="2" t="s">
        <v>33</v>
      </c>
      <c r="B668" s="2" t="s">
        <v>632</v>
      </c>
      <c r="C668" s="2">
        <v>3000</v>
      </c>
      <c r="D668" s="2" t="s">
        <v>58</v>
      </c>
      <c r="E668" s="2">
        <v>0</v>
      </c>
      <c r="F668" s="2" t="s">
        <v>59</v>
      </c>
    </row>
    <row r="669" spans="1:6" x14ac:dyDescent="0.25">
      <c r="A669" s="2" t="s">
        <v>40</v>
      </c>
      <c r="B669" s="2" t="s">
        <v>633</v>
      </c>
      <c r="C669" s="2">
        <v>3000</v>
      </c>
      <c r="D669" s="2" t="s">
        <v>58</v>
      </c>
      <c r="E669" s="2">
        <v>0</v>
      </c>
      <c r="F669" s="2" t="s">
        <v>59</v>
      </c>
    </row>
    <row r="670" spans="1:6" x14ac:dyDescent="0.25">
      <c r="A670" s="2" t="s">
        <v>40</v>
      </c>
      <c r="B670" s="2" t="s">
        <v>634</v>
      </c>
      <c r="C670" s="2">
        <v>3000</v>
      </c>
      <c r="D670" s="2" t="s">
        <v>58</v>
      </c>
      <c r="E670" s="2">
        <v>0</v>
      </c>
      <c r="F670" s="2" t="s">
        <v>59</v>
      </c>
    </row>
    <row r="671" spans="1:6" x14ac:dyDescent="0.25">
      <c r="A671" s="2" t="s">
        <v>40</v>
      </c>
      <c r="B671" s="2" t="s">
        <v>635</v>
      </c>
      <c r="C671" s="2">
        <v>3000</v>
      </c>
      <c r="D671" s="2" t="s">
        <v>58</v>
      </c>
      <c r="E671" s="2">
        <v>0</v>
      </c>
      <c r="F671" s="2" t="s">
        <v>59</v>
      </c>
    </row>
    <row r="672" spans="1:6" x14ac:dyDescent="0.25">
      <c r="A672" s="2" t="s">
        <v>40</v>
      </c>
      <c r="B672" s="2" t="s">
        <v>637</v>
      </c>
      <c r="C672" s="2">
        <v>3000</v>
      </c>
      <c r="D672" s="2" t="s">
        <v>58</v>
      </c>
      <c r="E672" s="2">
        <v>0</v>
      </c>
      <c r="F672" s="2" t="s">
        <v>59</v>
      </c>
    </row>
    <row r="673" spans="1:6" x14ac:dyDescent="0.25">
      <c r="A673" s="2" t="s">
        <v>40</v>
      </c>
      <c r="B673" s="2" t="s">
        <v>638</v>
      </c>
      <c r="C673" s="2">
        <v>3000</v>
      </c>
      <c r="D673" s="2" t="s">
        <v>58</v>
      </c>
      <c r="E673" s="2">
        <v>0</v>
      </c>
      <c r="F673" s="2" t="s">
        <v>59</v>
      </c>
    </row>
    <row r="674" spans="1:6" x14ac:dyDescent="0.25">
      <c r="A674" s="2" t="s">
        <v>40</v>
      </c>
      <c r="B674" s="2" t="s">
        <v>640</v>
      </c>
      <c r="C674" s="2">
        <v>3000</v>
      </c>
      <c r="D674" s="2" t="s">
        <v>58</v>
      </c>
      <c r="E674" s="2">
        <v>0</v>
      </c>
      <c r="F674" s="2" t="s">
        <v>59</v>
      </c>
    </row>
    <row r="675" spans="1:6" x14ac:dyDescent="0.25">
      <c r="A675" s="2" t="s">
        <v>33</v>
      </c>
      <c r="B675" s="2" t="s">
        <v>644</v>
      </c>
      <c r="C675" s="2">
        <v>3000</v>
      </c>
      <c r="D675" s="2" t="s">
        <v>58</v>
      </c>
      <c r="E675" s="2">
        <v>0</v>
      </c>
      <c r="F675" s="2" t="s">
        <v>77</v>
      </c>
    </row>
    <row r="676" spans="1:6" x14ac:dyDescent="0.25">
      <c r="A676" s="2" t="s">
        <v>33</v>
      </c>
      <c r="B676" s="2" t="s">
        <v>645</v>
      </c>
      <c r="C676" s="2">
        <v>3000</v>
      </c>
      <c r="D676" s="2" t="s">
        <v>58</v>
      </c>
      <c r="E676" s="2">
        <v>0</v>
      </c>
      <c r="F676" s="2" t="s">
        <v>77</v>
      </c>
    </row>
    <row r="677" spans="1:6" x14ac:dyDescent="0.25">
      <c r="A677" s="2" t="s">
        <v>33</v>
      </c>
      <c r="B677" s="2" t="s">
        <v>646</v>
      </c>
      <c r="C677" s="2">
        <v>3000</v>
      </c>
      <c r="D677" s="2" t="s">
        <v>58</v>
      </c>
      <c r="E677" s="2">
        <v>0</v>
      </c>
      <c r="F677" s="2" t="s">
        <v>77</v>
      </c>
    </row>
    <row r="678" spans="1:6" x14ac:dyDescent="0.25">
      <c r="A678" s="2" t="s">
        <v>40</v>
      </c>
      <c r="B678" s="2" t="s">
        <v>648</v>
      </c>
      <c r="C678" s="2">
        <v>3000</v>
      </c>
      <c r="D678" s="2" t="s">
        <v>58</v>
      </c>
      <c r="E678" s="2">
        <v>0</v>
      </c>
      <c r="F678" s="2" t="s">
        <v>77</v>
      </c>
    </row>
    <row r="679" spans="1:6" x14ac:dyDescent="0.25">
      <c r="A679" s="2" t="s">
        <v>40</v>
      </c>
      <c r="B679" s="2" t="s">
        <v>650</v>
      </c>
      <c r="C679" s="2">
        <v>3000</v>
      </c>
      <c r="D679" s="2" t="s">
        <v>58</v>
      </c>
      <c r="E679" s="2">
        <v>0</v>
      </c>
      <c r="F679" s="2" t="s">
        <v>77</v>
      </c>
    </row>
    <row r="680" spans="1:6" x14ac:dyDescent="0.25">
      <c r="A680" s="2" t="s">
        <v>40</v>
      </c>
      <c r="B680" s="2" t="s">
        <v>651</v>
      </c>
      <c r="C680" s="2">
        <v>3000</v>
      </c>
      <c r="D680" s="2" t="s">
        <v>58</v>
      </c>
      <c r="E680" s="2">
        <v>0</v>
      </c>
      <c r="F680" s="2" t="s">
        <v>77</v>
      </c>
    </row>
    <row r="681" spans="1:6" x14ac:dyDescent="0.25">
      <c r="A681" s="2" t="s">
        <v>40</v>
      </c>
      <c r="B681" s="2" t="s">
        <v>652</v>
      </c>
      <c r="C681" s="2">
        <v>3000</v>
      </c>
      <c r="D681" s="2" t="s">
        <v>58</v>
      </c>
      <c r="E681" s="2">
        <v>0</v>
      </c>
      <c r="F681" s="2" t="s">
        <v>77</v>
      </c>
    </row>
    <row r="682" spans="1:6" x14ac:dyDescent="0.25">
      <c r="A682" s="2" t="s">
        <v>40</v>
      </c>
      <c r="B682" s="2" t="s">
        <v>653</v>
      </c>
      <c r="C682" s="2">
        <v>3000</v>
      </c>
      <c r="D682" s="2" t="s">
        <v>58</v>
      </c>
      <c r="E682" s="2">
        <v>0</v>
      </c>
      <c r="F682" s="2" t="s">
        <v>77</v>
      </c>
    </row>
    <row r="683" spans="1:6" x14ac:dyDescent="0.25">
      <c r="A683" s="2" t="s">
        <v>40</v>
      </c>
      <c r="B683" s="2" t="s">
        <v>654</v>
      </c>
      <c r="C683" s="2">
        <v>3000</v>
      </c>
      <c r="D683" s="2" t="s">
        <v>58</v>
      </c>
      <c r="E683" s="2">
        <v>0</v>
      </c>
      <c r="F683" s="2" t="s">
        <v>77</v>
      </c>
    </row>
    <row r="684" spans="1:6" x14ac:dyDescent="0.25">
      <c r="A684" s="2" t="s">
        <v>40</v>
      </c>
      <c r="B684" s="2" t="s">
        <v>655</v>
      </c>
      <c r="C684" s="2">
        <v>3000</v>
      </c>
      <c r="D684" s="2" t="s">
        <v>58</v>
      </c>
      <c r="E684" s="2">
        <v>0</v>
      </c>
      <c r="F684" s="2" t="s">
        <v>77</v>
      </c>
    </row>
    <row r="685" spans="1:6" x14ac:dyDescent="0.25">
      <c r="A685" s="2" t="s">
        <v>33</v>
      </c>
      <c r="B685" s="2" t="s">
        <v>656</v>
      </c>
      <c r="C685" s="2">
        <v>3000</v>
      </c>
      <c r="D685" s="2" t="s">
        <v>69</v>
      </c>
      <c r="E685" s="2">
        <v>0</v>
      </c>
      <c r="F685" s="2" t="s">
        <v>1</v>
      </c>
    </row>
    <row r="686" spans="1:6" x14ac:dyDescent="0.25">
      <c r="A686" s="2" t="s">
        <v>33</v>
      </c>
      <c r="B686" s="2" t="s">
        <v>657</v>
      </c>
      <c r="C686" s="2">
        <v>3000</v>
      </c>
      <c r="D686" s="2" t="s">
        <v>69</v>
      </c>
      <c r="E686" s="2">
        <v>0</v>
      </c>
      <c r="F686" s="2" t="s">
        <v>1</v>
      </c>
    </row>
    <row r="687" spans="1:6" x14ac:dyDescent="0.25">
      <c r="A687" s="2" t="s">
        <v>40</v>
      </c>
      <c r="B687" s="2" t="s">
        <v>661</v>
      </c>
      <c r="C687" s="2">
        <v>3000</v>
      </c>
      <c r="D687" s="2" t="s">
        <v>69</v>
      </c>
      <c r="E687" s="2">
        <v>0</v>
      </c>
      <c r="F687" s="2" t="s">
        <v>1</v>
      </c>
    </row>
    <row r="688" spans="1:6" x14ac:dyDescent="0.25">
      <c r="A688" s="2" t="s">
        <v>40</v>
      </c>
      <c r="B688" s="2" t="s">
        <v>662</v>
      </c>
      <c r="C688" s="2">
        <v>3000</v>
      </c>
      <c r="D688" s="2" t="s">
        <v>69</v>
      </c>
      <c r="E688" s="2">
        <v>0</v>
      </c>
      <c r="F688" s="2" t="s">
        <v>1</v>
      </c>
    </row>
    <row r="689" spans="1:6" x14ac:dyDescent="0.25">
      <c r="A689" s="2" t="s">
        <v>40</v>
      </c>
      <c r="B689" s="2" t="s">
        <v>663</v>
      </c>
      <c r="C689" s="2">
        <v>3000</v>
      </c>
      <c r="D689" s="2" t="s">
        <v>69</v>
      </c>
      <c r="E689" s="2">
        <v>0</v>
      </c>
      <c r="F689" s="2" t="s">
        <v>1</v>
      </c>
    </row>
    <row r="690" spans="1:6" x14ac:dyDescent="0.25">
      <c r="A690" s="2" t="s">
        <v>40</v>
      </c>
      <c r="B690" s="2" t="s">
        <v>664</v>
      </c>
      <c r="C690" s="2">
        <v>3000</v>
      </c>
      <c r="D690" s="2" t="s">
        <v>69</v>
      </c>
      <c r="E690" s="2">
        <v>0</v>
      </c>
      <c r="F690" s="2" t="s">
        <v>1</v>
      </c>
    </row>
    <row r="691" spans="1:6" x14ac:dyDescent="0.25">
      <c r="A691" s="2" t="s">
        <v>40</v>
      </c>
      <c r="B691" s="2" t="s">
        <v>665</v>
      </c>
      <c r="C691" s="2">
        <v>3000</v>
      </c>
      <c r="D691" s="2" t="s">
        <v>69</v>
      </c>
      <c r="E691" s="2">
        <v>0</v>
      </c>
      <c r="F691" s="2" t="s">
        <v>1</v>
      </c>
    </row>
    <row r="692" spans="1:6" x14ac:dyDescent="0.25">
      <c r="A692" s="2" t="s">
        <v>40</v>
      </c>
      <c r="B692" s="2" t="s">
        <v>667</v>
      </c>
      <c r="C692" s="2">
        <v>3000</v>
      </c>
      <c r="D692" s="2" t="s">
        <v>69</v>
      </c>
      <c r="E692" s="2">
        <v>0</v>
      </c>
      <c r="F692" s="2" t="s">
        <v>1</v>
      </c>
    </row>
    <row r="693" spans="1:6" x14ac:dyDescent="0.25">
      <c r="A693" s="2" t="s">
        <v>33</v>
      </c>
      <c r="B693" s="2" t="s">
        <v>670</v>
      </c>
      <c r="C693" s="2">
        <v>3000</v>
      </c>
      <c r="D693" s="2" t="s">
        <v>69</v>
      </c>
      <c r="E693" s="2">
        <v>0</v>
      </c>
      <c r="F693" s="2" t="s">
        <v>70</v>
      </c>
    </row>
    <row r="694" spans="1:6" x14ac:dyDescent="0.25">
      <c r="A694" s="2" t="s">
        <v>33</v>
      </c>
      <c r="B694" s="2" t="s">
        <v>671</v>
      </c>
      <c r="C694" s="2">
        <v>3000</v>
      </c>
      <c r="D694" s="2" t="s">
        <v>69</v>
      </c>
      <c r="E694" s="2">
        <v>0</v>
      </c>
      <c r="F694" s="2" t="s">
        <v>70</v>
      </c>
    </row>
    <row r="695" spans="1:6" x14ac:dyDescent="0.25">
      <c r="A695" s="2" t="s">
        <v>33</v>
      </c>
      <c r="B695" s="2" t="s">
        <v>672</v>
      </c>
      <c r="C695" s="2">
        <v>3000</v>
      </c>
      <c r="D695" s="2" t="s">
        <v>69</v>
      </c>
      <c r="E695" s="2">
        <v>0</v>
      </c>
      <c r="F695" s="2" t="s">
        <v>70</v>
      </c>
    </row>
    <row r="696" spans="1:6" x14ac:dyDescent="0.25">
      <c r="A696" s="2" t="s">
        <v>40</v>
      </c>
      <c r="B696" s="2" t="s">
        <v>673</v>
      </c>
      <c r="C696" s="2">
        <v>3000</v>
      </c>
      <c r="D696" s="2" t="s">
        <v>69</v>
      </c>
      <c r="E696" s="2">
        <v>0</v>
      </c>
      <c r="F696" s="2" t="s">
        <v>70</v>
      </c>
    </row>
    <row r="697" spans="1:6" x14ac:dyDescent="0.25">
      <c r="A697" s="2" t="s">
        <v>40</v>
      </c>
      <c r="B697" s="2" t="s">
        <v>674</v>
      </c>
      <c r="C697" s="2">
        <v>3000</v>
      </c>
      <c r="D697" s="2" t="s">
        <v>69</v>
      </c>
      <c r="E697" s="2">
        <v>0</v>
      </c>
      <c r="F697" s="2" t="s">
        <v>70</v>
      </c>
    </row>
    <row r="698" spans="1:6" x14ac:dyDescent="0.25">
      <c r="A698" s="2" t="s">
        <v>40</v>
      </c>
      <c r="B698" s="2" t="s">
        <v>675</v>
      </c>
      <c r="C698" s="2">
        <v>3000</v>
      </c>
      <c r="D698" s="2" t="s">
        <v>69</v>
      </c>
      <c r="E698" s="2">
        <v>0</v>
      </c>
      <c r="F698" s="2" t="s">
        <v>70</v>
      </c>
    </row>
    <row r="699" spans="1:6" x14ac:dyDescent="0.25">
      <c r="A699" s="2" t="s">
        <v>40</v>
      </c>
      <c r="B699" s="2" t="s">
        <v>676</v>
      </c>
      <c r="C699" s="2">
        <v>3000</v>
      </c>
      <c r="D699" s="2" t="s">
        <v>69</v>
      </c>
      <c r="E699" s="2">
        <v>0</v>
      </c>
      <c r="F699" s="2" t="s">
        <v>70</v>
      </c>
    </row>
    <row r="700" spans="1:6" x14ac:dyDescent="0.25">
      <c r="A700" s="2" t="s">
        <v>40</v>
      </c>
      <c r="B700" s="2" t="s">
        <v>678</v>
      </c>
      <c r="C700" s="2">
        <v>3000</v>
      </c>
      <c r="D700" s="2" t="s">
        <v>69</v>
      </c>
      <c r="E700" s="2">
        <v>0</v>
      </c>
      <c r="F700" s="2" t="s">
        <v>70</v>
      </c>
    </row>
    <row r="701" spans="1:6" x14ac:dyDescent="0.25">
      <c r="A701" s="2" t="s">
        <v>40</v>
      </c>
      <c r="B701" s="2" t="s">
        <v>679</v>
      </c>
      <c r="C701" s="2">
        <v>3000</v>
      </c>
      <c r="D701" s="2" t="s">
        <v>69</v>
      </c>
      <c r="E701" s="2">
        <v>0</v>
      </c>
      <c r="F701" s="2" t="s">
        <v>70</v>
      </c>
    </row>
    <row r="702" spans="1:6" x14ac:dyDescent="0.25">
      <c r="A702" s="2" t="s">
        <v>40</v>
      </c>
      <c r="B702" s="2" t="s">
        <v>684</v>
      </c>
      <c r="C702" s="2">
        <v>3000</v>
      </c>
      <c r="D702" s="2" t="s">
        <v>45</v>
      </c>
      <c r="E702" s="2">
        <v>0</v>
      </c>
      <c r="F702" s="2" t="s">
        <v>22</v>
      </c>
    </row>
    <row r="703" spans="1:6" x14ac:dyDescent="0.25">
      <c r="A703" s="2" t="s">
        <v>40</v>
      </c>
      <c r="B703" s="2" t="s">
        <v>685</v>
      </c>
      <c r="C703" s="2">
        <v>3000</v>
      </c>
      <c r="D703" s="2" t="s">
        <v>45</v>
      </c>
      <c r="E703" s="2">
        <v>0</v>
      </c>
      <c r="F703" s="2" t="s">
        <v>22</v>
      </c>
    </row>
    <row r="704" spans="1:6" x14ac:dyDescent="0.25">
      <c r="A704" s="2" t="s">
        <v>40</v>
      </c>
      <c r="B704" s="2" t="s">
        <v>686</v>
      </c>
      <c r="C704" s="2">
        <v>3000</v>
      </c>
      <c r="D704" s="2" t="s">
        <v>45</v>
      </c>
      <c r="E704" s="2">
        <v>0</v>
      </c>
      <c r="F704" s="2" t="s">
        <v>22</v>
      </c>
    </row>
    <row r="705" spans="1:6" x14ac:dyDescent="0.25">
      <c r="A705" s="2" t="s">
        <v>40</v>
      </c>
      <c r="B705" s="2" t="s">
        <v>687</v>
      </c>
      <c r="C705" s="2">
        <v>3000</v>
      </c>
      <c r="D705" s="2" t="s">
        <v>45</v>
      </c>
      <c r="E705" s="2">
        <v>0</v>
      </c>
      <c r="F705" s="2" t="s">
        <v>22</v>
      </c>
    </row>
    <row r="706" spans="1:6" x14ac:dyDescent="0.25">
      <c r="A706" s="2" t="s">
        <v>40</v>
      </c>
      <c r="B706" s="2" t="s">
        <v>688</v>
      </c>
      <c r="C706" s="2">
        <v>3000</v>
      </c>
      <c r="D706" s="2" t="s">
        <v>45</v>
      </c>
      <c r="E706" s="2">
        <v>0</v>
      </c>
      <c r="F706" s="2" t="s">
        <v>22</v>
      </c>
    </row>
    <row r="707" spans="1:6" x14ac:dyDescent="0.25">
      <c r="A707" s="2" t="s">
        <v>40</v>
      </c>
      <c r="B707" s="2" t="s">
        <v>689</v>
      </c>
      <c r="C707" s="2">
        <v>3000</v>
      </c>
      <c r="D707" s="2" t="s">
        <v>45</v>
      </c>
      <c r="E707" s="2">
        <v>0</v>
      </c>
      <c r="F707" s="2" t="s">
        <v>22</v>
      </c>
    </row>
    <row r="708" spans="1:6" x14ac:dyDescent="0.25">
      <c r="A708" s="2" t="s">
        <v>40</v>
      </c>
      <c r="B708" s="2" t="s">
        <v>690</v>
      </c>
      <c r="C708" s="2">
        <v>3000</v>
      </c>
      <c r="D708" s="2" t="s">
        <v>45</v>
      </c>
      <c r="E708" s="2">
        <v>0</v>
      </c>
      <c r="F708" s="2" t="s">
        <v>22</v>
      </c>
    </row>
    <row r="709" spans="1:6" x14ac:dyDescent="0.25">
      <c r="A709" s="2" t="s">
        <v>33</v>
      </c>
      <c r="B709" s="2" t="s">
        <v>693</v>
      </c>
      <c r="C709" s="2">
        <v>3000</v>
      </c>
      <c r="D709" s="2" t="s">
        <v>45</v>
      </c>
      <c r="E709" s="2">
        <v>0</v>
      </c>
      <c r="F709" s="2" t="s">
        <v>46</v>
      </c>
    </row>
    <row r="710" spans="1:6" x14ac:dyDescent="0.25">
      <c r="A710" s="2" t="s">
        <v>33</v>
      </c>
      <c r="B710" s="2" t="s">
        <v>694</v>
      </c>
      <c r="C710" s="2">
        <v>3000</v>
      </c>
      <c r="D710" s="2" t="s">
        <v>45</v>
      </c>
      <c r="E710" s="2">
        <v>0</v>
      </c>
      <c r="F710" s="2" t="s">
        <v>46</v>
      </c>
    </row>
    <row r="711" spans="1:6" x14ac:dyDescent="0.25">
      <c r="A711" s="2" t="s">
        <v>33</v>
      </c>
      <c r="B711" s="2" t="s">
        <v>695</v>
      </c>
      <c r="C711" s="2">
        <v>3000</v>
      </c>
      <c r="D711" s="2" t="s">
        <v>45</v>
      </c>
      <c r="E711" s="2">
        <v>0</v>
      </c>
      <c r="F711" s="2" t="s">
        <v>46</v>
      </c>
    </row>
    <row r="712" spans="1:6" x14ac:dyDescent="0.25">
      <c r="A712" s="2" t="s">
        <v>40</v>
      </c>
      <c r="B712" s="2" t="s">
        <v>696</v>
      </c>
      <c r="C712" s="2">
        <v>3000</v>
      </c>
      <c r="D712" s="2" t="s">
        <v>45</v>
      </c>
      <c r="E712" s="2">
        <v>0</v>
      </c>
      <c r="F712" s="2" t="s">
        <v>46</v>
      </c>
    </row>
    <row r="713" spans="1:6" x14ac:dyDescent="0.25">
      <c r="A713" s="2" t="s">
        <v>40</v>
      </c>
      <c r="B713" s="2" t="s">
        <v>697</v>
      </c>
      <c r="C713" s="2">
        <v>3000</v>
      </c>
      <c r="D713" s="2" t="s">
        <v>45</v>
      </c>
      <c r="E713" s="2">
        <v>0</v>
      </c>
      <c r="F713" s="2" t="s">
        <v>46</v>
      </c>
    </row>
    <row r="714" spans="1:6" x14ac:dyDescent="0.25">
      <c r="A714" s="2" t="s">
        <v>40</v>
      </c>
      <c r="B714" s="2" t="s">
        <v>698</v>
      </c>
      <c r="C714" s="2">
        <v>3000</v>
      </c>
      <c r="D714" s="2" t="s">
        <v>45</v>
      </c>
      <c r="E714" s="2">
        <v>0</v>
      </c>
      <c r="F714" s="2" t="s">
        <v>46</v>
      </c>
    </row>
    <row r="715" spans="1:6" x14ac:dyDescent="0.25">
      <c r="A715" s="2" t="s">
        <v>40</v>
      </c>
      <c r="B715" s="2" t="s">
        <v>699</v>
      </c>
      <c r="C715" s="2">
        <v>3000</v>
      </c>
      <c r="D715" s="2" t="s">
        <v>45</v>
      </c>
      <c r="E715" s="2">
        <v>0</v>
      </c>
      <c r="F715" s="2" t="s">
        <v>46</v>
      </c>
    </row>
    <row r="716" spans="1:6" x14ac:dyDescent="0.25">
      <c r="A716" s="2" t="s">
        <v>40</v>
      </c>
      <c r="B716" s="2" t="s">
        <v>700</v>
      </c>
      <c r="C716" s="2">
        <v>3000</v>
      </c>
      <c r="D716" s="2" t="s">
        <v>45</v>
      </c>
      <c r="E716" s="2">
        <v>0</v>
      </c>
      <c r="F716" s="2" t="s">
        <v>46</v>
      </c>
    </row>
    <row r="717" spans="1:6" x14ac:dyDescent="0.25">
      <c r="A717" s="2" t="s">
        <v>40</v>
      </c>
      <c r="B717" s="2" t="s">
        <v>701</v>
      </c>
      <c r="C717" s="2">
        <v>3000</v>
      </c>
      <c r="D717" s="2" t="s">
        <v>45</v>
      </c>
      <c r="E717" s="2">
        <v>0</v>
      </c>
      <c r="F717" s="2" t="s">
        <v>46</v>
      </c>
    </row>
    <row r="718" spans="1:6" x14ac:dyDescent="0.25">
      <c r="A718" s="2" t="s">
        <v>92</v>
      </c>
      <c r="B718" s="2" t="s">
        <v>706</v>
      </c>
      <c r="C718" s="2">
        <v>2900</v>
      </c>
      <c r="D718" s="2" t="s">
        <v>45</v>
      </c>
      <c r="E718" s="2">
        <v>0</v>
      </c>
      <c r="F718" s="2" t="s">
        <v>46</v>
      </c>
    </row>
    <row r="719" spans="1:6" x14ac:dyDescent="0.25">
      <c r="A719" s="2" t="s">
        <v>92</v>
      </c>
      <c r="B719" s="2" t="s">
        <v>708</v>
      </c>
      <c r="C719" s="2">
        <v>2800</v>
      </c>
      <c r="D719" s="2" t="s">
        <v>52</v>
      </c>
      <c r="E719" s="2">
        <v>0</v>
      </c>
      <c r="F719" s="2" t="s">
        <v>115</v>
      </c>
    </row>
    <row r="720" spans="1:6" x14ac:dyDescent="0.25">
      <c r="A720" s="2" t="s">
        <v>92</v>
      </c>
      <c r="B720" s="2" t="s">
        <v>714</v>
      </c>
      <c r="C720" s="2">
        <v>2700</v>
      </c>
      <c r="D720" s="2" t="s">
        <v>35</v>
      </c>
      <c r="E720" s="2">
        <v>0</v>
      </c>
      <c r="F720" s="2" t="s">
        <v>20</v>
      </c>
    </row>
    <row r="721" spans="1:6" x14ac:dyDescent="0.25">
      <c r="A721" s="2" t="s">
        <v>92</v>
      </c>
      <c r="B721" s="2" t="s">
        <v>720</v>
      </c>
      <c r="C721" s="2">
        <v>2600</v>
      </c>
      <c r="D721" s="2" t="s">
        <v>52</v>
      </c>
      <c r="E721" s="2">
        <v>0</v>
      </c>
      <c r="F721" s="2" t="s">
        <v>115</v>
      </c>
    </row>
    <row r="722" spans="1:6" x14ac:dyDescent="0.25">
      <c r="A722" s="2" t="s">
        <v>92</v>
      </c>
      <c r="B722" s="2" t="s">
        <v>728</v>
      </c>
      <c r="C722" s="2">
        <v>2500</v>
      </c>
      <c r="D722" s="2" t="s">
        <v>48</v>
      </c>
      <c r="E722" s="2">
        <v>0</v>
      </c>
      <c r="F722" s="2" t="s">
        <v>49</v>
      </c>
    </row>
    <row r="723" spans="1:6" x14ac:dyDescent="0.25">
      <c r="A723" s="2" t="s">
        <v>92</v>
      </c>
      <c r="B723" s="2" t="s">
        <v>729</v>
      </c>
      <c r="C723" s="2">
        <v>2500</v>
      </c>
      <c r="D723" s="2" t="s">
        <v>48</v>
      </c>
      <c r="E723" s="2">
        <v>0</v>
      </c>
      <c r="F723" s="2" t="s">
        <v>49</v>
      </c>
    </row>
    <row r="724" spans="1:6" x14ac:dyDescent="0.25">
      <c r="A724" s="2" t="s">
        <v>92</v>
      </c>
      <c r="B724" s="2" t="s">
        <v>730</v>
      </c>
      <c r="C724" s="2">
        <v>2500</v>
      </c>
      <c r="D724" s="2" t="s">
        <v>48</v>
      </c>
      <c r="E724" s="2">
        <v>0</v>
      </c>
      <c r="F724" s="2" t="s">
        <v>49</v>
      </c>
    </row>
    <row r="725" spans="1:6" x14ac:dyDescent="0.25">
      <c r="A725" s="2" t="s">
        <v>92</v>
      </c>
      <c r="B725" s="2" t="s">
        <v>731</v>
      </c>
      <c r="C725" s="2">
        <v>2500</v>
      </c>
      <c r="D725" s="2" t="s">
        <v>48</v>
      </c>
      <c r="E725" s="2">
        <v>0</v>
      </c>
      <c r="F725" s="2" t="s">
        <v>144</v>
      </c>
    </row>
    <row r="726" spans="1:6" x14ac:dyDescent="0.25">
      <c r="A726" s="2" t="s">
        <v>92</v>
      </c>
      <c r="B726" s="2" t="s">
        <v>732</v>
      </c>
      <c r="C726" s="2">
        <v>2500</v>
      </c>
      <c r="D726" s="2" t="s">
        <v>48</v>
      </c>
      <c r="E726" s="2">
        <v>0</v>
      </c>
      <c r="F726" s="2" t="s">
        <v>144</v>
      </c>
    </row>
    <row r="727" spans="1:6" x14ac:dyDescent="0.25">
      <c r="A727" s="2" t="s">
        <v>92</v>
      </c>
      <c r="B727" s="2" t="s">
        <v>733</v>
      </c>
      <c r="C727" s="2">
        <v>2500</v>
      </c>
      <c r="D727" s="2" t="s">
        <v>48</v>
      </c>
      <c r="E727" s="2">
        <v>0</v>
      </c>
      <c r="F727" s="2" t="s">
        <v>144</v>
      </c>
    </row>
    <row r="728" spans="1:6" x14ac:dyDescent="0.25">
      <c r="A728" s="2" t="s">
        <v>92</v>
      </c>
      <c r="B728" s="2" t="s">
        <v>734</v>
      </c>
      <c r="C728" s="2">
        <v>2500</v>
      </c>
      <c r="D728" s="2" t="s">
        <v>48</v>
      </c>
      <c r="E728" s="2">
        <v>0</v>
      </c>
      <c r="F728" s="2" t="s">
        <v>144</v>
      </c>
    </row>
    <row r="729" spans="1:6" x14ac:dyDescent="0.25">
      <c r="A729" s="2" t="s">
        <v>92</v>
      </c>
      <c r="B729" s="2" t="s">
        <v>735</v>
      </c>
      <c r="C729" s="2">
        <v>2500</v>
      </c>
      <c r="D729" s="2" t="s">
        <v>43</v>
      </c>
      <c r="E729" s="2">
        <v>0</v>
      </c>
      <c r="F729" s="2" t="s">
        <v>23</v>
      </c>
    </row>
    <row r="730" spans="1:6" x14ac:dyDescent="0.25">
      <c r="A730" s="2" t="s">
        <v>92</v>
      </c>
      <c r="B730" s="2" t="s">
        <v>737</v>
      </c>
      <c r="C730" s="2">
        <v>2500</v>
      </c>
      <c r="D730" s="2" t="s">
        <v>43</v>
      </c>
      <c r="E730" s="2">
        <v>0</v>
      </c>
      <c r="F730" s="2" t="s">
        <v>23</v>
      </c>
    </row>
    <row r="731" spans="1:6" x14ac:dyDescent="0.25">
      <c r="A731" s="2" t="s">
        <v>92</v>
      </c>
      <c r="B731" s="2" t="s">
        <v>740</v>
      </c>
      <c r="C731" s="2">
        <v>2500</v>
      </c>
      <c r="D731" s="2" t="s">
        <v>43</v>
      </c>
      <c r="E731" s="2">
        <v>0</v>
      </c>
      <c r="F731" s="2" t="s">
        <v>23</v>
      </c>
    </row>
    <row r="732" spans="1:6" x14ac:dyDescent="0.25">
      <c r="A732" s="2" t="s">
        <v>92</v>
      </c>
      <c r="B732" s="2" t="s">
        <v>741</v>
      </c>
      <c r="C732" s="2">
        <v>2500</v>
      </c>
      <c r="D732" s="2" t="s">
        <v>43</v>
      </c>
      <c r="E732" s="2">
        <v>0</v>
      </c>
      <c r="F732" s="2" t="s">
        <v>27</v>
      </c>
    </row>
    <row r="733" spans="1:6" x14ac:dyDescent="0.25">
      <c r="A733" s="2" t="s">
        <v>92</v>
      </c>
      <c r="B733" s="2" t="s">
        <v>746</v>
      </c>
      <c r="C733" s="2">
        <v>2500</v>
      </c>
      <c r="D733" s="2" t="s">
        <v>43</v>
      </c>
      <c r="E733" s="2">
        <v>0</v>
      </c>
      <c r="F733" s="2" t="s">
        <v>27</v>
      </c>
    </row>
    <row r="734" spans="1:6" x14ac:dyDescent="0.25">
      <c r="A734" s="2" t="s">
        <v>92</v>
      </c>
      <c r="B734" s="2" t="s">
        <v>749</v>
      </c>
      <c r="C734" s="2">
        <v>2500</v>
      </c>
      <c r="D734" s="2" t="s">
        <v>52</v>
      </c>
      <c r="E734" s="2">
        <v>0</v>
      </c>
      <c r="F734" s="2" t="s">
        <v>53</v>
      </c>
    </row>
    <row r="735" spans="1:6" x14ac:dyDescent="0.25">
      <c r="A735" s="2" t="s">
        <v>92</v>
      </c>
      <c r="B735" s="2" t="s">
        <v>750</v>
      </c>
      <c r="C735" s="2">
        <v>2500</v>
      </c>
      <c r="D735" s="2" t="s">
        <v>52</v>
      </c>
      <c r="E735" s="2">
        <v>0</v>
      </c>
      <c r="F735" s="2" t="s">
        <v>53</v>
      </c>
    </row>
    <row r="736" spans="1:6" x14ac:dyDescent="0.25">
      <c r="A736" s="2" t="s">
        <v>92</v>
      </c>
      <c r="B736" s="2" t="s">
        <v>752</v>
      </c>
      <c r="C736" s="2">
        <v>2500</v>
      </c>
      <c r="D736" s="2" t="s">
        <v>52</v>
      </c>
      <c r="E736" s="2">
        <v>0</v>
      </c>
      <c r="F736" s="2" t="s">
        <v>53</v>
      </c>
    </row>
    <row r="737" spans="1:6" x14ac:dyDescent="0.25">
      <c r="A737" s="2" t="s">
        <v>92</v>
      </c>
      <c r="B737" s="2" t="s">
        <v>754</v>
      </c>
      <c r="C737" s="2">
        <v>2500</v>
      </c>
      <c r="D737" s="2" t="s">
        <v>52</v>
      </c>
      <c r="E737" s="2">
        <v>0</v>
      </c>
      <c r="F737" s="2" t="s">
        <v>115</v>
      </c>
    </row>
    <row r="738" spans="1:6" x14ac:dyDescent="0.25">
      <c r="A738" s="2" t="s">
        <v>92</v>
      </c>
      <c r="B738" s="2" t="s">
        <v>758</v>
      </c>
      <c r="C738" s="2">
        <v>2500</v>
      </c>
      <c r="D738" s="2" t="s">
        <v>35</v>
      </c>
      <c r="E738" s="2">
        <v>0</v>
      </c>
      <c r="F738" s="2" t="s">
        <v>20</v>
      </c>
    </row>
    <row r="739" spans="1:6" x14ac:dyDescent="0.25">
      <c r="A739" s="2" t="s">
        <v>92</v>
      </c>
      <c r="B739" s="2" t="s">
        <v>760</v>
      </c>
      <c r="C739" s="2">
        <v>2500</v>
      </c>
      <c r="D739" s="2" t="s">
        <v>35</v>
      </c>
      <c r="E739" s="2">
        <v>0</v>
      </c>
      <c r="F739" s="2" t="s">
        <v>20</v>
      </c>
    </row>
    <row r="740" spans="1:6" x14ac:dyDescent="0.25">
      <c r="A740" s="2" t="s">
        <v>92</v>
      </c>
      <c r="B740" s="2" t="s">
        <v>761</v>
      </c>
      <c r="C740" s="2">
        <v>2500</v>
      </c>
      <c r="D740" s="2" t="s">
        <v>35</v>
      </c>
      <c r="E740" s="2">
        <v>0</v>
      </c>
      <c r="F740" s="2" t="s">
        <v>20</v>
      </c>
    </row>
    <row r="741" spans="1:6" x14ac:dyDescent="0.25">
      <c r="A741" s="2" t="s">
        <v>92</v>
      </c>
      <c r="B741" s="2" t="s">
        <v>762</v>
      </c>
      <c r="C741" s="2">
        <v>2500</v>
      </c>
      <c r="D741" s="2" t="s">
        <v>35</v>
      </c>
      <c r="E741" s="2">
        <v>0</v>
      </c>
      <c r="F741" s="2" t="s">
        <v>36</v>
      </c>
    </row>
    <row r="742" spans="1:6" x14ac:dyDescent="0.25">
      <c r="A742" s="2" t="s">
        <v>92</v>
      </c>
      <c r="B742" s="2" t="s">
        <v>765</v>
      </c>
      <c r="C742" s="2">
        <v>2500</v>
      </c>
      <c r="D742" s="2" t="s">
        <v>35</v>
      </c>
      <c r="E742" s="2">
        <v>0</v>
      </c>
      <c r="F742" s="2" t="s">
        <v>36</v>
      </c>
    </row>
    <row r="743" spans="1:6" x14ac:dyDescent="0.25">
      <c r="A743" s="2" t="s">
        <v>92</v>
      </c>
      <c r="B743" s="2" t="s">
        <v>766</v>
      </c>
      <c r="C743" s="2">
        <v>2500</v>
      </c>
      <c r="D743" s="2" t="s">
        <v>38</v>
      </c>
      <c r="E743" s="2">
        <v>0</v>
      </c>
      <c r="F743" s="2" t="s">
        <v>26</v>
      </c>
    </row>
    <row r="744" spans="1:6" x14ac:dyDescent="0.25">
      <c r="A744" s="2" t="s">
        <v>92</v>
      </c>
      <c r="B744" s="2" t="s">
        <v>769</v>
      </c>
      <c r="C744" s="2">
        <v>2500</v>
      </c>
      <c r="D744" s="2" t="s">
        <v>38</v>
      </c>
      <c r="E744" s="2">
        <v>0</v>
      </c>
      <c r="F744" s="2" t="s">
        <v>26</v>
      </c>
    </row>
    <row r="745" spans="1:6" x14ac:dyDescent="0.25">
      <c r="A745" s="2" t="s">
        <v>92</v>
      </c>
      <c r="B745" s="2" t="s">
        <v>770</v>
      </c>
      <c r="C745" s="2">
        <v>2500</v>
      </c>
      <c r="D745" s="2" t="s">
        <v>38</v>
      </c>
      <c r="E745" s="2">
        <v>0</v>
      </c>
      <c r="F745" s="2" t="s">
        <v>26</v>
      </c>
    </row>
    <row r="746" spans="1:6" x14ac:dyDescent="0.25">
      <c r="A746" s="2" t="s">
        <v>92</v>
      </c>
      <c r="B746" s="2" t="s">
        <v>771</v>
      </c>
      <c r="C746" s="2">
        <v>2500</v>
      </c>
      <c r="D746" s="2" t="s">
        <v>38</v>
      </c>
      <c r="E746" s="2">
        <v>0</v>
      </c>
      <c r="F746" s="2" t="s">
        <v>26</v>
      </c>
    </row>
    <row r="747" spans="1:6" x14ac:dyDescent="0.25">
      <c r="A747" s="2" t="s">
        <v>92</v>
      </c>
      <c r="B747" s="2" t="s">
        <v>772</v>
      </c>
      <c r="C747" s="2">
        <v>2500</v>
      </c>
      <c r="D747" s="2" t="s">
        <v>38</v>
      </c>
      <c r="E747" s="2">
        <v>0</v>
      </c>
      <c r="F747" s="2" t="s">
        <v>39</v>
      </c>
    </row>
    <row r="748" spans="1:6" x14ac:dyDescent="0.25">
      <c r="A748" s="2" t="s">
        <v>92</v>
      </c>
      <c r="B748" s="2" t="s">
        <v>773</v>
      </c>
      <c r="C748" s="2">
        <v>2500</v>
      </c>
      <c r="D748" s="2" t="s">
        <v>38</v>
      </c>
      <c r="E748" s="2">
        <v>0</v>
      </c>
      <c r="F748" s="2" t="s">
        <v>39</v>
      </c>
    </row>
    <row r="749" spans="1:6" x14ac:dyDescent="0.25">
      <c r="A749" s="2" t="s">
        <v>92</v>
      </c>
      <c r="B749" s="2" t="s">
        <v>777</v>
      </c>
      <c r="C749" s="2">
        <v>2500</v>
      </c>
      <c r="D749" s="2" t="s">
        <v>103</v>
      </c>
      <c r="E749" s="2">
        <v>0</v>
      </c>
      <c r="F749" s="2" t="s">
        <v>19</v>
      </c>
    </row>
    <row r="750" spans="1:6" x14ac:dyDescent="0.25">
      <c r="A750" s="2" t="s">
        <v>92</v>
      </c>
      <c r="B750" s="2" t="s">
        <v>778</v>
      </c>
      <c r="C750" s="2">
        <v>2500</v>
      </c>
      <c r="D750" s="2" t="s">
        <v>103</v>
      </c>
      <c r="E750" s="2">
        <v>0</v>
      </c>
      <c r="F750" s="2" t="s">
        <v>19</v>
      </c>
    </row>
    <row r="751" spans="1:6" x14ac:dyDescent="0.25">
      <c r="A751" s="2" t="s">
        <v>92</v>
      </c>
      <c r="B751" s="2" t="s">
        <v>784</v>
      </c>
      <c r="C751" s="2">
        <v>2500</v>
      </c>
      <c r="D751" s="2" t="s">
        <v>103</v>
      </c>
      <c r="E751" s="2">
        <v>0</v>
      </c>
      <c r="F751" s="2" t="s">
        <v>110</v>
      </c>
    </row>
    <row r="752" spans="1:6" x14ac:dyDescent="0.25">
      <c r="A752" s="2" t="s">
        <v>92</v>
      </c>
      <c r="B752" s="2" t="s">
        <v>787</v>
      </c>
      <c r="C752" s="2">
        <v>2500</v>
      </c>
      <c r="D752" s="2" t="s">
        <v>55</v>
      </c>
      <c r="E752" s="2">
        <v>0</v>
      </c>
      <c r="F752" s="2" t="s">
        <v>28</v>
      </c>
    </row>
    <row r="753" spans="1:6" x14ac:dyDescent="0.25">
      <c r="A753" s="2" t="s">
        <v>92</v>
      </c>
      <c r="B753" s="2" t="s">
        <v>789</v>
      </c>
      <c r="C753" s="2">
        <v>2500</v>
      </c>
      <c r="D753" s="2" t="s">
        <v>55</v>
      </c>
      <c r="E753" s="2">
        <v>0</v>
      </c>
      <c r="F753" s="2" t="s">
        <v>28</v>
      </c>
    </row>
    <row r="754" spans="1:6" x14ac:dyDescent="0.25">
      <c r="A754" s="2" t="s">
        <v>92</v>
      </c>
      <c r="B754" s="2" t="s">
        <v>790</v>
      </c>
      <c r="C754" s="2">
        <v>2500</v>
      </c>
      <c r="D754" s="2" t="s">
        <v>55</v>
      </c>
      <c r="E754" s="2">
        <v>0</v>
      </c>
      <c r="F754" s="2" t="s">
        <v>56</v>
      </c>
    </row>
    <row r="755" spans="1:6" x14ac:dyDescent="0.25">
      <c r="A755" s="2" t="s">
        <v>92</v>
      </c>
      <c r="B755" s="2" t="s">
        <v>793</v>
      </c>
      <c r="C755" s="2">
        <v>2500</v>
      </c>
      <c r="D755" s="2" t="s">
        <v>55</v>
      </c>
      <c r="E755" s="2">
        <v>0</v>
      </c>
      <c r="F755" s="2" t="s">
        <v>56</v>
      </c>
    </row>
    <row r="756" spans="1:6" x14ac:dyDescent="0.25">
      <c r="A756" s="2" t="s">
        <v>92</v>
      </c>
      <c r="B756" s="2" t="s">
        <v>794</v>
      </c>
      <c r="C756" s="2">
        <v>2500</v>
      </c>
      <c r="D756" s="2" t="s">
        <v>62</v>
      </c>
      <c r="E756" s="2">
        <v>0</v>
      </c>
      <c r="F756" s="2" t="s">
        <v>63</v>
      </c>
    </row>
    <row r="757" spans="1:6" x14ac:dyDescent="0.25">
      <c r="A757" s="2" t="s">
        <v>92</v>
      </c>
      <c r="B757" s="2" t="s">
        <v>795</v>
      </c>
      <c r="C757" s="2">
        <v>2500</v>
      </c>
      <c r="D757" s="2" t="s">
        <v>62</v>
      </c>
      <c r="E757" s="2">
        <v>0</v>
      </c>
      <c r="F757" s="2" t="s">
        <v>63</v>
      </c>
    </row>
    <row r="758" spans="1:6" x14ac:dyDescent="0.25">
      <c r="A758" s="2" t="s">
        <v>92</v>
      </c>
      <c r="B758" s="2" t="s">
        <v>797</v>
      </c>
      <c r="C758" s="2">
        <v>2500</v>
      </c>
      <c r="D758" s="2" t="s">
        <v>62</v>
      </c>
      <c r="E758" s="2">
        <v>0</v>
      </c>
      <c r="F758" s="2" t="s">
        <v>63</v>
      </c>
    </row>
    <row r="759" spans="1:6" x14ac:dyDescent="0.25">
      <c r="A759" s="2" t="s">
        <v>92</v>
      </c>
      <c r="B759" s="2" t="s">
        <v>799</v>
      </c>
      <c r="C759" s="2">
        <v>2500</v>
      </c>
      <c r="D759" s="2" t="s">
        <v>62</v>
      </c>
      <c r="E759" s="2">
        <v>0</v>
      </c>
      <c r="F759" s="2" t="s">
        <v>63</v>
      </c>
    </row>
    <row r="760" spans="1:6" x14ac:dyDescent="0.25">
      <c r="A760" s="2" t="s">
        <v>92</v>
      </c>
      <c r="B760" s="2" t="s">
        <v>801</v>
      </c>
      <c r="C760" s="2">
        <v>2500</v>
      </c>
      <c r="D760" s="2" t="s">
        <v>62</v>
      </c>
      <c r="E760" s="2">
        <v>0</v>
      </c>
      <c r="F760" s="2" t="s">
        <v>67</v>
      </c>
    </row>
    <row r="761" spans="1:6" x14ac:dyDescent="0.25">
      <c r="A761" s="2" t="s">
        <v>92</v>
      </c>
      <c r="B761" s="2" t="s">
        <v>802</v>
      </c>
      <c r="C761" s="2">
        <v>2500</v>
      </c>
      <c r="D761" s="2" t="s">
        <v>62</v>
      </c>
      <c r="E761" s="2">
        <v>0</v>
      </c>
      <c r="F761" s="2" t="s">
        <v>67</v>
      </c>
    </row>
    <row r="762" spans="1:6" x14ac:dyDescent="0.25">
      <c r="A762" s="2" t="s">
        <v>92</v>
      </c>
      <c r="B762" s="2" t="s">
        <v>804</v>
      </c>
      <c r="C762" s="2">
        <v>2500</v>
      </c>
      <c r="D762" s="2" t="s">
        <v>62</v>
      </c>
      <c r="E762" s="2">
        <v>0</v>
      </c>
      <c r="F762" s="2" t="s">
        <v>67</v>
      </c>
    </row>
    <row r="763" spans="1:6" x14ac:dyDescent="0.25">
      <c r="A763" s="2" t="s">
        <v>92</v>
      </c>
      <c r="B763" s="2" t="s">
        <v>805</v>
      </c>
      <c r="C763" s="2">
        <v>2500</v>
      </c>
      <c r="D763" s="2" t="s">
        <v>62</v>
      </c>
      <c r="E763" s="2">
        <v>0</v>
      </c>
      <c r="F763" s="2" t="s">
        <v>67</v>
      </c>
    </row>
    <row r="764" spans="1:6" x14ac:dyDescent="0.25">
      <c r="A764" s="2" t="s">
        <v>92</v>
      </c>
      <c r="B764" s="2" t="s">
        <v>809</v>
      </c>
      <c r="C764" s="2">
        <v>2500</v>
      </c>
      <c r="D764" s="2" t="s">
        <v>86</v>
      </c>
      <c r="E764" s="2">
        <v>0</v>
      </c>
      <c r="F764" s="2" t="s">
        <v>21</v>
      </c>
    </row>
    <row r="765" spans="1:6" x14ac:dyDescent="0.25">
      <c r="A765" s="2" t="s">
        <v>92</v>
      </c>
      <c r="B765" s="2" t="s">
        <v>810</v>
      </c>
      <c r="C765" s="2">
        <v>2500</v>
      </c>
      <c r="D765" s="2" t="s">
        <v>86</v>
      </c>
      <c r="E765" s="2">
        <v>0</v>
      </c>
      <c r="F765" s="2" t="s">
        <v>21</v>
      </c>
    </row>
    <row r="766" spans="1:6" x14ac:dyDescent="0.25">
      <c r="A766" s="2" t="s">
        <v>92</v>
      </c>
      <c r="B766" s="2" t="s">
        <v>811</v>
      </c>
      <c r="C766" s="2">
        <v>2500</v>
      </c>
      <c r="D766" s="2" t="s">
        <v>86</v>
      </c>
      <c r="E766" s="2">
        <v>0</v>
      </c>
      <c r="F766" s="2" t="s">
        <v>21</v>
      </c>
    </row>
    <row r="767" spans="1:6" x14ac:dyDescent="0.25">
      <c r="A767" s="2" t="s">
        <v>92</v>
      </c>
      <c r="B767" s="2" t="s">
        <v>812</v>
      </c>
      <c r="C767" s="2">
        <v>2500</v>
      </c>
      <c r="D767" s="2" t="s">
        <v>86</v>
      </c>
      <c r="E767" s="2">
        <v>0</v>
      </c>
      <c r="F767" s="2" t="s">
        <v>24</v>
      </c>
    </row>
    <row r="768" spans="1:6" x14ac:dyDescent="0.25">
      <c r="A768" s="2" t="s">
        <v>92</v>
      </c>
      <c r="B768" s="2" t="s">
        <v>814</v>
      </c>
      <c r="C768" s="2">
        <v>2500</v>
      </c>
      <c r="D768" s="2" t="s">
        <v>86</v>
      </c>
      <c r="E768" s="2">
        <v>0</v>
      </c>
      <c r="F768" s="2" t="s">
        <v>24</v>
      </c>
    </row>
    <row r="769" spans="1:6" x14ac:dyDescent="0.25">
      <c r="A769" s="2" t="s">
        <v>92</v>
      </c>
      <c r="B769" s="2" t="s">
        <v>815</v>
      </c>
      <c r="C769" s="2">
        <v>2500</v>
      </c>
      <c r="D769" s="2" t="s">
        <v>86</v>
      </c>
      <c r="E769" s="2">
        <v>0</v>
      </c>
      <c r="F769" s="2" t="s">
        <v>24</v>
      </c>
    </row>
    <row r="770" spans="1:6" x14ac:dyDescent="0.25">
      <c r="A770" s="2" t="s">
        <v>92</v>
      </c>
      <c r="B770" s="2" t="s">
        <v>818</v>
      </c>
      <c r="C770" s="2">
        <v>2500</v>
      </c>
      <c r="D770" s="2" t="s">
        <v>75</v>
      </c>
      <c r="E770" s="2">
        <v>0</v>
      </c>
      <c r="F770" s="2" t="s">
        <v>25</v>
      </c>
    </row>
    <row r="771" spans="1:6" x14ac:dyDescent="0.25">
      <c r="A771" s="2" t="s">
        <v>92</v>
      </c>
      <c r="B771" s="2" t="s">
        <v>819</v>
      </c>
      <c r="C771" s="2">
        <v>2500</v>
      </c>
      <c r="D771" s="2" t="s">
        <v>75</v>
      </c>
      <c r="E771" s="2">
        <v>0</v>
      </c>
      <c r="F771" s="2" t="s">
        <v>25</v>
      </c>
    </row>
    <row r="772" spans="1:6" x14ac:dyDescent="0.25">
      <c r="A772" s="2" t="s">
        <v>92</v>
      </c>
      <c r="B772" s="2" t="s">
        <v>821</v>
      </c>
      <c r="C772" s="2">
        <v>2500</v>
      </c>
      <c r="D772" s="2" t="s">
        <v>75</v>
      </c>
      <c r="E772" s="2">
        <v>0</v>
      </c>
      <c r="F772" s="2" t="s">
        <v>91</v>
      </c>
    </row>
    <row r="773" spans="1:6" x14ac:dyDescent="0.25">
      <c r="A773" s="2" t="s">
        <v>92</v>
      </c>
      <c r="B773" s="2" t="s">
        <v>822</v>
      </c>
      <c r="C773" s="2">
        <v>2500</v>
      </c>
      <c r="D773" s="2" t="s">
        <v>75</v>
      </c>
      <c r="E773" s="2">
        <v>0</v>
      </c>
      <c r="F773" s="2" t="s">
        <v>91</v>
      </c>
    </row>
    <row r="774" spans="1:6" x14ac:dyDescent="0.25">
      <c r="A774" s="2" t="s">
        <v>92</v>
      </c>
      <c r="B774" s="2" t="s">
        <v>823</v>
      </c>
      <c r="C774" s="2">
        <v>2500</v>
      </c>
      <c r="D774" s="2" t="s">
        <v>75</v>
      </c>
      <c r="E774" s="2">
        <v>0</v>
      </c>
      <c r="F774" s="2" t="s">
        <v>91</v>
      </c>
    </row>
    <row r="775" spans="1:6" x14ac:dyDescent="0.25">
      <c r="A775" s="2" t="s">
        <v>92</v>
      </c>
      <c r="B775" s="2" t="s">
        <v>824</v>
      </c>
      <c r="C775" s="2">
        <v>2500</v>
      </c>
      <c r="D775" s="2" t="s">
        <v>75</v>
      </c>
      <c r="E775" s="2">
        <v>0</v>
      </c>
      <c r="F775" s="2" t="s">
        <v>91</v>
      </c>
    </row>
    <row r="776" spans="1:6" x14ac:dyDescent="0.25">
      <c r="A776" s="2" t="s">
        <v>92</v>
      </c>
      <c r="B776" s="2" t="s">
        <v>825</v>
      </c>
      <c r="C776" s="2">
        <v>2500</v>
      </c>
      <c r="D776" s="2" t="s">
        <v>75</v>
      </c>
      <c r="E776" s="2">
        <v>0</v>
      </c>
      <c r="F776" s="2" t="s">
        <v>91</v>
      </c>
    </row>
    <row r="777" spans="1:6" x14ac:dyDescent="0.25">
      <c r="A777" s="2" t="s">
        <v>92</v>
      </c>
      <c r="B777" s="2" t="s">
        <v>826</v>
      </c>
      <c r="C777" s="2">
        <v>2500</v>
      </c>
      <c r="D777" s="2" t="s">
        <v>58</v>
      </c>
      <c r="E777" s="2">
        <v>0</v>
      </c>
      <c r="F777" s="2" t="s">
        <v>59</v>
      </c>
    </row>
    <row r="778" spans="1:6" x14ac:dyDescent="0.25">
      <c r="A778" s="2" t="s">
        <v>92</v>
      </c>
      <c r="B778" s="2" t="s">
        <v>828</v>
      </c>
      <c r="C778" s="2">
        <v>2500</v>
      </c>
      <c r="D778" s="2" t="s">
        <v>58</v>
      </c>
      <c r="E778" s="2">
        <v>0</v>
      </c>
      <c r="F778" s="2" t="s">
        <v>59</v>
      </c>
    </row>
    <row r="779" spans="1:6" x14ac:dyDescent="0.25">
      <c r="A779" s="2" t="s">
        <v>92</v>
      </c>
      <c r="B779" s="2" t="s">
        <v>829</v>
      </c>
      <c r="C779" s="2">
        <v>2500</v>
      </c>
      <c r="D779" s="2" t="s">
        <v>58</v>
      </c>
      <c r="E779" s="2">
        <v>0</v>
      </c>
      <c r="F779" s="2" t="s">
        <v>59</v>
      </c>
    </row>
    <row r="780" spans="1:6" x14ac:dyDescent="0.25">
      <c r="A780" s="2" t="s">
        <v>92</v>
      </c>
      <c r="B780" s="2" t="s">
        <v>832</v>
      </c>
      <c r="C780" s="2">
        <v>2500</v>
      </c>
      <c r="D780" s="2" t="s">
        <v>58</v>
      </c>
      <c r="E780" s="2">
        <v>0</v>
      </c>
      <c r="F780" s="2" t="s">
        <v>77</v>
      </c>
    </row>
    <row r="781" spans="1:6" x14ac:dyDescent="0.25">
      <c r="A781" s="2" t="s">
        <v>92</v>
      </c>
      <c r="B781" s="2" t="s">
        <v>833</v>
      </c>
      <c r="C781" s="2">
        <v>2500</v>
      </c>
      <c r="D781" s="2" t="s">
        <v>58</v>
      </c>
      <c r="E781" s="2">
        <v>0</v>
      </c>
      <c r="F781" s="2" t="s">
        <v>77</v>
      </c>
    </row>
    <row r="782" spans="1:6" x14ac:dyDescent="0.25">
      <c r="A782" s="2" t="s">
        <v>92</v>
      </c>
      <c r="B782" s="2" t="s">
        <v>834</v>
      </c>
      <c r="C782" s="2">
        <v>2500</v>
      </c>
      <c r="D782" s="2" t="s">
        <v>58</v>
      </c>
      <c r="E782" s="2">
        <v>0</v>
      </c>
      <c r="F782" s="2" t="s">
        <v>77</v>
      </c>
    </row>
    <row r="783" spans="1:6" x14ac:dyDescent="0.25">
      <c r="A783" s="2" t="s">
        <v>92</v>
      </c>
      <c r="B783" s="2" t="s">
        <v>836</v>
      </c>
      <c r="C783" s="2">
        <v>2500</v>
      </c>
      <c r="D783" s="2" t="s">
        <v>58</v>
      </c>
      <c r="E783" s="2">
        <v>0</v>
      </c>
      <c r="F783" s="2" t="s">
        <v>77</v>
      </c>
    </row>
    <row r="784" spans="1:6" x14ac:dyDescent="0.25">
      <c r="A784" s="2" t="s">
        <v>92</v>
      </c>
      <c r="B784" s="2" t="s">
        <v>837</v>
      </c>
      <c r="C784" s="2">
        <v>2500</v>
      </c>
      <c r="D784" s="2" t="s">
        <v>69</v>
      </c>
      <c r="E784" s="2">
        <v>0</v>
      </c>
      <c r="F784" s="2" t="s">
        <v>1</v>
      </c>
    </row>
    <row r="785" spans="1:6" x14ac:dyDescent="0.25">
      <c r="A785" s="2" t="s">
        <v>92</v>
      </c>
      <c r="B785" s="2" t="s">
        <v>838</v>
      </c>
      <c r="C785" s="2">
        <v>2500</v>
      </c>
      <c r="D785" s="2" t="s">
        <v>69</v>
      </c>
      <c r="E785" s="2">
        <v>0</v>
      </c>
      <c r="F785" s="2" t="s">
        <v>1</v>
      </c>
    </row>
    <row r="786" spans="1:6" x14ac:dyDescent="0.25">
      <c r="A786" s="2" t="s">
        <v>92</v>
      </c>
      <c r="B786" s="2" t="s">
        <v>839</v>
      </c>
      <c r="C786" s="2">
        <v>2500</v>
      </c>
      <c r="D786" s="2" t="s">
        <v>69</v>
      </c>
      <c r="E786" s="2">
        <v>0</v>
      </c>
      <c r="F786" s="2" t="s">
        <v>1</v>
      </c>
    </row>
    <row r="787" spans="1:6" x14ac:dyDescent="0.25">
      <c r="A787" s="2" t="s">
        <v>92</v>
      </c>
      <c r="B787" s="2" t="s">
        <v>842</v>
      </c>
      <c r="C787" s="2">
        <v>2500</v>
      </c>
      <c r="D787" s="2" t="s">
        <v>69</v>
      </c>
      <c r="E787" s="2">
        <v>0</v>
      </c>
      <c r="F787" s="2" t="s">
        <v>70</v>
      </c>
    </row>
    <row r="788" spans="1:6" x14ac:dyDescent="0.25">
      <c r="A788" s="2" t="s">
        <v>92</v>
      </c>
      <c r="B788" s="2" t="s">
        <v>844</v>
      </c>
      <c r="C788" s="2">
        <v>2500</v>
      </c>
      <c r="D788" s="2" t="s">
        <v>69</v>
      </c>
      <c r="E788" s="2">
        <v>0</v>
      </c>
      <c r="F788" s="2" t="s">
        <v>70</v>
      </c>
    </row>
    <row r="789" spans="1:6" x14ac:dyDescent="0.25">
      <c r="A789" s="2" t="s">
        <v>92</v>
      </c>
      <c r="B789" s="2" t="s">
        <v>846</v>
      </c>
      <c r="C789" s="2">
        <v>2500</v>
      </c>
      <c r="D789" s="2" t="s">
        <v>69</v>
      </c>
      <c r="E789" s="2">
        <v>0</v>
      </c>
      <c r="F789" s="2" t="s">
        <v>70</v>
      </c>
    </row>
    <row r="790" spans="1:6" x14ac:dyDescent="0.25">
      <c r="A790" s="2" t="s">
        <v>92</v>
      </c>
      <c r="B790" s="2" t="s">
        <v>847</v>
      </c>
      <c r="C790" s="2">
        <v>2500</v>
      </c>
      <c r="D790" s="2" t="s">
        <v>45</v>
      </c>
      <c r="E790" s="2">
        <v>0</v>
      </c>
      <c r="F790" s="2" t="s">
        <v>22</v>
      </c>
    </row>
    <row r="791" spans="1:6" x14ac:dyDescent="0.25">
      <c r="A791" s="2" t="s">
        <v>92</v>
      </c>
      <c r="B791" s="2" t="s">
        <v>849</v>
      </c>
      <c r="C791" s="2">
        <v>2500</v>
      </c>
      <c r="D791" s="2" t="s">
        <v>45</v>
      </c>
      <c r="E791" s="2">
        <v>0</v>
      </c>
      <c r="F791" s="2" t="s">
        <v>22</v>
      </c>
    </row>
    <row r="792" spans="1:6" x14ac:dyDescent="0.25">
      <c r="A792" s="2" t="s">
        <v>92</v>
      </c>
      <c r="B792" s="2" t="s">
        <v>851</v>
      </c>
      <c r="C792" s="2">
        <v>2500</v>
      </c>
      <c r="D792" s="2" t="s">
        <v>45</v>
      </c>
      <c r="E792" s="2">
        <v>0</v>
      </c>
      <c r="F792" s="2" t="s">
        <v>22</v>
      </c>
    </row>
    <row r="793" spans="1:6" x14ac:dyDescent="0.25">
      <c r="A793" s="2" t="s">
        <v>92</v>
      </c>
      <c r="B793" s="2" t="s">
        <v>853</v>
      </c>
      <c r="C793" s="2">
        <v>2500</v>
      </c>
      <c r="D793" s="2" t="s">
        <v>45</v>
      </c>
      <c r="E793" s="2">
        <v>0</v>
      </c>
      <c r="F793" s="2" t="s">
        <v>46</v>
      </c>
    </row>
    <row r="794" spans="1:6" x14ac:dyDescent="0.25">
      <c r="A794" s="2" t="s">
        <v>92</v>
      </c>
      <c r="B794" s="2" t="s">
        <v>855</v>
      </c>
      <c r="C794" s="2">
        <v>2500</v>
      </c>
      <c r="D794" s="2" t="s">
        <v>45</v>
      </c>
      <c r="E794" s="2">
        <v>0</v>
      </c>
      <c r="F794" s="2" t="s">
        <v>46</v>
      </c>
    </row>
    <row r="795" spans="1:6" x14ac:dyDescent="0.25">
      <c r="A795" s="2" t="s">
        <v>64</v>
      </c>
      <c r="B795" s="2" t="s">
        <v>200</v>
      </c>
      <c r="C795" s="2">
        <v>4300</v>
      </c>
      <c r="D795" s="2" t="s">
        <v>75</v>
      </c>
      <c r="E795" s="2">
        <v>-0.113</v>
      </c>
      <c r="F795" s="2" t="s">
        <v>91</v>
      </c>
    </row>
    <row r="796" spans="1:6" x14ac:dyDescent="0.25">
      <c r="A796" s="2" t="s">
        <v>64</v>
      </c>
      <c r="B796" s="2" t="s">
        <v>177</v>
      </c>
      <c r="C796" s="2">
        <v>4500</v>
      </c>
      <c r="D796" s="2" t="s">
        <v>52</v>
      </c>
      <c r="E796" s="2">
        <v>-0.14000000000000001</v>
      </c>
      <c r="F796" s="2" t="s">
        <v>115</v>
      </c>
    </row>
    <row r="797" spans="1:6" x14ac:dyDescent="0.25">
      <c r="A797" s="2" t="s">
        <v>64</v>
      </c>
      <c r="B797" s="2" t="s">
        <v>196</v>
      </c>
      <c r="C797" s="2">
        <v>4300</v>
      </c>
      <c r="D797" s="2" t="s">
        <v>103</v>
      </c>
      <c r="E797" s="2">
        <v>-0.2</v>
      </c>
      <c r="F797" s="2" t="s">
        <v>110</v>
      </c>
    </row>
    <row r="798" spans="1:6" x14ac:dyDescent="0.25">
      <c r="A798" s="2" t="s">
        <v>40</v>
      </c>
      <c r="B798" s="2" t="s">
        <v>484</v>
      </c>
      <c r="C798" s="2">
        <v>3000</v>
      </c>
      <c r="D798" s="2" t="s">
        <v>38</v>
      </c>
      <c r="E798" s="2">
        <v>-1</v>
      </c>
      <c r="F798" s="2" t="s">
        <v>26</v>
      </c>
    </row>
  </sheetData>
  <sortState ref="A2:F798">
    <sortCondition descending="1" ref="E2:E79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DraftKings Basketball  Solver</vt:lpstr>
      <vt:lpstr>RawData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2017-08-23T02:48:11Z</dcterms:modified>
</cp:coreProperties>
</file>