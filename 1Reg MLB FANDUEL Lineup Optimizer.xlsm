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20490" windowHeight="7530" activeTab="2"/>
  </bookViews>
  <sheets>
    <sheet name="Fanduel MLB Solver" sheetId="2" r:id="rId1"/>
    <sheet name="Optimizer" sheetId="4" r:id="rId2"/>
    <sheet name="Pitchers1" sheetId="14" r:id="rId3"/>
    <sheet name="Batters1" sheetId="15" r:id="rId4"/>
    <sheet name="Pitchers" sheetId="16" r:id="rId5"/>
    <sheet name="Batters" sheetId="17" r:id="rId6"/>
  </sheets>
  <definedNames>
    <definedName name="_xlnm._FilterDatabase" localSheetId="0" hidden="1">'Fanduel MLB Solver'!$A$1:$D$340</definedName>
    <definedName name="solver_adj" localSheetId="0" hidden="1">'Fanduel MLB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'Fanduel MLB Solver'!$R$4</definedName>
    <definedName name="solver_lhs1" localSheetId="0" hidden="1">'Fanduel MLB Solver'!$R$8</definedName>
    <definedName name="solver_lhs10" localSheetId="0" hidden="1">'Fanduel MLB Solver'!$R$2</definedName>
    <definedName name="solver_lhs11" localSheetId="0" hidden="1">'Fanduel MLB Solver'!$R$7</definedName>
    <definedName name="solver_lhs12" localSheetId="0" hidden="1">'Fanduel MLB Solver'!$R$6</definedName>
    <definedName name="solver_lhs13" localSheetId="0" hidden="1">'Fanduel MLB Solver'!$R$7</definedName>
    <definedName name="solver_lhs14" localSheetId="0" hidden="1">'Fanduel MLB Solver'!#REF!</definedName>
    <definedName name="solver_lhs15" localSheetId="0" hidden="1">'Fanduel MLB Solver'!$R$7</definedName>
    <definedName name="solver_lhs16" localSheetId="0" hidden="1">'Fanduel MLB Solver'!$R$5</definedName>
    <definedName name="solver_lhs17" localSheetId="0" hidden="1">'Fanduel MLB Solver'!#REF!</definedName>
    <definedName name="solver_lhs2" localSheetId="0" hidden="1">'Fanduel MLB Solver'!$Q$10</definedName>
    <definedName name="solver_lhs3" localSheetId="0" hidden="1">'Fanduel MLB Solver'!$C$2:$C$200</definedName>
    <definedName name="solver_lhs4" localSheetId="0" hidden="1">'Fanduel MLB Solver'!$R$6</definedName>
    <definedName name="solver_lhs5" localSheetId="0" hidden="1">'Fanduel MLB Solver'!$R$3</definedName>
    <definedName name="solver_lhs6" localSheetId="0" hidden="1">'Fanduel MLB Solver'!$R$4</definedName>
    <definedName name="solver_lhs7" localSheetId="0" hidden="1">'Fanduel MLB Solver'!$R$5</definedName>
    <definedName name="solver_lhs8" localSheetId="0" hidden="1">'Fanduel MLB Solver'!$Q$16</definedName>
    <definedName name="solver_lhs9" localSheetId="0" hidden="1">'Fanduel MLB Solver'!$R$7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0" hidden="1">'Fanduel MLB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2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1</definedName>
    <definedName name="solver_rel3" localSheetId="0" hidden="1">5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'Fanduel MLB Solver'!$Q$4</definedName>
    <definedName name="solver_rhs1" localSheetId="0" hidden="1">'Fanduel MLB Solver'!$Q$8</definedName>
    <definedName name="solver_rhs10" localSheetId="0" hidden="1">'Fanduel MLB Solver'!$Q$2</definedName>
    <definedName name="solver_rhs11" localSheetId="0" hidden="1">'Fanduel MLB Solver'!$Q$7</definedName>
    <definedName name="solver_rhs12" localSheetId="0" hidden="1">'Fanduel MLB Solver'!$Q$6</definedName>
    <definedName name="solver_rhs13" localSheetId="0" hidden="1">'Fanduel MLB Solver'!#REF!</definedName>
    <definedName name="solver_rhs14" localSheetId="0" hidden="1">'Fanduel MLB Solver'!#REF!</definedName>
    <definedName name="solver_rhs15" localSheetId="0" hidden="1">'Fanduel MLB Solver'!#REF!</definedName>
    <definedName name="solver_rhs16" localSheetId="0" hidden="1">'Fanduel MLB Solver'!$Q$5</definedName>
    <definedName name="solver_rhs17" localSheetId="0" hidden="1">'Fanduel MLB Solver'!#REF!</definedName>
    <definedName name="solver_rhs2" localSheetId="0" hidden="1">'Fanduel MLB Solver'!$Q$11</definedName>
    <definedName name="solver_rhs3" localSheetId="0" hidden="1">binary</definedName>
    <definedName name="solver_rhs4" localSheetId="0" hidden="1">'Fanduel MLB Solver'!$Q$6</definedName>
    <definedName name="solver_rhs5" localSheetId="0" hidden="1">'Fanduel MLB Solver'!$Q$3</definedName>
    <definedName name="solver_rhs6" localSheetId="0" hidden="1">'Fanduel MLB Solver'!$Q$4</definedName>
    <definedName name="solver_rhs7" localSheetId="0" hidden="1">'Fanduel MLB Solver'!$Q$5</definedName>
    <definedName name="solver_rhs8" localSheetId="0" hidden="1">'Fanduel MLB Solver'!$Q$15</definedName>
    <definedName name="solver_rhs9" localSheetId="0" hidden="1">'Fanduel MLB Solver'!$Q$7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I11" i="2" l="1"/>
  <c r="I12" i="2"/>
  <c r="I13" i="2"/>
  <c r="I14" i="2"/>
  <c r="I15" i="2"/>
  <c r="H10" i="2"/>
  <c r="H11" i="2"/>
  <c r="H12" i="2"/>
  <c r="H13" i="2"/>
  <c r="H14" i="2"/>
  <c r="H15" i="2"/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A40" i="2"/>
  <c r="N39" i="2"/>
  <c r="M39" i="2"/>
  <c r="L39" i="2"/>
  <c r="K39" i="2"/>
  <c r="J39" i="2"/>
  <c r="A39" i="2"/>
  <c r="N38" i="2"/>
  <c r="M38" i="2"/>
  <c r="L38" i="2"/>
  <c r="K38" i="2"/>
  <c r="J38" i="2"/>
  <c r="A38" i="2"/>
  <c r="N37" i="2"/>
  <c r="M37" i="2"/>
  <c r="L37" i="2"/>
  <c r="K37" i="2"/>
  <c r="J37" i="2"/>
  <c r="A37" i="2"/>
  <c r="N36" i="2"/>
  <c r="M36" i="2"/>
  <c r="L36" i="2"/>
  <c r="K36" i="2"/>
  <c r="J36" i="2"/>
  <c r="A36" i="2"/>
  <c r="N35" i="2"/>
  <c r="M35" i="2"/>
  <c r="L35" i="2"/>
  <c r="K35" i="2"/>
  <c r="J35" i="2"/>
  <c r="A35" i="2"/>
  <c r="N34" i="2"/>
  <c r="M34" i="2"/>
  <c r="L34" i="2"/>
  <c r="K34" i="2"/>
  <c r="J34" i="2"/>
  <c r="A34" i="2"/>
  <c r="N33" i="2"/>
  <c r="M33" i="2"/>
  <c r="L33" i="2"/>
  <c r="K33" i="2"/>
  <c r="J33" i="2"/>
  <c r="A33" i="2"/>
  <c r="N32" i="2"/>
  <c r="M32" i="2"/>
  <c r="L32" i="2"/>
  <c r="K32" i="2"/>
  <c r="J32" i="2"/>
  <c r="A32" i="2"/>
  <c r="N31" i="2"/>
  <c r="M31" i="2"/>
  <c r="L31" i="2"/>
  <c r="K31" i="2"/>
  <c r="J31" i="2"/>
  <c r="A31" i="2"/>
  <c r="N30" i="2"/>
  <c r="M30" i="2"/>
  <c r="L30" i="2"/>
  <c r="K30" i="2"/>
  <c r="J30" i="2"/>
  <c r="A30" i="2"/>
  <c r="N29" i="2"/>
  <c r="M29" i="2"/>
  <c r="L29" i="2"/>
  <c r="K29" i="2"/>
  <c r="J29" i="2"/>
  <c r="A29" i="2"/>
  <c r="N28" i="2"/>
  <c r="M28" i="2"/>
  <c r="L28" i="2"/>
  <c r="K28" i="2"/>
  <c r="J28" i="2"/>
  <c r="A28" i="2"/>
  <c r="N27" i="2"/>
  <c r="M27" i="2"/>
  <c r="L27" i="2"/>
  <c r="K27" i="2"/>
  <c r="J27" i="2"/>
  <c r="A27" i="2"/>
  <c r="N26" i="2"/>
  <c r="M26" i="2"/>
  <c r="L26" i="2"/>
  <c r="K26" i="2"/>
  <c r="J26" i="2"/>
  <c r="A26" i="2"/>
  <c r="N25" i="2"/>
  <c r="M25" i="2"/>
  <c r="L25" i="2"/>
  <c r="K25" i="2"/>
  <c r="J25" i="2"/>
  <c r="A25" i="2"/>
  <c r="N24" i="2"/>
  <c r="M24" i="2"/>
  <c r="L24" i="2"/>
  <c r="K24" i="2"/>
  <c r="J24" i="2"/>
  <c r="A24" i="2"/>
  <c r="N23" i="2"/>
  <c r="M23" i="2"/>
  <c r="L23" i="2"/>
  <c r="K23" i="2"/>
  <c r="J23" i="2"/>
  <c r="A23" i="2"/>
  <c r="N22" i="2"/>
  <c r="M22" i="2"/>
  <c r="L22" i="2"/>
  <c r="K22" i="2"/>
  <c r="J22" i="2"/>
  <c r="A22" i="2"/>
  <c r="N21" i="2"/>
  <c r="M21" i="2"/>
  <c r="L21" i="2"/>
  <c r="K21" i="2"/>
  <c r="J21" i="2"/>
  <c r="A21" i="2"/>
  <c r="N20" i="2"/>
  <c r="M20" i="2"/>
  <c r="L20" i="2"/>
  <c r="K20" i="2"/>
  <c r="J20" i="2"/>
  <c r="A20" i="2"/>
  <c r="N19" i="2"/>
  <c r="M19" i="2"/>
  <c r="L19" i="2"/>
  <c r="K19" i="2"/>
  <c r="J19" i="2"/>
  <c r="A19" i="2"/>
  <c r="N18" i="2"/>
  <c r="M18" i="2"/>
  <c r="L18" i="2"/>
  <c r="K18" i="2"/>
  <c r="J18" i="2"/>
  <c r="A18" i="2"/>
  <c r="N17" i="2"/>
  <c r="M17" i="2"/>
  <c r="L17" i="2"/>
  <c r="K17" i="2"/>
  <c r="J17" i="2"/>
  <c r="A17" i="2"/>
  <c r="Q16" i="2"/>
  <c r="N16" i="2"/>
  <c r="M16" i="2"/>
  <c r="L16" i="2"/>
  <c r="K16" i="2"/>
  <c r="J16" i="2"/>
  <c r="A16" i="2"/>
  <c r="N15" i="2"/>
  <c r="M15" i="2"/>
  <c r="L15" i="2"/>
  <c r="K15" i="2"/>
  <c r="J15" i="2"/>
  <c r="A15" i="2"/>
  <c r="N14" i="2"/>
  <c r="M14" i="2"/>
  <c r="L14" i="2"/>
  <c r="K14" i="2"/>
  <c r="J14" i="2"/>
  <c r="A14" i="2"/>
  <c r="Q13" i="2"/>
  <c r="N13" i="2"/>
  <c r="M13" i="2"/>
  <c r="L13" i="2"/>
  <c r="K13" i="2"/>
  <c r="J13" i="2"/>
  <c r="A13" i="2"/>
  <c r="N12" i="2"/>
  <c r="M12" i="2"/>
  <c r="L12" i="2"/>
  <c r="K12" i="2"/>
  <c r="J12" i="2"/>
  <c r="A12" i="2"/>
  <c r="N11" i="2"/>
  <c r="M11" i="2"/>
  <c r="L11" i="2"/>
  <c r="K11" i="2"/>
  <c r="J11" i="2"/>
  <c r="A11" i="2"/>
  <c r="Q10" i="2"/>
  <c r="N10" i="2"/>
  <c r="M10" i="2"/>
  <c r="L10" i="2"/>
  <c r="K10" i="2"/>
  <c r="J10" i="2"/>
  <c r="I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2" i="2" l="1"/>
  <c r="R30" i="2"/>
  <c r="Q29" i="2"/>
  <c r="G17" i="4" s="1"/>
  <c r="R26" i="2"/>
  <c r="Q25" i="2"/>
  <c r="G15" i="4" s="1"/>
  <c r="R31" i="2"/>
  <c r="Q30" i="2"/>
  <c r="H17" i="4" s="1"/>
  <c r="R27" i="2"/>
  <c r="Q26" i="2"/>
  <c r="H15" i="4" s="1"/>
  <c r="R24" i="2"/>
  <c r="R29" i="2"/>
  <c r="Q28" i="2"/>
  <c r="F17" i="4" s="1"/>
  <c r="R25" i="2"/>
  <c r="R32" i="2"/>
  <c r="Q31" i="2"/>
  <c r="R28" i="2"/>
  <c r="Q27" i="2"/>
  <c r="I15" i="4" s="1"/>
  <c r="Q24" i="2"/>
  <c r="F15" i="4" l="1"/>
</calcChain>
</file>

<file path=xl/sharedStrings.xml><?xml version="1.0" encoding="utf-8"?>
<sst xmlns="http://schemas.openxmlformats.org/spreadsheetml/2006/main" count="75" uniqueCount="34">
  <si>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</si>
  <si>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</si>
  <si>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</si>
  <si>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</si>
  <si>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</si>
  <si>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</si>
  <si>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</si>
  <si>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</si>
  <si>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</si>
  <si>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</si>
  <si>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</si>
  <si>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</si>
  <si>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</si>
  <si>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</si>
  <si>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</si>
  <si>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</si>
  <si>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</si>
  <si>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OF</t>
  </si>
  <si>
    <t>P</t>
  </si>
  <si>
    <t>2B</t>
  </si>
  <si>
    <t>3B</t>
  </si>
  <si>
    <t>SS</t>
  </si>
  <si>
    <t>1B</t>
  </si>
  <si>
    <t>P 1</t>
  </si>
  <si>
    <t>OF 1</t>
  </si>
  <si>
    <t>OF 2</t>
  </si>
  <si>
    <t>2B 1</t>
  </si>
  <si>
    <t>3B 1</t>
  </si>
  <si>
    <t>C 1</t>
  </si>
  <si>
    <t>SS 1</t>
  </si>
  <si>
    <t>1B 1</t>
  </si>
  <si>
    <t>OF 3</t>
  </si>
  <si>
    <t>Baseball Optimization Analysis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</si>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</sst>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topLeftCell="A23" zoomScale="106" zoomScaleNormal="106" workbookViewId="0">
      <selection activeCell="D32" sqref="D32:D235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18</v>
      </c>
      <c r="I1" s="2" t="s">
        <v>17</v>
      </c>
      <c r="J1" s="2" t="s">
        <v>19</v>
      </c>
      <c r="K1" s="2" t="s">
        <v>20</v>
      </c>
      <c r="L1" s="2" t="s">
        <v>1</v>
      </c>
      <c r="M1" s="2" t="s">
        <v>21</v>
      </c>
      <c r="N1" s="2" t="s">
        <v>22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18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18</v>
      </c>
      <c r="Q2" s="2">
        <v>1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18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17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18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19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18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20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18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18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21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18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22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18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18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18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v>35000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18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18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18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18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9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18</v>
      </c>
      <c r="H16" s="2">
        <v>0</v>
      </c>
      <c r="I16" s="2"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18</v>
      </c>
      <c r="H17" s="2">
        <v>0</v>
      </c>
      <c r="I17" s="2"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18</v>
      </c>
      <c r="H18" s="2">
        <v>0</v>
      </c>
      <c r="I18" s="2"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18</v>
      </c>
      <c r="H19" s="2">
        <v>0</v>
      </c>
      <c r="I19" s="2"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18</v>
      </c>
      <c r="H20" s="2">
        <v>0</v>
      </c>
      <c r="I20" s="2"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18</v>
      </c>
      <c r="H21" s="2">
        <v>0</v>
      </c>
      <c r="I21" s="2"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18</v>
      </c>
      <c r="H22" s="2">
        <v>0</v>
      </c>
      <c r="I22" s="2"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18</v>
      </c>
      <c r="H23" s="2">
        <v>0</v>
      </c>
      <c r="I23" s="2"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18</v>
      </c>
      <c r="H24" s="2">
        <v>0</v>
      </c>
      <c r="I24" s="2"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23</v>
      </c>
      <c r="Q24" s="2" t="e">
        <f t="shared" ref="Q24:Q32" si="3">VLOOKUP(P24,$B$2:$F$200,4,FALSE)</f>
        <v>#N/A</v>
      </c>
      <c r="R24" s="2" t="e">
        <f t="shared" ref="R24:R32" si="4">VLOOKUP(P24,$B$2:$F$200,5,FALSE)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18</v>
      </c>
      <c r="H25" s="2">
        <v>0</v>
      </c>
      <c r="I25" s="2"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24</v>
      </c>
      <c r="Q25" s="2" t="e">
        <f t="shared" si="3"/>
        <v>#N/A</v>
      </c>
      <c r="R25" s="2" t="e">
        <f t="shared" si="4"/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18</v>
      </c>
      <c r="H26" s="2">
        <v>0</v>
      </c>
      <c r="I26" s="2"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25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18</v>
      </c>
      <c r="H27" s="2">
        <v>0</v>
      </c>
      <c r="I27" s="2"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31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18</v>
      </c>
      <c r="H28" s="2">
        <v>0</v>
      </c>
      <c r="I28" s="2"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26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18</v>
      </c>
      <c r="H29" s="2">
        <v>0</v>
      </c>
      <c r="I29" s="2"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27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18</v>
      </c>
      <c r="H30" s="2">
        <v>0</v>
      </c>
      <c r="I30" s="2"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28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18</v>
      </c>
      <c r="H31" s="2">
        <v>0</v>
      </c>
      <c r="I31" s="2"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29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H32" s="2">
        <v>0</v>
      </c>
      <c r="I32" s="2"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30</v>
      </c>
      <c r="Q32" s="2" t="e">
        <f t="shared" si="3"/>
        <v>#N/A</v>
      </c>
      <c r="R32" s="2" t="e">
        <f t="shared" si="4"/>
        <v>#N/A</v>
      </c>
    </row>
    <row r="33" spans="1:14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H33" s="2">
        <v>0</v>
      </c>
      <c r="I33" s="2"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</row>
    <row r="34" spans="1:14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H34" s="2">
        <v>0</v>
      </c>
      <c r="I34" s="2"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4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H35" s="2">
        <v>0</v>
      </c>
      <c r="I35" s="2"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4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H36" s="2">
        <v>0</v>
      </c>
      <c r="I36" s="2"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4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H37" s="2">
        <v>0</v>
      </c>
      <c r="I37" s="2"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4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H38" s="2">
        <v>0</v>
      </c>
      <c r="I38" s="2"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4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H39" s="2">
        <v>0</v>
      </c>
      <c r="I39" s="2"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4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H40" s="2">
        <v>0</v>
      </c>
      <c r="I40" s="2"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4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4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4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4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4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4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4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4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</row>
    <row r="202" spans="1:14" x14ac:dyDescent="0.25">
      <c r="C202" s="1"/>
    </row>
    <row r="203" spans="1:14" x14ac:dyDescent="0.25">
      <c r="C203" s="1"/>
    </row>
    <row r="204" spans="1:14" x14ac:dyDescent="0.25">
      <c r="C204" s="1"/>
    </row>
    <row r="205" spans="1:14" x14ac:dyDescent="0.25">
      <c r="C205" s="1"/>
    </row>
    <row r="206" spans="1:14" x14ac:dyDescent="0.25">
      <c r="C206" s="1"/>
    </row>
    <row r="207" spans="1:14" x14ac:dyDescent="0.25">
      <c r="C207" s="1"/>
    </row>
    <row r="208" spans="1:14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7" x14ac:dyDescent="0.25">
      <c r="C225" s="1"/>
    </row>
    <row r="226" spans="3:7" x14ac:dyDescent="0.25">
      <c r="C226" s="1"/>
    </row>
    <row r="227" spans="3:7" x14ac:dyDescent="0.25">
      <c r="C227" s="1"/>
    </row>
    <row r="228" spans="3:7" x14ac:dyDescent="0.25">
      <c r="C228" s="1"/>
    </row>
    <row r="229" spans="3:7" x14ac:dyDescent="0.25">
      <c r="C229" s="1"/>
    </row>
    <row r="230" spans="3:7" x14ac:dyDescent="0.25">
      <c r="C230" s="1"/>
    </row>
    <row r="231" spans="3:7" x14ac:dyDescent="0.25">
      <c r="C231" s="1"/>
    </row>
    <row r="232" spans="3:7" x14ac:dyDescent="0.25">
      <c r="C232" s="1"/>
    </row>
    <row r="233" spans="3:7" x14ac:dyDescent="0.25">
      <c r="C233" s="1"/>
    </row>
    <row r="234" spans="3:7" x14ac:dyDescent="0.25">
      <c r="C234" s="1"/>
    </row>
    <row r="235" spans="3:7" x14ac:dyDescent="0.25">
      <c r="C235" s="1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D3" sqref="D3:I3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15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32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'Fanduel MLB Solver'!Q13</f>
        <v>0</v>
      </c>
      <c r="E15" s="36"/>
      <c r="F15" s="41" t="e">
        <f>'Fanduel MLB Solver'!Q24</f>
        <v>#N/A</v>
      </c>
      <c r="G15" s="40" t="e">
        <f>'Fanduel MLB Solver'!Q25</f>
        <v>#N/A</v>
      </c>
      <c r="H15" s="41" t="e">
        <f>'Fanduel MLB Solver'!Q26</f>
        <v>#N/A</v>
      </c>
      <c r="I15" s="40" t="e">
        <f>'Fanduel MLB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'Fanduel MLB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'Fanduel MLB Solver'!Q28</f>
        <v>#N/A</v>
      </c>
      <c r="G17" s="41" t="e">
        <f>'Fanduel MLB Solver'!Q29</f>
        <v>#N/A</v>
      </c>
      <c r="H17" s="40" t="e">
        <f>'Fanduel MLB Solver'!Q30</f>
        <v>#N/A</v>
      </c>
      <c r="I17" s="41"/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I927"/>
  <sheetViews>
    <sheetView tabSelected="1" topLeftCell="B1" workbookViewId="0">
      <selection activeCell="D12" sqref="D12"/>
    </sheetView>
  </sheetViews>
  <sheetFormatPr defaultRowHeight="15" x14ac:dyDescent="0.25"/>
  <cols>
    <col min="1" max="1" width="0" hidden="1" customWidth="1"/>
    <col min="2" max="2" width="17.28515625" customWidth="1"/>
    <col min="3" max="8" width="14.28515625" customWidth="1"/>
    <col min="9" max="9" width="17" customWidth="1"/>
  </cols>
  <sheetData>
    <row r="3" spans="2:2" x14ac:dyDescent="0.25">
      <c r="B3" t="s">
        <v>33</v>
      </c>
    </row>
    <row r="925" spans="1:9" x14ac:dyDescent="0.25">
      <c r="A925" s="2"/>
      <c r="B925" s="2"/>
      <c r="C925" s="2"/>
      <c r="D925" s="2"/>
      <c r="E925" s="2"/>
      <c r="F925" s="2"/>
      <c r="G925" s="2"/>
      <c r="H925" s="2"/>
      <c r="I925" s="2"/>
    </row>
    <row r="926" spans="1:9" x14ac:dyDescent="0.25">
      <c r="A926" s="2"/>
      <c r="B926" s="2"/>
      <c r="C926" s="2"/>
      <c r="D926" s="2"/>
      <c r="E926" s="2"/>
      <c r="F926" s="2"/>
      <c r="G926" s="2"/>
      <c r="H926" s="2"/>
      <c r="I926" s="2"/>
    </row>
    <row r="927" spans="1:9" x14ac:dyDescent="0.25">
      <c r="A927" s="2"/>
      <c r="B927" s="2"/>
      <c r="C927" s="2"/>
      <c r="D927" s="2"/>
      <c r="E927" s="2"/>
      <c r="F927" s="2"/>
      <c r="G927" s="2"/>
      <c r="H927" s="2"/>
      <c r="I927" s="2"/>
    </row>
  </sheetData>
  <sortState ref="A2:I925">
    <sortCondition descending="1" ref="C2:C925"/>
  </sortState>
  <pageMargins left="0.7" right="0.7" top="0.75" bottom="0.75" header="0.3" footer="0.3"/>
  <pageSetup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R1117"/>
  <sheetViews>
    <sheetView topLeftCell="B1" workbookViewId="0">
      <selection activeCell="B3" sqref="B3"/>
    </sheetView>
  </sheetViews>
  <sheetFormatPr defaultRowHeight="15" x14ac:dyDescent="0.25"/>
  <cols>
    <col min="1" max="1" width="0" hidden="1" customWidth="1"/>
    <col min="2" max="3" width="17.28515625" customWidth="1"/>
    <col min="4" max="4" width="15" customWidth="1"/>
    <col min="5" max="10" width="14.28515625" customWidth="1"/>
    <col min="11" max="12" width="14.7109375" customWidth="1"/>
    <col min="13" max="18" width="14.28515625" customWidth="1"/>
  </cols>
  <sheetData>
    <row r="3" spans="2:2" x14ac:dyDescent="0.25">
      <c r="B3" t="s">
        <v>33</v>
      </c>
    </row>
    <row r="1115" spans="1:18" x14ac:dyDescent="0.25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</row>
    <row r="1116" spans="1:18" x14ac:dyDescent="0.25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</row>
    <row r="1117" spans="1:18" x14ac:dyDescent="0.25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</row>
  </sheetData>
  <sortState ref="A2:R1115">
    <sortCondition descending="1" ref="D2:D111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B2" sqref="A1:I925"/>
    </sheetView>
  </sheetViews>
  <sheetFormatPr defaultRowHeight="15" x14ac:dyDescent="0.25"/>
  <sheetData/>
  <sortState ref="A2:I925">
    <sortCondition descending="1" ref="C2:C92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H18" sqref="H18"/>
    </sheetView>
  </sheetViews>
  <sheetFormatPr defaultRowHeight="15" x14ac:dyDescent="0.25"/>
  <sheetData/>
  <sortState ref="A2:R1115">
    <sortCondition descending="1" ref="D2:D111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Fanduel MLB Solver</vt:lpstr>
      <vt:lpstr>Optimizer</vt:lpstr>
      <vt:lpstr>Pitchers1</vt:lpstr>
      <vt:lpstr>Batters1</vt:lpstr>
      <vt:lpstr>Pitchers</vt:lpstr>
      <vt:lpstr>Batters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2017-07-02T03:44:07Z</dcterms:modified>
</cp:coreProperties>
</file>