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/>
  </bookViews>
  <sheets>
    <sheet name="DraftKings Basketball  Solver" sheetId="2" r:id="rId1"/>
    <sheet name="RawData" sheetId="5" r:id="rId2"/>
    <sheet name="Sheet1" sheetId="4" r:id="rId3"/>
  </sheets>
  <definedNames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Solver'!$O$6</definedName>
    <definedName name="solver_lhs4" localSheetId="0" hidden="1">'DraftKings Basketball  Solver'!$O$8</definedName>
    <definedName name="solver_lhs5" localSheetId="0" hidden="1">'DraftKings Basketball  Solver'!$P$2</definedName>
    <definedName name="solver_lhs6" localSheetId="0" hidden="1">'DraftKings Basketball  Solver'!$P$3</definedName>
    <definedName name="solver_lhs7" localSheetId="0" hidden="1">'DraftKings Basketball  Solver'!$P$4</definedName>
    <definedName name="solver_lhs8" localSheetId="0" hidden="1">'DraftKings Basketball  Solver'!$P$5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8</definedName>
    <definedName name="solver_num" localSheetId="2" hidden="1">0</definedName>
    <definedName name="solver_nwt" localSheetId="0" hidden="1">1</definedName>
    <definedName name="solver_opt" localSheetId="0" hidden="1">'DraftKings Basketball  Solver'!$O$11</definedName>
    <definedName name="solver_opt" localSheetId="2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Solver'!$P$6</definedName>
    <definedName name="solver_rhs4" localSheetId="0" hidden="1">'DraftKings Basketball  Solver'!$O$9</definedName>
    <definedName name="solver_rhs5" localSheetId="0" hidden="1">'DraftKings Basketball  Solver'!$O$2</definedName>
    <definedName name="solver_rhs6" localSheetId="0" hidden="1">'DraftKings Basketball  Solver'!$O$3</definedName>
    <definedName name="solver_rhs7" localSheetId="0" hidden="1">'DraftKings Basketball  Solver'!$O$4</definedName>
    <definedName name="solver_rhs8" localSheetId="0" hidden="1">'DraftKings Basketball  Solver'!$O$5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D3" i="2" l="1"/>
  <c r="E3" i="2"/>
  <c r="F3" i="2"/>
  <c r="G3" i="2"/>
  <c r="D4" i="2"/>
  <c r="E4" i="2"/>
  <c r="F4" i="2"/>
  <c r="G4" i="2"/>
  <c r="D5" i="2"/>
  <c r="E5" i="2"/>
  <c r="F5" i="2"/>
  <c r="G5" i="2"/>
  <c r="D6" i="2"/>
  <c r="E6" i="2"/>
  <c r="F6" i="2"/>
  <c r="G6" i="2"/>
  <c r="D7" i="2"/>
  <c r="E7" i="2"/>
  <c r="F7" i="2"/>
  <c r="G7" i="2"/>
  <c r="D8" i="2"/>
  <c r="E8" i="2"/>
  <c r="F8" i="2"/>
  <c r="G8" i="2"/>
  <c r="D9" i="2"/>
  <c r="E9" i="2"/>
  <c r="F9" i="2"/>
  <c r="G9" i="2"/>
  <c r="D10" i="2"/>
  <c r="E10" i="2"/>
  <c r="F10" i="2"/>
  <c r="G10" i="2"/>
  <c r="D11" i="2"/>
  <c r="E11" i="2"/>
  <c r="F11" i="2"/>
  <c r="G11" i="2"/>
  <c r="D12" i="2"/>
  <c r="E12" i="2"/>
  <c r="F12" i="2"/>
  <c r="G12" i="2"/>
  <c r="D13" i="2"/>
  <c r="E13" i="2"/>
  <c r="F13" i="2"/>
  <c r="G13" i="2"/>
  <c r="D14" i="2"/>
  <c r="E14" i="2"/>
  <c r="F14" i="2"/>
  <c r="G14" i="2"/>
  <c r="D15" i="2"/>
  <c r="E15" i="2"/>
  <c r="F15" i="2"/>
  <c r="G15" i="2"/>
  <c r="D16" i="2"/>
  <c r="E16" i="2"/>
  <c r="F16" i="2"/>
  <c r="G16" i="2"/>
  <c r="D17" i="2"/>
  <c r="E17" i="2"/>
  <c r="F17" i="2"/>
  <c r="G17" i="2"/>
  <c r="D18" i="2"/>
  <c r="E18" i="2"/>
  <c r="F18" i="2"/>
  <c r="G18" i="2"/>
  <c r="D19" i="2"/>
  <c r="E19" i="2"/>
  <c r="F19" i="2"/>
  <c r="G19" i="2"/>
  <c r="D20" i="2"/>
  <c r="E20" i="2"/>
  <c r="F20" i="2"/>
  <c r="G20" i="2"/>
  <c r="D21" i="2"/>
  <c r="E21" i="2"/>
  <c r="F21" i="2"/>
  <c r="G21" i="2"/>
  <c r="D22" i="2"/>
  <c r="E22" i="2"/>
  <c r="F22" i="2"/>
  <c r="G22" i="2"/>
  <c r="D23" i="2"/>
  <c r="E23" i="2"/>
  <c r="F23" i="2"/>
  <c r="G23" i="2"/>
  <c r="D24" i="2"/>
  <c r="E24" i="2"/>
  <c r="F24" i="2"/>
  <c r="G24" i="2"/>
  <c r="D25" i="2"/>
  <c r="E25" i="2"/>
  <c r="F25" i="2"/>
  <c r="G25" i="2"/>
  <c r="D26" i="2"/>
  <c r="E26" i="2"/>
  <c r="F26" i="2"/>
  <c r="G26" i="2"/>
  <c r="D27" i="2"/>
  <c r="E27" i="2"/>
  <c r="F27" i="2"/>
  <c r="G27" i="2"/>
  <c r="D28" i="2"/>
  <c r="E28" i="2"/>
  <c r="F28" i="2"/>
  <c r="G28" i="2"/>
  <c r="D29" i="2"/>
  <c r="E29" i="2"/>
  <c r="F29" i="2"/>
  <c r="G29" i="2"/>
  <c r="D30" i="2"/>
  <c r="E30" i="2"/>
  <c r="F30" i="2"/>
  <c r="G30" i="2"/>
  <c r="D31" i="2"/>
  <c r="E31" i="2"/>
  <c r="F31" i="2"/>
  <c r="G31" i="2"/>
  <c r="D32" i="2"/>
  <c r="E32" i="2"/>
  <c r="F32" i="2"/>
  <c r="G32" i="2"/>
  <c r="D33" i="2"/>
  <c r="E33" i="2"/>
  <c r="F33" i="2"/>
  <c r="G33" i="2"/>
  <c r="D34" i="2"/>
  <c r="E34" i="2"/>
  <c r="F34" i="2"/>
  <c r="G34" i="2"/>
  <c r="D35" i="2"/>
  <c r="E35" i="2"/>
  <c r="F35" i="2"/>
  <c r="G35" i="2"/>
  <c r="D36" i="2"/>
  <c r="E36" i="2"/>
  <c r="F36" i="2"/>
  <c r="G36" i="2"/>
  <c r="D37" i="2"/>
  <c r="E37" i="2"/>
  <c r="F37" i="2"/>
  <c r="G37" i="2"/>
  <c r="D38" i="2"/>
  <c r="E38" i="2"/>
  <c r="F38" i="2"/>
  <c r="G38" i="2"/>
  <c r="D39" i="2"/>
  <c r="E39" i="2"/>
  <c r="F39" i="2"/>
  <c r="G39" i="2"/>
  <c r="D40" i="2"/>
  <c r="E40" i="2"/>
  <c r="F40" i="2"/>
  <c r="G40" i="2"/>
  <c r="D41" i="2"/>
  <c r="E41" i="2"/>
  <c r="F41" i="2"/>
  <c r="G41" i="2"/>
  <c r="D42" i="2"/>
  <c r="E42" i="2"/>
  <c r="F42" i="2"/>
  <c r="G42" i="2"/>
  <c r="D43" i="2"/>
  <c r="E43" i="2"/>
  <c r="F43" i="2"/>
  <c r="G43" i="2"/>
  <c r="D44" i="2"/>
  <c r="E44" i="2"/>
  <c r="F44" i="2"/>
  <c r="G44" i="2"/>
  <c r="D45" i="2"/>
  <c r="E45" i="2"/>
  <c r="F45" i="2"/>
  <c r="G45" i="2"/>
  <c r="D46" i="2"/>
  <c r="E46" i="2"/>
  <c r="F46" i="2"/>
  <c r="G46" i="2"/>
  <c r="D47" i="2"/>
  <c r="E47" i="2"/>
  <c r="F47" i="2"/>
  <c r="G47" i="2"/>
  <c r="D48" i="2"/>
  <c r="E48" i="2"/>
  <c r="F48" i="2"/>
  <c r="G48" i="2"/>
  <c r="D49" i="2"/>
  <c r="E49" i="2"/>
  <c r="F49" i="2"/>
  <c r="G49" i="2"/>
  <c r="D50" i="2"/>
  <c r="E50" i="2"/>
  <c r="F50" i="2"/>
  <c r="G50" i="2"/>
  <c r="G2" i="2"/>
  <c r="F2" i="2"/>
  <c r="D2" i="2"/>
  <c r="E2" i="2"/>
  <c r="M101" i="2" l="1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O14" i="2"/>
  <c r="M14" i="2"/>
  <c r="M13" i="2"/>
  <c r="M12" i="2"/>
  <c r="M3" i="2" l="1"/>
  <c r="M4" i="2"/>
  <c r="M5" i="2"/>
  <c r="M6" i="2"/>
  <c r="M7" i="2"/>
  <c r="M8" i="2"/>
  <c r="M9" i="2"/>
  <c r="M10" i="2"/>
  <c r="M11" i="2"/>
  <c r="M2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P5" i="2" l="1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5" i="2" l="1"/>
  <c r="J15" i="4" s="1"/>
  <c r="O20" i="2"/>
  <c r="I15" i="4" s="1"/>
  <c r="O19" i="2"/>
  <c r="H15" i="4" s="1"/>
  <c r="O24" i="2"/>
  <c r="I17" i="4" s="1"/>
  <c r="O18" i="2"/>
  <c r="G15" i="4" s="1"/>
  <c r="O23" i="2"/>
  <c r="H17" i="4" s="1"/>
  <c r="O22" i="2"/>
  <c r="G17" i="4" s="1"/>
  <c r="O17" i="2"/>
  <c r="F15" i="4" s="1"/>
  <c r="O21" i="2"/>
  <c r="F17" i="4" s="1"/>
</calcChain>
</file>

<file path=xl/sharedStrings.xml><?xml version="1.0" encoding="utf-8"?>
<sst xmlns="http://schemas.openxmlformats.org/spreadsheetml/2006/main" count="456" uniqueCount="209">
  <si>
    <t>Position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</si>
  <si>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</si>
  <si>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</si>
  <si>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</si>
  <si>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</si>
  <si>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</si>
  <si>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</si>
  <si>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</si>
  <si>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</si>
  <si>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</si>
  <si>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</si>
  <si>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</si>
  <si>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</si>
  <si>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</si>
  <si>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</si>
  <si>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</si>
  <si>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</si>
  <si>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</si>
  <si>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</si>
  <si>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</si>
  <si>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</si>
  <si>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</si>
  <si>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</si>
  <si>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</si>
  <si>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</si>
  <si>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</si>
  <si>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</si>
  <si>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</si>
  <si>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</si>
  <si>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</si>
  <si>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James</t>
  </si>
  <si>
    <t>CLE</t>
  </si>
  <si>
    <t>Isaiah</t>
  </si>
  <si>
    <t>Thomas</t>
  </si>
  <si>
    <t>O</t>
  </si>
  <si>
    <t>Knee</t>
  </si>
  <si>
    <t>GTD</t>
  </si>
  <si>
    <t>Hill</t>
  </si>
  <si>
    <t>Patrick</t>
  </si>
  <si>
    <t>Foot</t>
  </si>
  <si>
    <t>Ankle</t>
  </si>
  <si>
    <t>Thumb</t>
  </si>
  <si>
    <t>Grant</t>
  </si>
  <si>
    <t>Illness</t>
  </si>
  <si>
    <t>J.R.</t>
  </si>
  <si>
    <t>Smith</t>
  </si>
  <si>
    <t>Kay</t>
  </si>
  <si>
    <t>Felder</t>
  </si>
  <si>
    <t>Jones</t>
  </si>
  <si>
    <t>Jordan</t>
  </si>
  <si>
    <t>McRae</t>
  </si>
  <si>
    <t>Bobby</t>
  </si>
  <si>
    <t>Payne</t>
  </si>
  <si>
    <t>Injury?</t>
  </si>
  <si>
    <t>C 1</t>
  </si>
  <si>
    <t>SAC</t>
  </si>
  <si>
    <t>LAL</t>
  </si>
  <si>
    <t>MIN</t>
  </si>
  <si>
    <t>CHI</t>
  </si>
  <si>
    <t>Paul</t>
  </si>
  <si>
    <t>Richardson</t>
  </si>
  <si>
    <t>Brandon</t>
  </si>
  <si>
    <t>Lance</t>
  </si>
  <si>
    <t>Kris</t>
  </si>
  <si>
    <t>Jared</t>
  </si>
  <si>
    <t>Patterson</t>
  </si>
  <si>
    <t>Arron</t>
  </si>
  <si>
    <t>Afflalo</t>
  </si>
  <si>
    <t>Metta</t>
  </si>
  <si>
    <t>World Peace</t>
  </si>
  <si>
    <t>Robinson</t>
  </si>
  <si>
    <t>Marcelo</t>
  </si>
  <si>
    <t>Huertas</t>
  </si>
  <si>
    <t>Denzel</t>
  </si>
  <si>
    <t>Valentine</t>
  </si>
  <si>
    <t>Jose</t>
  </si>
  <si>
    <t>Calderon</t>
  </si>
  <si>
    <t>Cristiano</t>
  </si>
  <si>
    <t>Felicio</t>
  </si>
  <si>
    <t>Adreian</t>
  </si>
  <si>
    <t>Terrence</t>
  </si>
  <si>
    <t>Wright</t>
  </si>
  <si>
    <t>CLE@MIN</t>
  </si>
  <si>
    <t>SAC@LAL</t>
  </si>
  <si>
    <t>TOR@CHI</t>
  </si>
  <si>
    <t>TOR</t>
  </si>
  <si>
    <t>18005-9479</t>
  </si>
  <si>
    <t>Luol</t>
  </si>
  <si>
    <t>Deng</t>
  </si>
  <si>
    <t>18005-42156</t>
  </si>
  <si>
    <t>Portis</t>
  </si>
  <si>
    <t>18005-12340</t>
  </si>
  <si>
    <t>18005-24247</t>
  </si>
  <si>
    <t>Fred</t>
  </si>
  <si>
    <t>VanVleet</t>
  </si>
  <si>
    <t>18005-9960</t>
  </si>
  <si>
    <t>Omri</t>
  </si>
  <si>
    <t>Casspi</t>
  </si>
  <si>
    <t>18005-15996</t>
  </si>
  <si>
    <t>Jerian</t>
  </si>
  <si>
    <t>18005-19456</t>
  </si>
  <si>
    <t>Canaan</t>
  </si>
  <si>
    <t>18005-9731</t>
  </si>
  <si>
    <t>Kosta</t>
  </si>
  <si>
    <t>Koufos</t>
  </si>
  <si>
    <t>18005-12424</t>
  </si>
  <si>
    <t>Timofey</t>
  </si>
  <si>
    <t>Mozgov</t>
  </si>
  <si>
    <t>18005-16008</t>
  </si>
  <si>
    <t>Sullinger</t>
  </si>
  <si>
    <t>18005-58378</t>
  </si>
  <si>
    <t>Jakob</t>
  </si>
  <si>
    <t>Poeltl</t>
  </si>
  <si>
    <t>18005-16405</t>
  </si>
  <si>
    <t>Ross</t>
  </si>
  <si>
    <t>18005-9752</t>
  </si>
  <si>
    <t>18005-66203</t>
  </si>
  <si>
    <t>Malachi</t>
  </si>
  <si>
    <t>18005-9506</t>
  </si>
  <si>
    <t>18005-9507</t>
  </si>
  <si>
    <t>18005-70821</t>
  </si>
  <si>
    <t>Georgios</t>
  </si>
  <si>
    <t>Papagiannis</t>
  </si>
  <si>
    <t>18005-70832</t>
  </si>
  <si>
    <t>Zipser</t>
  </si>
  <si>
    <t>18005-43064</t>
  </si>
  <si>
    <t>18005-9785</t>
  </si>
  <si>
    <t>18005-66109</t>
  </si>
  <si>
    <t>Skal</t>
  </si>
  <si>
    <t>Labissiere</t>
  </si>
  <si>
    <t>18005-14529</t>
  </si>
  <si>
    <t>Cory</t>
  </si>
  <si>
    <t>Joseph</t>
  </si>
  <si>
    <t>18005-12354</t>
  </si>
  <si>
    <t>Cole</t>
  </si>
  <si>
    <t>Aldrich</t>
  </si>
  <si>
    <t>18005-9549</t>
  </si>
  <si>
    <t>Rush</t>
  </si>
  <si>
    <t>18005-12369</t>
  </si>
  <si>
    <t>Stephenson</t>
  </si>
  <si>
    <t>18005-66521</t>
  </si>
  <si>
    <t>18005-9568</t>
  </si>
  <si>
    <t>18005-58081</t>
  </si>
  <si>
    <t>Tyus</t>
  </si>
  <si>
    <t>18005-24546</t>
  </si>
  <si>
    <t>18005-16230</t>
  </si>
  <si>
    <t>18005-9712</t>
  </si>
  <si>
    <t>18005-15730</t>
  </si>
  <si>
    <t>18005-60021</t>
  </si>
  <si>
    <t>Pascal</t>
  </si>
  <si>
    <t>Siakam</t>
  </si>
  <si>
    <t>18005-63478</t>
  </si>
  <si>
    <t>18005-15864</t>
  </si>
  <si>
    <t>18005-23802</t>
  </si>
  <si>
    <t>Dunn</t>
  </si>
  <si>
    <t>18005-40830</t>
  </si>
  <si>
    <t>Delon</t>
  </si>
  <si>
    <t>Jimmy Butler</t>
  </si>
  <si>
    <t>Isaiah Thomas</t>
  </si>
  <si>
    <t>BOS</t>
  </si>
  <si>
    <t>John Wall</t>
  </si>
  <si>
    <t>WAS</t>
  </si>
  <si>
    <t>Avery Bradley</t>
  </si>
  <si>
    <t>Paul George</t>
  </si>
  <si>
    <t>IND</t>
  </si>
  <si>
    <t>Myles Turner</t>
  </si>
  <si>
    <t>Jeff Teague</t>
  </si>
  <si>
    <t>Dwyane Wade</t>
  </si>
  <si>
    <t>Marcin Gortat</t>
  </si>
  <si>
    <t>Otto Porter</t>
  </si>
  <si>
    <t>Jae Crowder</t>
  </si>
  <si>
    <t>Kelly Olynyk</t>
  </si>
  <si>
    <t>Al Horford</t>
  </si>
  <si>
    <t>Brad Beal</t>
  </si>
  <si>
    <t>Marcus Smart</t>
  </si>
  <si>
    <t>Markieff Morris</t>
  </si>
  <si>
    <t>Doug McDermott</t>
  </si>
  <si>
    <t>Kevin Seraphin</t>
  </si>
  <si>
    <t>Michael Carter-Williams</t>
  </si>
  <si>
    <t>Monta Ellis</t>
  </si>
  <si>
    <t>Thaddeus Young</t>
  </si>
  <si>
    <t>Robin Lopez</t>
  </si>
  <si>
    <t>Bobby Portis</t>
  </si>
  <si>
    <t>Rajon Rondo</t>
  </si>
  <si>
    <t>Taj Gibson</t>
  </si>
  <si>
    <t>C.J. Miles</t>
  </si>
  <si>
    <t>Glenn Robinson III</t>
  </si>
  <si>
    <t>Nikola Mirotic</t>
  </si>
  <si>
    <t>Terry Rozier</t>
  </si>
  <si>
    <t>Jerian Grant</t>
  </si>
  <si>
    <t>Kelly Oubre</t>
  </si>
  <si>
    <t>Lavoy Allen</t>
  </si>
  <si>
    <t>Amir Johnson</t>
  </si>
  <si>
    <t>Jason Smith</t>
  </si>
  <si>
    <t>Marcus Thornton</t>
  </si>
  <si>
    <t>Trey Burke</t>
  </si>
  <si>
    <t>Al Jefferson</t>
  </si>
  <si>
    <t>James Young</t>
  </si>
  <si>
    <t>Rodney Stuckey</t>
  </si>
  <si>
    <t>Ian Mahinmi</t>
  </si>
  <si>
    <t>Aaron Brooks</t>
  </si>
  <si>
    <t>Gerald Green</t>
  </si>
  <si>
    <t>Jonas Jerebko</t>
  </si>
  <si>
    <t>Tyler Zeller</t>
  </si>
  <si>
    <t>Isaiah Canaan</t>
  </si>
  <si>
    <t>Jordan Mickey</t>
  </si>
  <si>
    <t>Rakeem Christmas</t>
  </si>
  <si>
    <t>Joseph Young</t>
  </si>
  <si>
    <t>Andrew Nicholson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</si>
</sst>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  <xf numFmtId="6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9</xdr:col>
      <xdr:colOff>180975</xdr:colOff>
      <xdr:row>11</xdr:row>
      <xdr:rowOff>142875</xdr:rowOff>
    </xdr:to>
    <xdr:pic>
      <xdr:nvPicPr>
        <xdr:cNvPr id="16" name="Picture 15" descr="Image result for fanduel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abSelected="1" topLeftCell="A6" zoomScale="106" zoomScaleNormal="106" workbookViewId="0">
      <selection activeCell="P20" sqref="P20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10</v>
      </c>
      <c r="C1" t="s">
        <v>11</v>
      </c>
      <c r="D1" t="s">
        <v>6</v>
      </c>
      <c r="E1" t="s">
        <v>7</v>
      </c>
      <c r="F1" t="s">
        <v>8</v>
      </c>
      <c r="G1" t="s">
        <v>9</v>
      </c>
      <c r="H1" t="s">
        <v>1</v>
      </c>
      <c r="I1" t="s">
        <v>5</v>
      </c>
      <c r="J1" t="s">
        <v>3</v>
      </c>
      <c r="K1" t="s">
        <v>2</v>
      </c>
      <c r="L1" t="s">
        <v>4</v>
      </c>
      <c r="M1" t="s">
        <v>53</v>
      </c>
      <c r="N1" t="s">
        <v>0</v>
      </c>
      <c r="O1" t="s">
        <v>12</v>
      </c>
      <c r="P1" t="s">
        <v>13</v>
      </c>
      <c r="T1">
        <v>8</v>
      </c>
    </row>
    <row r="2" spans="1:20" x14ac:dyDescent="0.25">
      <c r="A2" s="1" t="str">
        <f>IF(C2=1,D2,0)</f>
        <v>SF</v>
      </c>
      <c r="B2" s="1" t="str">
        <f>IF(C2=0,0,A2&amp;" "&amp;COUNTIF($A$1:$A2,A2))</f>
        <v>SF 1</v>
      </c>
      <c r="C2" s="1">
        <v>1</v>
      </c>
      <c r="D2" t="str">
        <f>RawData!C1</f>
        <v>SF</v>
      </c>
      <c r="E2" t="str">
        <f>RawData!A1</f>
        <v>Jimmy Butler</v>
      </c>
      <c r="F2">
        <f>RawData!M1</f>
        <v>58.15</v>
      </c>
      <c r="G2" s="35">
        <f>RawData!N1</f>
        <v>9700</v>
      </c>
      <c r="H2">
        <f>IF($D2=H$1,$C2*1,0)</f>
        <v>0</v>
      </c>
      <c r="I2">
        <f t="shared" ref="I2:L2" si="0">IF($D2=I$1,$C2*1,0)</f>
        <v>0</v>
      </c>
      <c r="J2">
        <f t="shared" si="0"/>
        <v>1</v>
      </c>
      <c r="K2">
        <f t="shared" si="0"/>
        <v>0</v>
      </c>
      <c r="L2">
        <f t="shared" si="0"/>
        <v>0</v>
      </c>
      <c r="M2">
        <f>IF(RawData!L2=0,1,0)</f>
        <v>0</v>
      </c>
      <c r="N2" t="s">
        <v>1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 t="str">
        <f t="shared" ref="A3:A65" si="1">IF(C3=1,D3,0)</f>
        <v>PG</v>
      </c>
      <c r="B3" t="str">
        <f>IF(C3=0,0,A3&amp;" "&amp;COUNTIF($A$1:$A3,A3))</f>
        <v>PG 1</v>
      </c>
      <c r="C3" s="1">
        <v>1</v>
      </c>
      <c r="D3" s="2" t="str">
        <f>RawData!C2</f>
        <v>PG</v>
      </c>
      <c r="E3" s="2" t="str">
        <f>RawData!A2</f>
        <v>Isaiah Thomas</v>
      </c>
      <c r="F3" s="2">
        <f>RawData!M2</f>
        <v>56.51</v>
      </c>
      <c r="G3" s="35">
        <f>RawData!N2</f>
        <v>10000</v>
      </c>
      <c r="H3">
        <f t="shared" ref="H3:L66" si="2">IF($D3=H$1,$C3*1,0)</f>
        <v>1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>
        <f>IF(RawData!L3=0,1,0)</f>
        <v>0</v>
      </c>
      <c r="N3" t="s">
        <v>5</v>
      </c>
      <c r="O3">
        <v>2</v>
      </c>
      <c r="P3">
        <f>SUM(I2:I339)</f>
        <v>2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2" t="str">
        <f>RawData!C3</f>
        <v>PG</v>
      </c>
      <c r="E4" s="2" t="str">
        <f>RawData!A3</f>
        <v>John Wall</v>
      </c>
      <c r="F4" s="2">
        <f>RawData!M3</f>
        <v>56.06</v>
      </c>
      <c r="G4" s="35">
        <f>RawData!N3</f>
        <v>10400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>
        <f>IF(RawData!L4=0,1,0)</f>
        <v>0</v>
      </c>
      <c r="N4" t="s">
        <v>3</v>
      </c>
      <c r="O4">
        <v>2</v>
      </c>
      <c r="P4">
        <f>SUM(J2:J339)</f>
        <v>2</v>
      </c>
    </row>
    <row r="5" spans="1:20" x14ac:dyDescent="0.25">
      <c r="A5" t="str">
        <f t="shared" si="1"/>
        <v>SG</v>
      </c>
      <c r="B5" t="str">
        <f>IF(C5=0,0,A5&amp;" "&amp;COUNTIF($A$1:$A5,A5))</f>
        <v>SG 1</v>
      </c>
      <c r="C5" s="1">
        <v>1</v>
      </c>
      <c r="D5" s="2" t="str">
        <f>RawData!C4</f>
        <v>SG</v>
      </c>
      <c r="E5" s="2" t="str">
        <f>RawData!A4</f>
        <v>Avery Bradley</v>
      </c>
      <c r="F5" s="2">
        <f>RawData!M4</f>
        <v>53.5</v>
      </c>
      <c r="G5" s="35">
        <f>RawData!N4</f>
        <v>6500</v>
      </c>
      <c r="H5">
        <f t="shared" si="2"/>
        <v>0</v>
      </c>
      <c r="I5">
        <f t="shared" si="2"/>
        <v>1</v>
      </c>
      <c r="J5">
        <f t="shared" si="2"/>
        <v>0</v>
      </c>
      <c r="K5">
        <f t="shared" si="2"/>
        <v>0</v>
      </c>
      <c r="L5">
        <f t="shared" si="2"/>
        <v>0</v>
      </c>
      <c r="M5" s="2">
        <f>IF(RawData!L5=0,1,0)</f>
        <v>0</v>
      </c>
      <c r="N5" t="s">
        <v>2</v>
      </c>
      <c r="O5">
        <v>2</v>
      </c>
      <c r="P5">
        <f>SUM(K2:K339)</f>
        <v>2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2" t="str">
        <f>RawData!C5</f>
        <v>SF</v>
      </c>
      <c r="E6" s="2" t="str">
        <f>RawData!A5</f>
        <v>Paul George</v>
      </c>
      <c r="F6" s="2">
        <f>RawData!M5</f>
        <v>52.86</v>
      </c>
      <c r="G6" s="35">
        <f>RawData!N5</f>
        <v>8600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>
        <f>IF(RawData!L6=0,1,0)</f>
        <v>0</v>
      </c>
      <c r="N6" t="s">
        <v>4</v>
      </c>
      <c r="O6">
        <v>1</v>
      </c>
      <c r="P6">
        <f>SUM(L2:L339)</f>
        <v>1</v>
      </c>
    </row>
    <row r="7" spans="1:20" x14ac:dyDescent="0.25">
      <c r="A7" t="str">
        <f t="shared" si="1"/>
        <v>C</v>
      </c>
      <c r="B7" t="str">
        <f>IF(C7=0,0,A7&amp;" "&amp;COUNTIF($A$1:$A7,A7))</f>
        <v>C 1</v>
      </c>
      <c r="C7" s="1">
        <v>1</v>
      </c>
      <c r="D7" s="2" t="str">
        <f>RawData!C6</f>
        <v>C</v>
      </c>
      <c r="E7" s="2" t="str">
        <f>RawData!A6</f>
        <v>Myles Turner</v>
      </c>
      <c r="F7" s="2">
        <f>RawData!M6</f>
        <v>51.3</v>
      </c>
      <c r="G7" s="35">
        <f>RawData!N6</f>
        <v>6500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1</v>
      </c>
      <c r="M7" s="2">
        <f>IF(RawData!L7=0,1,0)</f>
        <v>0</v>
      </c>
    </row>
    <row r="8" spans="1:20" x14ac:dyDescent="0.25">
      <c r="A8" t="str">
        <f t="shared" si="1"/>
        <v>PG</v>
      </c>
      <c r="B8" t="str">
        <f>IF(C8=0,0,A8&amp;" "&amp;COUNTIF($A$1:$A8,A8))</f>
        <v>PG 2</v>
      </c>
      <c r="C8" s="1">
        <v>1</v>
      </c>
      <c r="D8" s="2" t="str">
        <f>RawData!C7</f>
        <v>PG</v>
      </c>
      <c r="E8" s="2" t="str">
        <f>RawData!A7</f>
        <v>Jeff Teague</v>
      </c>
      <c r="F8" s="2">
        <f>RawData!M7</f>
        <v>47.65</v>
      </c>
      <c r="G8" s="35">
        <f>RawData!N7</f>
        <v>7200</v>
      </c>
      <c r="H8">
        <f t="shared" si="2"/>
        <v>1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>
        <f>IF(RawData!L8=0,1,0)</f>
        <v>0</v>
      </c>
      <c r="N8" t="s">
        <v>14</v>
      </c>
      <c r="O8">
        <f>SUMPRODUCT(C2:C239,G2:G239)</f>
        <v>60000</v>
      </c>
    </row>
    <row r="9" spans="1:20" x14ac:dyDescent="0.25">
      <c r="A9" t="str">
        <f t="shared" si="1"/>
        <v>SG</v>
      </c>
      <c r="B9" t="str">
        <f>IF(C9=0,0,A9&amp;" "&amp;COUNTIF($A$1:$A9,A9))</f>
        <v>SG 2</v>
      </c>
      <c r="C9" s="1">
        <v>1</v>
      </c>
      <c r="D9" s="2" t="str">
        <f>RawData!C8</f>
        <v>SG</v>
      </c>
      <c r="E9" s="2" t="str">
        <f>RawData!A8</f>
        <v>Dwyane Wade</v>
      </c>
      <c r="F9" s="2">
        <f>RawData!M8</f>
        <v>47.36</v>
      </c>
      <c r="G9" s="35">
        <f>RawData!N8</f>
        <v>7900</v>
      </c>
      <c r="H9">
        <f t="shared" si="2"/>
        <v>0</v>
      </c>
      <c r="I9">
        <f t="shared" si="2"/>
        <v>1</v>
      </c>
      <c r="J9">
        <f t="shared" si="2"/>
        <v>0</v>
      </c>
      <c r="K9">
        <f t="shared" si="2"/>
        <v>0</v>
      </c>
      <c r="L9">
        <f t="shared" si="2"/>
        <v>0</v>
      </c>
      <c r="M9" s="2">
        <f>IF(RawData!L9=0,1,0)</f>
        <v>0</v>
      </c>
      <c r="N9" t="s">
        <v>15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2" t="str">
        <f>RawData!C9</f>
        <v>C</v>
      </c>
      <c r="E10" s="2" t="str">
        <f>RawData!A9</f>
        <v>Marcin Gortat</v>
      </c>
      <c r="F10" s="2">
        <f>RawData!M9</f>
        <v>41.63</v>
      </c>
      <c r="G10" s="35">
        <f>RawData!N9</f>
        <v>7300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>
        <f>IF(RawData!L10=0,1,0)</f>
        <v>0</v>
      </c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2" t="str">
        <f>RawData!C10</f>
        <v>SF</v>
      </c>
      <c r="E11" s="2" t="str">
        <f>RawData!A10</f>
        <v>Otto Porter</v>
      </c>
      <c r="F11" s="2">
        <f>RawData!M10</f>
        <v>41.01</v>
      </c>
      <c r="G11" s="35">
        <f>RawData!N10</f>
        <v>6600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>
        <f>IF(RawData!L11=0,1,0)</f>
        <v>0</v>
      </c>
      <c r="N11" t="s">
        <v>16</v>
      </c>
      <c r="O11">
        <f>SUMPRODUCT(C2:C339,F2:F339)</f>
        <v>419.84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2" t="str">
        <f>RawData!C11</f>
        <v>SF</v>
      </c>
      <c r="E12" s="2" t="str">
        <f>RawData!A11</f>
        <v>Jae Crowder</v>
      </c>
      <c r="F12" s="2">
        <f>RawData!M11</f>
        <v>40.520000000000003</v>
      </c>
      <c r="G12" s="35">
        <f>RawData!N11</f>
        <v>6100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>
        <f>IF(RawData!L12=0,1,0)</f>
        <v>0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2" t="str">
        <f>RawData!C12</f>
        <v>C</v>
      </c>
      <c r="E13" s="2" t="str">
        <f>RawData!A12</f>
        <v>Kelly Olynyk</v>
      </c>
      <c r="F13" s="2">
        <f>RawData!M12</f>
        <v>40.51</v>
      </c>
      <c r="G13" s="35">
        <f>RawData!N12</f>
        <v>4600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>
        <f>IF(RawData!L13=0,1,0)</f>
        <v>0</v>
      </c>
      <c r="N13" t="s">
        <v>17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2" t="str">
        <f>RawData!C13</f>
        <v>C</v>
      </c>
      <c r="E14" s="2" t="str">
        <f>RawData!A13</f>
        <v>Al Horford</v>
      </c>
      <c r="F14" s="2">
        <f>RawData!M13</f>
        <v>40.450000000000003</v>
      </c>
      <c r="G14" s="35">
        <f>RawData!N13</f>
        <v>7000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>
        <f>IF(RawData!L14=0,1,0)</f>
        <v>0</v>
      </c>
      <c r="N14" t="s">
        <v>18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2" t="str">
        <f>RawData!C14</f>
        <v>SG</v>
      </c>
      <c r="E15" s="2" t="str">
        <f>RawData!A14</f>
        <v>Brad Beal</v>
      </c>
      <c r="F15" s="2">
        <f>RawData!M14</f>
        <v>39.979999999999997</v>
      </c>
      <c r="G15" s="35">
        <f>RawData!N14</f>
        <v>7600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>
        <f>IF(RawData!L15=0,1,0)</f>
        <v>0</v>
      </c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2" t="str">
        <f>RawData!C15</f>
        <v>SG</v>
      </c>
      <c r="E16" s="2" t="str">
        <f>RawData!A15</f>
        <v>Marcus Smart</v>
      </c>
      <c r="F16" s="2">
        <f>RawData!M15</f>
        <v>39.65</v>
      </c>
      <c r="G16" s="35">
        <f>RawData!N15</f>
        <v>5800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>
        <f>IF(RawData!L16=0,1,0)</f>
        <v>0</v>
      </c>
      <c r="N16" t="s">
        <v>20</v>
      </c>
    </row>
    <row r="17" spans="1:16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2" t="str">
        <f>RawData!C16</f>
        <v>PF</v>
      </c>
      <c r="E17" s="2" t="str">
        <f>RawData!A16</f>
        <v>Markieff Morris</v>
      </c>
      <c r="F17" s="2">
        <f>RawData!M16</f>
        <v>39.619999999999997</v>
      </c>
      <c r="G17" s="35">
        <f>RawData!N16</f>
        <v>7400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>
        <f>IF(RawData!L17=0,1,0)</f>
        <v>0</v>
      </c>
      <c r="N17" t="s">
        <v>22</v>
      </c>
      <c r="O17" t="str">
        <f>VLOOKUP(N17,B2:F101,4,FALSE)</f>
        <v>Isaiah Thomas</v>
      </c>
    </row>
    <row r="18" spans="1:16" x14ac:dyDescent="0.25">
      <c r="A18" t="str">
        <f t="shared" si="1"/>
        <v>SF</v>
      </c>
      <c r="B18" t="str">
        <f>IF(C18=0,0,A18&amp;" "&amp;COUNTIF($A$1:$A18,A18))</f>
        <v>SF 2</v>
      </c>
      <c r="C18" s="1">
        <v>1</v>
      </c>
      <c r="D18" s="2" t="str">
        <f>RawData!C17</f>
        <v>SF</v>
      </c>
      <c r="E18" s="2" t="str">
        <f>RawData!A17</f>
        <v>Doug McDermott</v>
      </c>
      <c r="F18" s="2">
        <f>RawData!M17</f>
        <v>38.56</v>
      </c>
      <c r="G18" s="35">
        <f>RawData!N17</f>
        <v>4400</v>
      </c>
      <c r="H18">
        <f t="shared" si="2"/>
        <v>0</v>
      </c>
      <c r="I18">
        <f t="shared" si="2"/>
        <v>0</v>
      </c>
      <c r="J18">
        <f t="shared" si="2"/>
        <v>1</v>
      </c>
      <c r="K18">
        <f t="shared" si="2"/>
        <v>0</v>
      </c>
      <c r="L18">
        <f t="shared" si="2"/>
        <v>0</v>
      </c>
      <c r="M18" s="2">
        <f>IF(RawData!L18=0,1,0)</f>
        <v>0</v>
      </c>
      <c r="N18" t="s">
        <v>23</v>
      </c>
      <c r="O18" s="2" t="str">
        <f>VLOOKUP(N18,B2:F102,4,FALSE)</f>
        <v>Jeff Teague</v>
      </c>
    </row>
    <row r="19" spans="1:16" x14ac:dyDescent="0.25">
      <c r="A19" t="str">
        <f t="shared" si="1"/>
        <v>PF</v>
      </c>
      <c r="B19" t="str">
        <f>IF(C19=0,0,A19&amp;" "&amp;COUNTIF($A$1:$A19,A19))</f>
        <v>PF 1</v>
      </c>
      <c r="C19" s="1">
        <v>1</v>
      </c>
      <c r="D19" s="2" t="str">
        <f>RawData!C18</f>
        <v>PF</v>
      </c>
      <c r="E19" s="2" t="str">
        <f>RawData!A18</f>
        <v>Kevin Seraphin</v>
      </c>
      <c r="F19" s="2">
        <f>RawData!M18</f>
        <v>35.49</v>
      </c>
      <c r="G19" s="35">
        <f>RawData!N18</f>
        <v>4300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1</v>
      </c>
      <c r="L19">
        <f t="shared" si="2"/>
        <v>0</v>
      </c>
      <c r="M19" s="2">
        <f>IF(RawData!L19=0,1,0)</f>
        <v>0</v>
      </c>
      <c r="N19" t="s">
        <v>24</v>
      </c>
      <c r="O19" s="2" t="str">
        <f>VLOOKUP(N19,B2:F103,4,FALSE)</f>
        <v>Avery Bradley</v>
      </c>
    </row>
    <row r="20" spans="1:16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2" t="str">
        <f>RawData!C19</f>
        <v>SG</v>
      </c>
      <c r="E20" s="2" t="str">
        <f>RawData!A19</f>
        <v>Michael Carter-Williams</v>
      </c>
      <c r="F20" s="2">
        <f>RawData!M19</f>
        <v>34.479999999999997</v>
      </c>
      <c r="G20" s="35">
        <f>RawData!N19</f>
        <v>4900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>
        <f>IF(RawData!L20=0,1,0)</f>
        <v>0</v>
      </c>
      <c r="N20" t="s">
        <v>25</v>
      </c>
      <c r="O20" s="2" t="str">
        <f>VLOOKUP(N20,B2:F104,4,FALSE)</f>
        <v>Dwyane Wade</v>
      </c>
    </row>
    <row r="21" spans="1:16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2" t="str">
        <f>RawData!C20</f>
        <v>SG</v>
      </c>
      <c r="E21" s="2" t="str">
        <f>RawData!A20</f>
        <v>Monta Ellis</v>
      </c>
      <c r="F21" s="2">
        <f>RawData!M20</f>
        <v>32.049999999999997</v>
      </c>
      <c r="G21" s="35">
        <f>RawData!N20</f>
        <v>4200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>
        <f>IF(RawData!L21=0,1,0)</f>
        <v>0</v>
      </c>
      <c r="N21" t="s">
        <v>26</v>
      </c>
      <c r="O21" s="2" t="str">
        <f>VLOOKUP(N21,B2:F105,4,FALSE)</f>
        <v>Jimmy Butler</v>
      </c>
      <c r="P21">
        <v>45.3</v>
      </c>
    </row>
    <row r="22" spans="1:16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2" t="str">
        <f>RawData!C21</f>
        <v>PF</v>
      </c>
      <c r="E22" s="2" t="str">
        <f>RawData!A21</f>
        <v>Thaddeus Young</v>
      </c>
      <c r="F22" s="2">
        <f>RawData!M21</f>
        <v>31.94</v>
      </c>
      <c r="G22" s="35">
        <f>RawData!N21</f>
        <v>5700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>
        <f>IF(RawData!L22=0,1,0)</f>
        <v>0</v>
      </c>
      <c r="N22" t="s">
        <v>27</v>
      </c>
      <c r="O22" s="2" t="str">
        <f>VLOOKUP(N22,B2:F106,4,FALSE)</f>
        <v>Doug McDermott</v>
      </c>
      <c r="P22">
        <v>15.4</v>
      </c>
    </row>
    <row r="23" spans="1:16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2" t="str">
        <f>RawData!C22</f>
        <v>C</v>
      </c>
      <c r="E23" s="2" t="str">
        <f>RawData!A22</f>
        <v>Robin Lopez</v>
      </c>
      <c r="F23" s="2">
        <f>RawData!M22</f>
        <v>31.39</v>
      </c>
      <c r="G23" s="35">
        <f>RawData!N22</f>
        <v>4700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>
        <f>IF(RawData!L23=0,1,0)</f>
        <v>0</v>
      </c>
      <c r="N23" t="s">
        <v>28</v>
      </c>
      <c r="O23" s="2" t="str">
        <f>VLOOKUP(N23,B2:F107,4,FALSE)</f>
        <v>Kevin Seraphin</v>
      </c>
      <c r="P23">
        <v>14.5</v>
      </c>
    </row>
    <row r="24" spans="1:16" x14ac:dyDescent="0.25">
      <c r="A24" t="str">
        <f t="shared" si="1"/>
        <v>PF</v>
      </c>
      <c r="B24" t="str">
        <f>IF(C24=0,0,A24&amp;" "&amp;COUNTIF($A$1:$A24,A24))</f>
        <v>PF 2</v>
      </c>
      <c r="C24" s="1">
        <v>1</v>
      </c>
      <c r="D24" s="2" t="str">
        <f>RawData!C23</f>
        <v>PF</v>
      </c>
      <c r="E24" s="2" t="str">
        <f>RawData!A23</f>
        <v>Bobby Portis</v>
      </c>
      <c r="F24" s="2">
        <f>RawData!M23</f>
        <v>31.32</v>
      </c>
      <c r="G24" s="35">
        <f>RawData!N23</f>
        <v>3500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1</v>
      </c>
      <c r="L24">
        <f t="shared" si="2"/>
        <v>0</v>
      </c>
      <c r="M24" s="2">
        <f>IF(RawData!L24=0,1,0)</f>
        <v>0</v>
      </c>
      <c r="N24" t="s">
        <v>29</v>
      </c>
      <c r="O24" s="2" t="str">
        <f>VLOOKUP(N24,B2:F108,4,FALSE)</f>
        <v>Bobby Portis</v>
      </c>
      <c r="P24">
        <v>28.6</v>
      </c>
    </row>
    <row r="25" spans="1:16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2" t="str">
        <f>RawData!C24</f>
        <v>PG</v>
      </c>
      <c r="E25" s="2" t="str">
        <f>RawData!A24</f>
        <v>Rajon Rondo</v>
      </c>
      <c r="F25" s="2">
        <f>RawData!M24</f>
        <v>29.63</v>
      </c>
      <c r="G25" s="35">
        <f>RawData!N24</f>
        <v>4700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>
        <f>IF(RawData!L25=0,1,0)</f>
        <v>0</v>
      </c>
      <c r="N25" t="s">
        <v>54</v>
      </c>
      <c r="O25" s="2" t="str">
        <f>VLOOKUP(N25,B3:F109,4,FALSE)</f>
        <v>Myles Turner</v>
      </c>
      <c r="P25">
        <v>33.299999999999997</v>
      </c>
    </row>
    <row r="26" spans="1:16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2" t="str">
        <f>RawData!C25</f>
        <v>PF</v>
      </c>
      <c r="E26" s="2" t="str">
        <f>RawData!A25</f>
        <v>Taj Gibson</v>
      </c>
      <c r="F26" s="2">
        <f>RawData!M25</f>
        <v>29.62</v>
      </c>
      <c r="G26" s="35">
        <f>RawData!N25</f>
        <v>4600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>
        <f>IF(RawData!L26=0,1,0)</f>
        <v>0</v>
      </c>
    </row>
    <row r="27" spans="1:16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2" t="str">
        <f>RawData!C26</f>
        <v>SF</v>
      </c>
      <c r="E27" s="2" t="str">
        <f>RawData!A26</f>
        <v>C.J. Miles</v>
      </c>
      <c r="F27" s="2">
        <f>RawData!M26</f>
        <v>29.43</v>
      </c>
      <c r="G27" s="35">
        <f>RawData!N26</f>
        <v>3900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>
        <f>IF(RawData!L27=0,1,0)</f>
        <v>0</v>
      </c>
    </row>
    <row r="28" spans="1:16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2" t="str">
        <f>RawData!C27</f>
        <v>SF</v>
      </c>
      <c r="E28" s="2" t="str">
        <f>RawData!A27</f>
        <v>Glenn Robinson III</v>
      </c>
      <c r="F28" s="2">
        <f>RawData!M27</f>
        <v>29.02</v>
      </c>
      <c r="G28" s="35">
        <f>RawData!N27</f>
        <v>3500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>
        <f>IF(RawData!L28=0,1,0)</f>
        <v>0</v>
      </c>
    </row>
    <row r="29" spans="1:16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2" t="str">
        <f>RawData!C28</f>
        <v>PF</v>
      </c>
      <c r="E29" s="2" t="str">
        <f>RawData!A28</f>
        <v>Nikola Mirotic</v>
      </c>
      <c r="F29" s="2">
        <f>RawData!M28</f>
        <v>28.53</v>
      </c>
      <c r="G29" s="35">
        <f>RawData!N28</f>
        <v>3700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>
        <f>IF(RawData!L29=0,1,0)</f>
        <v>0</v>
      </c>
    </row>
    <row r="30" spans="1:16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2" t="str">
        <f>RawData!C29</f>
        <v>PG</v>
      </c>
      <c r="E30" s="2" t="str">
        <f>RawData!A29</f>
        <v>Terry Rozier</v>
      </c>
      <c r="F30" s="2">
        <f>RawData!M29</f>
        <v>27.89</v>
      </c>
      <c r="G30" s="35">
        <f>RawData!N29</f>
        <v>3500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>
        <f>IF(RawData!L30=0,1,0)</f>
        <v>0</v>
      </c>
    </row>
    <row r="31" spans="1:16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2" t="str">
        <f>RawData!C30</f>
        <v>PG</v>
      </c>
      <c r="E31" s="2" t="str">
        <f>RawData!A30</f>
        <v>Jerian Grant</v>
      </c>
      <c r="F31" s="2">
        <f>RawData!M30</f>
        <v>25.3</v>
      </c>
      <c r="G31" s="35">
        <f>RawData!N30</f>
        <v>3500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>
        <f>IF(RawData!L31=0,1,0)</f>
        <v>0</v>
      </c>
    </row>
    <row r="32" spans="1:16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2" t="str">
        <f>RawData!C31</f>
        <v>SF</v>
      </c>
      <c r="E32" s="2" t="str">
        <f>RawData!A31</f>
        <v>Kelly Oubre</v>
      </c>
      <c r="F32" s="2">
        <f>RawData!M31</f>
        <v>23.82</v>
      </c>
      <c r="G32" s="35">
        <f>RawData!N31</f>
        <v>3500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>
        <f>IF(RawData!L32=0,1,0)</f>
        <v>0</v>
      </c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2" t="str">
        <f>RawData!C32</f>
        <v>PF</v>
      </c>
      <c r="E33" s="2" t="str">
        <f>RawData!A32</f>
        <v>Lavoy Allen</v>
      </c>
      <c r="F33" s="2">
        <f>RawData!M32</f>
        <v>23.49</v>
      </c>
      <c r="G33" s="35">
        <f>RawData!N32</f>
        <v>4100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>
        <f>IF(RawData!L33=0,1,0)</f>
        <v>0</v>
      </c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2" t="str">
        <f>RawData!C33</f>
        <v>PF</v>
      </c>
      <c r="E34" s="2" t="str">
        <f>RawData!A33</f>
        <v>Amir Johnson</v>
      </c>
      <c r="F34" s="2">
        <f>RawData!M33</f>
        <v>22.89</v>
      </c>
      <c r="G34" s="35">
        <f>RawData!N33</f>
        <v>3700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>
        <f>IF(RawData!L34=0,1,0)</f>
        <v>0</v>
      </c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2" t="str">
        <f>RawData!C34</f>
        <v>PF</v>
      </c>
      <c r="E35" s="2" t="str">
        <f>RawData!A34</f>
        <v>Jason Smith</v>
      </c>
      <c r="F35" s="2">
        <f>RawData!M34</f>
        <v>22.25</v>
      </c>
      <c r="G35" s="35">
        <f>RawData!N34</f>
        <v>3600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>
        <f>IF(RawData!L35=0,1,0)</f>
        <v>0</v>
      </c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2" t="str">
        <f>RawData!C35</f>
        <v>SG</v>
      </c>
      <c r="E36" s="2" t="str">
        <f>RawData!A35</f>
        <v>Marcus Thornton</v>
      </c>
      <c r="F36" s="2">
        <f>RawData!M35</f>
        <v>21.2</v>
      </c>
      <c r="G36" s="35">
        <f>RawData!N35</f>
        <v>3500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>
        <f>IF(RawData!L36=0,1,0)</f>
        <v>0</v>
      </c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2" t="str">
        <f>RawData!C36</f>
        <v>PG</v>
      </c>
      <c r="E37" s="2" t="str">
        <f>RawData!A36</f>
        <v>Trey Burke</v>
      </c>
      <c r="F37" s="2">
        <f>RawData!M36</f>
        <v>19.21</v>
      </c>
      <c r="G37" s="35">
        <f>RawData!N36</f>
        <v>3500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>
        <f>IF(RawData!L37=0,1,0)</f>
        <v>0</v>
      </c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2" t="str">
        <f>RawData!C37</f>
        <v>C</v>
      </c>
      <c r="E38" s="2" t="str">
        <f>RawData!A37</f>
        <v>Al Jefferson</v>
      </c>
      <c r="F38" s="2">
        <f>RawData!M37</f>
        <v>19.09</v>
      </c>
      <c r="G38" s="35">
        <f>RawData!N37</f>
        <v>3500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>
        <f>IF(RawData!L38=0,1,0)</f>
        <v>0</v>
      </c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2" t="str">
        <f>RawData!C38</f>
        <v>SF</v>
      </c>
      <c r="E39" s="2" t="str">
        <f>RawData!A38</f>
        <v>James Young</v>
      </c>
      <c r="F39" s="2">
        <f>RawData!M38</f>
        <v>18.55</v>
      </c>
      <c r="G39" s="35">
        <f>RawData!N38</f>
        <v>3500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>
        <f>IF(RawData!L39=0,1,0)</f>
        <v>0</v>
      </c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2" t="str">
        <f>RawData!C39</f>
        <v>SG</v>
      </c>
      <c r="E40" s="2" t="str">
        <f>RawData!A39</f>
        <v>Rodney Stuckey</v>
      </c>
      <c r="F40" s="2">
        <f>RawData!M39</f>
        <v>18.309999999999999</v>
      </c>
      <c r="G40" s="35">
        <f>RawData!N39</f>
        <v>3600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>
        <f>IF(RawData!L40=0,1,0)</f>
        <v>0</v>
      </c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2" t="str">
        <f>RawData!C40</f>
        <v>C</v>
      </c>
      <c r="E41" s="2" t="str">
        <f>RawData!A40</f>
        <v>Ian Mahinmi</v>
      </c>
      <c r="F41" s="2">
        <f>RawData!M40</f>
        <v>16.510000000000002</v>
      </c>
      <c r="G41" s="35">
        <f>RawData!N40</f>
        <v>3500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>
        <f>IF(RawData!L41=0,1,0)</f>
        <v>0</v>
      </c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2" t="str">
        <f>RawData!C41</f>
        <v>PG</v>
      </c>
      <c r="E42" s="2" t="str">
        <f>RawData!A41</f>
        <v>Aaron Brooks</v>
      </c>
      <c r="F42" s="2">
        <f>RawData!M41</f>
        <v>15.45</v>
      </c>
      <c r="G42" s="35">
        <f>RawData!N41</f>
        <v>3500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>
        <f>IF(RawData!L42=0,1,0)</f>
        <v>0</v>
      </c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2" t="str">
        <f>RawData!C42</f>
        <v>SG</v>
      </c>
      <c r="E43" s="2" t="str">
        <f>RawData!A42</f>
        <v>Gerald Green</v>
      </c>
      <c r="F43" s="2">
        <f>RawData!M42</f>
        <v>15.02</v>
      </c>
      <c r="G43" s="35">
        <f>RawData!N42</f>
        <v>3500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>
        <f>IF(RawData!L43=0,1,0)</f>
        <v>0</v>
      </c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2" t="str">
        <f>RawData!C43</f>
        <v>PF</v>
      </c>
      <c r="E44" s="2" t="str">
        <f>RawData!A43</f>
        <v>Jonas Jerebko</v>
      </c>
      <c r="F44" s="2">
        <f>RawData!M43</f>
        <v>12.67</v>
      </c>
      <c r="G44" s="35">
        <f>RawData!N43</f>
        <v>3500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>
        <f>IF(RawData!L44=0,1,0)</f>
        <v>0</v>
      </c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2" t="str">
        <f>RawData!C44</f>
        <v>C</v>
      </c>
      <c r="E45" s="2" t="str">
        <f>RawData!A44</f>
        <v>Tyler Zeller</v>
      </c>
      <c r="F45" s="2">
        <f>RawData!M44</f>
        <v>11.35</v>
      </c>
      <c r="G45" s="35">
        <f>RawData!N44</f>
        <v>3500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>
        <f>IF(RawData!L45=0,1,0)</f>
        <v>0</v>
      </c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2" t="str">
        <f>RawData!C45</f>
        <v>PG</v>
      </c>
      <c r="E46" s="2" t="str">
        <f>RawData!A45</f>
        <v>Isaiah Canaan</v>
      </c>
      <c r="F46" s="2">
        <f>RawData!M45</f>
        <v>8.8800000000000008</v>
      </c>
      <c r="G46" s="35">
        <f>RawData!N45</f>
        <v>3500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>
        <f>IF(RawData!L46=0,1,0)</f>
        <v>0</v>
      </c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2" t="str">
        <f>RawData!C46</f>
        <v>PF</v>
      </c>
      <c r="E47" s="2" t="str">
        <f>RawData!A46</f>
        <v>Jordan Mickey</v>
      </c>
      <c r="F47" s="2">
        <f>RawData!M46</f>
        <v>6.38</v>
      </c>
      <c r="G47" s="35">
        <f>RawData!N46</f>
        <v>3500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>
        <f>IF(RawData!L47=0,1,0)</f>
        <v>0</v>
      </c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2" t="str">
        <f>RawData!C47</f>
        <v>C</v>
      </c>
      <c r="E48" s="2" t="str">
        <f>RawData!A47</f>
        <v>Rakeem Christmas</v>
      </c>
      <c r="F48" s="2">
        <f>RawData!M47</f>
        <v>6.02</v>
      </c>
      <c r="G48" s="35">
        <f>RawData!N47</f>
        <v>3500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>
        <f>IF(RawData!L48=0,1,0)</f>
        <v>0</v>
      </c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2" t="str">
        <f>RawData!C48</f>
        <v>SG</v>
      </c>
      <c r="E49" s="2" t="str">
        <f>RawData!A48</f>
        <v>Joseph Young</v>
      </c>
      <c r="F49" s="2">
        <f>RawData!M48</f>
        <v>4.8899999999999997</v>
      </c>
      <c r="G49" s="35">
        <f>RawData!N48</f>
        <v>3500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>
        <f>IF(RawData!L49=0,1,0)</f>
        <v>0</v>
      </c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2" t="str">
        <f>RawData!C49</f>
        <v>PF</v>
      </c>
      <c r="E50" s="2" t="str">
        <f>RawData!A49</f>
        <v>Andrew Nicholson</v>
      </c>
      <c r="F50" s="2">
        <f>RawData!M49</f>
        <v>4.22</v>
      </c>
      <c r="G50" s="35">
        <f>RawData!N49</f>
        <v>3500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>
        <f>IF(RawData!L50=0,1,0)</f>
        <v>1</v>
      </c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2"/>
      <c r="E51" s="2"/>
      <c r="F51" s="2"/>
      <c r="G51" s="35"/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>
        <f>IF(RawData!L51=0,1,0)</f>
        <v>1</v>
      </c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2"/>
      <c r="E52" s="2"/>
      <c r="F52" s="2"/>
      <c r="G52" s="35"/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>
        <f>IF(RawData!L52=0,1,0)</f>
        <v>0</v>
      </c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2"/>
      <c r="E53" s="2"/>
      <c r="F53" s="2"/>
      <c r="G53" s="35"/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>
        <f>IF(RawData!L53=0,1,0)</f>
        <v>1</v>
      </c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2"/>
      <c r="E54" s="2"/>
      <c r="F54" s="2"/>
      <c r="G54" s="35"/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>
        <f>IF(RawData!L54=0,1,0)</f>
        <v>0</v>
      </c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2"/>
      <c r="E55" s="2"/>
      <c r="F55" s="2"/>
      <c r="G55" s="35"/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>
        <f>IF(RawData!L55=0,1,0)</f>
        <v>1</v>
      </c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2"/>
      <c r="E56" s="2"/>
      <c r="F56" s="2"/>
      <c r="G56" s="35"/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>
        <f>IF(RawData!L56=0,1,0)</f>
        <v>1</v>
      </c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2"/>
      <c r="E57" s="2"/>
      <c r="F57" s="2"/>
      <c r="G57" s="35"/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>
        <f>IF(RawData!L57=0,1,0)</f>
        <v>1</v>
      </c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2"/>
      <c r="E58" s="2"/>
      <c r="F58" s="2"/>
      <c r="G58" s="35"/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>
        <f>IF(RawData!L58=0,1,0)</f>
        <v>1</v>
      </c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2"/>
      <c r="E59" s="2"/>
      <c r="F59" s="2"/>
      <c r="G59" s="35"/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>
        <f>IF(RawData!L59=0,1,0)</f>
        <v>1</v>
      </c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2"/>
      <c r="E60" s="2"/>
      <c r="F60" s="2"/>
      <c r="G60" s="35"/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>
        <f>IF(RawData!L60=0,1,0)</f>
        <v>1</v>
      </c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2"/>
      <c r="E61" s="2"/>
      <c r="F61" s="2"/>
      <c r="G61" s="35"/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>
        <f>IF(RawData!L61=0,1,0)</f>
        <v>1</v>
      </c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2"/>
      <c r="E62" s="2"/>
      <c r="F62" s="2"/>
      <c r="G62" s="35"/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>
        <f>IF(RawData!L62=0,1,0)</f>
        <v>1</v>
      </c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2"/>
      <c r="E63" s="2"/>
      <c r="F63" s="2"/>
      <c r="G63" s="35"/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>
        <f>IF(RawData!L63=0,1,0)</f>
        <v>1</v>
      </c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2"/>
      <c r="E64" s="2"/>
      <c r="F64" s="2"/>
      <c r="G64" s="35"/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>
        <f>IF(RawData!L64=0,1,0)</f>
        <v>0</v>
      </c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2"/>
      <c r="E65" s="2"/>
      <c r="F65" s="2"/>
      <c r="G65" s="35"/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>
        <f>IF(RawData!L65=0,1,0)</f>
        <v>1</v>
      </c>
    </row>
    <row r="66" spans="1:13" x14ac:dyDescent="0.25">
      <c r="A66">
        <f t="shared" ref="A66:A101" si="5">IF(C66=1,D66,0)</f>
        <v>0</v>
      </c>
      <c r="B66">
        <f>IF(C66=0,0,A66&amp;" "&amp;COUNTIF($A$1:$A66,A66))</f>
        <v>0</v>
      </c>
      <c r="C66" s="1">
        <v>0</v>
      </c>
      <c r="D66" s="2"/>
      <c r="E66" s="2"/>
      <c r="F66" s="2"/>
      <c r="G66" s="35"/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>
        <f>IF(RawData!L66=0,1,0)</f>
        <v>1</v>
      </c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2"/>
      <c r="E67" s="2"/>
      <c r="F67" s="2"/>
      <c r="G67" s="35"/>
      <c r="H67">
        <f t="shared" ref="H67:L101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>
        <f>IF(RawData!L67=0,1,0)</f>
        <v>0</v>
      </c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2"/>
      <c r="E68" s="2"/>
      <c r="F68" s="2"/>
      <c r="G68" s="35"/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>
        <f>IF(RawData!L68=0,1,0)</f>
        <v>1</v>
      </c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2"/>
      <c r="E69" s="2"/>
      <c r="F69" s="2"/>
      <c r="G69" s="35"/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>
        <f>IF(RawData!L69=0,1,0)</f>
        <v>1</v>
      </c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2"/>
      <c r="E70" s="2"/>
      <c r="F70" s="2"/>
      <c r="G70" s="35"/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>
        <f>IF(RawData!L70=0,1,0)</f>
        <v>1</v>
      </c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2"/>
      <c r="E71" s="2"/>
      <c r="F71" s="2"/>
      <c r="G71" s="35"/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>
        <f>IF(RawData!L71=0,1,0)</f>
        <v>1</v>
      </c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2"/>
      <c r="E72" s="2"/>
      <c r="F72" s="2"/>
      <c r="G72" s="35"/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>
        <f>IF(RawData!L72=0,1,0)</f>
        <v>1</v>
      </c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2"/>
      <c r="E73" s="2"/>
      <c r="F73" s="2"/>
      <c r="G73" s="35"/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>
        <f>IF(RawData!L73=0,1,0)</f>
        <v>1</v>
      </c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2"/>
      <c r="E74" s="2"/>
      <c r="F74" s="2"/>
      <c r="G74" s="35"/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>
        <f>IF(RawData!L74=0,1,0)</f>
        <v>1</v>
      </c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2"/>
      <c r="E75" s="2"/>
      <c r="F75" s="2"/>
      <c r="G75" s="35"/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>
        <f>IF(RawData!L75=0,1,0)</f>
        <v>1</v>
      </c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2"/>
      <c r="E76" s="2"/>
      <c r="F76" s="2"/>
      <c r="G76" s="35"/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>
        <f>IF(RawData!L76=0,1,0)</f>
        <v>1</v>
      </c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2"/>
      <c r="E77" s="2"/>
      <c r="F77" s="2"/>
      <c r="G77" s="35"/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>
        <f>IF(RawData!L77=0,1,0)</f>
        <v>1</v>
      </c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2"/>
      <c r="E78" s="2"/>
      <c r="F78" s="2"/>
      <c r="G78" s="35"/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>
        <f>IF(RawData!L78=0,1,0)</f>
        <v>1</v>
      </c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2"/>
      <c r="E79" s="2"/>
      <c r="F79" s="2"/>
      <c r="G79" s="35"/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>
        <f>IF(RawData!L79=0,1,0)</f>
        <v>1</v>
      </c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2"/>
      <c r="E80" s="2"/>
      <c r="F80" s="2"/>
      <c r="G80" s="35"/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>
        <f>IF(RawData!L80=0,1,0)</f>
        <v>1</v>
      </c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2"/>
      <c r="E81" s="2"/>
      <c r="F81" s="2"/>
      <c r="G81" s="35"/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>
        <f>IF(RawData!L81=0,1,0)</f>
        <v>1</v>
      </c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2"/>
      <c r="E82" s="2"/>
      <c r="F82" s="2"/>
      <c r="G82" s="35"/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>
        <f>IF(RawData!L82=0,1,0)</f>
        <v>1</v>
      </c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2"/>
      <c r="E83" s="2"/>
      <c r="F83" s="2"/>
      <c r="G83" s="35"/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>
        <f>IF(RawData!L83=0,1,0)</f>
        <v>1</v>
      </c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2"/>
      <c r="E84" s="2"/>
      <c r="F84" s="2"/>
      <c r="G84" s="35"/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>
        <f>IF(RawData!L84=0,1,0)</f>
        <v>0</v>
      </c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2"/>
      <c r="E85" s="2"/>
      <c r="F85" s="2"/>
      <c r="G85" s="35"/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>
        <f>IF(RawData!L85=0,1,0)</f>
        <v>1</v>
      </c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2"/>
      <c r="E86" s="2"/>
      <c r="F86" s="2"/>
      <c r="G86" s="35"/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>
        <f>IF(RawData!L86=0,1,0)</f>
        <v>1</v>
      </c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2"/>
      <c r="E87" s="2"/>
      <c r="F87" s="2"/>
      <c r="G87" s="35"/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>
        <f>IF(RawData!L87=0,1,0)</f>
        <v>1</v>
      </c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2"/>
      <c r="E88" s="2"/>
      <c r="F88" s="2"/>
      <c r="G88" s="35"/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>
        <f>IF(RawData!L88=0,1,0)</f>
        <v>1</v>
      </c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2"/>
      <c r="E89" s="2"/>
      <c r="F89" s="2"/>
      <c r="G89" s="35"/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>
        <f>IF(RawData!L89=0,1,0)</f>
        <v>1</v>
      </c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2"/>
      <c r="E90" s="2"/>
      <c r="F90" s="2"/>
      <c r="G90" s="35"/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>
        <f>IF(RawData!L90=0,1,0)</f>
        <v>1</v>
      </c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2"/>
      <c r="E91" s="2"/>
      <c r="F91" s="2"/>
      <c r="G91" s="35"/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>
        <f>IF(RawData!L91=0,1,0)</f>
        <v>1</v>
      </c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2"/>
      <c r="E92" s="2"/>
      <c r="F92" s="2"/>
      <c r="G92" s="35"/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>
        <f>IF(RawData!L92=0,1,0)</f>
        <v>1</v>
      </c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2"/>
      <c r="E93" s="2"/>
      <c r="F93" s="2"/>
      <c r="G93" s="35"/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>
        <f>IF(RawData!L93=0,1,0)</f>
        <v>1</v>
      </c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2"/>
      <c r="E94" s="2"/>
      <c r="F94" s="2"/>
      <c r="G94" s="35"/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>
        <f>IF(RawData!L94=0,1,0)</f>
        <v>1</v>
      </c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2"/>
      <c r="E95" s="2"/>
      <c r="F95" s="2"/>
      <c r="G95" s="35"/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>
        <f>IF(RawData!L95=0,1,0)</f>
        <v>1</v>
      </c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2"/>
      <c r="E96" s="2"/>
      <c r="F96" s="2"/>
      <c r="G96" s="35"/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>
        <f>IF(RawData!L96=0,1,0)</f>
        <v>1</v>
      </c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2"/>
      <c r="E97" s="2"/>
      <c r="F97" s="2"/>
      <c r="G97" s="35"/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>
        <f>IF(RawData!L97=0,1,0)</f>
        <v>1</v>
      </c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2"/>
      <c r="E98" s="2"/>
      <c r="F98" s="2"/>
      <c r="G98" s="35"/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>
        <f>IF(RawData!L98=0,1,0)</f>
        <v>1</v>
      </c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2"/>
      <c r="E99" s="2"/>
      <c r="F99" s="2"/>
      <c r="G99" s="35"/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>
        <f>IF(RawData!L99=0,1,0)</f>
        <v>1</v>
      </c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2"/>
      <c r="E100" s="2"/>
      <c r="F100" s="2"/>
      <c r="G100" s="35"/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>
        <f>IF(RawData!L100=0,1,0)</f>
        <v>1</v>
      </c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2"/>
      <c r="E101" s="2"/>
      <c r="F101" s="2"/>
      <c r="G101" s="35"/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>
        <f>IF(RawData!L101=0,1,0)</f>
        <v>1</v>
      </c>
    </row>
    <row r="102" spans="1:13" x14ac:dyDescent="0.25">
      <c r="C102" s="1">
        <v>0</v>
      </c>
      <c r="E102" s="2"/>
      <c r="M102" s="2"/>
    </row>
    <row r="103" spans="1:13" x14ac:dyDescent="0.25">
      <c r="C103" s="1">
        <v>0</v>
      </c>
      <c r="E103" s="2"/>
      <c r="M103" s="2"/>
    </row>
    <row r="104" spans="1:13" x14ac:dyDescent="0.25">
      <c r="C104" s="1">
        <v>0</v>
      </c>
      <c r="E104" s="2"/>
      <c r="M104" s="2"/>
    </row>
    <row r="105" spans="1:13" x14ac:dyDescent="0.25">
      <c r="C105" s="1">
        <v>0</v>
      </c>
      <c r="E105" s="2"/>
      <c r="M105" s="2"/>
    </row>
    <row r="106" spans="1:13" x14ac:dyDescent="0.25">
      <c r="C106" s="1">
        <v>0</v>
      </c>
      <c r="E106" s="2"/>
      <c r="M106" s="2"/>
    </row>
    <row r="107" spans="1:13" x14ac:dyDescent="0.25">
      <c r="C107" s="1">
        <v>0</v>
      </c>
      <c r="E107" s="2"/>
      <c r="M107" s="2"/>
    </row>
    <row r="108" spans="1:13" x14ac:dyDescent="0.25">
      <c r="C108" s="1">
        <v>0</v>
      </c>
      <c r="E108" s="2"/>
      <c r="M108" s="2"/>
    </row>
    <row r="109" spans="1:13" x14ac:dyDescent="0.25">
      <c r="C109" s="1">
        <v>0</v>
      </c>
      <c r="E109" s="2"/>
      <c r="M109" s="2"/>
    </row>
    <row r="110" spans="1:13" x14ac:dyDescent="0.25">
      <c r="C110" s="1">
        <v>0</v>
      </c>
      <c r="E110" s="2"/>
      <c r="M110" s="2"/>
    </row>
    <row r="111" spans="1:13" x14ac:dyDescent="0.25">
      <c r="C111" s="1">
        <v>0</v>
      </c>
      <c r="E111" s="2"/>
      <c r="M111" s="2"/>
    </row>
    <row r="112" spans="1:13" x14ac:dyDescent="0.25">
      <c r="C112" s="1">
        <v>0</v>
      </c>
      <c r="E112" s="2"/>
      <c r="M112" s="2"/>
    </row>
    <row r="113" spans="3:13" x14ac:dyDescent="0.25">
      <c r="C113" s="1">
        <v>0</v>
      </c>
      <c r="E113" s="2"/>
      <c r="M113" s="2"/>
    </row>
    <row r="114" spans="3:13" x14ac:dyDescent="0.25">
      <c r="C114" s="1">
        <v>0</v>
      </c>
      <c r="E114" s="2"/>
      <c r="M114" s="2"/>
    </row>
    <row r="115" spans="3:13" x14ac:dyDescent="0.25">
      <c r="C115" s="1">
        <v>0</v>
      </c>
      <c r="E115" s="2"/>
      <c r="M115" s="2"/>
    </row>
    <row r="116" spans="3:13" x14ac:dyDescent="0.25">
      <c r="C116" s="1">
        <v>0</v>
      </c>
      <c r="E116" s="2"/>
      <c r="M116" s="2"/>
    </row>
    <row r="117" spans="3:13" x14ac:dyDescent="0.25">
      <c r="C117" s="1">
        <v>0</v>
      </c>
      <c r="E117" s="2"/>
      <c r="M117" s="2"/>
    </row>
    <row r="118" spans="3:13" x14ac:dyDescent="0.25">
      <c r="C118" s="1">
        <v>0</v>
      </c>
      <c r="E118" s="2"/>
      <c r="M118" s="2"/>
    </row>
    <row r="119" spans="3:13" x14ac:dyDescent="0.25">
      <c r="C119" s="1">
        <v>0</v>
      </c>
      <c r="E119" s="2"/>
      <c r="M119" s="2"/>
    </row>
    <row r="120" spans="3:13" x14ac:dyDescent="0.25">
      <c r="C120" s="1">
        <v>0</v>
      </c>
      <c r="E120" s="2"/>
      <c r="M120" s="2"/>
    </row>
    <row r="121" spans="3:13" x14ac:dyDescent="0.25">
      <c r="C121" s="1">
        <v>0</v>
      </c>
      <c r="E121" s="2"/>
      <c r="M121" s="2"/>
    </row>
    <row r="122" spans="3:13" x14ac:dyDescent="0.25">
      <c r="C122" s="1">
        <v>0</v>
      </c>
      <c r="E122" s="2"/>
      <c r="M122" s="2"/>
    </row>
    <row r="123" spans="3:13" x14ac:dyDescent="0.25">
      <c r="C123" s="1">
        <v>0</v>
      </c>
      <c r="E123" s="2"/>
      <c r="M123" s="2"/>
    </row>
    <row r="124" spans="3:13" x14ac:dyDescent="0.25">
      <c r="C124" s="1">
        <v>0</v>
      </c>
      <c r="E124" s="2"/>
      <c r="M124" s="2"/>
    </row>
    <row r="125" spans="3:13" x14ac:dyDescent="0.25">
      <c r="C125" s="1">
        <v>0</v>
      </c>
      <c r="E125" s="2"/>
      <c r="M125" s="2"/>
    </row>
    <row r="126" spans="3:13" x14ac:dyDescent="0.25">
      <c r="C126" s="1">
        <v>0</v>
      </c>
      <c r="E126" s="2"/>
      <c r="M126" s="2"/>
    </row>
    <row r="127" spans="3:13" x14ac:dyDescent="0.25">
      <c r="C127" s="1">
        <v>0</v>
      </c>
      <c r="E127" s="2"/>
      <c r="M127" s="2"/>
    </row>
    <row r="128" spans="3:13" x14ac:dyDescent="0.25">
      <c r="C128" s="1">
        <v>0</v>
      </c>
      <c r="E128" s="2"/>
      <c r="M128" s="2"/>
    </row>
    <row r="129" spans="3:13" x14ac:dyDescent="0.25">
      <c r="C129" s="1">
        <v>0</v>
      </c>
      <c r="E129" s="2"/>
      <c r="M129" s="2"/>
    </row>
    <row r="130" spans="3:13" x14ac:dyDescent="0.25">
      <c r="C130" s="1">
        <v>0</v>
      </c>
      <c r="E130" s="2"/>
      <c r="M130" s="2"/>
    </row>
    <row r="131" spans="3:13" x14ac:dyDescent="0.25">
      <c r="C131" s="1">
        <v>0</v>
      </c>
      <c r="E131" s="2"/>
      <c r="M131" s="2"/>
    </row>
    <row r="132" spans="3:13" x14ac:dyDescent="0.25">
      <c r="C132" s="1">
        <v>0</v>
      </c>
      <c r="E132" s="2"/>
      <c r="M132" s="2"/>
    </row>
    <row r="133" spans="3:13" x14ac:dyDescent="0.25">
      <c r="C133" s="1">
        <v>0</v>
      </c>
      <c r="E133" s="2"/>
      <c r="M133" s="2"/>
    </row>
    <row r="134" spans="3:13" x14ac:dyDescent="0.25">
      <c r="C134" s="1">
        <v>0</v>
      </c>
      <c r="E134" s="2"/>
      <c r="M134" s="2"/>
    </row>
    <row r="135" spans="3:13" x14ac:dyDescent="0.25">
      <c r="C135" s="1">
        <v>0</v>
      </c>
      <c r="E135" s="2"/>
      <c r="M135" s="2"/>
    </row>
    <row r="136" spans="3:13" x14ac:dyDescent="0.25">
      <c r="C136" s="1">
        <v>0</v>
      </c>
      <c r="E136" s="2"/>
      <c r="M136" s="2"/>
    </row>
    <row r="137" spans="3:13" x14ac:dyDescent="0.25">
      <c r="C137" s="1">
        <v>0</v>
      </c>
      <c r="E137" s="2"/>
      <c r="M137" s="2"/>
    </row>
    <row r="138" spans="3:13" x14ac:dyDescent="0.25">
      <c r="C138" s="1">
        <v>0</v>
      </c>
      <c r="E138" s="2"/>
      <c r="M138" s="2"/>
    </row>
    <row r="139" spans="3:13" x14ac:dyDescent="0.25">
      <c r="C139" s="1">
        <v>0</v>
      </c>
      <c r="E139" s="2"/>
      <c r="M139" s="2"/>
    </row>
    <row r="140" spans="3:13" x14ac:dyDescent="0.25">
      <c r="C140" s="1">
        <v>0</v>
      </c>
      <c r="E140" s="2"/>
      <c r="M140" s="2"/>
    </row>
    <row r="141" spans="3:13" x14ac:dyDescent="0.25">
      <c r="C141" s="1">
        <v>0</v>
      </c>
      <c r="E141" s="2"/>
      <c r="M141" s="2"/>
    </row>
    <row r="142" spans="3:13" x14ac:dyDescent="0.25">
      <c r="C142" s="1">
        <v>0</v>
      </c>
      <c r="E142" s="2"/>
      <c r="M142" s="2"/>
    </row>
    <row r="143" spans="3:13" x14ac:dyDescent="0.25">
      <c r="C143" s="1">
        <v>0</v>
      </c>
      <c r="E143" s="2"/>
      <c r="M143" s="2"/>
    </row>
    <row r="144" spans="3:13" x14ac:dyDescent="0.25">
      <c r="C144" s="1">
        <v>0</v>
      </c>
      <c r="E144" s="2"/>
      <c r="M144" s="2"/>
    </row>
    <row r="145" spans="3:13" x14ac:dyDescent="0.25">
      <c r="C145" s="1">
        <v>0</v>
      </c>
      <c r="E145" s="2"/>
      <c r="M145" s="2"/>
    </row>
    <row r="146" spans="3:13" x14ac:dyDescent="0.25">
      <c r="C146" s="1">
        <v>0</v>
      </c>
      <c r="E146" s="2"/>
      <c r="M146" s="2"/>
    </row>
    <row r="147" spans="3:13" x14ac:dyDescent="0.25">
      <c r="C147" s="1">
        <v>0</v>
      </c>
      <c r="E147" s="2"/>
      <c r="M147" s="2"/>
    </row>
    <row r="148" spans="3:13" x14ac:dyDescent="0.25">
      <c r="C148" s="1">
        <v>0</v>
      </c>
      <c r="E148" s="2"/>
      <c r="M148" s="2"/>
    </row>
    <row r="149" spans="3:13" x14ac:dyDescent="0.25">
      <c r="C149" s="1">
        <v>0</v>
      </c>
      <c r="E149" s="2"/>
      <c r="M149" s="2"/>
    </row>
    <row r="150" spans="3:13" x14ac:dyDescent="0.25">
      <c r="C150" s="1">
        <v>0</v>
      </c>
      <c r="E150" s="2"/>
      <c r="M150" s="2"/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6"/>
  <sheetViews>
    <sheetView workbookViewId="0">
      <selection activeCell="C1" sqref="C1"/>
    </sheetView>
  </sheetViews>
  <sheetFormatPr defaultRowHeight="15" x14ac:dyDescent="0.25"/>
  <cols>
    <col min="1" max="1" width="22.7109375" style="2" bestFit="1" customWidth="1"/>
    <col min="2" max="16384" width="9.140625" style="2"/>
  </cols>
  <sheetData>
    <row r="1" spans="1:15" x14ac:dyDescent="0.25">
      <c r="A1" s="2" t="s">
        <v>157</v>
      </c>
      <c r="B1" s="2" t="s">
        <v>58</v>
      </c>
      <c r="C1" s="2" t="s">
        <v>3</v>
      </c>
      <c r="D1" s="2">
        <v>36</v>
      </c>
      <c r="E1" s="2">
        <v>24</v>
      </c>
      <c r="F1" s="2">
        <v>6.2</v>
      </c>
      <c r="G1" s="2">
        <v>4.9000000000000004</v>
      </c>
      <c r="H1" s="2">
        <v>0.3</v>
      </c>
      <c r="I1" s="2">
        <v>1.8</v>
      </c>
      <c r="J1" s="2">
        <v>2.1</v>
      </c>
      <c r="K1" s="2">
        <v>23.59</v>
      </c>
      <c r="L1" s="2">
        <v>40.869999999999997</v>
      </c>
      <c r="M1" s="2">
        <v>58.15</v>
      </c>
      <c r="N1" s="44">
        <v>9700</v>
      </c>
      <c r="O1" s="2">
        <v>4.21</v>
      </c>
    </row>
    <row r="2" spans="1:15" x14ac:dyDescent="0.25">
      <c r="A2" s="2" t="s">
        <v>158</v>
      </c>
      <c r="B2" s="2" t="s">
        <v>159</v>
      </c>
      <c r="C2" s="2" t="s">
        <v>1</v>
      </c>
      <c r="D2" s="2">
        <v>34</v>
      </c>
      <c r="E2" s="2">
        <v>29.4</v>
      </c>
      <c r="F2" s="2">
        <v>2.6</v>
      </c>
      <c r="G2" s="2">
        <v>6.2</v>
      </c>
      <c r="H2" s="2">
        <v>0.1</v>
      </c>
      <c r="I2" s="2">
        <v>0.8</v>
      </c>
      <c r="J2" s="2">
        <v>2.6</v>
      </c>
      <c r="K2" s="2">
        <v>25.7</v>
      </c>
      <c r="L2" s="2">
        <v>41.1</v>
      </c>
      <c r="M2" s="2">
        <v>56.51</v>
      </c>
      <c r="N2" s="44">
        <v>10000</v>
      </c>
      <c r="O2" s="2">
        <v>4.1100000000000003</v>
      </c>
    </row>
    <row r="3" spans="1:15" x14ac:dyDescent="0.25">
      <c r="A3" s="2" t="s">
        <v>160</v>
      </c>
      <c r="B3" s="2" t="s">
        <v>161</v>
      </c>
      <c r="C3" s="2" t="s">
        <v>1</v>
      </c>
      <c r="D3" s="2">
        <v>34.700000000000003</v>
      </c>
      <c r="E3" s="2">
        <v>21.6</v>
      </c>
      <c r="F3" s="2">
        <v>4.2</v>
      </c>
      <c r="G3" s="2">
        <v>10.1</v>
      </c>
      <c r="H3" s="2">
        <v>0.5</v>
      </c>
      <c r="I3" s="2">
        <v>2</v>
      </c>
      <c r="J3" s="2">
        <v>4</v>
      </c>
      <c r="K3" s="2">
        <v>29.33</v>
      </c>
      <c r="L3" s="2">
        <v>42.69</v>
      </c>
      <c r="M3" s="2">
        <v>56.06</v>
      </c>
      <c r="N3" s="44">
        <v>10400</v>
      </c>
      <c r="O3" s="2">
        <v>4.1100000000000003</v>
      </c>
    </row>
    <row r="4" spans="1:15" x14ac:dyDescent="0.25">
      <c r="A4" s="2" t="s">
        <v>162</v>
      </c>
      <c r="B4" s="2" t="s">
        <v>159</v>
      </c>
      <c r="C4" s="2" t="s">
        <v>5</v>
      </c>
      <c r="D4" s="2">
        <v>35</v>
      </c>
      <c r="E4" s="2">
        <v>17.7</v>
      </c>
      <c r="F4" s="2">
        <v>6.9</v>
      </c>
      <c r="G4" s="2">
        <v>2.4</v>
      </c>
      <c r="H4" s="2">
        <v>0.2</v>
      </c>
      <c r="I4" s="2">
        <v>1.3</v>
      </c>
      <c r="J4" s="2">
        <v>1.8</v>
      </c>
      <c r="K4" s="2">
        <v>8.24</v>
      </c>
      <c r="L4" s="2">
        <v>30.87</v>
      </c>
      <c r="M4" s="2">
        <v>53.5</v>
      </c>
      <c r="N4" s="44">
        <v>6500</v>
      </c>
      <c r="O4" s="2">
        <v>4.75</v>
      </c>
    </row>
    <row r="5" spans="1:15" x14ac:dyDescent="0.25">
      <c r="A5" s="2" t="s">
        <v>163</v>
      </c>
      <c r="B5" s="2" t="s">
        <v>164</v>
      </c>
      <c r="C5" s="2" t="s">
        <v>3</v>
      </c>
      <c r="D5" s="2">
        <v>36.700000000000003</v>
      </c>
      <c r="E5" s="2">
        <v>22.9</v>
      </c>
      <c r="F5" s="2">
        <v>6.3</v>
      </c>
      <c r="G5" s="2">
        <v>3.4</v>
      </c>
      <c r="H5" s="2">
        <v>0.3</v>
      </c>
      <c r="I5" s="2">
        <v>1.6</v>
      </c>
      <c r="J5" s="2">
        <v>2.9</v>
      </c>
      <c r="K5" s="2">
        <v>20.079999999999998</v>
      </c>
      <c r="L5" s="2">
        <v>36.47</v>
      </c>
      <c r="M5" s="2">
        <v>52.86</v>
      </c>
      <c r="N5" s="44">
        <v>8600</v>
      </c>
      <c r="O5" s="2">
        <v>4.24</v>
      </c>
    </row>
    <row r="6" spans="1:15" x14ac:dyDescent="0.25">
      <c r="A6" s="2" t="s">
        <v>165</v>
      </c>
      <c r="B6" s="2" t="s">
        <v>164</v>
      </c>
      <c r="C6" s="2" t="s">
        <v>4</v>
      </c>
      <c r="D6" s="2">
        <v>35</v>
      </c>
      <c r="E6" s="2">
        <v>17.7</v>
      </c>
      <c r="F6" s="2">
        <v>8.1999999999999993</v>
      </c>
      <c r="G6" s="2">
        <v>1.3</v>
      </c>
      <c r="H6" s="2">
        <v>2.4</v>
      </c>
      <c r="I6" s="2">
        <v>0.9</v>
      </c>
      <c r="J6" s="2">
        <v>1.6</v>
      </c>
      <c r="K6" s="2">
        <v>17.600000000000001</v>
      </c>
      <c r="L6" s="2">
        <v>34.450000000000003</v>
      </c>
      <c r="M6" s="2">
        <v>51.3</v>
      </c>
      <c r="N6" s="44">
        <v>6500</v>
      </c>
      <c r="O6" s="2">
        <v>5.3</v>
      </c>
    </row>
    <row r="7" spans="1:15" x14ac:dyDescent="0.25">
      <c r="A7" s="2" t="s">
        <v>166</v>
      </c>
      <c r="B7" s="2" t="s">
        <v>164</v>
      </c>
      <c r="C7" s="2" t="s">
        <v>1</v>
      </c>
      <c r="D7" s="2">
        <v>30.7</v>
      </c>
      <c r="E7" s="2">
        <v>14.5</v>
      </c>
      <c r="F7" s="2">
        <v>3.9</v>
      </c>
      <c r="G7" s="2">
        <v>7.6</v>
      </c>
      <c r="H7" s="2">
        <v>0.4</v>
      </c>
      <c r="I7" s="2">
        <v>1.3</v>
      </c>
      <c r="J7" s="2">
        <v>2.6</v>
      </c>
      <c r="K7" s="2">
        <v>15.45</v>
      </c>
      <c r="L7" s="2">
        <v>31.55</v>
      </c>
      <c r="M7" s="2">
        <v>47.65</v>
      </c>
      <c r="N7" s="44">
        <v>7200</v>
      </c>
      <c r="O7" s="2">
        <v>4.38</v>
      </c>
    </row>
    <row r="8" spans="1:15" x14ac:dyDescent="0.25">
      <c r="A8" s="2" t="s">
        <v>167</v>
      </c>
      <c r="B8" s="2" t="s">
        <v>58</v>
      </c>
      <c r="C8" s="2" t="s">
        <v>5</v>
      </c>
      <c r="D8" s="2">
        <v>31.3</v>
      </c>
      <c r="E8" s="2">
        <v>19.7</v>
      </c>
      <c r="F8" s="2">
        <v>4.5999999999999996</v>
      </c>
      <c r="G8" s="2">
        <v>4</v>
      </c>
      <c r="H8" s="2">
        <v>0.8</v>
      </c>
      <c r="I8" s="2">
        <v>1.6</v>
      </c>
      <c r="J8" s="2">
        <v>2.2999999999999998</v>
      </c>
      <c r="K8" s="2">
        <v>20</v>
      </c>
      <c r="L8" s="2">
        <v>33.68</v>
      </c>
      <c r="M8" s="2">
        <v>47.36</v>
      </c>
      <c r="N8" s="44">
        <v>7900</v>
      </c>
      <c r="O8" s="2">
        <v>4.26</v>
      </c>
    </row>
    <row r="9" spans="1:15" x14ac:dyDescent="0.25">
      <c r="A9" s="2" t="s">
        <v>168</v>
      </c>
      <c r="B9" s="2" t="s">
        <v>161</v>
      </c>
      <c r="C9" s="2" t="s">
        <v>4</v>
      </c>
      <c r="D9" s="2">
        <v>31.3</v>
      </c>
      <c r="E9" s="2">
        <v>10.8</v>
      </c>
      <c r="F9" s="2">
        <v>10.4</v>
      </c>
      <c r="G9" s="2">
        <v>1.5</v>
      </c>
      <c r="H9" s="2">
        <v>0.9</v>
      </c>
      <c r="I9" s="2">
        <v>0.5</v>
      </c>
      <c r="J9" s="2">
        <v>1.4</v>
      </c>
      <c r="K9" s="2">
        <v>12.3</v>
      </c>
      <c r="L9" s="2">
        <v>26.96</v>
      </c>
      <c r="M9" s="2">
        <v>41.63</v>
      </c>
      <c r="N9" s="44">
        <v>7300</v>
      </c>
      <c r="O9" s="2">
        <v>3.69</v>
      </c>
    </row>
    <row r="10" spans="1:15" x14ac:dyDescent="0.25">
      <c r="A10" s="2" t="s">
        <v>169</v>
      </c>
      <c r="B10" s="2" t="s">
        <v>161</v>
      </c>
      <c r="C10" s="2" t="s">
        <v>3</v>
      </c>
      <c r="D10" s="2">
        <v>31.3</v>
      </c>
      <c r="E10" s="2">
        <v>13.5</v>
      </c>
      <c r="F10" s="2">
        <v>6.2</v>
      </c>
      <c r="G10" s="2">
        <v>1.4</v>
      </c>
      <c r="H10" s="2">
        <v>0.6</v>
      </c>
      <c r="I10" s="2">
        <v>1.4</v>
      </c>
      <c r="J10" s="2">
        <v>0.7</v>
      </c>
      <c r="K10" s="2">
        <v>11.68</v>
      </c>
      <c r="L10" s="2">
        <v>26.35</v>
      </c>
      <c r="M10" s="2">
        <v>41.01</v>
      </c>
      <c r="N10" s="44">
        <v>6600</v>
      </c>
      <c r="O10" s="2">
        <v>3.99</v>
      </c>
    </row>
    <row r="11" spans="1:15" x14ac:dyDescent="0.25">
      <c r="A11" s="2" t="s">
        <v>170</v>
      </c>
      <c r="B11" s="2" t="s">
        <v>159</v>
      </c>
      <c r="C11" s="2" t="s">
        <v>3</v>
      </c>
      <c r="D11" s="2">
        <v>32.299999999999997</v>
      </c>
      <c r="E11" s="2">
        <v>13.8</v>
      </c>
      <c r="F11" s="2">
        <v>5.2</v>
      </c>
      <c r="G11" s="2">
        <v>2.1</v>
      </c>
      <c r="H11" s="2">
        <v>0.3</v>
      </c>
      <c r="I11" s="2">
        <v>1.1000000000000001</v>
      </c>
      <c r="J11" s="2">
        <v>1</v>
      </c>
      <c r="K11" s="2">
        <v>9.48</v>
      </c>
      <c r="L11" s="2">
        <v>25</v>
      </c>
      <c r="M11" s="2">
        <v>40.520000000000003</v>
      </c>
      <c r="N11" s="44">
        <v>6100</v>
      </c>
      <c r="O11" s="2">
        <v>4.0999999999999996</v>
      </c>
    </row>
    <row r="12" spans="1:15" x14ac:dyDescent="0.25">
      <c r="A12" s="2" t="s">
        <v>171</v>
      </c>
      <c r="B12" s="2" t="s">
        <v>159</v>
      </c>
      <c r="C12" s="2" t="s">
        <v>4</v>
      </c>
      <c r="D12" s="2">
        <v>29</v>
      </c>
      <c r="E12" s="2">
        <v>12.7</v>
      </c>
      <c r="F12" s="2">
        <v>6.5</v>
      </c>
      <c r="G12" s="2">
        <v>2.7</v>
      </c>
      <c r="H12" s="2">
        <v>0.5</v>
      </c>
      <c r="I12" s="2">
        <v>0.9</v>
      </c>
      <c r="J12" s="2">
        <v>1.7</v>
      </c>
      <c r="K12" s="2">
        <v>10.93</v>
      </c>
      <c r="L12" s="2">
        <v>25.72</v>
      </c>
      <c r="M12" s="2">
        <v>40.51</v>
      </c>
      <c r="N12" s="44">
        <v>4600</v>
      </c>
      <c r="O12" s="2">
        <v>5.59</v>
      </c>
    </row>
    <row r="13" spans="1:15" x14ac:dyDescent="0.25">
      <c r="A13" s="2" t="s">
        <v>172</v>
      </c>
      <c r="B13" s="2" t="s">
        <v>159</v>
      </c>
      <c r="C13" s="2" t="s">
        <v>4</v>
      </c>
      <c r="D13" s="2">
        <v>29.3</v>
      </c>
      <c r="E13" s="2">
        <v>13</v>
      </c>
      <c r="F13" s="2">
        <v>5.9</v>
      </c>
      <c r="G13" s="2">
        <v>4.4000000000000004</v>
      </c>
      <c r="H13" s="2">
        <v>1.4</v>
      </c>
      <c r="I13" s="2">
        <v>0.6</v>
      </c>
      <c r="J13" s="2">
        <v>1.5</v>
      </c>
      <c r="K13" s="2">
        <v>17.829999999999998</v>
      </c>
      <c r="L13" s="2">
        <v>29.14</v>
      </c>
      <c r="M13" s="2">
        <v>40.450000000000003</v>
      </c>
      <c r="N13" s="44">
        <v>7000</v>
      </c>
      <c r="O13" s="2">
        <v>4.16</v>
      </c>
    </row>
    <row r="14" spans="1:15" x14ac:dyDescent="0.25">
      <c r="A14" s="2" t="s">
        <v>173</v>
      </c>
      <c r="B14" s="2" t="s">
        <v>161</v>
      </c>
      <c r="C14" s="2" t="s">
        <v>5</v>
      </c>
      <c r="D14" s="2">
        <v>31.3</v>
      </c>
      <c r="E14" s="2">
        <v>20.2</v>
      </c>
      <c r="F14" s="2">
        <v>2.7</v>
      </c>
      <c r="G14" s="2">
        <v>3.3</v>
      </c>
      <c r="H14" s="2">
        <v>0.2</v>
      </c>
      <c r="I14" s="2">
        <v>0.9</v>
      </c>
      <c r="J14" s="2">
        <v>1.9</v>
      </c>
      <c r="K14" s="2">
        <v>17.7</v>
      </c>
      <c r="L14" s="2">
        <v>28.84</v>
      </c>
      <c r="M14" s="2">
        <v>39.979999999999997</v>
      </c>
      <c r="N14" s="44">
        <v>7600</v>
      </c>
      <c r="O14" s="2">
        <v>3.79</v>
      </c>
    </row>
    <row r="15" spans="1:15" x14ac:dyDescent="0.25">
      <c r="A15" s="2" t="s">
        <v>174</v>
      </c>
      <c r="B15" s="2" t="s">
        <v>159</v>
      </c>
      <c r="C15" s="2" t="s">
        <v>5</v>
      </c>
      <c r="D15" s="2">
        <v>34</v>
      </c>
      <c r="E15" s="2">
        <v>11.4</v>
      </c>
      <c r="F15" s="2">
        <v>4.3</v>
      </c>
      <c r="G15" s="2">
        <v>5</v>
      </c>
      <c r="H15" s="2">
        <v>0.4</v>
      </c>
      <c r="I15" s="2">
        <v>1.9</v>
      </c>
      <c r="J15" s="2">
        <v>2.2999999999999998</v>
      </c>
      <c r="K15" s="2">
        <v>13.13</v>
      </c>
      <c r="L15" s="2">
        <v>26.39</v>
      </c>
      <c r="M15" s="2">
        <v>39.65</v>
      </c>
      <c r="N15" s="44">
        <v>5800</v>
      </c>
      <c r="O15" s="2">
        <v>4.55</v>
      </c>
    </row>
    <row r="16" spans="1:15" x14ac:dyDescent="0.25">
      <c r="A16" s="2" t="s">
        <v>175</v>
      </c>
      <c r="B16" s="2" t="s">
        <v>161</v>
      </c>
      <c r="C16" s="2" t="s">
        <v>2</v>
      </c>
      <c r="D16" s="2">
        <v>31.7</v>
      </c>
      <c r="E16" s="2">
        <v>14.7</v>
      </c>
      <c r="F16" s="2">
        <v>6.7</v>
      </c>
      <c r="G16" s="2">
        <v>1.8</v>
      </c>
      <c r="H16" s="2">
        <v>0.6</v>
      </c>
      <c r="I16" s="2">
        <v>1.2</v>
      </c>
      <c r="J16" s="2">
        <v>1.9</v>
      </c>
      <c r="K16" s="2">
        <v>14.44</v>
      </c>
      <c r="L16" s="2">
        <v>27.03</v>
      </c>
      <c r="M16" s="2">
        <v>39.619999999999997</v>
      </c>
      <c r="N16" s="44">
        <v>7400</v>
      </c>
      <c r="O16" s="2">
        <v>3.65</v>
      </c>
    </row>
    <row r="17" spans="1:15" x14ac:dyDescent="0.25">
      <c r="A17" s="2" t="s">
        <v>176</v>
      </c>
      <c r="B17" s="2" t="s">
        <v>58</v>
      </c>
      <c r="C17" s="2" t="s">
        <v>3</v>
      </c>
      <c r="D17" s="2">
        <v>30.3</v>
      </c>
      <c r="E17" s="2">
        <v>12.6</v>
      </c>
      <c r="F17" s="2">
        <v>3.7</v>
      </c>
      <c r="G17" s="2">
        <v>1.3</v>
      </c>
      <c r="H17" s="2">
        <v>0.1</v>
      </c>
      <c r="I17" s="2">
        <v>0.3</v>
      </c>
      <c r="J17" s="2">
        <v>0.9</v>
      </c>
      <c r="K17" s="2">
        <v>-0.94</v>
      </c>
      <c r="L17" s="2">
        <v>18.809999999999999</v>
      </c>
      <c r="M17" s="2">
        <v>38.56</v>
      </c>
      <c r="N17" s="44">
        <v>4400</v>
      </c>
      <c r="O17" s="2">
        <v>4.28</v>
      </c>
    </row>
    <row r="18" spans="1:15" x14ac:dyDescent="0.25">
      <c r="A18" s="2" t="s">
        <v>177</v>
      </c>
      <c r="B18" s="2" t="s">
        <v>164</v>
      </c>
      <c r="C18" s="2" t="s">
        <v>2</v>
      </c>
      <c r="D18" s="2">
        <v>26.3</v>
      </c>
      <c r="E18" s="2">
        <v>9.8000000000000007</v>
      </c>
      <c r="F18" s="2">
        <v>6.8</v>
      </c>
      <c r="G18" s="2">
        <v>1.2</v>
      </c>
      <c r="H18" s="2">
        <v>1</v>
      </c>
      <c r="I18" s="2">
        <v>0.3</v>
      </c>
      <c r="J18" s="2">
        <v>1.2</v>
      </c>
      <c r="K18" s="2">
        <v>6.81</v>
      </c>
      <c r="L18" s="2">
        <v>21.15</v>
      </c>
      <c r="M18" s="2">
        <v>35.49</v>
      </c>
      <c r="N18" s="44">
        <v>4300</v>
      </c>
      <c r="O18" s="2">
        <v>4.92</v>
      </c>
    </row>
    <row r="19" spans="1:15" x14ac:dyDescent="0.25">
      <c r="A19" s="2" t="s">
        <v>178</v>
      </c>
      <c r="B19" s="2" t="s">
        <v>58</v>
      </c>
      <c r="C19" s="2" t="s">
        <v>5</v>
      </c>
      <c r="D19" s="2">
        <v>27</v>
      </c>
      <c r="E19" s="2">
        <v>10.1</v>
      </c>
      <c r="F19" s="2">
        <v>5.7</v>
      </c>
      <c r="G19" s="2">
        <v>3.2</v>
      </c>
      <c r="H19" s="2">
        <v>0.5</v>
      </c>
      <c r="I19" s="2">
        <v>1</v>
      </c>
      <c r="J19" s="2">
        <v>2.1</v>
      </c>
      <c r="K19" s="2">
        <v>10.83</v>
      </c>
      <c r="L19" s="2">
        <v>22.66</v>
      </c>
      <c r="M19" s="2">
        <v>34.479999999999997</v>
      </c>
      <c r="N19" s="44">
        <v>4900</v>
      </c>
      <c r="O19" s="2">
        <v>4.62</v>
      </c>
    </row>
    <row r="20" spans="1:15" x14ac:dyDescent="0.25">
      <c r="A20" s="2" t="s">
        <v>179</v>
      </c>
      <c r="B20" s="2" t="s">
        <v>164</v>
      </c>
      <c r="C20" s="2" t="s">
        <v>5</v>
      </c>
      <c r="D20" s="2">
        <v>30.7</v>
      </c>
      <c r="E20" s="2">
        <v>9.3000000000000007</v>
      </c>
      <c r="F20" s="2">
        <v>3.2</v>
      </c>
      <c r="G20" s="2">
        <v>3.8</v>
      </c>
      <c r="H20" s="2">
        <v>0.4</v>
      </c>
      <c r="I20" s="2">
        <v>1.1000000000000001</v>
      </c>
      <c r="J20" s="2">
        <v>2.1</v>
      </c>
      <c r="K20" s="2">
        <v>7.21</v>
      </c>
      <c r="L20" s="2">
        <v>19.63</v>
      </c>
      <c r="M20" s="2">
        <v>32.049999999999997</v>
      </c>
      <c r="N20" s="44">
        <v>4200</v>
      </c>
      <c r="O20" s="2">
        <v>4.67</v>
      </c>
    </row>
    <row r="21" spans="1:15" x14ac:dyDescent="0.25">
      <c r="A21" s="2" t="s">
        <v>180</v>
      </c>
      <c r="B21" s="2" t="s">
        <v>164</v>
      </c>
      <c r="C21" s="2" t="s">
        <v>2</v>
      </c>
      <c r="D21" s="2">
        <v>27</v>
      </c>
      <c r="E21" s="2">
        <v>10</v>
      </c>
      <c r="F21" s="2">
        <v>5.3</v>
      </c>
      <c r="G21" s="2">
        <v>1.4</v>
      </c>
      <c r="H21" s="2">
        <v>0.4</v>
      </c>
      <c r="I21" s="2">
        <v>1.6</v>
      </c>
      <c r="J21" s="2">
        <v>1.3</v>
      </c>
      <c r="K21" s="2">
        <v>10.56</v>
      </c>
      <c r="L21" s="2">
        <v>21.25</v>
      </c>
      <c r="M21" s="2">
        <v>31.94</v>
      </c>
      <c r="N21" s="44">
        <v>5700</v>
      </c>
      <c r="O21" s="2">
        <v>3.73</v>
      </c>
    </row>
    <row r="22" spans="1:15" x14ac:dyDescent="0.25">
      <c r="A22" s="2" t="s">
        <v>181</v>
      </c>
      <c r="B22" s="2" t="s">
        <v>58</v>
      </c>
      <c r="C22" s="2" t="s">
        <v>4</v>
      </c>
      <c r="D22" s="2">
        <v>24</v>
      </c>
      <c r="E22" s="2">
        <v>8.4</v>
      </c>
      <c r="F22" s="2">
        <v>5.9</v>
      </c>
      <c r="G22" s="2">
        <v>0.8</v>
      </c>
      <c r="H22" s="2">
        <v>1.3</v>
      </c>
      <c r="I22" s="2">
        <v>0.2</v>
      </c>
      <c r="J22" s="2">
        <v>0.9</v>
      </c>
      <c r="K22" s="2">
        <v>6.27</v>
      </c>
      <c r="L22" s="2">
        <v>18.829999999999998</v>
      </c>
      <c r="M22" s="2">
        <v>31.39</v>
      </c>
      <c r="N22" s="44">
        <v>4700</v>
      </c>
      <c r="O22" s="2">
        <v>4.01</v>
      </c>
    </row>
    <row r="23" spans="1:15" x14ac:dyDescent="0.25">
      <c r="A23" s="2" t="s">
        <v>182</v>
      </c>
      <c r="B23" s="2" t="s">
        <v>58</v>
      </c>
      <c r="C23" s="2" t="s">
        <v>2</v>
      </c>
      <c r="D23" s="2">
        <v>22.7</v>
      </c>
      <c r="E23" s="2">
        <v>8.6999999999999993</v>
      </c>
      <c r="F23" s="2">
        <v>6.3</v>
      </c>
      <c r="G23" s="2">
        <v>1</v>
      </c>
      <c r="H23" s="2">
        <v>0.3</v>
      </c>
      <c r="I23" s="2">
        <v>0.3</v>
      </c>
      <c r="J23" s="2">
        <v>1.1000000000000001</v>
      </c>
      <c r="K23" s="2">
        <v>4.53</v>
      </c>
      <c r="L23" s="2">
        <v>17.920000000000002</v>
      </c>
      <c r="M23" s="2">
        <v>31.32</v>
      </c>
      <c r="N23" s="44">
        <v>3500</v>
      </c>
      <c r="O23" s="2">
        <v>5.12</v>
      </c>
    </row>
    <row r="24" spans="1:15" x14ac:dyDescent="0.25">
      <c r="A24" s="2" t="s">
        <v>183</v>
      </c>
      <c r="B24" s="2" t="s">
        <v>58</v>
      </c>
      <c r="C24" s="2" t="s">
        <v>1</v>
      </c>
      <c r="D24" s="2">
        <v>22.7</v>
      </c>
      <c r="E24" s="2">
        <v>5.6</v>
      </c>
      <c r="F24" s="2">
        <v>4.5</v>
      </c>
      <c r="G24" s="2">
        <v>5.6</v>
      </c>
      <c r="H24" s="2">
        <v>0.1</v>
      </c>
      <c r="I24" s="2">
        <v>1.1000000000000001</v>
      </c>
      <c r="J24" s="2">
        <v>2.1</v>
      </c>
      <c r="K24" s="2">
        <v>9.98</v>
      </c>
      <c r="L24" s="2">
        <v>19.809999999999999</v>
      </c>
      <c r="M24" s="2">
        <v>29.63</v>
      </c>
      <c r="N24" s="44">
        <v>4700</v>
      </c>
      <c r="O24" s="2">
        <v>4.21</v>
      </c>
    </row>
    <row r="25" spans="1:15" x14ac:dyDescent="0.25">
      <c r="A25" s="2" t="s">
        <v>184</v>
      </c>
      <c r="B25" s="2" t="s">
        <v>58</v>
      </c>
      <c r="C25" s="2" t="s">
        <v>2</v>
      </c>
      <c r="D25" s="2">
        <v>24</v>
      </c>
      <c r="E25" s="2">
        <v>10.199999999999999</v>
      </c>
      <c r="F25" s="2">
        <v>6.1</v>
      </c>
      <c r="G25" s="2">
        <v>1</v>
      </c>
      <c r="H25" s="2">
        <v>0.8</v>
      </c>
      <c r="I25" s="2">
        <v>0.4</v>
      </c>
      <c r="J25" s="2">
        <v>1.2</v>
      </c>
      <c r="K25" s="2">
        <v>10.83</v>
      </c>
      <c r="L25" s="2">
        <v>20.22</v>
      </c>
      <c r="M25" s="2">
        <v>29.62</v>
      </c>
      <c r="N25" s="44">
        <v>4600</v>
      </c>
      <c r="O25" s="2">
        <v>4.4000000000000004</v>
      </c>
    </row>
    <row r="26" spans="1:15" x14ac:dyDescent="0.25">
      <c r="A26" s="2" t="s">
        <v>185</v>
      </c>
      <c r="B26" s="2" t="s">
        <v>164</v>
      </c>
      <c r="C26" s="2" t="s">
        <v>3</v>
      </c>
      <c r="D26" s="2">
        <v>22.3</v>
      </c>
      <c r="E26" s="2">
        <v>10.3</v>
      </c>
      <c r="F26" s="2">
        <v>2.8</v>
      </c>
      <c r="G26" s="2">
        <v>0.6</v>
      </c>
      <c r="H26" s="2">
        <v>0.4</v>
      </c>
      <c r="I26" s="2">
        <v>0.6</v>
      </c>
      <c r="J26" s="2">
        <v>0.5</v>
      </c>
      <c r="K26" s="2">
        <v>2.57</v>
      </c>
      <c r="L26" s="2">
        <v>16</v>
      </c>
      <c r="M26" s="2">
        <v>29.43</v>
      </c>
      <c r="N26" s="44">
        <v>3900</v>
      </c>
      <c r="O26" s="2">
        <v>4.0999999999999996</v>
      </c>
    </row>
    <row r="27" spans="1:15" x14ac:dyDescent="0.25">
      <c r="A27" s="2" t="s">
        <v>186</v>
      </c>
      <c r="B27" s="2" t="s">
        <v>164</v>
      </c>
      <c r="C27" s="2" t="s">
        <v>3</v>
      </c>
      <c r="D27" s="2">
        <v>24</v>
      </c>
      <c r="E27" s="2">
        <v>6.8</v>
      </c>
      <c r="F27" s="2">
        <v>4</v>
      </c>
      <c r="G27" s="2">
        <v>0.8</v>
      </c>
      <c r="H27" s="2">
        <v>0.3</v>
      </c>
      <c r="I27" s="2">
        <v>0.6</v>
      </c>
      <c r="J27" s="2">
        <v>0.6</v>
      </c>
      <c r="K27" s="2">
        <v>-1.01</v>
      </c>
      <c r="L27" s="2">
        <v>14.01</v>
      </c>
      <c r="M27" s="2">
        <v>29.02</v>
      </c>
      <c r="N27" s="44">
        <v>3500</v>
      </c>
      <c r="O27" s="2">
        <v>4</v>
      </c>
    </row>
    <row r="28" spans="1:15" x14ac:dyDescent="0.25">
      <c r="A28" s="2" t="s">
        <v>187</v>
      </c>
      <c r="B28" s="2" t="s">
        <v>58</v>
      </c>
      <c r="C28" s="2" t="s">
        <v>2</v>
      </c>
      <c r="D28" s="2">
        <v>21</v>
      </c>
      <c r="E28" s="2">
        <v>8.4</v>
      </c>
      <c r="F28" s="2">
        <v>4.8</v>
      </c>
      <c r="G28" s="2">
        <v>0.8</v>
      </c>
      <c r="H28" s="2">
        <v>0.7</v>
      </c>
      <c r="I28" s="2">
        <v>0.7</v>
      </c>
      <c r="J28" s="2">
        <v>1</v>
      </c>
      <c r="K28" s="2">
        <v>5.85</v>
      </c>
      <c r="L28" s="2">
        <v>17.190000000000001</v>
      </c>
      <c r="M28" s="2">
        <v>28.53</v>
      </c>
      <c r="N28" s="44">
        <v>3700</v>
      </c>
      <c r="O28" s="2">
        <v>4.6500000000000004</v>
      </c>
    </row>
    <row r="29" spans="1:15" x14ac:dyDescent="0.25">
      <c r="A29" s="2" t="s">
        <v>188</v>
      </c>
      <c r="B29" s="2" t="s">
        <v>159</v>
      </c>
      <c r="C29" s="2" t="s">
        <v>1</v>
      </c>
      <c r="D29" s="2">
        <v>20.3</v>
      </c>
      <c r="E29" s="2">
        <v>6.3</v>
      </c>
      <c r="F29" s="2">
        <v>3.4</v>
      </c>
      <c r="G29" s="2">
        <v>1.9</v>
      </c>
      <c r="H29" s="2">
        <v>0.2</v>
      </c>
      <c r="I29" s="2">
        <v>0.7</v>
      </c>
      <c r="J29" s="2">
        <v>0.6</v>
      </c>
      <c r="K29" s="2">
        <v>1.23</v>
      </c>
      <c r="L29" s="2">
        <v>14.56</v>
      </c>
      <c r="M29" s="2">
        <v>27.89</v>
      </c>
      <c r="N29" s="44">
        <v>3500</v>
      </c>
      <c r="O29" s="2">
        <v>4.16</v>
      </c>
    </row>
    <row r="30" spans="1:15" x14ac:dyDescent="0.25">
      <c r="A30" s="2" t="s">
        <v>189</v>
      </c>
      <c r="B30" s="2" t="s">
        <v>58</v>
      </c>
      <c r="C30" s="2" t="s">
        <v>1</v>
      </c>
      <c r="D30" s="2">
        <v>21</v>
      </c>
      <c r="E30" s="2">
        <v>7.3</v>
      </c>
      <c r="F30" s="2">
        <v>2</v>
      </c>
      <c r="G30" s="2">
        <v>2</v>
      </c>
      <c r="H30" s="2">
        <v>0.2</v>
      </c>
      <c r="I30" s="2">
        <v>0.9</v>
      </c>
      <c r="J30" s="2">
        <v>1</v>
      </c>
      <c r="K30" s="2">
        <v>2.4300000000000002</v>
      </c>
      <c r="L30" s="2">
        <v>13.86</v>
      </c>
      <c r="M30" s="2">
        <v>25.3</v>
      </c>
      <c r="N30" s="44">
        <v>3500</v>
      </c>
      <c r="O30" s="2">
        <v>3.96</v>
      </c>
    </row>
    <row r="31" spans="1:15" x14ac:dyDescent="0.25">
      <c r="A31" s="2" t="s">
        <v>190</v>
      </c>
      <c r="B31" s="2" t="s">
        <v>161</v>
      </c>
      <c r="C31" s="2" t="s">
        <v>3</v>
      </c>
      <c r="D31" s="2">
        <v>16.3</v>
      </c>
      <c r="E31" s="2">
        <v>4.9000000000000004</v>
      </c>
      <c r="F31" s="2">
        <v>2.7</v>
      </c>
      <c r="G31" s="2">
        <v>0.5</v>
      </c>
      <c r="H31" s="2">
        <v>0.1</v>
      </c>
      <c r="I31" s="2">
        <v>0.6</v>
      </c>
      <c r="J31" s="2">
        <v>0.5</v>
      </c>
      <c r="K31" s="2">
        <v>-4.16</v>
      </c>
      <c r="L31" s="2">
        <v>9.83</v>
      </c>
      <c r="M31" s="2">
        <v>23.82</v>
      </c>
      <c r="N31" s="44">
        <v>3500</v>
      </c>
      <c r="O31" s="2">
        <v>2.81</v>
      </c>
    </row>
    <row r="32" spans="1:15" x14ac:dyDescent="0.25">
      <c r="A32" s="2" t="s">
        <v>191</v>
      </c>
      <c r="B32" s="2" t="s">
        <v>164</v>
      </c>
      <c r="C32" s="2" t="s">
        <v>2</v>
      </c>
      <c r="D32" s="2">
        <v>21.7</v>
      </c>
      <c r="E32" s="2">
        <v>3.9</v>
      </c>
      <c r="F32" s="2">
        <v>4.3</v>
      </c>
      <c r="G32" s="2">
        <v>1.4</v>
      </c>
      <c r="H32" s="2">
        <v>0.5</v>
      </c>
      <c r="I32" s="2">
        <v>0.5</v>
      </c>
      <c r="J32" s="2">
        <v>0.7</v>
      </c>
      <c r="K32" s="2">
        <v>1.65</v>
      </c>
      <c r="L32" s="2">
        <v>12.57</v>
      </c>
      <c r="M32" s="2">
        <v>23.49</v>
      </c>
      <c r="N32" s="44">
        <v>4100</v>
      </c>
      <c r="O32" s="2">
        <v>3.07</v>
      </c>
    </row>
    <row r="33" spans="1:15" x14ac:dyDescent="0.25">
      <c r="A33" s="2" t="s">
        <v>192</v>
      </c>
      <c r="B33" s="2" t="s">
        <v>159</v>
      </c>
      <c r="C33" s="2" t="s">
        <v>2</v>
      </c>
      <c r="D33" s="2">
        <v>17.7</v>
      </c>
      <c r="E33" s="2">
        <v>5.8</v>
      </c>
      <c r="F33" s="2">
        <v>4.0999999999999996</v>
      </c>
      <c r="G33" s="2">
        <v>1.5</v>
      </c>
      <c r="H33" s="2">
        <v>0.6</v>
      </c>
      <c r="I33" s="2">
        <v>0.5</v>
      </c>
      <c r="J33" s="2">
        <v>0.8</v>
      </c>
      <c r="K33" s="2">
        <v>5.77</v>
      </c>
      <c r="L33" s="2">
        <v>14.33</v>
      </c>
      <c r="M33" s="2">
        <v>22.89</v>
      </c>
      <c r="N33" s="44">
        <v>3700</v>
      </c>
      <c r="O33" s="2">
        <v>3.87</v>
      </c>
    </row>
    <row r="34" spans="1:15" x14ac:dyDescent="0.25">
      <c r="A34" s="2" t="s">
        <v>193</v>
      </c>
      <c r="B34" s="2" t="s">
        <v>161</v>
      </c>
      <c r="C34" s="2" t="s">
        <v>2</v>
      </c>
      <c r="D34" s="2">
        <v>17</v>
      </c>
      <c r="E34" s="2">
        <v>6.3</v>
      </c>
      <c r="F34" s="2">
        <v>4.0999999999999996</v>
      </c>
      <c r="G34" s="2">
        <v>0.4</v>
      </c>
      <c r="H34" s="2">
        <v>0.9</v>
      </c>
      <c r="I34" s="2">
        <v>0.4</v>
      </c>
      <c r="J34" s="2">
        <v>1</v>
      </c>
      <c r="K34" s="2">
        <v>4.5</v>
      </c>
      <c r="L34" s="2">
        <v>13.37</v>
      </c>
      <c r="M34" s="2">
        <v>22.25</v>
      </c>
      <c r="N34" s="44">
        <v>3600</v>
      </c>
      <c r="O34" s="2">
        <v>3.72</v>
      </c>
    </row>
    <row r="35" spans="1:15" x14ac:dyDescent="0.25">
      <c r="A35" s="2" t="s">
        <v>194</v>
      </c>
      <c r="B35" s="2" t="s">
        <v>161</v>
      </c>
      <c r="C35" s="2" t="s">
        <v>5</v>
      </c>
      <c r="D35" s="2">
        <v>18</v>
      </c>
      <c r="E35" s="2">
        <v>6.9</v>
      </c>
      <c r="F35" s="2">
        <v>2.4</v>
      </c>
      <c r="G35" s="2">
        <v>1.3</v>
      </c>
      <c r="H35" s="2">
        <v>0.1</v>
      </c>
      <c r="I35" s="2">
        <v>0.6</v>
      </c>
      <c r="J35" s="2">
        <v>0.8</v>
      </c>
      <c r="K35" s="2">
        <v>3.17</v>
      </c>
      <c r="L35" s="2">
        <v>12.18</v>
      </c>
      <c r="M35" s="2">
        <v>21.2</v>
      </c>
      <c r="N35" s="44">
        <v>3500</v>
      </c>
      <c r="O35" s="2">
        <v>3.48</v>
      </c>
    </row>
    <row r="36" spans="1:15" x14ac:dyDescent="0.25">
      <c r="A36" s="2" t="s">
        <v>195</v>
      </c>
      <c r="B36" s="2" t="s">
        <v>161</v>
      </c>
      <c r="C36" s="2" t="s">
        <v>1</v>
      </c>
      <c r="D36" s="2">
        <v>17.7</v>
      </c>
      <c r="E36" s="2">
        <v>7</v>
      </c>
      <c r="F36" s="2">
        <v>1.2</v>
      </c>
      <c r="G36" s="2">
        <v>2.5</v>
      </c>
      <c r="H36" s="2">
        <v>0.1</v>
      </c>
      <c r="I36" s="2">
        <v>0.3</v>
      </c>
      <c r="J36" s="2">
        <v>1.2</v>
      </c>
      <c r="K36" s="2">
        <v>4.58</v>
      </c>
      <c r="L36" s="2">
        <v>11.9</v>
      </c>
      <c r="M36" s="2">
        <v>19.21</v>
      </c>
      <c r="N36" s="44">
        <v>3500</v>
      </c>
      <c r="O36" s="2">
        <v>3.4</v>
      </c>
    </row>
    <row r="37" spans="1:15" x14ac:dyDescent="0.25">
      <c r="A37" s="2" t="s">
        <v>196</v>
      </c>
      <c r="B37" s="2" t="s">
        <v>164</v>
      </c>
      <c r="C37" s="2" t="s">
        <v>4</v>
      </c>
      <c r="D37" s="2">
        <v>12.7</v>
      </c>
      <c r="E37" s="2">
        <v>7.4</v>
      </c>
      <c r="F37" s="2">
        <v>3.7</v>
      </c>
      <c r="G37" s="2">
        <v>0.8</v>
      </c>
      <c r="H37" s="2">
        <v>0.2</v>
      </c>
      <c r="I37" s="2">
        <v>0.2</v>
      </c>
      <c r="J37" s="2">
        <v>0.4</v>
      </c>
      <c r="K37" s="2">
        <v>8.0299999999999994</v>
      </c>
      <c r="L37" s="2">
        <v>13.56</v>
      </c>
      <c r="M37" s="2">
        <v>19.09</v>
      </c>
      <c r="N37" s="44">
        <v>3500</v>
      </c>
      <c r="O37" s="2">
        <v>3.87</v>
      </c>
    </row>
    <row r="38" spans="1:15" x14ac:dyDescent="0.25">
      <c r="A38" s="2" t="s">
        <v>197</v>
      </c>
      <c r="B38" s="2" t="s">
        <v>159</v>
      </c>
      <c r="C38" s="2" t="s">
        <v>3</v>
      </c>
      <c r="D38" s="2">
        <v>14.3</v>
      </c>
      <c r="E38" s="2">
        <v>5.2</v>
      </c>
      <c r="F38" s="2">
        <v>2</v>
      </c>
      <c r="G38" s="2">
        <v>0.4</v>
      </c>
      <c r="H38" s="2">
        <v>0.1</v>
      </c>
      <c r="I38" s="2">
        <v>0.5</v>
      </c>
      <c r="J38" s="2">
        <v>0.2</v>
      </c>
      <c r="K38" s="2">
        <v>-0.24</v>
      </c>
      <c r="L38" s="2">
        <v>9.16</v>
      </c>
      <c r="M38" s="2">
        <v>18.55</v>
      </c>
      <c r="N38" s="44">
        <v>3500</v>
      </c>
      <c r="O38" s="2">
        <v>2.62</v>
      </c>
    </row>
    <row r="39" spans="1:15" x14ac:dyDescent="0.25">
      <c r="A39" s="2" t="s">
        <v>198</v>
      </c>
      <c r="B39" s="2" t="s">
        <v>164</v>
      </c>
      <c r="C39" s="2" t="s">
        <v>5</v>
      </c>
      <c r="D39" s="2">
        <v>15.7</v>
      </c>
      <c r="E39" s="2">
        <v>7.3</v>
      </c>
      <c r="F39" s="2">
        <v>1.9</v>
      </c>
      <c r="G39" s="2">
        <v>1.7</v>
      </c>
      <c r="H39" s="2">
        <v>0</v>
      </c>
      <c r="I39" s="2">
        <v>0.3</v>
      </c>
      <c r="J39" s="2">
        <v>1.1000000000000001</v>
      </c>
      <c r="K39" s="2">
        <v>4.7699999999999996</v>
      </c>
      <c r="L39" s="2">
        <v>11.54</v>
      </c>
      <c r="M39" s="2">
        <v>18.309999999999999</v>
      </c>
      <c r="N39" s="44">
        <v>3600</v>
      </c>
      <c r="O39" s="2">
        <v>3.21</v>
      </c>
    </row>
    <row r="40" spans="1:15" x14ac:dyDescent="0.25">
      <c r="A40" s="2" t="s">
        <v>199</v>
      </c>
      <c r="B40" s="2" t="s">
        <v>161</v>
      </c>
      <c r="C40" s="2" t="s">
        <v>4</v>
      </c>
      <c r="D40" s="2">
        <v>13.7</v>
      </c>
      <c r="E40" s="2">
        <v>2.4</v>
      </c>
      <c r="F40" s="2">
        <v>2.7</v>
      </c>
      <c r="G40" s="2">
        <v>0</v>
      </c>
      <c r="H40" s="2">
        <v>0.6</v>
      </c>
      <c r="I40" s="2">
        <v>0.6</v>
      </c>
      <c r="J40" s="2">
        <v>0.8</v>
      </c>
      <c r="K40" s="2">
        <v>-1.98</v>
      </c>
      <c r="L40" s="2">
        <v>7.26</v>
      </c>
      <c r="M40" s="2">
        <v>16.510000000000002</v>
      </c>
      <c r="N40" s="44">
        <v>3500</v>
      </c>
      <c r="O40" s="2">
        <v>2.0699999999999998</v>
      </c>
    </row>
    <row r="41" spans="1:15" x14ac:dyDescent="0.25">
      <c r="A41" s="2" t="s">
        <v>200</v>
      </c>
      <c r="B41" s="2" t="s">
        <v>164</v>
      </c>
      <c r="C41" s="2" t="s">
        <v>1</v>
      </c>
      <c r="D41" s="2">
        <v>13</v>
      </c>
      <c r="E41" s="2">
        <v>4.7</v>
      </c>
      <c r="F41" s="2">
        <v>1</v>
      </c>
      <c r="G41" s="2">
        <v>2</v>
      </c>
      <c r="H41" s="2">
        <v>0.2</v>
      </c>
      <c r="I41" s="2">
        <v>0.4</v>
      </c>
      <c r="J41" s="2">
        <v>1</v>
      </c>
      <c r="K41" s="2">
        <v>2.81</v>
      </c>
      <c r="L41" s="2">
        <v>9.1300000000000008</v>
      </c>
      <c r="M41" s="2">
        <v>15.45</v>
      </c>
      <c r="N41" s="44">
        <v>3500</v>
      </c>
      <c r="O41" s="2">
        <v>2.61</v>
      </c>
    </row>
    <row r="42" spans="1:15" x14ac:dyDescent="0.25">
      <c r="A42" s="2" t="s">
        <v>201</v>
      </c>
      <c r="B42" s="2" t="s">
        <v>159</v>
      </c>
      <c r="C42" s="2" t="s">
        <v>5</v>
      </c>
      <c r="D42" s="2">
        <v>10.7</v>
      </c>
      <c r="E42" s="2">
        <v>5.0999999999999996</v>
      </c>
      <c r="F42" s="2">
        <v>1.7</v>
      </c>
      <c r="G42" s="2">
        <v>0.8</v>
      </c>
      <c r="H42" s="2">
        <v>0.1</v>
      </c>
      <c r="I42" s="2">
        <v>0.2</v>
      </c>
      <c r="J42" s="2">
        <v>0.4</v>
      </c>
      <c r="K42" s="2">
        <v>1.97</v>
      </c>
      <c r="L42" s="2">
        <v>8.49</v>
      </c>
      <c r="M42" s="2">
        <v>15.02</v>
      </c>
      <c r="N42" s="44">
        <v>3500</v>
      </c>
      <c r="O42" s="2">
        <v>2.4300000000000002</v>
      </c>
    </row>
    <row r="43" spans="1:15" x14ac:dyDescent="0.25">
      <c r="A43" s="2" t="s">
        <v>202</v>
      </c>
      <c r="B43" s="2" t="s">
        <v>159</v>
      </c>
      <c r="C43" s="2" t="s">
        <v>2</v>
      </c>
      <c r="D43" s="2">
        <v>11.3</v>
      </c>
      <c r="E43" s="2">
        <v>2.8</v>
      </c>
      <c r="F43" s="2">
        <v>2.2999999999999998</v>
      </c>
      <c r="G43" s="2">
        <v>0.6</v>
      </c>
      <c r="H43" s="2">
        <v>0.2</v>
      </c>
      <c r="I43" s="2">
        <v>0.3</v>
      </c>
      <c r="J43" s="2">
        <v>0.4</v>
      </c>
      <c r="K43" s="2">
        <v>1.25</v>
      </c>
      <c r="L43" s="2">
        <v>6.96</v>
      </c>
      <c r="M43" s="2">
        <v>12.67</v>
      </c>
      <c r="N43" s="44">
        <v>3500</v>
      </c>
      <c r="O43" s="2">
        <v>1.99</v>
      </c>
    </row>
    <row r="44" spans="1:15" x14ac:dyDescent="0.25">
      <c r="A44" s="2" t="s">
        <v>203</v>
      </c>
      <c r="B44" s="2" t="s">
        <v>159</v>
      </c>
      <c r="C44" s="2" t="s">
        <v>4</v>
      </c>
      <c r="D44" s="2">
        <v>8.3000000000000007</v>
      </c>
      <c r="E44" s="2">
        <v>2.8</v>
      </c>
      <c r="F44" s="2">
        <v>2.1</v>
      </c>
      <c r="G44" s="2">
        <v>0.7</v>
      </c>
      <c r="H44" s="2">
        <v>0.4</v>
      </c>
      <c r="I44" s="2">
        <v>0.1</v>
      </c>
      <c r="J44" s="2">
        <v>0.3</v>
      </c>
      <c r="K44" s="2">
        <v>2.4500000000000002</v>
      </c>
      <c r="L44" s="2">
        <v>6.9</v>
      </c>
      <c r="M44" s="2">
        <v>11.35</v>
      </c>
      <c r="N44" s="44">
        <v>3500</v>
      </c>
      <c r="O44" s="2">
        <v>1.97</v>
      </c>
    </row>
    <row r="45" spans="1:15" x14ac:dyDescent="0.25">
      <c r="A45" s="2" t="s">
        <v>204</v>
      </c>
      <c r="B45" s="2" t="s">
        <v>58</v>
      </c>
      <c r="C45" s="2" t="s">
        <v>1</v>
      </c>
      <c r="D45" s="2">
        <v>8</v>
      </c>
      <c r="E45" s="2">
        <v>2.4</v>
      </c>
      <c r="F45" s="2">
        <v>0.7</v>
      </c>
      <c r="G45" s="2">
        <v>0.5</v>
      </c>
      <c r="H45" s="2">
        <v>0</v>
      </c>
      <c r="I45" s="2">
        <v>0.3</v>
      </c>
      <c r="J45" s="2">
        <v>0.3</v>
      </c>
      <c r="K45" s="2">
        <v>-0.27</v>
      </c>
      <c r="L45" s="2">
        <v>4.3099999999999996</v>
      </c>
      <c r="M45" s="2">
        <v>8.8800000000000008</v>
      </c>
      <c r="N45" s="44">
        <v>3500</v>
      </c>
      <c r="O45" s="2">
        <v>1.23</v>
      </c>
    </row>
    <row r="46" spans="1:15" x14ac:dyDescent="0.25">
      <c r="A46" s="2" t="s">
        <v>205</v>
      </c>
      <c r="B46" s="2" t="s">
        <v>159</v>
      </c>
      <c r="C46" s="2" t="s">
        <v>2</v>
      </c>
      <c r="D46" s="2">
        <v>3</v>
      </c>
      <c r="E46" s="2">
        <v>0.9</v>
      </c>
      <c r="F46" s="2">
        <v>0.7</v>
      </c>
      <c r="G46" s="2">
        <v>0.1</v>
      </c>
      <c r="H46" s="2">
        <v>0.1</v>
      </c>
      <c r="I46" s="2">
        <v>0.1</v>
      </c>
      <c r="J46" s="2">
        <v>0.2</v>
      </c>
      <c r="K46" s="2">
        <v>-2.35</v>
      </c>
      <c r="L46" s="2">
        <v>2.02</v>
      </c>
      <c r="M46" s="2">
        <v>6.38</v>
      </c>
      <c r="N46" s="44">
        <v>3500</v>
      </c>
      <c r="O46" s="2">
        <v>0.57999999999999996</v>
      </c>
    </row>
    <row r="47" spans="1:15" x14ac:dyDescent="0.25">
      <c r="A47" s="2" t="s">
        <v>206</v>
      </c>
      <c r="B47" s="2" t="s">
        <v>164</v>
      </c>
      <c r="C47" s="2" t="s">
        <v>4</v>
      </c>
      <c r="D47" s="2">
        <v>2.2999999999999998</v>
      </c>
      <c r="E47" s="2">
        <v>0.8</v>
      </c>
      <c r="F47" s="2">
        <v>0.9</v>
      </c>
      <c r="G47" s="2">
        <v>0.1</v>
      </c>
      <c r="H47" s="2">
        <v>0.2</v>
      </c>
      <c r="I47" s="2">
        <v>0.1</v>
      </c>
      <c r="J47" s="2">
        <v>0</v>
      </c>
      <c r="K47" s="2">
        <v>-0.69</v>
      </c>
      <c r="L47" s="2">
        <v>2.67</v>
      </c>
      <c r="M47" s="2">
        <v>6.02</v>
      </c>
      <c r="N47" s="44">
        <v>3500</v>
      </c>
      <c r="O47" s="2">
        <v>0.76</v>
      </c>
    </row>
    <row r="48" spans="1:15" x14ac:dyDescent="0.25">
      <c r="A48" s="2" t="s">
        <v>207</v>
      </c>
      <c r="B48" s="2" t="s">
        <v>164</v>
      </c>
      <c r="C48" s="2" t="s">
        <v>5</v>
      </c>
      <c r="D48" s="2">
        <v>2.2999999999999998</v>
      </c>
      <c r="E48" s="2">
        <v>1.2</v>
      </c>
      <c r="F48" s="2">
        <v>0.3</v>
      </c>
      <c r="G48" s="2">
        <v>0.3</v>
      </c>
      <c r="H48" s="2">
        <v>0</v>
      </c>
      <c r="I48" s="2">
        <v>0.1</v>
      </c>
      <c r="J48" s="2">
        <v>0.1</v>
      </c>
      <c r="K48" s="2">
        <v>-0.89</v>
      </c>
      <c r="L48" s="2">
        <v>2</v>
      </c>
      <c r="M48" s="2">
        <v>4.8899999999999997</v>
      </c>
      <c r="N48" s="44">
        <v>3500</v>
      </c>
      <c r="O48" s="2">
        <v>0.56999999999999995</v>
      </c>
    </row>
    <row r="49" spans="1:15" x14ac:dyDescent="0.25">
      <c r="A49" s="2" t="s">
        <v>208</v>
      </c>
      <c r="B49" s="2" t="s">
        <v>161</v>
      </c>
      <c r="C49" s="2" t="s">
        <v>2</v>
      </c>
      <c r="D49" s="2">
        <v>3.3</v>
      </c>
      <c r="E49" s="2">
        <v>1</v>
      </c>
      <c r="F49" s="2">
        <v>0.5</v>
      </c>
      <c r="G49" s="2">
        <v>0.1</v>
      </c>
      <c r="H49" s="2">
        <v>0.1</v>
      </c>
      <c r="I49" s="2">
        <v>0.2</v>
      </c>
      <c r="J49" s="2">
        <v>0.2</v>
      </c>
      <c r="K49" s="2">
        <v>-0.05</v>
      </c>
      <c r="L49" s="2">
        <v>2.08</v>
      </c>
      <c r="M49" s="2">
        <v>4.22</v>
      </c>
      <c r="N49" s="44">
        <v>3500</v>
      </c>
      <c r="O49" s="2">
        <v>0.59</v>
      </c>
    </row>
    <row r="50" spans="1:15" x14ac:dyDescent="0.25">
      <c r="A50" s="2" t="s">
        <v>86</v>
      </c>
      <c r="B50" s="2" t="s">
        <v>3</v>
      </c>
      <c r="C50" s="2" t="s">
        <v>87</v>
      </c>
      <c r="E50" s="2" t="s">
        <v>88</v>
      </c>
      <c r="F50" s="2">
        <v>18.140384380634</v>
      </c>
      <c r="G50" s="2">
        <v>52</v>
      </c>
      <c r="H50" s="2">
        <v>3600</v>
      </c>
      <c r="I50" s="2" t="s">
        <v>83</v>
      </c>
      <c r="J50" s="2" t="s">
        <v>56</v>
      </c>
      <c r="K50" s="2" t="s">
        <v>55</v>
      </c>
    </row>
    <row r="51" spans="1:15" x14ac:dyDescent="0.25">
      <c r="A51" s="2" t="s">
        <v>89</v>
      </c>
      <c r="B51" s="2" t="s">
        <v>2</v>
      </c>
      <c r="C51" s="2" t="s">
        <v>51</v>
      </c>
      <c r="E51" s="2" t="s">
        <v>90</v>
      </c>
      <c r="F51" s="2">
        <v>9.0270270270270192</v>
      </c>
      <c r="G51" s="2">
        <v>37</v>
      </c>
      <c r="H51" s="2">
        <v>3600</v>
      </c>
      <c r="I51" s="2" t="s">
        <v>84</v>
      </c>
      <c r="J51" s="2" t="s">
        <v>58</v>
      </c>
      <c r="K51" s="2" t="s">
        <v>85</v>
      </c>
    </row>
    <row r="52" spans="1:15" x14ac:dyDescent="0.25">
      <c r="A52" s="2" t="s">
        <v>91</v>
      </c>
      <c r="B52" s="2" t="s">
        <v>2</v>
      </c>
      <c r="C52" s="2" t="s">
        <v>38</v>
      </c>
      <c r="E52" s="2" t="s">
        <v>65</v>
      </c>
      <c r="F52" s="2">
        <v>17.452499389648398</v>
      </c>
      <c r="G52" s="2">
        <v>40</v>
      </c>
      <c r="H52" s="2">
        <v>3600</v>
      </c>
      <c r="I52" s="2" t="s">
        <v>84</v>
      </c>
      <c r="J52" s="2" t="s">
        <v>85</v>
      </c>
      <c r="K52" s="2" t="s">
        <v>58</v>
      </c>
      <c r="L52" s="2" t="s">
        <v>36</v>
      </c>
      <c r="M52" s="2" t="s">
        <v>35</v>
      </c>
    </row>
    <row r="53" spans="1:15" x14ac:dyDescent="0.25">
      <c r="A53" s="2" t="s">
        <v>92</v>
      </c>
      <c r="B53" s="2" t="s">
        <v>1</v>
      </c>
      <c r="C53" s="2" t="s">
        <v>93</v>
      </c>
      <c r="E53" s="2" t="s">
        <v>94</v>
      </c>
      <c r="F53" s="2">
        <v>6.08571443103608</v>
      </c>
      <c r="G53" s="2">
        <v>21</v>
      </c>
      <c r="H53" s="2">
        <v>3600</v>
      </c>
      <c r="I53" s="2" t="s">
        <v>84</v>
      </c>
      <c r="J53" s="2" t="s">
        <v>85</v>
      </c>
      <c r="K53" s="2" t="s">
        <v>58</v>
      </c>
    </row>
    <row r="54" spans="1:15" x14ac:dyDescent="0.25">
      <c r="A54" s="2" t="s">
        <v>95</v>
      </c>
      <c r="B54" s="2" t="s">
        <v>2</v>
      </c>
      <c r="C54" s="2" t="s">
        <v>96</v>
      </c>
      <c r="E54" s="2" t="s">
        <v>97</v>
      </c>
      <c r="F54" s="2">
        <v>12.772727272727201</v>
      </c>
      <c r="G54" s="2">
        <v>22</v>
      </c>
      <c r="H54" s="2">
        <v>3600</v>
      </c>
      <c r="I54" s="2" t="s">
        <v>83</v>
      </c>
      <c r="J54" s="2" t="s">
        <v>55</v>
      </c>
      <c r="K54" s="2" t="s">
        <v>56</v>
      </c>
      <c r="L54" s="2" t="s">
        <v>36</v>
      </c>
      <c r="M54" s="2" t="s">
        <v>39</v>
      </c>
    </row>
    <row r="55" spans="1:15" x14ac:dyDescent="0.25">
      <c r="A55" s="2" t="s">
        <v>98</v>
      </c>
      <c r="B55" s="2" t="s">
        <v>1</v>
      </c>
      <c r="C55" s="2" t="s">
        <v>99</v>
      </c>
      <c r="E55" s="2" t="s">
        <v>42</v>
      </c>
      <c r="F55" s="2">
        <v>10.9499997225674</v>
      </c>
      <c r="G55" s="2">
        <v>44</v>
      </c>
      <c r="H55" s="2">
        <v>3600</v>
      </c>
      <c r="I55" s="2" t="s">
        <v>84</v>
      </c>
      <c r="J55" s="2" t="s">
        <v>58</v>
      </c>
      <c r="K55" s="2" t="s">
        <v>85</v>
      </c>
    </row>
    <row r="56" spans="1:15" x14ac:dyDescent="0.25">
      <c r="A56" s="2" t="s">
        <v>100</v>
      </c>
      <c r="B56" s="2" t="s">
        <v>1</v>
      </c>
      <c r="C56" s="2" t="s">
        <v>32</v>
      </c>
      <c r="E56" s="2" t="s">
        <v>101</v>
      </c>
      <c r="F56" s="2">
        <v>9.6218748092651296</v>
      </c>
      <c r="G56" s="2">
        <v>32</v>
      </c>
      <c r="H56" s="2">
        <v>3500</v>
      </c>
      <c r="I56" s="2" t="s">
        <v>84</v>
      </c>
      <c r="J56" s="2" t="s">
        <v>58</v>
      </c>
      <c r="K56" s="2" t="s">
        <v>85</v>
      </c>
    </row>
    <row r="57" spans="1:15" x14ac:dyDescent="0.25">
      <c r="A57" s="2" t="s">
        <v>102</v>
      </c>
      <c r="B57" s="2" t="s">
        <v>4</v>
      </c>
      <c r="C57" s="2" t="s">
        <v>103</v>
      </c>
      <c r="E57" s="2" t="s">
        <v>104</v>
      </c>
      <c r="F57" s="2">
        <v>15.140000221946</v>
      </c>
      <c r="G57" s="2">
        <v>55</v>
      </c>
      <c r="H57" s="2">
        <v>3500</v>
      </c>
      <c r="I57" s="2" t="s">
        <v>83</v>
      </c>
      <c r="J57" s="2" t="s">
        <v>55</v>
      </c>
      <c r="K57" s="2" t="s">
        <v>56</v>
      </c>
    </row>
    <row r="58" spans="1:15" x14ac:dyDescent="0.25">
      <c r="A58" s="2" t="s">
        <v>105</v>
      </c>
      <c r="B58" s="2" t="s">
        <v>4</v>
      </c>
      <c r="C58" s="2" t="s">
        <v>106</v>
      </c>
      <c r="E58" s="2" t="s">
        <v>107</v>
      </c>
      <c r="F58" s="2">
        <v>15.046154315655</v>
      </c>
      <c r="G58" s="2">
        <v>52</v>
      </c>
      <c r="H58" s="2">
        <v>3500</v>
      </c>
      <c r="I58" s="2" t="s">
        <v>83</v>
      </c>
      <c r="J58" s="2" t="s">
        <v>56</v>
      </c>
      <c r="K58" s="2" t="s">
        <v>55</v>
      </c>
    </row>
    <row r="59" spans="1:15" x14ac:dyDescent="0.25">
      <c r="A59" s="2" t="s">
        <v>108</v>
      </c>
      <c r="B59" s="2" t="s">
        <v>2</v>
      </c>
      <c r="C59" s="2" t="s">
        <v>64</v>
      </c>
      <c r="E59" s="2" t="s">
        <v>109</v>
      </c>
      <c r="F59" s="2">
        <v>7.2636365023526199</v>
      </c>
      <c r="G59" s="2">
        <v>11</v>
      </c>
      <c r="H59" s="2">
        <v>3500</v>
      </c>
      <c r="I59" s="2" t="s">
        <v>84</v>
      </c>
      <c r="J59" s="2" t="s">
        <v>85</v>
      </c>
      <c r="K59" s="2" t="s">
        <v>58</v>
      </c>
    </row>
    <row r="60" spans="1:15" x14ac:dyDescent="0.25">
      <c r="A60" s="2" t="s">
        <v>110</v>
      </c>
      <c r="B60" s="2" t="s">
        <v>4</v>
      </c>
      <c r="C60" s="2" t="s">
        <v>111</v>
      </c>
      <c r="E60" s="2" t="s">
        <v>112</v>
      </c>
      <c r="F60" s="2">
        <v>6.6799997965494704</v>
      </c>
      <c r="G60" s="2">
        <v>30</v>
      </c>
      <c r="H60" s="2">
        <v>3500</v>
      </c>
      <c r="I60" s="2" t="s">
        <v>84</v>
      </c>
      <c r="J60" s="2" t="s">
        <v>85</v>
      </c>
      <c r="K60" s="2" t="s">
        <v>58</v>
      </c>
    </row>
    <row r="61" spans="1:15" x14ac:dyDescent="0.25">
      <c r="A61" s="2" t="s">
        <v>113</v>
      </c>
      <c r="B61" s="2" t="s">
        <v>3</v>
      </c>
      <c r="C61" s="2" t="s">
        <v>80</v>
      </c>
      <c r="E61" s="2" t="s">
        <v>114</v>
      </c>
      <c r="F61" s="2">
        <v>16.761110658998799</v>
      </c>
      <c r="G61" s="2">
        <v>54</v>
      </c>
      <c r="H61" s="2">
        <v>3500</v>
      </c>
      <c r="I61" s="2" t="s">
        <v>84</v>
      </c>
      <c r="J61" s="2" t="s">
        <v>85</v>
      </c>
      <c r="K61" s="2" t="s">
        <v>58</v>
      </c>
    </row>
    <row r="62" spans="1:15" x14ac:dyDescent="0.25">
      <c r="A62" s="2" t="s">
        <v>115</v>
      </c>
      <c r="B62" s="2" t="s">
        <v>2</v>
      </c>
      <c r="C62" s="2" t="s">
        <v>49</v>
      </c>
      <c r="E62" s="2" t="s">
        <v>37</v>
      </c>
      <c r="F62" s="2">
        <v>4.92000007629394</v>
      </c>
      <c r="G62" s="2">
        <v>5</v>
      </c>
      <c r="H62" s="2">
        <v>3500</v>
      </c>
      <c r="I62" s="2" t="s">
        <v>82</v>
      </c>
      <c r="J62" s="2" t="s">
        <v>57</v>
      </c>
      <c r="K62" s="2" t="s">
        <v>31</v>
      </c>
    </row>
    <row r="63" spans="1:15" x14ac:dyDescent="0.25">
      <c r="A63" s="2" t="s">
        <v>116</v>
      </c>
      <c r="B63" s="2" t="s">
        <v>5</v>
      </c>
      <c r="C63" s="2" t="s">
        <v>117</v>
      </c>
      <c r="E63" s="2" t="s">
        <v>60</v>
      </c>
      <c r="F63" s="2">
        <v>5.1749999999999998</v>
      </c>
      <c r="G63" s="2">
        <v>20</v>
      </c>
      <c r="H63" s="2">
        <v>3500</v>
      </c>
      <c r="I63" s="2" t="s">
        <v>83</v>
      </c>
      <c r="J63" s="2" t="s">
        <v>55</v>
      </c>
      <c r="K63" s="2" t="s">
        <v>56</v>
      </c>
    </row>
    <row r="64" spans="1:15" x14ac:dyDescent="0.25">
      <c r="A64" s="2" t="s">
        <v>118</v>
      </c>
      <c r="B64" s="2" t="s">
        <v>5</v>
      </c>
      <c r="C64" s="2" t="s">
        <v>44</v>
      </c>
      <c r="E64" s="2" t="s">
        <v>45</v>
      </c>
      <c r="F64" s="2">
        <v>15.6666666666666</v>
      </c>
      <c r="G64" s="2">
        <v>21</v>
      </c>
      <c r="H64" s="2">
        <v>3500</v>
      </c>
      <c r="I64" s="2" t="s">
        <v>82</v>
      </c>
      <c r="J64" s="2" t="s">
        <v>31</v>
      </c>
      <c r="K64" s="2" t="s">
        <v>57</v>
      </c>
      <c r="L64" s="2" t="s">
        <v>34</v>
      </c>
      <c r="M64" s="2" t="s">
        <v>41</v>
      </c>
    </row>
    <row r="65" spans="1:13" x14ac:dyDescent="0.25">
      <c r="A65" s="2" t="s">
        <v>119</v>
      </c>
      <c r="B65" s="2" t="s">
        <v>5</v>
      </c>
      <c r="C65" s="2" t="s">
        <v>66</v>
      </c>
      <c r="E65" s="2" t="s">
        <v>67</v>
      </c>
      <c r="F65" s="2">
        <v>12.297872340425499</v>
      </c>
      <c r="G65" s="2">
        <v>47</v>
      </c>
      <c r="H65" s="2">
        <v>3500</v>
      </c>
      <c r="I65" s="2" t="s">
        <v>83</v>
      </c>
      <c r="J65" s="2" t="s">
        <v>55</v>
      </c>
      <c r="K65" s="2" t="s">
        <v>56</v>
      </c>
    </row>
    <row r="66" spans="1:13" x14ac:dyDescent="0.25">
      <c r="A66" s="2" t="s">
        <v>120</v>
      </c>
      <c r="B66" s="2" t="s">
        <v>4</v>
      </c>
      <c r="C66" s="2" t="s">
        <v>121</v>
      </c>
      <c r="E66" s="2" t="s">
        <v>122</v>
      </c>
      <c r="F66" s="2">
        <v>0.73333334922790505</v>
      </c>
      <c r="G66" s="2">
        <v>3</v>
      </c>
      <c r="H66" s="2">
        <v>3500</v>
      </c>
      <c r="I66" s="2" t="s">
        <v>83</v>
      </c>
      <c r="J66" s="2" t="s">
        <v>55</v>
      </c>
      <c r="K66" s="2" t="s">
        <v>56</v>
      </c>
    </row>
    <row r="67" spans="1:13" x14ac:dyDescent="0.25">
      <c r="A67" s="2" t="s">
        <v>123</v>
      </c>
      <c r="B67" s="2" t="s">
        <v>3</v>
      </c>
      <c r="C67" s="2" t="s">
        <v>59</v>
      </c>
      <c r="E67" s="2" t="s">
        <v>124</v>
      </c>
      <c r="F67" s="2">
        <v>7.8434779954993203</v>
      </c>
      <c r="G67" s="2">
        <v>23</v>
      </c>
      <c r="H67" s="2">
        <v>3500</v>
      </c>
      <c r="I67" s="2" t="s">
        <v>84</v>
      </c>
      <c r="J67" s="2" t="s">
        <v>58</v>
      </c>
      <c r="K67" s="2" t="s">
        <v>85</v>
      </c>
      <c r="L67" s="2" t="s">
        <v>36</v>
      </c>
      <c r="M67" s="2" t="s">
        <v>40</v>
      </c>
    </row>
    <row r="68" spans="1:13" x14ac:dyDescent="0.25">
      <c r="A68" s="2" t="s">
        <v>125</v>
      </c>
      <c r="B68" s="2" t="s">
        <v>1</v>
      </c>
      <c r="C68" s="2" t="s">
        <v>46</v>
      </c>
      <c r="E68" s="2" t="s">
        <v>47</v>
      </c>
      <c r="F68" s="2">
        <v>8.1029411764705799</v>
      </c>
      <c r="G68" s="2">
        <v>34</v>
      </c>
      <c r="H68" s="2">
        <v>3500</v>
      </c>
      <c r="I68" s="2" t="s">
        <v>82</v>
      </c>
      <c r="J68" s="2" t="s">
        <v>31</v>
      </c>
      <c r="K68" s="2" t="s">
        <v>57</v>
      </c>
    </row>
    <row r="69" spans="1:13" x14ac:dyDescent="0.25">
      <c r="A69" s="2" t="s">
        <v>126</v>
      </c>
      <c r="B69" s="2" t="s">
        <v>5</v>
      </c>
      <c r="C69" s="2" t="s">
        <v>30</v>
      </c>
      <c r="E69" s="2" t="s">
        <v>48</v>
      </c>
      <c r="F69" s="2">
        <v>4.2333332408558197</v>
      </c>
      <c r="G69" s="2">
        <v>33</v>
      </c>
      <c r="H69" s="2">
        <v>3500</v>
      </c>
      <c r="I69" s="2" t="s">
        <v>82</v>
      </c>
      <c r="J69" s="2" t="s">
        <v>31</v>
      </c>
      <c r="K69" s="2" t="s">
        <v>57</v>
      </c>
    </row>
    <row r="70" spans="1:13" x14ac:dyDescent="0.25">
      <c r="A70" s="2" t="s">
        <v>127</v>
      </c>
      <c r="B70" s="2" t="s">
        <v>2</v>
      </c>
      <c r="C70" s="2" t="s">
        <v>128</v>
      </c>
      <c r="E70" s="2" t="s">
        <v>129</v>
      </c>
      <c r="F70" s="2">
        <v>5.2000002179826996</v>
      </c>
      <c r="G70" s="2">
        <v>7</v>
      </c>
      <c r="H70" s="2">
        <v>3500</v>
      </c>
      <c r="I70" s="2" t="s">
        <v>83</v>
      </c>
      <c r="J70" s="2" t="s">
        <v>55</v>
      </c>
      <c r="K70" s="2" t="s">
        <v>56</v>
      </c>
    </row>
    <row r="71" spans="1:13" x14ac:dyDescent="0.25">
      <c r="A71" s="2" t="s">
        <v>130</v>
      </c>
      <c r="B71" s="2" t="s">
        <v>1</v>
      </c>
      <c r="C71" s="2" t="s">
        <v>131</v>
      </c>
      <c r="E71" s="2" t="s">
        <v>132</v>
      </c>
      <c r="F71" s="2">
        <v>16.5433959960937</v>
      </c>
      <c r="G71" s="2">
        <v>53</v>
      </c>
      <c r="H71" s="2">
        <v>3500</v>
      </c>
      <c r="I71" s="2" t="s">
        <v>84</v>
      </c>
      <c r="J71" s="2" t="s">
        <v>85</v>
      </c>
      <c r="K71" s="2" t="s">
        <v>58</v>
      </c>
    </row>
    <row r="72" spans="1:13" x14ac:dyDescent="0.25">
      <c r="A72" s="2" t="s">
        <v>133</v>
      </c>
      <c r="B72" s="2" t="s">
        <v>4</v>
      </c>
      <c r="C72" s="2" t="s">
        <v>134</v>
      </c>
      <c r="E72" s="2" t="s">
        <v>135</v>
      </c>
      <c r="F72" s="2">
        <v>7.5659997558593703</v>
      </c>
      <c r="G72" s="2">
        <v>50</v>
      </c>
      <c r="H72" s="2">
        <v>3500</v>
      </c>
      <c r="I72" s="2" t="s">
        <v>82</v>
      </c>
      <c r="J72" s="2" t="s">
        <v>57</v>
      </c>
      <c r="K72" s="2" t="s">
        <v>31</v>
      </c>
    </row>
    <row r="73" spans="1:13" x14ac:dyDescent="0.25">
      <c r="A73" s="2" t="s">
        <v>136</v>
      </c>
      <c r="B73" s="2" t="s">
        <v>5</v>
      </c>
      <c r="C73" s="2" t="s">
        <v>61</v>
      </c>
      <c r="E73" s="2" t="s">
        <v>137</v>
      </c>
      <c r="F73" s="2">
        <v>7.7285715738932197</v>
      </c>
      <c r="G73" s="2">
        <v>21</v>
      </c>
      <c r="H73" s="2">
        <v>3500</v>
      </c>
      <c r="I73" s="2" t="s">
        <v>82</v>
      </c>
      <c r="J73" s="2" t="s">
        <v>57</v>
      </c>
      <c r="K73" s="2" t="s">
        <v>31</v>
      </c>
    </row>
    <row r="74" spans="1:13" x14ac:dyDescent="0.25">
      <c r="A74" s="2" t="s">
        <v>138</v>
      </c>
      <c r="B74" s="2" t="s">
        <v>5</v>
      </c>
      <c r="C74" s="2" t="s">
        <v>62</v>
      </c>
      <c r="E74" s="2" t="s">
        <v>139</v>
      </c>
      <c r="F74" s="2">
        <v>15.7777777777777</v>
      </c>
      <c r="G74" s="2">
        <v>9</v>
      </c>
      <c r="H74" s="2">
        <v>3500</v>
      </c>
      <c r="I74" s="2" t="s">
        <v>82</v>
      </c>
      <c r="J74" s="2" t="s">
        <v>57</v>
      </c>
      <c r="K74" s="2" t="s">
        <v>31</v>
      </c>
    </row>
    <row r="75" spans="1:13" x14ac:dyDescent="0.25">
      <c r="A75" s="2" t="s">
        <v>140</v>
      </c>
      <c r="B75" s="2" t="s">
        <v>1</v>
      </c>
      <c r="C75" s="2" t="s">
        <v>71</v>
      </c>
      <c r="E75" s="2" t="s">
        <v>72</v>
      </c>
      <c r="F75" s="2">
        <v>7.7863637750799004</v>
      </c>
      <c r="G75" s="2">
        <v>22</v>
      </c>
      <c r="H75" s="2">
        <v>3500</v>
      </c>
      <c r="I75" s="2" t="s">
        <v>83</v>
      </c>
      <c r="J75" s="2" t="s">
        <v>56</v>
      </c>
      <c r="K75" s="2" t="s">
        <v>55</v>
      </c>
    </row>
    <row r="76" spans="1:13" x14ac:dyDescent="0.25">
      <c r="A76" s="2" t="s">
        <v>141</v>
      </c>
      <c r="B76" s="2" t="s">
        <v>3</v>
      </c>
      <c r="C76" s="2" t="s">
        <v>68</v>
      </c>
      <c r="E76" s="2" t="s">
        <v>69</v>
      </c>
      <c r="F76" s="2">
        <v>2.4055555131700301</v>
      </c>
      <c r="G76" s="2">
        <v>18</v>
      </c>
      <c r="H76" s="2">
        <v>3500</v>
      </c>
      <c r="I76" s="2" t="s">
        <v>83</v>
      </c>
      <c r="J76" s="2" t="s">
        <v>56</v>
      </c>
      <c r="K76" s="2" t="s">
        <v>55</v>
      </c>
    </row>
    <row r="77" spans="1:13" x14ac:dyDescent="0.25">
      <c r="A77" s="2" t="s">
        <v>142</v>
      </c>
      <c r="B77" s="2" t="s">
        <v>1</v>
      </c>
      <c r="C77" s="2" t="s">
        <v>143</v>
      </c>
      <c r="E77" s="2" t="s">
        <v>48</v>
      </c>
      <c r="F77" s="2">
        <v>8.5999998204848307</v>
      </c>
      <c r="G77" s="2">
        <v>34</v>
      </c>
      <c r="H77" s="2">
        <v>3500</v>
      </c>
      <c r="I77" s="2" t="s">
        <v>82</v>
      </c>
      <c r="J77" s="2" t="s">
        <v>57</v>
      </c>
      <c r="K77" s="2" t="s">
        <v>31</v>
      </c>
    </row>
    <row r="78" spans="1:13" x14ac:dyDescent="0.25">
      <c r="A78" s="2" t="s">
        <v>144</v>
      </c>
      <c r="B78" s="2" t="s">
        <v>5</v>
      </c>
      <c r="C78" s="2" t="s">
        <v>73</v>
      </c>
      <c r="E78" s="2" t="s">
        <v>74</v>
      </c>
      <c r="F78" s="2">
        <v>7.11666666666666</v>
      </c>
      <c r="G78" s="2">
        <v>30</v>
      </c>
      <c r="H78" s="2">
        <v>3500</v>
      </c>
      <c r="I78" s="2" t="s">
        <v>84</v>
      </c>
      <c r="J78" s="2" t="s">
        <v>58</v>
      </c>
      <c r="K78" s="2" t="s">
        <v>85</v>
      </c>
    </row>
    <row r="79" spans="1:13" x14ac:dyDescent="0.25">
      <c r="A79" s="2" t="s">
        <v>145</v>
      </c>
      <c r="B79" s="2" t="s">
        <v>5</v>
      </c>
      <c r="C79" s="2" t="s">
        <v>49</v>
      </c>
      <c r="E79" s="2" t="s">
        <v>50</v>
      </c>
      <c r="F79" s="2">
        <v>7.0914284842354904</v>
      </c>
      <c r="G79" s="2">
        <v>35</v>
      </c>
      <c r="H79" s="2">
        <v>3500</v>
      </c>
      <c r="I79" s="2" t="s">
        <v>82</v>
      </c>
      <c r="J79" s="2" t="s">
        <v>31</v>
      </c>
      <c r="K79" s="2" t="s">
        <v>57</v>
      </c>
    </row>
    <row r="80" spans="1:13" x14ac:dyDescent="0.25">
      <c r="A80" s="2" t="s">
        <v>146</v>
      </c>
      <c r="B80" s="2" t="s">
        <v>1</v>
      </c>
      <c r="C80" s="2" t="s">
        <v>75</v>
      </c>
      <c r="E80" s="2" t="s">
        <v>76</v>
      </c>
      <c r="F80" s="2">
        <v>8.2041664123535103</v>
      </c>
      <c r="G80" s="2">
        <v>24</v>
      </c>
      <c r="H80" s="2">
        <v>3500</v>
      </c>
      <c r="I80" s="2" t="s">
        <v>83</v>
      </c>
      <c r="J80" s="2" t="s">
        <v>56</v>
      </c>
      <c r="K80" s="2" t="s">
        <v>55</v>
      </c>
    </row>
    <row r="81" spans="1:13" x14ac:dyDescent="0.25">
      <c r="A81" s="2" t="s">
        <v>147</v>
      </c>
      <c r="B81" s="2" t="s">
        <v>2</v>
      </c>
      <c r="C81" s="2" t="s">
        <v>33</v>
      </c>
      <c r="E81" s="2" t="s">
        <v>70</v>
      </c>
      <c r="F81" s="2">
        <v>10.897058823529401</v>
      </c>
      <c r="G81" s="2">
        <v>34</v>
      </c>
      <c r="H81" s="2">
        <v>3500</v>
      </c>
      <c r="I81" s="2" t="s">
        <v>83</v>
      </c>
      <c r="J81" s="2" t="s">
        <v>56</v>
      </c>
      <c r="K81" s="2" t="s">
        <v>55</v>
      </c>
    </row>
    <row r="82" spans="1:13" x14ac:dyDescent="0.25">
      <c r="A82" s="2" t="s">
        <v>148</v>
      </c>
      <c r="B82" s="2" t="s">
        <v>2</v>
      </c>
      <c r="C82" s="2" t="s">
        <v>149</v>
      </c>
      <c r="E82" s="2" t="s">
        <v>150</v>
      </c>
      <c r="F82" s="2">
        <v>11.2234042553191</v>
      </c>
      <c r="G82" s="2">
        <v>47</v>
      </c>
      <c r="H82" s="2">
        <v>3500</v>
      </c>
      <c r="I82" s="2" t="s">
        <v>84</v>
      </c>
      <c r="J82" s="2" t="s">
        <v>85</v>
      </c>
      <c r="K82" s="2" t="s">
        <v>58</v>
      </c>
    </row>
    <row r="83" spans="1:13" x14ac:dyDescent="0.25">
      <c r="A83" s="2" t="s">
        <v>151</v>
      </c>
      <c r="B83" s="2" t="s">
        <v>4</v>
      </c>
      <c r="C83" s="2" t="s">
        <v>77</v>
      </c>
      <c r="E83" s="2" t="s">
        <v>78</v>
      </c>
      <c r="F83" s="2">
        <v>12.160870095957801</v>
      </c>
      <c r="G83" s="2">
        <v>46</v>
      </c>
      <c r="H83" s="2">
        <v>3500</v>
      </c>
      <c r="I83" s="2" t="s">
        <v>84</v>
      </c>
      <c r="J83" s="2" t="s">
        <v>58</v>
      </c>
      <c r="K83" s="2" t="s">
        <v>85</v>
      </c>
    </row>
    <row r="84" spans="1:13" x14ac:dyDescent="0.25">
      <c r="A84" s="2" t="s">
        <v>152</v>
      </c>
      <c r="B84" s="2" t="s">
        <v>2</v>
      </c>
      <c r="C84" s="2" t="s">
        <v>79</v>
      </c>
      <c r="E84" s="2" t="s">
        <v>52</v>
      </c>
      <c r="F84" s="2">
        <v>7.4166666666666599</v>
      </c>
      <c r="G84" s="2">
        <v>12</v>
      </c>
      <c r="H84" s="2">
        <v>3500</v>
      </c>
      <c r="I84" s="2" t="s">
        <v>82</v>
      </c>
      <c r="J84" s="2" t="s">
        <v>57</v>
      </c>
      <c r="K84" s="2" t="s">
        <v>31</v>
      </c>
      <c r="L84" s="2" t="s">
        <v>34</v>
      </c>
      <c r="M84" s="2" t="s">
        <v>43</v>
      </c>
    </row>
    <row r="85" spans="1:13" x14ac:dyDescent="0.25">
      <c r="A85" s="2" t="s">
        <v>153</v>
      </c>
      <c r="B85" s="2" t="s">
        <v>1</v>
      </c>
      <c r="C85" s="2" t="s">
        <v>63</v>
      </c>
      <c r="E85" s="2" t="s">
        <v>154</v>
      </c>
      <c r="F85" s="2">
        <v>11.264705882352899</v>
      </c>
      <c r="G85" s="2">
        <v>51</v>
      </c>
      <c r="H85" s="2">
        <v>3500</v>
      </c>
      <c r="I85" s="2" t="s">
        <v>82</v>
      </c>
      <c r="J85" s="2" t="s">
        <v>57</v>
      </c>
      <c r="K85" s="2" t="s">
        <v>31</v>
      </c>
    </row>
    <row r="86" spans="1:13" x14ac:dyDescent="0.25">
      <c r="A86" s="2" t="s">
        <v>155</v>
      </c>
      <c r="B86" s="2" t="s">
        <v>1</v>
      </c>
      <c r="C86" s="2" t="s">
        <v>156</v>
      </c>
      <c r="E86" s="2" t="s">
        <v>81</v>
      </c>
      <c r="F86" s="2">
        <v>7.4037034776475696</v>
      </c>
      <c r="G86" s="2">
        <v>27</v>
      </c>
      <c r="H86" s="2">
        <v>3500</v>
      </c>
      <c r="I86" s="2" t="s">
        <v>84</v>
      </c>
      <c r="J86" s="2" t="s">
        <v>85</v>
      </c>
      <c r="K86" s="2" t="s">
        <v>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J15" sqref="J15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9.710937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2" t="s">
        <v>19</v>
      </c>
      <c r="E2" s="42"/>
      <c r="F2" s="42"/>
      <c r="G2" s="42"/>
      <c r="H2" s="42"/>
      <c r="I2" s="42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3" t="s">
        <v>21</v>
      </c>
      <c r="E3" s="43"/>
      <c r="F3" s="43"/>
      <c r="G3" s="43"/>
      <c r="H3" s="43"/>
      <c r="I3" s="43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8</v>
      </c>
      <c r="C15" s="15"/>
      <c r="D15" s="38">
        <f>'DraftKings Basketball  Solver'!O11</f>
        <v>419.84</v>
      </c>
      <c r="E15" s="36"/>
      <c r="F15" s="41" t="str">
        <f>'DraftKings Basketball  Solver'!O17</f>
        <v>Isaiah Thomas</v>
      </c>
      <c r="G15" s="40" t="str">
        <f>'DraftKings Basketball  Solver'!O18</f>
        <v>Jeff Teague</v>
      </c>
      <c r="H15" s="41" t="str">
        <f>'DraftKings Basketball  Solver'!O19</f>
        <v>Avery Bradley</v>
      </c>
      <c r="I15" s="40" t="str">
        <f>'DraftKings Basketball  Solver'!O20</f>
        <v>Dwyane Wade</v>
      </c>
      <c r="J15" s="41" t="str">
        <f>'DraftKings Basketball  Solver'!O25</f>
        <v>Myles Turner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9</v>
      </c>
      <c r="C16" s="15"/>
      <c r="D16" s="39">
        <f>'DraftKings Basketball  Solver'!O8</f>
        <v>60000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'DraftKings Basketball  Solver'!O21</f>
        <v>Jimmy Butler</v>
      </c>
      <c r="G17" s="41" t="str">
        <f>'DraftKings Basketball  Solver'!O22</f>
        <v>Doug McDermott</v>
      </c>
      <c r="H17" s="40" t="str">
        <f>'DraftKings Basketball  Solver'!O23</f>
        <v>Kevin Seraphin</v>
      </c>
      <c r="I17" s="41" t="str">
        <f>'DraftKings Basketball  Solver'!O24</f>
        <v>Bobby Portis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DraftKings Basketball  Solver</vt:lpstr>
      <vt:lpstr>RawData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2017-02-20T18:32:05Z</dcterms:modified>
</cp:coreProperties>
</file>