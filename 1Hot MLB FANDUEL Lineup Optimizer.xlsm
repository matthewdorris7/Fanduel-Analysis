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College\Algorithms\"/>
    </mc:Choice>
  </mc:AlternateContent>
  <bookViews>
    <workbookView xWindow="0" yWindow="0" windowWidth="20490" windowHeight="7530" activeTab="2"/>
  </bookViews>
  <sheets>
    <sheet name="Fanduel MLB Solver" sheetId="2" r:id="rId1"/>
    <sheet name="Optimizer" sheetId="4" r:id="rId2"/>
    <sheet name="Pitchers1" sheetId="20" r:id="rId3"/>
    <sheet name="Batters1" sheetId="21" r:id="rId4"/>
    <sheet name="Pitchers" sheetId="16" r:id="rId5"/>
    <sheet name="Batters" sheetId="17" r:id="rId6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Solver'!$R$4</definedName>
    <definedName name="solver_lhs1" localSheetId="0" hidden="1">'Fanduel MLB Solver'!$R$8</definedName>
    <definedName name="solver_lhs10" localSheetId="0" hidden="1">'Fanduel MLB Solver'!$R$2</definedName>
    <definedName name="solver_lhs11" localSheetId="0" hidden="1">'Fanduel MLB Solver'!$R$7</definedName>
    <definedName name="solver_lhs12" localSheetId="0" hidden="1">'Fanduel MLB Solver'!$R$6</definedName>
    <definedName name="solver_lhs13" localSheetId="0" hidden="1">'Fanduel MLB Solver'!$R$7</definedName>
    <definedName name="solver_lhs14" localSheetId="0" hidden="1">'Fanduel MLB Solver'!#REF!</definedName>
    <definedName name="solver_lhs15" localSheetId="0" hidden="1">'Fanduel MLB Solver'!$R$7</definedName>
    <definedName name="solver_lhs16" localSheetId="0" hidden="1">'Fanduel MLB Solver'!$R$5</definedName>
    <definedName name="solver_lhs17" localSheetId="0" hidden="1">'Fanduel MLB Solver'!#REF!</definedName>
    <definedName name="solver_lhs2" localSheetId="0" hidden="1">'Fanduel MLB Solver'!$Q$10</definedName>
    <definedName name="solver_lhs3" localSheetId="0" hidden="1">'Fanduel MLB Solver'!$C$2:$C$200</definedName>
    <definedName name="solver_lhs4" localSheetId="0" hidden="1">'Fanduel MLB Solver'!$R$6</definedName>
    <definedName name="solver_lhs5" localSheetId="0" hidden="1">'Fanduel MLB Solver'!$R$3</definedName>
    <definedName name="solver_lhs6" localSheetId="0" hidden="1">'Fanduel MLB Solver'!$R$4</definedName>
    <definedName name="solver_lhs7" localSheetId="0" hidden="1">'Fanduel MLB Solver'!$R$5</definedName>
    <definedName name="solver_lhs8" localSheetId="0" hidden="1">'Fanduel MLB Solver'!$Q$16</definedName>
    <definedName name="solver_lhs9" localSheetId="0" hidden="1">'Fanduel MLB Solver'!$R$7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10</definedName>
    <definedName name="solver_num" localSheetId="1" hidden="1">0</definedName>
    <definedName name="solver_nwt" localSheetId="0" hidden="1">1</definedName>
    <definedName name="solver_opt" localSheetId="0" hidden="1">'Fanduel MLB Solver'!$Q$13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2</definedName>
    <definedName name="solver_rel10" localSheetId="0" hidden="1">2</definedName>
    <definedName name="solver_rel11" localSheetId="0" hidden="1">1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1</definedName>
    <definedName name="solver_rel3" localSheetId="0" hidden="1">5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Solver'!$Q$4</definedName>
    <definedName name="solver_rhs1" localSheetId="0" hidden="1">'Fanduel MLB Solver'!$Q$8</definedName>
    <definedName name="solver_rhs10" localSheetId="0" hidden="1">'Fanduel MLB Solver'!$Q$2</definedName>
    <definedName name="solver_rhs11" localSheetId="0" hidden="1">'Fanduel MLB Solver'!$Q$7</definedName>
    <definedName name="solver_rhs12" localSheetId="0" hidden="1">'Fanduel MLB Solver'!$Q$6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Solver'!$Q$5</definedName>
    <definedName name="solver_rhs17" localSheetId="0" hidden="1">'Fanduel MLB Solver'!#REF!</definedName>
    <definedName name="solver_rhs2" localSheetId="0" hidden="1">'Fanduel MLB Solver'!$Q$11</definedName>
    <definedName name="solver_rhs3" localSheetId="0" hidden="1">binary</definedName>
    <definedName name="solver_rhs4" localSheetId="0" hidden="1">'Fanduel MLB Solver'!$Q$6</definedName>
    <definedName name="solver_rhs5" localSheetId="0" hidden="1">'Fanduel MLB Solver'!$Q$3</definedName>
    <definedName name="solver_rhs6" localSheetId="0" hidden="1">'Fanduel MLB Solver'!$Q$4</definedName>
    <definedName name="solver_rhs7" localSheetId="0" hidden="1">'Fanduel MLB Solver'!$Q$5</definedName>
    <definedName name="solver_rhs8" localSheetId="0" hidden="1">'Fanduel MLB Solver'!$Q$15</definedName>
    <definedName name="solver_rhs9" localSheetId="0" hidden="1">'Fanduel MLB Solver'!$Q$7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I11" i="2" l="1"/>
  <c r="I12" i="2"/>
  <c r="I13" i="2"/>
  <c r="I14" i="2"/>
  <c r="I15" i="2"/>
  <c r="H10" i="2"/>
  <c r="H11" i="2"/>
  <c r="H12" i="2"/>
  <c r="H13" i="2"/>
  <c r="H14" i="2"/>
  <c r="H15" i="2"/>
  <c r="N200" i="2" l="1"/>
  <c r="M200" i="2"/>
  <c r="L200" i="2"/>
  <c r="K200" i="2"/>
  <c r="J200" i="2"/>
  <c r="I200" i="2"/>
  <c r="H200" i="2"/>
  <c r="A200" i="2"/>
  <c r="N199" i="2"/>
  <c r="M199" i="2"/>
  <c r="L199" i="2"/>
  <c r="K199" i="2"/>
  <c r="J199" i="2"/>
  <c r="I199" i="2"/>
  <c r="H199" i="2"/>
  <c r="A199" i="2"/>
  <c r="N198" i="2"/>
  <c r="M198" i="2"/>
  <c r="L198" i="2"/>
  <c r="K198" i="2"/>
  <c r="J198" i="2"/>
  <c r="I198" i="2"/>
  <c r="H198" i="2"/>
  <c r="A198" i="2"/>
  <c r="N197" i="2"/>
  <c r="M197" i="2"/>
  <c r="L197" i="2"/>
  <c r="K197" i="2"/>
  <c r="J197" i="2"/>
  <c r="I197" i="2"/>
  <c r="H197" i="2"/>
  <c r="A197" i="2"/>
  <c r="N196" i="2"/>
  <c r="M196" i="2"/>
  <c r="L196" i="2"/>
  <c r="K196" i="2"/>
  <c r="J196" i="2"/>
  <c r="I196" i="2"/>
  <c r="H196" i="2"/>
  <c r="A196" i="2"/>
  <c r="N195" i="2"/>
  <c r="M195" i="2"/>
  <c r="L195" i="2"/>
  <c r="K195" i="2"/>
  <c r="J195" i="2"/>
  <c r="I195" i="2"/>
  <c r="H195" i="2"/>
  <c r="A195" i="2"/>
  <c r="N194" i="2"/>
  <c r="M194" i="2"/>
  <c r="L194" i="2"/>
  <c r="K194" i="2"/>
  <c r="J194" i="2"/>
  <c r="I194" i="2"/>
  <c r="H194" i="2"/>
  <c r="A194" i="2"/>
  <c r="N193" i="2"/>
  <c r="M193" i="2"/>
  <c r="L193" i="2"/>
  <c r="K193" i="2"/>
  <c r="J193" i="2"/>
  <c r="I193" i="2"/>
  <c r="H193" i="2"/>
  <c r="A193" i="2"/>
  <c r="N192" i="2"/>
  <c r="M192" i="2"/>
  <c r="L192" i="2"/>
  <c r="K192" i="2"/>
  <c r="J192" i="2"/>
  <c r="I192" i="2"/>
  <c r="H192" i="2"/>
  <c r="A192" i="2"/>
  <c r="N191" i="2"/>
  <c r="M191" i="2"/>
  <c r="L191" i="2"/>
  <c r="K191" i="2"/>
  <c r="J191" i="2"/>
  <c r="I191" i="2"/>
  <c r="H191" i="2"/>
  <c r="A191" i="2"/>
  <c r="N190" i="2"/>
  <c r="M190" i="2"/>
  <c r="L190" i="2"/>
  <c r="K190" i="2"/>
  <c r="J190" i="2"/>
  <c r="I190" i="2"/>
  <c r="H190" i="2"/>
  <c r="A190" i="2"/>
  <c r="N189" i="2"/>
  <c r="M189" i="2"/>
  <c r="L189" i="2"/>
  <c r="K189" i="2"/>
  <c r="J189" i="2"/>
  <c r="I189" i="2"/>
  <c r="H189" i="2"/>
  <c r="A189" i="2"/>
  <c r="N188" i="2"/>
  <c r="M188" i="2"/>
  <c r="L188" i="2"/>
  <c r="K188" i="2"/>
  <c r="J188" i="2"/>
  <c r="I188" i="2"/>
  <c r="H188" i="2"/>
  <c r="A188" i="2"/>
  <c r="N187" i="2"/>
  <c r="M187" i="2"/>
  <c r="L187" i="2"/>
  <c r="K187" i="2"/>
  <c r="J187" i="2"/>
  <c r="I187" i="2"/>
  <c r="H187" i="2"/>
  <c r="A187" i="2"/>
  <c r="N186" i="2"/>
  <c r="M186" i="2"/>
  <c r="L186" i="2"/>
  <c r="K186" i="2"/>
  <c r="J186" i="2"/>
  <c r="I186" i="2"/>
  <c r="H186" i="2"/>
  <c r="A186" i="2"/>
  <c r="N185" i="2"/>
  <c r="M185" i="2"/>
  <c r="L185" i="2"/>
  <c r="K185" i="2"/>
  <c r="J185" i="2"/>
  <c r="I185" i="2"/>
  <c r="H185" i="2"/>
  <c r="A185" i="2"/>
  <c r="N184" i="2"/>
  <c r="M184" i="2"/>
  <c r="L184" i="2"/>
  <c r="K184" i="2"/>
  <c r="J184" i="2"/>
  <c r="I184" i="2"/>
  <c r="H184" i="2"/>
  <c r="A184" i="2"/>
  <c r="N183" i="2"/>
  <c r="M183" i="2"/>
  <c r="L183" i="2"/>
  <c r="K183" i="2"/>
  <c r="J183" i="2"/>
  <c r="I183" i="2"/>
  <c r="H183" i="2"/>
  <c r="A183" i="2"/>
  <c r="N182" i="2"/>
  <c r="M182" i="2"/>
  <c r="L182" i="2"/>
  <c r="K182" i="2"/>
  <c r="J182" i="2"/>
  <c r="I182" i="2"/>
  <c r="H182" i="2"/>
  <c r="A182" i="2"/>
  <c r="N181" i="2"/>
  <c r="M181" i="2"/>
  <c r="L181" i="2"/>
  <c r="K181" i="2"/>
  <c r="J181" i="2"/>
  <c r="I181" i="2"/>
  <c r="H181" i="2"/>
  <c r="A181" i="2"/>
  <c r="N180" i="2"/>
  <c r="M180" i="2"/>
  <c r="L180" i="2"/>
  <c r="K180" i="2"/>
  <c r="J180" i="2"/>
  <c r="I180" i="2"/>
  <c r="H180" i="2"/>
  <c r="A180" i="2"/>
  <c r="N179" i="2"/>
  <c r="M179" i="2"/>
  <c r="L179" i="2"/>
  <c r="K179" i="2"/>
  <c r="J179" i="2"/>
  <c r="I179" i="2"/>
  <c r="H179" i="2"/>
  <c r="A179" i="2"/>
  <c r="N178" i="2"/>
  <c r="M178" i="2"/>
  <c r="L178" i="2"/>
  <c r="K178" i="2"/>
  <c r="J178" i="2"/>
  <c r="I178" i="2"/>
  <c r="H178" i="2"/>
  <c r="A178" i="2"/>
  <c r="N177" i="2"/>
  <c r="M177" i="2"/>
  <c r="L177" i="2"/>
  <c r="K177" i="2"/>
  <c r="J177" i="2"/>
  <c r="I177" i="2"/>
  <c r="H177" i="2"/>
  <c r="A177" i="2"/>
  <c r="N176" i="2"/>
  <c r="M176" i="2"/>
  <c r="L176" i="2"/>
  <c r="K176" i="2"/>
  <c r="J176" i="2"/>
  <c r="I176" i="2"/>
  <c r="H176" i="2"/>
  <c r="A176" i="2"/>
  <c r="N175" i="2"/>
  <c r="M175" i="2"/>
  <c r="L175" i="2"/>
  <c r="K175" i="2"/>
  <c r="J175" i="2"/>
  <c r="I175" i="2"/>
  <c r="H175" i="2"/>
  <c r="A175" i="2"/>
  <c r="N174" i="2"/>
  <c r="M174" i="2"/>
  <c r="L174" i="2"/>
  <c r="K174" i="2"/>
  <c r="J174" i="2"/>
  <c r="I174" i="2"/>
  <c r="H174" i="2"/>
  <c r="A174" i="2"/>
  <c r="N173" i="2"/>
  <c r="M173" i="2"/>
  <c r="L173" i="2"/>
  <c r="K173" i="2"/>
  <c r="J173" i="2"/>
  <c r="I173" i="2"/>
  <c r="H173" i="2"/>
  <c r="A173" i="2"/>
  <c r="N172" i="2"/>
  <c r="M172" i="2"/>
  <c r="L172" i="2"/>
  <c r="K172" i="2"/>
  <c r="J172" i="2"/>
  <c r="I172" i="2"/>
  <c r="H172" i="2"/>
  <c r="A172" i="2"/>
  <c r="N171" i="2"/>
  <c r="M171" i="2"/>
  <c r="L171" i="2"/>
  <c r="K171" i="2"/>
  <c r="J171" i="2"/>
  <c r="I171" i="2"/>
  <c r="H171" i="2"/>
  <c r="A171" i="2"/>
  <c r="N170" i="2"/>
  <c r="M170" i="2"/>
  <c r="L170" i="2"/>
  <c r="K170" i="2"/>
  <c r="J170" i="2"/>
  <c r="I170" i="2"/>
  <c r="H170" i="2"/>
  <c r="A170" i="2"/>
  <c r="N169" i="2"/>
  <c r="M169" i="2"/>
  <c r="L169" i="2"/>
  <c r="K169" i="2"/>
  <c r="J169" i="2"/>
  <c r="I169" i="2"/>
  <c r="H169" i="2"/>
  <c r="A169" i="2"/>
  <c r="N168" i="2"/>
  <c r="M168" i="2"/>
  <c r="L168" i="2"/>
  <c r="K168" i="2"/>
  <c r="J168" i="2"/>
  <c r="I168" i="2"/>
  <c r="H168" i="2"/>
  <c r="A168" i="2"/>
  <c r="N167" i="2"/>
  <c r="M167" i="2"/>
  <c r="L167" i="2"/>
  <c r="K167" i="2"/>
  <c r="J167" i="2"/>
  <c r="I167" i="2"/>
  <c r="H167" i="2"/>
  <c r="A167" i="2"/>
  <c r="N166" i="2"/>
  <c r="M166" i="2"/>
  <c r="L166" i="2"/>
  <c r="K166" i="2"/>
  <c r="J166" i="2"/>
  <c r="I166" i="2"/>
  <c r="H166" i="2"/>
  <c r="A166" i="2"/>
  <c r="N165" i="2"/>
  <c r="M165" i="2"/>
  <c r="L165" i="2"/>
  <c r="K165" i="2"/>
  <c r="J165" i="2"/>
  <c r="I165" i="2"/>
  <c r="H165" i="2"/>
  <c r="A165" i="2"/>
  <c r="N164" i="2"/>
  <c r="M164" i="2"/>
  <c r="L164" i="2"/>
  <c r="K164" i="2"/>
  <c r="J164" i="2"/>
  <c r="I164" i="2"/>
  <c r="H164" i="2"/>
  <c r="A164" i="2"/>
  <c r="N163" i="2"/>
  <c r="M163" i="2"/>
  <c r="L163" i="2"/>
  <c r="K163" i="2"/>
  <c r="J163" i="2"/>
  <c r="I163" i="2"/>
  <c r="H163" i="2"/>
  <c r="A163" i="2"/>
  <c r="N162" i="2"/>
  <c r="M162" i="2"/>
  <c r="L162" i="2"/>
  <c r="K162" i="2"/>
  <c r="J162" i="2"/>
  <c r="I162" i="2"/>
  <c r="H162" i="2"/>
  <c r="A162" i="2"/>
  <c r="N161" i="2"/>
  <c r="M161" i="2"/>
  <c r="L161" i="2"/>
  <c r="K161" i="2"/>
  <c r="J161" i="2"/>
  <c r="I161" i="2"/>
  <c r="H161" i="2"/>
  <c r="A161" i="2"/>
  <c r="N160" i="2"/>
  <c r="M160" i="2"/>
  <c r="L160" i="2"/>
  <c r="K160" i="2"/>
  <c r="J160" i="2"/>
  <c r="I160" i="2"/>
  <c r="H160" i="2"/>
  <c r="A160" i="2"/>
  <c r="N159" i="2"/>
  <c r="M159" i="2"/>
  <c r="L159" i="2"/>
  <c r="K159" i="2"/>
  <c r="J159" i="2"/>
  <c r="I159" i="2"/>
  <c r="H159" i="2"/>
  <c r="A159" i="2"/>
  <c r="N158" i="2"/>
  <c r="M158" i="2"/>
  <c r="L158" i="2"/>
  <c r="K158" i="2"/>
  <c r="J158" i="2"/>
  <c r="I158" i="2"/>
  <c r="H158" i="2"/>
  <c r="A158" i="2"/>
  <c r="N157" i="2"/>
  <c r="M157" i="2"/>
  <c r="L157" i="2"/>
  <c r="K157" i="2"/>
  <c r="J157" i="2"/>
  <c r="I157" i="2"/>
  <c r="H157" i="2"/>
  <c r="A157" i="2"/>
  <c r="N156" i="2"/>
  <c r="M156" i="2"/>
  <c r="L156" i="2"/>
  <c r="K156" i="2"/>
  <c r="J156" i="2"/>
  <c r="I156" i="2"/>
  <c r="H156" i="2"/>
  <c r="A156" i="2"/>
  <c r="N155" i="2"/>
  <c r="M155" i="2"/>
  <c r="L155" i="2"/>
  <c r="K155" i="2"/>
  <c r="J155" i="2"/>
  <c r="I155" i="2"/>
  <c r="H155" i="2"/>
  <c r="A155" i="2"/>
  <c r="N154" i="2"/>
  <c r="M154" i="2"/>
  <c r="L154" i="2"/>
  <c r="K154" i="2"/>
  <c r="J154" i="2"/>
  <c r="I154" i="2"/>
  <c r="H154" i="2"/>
  <c r="A154" i="2"/>
  <c r="N153" i="2"/>
  <c r="M153" i="2"/>
  <c r="L153" i="2"/>
  <c r="K153" i="2"/>
  <c r="J153" i="2"/>
  <c r="I153" i="2"/>
  <c r="H153" i="2"/>
  <c r="A153" i="2"/>
  <c r="N152" i="2"/>
  <c r="M152" i="2"/>
  <c r="L152" i="2"/>
  <c r="K152" i="2"/>
  <c r="J152" i="2"/>
  <c r="I152" i="2"/>
  <c r="H152" i="2"/>
  <c r="A152" i="2"/>
  <c r="N151" i="2"/>
  <c r="M151" i="2"/>
  <c r="L151" i="2"/>
  <c r="K151" i="2"/>
  <c r="J151" i="2"/>
  <c r="I151" i="2"/>
  <c r="H151" i="2"/>
  <c r="A151" i="2"/>
  <c r="N150" i="2"/>
  <c r="M150" i="2"/>
  <c r="L150" i="2"/>
  <c r="K150" i="2"/>
  <c r="J150" i="2"/>
  <c r="I150" i="2"/>
  <c r="H150" i="2"/>
  <c r="A150" i="2"/>
  <c r="N149" i="2"/>
  <c r="M149" i="2"/>
  <c r="L149" i="2"/>
  <c r="K149" i="2"/>
  <c r="J149" i="2"/>
  <c r="I149" i="2"/>
  <c r="H149" i="2"/>
  <c r="A149" i="2"/>
  <c r="N148" i="2"/>
  <c r="M148" i="2"/>
  <c r="L148" i="2"/>
  <c r="K148" i="2"/>
  <c r="J148" i="2"/>
  <c r="I148" i="2"/>
  <c r="H148" i="2"/>
  <c r="A148" i="2"/>
  <c r="N147" i="2"/>
  <c r="M147" i="2"/>
  <c r="L147" i="2"/>
  <c r="K147" i="2"/>
  <c r="J147" i="2"/>
  <c r="I147" i="2"/>
  <c r="H147" i="2"/>
  <c r="A147" i="2"/>
  <c r="N146" i="2"/>
  <c r="M146" i="2"/>
  <c r="L146" i="2"/>
  <c r="K146" i="2"/>
  <c r="J146" i="2"/>
  <c r="I146" i="2"/>
  <c r="H146" i="2"/>
  <c r="A146" i="2"/>
  <c r="N145" i="2"/>
  <c r="M145" i="2"/>
  <c r="L145" i="2"/>
  <c r="K145" i="2"/>
  <c r="J145" i="2"/>
  <c r="I145" i="2"/>
  <c r="H145" i="2"/>
  <c r="A145" i="2"/>
  <c r="N144" i="2"/>
  <c r="M144" i="2"/>
  <c r="L144" i="2"/>
  <c r="K144" i="2"/>
  <c r="J144" i="2"/>
  <c r="I144" i="2"/>
  <c r="H144" i="2"/>
  <c r="A144" i="2"/>
  <c r="N143" i="2"/>
  <c r="M143" i="2"/>
  <c r="L143" i="2"/>
  <c r="K143" i="2"/>
  <c r="J143" i="2"/>
  <c r="I143" i="2"/>
  <c r="H143" i="2"/>
  <c r="A143" i="2"/>
  <c r="N142" i="2"/>
  <c r="M142" i="2"/>
  <c r="L142" i="2"/>
  <c r="K142" i="2"/>
  <c r="J142" i="2"/>
  <c r="I142" i="2"/>
  <c r="H142" i="2"/>
  <c r="A142" i="2"/>
  <c r="N141" i="2"/>
  <c r="M141" i="2"/>
  <c r="L141" i="2"/>
  <c r="K141" i="2"/>
  <c r="J141" i="2"/>
  <c r="I141" i="2"/>
  <c r="H141" i="2"/>
  <c r="A141" i="2"/>
  <c r="N140" i="2"/>
  <c r="M140" i="2"/>
  <c r="L140" i="2"/>
  <c r="K140" i="2"/>
  <c r="J140" i="2"/>
  <c r="I140" i="2"/>
  <c r="H140" i="2"/>
  <c r="A140" i="2"/>
  <c r="N139" i="2"/>
  <c r="M139" i="2"/>
  <c r="L139" i="2"/>
  <c r="K139" i="2"/>
  <c r="J139" i="2"/>
  <c r="I139" i="2"/>
  <c r="H139" i="2"/>
  <c r="A139" i="2"/>
  <c r="N138" i="2"/>
  <c r="M138" i="2"/>
  <c r="L138" i="2"/>
  <c r="K138" i="2"/>
  <c r="J138" i="2"/>
  <c r="I138" i="2"/>
  <c r="H138" i="2"/>
  <c r="A138" i="2"/>
  <c r="N137" i="2"/>
  <c r="M137" i="2"/>
  <c r="L137" i="2"/>
  <c r="K137" i="2"/>
  <c r="J137" i="2"/>
  <c r="I137" i="2"/>
  <c r="H137" i="2"/>
  <c r="A137" i="2"/>
  <c r="N136" i="2"/>
  <c r="M136" i="2"/>
  <c r="L136" i="2"/>
  <c r="K136" i="2"/>
  <c r="J136" i="2"/>
  <c r="I136" i="2"/>
  <c r="H136" i="2"/>
  <c r="A136" i="2"/>
  <c r="N135" i="2"/>
  <c r="M135" i="2"/>
  <c r="L135" i="2"/>
  <c r="K135" i="2"/>
  <c r="J135" i="2"/>
  <c r="I135" i="2"/>
  <c r="H135" i="2"/>
  <c r="A135" i="2"/>
  <c r="N134" i="2"/>
  <c r="M134" i="2"/>
  <c r="L134" i="2"/>
  <c r="K134" i="2"/>
  <c r="J134" i="2"/>
  <c r="I134" i="2"/>
  <c r="H134" i="2"/>
  <c r="A134" i="2"/>
  <c r="N133" i="2"/>
  <c r="M133" i="2"/>
  <c r="L133" i="2"/>
  <c r="K133" i="2"/>
  <c r="J133" i="2"/>
  <c r="I133" i="2"/>
  <c r="H133" i="2"/>
  <c r="A133" i="2"/>
  <c r="N132" i="2"/>
  <c r="M132" i="2"/>
  <c r="L132" i="2"/>
  <c r="K132" i="2"/>
  <c r="J132" i="2"/>
  <c r="I132" i="2"/>
  <c r="H132" i="2"/>
  <c r="A132" i="2"/>
  <c r="N131" i="2"/>
  <c r="M131" i="2"/>
  <c r="L131" i="2"/>
  <c r="K131" i="2"/>
  <c r="J131" i="2"/>
  <c r="I131" i="2"/>
  <c r="H131" i="2"/>
  <c r="A131" i="2"/>
  <c r="N130" i="2"/>
  <c r="M130" i="2"/>
  <c r="L130" i="2"/>
  <c r="K130" i="2"/>
  <c r="J130" i="2"/>
  <c r="I130" i="2"/>
  <c r="H130" i="2"/>
  <c r="A130" i="2"/>
  <c r="N129" i="2"/>
  <c r="M129" i="2"/>
  <c r="L129" i="2"/>
  <c r="K129" i="2"/>
  <c r="J129" i="2"/>
  <c r="I129" i="2"/>
  <c r="H129" i="2"/>
  <c r="A129" i="2"/>
  <c r="N128" i="2"/>
  <c r="M128" i="2"/>
  <c r="L128" i="2"/>
  <c r="K128" i="2"/>
  <c r="J128" i="2"/>
  <c r="I128" i="2"/>
  <c r="H128" i="2"/>
  <c r="A128" i="2"/>
  <c r="N127" i="2"/>
  <c r="M127" i="2"/>
  <c r="L127" i="2"/>
  <c r="K127" i="2"/>
  <c r="J127" i="2"/>
  <c r="I127" i="2"/>
  <c r="H127" i="2"/>
  <c r="A127" i="2"/>
  <c r="N126" i="2"/>
  <c r="M126" i="2"/>
  <c r="L126" i="2"/>
  <c r="K126" i="2"/>
  <c r="J126" i="2"/>
  <c r="I126" i="2"/>
  <c r="H126" i="2"/>
  <c r="A126" i="2"/>
  <c r="N125" i="2"/>
  <c r="M125" i="2"/>
  <c r="L125" i="2"/>
  <c r="K125" i="2"/>
  <c r="J125" i="2"/>
  <c r="I125" i="2"/>
  <c r="H125" i="2"/>
  <c r="A125" i="2"/>
  <c r="N124" i="2"/>
  <c r="M124" i="2"/>
  <c r="L124" i="2"/>
  <c r="K124" i="2"/>
  <c r="J124" i="2"/>
  <c r="I124" i="2"/>
  <c r="H124" i="2"/>
  <c r="A124" i="2"/>
  <c r="N123" i="2"/>
  <c r="M123" i="2"/>
  <c r="L123" i="2"/>
  <c r="K123" i="2"/>
  <c r="J123" i="2"/>
  <c r="I123" i="2"/>
  <c r="H123" i="2"/>
  <c r="A123" i="2"/>
  <c r="N122" i="2"/>
  <c r="M122" i="2"/>
  <c r="L122" i="2"/>
  <c r="K122" i="2"/>
  <c r="J122" i="2"/>
  <c r="I122" i="2"/>
  <c r="H122" i="2"/>
  <c r="A122" i="2"/>
  <c r="N121" i="2"/>
  <c r="M121" i="2"/>
  <c r="L121" i="2"/>
  <c r="K121" i="2"/>
  <c r="J121" i="2"/>
  <c r="I121" i="2"/>
  <c r="H121" i="2"/>
  <c r="A121" i="2"/>
  <c r="N120" i="2"/>
  <c r="M120" i="2"/>
  <c r="L120" i="2"/>
  <c r="K120" i="2"/>
  <c r="J120" i="2"/>
  <c r="I120" i="2"/>
  <c r="H120" i="2"/>
  <c r="A120" i="2"/>
  <c r="N119" i="2"/>
  <c r="M119" i="2"/>
  <c r="L119" i="2"/>
  <c r="K119" i="2"/>
  <c r="J119" i="2"/>
  <c r="I119" i="2"/>
  <c r="H119" i="2"/>
  <c r="A119" i="2"/>
  <c r="N118" i="2"/>
  <c r="M118" i="2"/>
  <c r="L118" i="2"/>
  <c r="K118" i="2"/>
  <c r="J118" i="2"/>
  <c r="I118" i="2"/>
  <c r="H118" i="2"/>
  <c r="A118" i="2"/>
  <c r="N117" i="2"/>
  <c r="M117" i="2"/>
  <c r="L117" i="2"/>
  <c r="K117" i="2"/>
  <c r="J117" i="2"/>
  <c r="I117" i="2"/>
  <c r="H117" i="2"/>
  <c r="A117" i="2"/>
  <c r="N116" i="2"/>
  <c r="M116" i="2"/>
  <c r="L116" i="2"/>
  <c r="K116" i="2"/>
  <c r="J116" i="2"/>
  <c r="I116" i="2"/>
  <c r="H116" i="2"/>
  <c r="A116" i="2"/>
  <c r="N115" i="2"/>
  <c r="M115" i="2"/>
  <c r="L115" i="2"/>
  <c r="K115" i="2"/>
  <c r="J115" i="2"/>
  <c r="I115" i="2"/>
  <c r="H115" i="2"/>
  <c r="A115" i="2"/>
  <c r="N114" i="2"/>
  <c r="M114" i="2"/>
  <c r="L114" i="2"/>
  <c r="K114" i="2"/>
  <c r="J114" i="2"/>
  <c r="I114" i="2"/>
  <c r="H114" i="2"/>
  <c r="A114" i="2"/>
  <c r="N113" i="2"/>
  <c r="M113" i="2"/>
  <c r="L113" i="2"/>
  <c r="K113" i="2"/>
  <c r="J113" i="2"/>
  <c r="I113" i="2"/>
  <c r="H113" i="2"/>
  <c r="A113" i="2"/>
  <c r="N112" i="2"/>
  <c r="M112" i="2"/>
  <c r="L112" i="2"/>
  <c r="K112" i="2"/>
  <c r="J112" i="2"/>
  <c r="I112" i="2"/>
  <c r="H112" i="2"/>
  <c r="A112" i="2"/>
  <c r="N111" i="2"/>
  <c r="M111" i="2"/>
  <c r="L111" i="2"/>
  <c r="K111" i="2"/>
  <c r="J111" i="2"/>
  <c r="I111" i="2"/>
  <c r="H111" i="2"/>
  <c r="A111" i="2"/>
  <c r="N110" i="2"/>
  <c r="M110" i="2"/>
  <c r="L110" i="2"/>
  <c r="K110" i="2"/>
  <c r="J110" i="2"/>
  <c r="I110" i="2"/>
  <c r="H110" i="2"/>
  <c r="A110" i="2"/>
  <c r="N109" i="2"/>
  <c r="M109" i="2"/>
  <c r="L109" i="2"/>
  <c r="K109" i="2"/>
  <c r="J109" i="2"/>
  <c r="I109" i="2"/>
  <c r="H109" i="2"/>
  <c r="A109" i="2"/>
  <c r="N108" i="2"/>
  <c r="M108" i="2"/>
  <c r="L108" i="2"/>
  <c r="K108" i="2"/>
  <c r="J108" i="2"/>
  <c r="I108" i="2"/>
  <c r="H108" i="2"/>
  <c r="A108" i="2"/>
  <c r="N107" i="2"/>
  <c r="M107" i="2"/>
  <c r="L107" i="2"/>
  <c r="K107" i="2"/>
  <c r="J107" i="2"/>
  <c r="I107" i="2"/>
  <c r="H107" i="2"/>
  <c r="A107" i="2"/>
  <c r="N106" i="2"/>
  <c r="M106" i="2"/>
  <c r="L106" i="2"/>
  <c r="K106" i="2"/>
  <c r="J106" i="2"/>
  <c r="I106" i="2"/>
  <c r="H106" i="2"/>
  <c r="A106" i="2"/>
  <c r="N105" i="2"/>
  <c r="M105" i="2"/>
  <c r="L105" i="2"/>
  <c r="K105" i="2"/>
  <c r="J105" i="2"/>
  <c r="I105" i="2"/>
  <c r="H105" i="2"/>
  <c r="A105" i="2"/>
  <c r="N104" i="2"/>
  <c r="M104" i="2"/>
  <c r="L104" i="2"/>
  <c r="K104" i="2"/>
  <c r="J104" i="2"/>
  <c r="I104" i="2"/>
  <c r="H104" i="2"/>
  <c r="A104" i="2"/>
  <c r="N103" i="2"/>
  <c r="M103" i="2"/>
  <c r="L103" i="2"/>
  <c r="K103" i="2"/>
  <c r="J103" i="2"/>
  <c r="I103" i="2"/>
  <c r="H103" i="2"/>
  <c r="A103" i="2"/>
  <c r="N102" i="2"/>
  <c r="M102" i="2"/>
  <c r="L102" i="2"/>
  <c r="K102" i="2"/>
  <c r="J102" i="2"/>
  <c r="I102" i="2"/>
  <c r="H102" i="2"/>
  <c r="A102" i="2"/>
  <c r="N101" i="2"/>
  <c r="M101" i="2"/>
  <c r="L101" i="2"/>
  <c r="K101" i="2"/>
  <c r="J101" i="2"/>
  <c r="I101" i="2"/>
  <c r="H101" i="2"/>
  <c r="A101" i="2"/>
  <c r="N100" i="2"/>
  <c r="M100" i="2"/>
  <c r="L100" i="2"/>
  <c r="K100" i="2"/>
  <c r="J100" i="2"/>
  <c r="I100" i="2"/>
  <c r="H100" i="2"/>
  <c r="A100" i="2"/>
  <c r="N99" i="2"/>
  <c r="M99" i="2"/>
  <c r="L99" i="2"/>
  <c r="K99" i="2"/>
  <c r="J99" i="2"/>
  <c r="I99" i="2"/>
  <c r="H99" i="2"/>
  <c r="A99" i="2"/>
  <c r="N98" i="2"/>
  <c r="M98" i="2"/>
  <c r="L98" i="2"/>
  <c r="K98" i="2"/>
  <c r="J98" i="2"/>
  <c r="I98" i="2"/>
  <c r="H98" i="2"/>
  <c r="A98" i="2"/>
  <c r="N97" i="2"/>
  <c r="M97" i="2"/>
  <c r="L97" i="2"/>
  <c r="K97" i="2"/>
  <c r="J97" i="2"/>
  <c r="I97" i="2"/>
  <c r="H97" i="2"/>
  <c r="A97" i="2"/>
  <c r="N96" i="2"/>
  <c r="M96" i="2"/>
  <c r="L96" i="2"/>
  <c r="K96" i="2"/>
  <c r="J96" i="2"/>
  <c r="I96" i="2"/>
  <c r="H96" i="2"/>
  <c r="A96" i="2"/>
  <c r="N95" i="2"/>
  <c r="M95" i="2"/>
  <c r="L95" i="2"/>
  <c r="K95" i="2"/>
  <c r="J95" i="2"/>
  <c r="I95" i="2"/>
  <c r="H95" i="2"/>
  <c r="A95" i="2"/>
  <c r="N94" i="2"/>
  <c r="M94" i="2"/>
  <c r="L94" i="2"/>
  <c r="K94" i="2"/>
  <c r="J94" i="2"/>
  <c r="I94" i="2"/>
  <c r="H94" i="2"/>
  <c r="A94" i="2"/>
  <c r="N93" i="2"/>
  <c r="M93" i="2"/>
  <c r="L93" i="2"/>
  <c r="K93" i="2"/>
  <c r="J93" i="2"/>
  <c r="I93" i="2"/>
  <c r="H93" i="2"/>
  <c r="A93" i="2"/>
  <c r="N92" i="2"/>
  <c r="M92" i="2"/>
  <c r="L92" i="2"/>
  <c r="K92" i="2"/>
  <c r="J92" i="2"/>
  <c r="I92" i="2"/>
  <c r="H92" i="2"/>
  <c r="A92" i="2"/>
  <c r="N91" i="2"/>
  <c r="M91" i="2"/>
  <c r="L91" i="2"/>
  <c r="K91" i="2"/>
  <c r="J91" i="2"/>
  <c r="I91" i="2"/>
  <c r="H91" i="2"/>
  <c r="A91" i="2"/>
  <c r="N90" i="2"/>
  <c r="M90" i="2"/>
  <c r="L90" i="2"/>
  <c r="K90" i="2"/>
  <c r="J90" i="2"/>
  <c r="I90" i="2"/>
  <c r="H90" i="2"/>
  <c r="A90" i="2"/>
  <c r="N89" i="2"/>
  <c r="M89" i="2"/>
  <c r="L89" i="2"/>
  <c r="K89" i="2"/>
  <c r="J89" i="2"/>
  <c r="I89" i="2"/>
  <c r="H89" i="2"/>
  <c r="A89" i="2"/>
  <c r="N88" i="2"/>
  <c r="M88" i="2"/>
  <c r="L88" i="2"/>
  <c r="K88" i="2"/>
  <c r="J88" i="2"/>
  <c r="I88" i="2"/>
  <c r="H88" i="2"/>
  <c r="A88" i="2"/>
  <c r="N87" i="2"/>
  <c r="M87" i="2"/>
  <c r="L87" i="2"/>
  <c r="K87" i="2"/>
  <c r="J87" i="2"/>
  <c r="I87" i="2"/>
  <c r="H87" i="2"/>
  <c r="A87" i="2"/>
  <c r="N86" i="2"/>
  <c r="M86" i="2"/>
  <c r="L86" i="2"/>
  <c r="K86" i="2"/>
  <c r="J86" i="2"/>
  <c r="I86" i="2"/>
  <c r="H86" i="2"/>
  <c r="A86" i="2"/>
  <c r="N85" i="2"/>
  <c r="M85" i="2"/>
  <c r="L85" i="2"/>
  <c r="K85" i="2"/>
  <c r="J85" i="2"/>
  <c r="I85" i="2"/>
  <c r="H85" i="2"/>
  <c r="A85" i="2"/>
  <c r="N84" i="2"/>
  <c r="M84" i="2"/>
  <c r="L84" i="2"/>
  <c r="K84" i="2"/>
  <c r="J84" i="2"/>
  <c r="I84" i="2"/>
  <c r="H84" i="2"/>
  <c r="A84" i="2"/>
  <c r="N83" i="2"/>
  <c r="M83" i="2"/>
  <c r="L83" i="2"/>
  <c r="K83" i="2"/>
  <c r="J83" i="2"/>
  <c r="I83" i="2"/>
  <c r="H83" i="2"/>
  <c r="A83" i="2"/>
  <c r="N82" i="2"/>
  <c r="M82" i="2"/>
  <c r="L82" i="2"/>
  <c r="K82" i="2"/>
  <c r="J82" i="2"/>
  <c r="I82" i="2"/>
  <c r="H82" i="2"/>
  <c r="A82" i="2"/>
  <c r="N81" i="2"/>
  <c r="M81" i="2"/>
  <c r="L81" i="2"/>
  <c r="K81" i="2"/>
  <c r="J81" i="2"/>
  <c r="I81" i="2"/>
  <c r="H81" i="2"/>
  <c r="A81" i="2"/>
  <c r="N80" i="2"/>
  <c r="M80" i="2"/>
  <c r="L80" i="2"/>
  <c r="K80" i="2"/>
  <c r="J80" i="2"/>
  <c r="I80" i="2"/>
  <c r="H80" i="2"/>
  <c r="A80" i="2"/>
  <c r="N79" i="2"/>
  <c r="M79" i="2"/>
  <c r="L79" i="2"/>
  <c r="K79" i="2"/>
  <c r="J79" i="2"/>
  <c r="I79" i="2"/>
  <c r="H79" i="2"/>
  <c r="A79" i="2"/>
  <c r="N78" i="2"/>
  <c r="M78" i="2"/>
  <c r="L78" i="2"/>
  <c r="K78" i="2"/>
  <c r="J78" i="2"/>
  <c r="I78" i="2"/>
  <c r="H78" i="2"/>
  <c r="A78" i="2"/>
  <c r="N77" i="2"/>
  <c r="M77" i="2"/>
  <c r="L77" i="2"/>
  <c r="K77" i="2"/>
  <c r="J77" i="2"/>
  <c r="I77" i="2"/>
  <c r="H77" i="2"/>
  <c r="A77" i="2"/>
  <c r="N76" i="2"/>
  <c r="M76" i="2"/>
  <c r="L76" i="2"/>
  <c r="K76" i="2"/>
  <c r="J76" i="2"/>
  <c r="I76" i="2"/>
  <c r="H76" i="2"/>
  <c r="A76" i="2"/>
  <c r="N75" i="2"/>
  <c r="M75" i="2"/>
  <c r="L75" i="2"/>
  <c r="K75" i="2"/>
  <c r="J75" i="2"/>
  <c r="I75" i="2"/>
  <c r="H75" i="2"/>
  <c r="A75" i="2"/>
  <c r="N74" i="2"/>
  <c r="M74" i="2"/>
  <c r="L74" i="2"/>
  <c r="K74" i="2"/>
  <c r="J74" i="2"/>
  <c r="I74" i="2"/>
  <c r="H74" i="2"/>
  <c r="A74" i="2"/>
  <c r="N73" i="2"/>
  <c r="M73" i="2"/>
  <c r="L73" i="2"/>
  <c r="K73" i="2"/>
  <c r="J73" i="2"/>
  <c r="I73" i="2"/>
  <c r="H73" i="2"/>
  <c r="A73" i="2"/>
  <c r="N72" i="2"/>
  <c r="M72" i="2"/>
  <c r="L72" i="2"/>
  <c r="K72" i="2"/>
  <c r="J72" i="2"/>
  <c r="I72" i="2"/>
  <c r="H72" i="2"/>
  <c r="A72" i="2"/>
  <c r="N71" i="2"/>
  <c r="M71" i="2"/>
  <c r="L71" i="2"/>
  <c r="K71" i="2"/>
  <c r="J71" i="2"/>
  <c r="I71" i="2"/>
  <c r="H71" i="2"/>
  <c r="A71" i="2"/>
  <c r="N70" i="2"/>
  <c r="M70" i="2"/>
  <c r="L70" i="2"/>
  <c r="K70" i="2"/>
  <c r="J70" i="2"/>
  <c r="I70" i="2"/>
  <c r="H70" i="2"/>
  <c r="A70" i="2"/>
  <c r="N69" i="2"/>
  <c r="M69" i="2"/>
  <c r="L69" i="2"/>
  <c r="K69" i="2"/>
  <c r="J69" i="2"/>
  <c r="I69" i="2"/>
  <c r="H69" i="2"/>
  <c r="A69" i="2"/>
  <c r="N68" i="2"/>
  <c r="M68" i="2"/>
  <c r="L68" i="2"/>
  <c r="K68" i="2"/>
  <c r="J68" i="2"/>
  <c r="I68" i="2"/>
  <c r="H68" i="2"/>
  <c r="A68" i="2"/>
  <c r="N67" i="2"/>
  <c r="M67" i="2"/>
  <c r="L67" i="2"/>
  <c r="K67" i="2"/>
  <c r="J67" i="2"/>
  <c r="I67" i="2"/>
  <c r="H67" i="2"/>
  <c r="A67" i="2"/>
  <c r="N66" i="2"/>
  <c r="M66" i="2"/>
  <c r="L66" i="2"/>
  <c r="K66" i="2"/>
  <c r="J66" i="2"/>
  <c r="I66" i="2"/>
  <c r="H66" i="2"/>
  <c r="A66" i="2"/>
  <c r="N65" i="2"/>
  <c r="M65" i="2"/>
  <c r="L65" i="2"/>
  <c r="K65" i="2"/>
  <c r="J65" i="2"/>
  <c r="I65" i="2"/>
  <c r="H65" i="2"/>
  <c r="A65" i="2"/>
  <c r="N64" i="2"/>
  <c r="M64" i="2"/>
  <c r="L64" i="2"/>
  <c r="K64" i="2"/>
  <c r="J64" i="2"/>
  <c r="I64" i="2"/>
  <c r="H64" i="2"/>
  <c r="A64" i="2"/>
  <c r="N63" i="2"/>
  <c r="M63" i="2"/>
  <c r="L63" i="2"/>
  <c r="K63" i="2"/>
  <c r="J63" i="2"/>
  <c r="I63" i="2"/>
  <c r="H63" i="2"/>
  <c r="A63" i="2"/>
  <c r="N62" i="2"/>
  <c r="M62" i="2"/>
  <c r="L62" i="2"/>
  <c r="K62" i="2"/>
  <c r="J62" i="2"/>
  <c r="I62" i="2"/>
  <c r="H62" i="2"/>
  <c r="A62" i="2"/>
  <c r="N61" i="2"/>
  <c r="M61" i="2"/>
  <c r="L61" i="2"/>
  <c r="K61" i="2"/>
  <c r="J61" i="2"/>
  <c r="I61" i="2"/>
  <c r="H61" i="2"/>
  <c r="A61" i="2"/>
  <c r="N60" i="2"/>
  <c r="M60" i="2"/>
  <c r="L60" i="2"/>
  <c r="K60" i="2"/>
  <c r="J60" i="2"/>
  <c r="I60" i="2"/>
  <c r="H60" i="2"/>
  <c r="A60" i="2"/>
  <c r="N59" i="2"/>
  <c r="M59" i="2"/>
  <c r="L59" i="2"/>
  <c r="K59" i="2"/>
  <c r="J59" i="2"/>
  <c r="I59" i="2"/>
  <c r="H59" i="2"/>
  <c r="A59" i="2"/>
  <c r="N58" i="2"/>
  <c r="M58" i="2"/>
  <c r="L58" i="2"/>
  <c r="K58" i="2"/>
  <c r="J58" i="2"/>
  <c r="I58" i="2"/>
  <c r="H58" i="2"/>
  <c r="A58" i="2"/>
  <c r="N57" i="2"/>
  <c r="M57" i="2"/>
  <c r="L57" i="2"/>
  <c r="K57" i="2"/>
  <c r="J57" i="2"/>
  <c r="I57" i="2"/>
  <c r="H57" i="2"/>
  <c r="A57" i="2"/>
  <c r="N56" i="2"/>
  <c r="M56" i="2"/>
  <c r="L56" i="2"/>
  <c r="K56" i="2"/>
  <c r="J56" i="2"/>
  <c r="I56" i="2"/>
  <c r="H56" i="2"/>
  <c r="A56" i="2"/>
  <c r="N55" i="2"/>
  <c r="M55" i="2"/>
  <c r="L55" i="2"/>
  <c r="K55" i="2"/>
  <c r="J55" i="2"/>
  <c r="I55" i="2"/>
  <c r="H55" i="2"/>
  <c r="A55" i="2"/>
  <c r="N54" i="2"/>
  <c r="M54" i="2"/>
  <c r="L54" i="2"/>
  <c r="K54" i="2"/>
  <c r="J54" i="2"/>
  <c r="I54" i="2"/>
  <c r="H54" i="2"/>
  <c r="A54" i="2"/>
  <c r="N53" i="2"/>
  <c r="M53" i="2"/>
  <c r="L53" i="2"/>
  <c r="K53" i="2"/>
  <c r="J53" i="2"/>
  <c r="I53" i="2"/>
  <c r="H53" i="2"/>
  <c r="A53" i="2"/>
  <c r="N52" i="2"/>
  <c r="M52" i="2"/>
  <c r="L52" i="2"/>
  <c r="K52" i="2"/>
  <c r="J52" i="2"/>
  <c r="I52" i="2"/>
  <c r="H52" i="2"/>
  <c r="A52" i="2"/>
  <c r="N51" i="2"/>
  <c r="M51" i="2"/>
  <c r="L51" i="2"/>
  <c r="K51" i="2"/>
  <c r="J51" i="2"/>
  <c r="I51" i="2"/>
  <c r="H51" i="2"/>
  <c r="A51" i="2"/>
  <c r="N50" i="2"/>
  <c r="M50" i="2"/>
  <c r="L50" i="2"/>
  <c r="K50" i="2"/>
  <c r="J50" i="2"/>
  <c r="I50" i="2"/>
  <c r="H50" i="2"/>
  <c r="A50" i="2"/>
  <c r="N49" i="2"/>
  <c r="M49" i="2"/>
  <c r="L49" i="2"/>
  <c r="K49" i="2"/>
  <c r="J49" i="2"/>
  <c r="I49" i="2"/>
  <c r="H49" i="2"/>
  <c r="A49" i="2"/>
  <c r="N48" i="2"/>
  <c r="M48" i="2"/>
  <c r="L48" i="2"/>
  <c r="K48" i="2"/>
  <c r="J48" i="2"/>
  <c r="I48" i="2"/>
  <c r="H48" i="2"/>
  <c r="A48" i="2"/>
  <c r="N47" i="2"/>
  <c r="M47" i="2"/>
  <c r="L47" i="2"/>
  <c r="K47" i="2"/>
  <c r="J47" i="2"/>
  <c r="I47" i="2"/>
  <c r="H47" i="2"/>
  <c r="A47" i="2"/>
  <c r="N46" i="2"/>
  <c r="M46" i="2"/>
  <c r="L46" i="2"/>
  <c r="K46" i="2"/>
  <c r="J46" i="2"/>
  <c r="I46" i="2"/>
  <c r="H46" i="2"/>
  <c r="A46" i="2"/>
  <c r="N45" i="2"/>
  <c r="M45" i="2"/>
  <c r="L45" i="2"/>
  <c r="K45" i="2"/>
  <c r="J45" i="2"/>
  <c r="I45" i="2"/>
  <c r="H45" i="2"/>
  <c r="A45" i="2"/>
  <c r="N44" i="2"/>
  <c r="M44" i="2"/>
  <c r="L44" i="2"/>
  <c r="K44" i="2"/>
  <c r="J44" i="2"/>
  <c r="I44" i="2"/>
  <c r="H44" i="2"/>
  <c r="A44" i="2"/>
  <c r="N43" i="2"/>
  <c r="M43" i="2"/>
  <c r="L43" i="2"/>
  <c r="K43" i="2"/>
  <c r="J43" i="2"/>
  <c r="I43" i="2"/>
  <c r="H43" i="2"/>
  <c r="A43" i="2"/>
  <c r="N42" i="2"/>
  <c r="M42" i="2"/>
  <c r="L42" i="2"/>
  <c r="K42" i="2"/>
  <c r="J42" i="2"/>
  <c r="I42" i="2"/>
  <c r="H42" i="2"/>
  <c r="A42" i="2"/>
  <c r="N41" i="2"/>
  <c r="M41" i="2"/>
  <c r="L41" i="2"/>
  <c r="K41" i="2"/>
  <c r="J41" i="2"/>
  <c r="I41" i="2"/>
  <c r="H41" i="2"/>
  <c r="A41" i="2"/>
  <c r="N40" i="2"/>
  <c r="M40" i="2"/>
  <c r="L40" i="2"/>
  <c r="K40" i="2"/>
  <c r="J40" i="2"/>
  <c r="A40" i="2"/>
  <c r="N39" i="2"/>
  <c r="M39" i="2"/>
  <c r="L39" i="2"/>
  <c r="K39" i="2"/>
  <c r="J39" i="2"/>
  <c r="A39" i="2"/>
  <c r="N38" i="2"/>
  <c r="M38" i="2"/>
  <c r="L38" i="2"/>
  <c r="K38" i="2"/>
  <c r="J38" i="2"/>
  <c r="A38" i="2"/>
  <c r="N37" i="2"/>
  <c r="M37" i="2"/>
  <c r="L37" i="2"/>
  <c r="K37" i="2"/>
  <c r="J37" i="2"/>
  <c r="A37" i="2"/>
  <c r="N36" i="2"/>
  <c r="M36" i="2"/>
  <c r="L36" i="2"/>
  <c r="K36" i="2"/>
  <c r="J36" i="2"/>
  <c r="A36" i="2"/>
  <c r="N35" i="2"/>
  <c r="M35" i="2"/>
  <c r="L35" i="2"/>
  <c r="K35" i="2"/>
  <c r="J35" i="2"/>
  <c r="A35" i="2"/>
  <c r="N34" i="2"/>
  <c r="M34" i="2"/>
  <c r="L34" i="2"/>
  <c r="K34" i="2"/>
  <c r="J34" i="2"/>
  <c r="A34" i="2"/>
  <c r="N33" i="2"/>
  <c r="M33" i="2"/>
  <c r="L33" i="2"/>
  <c r="K33" i="2"/>
  <c r="J33" i="2"/>
  <c r="A33" i="2"/>
  <c r="N32" i="2"/>
  <c r="M32" i="2"/>
  <c r="L32" i="2"/>
  <c r="K32" i="2"/>
  <c r="J32" i="2"/>
  <c r="A32" i="2"/>
  <c r="N31" i="2"/>
  <c r="M31" i="2"/>
  <c r="L31" i="2"/>
  <c r="K31" i="2"/>
  <c r="J31" i="2"/>
  <c r="A31" i="2"/>
  <c r="N30" i="2"/>
  <c r="M30" i="2"/>
  <c r="L30" i="2"/>
  <c r="K30" i="2"/>
  <c r="J30" i="2"/>
  <c r="A30" i="2"/>
  <c r="N29" i="2"/>
  <c r="M29" i="2"/>
  <c r="L29" i="2"/>
  <c r="K29" i="2"/>
  <c r="J29" i="2"/>
  <c r="A29" i="2"/>
  <c r="N28" i="2"/>
  <c r="M28" i="2"/>
  <c r="L28" i="2"/>
  <c r="K28" i="2"/>
  <c r="J28" i="2"/>
  <c r="A28" i="2"/>
  <c r="N27" i="2"/>
  <c r="M27" i="2"/>
  <c r="L27" i="2"/>
  <c r="K27" i="2"/>
  <c r="J27" i="2"/>
  <c r="A27" i="2"/>
  <c r="N26" i="2"/>
  <c r="M26" i="2"/>
  <c r="L26" i="2"/>
  <c r="K26" i="2"/>
  <c r="J26" i="2"/>
  <c r="A26" i="2"/>
  <c r="N25" i="2"/>
  <c r="M25" i="2"/>
  <c r="L25" i="2"/>
  <c r="K25" i="2"/>
  <c r="J25" i="2"/>
  <c r="A25" i="2"/>
  <c r="N24" i="2"/>
  <c r="M24" i="2"/>
  <c r="L24" i="2"/>
  <c r="K24" i="2"/>
  <c r="J24" i="2"/>
  <c r="A24" i="2"/>
  <c r="N23" i="2"/>
  <c r="M23" i="2"/>
  <c r="L23" i="2"/>
  <c r="K23" i="2"/>
  <c r="J23" i="2"/>
  <c r="A23" i="2"/>
  <c r="N22" i="2"/>
  <c r="M22" i="2"/>
  <c r="L22" i="2"/>
  <c r="K22" i="2"/>
  <c r="J22" i="2"/>
  <c r="A22" i="2"/>
  <c r="N21" i="2"/>
  <c r="M21" i="2"/>
  <c r="L21" i="2"/>
  <c r="K21" i="2"/>
  <c r="J21" i="2"/>
  <c r="A21" i="2"/>
  <c r="N20" i="2"/>
  <c r="M20" i="2"/>
  <c r="L20" i="2"/>
  <c r="K20" i="2"/>
  <c r="J20" i="2"/>
  <c r="A20" i="2"/>
  <c r="N19" i="2"/>
  <c r="M19" i="2"/>
  <c r="L19" i="2"/>
  <c r="K19" i="2"/>
  <c r="J19" i="2"/>
  <c r="A19" i="2"/>
  <c r="N18" i="2"/>
  <c r="M18" i="2"/>
  <c r="L18" i="2"/>
  <c r="K18" i="2"/>
  <c r="J18" i="2"/>
  <c r="A18" i="2"/>
  <c r="N17" i="2"/>
  <c r="M17" i="2"/>
  <c r="L17" i="2"/>
  <c r="K17" i="2"/>
  <c r="J17" i="2"/>
  <c r="A17" i="2"/>
  <c r="Q16" i="2"/>
  <c r="N16" i="2"/>
  <c r="M16" i="2"/>
  <c r="L16" i="2"/>
  <c r="K16" i="2"/>
  <c r="J16" i="2"/>
  <c r="A16" i="2"/>
  <c r="N15" i="2"/>
  <c r="M15" i="2"/>
  <c r="L15" i="2"/>
  <c r="K15" i="2"/>
  <c r="J15" i="2"/>
  <c r="A15" i="2"/>
  <c r="N14" i="2"/>
  <c r="M14" i="2"/>
  <c r="L14" i="2"/>
  <c r="K14" i="2"/>
  <c r="J14" i="2"/>
  <c r="A14" i="2"/>
  <c r="Q13" i="2"/>
  <c r="N13" i="2"/>
  <c r="M13" i="2"/>
  <c r="L13" i="2"/>
  <c r="K13" i="2"/>
  <c r="J13" i="2"/>
  <c r="A13" i="2"/>
  <c r="N12" i="2"/>
  <c r="M12" i="2"/>
  <c r="L12" i="2"/>
  <c r="K12" i="2"/>
  <c r="J12" i="2"/>
  <c r="A12" i="2"/>
  <c r="N11" i="2"/>
  <c r="M11" i="2"/>
  <c r="L11" i="2"/>
  <c r="K11" i="2"/>
  <c r="J11" i="2"/>
  <c r="A11" i="2"/>
  <c r="Q10" i="2"/>
  <c r="N10" i="2"/>
  <c r="M10" i="2"/>
  <c r="L10" i="2"/>
  <c r="K10" i="2"/>
  <c r="J10" i="2"/>
  <c r="I10" i="2"/>
  <c r="A10" i="2"/>
  <c r="N9" i="2"/>
  <c r="M9" i="2"/>
  <c r="L9" i="2"/>
  <c r="K9" i="2"/>
  <c r="J9" i="2"/>
  <c r="I9" i="2"/>
  <c r="H9" i="2"/>
  <c r="A9" i="2"/>
  <c r="N8" i="2"/>
  <c r="M8" i="2"/>
  <c r="L8" i="2"/>
  <c r="K8" i="2"/>
  <c r="J8" i="2"/>
  <c r="I8" i="2"/>
  <c r="H8" i="2"/>
  <c r="A8" i="2"/>
  <c r="N7" i="2"/>
  <c r="M7" i="2"/>
  <c r="L7" i="2"/>
  <c r="K7" i="2"/>
  <c r="J7" i="2"/>
  <c r="I7" i="2"/>
  <c r="H7" i="2"/>
  <c r="A7" i="2"/>
  <c r="N6" i="2"/>
  <c r="M6" i="2"/>
  <c r="L6" i="2"/>
  <c r="K6" i="2"/>
  <c r="J6" i="2"/>
  <c r="I6" i="2"/>
  <c r="H6" i="2"/>
  <c r="A6" i="2"/>
  <c r="N5" i="2"/>
  <c r="M5" i="2"/>
  <c r="L5" i="2"/>
  <c r="K5" i="2"/>
  <c r="J5" i="2"/>
  <c r="I5" i="2"/>
  <c r="H5" i="2"/>
  <c r="A5" i="2"/>
  <c r="N4" i="2"/>
  <c r="M4" i="2"/>
  <c r="L4" i="2"/>
  <c r="K4" i="2"/>
  <c r="J4" i="2"/>
  <c r="I4" i="2"/>
  <c r="H4" i="2"/>
  <c r="A4" i="2"/>
  <c r="N3" i="2"/>
  <c r="M3" i="2"/>
  <c r="L3" i="2"/>
  <c r="K3" i="2"/>
  <c r="J3" i="2"/>
  <c r="I3" i="2"/>
  <c r="H3" i="2"/>
  <c r="A3" i="2"/>
  <c r="N2" i="2"/>
  <c r="M2" i="2"/>
  <c r="L2" i="2"/>
  <c r="K2" i="2"/>
  <c r="J2" i="2"/>
  <c r="I2" i="2"/>
  <c r="H2" i="2"/>
  <c r="A2" i="2"/>
  <c r="B3" i="2" l="1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R3" i="2"/>
  <c r="R6" i="2"/>
  <c r="R7" i="2"/>
  <c r="R2" i="2"/>
  <c r="R4" i="2"/>
  <c r="R8" i="2"/>
  <c r="R5" i="2"/>
  <c r="B34" i="2"/>
  <c r="B2" i="2"/>
  <c r="B55" i="2"/>
  <c r="B131" i="2"/>
  <c r="D15" i="4"/>
  <c r="D16" i="4"/>
  <c r="Q32" i="2" l="1"/>
  <c r="R30" i="2"/>
  <c r="Q29" i="2"/>
  <c r="G17" i="4" s="1"/>
  <c r="R26" i="2"/>
  <c r="Q25" i="2"/>
  <c r="G15" i="4" s="1"/>
  <c r="R31" i="2"/>
  <c r="Q30" i="2"/>
  <c r="H17" i="4" s="1"/>
  <c r="R27" i="2"/>
  <c r="Q26" i="2"/>
  <c r="H15" i="4" s="1"/>
  <c r="R24" i="2"/>
  <c r="R29" i="2"/>
  <c r="Q28" i="2"/>
  <c r="F17" i="4" s="1"/>
  <c r="R25" i="2"/>
  <c r="R32" i="2"/>
  <c r="Q31" i="2"/>
  <c r="R28" i="2"/>
  <c r="Q27" i="2"/>
  <c r="I15" i="4" s="1"/>
  <c r="Q24" i="2"/>
  <c r="F15" i="4" l="1"/>
</calcChain>
</file>

<file path=xl/sharedStrings.xml><?xml version="1.0" encoding="utf-8"?>
<sst xmlns="http://schemas.openxmlformats.org/spreadsheetml/2006/main" count="75" uniqueCount="34">
  <si>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</si>
  <si>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</si>
  <si>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</si>
  <si>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</si>
  <si>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</si>
  <si>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</si>
  <si>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</si>
  <si>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</si>
  <si>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</si>
  <si>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</si>
  <si>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</si>
  <si>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</si>
  <si>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</si>
  <si>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</si>
  <si>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</si>
  <si>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</si>
  <si>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</si>
  <si>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</si>
  <si>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</si>
  <si>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</si>
  <si>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</si>
  <si>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</si>
  <si>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</si>
  <si>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</si>
  <si>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</si>
  <si>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</si>
  <si>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</si>
  <si>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</si>
  <si>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</si>
  <si>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</si>
  <si>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</si>
  <si>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</si>
  <si>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Baseball Optimization Analysis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</si>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</sst>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5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3" fontId="0" fillId="0" borderId="0" xfId="0" applyNumberFormat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152400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180973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zoomScale="106" zoomScaleNormal="106" workbookViewId="0">
      <selection activeCell="E36" sqref="E36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3" width="9.140625" style="2"/>
    <col min="14" max="14" width="11.42578125" style="2" bestFit="1" customWidth="1"/>
    <col min="15" max="15" width="17.28515625" style="2" bestFit="1" customWidth="1"/>
    <col min="16" max="16" width="12.140625" style="2" bestFit="1" customWidth="1"/>
    <col min="17" max="20" width="9.140625" style="2"/>
    <col min="21" max="21" width="12.140625" style="2" bestFit="1" customWidth="1"/>
    <col min="22" max="22" width="17.7109375" style="2" bestFit="1" customWidth="1"/>
    <col min="23" max="23" width="12.85546875" style="2" bestFit="1" customWidth="1"/>
    <col min="24" max="16384" width="9.140625" style="2"/>
  </cols>
  <sheetData>
    <row r="1" spans="1:18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18</v>
      </c>
      <c r="I1" s="2" t="s">
        <v>17</v>
      </c>
      <c r="J1" s="2" t="s">
        <v>19</v>
      </c>
      <c r="K1" s="2" t="s">
        <v>20</v>
      </c>
      <c r="L1" s="2" t="s">
        <v>1</v>
      </c>
      <c r="M1" s="2" t="s">
        <v>21</v>
      </c>
      <c r="N1" s="2" t="s">
        <v>22</v>
      </c>
      <c r="P1" s="2" t="s">
        <v>0</v>
      </c>
      <c r="Q1" s="2" t="s">
        <v>8</v>
      </c>
      <c r="R1" s="2" t="s">
        <v>9</v>
      </c>
    </row>
    <row r="2" spans="1:18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2" t="s">
        <v>18</v>
      </c>
      <c r="H2" s="2">
        <f>IF($D2=H$1,$C2*1,0)</f>
        <v>0</v>
      </c>
      <c r="I2" s="2">
        <f t="shared" ref="I2:L2" si="0">IF($D2=I$1,$C2*1,0)</f>
        <v>0</v>
      </c>
      <c r="J2" s="2">
        <f t="shared" si="0"/>
        <v>0</v>
      </c>
      <c r="K2" s="2">
        <f>IF($D2=K$1,$C2*1,0)</f>
        <v>0</v>
      </c>
      <c r="L2" s="2">
        <f t="shared" si="0"/>
        <v>0</v>
      </c>
      <c r="M2" s="2">
        <f>IF($D2=M$1,$C2*1,0)</f>
        <v>0</v>
      </c>
      <c r="N2" s="2">
        <f>IF($D2=N$1,$C2*1,0)</f>
        <v>0</v>
      </c>
      <c r="P2" s="2" t="s">
        <v>18</v>
      </c>
      <c r="Q2" s="2">
        <v>1</v>
      </c>
      <c r="R2" s="2">
        <f>SUM(H2:H200)</f>
        <v>0</v>
      </c>
    </row>
    <row r="3" spans="1:18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2" t="s">
        <v>18</v>
      </c>
      <c r="H3" s="2">
        <f t="shared" ref="H3:N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N3" s="2">
        <f t="shared" si="2"/>
        <v>0</v>
      </c>
      <c r="P3" s="2" t="s">
        <v>17</v>
      </c>
      <c r="Q3" s="2">
        <v>3</v>
      </c>
      <c r="R3" s="2">
        <f>SUM(I2:I339)</f>
        <v>0</v>
      </c>
    </row>
    <row r="4" spans="1:18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2" t="s">
        <v>18</v>
      </c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N4" s="2">
        <f t="shared" si="2"/>
        <v>0</v>
      </c>
      <c r="P4" s="2" t="s">
        <v>19</v>
      </c>
      <c r="Q4" s="2">
        <v>1</v>
      </c>
      <c r="R4" s="2">
        <f>SUM(J2:J339)</f>
        <v>0</v>
      </c>
    </row>
    <row r="5" spans="1:18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2" t="s">
        <v>18</v>
      </c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N5" s="2">
        <f t="shared" si="2"/>
        <v>0</v>
      </c>
      <c r="P5" s="2" t="s">
        <v>20</v>
      </c>
      <c r="Q5" s="2">
        <v>1</v>
      </c>
      <c r="R5" s="2">
        <f>SUM(K2:K339)</f>
        <v>0</v>
      </c>
    </row>
    <row r="6" spans="1:18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2" t="s">
        <v>18</v>
      </c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N6" s="2">
        <f t="shared" si="2"/>
        <v>0</v>
      </c>
      <c r="P6" s="2" t="s">
        <v>1</v>
      </c>
      <c r="Q6" s="2">
        <v>1</v>
      </c>
      <c r="R6" s="2">
        <f>SUM(L2:L339)</f>
        <v>0</v>
      </c>
    </row>
    <row r="7" spans="1:18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2" t="s">
        <v>18</v>
      </c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N7" s="2">
        <f t="shared" si="2"/>
        <v>0</v>
      </c>
      <c r="P7" s="2" t="s">
        <v>21</v>
      </c>
      <c r="Q7" s="2">
        <v>1</v>
      </c>
      <c r="R7" s="2">
        <f>SUM(M2:M339)</f>
        <v>0</v>
      </c>
    </row>
    <row r="8" spans="1:18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2" t="s">
        <v>18</v>
      </c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N8" s="2">
        <f t="shared" si="2"/>
        <v>0</v>
      </c>
      <c r="P8" s="2" t="s">
        <v>22</v>
      </c>
      <c r="Q8" s="2">
        <v>1</v>
      </c>
      <c r="R8" s="2">
        <f>SUM(N2:N339)</f>
        <v>0</v>
      </c>
    </row>
    <row r="9" spans="1:18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2" t="s">
        <v>18</v>
      </c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  <c r="N9" s="2">
        <f t="shared" si="2"/>
        <v>0</v>
      </c>
    </row>
    <row r="10" spans="1:18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2" t="s">
        <v>18</v>
      </c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N10" s="2">
        <f t="shared" si="2"/>
        <v>0</v>
      </c>
      <c r="P10" s="2" t="s">
        <v>10</v>
      </c>
      <c r="Q10" s="2">
        <f>SUMPRODUCT(C2:C300,G2:G300)</f>
        <v>0</v>
      </c>
    </row>
    <row r="11" spans="1:18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2" t="s">
        <v>18</v>
      </c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N11" s="2">
        <f t="shared" si="2"/>
        <v>0</v>
      </c>
      <c r="P11" s="2" t="s">
        <v>11</v>
      </c>
      <c r="Q11" s="2">
        <v>35000</v>
      </c>
    </row>
    <row r="12" spans="1:18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2" t="s">
        <v>18</v>
      </c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  <c r="N12" s="2">
        <f t="shared" si="2"/>
        <v>0</v>
      </c>
    </row>
    <row r="13" spans="1:18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2" t="s">
        <v>18</v>
      </c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N13" s="2">
        <f t="shared" si="2"/>
        <v>0</v>
      </c>
      <c r="P13" s="2" t="s">
        <v>12</v>
      </c>
      <c r="Q13" s="2">
        <f>SUMPRODUCT(C2:C339,F2:F339)</f>
        <v>0</v>
      </c>
    </row>
    <row r="14" spans="1:18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2" t="s">
        <v>18</v>
      </c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  <c r="N14" s="2">
        <f t="shared" si="2"/>
        <v>0</v>
      </c>
    </row>
    <row r="15" spans="1:18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2" t="s">
        <v>18</v>
      </c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N15" s="2">
        <f t="shared" si="2"/>
        <v>0</v>
      </c>
      <c r="P15" s="2" t="s">
        <v>13</v>
      </c>
      <c r="Q15" s="2">
        <v>9</v>
      </c>
    </row>
    <row r="16" spans="1:18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2" t="s">
        <v>18</v>
      </c>
      <c r="H16" s="2">
        <v>0</v>
      </c>
      <c r="I16" s="2"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P16" s="2" t="s">
        <v>14</v>
      </c>
      <c r="Q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2" t="s">
        <v>18</v>
      </c>
      <c r="H17" s="2">
        <v>0</v>
      </c>
      <c r="I17" s="2"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  <c r="N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2" t="s">
        <v>18</v>
      </c>
      <c r="H18" s="2">
        <v>0</v>
      </c>
      <c r="I18" s="2"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N18" s="2">
        <f t="shared" si="2"/>
        <v>0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2" t="s">
        <v>18</v>
      </c>
      <c r="H19" s="2">
        <v>0</v>
      </c>
      <c r="I19" s="2"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N19" s="2">
        <f t="shared" si="2"/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2" t="s">
        <v>18</v>
      </c>
      <c r="H20" s="2">
        <v>0</v>
      </c>
      <c r="I20" s="2"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  <c r="N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2" t="s">
        <v>18</v>
      </c>
      <c r="H21" s="2">
        <v>0</v>
      </c>
      <c r="I21" s="2"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  <c r="N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2" t="s">
        <v>18</v>
      </c>
      <c r="H22" s="2">
        <v>0</v>
      </c>
      <c r="I22" s="2"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  <c r="N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2" t="s">
        <v>18</v>
      </c>
      <c r="H23" s="2">
        <v>0</v>
      </c>
      <c r="I23" s="2"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N23" s="2">
        <f t="shared" si="2"/>
        <v>0</v>
      </c>
      <c r="P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2" t="s">
        <v>18</v>
      </c>
      <c r="H24" s="2">
        <v>0</v>
      </c>
      <c r="I24" s="2"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N24" s="2">
        <f t="shared" si="2"/>
        <v>0</v>
      </c>
      <c r="P24" s="2" t="s">
        <v>23</v>
      </c>
      <c r="Q24" s="2" t="e">
        <f t="shared" ref="Q24:Q32" si="3">VLOOKUP(P24,$B$2:$F$200,4,FALSE)</f>
        <v>#N/A</v>
      </c>
      <c r="R24" s="2" t="e">
        <f t="shared" ref="R24:R32" si="4">VLOOKUP(P24,$B$2:$F$200,5,FALSE)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2" t="s">
        <v>18</v>
      </c>
      <c r="H25" s="2">
        <v>0</v>
      </c>
      <c r="I25" s="2"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N25" s="2">
        <f t="shared" si="2"/>
        <v>0</v>
      </c>
      <c r="P25" s="2" t="s">
        <v>24</v>
      </c>
      <c r="Q25" s="2" t="e">
        <f t="shared" si="3"/>
        <v>#N/A</v>
      </c>
      <c r="R25" s="2" t="e">
        <f t="shared" si="4"/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2" t="s">
        <v>18</v>
      </c>
      <c r="H26" s="2">
        <v>0</v>
      </c>
      <c r="I26" s="2"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N26" s="2">
        <f t="shared" si="2"/>
        <v>0</v>
      </c>
      <c r="P26" s="2" t="s">
        <v>25</v>
      </c>
      <c r="Q26" s="2" t="e">
        <f t="shared" si="3"/>
        <v>#N/A</v>
      </c>
      <c r="R26" s="2" t="e">
        <f t="shared" si="4"/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2" t="s">
        <v>18</v>
      </c>
      <c r="H27" s="2">
        <v>0</v>
      </c>
      <c r="I27" s="2"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N27" s="2">
        <f t="shared" si="2"/>
        <v>0</v>
      </c>
      <c r="P27" s="2" t="s">
        <v>31</v>
      </c>
      <c r="Q27" s="2" t="e">
        <f t="shared" si="3"/>
        <v>#N/A</v>
      </c>
      <c r="R27" s="2" t="e">
        <f t="shared" si="4"/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2" t="s">
        <v>18</v>
      </c>
      <c r="H28" s="2">
        <v>0</v>
      </c>
      <c r="I28" s="2"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N28" s="2">
        <f t="shared" si="2"/>
        <v>0</v>
      </c>
      <c r="P28" s="2" t="s">
        <v>26</v>
      </c>
      <c r="Q28" s="2" t="e">
        <f t="shared" si="3"/>
        <v>#N/A</v>
      </c>
      <c r="R28" s="2" t="e">
        <f t="shared" si="4"/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2" t="s">
        <v>18</v>
      </c>
      <c r="H29" s="2">
        <v>0</v>
      </c>
      <c r="I29" s="2"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N29" s="2">
        <f t="shared" si="2"/>
        <v>0</v>
      </c>
      <c r="P29" s="2" t="s">
        <v>27</v>
      </c>
      <c r="Q29" s="2" t="e">
        <f t="shared" si="3"/>
        <v>#N/A</v>
      </c>
      <c r="R29" s="2" t="e">
        <f t="shared" si="4"/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2" t="s">
        <v>18</v>
      </c>
      <c r="H30" s="2">
        <v>0</v>
      </c>
      <c r="I30" s="2"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N30" s="2">
        <f t="shared" si="2"/>
        <v>0</v>
      </c>
      <c r="P30" s="2" t="s">
        <v>28</v>
      </c>
      <c r="Q30" s="2" t="e">
        <f t="shared" si="3"/>
        <v>#N/A</v>
      </c>
      <c r="R30" s="2" t="e">
        <f t="shared" si="4"/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2" t="s">
        <v>18</v>
      </c>
      <c r="H31" s="2">
        <v>0</v>
      </c>
      <c r="I31" s="2"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N31" s="2">
        <f t="shared" si="2"/>
        <v>0</v>
      </c>
      <c r="P31" s="2" t="s">
        <v>29</v>
      </c>
      <c r="Q31" s="2" t="e">
        <f t="shared" si="3"/>
        <v>#N/A</v>
      </c>
      <c r="R31" s="2" t="e">
        <f t="shared" si="4"/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 t="shared" si="2"/>
        <v>0</v>
      </c>
      <c r="P32" s="2" t="s">
        <v>30</v>
      </c>
      <c r="Q32" s="2" t="e">
        <f t="shared" si="3"/>
        <v>#N/A</v>
      </c>
      <c r="R32" s="2" t="e">
        <f t="shared" si="4"/>
        <v>#N/A</v>
      </c>
    </row>
    <row r="33" spans="1:14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 t="shared" si="2"/>
        <v>0</v>
      </c>
    </row>
    <row r="34" spans="1:14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 t="shared" si="2"/>
        <v>0</v>
      </c>
    </row>
    <row r="35" spans="1:14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 t="shared" si="2"/>
        <v>0</v>
      </c>
    </row>
    <row r="36" spans="1:14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 t="shared" si="2"/>
        <v>0</v>
      </c>
    </row>
    <row r="37" spans="1:14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 t="shared" si="2"/>
        <v>0</v>
      </c>
    </row>
    <row r="38" spans="1:14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 t="shared" si="2"/>
        <v>0</v>
      </c>
    </row>
    <row r="39" spans="1:14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v>0</v>
      </c>
      <c r="J39" s="2">
        <f t="shared" si="2"/>
        <v>0</v>
      </c>
      <c r="K39" s="2">
        <f t="shared" ref="H39:N75" si="5">IF($D39=K$1,$C39*1,0)</f>
        <v>0</v>
      </c>
      <c r="L39" s="2">
        <f t="shared" si="5"/>
        <v>0</v>
      </c>
      <c r="M39" s="2">
        <f t="shared" si="5"/>
        <v>0</v>
      </c>
      <c r="N39" s="2">
        <f t="shared" si="5"/>
        <v>0</v>
      </c>
    </row>
    <row r="40" spans="1:14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 t="shared" si="5"/>
        <v>0</v>
      </c>
    </row>
    <row r="41" spans="1:14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 t="shared" si="5"/>
        <v>0</v>
      </c>
    </row>
    <row r="42" spans="1:14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 t="shared" si="5"/>
        <v>0</v>
      </c>
    </row>
    <row r="43" spans="1:14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 t="shared" si="5"/>
        <v>0</v>
      </c>
    </row>
    <row r="44" spans="1:14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 t="shared" si="5"/>
        <v>0</v>
      </c>
    </row>
    <row r="45" spans="1:14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 t="shared" si="5"/>
        <v>0</v>
      </c>
    </row>
    <row r="46" spans="1:14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 t="shared" si="5"/>
        <v>0</v>
      </c>
    </row>
    <row r="47" spans="1:14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 t="shared" si="5"/>
        <v>0</v>
      </c>
    </row>
    <row r="48" spans="1:14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 t="shared" si="5"/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 t="shared" si="5"/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 t="shared" si="5"/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 t="shared" si="5"/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 t="shared" si="5"/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 t="shared" si="5"/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 t="shared" si="5"/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 t="shared" si="5"/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 t="shared" si="5"/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 t="shared" si="5"/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 t="shared" si="5"/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 t="shared" si="5"/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 t="shared" si="5"/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 t="shared" si="5"/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 t="shared" si="5"/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 t="shared" si="5"/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 t="shared" si="5"/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 t="shared" si="5"/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 t="shared" si="5"/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 t="shared" si="5"/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 t="shared" si="5"/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 t="shared" si="5"/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 t="shared" si="5"/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 t="shared" si="5"/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 t="shared" si="5"/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 t="shared" si="5"/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 t="shared" si="5"/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si="5"/>
        <v>0</v>
      </c>
      <c r="N75" s="2">
        <f t="shared" ref="H75:N110" si="7">IF($D75=N$1,$C75*1,0)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 t="shared" si="7"/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 t="shared" si="7"/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 t="shared" si="7"/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 t="shared" si="7"/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 t="shared" si="7"/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 t="shared" si="7"/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 t="shared" si="7"/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 t="shared" si="7"/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 t="shared" si="7"/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 t="shared" si="7"/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 t="shared" si="7"/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 t="shared" si="7"/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 t="shared" si="7"/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 t="shared" si="7"/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 t="shared" si="7"/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 t="shared" si="7"/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 t="shared" si="7"/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 t="shared" si="7"/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 t="shared" si="7"/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 t="shared" si="7"/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 t="shared" si="7"/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 t="shared" si="7"/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 t="shared" si="7"/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 t="shared" si="7"/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 t="shared" si="7"/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 t="shared" si="7"/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 t="shared" si="7"/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 t="shared" si="7"/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 t="shared" si="7"/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 t="shared" si="7"/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 t="shared" si="7"/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 t="shared" si="7"/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 t="shared" si="7"/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 t="shared" si="7"/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 t="shared" si="7"/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N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 t="shared" si="8"/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 t="shared" si="8"/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 t="shared" si="8"/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 t="shared" si="8"/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 t="shared" si="8"/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 t="shared" si="8"/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 t="shared" si="8"/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 t="shared" si="8"/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 t="shared" si="8"/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 t="shared" si="8"/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 t="shared" si="8"/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 t="shared" si="8"/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 t="shared" si="8"/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 t="shared" si="8"/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 t="shared" si="8"/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 t="shared" si="8"/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 t="shared" si="8"/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 t="shared" si="8"/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 t="shared" si="8"/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 t="shared" si="8"/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 t="shared" si="8"/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 t="shared" si="8"/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 t="shared" si="8"/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 t="shared" si="8"/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 t="shared" si="8"/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 t="shared" si="8"/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 t="shared" si="8"/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 t="shared" si="8"/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 t="shared" si="8"/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 t="shared" si="8"/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 t="shared" si="8"/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 t="shared" si="8"/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 t="shared" si="8"/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 t="shared" si="8"/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 t="shared" si="8"/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 t="shared" si="8"/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si="8"/>
        <v>0</v>
      </c>
      <c r="K147" s="2">
        <f t="shared" ref="H147:N183" si="10">IF($D147=K$1,$C147*1,0)</f>
        <v>0</v>
      </c>
      <c r="L147" s="2">
        <f t="shared" si="10"/>
        <v>0</v>
      </c>
      <c r="M147" s="2">
        <f t="shared" si="10"/>
        <v>0</v>
      </c>
      <c r="N147" s="2">
        <f t="shared" si="10"/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 t="shared" si="10"/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 t="shared" si="10"/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 t="shared" si="10"/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 t="shared" si="10"/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 t="shared" si="10"/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 t="shared" si="10"/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 t="shared" si="10"/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 t="shared" si="10"/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 t="shared" si="10"/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 t="shared" si="10"/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 t="shared" si="10"/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 t="shared" si="10"/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 t="shared" si="10"/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 t="shared" si="10"/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 t="shared" si="10"/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 t="shared" si="10"/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 t="shared" si="10"/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 t="shared" si="10"/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 t="shared" si="10"/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 t="shared" si="10"/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 t="shared" si="10"/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 t="shared" si="10"/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 t="shared" si="10"/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 t="shared" si="10"/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 t="shared" si="10"/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 t="shared" si="10"/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 t="shared" si="10"/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 t="shared" si="10"/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 t="shared" si="10"/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 t="shared" si="10"/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 t="shared" si="10"/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 t="shared" si="10"/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 t="shared" si="10"/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 t="shared" si="10"/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 t="shared" si="10"/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si="10"/>
        <v>0</v>
      </c>
      <c r="N183" s="2">
        <f t="shared" ref="M183:N200" si="11">IF($D183=N$1,$C183*1,0)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L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2"/>
        <v>0</v>
      </c>
      <c r="M184" s="2">
        <f t="shared" si="11"/>
        <v>0</v>
      </c>
      <c r="N184" s="2">
        <f t="shared" si="11"/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2"/>
        <v>0</v>
      </c>
      <c r="M185" s="2">
        <f t="shared" si="11"/>
        <v>0</v>
      </c>
      <c r="N185" s="2">
        <f t="shared" si="11"/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2"/>
        <v>0</v>
      </c>
      <c r="M186" s="2">
        <f t="shared" si="11"/>
        <v>0</v>
      </c>
      <c r="N186" s="2">
        <f t="shared" si="11"/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2"/>
        <v>0</v>
      </c>
      <c r="M187" s="2">
        <f t="shared" si="11"/>
        <v>0</v>
      </c>
      <c r="N187" s="2">
        <f t="shared" si="11"/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2"/>
        <v>0</v>
      </c>
      <c r="M188" s="2">
        <f t="shared" si="11"/>
        <v>0</v>
      </c>
      <c r="N188" s="2">
        <f t="shared" si="11"/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2"/>
        <v>0</v>
      </c>
      <c r="M189" s="2">
        <f t="shared" si="11"/>
        <v>0</v>
      </c>
      <c r="N189" s="2">
        <f t="shared" si="11"/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2"/>
        <v>0</v>
      </c>
      <c r="M190" s="2">
        <f t="shared" si="11"/>
        <v>0</v>
      </c>
      <c r="N190" s="2">
        <f t="shared" si="11"/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2"/>
        <v>0</v>
      </c>
      <c r="M191" s="2">
        <f t="shared" si="11"/>
        <v>0</v>
      </c>
      <c r="N191" s="2">
        <f t="shared" si="11"/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2"/>
        <v>0</v>
      </c>
      <c r="M192" s="2">
        <f t="shared" si="11"/>
        <v>0</v>
      </c>
      <c r="N192" s="2">
        <f t="shared" si="11"/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2"/>
        <v>0</v>
      </c>
      <c r="M193" s="2">
        <f t="shared" si="11"/>
        <v>0</v>
      </c>
      <c r="N193" s="2">
        <f t="shared" si="11"/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2"/>
        <v>0</v>
      </c>
      <c r="M194" s="2">
        <f t="shared" si="11"/>
        <v>0</v>
      </c>
      <c r="N194" s="2">
        <f t="shared" si="11"/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2"/>
        <v>0</v>
      </c>
      <c r="M195" s="2">
        <f t="shared" si="11"/>
        <v>0</v>
      </c>
      <c r="N195" s="2">
        <f t="shared" si="11"/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2"/>
        <v>0</v>
      </c>
      <c r="M196" s="2">
        <f t="shared" si="11"/>
        <v>0</v>
      </c>
      <c r="N196" s="2">
        <f t="shared" si="11"/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2"/>
        <v>0</v>
      </c>
      <c r="M197" s="2">
        <f t="shared" si="11"/>
        <v>0</v>
      </c>
      <c r="N197" s="2">
        <f t="shared" si="11"/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2"/>
        <v>0</v>
      </c>
      <c r="M198" s="2">
        <f t="shared" si="11"/>
        <v>0</v>
      </c>
      <c r="N198" s="2">
        <f t="shared" si="11"/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2"/>
        <v>0</v>
      </c>
      <c r="M199" s="2">
        <f t="shared" si="11"/>
        <v>0</v>
      </c>
      <c r="N199" s="2">
        <f t="shared" si="11"/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2"/>
        <v>0</v>
      </c>
      <c r="M200" s="2">
        <f t="shared" si="11"/>
        <v>0</v>
      </c>
      <c r="N200" s="2">
        <f t="shared" si="11"/>
        <v>0</v>
      </c>
    </row>
    <row r="201" spans="1:14" x14ac:dyDescent="0.25">
      <c r="C201" s="1"/>
    </row>
    <row r="202" spans="1:14" x14ac:dyDescent="0.25">
      <c r="C202" s="1"/>
    </row>
    <row r="203" spans="1:14" x14ac:dyDescent="0.25">
      <c r="C203" s="1"/>
    </row>
    <row r="204" spans="1:14" x14ac:dyDescent="0.25">
      <c r="C204" s="1"/>
    </row>
    <row r="205" spans="1:14" x14ac:dyDescent="0.25">
      <c r="C205" s="1"/>
    </row>
    <row r="206" spans="1:14" x14ac:dyDescent="0.25">
      <c r="C206" s="1"/>
    </row>
    <row r="207" spans="1:14" x14ac:dyDescent="0.25">
      <c r="C207" s="1"/>
    </row>
    <row r="208" spans="1:14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7" x14ac:dyDescent="0.25">
      <c r="C225" s="1"/>
    </row>
    <row r="226" spans="3:7" x14ac:dyDescent="0.25">
      <c r="C226" s="1"/>
    </row>
    <row r="227" spans="3:7" x14ac:dyDescent="0.25">
      <c r="C227" s="1"/>
    </row>
    <row r="228" spans="3:7" x14ac:dyDescent="0.25">
      <c r="C228" s="1"/>
    </row>
    <row r="229" spans="3:7" x14ac:dyDescent="0.25">
      <c r="C229" s="1"/>
    </row>
    <row r="230" spans="3:7" x14ac:dyDescent="0.25">
      <c r="C230" s="1"/>
    </row>
    <row r="231" spans="3:7" x14ac:dyDescent="0.25">
      <c r="C231" s="1"/>
    </row>
    <row r="232" spans="3:7" x14ac:dyDescent="0.25">
      <c r="C232" s="1"/>
    </row>
    <row r="233" spans="3:7" x14ac:dyDescent="0.25">
      <c r="C233" s="1"/>
    </row>
    <row r="234" spans="3:7" x14ac:dyDescent="0.25">
      <c r="C234" s="1"/>
    </row>
    <row r="235" spans="3:7" x14ac:dyDescent="0.25">
      <c r="C235" s="1"/>
    </row>
    <row r="236" spans="3:7" x14ac:dyDescent="0.25">
      <c r="C236" s="1"/>
      <c r="G236" s="35"/>
    </row>
    <row r="237" spans="3:7" x14ac:dyDescent="0.25">
      <c r="C237" s="1"/>
      <c r="G237" s="35"/>
    </row>
    <row r="238" spans="3:7" x14ac:dyDescent="0.25">
      <c r="C238" s="1"/>
      <c r="G238" s="35"/>
    </row>
    <row r="239" spans="3:7" x14ac:dyDescent="0.25">
      <c r="C239" s="1"/>
      <c r="G239" s="35"/>
    </row>
    <row r="240" spans="3:7" x14ac:dyDescent="0.25">
      <c r="C240" s="1"/>
      <c r="G240" s="35"/>
    </row>
    <row r="241" spans="3:7" x14ac:dyDescent="0.25">
      <c r="C241" s="1"/>
      <c r="G241" s="35"/>
    </row>
    <row r="242" spans="3:7" x14ac:dyDescent="0.25">
      <c r="C242" s="1"/>
      <c r="G242" s="35"/>
    </row>
    <row r="243" spans="3:7" x14ac:dyDescent="0.25">
      <c r="C243" s="1"/>
      <c r="G243" s="35"/>
    </row>
    <row r="244" spans="3:7" x14ac:dyDescent="0.25">
      <c r="C244" s="1"/>
      <c r="G244" s="35"/>
    </row>
    <row r="245" spans="3:7" x14ac:dyDescent="0.25">
      <c r="C245" s="1"/>
      <c r="G245" s="35"/>
    </row>
    <row r="246" spans="3:7" x14ac:dyDescent="0.25">
      <c r="C246" s="1"/>
      <c r="G246" s="35"/>
    </row>
    <row r="247" spans="3:7" x14ac:dyDescent="0.25">
      <c r="C247" s="1"/>
      <c r="G247" s="35"/>
    </row>
    <row r="248" spans="3:7" x14ac:dyDescent="0.25">
      <c r="C248" s="1"/>
      <c r="G248" s="35"/>
    </row>
    <row r="249" spans="3:7" x14ac:dyDescent="0.25">
      <c r="C249" s="1"/>
      <c r="G249" s="35"/>
    </row>
    <row r="250" spans="3:7" x14ac:dyDescent="0.25">
      <c r="C250" s="1"/>
      <c r="G250" s="35"/>
    </row>
    <row r="251" spans="3:7" x14ac:dyDescent="0.25">
      <c r="C251" s="1"/>
      <c r="G251" s="35"/>
    </row>
    <row r="252" spans="3:7" x14ac:dyDescent="0.25">
      <c r="C252" s="1"/>
      <c r="G252" s="35"/>
    </row>
    <row r="253" spans="3:7" x14ac:dyDescent="0.25">
      <c r="C253" s="1"/>
      <c r="G253" s="35"/>
    </row>
    <row r="254" spans="3:7" x14ac:dyDescent="0.25">
      <c r="C254" s="1"/>
      <c r="G254" s="35"/>
    </row>
    <row r="255" spans="3:7" x14ac:dyDescent="0.25">
      <c r="C255" s="1"/>
      <c r="G255" s="35"/>
    </row>
    <row r="256" spans="3:7" x14ac:dyDescent="0.25">
      <c r="C256" s="1"/>
      <c r="G256" s="35"/>
    </row>
    <row r="257" spans="3:7" x14ac:dyDescent="0.25">
      <c r="C257" s="1"/>
      <c r="G257" s="35"/>
    </row>
    <row r="258" spans="3:7" x14ac:dyDescent="0.25">
      <c r="C258" s="1"/>
      <c r="G258" s="35"/>
    </row>
    <row r="259" spans="3:7" x14ac:dyDescent="0.25">
      <c r="C259" s="1"/>
      <c r="G259" s="35"/>
    </row>
    <row r="260" spans="3:7" x14ac:dyDescent="0.25">
      <c r="C260" s="1"/>
      <c r="G260" s="35"/>
    </row>
    <row r="261" spans="3:7" x14ac:dyDescent="0.25">
      <c r="C261" s="1"/>
      <c r="G261" s="35"/>
    </row>
    <row r="262" spans="3:7" x14ac:dyDescent="0.25">
      <c r="C262" s="1"/>
      <c r="G262" s="35"/>
    </row>
    <row r="263" spans="3:7" x14ac:dyDescent="0.25">
      <c r="C263" s="1"/>
      <c r="G263" s="35"/>
    </row>
    <row r="264" spans="3:7" x14ac:dyDescent="0.25">
      <c r="C264" s="1"/>
      <c r="G264" s="35"/>
    </row>
    <row r="265" spans="3:7" x14ac:dyDescent="0.25">
      <c r="C265" s="1"/>
      <c r="G265" s="35"/>
    </row>
    <row r="266" spans="3:7" x14ac:dyDescent="0.25">
      <c r="C266" s="1"/>
      <c r="G266" s="35"/>
    </row>
    <row r="267" spans="3:7" x14ac:dyDescent="0.25">
      <c r="C267" s="1"/>
      <c r="G267" s="35"/>
    </row>
    <row r="268" spans="3:7" x14ac:dyDescent="0.25">
      <c r="C268" s="1"/>
      <c r="G268" s="35"/>
    </row>
    <row r="269" spans="3:7" x14ac:dyDescent="0.25">
      <c r="C269" s="1"/>
      <c r="G269" s="35"/>
    </row>
    <row r="270" spans="3:7" x14ac:dyDescent="0.25">
      <c r="C270" s="1"/>
      <c r="G270" s="35"/>
    </row>
    <row r="271" spans="3:7" x14ac:dyDescent="0.25">
      <c r="C271" s="1"/>
      <c r="G271" s="35"/>
    </row>
    <row r="272" spans="3:7" x14ac:dyDescent="0.25">
      <c r="C272" s="1"/>
      <c r="G272" s="35"/>
    </row>
    <row r="273" spans="3:7" x14ac:dyDescent="0.25">
      <c r="C273" s="1"/>
      <c r="G273" s="35"/>
    </row>
    <row r="274" spans="3:7" x14ac:dyDescent="0.25">
      <c r="C274" s="1"/>
      <c r="G274" s="35"/>
    </row>
    <row r="275" spans="3:7" x14ac:dyDescent="0.25">
      <c r="C275" s="1"/>
      <c r="G275" s="35"/>
    </row>
    <row r="276" spans="3:7" x14ac:dyDescent="0.25">
      <c r="C276" s="1"/>
      <c r="G276" s="35"/>
    </row>
    <row r="277" spans="3:7" x14ac:dyDescent="0.25">
      <c r="C277" s="1"/>
      <c r="G277" s="35"/>
    </row>
    <row r="278" spans="3:7" x14ac:dyDescent="0.25">
      <c r="C278" s="1"/>
      <c r="G278" s="35"/>
    </row>
    <row r="279" spans="3:7" x14ac:dyDescent="0.25">
      <c r="C279" s="1"/>
      <c r="G279" s="35"/>
    </row>
    <row r="280" spans="3:7" x14ac:dyDescent="0.25">
      <c r="C280" s="1"/>
      <c r="G280" s="35"/>
    </row>
    <row r="281" spans="3:7" x14ac:dyDescent="0.25">
      <c r="C281" s="1"/>
      <c r="G281" s="35"/>
    </row>
    <row r="282" spans="3:7" x14ac:dyDescent="0.25">
      <c r="C282" s="1"/>
      <c r="G282" s="35"/>
    </row>
    <row r="283" spans="3:7" x14ac:dyDescent="0.25">
      <c r="C283" s="1"/>
      <c r="G283" s="35"/>
    </row>
    <row r="284" spans="3:7" x14ac:dyDescent="0.25">
      <c r="C284" s="1"/>
      <c r="G284" s="35"/>
    </row>
    <row r="285" spans="3:7" x14ac:dyDescent="0.25">
      <c r="C285" s="1"/>
      <c r="G285" s="35"/>
    </row>
    <row r="286" spans="3:7" x14ac:dyDescent="0.25">
      <c r="C286" s="1"/>
      <c r="G286" s="35"/>
    </row>
    <row r="287" spans="3:7" x14ac:dyDescent="0.25">
      <c r="C287" s="1"/>
      <c r="G287" s="35"/>
    </row>
    <row r="288" spans="3:7" x14ac:dyDescent="0.25">
      <c r="C288" s="1"/>
      <c r="G288" s="35"/>
    </row>
    <row r="289" spans="3:7" x14ac:dyDescent="0.25">
      <c r="C289" s="1"/>
      <c r="G289" s="35"/>
    </row>
    <row r="290" spans="3:7" x14ac:dyDescent="0.25">
      <c r="C290" s="1"/>
      <c r="G290" s="35"/>
    </row>
    <row r="291" spans="3:7" x14ac:dyDescent="0.25">
      <c r="C291" s="1"/>
      <c r="G291" s="35"/>
    </row>
    <row r="292" spans="3:7" x14ac:dyDescent="0.25">
      <c r="C292" s="1"/>
      <c r="G292" s="35"/>
    </row>
    <row r="293" spans="3:7" x14ac:dyDescent="0.25">
      <c r="C293" s="1"/>
      <c r="G293" s="35"/>
    </row>
    <row r="294" spans="3:7" x14ac:dyDescent="0.25">
      <c r="C294" s="1"/>
      <c r="G294" s="35"/>
    </row>
    <row r="295" spans="3:7" x14ac:dyDescent="0.25">
      <c r="C295" s="1"/>
      <c r="G295" s="35"/>
    </row>
    <row r="296" spans="3:7" x14ac:dyDescent="0.25">
      <c r="C296" s="1"/>
      <c r="G296" s="35"/>
    </row>
    <row r="297" spans="3:7" x14ac:dyDescent="0.25">
      <c r="C297" s="1"/>
      <c r="G297" s="35"/>
    </row>
    <row r="298" spans="3:7" x14ac:dyDescent="0.25">
      <c r="C298" s="1"/>
      <c r="G298" s="35"/>
    </row>
    <row r="299" spans="3:7" x14ac:dyDescent="0.25">
      <c r="C299" s="1"/>
      <c r="G299" s="35"/>
    </row>
    <row r="300" spans="3:7" x14ac:dyDescent="0.25">
      <c r="C300" s="1"/>
      <c r="G300" s="35"/>
    </row>
    <row r="301" spans="3:7" x14ac:dyDescent="0.25">
      <c r="C301" s="1"/>
      <c r="G301" s="35"/>
    </row>
    <row r="302" spans="3:7" x14ac:dyDescent="0.25">
      <c r="C302" s="1"/>
      <c r="G302" s="35"/>
    </row>
    <row r="303" spans="3:7" x14ac:dyDescent="0.25">
      <c r="C303" s="1"/>
      <c r="G303" s="35"/>
    </row>
    <row r="304" spans="3:7" x14ac:dyDescent="0.25">
      <c r="C304" s="1"/>
      <c r="G304" s="35"/>
    </row>
    <row r="305" spans="3:7" x14ac:dyDescent="0.25">
      <c r="C305" s="1"/>
      <c r="G305" s="35"/>
    </row>
    <row r="306" spans="3:7" x14ac:dyDescent="0.25">
      <c r="C306" s="1"/>
      <c r="G306" s="35"/>
    </row>
    <row r="307" spans="3:7" x14ac:dyDescent="0.25">
      <c r="C307" s="1"/>
      <c r="G307" s="35"/>
    </row>
    <row r="308" spans="3:7" x14ac:dyDescent="0.25">
      <c r="C308" s="1"/>
      <c r="G308" s="35"/>
    </row>
    <row r="309" spans="3:7" x14ac:dyDescent="0.25">
      <c r="C309" s="1"/>
      <c r="G309" s="35"/>
    </row>
    <row r="310" spans="3:7" x14ac:dyDescent="0.25">
      <c r="C310" s="1"/>
      <c r="G310" s="35"/>
    </row>
    <row r="311" spans="3:7" x14ac:dyDescent="0.25">
      <c r="C311" s="1"/>
      <c r="G311" s="35"/>
    </row>
    <row r="312" spans="3:7" x14ac:dyDescent="0.25">
      <c r="C312" s="1"/>
      <c r="G312" s="35"/>
    </row>
    <row r="313" spans="3:7" x14ac:dyDescent="0.25">
      <c r="C313" s="1"/>
      <c r="G313" s="35"/>
    </row>
    <row r="314" spans="3:7" x14ac:dyDescent="0.25">
      <c r="C314" s="1"/>
      <c r="G314" s="35"/>
    </row>
    <row r="315" spans="3:7" x14ac:dyDescent="0.25">
      <c r="C315" s="1"/>
      <c r="G315" s="35"/>
    </row>
    <row r="316" spans="3:7" x14ac:dyDescent="0.25">
      <c r="C316" s="1"/>
      <c r="G316" s="35"/>
    </row>
    <row r="317" spans="3:7" x14ac:dyDescent="0.25">
      <c r="C317" s="1"/>
      <c r="G317" s="35"/>
    </row>
    <row r="318" spans="3:7" x14ac:dyDescent="0.25">
      <c r="C318" s="1"/>
      <c r="G318" s="35"/>
    </row>
    <row r="319" spans="3:7" x14ac:dyDescent="0.25">
      <c r="C319" s="1"/>
      <c r="G319" s="35"/>
    </row>
    <row r="320" spans="3:7" x14ac:dyDescent="0.25">
      <c r="C320" s="1"/>
      <c r="G320" s="35"/>
    </row>
    <row r="321" spans="3:7" x14ac:dyDescent="0.25">
      <c r="C321" s="1"/>
      <c r="G321" s="35"/>
    </row>
    <row r="322" spans="3:7" x14ac:dyDescent="0.25">
      <c r="C322" s="1"/>
      <c r="G322" s="35"/>
    </row>
    <row r="323" spans="3:7" x14ac:dyDescent="0.25">
      <c r="C323" s="1"/>
      <c r="G323" s="35"/>
    </row>
    <row r="324" spans="3:7" x14ac:dyDescent="0.25">
      <c r="C324" s="1"/>
      <c r="G324" s="35"/>
    </row>
    <row r="325" spans="3:7" x14ac:dyDescent="0.25">
      <c r="C325" s="1"/>
      <c r="G325" s="35"/>
    </row>
    <row r="326" spans="3:7" x14ac:dyDescent="0.25">
      <c r="C326" s="1"/>
      <c r="G326" s="35"/>
    </row>
    <row r="327" spans="3:7" x14ac:dyDescent="0.25">
      <c r="C327" s="1"/>
      <c r="G327" s="35"/>
    </row>
    <row r="328" spans="3:7" x14ac:dyDescent="0.25">
      <c r="C328" s="1"/>
      <c r="G328" s="35"/>
    </row>
    <row r="329" spans="3:7" x14ac:dyDescent="0.25">
      <c r="C329" s="1"/>
      <c r="G329" s="35"/>
    </row>
    <row r="330" spans="3:7" x14ac:dyDescent="0.25">
      <c r="C330" s="1"/>
      <c r="G330" s="35"/>
    </row>
    <row r="331" spans="3:7" x14ac:dyDescent="0.25">
      <c r="C331" s="1"/>
      <c r="G331" s="35"/>
    </row>
    <row r="332" spans="3:7" x14ac:dyDescent="0.25">
      <c r="C332" s="1"/>
      <c r="G332" s="35"/>
    </row>
    <row r="333" spans="3:7" x14ac:dyDescent="0.25">
      <c r="C333" s="1"/>
      <c r="G333" s="35"/>
    </row>
    <row r="334" spans="3:7" x14ac:dyDescent="0.25">
      <c r="C334" s="1"/>
    </row>
    <row r="335" spans="3:7" x14ac:dyDescent="0.25">
      <c r="C335" s="1"/>
    </row>
    <row r="336" spans="3:7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workbookViewId="0">
      <selection activeCell="E15" sqref="E15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3" t="s">
        <v>15</v>
      </c>
      <c r="E2" s="43"/>
      <c r="F2" s="43"/>
      <c r="G2" s="43"/>
      <c r="H2" s="43"/>
      <c r="I2" s="43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4" t="s">
        <v>32</v>
      </c>
      <c r="E3" s="44"/>
      <c r="F3" s="44"/>
      <c r="G3" s="44"/>
      <c r="H3" s="44"/>
      <c r="I3" s="44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x14ac:dyDescent="0.25">
      <c r="A6" s="19"/>
      <c r="B6" s="26"/>
      <c r="C6" s="27"/>
      <c r="D6" s="27"/>
      <c r="E6" s="27"/>
      <c r="F6" s="28"/>
      <c r="G6" s="27"/>
      <c r="H6" s="28"/>
      <c r="I6" s="28"/>
      <c r="J6" s="27"/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27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27"/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27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27"/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6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8">
        <f>'Fanduel MLB Solver'!Q13</f>
        <v>0</v>
      </c>
      <c r="E15" s="36"/>
      <c r="F15" s="41" t="e">
        <f>'Fanduel MLB Solver'!Q24</f>
        <v>#N/A</v>
      </c>
      <c r="G15" s="40" t="e">
        <f>'Fanduel MLB Solver'!Q25</f>
        <v>#N/A</v>
      </c>
      <c r="H15" s="41" t="e">
        <f>'Fanduel MLB Solver'!Q26</f>
        <v>#N/A</v>
      </c>
      <c r="I15" s="40" t="e">
        <f>'Fanduel MLB Solver'!Q27</f>
        <v>#N/A</v>
      </c>
      <c r="J15" s="40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9">
        <f>'Fanduel MLB Solver'!Q10</f>
        <v>0</v>
      </c>
      <c r="E16" s="36"/>
      <c r="F16" s="40"/>
      <c r="G16" s="40"/>
      <c r="H16" s="40"/>
      <c r="I16" s="40"/>
      <c r="J16" s="40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7"/>
      <c r="F17" s="40" t="e">
        <f>'Fanduel MLB Solver'!Q28</f>
        <v>#N/A</v>
      </c>
      <c r="G17" s="41" t="e">
        <f>'Fanduel MLB Solver'!Q29</f>
        <v>#N/A</v>
      </c>
      <c r="H17" s="40" t="e">
        <f>'Fanduel MLB Solver'!Q30</f>
        <v>#N/A</v>
      </c>
      <c r="I17" s="41"/>
      <c r="J17" s="40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7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RunAll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"/>
  <sheetViews>
    <sheetView tabSelected="1" topLeftCell="B1" workbookViewId="0">
      <selection activeCell="E5" sqref="E5"/>
    </sheetView>
  </sheetViews>
  <sheetFormatPr defaultRowHeight="15" x14ac:dyDescent="0.25"/>
  <cols>
    <col min="1" max="1" width="0" hidden="1" customWidth="1"/>
    <col min="2" max="9" width="14.28515625" customWidth="1"/>
  </cols>
  <sheetData>
    <row r="3" spans="2:2" x14ac:dyDescent="0.25">
      <c r="B3" t="s">
        <v>33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"/>
  <sheetViews>
    <sheetView topLeftCell="B1" workbookViewId="0">
      <selection activeCell="F16" sqref="F16"/>
    </sheetView>
  </sheetViews>
  <sheetFormatPr defaultRowHeight="15" x14ac:dyDescent="0.25"/>
  <cols>
    <col min="1" max="1" width="0" hidden="1" customWidth="1"/>
    <col min="2" max="18" width="14.28515625" customWidth="1"/>
  </cols>
  <sheetData>
    <row r="3" spans="2:2" x14ac:dyDescent="0.25">
      <c r="B3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2" workbookViewId="0">
      <selection activeCell="B2" sqref="A1:XFD1048576"/>
    </sheetView>
  </sheetViews>
  <sheetFormatPr defaultRowHeight="15" x14ac:dyDescent="0.25"/>
  <sheetData/>
  <sortState ref="A2:I925">
    <sortCondition descending="1" ref="C2:C9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>
      <selection activeCell="B2" sqref="A1:XFD1048576"/>
    </sheetView>
  </sheetViews>
  <sheetFormatPr defaultRowHeight="15" x14ac:dyDescent="0.25"/>
  <sheetData/>
  <sortState ref="A2:R1115">
    <sortCondition descending="1" ref="D2:D1115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Fanduel MLB Solver</vt:lpstr>
      <vt:lpstr>Optimizer</vt:lpstr>
      <vt:lpstr>Pitchers1</vt:lpstr>
      <vt:lpstr>Batters1</vt:lpstr>
      <vt:lpstr>Pitchers</vt:lpstr>
      <vt:lpstr>Batters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2017-07-02T03:44:22Z</dcterms:modified>
</cp:coreProperties>
</file>